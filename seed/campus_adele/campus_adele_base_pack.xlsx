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9420" yWindow="10540" windowWidth="37480" windowHeight="25000" tabRatio="500" firstSheet="0" autoFilterDateGrouping="1"/>
  </bookViews>
  <sheets>
    <sheet name="I_Inputs &amp; Assumptions" sheetId="1" state="visible" r:id="rId1"/>
    <sheet name="I_Budget Input Data" sheetId="2" state="visible" r:id="rId2"/>
    <sheet name="I_Unit Rent Roll Data" sheetId="3" state="visible" r:id="rId3"/>
    <sheet name="I_Preferred Equity" sheetId="4" state="visible" r:id="rId4"/>
    <sheet name="I_Mezzanine Debt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2">
    <numFmt numFmtId="164" formatCode="_(\$* #,##0.00_);_(\$* \(#,##0.00\);_(\$* \-??_);_(@_)"/>
    <numFmt numFmtId="165" formatCode="yyyy\-mm\-dd"/>
    <numFmt numFmtId="166" formatCode="\$#,##0"/>
    <numFmt numFmtId="167" formatCode="0.0%"/>
    <numFmt numFmtId="168" formatCode="0.000%"/>
    <numFmt numFmtId="169" formatCode="\$#,##0.00_);[Red]&quot;($&quot;#,##0.00\)"/>
    <numFmt numFmtId="170" formatCode="\$#,##0.00"/>
    <numFmt numFmtId="171" formatCode="\$#,##0;&quot;($&quot;#,##0\);\-"/>
    <numFmt numFmtId="172" formatCode="mmm\-yy"/>
    <numFmt numFmtId="173" formatCode="0&quot;  / 4&quot;"/>
    <numFmt numFmtId="174" formatCode="0.00\x"/>
    <numFmt numFmtId="175" formatCode="0.000000%"/>
  </numFmts>
  <fonts count="40">
    <font>
      <name val="Calibri"/>
      <color theme="1"/>
      <sz val="11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i val="1"/>
      <color theme="1"/>
      <sz val="9"/>
    </font>
    <font>
      <name val="Calibri"/>
      <family val="2"/>
      <b val="1"/>
      <color theme="1"/>
      <sz val="10"/>
    </font>
    <font>
      <name val="Helvetica Neue"/>
      <family val="2"/>
      <b val="1"/>
      <color theme="1"/>
      <sz val="10"/>
    </font>
    <font>
      <name val="Helvetica Neue"/>
      <family val="2"/>
      <color theme="1"/>
      <sz val="10"/>
    </font>
    <font>
      <name val="Arial"/>
      <family val="2"/>
      <color theme="1"/>
      <sz val="12"/>
    </font>
    <font>
      <name val="Calibri"/>
      <family val="2"/>
      <b val="1"/>
      <i val="1"/>
      <color theme="1"/>
      <sz val="9"/>
    </font>
    <font>
      <name val="Calibri"/>
      <family val="2"/>
      <color theme="1"/>
      <sz val="8"/>
    </font>
    <font>
      <name val="Calibri"/>
      <family val="2"/>
      <b val="1"/>
      <color theme="1"/>
      <sz val="9"/>
    </font>
    <font>
      <name val="Calibri"/>
      <family val="2"/>
      <i val="1"/>
      <color theme="1"/>
      <sz val="8"/>
    </font>
    <font>
      <name val="Calibri"/>
      <family val="2"/>
      <b val="1"/>
      <color theme="1"/>
      <sz val="9"/>
    </font>
    <font>
      <name val="Calibri"/>
      <family val="2"/>
      <i val="1"/>
      <color theme="1"/>
      <sz val="8"/>
    </font>
    <font>
      <name val="Calibri"/>
      <family val="2"/>
      <b val="1"/>
      <color theme="1"/>
      <sz val="9"/>
    </font>
    <font>
      <name val="Calibri"/>
      <family val="2"/>
      <i val="1"/>
      <color theme="1"/>
      <sz val="8"/>
    </font>
    <font>
      <name val="Calibri"/>
      <family val="2"/>
      <color theme="1"/>
      <sz val="8"/>
    </font>
    <font>
      <name val="Calibri"/>
      <family val="2"/>
      <color theme="1"/>
      <sz val="8"/>
    </font>
    <font>
      <name val="Calibri"/>
      <family val="2"/>
      <color theme="1"/>
      <sz val="8"/>
    </font>
    <font>
      <name val="Calibri"/>
      <family val="2"/>
      <color theme="1"/>
      <sz val="9"/>
    </font>
    <font>
      <name val="Calibri"/>
      <family val="2"/>
      <b val="1"/>
      <color theme="1"/>
      <sz val="10"/>
    </font>
    <font>
      <name val="Calibri"/>
      <family val="2"/>
      <b val="1"/>
      <i val="1"/>
      <color theme="1"/>
      <sz val="8"/>
    </font>
    <font>
      <name val="Calibri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i val="1"/>
      <color theme="1"/>
      <sz val="9"/>
    </font>
    <font>
      <name val="Arial"/>
      <family val="2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i val="1"/>
      <color theme="1"/>
      <sz val="10"/>
    </font>
    <font>
      <name val="Arial"/>
      <family val="2"/>
      <i val="1"/>
      <color theme="1"/>
      <sz val="8"/>
    </font>
  </fonts>
  <fills count="19">
    <fill>
      <patternFill/>
    </fill>
    <fill>
      <patternFill patternType="gray125"/>
    </fill>
    <fill>
      <patternFill patternType="solid">
        <fgColor rgb="FFD9E1F2"/>
        <bgColor rgb="FFDCE6F1"/>
      </patternFill>
    </fill>
    <fill>
      <patternFill patternType="solid">
        <fgColor rgb="FFC6E0B4"/>
        <bgColor rgb="FFE2EFDA"/>
      </patternFill>
    </fill>
    <fill>
      <patternFill patternType="solid">
        <fgColor rgb="FFFFFF99"/>
        <bgColor rgb="FFFFEB9C"/>
      </patternFill>
    </fill>
    <fill>
      <patternFill patternType="solid">
        <fgColor rgb="FFFFFF00"/>
        <bgColor rgb="FFFFD966"/>
      </patternFill>
    </fill>
    <fill>
      <patternFill patternType="solid">
        <fgColor rgb="FF4472C4"/>
        <bgColor rgb="FF666699"/>
      </patternFill>
    </fill>
    <fill>
      <patternFill patternType="solid">
        <fgColor rgb="FFB4C7E7"/>
        <bgColor rgb="FFC6E0B4"/>
      </patternFill>
    </fill>
    <fill>
      <patternFill patternType="solid">
        <fgColor rgb="FFFFE599"/>
        <bgColor rgb="FFFFEB9C"/>
      </patternFill>
    </fill>
    <fill>
      <patternFill patternType="solid">
        <fgColor rgb="FFFFD966"/>
        <bgColor rgb="FFFFE599"/>
      </patternFill>
    </fill>
    <fill>
      <patternFill patternType="solid">
        <fgColor rgb="FFFFEB9C"/>
        <bgColor rgb="FFFFE599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D9CC"/>
      </patternFill>
    </fill>
    <fill>
      <patternFill patternType="solid">
        <fgColor rgb="FF92D050"/>
        <bgColor rgb="FFC6E0B4"/>
      </patternFill>
    </fill>
    <fill>
      <patternFill patternType="solid">
        <fgColor rgb="FFFFCCCC"/>
        <bgColor rgb="FFFFD9CC"/>
      </patternFill>
    </fill>
    <fill>
      <patternFill patternType="solid">
        <fgColor rgb="FFE7E6E6"/>
        <bgColor rgb="FFDCE6F1"/>
      </patternFill>
    </fill>
    <fill>
      <patternFill patternType="solid">
        <fgColor rgb="FFFFD9CC"/>
        <bgColor rgb="FFFCE4D6"/>
      </patternFill>
    </fill>
    <fill>
      <patternFill patternType="solid">
        <fgColor rgb="FFFF6B6B"/>
        <bgColor rgb="FFFF6600"/>
      </patternFill>
    </fill>
    <fill>
      <patternFill patternType="solid">
        <fgColor rgb="FFDCE6F1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2" borderId="1" pivotButton="0" quotePrefix="0" xfId="0"/>
    <xf numFmtId="0" fontId="12" fillId="0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167" fontId="0" fillId="3" borderId="1" pivotButton="0" quotePrefix="0" xfId="0"/>
    <xf numFmtId="49" fontId="0" fillId="0" borderId="2" pivotButton="0" quotePrefix="0" xfId="0"/>
    <xf numFmtId="164" fontId="0" fillId="0" borderId="3" pivotButton="0" quotePrefix="0" xfId="0"/>
    <xf numFmtId="10" fontId="0" fillId="3" borderId="1" pivotButton="0" quotePrefix="0" xfId="0"/>
    <xf numFmtId="49" fontId="0" fillId="0" borderId="4" pivotButton="0" quotePrefix="0" xfId="0"/>
    <xf numFmtId="164" fontId="0" fillId="0" borderId="5" pivotButton="0" quotePrefix="0" xfId="0"/>
    <xf numFmtId="49" fontId="0" fillId="0" borderId="6" pivotButton="0" quotePrefix="0" xfId="0"/>
    <xf numFmtId="164" fontId="0" fillId="0" borderId="7" pivotButton="0" quotePrefix="0" xfId="0"/>
    <xf numFmtId="0" fontId="3" fillId="2" borderId="0" pivotButton="0" quotePrefix="0" xfId="0"/>
    <xf numFmtId="166" fontId="0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166" fontId="9" fillId="5" borderId="1" pivotButton="0" quotePrefix="0" xfId="0"/>
    <xf numFmtId="2" fontId="0" fillId="3" borderId="1" pivotButton="0" quotePrefix="0" xfId="0"/>
    <xf numFmtId="166" fontId="9" fillId="3" borderId="1" pivotButton="0" quotePrefix="0" xfId="0"/>
    <xf numFmtId="166" fontId="10" fillId="3" borderId="1" pivotButton="0" quotePrefix="0" xfId="0"/>
    <xf numFmtId="10" fontId="9" fillId="3" borderId="1" pivotButton="0" quotePrefix="0" xfId="0"/>
    <xf numFmtId="10" fontId="9" fillId="5" borderId="0" pivotButton="0" quotePrefix="0" xfId="0"/>
    <xf numFmtId="168" fontId="0" fillId="3" borderId="1" pivotButton="0" quotePrefix="0" xfId="0"/>
    <xf numFmtId="0" fontId="11" fillId="0" borderId="0" pivotButton="0" quotePrefix="0" xfId="0"/>
    <xf numFmtId="167" fontId="9" fillId="3" borderId="1" pivotButton="0" quotePrefix="0" xfId="0"/>
    <xf numFmtId="0" fontId="12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6" fontId="7" fillId="0" borderId="1" pivotButton="0" quotePrefix="0" xfId="0"/>
    <xf numFmtId="0" fontId="7" fillId="3" borderId="1" pivotButton="0" quotePrefix="0" xfId="0"/>
    <xf numFmtId="167" fontId="7" fillId="3" borderId="1" pivotButton="0" quotePrefix="0" xfId="0"/>
    <xf numFmtId="0" fontId="7" fillId="3" borderId="1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9" fontId="15" fillId="0" borderId="0" pivotButton="0" quotePrefix="0" xfId="0"/>
    <xf numFmtId="169" fontId="0" fillId="0" borderId="0" pivotButton="0" quotePrefix="0" xfId="0"/>
    <xf numFmtId="169" fontId="15" fillId="5" borderId="0" pivotButton="0" quotePrefix="0" xfId="0"/>
    <xf numFmtId="0" fontId="0" fillId="2" borderId="0" pivotButton="0" quotePrefix="0" xfId="0"/>
    <xf numFmtId="0" fontId="13" fillId="6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/>
    </xf>
    <xf numFmtId="170" fontId="7" fillId="0" borderId="1" pivotButton="0" quotePrefix="0" xfId="0"/>
    <xf numFmtId="10" fontId="7" fillId="0" borderId="1" pivotButton="0" quotePrefix="0" xfId="0"/>
    <xf numFmtId="0" fontId="7" fillId="8" borderId="1" applyAlignment="1" pivotButton="0" quotePrefix="0" xfId="0">
      <alignment horizontal="center"/>
    </xf>
    <xf numFmtId="0" fontId="9" fillId="0" borderId="0" pivotButton="0" quotePrefix="0" xfId="0"/>
    <xf numFmtId="171" fontId="10" fillId="0" borderId="0" pivotButton="0" quotePrefix="0" xfId="0"/>
    <xf numFmtId="10" fontId="8" fillId="0" borderId="0" pivotButton="0" quotePrefix="0" xfId="0"/>
    <xf numFmtId="0" fontId="5" fillId="8" borderId="1" pivotButton="0" quotePrefix="0" xfId="0"/>
    <xf numFmtId="0" fontId="5" fillId="8" borderId="1" applyAlignment="1" pivotButton="0" quotePrefix="0" xfId="0">
      <alignment horizontal="center"/>
    </xf>
    <xf numFmtId="171" fontId="8" fillId="8" borderId="1" pivotButton="0" quotePrefix="0" xfId="0"/>
    <xf numFmtId="10" fontId="5" fillId="8" borderId="1" pivotButton="0" quotePrefix="0" xfId="0"/>
    <xf numFmtId="10" fontId="8" fillId="8" borderId="1" pivotButton="0" quotePrefix="0" xfId="0"/>
    <xf numFmtId="0" fontId="5" fillId="7" borderId="1" pivotButton="0" quotePrefix="0" xfId="0"/>
    <xf numFmtId="0" fontId="5" fillId="7" borderId="1" applyAlignment="1" pivotButton="0" quotePrefix="0" xfId="0">
      <alignment horizontal="center"/>
    </xf>
    <xf numFmtId="171" fontId="8" fillId="7" borderId="1" pivotButton="0" quotePrefix="0" xfId="0"/>
    <xf numFmtId="10" fontId="5" fillId="7" borderId="1" pivotButton="0" quotePrefix="0" xfId="0"/>
    <xf numFmtId="10" fontId="8" fillId="7" borderId="1" pivotButton="0" quotePrefix="0" xfId="0"/>
    <xf numFmtId="0" fontId="3" fillId="9" borderId="1" pivotButton="0" quotePrefix="0" xfId="0"/>
    <xf numFmtId="171" fontId="8" fillId="9" borderId="1" pivotButton="0" quotePrefix="0" xfId="0"/>
    <xf numFmtId="10" fontId="3" fillId="9" borderId="1" pivotButton="0" quotePrefix="0" xfId="0"/>
    <xf numFmtId="170" fontId="7" fillId="4" borderId="1" pivotButton="0" quotePrefix="0" xfId="0"/>
    <xf numFmtId="171" fontId="8" fillId="0" borderId="0" pivotButton="0" quotePrefix="0" xfId="0"/>
    <xf numFmtId="0" fontId="5" fillId="9" borderId="1" pivotButton="0" quotePrefix="0" xfId="0"/>
    <xf numFmtId="0" fontId="17" fillId="10" borderId="0" pivotButton="0" quotePrefix="0" xfId="0"/>
    <xf numFmtId="170" fontId="0" fillId="0" borderId="1" pivotButton="0" quotePrefix="0" xfId="0"/>
    <xf numFmtId="170" fontId="5" fillId="0" borderId="1" pivotButton="0" quotePrefix="0" xfId="0"/>
    <xf numFmtId="0" fontId="7" fillId="11" borderId="1" applyAlignment="1" pivotButton="0" quotePrefix="0" xfId="0">
      <alignment horizontal="center"/>
    </xf>
    <xf numFmtId="0" fontId="7" fillId="4" borderId="1" pivotButton="0" quotePrefix="0" xfId="0"/>
    <xf numFmtId="10" fontId="7" fillId="4" borderId="1" pivotButton="0" quotePrefix="0" xfId="0"/>
    <xf numFmtId="0" fontId="5" fillId="9" borderId="1" applyAlignment="1" pivotButton="0" quotePrefix="0" xfId="0">
      <alignment horizontal="center"/>
    </xf>
    <xf numFmtId="170" fontId="5" fillId="9" borderId="1" pivotButton="0" quotePrefix="0" xfId="0"/>
    <xf numFmtId="0" fontId="12" fillId="9" borderId="1" pivotButton="0" quotePrefix="0" xfId="0"/>
    <xf numFmtId="10" fontId="12" fillId="9" borderId="1" pivotButton="0" quotePrefix="0" xfId="0"/>
    <xf numFmtId="0" fontId="7" fillId="12" borderId="1" applyAlignment="1" pivotButton="0" quotePrefix="0" xfId="0">
      <alignment horizontal="center"/>
    </xf>
    <xf numFmtId="166" fontId="5" fillId="12" borderId="1" pivotButton="0" quotePrefix="0" xfId="0"/>
    <xf numFmtId="0" fontId="3" fillId="0" borderId="0" pivotButton="0" quotePrefix="0" xfId="0"/>
    <xf numFmtId="166" fontId="3" fillId="9" borderId="1" pivotButton="0" quotePrefix="0" xfId="0"/>
    <xf numFmtId="0" fontId="18" fillId="0" borderId="0" pivotButton="0" quotePrefix="0" xfId="0"/>
    <xf numFmtId="166" fontId="12" fillId="0" borderId="1" pivotButton="0" quotePrefix="0" xfId="0"/>
    <xf numFmtId="166" fontId="0" fillId="0" borderId="0" pivotButton="0" quotePrefix="0" xfId="0"/>
    <xf numFmtId="166" fontId="2" fillId="13" borderId="1" pivotButton="0" quotePrefix="0" xfId="0"/>
    <xf numFmtId="0" fontId="19" fillId="6" borderId="1" applyAlignment="1" pivotButton="0" quotePrefix="0" xfId="0">
      <alignment horizontal="center" vertical="center" wrapText="1"/>
    </xf>
    <xf numFmtId="166" fontId="18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right" vertical="center"/>
    </xf>
    <xf numFmtId="166" fontId="18" fillId="12" borderId="1" pivotButton="0" quotePrefix="0" xfId="0"/>
    <xf numFmtId="166" fontId="6" fillId="12" borderId="1" pivotButton="0" quotePrefix="0" xfId="0"/>
    <xf numFmtId="166" fontId="6" fillId="9" borderId="0" pivotButton="0" quotePrefix="0" xfId="0"/>
    <xf numFmtId="0" fontId="1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6" fontId="6" fillId="9" borderId="1" applyAlignment="1" pivotButton="0" quotePrefix="0" xfId="0">
      <alignment horizontal="right" vertical="center"/>
    </xf>
    <xf numFmtId="0" fontId="19" fillId="6" borderId="1" pivotButton="0" quotePrefix="0" xfId="0"/>
    <xf numFmtId="172" fontId="19" fillId="6" borderId="1" applyAlignment="1" pivotButton="0" quotePrefix="0" xfId="0">
      <alignment horizontal="center"/>
    </xf>
    <xf numFmtId="0" fontId="6" fillId="13" borderId="1" pivotButton="0" quotePrefix="0" xfId="0"/>
    <xf numFmtId="0" fontId="18" fillId="0" borderId="1" pivotButton="0" quotePrefix="0" xfId="0"/>
    <xf numFmtId="166" fontId="0" fillId="13" borderId="1" pivotButton="0" quotePrefix="0" xfId="0"/>
    <xf numFmtId="0" fontId="5" fillId="2" borderId="1" pivotButton="0" quotePrefix="0" xfId="0"/>
    <xf numFmtId="0" fontId="20" fillId="0" borderId="1" pivotButton="0" quotePrefix="0" xfId="0"/>
    <xf numFmtId="166" fontId="0" fillId="0" borderId="1" pivotButton="0" quotePrefix="0" xfId="0"/>
    <xf numFmtId="0" fontId="21" fillId="14" borderId="1" pivotButton="0" quotePrefix="0" xfId="0"/>
    <xf numFmtId="0" fontId="22" fillId="0" borderId="1" pivotButton="0" quotePrefix="0" xfId="0"/>
    <xf numFmtId="166" fontId="0" fillId="14" borderId="1" pivotButton="0" quotePrefix="0" xfId="0"/>
    <xf numFmtId="0" fontId="23" fillId="15" borderId="1" pivotButton="0" quotePrefix="0" xfId="0"/>
    <xf numFmtId="0" fontId="24" fillId="0" borderId="1" pivotButton="0" quotePrefix="0" xfId="0"/>
    <xf numFmtId="166" fontId="0" fillId="15" borderId="1" pivotButton="0" quotePrefix="0" xfId="0"/>
    <xf numFmtId="166" fontId="0" fillId="16" borderId="1" pivotButton="0" quotePrefix="0" xfId="0"/>
    <xf numFmtId="0" fontId="5" fillId="12" borderId="1" pivotButton="0" quotePrefix="0" xfId="0"/>
    <xf numFmtId="0" fontId="20" fillId="12" borderId="1" pivotButton="0" quotePrefix="0" xfId="0"/>
    <xf numFmtId="166" fontId="0" fillId="12" borderId="1" pivotButton="0" quotePrefix="0" xfId="0"/>
    <xf numFmtId="166" fontId="0" fillId="9" borderId="1" pivotButton="0" quotePrefix="0" xfId="0"/>
    <xf numFmtId="0" fontId="5" fillId="13" borderId="1" pivotButton="0" quotePrefix="0" xfId="0"/>
    <xf numFmtId="0" fontId="21" fillId="0" borderId="1" pivotButton="0" quotePrefix="0" xfId="0"/>
    <xf numFmtId="166" fontId="25" fillId="0" borderId="1" pivotButton="0" quotePrefix="0" xfId="0"/>
    <xf numFmtId="0" fontId="23" fillId="0" borderId="1" pivotButton="0" quotePrefix="0" xfId="0"/>
    <xf numFmtId="166" fontId="26" fillId="0" borderId="1" pivotButton="0" quotePrefix="0" xfId="0"/>
    <xf numFmtId="166" fontId="27" fillId="0" borderId="1" pivotButton="0" quotePrefix="0" xfId="0"/>
    <xf numFmtId="166" fontId="28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12" fillId="0" borderId="1" pivotButton="0" quotePrefix="0" xfId="0"/>
    <xf numFmtId="0" fontId="3" fillId="10" borderId="1" pivotButton="0" quotePrefix="0" xfId="0"/>
    <xf numFmtId="0" fontId="12" fillId="10" borderId="1" pivotButton="0" quotePrefix="0" xfId="0"/>
    <xf numFmtId="173" fontId="0" fillId="10" borderId="1" pivotButton="0" quotePrefix="0" xfId="0"/>
    <xf numFmtId="0" fontId="5" fillId="10" borderId="1" pivotButton="0" quotePrefix="0" xfId="0"/>
    <xf numFmtId="166" fontId="28" fillId="0" borderId="1" pivotButton="0" quotePrefix="0" xfId="0"/>
    <xf numFmtId="49" fontId="0" fillId="0" borderId="1" pivotButton="0" quotePrefix="0" xfId="0"/>
    <xf numFmtId="0" fontId="28" fillId="0" borderId="1" pivotButton="0" quotePrefix="0" xfId="0"/>
    <xf numFmtId="166" fontId="5" fillId="10" borderId="1" pivotButton="0" quotePrefix="0" xfId="0"/>
    <xf numFmtId="166" fontId="29" fillId="10" borderId="1" pivotButton="0" quotePrefix="0" xfId="0"/>
    <xf numFmtId="0" fontId="4" fillId="8" borderId="1" pivotButton="0" quotePrefix="0" xfId="0"/>
    <xf numFmtId="166" fontId="0" fillId="8" borderId="1" pivotButton="0" quotePrefix="0" xfId="0"/>
    <xf numFmtId="0" fontId="20" fillId="0" borderId="0" pivotButton="0" quotePrefix="0" xfId="0"/>
    <xf numFmtId="0" fontId="4" fillId="7" borderId="1" pivotButton="0" quotePrefix="0" xfId="0"/>
    <xf numFmtId="166" fontId="0" fillId="7" borderId="1" pivotButton="0" quotePrefix="0" xfId="0"/>
    <xf numFmtId="0" fontId="4" fillId="11" borderId="1" pivotButton="0" quotePrefix="0" xfId="0"/>
    <xf numFmtId="166" fontId="0" fillId="11" borderId="1" pivotButton="0" quotePrefix="0" xfId="0"/>
    <xf numFmtId="0" fontId="4" fillId="12" borderId="1" pivotButton="0" quotePrefix="0" xfId="0"/>
    <xf numFmtId="0" fontId="30" fillId="0" borderId="0" pivotButton="0" quotePrefix="0" xfId="0"/>
    <xf numFmtId="0" fontId="29" fillId="17" borderId="1" pivotButton="0" quotePrefix="0" xfId="0"/>
    <xf numFmtId="166" fontId="29" fillId="17" borderId="1" pivotButton="0" quotePrefix="0" xfId="0"/>
    <xf numFmtId="0" fontId="22" fillId="0" borderId="0" pivotButton="0" quotePrefix="0" xfId="0"/>
    <xf numFmtId="0" fontId="29" fillId="14" borderId="1" pivotButton="0" quotePrefix="0" xfId="0"/>
    <xf numFmtId="166" fontId="29" fillId="14" borderId="1" pivotButton="0" quotePrefix="0" xfId="0"/>
    <xf numFmtId="0" fontId="4" fillId="0" borderId="1" pivotButton="0" quotePrefix="0" xfId="0"/>
    <xf numFmtId="0" fontId="2" fillId="9" borderId="1" pivotButton="0" quotePrefix="0" xfId="0"/>
    <xf numFmtId="166" fontId="2" fillId="9" borderId="1" pivotButton="0" quotePrefix="0" xfId="0"/>
    <xf numFmtId="166" fontId="5" fillId="0" borderId="1" pivotButton="0" quotePrefix="0" xfId="0"/>
    <xf numFmtId="167" fontId="0" fillId="0" borderId="0" pivotButton="0" quotePrefix="0" xfId="0"/>
    <xf numFmtId="10" fontId="0" fillId="0" borderId="0" pivotButton="0" quotePrefix="0" xfId="0"/>
    <xf numFmtId="166" fontId="20" fillId="0" borderId="0" pivotButton="0" quotePrefix="0" xfId="0"/>
    <xf numFmtId="0" fontId="18" fillId="0" borderId="1" applyAlignment="1" pivotButton="0" quotePrefix="0" xfId="0">
      <alignment horizontal="center"/>
    </xf>
    <xf numFmtId="172" fontId="18" fillId="0" borderId="1" applyAlignment="1" pivotButton="0" quotePrefix="0" xfId="0">
      <alignment horizontal="center"/>
    </xf>
    <xf numFmtId="166" fontId="18" fillId="0" borderId="1" pivotButton="0" quotePrefix="0" xfId="0"/>
    <xf numFmtId="166" fontId="5" fillId="9" borderId="0" pivotButton="0" quotePrefix="0" xfId="0"/>
    <xf numFmtId="0" fontId="31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72" fontId="4" fillId="0" borderId="1" applyAlignment="1" pivotButton="0" quotePrefix="0" xfId="0">
      <alignment horizontal="center"/>
    </xf>
    <xf numFmtId="0" fontId="32" fillId="0" borderId="0" pivotButton="0" quotePrefix="0" xfId="0"/>
    <xf numFmtId="0" fontId="10" fillId="0" borderId="0" pivotButton="0" quotePrefix="0" xfId="0"/>
    <xf numFmtId="0" fontId="33" fillId="18" borderId="0" pivotButton="0" quotePrefix="0" xfId="0"/>
    <xf numFmtId="0" fontId="11" fillId="18" borderId="0" pivotButton="0" quotePrefix="0" xfId="0"/>
    <xf numFmtId="3" fontId="10" fillId="0" borderId="0" pivotButton="0" quotePrefix="0" xfId="0"/>
    <xf numFmtId="0" fontId="34" fillId="0" borderId="0" pivotButton="0" quotePrefix="0" xfId="0"/>
    <xf numFmtId="171" fontId="8" fillId="0" borderId="8" pivotButton="0" quotePrefix="0" xfId="0"/>
    <xf numFmtId="10" fontId="10" fillId="0" borderId="0" pivotButton="0" quotePrefix="0" xfId="0"/>
    <xf numFmtId="0" fontId="0" fillId="18" borderId="0" pivotButton="0" quotePrefix="0" xfId="0"/>
    <xf numFmtId="171" fontId="11" fillId="18" borderId="0" pivotButton="0" quotePrefix="0" xfId="0"/>
    <xf numFmtId="171" fontId="8" fillId="0" borderId="9" pivotButton="0" quotePrefix="0" xfId="0"/>
    <xf numFmtId="171" fontId="35" fillId="5" borderId="0" pivotButton="0" quotePrefix="0" xfId="0"/>
    <xf numFmtId="171" fontId="11" fillId="18" borderId="9" pivotButton="0" quotePrefix="0" xfId="0"/>
    <xf numFmtId="166" fontId="10" fillId="0" borderId="9" pivotButton="0" quotePrefix="0" xfId="0"/>
    <xf numFmtId="1" fontId="10" fillId="0" borderId="0" pivotButton="0" quotePrefix="0" xfId="0"/>
    <xf numFmtId="174" fontId="8" fillId="0" borderId="0" pivotButton="0" quotePrefix="0" xfId="0"/>
    <xf numFmtId="174" fontId="10" fillId="0" borderId="0" pivotButton="0" quotePrefix="0" xfId="0"/>
    <xf numFmtId="175" fontId="8" fillId="0" borderId="0" pivotButton="0" quotePrefix="0" xfId="0"/>
    <xf numFmtId="1" fontId="8" fillId="0" borderId="0" pivotButton="0" quotePrefix="0" xfId="0"/>
    <xf numFmtId="172" fontId="10" fillId="0" borderId="0" pivotButton="0" quotePrefix="0" xfId="0"/>
    <xf numFmtId="0" fontId="11" fillId="0" borderId="9" pivotButton="0" quotePrefix="0" xfId="0"/>
    <xf numFmtId="0" fontId="0" fillId="0" borderId="9" pivotButton="0" quotePrefix="0" xfId="0"/>
    <xf numFmtId="171" fontId="11" fillId="0" borderId="9" pivotButton="0" quotePrefix="0" xfId="0"/>
    <xf numFmtId="171" fontId="11" fillId="0" borderId="0" pivotButton="0" quotePrefix="0" xfId="0"/>
    <xf numFmtId="0" fontId="10" fillId="0" borderId="0" applyAlignment="1" pivotButton="0" quotePrefix="0" xfId="0">
      <alignment horizontal="right"/>
    </xf>
    <xf numFmtId="171" fontId="11" fillId="0" borderId="8" pivotButton="0" quotePrefix="0" xfId="0"/>
    <xf numFmtId="171" fontId="9" fillId="0" borderId="0" pivotButton="0" quotePrefix="0" xfId="0"/>
    <xf numFmtId="49" fontId="8" fillId="0" borderId="0" pivotButton="0" quotePrefix="0" xfId="0"/>
    <xf numFmtId="0" fontId="8" fillId="18" borderId="0" pivotButton="0" quotePrefix="0" xfId="0"/>
    <xf numFmtId="171" fontId="36" fillId="0" borderId="8" pivotButton="0" quotePrefix="0" xfId="0"/>
    <xf numFmtId="171" fontId="36" fillId="0" borderId="0" pivotButton="0" quotePrefix="0" xfId="0"/>
    <xf numFmtId="171" fontId="36" fillId="0" borderId="9" pivotButton="0" quotePrefix="0" xfId="0"/>
    <xf numFmtId="0" fontId="37" fillId="6" borderId="0" pivotButton="0" quotePrefix="0" xfId="0"/>
    <xf numFmtId="0" fontId="0" fillId="6" borderId="0" pivotButton="0" quotePrefix="0" xfId="0"/>
    <xf numFmtId="0" fontId="33" fillId="11" borderId="0" pivotButton="0" quotePrefix="0" xfId="0"/>
    <xf numFmtId="0" fontId="0" fillId="11" borderId="0" pivotButton="0" quotePrefix="0" xfId="0"/>
    <xf numFmtId="174" fontId="36" fillId="0" borderId="0" pivotButton="0" quotePrefix="0" xfId="0"/>
    <xf numFmtId="10" fontId="11" fillId="0" borderId="0" pivotButton="0" quotePrefix="0" xfId="0"/>
    <xf numFmtId="0" fontId="38" fillId="0" borderId="0" pivotButton="0" quotePrefix="0" xfId="0"/>
    <xf numFmtId="10" fontId="38" fillId="0" borderId="0" pivotButton="0" quotePrefix="0" xfId="0"/>
    <xf numFmtId="171" fontId="3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CE4D6"/>
      <rgbColor rgb="FFDCE6F1"/>
      <rgbColor rgb="FF660066"/>
      <rgbColor rgb="FFFF6B6B"/>
      <rgbColor rgb="FF0066CC"/>
      <rgbColor rgb="FFD9E1F2"/>
      <rgbColor rgb="FF000080"/>
      <rgbColor rgb="FFFF00FF"/>
      <rgbColor rgb="FFFFEB9C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C6E0B4"/>
      <rgbColor rgb="FFFFD9CC"/>
      <rgbColor rgb="FFFFE599"/>
      <rgbColor rgb="FFFFCCCC"/>
      <rgbColor rgb="FF4472C4"/>
      <rgbColor rgb="FF33CCCC"/>
      <rgbColor rgb="FF92D05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zoomScaleNormal="100" workbookViewId="0">
      <selection activeCell="A17" sqref="A17:B17"/>
    </sheetView>
  </sheetViews>
  <sheetFormatPr baseColWidth="10" defaultColWidth="14.5" defaultRowHeight="15" customHeight="1"/>
  <cols>
    <col width="35" customWidth="1" min="1" max="1"/>
    <col width="20" customWidth="1" min="2" max="2"/>
    <col width="15" customWidth="1" min="3" max="5"/>
    <col width="8.83203125" customWidth="1" min="6" max="6"/>
    <col width="31.83203125" customWidth="1" min="7" max="7"/>
    <col width="14.6640625" customWidth="1" min="8" max="8"/>
    <col width="8.83203125" customWidth="1" min="9" max="26"/>
  </cols>
  <sheetData>
    <row r="1" ht="18.75" customHeight="1">
      <c r="A1" s="5" t="inlineStr">
        <is>
          <t>CONSTRUCTION-TO-PERMANENT FINANCIAL MODEL</t>
        </is>
      </c>
      <c r="G1" s="6" t="n"/>
      <c r="H1" s="7" t="n"/>
    </row>
    <row r="2" ht="15.75" customHeight="1">
      <c r="A2" s="8" t="inlineStr">
        <is>
          <t>INPUTS &amp; ASSUMPTIONS</t>
        </is>
      </c>
      <c r="G2" s="6" t="n"/>
      <c r="H2" s="7" t="n"/>
    </row>
    <row r="3">
      <c r="G3" s="6" t="n"/>
      <c r="H3" s="7" t="n"/>
    </row>
    <row r="4" ht="15" customHeight="1">
      <c r="A4" s="4" t="inlineStr">
        <is>
          <t>PROJECT INFORMATION</t>
        </is>
      </c>
      <c r="G4" s="6" t="n"/>
      <c r="H4" s="7" t="n"/>
    </row>
    <row r="5" ht="15" customHeight="1">
      <c r="A5" s="9" t="inlineStr">
        <is>
          <t>Project Name</t>
        </is>
      </c>
      <c r="B5" s="10" t="inlineStr">
        <is>
          <t>Campus Adele</t>
        </is>
      </c>
      <c r="G5" s="6" t="n"/>
      <c r="H5" s="7" t="n"/>
    </row>
    <row r="6" ht="15" customHeight="1">
      <c r="A6" s="9" t="inlineStr">
        <is>
          <t>Location</t>
        </is>
      </c>
      <c r="B6" s="10" t="inlineStr">
        <is>
          <t>Quebec</t>
        </is>
      </c>
      <c r="G6" s="6" t="n"/>
      <c r="H6" s="7" t="n"/>
    </row>
    <row r="7" ht="15" customHeight="1">
      <c r="A7" s="9" t="inlineStr">
        <is>
          <t>Construction Start Date</t>
        </is>
      </c>
      <c r="B7" s="11" t="inlineStr">
        <is>
          <t>2025-03-01</t>
        </is>
      </c>
      <c r="G7" s="6" t="n"/>
      <c r="H7" s="7" t="n"/>
    </row>
    <row r="8" ht="15" customHeight="1">
      <c r="A8" s="9" t="inlineStr">
        <is>
          <t>Construction Duration</t>
        </is>
      </c>
      <c r="B8" s="10" t="n">
        <v>13</v>
      </c>
      <c r="C8" s="9" t="inlineStr">
        <is>
          <t>months</t>
        </is>
      </c>
      <c r="G8" s="6" t="n"/>
      <c r="H8" s="7" t="n"/>
    </row>
    <row r="9" ht="15" customHeight="1">
      <c r="A9" s="9" t="inlineStr">
        <is>
          <t>Months Until First Units Ready</t>
        </is>
      </c>
      <c r="B9" s="10" t="n">
        <v>16</v>
      </c>
      <c r="C9" s="9" t="inlineStr">
        <is>
          <t>months</t>
        </is>
      </c>
      <c r="G9" s="6" t="n"/>
      <c r="H9" s="7" t="n"/>
    </row>
    <row r="10" ht="15" customHeight="1">
      <c r="A10" s="9" t="inlineStr">
        <is>
          <t>Gap to Permanent Financing</t>
        </is>
      </c>
      <c r="B10" s="10" t="n">
        <v>1</v>
      </c>
      <c r="C10" s="9" t="inlineStr">
        <is>
          <t>months</t>
        </is>
      </c>
      <c r="G10" s="6" t="n"/>
      <c r="H10" s="7" t="n"/>
    </row>
    <row r="11" ht="15" customHeight="1">
      <c r="A11" s="9" t="inlineStr">
        <is>
          <t>Permanent Loan Term</t>
        </is>
      </c>
      <c r="B11" s="10" t="n">
        <v>60</v>
      </c>
      <c r="C11" s="9" t="inlineStr">
        <is>
          <t>months</t>
        </is>
      </c>
      <c r="G11" s="6" t="n"/>
      <c r="H11" s="7" t="n"/>
    </row>
    <row r="12" ht="15" customHeight="1">
      <c r="A12" s="9" t="inlineStr">
        <is>
          <t>Exit Timing (Post-Construction)</t>
        </is>
      </c>
      <c r="B12" s="10" t="n">
        <v>61</v>
      </c>
      <c r="C12" s="9" t="inlineStr">
        <is>
          <t>months</t>
        </is>
      </c>
      <c r="G12" s="6" t="n"/>
      <c r="H12" s="7" t="n"/>
    </row>
    <row r="13">
      <c r="G13" s="6" t="n"/>
      <c r="H13" s="7" t="n"/>
    </row>
    <row r="14" ht="15" customHeight="1">
      <c r="A14" s="4" t="inlineStr">
        <is>
          <t>CONSTRUCTION BUDGET</t>
        </is>
      </c>
      <c r="G14" s="6" t="n"/>
      <c r="H14" s="7" t="n"/>
    </row>
    <row r="15" ht="15" customHeight="1">
      <c r="A15" s="9" t="inlineStr">
        <is>
          <t>Land - Purchase Price</t>
        </is>
      </c>
      <c r="B15" s="12" t="n">
        <v>400000</v>
      </c>
      <c r="G15" s="6" t="n"/>
      <c r="H15" s="7" t="n"/>
    </row>
    <row r="16" ht="15" customHeight="1">
      <c r="A16" s="9" t="inlineStr">
        <is>
          <t>Land - Recognized Value</t>
        </is>
      </c>
      <c r="B16" s="12" t="n">
        <v>600000</v>
      </c>
      <c r="G16" s="6" t="n"/>
      <c r="H16" s="7" t="n"/>
    </row>
    <row r="17">
      <c r="A17" s="34" t="inlineStr">
        <is>
          <t>Assessed Property Value</t>
        </is>
      </c>
      <c r="B17" s="180" t="n">
        <v>15000000</v>
      </c>
      <c r="G17" s="6" t="n"/>
      <c r="H17" s="7" t="n"/>
    </row>
    <row r="18" ht="15" customHeight="1">
      <c r="A18" s="13" t="inlineStr">
        <is>
          <t>Hard Costs by Category</t>
        </is>
      </c>
      <c r="B18" s="14" t="inlineStr">
        <is>
          <t>Budget</t>
        </is>
      </c>
      <c r="C18" s="14" t="inlineStr">
        <is>
          <t>Phasing %</t>
        </is>
      </c>
      <c r="D18" s="14" t="inlineStr">
        <is>
          <t>Holdback %</t>
        </is>
      </c>
      <c r="E18" s="14" t="inlineStr">
        <is>
          <t>Release (mo)</t>
        </is>
      </c>
      <c r="G18" s="6" t="n"/>
      <c r="H18" s="7" t="n"/>
    </row>
    <row r="19" ht="15" customHeight="1">
      <c r="A19" s="9" t="inlineStr">
        <is>
          <t>Site Work &amp; Demolition</t>
        </is>
      </c>
      <c r="B19" s="12" t="n">
        <v>500000</v>
      </c>
      <c r="C19" s="10" t="inlineStr">
        <is>
          <t>Equal</t>
        </is>
      </c>
      <c r="D19" s="15" t="n">
        <v>0.1</v>
      </c>
      <c r="E19" s="10" t="n">
        <v>3</v>
      </c>
      <c r="G19" s="6" t="n"/>
      <c r="H19" s="7" t="n"/>
    </row>
    <row r="20" ht="15" customHeight="1">
      <c r="A20" s="9" t="inlineStr">
        <is>
          <t>Foundation &amp; Structure</t>
        </is>
      </c>
      <c r="B20" s="12" t="n">
        <v>3000000</v>
      </c>
      <c r="C20" s="10" t="inlineStr">
        <is>
          <t>Front-loaded</t>
        </is>
      </c>
      <c r="D20" s="15" t="n">
        <v>0.1</v>
      </c>
      <c r="E20" s="10" t="n">
        <v>2</v>
      </c>
      <c r="G20" s="6" t="n"/>
      <c r="H20" s="7" t="n"/>
    </row>
    <row r="21" ht="15" customHeight="1">
      <c r="A21" s="9" t="inlineStr">
        <is>
          <t>Building Envelope</t>
        </is>
      </c>
      <c r="B21" s="12" t="n">
        <v>2000000</v>
      </c>
      <c r="C21" s="10" t="inlineStr">
        <is>
          <t>Mid-weighted</t>
        </is>
      </c>
      <c r="D21" s="15" t="n">
        <v>0.1</v>
      </c>
      <c r="E21" s="10" t="n">
        <v>3</v>
      </c>
      <c r="G21" s="6" t="n"/>
      <c r="H21" s="7" t="n"/>
    </row>
    <row r="22" ht="15" customHeight="1">
      <c r="A22" s="9" t="inlineStr">
        <is>
          <t>MEP Systems</t>
        </is>
      </c>
      <c r="B22" s="12" t="n">
        <v>2500000</v>
      </c>
      <c r="C22" s="10" t="inlineStr">
        <is>
          <t>Mid-weighted</t>
        </is>
      </c>
      <c r="D22" s="15" t="n">
        <v>0.1</v>
      </c>
      <c r="E22" s="10" t="n">
        <v>4</v>
      </c>
      <c r="G22" s="6" t="n"/>
      <c r="H22" s="7" t="n"/>
    </row>
    <row r="23" ht="15" customHeight="1">
      <c r="A23" s="9" t="inlineStr">
        <is>
          <t>Interior Finishes</t>
        </is>
      </c>
      <c r="B23" s="12" t="n">
        <v>1500000</v>
      </c>
      <c r="C23" s="10" t="inlineStr">
        <is>
          <t>Back-loaded</t>
        </is>
      </c>
      <c r="D23" s="15" t="n">
        <v>0.1</v>
      </c>
      <c r="E23" s="10" t="n">
        <v>2</v>
      </c>
      <c r="G23" s="6" t="n"/>
      <c r="H23" s="7" t="n"/>
    </row>
    <row r="24" ht="15" customHeight="1">
      <c r="A24" s="9" t="inlineStr">
        <is>
          <t>Landscaping &amp; Site</t>
        </is>
      </c>
      <c r="B24" s="12" t="n">
        <v>300000</v>
      </c>
      <c r="C24" s="10" t="inlineStr">
        <is>
          <t>Back-loaded</t>
        </is>
      </c>
      <c r="D24" s="15" t="n">
        <v>0.1</v>
      </c>
      <c r="E24" s="10" t="n">
        <v>6</v>
      </c>
      <c r="G24" s="6" t="n"/>
      <c r="H24" s="7" t="n"/>
    </row>
    <row r="25" ht="15.75" customHeight="1">
      <c r="G25" s="6" t="n"/>
      <c r="H25" s="7" t="n"/>
    </row>
    <row r="26" ht="15" customHeight="1">
      <c r="A26" s="13" t="inlineStr">
        <is>
          <t>Soft Costs by Category</t>
        </is>
      </c>
      <c r="B26" s="14" t="inlineStr">
        <is>
          <t>Budget</t>
        </is>
      </c>
      <c r="C26" s="14" t="inlineStr">
        <is>
          <t>Holdback %</t>
        </is>
      </c>
      <c r="G26" s="6" t="n"/>
      <c r="H26" s="7" t="n"/>
    </row>
    <row r="27" ht="15" customHeight="1">
      <c r="A27" s="9" t="inlineStr">
        <is>
          <t>Architecture &amp; Engineering</t>
        </is>
      </c>
      <c r="B27" s="12" t="n">
        <v>400000</v>
      </c>
      <c r="C27" s="15" t="n">
        <v>0.1</v>
      </c>
      <c r="G27" s="6" t="n"/>
      <c r="H27" s="7" t="n"/>
    </row>
    <row r="28" ht="15" customHeight="1">
      <c r="A28" s="9" t="inlineStr">
        <is>
          <t>Permits &amp; Approvals</t>
        </is>
      </c>
      <c r="B28" s="12" t="n">
        <v>150000</v>
      </c>
      <c r="C28" s="15" t="n">
        <v>0</v>
      </c>
      <c r="G28" s="6" t="n"/>
      <c r="H28" s="7" t="n"/>
    </row>
    <row r="29" ht="15" customHeight="1">
      <c r="A29" s="9" t="inlineStr">
        <is>
          <t>Legal &amp; Financing Fees</t>
        </is>
      </c>
      <c r="B29" s="12" t="n">
        <v>200000</v>
      </c>
      <c r="C29" s="15" t="n">
        <v>0</v>
      </c>
      <c r="G29" s="6" t="n"/>
      <c r="H29" s="7" t="n"/>
    </row>
    <row r="30" ht="15" customHeight="1">
      <c r="A30" s="9" t="inlineStr">
        <is>
          <t>Development Management</t>
        </is>
      </c>
      <c r="B30" s="12" t="n">
        <v>300000</v>
      </c>
      <c r="C30" s="15" t="n">
        <v>0.1</v>
      </c>
      <c r="G30" s="6" t="n"/>
      <c r="H30" s="7" t="n"/>
    </row>
    <row r="31" ht="15" customHeight="1">
      <c r="A31" s="9" t="inlineStr">
        <is>
          <t>Marketing &amp; Leasing</t>
        </is>
      </c>
      <c r="B31" s="12" t="n">
        <v>100000</v>
      </c>
      <c r="C31" s="15" t="n">
        <v>0</v>
      </c>
      <c r="G31" s="6" t="n"/>
      <c r="H31" s="7" t="n"/>
    </row>
    <row r="32" ht="15.75" customHeight="1">
      <c r="G32" s="6" t="n"/>
      <c r="H32" s="7" t="n"/>
    </row>
    <row r="33" ht="15" customHeight="1">
      <c r="A33" s="9" t="inlineStr">
        <is>
          <t>Contingency</t>
        </is>
      </c>
      <c r="B33" s="12" t="n">
        <v>500000</v>
      </c>
      <c r="G33" s="6" t="n"/>
      <c r="H33" s="7" t="n"/>
    </row>
    <row r="34" ht="15.75" customHeight="1">
      <c r="G34" s="6" t="n"/>
      <c r="H34" s="7" t="n"/>
    </row>
    <row r="35" ht="15.75" customHeight="1">
      <c r="A35" s="4" t="inlineStr">
        <is>
          <t>CONSTRUCTION FINANCING - SENIOR LOAN</t>
        </is>
      </c>
      <c r="G35" s="6" t="n"/>
      <c r="H35" s="7" t="n"/>
    </row>
    <row r="36" ht="15" customHeight="1">
      <c r="A36" s="9" t="inlineStr">
        <is>
          <t>Loan-to-Cost (LTC) %</t>
        </is>
      </c>
      <c r="B36" s="15" t="n">
        <v>0.7719</v>
      </c>
      <c r="C36" s="9" t="inlineStr">
        <is>
          <t>%</t>
        </is>
      </c>
      <c r="G36" s="16">
        <f>'Sources &amp; Uses - Construction'!A4</f>
        <v/>
      </c>
      <c r="H36" s="17">
        <f>'Sources &amp; Uses - Construction'!B4</f>
        <v/>
      </c>
    </row>
    <row r="37" ht="15" customHeight="1">
      <c r="A37" s="9" t="inlineStr">
        <is>
          <t>Interest Rate (Annual)</t>
        </is>
      </c>
      <c r="B37" s="18" t="n">
        <v>0.0495</v>
      </c>
      <c r="C37" s="9" t="inlineStr">
        <is>
          <t>%</t>
        </is>
      </c>
      <c r="G37" s="19">
        <f>'Sources &amp; Uses - Construction'!A5</f>
        <v/>
      </c>
      <c r="H37" s="20">
        <f>'Sources &amp; Uses - Construction'!B5</f>
        <v/>
      </c>
    </row>
    <row r="38" ht="15" customHeight="1">
      <c r="A38" s="9" t="inlineStr">
        <is>
          <t>Commitment Fee</t>
        </is>
      </c>
      <c r="B38" s="18" t="n">
        <v>0.001</v>
      </c>
      <c r="C38" s="9" t="inlineStr">
        <is>
          <t>%</t>
        </is>
      </c>
      <c r="G38" s="19">
        <f>'Sources &amp; Uses - Construction'!A6</f>
        <v/>
      </c>
      <c r="H38" s="20">
        <f>'Sources &amp; Uses - Construction'!B6</f>
        <v/>
      </c>
    </row>
    <row r="39" ht="15" customHeight="1">
      <c r="A39" s="9" t="inlineStr">
        <is>
          <t>Loan Amount</t>
        </is>
      </c>
      <c r="B39" s="12" t="n">
        <v>33627000</v>
      </c>
      <c r="C39" s="9" t="inlineStr">
        <is>
          <t>%</t>
        </is>
      </c>
      <c r="G39" s="19">
        <f>'Sources &amp; Uses - Construction'!A7</f>
        <v/>
      </c>
      <c r="H39" s="20">
        <f>'Sources &amp; Uses - Construction'!B7</f>
        <v/>
      </c>
    </row>
    <row r="40" ht="15" customHeight="1">
      <c r="A40" s="4" t="inlineStr">
        <is>
          <t>SUBORDINATED LOAN #1 - PREFERRED EQUITY</t>
        </is>
      </c>
      <c r="G40" s="19">
        <f>'Sources &amp; Uses - Construction'!A8</f>
        <v/>
      </c>
      <c r="H40" s="20">
        <f>'Sources &amp; Uses - Construction'!B8</f>
        <v/>
      </c>
    </row>
    <row r="41" ht="15" customHeight="1">
      <c r="A41" s="9" t="inlineStr">
        <is>
          <t>Loan Amount</t>
        </is>
      </c>
      <c r="B41" s="12" t="n">
        <v>0</v>
      </c>
      <c r="G41" s="19">
        <f>'Sources &amp; Uses - Construction'!A9</f>
        <v/>
      </c>
      <c r="H41" s="20">
        <f>'Sources &amp; Uses - Construction'!B9</f>
        <v/>
      </c>
    </row>
    <row r="42" ht="15" customHeight="1">
      <c r="A42" s="9" t="inlineStr">
        <is>
          <t>Interest Rate (Annual)</t>
        </is>
      </c>
      <c r="B42" s="18" t="n">
        <v>0.08</v>
      </c>
      <c r="C42" s="9" t="inlineStr">
        <is>
          <t>%</t>
        </is>
      </c>
      <c r="G42" s="19">
        <f>'Sources &amp; Uses - Construction'!A10</f>
        <v/>
      </c>
      <c r="H42" s="20">
        <f>'Sources &amp; Uses - Construction'!B10</f>
        <v/>
      </c>
    </row>
    <row r="43" ht="15" customHeight="1">
      <c r="A43" s="9" t="inlineStr">
        <is>
          <t>Commitment Fee</t>
        </is>
      </c>
      <c r="B43" s="18" t="n">
        <v>0.001</v>
      </c>
      <c r="C43" s="9" t="inlineStr">
        <is>
          <t>%</t>
        </is>
      </c>
      <c r="G43" s="19">
        <f>'Sources &amp; Uses - Construction'!A11</f>
        <v/>
      </c>
      <c r="H43" s="20">
        <f>'Sources &amp; Uses - Construction'!B11</f>
        <v/>
      </c>
    </row>
    <row r="44" ht="15" customHeight="1">
      <c r="A44" s="9" t="inlineStr">
        <is>
          <t>Draw Priority</t>
        </is>
      </c>
      <c r="B44" s="10" t="n">
        <v>1</v>
      </c>
      <c r="G44" s="19">
        <f>'Sources &amp; Uses - Construction'!A12</f>
        <v/>
      </c>
      <c r="H44" s="20">
        <f>'Sources &amp; Uses - Construction'!B12</f>
        <v/>
      </c>
    </row>
    <row r="45" ht="15.75" customHeight="1">
      <c r="G45" s="21">
        <f>'Sources &amp; Uses - Construction'!A13</f>
        <v/>
      </c>
      <c r="H45" s="22">
        <f>'Sources &amp; Uses - Construction'!B13</f>
        <v/>
      </c>
    </row>
    <row r="46" ht="15" customHeight="1">
      <c r="A46" s="4" t="inlineStr">
        <is>
          <t>SUBORDINATED LOAN #2 - MEZZANINE</t>
        </is>
      </c>
      <c r="G46" s="19">
        <f>'Sources &amp; Uses - Construction'!A14</f>
        <v/>
      </c>
      <c r="H46" s="20">
        <f>'Sources &amp; Uses - Construction'!B14</f>
        <v/>
      </c>
    </row>
    <row r="47" ht="15.75" customHeight="1">
      <c r="A47" s="9" t="inlineStr">
        <is>
          <t>Loan Amount</t>
        </is>
      </c>
      <c r="B47" s="12" t="n">
        <v>0</v>
      </c>
      <c r="G47" s="19">
        <f>'Sources &amp; Uses - Construction'!A15</f>
        <v/>
      </c>
      <c r="H47" s="20">
        <f>'Sources &amp; Uses - Construction'!B15</f>
        <v/>
      </c>
    </row>
    <row r="48" ht="15" customHeight="1">
      <c r="A48" s="9" t="inlineStr">
        <is>
          <t>Interest Rate (Annual)</t>
        </is>
      </c>
      <c r="B48" s="18" t="n">
        <v>0.1</v>
      </c>
      <c r="C48" s="9" t="inlineStr">
        <is>
          <t>%</t>
        </is>
      </c>
      <c r="G48" s="16">
        <f>'Sources &amp; Uses - Construction'!A16</f>
        <v/>
      </c>
      <c r="H48" s="17">
        <f>'Sources &amp; Uses - Construction'!B16</f>
        <v/>
      </c>
    </row>
    <row r="49" ht="15" customHeight="1">
      <c r="A49" s="9" t="inlineStr">
        <is>
          <t>Commitment Fee</t>
        </is>
      </c>
      <c r="B49" s="18" t="n">
        <v>0.001</v>
      </c>
      <c r="C49" s="9" t="inlineStr">
        <is>
          <t>%</t>
        </is>
      </c>
      <c r="G49" s="19">
        <f>'Sources &amp; Uses - Construction'!A17</f>
        <v/>
      </c>
      <c r="H49" s="20">
        <f>'Sources &amp; Uses - Construction'!B17</f>
        <v/>
      </c>
    </row>
    <row r="50" ht="15" customHeight="1">
      <c r="A50" s="9" t="inlineStr">
        <is>
          <t>Draw Priority</t>
        </is>
      </c>
      <c r="B50" s="10" t="n">
        <v>2</v>
      </c>
      <c r="G50" s="19">
        <f>'Sources &amp; Uses - Construction'!A18</f>
        <v/>
      </c>
      <c r="H50" s="20">
        <f>'Sources &amp; Uses - Construction'!B18</f>
        <v/>
      </c>
    </row>
    <row r="51" ht="15" customHeight="1">
      <c r="G51" s="19">
        <f>'Sources &amp; Uses - Construction'!A19</f>
        <v/>
      </c>
      <c r="H51" s="20">
        <f>'Sources &amp; Uses - Construction'!B19</f>
        <v/>
      </c>
    </row>
    <row r="52" ht="15" customHeight="1">
      <c r="A52" s="4" t="inlineStr">
        <is>
          <t>GST/QST</t>
        </is>
      </c>
      <c r="G52" s="19">
        <f>'Sources &amp; Uses - Construction'!A20</f>
        <v/>
      </c>
      <c r="H52" s="20">
        <f>'Sources &amp; Uses - Construction'!B20</f>
        <v/>
      </c>
    </row>
    <row r="53" ht="15" customHeight="1">
      <c r="A53" s="23" t="inlineStr">
        <is>
          <t>CASH MANAGEMENT</t>
        </is>
      </c>
      <c r="B53" s="18" t="n">
        <v>0.05</v>
      </c>
      <c r="C53" s="9" t="inlineStr">
        <is>
          <t>%</t>
        </is>
      </c>
      <c r="G53" s="19">
        <f>'Sources &amp; Uses - Construction'!A21</f>
        <v/>
      </c>
      <c r="H53" s="20">
        <f>'Sources &amp; Uses - Construction'!B21</f>
        <v/>
      </c>
    </row>
    <row r="54" ht="15" customHeight="1">
      <c r="A54" s="9" t="inlineStr">
        <is>
          <t>Minimum Cash Balance</t>
        </is>
      </c>
      <c r="B54" s="24" t="n">
        <v>100000</v>
      </c>
      <c r="C54" s="25" t="inlineStr">
        <is>
          <t>Target minimum cash to maintain</t>
        </is>
      </c>
      <c r="G54" s="19">
        <f>'Sources &amp; Uses - Construction'!A22</f>
        <v/>
      </c>
      <c r="H54" s="20">
        <f>'Sources &amp; Uses - Construction'!B22</f>
        <v/>
      </c>
    </row>
    <row r="55" ht="15" customHeight="1">
      <c r="A55" s="9" t="inlineStr">
        <is>
          <t>Sales Tax LOC Limit</t>
        </is>
      </c>
      <c r="B55" s="24" t="n">
        <v>750000</v>
      </c>
      <c r="C55" s="25" t="inlineStr">
        <is>
          <t>Maximum Sales Tax LOC</t>
        </is>
      </c>
      <c r="G55" s="19">
        <f>'Sources &amp; Uses - Construction'!A23</f>
        <v/>
      </c>
      <c r="H55" s="20">
        <f>'Sources &amp; Uses - Construction'!B23</f>
        <v/>
      </c>
    </row>
    <row r="56" ht="15" customHeight="1">
      <c r="A56" s="9" t="inlineStr">
        <is>
          <t>GST/QST LOC Facility Size</t>
        </is>
      </c>
      <c r="B56" s="12" t="n">
        <v>750000</v>
      </c>
      <c r="G56" s="19">
        <f>'Sources &amp; Uses - Construction'!A24</f>
        <v/>
      </c>
      <c r="H56" s="20">
        <f>'Sources &amp; Uses - Construction'!B24</f>
        <v/>
      </c>
    </row>
    <row r="57" ht="15" customHeight="1">
      <c r="G57" s="19">
        <f>'Sources &amp; Uses - Construction'!A25</f>
        <v/>
      </c>
      <c r="H57" s="20">
        <f>'Sources &amp; Uses - Construction'!B25</f>
        <v/>
      </c>
    </row>
    <row r="58" ht="15" customHeight="1">
      <c r="A58" s="4" t="inlineStr">
        <is>
          <t>PERMANENT FINANCING</t>
        </is>
      </c>
      <c r="G58" s="19">
        <f>'Sources &amp; Uses - Construction'!A26</f>
        <v/>
      </c>
      <c r="H58" s="20">
        <f>'Sources &amp; Uses - Construction'!B26</f>
        <v/>
      </c>
    </row>
    <row r="59" ht="15" customHeight="1">
      <c r="A59" s="26" t="inlineStr">
        <is>
          <t>Permanent Loan Amount</t>
        </is>
      </c>
      <c r="B59" s="27" t="n">
        <v>19000000</v>
      </c>
      <c r="C59" s="26" t="inlineStr">
        <is>
          <t>$</t>
        </is>
      </c>
      <c r="G59" s="19">
        <f>'Sources &amp; Uses - Construction'!A27</f>
        <v/>
      </c>
      <c r="H59" s="20">
        <f>'Sources &amp; Uses - Construction'!B27</f>
        <v/>
      </c>
    </row>
    <row r="60" ht="15" customHeight="1">
      <c r="A60" s="9" t="inlineStr">
        <is>
          <t>CMB Rate</t>
        </is>
      </c>
      <c r="B60" s="18" t="n">
        <v>0.0329</v>
      </c>
      <c r="C60" s="9" t="inlineStr">
        <is>
          <t>%</t>
        </is>
      </c>
      <c r="G60" s="19">
        <f>'Sources &amp; Uses - Construction'!A28</f>
        <v/>
      </c>
      <c r="H60" s="20">
        <f>'Sources &amp; Uses - Construction'!B28</f>
        <v/>
      </c>
    </row>
    <row r="61" ht="15" customHeight="1">
      <c r="A61" s="9" t="inlineStr">
        <is>
          <t>Markup</t>
        </is>
      </c>
      <c r="B61" s="18" t="n">
        <v>0.0045</v>
      </c>
      <c r="C61" s="9" t="inlineStr">
        <is>
          <t>%</t>
        </is>
      </c>
      <c r="G61" s="19">
        <f>'Sources &amp; Uses - Construction'!A29</f>
        <v/>
      </c>
      <c r="H61" s="20">
        <f>'Sources &amp; Uses - Construction'!B29</f>
        <v/>
      </c>
    </row>
    <row r="62" ht="15.75" customHeight="1">
      <c r="A62" s="9" t="inlineStr">
        <is>
          <t>Contingency</t>
        </is>
      </c>
      <c r="B62" s="18" t="n">
        <v>0</v>
      </c>
      <c r="C62" s="9" t="inlineStr">
        <is>
          <t>%</t>
        </is>
      </c>
      <c r="G62" s="21">
        <f>'Sources &amp; Uses - Construction'!A30</f>
        <v/>
      </c>
      <c r="H62" s="22">
        <f>'Sources &amp; Uses - Construction'!B30</f>
        <v/>
      </c>
    </row>
    <row r="63" ht="15" customHeight="1">
      <c r="A63" s="9" t="inlineStr">
        <is>
          <t>Total Interest Rate</t>
        </is>
      </c>
      <c r="B63" s="18" t="n">
        <v>0.0374</v>
      </c>
      <c r="C63" s="9" t="inlineStr">
        <is>
          <t>%</t>
        </is>
      </c>
      <c r="G63" s="19">
        <f>'Sources &amp; Uses - Construction'!A31</f>
        <v/>
      </c>
      <c r="H63" s="20">
        <f>'Sources &amp; Uses - Construction'!B31</f>
        <v/>
      </c>
    </row>
    <row r="64" ht="15" customHeight="1">
      <c r="A64" s="9" t="inlineStr">
        <is>
          <t>Amortization Period</t>
        </is>
      </c>
      <c r="B64" s="10" t="n">
        <v>50</v>
      </c>
      <c r="C64" s="9" t="inlineStr">
        <is>
          <t>years</t>
        </is>
      </c>
      <c r="G64" s="19">
        <f>'Sources &amp; Uses - Construction'!A32</f>
        <v/>
      </c>
      <c r="H64" s="20">
        <f>'Sources &amp; Uses - Construction'!B32</f>
        <v/>
      </c>
    </row>
    <row r="65" ht="15" customHeight="1">
      <c r="A65" s="9" t="inlineStr">
        <is>
          <t>DSCR Covenant Minimum</t>
        </is>
      </c>
      <c r="B65" s="28" t="n">
        <v>1.1</v>
      </c>
      <c r="C65" s="9" t="inlineStr">
        <is>
          <t>x</t>
        </is>
      </c>
      <c r="G65" s="19">
        <f>'Sources &amp; Uses - Construction'!A33</f>
        <v/>
      </c>
      <c r="H65" s="20">
        <f>'Sources &amp; Uses - Construction'!B33</f>
        <v/>
      </c>
    </row>
    <row r="66" ht="15" customHeight="1">
      <c r="G66" s="19">
        <f>'Sources &amp; Uses - Construction'!A34</f>
        <v/>
      </c>
      <c r="H66" s="20">
        <f>'Sources &amp; Uses - Construction'!B34</f>
        <v/>
      </c>
    </row>
    <row r="67" ht="15" customHeight="1">
      <c r="A67" s="4" t="inlineStr">
        <is>
          <t>EQUITY</t>
        </is>
      </c>
      <c r="G67" s="19">
        <f>'Sources &amp; Uses - Construction'!A35</f>
        <v/>
      </c>
      <c r="H67" s="20">
        <f>'Sources &amp; Uses - Construction'!B35</f>
        <v/>
      </c>
    </row>
    <row r="68" ht="15" customHeight="1">
      <c r="A68" s="9" t="inlineStr">
        <is>
          <t>Class E (LP) Total Commitment</t>
        </is>
      </c>
      <c r="B68" s="29" t="n">
        <v>2800000</v>
      </c>
      <c r="G68" s="19">
        <f>'Sources &amp; Uses - Construction'!A36</f>
        <v/>
      </c>
      <c r="H68" s="20">
        <f>'Sources &amp; Uses - Construction'!B36</f>
        <v/>
      </c>
    </row>
    <row r="69" ht="15.75" customHeight="1">
      <c r="A69" s="9" t="inlineStr">
        <is>
          <t>Class A (GP) Land Contribution</t>
        </is>
      </c>
      <c r="B69" s="30" t="n">
        <v>0</v>
      </c>
      <c r="C69" s="9" t="inlineStr">
        <is>
          <t>(recognized value)</t>
        </is>
      </c>
      <c r="G69" s="21">
        <f>'Sources &amp; Uses - Construction'!A37</f>
        <v/>
      </c>
      <c r="H69" s="22">
        <f>'Sources &amp; Uses - Construction'!B37</f>
        <v/>
      </c>
    </row>
    <row r="70" ht="15" customHeight="1">
      <c r="A70" s="9" t="inlineStr">
        <is>
          <t>Preferred Return % (Annual)</t>
        </is>
      </c>
      <c r="B70" s="31" t="n">
        <v>0</v>
      </c>
      <c r="C70" s="9" t="inlineStr">
        <is>
          <t>%</t>
        </is>
      </c>
      <c r="G70" s="6" t="n"/>
      <c r="H70" s="7" t="n"/>
    </row>
    <row r="71" ht="15.75" customHeight="1">
      <c r="G71" s="6" t="n"/>
      <c r="H71" s="7" t="n"/>
    </row>
    <row r="72" ht="15" customHeight="1">
      <c r="A72" s="4" t="inlineStr">
        <is>
          <t>REVENUE ASSUMPTIONS</t>
        </is>
      </c>
      <c r="G72" s="6" t="n"/>
      <c r="H72" s="7" t="n"/>
    </row>
    <row r="73" ht="15" customHeight="1">
      <c r="A73" s="9" t="inlineStr">
        <is>
          <t>Total Parking Spaces</t>
        </is>
      </c>
      <c r="B73" s="10" t="n">
        <v>47</v>
      </c>
      <c r="G73" s="6" t="n"/>
      <c r="H73" s="7" t="n"/>
    </row>
    <row r="74" ht="15" customHeight="1">
      <c r="A74" s="9" t="inlineStr">
        <is>
          <t>Revenue-Generating Parking Spaces</t>
        </is>
      </c>
      <c r="B74" s="10" t="n">
        <v>47</v>
      </c>
      <c r="G74" s="6" t="n"/>
      <c r="H74" s="7" t="n"/>
    </row>
    <row r="75" ht="15" customHeight="1">
      <c r="A75" s="9" t="inlineStr">
        <is>
          <t>Parking Rate</t>
        </is>
      </c>
      <c r="B75" s="12" t="n">
        <v>75</v>
      </c>
      <c r="C75" s="9" t="inlineStr">
        <is>
          <t>$/month</t>
        </is>
      </c>
      <c r="G75" s="6" t="n"/>
      <c r="H75" s="7" t="n"/>
    </row>
    <row r="76" ht="15" customHeight="1">
      <c r="A76" s="9" t="inlineStr">
        <is>
          <t>Internet Rate per Unit</t>
        </is>
      </c>
      <c r="B76" s="12" t="n">
        <v>50</v>
      </c>
      <c r="C76" s="9" t="inlineStr">
        <is>
          <t>$/month</t>
        </is>
      </c>
      <c r="G76" s="6" t="n"/>
      <c r="H76" s="7" t="n"/>
    </row>
    <row r="77" ht="15" customHeight="1">
      <c r="A77" s="9" t="inlineStr">
        <is>
          <t>EV Charging Stations</t>
        </is>
      </c>
      <c r="B77" s="10" t="n">
        <v>50</v>
      </c>
      <c r="G77" s="6" t="n"/>
      <c r="H77" s="7" t="n"/>
    </row>
    <row r="78" ht="15" customHeight="1">
      <c r="A78" s="9" t="inlineStr">
        <is>
          <t>EV Charging Rate</t>
        </is>
      </c>
      <c r="B78" s="12" t="n">
        <v>38</v>
      </c>
      <c r="C78" s="9" t="inlineStr">
        <is>
          <t>$/month</t>
        </is>
      </c>
      <c r="G78" s="6" t="n"/>
      <c r="H78" s="7" t="n"/>
    </row>
    <row r="79" ht="15" customHeight="1">
      <c r="A79" s="9" t="inlineStr">
        <is>
          <t>Annual Revenue Growth</t>
        </is>
      </c>
      <c r="B79" s="15" t="n">
        <v>0.02</v>
      </c>
      <c r="C79" s="9" t="inlineStr">
        <is>
          <t>%</t>
        </is>
      </c>
      <c r="G79" s="6" t="n"/>
      <c r="H79" s="7" t="n"/>
    </row>
    <row r="80" ht="15" customHeight="1">
      <c r="A80" s="9" t="inlineStr">
        <is>
          <t>Lease-Up Lag (Months)</t>
        </is>
      </c>
      <c r="B80" s="10" t="n">
        <v>2</v>
      </c>
      <c r="C80" s="9" t="inlineStr">
        <is>
          <t>months</t>
        </is>
      </c>
      <c r="G80" s="6" t="n"/>
      <c r="H80" s="7" t="n"/>
    </row>
    <row r="81" ht="15" customHeight="1">
      <c r="A81" s="9" t="inlineStr">
        <is>
          <t>Stabilized Vacancy %</t>
        </is>
      </c>
      <c r="B81" s="15" t="n">
        <v>0.06</v>
      </c>
      <c r="C81" s="9" t="inlineStr">
        <is>
          <t>%</t>
        </is>
      </c>
      <c r="G81" s="6" t="n"/>
      <c r="H81" s="7" t="n"/>
    </row>
    <row r="82" ht="15" customHeight="1">
      <c r="A82" s="26" t="inlineStr">
        <is>
          <t>Service Revenue Escalation</t>
        </is>
      </c>
      <c r="B82" s="32" t="n">
        <v>0.015</v>
      </c>
      <c r="C82" s="26" t="inlineStr">
        <is>
          <t>%</t>
        </is>
      </c>
      <c r="G82" s="6" t="n"/>
      <c r="H82" s="7" t="n"/>
    </row>
    <row r="83" ht="15" customHeight="1">
      <c r="A83" s="4" t="inlineStr">
        <is>
          <t>OPERATING EXPENSES</t>
        </is>
      </c>
      <c r="G83" s="6" t="n"/>
      <c r="H83" s="7" t="n"/>
    </row>
    <row r="84" ht="15" customHeight="1">
      <c r="A84" s="9" t="inlineStr">
        <is>
          <t>Municipal Tax - Mill Rate</t>
        </is>
      </c>
      <c r="B84" s="18" t="n">
        <v>0.0075</v>
      </c>
      <c r="C84" s="9" t="inlineStr">
        <is>
          <t>%</t>
        </is>
      </c>
      <c r="G84" s="6" t="n"/>
      <c r="H84" s="7" t="n"/>
    </row>
    <row r="85" ht="15" customHeight="1">
      <c r="A85" s="9" t="inlineStr">
        <is>
          <t>School Tax - Mill Rate</t>
        </is>
      </c>
      <c r="B85" s="33" t="n">
        <v>0.00156</v>
      </c>
      <c r="C85" s="9" t="inlineStr">
        <is>
          <t>%</t>
        </is>
      </c>
      <c r="G85" s="6" t="n"/>
      <c r="H85" s="7" t="n"/>
    </row>
    <row r="86" ht="15" customHeight="1">
      <c r="A86" s="9" t="inlineStr">
        <is>
          <t>Tax Start Delay (Post-Construction)</t>
        </is>
      </c>
      <c r="B86" s="10" t="n">
        <v>0</v>
      </c>
      <c r="C86" s="9" t="inlineStr">
        <is>
          <t>months</t>
        </is>
      </c>
      <c r="G86" s="6" t="n"/>
      <c r="H86" s="7" t="n"/>
    </row>
    <row r="87" ht="15" customHeight="1">
      <c r="A87" s="26" t="inlineStr">
        <is>
          <t>Tax Assessment Escalation</t>
        </is>
      </c>
      <c r="B87" s="32" t="n">
        <v>0</v>
      </c>
      <c r="C87" s="26" t="inlineStr">
        <is>
          <t>%</t>
        </is>
      </c>
      <c r="G87" s="6" t="n"/>
      <c r="H87" s="7" t="n"/>
    </row>
    <row r="88" ht="15" customHeight="1">
      <c r="A88" s="13" t="inlineStr">
        <is>
          <t>Operating Expense Line Items</t>
        </is>
      </c>
      <c r="B88" s="14" t="inlineStr">
        <is>
          <t>Annual Amount</t>
        </is>
      </c>
      <c r="C88" s="14" t="inlineStr">
        <is>
          <t>Escalation %</t>
        </is>
      </c>
      <c r="G88" s="6" t="n"/>
      <c r="H88" s="7" t="n"/>
    </row>
    <row r="89" ht="15" customHeight="1">
      <c r="A89" s="9" t="inlineStr">
        <is>
          <t>Insurance</t>
        </is>
      </c>
      <c r="B89" s="12" t="n">
        <v>16989</v>
      </c>
      <c r="C89" s="15" t="n">
        <v>0.01</v>
      </c>
      <c r="G89" s="6" t="n"/>
      <c r="H89" s="7" t="n"/>
    </row>
    <row r="90" ht="15" customHeight="1">
      <c r="A90" s="9" t="inlineStr">
        <is>
          <t>Repairs &amp; Maintenance</t>
        </is>
      </c>
      <c r="B90" s="12" t="n">
        <v>38400</v>
      </c>
      <c r="C90" s="15" t="n">
        <v>0.01</v>
      </c>
      <c r="G90" s="6" t="n"/>
      <c r="H90" s="7" t="n"/>
    </row>
    <row r="91" ht="15" customHeight="1">
      <c r="A91" s="9" t="inlineStr">
        <is>
          <t>Outdoor Amenities Maintenance</t>
        </is>
      </c>
      <c r="B91" s="12" t="n">
        <v>2000</v>
      </c>
      <c r="C91" s="15" t="n">
        <v>0.01</v>
      </c>
      <c r="G91" s="6" t="n"/>
      <c r="H91" s="7" t="n"/>
    </row>
    <row r="92" ht="15" customHeight="1">
      <c r="A92" s="9" t="inlineStr">
        <is>
          <t>Snow Removal, Grass, Garbage</t>
        </is>
      </c>
      <c r="B92" s="12" t="n">
        <v>23000</v>
      </c>
      <c r="C92" s="15" t="n">
        <v>0.01</v>
      </c>
      <c r="G92" s="6" t="n"/>
      <c r="H92" s="7" t="n"/>
    </row>
    <row r="93" ht="15" customHeight="1">
      <c r="A93" s="9" t="inlineStr">
        <is>
          <t>Janitor</t>
        </is>
      </c>
      <c r="B93" s="12" t="n">
        <v>23000</v>
      </c>
      <c r="C93" s="15" t="n">
        <v>0.01</v>
      </c>
      <c r="G93" s="6" t="n"/>
      <c r="H93" s="7" t="n"/>
    </row>
    <row r="94" ht="15" customHeight="1">
      <c r="A94" s="9" t="inlineStr">
        <is>
          <t>Cleaning Reserve on Turnover</t>
        </is>
      </c>
      <c r="B94" s="12" t="n">
        <v>7650</v>
      </c>
      <c r="C94" s="15" t="n">
        <v>0.01</v>
      </c>
      <c r="G94" s="6" t="n"/>
      <c r="H94" s="7" t="n"/>
    </row>
    <row r="95" ht="15" customHeight="1">
      <c r="A95" s="9" t="inlineStr">
        <is>
          <t>Security &amp; Monitoring</t>
        </is>
      </c>
      <c r="B95" s="12" t="n">
        <v>9000</v>
      </c>
      <c r="C95" s="15" t="n">
        <v>0.01</v>
      </c>
      <c r="G95" s="6" t="n"/>
      <c r="H95" s="7" t="n"/>
    </row>
    <row r="96" ht="15" customHeight="1">
      <c r="A96" s="9" t="inlineStr">
        <is>
          <t>Internet</t>
        </is>
      </c>
      <c r="B96" s="12" t="n">
        <v>20000</v>
      </c>
      <c r="C96" s="15" t="n">
        <v>0.01</v>
      </c>
      <c r="G96" s="6" t="n"/>
      <c r="H96" s="7" t="n"/>
    </row>
    <row r="97" ht="15" customHeight="1">
      <c r="A97" s="9" t="inlineStr">
        <is>
          <t>EV Charging Stations</t>
        </is>
      </c>
      <c r="B97" s="12" t="n">
        <v>5000</v>
      </c>
      <c r="C97" s="15" t="n">
        <v>0.01</v>
      </c>
      <c r="G97" s="6" t="n"/>
      <c r="H97" s="7" t="n"/>
    </row>
    <row r="98" ht="15" customHeight="1">
      <c r="A98" s="9" t="inlineStr">
        <is>
          <t>Electricity (Common)</t>
        </is>
      </c>
      <c r="B98" s="12" t="n">
        <v>12200</v>
      </c>
      <c r="C98" s="15" t="n">
        <v>0.01</v>
      </c>
      <c r="G98" s="6" t="n"/>
      <c r="H98" s="7" t="n"/>
    </row>
    <row r="99" ht="15" customHeight="1">
      <c r="A99" s="9" t="inlineStr">
        <is>
          <t>Administration (% of EGI)</t>
        </is>
      </c>
      <c r="B99" s="15" t="n">
        <v>0.03</v>
      </c>
      <c r="C99" s="15" t="n">
        <v>0</v>
      </c>
      <c r="G99" s="6" t="n"/>
      <c r="H99" s="7" t="n"/>
    </row>
    <row r="100" ht="15.75" customHeight="1">
      <c r="G100" s="6" t="n"/>
      <c r="H100" s="7" t="n"/>
    </row>
    <row r="101" ht="15" customHeight="1">
      <c r="A101" s="4" t="inlineStr">
        <is>
          <t>RESERVES</t>
        </is>
      </c>
      <c r="D101" s="34" t="inlineStr">
        <is>
          <t>Escalation %</t>
        </is>
      </c>
      <c r="G101" s="6" t="n"/>
      <c r="H101" s="7" t="n"/>
    </row>
    <row r="102" ht="15" customHeight="1">
      <c r="A102" s="9" t="inlineStr">
        <is>
          <t>Appliance/Furniture Reserve</t>
        </is>
      </c>
      <c r="B102" s="12" t="n">
        <v>700</v>
      </c>
      <c r="C102" s="9" t="inlineStr">
        <is>
          <t>$/unit/year</t>
        </is>
      </c>
      <c r="D102" s="32" t="n">
        <v>0.01</v>
      </c>
      <c r="G102" s="6" t="n"/>
      <c r="H102" s="7" t="n"/>
    </row>
    <row r="103" ht="15" customHeight="1">
      <c r="A103" s="9" t="inlineStr">
        <is>
          <t>Structural Reserve</t>
        </is>
      </c>
      <c r="B103" s="15" t="n">
        <v>0.0075</v>
      </c>
      <c r="C103" s="9" t="inlineStr">
        <is>
          <t>% of EGI</t>
        </is>
      </c>
      <c r="D103" s="32" t="n">
        <v>0.01</v>
      </c>
      <c r="G103" s="6" t="n"/>
      <c r="H103" s="7" t="n"/>
    </row>
    <row r="104" ht="15.75" customHeight="1">
      <c r="G104" s="6" t="n"/>
      <c r="H104" s="7" t="n"/>
    </row>
    <row r="105" ht="15" customHeight="1">
      <c r="A105" s="4" t="inlineStr">
        <is>
          <t>DISTRIBUTIONS</t>
        </is>
      </c>
      <c r="G105" s="6" t="n"/>
      <c r="H105" s="7" t="n"/>
    </row>
    <row r="106" ht="15" customHeight="1">
      <c r="A106" s="9" t="inlineStr">
        <is>
          <t>Minimum Cash Balance</t>
        </is>
      </c>
      <c r="B106" s="12" t="n">
        <v>100000</v>
      </c>
      <c r="G106" s="6" t="n"/>
      <c r="H106" s="7" t="n"/>
    </row>
    <row r="107" ht="15" customHeight="1">
      <c r="A107" s="9" t="inlineStr">
        <is>
          <t>Distribution Frequency</t>
        </is>
      </c>
      <c r="B107" s="10" t="inlineStr">
        <is>
          <t>Quarterly</t>
        </is>
      </c>
      <c r="G107" s="6" t="n"/>
      <c r="H107" s="7" t="n"/>
    </row>
    <row r="108" ht="15.75" customHeight="1">
      <c r="G108" s="6" t="n"/>
      <c r="H108" s="7" t="n"/>
    </row>
    <row r="109" ht="15" customHeight="1">
      <c r="A109" s="13" t="inlineStr">
        <is>
          <t>Waterfall Structure</t>
        </is>
      </c>
      <c r="G109" s="6" t="n"/>
      <c r="H109" s="7" t="n"/>
    </row>
    <row r="110" ht="15" customHeight="1">
      <c r="A110" s="9" t="inlineStr">
        <is>
          <t xml:space="preserve">  Tier 1: Preferred Return %</t>
        </is>
      </c>
      <c r="B110" s="18" t="n">
        <v>0</v>
      </c>
      <c r="C110" s="9" t="inlineStr">
        <is>
          <t>% (annual)</t>
        </is>
      </c>
      <c r="G110" s="6" t="n"/>
      <c r="H110" s="7" t="n"/>
    </row>
    <row r="111" ht="15" customHeight="1">
      <c r="A111" s="9" t="inlineStr">
        <is>
          <t xml:space="preserve">  Tier 2: Return of Capital</t>
        </is>
      </c>
      <c r="B111" s="10" t="inlineStr">
        <is>
          <t>100%</t>
        </is>
      </c>
      <c r="G111" s="6" t="n"/>
      <c r="H111" s="7" t="n"/>
    </row>
    <row r="112" ht="15" customHeight="1">
      <c r="A112" s="9" t="inlineStr">
        <is>
          <t xml:space="preserve">  Tier 3: Profit Split - Class E (LP)</t>
        </is>
      </c>
      <c r="B112" s="35" t="n">
        <v>0.7</v>
      </c>
      <c r="C112" s="9" t="inlineStr">
        <is>
          <t>%</t>
        </is>
      </c>
      <c r="G112" s="6" t="n"/>
      <c r="H112" s="7" t="n"/>
    </row>
    <row r="113" ht="15" customHeight="1">
      <c r="A113" s="9" t="inlineStr">
        <is>
          <t xml:space="preserve">  Tier 3: Profit Split - Class A (GP)</t>
        </is>
      </c>
      <c r="B113" s="35" t="n">
        <v>0.3</v>
      </c>
      <c r="C113" s="9" t="inlineStr">
        <is>
          <t>%</t>
        </is>
      </c>
      <c r="G113" s="6" t="n"/>
      <c r="H113" s="7" t="n"/>
    </row>
    <row r="114" ht="15.75" customHeight="1">
      <c r="G114" s="6" t="n"/>
      <c r="H114" s="7" t="n"/>
    </row>
    <row r="115" ht="15" customHeight="1">
      <c r="A115" s="4" t="inlineStr">
        <is>
          <t>EXIT</t>
        </is>
      </c>
      <c r="G115" s="6" t="n"/>
      <c r="H115" s="7" t="n"/>
    </row>
    <row r="116" ht="15" customHeight="1">
      <c r="A116" s="9" t="inlineStr">
        <is>
          <t>Exit Cap Rate</t>
        </is>
      </c>
      <c r="B116" s="18" t="n">
        <v>0.045</v>
      </c>
      <c r="C116" s="9" t="inlineStr">
        <is>
          <t>%</t>
        </is>
      </c>
      <c r="G116" s="6" t="n"/>
      <c r="H116" s="7" t="n"/>
    </row>
    <row r="117" ht="15" customHeight="1">
      <c r="A117" s="9" t="inlineStr">
        <is>
          <t>Disposition Costs</t>
        </is>
      </c>
      <c r="B117" s="15" t="n">
        <v>0.01</v>
      </c>
      <c r="C117" s="9" t="inlineStr">
        <is>
          <t>% of sale price</t>
        </is>
      </c>
      <c r="G117" s="6" t="n"/>
      <c r="H117" s="7" t="n"/>
    </row>
    <row r="118" ht="15" customHeight="1">
      <c r="A118" s="9" t="inlineStr">
        <is>
          <t>Other Exit Costs</t>
        </is>
      </c>
      <c r="B118" s="12" t="n">
        <v>0</v>
      </c>
      <c r="G118" s="6" t="n"/>
      <c r="H118" s="7" t="n"/>
    </row>
    <row r="119" ht="15.75" customHeight="1">
      <c r="G119" s="6" t="n"/>
      <c r="H119" s="7" t="n"/>
    </row>
    <row r="120" ht="15.75" customHeight="1">
      <c r="G120" s="6" t="n"/>
      <c r="H120" s="7" t="n"/>
    </row>
    <row r="121" ht="15.75" customHeight="1">
      <c r="G121" s="6" t="n"/>
      <c r="H121" s="7" t="n"/>
    </row>
    <row r="122" ht="15.75" customHeight="1">
      <c r="G122" s="6" t="n"/>
      <c r="H122" s="7" t="n"/>
    </row>
    <row r="123" ht="15.75" customHeight="1">
      <c r="G123" s="6" t="n"/>
      <c r="H123" s="7" t="n"/>
    </row>
    <row r="124" ht="15.75" customHeight="1">
      <c r="G124" s="6" t="n"/>
      <c r="H124" s="7" t="n"/>
    </row>
    <row r="125" ht="15.75" customHeight="1">
      <c r="G125" s="6" t="n"/>
      <c r="H125" s="7" t="n"/>
    </row>
    <row r="126" ht="15.75" customHeight="1">
      <c r="G126" s="6" t="n"/>
      <c r="H126" s="7" t="n"/>
    </row>
    <row r="127" ht="15.75" customHeight="1">
      <c r="G127" s="6" t="n"/>
      <c r="H127" s="7" t="n"/>
    </row>
    <row r="128" ht="15.75" customHeight="1">
      <c r="G128" s="6" t="n"/>
      <c r="H128" s="7" t="n"/>
    </row>
    <row r="129" ht="15.75" customHeight="1">
      <c r="G129" s="6" t="n"/>
      <c r="H129" s="7" t="n"/>
    </row>
    <row r="130" ht="15.75" customHeight="1">
      <c r="G130" s="6" t="n"/>
      <c r="H130" s="7" t="n"/>
    </row>
    <row r="131" ht="15.75" customHeight="1">
      <c r="G131" s="6" t="n"/>
      <c r="H131" s="7" t="n"/>
    </row>
    <row r="132" ht="15.75" customHeight="1">
      <c r="G132" s="6" t="n"/>
      <c r="H132" s="7" t="n"/>
    </row>
    <row r="133" ht="15.75" customHeight="1">
      <c r="G133" s="6" t="n"/>
      <c r="H133" s="7" t="n"/>
    </row>
    <row r="134" ht="15.75" customHeight="1">
      <c r="G134" s="6" t="n"/>
      <c r="H134" s="7" t="n"/>
    </row>
    <row r="135" ht="15.75" customHeight="1">
      <c r="G135" s="6" t="n"/>
      <c r="H135" s="7" t="n"/>
    </row>
    <row r="136" ht="15.75" customHeight="1">
      <c r="G136" s="6" t="n"/>
      <c r="H136" s="7" t="n"/>
    </row>
    <row r="137" ht="15.75" customHeight="1">
      <c r="G137" s="6" t="n"/>
      <c r="H137" s="7" t="n"/>
    </row>
    <row r="138" ht="15.75" customHeight="1">
      <c r="G138" s="6" t="n"/>
      <c r="H138" s="7" t="n"/>
    </row>
    <row r="139" ht="15.75" customHeight="1">
      <c r="G139" s="6" t="n"/>
      <c r="H139" s="7" t="n"/>
    </row>
    <row r="140" ht="15.75" customHeight="1">
      <c r="G140" s="6" t="n"/>
      <c r="H140" s="7" t="n"/>
    </row>
    <row r="141" ht="15.75" customHeight="1">
      <c r="G141" s="6" t="n"/>
      <c r="H141" s="7" t="n"/>
    </row>
    <row r="142" ht="15.75" customHeight="1">
      <c r="G142" s="6" t="n"/>
      <c r="H142" s="7" t="n"/>
    </row>
    <row r="143" ht="15.75" customHeight="1">
      <c r="G143" s="6" t="n"/>
      <c r="H143" s="7" t="n"/>
    </row>
    <row r="144" ht="15.75" customHeight="1">
      <c r="G144" s="6" t="n"/>
      <c r="H144" s="7" t="n"/>
    </row>
    <row r="145" ht="15.75" customHeight="1">
      <c r="G145" s="6" t="n"/>
      <c r="H145" s="7" t="n"/>
    </row>
    <row r="146" ht="15.75" customHeight="1">
      <c r="G146" s="6" t="n"/>
      <c r="H146" s="7" t="n"/>
    </row>
    <row r="147" ht="15.75" customHeight="1">
      <c r="G147" s="6" t="n"/>
      <c r="H147" s="7" t="n"/>
    </row>
    <row r="148" ht="15.75" customHeight="1">
      <c r="G148" s="6" t="n"/>
      <c r="H148" s="7" t="n"/>
    </row>
    <row r="149" ht="15.75" customHeight="1">
      <c r="G149" s="6" t="n"/>
      <c r="H149" s="7" t="n"/>
    </row>
    <row r="150" ht="15.75" customHeight="1">
      <c r="G150" s="6" t="n"/>
      <c r="H150" s="7" t="n"/>
    </row>
    <row r="151" ht="15.75" customHeight="1">
      <c r="G151" s="6" t="n"/>
      <c r="H151" s="7" t="n"/>
    </row>
    <row r="152" ht="15.75" customHeight="1">
      <c r="G152" s="6" t="n"/>
      <c r="H152" s="7" t="n"/>
    </row>
    <row r="153" ht="15.75" customHeight="1">
      <c r="G153" s="6" t="n"/>
      <c r="H153" s="7" t="n"/>
    </row>
    <row r="154" ht="15.75" customHeight="1">
      <c r="G154" s="6" t="n"/>
      <c r="H154" s="7" t="n"/>
    </row>
    <row r="155" ht="15.75" customHeight="1">
      <c r="G155" s="6" t="n"/>
      <c r="H155" s="7" t="n"/>
    </row>
    <row r="156" ht="15.75" customHeight="1">
      <c r="G156" s="6" t="n"/>
      <c r="H156" s="7" t="n"/>
    </row>
    <row r="157" ht="15.75" customHeight="1">
      <c r="G157" s="6" t="n"/>
      <c r="H157" s="7" t="n"/>
    </row>
    <row r="158" ht="15.75" customHeight="1">
      <c r="G158" s="6" t="n"/>
      <c r="H158" s="7" t="n"/>
    </row>
    <row r="159" ht="15.75" customHeight="1">
      <c r="G159" s="6" t="n"/>
      <c r="H159" s="7" t="n"/>
    </row>
    <row r="160" ht="15.75" customHeight="1">
      <c r="G160" s="6" t="n"/>
      <c r="H160" s="7" t="n"/>
    </row>
    <row r="161" ht="15.75" customHeight="1">
      <c r="G161" s="6" t="n"/>
      <c r="H161" s="7" t="n"/>
    </row>
    <row r="162" ht="15.75" customHeight="1">
      <c r="G162" s="6" t="n"/>
      <c r="H162" s="7" t="n"/>
    </row>
    <row r="163" ht="15.75" customHeight="1">
      <c r="G163" s="6" t="n"/>
      <c r="H163" s="7" t="n"/>
    </row>
    <row r="164" ht="15.75" customHeight="1">
      <c r="G164" s="6" t="n"/>
      <c r="H164" s="7" t="n"/>
    </row>
    <row r="165" ht="15.75" customHeight="1">
      <c r="G165" s="6" t="n"/>
      <c r="H165" s="7" t="n"/>
    </row>
    <row r="166" ht="15.75" customHeight="1">
      <c r="G166" s="6" t="n"/>
      <c r="H166" s="7" t="n"/>
    </row>
    <row r="167" ht="15.75" customHeight="1">
      <c r="G167" s="6" t="n"/>
      <c r="H167" s="7" t="n"/>
    </row>
    <row r="168" ht="15.75" customHeight="1">
      <c r="G168" s="6" t="n"/>
      <c r="H168" s="7" t="n"/>
    </row>
    <row r="169" ht="15.75" customHeight="1">
      <c r="G169" s="6" t="n"/>
      <c r="H169" s="7" t="n"/>
    </row>
    <row r="170" ht="15.75" customHeight="1">
      <c r="G170" s="6" t="n"/>
      <c r="H170" s="7" t="n"/>
    </row>
    <row r="171" ht="15.75" customHeight="1">
      <c r="G171" s="6" t="n"/>
      <c r="H171" s="7" t="n"/>
    </row>
    <row r="172" ht="15.75" customHeight="1">
      <c r="G172" s="6" t="n"/>
      <c r="H172" s="7" t="n"/>
    </row>
    <row r="173" ht="15.75" customHeight="1">
      <c r="G173" s="6" t="n"/>
      <c r="H173" s="7" t="n"/>
    </row>
    <row r="174" ht="15.75" customHeight="1">
      <c r="G174" s="6" t="n"/>
      <c r="H174" s="7" t="n"/>
    </row>
    <row r="175" ht="15.75" customHeight="1">
      <c r="G175" s="6" t="n"/>
      <c r="H175" s="7" t="n"/>
    </row>
    <row r="176" ht="15.75" customHeight="1">
      <c r="G176" s="6" t="n"/>
      <c r="H176" s="7" t="n"/>
    </row>
    <row r="177" ht="15.75" customHeight="1">
      <c r="G177" s="6" t="n"/>
      <c r="H177" s="7" t="n"/>
    </row>
    <row r="178" ht="15.75" customHeight="1">
      <c r="G178" s="6" t="n"/>
      <c r="H178" s="7" t="n"/>
    </row>
    <row r="179" ht="15.75" customHeight="1">
      <c r="G179" s="6" t="n"/>
      <c r="H179" s="7" t="n"/>
    </row>
    <row r="180" ht="15.75" customHeight="1">
      <c r="G180" s="6" t="n"/>
      <c r="H180" s="7" t="n"/>
    </row>
    <row r="181" ht="15.75" customHeight="1">
      <c r="G181" s="6" t="n"/>
      <c r="H181" s="7" t="n"/>
    </row>
    <row r="182" ht="15.75" customHeight="1">
      <c r="G182" s="6" t="n"/>
      <c r="H182" s="7" t="n"/>
    </row>
    <row r="183" ht="15.75" customHeight="1">
      <c r="G183" s="6" t="n"/>
      <c r="H183" s="7" t="n"/>
    </row>
    <row r="184" ht="15.75" customHeight="1">
      <c r="G184" s="6" t="n"/>
      <c r="H184" s="7" t="n"/>
    </row>
    <row r="185" ht="15.75" customHeight="1">
      <c r="G185" s="6" t="n"/>
      <c r="H185" s="7" t="n"/>
    </row>
    <row r="186" ht="15.75" customHeight="1">
      <c r="G186" s="6" t="n"/>
      <c r="H186" s="7" t="n"/>
    </row>
    <row r="187" ht="15.75" customHeight="1">
      <c r="G187" s="6" t="n"/>
      <c r="H187" s="7" t="n"/>
    </row>
    <row r="188" ht="15.75" customHeight="1">
      <c r="G188" s="6" t="n"/>
      <c r="H188" s="7" t="n"/>
    </row>
    <row r="189" ht="15.75" customHeight="1">
      <c r="G189" s="6" t="n"/>
      <c r="H189" s="7" t="n"/>
    </row>
    <row r="190" ht="15.75" customHeight="1">
      <c r="G190" s="6" t="n"/>
      <c r="H190" s="7" t="n"/>
    </row>
    <row r="191" ht="15.75" customHeight="1">
      <c r="G191" s="6" t="n"/>
      <c r="H191" s="7" t="n"/>
    </row>
    <row r="192" ht="15.75" customHeight="1">
      <c r="G192" s="6" t="n"/>
      <c r="H192" s="7" t="n"/>
    </row>
    <row r="193" ht="15.75" customHeight="1">
      <c r="G193" s="6" t="n"/>
      <c r="H193" s="7" t="n"/>
    </row>
    <row r="194" ht="15.75" customHeight="1">
      <c r="G194" s="6" t="n"/>
      <c r="H194" s="7" t="n"/>
    </row>
    <row r="195" ht="15.75" customHeight="1">
      <c r="G195" s="6" t="n"/>
      <c r="H195" s="7" t="n"/>
    </row>
    <row r="196" ht="15.75" customHeight="1">
      <c r="G196" s="6" t="n"/>
      <c r="H196" s="7" t="n"/>
    </row>
    <row r="197" ht="15.75" customHeight="1">
      <c r="G197" s="6" t="n"/>
      <c r="H197" s="7" t="n"/>
    </row>
    <row r="198" ht="15.75" customHeight="1">
      <c r="G198" s="6" t="n"/>
      <c r="H198" s="7" t="n"/>
    </row>
    <row r="199" ht="15.75" customHeight="1">
      <c r="G199" s="6" t="n"/>
      <c r="H199" s="7" t="n"/>
    </row>
    <row r="200" ht="15.75" customHeight="1">
      <c r="G200" s="6" t="n"/>
      <c r="H200" s="7" t="n"/>
    </row>
    <row r="201" ht="15.75" customHeight="1">
      <c r="G201" s="6" t="n"/>
      <c r="H201" s="7" t="n"/>
    </row>
    <row r="202" ht="15.75" customHeight="1">
      <c r="G202" s="6" t="n"/>
      <c r="H202" s="7" t="n"/>
    </row>
    <row r="203" ht="15.75" customHeight="1">
      <c r="G203" s="6" t="n"/>
      <c r="H203" s="7" t="n"/>
    </row>
    <row r="204" ht="15.75" customHeight="1">
      <c r="G204" s="6" t="n"/>
      <c r="H204" s="7" t="n"/>
    </row>
    <row r="205" ht="15.75" customHeight="1">
      <c r="G205" s="6" t="n"/>
      <c r="H205" s="7" t="n"/>
    </row>
    <row r="206" ht="15.75" customHeight="1">
      <c r="G206" s="6" t="n"/>
      <c r="H206" s="7" t="n"/>
    </row>
    <row r="207" ht="15.75" customHeight="1">
      <c r="G207" s="6" t="n"/>
      <c r="H207" s="7" t="n"/>
    </row>
    <row r="208" ht="15.75" customHeight="1">
      <c r="G208" s="6" t="n"/>
      <c r="H208" s="7" t="n"/>
    </row>
    <row r="209" ht="15.75" customHeight="1">
      <c r="G209" s="6" t="n"/>
      <c r="H209" s="7" t="n"/>
    </row>
    <row r="210" ht="15.75" customHeight="1">
      <c r="G210" s="6" t="n"/>
      <c r="H210" s="7" t="n"/>
    </row>
    <row r="211" ht="15.75" customHeight="1">
      <c r="G211" s="6" t="n"/>
      <c r="H211" s="7" t="n"/>
    </row>
    <row r="212" ht="15.75" customHeight="1">
      <c r="G212" s="6" t="n"/>
      <c r="H212" s="7" t="n"/>
    </row>
    <row r="213" ht="15.75" customHeight="1">
      <c r="G213" s="6" t="n"/>
      <c r="H213" s="7" t="n"/>
    </row>
    <row r="214" ht="15.75" customHeight="1">
      <c r="G214" s="6" t="n"/>
      <c r="H214" s="7" t="n"/>
    </row>
    <row r="215" ht="15.75" customHeight="1">
      <c r="G215" s="6" t="n"/>
      <c r="H215" s="7" t="n"/>
    </row>
    <row r="216" ht="15.75" customHeight="1">
      <c r="G216" s="6" t="n"/>
      <c r="H216" s="7" t="n"/>
    </row>
    <row r="217" ht="15.75" customHeight="1">
      <c r="G217" s="6" t="n"/>
      <c r="H217" s="7" t="n"/>
    </row>
    <row r="218" ht="15.75" customHeight="1">
      <c r="G218" s="6" t="n"/>
      <c r="H218" s="7" t="n"/>
    </row>
    <row r="219" ht="15.75" customHeight="1">
      <c r="G219" s="6" t="n"/>
      <c r="H219" s="7" t="n"/>
    </row>
    <row r="220" ht="15.75" customHeight="1">
      <c r="G220" s="6" t="n"/>
      <c r="H220" s="7" t="n"/>
    </row>
    <row r="221" ht="15.75" customHeight="1">
      <c r="G221" s="6" t="n"/>
      <c r="H221" s="7" t="n"/>
    </row>
    <row r="222" ht="15.75" customHeight="1">
      <c r="G222" s="6" t="n"/>
      <c r="H222" s="7" t="n"/>
    </row>
    <row r="223" ht="15.75" customHeight="1">
      <c r="G223" s="6" t="n"/>
      <c r="H223" s="7" t="n"/>
    </row>
    <row r="224" ht="15.75" customHeight="1">
      <c r="G224" s="6" t="n"/>
      <c r="H224" s="7" t="n"/>
    </row>
    <row r="225" ht="15.75" customHeight="1">
      <c r="G225" s="6" t="n"/>
      <c r="H225" s="7" t="n"/>
    </row>
    <row r="226" ht="15.75" customHeight="1">
      <c r="G226" s="6" t="n"/>
      <c r="H226" s="7" t="n"/>
    </row>
    <row r="227" ht="15.75" customHeight="1">
      <c r="G227" s="6" t="n"/>
      <c r="H227" s="7" t="n"/>
    </row>
    <row r="228" ht="15.75" customHeight="1">
      <c r="G228" s="6" t="n"/>
      <c r="H228" s="7" t="n"/>
    </row>
    <row r="229" ht="15.75" customHeight="1">
      <c r="G229" s="6" t="n"/>
      <c r="H229" s="7" t="n"/>
    </row>
    <row r="230" ht="15.75" customHeight="1">
      <c r="G230" s="6" t="n"/>
      <c r="H230" s="7" t="n"/>
    </row>
    <row r="231" ht="15.75" customHeight="1">
      <c r="G231" s="6" t="n"/>
      <c r="H231" s="7" t="n"/>
    </row>
    <row r="232" ht="15.75" customHeight="1">
      <c r="G232" s="6" t="n"/>
      <c r="H232" s="7" t="n"/>
    </row>
    <row r="233" ht="15.75" customHeight="1">
      <c r="G233" s="6" t="n"/>
      <c r="H233" s="7" t="n"/>
    </row>
    <row r="234" ht="15.75" customHeight="1">
      <c r="G234" s="6" t="n"/>
      <c r="H234" s="7" t="n"/>
    </row>
    <row r="235" ht="15.75" customHeight="1">
      <c r="G235" s="6" t="n"/>
      <c r="H235" s="7" t="n"/>
    </row>
    <row r="236" ht="15.75" customHeight="1">
      <c r="G236" s="6" t="n"/>
      <c r="H236" s="7" t="n"/>
    </row>
    <row r="237" ht="15.75" customHeight="1">
      <c r="G237" s="6" t="n"/>
      <c r="H237" s="7" t="n"/>
    </row>
    <row r="238" ht="15.75" customHeight="1">
      <c r="G238" s="6" t="n"/>
      <c r="H238" s="7" t="n"/>
    </row>
    <row r="239" ht="15.75" customHeight="1">
      <c r="G239" s="6" t="n"/>
      <c r="H239" s="7" t="n"/>
    </row>
    <row r="240" ht="15.75" customHeight="1">
      <c r="G240" s="6" t="n"/>
      <c r="H240" s="7" t="n"/>
    </row>
    <row r="241" ht="15.75" customHeight="1">
      <c r="G241" s="6" t="n"/>
      <c r="H241" s="7" t="n"/>
    </row>
    <row r="242" ht="15.75" customHeight="1">
      <c r="G242" s="6" t="n"/>
      <c r="H242" s="7" t="n"/>
    </row>
    <row r="243" ht="15.75" customHeight="1">
      <c r="G243" s="6" t="n"/>
      <c r="H243" s="7" t="n"/>
    </row>
    <row r="244" ht="15.75" customHeight="1">
      <c r="G244" s="6" t="n"/>
      <c r="H244" s="7" t="n"/>
    </row>
    <row r="245" ht="15.75" customHeight="1">
      <c r="G245" s="6" t="n"/>
      <c r="H245" s="7" t="n"/>
    </row>
    <row r="246" ht="15.75" customHeight="1">
      <c r="G246" s="6" t="n"/>
      <c r="H246" s="7" t="n"/>
    </row>
    <row r="247" ht="15.75" customHeight="1">
      <c r="G247" s="6" t="n"/>
      <c r="H247" s="7" t="n"/>
    </row>
    <row r="248" ht="15.75" customHeight="1">
      <c r="G248" s="6" t="n"/>
      <c r="H248" s="7" t="n"/>
    </row>
    <row r="249" ht="15.75" customHeight="1">
      <c r="G249" s="6" t="n"/>
      <c r="H249" s="7" t="n"/>
    </row>
    <row r="250" ht="15.75" customHeight="1">
      <c r="G250" s="6" t="n"/>
      <c r="H250" s="7" t="n"/>
    </row>
    <row r="251" ht="15.75" customHeight="1">
      <c r="G251" s="6" t="n"/>
      <c r="H251" s="7" t="n"/>
    </row>
    <row r="252" ht="15.75" customHeight="1">
      <c r="G252" s="6" t="n"/>
      <c r="H252" s="7" t="n"/>
    </row>
    <row r="253" ht="15.75" customHeight="1">
      <c r="G253" s="6" t="n"/>
      <c r="H253" s="7" t="n"/>
    </row>
    <row r="254" ht="15.75" customHeight="1">
      <c r="G254" s="6" t="n"/>
      <c r="H254" s="7" t="n"/>
    </row>
    <row r="255" ht="15.75" customHeight="1">
      <c r="G255" s="6" t="n"/>
      <c r="H255" s="7" t="n"/>
    </row>
    <row r="256" ht="15.75" customHeight="1">
      <c r="G256" s="6" t="n"/>
      <c r="H256" s="7" t="n"/>
    </row>
    <row r="257" ht="15.75" customHeight="1">
      <c r="G257" s="6" t="n"/>
      <c r="H257" s="7" t="n"/>
    </row>
    <row r="258" ht="15.75" customHeight="1">
      <c r="G258" s="6" t="n"/>
      <c r="H258" s="7" t="n"/>
    </row>
    <row r="259" ht="15.75" customHeight="1">
      <c r="G259" s="6" t="n"/>
      <c r="H259" s="7" t="n"/>
    </row>
    <row r="260" ht="15.75" customHeight="1">
      <c r="G260" s="6" t="n"/>
      <c r="H260" s="7" t="n"/>
    </row>
    <row r="261" ht="15.75" customHeight="1">
      <c r="G261" s="6" t="n"/>
      <c r="H261" s="7" t="n"/>
    </row>
    <row r="262" ht="15.75" customHeight="1">
      <c r="G262" s="6" t="n"/>
      <c r="H262" s="7" t="n"/>
    </row>
    <row r="263" ht="15.75" customHeight="1">
      <c r="G263" s="6" t="n"/>
      <c r="H263" s="7" t="n"/>
    </row>
    <row r="264" ht="15.75" customHeight="1">
      <c r="G264" s="6" t="n"/>
      <c r="H264" s="7" t="n"/>
    </row>
    <row r="265" ht="15.75" customHeight="1">
      <c r="G265" s="6" t="n"/>
      <c r="H265" s="7" t="n"/>
    </row>
    <row r="266" ht="15.75" customHeight="1">
      <c r="G266" s="6" t="n"/>
      <c r="H266" s="7" t="n"/>
    </row>
    <row r="267" ht="15.75" customHeight="1">
      <c r="G267" s="6" t="n"/>
      <c r="H267" s="7" t="n"/>
    </row>
    <row r="268" ht="15.75" customHeight="1">
      <c r="G268" s="6" t="n"/>
      <c r="H268" s="7" t="n"/>
    </row>
    <row r="269" ht="15.75" customHeight="1">
      <c r="G269" s="6" t="n"/>
      <c r="H269" s="7" t="n"/>
    </row>
    <row r="270" ht="15.75" customHeight="1">
      <c r="G270" s="6" t="n"/>
      <c r="H270" s="7" t="n"/>
    </row>
    <row r="271" ht="15.75" customHeight="1">
      <c r="G271" s="6" t="n"/>
      <c r="H271" s="7" t="n"/>
    </row>
    <row r="272" ht="15.75" customHeight="1">
      <c r="G272" s="6" t="n"/>
      <c r="H272" s="7" t="n"/>
    </row>
    <row r="273" ht="15.75" customHeight="1">
      <c r="G273" s="6" t="n"/>
      <c r="H273" s="7" t="n"/>
    </row>
    <row r="274" ht="15.75" customHeight="1">
      <c r="G274" s="6" t="n"/>
      <c r="H274" s="7" t="n"/>
    </row>
    <row r="275" ht="15.75" customHeight="1">
      <c r="G275" s="6" t="n"/>
      <c r="H275" s="7" t="n"/>
    </row>
    <row r="276" ht="15.75" customHeight="1">
      <c r="G276" s="6" t="n"/>
      <c r="H276" s="7" t="n"/>
    </row>
    <row r="277" ht="15.75" customHeight="1">
      <c r="G277" s="6" t="n"/>
      <c r="H277" s="7" t="n"/>
    </row>
    <row r="278" ht="15.75" customHeight="1">
      <c r="G278" s="6" t="n"/>
      <c r="H278" s="7" t="n"/>
    </row>
    <row r="279" ht="15.75" customHeight="1">
      <c r="G279" s="6" t="n"/>
      <c r="H279" s="7" t="n"/>
    </row>
    <row r="280" ht="15.75" customHeight="1">
      <c r="G280" s="6" t="n"/>
      <c r="H280" s="7" t="n"/>
    </row>
    <row r="281" ht="15.75" customHeight="1">
      <c r="G281" s="6" t="n"/>
      <c r="H281" s="7" t="n"/>
    </row>
    <row r="282" ht="15.75" customHeight="1">
      <c r="G282" s="6" t="n"/>
      <c r="H282" s="7" t="n"/>
    </row>
    <row r="283" ht="15.75" customHeight="1">
      <c r="G283" s="6" t="n"/>
      <c r="H283" s="7" t="n"/>
    </row>
    <row r="284" ht="15.75" customHeight="1">
      <c r="G284" s="6" t="n"/>
      <c r="H284" s="7" t="n"/>
    </row>
    <row r="285" ht="15.75" customHeight="1">
      <c r="G285" s="6" t="n"/>
      <c r="H285" s="7" t="n"/>
    </row>
    <row r="286" ht="15.75" customHeight="1">
      <c r="G286" s="6" t="n"/>
      <c r="H286" s="7" t="n"/>
    </row>
    <row r="287" ht="15.75" customHeight="1">
      <c r="G287" s="6" t="n"/>
      <c r="H287" s="7" t="n"/>
    </row>
    <row r="288" ht="15.75" customHeight="1">
      <c r="G288" s="6" t="n"/>
      <c r="H288" s="7" t="n"/>
    </row>
    <row r="289" ht="15.75" customHeight="1">
      <c r="G289" s="6" t="n"/>
      <c r="H289" s="7" t="n"/>
    </row>
    <row r="290" ht="15.75" customHeight="1">
      <c r="G290" s="6" t="n"/>
      <c r="H290" s="7" t="n"/>
    </row>
    <row r="291" ht="15.75" customHeight="1">
      <c r="G291" s="6" t="n"/>
      <c r="H291" s="7" t="n"/>
    </row>
    <row r="292" ht="15.75" customHeight="1">
      <c r="G292" s="6" t="n"/>
      <c r="H292" s="7" t="n"/>
    </row>
    <row r="293" ht="15.75" customHeight="1">
      <c r="G293" s="6" t="n"/>
      <c r="H293" s="7" t="n"/>
    </row>
    <row r="294" ht="15.75" customHeight="1">
      <c r="G294" s="6" t="n"/>
      <c r="H294" s="7" t="n"/>
    </row>
    <row r="295" ht="15.75" customHeight="1">
      <c r="G295" s="6" t="n"/>
      <c r="H295" s="7" t="n"/>
    </row>
    <row r="296" ht="15.75" customHeight="1">
      <c r="G296" s="6" t="n"/>
      <c r="H296" s="7" t="n"/>
    </row>
    <row r="297" ht="15.75" customHeight="1">
      <c r="G297" s="6" t="n"/>
      <c r="H297" s="7" t="n"/>
    </row>
    <row r="298" ht="15.75" customHeight="1">
      <c r="G298" s="6" t="n"/>
      <c r="H298" s="7" t="n"/>
    </row>
    <row r="299" ht="15.75" customHeight="1">
      <c r="G299" s="6" t="n"/>
      <c r="H299" s="7" t="n"/>
    </row>
    <row r="300" ht="15.75" customHeight="1">
      <c r="G300" s="6" t="n"/>
      <c r="H300" s="7" t="n"/>
    </row>
    <row r="301" ht="15.75" customHeight="1">
      <c r="G301" s="6" t="n"/>
      <c r="H301" s="7" t="n"/>
    </row>
    <row r="302" ht="15.75" customHeight="1">
      <c r="G302" s="6" t="n"/>
      <c r="H302" s="7" t="n"/>
    </row>
    <row r="303" ht="15.75" customHeight="1">
      <c r="G303" s="6" t="n"/>
      <c r="H303" s="7" t="n"/>
    </row>
    <row r="304" ht="15.75" customHeight="1">
      <c r="G304" s="6" t="n"/>
      <c r="H304" s="7" t="n"/>
    </row>
    <row r="305" ht="15.75" customHeight="1">
      <c r="G305" s="6" t="n"/>
      <c r="H305" s="7" t="n"/>
    </row>
    <row r="306" ht="15.75" customHeight="1">
      <c r="G306" s="6" t="n"/>
      <c r="H306" s="7" t="n"/>
    </row>
    <row r="307" ht="15.75" customHeight="1">
      <c r="G307" s="6" t="n"/>
      <c r="H307" s="7" t="n"/>
    </row>
    <row r="308" ht="15.75" customHeight="1">
      <c r="G308" s="6" t="n"/>
      <c r="H308" s="7" t="n"/>
    </row>
    <row r="309" ht="15.75" customHeight="1">
      <c r="G309" s="6" t="n"/>
      <c r="H309" s="7" t="n"/>
    </row>
    <row r="310" ht="15.75" customHeight="1">
      <c r="G310" s="6" t="n"/>
      <c r="H310" s="7" t="n"/>
    </row>
    <row r="311" ht="15.75" customHeight="1">
      <c r="G311" s="6" t="n"/>
      <c r="H311" s="7" t="n"/>
    </row>
    <row r="312" ht="15.75" customHeight="1">
      <c r="G312" s="6" t="n"/>
      <c r="H312" s="7" t="n"/>
    </row>
    <row r="313" ht="15.75" customHeight="1">
      <c r="G313" s="6" t="n"/>
      <c r="H313" s="7" t="n"/>
    </row>
    <row r="314" ht="15.75" customHeight="1">
      <c r="G314" s="6" t="n"/>
      <c r="H314" s="7" t="n"/>
    </row>
    <row r="315" ht="15.75" customHeight="1">
      <c r="G315" s="6" t="n"/>
      <c r="H315" s="7" t="n"/>
    </row>
    <row r="316" ht="15.75" customHeight="1">
      <c r="G316" s="6" t="n"/>
      <c r="H316" s="7" t="n"/>
    </row>
    <row r="317" ht="15.75" customHeight="1">
      <c r="G317" s="6" t="n"/>
      <c r="H317" s="7" t="n"/>
    </row>
    <row r="318" ht="15.75" customHeight="1">
      <c r="G318" s="6" t="n"/>
      <c r="H318" s="7" t="n"/>
    </row>
    <row r="319" ht="15.75" customHeight="1">
      <c r="G319" s="6" t="n"/>
      <c r="H319" s="7" t="n"/>
    </row>
    <row r="320" ht="15.75" customHeight="1">
      <c r="G320" s="6" t="n"/>
      <c r="H320" s="7" t="n"/>
    </row>
    <row r="321" ht="15.75" customHeight="1">
      <c r="G321" s="6" t="n"/>
      <c r="H321" s="7" t="n"/>
    </row>
    <row r="322" ht="15.75" customHeight="1">
      <c r="G322" s="6" t="n"/>
      <c r="H322" s="7" t="n"/>
    </row>
    <row r="323" ht="15.75" customHeight="1">
      <c r="G323" s="6" t="n"/>
      <c r="H323" s="7" t="n"/>
    </row>
    <row r="324" ht="15.75" customHeight="1">
      <c r="G324" s="6" t="n"/>
      <c r="H324" s="7" t="n"/>
    </row>
    <row r="325" ht="15.75" customHeight="1">
      <c r="G325" s="6" t="n"/>
      <c r="H325" s="7" t="n"/>
    </row>
    <row r="326" ht="15.75" customHeight="1">
      <c r="G326" s="6" t="n"/>
      <c r="H326" s="7" t="n"/>
    </row>
    <row r="327" ht="15.75" customHeight="1">
      <c r="G327" s="6" t="n"/>
      <c r="H327" s="7" t="n"/>
    </row>
    <row r="328" ht="15.75" customHeight="1">
      <c r="G328" s="6" t="n"/>
      <c r="H328" s="7" t="n"/>
    </row>
    <row r="329" ht="15.75" customHeight="1">
      <c r="G329" s="6" t="n"/>
      <c r="H329" s="7" t="n"/>
    </row>
    <row r="330" ht="15.75" customHeight="1">
      <c r="G330" s="6" t="n"/>
      <c r="H330" s="7" t="n"/>
    </row>
    <row r="331" ht="15.75" customHeight="1">
      <c r="G331" s="6" t="n"/>
      <c r="H331" s="7" t="n"/>
    </row>
    <row r="332" ht="15.75" customHeight="1">
      <c r="G332" s="6" t="n"/>
      <c r="H332" s="7" t="n"/>
    </row>
    <row r="333" ht="15.75" customHeight="1">
      <c r="G333" s="6" t="n"/>
      <c r="H333" s="7" t="n"/>
    </row>
    <row r="334" ht="15.75" customHeight="1">
      <c r="G334" s="6" t="n"/>
      <c r="H334" s="7" t="n"/>
    </row>
    <row r="335" ht="15.75" customHeight="1">
      <c r="G335" s="6" t="n"/>
      <c r="H335" s="7" t="n"/>
    </row>
    <row r="336" ht="15.75" customHeight="1">
      <c r="G336" s="6" t="n"/>
      <c r="H336" s="7" t="n"/>
    </row>
    <row r="337" ht="15.75" customHeight="1">
      <c r="G337" s="6" t="n"/>
      <c r="H337" s="7" t="n"/>
    </row>
    <row r="338" ht="15.75" customHeight="1">
      <c r="G338" s="6" t="n"/>
      <c r="H338" s="7" t="n"/>
    </row>
    <row r="339" ht="15.75" customHeight="1">
      <c r="G339" s="6" t="n"/>
      <c r="H339" s="7" t="n"/>
    </row>
    <row r="340" ht="15.75" customHeight="1">
      <c r="G340" s="6" t="n"/>
      <c r="H340" s="7" t="n"/>
    </row>
    <row r="341" ht="15.75" customHeight="1">
      <c r="G341" s="6" t="n"/>
      <c r="H341" s="7" t="n"/>
    </row>
    <row r="342" ht="15.75" customHeight="1">
      <c r="G342" s="6" t="n"/>
      <c r="H342" s="7" t="n"/>
    </row>
    <row r="343" ht="15.75" customHeight="1">
      <c r="G343" s="6" t="n"/>
      <c r="H343" s="7" t="n"/>
    </row>
    <row r="344" ht="15.75" customHeight="1">
      <c r="G344" s="6" t="n"/>
      <c r="H344" s="7" t="n"/>
    </row>
    <row r="345" ht="15.75" customHeight="1">
      <c r="G345" s="6" t="n"/>
      <c r="H345" s="7" t="n"/>
    </row>
    <row r="346" ht="15.75" customHeight="1">
      <c r="G346" s="6" t="n"/>
      <c r="H346" s="7" t="n"/>
    </row>
    <row r="347" ht="15.75" customHeight="1">
      <c r="G347" s="6" t="n"/>
      <c r="H347" s="7" t="n"/>
    </row>
    <row r="348" ht="15.75" customHeight="1">
      <c r="G348" s="6" t="n"/>
      <c r="H348" s="7" t="n"/>
    </row>
    <row r="349" ht="15.75" customHeight="1">
      <c r="G349" s="6" t="n"/>
      <c r="H349" s="7" t="n"/>
    </row>
    <row r="350" ht="15.75" customHeight="1">
      <c r="G350" s="6" t="n"/>
      <c r="H350" s="7" t="n"/>
    </row>
    <row r="351" ht="15.75" customHeight="1">
      <c r="G351" s="6" t="n"/>
      <c r="H351" s="7" t="n"/>
    </row>
    <row r="352" ht="15.75" customHeight="1">
      <c r="G352" s="6" t="n"/>
      <c r="H352" s="7" t="n"/>
    </row>
    <row r="353" ht="15.75" customHeight="1">
      <c r="G353" s="6" t="n"/>
      <c r="H353" s="7" t="n"/>
    </row>
    <row r="354" ht="15.75" customHeight="1">
      <c r="G354" s="6" t="n"/>
      <c r="H354" s="7" t="n"/>
    </row>
    <row r="355" ht="15.75" customHeight="1">
      <c r="G355" s="6" t="n"/>
      <c r="H355" s="7" t="n"/>
    </row>
    <row r="356" ht="15.75" customHeight="1">
      <c r="G356" s="6" t="n"/>
      <c r="H356" s="7" t="n"/>
    </row>
    <row r="357" ht="15.75" customHeight="1">
      <c r="G357" s="6" t="n"/>
      <c r="H357" s="7" t="n"/>
    </row>
    <row r="358" ht="15.75" customHeight="1">
      <c r="G358" s="6" t="n"/>
      <c r="H358" s="7" t="n"/>
    </row>
    <row r="359" ht="15.75" customHeight="1">
      <c r="G359" s="6" t="n"/>
      <c r="H359" s="7" t="n"/>
    </row>
    <row r="360" ht="15.75" customHeight="1">
      <c r="G360" s="6" t="n"/>
      <c r="H360" s="7" t="n"/>
    </row>
    <row r="361" ht="15.75" customHeight="1">
      <c r="G361" s="6" t="n"/>
      <c r="H361" s="7" t="n"/>
    </row>
    <row r="362" ht="15.75" customHeight="1">
      <c r="G362" s="6" t="n"/>
      <c r="H362" s="7" t="n"/>
    </row>
    <row r="363" ht="15.75" customHeight="1">
      <c r="G363" s="6" t="n"/>
      <c r="H363" s="7" t="n"/>
    </row>
    <row r="364" ht="15.75" customHeight="1">
      <c r="G364" s="6" t="n"/>
      <c r="H364" s="7" t="n"/>
    </row>
    <row r="365" ht="15.75" customHeight="1">
      <c r="G365" s="6" t="n"/>
      <c r="H365" s="7" t="n"/>
    </row>
    <row r="366" ht="15.75" customHeight="1">
      <c r="G366" s="6" t="n"/>
      <c r="H366" s="7" t="n"/>
    </row>
    <row r="367" ht="15.75" customHeight="1">
      <c r="G367" s="6" t="n"/>
      <c r="H367" s="7" t="n"/>
    </row>
    <row r="368" ht="15.75" customHeight="1">
      <c r="G368" s="6" t="n"/>
      <c r="H368" s="7" t="n"/>
    </row>
    <row r="369" ht="15.75" customHeight="1">
      <c r="G369" s="6" t="n"/>
      <c r="H369" s="7" t="n"/>
    </row>
    <row r="370" ht="15.75" customHeight="1">
      <c r="G370" s="6" t="n"/>
      <c r="H370" s="7" t="n"/>
    </row>
    <row r="371" ht="15.75" customHeight="1">
      <c r="G371" s="6" t="n"/>
      <c r="H371" s="7" t="n"/>
    </row>
    <row r="372" ht="15.75" customHeight="1">
      <c r="G372" s="6" t="n"/>
      <c r="H372" s="7" t="n"/>
    </row>
    <row r="373" ht="15.75" customHeight="1">
      <c r="G373" s="6" t="n"/>
      <c r="H373" s="7" t="n"/>
    </row>
    <row r="374" ht="15.75" customHeight="1">
      <c r="G374" s="6" t="n"/>
      <c r="H374" s="7" t="n"/>
    </row>
    <row r="375" ht="15.75" customHeight="1">
      <c r="G375" s="6" t="n"/>
      <c r="H375" s="7" t="n"/>
    </row>
    <row r="376" ht="15.75" customHeight="1">
      <c r="G376" s="6" t="n"/>
      <c r="H376" s="7" t="n"/>
    </row>
    <row r="377" ht="15.75" customHeight="1">
      <c r="G377" s="6" t="n"/>
      <c r="H377" s="7" t="n"/>
    </row>
    <row r="378" ht="15.75" customHeight="1">
      <c r="G378" s="6" t="n"/>
      <c r="H378" s="7" t="n"/>
    </row>
    <row r="379" ht="15.75" customHeight="1">
      <c r="G379" s="6" t="n"/>
      <c r="H379" s="7" t="n"/>
    </row>
    <row r="380" ht="15.75" customHeight="1">
      <c r="G380" s="6" t="n"/>
      <c r="H380" s="7" t="n"/>
    </row>
    <row r="381" ht="15.75" customHeight="1">
      <c r="G381" s="6" t="n"/>
      <c r="H381" s="7" t="n"/>
    </row>
    <row r="382" ht="15.75" customHeight="1">
      <c r="G382" s="6" t="n"/>
      <c r="H382" s="7" t="n"/>
    </row>
    <row r="383" ht="15.75" customHeight="1">
      <c r="G383" s="6" t="n"/>
      <c r="H383" s="7" t="n"/>
    </row>
    <row r="384" ht="15.75" customHeight="1">
      <c r="G384" s="6" t="n"/>
      <c r="H384" s="7" t="n"/>
    </row>
    <row r="385" ht="15.75" customHeight="1">
      <c r="G385" s="6" t="n"/>
      <c r="H385" s="7" t="n"/>
    </row>
    <row r="386" ht="15.75" customHeight="1">
      <c r="G386" s="6" t="n"/>
      <c r="H386" s="7" t="n"/>
    </row>
    <row r="387" ht="15.75" customHeight="1">
      <c r="G387" s="6" t="n"/>
      <c r="H387" s="7" t="n"/>
    </row>
    <row r="388" ht="15.75" customHeight="1">
      <c r="G388" s="6" t="n"/>
      <c r="H388" s="7" t="n"/>
    </row>
    <row r="389" ht="15.75" customHeight="1">
      <c r="G389" s="6" t="n"/>
      <c r="H389" s="7" t="n"/>
    </row>
    <row r="390" ht="15.75" customHeight="1">
      <c r="G390" s="6" t="n"/>
      <c r="H390" s="7" t="n"/>
    </row>
    <row r="391" ht="15.75" customHeight="1">
      <c r="G391" s="6" t="n"/>
      <c r="H391" s="7" t="n"/>
    </row>
    <row r="392" ht="15.75" customHeight="1">
      <c r="G392" s="6" t="n"/>
      <c r="H392" s="7" t="n"/>
    </row>
    <row r="393" ht="15.75" customHeight="1">
      <c r="G393" s="6" t="n"/>
      <c r="H393" s="7" t="n"/>
    </row>
    <row r="394" ht="15.75" customHeight="1">
      <c r="G394" s="6" t="n"/>
      <c r="H394" s="7" t="n"/>
    </row>
    <row r="395" ht="15.75" customHeight="1">
      <c r="G395" s="6" t="n"/>
      <c r="H395" s="7" t="n"/>
    </row>
    <row r="396" ht="15.75" customHeight="1">
      <c r="G396" s="6" t="n"/>
      <c r="H396" s="7" t="n"/>
    </row>
    <row r="397" ht="15.75" customHeight="1">
      <c r="G397" s="6" t="n"/>
      <c r="H397" s="7" t="n"/>
    </row>
    <row r="398" ht="15.75" customHeight="1">
      <c r="G398" s="6" t="n"/>
      <c r="H398" s="7" t="n"/>
    </row>
    <row r="399" ht="15.75" customHeight="1">
      <c r="G399" s="6" t="n"/>
      <c r="H399" s="7" t="n"/>
    </row>
    <row r="400" ht="15.75" customHeight="1">
      <c r="G400" s="6" t="n"/>
      <c r="H400" s="7" t="n"/>
    </row>
    <row r="401" ht="15.75" customHeight="1">
      <c r="G401" s="6" t="n"/>
      <c r="H401" s="7" t="n"/>
    </row>
    <row r="402" ht="15.75" customHeight="1">
      <c r="G402" s="6" t="n"/>
      <c r="H402" s="7" t="n"/>
    </row>
    <row r="403" ht="15.75" customHeight="1">
      <c r="G403" s="6" t="n"/>
      <c r="H403" s="7" t="n"/>
    </row>
    <row r="404" ht="15.75" customHeight="1">
      <c r="G404" s="6" t="n"/>
      <c r="H404" s="7" t="n"/>
    </row>
    <row r="405" ht="15.75" customHeight="1">
      <c r="G405" s="6" t="n"/>
      <c r="H405" s="7" t="n"/>
    </row>
    <row r="406" ht="15.75" customHeight="1">
      <c r="G406" s="6" t="n"/>
      <c r="H406" s="7" t="n"/>
    </row>
    <row r="407" ht="15.75" customHeight="1">
      <c r="G407" s="6" t="n"/>
      <c r="H407" s="7" t="n"/>
    </row>
    <row r="408" ht="15.75" customHeight="1">
      <c r="G408" s="6" t="n"/>
      <c r="H408" s="7" t="n"/>
    </row>
    <row r="409" ht="15.75" customHeight="1">
      <c r="G409" s="6" t="n"/>
      <c r="H409" s="7" t="n"/>
    </row>
    <row r="410" ht="15.75" customHeight="1">
      <c r="G410" s="6" t="n"/>
      <c r="H410" s="7" t="n"/>
    </row>
    <row r="411" ht="15.75" customHeight="1">
      <c r="G411" s="6" t="n"/>
      <c r="H411" s="7" t="n"/>
    </row>
    <row r="412" ht="15.75" customHeight="1">
      <c r="G412" s="6" t="n"/>
      <c r="H412" s="7" t="n"/>
    </row>
    <row r="413" ht="15.75" customHeight="1">
      <c r="G413" s="6" t="n"/>
      <c r="H413" s="7" t="n"/>
    </row>
    <row r="414" ht="15.75" customHeight="1">
      <c r="G414" s="6" t="n"/>
      <c r="H414" s="7" t="n"/>
    </row>
    <row r="415" ht="15.75" customHeight="1">
      <c r="G415" s="6" t="n"/>
      <c r="H415" s="7" t="n"/>
    </row>
    <row r="416" ht="15.75" customHeight="1">
      <c r="G416" s="6" t="n"/>
      <c r="H416" s="7" t="n"/>
    </row>
    <row r="417" ht="15.75" customHeight="1">
      <c r="G417" s="6" t="n"/>
      <c r="H417" s="7" t="n"/>
    </row>
    <row r="418" ht="15.75" customHeight="1">
      <c r="G418" s="6" t="n"/>
      <c r="H418" s="7" t="n"/>
    </row>
    <row r="419" ht="15.75" customHeight="1">
      <c r="G419" s="6" t="n"/>
      <c r="H419" s="7" t="n"/>
    </row>
    <row r="420" ht="15.75" customHeight="1">
      <c r="G420" s="6" t="n"/>
      <c r="H420" s="7" t="n"/>
    </row>
    <row r="421" ht="15.75" customHeight="1">
      <c r="G421" s="6" t="n"/>
      <c r="H421" s="7" t="n"/>
    </row>
    <row r="422" ht="15.75" customHeight="1">
      <c r="G422" s="6" t="n"/>
      <c r="H422" s="7" t="n"/>
    </row>
    <row r="423" ht="15.75" customHeight="1">
      <c r="G423" s="6" t="n"/>
      <c r="H423" s="7" t="n"/>
    </row>
    <row r="424" ht="15.75" customHeight="1">
      <c r="G424" s="6" t="n"/>
      <c r="H424" s="7" t="n"/>
    </row>
    <row r="425" ht="15.75" customHeight="1">
      <c r="G425" s="6" t="n"/>
      <c r="H425" s="7" t="n"/>
    </row>
    <row r="426" ht="15.75" customHeight="1">
      <c r="G426" s="6" t="n"/>
      <c r="H426" s="7" t="n"/>
    </row>
    <row r="427" ht="15.75" customHeight="1">
      <c r="G427" s="6" t="n"/>
      <c r="H427" s="7" t="n"/>
    </row>
    <row r="428" ht="15.75" customHeight="1">
      <c r="G428" s="6" t="n"/>
      <c r="H428" s="7" t="n"/>
    </row>
    <row r="429" ht="15.75" customHeight="1">
      <c r="G429" s="6" t="n"/>
      <c r="H429" s="7" t="n"/>
    </row>
    <row r="430" ht="15.75" customHeight="1">
      <c r="G430" s="6" t="n"/>
      <c r="H430" s="7" t="n"/>
    </row>
    <row r="431" ht="15.75" customHeight="1">
      <c r="G431" s="6" t="n"/>
      <c r="H431" s="7" t="n"/>
    </row>
    <row r="432" ht="15.75" customHeight="1">
      <c r="G432" s="6" t="n"/>
      <c r="H432" s="7" t="n"/>
    </row>
    <row r="433" ht="15.75" customHeight="1">
      <c r="G433" s="6" t="n"/>
      <c r="H433" s="7" t="n"/>
    </row>
    <row r="434" ht="15.75" customHeight="1">
      <c r="G434" s="6" t="n"/>
      <c r="H434" s="7" t="n"/>
    </row>
    <row r="435" ht="15.75" customHeight="1">
      <c r="G435" s="6" t="n"/>
      <c r="H435" s="7" t="n"/>
    </row>
    <row r="436" ht="15.75" customHeight="1">
      <c r="G436" s="6" t="n"/>
      <c r="H436" s="7" t="n"/>
    </row>
    <row r="437" ht="15.75" customHeight="1">
      <c r="G437" s="6" t="n"/>
      <c r="H437" s="7" t="n"/>
    </row>
    <row r="438" ht="15.75" customHeight="1">
      <c r="G438" s="6" t="n"/>
      <c r="H438" s="7" t="n"/>
    </row>
    <row r="439" ht="15.75" customHeight="1">
      <c r="G439" s="6" t="n"/>
      <c r="H439" s="7" t="n"/>
    </row>
    <row r="440" ht="15.75" customHeight="1">
      <c r="G440" s="6" t="n"/>
      <c r="H440" s="7" t="n"/>
    </row>
    <row r="441" ht="15.75" customHeight="1">
      <c r="G441" s="6" t="n"/>
      <c r="H441" s="7" t="n"/>
    </row>
    <row r="442" ht="15.75" customHeight="1">
      <c r="G442" s="6" t="n"/>
      <c r="H442" s="7" t="n"/>
    </row>
    <row r="443" ht="15.75" customHeight="1">
      <c r="G443" s="6" t="n"/>
      <c r="H443" s="7" t="n"/>
    </row>
    <row r="444" ht="15.75" customHeight="1">
      <c r="G444" s="6" t="n"/>
      <c r="H444" s="7" t="n"/>
    </row>
    <row r="445" ht="15.75" customHeight="1">
      <c r="G445" s="6" t="n"/>
      <c r="H445" s="7" t="n"/>
    </row>
    <row r="446" ht="15.75" customHeight="1">
      <c r="G446" s="6" t="n"/>
      <c r="H446" s="7" t="n"/>
    </row>
    <row r="447" ht="15.75" customHeight="1">
      <c r="G447" s="6" t="n"/>
      <c r="H447" s="7" t="n"/>
    </row>
    <row r="448" ht="15.75" customHeight="1">
      <c r="G448" s="6" t="n"/>
      <c r="H448" s="7" t="n"/>
    </row>
    <row r="449" ht="15.75" customHeight="1">
      <c r="G449" s="6" t="n"/>
      <c r="H449" s="7" t="n"/>
    </row>
    <row r="450" ht="15.75" customHeight="1">
      <c r="G450" s="6" t="n"/>
      <c r="H450" s="7" t="n"/>
    </row>
    <row r="451" ht="15.75" customHeight="1">
      <c r="G451" s="6" t="n"/>
      <c r="H451" s="7" t="n"/>
    </row>
    <row r="452" ht="15.75" customHeight="1">
      <c r="G452" s="6" t="n"/>
      <c r="H452" s="7" t="n"/>
    </row>
    <row r="453" ht="15.75" customHeight="1">
      <c r="G453" s="6" t="n"/>
      <c r="H453" s="7" t="n"/>
    </row>
    <row r="454" ht="15.75" customHeight="1">
      <c r="G454" s="6" t="n"/>
      <c r="H454" s="7" t="n"/>
    </row>
    <row r="455" ht="15.75" customHeight="1">
      <c r="G455" s="6" t="n"/>
      <c r="H455" s="7" t="n"/>
    </row>
    <row r="456" ht="15.75" customHeight="1">
      <c r="G456" s="6" t="n"/>
      <c r="H456" s="7" t="n"/>
    </row>
    <row r="457" ht="15.75" customHeight="1">
      <c r="G457" s="6" t="n"/>
      <c r="H457" s="7" t="n"/>
    </row>
    <row r="458" ht="15.75" customHeight="1">
      <c r="G458" s="6" t="n"/>
      <c r="H458" s="7" t="n"/>
    </row>
    <row r="459" ht="15.75" customHeight="1">
      <c r="G459" s="6" t="n"/>
      <c r="H459" s="7" t="n"/>
    </row>
    <row r="460" ht="15.75" customHeight="1">
      <c r="G460" s="6" t="n"/>
      <c r="H460" s="7" t="n"/>
    </row>
    <row r="461" ht="15.75" customHeight="1">
      <c r="G461" s="6" t="n"/>
      <c r="H461" s="7" t="n"/>
    </row>
    <row r="462" ht="15.75" customHeight="1">
      <c r="G462" s="6" t="n"/>
      <c r="H462" s="7" t="n"/>
    </row>
    <row r="463" ht="15.75" customHeight="1">
      <c r="G463" s="6" t="n"/>
      <c r="H463" s="7" t="n"/>
    </row>
    <row r="464" ht="15.75" customHeight="1">
      <c r="G464" s="6" t="n"/>
      <c r="H464" s="7" t="n"/>
    </row>
    <row r="465" ht="15.75" customHeight="1">
      <c r="G465" s="6" t="n"/>
      <c r="H465" s="7" t="n"/>
    </row>
    <row r="466" ht="15.75" customHeight="1">
      <c r="G466" s="6" t="n"/>
      <c r="H466" s="7" t="n"/>
    </row>
    <row r="467" ht="15.75" customHeight="1">
      <c r="G467" s="6" t="n"/>
      <c r="H467" s="7" t="n"/>
    </row>
    <row r="468" ht="15.75" customHeight="1">
      <c r="G468" s="6" t="n"/>
      <c r="H468" s="7" t="n"/>
    </row>
    <row r="469" ht="15.75" customHeight="1">
      <c r="G469" s="6" t="n"/>
      <c r="H469" s="7" t="n"/>
    </row>
    <row r="470" ht="15.75" customHeight="1">
      <c r="G470" s="6" t="n"/>
      <c r="H470" s="7" t="n"/>
    </row>
    <row r="471" ht="15.75" customHeight="1">
      <c r="G471" s="6" t="n"/>
      <c r="H471" s="7" t="n"/>
    </row>
    <row r="472" ht="15.75" customHeight="1">
      <c r="G472" s="6" t="n"/>
      <c r="H472" s="7" t="n"/>
    </row>
    <row r="473" ht="15.75" customHeight="1">
      <c r="G473" s="6" t="n"/>
      <c r="H473" s="7" t="n"/>
    </row>
    <row r="474" ht="15.75" customHeight="1">
      <c r="G474" s="6" t="n"/>
      <c r="H474" s="7" t="n"/>
    </row>
    <row r="475" ht="15.75" customHeight="1">
      <c r="G475" s="6" t="n"/>
      <c r="H475" s="7" t="n"/>
    </row>
    <row r="476" ht="15.75" customHeight="1">
      <c r="G476" s="6" t="n"/>
      <c r="H476" s="7" t="n"/>
    </row>
    <row r="477" ht="15.75" customHeight="1">
      <c r="G477" s="6" t="n"/>
      <c r="H477" s="7" t="n"/>
    </row>
    <row r="478" ht="15.75" customHeight="1">
      <c r="G478" s="6" t="n"/>
      <c r="H478" s="7" t="n"/>
    </row>
    <row r="479" ht="15.75" customHeight="1">
      <c r="G479" s="6" t="n"/>
      <c r="H479" s="7" t="n"/>
    </row>
    <row r="480" ht="15.75" customHeight="1">
      <c r="G480" s="6" t="n"/>
      <c r="H480" s="7" t="n"/>
    </row>
    <row r="481" ht="15.75" customHeight="1">
      <c r="G481" s="6" t="n"/>
      <c r="H481" s="7" t="n"/>
    </row>
    <row r="482" ht="15.75" customHeight="1">
      <c r="G482" s="6" t="n"/>
      <c r="H482" s="7" t="n"/>
    </row>
    <row r="483" ht="15.75" customHeight="1">
      <c r="G483" s="6" t="n"/>
      <c r="H483" s="7" t="n"/>
    </row>
    <row r="484" ht="15.75" customHeight="1">
      <c r="G484" s="6" t="n"/>
      <c r="H484" s="7" t="n"/>
    </row>
    <row r="485" ht="15.75" customHeight="1">
      <c r="G485" s="6" t="n"/>
      <c r="H485" s="7" t="n"/>
    </row>
    <row r="486" ht="15.75" customHeight="1">
      <c r="G486" s="6" t="n"/>
      <c r="H486" s="7" t="n"/>
    </row>
    <row r="487" ht="15.75" customHeight="1">
      <c r="G487" s="6" t="n"/>
      <c r="H487" s="7" t="n"/>
    </row>
    <row r="488" ht="15.75" customHeight="1">
      <c r="G488" s="6" t="n"/>
      <c r="H488" s="7" t="n"/>
    </row>
    <row r="489" ht="15.75" customHeight="1">
      <c r="G489" s="6" t="n"/>
      <c r="H489" s="7" t="n"/>
    </row>
    <row r="490" ht="15.75" customHeight="1">
      <c r="G490" s="6" t="n"/>
      <c r="H490" s="7" t="n"/>
    </row>
    <row r="491" ht="15.75" customHeight="1">
      <c r="G491" s="6" t="n"/>
      <c r="H491" s="7" t="n"/>
    </row>
    <row r="492" ht="15.75" customHeight="1">
      <c r="G492" s="6" t="n"/>
      <c r="H492" s="7" t="n"/>
    </row>
    <row r="493" ht="15.75" customHeight="1">
      <c r="G493" s="6" t="n"/>
      <c r="H493" s="7" t="n"/>
    </row>
    <row r="494" ht="15.75" customHeight="1">
      <c r="G494" s="6" t="n"/>
      <c r="H494" s="7" t="n"/>
    </row>
    <row r="495" ht="15.75" customHeight="1">
      <c r="G495" s="6" t="n"/>
      <c r="H495" s="7" t="n"/>
    </row>
    <row r="496" ht="15.75" customHeight="1">
      <c r="G496" s="6" t="n"/>
      <c r="H496" s="7" t="n"/>
    </row>
    <row r="497" ht="15.75" customHeight="1">
      <c r="G497" s="6" t="n"/>
      <c r="H497" s="7" t="n"/>
    </row>
    <row r="498" ht="15.75" customHeight="1">
      <c r="G498" s="6" t="n"/>
      <c r="H498" s="7" t="n"/>
    </row>
    <row r="499" ht="15.75" customHeight="1">
      <c r="G499" s="6" t="n"/>
      <c r="H499" s="7" t="n"/>
    </row>
    <row r="500" ht="15.75" customHeight="1">
      <c r="G500" s="6" t="n"/>
      <c r="H500" s="7" t="n"/>
    </row>
    <row r="501" ht="15.75" customHeight="1">
      <c r="G501" s="6" t="n"/>
      <c r="H501" s="7" t="n"/>
    </row>
    <row r="502" ht="15.75" customHeight="1">
      <c r="G502" s="6" t="n"/>
      <c r="H502" s="7" t="n"/>
    </row>
    <row r="503" ht="15.75" customHeight="1">
      <c r="G503" s="6" t="n"/>
      <c r="H503" s="7" t="n"/>
    </row>
    <row r="504" ht="15.75" customHeight="1">
      <c r="G504" s="6" t="n"/>
      <c r="H504" s="7" t="n"/>
    </row>
    <row r="505" ht="15.75" customHeight="1">
      <c r="G505" s="6" t="n"/>
      <c r="H505" s="7" t="n"/>
    </row>
    <row r="506" ht="15.75" customHeight="1">
      <c r="G506" s="6" t="n"/>
      <c r="H506" s="7" t="n"/>
    </row>
    <row r="507" ht="15.75" customHeight="1">
      <c r="G507" s="6" t="n"/>
      <c r="H507" s="7" t="n"/>
    </row>
    <row r="508" ht="15.75" customHeight="1">
      <c r="G508" s="6" t="n"/>
      <c r="H508" s="7" t="n"/>
    </row>
    <row r="509" ht="15.75" customHeight="1">
      <c r="G509" s="6" t="n"/>
      <c r="H509" s="7" t="n"/>
    </row>
    <row r="510" ht="15.75" customHeight="1">
      <c r="G510" s="6" t="n"/>
      <c r="H510" s="7" t="n"/>
    </row>
    <row r="511" ht="15.75" customHeight="1">
      <c r="G511" s="6" t="n"/>
      <c r="H511" s="7" t="n"/>
    </row>
    <row r="512" ht="15.75" customHeight="1">
      <c r="G512" s="6" t="n"/>
      <c r="H512" s="7" t="n"/>
    </row>
    <row r="513" ht="15.75" customHeight="1">
      <c r="G513" s="6" t="n"/>
      <c r="H513" s="7" t="n"/>
    </row>
    <row r="514" ht="15.75" customHeight="1">
      <c r="G514" s="6" t="n"/>
      <c r="H514" s="7" t="n"/>
    </row>
    <row r="515" ht="15.75" customHeight="1">
      <c r="G515" s="6" t="n"/>
      <c r="H515" s="7" t="n"/>
    </row>
    <row r="516" ht="15.75" customHeight="1">
      <c r="G516" s="6" t="n"/>
      <c r="H516" s="7" t="n"/>
    </row>
    <row r="517" ht="15.75" customHeight="1">
      <c r="G517" s="6" t="n"/>
      <c r="H517" s="7" t="n"/>
    </row>
    <row r="518" ht="15.75" customHeight="1">
      <c r="G518" s="6" t="n"/>
      <c r="H518" s="7" t="n"/>
    </row>
    <row r="519" ht="15.75" customHeight="1">
      <c r="G519" s="6" t="n"/>
      <c r="H519" s="7" t="n"/>
    </row>
    <row r="520" ht="15.75" customHeight="1">
      <c r="G520" s="6" t="n"/>
      <c r="H520" s="7" t="n"/>
    </row>
    <row r="521" ht="15.75" customHeight="1">
      <c r="G521" s="6" t="n"/>
      <c r="H521" s="7" t="n"/>
    </row>
    <row r="522" ht="15.75" customHeight="1">
      <c r="G522" s="6" t="n"/>
      <c r="H522" s="7" t="n"/>
    </row>
    <row r="523" ht="15.75" customHeight="1">
      <c r="G523" s="6" t="n"/>
      <c r="H523" s="7" t="n"/>
    </row>
    <row r="524" ht="15.75" customHeight="1">
      <c r="G524" s="6" t="n"/>
      <c r="H524" s="7" t="n"/>
    </row>
    <row r="525" ht="15.75" customHeight="1">
      <c r="G525" s="6" t="n"/>
      <c r="H525" s="7" t="n"/>
    </row>
    <row r="526" ht="15.75" customHeight="1">
      <c r="G526" s="6" t="n"/>
      <c r="H526" s="7" t="n"/>
    </row>
    <row r="527" ht="15.75" customHeight="1">
      <c r="G527" s="6" t="n"/>
      <c r="H527" s="7" t="n"/>
    </row>
    <row r="528" ht="15.75" customHeight="1">
      <c r="G528" s="6" t="n"/>
      <c r="H528" s="7" t="n"/>
    </row>
    <row r="529" ht="15.75" customHeight="1">
      <c r="G529" s="6" t="n"/>
      <c r="H529" s="7" t="n"/>
    </row>
    <row r="530" ht="15.75" customHeight="1">
      <c r="G530" s="6" t="n"/>
      <c r="H530" s="7" t="n"/>
    </row>
    <row r="531" ht="15.75" customHeight="1">
      <c r="G531" s="6" t="n"/>
      <c r="H531" s="7" t="n"/>
    </row>
    <row r="532" ht="15.75" customHeight="1">
      <c r="G532" s="6" t="n"/>
      <c r="H532" s="7" t="n"/>
    </row>
    <row r="533" ht="15.75" customHeight="1">
      <c r="G533" s="6" t="n"/>
      <c r="H533" s="7" t="n"/>
    </row>
    <row r="534" ht="15.75" customHeight="1">
      <c r="G534" s="6" t="n"/>
      <c r="H534" s="7" t="n"/>
    </row>
    <row r="535" ht="15.75" customHeight="1">
      <c r="G535" s="6" t="n"/>
      <c r="H535" s="7" t="n"/>
    </row>
    <row r="536" ht="15.75" customHeight="1">
      <c r="G536" s="6" t="n"/>
      <c r="H536" s="7" t="n"/>
    </row>
    <row r="537" ht="15.75" customHeight="1">
      <c r="G537" s="6" t="n"/>
      <c r="H537" s="7" t="n"/>
    </row>
    <row r="538" ht="15.75" customHeight="1">
      <c r="G538" s="6" t="n"/>
      <c r="H538" s="7" t="n"/>
    </row>
    <row r="539" ht="15.75" customHeight="1">
      <c r="G539" s="6" t="n"/>
      <c r="H539" s="7" t="n"/>
    </row>
    <row r="540" ht="15.75" customHeight="1">
      <c r="G540" s="6" t="n"/>
      <c r="H540" s="7" t="n"/>
    </row>
    <row r="541" ht="15.75" customHeight="1">
      <c r="G541" s="6" t="n"/>
      <c r="H541" s="7" t="n"/>
    </row>
    <row r="542" ht="15.75" customHeight="1">
      <c r="G542" s="6" t="n"/>
      <c r="H542" s="7" t="n"/>
    </row>
    <row r="543" ht="15.75" customHeight="1">
      <c r="G543" s="6" t="n"/>
      <c r="H543" s="7" t="n"/>
    </row>
    <row r="544" ht="15.75" customHeight="1">
      <c r="G544" s="6" t="n"/>
      <c r="H544" s="7" t="n"/>
    </row>
    <row r="545" ht="15.75" customHeight="1">
      <c r="G545" s="6" t="n"/>
      <c r="H545" s="7" t="n"/>
    </row>
    <row r="546" ht="15.75" customHeight="1">
      <c r="G546" s="6" t="n"/>
      <c r="H546" s="7" t="n"/>
    </row>
    <row r="547" ht="15.75" customHeight="1">
      <c r="G547" s="6" t="n"/>
      <c r="H547" s="7" t="n"/>
    </row>
    <row r="548" ht="15.75" customHeight="1">
      <c r="G548" s="6" t="n"/>
      <c r="H548" s="7" t="n"/>
    </row>
    <row r="549" ht="15.75" customHeight="1">
      <c r="G549" s="6" t="n"/>
      <c r="H549" s="7" t="n"/>
    </row>
    <row r="550" ht="15.75" customHeight="1">
      <c r="G550" s="6" t="n"/>
      <c r="H550" s="7" t="n"/>
    </row>
    <row r="551" ht="15.75" customHeight="1">
      <c r="G551" s="6" t="n"/>
      <c r="H551" s="7" t="n"/>
    </row>
    <row r="552" ht="15.75" customHeight="1">
      <c r="G552" s="6" t="n"/>
      <c r="H552" s="7" t="n"/>
    </row>
    <row r="553" ht="15.75" customHeight="1">
      <c r="G553" s="6" t="n"/>
      <c r="H553" s="7" t="n"/>
    </row>
    <row r="554" ht="15.75" customHeight="1">
      <c r="G554" s="6" t="n"/>
      <c r="H554" s="7" t="n"/>
    </row>
    <row r="555" ht="15.75" customHeight="1">
      <c r="G555" s="6" t="n"/>
      <c r="H555" s="7" t="n"/>
    </row>
    <row r="556" ht="15.75" customHeight="1">
      <c r="G556" s="6" t="n"/>
      <c r="H556" s="7" t="n"/>
    </row>
    <row r="557" ht="15.75" customHeight="1">
      <c r="G557" s="6" t="n"/>
      <c r="H557" s="7" t="n"/>
    </row>
    <row r="558" ht="15.75" customHeight="1">
      <c r="G558" s="6" t="n"/>
      <c r="H558" s="7" t="n"/>
    </row>
    <row r="559" ht="15.75" customHeight="1">
      <c r="G559" s="6" t="n"/>
      <c r="H559" s="7" t="n"/>
    </row>
    <row r="560" ht="15.75" customHeight="1">
      <c r="G560" s="6" t="n"/>
      <c r="H560" s="7" t="n"/>
    </row>
    <row r="561" ht="15.75" customHeight="1">
      <c r="G561" s="6" t="n"/>
      <c r="H561" s="7" t="n"/>
    </row>
    <row r="562" ht="15.75" customHeight="1">
      <c r="G562" s="6" t="n"/>
      <c r="H562" s="7" t="n"/>
    </row>
    <row r="563" ht="15.75" customHeight="1">
      <c r="G563" s="6" t="n"/>
      <c r="H563" s="7" t="n"/>
    </row>
    <row r="564" ht="15.75" customHeight="1">
      <c r="G564" s="6" t="n"/>
      <c r="H564" s="7" t="n"/>
    </row>
    <row r="565" ht="15.75" customHeight="1">
      <c r="G565" s="6" t="n"/>
      <c r="H565" s="7" t="n"/>
    </row>
    <row r="566" ht="15.75" customHeight="1">
      <c r="G566" s="6" t="n"/>
      <c r="H566" s="7" t="n"/>
    </row>
    <row r="567" ht="15.75" customHeight="1">
      <c r="G567" s="6" t="n"/>
      <c r="H567" s="7" t="n"/>
    </row>
    <row r="568" ht="15.75" customHeight="1">
      <c r="G568" s="6" t="n"/>
      <c r="H568" s="7" t="n"/>
    </row>
    <row r="569" ht="15.75" customHeight="1">
      <c r="G569" s="6" t="n"/>
      <c r="H569" s="7" t="n"/>
    </row>
    <row r="570" ht="15.75" customHeight="1">
      <c r="G570" s="6" t="n"/>
      <c r="H570" s="7" t="n"/>
    </row>
    <row r="571" ht="15.75" customHeight="1">
      <c r="G571" s="6" t="n"/>
      <c r="H571" s="7" t="n"/>
    </row>
    <row r="572" ht="15.75" customHeight="1">
      <c r="G572" s="6" t="n"/>
      <c r="H572" s="7" t="n"/>
    </row>
    <row r="573" ht="15.75" customHeight="1">
      <c r="G573" s="6" t="n"/>
      <c r="H573" s="7" t="n"/>
    </row>
    <row r="574" ht="15.75" customHeight="1">
      <c r="G574" s="6" t="n"/>
      <c r="H574" s="7" t="n"/>
    </row>
    <row r="575" ht="15.75" customHeight="1">
      <c r="G575" s="6" t="n"/>
      <c r="H575" s="7" t="n"/>
    </row>
    <row r="576" ht="15.75" customHeight="1">
      <c r="G576" s="6" t="n"/>
      <c r="H576" s="7" t="n"/>
    </row>
    <row r="577" ht="15.75" customHeight="1">
      <c r="G577" s="6" t="n"/>
      <c r="H577" s="7" t="n"/>
    </row>
    <row r="578" ht="15.75" customHeight="1">
      <c r="G578" s="6" t="n"/>
      <c r="H578" s="7" t="n"/>
    </row>
    <row r="579" ht="15.75" customHeight="1">
      <c r="G579" s="6" t="n"/>
      <c r="H579" s="7" t="n"/>
    </row>
    <row r="580" ht="15.75" customHeight="1">
      <c r="G580" s="6" t="n"/>
      <c r="H580" s="7" t="n"/>
    </row>
    <row r="581" ht="15.75" customHeight="1">
      <c r="G581" s="6" t="n"/>
      <c r="H581" s="7" t="n"/>
    </row>
    <row r="582" ht="15.75" customHeight="1">
      <c r="G582" s="6" t="n"/>
      <c r="H582" s="7" t="n"/>
    </row>
    <row r="583" ht="15.75" customHeight="1">
      <c r="G583" s="6" t="n"/>
      <c r="H583" s="7" t="n"/>
    </row>
    <row r="584" ht="15.75" customHeight="1">
      <c r="G584" s="6" t="n"/>
      <c r="H584" s="7" t="n"/>
    </row>
    <row r="585" ht="15.75" customHeight="1">
      <c r="G585" s="6" t="n"/>
      <c r="H585" s="7" t="n"/>
    </row>
    <row r="586" ht="15.75" customHeight="1">
      <c r="G586" s="6" t="n"/>
      <c r="H586" s="7" t="n"/>
    </row>
    <row r="587" ht="15.75" customHeight="1">
      <c r="G587" s="6" t="n"/>
      <c r="H587" s="7" t="n"/>
    </row>
    <row r="588" ht="15.75" customHeight="1">
      <c r="G588" s="6" t="n"/>
      <c r="H588" s="7" t="n"/>
    </row>
    <row r="589" ht="15.75" customHeight="1">
      <c r="G589" s="6" t="n"/>
      <c r="H589" s="7" t="n"/>
    </row>
    <row r="590" ht="15.75" customHeight="1">
      <c r="G590" s="6" t="n"/>
      <c r="H590" s="7" t="n"/>
    </row>
    <row r="591" ht="15.75" customHeight="1">
      <c r="G591" s="6" t="n"/>
      <c r="H591" s="7" t="n"/>
    </row>
    <row r="592" ht="15.75" customHeight="1">
      <c r="G592" s="6" t="n"/>
      <c r="H592" s="7" t="n"/>
    </row>
    <row r="593" ht="15.75" customHeight="1">
      <c r="G593" s="6" t="n"/>
      <c r="H593" s="7" t="n"/>
    </row>
    <row r="594" ht="15.75" customHeight="1">
      <c r="G594" s="6" t="n"/>
      <c r="H594" s="7" t="n"/>
    </row>
    <row r="595" ht="15.75" customHeight="1">
      <c r="G595" s="6" t="n"/>
      <c r="H595" s="7" t="n"/>
    </row>
    <row r="596" ht="15.75" customHeight="1">
      <c r="G596" s="6" t="n"/>
      <c r="H596" s="7" t="n"/>
    </row>
    <row r="597" ht="15.75" customHeight="1">
      <c r="G597" s="6" t="n"/>
      <c r="H597" s="7" t="n"/>
    </row>
    <row r="598" ht="15.75" customHeight="1">
      <c r="G598" s="6" t="n"/>
      <c r="H598" s="7" t="n"/>
    </row>
    <row r="599" ht="15.75" customHeight="1">
      <c r="G599" s="6" t="n"/>
      <c r="H599" s="7" t="n"/>
    </row>
    <row r="600" ht="15.75" customHeight="1">
      <c r="G600" s="6" t="n"/>
      <c r="H600" s="7" t="n"/>
    </row>
    <row r="601" ht="15.75" customHeight="1">
      <c r="G601" s="6" t="n"/>
      <c r="H601" s="7" t="n"/>
    </row>
    <row r="602" ht="15.75" customHeight="1">
      <c r="G602" s="6" t="n"/>
      <c r="H602" s="7" t="n"/>
    </row>
    <row r="603" ht="15.75" customHeight="1">
      <c r="G603" s="6" t="n"/>
      <c r="H603" s="7" t="n"/>
    </row>
    <row r="604" ht="15.75" customHeight="1">
      <c r="G604" s="6" t="n"/>
      <c r="H604" s="7" t="n"/>
    </row>
    <row r="605" ht="15.75" customHeight="1">
      <c r="G605" s="6" t="n"/>
      <c r="H605" s="7" t="n"/>
    </row>
    <row r="606" ht="15.75" customHeight="1">
      <c r="G606" s="6" t="n"/>
      <c r="H606" s="7" t="n"/>
    </row>
    <row r="607" ht="15.75" customHeight="1">
      <c r="G607" s="6" t="n"/>
      <c r="H607" s="7" t="n"/>
    </row>
    <row r="608" ht="15.75" customHeight="1">
      <c r="G608" s="6" t="n"/>
      <c r="H608" s="7" t="n"/>
    </row>
    <row r="609" ht="15.75" customHeight="1">
      <c r="G609" s="6" t="n"/>
      <c r="H609" s="7" t="n"/>
    </row>
    <row r="610" ht="15.75" customHeight="1">
      <c r="G610" s="6" t="n"/>
      <c r="H610" s="7" t="n"/>
    </row>
    <row r="611" ht="15.75" customHeight="1">
      <c r="G611" s="6" t="n"/>
      <c r="H611" s="7" t="n"/>
    </row>
    <row r="612" ht="15.75" customHeight="1">
      <c r="G612" s="6" t="n"/>
      <c r="H612" s="7" t="n"/>
    </row>
    <row r="613" ht="15.75" customHeight="1">
      <c r="G613" s="6" t="n"/>
      <c r="H613" s="7" t="n"/>
    </row>
    <row r="614" ht="15.75" customHeight="1">
      <c r="G614" s="6" t="n"/>
      <c r="H614" s="7" t="n"/>
    </row>
    <row r="615" ht="15.75" customHeight="1">
      <c r="G615" s="6" t="n"/>
      <c r="H615" s="7" t="n"/>
    </row>
    <row r="616" ht="15.75" customHeight="1">
      <c r="G616" s="6" t="n"/>
      <c r="H616" s="7" t="n"/>
    </row>
    <row r="617" ht="15.75" customHeight="1">
      <c r="G617" s="6" t="n"/>
      <c r="H617" s="7" t="n"/>
    </row>
    <row r="618" ht="15.75" customHeight="1">
      <c r="G618" s="6" t="n"/>
      <c r="H618" s="7" t="n"/>
    </row>
    <row r="619" ht="15.75" customHeight="1">
      <c r="G619" s="6" t="n"/>
      <c r="H619" s="7" t="n"/>
    </row>
    <row r="620" ht="15.75" customHeight="1">
      <c r="G620" s="6" t="n"/>
      <c r="H620" s="7" t="n"/>
    </row>
    <row r="621" ht="15.75" customHeight="1">
      <c r="G621" s="6" t="n"/>
      <c r="H621" s="7" t="n"/>
    </row>
    <row r="622" ht="15.75" customHeight="1">
      <c r="G622" s="6" t="n"/>
      <c r="H622" s="7" t="n"/>
    </row>
    <row r="623" ht="15.75" customHeight="1">
      <c r="G623" s="6" t="n"/>
      <c r="H623" s="7" t="n"/>
    </row>
    <row r="624" ht="15.75" customHeight="1">
      <c r="G624" s="6" t="n"/>
      <c r="H624" s="7" t="n"/>
    </row>
    <row r="625" ht="15.75" customHeight="1">
      <c r="G625" s="6" t="n"/>
      <c r="H625" s="7" t="n"/>
    </row>
    <row r="626" ht="15.75" customHeight="1">
      <c r="G626" s="6" t="n"/>
      <c r="H626" s="7" t="n"/>
    </row>
    <row r="627" ht="15.75" customHeight="1">
      <c r="G627" s="6" t="n"/>
      <c r="H627" s="7" t="n"/>
    </row>
    <row r="628" ht="15.75" customHeight="1">
      <c r="G628" s="6" t="n"/>
      <c r="H628" s="7" t="n"/>
    </row>
    <row r="629" ht="15.75" customHeight="1">
      <c r="G629" s="6" t="n"/>
      <c r="H629" s="7" t="n"/>
    </row>
    <row r="630" ht="15.75" customHeight="1">
      <c r="G630" s="6" t="n"/>
      <c r="H630" s="7" t="n"/>
    </row>
    <row r="631" ht="15.75" customHeight="1">
      <c r="G631" s="6" t="n"/>
      <c r="H631" s="7" t="n"/>
    </row>
    <row r="632" ht="15.75" customHeight="1">
      <c r="G632" s="6" t="n"/>
      <c r="H632" s="7" t="n"/>
    </row>
    <row r="633" ht="15.75" customHeight="1">
      <c r="G633" s="6" t="n"/>
      <c r="H633" s="7" t="n"/>
    </row>
    <row r="634" ht="15.75" customHeight="1">
      <c r="G634" s="6" t="n"/>
      <c r="H634" s="7" t="n"/>
    </row>
    <row r="635" ht="15.75" customHeight="1">
      <c r="G635" s="6" t="n"/>
      <c r="H635" s="7" t="n"/>
    </row>
    <row r="636" ht="15.75" customHeight="1">
      <c r="G636" s="6" t="n"/>
      <c r="H636" s="7" t="n"/>
    </row>
    <row r="637" ht="15.75" customHeight="1">
      <c r="G637" s="6" t="n"/>
      <c r="H637" s="7" t="n"/>
    </row>
    <row r="638" ht="15.75" customHeight="1">
      <c r="G638" s="6" t="n"/>
      <c r="H638" s="7" t="n"/>
    </row>
    <row r="639" ht="15.75" customHeight="1">
      <c r="G639" s="6" t="n"/>
      <c r="H639" s="7" t="n"/>
    </row>
    <row r="640" ht="15.75" customHeight="1">
      <c r="G640" s="6" t="n"/>
      <c r="H640" s="7" t="n"/>
    </row>
    <row r="641" ht="15.75" customHeight="1">
      <c r="G641" s="6" t="n"/>
      <c r="H641" s="7" t="n"/>
    </row>
    <row r="642" ht="15.75" customHeight="1">
      <c r="G642" s="6" t="n"/>
      <c r="H642" s="7" t="n"/>
    </row>
    <row r="643" ht="15.75" customHeight="1">
      <c r="G643" s="6" t="n"/>
      <c r="H643" s="7" t="n"/>
    </row>
    <row r="644" ht="15.75" customHeight="1">
      <c r="G644" s="6" t="n"/>
      <c r="H644" s="7" t="n"/>
    </row>
    <row r="645" ht="15.75" customHeight="1">
      <c r="G645" s="6" t="n"/>
      <c r="H645" s="7" t="n"/>
    </row>
    <row r="646" ht="15.75" customHeight="1">
      <c r="G646" s="6" t="n"/>
      <c r="H646" s="7" t="n"/>
    </row>
    <row r="647" ht="15.75" customHeight="1">
      <c r="G647" s="6" t="n"/>
      <c r="H647" s="7" t="n"/>
    </row>
    <row r="648" ht="15.75" customHeight="1">
      <c r="G648" s="6" t="n"/>
      <c r="H648" s="7" t="n"/>
    </row>
    <row r="649" ht="15.75" customHeight="1">
      <c r="G649" s="6" t="n"/>
      <c r="H649" s="7" t="n"/>
    </row>
    <row r="650" ht="15.75" customHeight="1">
      <c r="G650" s="6" t="n"/>
      <c r="H650" s="7" t="n"/>
    </row>
    <row r="651" ht="15.75" customHeight="1">
      <c r="G651" s="6" t="n"/>
      <c r="H651" s="7" t="n"/>
    </row>
    <row r="652" ht="15.75" customHeight="1">
      <c r="G652" s="6" t="n"/>
      <c r="H652" s="7" t="n"/>
    </row>
    <row r="653" ht="15.75" customHeight="1">
      <c r="G653" s="6" t="n"/>
      <c r="H653" s="7" t="n"/>
    </row>
    <row r="654" ht="15.75" customHeight="1">
      <c r="G654" s="6" t="n"/>
      <c r="H654" s="7" t="n"/>
    </row>
    <row r="655" ht="15.75" customHeight="1">
      <c r="G655" s="6" t="n"/>
      <c r="H655" s="7" t="n"/>
    </row>
    <row r="656" ht="15.75" customHeight="1">
      <c r="G656" s="6" t="n"/>
      <c r="H656" s="7" t="n"/>
    </row>
    <row r="657" ht="15.75" customHeight="1">
      <c r="G657" s="6" t="n"/>
      <c r="H657" s="7" t="n"/>
    </row>
    <row r="658" ht="15.75" customHeight="1">
      <c r="G658" s="6" t="n"/>
      <c r="H658" s="7" t="n"/>
    </row>
    <row r="659" ht="15.75" customHeight="1">
      <c r="G659" s="6" t="n"/>
      <c r="H659" s="7" t="n"/>
    </row>
    <row r="660" ht="15.75" customHeight="1">
      <c r="G660" s="6" t="n"/>
      <c r="H660" s="7" t="n"/>
    </row>
    <row r="661" ht="15.75" customHeight="1">
      <c r="G661" s="6" t="n"/>
      <c r="H661" s="7" t="n"/>
    </row>
    <row r="662" ht="15.75" customHeight="1">
      <c r="G662" s="6" t="n"/>
      <c r="H662" s="7" t="n"/>
    </row>
    <row r="663" ht="15.75" customHeight="1">
      <c r="G663" s="6" t="n"/>
      <c r="H663" s="7" t="n"/>
    </row>
    <row r="664" ht="15.75" customHeight="1">
      <c r="G664" s="6" t="n"/>
      <c r="H664" s="7" t="n"/>
    </row>
    <row r="665" ht="15.75" customHeight="1">
      <c r="G665" s="6" t="n"/>
      <c r="H665" s="7" t="n"/>
    </row>
    <row r="666" ht="15.75" customHeight="1">
      <c r="G666" s="6" t="n"/>
      <c r="H666" s="7" t="n"/>
    </row>
    <row r="667" ht="15.75" customHeight="1">
      <c r="G667" s="6" t="n"/>
      <c r="H667" s="7" t="n"/>
    </row>
    <row r="668" ht="15.75" customHeight="1">
      <c r="G668" s="6" t="n"/>
      <c r="H668" s="7" t="n"/>
    </row>
    <row r="669" ht="15.75" customHeight="1">
      <c r="G669" s="6" t="n"/>
      <c r="H669" s="7" t="n"/>
    </row>
    <row r="670" ht="15.75" customHeight="1">
      <c r="G670" s="6" t="n"/>
      <c r="H670" s="7" t="n"/>
    </row>
    <row r="671" ht="15.75" customHeight="1">
      <c r="G671" s="6" t="n"/>
      <c r="H671" s="7" t="n"/>
    </row>
    <row r="672" ht="15.75" customHeight="1">
      <c r="G672" s="6" t="n"/>
      <c r="H672" s="7" t="n"/>
    </row>
    <row r="673" ht="15.75" customHeight="1">
      <c r="G673" s="6" t="n"/>
      <c r="H673" s="7" t="n"/>
    </row>
    <row r="674" ht="15.75" customHeight="1">
      <c r="G674" s="6" t="n"/>
      <c r="H674" s="7" t="n"/>
    </row>
    <row r="675" ht="15.75" customHeight="1">
      <c r="G675" s="6" t="n"/>
      <c r="H675" s="7" t="n"/>
    </row>
    <row r="676" ht="15.75" customHeight="1">
      <c r="G676" s="6" t="n"/>
      <c r="H676" s="7" t="n"/>
    </row>
    <row r="677" ht="15.75" customHeight="1">
      <c r="G677" s="6" t="n"/>
      <c r="H677" s="7" t="n"/>
    </row>
    <row r="678" ht="15.75" customHeight="1">
      <c r="G678" s="6" t="n"/>
      <c r="H678" s="7" t="n"/>
    </row>
    <row r="679" ht="15.75" customHeight="1">
      <c r="G679" s="6" t="n"/>
      <c r="H679" s="7" t="n"/>
    </row>
    <row r="680" ht="15.75" customHeight="1">
      <c r="G680" s="6" t="n"/>
      <c r="H680" s="7" t="n"/>
    </row>
    <row r="681" ht="15.75" customHeight="1">
      <c r="G681" s="6" t="n"/>
      <c r="H681" s="7" t="n"/>
    </row>
    <row r="682" ht="15.75" customHeight="1">
      <c r="G682" s="6" t="n"/>
      <c r="H682" s="7" t="n"/>
    </row>
    <row r="683" ht="15.75" customHeight="1">
      <c r="G683" s="6" t="n"/>
      <c r="H683" s="7" t="n"/>
    </row>
    <row r="684" ht="15.75" customHeight="1">
      <c r="G684" s="6" t="n"/>
      <c r="H684" s="7" t="n"/>
    </row>
    <row r="685" ht="15.75" customHeight="1">
      <c r="G685" s="6" t="n"/>
      <c r="H685" s="7" t="n"/>
    </row>
    <row r="686" ht="15.75" customHeight="1">
      <c r="G686" s="6" t="n"/>
      <c r="H686" s="7" t="n"/>
    </row>
    <row r="687" ht="15.75" customHeight="1">
      <c r="G687" s="6" t="n"/>
      <c r="H687" s="7" t="n"/>
    </row>
    <row r="688" ht="15.75" customHeight="1">
      <c r="G688" s="6" t="n"/>
      <c r="H688" s="7" t="n"/>
    </row>
    <row r="689" ht="15.75" customHeight="1">
      <c r="G689" s="6" t="n"/>
      <c r="H689" s="7" t="n"/>
    </row>
    <row r="690" ht="15.75" customHeight="1">
      <c r="G690" s="6" t="n"/>
      <c r="H690" s="7" t="n"/>
    </row>
    <row r="691" ht="15.75" customHeight="1">
      <c r="G691" s="6" t="n"/>
      <c r="H691" s="7" t="n"/>
    </row>
    <row r="692" ht="15.75" customHeight="1">
      <c r="G692" s="6" t="n"/>
      <c r="H692" s="7" t="n"/>
    </row>
    <row r="693" ht="15.75" customHeight="1">
      <c r="G693" s="6" t="n"/>
      <c r="H693" s="7" t="n"/>
    </row>
    <row r="694" ht="15.75" customHeight="1">
      <c r="G694" s="6" t="n"/>
      <c r="H694" s="7" t="n"/>
    </row>
    <row r="695" ht="15.75" customHeight="1">
      <c r="G695" s="6" t="n"/>
      <c r="H695" s="7" t="n"/>
    </row>
    <row r="696" ht="15.75" customHeight="1">
      <c r="G696" s="6" t="n"/>
      <c r="H696" s="7" t="n"/>
    </row>
    <row r="697" ht="15.75" customHeight="1">
      <c r="G697" s="6" t="n"/>
      <c r="H697" s="7" t="n"/>
    </row>
    <row r="698" ht="15.75" customHeight="1">
      <c r="G698" s="6" t="n"/>
      <c r="H698" s="7" t="n"/>
    </row>
    <row r="699" ht="15.75" customHeight="1">
      <c r="G699" s="6" t="n"/>
      <c r="H699" s="7" t="n"/>
    </row>
    <row r="700" ht="15.75" customHeight="1">
      <c r="G700" s="6" t="n"/>
      <c r="H700" s="7" t="n"/>
    </row>
    <row r="701" ht="15.75" customHeight="1">
      <c r="G701" s="6" t="n"/>
      <c r="H701" s="7" t="n"/>
    </row>
    <row r="702" ht="15.75" customHeight="1">
      <c r="G702" s="6" t="n"/>
      <c r="H702" s="7" t="n"/>
    </row>
    <row r="703" ht="15.75" customHeight="1">
      <c r="G703" s="6" t="n"/>
      <c r="H703" s="7" t="n"/>
    </row>
    <row r="704" ht="15.75" customHeight="1">
      <c r="G704" s="6" t="n"/>
      <c r="H704" s="7" t="n"/>
    </row>
    <row r="705" ht="15.75" customHeight="1">
      <c r="G705" s="6" t="n"/>
      <c r="H705" s="7" t="n"/>
    </row>
    <row r="706" ht="15.75" customHeight="1">
      <c r="G706" s="6" t="n"/>
      <c r="H706" s="7" t="n"/>
    </row>
    <row r="707" ht="15.75" customHeight="1">
      <c r="G707" s="6" t="n"/>
      <c r="H707" s="7" t="n"/>
    </row>
    <row r="708" ht="15.75" customHeight="1">
      <c r="G708" s="6" t="n"/>
      <c r="H708" s="7" t="n"/>
    </row>
    <row r="709" ht="15.75" customHeight="1">
      <c r="G709" s="6" t="n"/>
      <c r="H709" s="7" t="n"/>
    </row>
    <row r="710" ht="15.75" customHeight="1">
      <c r="G710" s="6" t="n"/>
      <c r="H710" s="7" t="n"/>
    </row>
    <row r="711" ht="15.75" customHeight="1">
      <c r="G711" s="6" t="n"/>
      <c r="H711" s="7" t="n"/>
    </row>
    <row r="712" ht="15.75" customHeight="1">
      <c r="G712" s="6" t="n"/>
      <c r="H712" s="7" t="n"/>
    </row>
    <row r="713" ht="15.75" customHeight="1">
      <c r="G713" s="6" t="n"/>
      <c r="H713" s="7" t="n"/>
    </row>
    <row r="714" ht="15.75" customHeight="1">
      <c r="G714" s="6" t="n"/>
      <c r="H714" s="7" t="n"/>
    </row>
    <row r="715" ht="15.75" customHeight="1">
      <c r="G715" s="6" t="n"/>
      <c r="H715" s="7" t="n"/>
    </row>
    <row r="716" ht="15.75" customHeight="1">
      <c r="G716" s="6" t="n"/>
      <c r="H716" s="7" t="n"/>
    </row>
    <row r="717" ht="15.75" customHeight="1">
      <c r="G717" s="6" t="n"/>
      <c r="H717" s="7" t="n"/>
    </row>
    <row r="718" ht="15.75" customHeight="1">
      <c r="G718" s="6" t="n"/>
      <c r="H718" s="7" t="n"/>
    </row>
    <row r="719" ht="15.75" customHeight="1">
      <c r="G719" s="6" t="n"/>
      <c r="H719" s="7" t="n"/>
    </row>
    <row r="720" ht="15.75" customHeight="1">
      <c r="G720" s="6" t="n"/>
      <c r="H720" s="7" t="n"/>
    </row>
    <row r="721" ht="15.75" customHeight="1">
      <c r="G721" s="6" t="n"/>
      <c r="H721" s="7" t="n"/>
    </row>
    <row r="722" ht="15.75" customHeight="1">
      <c r="G722" s="6" t="n"/>
      <c r="H722" s="7" t="n"/>
    </row>
    <row r="723" ht="15.75" customHeight="1">
      <c r="G723" s="6" t="n"/>
      <c r="H723" s="7" t="n"/>
    </row>
    <row r="724" ht="15.75" customHeight="1">
      <c r="G724" s="6" t="n"/>
      <c r="H724" s="7" t="n"/>
    </row>
    <row r="725" ht="15.75" customHeight="1">
      <c r="G725" s="6" t="n"/>
      <c r="H725" s="7" t="n"/>
    </row>
    <row r="726" ht="15.75" customHeight="1">
      <c r="G726" s="6" t="n"/>
      <c r="H726" s="7" t="n"/>
    </row>
    <row r="727" ht="15.75" customHeight="1">
      <c r="G727" s="6" t="n"/>
      <c r="H727" s="7" t="n"/>
    </row>
    <row r="728" ht="15.75" customHeight="1">
      <c r="G728" s="6" t="n"/>
      <c r="H728" s="7" t="n"/>
    </row>
    <row r="729" ht="15.75" customHeight="1">
      <c r="G729" s="6" t="n"/>
      <c r="H729" s="7" t="n"/>
    </row>
    <row r="730" ht="15.75" customHeight="1">
      <c r="G730" s="6" t="n"/>
      <c r="H730" s="7" t="n"/>
    </row>
    <row r="731" ht="15.75" customHeight="1">
      <c r="G731" s="6" t="n"/>
      <c r="H731" s="7" t="n"/>
    </row>
    <row r="732" ht="15.75" customHeight="1">
      <c r="G732" s="6" t="n"/>
      <c r="H732" s="7" t="n"/>
    </row>
    <row r="733" ht="15.75" customHeight="1">
      <c r="G733" s="6" t="n"/>
      <c r="H733" s="7" t="n"/>
    </row>
    <row r="734" ht="15.75" customHeight="1">
      <c r="G734" s="6" t="n"/>
      <c r="H734" s="7" t="n"/>
    </row>
    <row r="735" ht="15.75" customHeight="1">
      <c r="G735" s="6" t="n"/>
      <c r="H735" s="7" t="n"/>
    </row>
    <row r="736" ht="15.75" customHeight="1">
      <c r="G736" s="6" t="n"/>
      <c r="H736" s="7" t="n"/>
    </row>
    <row r="737" ht="15.75" customHeight="1">
      <c r="G737" s="6" t="n"/>
      <c r="H737" s="7" t="n"/>
    </row>
    <row r="738" ht="15.75" customHeight="1">
      <c r="G738" s="6" t="n"/>
      <c r="H738" s="7" t="n"/>
    </row>
    <row r="739" ht="15.75" customHeight="1">
      <c r="G739" s="6" t="n"/>
      <c r="H739" s="7" t="n"/>
    </row>
    <row r="740" ht="15.75" customHeight="1">
      <c r="G740" s="6" t="n"/>
      <c r="H740" s="7" t="n"/>
    </row>
    <row r="741" ht="15.75" customHeight="1">
      <c r="G741" s="6" t="n"/>
      <c r="H741" s="7" t="n"/>
    </row>
    <row r="742" ht="15.75" customHeight="1">
      <c r="G742" s="6" t="n"/>
      <c r="H742" s="7" t="n"/>
    </row>
    <row r="743" ht="15.75" customHeight="1">
      <c r="G743" s="6" t="n"/>
      <c r="H743" s="7" t="n"/>
    </row>
    <row r="744" ht="15.75" customHeight="1">
      <c r="G744" s="6" t="n"/>
      <c r="H744" s="7" t="n"/>
    </row>
    <row r="745" ht="15.75" customHeight="1">
      <c r="G745" s="6" t="n"/>
      <c r="H745" s="7" t="n"/>
    </row>
    <row r="746" ht="15.75" customHeight="1">
      <c r="G746" s="6" t="n"/>
      <c r="H746" s="7" t="n"/>
    </row>
    <row r="747" ht="15.75" customHeight="1">
      <c r="G747" s="6" t="n"/>
      <c r="H747" s="7" t="n"/>
    </row>
    <row r="748" ht="15.75" customHeight="1">
      <c r="G748" s="6" t="n"/>
      <c r="H748" s="7" t="n"/>
    </row>
    <row r="749" ht="15.75" customHeight="1">
      <c r="G749" s="6" t="n"/>
      <c r="H749" s="7" t="n"/>
    </row>
    <row r="750" ht="15.75" customHeight="1">
      <c r="G750" s="6" t="n"/>
      <c r="H750" s="7" t="n"/>
    </row>
    <row r="751" ht="15.75" customHeight="1">
      <c r="G751" s="6" t="n"/>
      <c r="H751" s="7" t="n"/>
    </row>
    <row r="752" ht="15.75" customHeight="1">
      <c r="G752" s="6" t="n"/>
      <c r="H752" s="7" t="n"/>
    </row>
    <row r="753" ht="15.75" customHeight="1">
      <c r="G753" s="6" t="n"/>
      <c r="H753" s="7" t="n"/>
    </row>
    <row r="754" ht="15.75" customHeight="1">
      <c r="G754" s="6" t="n"/>
      <c r="H754" s="7" t="n"/>
    </row>
    <row r="755" ht="15.75" customHeight="1">
      <c r="G755" s="6" t="n"/>
      <c r="H755" s="7" t="n"/>
    </row>
    <row r="756" ht="15.75" customHeight="1">
      <c r="G756" s="6" t="n"/>
      <c r="H756" s="7" t="n"/>
    </row>
    <row r="757" ht="15.75" customHeight="1">
      <c r="G757" s="6" t="n"/>
      <c r="H757" s="7" t="n"/>
    </row>
    <row r="758" ht="15.75" customHeight="1">
      <c r="G758" s="6" t="n"/>
      <c r="H758" s="7" t="n"/>
    </row>
    <row r="759" ht="15.75" customHeight="1">
      <c r="G759" s="6" t="n"/>
      <c r="H759" s="7" t="n"/>
    </row>
    <row r="760" ht="15.75" customHeight="1">
      <c r="G760" s="6" t="n"/>
      <c r="H760" s="7" t="n"/>
    </row>
    <row r="761" ht="15.75" customHeight="1">
      <c r="G761" s="6" t="n"/>
      <c r="H761" s="7" t="n"/>
    </row>
    <row r="762" ht="15.75" customHeight="1">
      <c r="G762" s="6" t="n"/>
      <c r="H762" s="7" t="n"/>
    </row>
    <row r="763" ht="15.75" customHeight="1">
      <c r="G763" s="6" t="n"/>
      <c r="H763" s="7" t="n"/>
    </row>
    <row r="764" ht="15.75" customHeight="1">
      <c r="G764" s="6" t="n"/>
      <c r="H764" s="7" t="n"/>
    </row>
    <row r="765" ht="15.75" customHeight="1">
      <c r="G765" s="6" t="n"/>
      <c r="H765" s="7" t="n"/>
    </row>
    <row r="766" ht="15.75" customHeight="1">
      <c r="G766" s="6" t="n"/>
      <c r="H766" s="7" t="n"/>
    </row>
    <row r="767" ht="15.75" customHeight="1">
      <c r="G767" s="6" t="n"/>
      <c r="H767" s="7" t="n"/>
    </row>
    <row r="768" ht="15.75" customHeight="1">
      <c r="G768" s="6" t="n"/>
      <c r="H768" s="7" t="n"/>
    </row>
    <row r="769" ht="15.75" customHeight="1">
      <c r="G769" s="6" t="n"/>
      <c r="H769" s="7" t="n"/>
    </row>
    <row r="770" ht="15.75" customHeight="1">
      <c r="G770" s="6" t="n"/>
      <c r="H770" s="7" t="n"/>
    </row>
    <row r="771" ht="15.75" customHeight="1">
      <c r="G771" s="6" t="n"/>
      <c r="H771" s="7" t="n"/>
    </row>
    <row r="772" ht="15.75" customHeight="1">
      <c r="G772" s="6" t="n"/>
      <c r="H772" s="7" t="n"/>
    </row>
    <row r="773" ht="15.75" customHeight="1">
      <c r="G773" s="6" t="n"/>
      <c r="H773" s="7" t="n"/>
    </row>
    <row r="774" ht="15.75" customHeight="1">
      <c r="G774" s="6" t="n"/>
      <c r="H774" s="7" t="n"/>
    </row>
    <row r="775" ht="15.75" customHeight="1">
      <c r="G775" s="6" t="n"/>
      <c r="H775" s="7" t="n"/>
    </row>
    <row r="776" ht="15.75" customHeight="1">
      <c r="G776" s="6" t="n"/>
      <c r="H776" s="7" t="n"/>
    </row>
    <row r="777" ht="15.75" customHeight="1">
      <c r="G777" s="6" t="n"/>
      <c r="H777" s="7" t="n"/>
    </row>
    <row r="778" ht="15.75" customHeight="1">
      <c r="G778" s="6" t="n"/>
      <c r="H778" s="7" t="n"/>
    </row>
    <row r="779" ht="15.75" customHeight="1">
      <c r="G779" s="6" t="n"/>
      <c r="H779" s="7" t="n"/>
    </row>
    <row r="780" ht="15.75" customHeight="1">
      <c r="G780" s="6" t="n"/>
      <c r="H780" s="7" t="n"/>
    </row>
    <row r="781" ht="15.75" customHeight="1">
      <c r="G781" s="6" t="n"/>
      <c r="H781" s="7" t="n"/>
    </row>
    <row r="782" ht="15.75" customHeight="1">
      <c r="G782" s="6" t="n"/>
      <c r="H782" s="7" t="n"/>
    </row>
    <row r="783" ht="15.75" customHeight="1">
      <c r="G783" s="6" t="n"/>
      <c r="H783" s="7" t="n"/>
    </row>
    <row r="784" ht="15.75" customHeight="1">
      <c r="G784" s="6" t="n"/>
      <c r="H784" s="7" t="n"/>
    </row>
    <row r="785" ht="15.75" customHeight="1">
      <c r="G785" s="6" t="n"/>
      <c r="H785" s="7" t="n"/>
    </row>
    <row r="786" ht="15.75" customHeight="1">
      <c r="G786" s="6" t="n"/>
      <c r="H786" s="7" t="n"/>
    </row>
    <row r="787" ht="15.75" customHeight="1">
      <c r="G787" s="6" t="n"/>
      <c r="H787" s="7" t="n"/>
    </row>
    <row r="788" ht="15.75" customHeight="1">
      <c r="G788" s="6" t="n"/>
      <c r="H788" s="7" t="n"/>
    </row>
    <row r="789" ht="15.75" customHeight="1">
      <c r="G789" s="6" t="n"/>
      <c r="H789" s="7" t="n"/>
    </row>
    <row r="790" ht="15.75" customHeight="1">
      <c r="G790" s="6" t="n"/>
      <c r="H790" s="7" t="n"/>
    </row>
    <row r="791" ht="15.75" customHeight="1">
      <c r="G791" s="6" t="n"/>
      <c r="H791" s="7" t="n"/>
    </row>
    <row r="792" ht="15.75" customHeight="1">
      <c r="G792" s="6" t="n"/>
      <c r="H792" s="7" t="n"/>
    </row>
    <row r="793" ht="15.75" customHeight="1">
      <c r="G793" s="6" t="n"/>
      <c r="H793" s="7" t="n"/>
    </row>
    <row r="794" ht="15.75" customHeight="1">
      <c r="G794" s="6" t="n"/>
      <c r="H794" s="7" t="n"/>
    </row>
    <row r="795" ht="15.75" customHeight="1">
      <c r="G795" s="6" t="n"/>
      <c r="H795" s="7" t="n"/>
    </row>
    <row r="796" ht="15.75" customHeight="1">
      <c r="G796" s="6" t="n"/>
      <c r="H796" s="7" t="n"/>
    </row>
    <row r="797" ht="15.75" customHeight="1">
      <c r="G797" s="6" t="n"/>
      <c r="H797" s="7" t="n"/>
    </row>
    <row r="798" ht="15.75" customHeight="1">
      <c r="G798" s="6" t="n"/>
      <c r="H798" s="7" t="n"/>
    </row>
    <row r="799" ht="15.75" customHeight="1">
      <c r="G799" s="6" t="n"/>
      <c r="H799" s="7" t="n"/>
    </row>
    <row r="800" ht="15.75" customHeight="1">
      <c r="G800" s="6" t="n"/>
      <c r="H800" s="7" t="n"/>
    </row>
    <row r="801" ht="15.75" customHeight="1">
      <c r="G801" s="6" t="n"/>
      <c r="H801" s="7" t="n"/>
    </row>
    <row r="802" ht="15.75" customHeight="1">
      <c r="G802" s="6" t="n"/>
      <c r="H802" s="7" t="n"/>
    </row>
    <row r="803" ht="15.75" customHeight="1">
      <c r="G803" s="6" t="n"/>
      <c r="H803" s="7" t="n"/>
    </row>
    <row r="804" ht="15.75" customHeight="1">
      <c r="G804" s="6" t="n"/>
      <c r="H804" s="7" t="n"/>
    </row>
    <row r="805" ht="15.75" customHeight="1">
      <c r="G805" s="6" t="n"/>
      <c r="H805" s="7" t="n"/>
    </row>
    <row r="806" ht="15.75" customHeight="1">
      <c r="G806" s="6" t="n"/>
      <c r="H806" s="7" t="n"/>
    </row>
    <row r="807" ht="15.75" customHeight="1">
      <c r="G807" s="6" t="n"/>
      <c r="H807" s="7" t="n"/>
    </row>
    <row r="808" ht="15.75" customHeight="1">
      <c r="G808" s="6" t="n"/>
      <c r="H808" s="7" t="n"/>
    </row>
    <row r="809" ht="15.75" customHeight="1">
      <c r="G809" s="6" t="n"/>
      <c r="H809" s="7" t="n"/>
    </row>
    <row r="810" ht="15.75" customHeight="1">
      <c r="G810" s="6" t="n"/>
      <c r="H810" s="7" t="n"/>
    </row>
    <row r="811" ht="15.75" customHeight="1">
      <c r="G811" s="6" t="n"/>
      <c r="H811" s="7" t="n"/>
    </row>
    <row r="812" ht="15.75" customHeight="1">
      <c r="G812" s="6" t="n"/>
      <c r="H812" s="7" t="n"/>
    </row>
    <row r="813" ht="15.75" customHeight="1">
      <c r="G813" s="6" t="n"/>
      <c r="H813" s="7" t="n"/>
    </row>
    <row r="814" ht="15.75" customHeight="1">
      <c r="G814" s="6" t="n"/>
      <c r="H814" s="7" t="n"/>
    </row>
    <row r="815" ht="15.75" customHeight="1">
      <c r="G815" s="6" t="n"/>
      <c r="H815" s="7" t="n"/>
    </row>
    <row r="816" ht="15.75" customHeight="1">
      <c r="G816" s="6" t="n"/>
      <c r="H816" s="7" t="n"/>
    </row>
    <row r="817" ht="15.75" customHeight="1">
      <c r="G817" s="6" t="n"/>
      <c r="H817" s="7" t="n"/>
    </row>
    <row r="818" ht="15.75" customHeight="1">
      <c r="G818" s="6" t="n"/>
      <c r="H818" s="7" t="n"/>
    </row>
    <row r="819" ht="15.75" customHeight="1">
      <c r="G819" s="6" t="n"/>
      <c r="H819" s="7" t="n"/>
    </row>
    <row r="820" ht="15.75" customHeight="1">
      <c r="G820" s="6" t="n"/>
      <c r="H820" s="7" t="n"/>
    </row>
    <row r="821" ht="15.75" customHeight="1">
      <c r="G821" s="6" t="n"/>
      <c r="H821" s="7" t="n"/>
    </row>
    <row r="822" ht="15.75" customHeight="1">
      <c r="G822" s="6" t="n"/>
      <c r="H822" s="7" t="n"/>
    </row>
    <row r="823" ht="15.75" customHeight="1">
      <c r="G823" s="6" t="n"/>
      <c r="H823" s="7" t="n"/>
    </row>
    <row r="824" ht="15.75" customHeight="1">
      <c r="G824" s="6" t="n"/>
      <c r="H824" s="7" t="n"/>
    </row>
    <row r="825" ht="15.75" customHeight="1">
      <c r="G825" s="6" t="n"/>
      <c r="H825" s="7" t="n"/>
    </row>
    <row r="826" ht="15.75" customHeight="1">
      <c r="G826" s="6" t="n"/>
      <c r="H826" s="7" t="n"/>
    </row>
    <row r="827" ht="15.75" customHeight="1">
      <c r="G827" s="6" t="n"/>
      <c r="H827" s="7" t="n"/>
    </row>
    <row r="828" ht="15.75" customHeight="1">
      <c r="G828" s="6" t="n"/>
      <c r="H828" s="7" t="n"/>
    </row>
    <row r="829" ht="15.75" customHeight="1">
      <c r="G829" s="6" t="n"/>
      <c r="H829" s="7" t="n"/>
    </row>
    <row r="830" ht="15.75" customHeight="1">
      <c r="G830" s="6" t="n"/>
      <c r="H830" s="7" t="n"/>
    </row>
    <row r="831" ht="15.75" customHeight="1">
      <c r="G831" s="6" t="n"/>
      <c r="H831" s="7" t="n"/>
    </row>
    <row r="832" ht="15.75" customHeight="1">
      <c r="G832" s="6" t="n"/>
      <c r="H832" s="7" t="n"/>
    </row>
    <row r="833" ht="15.75" customHeight="1">
      <c r="G833" s="6" t="n"/>
      <c r="H833" s="7" t="n"/>
    </row>
    <row r="834" ht="15.75" customHeight="1">
      <c r="G834" s="6" t="n"/>
      <c r="H834" s="7" t="n"/>
    </row>
    <row r="835" ht="15.75" customHeight="1">
      <c r="G835" s="6" t="n"/>
      <c r="H835" s="7" t="n"/>
    </row>
    <row r="836" ht="15.75" customHeight="1">
      <c r="G836" s="6" t="n"/>
      <c r="H836" s="7" t="n"/>
    </row>
    <row r="837" ht="15.75" customHeight="1">
      <c r="G837" s="6" t="n"/>
      <c r="H837" s="7" t="n"/>
    </row>
    <row r="838" ht="15.75" customHeight="1">
      <c r="G838" s="6" t="n"/>
      <c r="H838" s="7" t="n"/>
    </row>
    <row r="839" ht="15.75" customHeight="1">
      <c r="G839" s="6" t="n"/>
      <c r="H839" s="7" t="n"/>
    </row>
    <row r="840" ht="15.75" customHeight="1">
      <c r="G840" s="6" t="n"/>
      <c r="H840" s="7" t="n"/>
    </row>
    <row r="841" ht="15.75" customHeight="1">
      <c r="G841" s="6" t="n"/>
      <c r="H841" s="7" t="n"/>
    </row>
    <row r="842" ht="15.75" customHeight="1">
      <c r="G842" s="6" t="n"/>
      <c r="H842" s="7" t="n"/>
    </row>
    <row r="843" ht="15.75" customHeight="1">
      <c r="G843" s="6" t="n"/>
      <c r="H843" s="7" t="n"/>
    </row>
    <row r="844" ht="15.75" customHeight="1">
      <c r="G844" s="6" t="n"/>
      <c r="H844" s="7" t="n"/>
    </row>
    <row r="845" ht="15.75" customHeight="1">
      <c r="G845" s="6" t="n"/>
      <c r="H845" s="7" t="n"/>
    </row>
    <row r="846" ht="15.75" customHeight="1">
      <c r="G846" s="6" t="n"/>
      <c r="H846" s="7" t="n"/>
    </row>
    <row r="847" ht="15.75" customHeight="1">
      <c r="G847" s="6" t="n"/>
      <c r="H847" s="7" t="n"/>
    </row>
    <row r="848" ht="15.75" customHeight="1">
      <c r="G848" s="6" t="n"/>
      <c r="H848" s="7" t="n"/>
    </row>
    <row r="849" ht="15.75" customHeight="1">
      <c r="G849" s="6" t="n"/>
      <c r="H849" s="7" t="n"/>
    </row>
    <row r="850" ht="15.75" customHeight="1">
      <c r="G850" s="6" t="n"/>
      <c r="H850" s="7" t="n"/>
    </row>
    <row r="851" ht="15.75" customHeight="1">
      <c r="G851" s="6" t="n"/>
      <c r="H851" s="7" t="n"/>
    </row>
    <row r="852" ht="15.75" customHeight="1">
      <c r="G852" s="6" t="n"/>
      <c r="H852" s="7" t="n"/>
    </row>
    <row r="853" ht="15.75" customHeight="1">
      <c r="G853" s="6" t="n"/>
      <c r="H853" s="7" t="n"/>
    </row>
    <row r="854" ht="15.75" customHeight="1">
      <c r="G854" s="6" t="n"/>
      <c r="H854" s="7" t="n"/>
    </row>
    <row r="855" ht="15.75" customHeight="1">
      <c r="G855" s="6" t="n"/>
      <c r="H855" s="7" t="n"/>
    </row>
    <row r="856" ht="15.75" customHeight="1">
      <c r="G856" s="6" t="n"/>
      <c r="H856" s="7" t="n"/>
    </row>
    <row r="857" ht="15.75" customHeight="1">
      <c r="G857" s="6" t="n"/>
      <c r="H857" s="7" t="n"/>
    </row>
    <row r="858" ht="15.75" customHeight="1">
      <c r="G858" s="6" t="n"/>
      <c r="H858" s="7" t="n"/>
    </row>
    <row r="859" ht="15.75" customHeight="1">
      <c r="G859" s="6" t="n"/>
      <c r="H859" s="7" t="n"/>
    </row>
    <row r="860" ht="15.75" customHeight="1">
      <c r="G860" s="6" t="n"/>
      <c r="H860" s="7" t="n"/>
    </row>
    <row r="861" ht="15.75" customHeight="1">
      <c r="G861" s="6" t="n"/>
      <c r="H861" s="7" t="n"/>
    </row>
    <row r="862" ht="15.75" customHeight="1">
      <c r="G862" s="6" t="n"/>
      <c r="H862" s="7" t="n"/>
    </row>
    <row r="863" ht="15.75" customHeight="1">
      <c r="G863" s="6" t="n"/>
      <c r="H863" s="7" t="n"/>
    </row>
    <row r="864" ht="15.75" customHeight="1">
      <c r="G864" s="6" t="n"/>
      <c r="H864" s="7" t="n"/>
    </row>
    <row r="865" ht="15.75" customHeight="1">
      <c r="G865" s="6" t="n"/>
      <c r="H865" s="7" t="n"/>
    </row>
    <row r="866" ht="15.75" customHeight="1">
      <c r="G866" s="6" t="n"/>
      <c r="H866" s="7" t="n"/>
    </row>
    <row r="867" ht="15.75" customHeight="1">
      <c r="G867" s="6" t="n"/>
      <c r="H867" s="7" t="n"/>
    </row>
    <row r="868" ht="15.75" customHeight="1">
      <c r="G868" s="6" t="n"/>
      <c r="H868" s="7" t="n"/>
    </row>
    <row r="869" ht="15.75" customHeight="1">
      <c r="G869" s="6" t="n"/>
      <c r="H869" s="7" t="n"/>
    </row>
    <row r="870" ht="15.75" customHeight="1">
      <c r="G870" s="6" t="n"/>
      <c r="H870" s="7" t="n"/>
    </row>
    <row r="871" ht="15.75" customHeight="1">
      <c r="G871" s="6" t="n"/>
      <c r="H871" s="7" t="n"/>
    </row>
    <row r="872" ht="15.75" customHeight="1">
      <c r="G872" s="6" t="n"/>
      <c r="H872" s="7" t="n"/>
    </row>
    <row r="873" ht="15.75" customHeight="1">
      <c r="G873" s="6" t="n"/>
      <c r="H873" s="7" t="n"/>
    </row>
    <row r="874" ht="15.75" customHeight="1">
      <c r="G874" s="6" t="n"/>
      <c r="H874" s="7" t="n"/>
    </row>
    <row r="875" ht="15.75" customHeight="1">
      <c r="G875" s="6" t="n"/>
      <c r="H875" s="7" t="n"/>
    </row>
    <row r="876" ht="15.75" customHeight="1">
      <c r="G876" s="6" t="n"/>
      <c r="H876" s="7" t="n"/>
    </row>
    <row r="877" ht="15.75" customHeight="1">
      <c r="G877" s="6" t="n"/>
      <c r="H877" s="7" t="n"/>
    </row>
    <row r="878" ht="15.75" customHeight="1">
      <c r="G878" s="6" t="n"/>
      <c r="H878" s="7" t="n"/>
    </row>
    <row r="879" ht="15.75" customHeight="1">
      <c r="G879" s="6" t="n"/>
      <c r="H879" s="7" t="n"/>
    </row>
    <row r="880" ht="15.75" customHeight="1">
      <c r="G880" s="6" t="n"/>
      <c r="H880" s="7" t="n"/>
    </row>
    <row r="881" ht="15.75" customHeight="1">
      <c r="G881" s="6" t="n"/>
      <c r="H881" s="7" t="n"/>
    </row>
    <row r="882" ht="15.75" customHeight="1">
      <c r="G882" s="6" t="n"/>
      <c r="H882" s="7" t="n"/>
    </row>
    <row r="883" ht="15.75" customHeight="1">
      <c r="G883" s="6" t="n"/>
      <c r="H883" s="7" t="n"/>
    </row>
    <row r="884" ht="15.75" customHeight="1">
      <c r="G884" s="6" t="n"/>
      <c r="H884" s="7" t="n"/>
    </row>
    <row r="885" ht="15.75" customHeight="1">
      <c r="G885" s="6" t="n"/>
      <c r="H885" s="7" t="n"/>
    </row>
    <row r="886" ht="15.75" customHeight="1">
      <c r="G886" s="6" t="n"/>
      <c r="H886" s="7" t="n"/>
    </row>
    <row r="887" ht="15.75" customHeight="1">
      <c r="G887" s="6" t="n"/>
      <c r="H887" s="7" t="n"/>
    </row>
    <row r="888" ht="15.75" customHeight="1">
      <c r="G888" s="6" t="n"/>
      <c r="H888" s="7" t="n"/>
    </row>
    <row r="889" ht="15.75" customHeight="1">
      <c r="G889" s="6" t="n"/>
      <c r="H889" s="7" t="n"/>
    </row>
    <row r="890" ht="15.75" customHeight="1">
      <c r="G890" s="6" t="n"/>
      <c r="H890" s="7" t="n"/>
    </row>
    <row r="891" ht="15.75" customHeight="1">
      <c r="G891" s="6" t="n"/>
      <c r="H891" s="7" t="n"/>
    </row>
    <row r="892" ht="15.75" customHeight="1">
      <c r="G892" s="6" t="n"/>
      <c r="H892" s="7" t="n"/>
    </row>
    <row r="893" ht="15.75" customHeight="1">
      <c r="G893" s="6" t="n"/>
      <c r="H893" s="7" t="n"/>
    </row>
    <row r="894" ht="15.75" customHeight="1">
      <c r="G894" s="6" t="n"/>
      <c r="H894" s="7" t="n"/>
    </row>
    <row r="895" ht="15.75" customHeight="1">
      <c r="G895" s="6" t="n"/>
      <c r="H895" s="7" t="n"/>
    </row>
    <row r="896" ht="15.75" customHeight="1">
      <c r="G896" s="6" t="n"/>
      <c r="H896" s="7" t="n"/>
    </row>
    <row r="897" ht="15.75" customHeight="1">
      <c r="G897" s="6" t="n"/>
      <c r="H897" s="7" t="n"/>
    </row>
    <row r="898" ht="15.75" customHeight="1">
      <c r="G898" s="6" t="n"/>
      <c r="H898" s="7" t="n"/>
    </row>
    <row r="899" ht="15.75" customHeight="1">
      <c r="G899" s="6" t="n"/>
      <c r="H899" s="7" t="n"/>
    </row>
    <row r="900" ht="15.75" customHeight="1">
      <c r="G900" s="6" t="n"/>
      <c r="H900" s="7" t="n"/>
    </row>
    <row r="901" ht="15.75" customHeight="1">
      <c r="G901" s="6" t="n"/>
      <c r="H901" s="7" t="n"/>
    </row>
    <row r="902" ht="15.75" customHeight="1">
      <c r="G902" s="6" t="n"/>
      <c r="H902" s="7" t="n"/>
    </row>
    <row r="903" ht="15.75" customHeight="1">
      <c r="G903" s="6" t="n"/>
      <c r="H903" s="7" t="n"/>
    </row>
    <row r="904" ht="15.75" customHeight="1">
      <c r="G904" s="6" t="n"/>
      <c r="H904" s="7" t="n"/>
    </row>
    <row r="905" ht="15.75" customHeight="1">
      <c r="G905" s="6" t="n"/>
      <c r="H905" s="7" t="n"/>
    </row>
    <row r="906" ht="15.75" customHeight="1">
      <c r="G906" s="6" t="n"/>
      <c r="H906" s="7" t="n"/>
    </row>
    <row r="907" ht="15.75" customHeight="1">
      <c r="G907" s="6" t="n"/>
      <c r="H907" s="7" t="n"/>
    </row>
    <row r="908" ht="15.75" customHeight="1">
      <c r="G908" s="6" t="n"/>
      <c r="H908" s="7" t="n"/>
    </row>
    <row r="909" ht="15.75" customHeight="1">
      <c r="G909" s="6" t="n"/>
      <c r="H909" s="7" t="n"/>
    </row>
    <row r="910" ht="15.75" customHeight="1">
      <c r="G910" s="6" t="n"/>
      <c r="H910" s="7" t="n"/>
    </row>
    <row r="911" ht="15.75" customHeight="1">
      <c r="G911" s="6" t="n"/>
      <c r="H911" s="7" t="n"/>
    </row>
    <row r="912" ht="15.75" customHeight="1">
      <c r="G912" s="6" t="n"/>
      <c r="H912" s="7" t="n"/>
    </row>
    <row r="913" ht="15.75" customHeight="1">
      <c r="G913" s="6" t="n"/>
      <c r="H913" s="7" t="n"/>
    </row>
    <row r="914" ht="15.75" customHeight="1">
      <c r="G914" s="6" t="n"/>
      <c r="H914" s="7" t="n"/>
    </row>
    <row r="915" ht="15.75" customHeight="1">
      <c r="G915" s="6" t="n"/>
      <c r="H915" s="7" t="n"/>
    </row>
    <row r="916" ht="15.75" customHeight="1">
      <c r="G916" s="6" t="n"/>
      <c r="H916" s="7" t="n"/>
    </row>
    <row r="917" ht="15.75" customHeight="1">
      <c r="G917" s="6" t="n"/>
      <c r="H917" s="7" t="n"/>
    </row>
    <row r="918" ht="15.75" customHeight="1">
      <c r="G918" s="6" t="n"/>
      <c r="H918" s="7" t="n"/>
    </row>
    <row r="919" ht="15.75" customHeight="1">
      <c r="G919" s="6" t="n"/>
      <c r="H919" s="7" t="n"/>
    </row>
    <row r="920" ht="15.75" customHeight="1">
      <c r="G920" s="6" t="n"/>
      <c r="H920" s="7" t="n"/>
    </row>
    <row r="921" ht="15.75" customHeight="1">
      <c r="G921" s="6" t="n"/>
      <c r="H921" s="7" t="n"/>
    </row>
    <row r="922" ht="15.75" customHeight="1">
      <c r="G922" s="6" t="n"/>
      <c r="H922" s="7" t="n"/>
    </row>
    <row r="923" ht="15.75" customHeight="1">
      <c r="G923" s="6" t="n"/>
      <c r="H923" s="7" t="n"/>
    </row>
    <row r="924" ht="15.75" customHeight="1">
      <c r="G924" s="6" t="n"/>
      <c r="H924" s="7" t="n"/>
    </row>
    <row r="925" ht="15.75" customHeight="1">
      <c r="G925" s="6" t="n"/>
      <c r="H925" s="7" t="n"/>
    </row>
    <row r="926" ht="15.75" customHeight="1">
      <c r="G926" s="6" t="n"/>
      <c r="H926" s="7" t="n"/>
    </row>
    <row r="927" ht="15.75" customHeight="1">
      <c r="G927" s="6" t="n"/>
      <c r="H927" s="7" t="n"/>
    </row>
    <row r="928" ht="15.75" customHeight="1">
      <c r="G928" s="6" t="n"/>
      <c r="H928" s="7" t="n"/>
    </row>
    <row r="929" ht="15.75" customHeight="1">
      <c r="G929" s="6" t="n"/>
      <c r="H929" s="7" t="n"/>
    </row>
    <row r="930" ht="15.75" customHeight="1">
      <c r="G930" s="6" t="n"/>
      <c r="H930" s="7" t="n"/>
    </row>
    <row r="931" ht="15.75" customHeight="1">
      <c r="G931" s="6" t="n"/>
      <c r="H931" s="7" t="n"/>
    </row>
    <row r="932" ht="15.75" customHeight="1">
      <c r="G932" s="6" t="n"/>
      <c r="H932" s="7" t="n"/>
    </row>
    <row r="933" ht="15.75" customHeight="1">
      <c r="G933" s="6" t="n"/>
      <c r="H933" s="7" t="n"/>
    </row>
    <row r="934" ht="15.75" customHeight="1">
      <c r="G934" s="6" t="n"/>
      <c r="H934" s="7" t="n"/>
    </row>
    <row r="935" ht="15.75" customHeight="1">
      <c r="G935" s="6" t="n"/>
      <c r="H935" s="7" t="n"/>
    </row>
    <row r="936" ht="15.75" customHeight="1">
      <c r="G936" s="6" t="n"/>
      <c r="H936" s="7" t="n"/>
    </row>
    <row r="937" ht="15.75" customHeight="1">
      <c r="G937" s="6" t="n"/>
      <c r="H937" s="7" t="n"/>
    </row>
    <row r="938" ht="15.75" customHeight="1">
      <c r="G938" s="6" t="n"/>
      <c r="H938" s="7" t="n"/>
    </row>
    <row r="939" ht="15.75" customHeight="1">
      <c r="G939" s="6" t="n"/>
      <c r="H939" s="7" t="n"/>
    </row>
    <row r="940" ht="15.75" customHeight="1">
      <c r="G940" s="6" t="n"/>
      <c r="H940" s="7" t="n"/>
    </row>
    <row r="941" ht="15.75" customHeight="1">
      <c r="G941" s="6" t="n"/>
      <c r="H941" s="7" t="n"/>
    </row>
    <row r="942" ht="15.75" customHeight="1">
      <c r="G942" s="6" t="n"/>
      <c r="H942" s="7" t="n"/>
    </row>
    <row r="943" ht="15.75" customHeight="1">
      <c r="G943" s="6" t="n"/>
      <c r="H943" s="7" t="n"/>
    </row>
    <row r="944" ht="15.75" customHeight="1">
      <c r="G944" s="6" t="n"/>
      <c r="H944" s="7" t="n"/>
    </row>
    <row r="945" ht="15.75" customHeight="1">
      <c r="G945" s="6" t="n"/>
      <c r="H945" s="7" t="n"/>
    </row>
    <row r="946" ht="15.75" customHeight="1">
      <c r="G946" s="6" t="n"/>
      <c r="H946" s="7" t="n"/>
    </row>
    <row r="947" ht="15.75" customHeight="1">
      <c r="G947" s="6" t="n"/>
      <c r="H947" s="7" t="n"/>
    </row>
    <row r="948" ht="15.75" customHeight="1">
      <c r="G948" s="6" t="n"/>
      <c r="H948" s="7" t="n"/>
    </row>
    <row r="949" ht="15.75" customHeight="1">
      <c r="G949" s="6" t="n"/>
      <c r="H949" s="7" t="n"/>
    </row>
    <row r="950" ht="15.75" customHeight="1">
      <c r="G950" s="6" t="n"/>
      <c r="H950" s="7" t="n"/>
    </row>
    <row r="951" ht="15.75" customHeight="1">
      <c r="G951" s="6" t="n"/>
      <c r="H951" s="7" t="n"/>
    </row>
    <row r="952" ht="15.75" customHeight="1">
      <c r="G952" s="6" t="n"/>
      <c r="H952" s="7" t="n"/>
    </row>
    <row r="953" ht="15.75" customHeight="1">
      <c r="G953" s="6" t="n"/>
      <c r="H953" s="7" t="n"/>
    </row>
    <row r="954" ht="15.75" customHeight="1">
      <c r="G954" s="6" t="n"/>
      <c r="H954" s="7" t="n"/>
    </row>
    <row r="955" ht="15.75" customHeight="1">
      <c r="G955" s="6" t="n"/>
      <c r="H955" s="7" t="n"/>
    </row>
    <row r="956" ht="15.75" customHeight="1">
      <c r="G956" s="6" t="n"/>
      <c r="H956" s="7" t="n"/>
    </row>
    <row r="957" ht="15.75" customHeight="1">
      <c r="G957" s="6" t="n"/>
      <c r="H957" s="7" t="n"/>
    </row>
    <row r="958" ht="15.75" customHeight="1">
      <c r="G958" s="6" t="n"/>
      <c r="H958" s="7" t="n"/>
    </row>
    <row r="959" ht="15.75" customHeight="1">
      <c r="G959" s="6" t="n"/>
      <c r="H959" s="7" t="n"/>
    </row>
    <row r="960" ht="15.75" customHeight="1">
      <c r="G960" s="6" t="n"/>
      <c r="H960" s="7" t="n"/>
    </row>
    <row r="961" ht="15.75" customHeight="1">
      <c r="G961" s="6" t="n"/>
      <c r="H961" s="7" t="n"/>
    </row>
    <row r="962" ht="15.75" customHeight="1">
      <c r="G962" s="6" t="n"/>
      <c r="H962" s="7" t="n"/>
    </row>
    <row r="963" ht="15.75" customHeight="1">
      <c r="G963" s="6" t="n"/>
      <c r="H963" s="7" t="n"/>
    </row>
    <row r="964" ht="15.75" customHeight="1">
      <c r="G964" s="6" t="n"/>
      <c r="H964" s="7" t="n"/>
    </row>
    <row r="965" ht="15.75" customHeight="1">
      <c r="G965" s="6" t="n"/>
      <c r="H965" s="7" t="n"/>
    </row>
    <row r="966" ht="15.75" customHeight="1">
      <c r="G966" s="6" t="n"/>
      <c r="H966" s="7" t="n"/>
    </row>
    <row r="967" ht="15.75" customHeight="1">
      <c r="G967" s="6" t="n"/>
      <c r="H967" s="7" t="n"/>
    </row>
    <row r="968" ht="15.75" customHeight="1">
      <c r="G968" s="6" t="n"/>
      <c r="H968" s="7" t="n"/>
    </row>
    <row r="969" ht="15.75" customHeight="1">
      <c r="G969" s="6" t="n"/>
      <c r="H969" s="7" t="n"/>
    </row>
    <row r="970" ht="15.75" customHeight="1">
      <c r="G970" s="6" t="n"/>
      <c r="H970" s="7" t="n"/>
    </row>
    <row r="971" ht="15.75" customHeight="1">
      <c r="G971" s="6" t="n"/>
      <c r="H971" s="7" t="n"/>
    </row>
    <row r="972" ht="15.75" customHeight="1">
      <c r="G972" s="6" t="n"/>
      <c r="H972" s="7" t="n"/>
    </row>
    <row r="973" ht="15.75" customHeight="1">
      <c r="G973" s="6" t="n"/>
      <c r="H973" s="7" t="n"/>
    </row>
    <row r="974" ht="15.75" customHeight="1">
      <c r="G974" s="6" t="n"/>
      <c r="H974" s="7" t="n"/>
    </row>
    <row r="975" ht="15.75" customHeight="1">
      <c r="G975" s="6" t="n"/>
      <c r="H975" s="7" t="n"/>
    </row>
    <row r="976" ht="15.75" customHeight="1">
      <c r="G976" s="6" t="n"/>
      <c r="H976" s="7" t="n"/>
    </row>
    <row r="977" ht="15.75" customHeight="1">
      <c r="G977" s="6" t="n"/>
      <c r="H977" s="7" t="n"/>
    </row>
    <row r="978" ht="15.75" customHeight="1">
      <c r="G978" s="6" t="n"/>
      <c r="H978" s="7" t="n"/>
    </row>
    <row r="979" ht="15.75" customHeight="1">
      <c r="G979" s="6" t="n"/>
      <c r="H979" s="7" t="n"/>
    </row>
    <row r="980" ht="15.75" customHeight="1">
      <c r="G980" s="6" t="n"/>
      <c r="H980" s="7" t="n"/>
    </row>
    <row r="981" ht="15.75" customHeight="1">
      <c r="G981" s="6" t="n"/>
      <c r="H981" s="7" t="n"/>
    </row>
    <row r="982" ht="15.75" customHeight="1">
      <c r="G982" s="6" t="n"/>
      <c r="H982" s="7" t="n"/>
    </row>
    <row r="983" ht="15.75" customHeight="1">
      <c r="G983" s="6" t="n"/>
      <c r="H983" s="7" t="n"/>
    </row>
    <row r="984" ht="15.75" customHeight="1">
      <c r="G984" s="6" t="n"/>
      <c r="H984" s="7" t="n"/>
    </row>
    <row r="985" ht="15.75" customHeight="1">
      <c r="G985" s="6" t="n"/>
      <c r="H985" s="7" t="n"/>
    </row>
    <row r="986" ht="15.75" customHeight="1">
      <c r="G986" s="6" t="n"/>
      <c r="H986" s="7" t="n"/>
    </row>
    <row r="987" ht="15.75" customHeight="1">
      <c r="G987" s="6" t="n"/>
      <c r="H987" s="7" t="n"/>
    </row>
    <row r="988" ht="15.75" customHeight="1">
      <c r="G988" s="6" t="n"/>
      <c r="H988" s="7" t="n"/>
    </row>
    <row r="989" ht="15.75" customHeight="1">
      <c r="G989" s="6" t="n"/>
      <c r="H989" s="7" t="n"/>
    </row>
    <row r="990" ht="15.75" customHeight="1">
      <c r="G990" s="6" t="n"/>
      <c r="H990" s="7" t="n"/>
    </row>
    <row r="991" ht="15.75" customHeight="1">
      <c r="G991" s="6" t="n"/>
      <c r="H991" s="7" t="n"/>
    </row>
    <row r="992" ht="15.75" customHeight="1">
      <c r="G992" s="6" t="n"/>
      <c r="H992" s="7" t="n"/>
    </row>
    <row r="993" ht="15.75" customHeight="1">
      <c r="G993" s="6" t="n"/>
      <c r="H993" s="7" t="n"/>
    </row>
    <row r="994" ht="15.75" customHeight="1">
      <c r="G994" s="6" t="n"/>
      <c r="H994" s="7" t="n"/>
    </row>
    <row r="995" ht="15.75" customHeight="1">
      <c r="G995" s="6" t="n"/>
      <c r="H995" s="7" t="n"/>
    </row>
    <row r="996" ht="15.75" customHeight="1">
      <c r="G996" s="6" t="n"/>
      <c r="H996" s="7" t="n"/>
    </row>
    <row r="997" ht="15.75" customHeight="1">
      <c r="G997" s="6" t="n"/>
      <c r="H997" s="7" t="n"/>
    </row>
    <row r="998" ht="15.75" customHeight="1">
      <c r="G998" s="6" t="n"/>
      <c r="H998" s="7" t="n"/>
    </row>
    <row r="999" ht="15.75" customHeight="1">
      <c r="G999" s="6" t="n"/>
      <c r="H999" s="7" t="n"/>
    </row>
    <row r="1000" ht="15.75" customHeight="1">
      <c r="G1000" s="6" t="n"/>
      <c r="H1000" s="7" t="n"/>
    </row>
  </sheetData>
  <mergeCells count="13">
    <mergeCell ref="A115:C115"/>
    <mergeCell ref="A46:C46"/>
    <mergeCell ref="A14:C14"/>
    <mergeCell ref="A58:C58"/>
    <mergeCell ref="A40:C40"/>
    <mergeCell ref="A67:C67"/>
    <mergeCell ref="A101:C101"/>
    <mergeCell ref="A105:C105"/>
    <mergeCell ref="A83:C83"/>
    <mergeCell ref="A35:C35"/>
    <mergeCell ref="A4:C4"/>
    <mergeCell ref="A72:C72"/>
    <mergeCell ref="A52:C5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zoomScaleNormal="100" zoomScalePageLayoutView="60" workbookViewId="0">
      <selection activeCell="A1" sqref="A1"/>
    </sheetView>
  </sheetViews>
  <sheetFormatPr baseColWidth="10" defaultColWidth="14.5" defaultRowHeight="15" customHeight="1"/>
  <cols>
    <col width="8" customWidth="1" min="1" max="1"/>
    <col width="30" customWidth="1" min="2" max="2"/>
    <col width="45" customWidth="1" min="3" max="3"/>
    <col width="15" customWidth="1" min="4" max="4"/>
    <col width="18" customWidth="1" min="5" max="5"/>
    <col width="12" customWidth="1" min="6" max="6"/>
    <col width="15" customWidth="1" min="7" max="7"/>
    <col width="12" customWidth="1" min="8" max="8"/>
    <col width="8.83203125" customWidth="1" min="9" max="26"/>
  </cols>
  <sheetData>
    <row r="1" ht="18.75" customHeight="1">
      <c r="A1" s="5" t="inlineStr">
        <is>
          <t>BUDGET INPUT DATA</t>
        </is>
      </c>
    </row>
    <row r="2" ht="15" customHeight="1">
      <c r="A2" s="36" t="inlineStr">
        <is>
          <t>Imported from ryanbudget.csv - Edit phasing, holdback, and eligibility as needed</t>
        </is>
      </c>
    </row>
    <row r="4" ht="30" customHeight="1">
      <c r="A4" s="37" t="inlineStr">
        <is>
          <t>Row #</t>
        </is>
      </c>
      <c r="B4" s="37" t="inlineStr">
        <is>
          <t>Category</t>
        </is>
      </c>
      <c r="C4" s="37" t="inlineStr">
        <is>
          <t>Subcategory</t>
        </is>
      </c>
      <c r="D4" s="37" t="inlineStr">
        <is>
          <t>Budget Amount</t>
        </is>
      </c>
      <c r="E4" s="37" t="inlineStr">
        <is>
          <t>Phasing Pattern</t>
        </is>
      </c>
      <c r="F4" s="37" t="inlineStr">
        <is>
          <t>Holdback %</t>
        </is>
      </c>
      <c r="G4" s="37" t="inlineStr">
        <is>
          <t>Holdback Release (mo after constr)</t>
        </is>
      </c>
      <c r="H4" s="37" t="inlineStr">
        <is>
          <t>GST/QST Eligible</t>
        </is>
      </c>
    </row>
    <row r="5" ht="15" customHeight="1">
      <c r="A5" s="38" t="n">
        <v>1</v>
      </c>
      <c r="B5" s="39" t="n"/>
      <c r="C5" s="39" t="n"/>
      <c r="D5" s="40" t="n">
        <v>0</v>
      </c>
      <c r="E5" s="41" t="inlineStr">
        <is>
          <t>Equal</t>
        </is>
      </c>
      <c r="F5" s="42" t="n">
        <v>0.1</v>
      </c>
      <c r="G5" s="43" t="n">
        <v>3</v>
      </c>
      <c r="H5" s="43" t="inlineStr">
        <is>
          <t>Yes</t>
        </is>
      </c>
    </row>
    <row r="6" ht="15" customHeight="1">
      <c r="A6" s="38" t="n">
        <v>2</v>
      </c>
      <c r="B6" s="39" t="inlineStr">
        <is>
          <t>1. LAND</t>
        </is>
      </c>
      <c r="C6" s="39" t="inlineStr">
        <is>
          <t>Land Acquisition</t>
        </is>
      </c>
      <c r="D6" s="40" t="n">
        <v>1600000</v>
      </c>
      <c r="E6" s="41" t="inlineStr">
        <is>
          <t>Upfront</t>
        </is>
      </c>
      <c r="F6" s="42" t="n">
        <v>0</v>
      </c>
      <c r="G6" s="43" t="n">
        <v>0</v>
      </c>
      <c r="H6" s="43" t="inlineStr">
        <is>
          <t>Yes</t>
        </is>
      </c>
    </row>
    <row r="7" ht="15" customHeight="1">
      <c r="A7" s="38" t="n">
        <v>3</v>
      </c>
      <c r="B7" s="39" t="inlineStr">
        <is>
          <t>1. LAND</t>
        </is>
      </c>
      <c r="C7" s="39" t="inlineStr">
        <is>
          <t>Notary and cadastre</t>
        </is>
      </c>
      <c r="D7" s="40" t="n">
        <v>19808</v>
      </c>
      <c r="E7" s="41" t="inlineStr">
        <is>
          <t>Upfront</t>
        </is>
      </c>
      <c r="F7" s="42" t="n">
        <v>0</v>
      </c>
      <c r="G7" s="43" t="n">
        <v>0</v>
      </c>
      <c r="H7" s="43" t="inlineStr">
        <is>
          <t>Yes</t>
        </is>
      </c>
    </row>
    <row r="8" ht="15" customHeight="1">
      <c r="A8" s="38" t="n">
        <v>4</v>
      </c>
      <c r="B8" s="39" t="inlineStr">
        <is>
          <t>1. LAND</t>
        </is>
      </c>
      <c r="C8" s="39" t="inlineStr">
        <is>
          <t>Cadastral operation</t>
        </is>
      </c>
      <c r="D8" s="40" t="n">
        <v>105360</v>
      </c>
      <c r="E8" s="41" t="inlineStr">
        <is>
          <t>Upfront</t>
        </is>
      </c>
      <c r="F8" s="42" t="n">
        <v>0</v>
      </c>
      <c r="G8" s="43" t="n">
        <v>0</v>
      </c>
      <c r="H8" s="43" t="inlineStr">
        <is>
          <t>Yes</t>
        </is>
      </c>
    </row>
    <row r="9" ht="15" customHeight="1">
      <c r="A9" s="38" t="n">
        <v>5</v>
      </c>
      <c r="B9" s="39" t="inlineStr">
        <is>
          <t>2. SITE SERVICING + LANDSCAPE</t>
        </is>
      </c>
      <c r="C9" s="39" t="inlineStr">
        <is>
          <t>Extension of services:Excavation &amp; Backfill - Adjustment for Bldgs 5 &amp; 6</t>
        </is>
      </c>
      <c r="D9" s="40" t="n">
        <v>479320</v>
      </c>
      <c r="E9" s="41" t="inlineStr">
        <is>
          <t>Front-loaded</t>
        </is>
      </c>
      <c r="F9" s="42" t="n">
        <v>0.1</v>
      </c>
      <c r="G9" s="43" t="n">
        <v>3</v>
      </c>
      <c r="H9" s="43" t="inlineStr">
        <is>
          <t>Yes</t>
        </is>
      </c>
    </row>
    <row r="10" ht="15" customHeight="1">
      <c r="A10" s="38" t="n">
        <v>6</v>
      </c>
      <c r="B10" s="39" t="inlineStr">
        <is>
          <t>2. SITE SERVICING + LANDSCAPE</t>
        </is>
      </c>
      <c r="C10" s="39" t="inlineStr">
        <is>
          <t>Extension of services:Excavation &amp; Backfill - Trailer pad, Access road, Septic tank</t>
        </is>
      </c>
      <c r="D10" s="40" t="n">
        <v>10900</v>
      </c>
      <c r="E10" s="41" t="inlineStr">
        <is>
          <t>Front-loaded</t>
        </is>
      </c>
      <c r="F10" s="42" t="n">
        <v>0.1</v>
      </c>
      <c r="G10" s="43" t="n">
        <v>3</v>
      </c>
      <c r="H10" s="43" t="inlineStr">
        <is>
          <t>Yes</t>
        </is>
      </c>
    </row>
    <row r="11" ht="15" customHeight="1">
      <c r="A11" s="38" t="n">
        <v>7</v>
      </c>
      <c r="B11" s="39" t="inlineStr">
        <is>
          <t>2. SITE SERVICING + LANDSCAPE</t>
        </is>
      </c>
      <c r="C11" s="39" t="inlineStr">
        <is>
          <t>Extension of services:Credit - Reservoir change</t>
        </is>
      </c>
      <c r="D11" s="40" t="n">
        <v>1946765</v>
      </c>
      <c r="E11" s="41" t="inlineStr">
        <is>
          <t>Front-loaded</t>
        </is>
      </c>
      <c r="F11" s="42" t="n">
        <v>0.1</v>
      </c>
      <c r="G11" s="43" t="n">
        <v>3</v>
      </c>
      <c r="H11" s="43" t="inlineStr">
        <is>
          <t>Yes</t>
        </is>
      </c>
    </row>
    <row r="12" ht="15" customHeight="1">
      <c r="A12" s="38" t="n">
        <v>8</v>
      </c>
      <c r="B12" s="39" t="inlineStr">
        <is>
          <t>2. SITE SERVICING + LANDSCAPE</t>
        </is>
      </c>
      <c r="C12" s="39" t="inlineStr">
        <is>
          <t>Extension of services:Credit - Reservoir change</t>
        </is>
      </c>
      <c r="D12" s="40" t="n">
        <v>0</v>
      </c>
      <c r="E12" s="41" t="inlineStr">
        <is>
          <t>Front-loaded</t>
        </is>
      </c>
      <c r="F12" s="42" t="n">
        <v>0.1</v>
      </c>
      <c r="G12" s="43" t="n">
        <v>3</v>
      </c>
      <c r="H12" s="43" t="inlineStr">
        <is>
          <t>Yes</t>
        </is>
      </c>
    </row>
    <row r="13" ht="15" customHeight="1">
      <c r="A13" s="38" t="n">
        <v>9</v>
      </c>
      <c r="B13" s="39" t="inlineStr">
        <is>
          <t>2. SITE SERVICING + LANDSCAPE</t>
        </is>
      </c>
      <c r="C13" s="39" t="inlineStr">
        <is>
          <t>Extension of services:Excavation &amp; Backfill - Campus Civil</t>
        </is>
      </c>
      <c r="D13" s="40" t="n">
        <v>143113</v>
      </c>
      <c r="E13" s="41" t="inlineStr">
        <is>
          <t>Front-loaded</t>
        </is>
      </c>
      <c r="F13" s="42" t="n">
        <v>0.1</v>
      </c>
      <c r="G13" s="43" t="n">
        <v>3</v>
      </c>
      <c r="H13" s="43" t="inlineStr">
        <is>
          <t>Yes</t>
        </is>
      </c>
    </row>
    <row r="14" ht="15" customHeight="1">
      <c r="A14" s="38" t="n">
        <v>10</v>
      </c>
      <c r="B14" s="39" t="inlineStr">
        <is>
          <t>2. SITE SERVICING + LANDSCAPE</t>
        </is>
      </c>
      <c r="C14" s="39" t="inlineStr">
        <is>
          <t>Extension of services:Excavation &amp; Backfill - Campus Civil</t>
        </is>
      </c>
      <c r="D14" s="40" t="n">
        <v>30493</v>
      </c>
      <c r="E14" s="41" t="inlineStr">
        <is>
          <t>Front-loaded</t>
        </is>
      </c>
      <c r="F14" s="42" t="n">
        <v>0.1</v>
      </c>
      <c r="G14" s="43" t="n">
        <v>3</v>
      </c>
      <c r="H14" s="43" t="inlineStr">
        <is>
          <t>Yes</t>
        </is>
      </c>
    </row>
    <row r="15" ht="15" customHeight="1">
      <c r="A15" s="38" t="n">
        <v>11</v>
      </c>
      <c r="B15" s="39" t="inlineStr">
        <is>
          <t>2. SITE SERVICING + LANDSCAPE</t>
        </is>
      </c>
      <c r="C15" s="39" t="inlineStr">
        <is>
          <t>Extension of services:Excavation &amp; backfill - Extension - Mtee Ryan Civil</t>
        </is>
      </c>
      <c r="D15" s="40" t="n">
        <v>375295</v>
      </c>
      <c r="E15" s="41" t="inlineStr">
        <is>
          <t>Front-loaded</t>
        </is>
      </c>
      <c r="F15" s="42" t="n">
        <v>0.1</v>
      </c>
      <c r="G15" s="43" t="n">
        <v>3</v>
      </c>
      <c r="H15" s="43" t="inlineStr">
        <is>
          <t>Yes</t>
        </is>
      </c>
    </row>
    <row r="16" ht="15" customHeight="1">
      <c r="A16" s="38" t="n">
        <v>12</v>
      </c>
      <c r="B16" s="39" t="inlineStr">
        <is>
          <t>2. SITE SERVICING + LANDSCAPE</t>
        </is>
      </c>
      <c r="C16" s="39" t="n"/>
      <c r="D16" s="40" t="n">
        <v>165563</v>
      </c>
      <c r="E16" s="41" t="inlineStr">
        <is>
          <t>Front-loaded</t>
        </is>
      </c>
      <c r="F16" s="42" t="n">
        <v>0.1</v>
      </c>
      <c r="G16" s="43" t="n">
        <v>3</v>
      </c>
      <c r="H16" s="43" t="inlineStr">
        <is>
          <t>Yes</t>
        </is>
      </c>
    </row>
    <row r="17" ht="15" customHeight="1">
      <c r="A17" s="38" t="n">
        <v>13</v>
      </c>
      <c r="B17" s="39" t="inlineStr">
        <is>
          <t>2. SITE SERVICING + LANDSCAPE</t>
        </is>
      </c>
      <c r="C17" s="39" t="inlineStr">
        <is>
          <t>Onsite services - civil:Excavation &amp; Backfill (PC)</t>
        </is>
      </c>
      <c r="D17" s="40" t="n">
        <v>475672</v>
      </c>
      <c r="E17" s="41" t="inlineStr">
        <is>
          <t>Front-loaded</t>
        </is>
      </c>
      <c r="F17" s="42" t="n">
        <v>0.1</v>
      </c>
      <c r="G17" s="43" t="n">
        <v>3</v>
      </c>
      <c r="H17" s="43" t="inlineStr">
        <is>
          <t>Yes</t>
        </is>
      </c>
    </row>
    <row r="18" ht="15" customHeight="1">
      <c r="A18" s="38" t="n">
        <v>14</v>
      </c>
      <c r="B18" s="39" t="inlineStr">
        <is>
          <t>2. SITE SERVICING + LANDSCAPE</t>
        </is>
      </c>
      <c r="C18" s="39" t="inlineStr">
        <is>
          <t>Onsite services - civil:Excavation &amp; Backfill (PC)</t>
        </is>
      </c>
      <c r="D18" s="40" t="n">
        <v>23100</v>
      </c>
      <c r="E18" s="41" t="inlineStr">
        <is>
          <t>Front-loaded</t>
        </is>
      </c>
      <c r="F18" s="42" t="n">
        <v>0.1</v>
      </c>
      <c r="G18" s="43" t="n">
        <v>3</v>
      </c>
      <c r="H18" s="43" t="inlineStr">
        <is>
          <t>Yes</t>
        </is>
      </c>
    </row>
    <row r="19" ht="15" customHeight="1">
      <c r="A19" s="38" t="n">
        <v>15</v>
      </c>
      <c r="B19" s="39" t="inlineStr">
        <is>
          <t>2. SITE SERVICING + LANDSCAPE</t>
        </is>
      </c>
      <c r="C19" s="39" t="inlineStr">
        <is>
          <t>Onsite services - civil:Excavation &amp; Backfill (PC)</t>
        </is>
      </c>
      <c r="D19" s="40" t="n">
        <v>2300</v>
      </c>
      <c r="E19" s="41" t="inlineStr">
        <is>
          <t>Front-loaded</t>
        </is>
      </c>
      <c r="F19" s="42" t="n">
        <v>0.1</v>
      </c>
      <c r="G19" s="43" t="n">
        <v>3</v>
      </c>
      <c r="H19" s="43" t="inlineStr">
        <is>
          <t>Yes</t>
        </is>
      </c>
    </row>
    <row r="20" ht="15" customHeight="1">
      <c r="A20" s="38" t="n">
        <v>16</v>
      </c>
      <c r="B20" s="39" t="inlineStr">
        <is>
          <t>2. SITE SERVICING + LANDSCAPE</t>
        </is>
      </c>
      <c r="C20" s="39" t="inlineStr">
        <is>
          <t>Onsite services - civil:Excavation &amp; Backfill (PC)</t>
        </is>
      </c>
      <c r="D20" s="40" t="n">
        <v>25102</v>
      </c>
      <c r="E20" s="41" t="inlineStr">
        <is>
          <t>Front-loaded</t>
        </is>
      </c>
      <c r="F20" s="42" t="n">
        <v>0.1</v>
      </c>
      <c r="G20" s="43" t="n">
        <v>3</v>
      </c>
      <c r="H20" s="43" t="inlineStr">
        <is>
          <t>Yes</t>
        </is>
      </c>
    </row>
    <row r="21" ht="15" customHeight="1">
      <c r="A21" s="38" t="n">
        <v>17</v>
      </c>
      <c r="B21" s="39" t="inlineStr">
        <is>
          <t>2. SITE SERVICING + LANDSCAPE</t>
        </is>
      </c>
      <c r="C21" s="39" t="inlineStr">
        <is>
          <t>Onsite services - civil:Excavation &amp; Backfill (PC)</t>
        </is>
      </c>
      <c r="D21" s="40" t="n">
        <v>47223</v>
      </c>
      <c r="E21" s="41" t="inlineStr">
        <is>
          <t>Front-loaded</t>
        </is>
      </c>
      <c r="F21" s="42" t="n">
        <v>0.1</v>
      </c>
      <c r="G21" s="43" t="n">
        <v>3</v>
      </c>
      <c r="H21" s="43" t="inlineStr">
        <is>
          <t>Yes</t>
        </is>
      </c>
    </row>
    <row r="22" ht="15" customHeight="1">
      <c r="A22" s="38" t="n">
        <v>18</v>
      </c>
      <c r="B22" s="39" t="inlineStr">
        <is>
          <t>2. SITE SERVICING + LANDSCAPE</t>
        </is>
      </c>
      <c r="C22" s="39" t="inlineStr">
        <is>
          <t>Landscaping:Excavation &amp; Backfill - Landscaping</t>
        </is>
      </c>
      <c r="D22" s="40" t="n">
        <v>1065794</v>
      </c>
      <c r="E22" s="41" t="inlineStr">
        <is>
          <t>Front-loaded</t>
        </is>
      </c>
      <c r="F22" s="42" t="n">
        <v>0.1</v>
      </c>
      <c r="G22" s="43" t="n">
        <v>3</v>
      </c>
      <c r="H22" s="43" t="inlineStr">
        <is>
          <t>Yes</t>
        </is>
      </c>
    </row>
    <row r="23" ht="15" customHeight="1">
      <c r="A23" s="38" t="n">
        <v>19</v>
      </c>
      <c r="B23" s="39" t="inlineStr">
        <is>
          <t>2. SITE SERVICING + LANDSCAPE</t>
        </is>
      </c>
      <c r="C23" s="39" t="inlineStr">
        <is>
          <t>Electrical services</t>
        </is>
      </c>
      <c r="D23" s="40" t="n">
        <v>252500</v>
      </c>
      <c r="E23" s="41" t="inlineStr">
        <is>
          <t>Front-loaded</t>
        </is>
      </c>
      <c r="F23" s="42" t="n">
        <v>0.1</v>
      </c>
      <c r="G23" s="43" t="n">
        <v>3</v>
      </c>
      <c r="H23" s="43" t="inlineStr">
        <is>
          <t>Yes</t>
        </is>
      </c>
    </row>
    <row r="24" ht="15" customHeight="1">
      <c r="A24" s="38" t="n">
        <v>20</v>
      </c>
      <c r="B24" s="39" t="inlineStr">
        <is>
          <t>2. SITE SERVICING + LANDSCAPE</t>
        </is>
      </c>
      <c r="C24" s="39" t="inlineStr">
        <is>
          <t>Electrical charging stations</t>
        </is>
      </c>
      <c r="D24" s="40" t="n">
        <v>124981</v>
      </c>
      <c r="E24" s="41" t="inlineStr">
        <is>
          <t>Front-loaded</t>
        </is>
      </c>
      <c r="F24" s="42" t="n">
        <v>0.1</v>
      </c>
      <c r="G24" s="43" t="n">
        <v>3</v>
      </c>
      <c r="H24" s="43" t="inlineStr">
        <is>
          <t>Yes</t>
        </is>
      </c>
    </row>
    <row r="25" ht="15" customHeight="1">
      <c r="A25" s="38" t="n">
        <v>21</v>
      </c>
      <c r="B25" s="39" t="inlineStr">
        <is>
          <t>3. HARD COSTS</t>
        </is>
      </c>
      <c r="C25" s="39" t="inlineStr">
        <is>
          <t>Admin and profit</t>
        </is>
      </c>
      <c r="D25" s="40" t="n">
        <v>1577987</v>
      </c>
      <c r="E25" s="41" t="inlineStr">
        <is>
          <t>Equal</t>
        </is>
      </c>
      <c r="F25" s="42" t="n">
        <v>0.1</v>
      </c>
      <c r="G25" s="43" t="n">
        <v>3</v>
      </c>
      <c r="H25" s="43" t="inlineStr">
        <is>
          <t>Yes</t>
        </is>
      </c>
    </row>
    <row r="26" ht="15" customHeight="1">
      <c r="A26" s="38" t="n">
        <v>22</v>
      </c>
      <c r="B26" s="39" t="inlineStr">
        <is>
          <t>3. HARD COSTS</t>
        </is>
      </c>
      <c r="C26" s="39" t="inlineStr">
        <is>
          <t>Insurance and bonding:Insurance</t>
        </is>
      </c>
      <c r="D26" s="40" t="n">
        <v>278718</v>
      </c>
      <c r="E26" s="41" t="inlineStr">
        <is>
          <t>Equal</t>
        </is>
      </c>
      <c r="F26" s="42" t="n">
        <v>0.1</v>
      </c>
      <c r="G26" s="43" t="n">
        <v>3</v>
      </c>
      <c r="H26" s="43" t="inlineStr">
        <is>
          <t>Yes</t>
        </is>
      </c>
    </row>
    <row r="27" ht="15" customHeight="1">
      <c r="A27" s="38" t="n">
        <v>23</v>
      </c>
      <c r="B27" s="39" t="inlineStr">
        <is>
          <t>3. HARD COSTS</t>
        </is>
      </c>
      <c r="C27" s="39" t="n"/>
      <c r="D27" s="40" t="n">
        <v>140525</v>
      </c>
      <c r="E27" s="41" t="inlineStr">
        <is>
          <t>Equal</t>
        </is>
      </c>
      <c r="F27" s="42" t="n">
        <v>0.1</v>
      </c>
      <c r="G27" s="43" t="n">
        <v>3</v>
      </c>
      <c r="H27" s="43" t="inlineStr">
        <is>
          <t>Yes</t>
        </is>
      </c>
    </row>
    <row r="28" ht="15" customHeight="1">
      <c r="A28" s="38" t="n">
        <v>24</v>
      </c>
      <c r="B28" s="39" t="inlineStr">
        <is>
          <t>3. HARD COSTS</t>
        </is>
      </c>
      <c r="C28" s="39" t="inlineStr">
        <is>
          <t>Insurance and bonding:Wrap-up</t>
        </is>
      </c>
      <c r="D28" s="40" t="n">
        <v>36465</v>
      </c>
      <c r="E28" s="41" t="inlineStr">
        <is>
          <t>Equal</t>
        </is>
      </c>
      <c r="F28" s="42" t="n">
        <v>0.1</v>
      </c>
      <c r="G28" s="43" t="n">
        <v>3</v>
      </c>
      <c r="H28" s="43" t="inlineStr">
        <is>
          <t>Yes</t>
        </is>
      </c>
    </row>
    <row r="29" ht="15" customHeight="1">
      <c r="A29" s="38" t="n">
        <v>25</v>
      </c>
      <c r="B29" s="39" t="inlineStr">
        <is>
          <t>3. HARD COSTS</t>
        </is>
      </c>
      <c r="C29" s="39" t="inlineStr">
        <is>
          <t>Insurance and bonding:Bris des Machines</t>
        </is>
      </c>
      <c r="D29" s="40" t="n">
        <v>2585</v>
      </c>
      <c r="E29" s="41" t="inlineStr">
        <is>
          <t>Equal</t>
        </is>
      </c>
      <c r="F29" s="42" t="n">
        <v>0.1</v>
      </c>
      <c r="G29" s="43" t="n">
        <v>3</v>
      </c>
      <c r="H29" s="43" t="inlineStr">
        <is>
          <t>Yes</t>
        </is>
      </c>
    </row>
    <row r="30" ht="15" customHeight="1">
      <c r="A30" s="38" t="n">
        <v>26</v>
      </c>
      <c r="B30" s="39" t="inlineStr">
        <is>
          <t>3. HARD COSTS</t>
        </is>
      </c>
      <c r="C30" s="39" t="inlineStr">
        <is>
          <t>Insurance and bonding:L&amp;M and Performance Bonds</t>
        </is>
      </c>
      <c r="D30" s="40" t="n">
        <v>0</v>
      </c>
      <c r="E30" s="41" t="inlineStr">
        <is>
          <t>Equal</t>
        </is>
      </c>
      <c r="F30" s="42" t="n">
        <v>0.1</v>
      </c>
      <c r="G30" s="43" t="n">
        <v>3</v>
      </c>
      <c r="H30" s="43" t="inlineStr">
        <is>
          <t>Yes</t>
        </is>
      </c>
    </row>
    <row r="31" ht="15" customHeight="1">
      <c r="A31" s="38" t="n">
        <v>27</v>
      </c>
      <c r="B31" s="39" t="inlineStr">
        <is>
          <t>3. HARD COSTS</t>
        </is>
      </c>
      <c r="C31" s="39" t="inlineStr">
        <is>
          <t>General conditions:CoSS Agent</t>
        </is>
      </c>
      <c r="D31" s="40" t="n">
        <v>236000</v>
      </c>
      <c r="E31" s="41" t="inlineStr">
        <is>
          <t>Equal</t>
        </is>
      </c>
      <c r="F31" s="42" t="n">
        <v>0.1</v>
      </c>
      <c r="G31" s="43" t="n">
        <v>3</v>
      </c>
      <c r="H31" s="43" t="inlineStr">
        <is>
          <t>Yes</t>
        </is>
      </c>
    </row>
    <row r="32" ht="15" customHeight="1">
      <c r="A32" s="38" t="n">
        <v>28</v>
      </c>
      <c r="B32" s="39" t="inlineStr">
        <is>
          <t>3. HARD COSTS</t>
        </is>
      </c>
      <c r="C32" s="39" t="inlineStr">
        <is>
          <t>General conditions:RSS Agent</t>
        </is>
      </c>
      <c r="D32" s="40" t="n">
        <v>213500</v>
      </c>
      <c r="E32" s="41" t="inlineStr">
        <is>
          <t>Equal</t>
        </is>
      </c>
      <c r="F32" s="42" t="n">
        <v>0.1</v>
      </c>
      <c r="G32" s="43" t="n">
        <v>3</v>
      </c>
      <c r="H32" s="43" t="inlineStr">
        <is>
          <t>Yes</t>
        </is>
      </c>
    </row>
    <row r="33" ht="15" customHeight="1">
      <c r="A33" s="38" t="n">
        <v>29</v>
      </c>
      <c r="B33" s="39" t="inlineStr">
        <is>
          <t>3. HARD COSTS</t>
        </is>
      </c>
      <c r="C33" s="39" t="inlineStr">
        <is>
          <t>General conditions:Superintendent 1</t>
        </is>
      </c>
      <c r="D33" s="40" t="n">
        <v>303400</v>
      </c>
      <c r="E33" s="41" t="inlineStr">
        <is>
          <t>Equal</t>
        </is>
      </c>
      <c r="F33" s="42" t="n">
        <v>0.1</v>
      </c>
      <c r="G33" s="43" t="n">
        <v>3</v>
      </c>
      <c r="H33" s="43" t="inlineStr">
        <is>
          <t>Yes</t>
        </is>
      </c>
    </row>
    <row r="34" ht="15" customHeight="1">
      <c r="A34" s="38" t="n">
        <v>30</v>
      </c>
      <c r="B34" s="39" t="inlineStr">
        <is>
          <t>3. HARD COSTS</t>
        </is>
      </c>
      <c r="C34" s="39" t="inlineStr">
        <is>
          <t>General conditions:Superintendent 2</t>
        </is>
      </c>
      <c r="D34" s="40" t="n">
        <v>266400</v>
      </c>
      <c r="E34" s="41" t="inlineStr">
        <is>
          <t>Equal</t>
        </is>
      </c>
      <c r="F34" s="42" t="n">
        <v>0.1</v>
      </c>
      <c r="G34" s="43" t="n">
        <v>3</v>
      </c>
      <c r="H34" s="43" t="inlineStr">
        <is>
          <t>Yes</t>
        </is>
      </c>
    </row>
    <row r="35" ht="15" customHeight="1">
      <c r="A35" s="38" t="n">
        <v>31</v>
      </c>
      <c r="B35" s="39" t="inlineStr">
        <is>
          <t>3. HARD COSTS</t>
        </is>
      </c>
      <c r="C35" s="39" t="inlineStr">
        <is>
          <t>General conditions:Project Manager</t>
        </is>
      </c>
      <c r="D35" s="40" t="n">
        <v>150750</v>
      </c>
      <c r="E35" s="41" t="inlineStr">
        <is>
          <t>Equal</t>
        </is>
      </c>
      <c r="F35" s="42" t="n">
        <v>0.1</v>
      </c>
      <c r="G35" s="43" t="n">
        <v>3</v>
      </c>
      <c r="H35" s="43" t="inlineStr">
        <is>
          <t>Yes</t>
        </is>
      </c>
    </row>
    <row r="36" ht="15" customHeight="1">
      <c r="A36" s="38" t="n">
        <v>32</v>
      </c>
      <c r="B36" s="39" t="inlineStr">
        <is>
          <t>3. HARD COSTS</t>
        </is>
      </c>
      <c r="C36" s="39" t="inlineStr">
        <is>
          <t>General conditions:Labourer</t>
        </is>
      </c>
      <c r="D36" s="40" t="n">
        <v>230020</v>
      </c>
      <c r="E36" s="41" t="inlineStr">
        <is>
          <t>Equal</t>
        </is>
      </c>
      <c r="F36" s="42" t="n">
        <v>0.1</v>
      </c>
      <c r="G36" s="43" t="n">
        <v>3</v>
      </c>
      <c r="H36" s="43" t="inlineStr">
        <is>
          <t>Yes</t>
        </is>
      </c>
    </row>
    <row r="37" ht="15" customHeight="1">
      <c r="A37" s="38" t="n">
        <v>33</v>
      </c>
      <c r="B37" s="39" t="inlineStr">
        <is>
          <t>3. HARD COSTS</t>
        </is>
      </c>
      <c r="C37" s="39" t="inlineStr">
        <is>
          <t>General Conditions: Logding</t>
        </is>
      </c>
      <c r="D37" s="40" t="n">
        <v>11000</v>
      </c>
      <c r="E37" s="41" t="inlineStr">
        <is>
          <t>Equal</t>
        </is>
      </c>
      <c r="F37" s="42" t="n">
        <v>0.1</v>
      </c>
      <c r="G37" s="43" t="n">
        <v>3</v>
      </c>
      <c r="H37" s="43" t="inlineStr">
        <is>
          <t>Yes</t>
        </is>
      </c>
    </row>
    <row r="38" ht="15" customHeight="1">
      <c r="A38" s="38" t="n">
        <v>34</v>
      </c>
      <c r="B38" s="39" t="inlineStr">
        <is>
          <t>3. HARD COSTS</t>
        </is>
      </c>
      <c r="C38" s="39" t="inlineStr">
        <is>
          <t>General conditions:Site fencing</t>
        </is>
      </c>
      <c r="D38" s="40" t="n">
        <v>10780</v>
      </c>
      <c r="E38" s="41" t="inlineStr">
        <is>
          <t>Equal</t>
        </is>
      </c>
      <c r="F38" s="42" t="n">
        <v>0.1</v>
      </c>
      <c r="G38" s="43" t="n">
        <v>3</v>
      </c>
      <c r="H38" s="43" t="inlineStr">
        <is>
          <t>Yes</t>
        </is>
      </c>
    </row>
    <row r="39" ht="15" customHeight="1">
      <c r="A39" s="38" t="n">
        <v>35</v>
      </c>
      <c r="B39" s="39" t="inlineStr">
        <is>
          <t>3. HARD COSTS</t>
        </is>
      </c>
      <c r="C39" s="39" t="inlineStr">
        <is>
          <t>General Conditions: Printing</t>
        </is>
      </c>
      <c r="D39" s="40" t="n">
        <v>8048</v>
      </c>
      <c r="E39" s="41" t="inlineStr">
        <is>
          <t>Equal</t>
        </is>
      </c>
      <c r="F39" s="42" t="n">
        <v>0.1</v>
      </c>
      <c r="G39" s="43" t="n">
        <v>3</v>
      </c>
      <c r="H39" s="43" t="inlineStr">
        <is>
          <t>Yes</t>
        </is>
      </c>
    </row>
    <row r="40" ht="15" customHeight="1">
      <c r="A40" s="38" t="n">
        <v>36</v>
      </c>
      <c r="B40" s="39" t="inlineStr">
        <is>
          <t>3. HARD COSTS</t>
        </is>
      </c>
      <c r="C40" s="39" t="inlineStr">
        <is>
          <t>General conditions:Scaffolding-Cranes-Nacelles</t>
        </is>
      </c>
      <c r="D40" s="40" t="n">
        <v>242750</v>
      </c>
      <c r="E40" s="41" t="inlineStr">
        <is>
          <t>Equal</t>
        </is>
      </c>
      <c r="F40" s="42" t="n">
        <v>0.1</v>
      </c>
      <c r="G40" s="43" t="n">
        <v>3</v>
      </c>
      <c r="H40" s="43" t="inlineStr">
        <is>
          <t>Yes</t>
        </is>
      </c>
    </row>
    <row r="41" ht="15" customHeight="1">
      <c r="A41" s="38" t="n">
        <v>37</v>
      </c>
      <c r="B41" s="39" t="inlineStr">
        <is>
          <t>3. HARD COSTS</t>
        </is>
      </c>
      <c r="C41" s="39" t="inlineStr">
        <is>
          <t>General conditions:Tool rental</t>
        </is>
      </c>
      <c r="D41" s="40" t="n">
        <v>0</v>
      </c>
      <c r="E41" s="41" t="inlineStr">
        <is>
          <t>Equal</t>
        </is>
      </c>
      <c r="F41" s="42" t="n">
        <v>0.1</v>
      </c>
      <c r="G41" s="43" t="n">
        <v>3</v>
      </c>
      <c r="H41" s="43" t="inlineStr">
        <is>
          <t>Yes</t>
        </is>
      </c>
    </row>
    <row r="42" ht="15" customHeight="1">
      <c r="A42" s="38" t="n">
        <v>38</v>
      </c>
      <c r="B42" s="39" t="inlineStr">
        <is>
          <t>3. HARD COSTS</t>
        </is>
      </c>
      <c r="C42" s="39" t="inlineStr">
        <is>
          <t>General conditions:Garbage chutes</t>
        </is>
      </c>
      <c r="D42" s="40" t="n">
        <v>0</v>
      </c>
      <c r="E42" s="41" t="inlineStr">
        <is>
          <t>Equal</t>
        </is>
      </c>
      <c r="F42" s="42" t="n">
        <v>0.1</v>
      </c>
      <c r="G42" s="43" t="n">
        <v>3</v>
      </c>
      <c r="H42" s="43" t="inlineStr">
        <is>
          <t>Yes</t>
        </is>
      </c>
    </row>
    <row r="43" ht="15" customHeight="1">
      <c r="A43" s="38" t="n">
        <v>39</v>
      </c>
      <c r="B43" s="39" t="inlineStr">
        <is>
          <t>3. HARD COSTS</t>
        </is>
      </c>
      <c r="C43" s="39" t="inlineStr">
        <is>
          <t>General conditions:Garbage containers</t>
        </is>
      </c>
      <c r="D43" s="40" t="n">
        <v>87875</v>
      </c>
      <c r="E43" s="41" t="inlineStr">
        <is>
          <t>Equal</t>
        </is>
      </c>
      <c r="F43" s="42" t="n">
        <v>0.1</v>
      </c>
      <c r="G43" s="43" t="n">
        <v>3</v>
      </c>
      <c r="H43" s="43" t="inlineStr">
        <is>
          <t>Yes</t>
        </is>
      </c>
    </row>
    <row r="44" ht="15" customHeight="1">
      <c r="A44" s="38" t="n">
        <v>40</v>
      </c>
      <c r="B44" s="39" t="inlineStr">
        <is>
          <t>3. HARD COSTS</t>
        </is>
      </c>
      <c r="C44" s="39" t="inlineStr">
        <is>
          <t>General conditions:Site trailers - Rental</t>
        </is>
      </c>
      <c r="D44" s="40" t="n">
        <v>51500</v>
      </c>
      <c r="E44" s="41" t="inlineStr">
        <is>
          <t>Equal</t>
        </is>
      </c>
      <c r="F44" s="42" t="n">
        <v>0.1</v>
      </c>
      <c r="G44" s="43" t="n">
        <v>3</v>
      </c>
      <c r="H44" s="43" t="inlineStr">
        <is>
          <t>Yes</t>
        </is>
      </c>
    </row>
    <row r="45" ht="15" customHeight="1">
      <c r="A45" s="38" t="n">
        <v>41</v>
      </c>
      <c r="B45" s="39" t="inlineStr">
        <is>
          <t>3. HARD COSTS</t>
        </is>
      </c>
      <c r="C45" s="39" t="inlineStr">
        <is>
          <t>General conditions:Storage container rental</t>
        </is>
      </c>
      <c r="D45" s="40" t="n">
        <v>8798</v>
      </c>
      <c r="E45" s="41" t="inlineStr">
        <is>
          <t>Equal</t>
        </is>
      </c>
      <c r="F45" s="42" t="n">
        <v>0.1</v>
      </c>
      <c r="G45" s="43" t="n">
        <v>3</v>
      </c>
      <c r="H45" s="43" t="inlineStr">
        <is>
          <t>Yes</t>
        </is>
      </c>
    </row>
    <row r="46" ht="15" customHeight="1">
      <c r="A46" s="38" t="n">
        <v>42</v>
      </c>
      <c r="B46" s="39" t="inlineStr">
        <is>
          <t>3. HARD COSTS</t>
        </is>
      </c>
      <c r="C46" s="39" t="inlineStr">
        <is>
          <t>General conditions:Sanitary trailer - Rental/Purchase - Portable Toilets</t>
        </is>
      </c>
      <c r="D46" s="40" t="n">
        <v>56242</v>
      </c>
      <c r="E46" s="41" t="inlineStr">
        <is>
          <t>Equal</t>
        </is>
      </c>
      <c r="F46" s="42" t="n">
        <v>0.1</v>
      </c>
      <c r="G46" s="43" t="n">
        <v>3</v>
      </c>
      <c r="H46" s="43" t="inlineStr">
        <is>
          <t>Yes</t>
        </is>
      </c>
    </row>
    <row r="47" ht="15" customHeight="1">
      <c r="A47" s="38" t="n">
        <v>43</v>
      </c>
      <c r="B47" s="39" t="inlineStr">
        <is>
          <t>3. HARD COSTS</t>
        </is>
      </c>
      <c r="C47" s="39" t="inlineStr">
        <is>
          <t>General conditions:Winter conditions</t>
        </is>
      </c>
      <c r="D47" s="40" t="n">
        <v>881840</v>
      </c>
      <c r="E47" s="41" t="inlineStr">
        <is>
          <t>Equal</t>
        </is>
      </c>
      <c r="F47" s="42" t="n">
        <v>0.1</v>
      </c>
      <c r="G47" s="43" t="n">
        <v>3</v>
      </c>
      <c r="H47" s="43" t="inlineStr">
        <is>
          <t>Yes</t>
        </is>
      </c>
    </row>
    <row r="48" ht="15" customHeight="1">
      <c r="A48" s="38" t="n">
        <v>44</v>
      </c>
      <c r="B48" s="39" t="inlineStr">
        <is>
          <t>3. HARD COSTS</t>
        </is>
      </c>
      <c r="C48" s="39" t="inlineStr">
        <is>
          <t>General conditions:Camera Security - Equipement</t>
        </is>
      </c>
      <c r="D48" s="40" t="n">
        <v>29000</v>
      </c>
      <c r="E48" s="41" t="inlineStr">
        <is>
          <t>Equal</t>
        </is>
      </c>
      <c r="F48" s="42" t="n">
        <v>0.1</v>
      </c>
      <c r="G48" s="43" t="n">
        <v>3</v>
      </c>
      <c r="H48" s="43" t="inlineStr">
        <is>
          <t>Yes</t>
        </is>
      </c>
    </row>
    <row r="49" ht="15" customHeight="1">
      <c r="A49" s="38" t="n">
        <v>45</v>
      </c>
      <c r="B49" s="39" t="inlineStr">
        <is>
          <t>3. HARD COSTS</t>
        </is>
      </c>
      <c r="C49" s="39" t="inlineStr">
        <is>
          <t>General conditions:Camera Security - Monthly surveillance fees</t>
        </is>
      </c>
      <c r="D49" s="40" t="n">
        <v>0</v>
      </c>
      <c r="E49" s="41" t="inlineStr">
        <is>
          <t>Equal</t>
        </is>
      </c>
      <c r="F49" s="42" t="n">
        <v>0.1</v>
      </c>
      <c r="G49" s="43" t="n">
        <v>3</v>
      </c>
      <c r="H49" s="43" t="inlineStr">
        <is>
          <t>Yes</t>
        </is>
      </c>
    </row>
    <row r="50" ht="15" customHeight="1">
      <c r="A50" s="38" t="n">
        <v>46</v>
      </c>
      <c r="B50" s="39" t="inlineStr">
        <is>
          <t>3. HARD COSTS</t>
        </is>
      </c>
      <c r="C50" s="39" t="inlineStr">
        <is>
          <t>General conditions:Temporary Electrical - Installation</t>
        </is>
      </c>
      <c r="D50" s="40" t="n">
        <v>147967</v>
      </c>
      <c r="E50" s="41" t="inlineStr">
        <is>
          <t>Equal</t>
        </is>
      </c>
      <c r="F50" s="42" t="n">
        <v>0.1</v>
      </c>
      <c r="G50" s="43" t="n">
        <v>3</v>
      </c>
      <c r="H50" s="43" t="inlineStr">
        <is>
          <t>Yes</t>
        </is>
      </c>
    </row>
    <row r="51" ht="15" customHeight="1">
      <c r="A51" s="38" t="n">
        <v>47</v>
      </c>
      <c r="B51" s="39" t="inlineStr">
        <is>
          <t>3. HARD COSTS</t>
        </is>
      </c>
      <c r="C51" s="39" t="inlineStr">
        <is>
          <t>General conditions:Temporary Electrical - Consumption</t>
        </is>
      </c>
      <c r="D51" s="40" t="n">
        <v>0</v>
      </c>
      <c r="E51" s="41" t="inlineStr">
        <is>
          <t>Equal</t>
        </is>
      </c>
      <c r="F51" s="42" t="n">
        <v>0.1</v>
      </c>
      <c r="G51" s="43" t="n">
        <v>3</v>
      </c>
      <c r="H51" s="43" t="inlineStr">
        <is>
          <t>Yes</t>
        </is>
      </c>
    </row>
    <row r="52" ht="15" customHeight="1">
      <c r="A52" s="38" t="n">
        <v>48</v>
      </c>
      <c r="B52" s="39" t="inlineStr">
        <is>
          <t>3. HARD COSTS</t>
        </is>
      </c>
      <c r="C52" s="39" t="inlineStr">
        <is>
          <t>General conditions:Trailer &amp; WC maintenance</t>
        </is>
      </c>
      <c r="D52" s="40" t="n">
        <v>6500</v>
      </c>
      <c r="E52" s="41" t="inlineStr">
        <is>
          <t>Equal</t>
        </is>
      </c>
      <c r="F52" s="42" t="n">
        <v>0.1</v>
      </c>
      <c r="G52" s="43" t="n">
        <v>3</v>
      </c>
      <c r="H52" s="43" t="inlineStr">
        <is>
          <t>Yes</t>
        </is>
      </c>
    </row>
    <row r="53" ht="15" customHeight="1">
      <c r="A53" s="38" t="n">
        <v>49</v>
      </c>
      <c r="B53" s="39" t="inlineStr">
        <is>
          <t>3. HARD COSTS</t>
        </is>
      </c>
      <c r="C53" s="39" t="inlineStr">
        <is>
          <t>General conditions:Daily cleaning</t>
        </is>
      </c>
      <c r="D53" s="40" t="n">
        <v>60094</v>
      </c>
      <c r="E53" s="41" t="inlineStr">
        <is>
          <t>Equal</t>
        </is>
      </c>
      <c r="F53" s="42" t="n">
        <v>0.1</v>
      </c>
      <c r="G53" s="43" t="n">
        <v>3</v>
      </c>
      <c r="H53" s="43" t="inlineStr">
        <is>
          <t>Yes</t>
        </is>
      </c>
    </row>
    <row r="54" ht="15" customHeight="1">
      <c r="A54" s="38" t="n">
        <v>50</v>
      </c>
      <c r="B54" s="39" t="inlineStr">
        <is>
          <t>3. HARD COSTS</t>
        </is>
      </c>
      <c r="C54" s="39" t="inlineStr">
        <is>
          <t>General conditions:Final Cleaning</t>
        </is>
      </c>
      <c r="D54" s="40" t="n">
        <v>53800</v>
      </c>
      <c r="E54" s="41" t="inlineStr">
        <is>
          <t>Equal</t>
        </is>
      </c>
      <c r="F54" s="42" t="n">
        <v>0.1</v>
      </c>
      <c r="G54" s="43" t="n">
        <v>3</v>
      </c>
      <c r="H54" s="43" t="inlineStr">
        <is>
          <t>Yes</t>
        </is>
      </c>
    </row>
    <row r="55" ht="15" customHeight="1">
      <c r="A55" s="38" t="n">
        <v>51</v>
      </c>
      <c r="B55" s="39" t="inlineStr">
        <is>
          <t>3. HARD COSTS</t>
        </is>
      </c>
      <c r="C55" s="39" t="inlineStr">
        <is>
          <t>General conditions:Laboratory &amp; Testing</t>
        </is>
      </c>
      <c r="D55" s="40" t="n">
        <v>98600</v>
      </c>
      <c r="E55" s="41" t="inlineStr">
        <is>
          <t>Equal</t>
        </is>
      </c>
      <c r="F55" s="42" t="n">
        <v>0.1</v>
      </c>
      <c r="G55" s="43" t="n">
        <v>3</v>
      </c>
      <c r="H55" s="43" t="inlineStr">
        <is>
          <t>Yes</t>
        </is>
      </c>
    </row>
    <row r="56" ht="15" customHeight="1">
      <c r="A56" s="38" t="n">
        <v>52</v>
      </c>
      <c r="B56" s="39" t="inlineStr">
        <is>
          <t>3. HARD COSTS</t>
        </is>
      </c>
      <c r="C56" s="39" t="inlineStr">
        <is>
          <t>General conditions:Surveyor</t>
        </is>
      </c>
      <c r="D56" s="40" t="n">
        <v>35407</v>
      </c>
      <c r="E56" s="41" t="inlineStr">
        <is>
          <t>Equal</t>
        </is>
      </c>
      <c r="F56" s="42" t="n">
        <v>0.1</v>
      </c>
      <c r="G56" s="43" t="n">
        <v>3</v>
      </c>
      <c r="H56" s="43" t="inlineStr">
        <is>
          <t>Yes</t>
        </is>
      </c>
    </row>
    <row r="57" ht="15" customHeight="1">
      <c r="A57" s="38" t="n">
        <v>53</v>
      </c>
      <c r="B57" s="39" t="inlineStr">
        <is>
          <t>3. HARD COSTS</t>
        </is>
      </c>
      <c r="C57" s="39" t="inlineStr">
        <is>
          <t>General conditions:Project signage</t>
        </is>
      </c>
      <c r="D57" s="40" t="n">
        <v>181830</v>
      </c>
      <c r="E57" s="41" t="inlineStr">
        <is>
          <t>Equal</t>
        </is>
      </c>
      <c r="F57" s="42" t="n">
        <v>0.1</v>
      </c>
      <c r="G57" s="43" t="n">
        <v>3</v>
      </c>
      <c r="H57" s="43" t="inlineStr">
        <is>
          <t>Yes</t>
        </is>
      </c>
    </row>
    <row r="58" ht="15" customHeight="1">
      <c r="A58" s="38" t="n">
        <v>54</v>
      </c>
      <c r="B58" s="39" t="inlineStr">
        <is>
          <t>3. HARD COSTS</t>
        </is>
      </c>
      <c r="C58" s="39" t="n"/>
      <c r="D58" s="40" t="n">
        <v>6000</v>
      </c>
      <c r="E58" s="41" t="inlineStr">
        <is>
          <t>Equal</t>
        </is>
      </c>
      <c r="F58" s="42" t="n">
        <v>0.1</v>
      </c>
      <c r="G58" s="43" t="n">
        <v>3</v>
      </c>
      <c r="H58" s="43" t="inlineStr">
        <is>
          <t>Yes</t>
        </is>
      </c>
    </row>
    <row r="59" ht="15" customHeight="1">
      <c r="A59" s="38" t="n">
        <v>55</v>
      </c>
      <c r="B59" s="39" t="inlineStr">
        <is>
          <t>3. HARD COSTS</t>
        </is>
      </c>
      <c r="C59" s="39" t="inlineStr">
        <is>
          <t>General conditions:Miscellaneous</t>
        </is>
      </c>
      <c r="D59" s="40" t="n">
        <v>1901</v>
      </c>
      <c r="E59" s="41" t="inlineStr">
        <is>
          <t>Equal</t>
        </is>
      </c>
      <c r="F59" s="42" t="n">
        <v>0.1</v>
      </c>
      <c r="G59" s="43" t="n">
        <v>3</v>
      </c>
      <c r="H59" s="43" t="inlineStr">
        <is>
          <t>Yes</t>
        </is>
      </c>
    </row>
    <row r="60" ht="15" customHeight="1">
      <c r="A60" s="38" t="n">
        <v>56</v>
      </c>
      <c r="B60" s="39" t="inlineStr">
        <is>
          <t>3. HARD COSTS</t>
        </is>
      </c>
      <c r="C60" s="39" t="inlineStr">
        <is>
          <t>Formwork:Concrete purchases - Hambro floors</t>
        </is>
      </c>
      <c r="D60" s="40" t="n">
        <v>94276</v>
      </c>
      <c r="E60" s="41" t="inlineStr">
        <is>
          <t>Front-loaded</t>
        </is>
      </c>
      <c r="F60" s="42" t="n">
        <v>0.1</v>
      </c>
      <c r="G60" s="43" t="n">
        <v>3</v>
      </c>
      <c r="H60" s="43" t="inlineStr">
        <is>
          <t>Yes</t>
        </is>
      </c>
    </row>
    <row r="61" ht="15" customHeight="1">
      <c r="A61" s="38" t="n">
        <v>57</v>
      </c>
      <c r="B61" s="39" t="inlineStr">
        <is>
          <t>3. HARD COSTS</t>
        </is>
      </c>
      <c r="C61" s="39" t="inlineStr">
        <is>
          <t>Formwork:Stair slab concrete</t>
        </is>
      </c>
      <c r="D61" s="40" t="n">
        <v>27681</v>
      </c>
      <c r="E61" s="41" t="inlineStr">
        <is>
          <t>Front-loaded</t>
        </is>
      </c>
      <c r="F61" s="42" t="n">
        <v>0.1</v>
      </c>
      <c r="G61" s="43" t="n">
        <v>3</v>
      </c>
      <c r="H61" s="43" t="inlineStr">
        <is>
          <t>Yes</t>
        </is>
      </c>
    </row>
    <row r="62" ht="15" customHeight="1">
      <c r="A62" s="38" t="n">
        <v>58</v>
      </c>
      <c r="B62" s="39" t="inlineStr">
        <is>
          <t>3. HARD COSTS</t>
        </is>
      </c>
      <c r="C62" s="39" t="inlineStr">
        <is>
          <t>Concrete:Concrete purchases</t>
        </is>
      </c>
      <c r="D62" s="40" t="n">
        <v>97941</v>
      </c>
      <c r="E62" s="41" t="inlineStr">
        <is>
          <t>Front-loaded</t>
        </is>
      </c>
      <c r="F62" s="42" t="n">
        <v>0.1</v>
      </c>
      <c r="G62" s="43" t="n">
        <v>3</v>
      </c>
      <c r="H62" s="43" t="inlineStr">
        <is>
          <t>Yes</t>
        </is>
      </c>
    </row>
    <row r="63" ht="15" customHeight="1">
      <c r="A63" s="38" t="n">
        <v>59</v>
      </c>
      <c r="B63" s="39" t="inlineStr">
        <is>
          <t>3. HARD COSTS</t>
        </is>
      </c>
      <c r="C63" s="39" t="inlineStr">
        <is>
          <t>Formwork:Insulated formwork</t>
        </is>
      </c>
      <c r="D63" s="40" t="n">
        <v>2681518</v>
      </c>
      <c r="E63" s="41" t="inlineStr">
        <is>
          <t>Front-loaded</t>
        </is>
      </c>
      <c r="F63" s="42" t="n">
        <v>0.1</v>
      </c>
      <c r="G63" s="43" t="n">
        <v>3</v>
      </c>
      <c r="H63" s="43" t="inlineStr">
        <is>
          <t>Yes</t>
        </is>
      </c>
    </row>
    <row r="64" ht="15" customHeight="1">
      <c r="A64" s="38" t="n">
        <v>60</v>
      </c>
      <c r="B64" s="39" t="inlineStr">
        <is>
          <t>3. HARD COSTS</t>
        </is>
      </c>
      <c r="C64" s="39" t="n"/>
      <c r="D64" s="40" t="n">
        <v>0</v>
      </c>
      <c r="E64" s="41" t="inlineStr">
        <is>
          <t>Equal</t>
        </is>
      </c>
      <c r="F64" s="42" t="n">
        <v>0.1</v>
      </c>
      <c r="G64" s="43" t="n">
        <v>3</v>
      </c>
      <c r="H64" s="43" t="inlineStr">
        <is>
          <t>Yes</t>
        </is>
      </c>
    </row>
    <row r="65" ht="15" customHeight="1">
      <c r="A65" s="38" t="n">
        <v>61</v>
      </c>
      <c r="B65" s="39" t="inlineStr">
        <is>
          <t>3. HARD COSTS</t>
        </is>
      </c>
      <c r="C65" s="39" t="inlineStr">
        <is>
          <t>Formwork:Wire mesh - Hambro floors</t>
        </is>
      </c>
      <c r="D65" s="40" t="n">
        <v>62581</v>
      </c>
      <c r="E65" s="41" t="inlineStr">
        <is>
          <t>Front-loaded</t>
        </is>
      </c>
      <c r="F65" s="42" t="n">
        <v>0.1</v>
      </c>
      <c r="G65" s="43" t="n">
        <v>3</v>
      </c>
      <c r="H65" s="43" t="inlineStr">
        <is>
          <t>Yes</t>
        </is>
      </c>
    </row>
    <row r="66" ht="15" customHeight="1">
      <c r="A66" s="38" t="n">
        <v>62</v>
      </c>
      <c r="B66" s="39" t="inlineStr">
        <is>
          <t>3. HARD COSTS</t>
        </is>
      </c>
      <c r="C66" s="39" t="inlineStr">
        <is>
          <t>Formwork:Cement finishing</t>
        </is>
      </c>
      <c r="D66" s="40" t="n">
        <v>163654</v>
      </c>
      <c r="E66" s="41" t="inlineStr">
        <is>
          <t>Front-loaded</t>
        </is>
      </c>
      <c r="F66" s="42" t="n">
        <v>0.1</v>
      </c>
      <c r="G66" s="43" t="n">
        <v>3</v>
      </c>
      <c r="H66" s="43" t="inlineStr">
        <is>
          <t>Yes</t>
        </is>
      </c>
    </row>
    <row r="67" ht="15" customHeight="1">
      <c r="A67" s="38" t="n">
        <v>63</v>
      </c>
      <c r="B67" s="39" t="inlineStr">
        <is>
          <t>3. HARD COSTS</t>
        </is>
      </c>
      <c r="C67" s="39" t="inlineStr">
        <is>
          <t>Formwork:Stair slab cement finishing</t>
        </is>
      </c>
      <c r="D67" s="40" t="n">
        <v>0</v>
      </c>
      <c r="E67" s="41" t="inlineStr">
        <is>
          <t>Front-loaded</t>
        </is>
      </c>
      <c r="F67" s="42" t="n">
        <v>0.1</v>
      </c>
      <c r="G67" s="43" t="n">
        <v>3</v>
      </c>
      <c r="H67" s="43" t="inlineStr">
        <is>
          <t>Yes</t>
        </is>
      </c>
    </row>
    <row r="68" ht="15" customHeight="1">
      <c r="A68" s="38" t="n">
        <v>64</v>
      </c>
      <c r="B68" s="39" t="inlineStr">
        <is>
          <t>3. HARD COSTS</t>
        </is>
      </c>
      <c r="C68" s="39" t="inlineStr">
        <is>
          <t>Formwork:Stair slab concrete pumps</t>
        </is>
      </c>
      <c r="D68" s="40" t="n">
        <v>0</v>
      </c>
      <c r="E68" s="41" t="inlineStr">
        <is>
          <t>Front-loaded</t>
        </is>
      </c>
      <c r="F68" s="42" t="n">
        <v>0.1</v>
      </c>
      <c r="G68" s="43" t="n">
        <v>3</v>
      </c>
      <c r="H68" s="43" t="inlineStr">
        <is>
          <t>Yes</t>
        </is>
      </c>
    </row>
    <row r="69" ht="15" customHeight="1">
      <c r="A69" s="38" t="n">
        <v>65</v>
      </c>
      <c r="B69" s="39" t="inlineStr">
        <is>
          <t>3. HARD COSTS</t>
        </is>
      </c>
      <c r="C69" s="39" t="inlineStr">
        <is>
          <t>Formwork:Concrete pumps</t>
        </is>
      </c>
      <c r="D69" s="40" t="n">
        <v>31715</v>
      </c>
      <c r="E69" s="41" t="inlineStr">
        <is>
          <t>Front-loaded</t>
        </is>
      </c>
      <c r="F69" s="42" t="n">
        <v>0.1</v>
      </c>
      <c r="G69" s="43" t="n">
        <v>3</v>
      </c>
      <c r="H69" s="43" t="inlineStr">
        <is>
          <t>Yes</t>
        </is>
      </c>
    </row>
    <row r="70" ht="15" customHeight="1">
      <c r="A70" s="38" t="n">
        <v>66</v>
      </c>
      <c r="B70" s="39" t="inlineStr">
        <is>
          <t>3. HARD COSTS</t>
        </is>
      </c>
      <c r="C70" s="39" t="inlineStr">
        <is>
          <t>Concrete:Concrete pumps</t>
        </is>
      </c>
      <c r="D70" s="40" t="n">
        <v>0</v>
      </c>
      <c r="E70" s="41" t="inlineStr">
        <is>
          <t>Front-loaded</t>
        </is>
      </c>
      <c r="F70" s="42" t="n">
        <v>0.1</v>
      </c>
      <c r="G70" s="43" t="n">
        <v>3</v>
      </c>
      <c r="H70" s="43" t="inlineStr">
        <is>
          <t>Yes</t>
        </is>
      </c>
    </row>
    <row r="71" ht="15" customHeight="1">
      <c r="A71" s="38" t="n">
        <v>67</v>
      </c>
      <c r="B71" s="39" t="inlineStr">
        <is>
          <t>3. HARD COSTS</t>
        </is>
      </c>
      <c r="C71" s="39" t="inlineStr">
        <is>
          <t>Concrete:Concrete accessories</t>
        </is>
      </c>
      <c r="D71" s="40" t="n">
        <v>79342</v>
      </c>
      <c r="E71" s="41" t="inlineStr">
        <is>
          <t>Front-loaded</t>
        </is>
      </c>
      <c r="F71" s="42" t="n">
        <v>0.1</v>
      </c>
      <c r="G71" s="43" t="n">
        <v>3</v>
      </c>
      <c r="H71" s="43" t="inlineStr">
        <is>
          <t>Yes</t>
        </is>
      </c>
    </row>
    <row r="72" ht="15" customHeight="1">
      <c r="A72" s="38" t="n">
        <v>68</v>
      </c>
      <c r="B72" s="39" t="inlineStr">
        <is>
          <t>3. HARD COSTS</t>
        </is>
      </c>
      <c r="C72" s="39" t="inlineStr">
        <is>
          <t>Concrete:Labour - Accessories</t>
        </is>
      </c>
      <c r="D72" s="40" t="n">
        <v>0</v>
      </c>
      <c r="E72" s="41" t="inlineStr">
        <is>
          <t>Front-loaded</t>
        </is>
      </c>
      <c r="F72" s="42" t="n">
        <v>0.1</v>
      </c>
      <c r="G72" s="43" t="n">
        <v>3</v>
      </c>
      <c r="H72" s="43" t="inlineStr">
        <is>
          <t>Yes</t>
        </is>
      </c>
    </row>
    <row r="73" ht="15" customHeight="1">
      <c r="A73" s="38" t="n">
        <v>69</v>
      </c>
      <c r="B73" s="39" t="inlineStr">
        <is>
          <t>3. HARD COSTS</t>
        </is>
      </c>
      <c r="C73" s="39" t="inlineStr">
        <is>
          <t>Concrete:Polyethylene .006 - changed to .010 2024-01-22</t>
        </is>
      </c>
      <c r="D73" s="40" t="n">
        <v>0</v>
      </c>
      <c r="E73" s="41" t="inlineStr">
        <is>
          <t>Front-loaded</t>
        </is>
      </c>
      <c r="F73" s="42" t="n">
        <v>0.1</v>
      </c>
      <c r="G73" s="43" t="n">
        <v>3</v>
      </c>
      <c r="H73" s="43" t="inlineStr">
        <is>
          <t>Yes</t>
        </is>
      </c>
    </row>
    <row r="74" ht="15" customHeight="1">
      <c r="A74" s="38" t="n">
        <v>70</v>
      </c>
      <c r="B74" s="39" t="inlineStr">
        <is>
          <t>3. HARD COSTS</t>
        </is>
      </c>
      <c r="C74" s="39" t="inlineStr">
        <is>
          <t>Concrete:3'' Rigid insulation (4' perimeter) - changed to 2'' Blue</t>
        </is>
      </c>
      <c r="D74" s="40" t="n">
        <v>0</v>
      </c>
      <c r="E74" s="41" t="inlineStr">
        <is>
          <t>Front-loaded</t>
        </is>
      </c>
      <c r="F74" s="42" t="n">
        <v>0.1</v>
      </c>
      <c r="G74" s="43" t="n">
        <v>3</v>
      </c>
      <c r="H74" s="43" t="inlineStr">
        <is>
          <t>Yes</t>
        </is>
      </c>
    </row>
    <row r="75" ht="15" customHeight="1">
      <c r="A75" s="38" t="n">
        <v>71</v>
      </c>
      <c r="B75" s="39" t="inlineStr">
        <is>
          <t>3. HARD COSTS</t>
        </is>
      </c>
      <c r="C75" s="39" t="inlineStr">
        <is>
          <t>Concrete:Labour - Rigid insulation</t>
        </is>
      </c>
      <c r="D75" s="40" t="n">
        <v>0</v>
      </c>
      <c r="E75" s="41" t="inlineStr">
        <is>
          <t>Front-loaded</t>
        </is>
      </c>
      <c r="F75" s="42" t="n">
        <v>0.1</v>
      </c>
      <c r="G75" s="43" t="n">
        <v>3</v>
      </c>
      <c r="H75" s="43" t="inlineStr">
        <is>
          <t>Yes</t>
        </is>
      </c>
    </row>
    <row r="76" ht="15" customHeight="1">
      <c r="A76" s="38" t="n">
        <v>72</v>
      </c>
      <c r="B76" s="39" t="inlineStr">
        <is>
          <t>3. HARD COSTS</t>
        </is>
      </c>
      <c r="C76" s="39" t="inlineStr">
        <is>
          <t>Concrete:Wet cure</t>
        </is>
      </c>
      <c r="D76" s="40" t="n">
        <v>0</v>
      </c>
      <c r="E76" s="41" t="inlineStr">
        <is>
          <t>Front-loaded</t>
        </is>
      </c>
      <c r="F76" s="42" t="n">
        <v>0.1</v>
      </c>
      <c r="G76" s="43" t="n">
        <v>3</v>
      </c>
      <c r="H76" s="43" t="inlineStr">
        <is>
          <t>Yes</t>
        </is>
      </c>
    </row>
    <row r="77" ht="15" customHeight="1">
      <c r="A77" s="38" t="n">
        <v>73</v>
      </c>
      <c r="B77" s="39" t="inlineStr">
        <is>
          <t>3. HARD COSTS</t>
        </is>
      </c>
      <c r="C77" s="39" t="inlineStr">
        <is>
          <t>Formwork:Hambro joists</t>
        </is>
      </c>
      <c r="D77" s="40" t="n">
        <v>494189</v>
      </c>
      <c r="E77" s="41" t="inlineStr">
        <is>
          <t>Front-loaded</t>
        </is>
      </c>
      <c r="F77" s="42" t="n">
        <v>0.1</v>
      </c>
      <c r="G77" s="43" t="n">
        <v>3</v>
      </c>
      <c r="H77" s="43" t="inlineStr">
        <is>
          <t>Yes</t>
        </is>
      </c>
    </row>
    <row r="78" ht="15" customHeight="1">
      <c r="A78" s="38" t="n">
        <v>74</v>
      </c>
      <c r="B78" s="39" t="inlineStr">
        <is>
          <t>3. HARD COSTS</t>
        </is>
      </c>
      <c r="C78" s="39" t="inlineStr">
        <is>
          <t>Metal works:Stairs</t>
        </is>
      </c>
      <c r="D78" s="40" t="n">
        <v>682129</v>
      </c>
      <c r="E78" s="41" t="inlineStr">
        <is>
          <t>Equal</t>
        </is>
      </c>
      <c r="F78" s="42" t="n">
        <v>0.1</v>
      </c>
      <c r="G78" s="43" t="n">
        <v>3</v>
      </c>
      <c r="H78" s="43" t="inlineStr">
        <is>
          <t>Yes</t>
        </is>
      </c>
    </row>
    <row r="79" ht="15" customHeight="1">
      <c r="A79" s="38" t="n">
        <v>75</v>
      </c>
      <c r="B79" s="39" t="inlineStr">
        <is>
          <t>3. HARD COSTS</t>
        </is>
      </c>
      <c r="C79" s="39" t="inlineStr">
        <is>
          <t>Metal works:Steel bases for balcony columns</t>
        </is>
      </c>
      <c r="D79" s="40" t="n">
        <v>0</v>
      </c>
      <c r="E79" s="41" t="inlineStr">
        <is>
          <t>Equal</t>
        </is>
      </c>
      <c r="F79" s="42" t="n">
        <v>0.1</v>
      </c>
      <c r="G79" s="43" t="n">
        <v>3</v>
      </c>
      <c r="H79" s="43" t="inlineStr">
        <is>
          <t>Yes</t>
        </is>
      </c>
    </row>
    <row r="80" ht="15" customHeight="1">
      <c r="A80" s="38" t="n">
        <v>76</v>
      </c>
      <c r="B80" s="39" t="inlineStr">
        <is>
          <t>3. HARD COSTS</t>
        </is>
      </c>
      <c r="C80" s="39" t="inlineStr">
        <is>
          <t>Handrails:Railings</t>
        </is>
      </c>
      <c r="D80" s="40" t="n">
        <v>116664</v>
      </c>
      <c r="E80" s="41" t="inlineStr">
        <is>
          <t>Equal</t>
        </is>
      </c>
      <c r="F80" s="42" t="n">
        <v>0.1</v>
      </c>
      <c r="G80" s="43" t="n">
        <v>3</v>
      </c>
      <c r="H80" s="43" t="inlineStr">
        <is>
          <t>Yes</t>
        </is>
      </c>
    </row>
    <row r="81" ht="15" customHeight="1">
      <c r="A81" s="38" t="n">
        <v>77</v>
      </c>
      <c r="B81" s="39" t="inlineStr">
        <is>
          <t>3. HARD COSTS</t>
        </is>
      </c>
      <c r="C81" s="39" t="inlineStr">
        <is>
          <t>Carpentry rough:Miscellaneous carpentry labour (DCL)</t>
        </is>
      </c>
      <c r="D81" s="40" t="n">
        <v>754800</v>
      </c>
      <c r="E81" s="41" t="inlineStr">
        <is>
          <t>Equal</t>
        </is>
      </c>
      <c r="F81" s="42" t="n">
        <v>0.1</v>
      </c>
      <c r="G81" s="43" t="n">
        <v>3</v>
      </c>
      <c r="H81" s="43" t="inlineStr">
        <is>
          <t>Yes</t>
        </is>
      </c>
    </row>
    <row r="82" ht="15" customHeight="1">
      <c r="A82" s="38" t="n">
        <v>78</v>
      </c>
      <c r="B82" s="39" t="inlineStr">
        <is>
          <t>3. HARD COSTS</t>
        </is>
      </c>
      <c r="C82" s="39" t="inlineStr">
        <is>
          <t>Formwork:Roof trusses - Labour</t>
        </is>
      </c>
      <c r="D82" s="40" t="n">
        <v>550190</v>
      </c>
      <c r="E82" s="41" t="inlineStr">
        <is>
          <t>Front-loaded</t>
        </is>
      </c>
      <c r="F82" s="42" t="n">
        <v>0.1</v>
      </c>
      <c r="G82" s="43" t="n">
        <v>3</v>
      </c>
      <c r="H82" s="43" t="inlineStr">
        <is>
          <t>Yes</t>
        </is>
      </c>
    </row>
    <row r="83" ht="15" customHeight="1">
      <c r="A83" s="38" t="n">
        <v>79</v>
      </c>
      <c r="B83" s="39" t="inlineStr">
        <is>
          <t>3. HARD COSTS</t>
        </is>
      </c>
      <c r="C83" s="39" t="inlineStr">
        <is>
          <t>Carpentry rough:Millwork &amp; WC Acc. Blocking</t>
        </is>
      </c>
      <c r="D83" s="40" t="n">
        <v>252570</v>
      </c>
      <c r="E83" s="41" t="inlineStr">
        <is>
          <t>Equal</t>
        </is>
      </c>
      <c r="F83" s="42" t="n">
        <v>0.1</v>
      </c>
      <c r="G83" s="43" t="n">
        <v>3</v>
      </c>
      <c r="H83" s="43" t="inlineStr">
        <is>
          <t>Yes</t>
        </is>
      </c>
    </row>
    <row r="84" ht="15" customHeight="1">
      <c r="A84" s="38" t="n">
        <v>80</v>
      </c>
      <c r="B84" s="39" t="inlineStr">
        <is>
          <t>3. HARD COSTS</t>
        </is>
      </c>
      <c r="C84" s="39" t="inlineStr">
        <is>
          <t>Carpentry rough:Stair rail blocking</t>
        </is>
      </c>
      <c r="D84" s="40" t="n">
        <v>0</v>
      </c>
      <c r="E84" s="41" t="inlineStr">
        <is>
          <t>Equal</t>
        </is>
      </c>
      <c r="F84" s="42" t="n">
        <v>0.1</v>
      </c>
      <c r="G84" s="43" t="n">
        <v>3</v>
      </c>
      <c r="H84" s="43" t="inlineStr">
        <is>
          <t>Yes</t>
        </is>
      </c>
    </row>
    <row r="85" ht="15" customHeight="1">
      <c r="A85" s="38" t="n">
        <v>81</v>
      </c>
      <c r="B85" s="39" t="inlineStr">
        <is>
          <t>3. HARD COSTS</t>
        </is>
      </c>
      <c r="C85" s="39" t="inlineStr">
        <is>
          <t>Carpentry rough:OSB Dryguard - Roof</t>
        </is>
      </c>
      <c r="D85" s="40" t="n">
        <v>0</v>
      </c>
      <c r="E85" s="41" t="inlineStr">
        <is>
          <t>Mid-weighted</t>
        </is>
      </c>
      <c r="F85" s="42" t="n">
        <v>0.1</v>
      </c>
      <c r="G85" s="43" t="n">
        <v>3</v>
      </c>
      <c r="H85" s="43" t="inlineStr">
        <is>
          <t>Yes</t>
        </is>
      </c>
    </row>
    <row r="86" ht="15" customHeight="1">
      <c r="A86" s="38" t="n">
        <v>82</v>
      </c>
      <c r="B86" s="39" t="inlineStr">
        <is>
          <t>3. HARD COSTS</t>
        </is>
      </c>
      <c r="C86" s="39" t="inlineStr">
        <is>
          <t>Carpentry rough:Materials - small roofs</t>
        </is>
      </c>
      <c r="D86" s="40" t="n">
        <v>498625</v>
      </c>
      <c r="E86" s="41" t="inlineStr">
        <is>
          <t>Equal</t>
        </is>
      </c>
      <c r="F86" s="42" t="n">
        <v>0.1</v>
      </c>
      <c r="G86" s="43" t="n">
        <v>3</v>
      </c>
      <c r="H86" s="43" t="inlineStr">
        <is>
          <t>Yes</t>
        </is>
      </c>
    </row>
    <row r="87" ht="15" customHeight="1">
      <c r="A87" s="38" t="n">
        <v>83</v>
      </c>
      <c r="B87" s="39" t="inlineStr">
        <is>
          <t>3. HARD COSTS</t>
        </is>
      </c>
      <c r="C87" s="39" t="inlineStr">
        <is>
          <t>Formwork:Hambro plywood purchases</t>
        </is>
      </c>
      <c r="D87" s="40" t="n">
        <v>0</v>
      </c>
      <c r="E87" s="41" t="inlineStr">
        <is>
          <t>Front-loaded</t>
        </is>
      </c>
      <c r="F87" s="42" t="n">
        <v>0.1</v>
      </c>
      <c r="G87" s="43" t="n">
        <v>3</v>
      </c>
      <c r="H87" s="43" t="inlineStr">
        <is>
          <t>Yes</t>
        </is>
      </c>
    </row>
    <row r="88" ht="15" customHeight="1">
      <c r="A88" s="38" t="n">
        <v>84</v>
      </c>
      <c r="B88" s="39" t="inlineStr">
        <is>
          <t>3. HARD COSTS</t>
        </is>
      </c>
      <c r="C88" s="39" t="inlineStr">
        <is>
          <t>Handrails:Balcony structures</t>
        </is>
      </c>
      <c r="D88" s="40" t="n">
        <v>0</v>
      </c>
      <c r="E88" s="41" t="inlineStr">
        <is>
          <t>Equal</t>
        </is>
      </c>
      <c r="F88" s="42" t="n">
        <v>0.1</v>
      </c>
      <c r="G88" s="43" t="n">
        <v>3</v>
      </c>
      <c r="H88" s="43" t="inlineStr">
        <is>
          <t>Yes</t>
        </is>
      </c>
    </row>
    <row r="89" ht="15" customHeight="1">
      <c r="A89" s="38" t="n">
        <v>85</v>
      </c>
      <c r="B89" s="39" t="inlineStr">
        <is>
          <t>3. HARD COSTS</t>
        </is>
      </c>
      <c r="C89" s="39" t="inlineStr">
        <is>
          <t>Handrails:Floors</t>
        </is>
      </c>
      <c r="D89" s="40" t="n">
        <v>114000</v>
      </c>
      <c r="E89" s="41" t="inlineStr">
        <is>
          <t>Equal</t>
        </is>
      </c>
      <c r="F89" s="42" t="n">
        <v>0.1</v>
      </c>
      <c r="G89" s="43" t="n">
        <v>3</v>
      </c>
      <c r="H89" s="43" t="inlineStr">
        <is>
          <t>Yes</t>
        </is>
      </c>
    </row>
    <row r="90" ht="15" customHeight="1">
      <c r="A90" s="38" t="n">
        <v>86</v>
      </c>
      <c r="B90" s="39" t="inlineStr">
        <is>
          <t>3. HARD COSTS</t>
        </is>
      </c>
      <c r="C90" s="39" t="inlineStr">
        <is>
          <t>Carpentry rough:Roof trusses</t>
        </is>
      </c>
      <c r="D90" s="40" t="n">
        <v>176601</v>
      </c>
      <c r="E90" s="41" t="inlineStr">
        <is>
          <t>Mid-weighted</t>
        </is>
      </c>
      <c r="F90" s="42" t="n">
        <v>0.1</v>
      </c>
      <c r="G90" s="43" t="n">
        <v>3</v>
      </c>
      <c r="H90" s="43" t="inlineStr">
        <is>
          <t>Yes</t>
        </is>
      </c>
    </row>
    <row r="91" ht="15" customHeight="1">
      <c r="A91" s="38" t="n">
        <v>87</v>
      </c>
      <c r="B91" s="39" t="inlineStr">
        <is>
          <t>3. HARD COSTS</t>
        </is>
      </c>
      <c r="C91" s="39" t="inlineStr">
        <is>
          <t>Kitchen:Kitchens &amp; vanities (QC)</t>
        </is>
      </c>
      <c r="D91" s="40" t="n">
        <v>844652</v>
      </c>
      <c r="E91" s="41" t="inlineStr">
        <is>
          <t>Back-loaded</t>
        </is>
      </c>
      <c r="F91" s="42" t="n">
        <v>0.1</v>
      </c>
      <c r="G91" s="43" t="n">
        <v>3</v>
      </c>
      <c r="H91" s="43" t="inlineStr">
        <is>
          <t>Yes</t>
        </is>
      </c>
    </row>
    <row r="92" ht="15" customHeight="1">
      <c r="A92" s="38" t="n">
        <v>88</v>
      </c>
      <c r="B92" s="39" t="inlineStr">
        <is>
          <t>3. HARD COSTS</t>
        </is>
      </c>
      <c r="C92" s="39" t="n"/>
      <c r="D92" s="40" t="n">
        <v>0</v>
      </c>
      <c r="E92" s="41" t="inlineStr">
        <is>
          <t>Equal</t>
        </is>
      </c>
      <c r="F92" s="42" t="n">
        <v>0.1</v>
      </c>
      <c r="G92" s="43" t="n">
        <v>3</v>
      </c>
      <c r="H92" s="43" t="inlineStr">
        <is>
          <t>Yes</t>
        </is>
      </c>
    </row>
    <row r="93" ht="15" customHeight="1">
      <c r="A93" s="38" t="n">
        <v>89</v>
      </c>
      <c r="B93" s="39" t="inlineStr">
        <is>
          <t>3. HARD COSTS</t>
        </is>
      </c>
      <c r="C93" s="39" t="inlineStr">
        <is>
          <t>Kitchen:Quartz counters - Purchase</t>
        </is>
      </c>
      <c r="D93" s="40" t="n">
        <v>177900</v>
      </c>
      <c r="E93" s="41" t="inlineStr">
        <is>
          <t>Back-loaded</t>
        </is>
      </c>
      <c r="F93" s="42" t="n">
        <v>0.1</v>
      </c>
      <c r="G93" s="43" t="n">
        <v>3</v>
      </c>
      <c r="H93" s="43" t="inlineStr">
        <is>
          <t>Yes</t>
        </is>
      </c>
    </row>
    <row r="94" ht="15" customHeight="1">
      <c r="A94" s="38" t="n">
        <v>90</v>
      </c>
      <c r="B94" s="39" t="inlineStr">
        <is>
          <t>3. HARD COSTS</t>
        </is>
      </c>
      <c r="C94" s="39" t="inlineStr">
        <is>
          <t>Kitchen:Quartz counters - Installation</t>
        </is>
      </c>
      <c r="D94" s="40" t="n">
        <v>0</v>
      </c>
      <c r="E94" s="41" t="inlineStr">
        <is>
          <t>Back-loaded</t>
        </is>
      </c>
      <c r="F94" s="42" t="n">
        <v>0.1</v>
      </c>
      <c r="G94" s="43" t="n">
        <v>3</v>
      </c>
      <c r="H94" s="43" t="inlineStr">
        <is>
          <t>Yes</t>
        </is>
      </c>
    </row>
    <row r="95" ht="15" customHeight="1">
      <c r="A95" s="38" t="n">
        <v>91</v>
      </c>
      <c r="B95" s="39" t="inlineStr">
        <is>
          <t>3. HARD COSTS</t>
        </is>
      </c>
      <c r="C95" s="39" t="inlineStr">
        <is>
          <t>Carpentry rough:Roof insulation</t>
        </is>
      </c>
      <c r="D95" s="40" t="n">
        <v>35500</v>
      </c>
      <c r="E95" s="41" t="inlineStr">
        <is>
          <t>Mid-weighted</t>
        </is>
      </c>
      <c r="F95" s="42" t="n">
        <v>0.1</v>
      </c>
      <c r="G95" s="43" t="n">
        <v>3</v>
      </c>
      <c r="H95" s="43" t="inlineStr">
        <is>
          <t>Yes</t>
        </is>
      </c>
    </row>
    <row r="96" ht="15" customHeight="1">
      <c r="A96" s="38" t="n">
        <v>92</v>
      </c>
      <c r="B96" s="39" t="inlineStr">
        <is>
          <t>3. HARD COSTS</t>
        </is>
      </c>
      <c r="C96" s="39" t="inlineStr">
        <is>
          <t>Exterior finishes:Wood siding</t>
        </is>
      </c>
      <c r="D96" s="40" t="n">
        <v>1482450</v>
      </c>
      <c r="E96" s="41" t="inlineStr">
        <is>
          <t>Mid-weighted</t>
        </is>
      </c>
      <c r="F96" s="42" t="n">
        <v>0.1</v>
      </c>
      <c r="G96" s="43" t="n">
        <v>3</v>
      </c>
      <c r="H96" s="43" t="inlineStr">
        <is>
          <t>Yes</t>
        </is>
      </c>
    </row>
    <row r="97" ht="15" customHeight="1">
      <c r="A97" s="38" t="n">
        <v>93</v>
      </c>
      <c r="B97" s="39" t="inlineStr">
        <is>
          <t>3. HARD COSTS</t>
        </is>
      </c>
      <c r="C97" s="39" t="inlineStr">
        <is>
          <t>Exterior finishes:Acrylic stucco &amp; Duroc</t>
        </is>
      </c>
      <c r="D97" s="40" t="n">
        <v>280000</v>
      </c>
      <c r="E97" s="41" t="inlineStr">
        <is>
          <t>Mid-weighted</t>
        </is>
      </c>
      <c r="F97" s="42" t="n">
        <v>0.1</v>
      </c>
      <c r="G97" s="43" t="n">
        <v>3</v>
      </c>
      <c r="H97" s="43" t="inlineStr">
        <is>
          <t>Yes</t>
        </is>
      </c>
    </row>
    <row r="98" ht="15" customHeight="1">
      <c r="A98" s="38" t="n">
        <v>94</v>
      </c>
      <c r="B98" s="39" t="inlineStr">
        <is>
          <t>3. HARD COSTS</t>
        </is>
      </c>
      <c r="C98" s="39" t="inlineStr">
        <is>
          <t>Roof, membrane:Roofing (Shingles)</t>
        </is>
      </c>
      <c r="D98" s="40" t="n">
        <v>280825</v>
      </c>
      <c r="E98" s="41" t="inlineStr">
        <is>
          <t>Mid-weighted</t>
        </is>
      </c>
      <c r="F98" s="42" t="n">
        <v>0.1</v>
      </c>
      <c r="G98" s="43" t="n">
        <v>3</v>
      </c>
      <c r="H98" s="43" t="inlineStr">
        <is>
          <t>Yes</t>
        </is>
      </c>
    </row>
    <row r="99" ht="15" customHeight="1">
      <c r="A99" s="38" t="n">
        <v>95</v>
      </c>
      <c r="B99" s="39" t="inlineStr">
        <is>
          <t>3. HARD COSTS</t>
        </is>
      </c>
      <c r="C99" s="39" t="inlineStr">
        <is>
          <t>Roof, membrane:Roofing (Winter conditions)</t>
        </is>
      </c>
      <c r="D99" s="40" t="n">
        <v>0</v>
      </c>
      <c r="E99" s="41" t="inlineStr">
        <is>
          <t>Mid-weighted</t>
        </is>
      </c>
      <c r="F99" s="42" t="n">
        <v>0.1</v>
      </c>
      <c r="G99" s="43" t="n">
        <v>3</v>
      </c>
      <c r="H99" s="43" t="inlineStr">
        <is>
          <t>Yes</t>
        </is>
      </c>
    </row>
    <row r="100" ht="15" customHeight="1">
      <c r="A100" s="38" t="n">
        <v>96</v>
      </c>
      <c r="B100" s="39" t="inlineStr">
        <is>
          <t>3. HARD COSTS</t>
        </is>
      </c>
      <c r="C100" s="39" t="inlineStr">
        <is>
          <t>Roof, membrane:Rain Gutters</t>
        </is>
      </c>
      <c r="D100" s="40" t="n">
        <v>36000</v>
      </c>
      <c r="E100" s="41" t="inlineStr">
        <is>
          <t>Mid-weighted</t>
        </is>
      </c>
      <c r="F100" s="42" t="n">
        <v>0.1</v>
      </c>
      <c r="G100" s="43" t="n">
        <v>3</v>
      </c>
      <c r="H100" s="43" t="inlineStr">
        <is>
          <t>Yes</t>
        </is>
      </c>
    </row>
    <row r="101" ht="15" customHeight="1">
      <c r="A101" s="38" t="n">
        <v>97</v>
      </c>
      <c r="B101" s="39" t="inlineStr">
        <is>
          <t>3. HARD COSTS</t>
        </is>
      </c>
      <c r="C101" s="39" t="inlineStr">
        <is>
          <t>Fenestration:Caulking</t>
        </is>
      </c>
      <c r="D101" s="40" t="n">
        <v>91200</v>
      </c>
      <c r="E101" s="41" t="inlineStr">
        <is>
          <t>Mid-weighted</t>
        </is>
      </c>
      <c r="F101" s="42" t="n">
        <v>0.1</v>
      </c>
      <c r="G101" s="43" t="n">
        <v>3</v>
      </c>
      <c r="H101" s="43" t="inlineStr">
        <is>
          <t>Yes</t>
        </is>
      </c>
    </row>
    <row r="102" ht="15" customHeight="1">
      <c r="A102" s="38" t="n">
        <v>98</v>
      </c>
      <c r="B102" s="39" t="inlineStr">
        <is>
          <t>3. HARD COSTS</t>
        </is>
      </c>
      <c r="C102" s="39" t="inlineStr">
        <is>
          <t>Doors and hardware:Wood doors</t>
        </is>
      </c>
      <c r="D102" s="40" t="n">
        <v>449827</v>
      </c>
      <c r="E102" s="41" t="inlineStr">
        <is>
          <t>Equal</t>
        </is>
      </c>
      <c r="F102" s="42" t="n">
        <v>0.1</v>
      </c>
      <c r="G102" s="43" t="n">
        <v>3</v>
      </c>
      <c r="H102" s="43" t="inlineStr">
        <is>
          <t>Yes</t>
        </is>
      </c>
    </row>
    <row r="103" ht="15" customHeight="1">
      <c r="A103" s="38" t="n">
        <v>99</v>
      </c>
      <c r="B103" s="39" t="inlineStr">
        <is>
          <t>3. HARD COSTS</t>
        </is>
      </c>
      <c r="C103" s="39" t="n"/>
      <c r="D103" s="40" t="n">
        <v>49800</v>
      </c>
      <c r="E103" s="41" t="inlineStr">
        <is>
          <t>Equal</t>
        </is>
      </c>
      <c r="F103" s="42" t="n">
        <v>0.1</v>
      </c>
      <c r="G103" s="43" t="n">
        <v>3</v>
      </c>
      <c r="H103" s="43" t="inlineStr">
        <is>
          <t>Yes</t>
        </is>
      </c>
    </row>
    <row r="104" ht="15" customHeight="1">
      <c r="A104" s="38" t="n">
        <v>100</v>
      </c>
      <c r="B104" s="39" t="inlineStr">
        <is>
          <t>3. HARD COSTS</t>
        </is>
      </c>
      <c r="C104" s="39" t="n"/>
      <c r="D104" s="40" t="n">
        <v>157600</v>
      </c>
      <c r="E104" s="41" t="inlineStr">
        <is>
          <t>Equal</t>
        </is>
      </c>
      <c r="F104" s="42" t="n">
        <v>0.1</v>
      </c>
      <c r="G104" s="43" t="n">
        <v>3</v>
      </c>
      <c r="H104" s="43" t="inlineStr">
        <is>
          <t>Yes</t>
        </is>
      </c>
    </row>
    <row r="105" ht="15" customHeight="1">
      <c r="A105" s="38" t="n">
        <v>101</v>
      </c>
      <c r="B105" s="39" t="inlineStr">
        <is>
          <t>3. HARD COSTS</t>
        </is>
      </c>
      <c r="C105" s="39" t="inlineStr">
        <is>
          <t>Carpentry finish:Carpentry</t>
        </is>
      </c>
      <c r="D105" s="40" t="n">
        <v>248100</v>
      </c>
      <c r="E105" s="41" t="inlineStr">
        <is>
          <t>Equal</t>
        </is>
      </c>
      <c r="F105" s="42" t="n">
        <v>0.1</v>
      </c>
      <c r="G105" s="43" t="n">
        <v>3</v>
      </c>
      <c r="H105" s="43" t="inlineStr">
        <is>
          <t>Yes</t>
        </is>
      </c>
    </row>
    <row r="106" ht="15" customHeight="1">
      <c r="A106" s="38" t="n">
        <v>102</v>
      </c>
      <c r="B106" s="39" t="inlineStr">
        <is>
          <t>3. HARD COSTS</t>
        </is>
      </c>
      <c r="C106" s="39" t="inlineStr">
        <is>
          <t>Doors and hardware:Baseboard, 1/4-round &amp; casing</t>
        </is>
      </c>
      <c r="D106" s="40" t="n">
        <v>108850</v>
      </c>
      <c r="E106" s="41" t="inlineStr">
        <is>
          <t>Equal</t>
        </is>
      </c>
      <c r="F106" s="42" t="n">
        <v>0.1</v>
      </c>
      <c r="G106" s="43" t="n">
        <v>3</v>
      </c>
      <c r="H106" s="43" t="inlineStr">
        <is>
          <t>Yes</t>
        </is>
      </c>
    </row>
    <row r="107" ht="15" customHeight="1">
      <c r="A107" s="38" t="n">
        <v>103</v>
      </c>
      <c r="B107" s="39" t="inlineStr">
        <is>
          <t>3. HARD COSTS</t>
        </is>
      </c>
      <c r="C107" s="39" t="inlineStr">
        <is>
          <t>Carpentry finish:Shelving &amp; Finish materials</t>
        </is>
      </c>
      <c r="D107" s="40" t="n">
        <v>0</v>
      </c>
      <c r="E107" s="41" t="inlineStr">
        <is>
          <t>Equal</t>
        </is>
      </c>
      <c r="F107" s="42" t="n">
        <v>0.1</v>
      </c>
      <c r="G107" s="43" t="n">
        <v>3</v>
      </c>
      <c r="H107" s="43" t="inlineStr">
        <is>
          <t>Yes</t>
        </is>
      </c>
    </row>
    <row r="108" ht="15" customHeight="1">
      <c r="A108" s="38" t="n">
        <v>104</v>
      </c>
      <c r="B108" s="39" t="inlineStr">
        <is>
          <t>3. HARD COSTS</t>
        </is>
      </c>
      <c r="C108" s="39" t="inlineStr">
        <is>
          <t>Fenestration:Windows &amp; patio-doors - Supply</t>
        </is>
      </c>
      <c r="D108" s="40" t="n">
        <v>851388</v>
      </c>
      <c r="E108" s="41" t="inlineStr">
        <is>
          <t>Mid-weighted</t>
        </is>
      </c>
      <c r="F108" s="42" t="n">
        <v>0.1</v>
      </c>
      <c r="G108" s="43" t="n">
        <v>3</v>
      </c>
      <c r="H108" s="43" t="inlineStr">
        <is>
          <t>Yes</t>
        </is>
      </c>
    </row>
    <row r="109" ht="15" customHeight="1">
      <c r="A109" s="38" t="n">
        <v>105</v>
      </c>
      <c r="B109" s="39" t="inlineStr">
        <is>
          <t>3. HARD COSTS</t>
        </is>
      </c>
      <c r="C109" s="39" t="inlineStr">
        <is>
          <t>Fenestration:Transport &amp; Handling - Quebec</t>
        </is>
      </c>
      <c r="D109" s="40" t="n">
        <v>0</v>
      </c>
      <c r="E109" s="41" t="inlineStr">
        <is>
          <t>Mid-weighted</t>
        </is>
      </c>
      <c r="F109" s="42" t="n">
        <v>0.1</v>
      </c>
      <c r="G109" s="43" t="n">
        <v>3</v>
      </c>
      <c r="H109" s="43" t="inlineStr">
        <is>
          <t>Yes</t>
        </is>
      </c>
    </row>
    <row r="110" ht="15" customHeight="1">
      <c r="A110" s="38" t="n">
        <v>106</v>
      </c>
      <c r="B110" s="39" t="inlineStr">
        <is>
          <t>3. HARD COSTS</t>
        </is>
      </c>
      <c r="C110" s="39" t="inlineStr">
        <is>
          <t>Interior systems:Drywall</t>
        </is>
      </c>
      <c r="D110" s="40" t="n">
        <v>2345879</v>
      </c>
      <c r="E110" s="41" t="inlineStr">
        <is>
          <t>Back-loaded</t>
        </is>
      </c>
      <c r="F110" s="42" t="n">
        <v>0.1</v>
      </c>
      <c r="G110" s="43" t="n">
        <v>3</v>
      </c>
      <c r="H110" s="43" t="inlineStr">
        <is>
          <t>Yes</t>
        </is>
      </c>
    </row>
    <row r="111" ht="15" customHeight="1">
      <c r="A111" s="38" t="n">
        <v>107</v>
      </c>
      <c r="B111" s="39" t="inlineStr">
        <is>
          <t>3. HARD COSTS</t>
        </is>
      </c>
      <c r="C111" s="39" t="inlineStr">
        <is>
          <t>Ceramic:Ceramic Purchase, Transport, Handling &amp; Installation</t>
        </is>
      </c>
      <c r="D111" s="40" t="n">
        <v>179184</v>
      </c>
      <c r="E111" s="41" t="inlineStr">
        <is>
          <t>Back-loaded</t>
        </is>
      </c>
      <c r="F111" s="42" t="n">
        <v>0.1</v>
      </c>
      <c r="G111" s="43" t="n">
        <v>3</v>
      </c>
      <c r="H111" s="43" t="inlineStr">
        <is>
          <t>Yes</t>
        </is>
      </c>
    </row>
    <row r="112" ht="15" customHeight="1">
      <c r="A112" s="38" t="n">
        <v>108</v>
      </c>
      <c r="B112" s="39" t="inlineStr">
        <is>
          <t>3. HARD COSTS</t>
        </is>
      </c>
      <c r="C112" s="39" t="inlineStr">
        <is>
          <t>Ceramic:Shower walls</t>
        </is>
      </c>
      <c r="D112" s="40" t="n">
        <v>0</v>
      </c>
      <c r="E112" s="41" t="inlineStr">
        <is>
          <t>Back-loaded</t>
        </is>
      </c>
      <c r="F112" s="42" t="n">
        <v>0.1</v>
      </c>
      <c r="G112" s="43" t="n">
        <v>3</v>
      </c>
      <c r="H112" s="43" t="inlineStr">
        <is>
          <t>Yes</t>
        </is>
      </c>
    </row>
    <row r="113" ht="15" customHeight="1">
      <c r="A113" s="38" t="n">
        <v>109</v>
      </c>
      <c r="B113" s="39" t="inlineStr">
        <is>
          <t>3. HARD COSTS</t>
        </is>
      </c>
      <c r="C113" s="39" t="inlineStr">
        <is>
          <t>Ceramic:Bathroom floors (SPC)</t>
        </is>
      </c>
      <c r="D113" s="40" t="n">
        <v>208859</v>
      </c>
      <c r="E113" s="41" t="inlineStr">
        <is>
          <t>Back-loaded</t>
        </is>
      </c>
      <c r="F113" s="42" t="n">
        <v>0.1</v>
      </c>
      <c r="G113" s="43" t="n">
        <v>3</v>
      </c>
      <c r="H113" s="43" t="inlineStr">
        <is>
          <t>Yes</t>
        </is>
      </c>
    </row>
    <row r="114" ht="15" customHeight="1">
      <c r="A114" s="38" t="n">
        <v>110</v>
      </c>
      <c r="B114" s="39" t="inlineStr">
        <is>
          <t>3. HARD COSTS</t>
        </is>
      </c>
      <c r="C114" s="39" t="inlineStr">
        <is>
          <t>Floor covering:Vinyl flooring &amp; Transport, Handling</t>
        </is>
      </c>
      <c r="D114" s="40" t="n">
        <v>343300</v>
      </c>
      <c r="E114" s="41" t="inlineStr">
        <is>
          <t>Back-loaded</t>
        </is>
      </c>
      <c r="F114" s="42" t="n">
        <v>0.1</v>
      </c>
      <c r="G114" s="43" t="n">
        <v>3</v>
      </c>
      <c r="H114" s="43" t="inlineStr">
        <is>
          <t>Yes</t>
        </is>
      </c>
    </row>
    <row r="115" ht="15" customHeight="1">
      <c r="A115" s="38" t="n">
        <v>111</v>
      </c>
      <c r="B115" s="39" t="inlineStr">
        <is>
          <t>3. HARD COSTS</t>
        </is>
      </c>
      <c r="C115" s="39" t="n"/>
      <c r="D115" s="40" t="n">
        <v>0</v>
      </c>
      <c r="E115" s="41" t="inlineStr">
        <is>
          <t>Equal</t>
        </is>
      </c>
      <c r="F115" s="42" t="n">
        <v>0.1</v>
      </c>
      <c r="G115" s="43" t="n">
        <v>3</v>
      </c>
      <c r="H115" s="43" t="inlineStr">
        <is>
          <t>Yes</t>
        </is>
      </c>
    </row>
    <row r="116" ht="15" customHeight="1">
      <c r="A116" s="38" t="n">
        <v>112</v>
      </c>
      <c r="B116" s="39" t="inlineStr">
        <is>
          <t>3. HARD COSTS</t>
        </is>
      </c>
      <c r="C116" s="39" t="inlineStr">
        <is>
          <t>Paint:Painting</t>
        </is>
      </c>
      <c r="D116" s="40" t="n">
        <v>366000</v>
      </c>
      <c r="E116" s="41" t="inlineStr">
        <is>
          <t>Back-loaded</t>
        </is>
      </c>
      <c r="F116" s="42" t="n">
        <v>0.1</v>
      </c>
      <c r="G116" s="43" t="n">
        <v>3</v>
      </c>
      <c r="H116" s="43" t="inlineStr">
        <is>
          <t>Yes</t>
        </is>
      </c>
    </row>
    <row r="117" ht="15" customHeight="1">
      <c r="A117" s="38" t="n">
        <v>113</v>
      </c>
      <c r="B117" s="39" t="inlineStr">
        <is>
          <t>3. HARD COSTS</t>
        </is>
      </c>
      <c r="C117" s="39" t="n"/>
      <c r="D117" s="40" t="n">
        <v>102000</v>
      </c>
      <c r="E117" s="41" t="inlineStr">
        <is>
          <t>Equal</t>
        </is>
      </c>
      <c r="F117" s="42" t="n">
        <v>0.1</v>
      </c>
      <c r="G117" s="43" t="n">
        <v>3</v>
      </c>
      <c r="H117" s="43" t="inlineStr">
        <is>
          <t>Yes</t>
        </is>
      </c>
    </row>
    <row r="118" ht="15" customHeight="1">
      <c r="A118" s="38" t="n">
        <v>114</v>
      </c>
      <c r="B118" s="39" t="inlineStr">
        <is>
          <t>3. HARD COSTS</t>
        </is>
      </c>
      <c r="C118" s="39" t="n"/>
      <c r="D118" s="40" t="n">
        <v>0</v>
      </c>
      <c r="E118" s="41" t="inlineStr">
        <is>
          <t>Equal</t>
        </is>
      </c>
      <c r="F118" s="42" t="n">
        <v>0.1</v>
      </c>
      <c r="G118" s="43" t="n">
        <v>3</v>
      </c>
      <c r="H118" s="43" t="inlineStr">
        <is>
          <t>Yes</t>
        </is>
      </c>
    </row>
    <row r="119" ht="15" customHeight="1">
      <c r="A119" s="38" t="n">
        <v>115</v>
      </c>
      <c r="B119" s="39" t="inlineStr">
        <is>
          <t>3. HARD COSTS</t>
        </is>
      </c>
      <c r="C119" s="39" t="inlineStr">
        <is>
          <t>Railings:Foot grilles</t>
        </is>
      </c>
      <c r="D119" s="40" t="n">
        <v>0</v>
      </c>
      <c r="E119" s="41" t="inlineStr">
        <is>
          <t>Equal</t>
        </is>
      </c>
      <c r="F119" s="42" t="n">
        <v>0.1</v>
      </c>
      <c r="G119" s="43" t="n">
        <v>3</v>
      </c>
      <c r="H119" s="43" t="inlineStr">
        <is>
          <t>Yes</t>
        </is>
      </c>
    </row>
    <row r="120" ht="15" customHeight="1">
      <c r="A120" s="38" t="n">
        <v>116</v>
      </c>
      <c r="B120" s="39" t="inlineStr">
        <is>
          <t>3. HARD COSTS</t>
        </is>
      </c>
      <c r="C120" s="39" t="inlineStr">
        <is>
          <t>Railings:Interior signage</t>
        </is>
      </c>
      <c r="D120" s="40" t="n">
        <v>15300</v>
      </c>
      <c r="E120" s="41" t="inlineStr">
        <is>
          <t>Back-loaded</t>
        </is>
      </c>
      <c r="F120" s="42" t="n">
        <v>0.1</v>
      </c>
      <c r="G120" s="43" t="n">
        <v>3</v>
      </c>
      <c r="H120" s="43" t="inlineStr">
        <is>
          <t>Yes</t>
        </is>
      </c>
    </row>
    <row r="121" ht="15" customHeight="1">
      <c r="A121" s="38" t="n">
        <v>117</v>
      </c>
      <c r="B121" s="39" t="inlineStr">
        <is>
          <t>3. HARD COSTS</t>
        </is>
      </c>
      <c r="C121" s="39" t="inlineStr">
        <is>
          <t>Railings:WC acccessories</t>
        </is>
      </c>
      <c r="D121" s="40" t="n">
        <v>25750</v>
      </c>
      <c r="E121" s="41" t="inlineStr">
        <is>
          <t>Equal</t>
        </is>
      </c>
      <c r="F121" s="42" t="n">
        <v>0.1</v>
      </c>
      <c r="G121" s="43" t="n">
        <v>3</v>
      </c>
      <c r="H121" s="43" t="inlineStr">
        <is>
          <t>Yes</t>
        </is>
      </c>
    </row>
    <row r="122" ht="15" customHeight="1">
      <c r="A122" s="38" t="n">
        <v>118</v>
      </c>
      <c r="B122" s="39" t="inlineStr">
        <is>
          <t>3. HARD COSTS</t>
        </is>
      </c>
      <c r="C122" s="39" t="inlineStr">
        <is>
          <t>Plumbing:Plumbing (Rough S/I; Finish I/O)</t>
        </is>
      </c>
      <c r="D122" s="40" t="n">
        <v>1643900</v>
      </c>
      <c r="E122" s="41" t="inlineStr">
        <is>
          <t>Mid-weighted</t>
        </is>
      </c>
      <c r="F122" s="42" t="n">
        <v>0.1</v>
      </c>
      <c r="G122" s="43" t="n">
        <v>3</v>
      </c>
      <c r="H122" s="43" t="inlineStr">
        <is>
          <t>Yes</t>
        </is>
      </c>
    </row>
    <row r="123" ht="15" customHeight="1">
      <c r="A123" s="38" t="n">
        <v>119</v>
      </c>
      <c r="B123" s="39" t="inlineStr">
        <is>
          <t>3. HARD COSTS</t>
        </is>
      </c>
      <c r="C123" s="39" t="inlineStr">
        <is>
          <t>Plumbing:Plumbing finishes (S) - Toilet, Shower</t>
        </is>
      </c>
      <c r="D123" s="40" t="n">
        <v>377966</v>
      </c>
      <c r="E123" s="41" t="inlineStr">
        <is>
          <t>Mid-weighted</t>
        </is>
      </c>
      <c r="F123" s="42" t="n">
        <v>0.1</v>
      </c>
      <c r="G123" s="43" t="n">
        <v>3</v>
      </c>
      <c r="H123" s="43" t="inlineStr">
        <is>
          <t>Yes</t>
        </is>
      </c>
    </row>
    <row r="124" ht="15" customHeight="1">
      <c r="A124" s="38" t="n">
        <v>120</v>
      </c>
      <c r="B124" s="39" t="inlineStr">
        <is>
          <t>3. HARD COSTS</t>
        </is>
      </c>
      <c r="C124" s="39" t="inlineStr">
        <is>
          <t>Fire protection:Extinguishers</t>
        </is>
      </c>
      <c r="D124" s="40" t="n">
        <v>25500</v>
      </c>
      <c r="E124" s="41" t="inlineStr">
        <is>
          <t>Equal</t>
        </is>
      </c>
      <c r="F124" s="42" t="n">
        <v>0.1</v>
      </c>
      <c r="G124" s="43" t="n">
        <v>3</v>
      </c>
      <c r="H124" s="43" t="inlineStr">
        <is>
          <t>Yes</t>
        </is>
      </c>
    </row>
    <row r="125" ht="15" customHeight="1">
      <c r="A125" s="38" t="n">
        <v>121</v>
      </c>
      <c r="B125" s="39" t="inlineStr">
        <is>
          <t>3. HARD COSTS</t>
        </is>
      </c>
      <c r="C125" s="39" t="inlineStr">
        <is>
          <t>HVAC:HVAC</t>
        </is>
      </c>
      <c r="D125" s="40" t="n">
        <v>790030</v>
      </c>
      <c r="E125" s="41" t="inlineStr">
        <is>
          <t>Mid-weighted</t>
        </is>
      </c>
      <c r="F125" s="42" t="n">
        <v>0.1</v>
      </c>
      <c r="G125" s="43" t="n">
        <v>3</v>
      </c>
      <c r="H125" s="43" t="inlineStr">
        <is>
          <t>Yes</t>
        </is>
      </c>
    </row>
    <row r="126" ht="15" customHeight="1">
      <c r="A126" s="38" t="n">
        <v>122</v>
      </c>
      <c r="B126" s="39" t="inlineStr">
        <is>
          <t>3. HARD COSTS</t>
        </is>
      </c>
      <c r="C126" s="39" t="inlineStr">
        <is>
          <t>Electricity:Electricity</t>
        </is>
      </c>
      <c r="D126" s="40" t="n">
        <v>1866337</v>
      </c>
      <c r="E126" s="41" t="inlineStr">
        <is>
          <t>Mid-weighted</t>
        </is>
      </c>
      <c r="F126" s="42" t="n">
        <v>0.1</v>
      </c>
      <c r="G126" s="43" t="n">
        <v>3</v>
      </c>
      <c r="H126" s="43" t="inlineStr">
        <is>
          <t>Yes</t>
        </is>
      </c>
    </row>
    <row r="127" ht="15" customHeight="1">
      <c r="A127" s="38" t="n">
        <v>123</v>
      </c>
      <c r="B127" s="39" t="inlineStr">
        <is>
          <t>3. HARD COSTS</t>
        </is>
      </c>
      <c r="C127" s="39" t="inlineStr">
        <is>
          <t>Electricity:Lighting allowance</t>
        </is>
      </c>
      <c r="D127" s="40" t="n">
        <v>53300</v>
      </c>
      <c r="E127" s="41" t="inlineStr">
        <is>
          <t>Mid-weighted</t>
        </is>
      </c>
      <c r="F127" s="42" t="n">
        <v>0.1</v>
      </c>
      <c r="G127" s="43" t="n">
        <v>3</v>
      </c>
      <c r="H127" s="43" t="inlineStr">
        <is>
          <t>Yes</t>
        </is>
      </c>
    </row>
    <row r="128" ht="15" customHeight="1">
      <c r="A128" s="38" t="n">
        <v>124</v>
      </c>
      <c r="B128" s="39" t="inlineStr">
        <is>
          <t>3. HARD COSTS</t>
        </is>
      </c>
      <c r="C128" s="39" t="inlineStr">
        <is>
          <t>Electricity:Transport &amp; Handling - Quebec</t>
        </is>
      </c>
      <c r="D128" s="40" t="n">
        <v>0</v>
      </c>
      <c r="E128" s="41" t="inlineStr">
        <is>
          <t>Mid-weighted</t>
        </is>
      </c>
      <c r="F128" s="42" t="n">
        <v>0.1</v>
      </c>
      <c r="G128" s="43" t="n">
        <v>3</v>
      </c>
      <c r="H128" s="43" t="inlineStr">
        <is>
          <t>Yes</t>
        </is>
      </c>
    </row>
    <row r="129" ht="15" customHeight="1">
      <c r="A129" s="38" t="n">
        <v>125</v>
      </c>
      <c r="B129" s="39" t="inlineStr">
        <is>
          <t>3. HARD COSTS</t>
        </is>
      </c>
      <c r="C129" s="39" t="inlineStr">
        <is>
          <t>Electricity:DEL Comptoirs (cuisines)</t>
        </is>
      </c>
      <c r="D129" s="40" t="n">
        <v>0</v>
      </c>
      <c r="E129" s="41" t="inlineStr">
        <is>
          <t>Mid-weighted</t>
        </is>
      </c>
      <c r="F129" s="42" t="n">
        <v>0.1</v>
      </c>
      <c r="G129" s="43" t="n">
        <v>3</v>
      </c>
      <c r="H129" s="43" t="inlineStr">
        <is>
          <t>Yes</t>
        </is>
      </c>
    </row>
    <row r="130" ht="15" customHeight="1">
      <c r="A130" s="38" t="n">
        <v>126</v>
      </c>
      <c r="B130" s="39" t="inlineStr">
        <is>
          <t>4. FF&amp;E</t>
        </is>
      </c>
      <c r="C130" s="39" t="inlineStr">
        <is>
          <t>Appliances</t>
        </is>
      </c>
      <c r="D130" s="40" t="n">
        <v>403998</v>
      </c>
      <c r="E130" s="41" t="inlineStr">
        <is>
          <t>Back-loaded</t>
        </is>
      </c>
      <c r="F130" s="42" t="n">
        <v>0.05</v>
      </c>
      <c r="G130" s="43" t="n">
        <v>3</v>
      </c>
      <c r="H130" s="43" t="inlineStr">
        <is>
          <t>Yes</t>
        </is>
      </c>
    </row>
    <row r="131" ht="15" customHeight="1">
      <c r="A131" s="38" t="n">
        <v>127</v>
      </c>
      <c r="B131" s="39" t="inlineStr">
        <is>
          <t>4. FF&amp;E</t>
        </is>
      </c>
      <c r="C131" s="39" t="inlineStr">
        <is>
          <t>Casegoods</t>
        </is>
      </c>
      <c r="D131" s="40" t="n">
        <v>963770</v>
      </c>
      <c r="E131" s="41" t="inlineStr">
        <is>
          <t>Back-loaded</t>
        </is>
      </c>
      <c r="F131" s="42" t="n">
        <v>0.05</v>
      </c>
      <c r="G131" s="43" t="n">
        <v>3</v>
      </c>
      <c r="H131" s="43" t="inlineStr">
        <is>
          <t>Yes</t>
        </is>
      </c>
    </row>
    <row r="132" ht="15" customHeight="1">
      <c r="A132" s="38" t="n">
        <v>128</v>
      </c>
      <c r="B132" s="39" t="inlineStr">
        <is>
          <t>4. FF&amp;E</t>
        </is>
      </c>
      <c r="C132" s="39" t="inlineStr">
        <is>
          <t>Smallwares</t>
        </is>
      </c>
      <c r="D132" s="40" t="n">
        <v>250000</v>
      </c>
      <c r="E132" s="41" t="inlineStr">
        <is>
          <t>Back-loaded</t>
        </is>
      </c>
      <c r="F132" s="42" t="n">
        <v>0.05</v>
      </c>
      <c r="G132" s="43" t="n">
        <v>3</v>
      </c>
      <c r="H132" s="43" t="inlineStr">
        <is>
          <t>Yes</t>
        </is>
      </c>
    </row>
    <row r="133" ht="15" customHeight="1">
      <c r="A133" s="38" t="n">
        <v>129</v>
      </c>
      <c r="B133" s="39" t="inlineStr">
        <is>
          <t>4. FF&amp;E</t>
        </is>
      </c>
      <c r="C133" s="39" t="inlineStr">
        <is>
          <t>Electronic Technology</t>
        </is>
      </c>
      <c r="D133" s="40" t="n">
        <v>175000</v>
      </c>
      <c r="E133" s="41" t="inlineStr">
        <is>
          <t>Back-loaded</t>
        </is>
      </c>
      <c r="F133" s="42" t="n">
        <v>0.05</v>
      </c>
      <c r="G133" s="43" t="n">
        <v>3</v>
      </c>
      <c r="H133" s="43" t="inlineStr">
        <is>
          <t>Yes</t>
        </is>
      </c>
    </row>
    <row r="134" ht="15" customHeight="1">
      <c r="A134" s="38" t="n">
        <v>130</v>
      </c>
      <c r="B134" s="39" t="inlineStr">
        <is>
          <t>5. PROFESSIONAL FEES</t>
        </is>
      </c>
      <c r="C134" s="39" t="inlineStr">
        <is>
          <t>Accounting/bookkeeping</t>
        </is>
      </c>
      <c r="D134" s="40" t="n">
        <v>49979</v>
      </c>
      <c r="E134" s="41" t="inlineStr">
        <is>
          <t>Front-loaded</t>
        </is>
      </c>
      <c r="F134" s="42" t="n">
        <v>0.1</v>
      </c>
      <c r="G134" s="43" t="n">
        <v>3</v>
      </c>
      <c r="H134" s="43" t="inlineStr">
        <is>
          <t>Yes</t>
        </is>
      </c>
    </row>
    <row r="135" ht="15" customHeight="1">
      <c r="A135" s="38" t="n">
        <v>131</v>
      </c>
      <c r="B135" s="39" t="inlineStr">
        <is>
          <t>5. PROFESSIONAL FEES</t>
        </is>
      </c>
      <c r="C135" s="39" t="inlineStr">
        <is>
          <t>Acoustical</t>
        </is>
      </c>
      <c r="D135" s="40" t="n">
        <v>6740</v>
      </c>
      <c r="E135" s="41" t="inlineStr">
        <is>
          <t>Front-loaded</t>
        </is>
      </c>
      <c r="F135" s="42" t="n">
        <v>0.1</v>
      </c>
      <c r="G135" s="43" t="n">
        <v>3</v>
      </c>
      <c r="H135" s="43" t="inlineStr">
        <is>
          <t>Yes</t>
        </is>
      </c>
    </row>
    <row r="136" ht="15" customHeight="1">
      <c r="A136" s="38" t="n">
        <v>132</v>
      </c>
      <c r="B136" s="39" t="inlineStr">
        <is>
          <t>5. PROFESSIONAL FEES</t>
        </is>
      </c>
      <c r="C136" s="39" t="inlineStr">
        <is>
          <t>Appraisal/feasibility study</t>
        </is>
      </c>
      <c r="D136" s="40" t="n">
        <v>67509</v>
      </c>
      <c r="E136" s="41" t="inlineStr">
        <is>
          <t>Front-loaded</t>
        </is>
      </c>
      <c r="F136" s="42" t="n">
        <v>0.1</v>
      </c>
      <c r="G136" s="43" t="n">
        <v>3</v>
      </c>
      <c r="H136" s="43" t="inlineStr">
        <is>
          <t>Yes</t>
        </is>
      </c>
    </row>
    <row r="137" ht="15" customHeight="1">
      <c r="A137" s="38" t="n">
        <v>133</v>
      </c>
      <c r="B137" s="39" t="inlineStr">
        <is>
          <t>5. PROFESSIONAL FEES</t>
        </is>
      </c>
      <c r="C137" s="39" t="inlineStr">
        <is>
          <t>Architect-design</t>
        </is>
      </c>
      <c r="D137" s="40" t="n">
        <v>31063</v>
      </c>
      <c r="E137" s="41" t="inlineStr">
        <is>
          <t>Front-loaded</t>
        </is>
      </c>
      <c r="F137" s="42" t="n">
        <v>0.1</v>
      </c>
      <c r="G137" s="43" t="n">
        <v>3</v>
      </c>
      <c r="H137" s="43" t="inlineStr">
        <is>
          <t>Yes</t>
        </is>
      </c>
    </row>
    <row r="138" ht="15" customHeight="1">
      <c r="A138" s="38" t="n">
        <v>134</v>
      </c>
      <c r="B138" s="39" t="inlineStr">
        <is>
          <t>5. PROFESSIONAL FEES</t>
        </is>
      </c>
      <c r="C138" s="39" t="inlineStr">
        <is>
          <t>Architecture</t>
        </is>
      </c>
      <c r="D138" s="40" t="n">
        <v>594877</v>
      </c>
      <c r="E138" s="41" t="inlineStr">
        <is>
          <t>Front-loaded</t>
        </is>
      </c>
      <c r="F138" s="42" t="n">
        <v>0.1</v>
      </c>
      <c r="G138" s="43" t="n">
        <v>3</v>
      </c>
      <c r="H138" s="43" t="inlineStr">
        <is>
          <t>Yes</t>
        </is>
      </c>
    </row>
    <row r="139" ht="15" customHeight="1">
      <c r="A139" s="38" t="n">
        <v>135</v>
      </c>
      <c r="B139" s="39" t="inlineStr">
        <is>
          <t>5. PROFESSIONAL FEES</t>
        </is>
      </c>
      <c r="C139" s="39" t="inlineStr">
        <is>
          <t>Development services fees</t>
        </is>
      </c>
      <c r="D139" s="40" t="n">
        <v>1325000</v>
      </c>
      <c r="E139" s="41" t="inlineStr">
        <is>
          <t>Front-loaded</t>
        </is>
      </c>
      <c r="F139" s="42" t="n">
        <v>0.1</v>
      </c>
      <c r="G139" s="43" t="n">
        <v>3</v>
      </c>
      <c r="H139" s="43" t="inlineStr">
        <is>
          <t>Yes</t>
        </is>
      </c>
    </row>
    <row r="140" ht="15" customHeight="1">
      <c r="A140" s="38" t="n">
        <v>136</v>
      </c>
      <c r="B140" s="39" t="inlineStr">
        <is>
          <t>5. PROFESSIONAL FEES</t>
        </is>
      </c>
      <c r="C140" s="39" t="inlineStr">
        <is>
          <t>Engineer - civil</t>
        </is>
      </c>
      <c r="D140" s="40" t="n">
        <v>227656</v>
      </c>
      <c r="E140" s="41" t="inlineStr">
        <is>
          <t>Front-loaded</t>
        </is>
      </c>
      <c r="F140" s="42" t="n">
        <v>0.1</v>
      </c>
      <c r="G140" s="43" t="n">
        <v>3</v>
      </c>
      <c r="H140" s="43" t="inlineStr">
        <is>
          <t>Yes</t>
        </is>
      </c>
    </row>
    <row r="141" ht="15" customHeight="1">
      <c r="A141" s="38" t="n">
        <v>137</v>
      </c>
      <c r="B141" s="39" t="inlineStr">
        <is>
          <t>5. PROFESSIONAL FEES</t>
        </is>
      </c>
      <c r="C141" s="39" t="inlineStr">
        <is>
          <t>Engineer - electrical</t>
        </is>
      </c>
      <c r="D141" s="40" t="n">
        <v>0</v>
      </c>
      <c r="E141" s="41" t="inlineStr">
        <is>
          <t>Front-loaded</t>
        </is>
      </c>
      <c r="F141" s="42" t="n">
        <v>0.1</v>
      </c>
      <c r="G141" s="43" t="n">
        <v>3</v>
      </c>
      <c r="H141" s="43" t="inlineStr">
        <is>
          <t>Yes</t>
        </is>
      </c>
    </row>
    <row r="142" ht="15" customHeight="1">
      <c r="A142" s="38" t="n">
        <v>138</v>
      </c>
      <c r="B142" s="39" t="inlineStr">
        <is>
          <t>5. PROFESSIONAL FEES</t>
        </is>
      </c>
      <c r="C142" s="39" t="inlineStr">
        <is>
          <t>Engineer - geothermal</t>
        </is>
      </c>
      <c r="D142" s="40" t="n">
        <v>0</v>
      </c>
      <c r="E142" s="41" t="inlineStr">
        <is>
          <t>Front-loaded</t>
        </is>
      </c>
      <c r="F142" s="42" t="n">
        <v>0.1</v>
      </c>
      <c r="G142" s="43" t="n">
        <v>3</v>
      </c>
      <c r="H142" s="43" t="inlineStr">
        <is>
          <t>Yes</t>
        </is>
      </c>
    </row>
    <row r="143" ht="15" customHeight="1">
      <c r="A143" s="38" t="n">
        <v>139</v>
      </c>
      <c r="B143" s="39" t="inlineStr">
        <is>
          <t>5. PROFESSIONAL FEES</t>
        </is>
      </c>
      <c r="C143" s="39" t="inlineStr">
        <is>
          <t>Engineer - mechanical</t>
        </is>
      </c>
      <c r="D143" s="40" t="n">
        <v>89984</v>
      </c>
      <c r="E143" s="41" t="inlineStr">
        <is>
          <t>Front-loaded</t>
        </is>
      </c>
      <c r="F143" s="42" t="n">
        <v>0.1</v>
      </c>
      <c r="G143" s="43" t="n">
        <v>3</v>
      </c>
      <c r="H143" s="43" t="inlineStr">
        <is>
          <t>Yes</t>
        </is>
      </c>
    </row>
    <row r="144" ht="15" customHeight="1">
      <c r="A144" s="38" t="n">
        <v>140</v>
      </c>
      <c r="B144" s="39" t="inlineStr">
        <is>
          <t>5. PROFESSIONAL FEES</t>
        </is>
      </c>
      <c r="C144" s="39" t="inlineStr">
        <is>
          <t>Engineer - structural</t>
        </is>
      </c>
      <c r="D144" s="40" t="n">
        <v>158013</v>
      </c>
      <c r="E144" s="41" t="inlineStr">
        <is>
          <t>Front-loaded</t>
        </is>
      </c>
      <c r="F144" s="42" t="n">
        <v>0.1</v>
      </c>
      <c r="G144" s="43" t="n">
        <v>3</v>
      </c>
      <c r="H144" s="43" t="inlineStr">
        <is>
          <t>Yes</t>
        </is>
      </c>
    </row>
    <row r="145" ht="15" customHeight="1">
      <c r="A145" s="38" t="n">
        <v>141</v>
      </c>
      <c r="B145" s="39" t="inlineStr">
        <is>
          <t>5. PROFESSIONAL FEES</t>
        </is>
      </c>
      <c r="C145" s="39" t="inlineStr">
        <is>
          <t>Environmental - Phases I/II</t>
        </is>
      </c>
      <c r="D145" s="40" t="n">
        <v>17708</v>
      </c>
      <c r="E145" s="41" t="inlineStr">
        <is>
          <t>Front-loaded</t>
        </is>
      </c>
      <c r="F145" s="42" t="n">
        <v>0.1</v>
      </c>
      <c r="G145" s="43" t="n">
        <v>3</v>
      </c>
      <c r="H145" s="43" t="inlineStr">
        <is>
          <t>Yes</t>
        </is>
      </c>
    </row>
    <row r="146" ht="15" customHeight="1">
      <c r="A146" s="38" t="n">
        <v>142</v>
      </c>
      <c r="B146" s="39" t="inlineStr">
        <is>
          <t>5. PROFESSIONAL FEES</t>
        </is>
      </c>
      <c r="C146" s="39" t="inlineStr">
        <is>
          <t>Land survey, certificate of location</t>
        </is>
      </c>
      <c r="D146" s="40" t="n">
        <v>5000</v>
      </c>
      <c r="E146" s="41" t="inlineStr">
        <is>
          <t>Front-loaded</t>
        </is>
      </c>
      <c r="F146" s="42" t="n">
        <v>0.1</v>
      </c>
      <c r="G146" s="43" t="n">
        <v>3</v>
      </c>
      <c r="H146" s="43" t="inlineStr">
        <is>
          <t>Yes</t>
        </is>
      </c>
    </row>
    <row r="147" ht="15" customHeight="1">
      <c r="A147" s="38" t="n">
        <v>143</v>
      </c>
      <c r="B147" s="39" t="inlineStr">
        <is>
          <t>5. PROFESSIONAL FEES</t>
        </is>
      </c>
      <c r="C147" s="39" t="inlineStr">
        <is>
          <t>Landscape architect</t>
        </is>
      </c>
      <c r="D147" s="40" t="n">
        <v>81864</v>
      </c>
      <c r="E147" s="41" t="inlineStr">
        <is>
          <t>Front-loaded</t>
        </is>
      </c>
      <c r="F147" s="42" t="n">
        <v>0.1</v>
      </c>
      <c r="G147" s="43" t="n">
        <v>3</v>
      </c>
      <c r="H147" s="43" t="inlineStr">
        <is>
          <t>Yes</t>
        </is>
      </c>
    </row>
    <row r="148" ht="15" customHeight="1">
      <c r="A148" s="38" t="n">
        <v>144</v>
      </c>
      <c r="B148" s="39" t="inlineStr">
        <is>
          <t>5. PROFESSIONAL FEES</t>
        </is>
      </c>
      <c r="C148" s="39" t="inlineStr">
        <is>
          <t>Legal</t>
        </is>
      </c>
      <c r="D148" s="40" t="n">
        <v>64523</v>
      </c>
      <c r="E148" s="41" t="inlineStr">
        <is>
          <t>Front-loaded</t>
        </is>
      </c>
      <c r="F148" s="42" t="n">
        <v>0.1</v>
      </c>
      <c r="G148" s="43" t="n">
        <v>3</v>
      </c>
      <c r="H148" s="43" t="inlineStr">
        <is>
          <t>Yes</t>
        </is>
      </c>
    </row>
    <row r="149" ht="15" customHeight="1">
      <c r="A149" s="38" t="n">
        <v>145</v>
      </c>
      <c r="B149" s="39" t="inlineStr">
        <is>
          <t>5. PROFESSIONAL FEES</t>
        </is>
      </c>
      <c r="C149" s="39" t="inlineStr">
        <is>
          <t>Marketing/leasing</t>
        </is>
      </c>
      <c r="D149" s="40" t="n">
        <v>297679</v>
      </c>
      <c r="E149" s="41" t="inlineStr">
        <is>
          <t>Front-loaded</t>
        </is>
      </c>
      <c r="F149" s="42" t="n">
        <v>0.1</v>
      </c>
      <c r="G149" s="43" t="n">
        <v>3</v>
      </c>
      <c r="H149" s="43" t="inlineStr">
        <is>
          <t>Yes</t>
        </is>
      </c>
    </row>
    <row r="150" ht="15" customHeight="1">
      <c r="A150" s="38" t="n">
        <v>146</v>
      </c>
      <c r="B150" s="39" t="inlineStr">
        <is>
          <t>5. PROFESSIONAL FEES</t>
        </is>
      </c>
      <c r="C150" s="39" t="inlineStr">
        <is>
          <t>Quantity surveyor</t>
        </is>
      </c>
      <c r="D150" s="40" t="n">
        <v>97080</v>
      </c>
      <c r="E150" s="41" t="inlineStr">
        <is>
          <t>Front-loaded</t>
        </is>
      </c>
      <c r="F150" s="42" t="n">
        <v>0.1</v>
      </c>
      <c r="G150" s="43" t="n">
        <v>3</v>
      </c>
      <c r="H150" s="43" t="inlineStr">
        <is>
          <t>Yes</t>
        </is>
      </c>
    </row>
    <row r="151" ht="15" customHeight="1">
      <c r="A151" s="38" t="n">
        <v>147</v>
      </c>
      <c r="B151" s="39" t="inlineStr">
        <is>
          <t>5. PROFESSIONAL FEES</t>
        </is>
      </c>
      <c r="C151" s="39" t="inlineStr">
        <is>
          <t>Soil/geotechnical/compaction</t>
        </is>
      </c>
      <c r="D151" s="40" t="n">
        <v>93319</v>
      </c>
      <c r="E151" s="41" t="inlineStr">
        <is>
          <t>Front-loaded</t>
        </is>
      </c>
      <c r="F151" s="42" t="n">
        <v>0.1</v>
      </c>
      <c r="G151" s="43" t="n">
        <v>3</v>
      </c>
      <c r="H151" s="43" t="inlineStr">
        <is>
          <t>Yes</t>
        </is>
      </c>
    </row>
    <row r="152" ht="15" customHeight="1">
      <c r="A152" s="38" t="n">
        <v>148</v>
      </c>
      <c r="B152" s="39" t="inlineStr">
        <is>
          <t>5. PROFESSIONAL FEES</t>
        </is>
      </c>
      <c r="C152" s="39" t="inlineStr">
        <is>
          <t>Urban planner</t>
        </is>
      </c>
      <c r="D152" s="40" t="n">
        <v>56552</v>
      </c>
      <c r="E152" s="41" t="inlineStr">
        <is>
          <t>Front-loaded</t>
        </is>
      </c>
      <c r="F152" s="42" t="n">
        <v>0.1</v>
      </c>
      <c r="G152" s="43" t="n">
        <v>3</v>
      </c>
      <c r="H152" s="43" t="inlineStr">
        <is>
          <t>Yes</t>
        </is>
      </c>
    </row>
    <row r="153" ht="15" customHeight="1">
      <c r="A153" s="38" t="n">
        <v>149</v>
      </c>
      <c r="B153" s="39" t="inlineStr">
        <is>
          <t>5. PROFESSIONAL FEES</t>
        </is>
      </c>
      <c r="C153" s="39" t="inlineStr">
        <is>
          <t>Water tests</t>
        </is>
      </c>
      <c r="D153" s="40" t="n">
        <v>4000</v>
      </c>
      <c r="E153" s="41" t="inlineStr">
        <is>
          <t>Front-loaded</t>
        </is>
      </c>
      <c r="F153" s="42" t="n">
        <v>0.1</v>
      </c>
      <c r="G153" s="43" t="n">
        <v>3</v>
      </c>
      <c r="H153" s="43" t="inlineStr">
        <is>
          <t>Yes</t>
        </is>
      </c>
    </row>
    <row r="154" ht="15" customHeight="1">
      <c r="A154" s="38" t="n">
        <v>150</v>
      </c>
      <c r="B154" s="39" t="inlineStr">
        <is>
          <t>5. PROFESSIONAL FEES</t>
        </is>
      </c>
      <c r="C154" s="39" t="inlineStr">
        <is>
          <t>Declaration of co-ownership/shared services</t>
        </is>
      </c>
      <c r="D154" s="40" t="n">
        <v>15000</v>
      </c>
      <c r="E154" s="41" t="inlineStr">
        <is>
          <t>Front-loaded</t>
        </is>
      </c>
      <c r="F154" s="42" t="n">
        <v>0.1</v>
      </c>
      <c r="G154" s="43" t="n">
        <v>3</v>
      </c>
      <c r="H154" s="43" t="inlineStr">
        <is>
          <t>Yes</t>
        </is>
      </c>
    </row>
    <row r="155" ht="15" customHeight="1">
      <c r="A155" s="38" t="n">
        <v>151</v>
      </c>
      <c r="B155" s="39" t="inlineStr">
        <is>
          <t>6. FINANCE AND ADMINISTRATION</t>
        </is>
      </c>
      <c r="C155" s="39" t="inlineStr">
        <is>
          <t>Carrying costs land</t>
        </is>
      </c>
      <c r="D155" s="40" t="n">
        <v>240000</v>
      </c>
      <c r="E155" s="41" t="inlineStr">
        <is>
          <t>Equal</t>
        </is>
      </c>
      <c r="F155" s="42" t="n">
        <v>0</v>
      </c>
      <c r="G155" s="43" t="n">
        <v>0</v>
      </c>
      <c r="H155" s="43" t="inlineStr">
        <is>
          <t>Yes</t>
        </is>
      </c>
    </row>
    <row r="156" ht="15" customHeight="1">
      <c r="A156" s="38" t="n">
        <v>152</v>
      </c>
      <c r="B156" s="39" t="inlineStr">
        <is>
          <t>6. FINANCE AND ADMINISTRATION</t>
        </is>
      </c>
      <c r="C156" s="39" t="inlineStr">
        <is>
          <t>Construction interest</t>
        </is>
      </c>
      <c r="D156" s="40" t="n">
        <v>1592483</v>
      </c>
      <c r="E156" s="41" t="inlineStr">
        <is>
          <t>Equal</t>
        </is>
      </c>
      <c r="F156" s="42" t="n">
        <v>0</v>
      </c>
      <c r="G156" s="43" t="n">
        <v>0</v>
      </c>
      <c r="H156" s="43" t="inlineStr">
        <is>
          <t>Yes</t>
        </is>
      </c>
    </row>
    <row r="157" ht="15" customHeight="1">
      <c r="A157" s="38" t="n">
        <v>153</v>
      </c>
      <c r="B157" s="39" t="inlineStr">
        <is>
          <t>6. FINANCE AND ADMINISTRATION</t>
        </is>
      </c>
      <c r="C157" s="39" t="inlineStr">
        <is>
          <t>Disbursements</t>
        </is>
      </c>
      <c r="D157" s="40" t="n">
        <v>10220</v>
      </c>
      <c r="E157" s="41" t="inlineStr">
        <is>
          <t>Equal</t>
        </is>
      </c>
      <c r="F157" s="42" t="n">
        <v>0</v>
      </c>
      <c r="G157" s="43" t="n">
        <v>0</v>
      </c>
      <c r="H157" s="43" t="inlineStr">
        <is>
          <t>Yes</t>
        </is>
      </c>
    </row>
    <row r="158" ht="15" customHeight="1">
      <c r="A158" s="38" t="n">
        <v>154</v>
      </c>
      <c r="B158" s="39" t="inlineStr">
        <is>
          <t>6. FINANCE AND ADMINISTRATION</t>
        </is>
      </c>
      <c r="C158" s="39" t="inlineStr">
        <is>
          <t>Insurance</t>
        </is>
      </c>
      <c r="D158" s="40" t="n">
        <v>44753</v>
      </c>
      <c r="E158" s="41" t="inlineStr">
        <is>
          <t>Equal</t>
        </is>
      </c>
      <c r="F158" s="42" t="n">
        <v>0</v>
      </c>
      <c r="G158" s="43" t="n">
        <v>0</v>
      </c>
      <c r="H158" s="43" t="inlineStr">
        <is>
          <t>Yes</t>
        </is>
      </c>
    </row>
    <row r="159" ht="15" customHeight="1">
      <c r="A159" s="38" t="n">
        <v>155</v>
      </c>
      <c r="B159" s="39" t="inlineStr">
        <is>
          <t>6. FINANCE AND ADMINISTRATION</t>
        </is>
      </c>
      <c r="C159" s="39" t="inlineStr">
        <is>
          <t>Legal fees</t>
        </is>
      </c>
      <c r="D159" s="40" t="n">
        <v>125339</v>
      </c>
      <c r="E159" s="41" t="inlineStr">
        <is>
          <t>Equal</t>
        </is>
      </c>
      <c r="F159" s="42" t="n">
        <v>0</v>
      </c>
      <c r="G159" s="43" t="n">
        <v>0</v>
      </c>
      <c r="H159" s="43" t="inlineStr">
        <is>
          <t>Yes</t>
        </is>
      </c>
    </row>
    <row r="160" ht="15" customHeight="1">
      <c r="A160" s="38" t="n">
        <v>156</v>
      </c>
      <c r="B160" s="39" t="inlineStr">
        <is>
          <t>6. FINANCE AND ADMINISTRATION</t>
        </is>
      </c>
      <c r="C160" s="39" t="inlineStr">
        <is>
          <t>Lender fees</t>
        </is>
      </c>
      <c r="D160" s="40" t="n">
        <v>112290</v>
      </c>
      <c r="E160" s="41" t="inlineStr">
        <is>
          <t>Equal</t>
        </is>
      </c>
      <c r="F160" s="42" t="n">
        <v>0</v>
      </c>
      <c r="G160" s="43" t="n">
        <v>0</v>
      </c>
      <c r="H160" s="43" t="inlineStr">
        <is>
          <t>Yes</t>
        </is>
      </c>
    </row>
    <row r="161" ht="15" customHeight="1">
      <c r="A161" s="38" t="n">
        <v>157</v>
      </c>
      <c r="B161" s="39" t="inlineStr">
        <is>
          <t>6. FINANCE AND ADMINISTRATION</t>
        </is>
      </c>
      <c r="C161" s="39" t="inlineStr">
        <is>
          <t>CMHC Insurance Premium</t>
        </is>
      </c>
      <c r="D161" s="40" t="n">
        <v>452241</v>
      </c>
      <c r="E161" s="41" t="inlineStr">
        <is>
          <t>Equal</t>
        </is>
      </c>
      <c r="F161" s="42" t="n">
        <v>0</v>
      </c>
      <c r="G161" s="43" t="n">
        <v>0</v>
      </c>
      <c r="H161" s="43" t="inlineStr">
        <is>
          <t>Yes</t>
        </is>
      </c>
    </row>
    <row r="162" ht="15" customHeight="1">
      <c r="A162" s="38" t="n">
        <v>158</v>
      </c>
      <c r="B162" s="39" t="inlineStr">
        <is>
          <t>6. FINANCE AND ADMINISTRATION</t>
        </is>
      </c>
      <c r="C162" s="39" t="inlineStr">
        <is>
          <t>Mortage broker</t>
        </is>
      </c>
      <c r="D162" s="40" t="n">
        <v>247344</v>
      </c>
      <c r="E162" s="41" t="inlineStr">
        <is>
          <t>Equal</t>
        </is>
      </c>
      <c r="F162" s="42" t="n">
        <v>0</v>
      </c>
      <c r="G162" s="43" t="n">
        <v>0</v>
      </c>
      <c r="H162" s="43" t="inlineStr">
        <is>
          <t>Yes</t>
        </is>
      </c>
    </row>
    <row r="163" ht="15" customHeight="1">
      <c r="A163" s="38" t="n">
        <v>159</v>
      </c>
      <c r="B163" s="39" t="inlineStr">
        <is>
          <t>6. FINANCE AND ADMINISTRATION</t>
        </is>
      </c>
      <c r="C163" s="39" t="inlineStr">
        <is>
          <t>Permits</t>
        </is>
      </c>
      <c r="D163" s="40" t="n">
        <v>168546</v>
      </c>
      <c r="E163" s="41" t="inlineStr">
        <is>
          <t>Equal</t>
        </is>
      </c>
      <c r="F163" s="42" t="n">
        <v>0</v>
      </c>
      <c r="G163" s="43" t="n">
        <v>0</v>
      </c>
      <c r="H163" s="43" t="inlineStr">
        <is>
          <t>Yes</t>
        </is>
      </c>
    </row>
    <row r="164" ht="15" customHeight="1">
      <c r="A164" s="38" t="n">
        <v>160</v>
      </c>
      <c r="B164" s="39" t="inlineStr">
        <is>
          <t>6. FINANCE AND ADMINISTRATION</t>
        </is>
      </c>
      <c r="C164" s="39" t="inlineStr">
        <is>
          <t>Pre Construction Carrying costs</t>
        </is>
      </c>
      <c r="D164" s="40" t="n">
        <v>273134</v>
      </c>
      <c r="E164" s="41" t="inlineStr">
        <is>
          <t>Equal</t>
        </is>
      </c>
      <c r="F164" s="42" t="n">
        <v>0</v>
      </c>
      <c r="G164" s="43" t="n">
        <v>0</v>
      </c>
      <c r="H164" s="43" t="inlineStr">
        <is>
          <t>Yes</t>
        </is>
      </c>
    </row>
    <row r="165" ht="15" customHeight="1">
      <c r="A165" s="38" t="n">
        <v>161</v>
      </c>
      <c r="B165" s="39" t="inlineStr">
        <is>
          <t>6. FINANCE AND ADMINISTRATION</t>
        </is>
      </c>
      <c r="C165" s="39" t="inlineStr">
        <is>
          <t>Taxes</t>
        </is>
      </c>
      <c r="D165" s="40" t="n">
        <v>10000</v>
      </c>
      <c r="E165" s="41" t="inlineStr">
        <is>
          <t>Equal</t>
        </is>
      </c>
      <c r="F165" s="42" t="n">
        <v>0</v>
      </c>
      <c r="G165" s="43" t="n">
        <v>0</v>
      </c>
      <c r="H165" s="43" t="inlineStr">
        <is>
          <t>Yes</t>
        </is>
      </c>
    </row>
    <row r="166" ht="15" customHeight="1">
      <c r="A166" s="38" t="n">
        <v>162</v>
      </c>
      <c r="B166" s="39" t="inlineStr">
        <is>
          <t>7. TAX ASSESSMENT</t>
        </is>
      </c>
      <c r="C166" s="39" t="inlineStr">
        <is>
          <t>Self assesement taxes</t>
        </is>
      </c>
      <c r="D166" s="40" t="n">
        <v>2087617</v>
      </c>
      <c r="E166" s="41" t="inlineStr">
        <is>
          <t>At Completion</t>
        </is>
      </c>
      <c r="F166" s="42" t="n">
        <v>0</v>
      </c>
      <c r="G166" s="43" t="n">
        <v>0</v>
      </c>
      <c r="H166" s="43" t="inlineStr">
        <is>
          <t>Yes</t>
        </is>
      </c>
    </row>
    <row r="167" ht="15" customHeight="1">
      <c r="A167" s="38" t="n">
        <v>163</v>
      </c>
      <c r="B167" s="39" t="inlineStr">
        <is>
          <t>8. CONTINGENCY ALLOWANCE</t>
        </is>
      </c>
      <c r="C167" s="39" t="inlineStr">
        <is>
          <t>Contingency</t>
        </is>
      </c>
      <c r="D167" s="40" t="n">
        <v>500000</v>
      </c>
      <c r="E167" s="41" t="inlineStr">
        <is>
          <t>As Needed</t>
        </is>
      </c>
      <c r="F167" s="42" t="n">
        <v>0</v>
      </c>
      <c r="G167" s="43" t="n">
        <v>0</v>
      </c>
      <c r="H167" s="43" t="inlineStr">
        <is>
          <t>Yes</t>
        </is>
      </c>
    </row>
    <row r="168" ht="15" customHeight="1">
      <c r="A168" s="38" t="n">
        <v>164</v>
      </c>
      <c r="B168" s="39" t="inlineStr">
        <is>
          <t>8. CONTINGENCY ALLOWANCE</t>
        </is>
      </c>
      <c r="C168" s="39" t="inlineStr">
        <is>
          <t>Contingency Buy Down</t>
        </is>
      </c>
      <c r="D168" s="40" t="n">
        <v>0</v>
      </c>
      <c r="E168" s="41" t="inlineStr">
        <is>
          <t>As Needed</t>
        </is>
      </c>
      <c r="F168" s="42" t="n">
        <v>0</v>
      </c>
      <c r="G168" s="43" t="n">
        <v>0</v>
      </c>
      <c r="H168" s="43" t="inlineStr">
        <is>
          <t>Yes</t>
        </is>
      </c>
    </row>
    <row r="169" ht="15" customHeight="1">
      <c r="A169" s="38" t="n">
        <v>165</v>
      </c>
      <c r="B169" s="39" t="inlineStr">
        <is>
          <t>8. CONTINGENCY ALLOWANCE</t>
        </is>
      </c>
      <c r="C169" s="39" t="inlineStr">
        <is>
          <t>Contingency Non-Classified</t>
        </is>
      </c>
      <c r="D169" s="40" t="n">
        <v>0</v>
      </c>
      <c r="E169" s="41" t="inlineStr">
        <is>
          <t>As Needed</t>
        </is>
      </c>
      <c r="F169" s="42" t="n">
        <v>0</v>
      </c>
      <c r="G169" s="43" t="n">
        <v>0</v>
      </c>
      <c r="H169" s="43" t="inlineStr">
        <is>
          <t>Yes</t>
        </is>
      </c>
    </row>
    <row r="170" ht="15" customHeight="1">
      <c r="A170" s="38" t="n">
        <v>166</v>
      </c>
      <c r="B170" s="39" t="inlineStr">
        <is>
          <t>HOLDBACKS</t>
        </is>
      </c>
      <c r="C170" s="39" t="n"/>
      <c r="D170" s="40" t="n">
        <v>0</v>
      </c>
      <c r="E170" s="41" t="inlineStr">
        <is>
          <t>Equal</t>
        </is>
      </c>
      <c r="F170" s="42" t="n">
        <v>0.1</v>
      </c>
      <c r="G170" s="43" t="n">
        <v>3</v>
      </c>
      <c r="H170" s="43" t="inlineStr">
        <is>
          <t>Yes</t>
        </is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sqref="E5:E171" showDropDown="0" showInputMessage="0" showErrorMessage="0" allowBlank="1" type="list" operator="equal">
      <formula1>"Upfront,Equal,Front-loaded,Mid-weighted,Back-loaded,At Completion,As Needed"</formula1>
      <formula2>0</formula2>
    </dataValidation>
    <dataValidation sqref="H5:H171" showDropDown="0" showInputMessage="0" showErrorMessage="0" allowBlank="1" type="list" operator="equal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zoomScaleNormal="100" zoomScalePageLayoutView="60" workbookViewId="0">
      <selection activeCell="A1" sqref="A1"/>
    </sheetView>
  </sheetViews>
  <sheetFormatPr baseColWidth="10" defaultColWidth="14.5" defaultRowHeight="15" customHeight="1"/>
  <cols>
    <col width="18" customWidth="1" min="1" max="1"/>
    <col width="15" customWidth="1" min="2" max="2"/>
    <col width="10" customWidth="1" min="3" max="3"/>
    <col width="15" customWidth="1" min="4" max="4"/>
    <col width="20" customWidth="1" min="5" max="5"/>
    <col width="15" customWidth="1" min="6" max="7"/>
    <col width="25" customWidth="1" min="8" max="8"/>
    <col width="9.6640625" customWidth="1" min="9" max="9"/>
    <col width="8.83203125" customWidth="1" min="10" max="26"/>
  </cols>
  <sheetData>
    <row r="1" ht="18.75" customHeight="1">
      <c r="A1" s="5" t="inlineStr">
        <is>
          <t>UNIT RENT ROLL DATA</t>
        </is>
      </c>
    </row>
    <row r="2" ht="15" customHeight="1">
      <c r="A2" s="36" t="inlineStr">
        <is>
          <t>Exact import from Units-Proforma_View_Tremb.csv</t>
        </is>
      </c>
    </row>
    <row r="4" ht="45" customHeight="1">
      <c r="A4" s="44" t="inlineStr">
        <is>
          <t>UnitId</t>
        </is>
      </c>
      <c r="B4" s="44" t="inlineStr">
        <is>
          <t>UnitRentalTypes</t>
        </is>
      </c>
      <c r="C4" s="44" t="inlineStr">
        <is>
          <t>Unit #</t>
        </is>
      </c>
      <c r="D4" s="44" t="inlineStr">
        <is>
          <t>Planned Delivery Date for Occupancy</t>
        </is>
      </c>
      <c r="E4" s="44" t="inlineStr">
        <is>
          <t>Projected Price Per Bedroom (from UnitRentalTypes)</t>
        </is>
      </c>
      <c r="F4" s="44" t="inlineStr">
        <is>
          <t>Projected Rate</t>
        </is>
      </c>
      <c r="G4" s="44" t="inlineStr">
        <is>
          <t>Bedroom Count (from UnitRentalTypes)</t>
        </is>
      </c>
      <c r="H4" s="44" t="inlineStr">
        <is>
          <t>Units Operations ID</t>
        </is>
      </c>
    </row>
    <row r="5" ht="15.75" customHeight="1">
      <c r="A5" s="44" t="inlineStr">
        <is>
          <t>ADELE 1 A-101</t>
        </is>
      </c>
      <c r="B5" s="45" t="inlineStr">
        <is>
          <t>London</t>
        </is>
      </c>
      <c r="C5" s="45" t="n">
        <v>101</v>
      </c>
      <c r="D5" s="46" t="n"/>
      <c r="E5" s="47" t="n"/>
      <c r="F5" s="47" t="n">
        <v>1905</v>
      </c>
      <c r="G5" s="45" t="n"/>
      <c r="H5" s="45" t="inlineStr">
        <is>
          <t>ADELE -101</t>
        </is>
      </c>
      <c r="I5" s="48">
        <f>F5*G5</f>
        <v/>
      </c>
    </row>
    <row r="6" ht="15.75" customHeight="1">
      <c r="A6" s="44" t="inlineStr">
        <is>
          <t>ADELE 1 A-201</t>
        </is>
      </c>
      <c r="B6" s="45" t="inlineStr">
        <is>
          <t>Berlin</t>
        </is>
      </c>
      <c r="C6" s="45" t="n">
        <v>201</v>
      </c>
      <c r="D6" s="46" t="n"/>
      <c r="E6" s="47" t="n"/>
      <c r="F6" s="47" t="n">
        <v>2455</v>
      </c>
      <c r="G6" s="45" t="n"/>
      <c r="H6" s="45" t="inlineStr">
        <is>
          <t>ADELE -201</t>
        </is>
      </c>
      <c r="I6" s="48">
        <f>F6*G6</f>
        <v/>
      </c>
    </row>
    <row r="7" ht="15.75" customHeight="1">
      <c r="A7" s="44" t="inlineStr">
        <is>
          <t>ADELE 1 A-301</t>
        </is>
      </c>
      <c r="B7" s="45" t="inlineStr">
        <is>
          <t>Berlin</t>
        </is>
      </c>
      <c r="C7" s="45" t="n">
        <v>301</v>
      </c>
      <c r="D7" s="46" t="n"/>
      <c r="E7" s="47" t="n"/>
      <c r="F7" s="47" t="n">
        <v>2455</v>
      </c>
      <c r="G7" s="45" t="n"/>
      <c r="H7" s="45" t="inlineStr">
        <is>
          <t>ADELE -301</t>
        </is>
      </c>
      <c r="I7" s="48" t="n"/>
    </row>
    <row r="8" ht="15.75" customHeight="1">
      <c r="A8" s="44" t="inlineStr">
        <is>
          <t>ADELE 1 A-102</t>
        </is>
      </c>
      <c r="B8" s="45" t="inlineStr">
        <is>
          <t>London</t>
        </is>
      </c>
      <c r="C8" s="45" t="n">
        <v>102</v>
      </c>
      <c r="D8" s="46" t="n"/>
      <c r="E8" s="47" t="n"/>
      <c r="F8" s="47" t="n">
        <v>1905</v>
      </c>
      <c r="G8" s="45" t="n"/>
      <c r="H8" s="45" t="inlineStr">
        <is>
          <t>ADELE -102</t>
        </is>
      </c>
      <c r="I8" s="48" t="n"/>
    </row>
    <row r="9" ht="15.75" customHeight="1">
      <c r="A9" s="44" t="inlineStr">
        <is>
          <t>ADELE 1 A-202</t>
        </is>
      </c>
      <c r="B9" s="45" t="inlineStr">
        <is>
          <t>Berlin</t>
        </is>
      </c>
      <c r="C9" s="45" t="n">
        <v>202</v>
      </c>
      <c r="D9" s="46" t="n"/>
      <c r="E9" s="47" t="n"/>
      <c r="F9" s="47" t="n">
        <v>2455</v>
      </c>
      <c r="G9" s="45" t="n"/>
      <c r="H9" s="45" t="inlineStr">
        <is>
          <t>ADELE -202</t>
        </is>
      </c>
      <c r="I9" s="48" t="n"/>
    </row>
    <row r="10" ht="15.75" customHeight="1">
      <c r="A10" s="44" t="inlineStr">
        <is>
          <t>ADELE 1 A-302</t>
        </is>
      </c>
      <c r="B10" s="45" t="inlineStr">
        <is>
          <t>Berlin</t>
        </is>
      </c>
      <c r="C10" s="45" t="n">
        <v>302</v>
      </c>
      <c r="D10" s="46" t="n"/>
      <c r="E10" s="47" t="n"/>
      <c r="F10" s="47" t="n">
        <v>2455</v>
      </c>
      <c r="G10" s="45" t="n"/>
      <c r="H10" s="45" t="inlineStr">
        <is>
          <t>ADELE -302</t>
        </is>
      </c>
      <c r="I10" s="48" t="n"/>
    </row>
    <row r="11" ht="15.75" customHeight="1">
      <c r="A11" s="44" t="inlineStr">
        <is>
          <t>ADELE 1 B-101</t>
        </is>
      </c>
      <c r="B11" s="45" t="inlineStr">
        <is>
          <t>London</t>
        </is>
      </c>
      <c r="C11" s="45" t="n">
        <v>101</v>
      </c>
      <c r="D11" s="46" t="n"/>
      <c r="E11" s="47" t="n"/>
      <c r="F11" s="47" t="n">
        <v>1905</v>
      </c>
      <c r="G11" s="45" t="n"/>
      <c r="H11" s="45" t="inlineStr">
        <is>
          <t>ADELE -101</t>
        </is>
      </c>
      <c r="I11" s="48" t="n"/>
    </row>
    <row r="12" ht="15.75" customHeight="1">
      <c r="A12" s="44" t="inlineStr">
        <is>
          <t>ADELE 1 B-201</t>
        </is>
      </c>
      <c r="B12" s="45" t="inlineStr">
        <is>
          <t>Paris</t>
        </is>
      </c>
      <c r="C12" s="45" t="n">
        <v>201</v>
      </c>
      <c r="D12" s="46" t="n"/>
      <c r="E12" s="47" t="n"/>
      <c r="F12" s="47" t="n">
        <v>1639</v>
      </c>
      <c r="G12" s="45" t="n"/>
      <c r="H12" s="45" t="inlineStr">
        <is>
          <t>ADELE -201</t>
        </is>
      </c>
      <c r="I12" s="48" t="n"/>
    </row>
    <row r="13" ht="15.75" customHeight="1">
      <c r="A13" s="44" t="inlineStr">
        <is>
          <t>ADELE 1 B-202</t>
        </is>
      </c>
      <c r="B13" s="45" t="inlineStr">
        <is>
          <t>New York</t>
        </is>
      </c>
      <c r="C13" s="45" t="n">
        <v>202</v>
      </c>
      <c r="D13" s="46" t="n"/>
      <c r="E13" s="47" t="n"/>
      <c r="F13" s="47" t="n">
        <v>1589</v>
      </c>
      <c r="G13" s="45" t="n"/>
      <c r="H13" s="45" t="inlineStr">
        <is>
          <t>ADELE -202</t>
        </is>
      </c>
      <c r="I13" s="48" t="n"/>
    </row>
    <row r="14" ht="15.75" customHeight="1">
      <c r="A14" s="44" t="inlineStr">
        <is>
          <t>ADELE 1 B-301</t>
        </is>
      </c>
      <c r="B14" s="45" t="inlineStr">
        <is>
          <t>Paris</t>
        </is>
      </c>
      <c r="C14" s="45" t="n">
        <v>301</v>
      </c>
      <c r="D14" s="46" t="n"/>
      <c r="E14" s="47" t="n"/>
      <c r="F14" s="47" t="n">
        <v>1639</v>
      </c>
      <c r="G14" s="45" t="n"/>
      <c r="H14" s="45" t="inlineStr">
        <is>
          <t>ADELE -301</t>
        </is>
      </c>
      <c r="I14" s="48" t="n"/>
    </row>
    <row r="15" ht="15.75" customHeight="1">
      <c r="A15" s="44" t="inlineStr">
        <is>
          <t>ADELE 1 B-302</t>
        </is>
      </c>
      <c r="B15" s="45" t="inlineStr">
        <is>
          <t>New York</t>
        </is>
      </c>
      <c r="C15" s="45" t="n">
        <v>302</v>
      </c>
      <c r="D15" s="46" t="n"/>
      <c r="E15" s="47" t="n"/>
      <c r="F15" s="47" t="n">
        <v>1589</v>
      </c>
      <c r="G15" s="45" t="n"/>
      <c r="H15" s="45" t="inlineStr">
        <is>
          <t>ADELE -302</t>
        </is>
      </c>
      <c r="I15" s="48" t="n"/>
    </row>
    <row r="16" ht="15.75" customHeight="1">
      <c r="A16" s="44" t="inlineStr">
        <is>
          <t>ADELE 1 B-102</t>
        </is>
      </c>
      <c r="B16" s="45" t="inlineStr">
        <is>
          <t>London</t>
        </is>
      </c>
      <c r="C16" s="45" t="n">
        <v>102</v>
      </c>
      <c r="D16" s="46" t="n"/>
      <c r="E16" s="47" t="n"/>
      <c r="F16" s="47" t="n">
        <v>1905</v>
      </c>
      <c r="G16" s="45" t="n"/>
      <c r="H16" s="45" t="inlineStr">
        <is>
          <t>ADELE -102</t>
        </is>
      </c>
      <c r="I16" s="48" t="n"/>
    </row>
    <row r="17" ht="15.75" customHeight="1">
      <c r="A17" s="44" t="inlineStr">
        <is>
          <t>ADELE 1 B-202</t>
        </is>
      </c>
      <c r="B17" s="45" t="inlineStr">
        <is>
          <t>Paris</t>
        </is>
      </c>
      <c r="C17" s="45" t="n">
        <v>202</v>
      </c>
      <c r="D17" s="46" t="n"/>
      <c r="E17" s="47" t="n"/>
      <c r="F17" s="47" t="n">
        <v>1639</v>
      </c>
      <c r="G17" s="45" t="n"/>
      <c r="H17" s="45" t="inlineStr">
        <is>
          <t>ADELE -202</t>
        </is>
      </c>
      <c r="I17" s="48" t="n"/>
    </row>
    <row r="18" ht="15.75" customHeight="1">
      <c r="A18" s="44" t="inlineStr">
        <is>
          <t>ADELE 1 B-203</t>
        </is>
      </c>
      <c r="B18" s="45" t="inlineStr">
        <is>
          <t>New York</t>
        </is>
      </c>
      <c r="C18" s="45" t="n">
        <v>203</v>
      </c>
      <c r="D18" s="46" t="n"/>
      <c r="E18" s="47" t="n"/>
      <c r="F18" s="47" t="n">
        <v>1589</v>
      </c>
      <c r="G18" s="45" t="n"/>
      <c r="H18" s="45" t="inlineStr">
        <is>
          <t>ADELE -203</t>
        </is>
      </c>
      <c r="I18" s="48" t="n"/>
    </row>
    <row r="19" ht="15.75" customHeight="1">
      <c r="A19" s="44" t="inlineStr">
        <is>
          <t>ADELE 1 B-302</t>
        </is>
      </c>
      <c r="B19" s="45" t="inlineStr">
        <is>
          <t>Paris</t>
        </is>
      </c>
      <c r="C19" s="45" t="n">
        <v>302</v>
      </c>
      <c r="D19" s="46" t="n"/>
      <c r="E19" s="47" t="n"/>
      <c r="F19" s="47" t="n">
        <v>1639</v>
      </c>
      <c r="G19" s="45" t="n"/>
      <c r="H19" s="45" t="inlineStr">
        <is>
          <t>ADELE -302</t>
        </is>
      </c>
      <c r="I19" s="48" t="n"/>
    </row>
    <row r="20" ht="15.75" customHeight="1">
      <c r="A20" s="44" t="inlineStr">
        <is>
          <t>ADELE 1 C-303</t>
        </is>
      </c>
      <c r="B20" s="45" t="inlineStr">
        <is>
          <t>New York</t>
        </is>
      </c>
      <c r="C20" s="45" t="n">
        <v>303</v>
      </c>
      <c r="D20" s="46" t="n"/>
      <c r="E20" s="47" t="n"/>
      <c r="F20" s="47" t="n">
        <v>1589</v>
      </c>
      <c r="G20" s="45" t="n"/>
      <c r="H20" s="45" t="inlineStr">
        <is>
          <t>ADELE -303</t>
        </is>
      </c>
      <c r="I20" s="48" t="n"/>
    </row>
    <row r="21" ht="15.75" customHeight="1">
      <c r="A21" s="44" t="inlineStr">
        <is>
          <t>ADELE 1 C-101</t>
        </is>
      </c>
      <c r="B21" s="45" t="inlineStr">
        <is>
          <t>London</t>
        </is>
      </c>
      <c r="C21" s="45" t="n">
        <v>101</v>
      </c>
      <c r="D21" s="46" t="n"/>
      <c r="E21" s="47" t="n"/>
      <c r="F21" s="47" t="n">
        <v>1905</v>
      </c>
      <c r="G21" s="45" t="n"/>
      <c r="H21" s="45" t="inlineStr">
        <is>
          <t>ADELE -101</t>
        </is>
      </c>
      <c r="I21" s="48" t="n"/>
    </row>
    <row r="22" ht="15.75" customHeight="1">
      <c r="A22" s="44" t="inlineStr">
        <is>
          <t>ADELE 1 C-201</t>
        </is>
      </c>
      <c r="B22" s="45" t="inlineStr">
        <is>
          <t>Berlin</t>
        </is>
      </c>
      <c r="C22" s="45" t="n">
        <v>201</v>
      </c>
      <c r="D22" s="46" t="n"/>
      <c r="E22" s="47" t="n"/>
      <c r="F22" s="47" t="n">
        <v>2455</v>
      </c>
      <c r="G22" s="45" t="n"/>
      <c r="H22" s="45" t="inlineStr">
        <is>
          <t>ADELE -201</t>
        </is>
      </c>
      <c r="I22" s="48" t="n"/>
    </row>
    <row r="23" ht="15.75" customHeight="1">
      <c r="A23" s="44" t="inlineStr">
        <is>
          <t>ADELE 1 C-301</t>
        </is>
      </c>
      <c r="B23" s="45" t="inlineStr">
        <is>
          <t>Berlin</t>
        </is>
      </c>
      <c r="C23" s="45" t="n">
        <v>301</v>
      </c>
      <c r="D23" s="46" t="n"/>
      <c r="E23" s="47" t="n"/>
      <c r="F23" s="47" t="n">
        <v>2455</v>
      </c>
      <c r="G23" s="45" t="n"/>
      <c r="H23" s="45" t="inlineStr">
        <is>
          <t>ADELE -301</t>
        </is>
      </c>
      <c r="I23" s="48" t="n"/>
    </row>
    <row r="24" ht="15.75" customHeight="1">
      <c r="A24" s="44" t="inlineStr">
        <is>
          <t>ADELE 1 C-102</t>
        </is>
      </c>
      <c r="B24" s="45" t="inlineStr">
        <is>
          <t>London</t>
        </is>
      </c>
      <c r="C24" s="45" t="n">
        <v>102</v>
      </c>
      <c r="D24" s="46" t="n"/>
      <c r="E24" s="47" t="n"/>
      <c r="F24" s="47" t="n">
        <v>1905</v>
      </c>
      <c r="G24" s="45" t="n"/>
      <c r="H24" s="45" t="inlineStr">
        <is>
          <t>ADELE -102</t>
        </is>
      </c>
      <c r="I24" s="48" t="n"/>
    </row>
    <row r="25" ht="15.75" customHeight="1">
      <c r="A25" s="44" t="inlineStr">
        <is>
          <t>ADELE 2 D-303</t>
        </is>
      </c>
      <c r="B25" s="45" t="inlineStr">
        <is>
          <t>New York</t>
        </is>
      </c>
      <c r="C25" s="45" t="n">
        <v>303</v>
      </c>
      <c r="D25" s="46" t="n"/>
      <c r="E25" s="47" t="n"/>
      <c r="F25" s="49" t="n">
        <v>1589</v>
      </c>
      <c r="G25" s="45" t="n"/>
      <c r="H25" s="45" t="inlineStr">
        <is>
          <t>ADELE -303</t>
        </is>
      </c>
      <c r="I25" s="48" t="n"/>
    </row>
    <row r="26" ht="15.75" customHeight="1">
      <c r="A26" s="44" t="inlineStr">
        <is>
          <t>ADELE 2 D-102</t>
        </is>
      </c>
      <c r="B26" s="45" t="inlineStr">
        <is>
          <t>London</t>
        </is>
      </c>
      <c r="C26" s="45" t="n">
        <v>102</v>
      </c>
      <c r="D26" s="46" t="n"/>
      <c r="E26" s="47" t="n"/>
      <c r="F26" s="49" t="n">
        <v>1905</v>
      </c>
      <c r="G26" s="45" t="n"/>
      <c r="H26" s="45" t="inlineStr">
        <is>
          <t>ADELE -102</t>
        </is>
      </c>
      <c r="I26" s="48" t="n"/>
    </row>
    <row r="27" ht="15.75" customHeight="1">
      <c r="A27" s="44" t="inlineStr">
        <is>
          <t>ADELE 2 E-302</t>
        </is>
      </c>
      <c r="B27" s="45" t="inlineStr">
        <is>
          <t>Berlin</t>
        </is>
      </c>
      <c r="C27" s="45" t="n">
        <v>302</v>
      </c>
      <c r="D27" s="46" t="n"/>
      <c r="E27" s="47" t="n"/>
      <c r="F27" s="49" t="n">
        <v>2455</v>
      </c>
      <c r="G27" s="45" t="n"/>
      <c r="H27" s="45" t="inlineStr">
        <is>
          <t>ADELE -302</t>
        </is>
      </c>
      <c r="I27" s="48" t="n"/>
    </row>
    <row r="28" ht="15.75" customHeight="1">
      <c r="A28" s="44" t="inlineStr">
        <is>
          <t>ADELE 2 D-301</t>
        </is>
      </c>
      <c r="B28" s="45" t="inlineStr">
        <is>
          <t>Berlin</t>
        </is>
      </c>
      <c r="C28" s="45" t="n">
        <v>301</v>
      </c>
      <c r="D28" s="46" t="n"/>
      <c r="E28" s="47" t="n"/>
      <c r="F28" s="49" t="n">
        <v>2455</v>
      </c>
      <c r="G28" s="45" t="n"/>
      <c r="H28" s="45" t="inlineStr">
        <is>
          <t>ADELE -301</t>
        </is>
      </c>
      <c r="I28" s="48" t="n"/>
    </row>
    <row r="29" ht="15.75" customHeight="1">
      <c r="A29" s="44" t="inlineStr">
        <is>
          <t>ADELE 1 C-202</t>
        </is>
      </c>
      <c r="B29" s="45" t="inlineStr">
        <is>
          <t>Berlin</t>
        </is>
      </c>
      <c r="C29" s="45" t="n">
        <v>202</v>
      </c>
      <c r="D29" s="46" t="n"/>
      <c r="E29" s="47" t="n"/>
      <c r="F29" s="49" t="n">
        <v>2455</v>
      </c>
      <c r="G29" s="45" t="n"/>
      <c r="H29" s="45" t="inlineStr">
        <is>
          <t>ADELE -202</t>
        </is>
      </c>
      <c r="I29" s="48" t="n"/>
    </row>
    <row r="30" ht="15.75" customHeight="1">
      <c r="A30" s="44" t="inlineStr">
        <is>
          <t>ADELE 2 E-203</t>
        </is>
      </c>
      <c r="B30" s="45" t="inlineStr">
        <is>
          <t>New York</t>
        </is>
      </c>
      <c r="C30" s="45" t="n">
        <v>203</v>
      </c>
      <c r="D30" s="46" t="n"/>
      <c r="E30" s="47" t="n"/>
      <c r="F30" s="49" t="n">
        <v>1589</v>
      </c>
      <c r="G30" s="45" t="n"/>
      <c r="H30" s="45" t="inlineStr">
        <is>
          <t>ADELE -203</t>
        </is>
      </c>
      <c r="I30" s="48" t="n"/>
    </row>
    <row r="31" ht="15.75" customHeight="1">
      <c r="A31" s="44" t="inlineStr">
        <is>
          <t>ADELE 2 D-201</t>
        </is>
      </c>
      <c r="B31" s="45" t="inlineStr">
        <is>
          <t>Paris</t>
        </is>
      </c>
      <c r="C31" s="45" t="n">
        <v>201</v>
      </c>
      <c r="D31" s="46" t="n"/>
      <c r="E31" s="47" t="n"/>
      <c r="F31" s="49" t="n">
        <v>1639</v>
      </c>
      <c r="G31" s="45" t="n"/>
      <c r="H31" s="45" t="inlineStr">
        <is>
          <t>ADELE -201</t>
        </is>
      </c>
      <c r="I31" s="48" t="n"/>
    </row>
    <row r="32" ht="15.75" customHeight="1">
      <c r="A32" s="44" t="inlineStr">
        <is>
          <t>ADELE 2 F-101</t>
        </is>
      </c>
      <c r="B32" s="45" t="inlineStr">
        <is>
          <t>London</t>
        </is>
      </c>
      <c r="C32" s="45" t="n">
        <v>101</v>
      </c>
      <c r="D32" s="46" t="n"/>
      <c r="E32" s="47" t="n"/>
      <c r="F32" s="49" t="n">
        <v>1905</v>
      </c>
      <c r="G32" s="45" t="n"/>
      <c r="H32" s="45" t="inlineStr">
        <is>
          <t>ADELE -101</t>
        </is>
      </c>
      <c r="I32" s="48" t="n"/>
    </row>
    <row r="33" ht="15.75" customHeight="1">
      <c r="A33" s="44" t="inlineStr">
        <is>
          <t>ADELE 2 E-101</t>
        </is>
      </c>
      <c r="B33" s="45" t="inlineStr">
        <is>
          <t>London</t>
        </is>
      </c>
      <c r="C33" s="45" t="n">
        <v>101</v>
      </c>
      <c r="D33" s="46" t="n"/>
      <c r="E33" s="47" t="n"/>
      <c r="F33" s="47" t="n">
        <v>1905</v>
      </c>
      <c r="G33" s="45" t="n"/>
      <c r="H33" s="45" t="inlineStr">
        <is>
          <t>ADELE -101</t>
        </is>
      </c>
      <c r="I33" s="48" t="n"/>
    </row>
    <row r="34" ht="15.75" customHeight="1">
      <c r="A34" s="44" t="inlineStr">
        <is>
          <t>ADELE 2 E-301</t>
        </is>
      </c>
      <c r="B34" s="45" t="inlineStr">
        <is>
          <t>Paris</t>
        </is>
      </c>
      <c r="C34" s="45" t="n">
        <v>301</v>
      </c>
      <c r="D34" s="46" t="n"/>
      <c r="E34" s="47" t="n"/>
      <c r="F34" s="47" t="n">
        <v>1639</v>
      </c>
      <c r="G34" s="45" t="n"/>
      <c r="H34" s="45" t="inlineStr">
        <is>
          <t>ADELE -301</t>
        </is>
      </c>
      <c r="I34" s="48" t="n"/>
    </row>
    <row r="35" ht="15.75" customHeight="1">
      <c r="A35" s="44" t="inlineStr">
        <is>
          <t>ADELE 2 D-302</t>
        </is>
      </c>
      <c r="B35" s="45" t="inlineStr">
        <is>
          <t>Paris</t>
        </is>
      </c>
      <c r="C35" s="45" t="n">
        <v>302</v>
      </c>
      <c r="D35" s="46" t="n"/>
      <c r="E35" s="47" t="n"/>
      <c r="F35" s="47" t="n">
        <v>1639</v>
      </c>
      <c r="G35" s="45" t="n"/>
      <c r="H35" s="45" t="inlineStr">
        <is>
          <t>ADELE -302</t>
        </is>
      </c>
      <c r="I35" s="48" t="n"/>
    </row>
    <row r="36" ht="15.75" customHeight="1">
      <c r="A36" s="44" t="inlineStr">
        <is>
          <t>ADELE 2 E-302</t>
        </is>
      </c>
      <c r="B36" s="45" t="inlineStr">
        <is>
          <t>New York</t>
        </is>
      </c>
      <c r="C36" s="45" t="n">
        <v>302</v>
      </c>
      <c r="D36" s="46" t="n"/>
      <c r="E36" s="47" t="n"/>
      <c r="F36" s="47" t="n">
        <v>1589</v>
      </c>
      <c r="G36" s="45" t="n"/>
      <c r="H36" s="45" t="inlineStr">
        <is>
          <t>ADELE -302</t>
        </is>
      </c>
      <c r="I36" s="48" t="n"/>
    </row>
    <row r="37" ht="15.75" customHeight="1">
      <c r="A37" s="44" t="inlineStr">
        <is>
          <t>ADELE 2 D-202</t>
        </is>
      </c>
      <c r="B37" s="45" t="inlineStr">
        <is>
          <t>Paris</t>
        </is>
      </c>
      <c r="C37" s="45" t="n">
        <v>202</v>
      </c>
      <c r="D37" s="46" t="n"/>
      <c r="E37" s="47" t="n"/>
      <c r="F37" s="47" t="n">
        <v>1639</v>
      </c>
      <c r="G37" s="45" t="n"/>
      <c r="H37" s="45" t="inlineStr">
        <is>
          <t>ADELE -202</t>
        </is>
      </c>
      <c r="I37" s="48" t="n"/>
    </row>
    <row r="38" ht="15.75" customHeight="1">
      <c r="A38" s="44" t="inlineStr">
        <is>
          <t>ADELE 2 D-202</t>
        </is>
      </c>
      <c r="B38" s="45" t="inlineStr">
        <is>
          <t>New York</t>
        </is>
      </c>
      <c r="C38" s="45" t="n">
        <v>202</v>
      </c>
      <c r="D38" s="46" t="n"/>
      <c r="E38" s="47" t="n"/>
      <c r="F38" s="47" t="n">
        <v>1589</v>
      </c>
      <c r="G38" s="45" t="n"/>
      <c r="H38" s="45" t="inlineStr">
        <is>
          <t>ADELE -202</t>
        </is>
      </c>
      <c r="I38" s="48" t="n"/>
    </row>
    <row r="39" ht="15.75" customHeight="1">
      <c r="A39" s="44" t="inlineStr">
        <is>
          <t>ADELE 2 E-201</t>
        </is>
      </c>
      <c r="B39" s="45" t="inlineStr">
        <is>
          <t>Berlin</t>
        </is>
      </c>
      <c r="C39" s="45" t="n">
        <v>201</v>
      </c>
      <c r="D39" s="46" t="n"/>
      <c r="E39" s="47" t="n"/>
      <c r="F39" s="47" t="n">
        <v>2455</v>
      </c>
      <c r="G39" s="45" t="n"/>
      <c r="H39" s="45" t="inlineStr">
        <is>
          <t>ADELE -201</t>
        </is>
      </c>
      <c r="I39" s="48" t="n"/>
    </row>
    <row r="40" ht="15.75" customHeight="1">
      <c r="A40" s="44" t="inlineStr">
        <is>
          <t>ADELE 2 D-101</t>
        </is>
      </c>
      <c r="B40" s="45" t="inlineStr">
        <is>
          <t>London</t>
        </is>
      </c>
      <c r="C40" s="45" t="n">
        <v>101</v>
      </c>
      <c r="D40" s="46" t="n"/>
      <c r="E40" s="47" t="n"/>
      <c r="F40" s="47" t="n">
        <v>1905</v>
      </c>
      <c r="G40" s="45" t="n"/>
      <c r="H40" s="45" t="inlineStr">
        <is>
          <t>ADELE -101</t>
        </is>
      </c>
      <c r="I40" s="48" t="n"/>
    </row>
    <row r="41" ht="15.75" customHeight="1">
      <c r="A41" s="44" t="inlineStr">
        <is>
          <t>ADELE 2 F-201</t>
        </is>
      </c>
      <c r="B41" s="45" t="inlineStr">
        <is>
          <t>Berlin</t>
        </is>
      </c>
      <c r="C41" s="45" t="n">
        <v>201</v>
      </c>
      <c r="D41" s="46" t="n"/>
      <c r="E41" s="47" t="n"/>
      <c r="F41" s="47" t="n">
        <v>2455</v>
      </c>
      <c r="G41" s="45" t="n"/>
      <c r="H41" s="45" t="inlineStr">
        <is>
          <t>ADELE -201</t>
        </is>
      </c>
      <c r="I41" s="48" t="n"/>
    </row>
    <row r="42" ht="15.75" customHeight="1">
      <c r="A42" s="44" t="inlineStr">
        <is>
          <t>ADELE 2 F-301</t>
        </is>
      </c>
      <c r="B42" s="45" t="inlineStr">
        <is>
          <t>Berlin</t>
        </is>
      </c>
      <c r="C42" s="45" t="n">
        <v>301</v>
      </c>
      <c r="D42" s="46" t="n"/>
      <c r="E42" s="47" t="n"/>
      <c r="F42" s="47" t="n">
        <v>2455</v>
      </c>
      <c r="G42" s="45" t="n"/>
      <c r="H42" s="45" t="inlineStr">
        <is>
          <t>ADELE -301</t>
        </is>
      </c>
      <c r="I42" s="48" t="n"/>
    </row>
    <row r="43" ht="15.75" customHeight="1">
      <c r="A43" s="44" t="inlineStr">
        <is>
          <t>ADELE 2 F-102</t>
        </is>
      </c>
      <c r="B43" s="45" t="inlineStr">
        <is>
          <t>London</t>
        </is>
      </c>
      <c r="C43" s="45" t="n">
        <v>102</v>
      </c>
      <c r="D43" s="46" t="n"/>
      <c r="E43" s="47" t="n"/>
      <c r="F43" s="47" t="n">
        <v>1905</v>
      </c>
      <c r="G43" s="45" t="n"/>
      <c r="H43" s="45" t="inlineStr">
        <is>
          <t>ADELE -102</t>
        </is>
      </c>
      <c r="I43" s="48" t="n"/>
    </row>
    <row r="44" ht="15.75" customHeight="1">
      <c r="A44" s="44" t="inlineStr">
        <is>
          <t>ADELE 2 F-202</t>
        </is>
      </c>
      <c r="B44" s="45" t="inlineStr">
        <is>
          <t>Paris</t>
        </is>
      </c>
      <c r="C44" s="45" t="n">
        <v>202</v>
      </c>
      <c r="D44" s="46" t="n"/>
      <c r="E44" s="47" t="n"/>
      <c r="F44" s="47" t="n">
        <v>1639</v>
      </c>
      <c r="G44" s="45" t="n"/>
      <c r="H44" s="45" t="inlineStr">
        <is>
          <t>ADELE -202</t>
        </is>
      </c>
      <c r="I44" s="48" t="n"/>
    </row>
    <row r="45" ht="15.75" customHeight="1">
      <c r="A45" s="44" t="inlineStr">
        <is>
          <t>ADELE 2 F-203</t>
        </is>
      </c>
      <c r="B45" s="45" t="inlineStr">
        <is>
          <t>New York</t>
        </is>
      </c>
      <c r="C45" s="45" t="n">
        <v>203</v>
      </c>
      <c r="D45" s="46" t="n"/>
      <c r="E45" s="45" t="n"/>
      <c r="F45" s="48" t="n">
        <v>1589</v>
      </c>
      <c r="G45" s="45" t="n"/>
      <c r="H45" s="45" t="inlineStr">
        <is>
          <t>ADELE -203</t>
        </is>
      </c>
      <c r="I45" s="48" t="n"/>
    </row>
    <row r="46" ht="15.75" customHeight="1">
      <c r="A46" s="44" t="inlineStr">
        <is>
          <t>ADELE 2 F-302</t>
        </is>
      </c>
      <c r="B46" s="45" t="inlineStr">
        <is>
          <t>Paris</t>
        </is>
      </c>
      <c r="C46" s="45" t="n">
        <v>302</v>
      </c>
      <c r="D46" s="46" t="n"/>
      <c r="E46" s="45" t="n"/>
      <c r="F46" s="48" t="n">
        <v>1639</v>
      </c>
      <c r="G46" s="45" t="n"/>
      <c r="H46" s="45" t="inlineStr">
        <is>
          <t>ADELE -302</t>
        </is>
      </c>
      <c r="I46" s="48" t="n"/>
    </row>
    <row r="47" ht="15.75" customHeight="1">
      <c r="A47" s="44" t="inlineStr">
        <is>
          <t>ADELE 2 F-303</t>
        </is>
      </c>
      <c r="B47" s="45" t="inlineStr">
        <is>
          <t>New York</t>
        </is>
      </c>
      <c r="C47" s="45" t="n">
        <v>303</v>
      </c>
      <c r="D47" s="46" t="n"/>
      <c r="E47" s="45" t="n"/>
      <c r="F47" s="48" t="n">
        <v>1589</v>
      </c>
      <c r="G47" s="45" t="n"/>
      <c r="H47" s="45" t="inlineStr">
        <is>
          <t>ADELE -303</t>
        </is>
      </c>
      <c r="I47" s="48" t="n"/>
    </row>
    <row r="48" ht="15.75" customHeight="1">
      <c r="A48" s="44" t="inlineStr">
        <is>
          <t>ADELE 3 G-101</t>
        </is>
      </c>
      <c r="B48" s="45" t="inlineStr">
        <is>
          <t>London</t>
        </is>
      </c>
      <c r="C48" s="45" t="n">
        <v>101</v>
      </c>
      <c r="D48" s="46" t="n"/>
      <c r="E48" s="45" t="n"/>
      <c r="F48" s="48" t="n">
        <v>1905</v>
      </c>
      <c r="G48" s="45" t="n"/>
      <c r="H48" s="45" t="inlineStr">
        <is>
          <t>ADELE -101</t>
        </is>
      </c>
      <c r="I48" s="48" t="n"/>
    </row>
    <row r="49" ht="15.75" customHeight="1">
      <c r="A49" s="44" t="inlineStr">
        <is>
          <t>ADELE 3 G-201</t>
        </is>
      </c>
      <c r="B49" s="45" t="inlineStr">
        <is>
          <t>Paris</t>
        </is>
      </c>
      <c r="C49" s="45" t="n">
        <v>201</v>
      </c>
      <c r="D49" s="46" t="n"/>
      <c r="E49" s="45" t="n"/>
      <c r="F49" s="48" t="n">
        <v>1639</v>
      </c>
      <c r="G49" s="45" t="n"/>
      <c r="H49" s="45" t="inlineStr">
        <is>
          <t>ADELE -201</t>
        </is>
      </c>
      <c r="I49" s="48" t="n"/>
    </row>
    <row r="50" ht="15.75" customHeight="1">
      <c r="A50" s="44" t="inlineStr">
        <is>
          <t>ADELE 3 G-202</t>
        </is>
      </c>
      <c r="B50" s="45" t="inlineStr">
        <is>
          <t>New York</t>
        </is>
      </c>
      <c r="C50" s="45" t="n">
        <v>202</v>
      </c>
      <c r="D50" s="46" t="n"/>
      <c r="E50" s="45" t="n"/>
      <c r="F50" s="48" t="n">
        <v>1589</v>
      </c>
      <c r="G50" s="45" t="n"/>
      <c r="H50" s="45" t="inlineStr">
        <is>
          <t>ADELE -202</t>
        </is>
      </c>
      <c r="I50" s="48" t="n"/>
    </row>
    <row r="51" ht="15.75" customHeight="1">
      <c r="A51" s="44" t="inlineStr">
        <is>
          <t>ADELE 3 G-301</t>
        </is>
      </c>
      <c r="B51" s="45" t="inlineStr">
        <is>
          <t>Paris</t>
        </is>
      </c>
      <c r="C51" s="45" t="n">
        <v>301</v>
      </c>
      <c r="D51" s="46" t="n"/>
      <c r="E51" s="45" t="n"/>
      <c r="F51" s="48" t="n">
        <v>1639</v>
      </c>
      <c r="G51" s="45" t="n"/>
      <c r="H51" s="45" t="inlineStr">
        <is>
          <t>ADELE -301</t>
        </is>
      </c>
      <c r="I51" s="48" t="n"/>
    </row>
    <row r="52" ht="15.75" customHeight="1">
      <c r="A52" s="44" t="inlineStr">
        <is>
          <t>ADELE 3 G-302</t>
        </is>
      </c>
      <c r="B52" s="45" t="inlineStr">
        <is>
          <t>New York</t>
        </is>
      </c>
      <c r="C52" s="45" t="n">
        <v>302</v>
      </c>
      <c r="D52" s="46" t="n"/>
      <c r="E52" s="45" t="n"/>
      <c r="F52" s="48" t="n">
        <v>1589</v>
      </c>
      <c r="G52" s="45" t="n"/>
      <c r="H52" s="45" t="inlineStr">
        <is>
          <t>ADELE -302</t>
        </is>
      </c>
      <c r="I52" s="48" t="n"/>
    </row>
    <row r="53" ht="15.75" customHeight="1">
      <c r="A53" s="44" t="inlineStr">
        <is>
          <t>ADELE 3 G-102</t>
        </is>
      </c>
      <c r="B53" s="45" t="inlineStr">
        <is>
          <t>London</t>
        </is>
      </c>
      <c r="C53" s="45" t="n">
        <v>102</v>
      </c>
      <c r="D53" s="46" t="n"/>
      <c r="E53" s="45" t="n"/>
      <c r="F53" s="48" t="n">
        <v>1905</v>
      </c>
      <c r="G53" s="45" t="n"/>
      <c r="H53" s="45" t="inlineStr">
        <is>
          <t>ADELE -102</t>
        </is>
      </c>
      <c r="I53" s="48" t="n"/>
    </row>
    <row r="54" ht="15.75" customHeight="1">
      <c r="A54" s="44" t="inlineStr">
        <is>
          <t>ADELE 3 G-202</t>
        </is>
      </c>
      <c r="B54" s="45" t="inlineStr">
        <is>
          <t>Berlin</t>
        </is>
      </c>
      <c r="C54" s="45" t="n">
        <v>202</v>
      </c>
      <c r="D54" s="46" t="n"/>
      <c r="E54" s="45" t="n"/>
      <c r="F54" s="48" t="n">
        <v>2455</v>
      </c>
      <c r="G54" s="45" t="n"/>
      <c r="H54" s="45" t="inlineStr">
        <is>
          <t>ADELE -202</t>
        </is>
      </c>
      <c r="I54" s="48" t="n"/>
    </row>
    <row r="55" ht="15.75" customHeight="1">
      <c r="A55" s="44" t="inlineStr">
        <is>
          <t>ADELE 3 H-301</t>
        </is>
      </c>
      <c r="B55" s="45" t="inlineStr">
        <is>
          <t>Berlin</t>
        </is>
      </c>
      <c r="C55" s="45" t="n">
        <v>301</v>
      </c>
      <c r="D55" s="46" t="n"/>
      <c r="E55" s="45" t="n"/>
      <c r="F55" s="48" t="n">
        <v>2455</v>
      </c>
      <c r="G55" s="45" t="n"/>
      <c r="H55" s="45" t="inlineStr">
        <is>
          <t>ADELE -301</t>
        </is>
      </c>
      <c r="I55" s="48" t="n"/>
    </row>
    <row r="56" ht="15.75" customHeight="1">
      <c r="A56" s="44" t="inlineStr">
        <is>
          <t>ADELE 3 H-101</t>
        </is>
      </c>
      <c r="B56" s="45" t="inlineStr">
        <is>
          <t>London</t>
        </is>
      </c>
      <c r="C56" s="45" t="n">
        <v>101</v>
      </c>
      <c r="D56" s="46" t="n"/>
      <c r="E56" s="45" t="n"/>
      <c r="F56" s="48" t="n">
        <v>1905</v>
      </c>
      <c r="G56" s="45" t="n"/>
      <c r="H56" s="45" t="inlineStr">
        <is>
          <t>ADELE -101</t>
        </is>
      </c>
      <c r="I56" s="48" t="n"/>
    </row>
    <row r="57" ht="15.75" customHeight="1">
      <c r="A57" s="44" t="inlineStr">
        <is>
          <t>ADELE 3 H-201</t>
        </is>
      </c>
      <c r="B57" s="45" t="inlineStr">
        <is>
          <t>Berlin</t>
        </is>
      </c>
      <c r="C57" s="45" t="n">
        <v>201</v>
      </c>
      <c r="D57" s="46" t="n"/>
      <c r="E57" s="45" t="n"/>
      <c r="F57" s="48" t="n">
        <v>2455</v>
      </c>
      <c r="G57" s="45" t="n"/>
      <c r="H57" s="45" t="inlineStr">
        <is>
          <t>ADELE -201</t>
        </is>
      </c>
      <c r="I57" s="48" t="n"/>
    </row>
    <row r="58" ht="15.75" customHeight="1">
      <c r="A58" s="44" t="inlineStr">
        <is>
          <t>ADELE 3 H-302</t>
        </is>
      </c>
      <c r="B58" s="45" t="inlineStr">
        <is>
          <t>Berlin</t>
        </is>
      </c>
      <c r="C58" s="45" t="n">
        <v>302</v>
      </c>
      <c r="D58" s="46" t="n"/>
      <c r="E58" s="45" t="n"/>
      <c r="F58" s="48" t="n">
        <v>2455</v>
      </c>
      <c r="G58" s="45" t="n"/>
      <c r="H58" s="45" t="inlineStr">
        <is>
          <t>ADELE -302</t>
        </is>
      </c>
      <c r="I58" s="48" t="n"/>
    </row>
    <row r="59" ht="15.75" customHeight="1">
      <c r="A59" s="44" t="inlineStr">
        <is>
          <t>ADELE 3 H-102</t>
        </is>
      </c>
      <c r="B59" s="45" t="inlineStr">
        <is>
          <t>London</t>
        </is>
      </c>
      <c r="C59" s="45" t="n">
        <v>102</v>
      </c>
      <c r="D59" s="46" t="n"/>
      <c r="E59" s="45" t="n"/>
      <c r="F59" s="48" t="n">
        <v>1905</v>
      </c>
      <c r="G59" s="45" t="n"/>
      <c r="H59" s="45" t="inlineStr">
        <is>
          <t>ADELE -102</t>
        </is>
      </c>
      <c r="I59" s="48" t="n"/>
    </row>
    <row r="60" ht="15.75" customHeight="1">
      <c r="A60" s="44" t="inlineStr">
        <is>
          <t>ADELE 3 H-202</t>
        </is>
      </c>
      <c r="B60" s="45" t="inlineStr">
        <is>
          <t>Paris</t>
        </is>
      </c>
      <c r="C60" s="45" t="n">
        <v>202</v>
      </c>
      <c r="D60" s="46" t="n"/>
      <c r="E60" s="45" t="n"/>
      <c r="F60" s="48" t="n">
        <v>1639</v>
      </c>
      <c r="G60" s="45" t="n"/>
      <c r="H60" s="45" t="inlineStr">
        <is>
          <t>ADELE -202</t>
        </is>
      </c>
      <c r="I60" s="48" t="n"/>
    </row>
    <row r="61" ht="15.75" customHeight="1">
      <c r="A61" s="44" t="inlineStr">
        <is>
          <t>ADELE 3 H-203</t>
        </is>
      </c>
      <c r="B61" s="45" t="inlineStr">
        <is>
          <t>New York</t>
        </is>
      </c>
      <c r="C61" s="45" t="n">
        <v>203</v>
      </c>
      <c r="D61" s="46" t="n"/>
      <c r="E61" s="45" t="n"/>
      <c r="F61" s="48" t="n">
        <v>1589</v>
      </c>
      <c r="G61" s="45" t="n"/>
      <c r="H61" s="45" t="inlineStr">
        <is>
          <t>ADELE -203</t>
        </is>
      </c>
      <c r="I61" s="48" t="n"/>
    </row>
    <row r="62" ht="15.75" customHeight="1">
      <c r="A62" s="44" t="inlineStr">
        <is>
          <t>ADELE 3 H-302</t>
        </is>
      </c>
      <c r="B62" s="45" t="inlineStr">
        <is>
          <t>Paris</t>
        </is>
      </c>
      <c r="C62" s="45" t="n">
        <v>302</v>
      </c>
      <c r="D62" s="46" t="n"/>
      <c r="E62" s="45" t="n"/>
      <c r="F62" s="48" t="n">
        <v>1639</v>
      </c>
      <c r="G62" s="45" t="n"/>
      <c r="H62" s="45" t="inlineStr">
        <is>
          <t>ADELE -302</t>
        </is>
      </c>
      <c r="I62" s="48" t="n"/>
    </row>
    <row r="63" ht="15.75" customHeight="1">
      <c r="A63" s="44" t="inlineStr">
        <is>
          <t>ADELE 3 H-303</t>
        </is>
      </c>
      <c r="B63" s="45" t="inlineStr">
        <is>
          <t>New York</t>
        </is>
      </c>
      <c r="C63" s="45" t="n">
        <v>303</v>
      </c>
      <c r="D63" s="46" t="n"/>
      <c r="E63" s="45" t="n"/>
      <c r="F63" s="48" t="n">
        <v>1589</v>
      </c>
      <c r="G63" s="45" t="n"/>
      <c r="H63" s="45" t="inlineStr">
        <is>
          <t>ADELE -303</t>
        </is>
      </c>
      <c r="I63" s="48" t="n"/>
    </row>
    <row r="64" ht="15.75" customHeight="1">
      <c r="A64" s="44" t="inlineStr">
        <is>
          <t>ADELE 3 H-101</t>
        </is>
      </c>
      <c r="B64" s="45" t="inlineStr">
        <is>
          <t>London</t>
        </is>
      </c>
      <c r="C64" s="45" t="n">
        <v>101</v>
      </c>
      <c r="D64" s="46" t="n"/>
      <c r="E64" s="45" t="n"/>
      <c r="F64" s="48" t="n">
        <v>1905</v>
      </c>
      <c r="G64" s="45" t="n"/>
      <c r="H64" s="45" t="inlineStr">
        <is>
          <t>ADELE -101</t>
        </is>
      </c>
      <c r="I64" s="48" t="n"/>
    </row>
    <row r="65" ht="15.75" customHeight="1">
      <c r="A65" s="44" t="inlineStr">
        <is>
          <t>ADELE 3 H-201</t>
        </is>
      </c>
      <c r="B65" s="45" t="inlineStr">
        <is>
          <t>Paris</t>
        </is>
      </c>
      <c r="C65" s="45" t="n">
        <v>201</v>
      </c>
      <c r="D65" s="46" t="n"/>
      <c r="E65" s="45" t="n"/>
      <c r="F65" s="48" t="n">
        <v>1639</v>
      </c>
      <c r="G65" s="45" t="n"/>
      <c r="H65" s="45" t="inlineStr">
        <is>
          <t>ADELE -201</t>
        </is>
      </c>
      <c r="I65" s="48" t="n"/>
    </row>
    <row r="66" ht="15.75" customHeight="1">
      <c r="A66" s="44" t="inlineStr">
        <is>
          <t>ADELE 3 H-301</t>
        </is>
      </c>
      <c r="B66" s="45" t="inlineStr">
        <is>
          <t>Paris</t>
        </is>
      </c>
      <c r="C66" s="45" t="n">
        <v>301</v>
      </c>
      <c r="D66" s="46" t="n"/>
      <c r="E66" s="45" t="n"/>
      <c r="F66" s="48" t="n">
        <v>1639</v>
      </c>
      <c r="G66" s="45" t="n"/>
      <c r="H66" s="45" t="inlineStr">
        <is>
          <t>ADELE -301</t>
        </is>
      </c>
      <c r="I66" s="48" t="n"/>
    </row>
    <row r="67" ht="15.75" customHeight="1">
      <c r="A67" s="44" t="inlineStr">
        <is>
          <t>ADELE 3 H-202</t>
        </is>
      </c>
      <c r="B67" s="45" t="inlineStr">
        <is>
          <t>New York</t>
        </is>
      </c>
      <c r="C67" s="45" t="n">
        <v>202</v>
      </c>
      <c r="D67" s="46" t="n"/>
      <c r="E67" s="45" t="n"/>
      <c r="F67" s="48" t="n">
        <v>1589</v>
      </c>
      <c r="G67" s="45" t="n"/>
      <c r="H67" s="45" t="inlineStr">
        <is>
          <t>ADELE -202</t>
        </is>
      </c>
      <c r="I67" s="48" t="n"/>
    </row>
    <row r="68" ht="15.75" customHeight="1">
      <c r="A68" s="44" t="inlineStr">
        <is>
          <t>ADELE 3 H-302</t>
        </is>
      </c>
      <c r="B68" s="45" t="inlineStr">
        <is>
          <t>New York</t>
        </is>
      </c>
      <c r="C68" s="45" t="n">
        <v>302</v>
      </c>
      <c r="D68" s="46" t="n"/>
      <c r="E68" s="45" t="n"/>
      <c r="F68" s="48" t="n">
        <v>1589</v>
      </c>
      <c r="G68" s="45" t="n"/>
      <c r="H68" s="45" t="inlineStr">
        <is>
          <t>ADELE -302</t>
        </is>
      </c>
      <c r="I68" s="48" t="n"/>
    </row>
    <row r="69" ht="15.75" customHeight="1">
      <c r="A69" s="44" t="n"/>
      <c r="B69" s="45" t="n"/>
      <c r="C69" s="45" t="n"/>
      <c r="D69" s="46" t="n"/>
      <c r="E69" s="45" t="n"/>
      <c r="G69" s="45" t="n"/>
      <c r="H69" s="45" t="n"/>
      <c r="I69" s="48" t="n"/>
    </row>
    <row r="70" ht="15.75" customHeight="1">
      <c r="A70" s="44" t="n"/>
      <c r="B70" s="45" t="n"/>
      <c r="C70" s="45" t="n"/>
      <c r="D70" s="46" t="n"/>
      <c r="E70" s="45" t="n"/>
      <c r="G70" s="45" t="n"/>
      <c r="H70" s="45" t="n"/>
      <c r="I70" s="48" t="n"/>
    </row>
    <row r="71" ht="15.75" customHeight="1">
      <c r="A71" s="44" t="n"/>
      <c r="B71" s="45" t="n"/>
      <c r="C71" s="45" t="n"/>
      <c r="D71" s="46" t="n"/>
      <c r="E71" s="45" t="n"/>
      <c r="G71" s="45" t="n"/>
      <c r="H71" s="45" t="n"/>
      <c r="I71" s="48" t="n"/>
    </row>
    <row r="72" ht="15.75" customHeight="1">
      <c r="A72" s="44" t="n"/>
      <c r="B72" s="45" t="n"/>
      <c r="C72" s="45" t="n"/>
      <c r="D72" s="46" t="n"/>
      <c r="E72" s="45" t="n"/>
      <c r="G72" s="45" t="n"/>
      <c r="H72" s="45" t="n"/>
      <c r="I72" s="48" t="n"/>
    </row>
    <row r="73" ht="15.75" customHeight="1">
      <c r="A73" s="44" t="n"/>
      <c r="B73" s="45" t="n"/>
      <c r="C73" s="45" t="n"/>
      <c r="D73" s="46" t="n"/>
      <c r="E73" s="45" t="n"/>
      <c r="G73" s="45" t="n"/>
      <c r="H73" s="45" t="n"/>
      <c r="I73" s="48" t="n"/>
    </row>
    <row r="74" ht="15.75" customHeight="1">
      <c r="A74" s="44" t="n"/>
      <c r="B74" s="45" t="n"/>
      <c r="C74" s="45" t="n"/>
      <c r="D74" s="46" t="n"/>
      <c r="E74" s="45" t="n"/>
      <c r="G74" s="45" t="n"/>
      <c r="H74" s="45" t="n"/>
      <c r="I74" s="48" t="n"/>
    </row>
    <row r="75" ht="15.75" customHeight="1">
      <c r="A75" s="44" t="n"/>
      <c r="B75" s="45" t="n"/>
      <c r="C75" s="45" t="n"/>
      <c r="D75" s="46" t="n"/>
      <c r="E75" s="45" t="n"/>
      <c r="G75" s="45" t="n"/>
      <c r="H75" s="45" t="n"/>
      <c r="I75" s="48" t="n"/>
    </row>
    <row r="76" ht="15.75" customHeight="1">
      <c r="A76" s="44" t="n"/>
      <c r="B76" s="45" t="n"/>
      <c r="C76" s="45" t="n"/>
      <c r="D76" s="46" t="n"/>
      <c r="E76" s="45" t="n"/>
      <c r="G76" s="45" t="n"/>
      <c r="H76" s="45" t="n"/>
      <c r="I76" s="48" t="n"/>
    </row>
    <row r="77" ht="15.75" customHeight="1">
      <c r="A77" s="44" t="n"/>
      <c r="B77" s="45" t="n"/>
      <c r="C77" s="45" t="n"/>
      <c r="D77" s="46" t="n"/>
      <c r="E77" s="45" t="n"/>
      <c r="G77" s="45" t="n"/>
      <c r="H77" s="45" t="n"/>
      <c r="I77" s="48" t="n"/>
    </row>
    <row r="78" ht="15.75" customHeight="1">
      <c r="A78" s="44" t="n"/>
      <c r="B78" s="45" t="n"/>
      <c r="C78" s="45" t="n"/>
      <c r="D78" s="46" t="n"/>
      <c r="E78" s="45" t="n"/>
      <c r="G78" s="45" t="n"/>
      <c r="H78" s="45" t="n"/>
      <c r="I78" s="48" t="n"/>
    </row>
    <row r="79" ht="15.75" customHeight="1">
      <c r="A79" s="44" t="n"/>
      <c r="B79" s="45" t="n"/>
      <c r="C79" s="45" t="n"/>
      <c r="D79" s="46" t="n"/>
      <c r="E79" s="45" t="n"/>
      <c r="G79" s="45" t="n"/>
      <c r="H79" s="45" t="n"/>
      <c r="I79" s="48" t="n"/>
    </row>
    <row r="80" ht="15.75" customHeight="1">
      <c r="A80" s="44" t="n"/>
      <c r="B80" s="45" t="n"/>
      <c r="C80" s="45" t="n"/>
      <c r="D80" s="46" t="n"/>
      <c r="E80" s="45" t="n"/>
      <c r="G80" s="45" t="n"/>
      <c r="H80" s="45" t="n"/>
      <c r="I80" s="48" t="n"/>
    </row>
    <row r="81" ht="15.75" customHeight="1">
      <c r="A81" s="44" t="n"/>
      <c r="B81" s="45" t="n"/>
      <c r="C81" s="45" t="n"/>
      <c r="D81" s="46" t="n"/>
      <c r="E81" s="45" t="n"/>
      <c r="G81" s="45" t="n"/>
      <c r="H81" s="45" t="n"/>
      <c r="I81" s="48" t="n"/>
    </row>
    <row r="82" ht="15.75" customHeight="1">
      <c r="A82" s="44" t="n"/>
      <c r="B82" s="45" t="n"/>
      <c r="C82" s="45" t="n"/>
      <c r="D82" s="46" t="n"/>
      <c r="E82" s="45" t="n"/>
      <c r="G82" s="45" t="n"/>
      <c r="H82" s="45" t="n"/>
      <c r="I82" s="48" t="n"/>
    </row>
    <row r="83" ht="15.75" customHeight="1">
      <c r="A83" s="44" t="n"/>
      <c r="B83" s="45" t="n"/>
      <c r="C83" s="45" t="n"/>
      <c r="D83" s="46" t="n"/>
      <c r="E83" s="45" t="n"/>
      <c r="G83" s="45" t="n"/>
      <c r="H83" s="45" t="n"/>
      <c r="I83" s="48" t="n"/>
    </row>
    <row r="84" ht="15.75" customHeight="1">
      <c r="A84" s="44" t="n"/>
      <c r="B84" s="45" t="n"/>
      <c r="C84" s="45" t="n"/>
      <c r="D84" s="46" t="n"/>
      <c r="E84" s="45" t="n"/>
      <c r="G84" s="45" t="n"/>
      <c r="H84" s="45" t="n"/>
      <c r="I84" s="48" t="n"/>
    </row>
    <row r="85" ht="15.75" customHeight="1">
      <c r="A85" s="44" t="n"/>
      <c r="B85" s="45" t="n"/>
      <c r="C85" s="45" t="n"/>
      <c r="D85" s="46" t="n"/>
      <c r="E85" s="45" t="n"/>
      <c r="G85" s="45" t="n"/>
      <c r="H85" s="45" t="n"/>
      <c r="I85" s="48" t="n"/>
    </row>
    <row r="86" ht="15.75" customHeight="1">
      <c r="A86" s="44" t="n"/>
      <c r="B86" s="45" t="n"/>
      <c r="C86" s="45" t="n"/>
      <c r="D86" s="46" t="n"/>
      <c r="E86" s="45" t="n"/>
      <c r="G86" s="45" t="n"/>
      <c r="H86" s="45" t="n"/>
      <c r="I86" s="48" t="n"/>
    </row>
    <row r="87" ht="15.75" customHeight="1">
      <c r="A87" s="44" t="n"/>
      <c r="B87" s="45" t="n"/>
      <c r="C87" s="45" t="n"/>
      <c r="D87" s="46" t="n"/>
      <c r="E87" s="45" t="n"/>
      <c r="G87" s="45" t="n"/>
      <c r="H87" s="45" t="n"/>
      <c r="I87" s="48" t="n"/>
    </row>
    <row r="88" ht="15.75" customHeight="1">
      <c r="A88" s="44" t="n"/>
      <c r="B88" s="45" t="n"/>
      <c r="C88" s="45" t="n"/>
      <c r="D88" s="46" t="n"/>
      <c r="E88" s="45" t="n"/>
      <c r="G88" s="45" t="n"/>
      <c r="H88" s="45" t="n"/>
      <c r="I88" s="48" t="n"/>
    </row>
    <row r="89" ht="15.75" customHeight="1">
      <c r="A89" s="44" t="n"/>
      <c r="B89" s="45" t="n"/>
      <c r="C89" s="45" t="n"/>
      <c r="D89" s="46" t="n"/>
      <c r="E89" s="45" t="n"/>
      <c r="G89" s="45" t="n"/>
      <c r="H89" s="45" t="n"/>
      <c r="I89" s="48" t="n"/>
    </row>
    <row r="90" ht="15.75" customHeight="1">
      <c r="A90" s="44" t="n"/>
      <c r="B90" s="45" t="n"/>
      <c r="C90" s="45" t="n"/>
      <c r="D90" s="46" t="n"/>
      <c r="E90" s="45" t="n"/>
      <c r="G90" s="45" t="n"/>
      <c r="H90" s="45" t="n"/>
      <c r="I90" s="48" t="n"/>
    </row>
    <row r="91" ht="15.75" customHeight="1">
      <c r="A91" s="44" t="n"/>
      <c r="B91" s="45" t="n"/>
      <c r="C91" s="45" t="n"/>
      <c r="D91" s="46" t="n"/>
      <c r="E91" s="45" t="n"/>
      <c r="G91" s="45" t="n"/>
      <c r="H91" s="45" t="n"/>
      <c r="I91" s="48" t="n"/>
    </row>
    <row r="92" ht="15.75" customHeight="1">
      <c r="A92" s="44" t="n"/>
      <c r="B92" s="45" t="n"/>
      <c r="C92" s="45" t="n"/>
      <c r="D92" s="46" t="n"/>
      <c r="E92" s="45" t="n"/>
      <c r="G92" s="45" t="n"/>
      <c r="H92" s="45" t="n"/>
      <c r="I92" s="48" t="n"/>
    </row>
    <row r="93" ht="15.75" customHeight="1">
      <c r="A93" s="44" t="n"/>
      <c r="B93" s="45" t="n"/>
      <c r="C93" s="45" t="n"/>
      <c r="D93" s="46" t="n"/>
      <c r="E93" s="45" t="n"/>
      <c r="G93" s="45" t="n"/>
      <c r="H93" s="45" t="n"/>
      <c r="I93" s="48" t="n"/>
    </row>
    <row r="94" ht="15.75" customHeight="1">
      <c r="A94" s="44" t="n"/>
      <c r="B94" s="45" t="n"/>
      <c r="C94" s="45" t="n"/>
      <c r="D94" s="46" t="n"/>
      <c r="E94" s="45" t="n"/>
      <c r="G94" s="45" t="n"/>
      <c r="H94" s="45" t="n"/>
      <c r="I94" s="48" t="n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zoomScaleNormal="100" zoomScalePageLayoutView="60" workbookViewId="0">
      <selection activeCell="A1" sqref="A1"/>
    </sheetView>
  </sheetViews>
  <sheetFormatPr baseColWidth="10" defaultColWidth="14.5" defaultRowHeight="15" customHeight="1"/>
  <cols>
    <col width="8" customWidth="1" min="1" max="1"/>
    <col width="35" customWidth="1" min="2" max="2"/>
    <col width="18" customWidth="1" min="3" max="3"/>
    <col width="12" customWidth="1" min="4" max="4"/>
    <col width="30" customWidth="1" min="5" max="5"/>
    <col width="8.83203125" customWidth="1" min="6" max="26"/>
  </cols>
  <sheetData>
    <row r="1" ht="18.75" customHeight="1">
      <c r="A1" s="5" t="inlineStr">
        <is>
          <t>PREFERRED EQUITY TABLE</t>
        </is>
      </c>
    </row>
    <row r="2" ht="15" customHeight="1">
      <c r="A2" s="36" t="inlineStr">
        <is>
          <t>Subordinated Loan #1 - Preferred Equity investors</t>
        </is>
      </c>
    </row>
    <row r="4" ht="15" customHeight="1">
      <c r="A4" s="23" t="inlineStr">
        <is>
          <t>PREFERRED EQUITY INVESTORS</t>
        </is>
      </c>
      <c r="B4" s="50" t="n"/>
      <c r="C4" s="50" t="n"/>
      <c r="D4" s="50" t="n"/>
      <c r="E4" s="50" t="n"/>
    </row>
    <row r="5" ht="15" customHeight="1">
      <c r="A5" s="51" t="inlineStr">
        <is>
          <t>ID</t>
        </is>
      </c>
      <c r="B5" s="51" t="inlineStr">
        <is>
          <t>Investor Name</t>
        </is>
      </c>
      <c r="C5" s="51" t="inlineStr">
        <is>
          <t>Contribution Amount</t>
        </is>
      </c>
      <c r="D5" s="51" t="inlineStr">
        <is>
          <t>Interest Rate</t>
        </is>
      </c>
      <c r="E5" s="51" t="inlineStr">
        <is>
          <t>Notes</t>
        </is>
      </c>
    </row>
    <row r="6" ht="15" customHeight="1">
      <c r="A6" s="78" t="inlineStr">
        <is>
          <t>PE1</t>
        </is>
      </c>
      <c r="B6" s="79" t="n"/>
      <c r="C6" s="72" t="n">
        <v>0</v>
      </c>
      <c r="D6" s="80" t="n">
        <v>0</v>
      </c>
      <c r="E6" s="79" t="n"/>
    </row>
    <row r="7" ht="15" customHeight="1">
      <c r="A7" s="78" t="inlineStr">
        <is>
          <t>PE2</t>
        </is>
      </c>
      <c r="B7" s="79" t="n"/>
      <c r="C7" s="72" t="n">
        <v>0</v>
      </c>
      <c r="D7" s="80" t="n">
        <v>0</v>
      </c>
      <c r="E7" s="79" t="n"/>
    </row>
    <row r="8" ht="15" customHeight="1">
      <c r="A8" s="78" t="inlineStr">
        <is>
          <t>PE3</t>
        </is>
      </c>
      <c r="B8" s="79" t="n"/>
      <c r="C8" s="72" t="n">
        <v>0</v>
      </c>
      <c r="D8" s="80" t="n">
        <v>0</v>
      </c>
      <c r="E8" s="79" t="n"/>
    </row>
    <row r="9" ht="15" customHeight="1">
      <c r="A9" s="78" t="inlineStr">
        <is>
          <t>PE4</t>
        </is>
      </c>
      <c r="B9" s="79" t="n"/>
      <c r="C9" s="72" t="n">
        <v>0</v>
      </c>
      <c r="D9" s="80" t="n">
        <v>0</v>
      </c>
      <c r="E9" s="79" t="n"/>
    </row>
    <row r="10" ht="15" customHeight="1">
      <c r="A10" s="78" t="inlineStr">
        <is>
          <t>PE5</t>
        </is>
      </c>
      <c r="B10" s="79" t="n"/>
      <c r="C10" s="72" t="n">
        <v>0</v>
      </c>
      <c r="D10" s="80" t="n">
        <v>0</v>
      </c>
      <c r="E10" s="79" t="n"/>
    </row>
    <row r="11" ht="15" customHeight="1">
      <c r="A11" s="78" t="inlineStr">
        <is>
          <t>PE6</t>
        </is>
      </c>
      <c r="B11" s="79">
        <f>B32-B13-B10*2</f>
        <v/>
      </c>
      <c r="C11" s="72" t="n">
        <v>0</v>
      </c>
      <c r="D11" s="80" t="n">
        <v>0</v>
      </c>
      <c r="E11" s="79" t="n"/>
    </row>
    <row r="12" ht="15" customHeight="1">
      <c r="A12" s="78" t="inlineStr">
        <is>
          <t>PE7</t>
        </is>
      </c>
      <c r="B12" s="79" t="n"/>
      <c r="C12" s="72" t="n">
        <v>0</v>
      </c>
      <c r="D12" s="80" t="n">
        <v>0</v>
      </c>
      <c r="E12" s="79" t="n"/>
    </row>
    <row r="13" ht="15" customHeight="1">
      <c r="A13" s="78" t="inlineStr">
        <is>
          <t>PE8</t>
        </is>
      </c>
      <c r="B13" s="79" t="n"/>
      <c r="C13" s="72" t="n">
        <v>0</v>
      </c>
      <c r="D13" s="80" t="n">
        <v>0</v>
      </c>
      <c r="E13" s="79" t="n"/>
    </row>
    <row r="14" ht="15" customHeight="1">
      <c r="A14" s="78" t="inlineStr">
        <is>
          <t>PE9</t>
        </is>
      </c>
      <c r="B14" s="79" t="n"/>
      <c r="C14" s="72" t="n">
        <v>0</v>
      </c>
      <c r="D14" s="80" t="n">
        <v>0</v>
      </c>
      <c r="E14" s="79" t="n"/>
    </row>
    <row r="15" ht="15" customHeight="1">
      <c r="A15" s="78" t="inlineStr">
        <is>
          <t>PE10</t>
        </is>
      </c>
      <c r="B15" s="79" t="n"/>
      <c r="C15" s="72" t="n">
        <v>0</v>
      </c>
      <c r="D15" s="80" t="n">
        <v>0</v>
      </c>
      <c r="E15" s="79" t="n"/>
    </row>
    <row r="17" ht="15" customHeight="1">
      <c r="A17" s="81" t="inlineStr">
        <is>
          <t>TOTAL</t>
        </is>
      </c>
      <c r="B17" s="74" t="inlineStr">
        <is>
          <t>Preferred Equity</t>
        </is>
      </c>
      <c r="C17" s="82">
        <f>SUM(C6:C15)</f>
        <v/>
      </c>
      <c r="D17" s="83" t="inlineStr">
        <is>
          <t>Weighted Avg:</t>
        </is>
      </c>
      <c r="E17" s="84">
        <f>SUMPRODUCT(C6:C15,D6:D15)/C17</f>
        <v/>
      </c>
    </row>
    <row r="20" ht="15" customHeight="1">
      <c r="A20" s="13" t="inlineStr">
        <is>
          <t>INSTRUCTIONS:</t>
        </is>
      </c>
    </row>
    <row r="21" ht="15" customHeight="1">
      <c r="A21" s="25" t="inlineStr">
        <is>
          <t>• Enter investor names in column B (yellow cells)</t>
        </is>
      </c>
    </row>
    <row r="22" ht="15" customHeight="1">
      <c r="A22" s="25" t="inlineStr">
        <is>
          <t>• Enter contribution amounts in column C (yellow cells)</t>
        </is>
      </c>
    </row>
    <row r="23" ht="15" customHeight="1">
      <c r="A23" s="25" t="inlineStr">
        <is>
          <t>• Enter interest rates in column D (yellow cells)</t>
        </is>
      </c>
    </row>
    <row r="24" ht="15" customHeight="1">
      <c r="A24" s="25" t="inlineStr">
        <is>
          <t>• Add any notes in column E</t>
        </is>
      </c>
    </row>
    <row r="25" ht="15" customHeight="1">
      <c r="A25" s="25" t="inlineStr">
        <is>
          <t>• Total will update automatically</t>
        </is>
      </c>
    </row>
    <row r="26" ht="15" customHeight="1">
      <c r="A26" s="36" t="inlineStr">
        <is>
          <t>• This total is linked to Sources &amp; Uses - Construction</t>
        </is>
      </c>
    </row>
    <row r="27" ht="15.75" customHeight="1"/>
    <row r="28" ht="15.75" customHeight="1"/>
    <row r="29" ht="15.75" customHeight="1"/>
    <row r="30" ht="15" customHeight="1">
      <c r="B30">
        <f>-B13</f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" customHeight="1">
      <c r="B36">
        <f>B16</f>
        <v/>
      </c>
    </row>
    <row r="37" ht="15" customHeight="1">
      <c r="B37">
        <f>B32</f>
        <v/>
      </c>
    </row>
    <row r="38" ht="15" customHeight="1">
      <c r="B38">
        <f>B36-B37</f>
        <v/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zoomScaleNormal="100" zoomScalePageLayoutView="60" workbookViewId="0">
      <selection activeCell="A1" sqref="A1"/>
    </sheetView>
  </sheetViews>
  <sheetFormatPr baseColWidth="10" defaultColWidth="14.5" defaultRowHeight="15" customHeight="1"/>
  <cols>
    <col width="8" customWidth="1" min="1" max="1"/>
    <col width="35" customWidth="1" min="2" max="2"/>
    <col width="18" customWidth="1" min="3" max="3"/>
    <col width="12" customWidth="1" min="4" max="4"/>
    <col width="30" customWidth="1" min="5" max="5"/>
    <col width="8.83203125" customWidth="1" min="6" max="26"/>
  </cols>
  <sheetData>
    <row r="1" ht="18.75" customHeight="1">
      <c r="A1" s="5" t="inlineStr">
        <is>
          <t>MEZZANINE DEBT TABLE</t>
        </is>
      </c>
    </row>
    <row r="2" ht="15" customHeight="1">
      <c r="A2" s="36" t="inlineStr">
        <is>
          <t>Subordinated Loan #2 - Mezzanine lenders</t>
        </is>
      </c>
    </row>
    <row r="4" ht="15" customHeight="1">
      <c r="A4" s="23" t="inlineStr">
        <is>
          <t>MEZZANINE LENDERS</t>
        </is>
      </c>
      <c r="B4" s="50" t="n"/>
      <c r="C4" s="50" t="n"/>
      <c r="D4" s="50" t="n"/>
      <c r="E4" s="50" t="n"/>
    </row>
    <row r="5" ht="15" customHeight="1">
      <c r="A5" s="51" t="inlineStr">
        <is>
          <t>ID</t>
        </is>
      </c>
      <c r="B5" s="51" t="inlineStr">
        <is>
          <t>Lender Name</t>
        </is>
      </c>
      <c r="C5" s="51" t="inlineStr">
        <is>
          <t>Loan Amount</t>
        </is>
      </c>
      <c r="D5" s="51" t="inlineStr">
        <is>
          <t>Interest Rate</t>
        </is>
      </c>
      <c r="E5" s="51" t="inlineStr">
        <is>
          <t>Notes</t>
        </is>
      </c>
    </row>
    <row r="6" ht="15" customHeight="1">
      <c r="A6" s="85" t="inlineStr">
        <is>
          <t>MEZZ1</t>
        </is>
      </c>
      <c r="B6" s="79" t="n"/>
      <c r="C6" s="72" t="n">
        <v>0</v>
      </c>
      <c r="D6" s="80" t="n">
        <v>0</v>
      </c>
      <c r="E6" s="79" t="n"/>
    </row>
    <row r="7" ht="15" customHeight="1">
      <c r="A7" s="85" t="inlineStr">
        <is>
          <t>MEZZ2</t>
        </is>
      </c>
      <c r="B7" s="79" t="n"/>
      <c r="C7" s="72" t="n">
        <v>0</v>
      </c>
      <c r="D7" s="80" t="n">
        <v>0</v>
      </c>
      <c r="E7" s="79" t="n"/>
    </row>
    <row r="8" ht="15" customHeight="1">
      <c r="A8" s="85" t="inlineStr">
        <is>
          <t>MEZZ3</t>
        </is>
      </c>
      <c r="B8" s="79" t="n"/>
      <c r="C8" s="72" t="n">
        <v>0</v>
      </c>
      <c r="D8" s="80" t="n">
        <v>0</v>
      </c>
      <c r="E8" s="79" t="n"/>
    </row>
    <row r="9" ht="15" customHeight="1">
      <c r="A9" s="85" t="inlineStr">
        <is>
          <t>MEZZ4</t>
        </is>
      </c>
      <c r="B9" s="79" t="n"/>
      <c r="C9" s="72" t="n">
        <v>0</v>
      </c>
      <c r="D9" s="80" t="n">
        <v>0</v>
      </c>
      <c r="E9" s="79" t="n"/>
    </row>
    <row r="10" ht="15" customHeight="1">
      <c r="A10" s="85" t="inlineStr">
        <is>
          <t>MEZZ5</t>
        </is>
      </c>
      <c r="B10" s="79" t="n"/>
      <c r="C10" s="72" t="n">
        <v>0</v>
      </c>
      <c r="D10" s="80" t="n">
        <v>0</v>
      </c>
      <c r="E10" s="79" t="n"/>
    </row>
    <row r="11" ht="15" customHeight="1">
      <c r="A11" s="85" t="inlineStr">
        <is>
          <t>MEZZ6</t>
        </is>
      </c>
      <c r="B11" s="79" t="n"/>
      <c r="C11" s="72" t="n">
        <v>0</v>
      </c>
      <c r="D11" s="80" t="n">
        <v>0</v>
      </c>
      <c r="E11" s="79" t="n"/>
    </row>
    <row r="12" ht="15" customHeight="1">
      <c r="A12" s="85" t="inlineStr">
        <is>
          <t>MEZZ7</t>
        </is>
      </c>
      <c r="B12" s="79" t="n"/>
      <c r="C12" s="72" t="n">
        <v>0</v>
      </c>
      <c r="D12" s="80" t="n">
        <v>0</v>
      </c>
      <c r="E12" s="79" t="n"/>
    </row>
    <row r="13" ht="15" customHeight="1">
      <c r="A13" s="85" t="inlineStr">
        <is>
          <t>MEZZ8</t>
        </is>
      </c>
      <c r="B13" s="79" t="n"/>
      <c r="C13" s="72" t="n">
        <v>0</v>
      </c>
      <c r="D13" s="80" t="n">
        <v>0</v>
      </c>
      <c r="E13" s="79" t="n"/>
    </row>
    <row r="14" ht="15" customHeight="1">
      <c r="A14" s="85" t="inlineStr">
        <is>
          <t>MEZZ9</t>
        </is>
      </c>
      <c r="B14" s="79" t="n"/>
      <c r="C14" s="72" t="n">
        <v>0</v>
      </c>
      <c r="D14" s="80" t="n">
        <v>0</v>
      </c>
      <c r="E14" s="79" t="n"/>
    </row>
    <row r="15" ht="15" customHeight="1">
      <c r="A15" s="85" t="inlineStr">
        <is>
          <t>MEZZ10</t>
        </is>
      </c>
      <c r="B15" s="79" t="n"/>
      <c r="C15" s="72" t="n">
        <v>0</v>
      </c>
      <c r="D15" s="80" t="n">
        <v>0</v>
      </c>
      <c r="E15" s="79" t="n"/>
    </row>
    <row r="17" ht="15" customHeight="1">
      <c r="A17" s="81" t="inlineStr">
        <is>
          <t>TOTAL</t>
        </is>
      </c>
      <c r="B17" s="74" t="inlineStr">
        <is>
          <t>Mezzanine Debt</t>
        </is>
      </c>
      <c r="C17" s="82">
        <f>SUM(C6:C15)</f>
        <v/>
      </c>
      <c r="D17" s="83" t="inlineStr">
        <is>
          <t>Weighted Avg:</t>
        </is>
      </c>
      <c r="E17" s="84">
        <f>SUMPRODUCT(C6:C15,D6:D15)/C17</f>
        <v/>
      </c>
    </row>
    <row r="20" ht="15" customHeight="1">
      <c r="A20" s="13" t="inlineStr">
        <is>
          <t>INSTRUCTIONS:</t>
        </is>
      </c>
    </row>
    <row r="21" ht="15" customHeight="1">
      <c r="A21" s="25" t="inlineStr">
        <is>
          <t>• Enter lender names in column B (yellow cells)</t>
        </is>
      </c>
    </row>
    <row r="22" ht="15" customHeight="1">
      <c r="A22" s="25" t="inlineStr">
        <is>
          <t>• Enter loan amounts in column C (yellow cells)</t>
        </is>
      </c>
    </row>
    <row r="23" ht="15" customHeight="1">
      <c r="A23" s="25" t="inlineStr">
        <is>
          <t>• Enter interest rates in column D (yellow cells)</t>
        </is>
      </c>
    </row>
    <row r="24" ht="15" customHeight="1">
      <c r="A24" s="25" t="inlineStr">
        <is>
          <t>• Add any notes in column E</t>
        </is>
      </c>
    </row>
    <row r="25" ht="15" customHeight="1">
      <c r="A25" s="25" t="inlineStr">
        <is>
          <t>• Total will update automatically</t>
        </is>
      </c>
    </row>
    <row r="26" ht="15" customHeight="1">
      <c r="A26" s="36" t="inlineStr">
        <is>
          <t>• This total is linked to Sources &amp; Uses - Construction</t>
        </is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2026-04-25T17:00:19Z</dcterms:created>
  <dcterms:modified xsi:type="dcterms:W3CDTF">2026-04-25T17:00:19Z</dcterms:modified>
  <cp:lastModifiedBy>Marc Koran</cp:lastModifiedBy>
</cp:coreProperties>
</file>