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rckoran/Downloads/"/>
    </mc:Choice>
  </mc:AlternateContent>
  <xr:revisionPtr revIDLastSave="0" documentId="13_ncr:1_{01BF7709-CD6F-2D46-886D-A0B195E03D16}" xr6:coauthVersionLast="47" xr6:coauthVersionMax="47" xr10:uidLastSave="{00000000-0000-0000-0000-000000000000}"/>
  <bookViews>
    <workbookView xWindow="-39420" yWindow="10540" windowWidth="37480" windowHeight="25000" tabRatio="500" activeTab="11" xr2:uid="{00000000-000D-0000-FFFF-FFFF00000000}"/>
  </bookViews>
  <sheets>
    <sheet name="I_Inputs &amp; Assumptions" sheetId="1" r:id="rId1"/>
    <sheet name="I_Budget Input Data" sheetId="2" r:id="rId2"/>
    <sheet name="I_Unit Rent Roll Data" sheetId="3" r:id="rId3"/>
    <sheet name="i_Cap Table" sheetId="4" r:id="rId4"/>
    <sheet name="I_Preferred Equity" sheetId="5" r:id="rId5"/>
    <sheet name="I_Mezzanine Debt" sheetId="6" r:id="rId6"/>
    <sheet name="Construction Budget &amp; Draws" sheetId="7" r:id="rId7"/>
    <sheet name="Sources &amp; Uses - Construction" sheetId="8" r:id="rId8"/>
    <sheet name="Senior Construction Financing" sheetId="9" r:id="rId9"/>
    <sheet name="Draw Calc (Hidden)" sheetId="10" state="hidden" r:id="rId10"/>
    <sheet name="Time Axis" sheetId="11" r:id="rId11"/>
    <sheet name="OPEX" sheetId="12" r:id="rId12"/>
    <sheet name="Permanent Financing" sheetId="13" r:id="rId13"/>
    <sheet name="Operating Proforma" sheetId="14" r:id="rId14"/>
    <sheet name="O_Annual Summary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2" l="1"/>
  <c r="B21" i="12" s="1"/>
  <c r="B129" i="15"/>
  <c r="B128" i="15"/>
  <c r="B127" i="15"/>
  <c r="B126" i="15"/>
  <c r="B123" i="15"/>
  <c r="B122" i="15"/>
  <c r="B121" i="15"/>
  <c r="B120" i="15"/>
  <c r="B97" i="15"/>
  <c r="AQ57" i="14"/>
  <c r="X57" i="14"/>
  <c r="P57" i="14"/>
  <c r="R56" i="14"/>
  <c r="Y51" i="14"/>
  <c r="Y55" i="14" s="1"/>
  <c r="S51" i="14"/>
  <c r="S55" i="14" s="1"/>
  <c r="BK43" i="14"/>
  <c r="B43" i="14"/>
  <c r="BC31" i="14"/>
  <c r="BB31" i="14"/>
  <c r="AN31" i="14"/>
  <c r="AM31" i="14"/>
  <c r="H31" i="14"/>
  <c r="BB30" i="14"/>
  <c r="BA30" i="14"/>
  <c r="AZ30" i="14"/>
  <c r="AN30" i="14"/>
  <c r="AM30" i="14"/>
  <c r="AL30" i="14"/>
  <c r="S30" i="14"/>
  <c r="R30" i="14"/>
  <c r="BE28" i="14"/>
  <c r="BC28" i="14"/>
  <c r="BB28" i="14"/>
  <c r="U28" i="14"/>
  <c r="M28" i="14"/>
  <c r="F28" i="14"/>
  <c r="E28" i="14"/>
  <c r="AR27" i="14"/>
  <c r="E26" i="14"/>
  <c r="AX25" i="14"/>
  <c r="AR25" i="14"/>
  <c r="AC25" i="14"/>
  <c r="BJ24" i="14"/>
  <c r="BI24" i="14"/>
  <c r="BA24" i="14"/>
  <c r="AZ24" i="14"/>
  <c r="AJ24" i="14"/>
  <c r="AE24" i="14"/>
  <c r="E24" i="14"/>
  <c r="D24" i="14"/>
  <c r="BB23" i="14"/>
  <c r="BA23" i="14"/>
  <c r="AZ23" i="14"/>
  <c r="AV23" i="14"/>
  <c r="AU23" i="14"/>
  <c r="H23" i="14"/>
  <c r="F23" i="14"/>
  <c r="E23" i="14"/>
  <c r="Y13" i="14"/>
  <c r="BJ11" i="14"/>
  <c r="AN11" i="14"/>
  <c r="AM11" i="14"/>
  <c r="AG11" i="14"/>
  <c r="X11" i="14"/>
  <c r="S11" i="14"/>
  <c r="Q11" i="14"/>
  <c r="K11" i="14"/>
  <c r="J11" i="14"/>
  <c r="BE10" i="14"/>
  <c r="R10" i="14"/>
  <c r="K10" i="14"/>
  <c r="D10" i="14"/>
  <c r="BK7" i="14"/>
  <c r="BJ7" i="14"/>
  <c r="BI7" i="14"/>
  <c r="BH7" i="14"/>
  <c r="BG7" i="14"/>
  <c r="BG24" i="14" s="1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S31" i="14" s="1"/>
  <c r="AR7" i="14"/>
  <c r="AQ7" i="14"/>
  <c r="AP7" i="14"/>
  <c r="AO7" i="14"/>
  <c r="AN7" i="14"/>
  <c r="AM7" i="14"/>
  <c r="AL7" i="14"/>
  <c r="AK7" i="14"/>
  <c r="AK24" i="14" s="1"/>
  <c r="AJ7" i="14"/>
  <c r="AI7" i="14"/>
  <c r="AH7" i="14"/>
  <c r="AG7" i="14"/>
  <c r="AF7" i="14"/>
  <c r="AE7" i="14"/>
  <c r="AD7" i="14"/>
  <c r="AD23" i="14" s="1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BJ6" i="14"/>
  <c r="AX6" i="14"/>
  <c r="AJ6" i="14"/>
  <c r="AI6" i="14"/>
  <c r="AF6" i="14"/>
  <c r="AD6" i="14"/>
  <c r="AC6" i="14"/>
  <c r="Y6" i="14"/>
  <c r="X6" i="14"/>
  <c r="J6" i="14"/>
  <c r="I6" i="14"/>
  <c r="B6" i="14"/>
  <c r="BK5" i="14"/>
  <c r="BF5" i="14"/>
  <c r="BD5" i="14"/>
  <c r="BC5" i="14"/>
  <c r="AK5" i="14"/>
  <c r="AI5" i="14"/>
  <c r="AA5" i="14"/>
  <c r="P5" i="14"/>
  <c r="O5" i="14"/>
  <c r="C5" i="14"/>
  <c r="BK4" i="14"/>
  <c r="BK51" i="14" s="1"/>
  <c r="BK55" i="14" s="1"/>
  <c r="BJ4" i="14"/>
  <c r="BI4" i="14"/>
  <c r="BI51" i="14" s="1"/>
  <c r="BI55" i="14" s="1"/>
  <c r="BH4" i="14"/>
  <c r="BH51" i="14" s="1"/>
  <c r="BH55" i="14" s="1"/>
  <c r="BG4" i="14"/>
  <c r="BF4" i="14"/>
  <c r="BF51" i="14" s="1"/>
  <c r="BF55" i="14" s="1"/>
  <c r="BE4" i="14"/>
  <c r="BE51" i="14" s="1"/>
  <c r="BE55" i="14" s="1"/>
  <c r="BD4" i="14"/>
  <c r="BC4" i="14"/>
  <c r="BC51" i="14" s="1"/>
  <c r="BC55" i="14" s="1"/>
  <c r="BB4" i="14"/>
  <c r="BB51" i="14" s="1"/>
  <c r="BB55" i="14" s="1"/>
  <c r="BA4" i="14"/>
  <c r="AZ4" i="14"/>
  <c r="AZ51" i="14" s="1"/>
  <c r="AZ55" i="14" s="1"/>
  <c r="AY4" i="14"/>
  <c r="AY51" i="14" s="1"/>
  <c r="AY55" i="14" s="1"/>
  <c r="AX4" i="14"/>
  <c r="AW4" i="14"/>
  <c r="AW51" i="14" s="1"/>
  <c r="AW55" i="14" s="1"/>
  <c r="AV4" i="14"/>
  <c r="AV51" i="14" s="1"/>
  <c r="AV55" i="14" s="1"/>
  <c r="AU4" i="14"/>
  <c r="AT4" i="14"/>
  <c r="AT51" i="14" s="1"/>
  <c r="AT55" i="14" s="1"/>
  <c r="AS4" i="14"/>
  <c r="AS51" i="14" s="1"/>
  <c r="AS55" i="14" s="1"/>
  <c r="AS56" i="14" s="1"/>
  <c r="AR4" i="14"/>
  <c r="AQ4" i="14"/>
  <c r="AQ51" i="14" s="1"/>
  <c r="AQ55" i="14" s="1"/>
  <c r="AP4" i="14"/>
  <c r="AP51" i="14" s="1"/>
  <c r="AP55" i="14" s="1"/>
  <c r="AO4" i="14"/>
  <c r="AN4" i="14"/>
  <c r="AN51" i="14" s="1"/>
  <c r="AN55" i="14" s="1"/>
  <c r="AM4" i="14"/>
  <c r="AM51" i="14" s="1"/>
  <c r="AM55" i="14" s="1"/>
  <c r="AL4" i="14"/>
  <c r="AK4" i="14"/>
  <c r="AK51" i="14" s="1"/>
  <c r="AK55" i="14" s="1"/>
  <c r="AJ4" i="14"/>
  <c r="AJ51" i="14" s="1"/>
  <c r="AJ55" i="14" s="1"/>
  <c r="AI4" i="14"/>
  <c r="AH4" i="14"/>
  <c r="AH51" i="14" s="1"/>
  <c r="AH55" i="14" s="1"/>
  <c r="AG4" i="14"/>
  <c r="AG51" i="14" s="1"/>
  <c r="AG55" i="14" s="1"/>
  <c r="AF4" i="14"/>
  <c r="AE4" i="14"/>
  <c r="AE51" i="14" s="1"/>
  <c r="AE55" i="14" s="1"/>
  <c r="AD4" i="14"/>
  <c r="AD51" i="14" s="1"/>
  <c r="AD55" i="14" s="1"/>
  <c r="AC4" i="14"/>
  <c r="AB4" i="14"/>
  <c r="AB51" i="14" s="1"/>
  <c r="AB55" i="14" s="1"/>
  <c r="AA4" i="14"/>
  <c r="AA51" i="14" s="1"/>
  <c r="AA55" i="14" s="1"/>
  <c r="Z4" i="14"/>
  <c r="Y4" i="14"/>
  <c r="X4" i="14"/>
  <c r="X51" i="14" s="1"/>
  <c r="X55" i="14" s="1"/>
  <c r="W4" i="14"/>
  <c r="V4" i="14"/>
  <c r="V51" i="14" s="1"/>
  <c r="V55" i="14" s="1"/>
  <c r="U4" i="14"/>
  <c r="U51" i="14" s="1"/>
  <c r="U55" i="14" s="1"/>
  <c r="T4" i="14"/>
  <c r="S4" i="14"/>
  <c r="R4" i="14"/>
  <c r="R51" i="14" s="1"/>
  <c r="R55" i="14" s="1"/>
  <c r="Q4" i="14"/>
  <c r="P4" i="14"/>
  <c r="P51" i="14" s="1"/>
  <c r="P55" i="14" s="1"/>
  <c r="O4" i="14"/>
  <c r="O51" i="14" s="1"/>
  <c r="O55" i="14" s="1"/>
  <c r="N4" i="14"/>
  <c r="M4" i="14"/>
  <c r="M51" i="14" s="1"/>
  <c r="M55" i="14" s="1"/>
  <c r="L4" i="14"/>
  <c r="L51" i="14" s="1"/>
  <c r="L55" i="14" s="1"/>
  <c r="K4" i="14"/>
  <c r="J4" i="14"/>
  <c r="J51" i="14" s="1"/>
  <c r="J55" i="14" s="1"/>
  <c r="I4" i="14"/>
  <c r="I51" i="14" s="1"/>
  <c r="I55" i="14" s="1"/>
  <c r="H4" i="14"/>
  <c r="G4" i="14"/>
  <c r="G51" i="14" s="1"/>
  <c r="G55" i="14" s="1"/>
  <c r="F4" i="14"/>
  <c r="F51" i="14" s="1"/>
  <c r="F55" i="14" s="1"/>
  <c r="E4" i="14"/>
  <c r="D4" i="14"/>
  <c r="D51" i="14" s="1"/>
  <c r="D55" i="14" s="1"/>
  <c r="C4" i="14"/>
  <c r="C51" i="14" s="1"/>
  <c r="C55" i="14" s="1"/>
  <c r="B4" i="14"/>
  <c r="B72" i="13"/>
  <c r="A72" i="13"/>
  <c r="A71" i="13"/>
  <c r="A70" i="13"/>
  <c r="A69" i="13"/>
  <c r="B68" i="13"/>
  <c r="A68" i="13"/>
  <c r="A67" i="13"/>
  <c r="A66" i="13"/>
  <c r="A65" i="13"/>
  <c r="A64" i="13"/>
  <c r="A63" i="13"/>
  <c r="A62" i="13"/>
  <c r="A61" i="13"/>
  <c r="A60" i="13"/>
  <c r="A59" i="13"/>
  <c r="B58" i="13"/>
  <c r="A58" i="13"/>
  <c r="A57" i="13"/>
  <c r="A56" i="13"/>
  <c r="A55" i="13"/>
  <c r="B54" i="13"/>
  <c r="A54" i="13"/>
  <c r="A53" i="13"/>
  <c r="A52" i="13"/>
  <c r="A51" i="13"/>
  <c r="A50" i="13"/>
  <c r="A49" i="13"/>
  <c r="A48" i="13"/>
  <c r="A47" i="13"/>
  <c r="A46" i="13"/>
  <c r="A45" i="13"/>
  <c r="B44" i="13"/>
  <c r="A44" i="13"/>
  <c r="A43" i="13"/>
  <c r="A42" i="13"/>
  <c r="A41" i="13"/>
  <c r="B40" i="13"/>
  <c r="A40" i="13"/>
  <c r="A39" i="13"/>
  <c r="A38" i="13"/>
  <c r="A37" i="13"/>
  <c r="A36" i="13"/>
  <c r="A35" i="13"/>
  <c r="A34" i="13"/>
  <c r="A33" i="13"/>
  <c r="A32" i="13"/>
  <c r="A31" i="13"/>
  <c r="B30" i="13"/>
  <c r="A30" i="13"/>
  <c r="A29" i="13"/>
  <c r="A28" i="13"/>
  <c r="A27" i="13"/>
  <c r="A26" i="13"/>
  <c r="A25" i="13"/>
  <c r="A24" i="13"/>
  <c r="A23" i="13"/>
  <c r="A22" i="13"/>
  <c r="A21" i="13"/>
  <c r="B20" i="13"/>
  <c r="A20" i="13"/>
  <c r="A19" i="13"/>
  <c r="A18" i="13"/>
  <c r="A17" i="13"/>
  <c r="A16" i="13"/>
  <c r="A15" i="13"/>
  <c r="B14" i="13"/>
  <c r="A14" i="13"/>
  <c r="A13" i="13"/>
  <c r="B9" i="13"/>
  <c r="B8" i="13"/>
  <c r="B7" i="13"/>
  <c r="B5" i="13"/>
  <c r="B6" i="13" s="1"/>
  <c r="B51" i="12"/>
  <c r="B47" i="12"/>
  <c r="B46" i="12"/>
  <c r="B45" i="12"/>
  <c r="B42" i="12"/>
  <c r="D35" i="12"/>
  <c r="C35" i="12"/>
  <c r="D34" i="12"/>
  <c r="C34" i="12"/>
  <c r="B34" i="12"/>
  <c r="AG33" i="14" s="1"/>
  <c r="D33" i="12"/>
  <c r="C33" i="12"/>
  <c r="C32" i="12"/>
  <c r="B32" i="12"/>
  <c r="U31" i="14" s="1"/>
  <c r="C31" i="12"/>
  <c r="B31" i="12"/>
  <c r="C30" i="12"/>
  <c r="X29" i="14" s="1"/>
  <c r="B30" i="12"/>
  <c r="BD29" i="14" s="1"/>
  <c r="C29" i="12"/>
  <c r="AQ28" i="14" s="1"/>
  <c r="B29" i="12"/>
  <c r="C28" i="12"/>
  <c r="B28" i="12"/>
  <c r="C27" i="12"/>
  <c r="BE26" i="14" s="1"/>
  <c r="B27" i="12"/>
  <c r="C26" i="12"/>
  <c r="B26" i="12"/>
  <c r="C25" i="12"/>
  <c r="B25" i="12"/>
  <c r="Q24" i="14" s="1"/>
  <c r="C24" i="12"/>
  <c r="B24" i="12"/>
  <c r="C23" i="12"/>
  <c r="B23" i="12"/>
  <c r="D22" i="12"/>
  <c r="C22" i="12"/>
  <c r="B22" i="12"/>
  <c r="H21" i="14" s="1"/>
  <c r="D21" i="12"/>
  <c r="C21" i="12"/>
  <c r="C16" i="12"/>
  <c r="D12" i="12"/>
  <c r="C12" i="12"/>
  <c r="B12" i="12"/>
  <c r="D11" i="12"/>
  <c r="C11" i="12"/>
  <c r="B11" i="12"/>
  <c r="D10" i="12"/>
  <c r="C10" i="12"/>
  <c r="B10" i="12"/>
  <c r="W11" i="14" s="1"/>
  <c r="C7" i="12"/>
  <c r="B7" i="12"/>
  <c r="B6" i="12"/>
  <c r="B5" i="12"/>
  <c r="A2" i="12"/>
  <c r="D123" i="11"/>
  <c r="C123" i="11"/>
  <c r="F123" i="11" s="1"/>
  <c r="B123" i="11"/>
  <c r="G123" i="11" s="1"/>
  <c r="G122" i="11"/>
  <c r="F122" i="11"/>
  <c r="E122" i="11"/>
  <c r="C122" i="11"/>
  <c r="B122" i="11"/>
  <c r="D122" i="11" s="1"/>
  <c r="G121" i="11"/>
  <c r="C121" i="11"/>
  <c r="F121" i="11" s="1"/>
  <c r="B121" i="11"/>
  <c r="D121" i="11" s="1"/>
  <c r="G120" i="11"/>
  <c r="D120" i="11"/>
  <c r="C120" i="11"/>
  <c r="B120" i="11"/>
  <c r="G119" i="11"/>
  <c r="F119" i="11"/>
  <c r="E119" i="11"/>
  <c r="C119" i="11"/>
  <c r="B119" i="11"/>
  <c r="D119" i="11" s="1"/>
  <c r="F118" i="11"/>
  <c r="E118" i="11"/>
  <c r="C118" i="11"/>
  <c r="B118" i="11"/>
  <c r="G118" i="11" s="1"/>
  <c r="G117" i="11"/>
  <c r="F117" i="11"/>
  <c r="E117" i="11"/>
  <c r="D117" i="11"/>
  <c r="C117" i="11"/>
  <c r="B117" i="11"/>
  <c r="C116" i="11"/>
  <c r="B116" i="11"/>
  <c r="G116" i="11" s="1"/>
  <c r="E115" i="11"/>
  <c r="C115" i="11"/>
  <c r="F115" i="11" s="1"/>
  <c r="B115" i="11"/>
  <c r="G115" i="11" s="1"/>
  <c r="C114" i="11"/>
  <c r="F114" i="11" s="1"/>
  <c r="B114" i="11"/>
  <c r="G113" i="11"/>
  <c r="F113" i="11"/>
  <c r="D113" i="11"/>
  <c r="C113" i="11"/>
  <c r="E113" i="11" s="1"/>
  <c r="B113" i="11"/>
  <c r="G112" i="11"/>
  <c r="F112" i="11"/>
  <c r="E112" i="11"/>
  <c r="C112" i="11"/>
  <c r="B112" i="11"/>
  <c r="D112" i="11" s="1"/>
  <c r="F111" i="11"/>
  <c r="E111" i="11"/>
  <c r="D111" i="11"/>
  <c r="C111" i="11"/>
  <c r="B111" i="11"/>
  <c r="G111" i="11" s="1"/>
  <c r="G110" i="11"/>
  <c r="F110" i="11"/>
  <c r="D110" i="11"/>
  <c r="C110" i="11"/>
  <c r="E110" i="11" s="1"/>
  <c r="B110" i="11"/>
  <c r="D109" i="11"/>
  <c r="C109" i="11"/>
  <c r="B109" i="11"/>
  <c r="G109" i="11" s="1"/>
  <c r="D108" i="11"/>
  <c r="C108" i="11"/>
  <c r="B108" i="11"/>
  <c r="G108" i="11" s="1"/>
  <c r="G107" i="11"/>
  <c r="C107" i="11"/>
  <c r="F107" i="11" s="1"/>
  <c r="B107" i="11"/>
  <c r="D107" i="11" s="1"/>
  <c r="C106" i="11"/>
  <c r="E106" i="11" s="1"/>
  <c r="B106" i="11"/>
  <c r="G106" i="11" s="1"/>
  <c r="G105" i="11"/>
  <c r="F105" i="11"/>
  <c r="E105" i="11"/>
  <c r="C105" i="11"/>
  <c r="B105" i="11"/>
  <c r="D105" i="11" s="1"/>
  <c r="F104" i="11"/>
  <c r="E104" i="11"/>
  <c r="D104" i="11"/>
  <c r="C104" i="11"/>
  <c r="B104" i="11"/>
  <c r="G104" i="11" s="1"/>
  <c r="G103" i="11"/>
  <c r="E103" i="11"/>
  <c r="D103" i="11"/>
  <c r="C103" i="11"/>
  <c r="F103" i="11" s="1"/>
  <c r="B103" i="11"/>
  <c r="C102" i="11"/>
  <c r="B102" i="11"/>
  <c r="F101" i="11"/>
  <c r="E101" i="11"/>
  <c r="D101" i="11"/>
  <c r="C101" i="11"/>
  <c r="B101" i="11"/>
  <c r="G101" i="11" s="1"/>
  <c r="C100" i="11"/>
  <c r="F100" i="11" s="1"/>
  <c r="B100" i="11"/>
  <c r="D100" i="11" s="1"/>
  <c r="F99" i="11"/>
  <c r="C99" i="11"/>
  <c r="E99" i="11" s="1"/>
  <c r="B99" i="11"/>
  <c r="G98" i="11"/>
  <c r="F98" i="11"/>
  <c r="E98" i="11"/>
  <c r="C98" i="11"/>
  <c r="B98" i="11"/>
  <c r="D98" i="11" s="1"/>
  <c r="F97" i="11"/>
  <c r="E97" i="11"/>
  <c r="C97" i="11"/>
  <c r="B97" i="11"/>
  <c r="G97" i="11" s="1"/>
  <c r="G96" i="11"/>
  <c r="D96" i="11"/>
  <c r="C96" i="11"/>
  <c r="B96" i="11"/>
  <c r="D95" i="11"/>
  <c r="C95" i="11"/>
  <c r="B95" i="11"/>
  <c r="G95" i="11" s="1"/>
  <c r="C94" i="11"/>
  <c r="F94" i="11" s="1"/>
  <c r="B94" i="11"/>
  <c r="G94" i="11" s="1"/>
  <c r="G93" i="11"/>
  <c r="C93" i="11"/>
  <c r="F93" i="11" s="1"/>
  <c r="B93" i="11"/>
  <c r="D93" i="11" s="1"/>
  <c r="G92" i="11"/>
  <c r="C92" i="11"/>
  <c r="E92" i="11" s="1"/>
  <c r="B92" i="11"/>
  <c r="D92" i="11" s="1"/>
  <c r="G91" i="11"/>
  <c r="F91" i="11"/>
  <c r="E91" i="11"/>
  <c r="C91" i="11"/>
  <c r="B91" i="11"/>
  <c r="D91" i="11" s="1"/>
  <c r="F90" i="11"/>
  <c r="E90" i="11"/>
  <c r="C90" i="11"/>
  <c r="B90" i="11"/>
  <c r="G89" i="11"/>
  <c r="F89" i="11"/>
  <c r="E89" i="11"/>
  <c r="D89" i="11"/>
  <c r="C89" i="11"/>
  <c r="BK6" i="14" s="1"/>
  <c r="B89" i="11"/>
  <c r="C88" i="11"/>
  <c r="B88" i="11"/>
  <c r="F87" i="11"/>
  <c r="E87" i="11"/>
  <c r="C87" i="11"/>
  <c r="BI6" i="14" s="1"/>
  <c r="B87" i="11"/>
  <c r="C86" i="11"/>
  <c r="BH6" i="14" s="1"/>
  <c r="B86" i="11"/>
  <c r="G85" i="11"/>
  <c r="D85" i="11"/>
  <c r="C85" i="11"/>
  <c r="B85" i="11"/>
  <c r="G84" i="11"/>
  <c r="F84" i="11"/>
  <c r="E84" i="11"/>
  <c r="C84" i="11"/>
  <c r="BF6" i="14" s="1"/>
  <c r="B84" i="11"/>
  <c r="D84" i="11" s="1"/>
  <c r="F83" i="11"/>
  <c r="E83" i="11"/>
  <c r="C83" i="11"/>
  <c r="BE6" i="14" s="1"/>
  <c r="B83" i="11"/>
  <c r="G82" i="11"/>
  <c r="D82" i="11"/>
  <c r="C82" i="11"/>
  <c r="BD6" i="14" s="1"/>
  <c r="B82" i="11"/>
  <c r="B66" i="13" s="1"/>
  <c r="D81" i="11"/>
  <c r="C81" i="11"/>
  <c r="B81" i="11"/>
  <c r="F80" i="11"/>
  <c r="C80" i="11"/>
  <c r="BB6" i="14" s="1"/>
  <c r="B80" i="11"/>
  <c r="C79" i="11"/>
  <c r="BA6" i="14" s="1"/>
  <c r="B79" i="11"/>
  <c r="F78" i="11"/>
  <c r="D78" i="11"/>
  <c r="C78" i="11"/>
  <c r="E78" i="11" s="1"/>
  <c r="B78" i="11"/>
  <c r="AZ5" i="14" s="1"/>
  <c r="G77" i="11"/>
  <c r="F77" i="11"/>
  <c r="E77" i="11"/>
  <c r="C77" i="11"/>
  <c r="AY6" i="14" s="1"/>
  <c r="B77" i="11"/>
  <c r="F76" i="11"/>
  <c r="E76" i="11"/>
  <c r="D76" i="11"/>
  <c r="C76" i="11"/>
  <c r="B76" i="11"/>
  <c r="G75" i="11"/>
  <c r="F75" i="11"/>
  <c r="E75" i="11"/>
  <c r="D75" i="11"/>
  <c r="C75" i="11"/>
  <c r="AW6" i="14" s="1"/>
  <c r="B75" i="11"/>
  <c r="D74" i="11"/>
  <c r="C74" i="11"/>
  <c r="B74" i="11"/>
  <c r="F73" i="11"/>
  <c r="D73" i="11"/>
  <c r="C73" i="11"/>
  <c r="AU6" i="14" s="1"/>
  <c r="B73" i="11"/>
  <c r="G72" i="11"/>
  <c r="C72" i="11"/>
  <c r="F72" i="11" s="1"/>
  <c r="B72" i="11"/>
  <c r="D71" i="11"/>
  <c r="C71" i="11"/>
  <c r="B71" i="11"/>
  <c r="G70" i="11"/>
  <c r="F70" i="11"/>
  <c r="E70" i="11"/>
  <c r="C70" i="11"/>
  <c r="AR6" i="14" s="1"/>
  <c r="B70" i="11"/>
  <c r="D70" i="11" s="1"/>
  <c r="F69" i="11"/>
  <c r="E69" i="11"/>
  <c r="D69" i="11"/>
  <c r="C69" i="11"/>
  <c r="AQ6" i="14" s="1"/>
  <c r="B69" i="11"/>
  <c r="G68" i="11"/>
  <c r="D68" i="11"/>
  <c r="C68" i="11"/>
  <c r="B68" i="11"/>
  <c r="AP5" i="14" s="1"/>
  <c r="C67" i="11"/>
  <c r="B67" i="11"/>
  <c r="E66" i="11"/>
  <c r="D66" i="11"/>
  <c r="C66" i="11"/>
  <c r="AN6" i="14" s="1"/>
  <c r="B66" i="11"/>
  <c r="F65" i="11"/>
  <c r="C65" i="11"/>
  <c r="AM6" i="14" s="1"/>
  <c r="B65" i="11"/>
  <c r="G64" i="11"/>
  <c r="F64" i="11"/>
  <c r="C64" i="11"/>
  <c r="B64" i="11"/>
  <c r="D64" i="11" s="1"/>
  <c r="G63" i="11"/>
  <c r="F63" i="11"/>
  <c r="E63" i="11"/>
  <c r="D63" i="11"/>
  <c r="C63" i="11"/>
  <c r="AK6" i="14" s="1"/>
  <c r="B63" i="11"/>
  <c r="B47" i="13" s="1"/>
  <c r="F62" i="11"/>
  <c r="E62" i="11"/>
  <c r="C62" i="11"/>
  <c r="B62" i="11"/>
  <c r="G61" i="11"/>
  <c r="D61" i="11"/>
  <c r="C61" i="11"/>
  <c r="F61" i="11" s="1"/>
  <c r="B61" i="11"/>
  <c r="B45" i="13" s="1"/>
  <c r="D60" i="11"/>
  <c r="C60" i="11"/>
  <c r="B60" i="11"/>
  <c r="D59" i="11"/>
  <c r="C59" i="11"/>
  <c r="AG6" i="14" s="1"/>
  <c r="B59" i="11"/>
  <c r="F58" i="11"/>
  <c r="C58" i="11"/>
  <c r="E58" i="11" s="1"/>
  <c r="B58" i="11"/>
  <c r="G57" i="11"/>
  <c r="D57" i="11"/>
  <c r="C57" i="11"/>
  <c r="E57" i="11" s="1"/>
  <c r="B57" i="11"/>
  <c r="G56" i="11"/>
  <c r="F56" i="11"/>
  <c r="E56" i="11"/>
  <c r="D56" i="11"/>
  <c r="C56" i="11"/>
  <c r="B56" i="11"/>
  <c r="AD5" i="14" s="1"/>
  <c r="F55" i="11"/>
  <c r="E55" i="11"/>
  <c r="C55" i="11"/>
  <c r="B55" i="11"/>
  <c r="G54" i="11"/>
  <c r="D54" i="11"/>
  <c r="C54" i="11"/>
  <c r="B54" i="11"/>
  <c r="AB5" i="14" s="1"/>
  <c r="D53" i="11"/>
  <c r="C53" i="11"/>
  <c r="B53" i="11"/>
  <c r="C52" i="11"/>
  <c r="Z6" i="14" s="1"/>
  <c r="B52" i="11"/>
  <c r="Z5" i="14" s="1"/>
  <c r="F51" i="11"/>
  <c r="C51" i="11"/>
  <c r="E51" i="11" s="1"/>
  <c r="B51" i="11"/>
  <c r="G50" i="11"/>
  <c r="F50" i="11"/>
  <c r="D50" i="11"/>
  <c r="C50" i="11"/>
  <c r="E50" i="11" s="1"/>
  <c r="B50" i="11"/>
  <c r="F49" i="11"/>
  <c r="E49" i="11"/>
  <c r="C49" i="11"/>
  <c r="W6" i="14" s="1"/>
  <c r="B49" i="11"/>
  <c r="F48" i="11"/>
  <c r="E48" i="11"/>
  <c r="D48" i="11"/>
  <c r="C48" i="11"/>
  <c r="V6" i="14" s="1"/>
  <c r="B48" i="11"/>
  <c r="G47" i="11"/>
  <c r="E47" i="11"/>
  <c r="C47" i="11"/>
  <c r="U6" i="14" s="1"/>
  <c r="B47" i="11"/>
  <c r="D46" i="11"/>
  <c r="C46" i="11"/>
  <c r="B46" i="11"/>
  <c r="C45" i="11"/>
  <c r="B45" i="11"/>
  <c r="F44" i="11"/>
  <c r="C44" i="11"/>
  <c r="R6" i="14" s="1"/>
  <c r="B44" i="11"/>
  <c r="R5" i="14" s="1"/>
  <c r="F43" i="11"/>
  <c r="C43" i="11"/>
  <c r="B43" i="11"/>
  <c r="G42" i="11"/>
  <c r="F42" i="11"/>
  <c r="E42" i="11"/>
  <c r="D42" i="11"/>
  <c r="C42" i="11"/>
  <c r="P6" i="14" s="1"/>
  <c r="B42" i="11"/>
  <c r="B26" i="13" s="1"/>
  <c r="F41" i="11"/>
  <c r="E41" i="11"/>
  <c r="D41" i="11"/>
  <c r="C41" i="11"/>
  <c r="O6" i="14" s="1"/>
  <c r="B41" i="11"/>
  <c r="C40" i="11"/>
  <c r="B40" i="11"/>
  <c r="F39" i="11"/>
  <c r="C39" i="11"/>
  <c r="B39" i="11"/>
  <c r="E38" i="11"/>
  <c r="C38" i="11"/>
  <c r="L6" i="14" s="1"/>
  <c r="B38" i="11"/>
  <c r="F37" i="11"/>
  <c r="C37" i="11"/>
  <c r="E37" i="11" s="1"/>
  <c r="B37" i="11"/>
  <c r="G36" i="11"/>
  <c r="E36" i="11"/>
  <c r="C36" i="11"/>
  <c r="F36" i="11" s="1"/>
  <c r="B36" i="11"/>
  <c r="J5" i="14" s="1"/>
  <c r="F35" i="11"/>
  <c r="E35" i="11"/>
  <c r="C35" i="11"/>
  <c r="B35" i="11"/>
  <c r="I5" i="14" s="1"/>
  <c r="F34" i="11"/>
  <c r="E34" i="11"/>
  <c r="D34" i="11"/>
  <c r="C34" i="11"/>
  <c r="H6" i="14" s="1"/>
  <c r="B34" i="11"/>
  <c r="E33" i="11"/>
  <c r="C33" i="11"/>
  <c r="G6" i="14" s="1"/>
  <c r="B33" i="11"/>
  <c r="D32" i="11"/>
  <c r="C32" i="11"/>
  <c r="C42" i="9" s="1"/>
  <c r="B32" i="11"/>
  <c r="B16" i="13" s="1"/>
  <c r="G31" i="11"/>
  <c r="F31" i="11"/>
  <c r="D31" i="11"/>
  <c r="C31" i="11"/>
  <c r="E6" i="14" s="1"/>
  <c r="B31" i="11"/>
  <c r="G30" i="11"/>
  <c r="F30" i="11"/>
  <c r="D30" i="11"/>
  <c r="C30" i="11"/>
  <c r="D6" i="14" s="1"/>
  <c r="B30" i="11"/>
  <c r="D5" i="14" s="1"/>
  <c r="G29" i="11"/>
  <c r="F29" i="11"/>
  <c r="E29" i="11"/>
  <c r="D29" i="11"/>
  <c r="C29" i="11"/>
  <c r="C6" i="14" s="1"/>
  <c r="B29" i="11"/>
  <c r="B13" i="13" s="1"/>
  <c r="F28" i="11"/>
  <c r="E28" i="11"/>
  <c r="D28" i="11"/>
  <c r="C28" i="11"/>
  <c r="B28" i="11"/>
  <c r="B5" i="14" s="1"/>
  <c r="C27" i="11"/>
  <c r="B27" i="11"/>
  <c r="G27" i="11" s="1"/>
  <c r="G26" i="11"/>
  <c r="F26" i="11"/>
  <c r="D26" i="11"/>
  <c r="C26" i="11"/>
  <c r="E26" i="11" s="1"/>
  <c r="B26" i="11"/>
  <c r="F25" i="11"/>
  <c r="D25" i="11"/>
  <c r="C25" i="11"/>
  <c r="E25" i="11" s="1"/>
  <c r="B25" i="11"/>
  <c r="G25" i="11" s="1"/>
  <c r="G24" i="11"/>
  <c r="F24" i="11"/>
  <c r="D24" i="11"/>
  <c r="C24" i="11"/>
  <c r="E24" i="11" s="1"/>
  <c r="B24" i="11"/>
  <c r="C23" i="11"/>
  <c r="E23" i="11" s="1"/>
  <c r="B23" i="11"/>
  <c r="G23" i="11" s="1"/>
  <c r="D22" i="11"/>
  <c r="C22" i="11"/>
  <c r="B22" i="11"/>
  <c r="G22" i="11" s="1"/>
  <c r="G21" i="11"/>
  <c r="F21" i="11"/>
  <c r="E21" i="11"/>
  <c r="D21" i="11"/>
  <c r="C21" i="11"/>
  <c r="B21" i="11"/>
  <c r="C20" i="11"/>
  <c r="F20" i="11" s="1"/>
  <c r="B20" i="11"/>
  <c r="G19" i="11"/>
  <c r="F19" i="11"/>
  <c r="E19" i="11"/>
  <c r="D19" i="11"/>
  <c r="C19" i="11"/>
  <c r="B19" i="11"/>
  <c r="D18" i="11"/>
  <c r="C18" i="11"/>
  <c r="F18" i="11" s="1"/>
  <c r="B18" i="11"/>
  <c r="G18" i="11" s="1"/>
  <c r="E17" i="11"/>
  <c r="C17" i="11"/>
  <c r="F17" i="11" s="1"/>
  <c r="B17" i="11"/>
  <c r="G17" i="11" s="1"/>
  <c r="G16" i="11"/>
  <c r="D16" i="11"/>
  <c r="C16" i="11"/>
  <c r="E16" i="11" s="1"/>
  <c r="B16" i="11"/>
  <c r="C15" i="11"/>
  <c r="F15" i="11" s="1"/>
  <c r="B15" i="11"/>
  <c r="G14" i="11"/>
  <c r="F14" i="11"/>
  <c r="E14" i="11"/>
  <c r="D14" i="11"/>
  <c r="C14" i="11"/>
  <c r="B14" i="11"/>
  <c r="E13" i="11"/>
  <c r="C13" i="11"/>
  <c r="F13" i="11" s="1"/>
  <c r="B13" i="11"/>
  <c r="G13" i="11" s="1"/>
  <c r="E12" i="11"/>
  <c r="D12" i="11"/>
  <c r="C12" i="11"/>
  <c r="F12" i="11" s="1"/>
  <c r="B12" i="11"/>
  <c r="G12" i="11" s="1"/>
  <c r="E11" i="11"/>
  <c r="C11" i="11"/>
  <c r="F11" i="11" s="1"/>
  <c r="B11" i="11"/>
  <c r="G11" i="11" s="1"/>
  <c r="C10" i="11"/>
  <c r="C20" i="9" s="1"/>
  <c r="B10" i="11"/>
  <c r="G9" i="11"/>
  <c r="F9" i="11"/>
  <c r="D9" i="11"/>
  <c r="C9" i="11"/>
  <c r="E9" i="11" s="1"/>
  <c r="B9" i="11"/>
  <c r="E8" i="11"/>
  <c r="C8" i="11"/>
  <c r="F8" i="11" s="1"/>
  <c r="B8" i="11"/>
  <c r="G8" i="11" s="1"/>
  <c r="F7" i="11"/>
  <c r="E7" i="11"/>
  <c r="C7" i="11"/>
  <c r="B7" i="11"/>
  <c r="C6" i="11"/>
  <c r="F6" i="11" s="1"/>
  <c r="B6" i="11"/>
  <c r="G6" i="11" s="1"/>
  <c r="C5" i="11"/>
  <c r="B5" i="11"/>
  <c r="F4" i="11"/>
  <c r="E4" i="11"/>
  <c r="C4" i="11"/>
  <c r="B4" i="11"/>
  <c r="G4" i="11" s="1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AL165" i="10"/>
  <c r="AK165" i="10"/>
  <c r="AJ165" i="10"/>
  <c r="AI165" i="10"/>
  <c r="AH165" i="10"/>
  <c r="AG165" i="10"/>
  <c r="AF165" i="10"/>
  <c r="AE165" i="10"/>
  <c r="AH183" i="7" s="1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T183" i="7" s="1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F183" i="7" s="1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F182" i="7" s="1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AL162" i="10"/>
  <c r="AK162" i="10"/>
  <c r="AJ162" i="10"/>
  <c r="AI162" i="10"/>
  <c r="AH162" i="10"/>
  <c r="AG162" i="10"/>
  <c r="AF162" i="10"/>
  <c r="AE162" i="10"/>
  <c r="AD162" i="10"/>
  <c r="AC162" i="10"/>
  <c r="AF180" i="7" s="1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R180" i="7" s="1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E179" i="7" s="1"/>
  <c r="AA161" i="10"/>
  <c r="Z161" i="10"/>
  <c r="Y161" i="10"/>
  <c r="X161" i="10"/>
  <c r="AA179" i="7" s="1"/>
  <c r="W161" i="10"/>
  <c r="V161" i="10"/>
  <c r="U161" i="10"/>
  <c r="T161" i="10"/>
  <c r="S161" i="10"/>
  <c r="R161" i="10"/>
  <c r="Q161" i="10"/>
  <c r="P161" i="10"/>
  <c r="O161" i="10"/>
  <c r="N161" i="10"/>
  <c r="Q179" i="7" s="1"/>
  <c r="M161" i="10"/>
  <c r="L161" i="10"/>
  <c r="K161" i="10"/>
  <c r="J161" i="10"/>
  <c r="I161" i="10"/>
  <c r="H161" i="10"/>
  <c r="G161" i="10"/>
  <c r="F161" i="10"/>
  <c r="E161" i="10"/>
  <c r="D161" i="10"/>
  <c r="C161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AC177" i="7" s="1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O177" i="7" s="1"/>
  <c r="K159" i="10"/>
  <c r="J159" i="10"/>
  <c r="I159" i="10"/>
  <c r="H159" i="10"/>
  <c r="G159" i="10"/>
  <c r="F159" i="10"/>
  <c r="E159" i="10"/>
  <c r="D159" i="10"/>
  <c r="C159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AB176" i="7" s="1"/>
  <c r="X158" i="10"/>
  <c r="W158" i="10"/>
  <c r="V158" i="10"/>
  <c r="U158" i="10"/>
  <c r="T158" i="10"/>
  <c r="W176" i="7" s="1"/>
  <c r="S158" i="10"/>
  <c r="R158" i="10"/>
  <c r="Q158" i="10"/>
  <c r="P158" i="10"/>
  <c r="O158" i="10"/>
  <c r="N158" i="10"/>
  <c r="M158" i="10"/>
  <c r="L158" i="10"/>
  <c r="K158" i="10"/>
  <c r="N176" i="7" s="1"/>
  <c r="J158" i="10"/>
  <c r="I158" i="10"/>
  <c r="H158" i="10"/>
  <c r="G158" i="10"/>
  <c r="F158" i="10"/>
  <c r="E158" i="10"/>
  <c r="D158" i="10"/>
  <c r="C158" i="10"/>
  <c r="AL157" i="10"/>
  <c r="AO175" i="7" s="1"/>
  <c r="AK157" i="10"/>
  <c r="AJ157" i="10"/>
  <c r="AI157" i="10"/>
  <c r="AH157" i="10"/>
  <c r="AG157" i="10"/>
  <c r="AF157" i="10"/>
  <c r="AE157" i="10"/>
  <c r="AD157" i="10"/>
  <c r="AC157" i="10"/>
  <c r="AB157" i="10"/>
  <c r="AE175" i="7" s="1"/>
  <c r="AA157" i="10"/>
  <c r="Z157" i="10"/>
  <c r="Y157" i="10"/>
  <c r="X157" i="10"/>
  <c r="AA175" i="7" s="1"/>
  <c r="W157" i="10"/>
  <c r="V157" i="10"/>
  <c r="U157" i="10"/>
  <c r="T157" i="10"/>
  <c r="S157" i="10"/>
  <c r="R157" i="10"/>
  <c r="Q157" i="10"/>
  <c r="P157" i="10"/>
  <c r="O157" i="10"/>
  <c r="N157" i="10"/>
  <c r="Q175" i="7" s="1"/>
  <c r="M157" i="10"/>
  <c r="L157" i="10"/>
  <c r="K157" i="10"/>
  <c r="J157" i="10"/>
  <c r="M175" i="7" s="1"/>
  <c r="I157" i="10"/>
  <c r="H157" i="10"/>
  <c r="G157" i="10"/>
  <c r="F157" i="10"/>
  <c r="E157" i="10"/>
  <c r="D157" i="10"/>
  <c r="C157" i="10"/>
  <c r="AL156" i="10"/>
  <c r="AK156" i="10"/>
  <c r="AN174" i="7" s="1"/>
  <c r="AJ156" i="10"/>
  <c r="AI156" i="10"/>
  <c r="AH156" i="10"/>
  <c r="AG156" i="10"/>
  <c r="AF156" i="10"/>
  <c r="AI174" i="7" s="1"/>
  <c r="AE156" i="10"/>
  <c r="AD156" i="10"/>
  <c r="AC156" i="10"/>
  <c r="AB156" i="10"/>
  <c r="AA156" i="10"/>
  <c r="Z156" i="10"/>
  <c r="Y156" i="10"/>
  <c r="X156" i="10"/>
  <c r="W156" i="10"/>
  <c r="Z174" i="7" s="1"/>
  <c r="V156" i="10"/>
  <c r="Y174" i="7" s="1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L174" i="7" s="1"/>
  <c r="H156" i="10"/>
  <c r="G156" i="10"/>
  <c r="F156" i="10"/>
  <c r="E156" i="10"/>
  <c r="D156" i="10"/>
  <c r="C156" i="10"/>
  <c r="AL155" i="10"/>
  <c r="AK155" i="10"/>
  <c r="AJ155" i="10"/>
  <c r="AI155" i="10"/>
  <c r="AH155" i="10"/>
  <c r="AG155" i="10"/>
  <c r="AF155" i="10"/>
  <c r="AE155" i="10"/>
  <c r="AD155" i="10"/>
  <c r="AC155" i="10"/>
  <c r="AF173" i="7" s="1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T173" i="7" s="1"/>
  <c r="P155" i="10"/>
  <c r="O155" i="10"/>
  <c r="R173" i="7" s="1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AL154" i="10"/>
  <c r="AK154" i="10"/>
  <c r="AJ154" i="10"/>
  <c r="AI154" i="10"/>
  <c r="AL172" i="7" s="1"/>
  <c r="AH154" i="10"/>
  <c r="AG154" i="10"/>
  <c r="AF154" i="10"/>
  <c r="AE154" i="10"/>
  <c r="AD154" i="10"/>
  <c r="AC154" i="10"/>
  <c r="AB154" i="10"/>
  <c r="AA154" i="10"/>
  <c r="AD172" i="7" s="1"/>
  <c r="Z154" i="10"/>
  <c r="Y154" i="10"/>
  <c r="AB172" i="7" s="1"/>
  <c r="X154" i="10"/>
  <c r="AA172" i="7" s="1"/>
  <c r="W154" i="10"/>
  <c r="V154" i="10"/>
  <c r="U154" i="10"/>
  <c r="X172" i="7" s="1"/>
  <c r="T154" i="10"/>
  <c r="S154" i="10"/>
  <c r="R154" i="10"/>
  <c r="Q154" i="10"/>
  <c r="P154" i="10"/>
  <c r="O154" i="10"/>
  <c r="N154" i="10"/>
  <c r="M154" i="10"/>
  <c r="L154" i="10"/>
  <c r="O172" i="7" s="1"/>
  <c r="K154" i="10"/>
  <c r="J154" i="10"/>
  <c r="M172" i="7" s="1"/>
  <c r="I154" i="10"/>
  <c r="H154" i="10"/>
  <c r="G154" i="10"/>
  <c r="J172" i="7" s="1"/>
  <c r="F154" i="10"/>
  <c r="E154" i="10"/>
  <c r="D154" i="10"/>
  <c r="C154" i="10"/>
  <c r="AL153" i="10"/>
  <c r="AK153" i="10"/>
  <c r="AJ153" i="10"/>
  <c r="AI153" i="10"/>
  <c r="AH153" i="10"/>
  <c r="AK171" i="7" s="1"/>
  <c r="AG153" i="10"/>
  <c r="AJ171" i="7" s="1"/>
  <c r="AF153" i="10"/>
  <c r="AE153" i="10"/>
  <c r="AD153" i="10"/>
  <c r="AC153" i="10"/>
  <c r="AB153" i="10"/>
  <c r="AA153" i="10"/>
  <c r="Z153" i="10"/>
  <c r="Y153" i="10"/>
  <c r="X153" i="10"/>
  <c r="W153" i="10"/>
  <c r="Z171" i="7" s="1"/>
  <c r="V153" i="10"/>
  <c r="U153" i="10"/>
  <c r="T153" i="10"/>
  <c r="W171" i="7" s="1"/>
  <c r="S153" i="10"/>
  <c r="V171" i="7" s="1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I171" i="7" s="1"/>
  <c r="E153" i="10"/>
  <c r="D153" i="10"/>
  <c r="G171" i="7" s="1"/>
  <c r="C153" i="10"/>
  <c r="AL152" i="10"/>
  <c r="AK152" i="10"/>
  <c r="AJ152" i="10"/>
  <c r="AI152" i="10"/>
  <c r="AH152" i="10"/>
  <c r="AG152" i="10"/>
  <c r="AF152" i="10"/>
  <c r="AE152" i="10"/>
  <c r="AH170" i="7" s="1"/>
  <c r="AD152" i="10"/>
  <c r="AC152" i="10"/>
  <c r="AB152" i="10"/>
  <c r="AA152" i="10"/>
  <c r="Z152" i="10"/>
  <c r="AC170" i="7" s="1"/>
  <c r="Y152" i="10"/>
  <c r="X152" i="10"/>
  <c r="W152" i="10"/>
  <c r="V152" i="10"/>
  <c r="U152" i="10"/>
  <c r="T152" i="10"/>
  <c r="S152" i="10"/>
  <c r="R152" i="10"/>
  <c r="Q152" i="10"/>
  <c r="T170" i="7" s="1"/>
  <c r="P152" i="10"/>
  <c r="O152" i="10"/>
  <c r="N152" i="10"/>
  <c r="M152" i="10"/>
  <c r="P170" i="7" s="1"/>
  <c r="L152" i="10"/>
  <c r="K152" i="10"/>
  <c r="J152" i="10"/>
  <c r="I152" i="10"/>
  <c r="H152" i="10"/>
  <c r="G152" i="10"/>
  <c r="F152" i="10"/>
  <c r="E152" i="10"/>
  <c r="D152" i="10"/>
  <c r="C152" i="10"/>
  <c r="F170" i="7" s="1"/>
  <c r="AL151" i="10"/>
  <c r="AK151" i="10"/>
  <c r="AJ151" i="10"/>
  <c r="AI151" i="10"/>
  <c r="AH151" i="10"/>
  <c r="AK169" i="7" s="1"/>
  <c r="AG151" i="10"/>
  <c r="AJ169" i="7" s="1"/>
  <c r="AF151" i="10"/>
  <c r="AE151" i="10"/>
  <c r="AD151" i="10"/>
  <c r="AC151" i="10"/>
  <c r="AB151" i="10"/>
  <c r="AA151" i="10"/>
  <c r="Z151" i="10"/>
  <c r="Y151" i="10"/>
  <c r="X151" i="10"/>
  <c r="W151" i="10"/>
  <c r="V151" i="10"/>
  <c r="Y169" i="7" s="1"/>
  <c r="U151" i="10"/>
  <c r="T151" i="10"/>
  <c r="W169" i="7" s="1"/>
  <c r="S151" i="10"/>
  <c r="V169" i="7" s="1"/>
  <c r="R151" i="10"/>
  <c r="Q151" i="10"/>
  <c r="P151" i="10"/>
  <c r="O151" i="10"/>
  <c r="N151" i="10"/>
  <c r="M151" i="10"/>
  <c r="L151" i="10"/>
  <c r="K151" i="10"/>
  <c r="J151" i="10"/>
  <c r="I151" i="10"/>
  <c r="H151" i="10"/>
  <c r="K169" i="7" s="1"/>
  <c r="G151" i="10"/>
  <c r="J169" i="7" s="1"/>
  <c r="F151" i="10"/>
  <c r="E151" i="10"/>
  <c r="H169" i="7" s="1"/>
  <c r="D151" i="10"/>
  <c r="C151" i="10"/>
  <c r="AL150" i="10"/>
  <c r="AK150" i="10"/>
  <c r="AJ150" i="10"/>
  <c r="AI150" i="10"/>
  <c r="AH150" i="10"/>
  <c r="AG150" i="10"/>
  <c r="AJ168" i="7" s="1"/>
  <c r="AF150" i="10"/>
  <c r="AE150" i="10"/>
  <c r="AH168" i="7" s="1"/>
  <c r="AD150" i="10"/>
  <c r="AC150" i="10"/>
  <c r="AF168" i="7" s="1"/>
  <c r="AB150" i="10"/>
  <c r="AE168" i="7" s="1"/>
  <c r="AA150" i="10"/>
  <c r="Z150" i="10"/>
  <c r="Y150" i="10"/>
  <c r="X150" i="10"/>
  <c r="W150" i="10"/>
  <c r="V150" i="10"/>
  <c r="U150" i="10"/>
  <c r="T150" i="10"/>
  <c r="S150" i="10"/>
  <c r="R150" i="10"/>
  <c r="Q150" i="10"/>
  <c r="T168" i="7" s="1"/>
  <c r="P150" i="10"/>
  <c r="S168" i="7" s="1"/>
  <c r="O150" i="10"/>
  <c r="R168" i="7" s="1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F168" i="7" s="1"/>
  <c r="AL149" i="10"/>
  <c r="AK149" i="10"/>
  <c r="AN167" i="7" s="1"/>
  <c r="AJ149" i="10"/>
  <c r="AM167" i="7" s="1"/>
  <c r="AI149" i="10"/>
  <c r="AH149" i="10"/>
  <c r="AG149" i="10"/>
  <c r="AF149" i="10"/>
  <c r="AE149" i="10"/>
  <c r="AD149" i="10"/>
  <c r="AC149" i="10"/>
  <c r="AB149" i="10"/>
  <c r="AA149" i="10"/>
  <c r="AD167" i="7" s="1"/>
  <c r="Z149" i="10"/>
  <c r="Y149" i="10"/>
  <c r="X149" i="10"/>
  <c r="W149" i="10"/>
  <c r="Z167" i="7" s="1"/>
  <c r="V149" i="10"/>
  <c r="Y167" i="7" s="1"/>
  <c r="U149" i="10"/>
  <c r="T149" i="10"/>
  <c r="S149" i="10"/>
  <c r="R149" i="10"/>
  <c r="Q149" i="10"/>
  <c r="P149" i="10"/>
  <c r="O149" i="10"/>
  <c r="N149" i="10"/>
  <c r="M149" i="10"/>
  <c r="P167" i="7" s="1"/>
  <c r="L149" i="10"/>
  <c r="K149" i="10"/>
  <c r="J149" i="10"/>
  <c r="M167" i="7" s="1"/>
  <c r="I149" i="10"/>
  <c r="H149" i="10"/>
  <c r="K167" i="7" s="1"/>
  <c r="G149" i="10"/>
  <c r="F149" i="10"/>
  <c r="E149" i="10"/>
  <c r="D149" i="10"/>
  <c r="C149" i="10"/>
  <c r="AL148" i="10"/>
  <c r="AK148" i="10"/>
  <c r="AJ148" i="10"/>
  <c r="AI148" i="10"/>
  <c r="AH148" i="10"/>
  <c r="AG148" i="10"/>
  <c r="AF148" i="10"/>
  <c r="AI166" i="7" s="1"/>
  <c r="AE148" i="10"/>
  <c r="AD148" i="10"/>
  <c r="AG166" i="7" s="1"/>
  <c r="AC148" i="10"/>
  <c r="AF166" i="7" s="1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T166" i="7" s="1"/>
  <c r="P148" i="10"/>
  <c r="S166" i="7" s="1"/>
  <c r="O148" i="10"/>
  <c r="R166" i="7" s="1"/>
  <c r="N148" i="10"/>
  <c r="M148" i="10"/>
  <c r="L148" i="10"/>
  <c r="K148" i="10"/>
  <c r="J148" i="10"/>
  <c r="I148" i="10"/>
  <c r="H148" i="10"/>
  <c r="G148" i="10"/>
  <c r="J166" i="7" s="1"/>
  <c r="F148" i="10"/>
  <c r="E148" i="10"/>
  <c r="D148" i="10"/>
  <c r="C148" i="10"/>
  <c r="F166" i="7" s="1"/>
  <c r="AL147" i="10"/>
  <c r="AK147" i="10"/>
  <c r="AJ147" i="10"/>
  <c r="AI147" i="10"/>
  <c r="AH147" i="10"/>
  <c r="AG147" i="10"/>
  <c r="AF147" i="10"/>
  <c r="AE147" i="10"/>
  <c r="AD147" i="10"/>
  <c r="AC147" i="10"/>
  <c r="AB147" i="10"/>
  <c r="AE165" i="7" s="1"/>
  <c r="AA147" i="10"/>
  <c r="Z147" i="10"/>
  <c r="Y147" i="10"/>
  <c r="AB165" i="7" s="1"/>
  <c r="X147" i="10"/>
  <c r="AA165" i="7" s="1"/>
  <c r="W147" i="10"/>
  <c r="V147" i="10"/>
  <c r="U147" i="10"/>
  <c r="T147" i="10"/>
  <c r="S147" i="10"/>
  <c r="R147" i="10"/>
  <c r="Q147" i="10"/>
  <c r="P147" i="10"/>
  <c r="O147" i="10"/>
  <c r="N147" i="10"/>
  <c r="Q165" i="7" s="1"/>
  <c r="M147" i="10"/>
  <c r="L147" i="10"/>
  <c r="O165" i="7" s="1"/>
  <c r="K147" i="10"/>
  <c r="N165" i="7" s="1"/>
  <c r="J147" i="10"/>
  <c r="M165" i="7" s="1"/>
  <c r="I147" i="10"/>
  <c r="H147" i="10"/>
  <c r="G147" i="10"/>
  <c r="F147" i="10"/>
  <c r="I165" i="7" s="1"/>
  <c r="E147" i="10"/>
  <c r="D147" i="10"/>
  <c r="C147" i="10"/>
  <c r="AL146" i="10"/>
  <c r="AK146" i="10"/>
  <c r="AJ146" i="10"/>
  <c r="AI146" i="10"/>
  <c r="AH146" i="10"/>
  <c r="AK164" i="7" s="1"/>
  <c r="AG146" i="10"/>
  <c r="AJ164" i="7" s="1"/>
  <c r="AF146" i="10"/>
  <c r="AE146" i="10"/>
  <c r="AD146" i="10"/>
  <c r="AC146" i="10"/>
  <c r="AB146" i="10"/>
  <c r="AA146" i="10"/>
  <c r="Z146" i="10"/>
  <c r="Y146" i="10"/>
  <c r="X146" i="10"/>
  <c r="W146" i="10"/>
  <c r="Z164" i="7" s="1"/>
  <c r="V146" i="10"/>
  <c r="U146" i="10"/>
  <c r="T146" i="10"/>
  <c r="S146" i="10"/>
  <c r="V164" i="7" s="1"/>
  <c r="R146" i="10"/>
  <c r="U164" i="7" s="1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I164" i="7" s="1"/>
  <c r="E146" i="10"/>
  <c r="H164" i="7" s="1"/>
  <c r="D146" i="10"/>
  <c r="C146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AD163" i="7" s="1"/>
  <c r="Z145" i="10"/>
  <c r="AC163" i="7" s="1"/>
  <c r="Y145" i="10"/>
  <c r="X145" i="10"/>
  <c r="W145" i="10"/>
  <c r="V145" i="10"/>
  <c r="U145" i="10"/>
  <c r="T145" i="10"/>
  <c r="S145" i="10"/>
  <c r="R145" i="10"/>
  <c r="Q145" i="10"/>
  <c r="T163" i="7" s="1"/>
  <c r="P145" i="10"/>
  <c r="O145" i="10"/>
  <c r="N145" i="10"/>
  <c r="M145" i="10"/>
  <c r="P163" i="7" s="1"/>
  <c r="L145" i="10"/>
  <c r="O163" i="7" s="1"/>
  <c r="K145" i="10"/>
  <c r="J145" i="10"/>
  <c r="I145" i="10"/>
  <c r="H145" i="10"/>
  <c r="G145" i="10"/>
  <c r="F145" i="10"/>
  <c r="E145" i="10"/>
  <c r="D145" i="10"/>
  <c r="C145" i="10"/>
  <c r="F163" i="7" s="1"/>
  <c r="AL144" i="10"/>
  <c r="AK144" i="10"/>
  <c r="AJ144" i="10"/>
  <c r="AI144" i="10"/>
  <c r="AL162" i="7" s="1"/>
  <c r="AH144" i="10"/>
  <c r="AK162" i="7" s="1"/>
  <c r="AG144" i="10"/>
  <c r="AF144" i="10"/>
  <c r="AE144" i="10"/>
  <c r="AD144" i="10"/>
  <c r="AC144" i="10"/>
  <c r="AB144" i="10"/>
  <c r="AA144" i="10"/>
  <c r="Z144" i="10"/>
  <c r="Y144" i="10"/>
  <c r="AB162" i="7" s="1"/>
  <c r="X144" i="10"/>
  <c r="W144" i="10"/>
  <c r="V144" i="10"/>
  <c r="Y162" i="7" s="1"/>
  <c r="U144" i="10"/>
  <c r="X162" i="7" s="1"/>
  <c r="T144" i="10"/>
  <c r="W162" i="7" s="1"/>
  <c r="S144" i="10"/>
  <c r="R144" i="10"/>
  <c r="Q144" i="10"/>
  <c r="P144" i="10"/>
  <c r="O144" i="10"/>
  <c r="N144" i="10"/>
  <c r="M144" i="10"/>
  <c r="L144" i="10"/>
  <c r="K144" i="10"/>
  <c r="N162" i="7" s="1"/>
  <c r="J144" i="10"/>
  <c r="I144" i="10"/>
  <c r="H144" i="10"/>
  <c r="G144" i="10"/>
  <c r="J162" i="7" s="1"/>
  <c r="F144" i="10"/>
  <c r="I162" i="7" s="1"/>
  <c r="E144" i="10"/>
  <c r="D144" i="10"/>
  <c r="C144" i="10"/>
  <c r="AL143" i="10"/>
  <c r="AO161" i="7" s="1"/>
  <c r="AK143" i="10"/>
  <c r="AJ143" i="10"/>
  <c r="AI143" i="10"/>
  <c r="AH143" i="10"/>
  <c r="AG143" i="10"/>
  <c r="AF143" i="10"/>
  <c r="AE143" i="10"/>
  <c r="AD143" i="10"/>
  <c r="AC143" i="10"/>
  <c r="AB143" i="10"/>
  <c r="AE161" i="7" s="1"/>
  <c r="AA143" i="10"/>
  <c r="Z143" i="10"/>
  <c r="Y143" i="10"/>
  <c r="X143" i="10"/>
  <c r="AA161" i="7" s="1"/>
  <c r="W143" i="10"/>
  <c r="V143" i="10"/>
  <c r="U143" i="10"/>
  <c r="T143" i="10"/>
  <c r="S143" i="10"/>
  <c r="R143" i="10"/>
  <c r="Q143" i="10"/>
  <c r="P143" i="10"/>
  <c r="S161" i="7" s="1"/>
  <c r="O143" i="10"/>
  <c r="N143" i="10"/>
  <c r="Q161" i="7" s="1"/>
  <c r="M143" i="10"/>
  <c r="L143" i="10"/>
  <c r="K143" i="10"/>
  <c r="J143" i="10"/>
  <c r="M161" i="7" s="1"/>
  <c r="I143" i="10"/>
  <c r="H143" i="10"/>
  <c r="G143" i="10"/>
  <c r="F143" i="10"/>
  <c r="E143" i="10"/>
  <c r="D143" i="10"/>
  <c r="C143" i="10"/>
  <c r="AL140" i="10"/>
  <c r="AK140" i="10"/>
  <c r="AN158" i="7" s="1"/>
  <c r="AJ140" i="10"/>
  <c r="AM158" i="7" s="1"/>
  <c r="AI140" i="10"/>
  <c r="AL158" i="7" s="1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Y158" i="7" s="1"/>
  <c r="U140" i="10"/>
  <c r="X158" i="7" s="1"/>
  <c r="T140" i="10"/>
  <c r="S140" i="10"/>
  <c r="R140" i="10"/>
  <c r="U158" i="7" s="1"/>
  <c r="Q140" i="10"/>
  <c r="P140" i="10"/>
  <c r="O140" i="10"/>
  <c r="N140" i="10"/>
  <c r="M140" i="10"/>
  <c r="L140" i="10"/>
  <c r="K140" i="10"/>
  <c r="J140" i="10"/>
  <c r="I140" i="10"/>
  <c r="L158" i="7" s="1"/>
  <c r="H140" i="10"/>
  <c r="G140" i="10"/>
  <c r="J158" i="7" s="1"/>
  <c r="F140" i="10"/>
  <c r="E140" i="10"/>
  <c r="D140" i="10"/>
  <c r="C140" i="10"/>
  <c r="AL139" i="10"/>
  <c r="AK139" i="10"/>
  <c r="AJ139" i="10"/>
  <c r="AI139" i="10"/>
  <c r="AH139" i="10"/>
  <c r="AK157" i="7" s="1"/>
  <c r="AG139" i="10"/>
  <c r="AF139" i="10"/>
  <c r="AE139" i="10"/>
  <c r="AD139" i="10"/>
  <c r="AC139" i="10"/>
  <c r="AF157" i="7" s="1"/>
  <c r="AB139" i="10"/>
  <c r="AA139" i="10"/>
  <c r="Z139" i="10"/>
  <c r="Y139" i="10"/>
  <c r="X139" i="10"/>
  <c r="W139" i="10"/>
  <c r="V139" i="10"/>
  <c r="U139" i="10"/>
  <c r="T139" i="10"/>
  <c r="W157" i="7" s="1"/>
  <c r="S139" i="10"/>
  <c r="R139" i="10"/>
  <c r="Q139" i="10"/>
  <c r="T157" i="7" s="1"/>
  <c r="P139" i="10"/>
  <c r="S157" i="7" s="1"/>
  <c r="O139" i="10"/>
  <c r="N139" i="10"/>
  <c r="Q157" i="7" s="1"/>
  <c r="M139" i="10"/>
  <c r="L139" i="10"/>
  <c r="K139" i="10"/>
  <c r="J139" i="10"/>
  <c r="I139" i="10"/>
  <c r="H139" i="10"/>
  <c r="G139" i="10"/>
  <c r="J157" i="7" s="1"/>
  <c r="F139" i="10"/>
  <c r="I157" i="7" s="1"/>
  <c r="E139" i="10"/>
  <c r="D139" i="10"/>
  <c r="C139" i="10"/>
  <c r="F157" i="7" s="1"/>
  <c r="AL138" i="10"/>
  <c r="AO156" i="7" s="1"/>
  <c r="AK138" i="10"/>
  <c r="AN156" i="7" s="1"/>
  <c r="AJ138" i="10"/>
  <c r="AI138" i="10"/>
  <c r="AH138" i="10"/>
  <c r="AG138" i="10"/>
  <c r="AF138" i="10"/>
  <c r="AE138" i="10"/>
  <c r="AD138" i="10"/>
  <c r="AC138" i="10"/>
  <c r="AB138" i="10"/>
  <c r="AA138" i="10"/>
  <c r="Z138" i="10"/>
  <c r="AC156" i="7" s="1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O156" i="7" s="1"/>
  <c r="K138" i="10"/>
  <c r="N156" i="7" s="1"/>
  <c r="J138" i="10"/>
  <c r="M156" i="7" s="1"/>
  <c r="D156" i="7" s="1"/>
  <c r="I138" i="10"/>
  <c r="H138" i="10"/>
  <c r="G138" i="10"/>
  <c r="F138" i="10"/>
  <c r="E138" i="10"/>
  <c r="D138" i="10"/>
  <c r="C138" i="10"/>
  <c r="AL137" i="10"/>
  <c r="AK137" i="10"/>
  <c r="AJ137" i="10"/>
  <c r="AI137" i="10"/>
  <c r="AH137" i="10"/>
  <c r="AK155" i="7" s="1"/>
  <c r="AG137" i="10"/>
  <c r="AF137" i="10"/>
  <c r="AI155" i="7" s="1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V155" i="7" s="1"/>
  <c r="R137" i="10"/>
  <c r="U155" i="7" s="1"/>
  <c r="Q137" i="10"/>
  <c r="P137" i="10"/>
  <c r="O137" i="10"/>
  <c r="N137" i="10"/>
  <c r="M137" i="10"/>
  <c r="L137" i="10"/>
  <c r="K137" i="10"/>
  <c r="J137" i="10"/>
  <c r="I137" i="10"/>
  <c r="L155" i="7" s="1"/>
  <c r="H137" i="10"/>
  <c r="G137" i="10"/>
  <c r="F137" i="10"/>
  <c r="E137" i="10"/>
  <c r="H155" i="7" s="1"/>
  <c r="D155" i="7" s="1"/>
  <c r="D137" i="10"/>
  <c r="G155" i="7" s="1"/>
  <c r="C137" i="10"/>
  <c r="AL136" i="10"/>
  <c r="AK136" i="10"/>
  <c r="AJ136" i="10"/>
  <c r="AI136" i="10"/>
  <c r="AH136" i="10"/>
  <c r="AG136" i="10"/>
  <c r="AF136" i="10"/>
  <c r="AE136" i="10"/>
  <c r="AH154" i="7" s="1"/>
  <c r="AD136" i="10"/>
  <c r="AC136" i="10"/>
  <c r="AB136" i="10"/>
  <c r="AE154" i="7" s="1"/>
  <c r="AA136" i="10"/>
  <c r="AD154" i="7" s="1"/>
  <c r="Z136" i="10"/>
  <c r="Y136" i="10"/>
  <c r="X136" i="10"/>
  <c r="W136" i="10"/>
  <c r="V136" i="10"/>
  <c r="U136" i="10"/>
  <c r="T136" i="10"/>
  <c r="S136" i="10"/>
  <c r="R136" i="10"/>
  <c r="Q136" i="10"/>
  <c r="T154" i="7" s="1"/>
  <c r="P136" i="10"/>
  <c r="O136" i="10"/>
  <c r="N136" i="10"/>
  <c r="M136" i="10"/>
  <c r="P154" i="7" s="1"/>
  <c r="L136" i="10"/>
  <c r="O154" i="7" s="1"/>
  <c r="K136" i="10"/>
  <c r="J136" i="10"/>
  <c r="I136" i="10"/>
  <c r="H136" i="10"/>
  <c r="G136" i="10"/>
  <c r="F136" i="10"/>
  <c r="E136" i="10"/>
  <c r="D136" i="10"/>
  <c r="C136" i="10"/>
  <c r="F154" i="7" s="1"/>
  <c r="AL135" i="10"/>
  <c r="AK135" i="10"/>
  <c r="AJ135" i="10"/>
  <c r="AI135" i="10"/>
  <c r="AL153" i="7" s="1"/>
  <c r="AH135" i="10"/>
  <c r="AK153" i="7" s="1"/>
  <c r="AG135" i="10"/>
  <c r="AF135" i="10"/>
  <c r="AE135" i="10"/>
  <c r="AD135" i="10"/>
  <c r="AG153" i="7" s="1"/>
  <c r="AC135" i="10"/>
  <c r="AB135" i="10"/>
  <c r="AA135" i="10"/>
  <c r="Z135" i="10"/>
  <c r="Y135" i="10"/>
  <c r="X135" i="10"/>
  <c r="W135" i="10"/>
  <c r="V135" i="10"/>
  <c r="U135" i="10"/>
  <c r="T135" i="10"/>
  <c r="W153" i="7" s="1"/>
  <c r="S135" i="10"/>
  <c r="R135" i="10"/>
  <c r="Q135" i="10"/>
  <c r="P135" i="10"/>
  <c r="S153" i="7" s="1"/>
  <c r="O135" i="10"/>
  <c r="N135" i="10"/>
  <c r="M135" i="10"/>
  <c r="L135" i="10"/>
  <c r="K135" i="10"/>
  <c r="J135" i="10"/>
  <c r="I135" i="10"/>
  <c r="H135" i="10"/>
  <c r="K153" i="7" s="1"/>
  <c r="G135" i="10"/>
  <c r="J153" i="7" s="1"/>
  <c r="F135" i="10"/>
  <c r="I153" i="7" s="1"/>
  <c r="E135" i="10"/>
  <c r="D135" i="10"/>
  <c r="C135" i="10"/>
  <c r="AL134" i="10"/>
  <c r="AK134" i="10"/>
  <c r="AJ134" i="10"/>
  <c r="AI134" i="10"/>
  <c r="AH134" i="10"/>
  <c r="AG134" i="10"/>
  <c r="AF134" i="10"/>
  <c r="AE134" i="10"/>
  <c r="AD134" i="10"/>
  <c r="AC134" i="10"/>
  <c r="AF152" i="7" s="1"/>
  <c r="AB134" i="10"/>
  <c r="AE152" i="7" s="1"/>
  <c r="AA134" i="10"/>
  <c r="Z134" i="10"/>
  <c r="AC152" i="7" s="1"/>
  <c r="Y134" i="10"/>
  <c r="X134" i="10"/>
  <c r="W134" i="10"/>
  <c r="V134" i="10"/>
  <c r="U134" i="10"/>
  <c r="T134" i="10"/>
  <c r="S134" i="10"/>
  <c r="V152" i="7" s="1"/>
  <c r="R134" i="10"/>
  <c r="Q134" i="10"/>
  <c r="P134" i="10"/>
  <c r="S152" i="7" s="1"/>
  <c r="O134" i="10"/>
  <c r="R152" i="7" s="1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AL133" i="10"/>
  <c r="AK133" i="10"/>
  <c r="AN151" i="7" s="1"/>
  <c r="AJ133" i="10"/>
  <c r="AM151" i="7" s="1"/>
  <c r="AI133" i="10"/>
  <c r="AH133" i="10"/>
  <c r="AG133" i="10"/>
  <c r="AF133" i="10"/>
  <c r="AE133" i="10"/>
  <c r="AD133" i="10"/>
  <c r="AC133" i="10"/>
  <c r="AB133" i="10"/>
  <c r="AA133" i="10"/>
  <c r="AD151" i="7" s="1"/>
  <c r="Z133" i="10"/>
  <c r="Y133" i="10"/>
  <c r="X133" i="10"/>
  <c r="W133" i="10"/>
  <c r="Z151" i="7" s="1"/>
  <c r="V133" i="10"/>
  <c r="U133" i="10"/>
  <c r="X151" i="7" s="1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L151" i="7" s="1"/>
  <c r="H133" i="10"/>
  <c r="K151" i="7" s="1"/>
  <c r="G133" i="10"/>
  <c r="F133" i="10"/>
  <c r="E133" i="10"/>
  <c r="D133" i="10"/>
  <c r="C133" i="10"/>
  <c r="AL132" i="10"/>
  <c r="AK132" i="10"/>
  <c r="AJ132" i="10"/>
  <c r="AI132" i="10"/>
  <c r="AL150" i="7" s="1"/>
  <c r="AH132" i="10"/>
  <c r="AG132" i="10"/>
  <c r="AF132" i="10"/>
  <c r="AE132" i="10"/>
  <c r="AD132" i="10"/>
  <c r="AC132" i="10"/>
  <c r="AB132" i="10"/>
  <c r="AA132" i="10"/>
  <c r="AD150" i="7" s="1"/>
  <c r="Z132" i="10"/>
  <c r="Y132" i="10"/>
  <c r="X132" i="10"/>
  <c r="W132" i="10"/>
  <c r="V132" i="10"/>
  <c r="U132" i="10"/>
  <c r="X150" i="7" s="1"/>
  <c r="T132" i="10"/>
  <c r="S132" i="10"/>
  <c r="R132" i="10"/>
  <c r="Q132" i="10"/>
  <c r="T150" i="7" s="1"/>
  <c r="P132" i="10"/>
  <c r="S150" i="7" s="1"/>
  <c r="O132" i="10"/>
  <c r="N132" i="10"/>
  <c r="M132" i="10"/>
  <c r="P150" i="7" s="1"/>
  <c r="L132" i="10"/>
  <c r="K132" i="10"/>
  <c r="J132" i="10"/>
  <c r="I132" i="10"/>
  <c r="H132" i="10"/>
  <c r="G132" i="10"/>
  <c r="F132" i="10"/>
  <c r="I150" i="7" s="1"/>
  <c r="E132" i="10"/>
  <c r="D132" i="10"/>
  <c r="G150" i="7" s="1"/>
  <c r="C132" i="10"/>
  <c r="F150" i="7" s="1"/>
  <c r="AL131" i="10"/>
  <c r="AO149" i="7" s="1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AC149" i="7" s="1"/>
  <c r="Y131" i="10"/>
  <c r="AB149" i="7" s="1"/>
  <c r="X131" i="10"/>
  <c r="W131" i="10"/>
  <c r="V131" i="10"/>
  <c r="U131" i="10"/>
  <c r="T131" i="10"/>
  <c r="W149" i="7" s="1"/>
  <c r="S131" i="10"/>
  <c r="R131" i="10"/>
  <c r="Q131" i="10"/>
  <c r="P131" i="10"/>
  <c r="O131" i="10"/>
  <c r="R149" i="7" s="1"/>
  <c r="N131" i="10"/>
  <c r="M131" i="10"/>
  <c r="L131" i="10"/>
  <c r="O149" i="7" s="1"/>
  <c r="K131" i="10"/>
  <c r="N149" i="7" s="1"/>
  <c r="J131" i="10"/>
  <c r="M149" i="7" s="1"/>
  <c r="I131" i="10"/>
  <c r="H131" i="10"/>
  <c r="G131" i="10"/>
  <c r="F131" i="10"/>
  <c r="E131" i="10"/>
  <c r="D131" i="10"/>
  <c r="C131" i="10"/>
  <c r="AL130" i="10"/>
  <c r="AK130" i="10"/>
  <c r="AN148" i="7" s="1"/>
  <c r="AJ130" i="10"/>
  <c r="AI130" i="10"/>
  <c r="AH130" i="10"/>
  <c r="AG130" i="10"/>
  <c r="AJ148" i="7" s="1"/>
  <c r="AF130" i="10"/>
  <c r="AI148" i="7" s="1"/>
  <c r="AE130" i="10"/>
  <c r="AD130" i="10"/>
  <c r="AG148" i="7" s="1"/>
  <c r="AC130" i="10"/>
  <c r="AB130" i="10"/>
  <c r="AA130" i="10"/>
  <c r="Z130" i="10"/>
  <c r="Y130" i="10"/>
  <c r="X130" i="10"/>
  <c r="W130" i="10"/>
  <c r="Z148" i="7" s="1"/>
  <c r="V130" i="10"/>
  <c r="U130" i="10"/>
  <c r="T130" i="10"/>
  <c r="S130" i="10"/>
  <c r="V148" i="7" s="1"/>
  <c r="R130" i="10"/>
  <c r="Q130" i="10"/>
  <c r="T148" i="7" s="1"/>
  <c r="P130" i="10"/>
  <c r="S148" i="7" s="1"/>
  <c r="O130" i="10"/>
  <c r="N130" i="10"/>
  <c r="M130" i="10"/>
  <c r="L130" i="10"/>
  <c r="K130" i="10"/>
  <c r="J130" i="10"/>
  <c r="I130" i="10"/>
  <c r="H130" i="10"/>
  <c r="G130" i="10"/>
  <c r="F130" i="10"/>
  <c r="I148" i="7" s="1"/>
  <c r="E130" i="10"/>
  <c r="D130" i="10"/>
  <c r="G148" i="7" s="1"/>
  <c r="C130" i="10"/>
  <c r="AL127" i="10"/>
  <c r="AK127" i="10"/>
  <c r="AJ127" i="10"/>
  <c r="AM145" i="7" s="1"/>
  <c r="AI127" i="10"/>
  <c r="AH127" i="10"/>
  <c r="AG127" i="10"/>
  <c r="AF127" i="10"/>
  <c r="AE127" i="10"/>
  <c r="AH145" i="7" s="1"/>
  <c r="AD127" i="10"/>
  <c r="AC127" i="10"/>
  <c r="AB127" i="10"/>
  <c r="AA127" i="10"/>
  <c r="AD145" i="7" s="1"/>
  <c r="Z127" i="10"/>
  <c r="AC145" i="7" s="1"/>
  <c r="Y127" i="10"/>
  <c r="X127" i="10"/>
  <c r="W127" i="10"/>
  <c r="V127" i="10"/>
  <c r="Y145" i="7" s="1"/>
  <c r="U127" i="10"/>
  <c r="T127" i="10"/>
  <c r="S127" i="10"/>
  <c r="R127" i="10"/>
  <c r="Q127" i="10"/>
  <c r="P127" i="10"/>
  <c r="O127" i="10"/>
  <c r="N127" i="10"/>
  <c r="Q145" i="7" s="1"/>
  <c r="M127" i="10"/>
  <c r="P145" i="7" s="1"/>
  <c r="D145" i="7" s="1"/>
  <c r="L127" i="10"/>
  <c r="O145" i="7" s="1"/>
  <c r="K127" i="10"/>
  <c r="N145" i="7" s="1"/>
  <c r="J127" i="10"/>
  <c r="I127" i="10"/>
  <c r="H127" i="10"/>
  <c r="K145" i="7" s="1"/>
  <c r="G127" i="10"/>
  <c r="F127" i="10"/>
  <c r="E127" i="10"/>
  <c r="D127" i="10"/>
  <c r="C127" i="10"/>
  <c r="AL126" i="10"/>
  <c r="AK126" i="10"/>
  <c r="AN144" i="7" s="1"/>
  <c r="AJ126" i="10"/>
  <c r="AM144" i="7" s="1"/>
  <c r="AI126" i="10"/>
  <c r="AL144" i="7" s="1"/>
  <c r="AH126" i="10"/>
  <c r="AK144" i="7" s="1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Y144" i="7" s="1"/>
  <c r="U126" i="10"/>
  <c r="X144" i="7" s="1"/>
  <c r="T126" i="10"/>
  <c r="W144" i="7" s="1"/>
  <c r="S126" i="10"/>
  <c r="V144" i="7" s="1"/>
  <c r="R126" i="10"/>
  <c r="Q126" i="10"/>
  <c r="P126" i="10"/>
  <c r="S144" i="7" s="1"/>
  <c r="O126" i="10"/>
  <c r="N126" i="10"/>
  <c r="M126" i="10"/>
  <c r="L126" i="10"/>
  <c r="K126" i="10"/>
  <c r="J126" i="10"/>
  <c r="I126" i="10"/>
  <c r="H126" i="10"/>
  <c r="K144" i="7" s="1"/>
  <c r="G126" i="10"/>
  <c r="F126" i="10"/>
  <c r="E126" i="10"/>
  <c r="D126" i="10"/>
  <c r="C126" i="10"/>
  <c r="AL125" i="10"/>
  <c r="AK125" i="10"/>
  <c r="AJ125" i="10"/>
  <c r="AI125" i="10"/>
  <c r="AH125" i="10"/>
  <c r="AG125" i="10"/>
  <c r="AF125" i="10"/>
  <c r="AE125" i="10"/>
  <c r="AD125" i="10"/>
  <c r="AG143" i="7" s="1"/>
  <c r="AC125" i="10"/>
  <c r="AF143" i="7" s="1"/>
  <c r="AB125" i="10"/>
  <c r="AE143" i="7" s="1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R143" i="7" s="1"/>
  <c r="N125" i="10"/>
  <c r="Q143" i="7" s="1"/>
  <c r="M125" i="10"/>
  <c r="P143" i="7" s="1"/>
  <c r="L125" i="10"/>
  <c r="K125" i="10"/>
  <c r="J125" i="10"/>
  <c r="I125" i="10"/>
  <c r="H125" i="10"/>
  <c r="G125" i="10"/>
  <c r="F125" i="10"/>
  <c r="E125" i="10"/>
  <c r="H143" i="7" s="1"/>
  <c r="D125" i="10"/>
  <c r="C125" i="10"/>
  <c r="AL124" i="10"/>
  <c r="AK124" i="10"/>
  <c r="AN142" i="7" s="1"/>
  <c r="AJ124" i="10"/>
  <c r="AI124" i="10"/>
  <c r="AH124" i="10"/>
  <c r="AK142" i="7" s="1"/>
  <c r="AG124" i="10"/>
  <c r="AF124" i="10"/>
  <c r="AE124" i="10"/>
  <c r="AD124" i="10"/>
  <c r="AC124" i="10"/>
  <c r="AB124" i="10"/>
  <c r="AA124" i="10"/>
  <c r="Z124" i="10"/>
  <c r="Y124" i="10"/>
  <c r="X124" i="10"/>
  <c r="AA142" i="7" s="1"/>
  <c r="W124" i="10"/>
  <c r="Z142" i="7" s="1"/>
  <c r="V124" i="10"/>
  <c r="Y142" i="7" s="1"/>
  <c r="U124" i="10"/>
  <c r="T124" i="10"/>
  <c r="W142" i="7" s="1"/>
  <c r="S124" i="10"/>
  <c r="R124" i="10"/>
  <c r="Q124" i="10"/>
  <c r="P124" i="10"/>
  <c r="O124" i="10"/>
  <c r="N124" i="10"/>
  <c r="M124" i="10"/>
  <c r="L124" i="10"/>
  <c r="K124" i="10"/>
  <c r="J124" i="10"/>
  <c r="M142" i="7" s="1"/>
  <c r="I124" i="10"/>
  <c r="L142" i="7" s="1"/>
  <c r="H124" i="10"/>
  <c r="K142" i="7" s="1"/>
  <c r="G124" i="10"/>
  <c r="F124" i="10"/>
  <c r="I142" i="7" s="1"/>
  <c r="E124" i="10"/>
  <c r="D124" i="10"/>
  <c r="C124" i="10"/>
  <c r="AL123" i="10"/>
  <c r="AK123" i="10"/>
  <c r="AJ123" i="10"/>
  <c r="AI123" i="10"/>
  <c r="AL141" i="7" s="1"/>
  <c r="AH123" i="10"/>
  <c r="AG123" i="10"/>
  <c r="AJ141" i="7" s="1"/>
  <c r="AF123" i="10"/>
  <c r="AE123" i="10"/>
  <c r="AH141" i="7" s="1"/>
  <c r="AD123" i="10"/>
  <c r="AG141" i="7" s="1"/>
  <c r="AC123" i="10"/>
  <c r="AB123" i="10"/>
  <c r="AA123" i="10"/>
  <c r="Z123" i="10"/>
  <c r="Y123" i="10"/>
  <c r="X123" i="10"/>
  <c r="W123" i="10"/>
  <c r="V123" i="10"/>
  <c r="U123" i="10"/>
  <c r="X141" i="7" s="1"/>
  <c r="T123" i="10"/>
  <c r="S123" i="10"/>
  <c r="V141" i="7" s="1"/>
  <c r="R123" i="10"/>
  <c r="U141" i="7" s="1"/>
  <c r="Q123" i="10"/>
  <c r="T141" i="7" s="1"/>
  <c r="P123" i="10"/>
  <c r="S141" i="7" s="1"/>
  <c r="O123" i="10"/>
  <c r="R141" i="7" s="1"/>
  <c r="N123" i="10"/>
  <c r="M123" i="10"/>
  <c r="L123" i="10"/>
  <c r="K123" i="10"/>
  <c r="J123" i="10"/>
  <c r="I123" i="10"/>
  <c r="H123" i="10"/>
  <c r="G123" i="10"/>
  <c r="J141" i="7" s="1"/>
  <c r="F123" i="10"/>
  <c r="E123" i="10"/>
  <c r="H141" i="7" s="1"/>
  <c r="D123" i="10"/>
  <c r="G141" i="7" s="1"/>
  <c r="C123" i="10"/>
  <c r="F141" i="7" s="1"/>
  <c r="AL122" i="10"/>
  <c r="AO140" i="7" s="1"/>
  <c r="AK122" i="10"/>
  <c r="AJ122" i="10"/>
  <c r="AI122" i="10"/>
  <c r="AH122" i="10"/>
  <c r="AG122" i="10"/>
  <c r="AF122" i="10"/>
  <c r="AE122" i="10"/>
  <c r="AD122" i="10"/>
  <c r="AC122" i="10"/>
  <c r="AF140" i="7" s="1"/>
  <c r="AB122" i="10"/>
  <c r="AA122" i="10"/>
  <c r="Z122" i="10"/>
  <c r="Y122" i="10"/>
  <c r="AB140" i="7" s="1"/>
  <c r="X122" i="10"/>
  <c r="W122" i="10"/>
  <c r="V122" i="10"/>
  <c r="U122" i="10"/>
  <c r="T122" i="10"/>
  <c r="S122" i="10"/>
  <c r="R122" i="10"/>
  <c r="Q122" i="10"/>
  <c r="P122" i="10"/>
  <c r="O122" i="10"/>
  <c r="R140" i="7" s="1"/>
  <c r="N122" i="10"/>
  <c r="M122" i="10"/>
  <c r="L122" i="10"/>
  <c r="K122" i="10"/>
  <c r="N140" i="7" s="1"/>
  <c r="J122" i="10"/>
  <c r="I122" i="10"/>
  <c r="H122" i="10"/>
  <c r="G122" i="10"/>
  <c r="F122" i="10"/>
  <c r="E122" i="10"/>
  <c r="D122" i="10"/>
  <c r="C122" i="10"/>
  <c r="AL121" i="10"/>
  <c r="AK121" i="10"/>
  <c r="AJ121" i="10"/>
  <c r="AI121" i="10"/>
  <c r="AH121" i="10"/>
  <c r="AG121" i="10"/>
  <c r="AJ139" i="7" s="1"/>
  <c r="AF121" i="10"/>
  <c r="AI139" i="7" s="1"/>
  <c r="AE121" i="10"/>
  <c r="AH139" i="7" s="1"/>
  <c r="AD121" i="10"/>
  <c r="AC121" i="10"/>
  <c r="AB121" i="10"/>
  <c r="AE139" i="7" s="1"/>
  <c r="AA121" i="10"/>
  <c r="Z121" i="10"/>
  <c r="Y121" i="10"/>
  <c r="X121" i="10"/>
  <c r="W121" i="10"/>
  <c r="Z139" i="7" s="1"/>
  <c r="V121" i="10"/>
  <c r="U121" i="10"/>
  <c r="T121" i="10"/>
  <c r="S121" i="10"/>
  <c r="V139" i="7" s="1"/>
  <c r="R121" i="10"/>
  <c r="U139" i="7" s="1"/>
  <c r="Q121" i="10"/>
  <c r="T139" i="7" s="1"/>
  <c r="P121" i="10"/>
  <c r="S139" i="7" s="1"/>
  <c r="O121" i="10"/>
  <c r="N121" i="10"/>
  <c r="M121" i="10"/>
  <c r="L121" i="10"/>
  <c r="K121" i="10"/>
  <c r="J121" i="10"/>
  <c r="I121" i="10"/>
  <c r="L139" i="7" s="1"/>
  <c r="H121" i="10"/>
  <c r="G121" i="10"/>
  <c r="F121" i="10"/>
  <c r="E121" i="10"/>
  <c r="H139" i="7" s="1"/>
  <c r="D121" i="10"/>
  <c r="C121" i="10"/>
  <c r="F139" i="7" s="1"/>
  <c r="AL120" i="10"/>
  <c r="AK120" i="10"/>
  <c r="AJ120" i="10"/>
  <c r="AI120" i="10"/>
  <c r="AH120" i="10"/>
  <c r="AG120" i="10"/>
  <c r="AF120" i="10"/>
  <c r="AE120" i="10"/>
  <c r="AD120" i="10"/>
  <c r="AG138" i="7" s="1"/>
  <c r="AC120" i="10"/>
  <c r="AB120" i="10"/>
  <c r="AA120" i="10"/>
  <c r="AD138" i="7" s="1"/>
  <c r="Z120" i="10"/>
  <c r="AC138" i="7" s="1"/>
  <c r="Y120" i="10"/>
  <c r="AB138" i="7" s="1"/>
  <c r="X120" i="10"/>
  <c r="W120" i="10"/>
  <c r="V120" i="10"/>
  <c r="U120" i="10"/>
  <c r="T120" i="10"/>
  <c r="S120" i="10"/>
  <c r="R120" i="10"/>
  <c r="Q120" i="10"/>
  <c r="T138" i="7" s="1"/>
  <c r="P120" i="10"/>
  <c r="S138" i="7" s="1"/>
  <c r="O120" i="10"/>
  <c r="N120" i="10"/>
  <c r="M120" i="10"/>
  <c r="P138" i="7" s="1"/>
  <c r="L120" i="10"/>
  <c r="O138" i="7" s="1"/>
  <c r="K120" i="10"/>
  <c r="J120" i="10"/>
  <c r="I120" i="10"/>
  <c r="H120" i="10"/>
  <c r="G120" i="10"/>
  <c r="F120" i="10"/>
  <c r="E120" i="10"/>
  <c r="D120" i="10"/>
  <c r="C120" i="10"/>
  <c r="AL117" i="10"/>
  <c r="AK117" i="10"/>
  <c r="AJ117" i="10"/>
  <c r="AM135" i="7" s="1"/>
  <c r="AI117" i="10"/>
  <c r="AL135" i="7" s="1"/>
  <c r="AH117" i="10"/>
  <c r="AG117" i="10"/>
  <c r="AJ135" i="7" s="1"/>
  <c r="AF117" i="10"/>
  <c r="AE117" i="10"/>
  <c r="AD117" i="10"/>
  <c r="AC117" i="10"/>
  <c r="AB117" i="10"/>
  <c r="AA117" i="10"/>
  <c r="Z117" i="10"/>
  <c r="Y117" i="10"/>
  <c r="X117" i="10"/>
  <c r="W117" i="10"/>
  <c r="V117" i="10"/>
  <c r="Y135" i="7" s="1"/>
  <c r="U117" i="10"/>
  <c r="X135" i="7" s="1"/>
  <c r="T117" i="10"/>
  <c r="W135" i="7" s="1"/>
  <c r="S117" i="10"/>
  <c r="R117" i="10"/>
  <c r="Q117" i="10"/>
  <c r="P117" i="10"/>
  <c r="O117" i="10"/>
  <c r="N117" i="10"/>
  <c r="M117" i="10"/>
  <c r="L117" i="10"/>
  <c r="K117" i="10"/>
  <c r="N135" i="7" s="1"/>
  <c r="J117" i="10"/>
  <c r="I117" i="10"/>
  <c r="H117" i="10"/>
  <c r="G117" i="10"/>
  <c r="J135" i="7" s="1"/>
  <c r="F117" i="10"/>
  <c r="I135" i="7" s="1"/>
  <c r="E117" i="10"/>
  <c r="H135" i="7" s="1"/>
  <c r="D117" i="10"/>
  <c r="C117" i="10"/>
  <c r="AL116" i="10"/>
  <c r="AO134" i="7" s="1"/>
  <c r="AK116" i="10"/>
  <c r="AJ116" i="10"/>
  <c r="AI116" i="10"/>
  <c r="AH116" i="10"/>
  <c r="AG116" i="10"/>
  <c r="AJ134" i="7" s="1"/>
  <c r="AF116" i="10"/>
  <c r="AE116" i="10"/>
  <c r="AD116" i="10"/>
  <c r="AC116" i="10"/>
  <c r="AF134" i="7" s="1"/>
  <c r="AB116" i="10"/>
  <c r="AE134" i="7" s="1"/>
  <c r="AA116" i="10"/>
  <c r="AD134" i="7" s="1"/>
  <c r="Z116" i="10"/>
  <c r="AC134" i="7" s="1"/>
  <c r="Y116" i="10"/>
  <c r="X116" i="10"/>
  <c r="W116" i="10"/>
  <c r="V116" i="10"/>
  <c r="U116" i="10"/>
  <c r="T116" i="10"/>
  <c r="S116" i="10"/>
  <c r="V134" i="7" s="1"/>
  <c r="R116" i="10"/>
  <c r="Q116" i="10"/>
  <c r="P116" i="10"/>
  <c r="S134" i="7" s="1"/>
  <c r="O116" i="10"/>
  <c r="R134" i="7" s="1"/>
  <c r="N116" i="10"/>
  <c r="Q134" i="7" s="1"/>
  <c r="M116" i="10"/>
  <c r="L116" i="10"/>
  <c r="O134" i="7" s="1"/>
  <c r="K116" i="10"/>
  <c r="J116" i="10"/>
  <c r="I116" i="10"/>
  <c r="H116" i="10"/>
  <c r="G116" i="10"/>
  <c r="F116" i="10"/>
  <c r="E116" i="10"/>
  <c r="D116" i="10"/>
  <c r="C116" i="10"/>
  <c r="AL114" i="10"/>
  <c r="AO132" i="7" s="1"/>
  <c r="AK114" i="10"/>
  <c r="AN132" i="7" s="1"/>
  <c r="AJ114" i="10"/>
  <c r="AM132" i="7" s="1"/>
  <c r="AI114" i="10"/>
  <c r="AL132" i="7" s="1"/>
  <c r="AH114" i="10"/>
  <c r="AG114" i="10"/>
  <c r="AF114" i="10"/>
  <c r="AE114" i="10"/>
  <c r="AD114" i="10"/>
  <c r="AC114" i="10"/>
  <c r="AB114" i="10"/>
  <c r="AA114" i="10"/>
  <c r="AD132" i="7" s="1"/>
  <c r="Z114" i="10"/>
  <c r="Y114" i="10"/>
  <c r="X114" i="10"/>
  <c r="AA132" i="7" s="1"/>
  <c r="W114" i="10"/>
  <c r="Z132" i="7" s="1"/>
  <c r="V114" i="10"/>
  <c r="U114" i="10"/>
  <c r="X132" i="7" s="1"/>
  <c r="T114" i="10"/>
  <c r="S114" i="10"/>
  <c r="R114" i="10"/>
  <c r="U132" i="7" s="1"/>
  <c r="Q114" i="10"/>
  <c r="P114" i="10"/>
  <c r="O114" i="10"/>
  <c r="N114" i="10"/>
  <c r="M114" i="10"/>
  <c r="P132" i="7" s="1"/>
  <c r="L114" i="10"/>
  <c r="K114" i="10"/>
  <c r="J114" i="10"/>
  <c r="M132" i="7" s="1"/>
  <c r="I114" i="10"/>
  <c r="L132" i="7" s="1"/>
  <c r="H114" i="10"/>
  <c r="K132" i="7" s="1"/>
  <c r="D132" i="7" s="1"/>
  <c r="G114" i="10"/>
  <c r="J132" i="7" s="1"/>
  <c r="F114" i="10"/>
  <c r="E114" i="10"/>
  <c r="D114" i="10"/>
  <c r="C114" i="10"/>
  <c r="AL113" i="10"/>
  <c r="AK113" i="10"/>
  <c r="AJ113" i="10"/>
  <c r="AI113" i="10"/>
  <c r="AL131" i="7" s="1"/>
  <c r="AH113" i="10"/>
  <c r="AG113" i="10"/>
  <c r="AF113" i="10"/>
  <c r="AI131" i="7" s="1"/>
  <c r="AE113" i="10"/>
  <c r="AH131" i="7" s="1"/>
  <c r="AD113" i="10"/>
  <c r="AG131" i="7" s="1"/>
  <c r="AC113" i="10"/>
  <c r="AB113" i="10"/>
  <c r="AA113" i="10"/>
  <c r="Z113" i="10"/>
  <c r="Y113" i="10"/>
  <c r="X113" i="10"/>
  <c r="W113" i="10"/>
  <c r="V113" i="10"/>
  <c r="U113" i="10"/>
  <c r="X131" i="7" s="1"/>
  <c r="T113" i="10"/>
  <c r="S113" i="10"/>
  <c r="R113" i="10"/>
  <c r="Q113" i="10"/>
  <c r="T131" i="7" s="1"/>
  <c r="P113" i="10"/>
  <c r="S131" i="7" s="1"/>
  <c r="O113" i="10"/>
  <c r="R131" i="7" s="1"/>
  <c r="N113" i="10"/>
  <c r="M113" i="10"/>
  <c r="L113" i="10"/>
  <c r="K113" i="10"/>
  <c r="J113" i="10"/>
  <c r="I113" i="10"/>
  <c r="H113" i="10"/>
  <c r="G113" i="10"/>
  <c r="J131" i="7" s="1"/>
  <c r="F113" i="10"/>
  <c r="E113" i="10"/>
  <c r="D113" i="10"/>
  <c r="G131" i="7" s="1"/>
  <c r="C113" i="10"/>
  <c r="F131" i="7" s="1"/>
  <c r="D131" i="7" s="1"/>
  <c r="AL111" i="10"/>
  <c r="AO129" i="7" s="1"/>
  <c r="AK111" i="10"/>
  <c r="AN129" i="7" s="1"/>
  <c r="AJ111" i="10"/>
  <c r="AI111" i="10"/>
  <c r="AL129" i="7" s="1"/>
  <c r="AH111" i="10"/>
  <c r="AG111" i="10"/>
  <c r="AF111" i="10"/>
  <c r="AE111" i="10"/>
  <c r="AD111" i="10"/>
  <c r="AC111" i="10"/>
  <c r="AF129" i="7" s="1"/>
  <c r="AB111" i="10"/>
  <c r="AA111" i="10"/>
  <c r="Z111" i="10"/>
  <c r="Y111" i="10"/>
  <c r="AB129" i="7" s="1"/>
  <c r="X111" i="10"/>
  <c r="AA129" i="7" s="1"/>
  <c r="W111" i="10"/>
  <c r="V111" i="10"/>
  <c r="U111" i="10"/>
  <c r="X129" i="7" s="1"/>
  <c r="T111" i="10"/>
  <c r="S111" i="10"/>
  <c r="R111" i="10"/>
  <c r="Q111" i="10"/>
  <c r="P111" i="10"/>
  <c r="O111" i="10"/>
  <c r="R129" i="7" s="1"/>
  <c r="N111" i="10"/>
  <c r="M111" i="10"/>
  <c r="L111" i="10"/>
  <c r="O129" i="7" s="1"/>
  <c r="K111" i="10"/>
  <c r="N129" i="7" s="1"/>
  <c r="J111" i="10"/>
  <c r="I111" i="10"/>
  <c r="L129" i="7" s="1"/>
  <c r="H111" i="10"/>
  <c r="G111" i="10"/>
  <c r="J129" i="7" s="1"/>
  <c r="F111" i="10"/>
  <c r="E111" i="10"/>
  <c r="D111" i="10"/>
  <c r="C111" i="10"/>
  <c r="AL110" i="10"/>
  <c r="AK110" i="10"/>
  <c r="AN128" i="7" s="1"/>
  <c r="AJ110" i="10"/>
  <c r="AI110" i="10"/>
  <c r="AH110" i="10"/>
  <c r="AK128" i="7" s="1"/>
  <c r="AG110" i="10"/>
  <c r="AJ128" i="7" s="1"/>
  <c r="AF110" i="10"/>
  <c r="AE110" i="10"/>
  <c r="AH128" i="7" s="1"/>
  <c r="AD110" i="10"/>
  <c r="AC110" i="10"/>
  <c r="AB110" i="10"/>
  <c r="AA110" i="10"/>
  <c r="Z110" i="10"/>
  <c r="Y110" i="10"/>
  <c r="X110" i="10"/>
  <c r="W110" i="10"/>
  <c r="Z128" i="7" s="1"/>
  <c r="V110" i="10"/>
  <c r="U110" i="10"/>
  <c r="T110" i="10"/>
  <c r="W128" i="7" s="1"/>
  <c r="S110" i="10"/>
  <c r="V128" i="7" s="1"/>
  <c r="R110" i="10"/>
  <c r="U128" i="7" s="1"/>
  <c r="Q110" i="10"/>
  <c r="T128" i="7" s="1"/>
  <c r="P110" i="10"/>
  <c r="O110" i="10"/>
  <c r="N110" i="10"/>
  <c r="M110" i="10"/>
  <c r="L110" i="10"/>
  <c r="K110" i="10"/>
  <c r="J110" i="10"/>
  <c r="I110" i="10"/>
  <c r="L128" i="7" s="1"/>
  <c r="H110" i="10"/>
  <c r="G110" i="10"/>
  <c r="F110" i="10"/>
  <c r="I128" i="7" s="1"/>
  <c r="E110" i="10"/>
  <c r="H128" i="7" s="1"/>
  <c r="D110" i="10"/>
  <c r="C110" i="10"/>
  <c r="F128" i="7" s="1"/>
  <c r="D128" i="7" s="1"/>
  <c r="E128" i="7" s="1"/>
  <c r="AL108" i="10"/>
  <c r="AK108" i="10"/>
  <c r="AJ108" i="10"/>
  <c r="AI108" i="10"/>
  <c r="AH108" i="10"/>
  <c r="AG108" i="10"/>
  <c r="AF108" i="10"/>
  <c r="AE108" i="10"/>
  <c r="AH126" i="7" s="1"/>
  <c r="AD108" i="10"/>
  <c r="AC108" i="10"/>
  <c r="AB108" i="10"/>
  <c r="AE126" i="7" s="1"/>
  <c r="AA108" i="10"/>
  <c r="Z108" i="10"/>
  <c r="AC126" i="7" s="1"/>
  <c r="Y108" i="10"/>
  <c r="X108" i="10"/>
  <c r="W108" i="10"/>
  <c r="V108" i="10"/>
  <c r="U108" i="10"/>
  <c r="T108" i="10"/>
  <c r="S108" i="10"/>
  <c r="R108" i="10"/>
  <c r="Q108" i="10"/>
  <c r="T126" i="7" s="1"/>
  <c r="P108" i="10"/>
  <c r="O108" i="10"/>
  <c r="N108" i="10"/>
  <c r="Q126" i="7" s="1"/>
  <c r="M108" i="10"/>
  <c r="P126" i="7" s="1"/>
  <c r="L108" i="10"/>
  <c r="O126" i="7" s="1"/>
  <c r="K108" i="10"/>
  <c r="J108" i="10"/>
  <c r="I108" i="10"/>
  <c r="H108" i="10"/>
  <c r="G108" i="10"/>
  <c r="F108" i="10"/>
  <c r="E108" i="10"/>
  <c r="D108" i="10"/>
  <c r="C108" i="10"/>
  <c r="F126" i="7" s="1"/>
  <c r="AL106" i="10"/>
  <c r="AK106" i="10"/>
  <c r="AJ106" i="10"/>
  <c r="AM124" i="7" s="1"/>
  <c r="AI106" i="10"/>
  <c r="AL124" i="7" s="1"/>
  <c r="AH106" i="10"/>
  <c r="AK124" i="7" s="1"/>
  <c r="AG106" i="10"/>
  <c r="AF106" i="10"/>
  <c r="AE106" i="10"/>
  <c r="AD106" i="10"/>
  <c r="AG124" i="7" s="1"/>
  <c r="AC106" i="10"/>
  <c r="AB106" i="10"/>
  <c r="AA106" i="10"/>
  <c r="Z106" i="10"/>
  <c r="Y106" i="10"/>
  <c r="AB124" i="7" s="1"/>
  <c r="X106" i="10"/>
  <c r="W106" i="10"/>
  <c r="V106" i="10"/>
  <c r="U106" i="10"/>
  <c r="X124" i="7" s="1"/>
  <c r="T106" i="10"/>
  <c r="W124" i="7" s="1"/>
  <c r="S106" i="10"/>
  <c r="R106" i="10"/>
  <c r="Q106" i="10"/>
  <c r="P106" i="10"/>
  <c r="S124" i="7" s="1"/>
  <c r="O106" i="10"/>
  <c r="N106" i="10"/>
  <c r="M106" i="10"/>
  <c r="L106" i="10"/>
  <c r="K106" i="10"/>
  <c r="N124" i="7" s="1"/>
  <c r="J106" i="10"/>
  <c r="I106" i="10"/>
  <c r="H106" i="10"/>
  <c r="K124" i="7" s="1"/>
  <c r="G106" i="10"/>
  <c r="J124" i="7" s="1"/>
  <c r="F106" i="10"/>
  <c r="I124" i="7" s="1"/>
  <c r="E106" i="10"/>
  <c r="D106" i="10"/>
  <c r="C106" i="10"/>
  <c r="AL105" i="10"/>
  <c r="AK105" i="10"/>
  <c r="AJ105" i="10"/>
  <c r="AI105" i="10"/>
  <c r="AH105" i="10"/>
  <c r="AG105" i="10"/>
  <c r="AJ123" i="7" s="1"/>
  <c r="AF105" i="10"/>
  <c r="AE105" i="10"/>
  <c r="AD105" i="10"/>
  <c r="AC105" i="10"/>
  <c r="AF123" i="7" s="1"/>
  <c r="AB105" i="10"/>
  <c r="AE123" i="7" s="1"/>
  <c r="AA105" i="10"/>
  <c r="AD123" i="7" s="1"/>
  <c r="Z105" i="10"/>
  <c r="Y105" i="10"/>
  <c r="X105" i="10"/>
  <c r="W105" i="10"/>
  <c r="V105" i="10"/>
  <c r="U105" i="10"/>
  <c r="T105" i="10"/>
  <c r="S105" i="10"/>
  <c r="V123" i="7" s="1"/>
  <c r="R105" i="10"/>
  <c r="Q105" i="10"/>
  <c r="P105" i="10"/>
  <c r="S123" i="7" s="1"/>
  <c r="O105" i="10"/>
  <c r="R123" i="7" s="1"/>
  <c r="N105" i="10"/>
  <c r="Q123" i="7" s="1"/>
  <c r="M105" i="10"/>
  <c r="L105" i="10"/>
  <c r="K105" i="10"/>
  <c r="J105" i="10"/>
  <c r="I105" i="10"/>
  <c r="H105" i="10"/>
  <c r="G105" i="10"/>
  <c r="F105" i="10"/>
  <c r="E105" i="10"/>
  <c r="D105" i="10"/>
  <c r="C105" i="10"/>
  <c r="AL104" i="10"/>
  <c r="AO122" i="7" s="1"/>
  <c r="AK104" i="10"/>
  <c r="AN122" i="7" s="1"/>
  <c r="AJ104" i="10"/>
  <c r="AM122" i="7" s="1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AA122" i="7" s="1"/>
  <c r="W104" i="10"/>
  <c r="Z122" i="7" s="1"/>
  <c r="V104" i="10"/>
  <c r="Y122" i="7" s="1"/>
  <c r="U104" i="10"/>
  <c r="X122" i="7" s="1"/>
  <c r="T104" i="10"/>
  <c r="S104" i="10"/>
  <c r="R104" i="10"/>
  <c r="Q104" i="10"/>
  <c r="P104" i="10"/>
  <c r="O104" i="10"/>
  <c r="N104" i="10"/>
  <c r="M104" i="10"/>
  <c r="P122" i="7" s="1"/>
  <c r="L104" i="10"/>
  <c r="K104" i="10"/>
  <c r="J104" i="10"/>
  <c r="I104" i="10"/>
  <c r="L122" i="7" s="1"/>
  <c r="H104" i="10"/>
  <c r="G104" i="10"/>
  <c r="J122" i="7" s="1"/>
  <c r="F104" i="10"/>
  <c r="E104" i="10"/>
  <c r="D104" i="10"/>
  <c r="C104" i="10"/>
  <c r="AL103" i="10"/>
  <c r="AK103" i="10"/>
  <c r="AJ103" i="10"/>
  <c r="AI103" i="10"/>
  <c r="AH103" i="10"/>
  <c r="AG103" i="10"/>
  <c r="AF103" i="10"/>
  <c r="AE103" i="10"/>
  <c r="AH121" i="7" s="1"/>
  <c r="AD103" i="10"/>
  <c r="AG121" i="7" s="1"/>
  <c r="AC103" i="10"/>
  <c r="AF121" i="7" s="1"/>
  <c r="AB103" i="10"/>
  <c r="AA103" i="10"/>
  <c r="AD121" i="7" s="1"/>
  <c r="Z103" i="10"/>
  <c r="Y103" i="10"/>
  <c r="X103" i="10"/>
  <c r="W103" i="10"/>
  <c r="V103" i="10"/>
  <c r="U103" i="10"/>
  <c r="X121" i="7" s="1"/>
  <c r="T103" i="10"/>
  <c r="S103" i="10"/>
  <c r="R103" i="10"/>
  <c r="U121" i="7" s="1"/>
  <c r="Q103" i="10"/>
  <c r="T121" i="7" s="1"/>
  <c r="P103" i="10"/>
  <c r="S121" i="7" s="1"/>
  <c r="O103" i="10"/>
  <c r="R121" i="7" s="1"/>
  <c r="N103" i="10"/>
  <c r="M103" i="10"/>
  <c r="P121" i="7" s="1"/>
  <c r="L103" i="10"/>
  <c r="K103" i="10"/>
  <c r="J103" i="10"/>
  <c r="I103" i="10"/>
  <c r="H103" i="10"/>
  <c r="G103" i="10"/>
  <c r="F103" i="10"/>
  <c r="E103" i="10"/>
  <c r="D103" i="10"/>
  <c r="G121" i="7" s="1"/>
  <c r="C103" i="10"/>
  <c r="F121" i="7" s="1"/>
  <c r="AL102" i="10"/>
  <c r="AO120" i="7" s="1"/>
  <c r="AK102" i="10"/>
  <c r="AJ102" i="10"/>
  <c r="AI102" i="10"/>
  <c r="AH102" i="10"/>
  <c r="AG102" i="10"/>
  <c r="AF102" i="10"/>
  <c r="AE102" i="10"/>
  <c r="AD102" i="10"/>
  <c r="AC102" i="10"/>
  <c r="AF120" i="7" s="1"/>
  <c r="AB102" i="10"/>
  <c r="AA102" i="10"/>
  <c r="Z102" i="10"/>
  <c r="AC120" i="7" s="1"/>
  <c r="Y102" i="10"/>
  <c r="AB120" i="7" s="1"/>
  <c r="X102" i="10"/>
  <c r="AA120" i="7" s="1"/>
  <c r="W102" i="10"/>
  <c r="Z120" i="7" s="1"/>
  <c r="V102" i="10"/>
  <c r="U102" i="10"/>
  <c r="T102" i="10"/>
  <c r="S102" i="10"/>
  <c r="R102" i="10"/>
  <c r="Q102" i="10"/>
  <c r="P102" i="10"/>
  <c r="O102" i="10"/>
  <c r="R120" i="7" s="1"/>
  <c r="N102" i="10"/>
  <c r="M102" i="10"/>
  <c r="L102" i="10"/>
  <c r="O120" i="7" s="1"/>
  <c r="K102" i="10"/>
  <c r="N120" i="7" s="1"/>
  <c r="J102" i="10"/>
  <c r="M120" i="7" s="1"/>
  <c r="D120" i="7" s="1"/>
  <c r="E120" i="7" s="1"/>
  <c r="I102" i="10"/>
  <c r="L120" i="7" s="1"/>
  <c r="H102" i="10"/>
  <c r="G102" i="10"/>
  <c r="F102" i="10"/>
  <c r="E102" i="10"/>
  <c r="D102" i="10"/>
  <c r="C102" i="10"/>
  <c r="AL101" i="10"/>
  <c r="AK101" i="10"/>
  <c r="AN119" i="7" s="1"/>
  <c r="AJ101" i="10"/>
  <c r="AI101" i="10"/>
  <c r="AH101" i="10"/>
  <c r="AK119" i="7" s="1"/>
  <c r="AG101" i="10"/>
  <c r="AJ119" i="7" s="1"/>
  <c r="AF101" i="10"/>
  <c r="AI119" i="7" s="1"/>
  <c r="AE101" i="10"/>
  <c r="AH119" i="7" s="1"/>
  <c r="AD101" i="10"/>
  <c r="AC101" i="10"/>
  <c r="AB101" i="10"/>
  <c r="AA101" i="10"/>
  <c r="Z101" i="10"/>
  <c r="Y101" i="10"/>
  <c r="X101" i="10"/>
  <c r="W101" i="10"/>
  <c r="Z119" i="7" s="1"/>
  <c r="V101" i="10"/>
  <c r="U101" i="10"/>
  <c r="T101" i="10"/>
  <c r="W119" i="7" s="1"/>
  <c r="S101" i="10"/>
  <c r="V119" i="7" s="1"/>
  <c r="R101" i="10"/>
  <c r="U119" i="7" s="1"/>
  <c r="Q101" i="10"/>
  <c r="T119" i="7" s="1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H119" i="7" s="1"/>
  <c r="D101" i="10"/>
  <c r="G119" i="7" s="1"/>
  <c r="C101" i="10"/>
  <c r="F119" i="7" s="1"/>
  <c r="AL100" i="10"/>
  <c r="AO118" i="7" s="1"/>
  <c r="AK100" i="10"/>
  <c r="AJ100" i="10"/>
  <c r="AI100" i="10"/>
  <c r="AH100" i="10"/>
  <c r="AG100" i="10"/>
  <c r="AF100" i="10"/>
  <c r="AE100" i="10"/>
  <c r="AH118" i="7" s="1"/>
  <c r="AD100" i="10"/>
  <c r="AC100" i="10"/>
  <c r="AB100" i="10"/>
  <c r="AE118" i="7" s="1"/>
  <c r="AA100" i="10"/>
  <c r="AD118" i="7" s="1"/>
  <c r="Z100" i="10"/>
  <c r="AC118" i="7" s="1"/>
  <c r="Y100" i="10"/>
  <c r="AB118" i="7" s="1"/>
  <c r="X100" i="10"/>
  <c r="AA118" i="7" s="1"/>
  <c r="W100" i="10"/>
  <c r="V100" i="10"/>
  <c r="U100" i="10"/>
  <c r="T100" i="10"/>
  <c r="S100" i="10"/>
  <c r="R100" i="10"/>
  <c r="Q100" i="10"/>
  <c r="T118" i="7" s="1"/>
  <c r="P100" i="10"/>
  <c r="O100" i="10"/>
  <c r="N100" i="10"/>
  <c r="Q118" i="7" s="1"/>
  <c r="M100" i="10"/>
  <c r="P118" i="7" s="1"/>
  <c r="L100" i="10"/>
  <c r="O118" i="7" s="1"/>
  <c r="K100" i="10"/>
  <c r="J100" i="10"/>
  <c r="M118" i="7" s="1"/>
  <c r="I100" i="10"/>
  <c r="H100" i="10"/>
  <c r="G100" i="10"/>
  <c r="F100" i="10"/>
  <c r="E100" i="10"/>
  <c r="D100" i="10"/>
  <c r="C100" i="10"/>
  <c r="F118" i="7" s="1"/>
  <c r="AL98" i="10"/>
  <c r="AK98" i="10"/>
  <c r="AJ98" i="10"/>
  <c r="AM116" i="7" s="1"/>
  <c r="AI98" i="10"/>
  <c r="AH98" i="10"/>
  <c r="AK116" i="7" s="1"/>
  <c r="AG98" i="10"/>
  <c r="AJ116" i="7" s="1"/>
  <c r="AF98" i="10"/>
  <c r="AE98" i="10"/>
  <c r="AD98" i="10"/>
  <c r="AC98" i="10"/>
  <c r="AB98" i="10"/>
  <c r="AA98" i="10"/>
  <c r="Z98" i="10"/>
  <c r="Y98" i="10"/>
  <c r="AB116" i="7" s="1"/>
  <c r="X98" i="10"/>
  <c r="W98" i="10"/>
  <c r="V98" i="10"/>
  <c r="Y116" i="7" s="1"/>
  <c r="U98" i="10"/>
  <c r="T98" i="10"/>
  <c r="S98" i="10"/>
  <c r="R98" i="10"/>
  <c r="Q98" i="10"/>
  <c r="P98" i="10"/>
  <c r="O98" i="10"/>
  <c r="N98" i="10"/>
  <c r="M98" i="10"/>
  <c r="L98" i="10"/>
  <c r="K98" i="10"/>
  <c r="N116" i="7" s="1"/>
  <c r="J98" i="10"/>
  <c r="I98" i="10"/>
  <c r="H98" i="10"/>
  <c r="K116" i="7" s="1"/>
  <c r="G98" i="10"/>
  <c r="J116" i="7" s="1"/>
  <c r="F98" i="10"/>
  <c r="I116" i="7" s="1"/>
  <c r="E98" i="10"/>
  <c r="H116" i="7" s="1"/>
  <c r="D116" i="7" s="1"/>
  <c r="E116" i="7" s="1"/>
  <c r="D98" i="10"/>
  <c r="C98" i="10"/>
  <c r="AL97" i="10"/>
  <c r="AK97" i="10"/>
  <c r="AJ97" i="10"/>
  <c r="AI97" i="10"/>
  <c r="AH97" i="10"/>
  <c r="AG97" i="10"/>
  <c r="AJ115" i="7" s="1"/>
  <c r="AF97" i="10"/>
  <c r="AE97" i="10"/>
  <c r="AD97" i="10"/>
  <c r="AC97" i="10"/>
  <c r="AB97" i="10"/>
  <c r="AA97" i="10"/>
  <c r="AD115" i="7" s="1"/>
  <c r="Z97" i="10"/>
  <c r="Y97" i="10"/>
  <c r="X97" i="10"/>
  <c r="W97" i="10"/>
  <c r="V97" i="10"/>
  <c r="U97" i="10"/>
  <c r="T97" i="10"/>
  <c r="S97" i="10"/>
  <c r="V115" i="7" s="1"/>
  <c r="R97" i="10"/>
  <c r="Q97" i="10"/>
  <c r="P97" i="10"/>
  <c r="S115" i="7" s="1"/>
  <c r="O97" i="10"/>
  <c r="R115" i="7" s="1"/>
  <c r="N97" i="10"/>
  <c r="M97" i="10"/>
  <c r="P115" i="7" s="1"/>
  <c r="L97" i="10"/>
  <c r="K97" i="10"/>
  <c r="J97" i="10"/>
  <c r="I97" i="10"/>
  <c r="H97" i="10"/>
  <c r="G97" i="10"/>
  <c r="F97" i="10"/>
  <c r="E97" i="10"/>
  <c r="H115" i="7" s="1"/>
  <c r="D97" i="10"/>
  <c r="C97" i="10"/>
  <c r="AL96" i="10"/>
  <c r="AK96" i="10"/>
  <c r="AN114" i="7" s="1"/>
  <c r="AJ96" i="10"/>
  <c r="AI96" i="10"/>
  <c r="AL114" i="7" s="1"/>
  <c r="AH96" i="10"/>
  <c r="AK114" i="7" s="1"/>
  <c r="AG96" i="10"/>
  <c r="AF96" i="10"/>
  <c r="AI114" i="7" s="1"/>
  <c r="AE96" i="10"/>
  <c r="AD96" i="10"/>
  <c r="AC96" i="10"/>
  <c r="AB96" i="10"/>
  <c r="AA96" i="10"/>
  <c r="AD114" i="7" s="1"/>
  <c r="Z96" i="10"/>
  <c r="Y96" i="10"/>
  <c r="X96" i="10"/>
  <c r="AA114" i="7" s="1"/>
  <c r="W96" i="10"/>
  <c r="Z114" i="7" s="1"/>
  <c r="V96" i="10"/>
  <c r="U96" i="10"/>
  <c r="X114" i="7" s="1"/>
  <c r="T96" i="10"/>
  <c r="W114" i="7" s="1"/>
  <c r="S96" i="10"/>
  <c r="R96" i="10"/>
  <c r="Q96" i="10"/>
  <c r="P96" i="10"/>
  <c r="O96" i="10"/>
  <c r="N96" i="10"/>
  <c r="M96" i="10"/>
  <c r="P114" i="7" s="1"/>
  <c r="L96" i="10"/>
  <c r="K96" i="10"/>
  <c r="J96" i="10"/>
  <c r="M114" i="7" s="1"/>
  <c r="I96" i="10"/>
  <c r="L114" i="7" s="1"/>
  <c r="H96" i="10"/>
  <c r="K114" i="7" s="1"/>
  <c r="G96" i="10"/>
  <c r="J114" i="7" s="1"/>
  <c r="F96" i="10"/>
  <c r="I114" i="7" s="1"/>
  <c r="E96" i="10"/>
  <c r="D96" i="10"/>
  <c r="C96" i="10"/>
  <c r="AL95" i="10"/>
  <c r="AK95" i="10"/>
  <c r="AJ95" i="10"/>
  <c r="AI95" i="10"/>
  <c r="AL113" i="7" s="1"/>
  <c r="AH95" i="10"/>
  <c r="AG95" i="10"/>
  <c r="AJ113" i="7" s="1"/>
  <c r="AF95" i="10"/>
  <c r="AI113" i="7" s="1"/>
  <c r="AE95" i="10"/>
  <c r="AH113" i="7" s="1"/>
  <c r="AD95" i="10"/>
  <c r="AG113" i="7" s="1"/>
  <c r="AC95" i="10"/>
  <c r="AF113" i="7" s="1"/>
  <c r="AB95" i="10"/>
  <c r="AE113" i="7" s="1"/>
  <c r="AA95" i="10"/>
  <c r="Z95" i="10"/>
  <c r="Y95" i="10"/>
  <c r="X95" i="10"/>
  <c r="W95" i="10"/>
  <c r="V95" i="10"/>
  <c r="U95" i="10"/>
  <c r="T95" i="10"/>
  <c r="S95" i="10"/>
  <c r="V113" i="7" s="1"/>
  <c r="R95" i="10"/>
  <c r="Q95" i="10"/>
  <c r="T113" i="7" s="1"/>
  <c r="P95" i="10"/>
  <c r="S113" i="7" s="1"/>
  <c r="O95" i="10"/>
  <c r="N95" i="10"/>
  <c r="M95" i="10"/>
  <c r="L95" i="10"/>
  <c r="K95" i="10"/>
  <c r="J95" i="10"/>
  <c r="I95" i="10"/>
  <c r="H95" i="10"/>
  <c r="G95" i="10"/>
  <c r="F95" i="10"/>
  <c r="E95" i="10"/>
  <c r="H113" i="7" s="1"/>
  <c r="D95" i="10"/>
  <c r="G113" i="7" s="1"/>
  <c r="C95" i="10"/>
  <c r="F113" i="7" s="1"/>
  <c r="AL93" i="10"/>
  <c r="AO111" i="7" s="1"/>
  <c r="AK93" i="10"/>
  <c r="AJ93" i="10"/>
  <c r="AI93" i="10"/>
  <c r="AH93" i="10"/>
  <c r="AG93" i="10"/>
  <c r="AF93" i="10"/>
  <c r="AE93" i="10"/>
  <c r="AD93" i="10"/>
  <c r="AC93" i="10"/>
  <c r="AF111" i="7" s="1"/>
  <c r="AB93" i="10"/>
  <c r="AA93" i="10"/>
  <c r="Z93" i="10"/>
  <c r="AC111" i="7" s="1"/>
  <c r="Y93" i="10"/>
  <c r="AB111" i="7" s="1"/>
  <c r="X93" i="10"/>
  <c r="AA111" i="7" s="1"/>
  <c r="W93" i="10"/>
  <c r="Z111" i="7" s="1"/>
  <c r="V93" i="10"/>
  <c r="U93" i="10"/>
  <c r="T93" i="10"/>
  <c r="S93" i="10"/>
  <c r="R93" i="10"/>
  <c r="Q93" i="10"/>
  <c r="P93" i="10"/>
  <c r="O93" i="10"/>
  <c r="R111" i="7" s="1"/>
  <c r="N93" i="10"/>
  <c r="M93" i="10"/>
  <c r="L93" i="10"/>
  <c r="O111" i="7" s="1"/>
  <c r="K93" i="10"/>
  <c r="N111" i="7" s="1"/>
  <c r="J93" i="10"/>
  <c r="M111" i="7" s="1"/>
  <c r="I93" i="10"/>
  <c r="L111" i="7" s="1"/>
  <c r="H93" i="10"/>
  <c r="G93" i="10"/>
  <c r="F93" i="10"/>
  <c r="E93" i="10"/>
  <c r="D93" i="10"/>
  <c r="C93" i="10"/>
  <c r="AL91" i="10"/>
  <c r="AK91" i="10"/>
  <c r="AN109" i="7" s="1"/>
  <c r="AJ91" i="10"/>
  <c r="AI91" i="10"/>
  <c r="AH91" i="10"/>
  <c r="AK109" i="7" s="1"/>
  <c r="AG91" i="10"/>
  <c r="AJ109" i="7" s="1"/>
  <c r="AF91" i="10"/>
  <c r="AI109" i="7" s="1"/>
  <c r="AE91" i="10"/>
  <c r="AH109" i="7" s="1"/>
  <c r="AD91" i="10"/>
  <c r="AC91" i="10"/>
  <c r="AF109" i="7" s="1"/>
  <c r="AB91" i="10"/>
  <c r="AA91" i="10"/>
  <c r="Z91" i="10"/>
  <c r="Y91" i="10"/>
  <c r="X91" i="10"/>
  <c r="W91" i="10"/>
  <c r="V91" i="10"/>
  <c r="U91" i="10"/>
  <c r="T91" i="10"/>
  <c r="W109" i="7" s="1"/>
  <c r="S91" i="10"/>
  <c r="V109" i="7" s="1"/>
  <c r="R91" i="10"/>
  <c r="U109" i="7" s="1"/>
  <c r="Q91" i="10"/>
  <c r="T109" i="7" s="1"/>
  <c r="P91" i="10"/>
  <c r="O91" i="10"/>
  <c r="R109" i="7" s="1"/>
  <c r="N91" i="10"/>
  <c r="M91" i="10"/>
  <c r="L91" i="10"/>
  <c r="K91" i="10"/>
  <c r="J91" i="10"/>
  <c r="I91" i="10"/>
  <c r="L109" i="7" s="1"/>
  <c r="H91" i="10"/>
  <c r="G91" i="10"/>
  <c r="F91" i="10"/>
  <c r="E91" i="10"/>
  <c r="H109" i="7" s="1"/>
  <c r="D91" i="10"/>
  <c r="G109" i="7" s="1"/>
  <c r="C91" i="10"/>
  <c r="F109" i="7" s="1"/>
  <c r="AL90" i="10"/>
  <c r="AK90" i="10"/>
  <c r="AJ90" i="10"/>
  <c r="AI90" i="10"/>
  <c r="AH90" i="10"/>
  <c r="AG90" i="10"/>
  <c r="AF90" i="10"/>
  <c r="AE90" i="10"/>
  <c r="AH108" i="7" s="1"/>
  <c r="AD90" i="10"/>
  <c r="AC90" i="10"/>
  <c r="AB90" i="10"/>
  <c r="AE108" i="7" s="1"/>
  <c r="AA90" i="10"/>
  <c r="AD108" i="7" s="1"/>
  <c r="Z90" i="10"/>
  <c r="Y90" i="10"/>
  <c r="AB108" i="7" s="1"/>
  <c r="X90" i="10"/>
  <c r="W90" i="10"/>
  <c r="V90" i="10"/>
  <c r="U90" i="10"/>
  <c r="T90" i="10"/>
  <c r="S90" i="10"/>
  <c r="R90" i="10"/>
  <c r="Q90" i="10"/>
  <c r="T108" i="7" s="1"/>
  <c r="P90" i="10"/>
  <c r="O90" i="10"/>
  <c r="N90" i="10"/>
  <c r="Q108" i="7" s="1"/>
  <c r="M90" i="10"/>
  <c r="P108" i="7" s="1"/>
  <c r="L90" i="10"/>
  <c r="O108" i="7" s="1"/>
  <c r="K90" i="10"/>
  <c r="N108" i="7" s="1"/>
  <c r="J90" i="10"/>
  <c r="I90" i="10"/>
  <c r="H90" i="10"/>
  <c r="G90" i="10"/>
  <c r="F90" i="10"/>
  <c r="E90" i="10"/>
  <c r="D90" i="10"/>
  <c r="C90" i="10"/>
  <c r="F108" i="7" s="1"/>
  <c r="AL89" i="10"/>
  <c r="AK89" i="10"/>
  <c r="AJ89" i="10"/>
  <c r="AM107" i="7" s="1"/>
  <c r="AI89" i="10"/>
  <c r="AL107" i="7" s="1"/>
  <c r="AH89" i="10"/>
  <c r="AK107" i="7" s="1"/>
  <c r="AG89" i="10"/>
  <c r="AJ107" i="7" s="1"/>
  <c r="AF89" i="10"/>
  <c r="AE89" i="10"/>
  <c r="AD89" i="10"/>
  <c r="AC89" i="10"/>
  <c r="AB89" i="10"/>
  <c r="AA89" i="10"/>
  <c r="Z89" i="10"/>
  <c r="Y89" i="10"/>
  <c r="AB107" i="7" s="1"/>
  <c r="X89" i="10"/>
  <c r="W89" i="10"/>
  <c r="V89" i="10"/>
  <c r="Y107" i="7" s="1"/>
  <c r="U89" i="10"/>
  <c r="X107" i="7" s="1"/>
  <c r="T89" i="10"/>
  <c r="W107" i="7" s="1"/>
  <c r="S89" i="10"/>
  <c r="V107" i="7" s="1"/>
  <c r="R89" i="10"/>
  <c r="Q89" i="10"/>
  <c r="P89" i="10"/>
  <c r="O89" i="10"/>
  <c r="N89" i="10"/>
  <c r="M89" i="10"/>
  <c r="L89" i="10"/>
  <c r="K89" i="10"/>
  <c r="N107" i="7" s="1"/>
  <c r="J89" i="10"/>
  <c r="I89" i="10"/>
  <c r="H89" i="10"/>
  <c r="K107" i="7" s="1"/>
  <c r="G89" i="10"/>
  <c r="J107" i="7" s="1"/>
  <c r="F89" i="10"/>
  <c r="I107" i="7" s="1"/>
  <c r="E89" i="10"/>
  <c r="H107" i="7" s="1"/>
  <c r="D107" i="7" s="1"/>
  <c r="E107" i="7" s="1"/>
  <c r="D89" i="10"/>
  <c r="C89" i="10"/>
  <c r="AL86" i="10"/>
  <c r="AO104" i="7" s="1"/>
  <c r="AK86" i="10"/>
  <c r="AJ86" i="10"/>
  <c r="AI86" i="10"/>
  <c r="AH86" i="10"/>
  <c r="AG86" i="10"/>
  <c r="AF86" i="10"/>
  <c r="AE86" i="10"/>
  <c r="AD86" i="10"/>
  <c r="AG104" i="7" s="1"/>
  <c r="AC86" i="10"/>
  <c r="AF104" i="7" s="1"/>
  <c r="AB86" i="10"/>
  <c r="AA86" i="10"/>
  <c r="AD104" i="7" s="1"/>
  <c r="Z86" i="10"/>
  <c r="Y86" i="10"/>
  <c r="X86" i="10"/>
  <c r="AA104" i="7" s="1"/>
  <c r="W86" i="10"/>
  <c r="V86" i="10"/>
  <c r="U86" i="10"/>
  <c r="T86" i="10"/>
  <c r="S86" i="10"/>
  <c r="V104" i="7" s="1"/>
  <c r="R86" i="10"/>
  <c r="Q86" i="10"/>
  <c r="P86" i="10"/>
  <c r="S104" i="7" s="1"/>
  <c r="O86" i="10"/>
  <c r="R104" i="7" s="1"/>
  <c r="N86" i="10"/>
  <c r="Q104" i="7" s="1"/>
  <c r="M86" i="10"/>
  <c r="P104" i="7" s="1"/>
  <c r="L86" i="10"/>
  <c r="K86" i="10"/>
  <c r="J86" i="10"/>
  <c r="M104" i="7" s="1"/>
  <c r="I86" i="10"/>
  <c r="H86" i="10"/>
  <c r="G86" i="10"/>
  <c r="F86" i="10"/>
  <c r="E86" i="10"/>
  <c r="H104" i="7" s="1"/>
  <c r="D86" i="10"/>
  <c r="C86" i="10"/>
  <c r="AL83" i="10"/>
  <c r="AO101" i="7" s="1"/>
  <c r="AK83" i="10"/>
  <c r="AN101" i="7" s="1"/>
  <c r="AJ83" i="10"/>
  <c r="AM101" i="7" s="1"/>
  <c r="AI83" i="10"/>
  <c r="AL101" i="7" s="1"/>
  <c r="AH83" i="10"/>
  <c r="AG83" i="10"/>
  <c r="AF83" i="10"/>
  <c r="AI101" i="7" s="1"/>
  <c r="AE83" i="10"/>
  <c r="AD83" i="10"/>
  <c r="AC83" i="10"/>
  <c r="AB83" i="10"/>
  <c r="AA83" i="10"/>
  <c r="AD101" i="7" s="1"/>
  <c r="Z83" i="10"/>
  <c r="Y83" i="10"/>
  <c r="X83" i="10"/>
  <c r="W83" i="10"/>
  <c r="Z101" i="7" s="1"/>
  <c r="V83" i="10"/>
  <c r="Y101" i="7" s="1"/>
  <c r="U83" i="10"/>
  <c r="X101" i="7" s="1"/>
  <c r="T83" i="10"/>
  <c r="S83" i="10"/>
  <c r="R83" i="10"/>
  <c r="Q83" i="10"/>
  <c r="P83" i="10"/>
  <c r="O83" i="10"/>
  <c r="N83" i="10"/>
  <c r="M83" i="10"/>
  <c r="P101" i="7" s="1"/>
  <c r="L83" i="10"/>
  <c r="K83" i="10"/>
  <c r="J83" i="10"/>
  <c r="M101" i="7" s="1"/>
  <c r="I83" i="10"/>
  <c r="L101" i="7" s="1"/>
  <c r="D101" i="7" s="1"/>
  <c r="H83" i="10"/>
  <c r="K101" i="7" s="1"/>
  <c r="G83" i="10"/>
  <c r="J101" i="7" s="1"/>
  <c r="F83" i="10"/>
  <c r="E83" i="10"/>
  <c r="D83" i="10"/>
  <c r="G101" i="7" s="1"/>
  <c r="C83" i="10"/>
  <c r="AL82" i="10"/>
  <c r="AK82" i="10"/>
  <c r="AJ82" i="10"/>
  <c r="AI82" i="10"/>
  <c r="AL100" i="7" s="1"/>
  <c r="AH82" i="10"/>
  <c r="AK100" i="7" s="1"/>
  <c r="AG82" i="10"/>
  <c r="AF82" i="10"/>
  <c r="AI100" i="7" s="1"/>
  <c r="AE82" i="10"/>
  <c r="AH100" i="7" s="1"/>
  <c r="AD82" i="10"/>
  <c r="AG100" i="7" s="1"/>
  <c r="AC82" i="10"/>
  <c r="AF100" i="7" s="1"/>
  <c r="AB82" i="10"/>
  <c r="AE100" i="7" s="1"/>
  <c r="AA82" i="10"/>
  <c r="Z82" i="10"/>
  <c r="Y82" i="10"/>
  <c r="X82" i="10"/>
  <c r="W82" i="10"/>
  <c r="V82" i="10"/>
  <c r="U82" i="10"/>
  <c r="X100" i="7" s="1"/>
  <c r="T82" i="10"/>
  <c r="W100" i="7" s="1"/>
  <c r="S82" i="10"/>
  <c r="R82" i="10"/>
  <c r="U100" i="7" s="1"/>
  <c r="Q82" i="10"/>
  <c r="T100" i="7" s="1"/>
  <c r="P82" i="10"/>
  <c r="S100" i="7" s="1"/>
  <c r="O82" i="10"/>
  <c r="R100" i="7" s="1"/>
  <c r="N82" i="10"/>
  <c r="M82" i="10"/>
  <c r="L82" i="10"/>
  <c r="K82" i="10"/>
  <c r="J82" i="10"/>
  <c r="I82" i="10"/>
  <c r="H82" i="10"/>
  <c r="G82" i="10"/>
  <c r="J100" i="7" s="1"/>
  <c r="F82" i="10"/>
  <c r="I100" i="7" s="1"/>
  <c r="E82" i="10"/>
  <c r="D82" i="10"/>
  <c r="C82" i="10"/>
  <c r="F100" i="7" s="1"/>
  <c r="AL81" i="10"/>
  <c r="AO99" i="7" s="1"/>
  <c r="AK81" i="10"/>
  <c r="AN99" i="7" s="1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AB99" i="7" s="1"/>
  <c r="X81" i="10"/>
  <c r="AA99" i="7" s="1"/>
  <c r="W81" i="10"/>
  <c r="Z99" i="7" s="1"/>
  <c r="V81" i="10"/>
  <c r="U81" i="10"/>
  <c r="T81" i="10"/>
  <c r="S81" i="10"/>
  <c r="R81" i="10"/>
  <c r="Q81" i="10"/>
  <c r="P81" i="10"/>
  <c r="O81" i="10"/>
  <c r="R99" i="7" s="1"/>
  <c r="N81" i="10"/>
  <c r="M81" i="10"/>
  <c r="L81" i="10"/>
  <c r="K81" i="10"/>
  <c r="N99" i="7" s="1"/>
  <c r="J81" i="10"/>
  <c r="I81" i="10"/>
  <c r="L99" i="7" s="1"/>
  <c r="H81" i="10"/>
  <c r="G81" i="10"/>
  <c r="F81" i="10"/>
  <c r="E81" i="10"/>
  <c r="D81" i="10"/>
  <c r="C81" i="10"/>
  <c r="AL80" i="10"/>
  <c r="AK80" i="10"/>
  <c r="AN98" i="7" s="1"/>
  <c r="AJ80" i="10"/>
  <c r="AI80" i="10"/>
  <c r="AH80" i="10"/>
  <c r="AG80" i="10"/>
  <c r="AF80" i="10"/>
  <c r="AI98" i="7" s="1"/>
  <c r="AE80" i="10"/>
  <c r="AH98" i="7" s="1"/>
  <c r="AD80" i="10"/>
  <c r="AC80" i="10"/>
  <c r="AB80" i="10"/>
  <c r="AE98" i="7" s="1"/>
  <c r="AA80" i="10"/>
  <c r="Z80" i="10"/>
  <c r="Y80" i="10"/>
  <c r="X80" i="10"/>
  <c r="W80" i="10"/>
  <c r="Z98" i="7" s="1"/>
  <c r="V80" i="10"/>
  <c r="U80" i="10"/>
  <c r="T80" i="10"/>
  <c r="W98" i="7" s="1"/>
  <c r="S80" i="10"/>
  <c r="V98" i="7" s="1"/>
  <c r="R80" i="10"/>
  <c r="U98" i="7" s="1"/>
  <c r="Q80" i="10"/>
  <c r="P80" i="10"/>
  <c r="O80" i="10"/>
  <c r="N80" i="10"/>
  <c r="M80" i="10"/>
  <c r="L80" i="10"/>
  <c r="K80" i="10"/>
  <c r="J80" i="10"/>
  <c r="I80" i="10"/>
  <c r="L98" i="7" s="1"/>
  <c r="H80" i="10"/>
  <c r="G80" i="10"/>
  <c r="F80" i="10"/>
  <c r="E80" i="10"/>
  <c r="H98" i="7" s="1"/>
  <c r="D80" i="10"/>
  <c r="G98" i="7" s="1"/>
  <c r="C80" i="10"/>
  <c r="F98" i="7" s="1"/>
  <c r="D98" i="7" s="1"/>
  <c r="AL78" i="10"/>
  <c r="AK78" i="10"/>
  <c r="AJ78" i="10"/>
  <c r="AI78" i="10"/>
  <c r="AH78" i="10"/>
  <c r="AG78" i="10"/>
  <c r="AF78" i="10"/>
  <c r="AE78" i="10"/>
  <c r="AH96" i="7" s="1"/>
  <c r="AD78" i="10"/>
  <c r="AG96" i="7" s="1"/>
  <c r="AC78" i="10"/>
  <c r="AB78" i="10"/>
  <c r="AE96" i="7" s="1"/>
  <c r="AA78" i="10"/>
  <c r="AD96" i="7" s="1"/>
  <c r="Z78" i="10"/>
  <c r="Y78" i="10"/>
  <c r="X78" i="10"/>
  <c r="W78" i="10"/>
  <c r="V78" i="10"/>
  <c r="Y96" i="7" s="1"/>
  <c r="U78" i="10"/>
  <c r="T78" i="10"/>
  <c r="S78" i="10"/>
  <c r="R78" i="10"/>
  <c r="Q78" i="10"/>
  <c r="T96" i="7" s="1"/>
  <c r="P78" i="10"/>
  <c r="S96" i="7" s="1"/>
  <c r="O78" i="10"/>
  <c r="N78" i="10"/>
  <c r="Q96" i="7" s="1"/>
  <c r="M78" i="10"/>
  <c r="P96" i="7" s="1"/>
  <c r="L78" i="10"/>
  <c r="O96" i="7" s="1"/>
  <c r="K78" i="10"/>
  <c r="N96" i="7" s="1"/>
  <c r="J78" i="10"/>
  <c r="I78" i="10"/>
  <c r="H78" i="10"/>
  <c r="K96" i="7" s="1"/>
  <c r="G78" i="10"/>
  <c r="F78" i="10"/>
  <c r="E78" i="10"/>
  <c r="D78" i="10"/>
  <c r="C78" i="10"/>
  <c r="F96" i="7" s="1"/>
  <c r="AL77" i="10"/>
  <c r="AK77" i="10"/>
  <c r="AJ77" i="10"/>
  <c r="AM95" i="7" s="1"/>
  <c r="AI77" i="10"/>
  <c r="AL95" i="7" s="1"/>
  <c r="AH77" i="10"/>
  <c r="AK95" i="7" s="1"/>
  <c r="AG77" i="10"/>
  <c r="AJ95" i="7" s="1"/>
  <c r="AF77" i="10"/>
  <c r="AE77" i="10"/>
  <c r="AD77" i="10"/>
  <c r="AG95" i="7" s="1"/>
  <c r="AC77" i="10"/>
  <c r="AB77" i="10"/>
  <c r="AA77" i="10"/>
  <c r="Z77" i="10"/>
  <c r="Y77" i="10"/>
  <c r="AB95" i="7" s="1"/>
  <c r="X77" i="10"/>
  <c r="W77" i="10"/>
  <c r="V77" i="10"/>
  <c r="Y95" i="7" s="1"/>
  <c r="U77" i="10"/>
  <c r="X95" i="7" s="1"/>
  <c r="T77" i="10"/>
  <c r="W95" i="7" s="1"/>
  <c r="S77" i="10"/>
  <c r="V95" i="7" s="1"/>
  <c r="R77" i="10"/>
  <c r="Q77" i="10"/>
  <c r="P77" i="10"/>
  <c r="S95" i="7" s="1"/>
  <c r="O77" i="10"/>
  <c r="N77" i="10"/>
  <c r="M77" i="10"/>
  <c r="L77" i="10"/>
  <c r="K77" i="10"/>
  <c r="N95" i="7" s="1"/>
  <c r="J77" i="10"/>
  <c r="I77" i="10"/>
  <c r="H77" i="10"/>
  <c r="K95" i="7" s="1"/>
  <c r="G77" i="10"/>
  <c r="J95" i="7" s="1"/>
  <c r="F77" i="10"/>
  <c r="I95" i="7" s="1"/>
  <c r="E77" i="10"/>
  <c r="H95" i="7" s="1"/>
  <c r="D77" i="10"/>
  <c r="C77" i="10"/>
  <c r="AL71" i="10"/>
  <c r="AK71" i="10"/>
  <c r="AJ71" i="10"/>
  <c r="AI71" i="10"/>
  <c r="AH71" i="10"/>
  <c r="AG71" i="10"/>
  <c r="AJ89" i="7" s="1"/>
  <c r="AF71" i="10"/>
  <c r="AE71" i="10"/>
  <c r="AD71" i="10"/>
  <c r="AC71" i="10"/>
  <c r="AF89" i="7" s="1"/>
  <c r="AB71" i="10"/>
  <c r="AE89" i="7" s="1"/>
  <c r="AA71" i="10"/>
  <c r="Z71" i="10"/>
  <c r="Y71" i="10"/>
  <c r="X71" i="10"/>
  <c r="W71" i="10"/>
  <c r="V71" i="10"/>
  <c r="U71" i="10"/>
  <c r="T71" i="10"/>
  <c r="S71" i="10"/>
  <c r="V89" i="7" s="1"/>
  <c r="R71" i="10"/>
  <c r="Q71" i="10"/>
  <c r="P71" i="10"/>
  <c r="O71" i="10"/>
  <c r="R89" i="7" s="1"/>
  <c r="N71" i="10"/>
  <c r="Q89" i="7" s="1"/>
  <c r="M71" i="10"/>
  <c r="L71" i="10"/>
  <c r="K71" i="10"/>
  <c r="J71" i="10"/>
  <c r="I71" i="10"/>
  <c r="H71" i="10"/>
  <c r="G71" i="10"/>
  <c r="F71" i="10"/>
  <c r="E71" i="10"/>
  <c r="H89" i="7" s="1"/>
  <c r="D71" i="10"/>
  <c r="C71" i="10"/>
  <c r="AL69" i="10"/>
  <c r="AO87" i="7" s="1"/>
  <c r="AK69" i="10"/>
  <c r="AN87" i="7" s="1"/>
  <c r="AJ69" i="10"/>
  <c r="AI69" i="10"/>
  <c r="AL87" i="7" s="1"/>
  <c r="AH69" i="10"/>
  <c r="AG69" i="10"/>
  <c r="AF69" i="10"/>
  <c r="AI87" i="7" s="1"/>
  <c r="AE69" i="10"/>
  <c r="AD69" i="10"/>
  <c r="AC69" i="10"/>
  <c r="AB69" i="10"/>
  <c r="AA69" i="10"/>
  <c r="AD87" i="7" s="1"/>
  <c r="Z69" i="10"/>
  <c r="Y69" i="10"/>
  <c r="X69" i="10"/>
  <c r="W69" i="10"/>
  <c r="Z87" i="7" s="1"/>
  <c r="V69" i="10"/>
  <c r="Y87" i="7" s="1"/>
  <c r="U69" i="10"/>
  <c r="X87" i="7" s="1"/>
  <c r="T69" i="10"/>
  <c r="S69" i="10"/>
  <c r="R69" i="10"/>
  <c r="U87" i="7" s="1"/>
  <c r="Q69" i="10"/>
  <c r="P69" i="10"/>
  <c r="O69" i="10"/>
  <c r="N69" i="10"/>
  <c r="M69" i="10"/>
  <c r="P87" i="7" s="1"/>
  <c r="L69" i="10"/>
  <c r="K69" i="10"/>
  <c r="J69" i="10"/>
  <c r="M87" i="7" s="1"/>
  <c r="I69" i="10"/>
  <c r="L87" i="7" s="1"/>
  <c r="H69" i="10"/>
  <c r="K87" i="7" s="1"/>
  <c r="G69" i="10"/>
  <c r="J87" i="7" s="1"/>
  <c r="F69" i="10"/>
  <c r="E69" i="10"/>
  <c r="D69" i="10"/>
  <c r="C69" i="10"/>
  <c r="AL66" i="10"/>
  <c r="AK66" i="10"/>
  <c r="AJ66" i="10"/>
  <c r="AI66" i="10"/>
  <c r="AL84" i="7" s="1"/>
  <c r="AH66" i="10"/>
  <c r="AG66" i="10"/>
  <c r="AF66" i="10"/>
  <c r="AI84" i="7" s="1"/>
  <c r="AE66" i="10"/>
  <c r="AD66" i="10"/>
  <c r="AC66" i="10"/>
  <c r="AF84" i="7" s="1"/>
  <c r="AB66" i="10"/>
  <c r="AA66" i="10"/>
  <c r="Z66" i="10"/>
  <c r="Y66" i="10"/>
  <c r="X66" i="10"/>
  <c r="W66" i="10"/>
  <c r="V66" i="10"/>
  <c r="U66" i="10"/>
  <c r="X84" i="7" s="1"/>
  <c r="T66" i="10"/>
  <c r="S66" i="10"/>
  <c r="R66" i="10"/>
  <c r="U84" i="7" s="1"/>
  <c r="Q66" i="10"/>
  <c r="P66" i="10"/>
  <c r="O66" i="10"/>
  <c r="N66" i="10"/>
  <c r="M66" i="10"/>
  <c r="L66" i="10"/>
  <c r="O84" i="7" s="1"/>
  <c r="K66" i="10"/>
  <c r="J66" i="10"/>
  <c r="I66" i="10"/>
  <c r="H66" i="10"/>
  <c r="G66" i="10"/>
  <c r="J84" i="7" s="1"/>
  <c r="F66" i="10"/>
  <c r="E66" i="10"/>
  <c r="D66" i="10"/>
  <c r="G84" i="7" s="1"/>
  <c r="C66" i="10"/>
  <c r="F84" i="7" s="1"/>
  <c r="AL65" i="10"/>
  <c r="AO83" i="7" s="1"/>
  <c r="AK65" i="10"/>
  <c r="AN83" i="7" s="1"/>
  <c r="AJ65" i="10"/>
  <c r="AI65" i="10"/>
  <c r="AH65" i="10"/>
  <c r="AG65" i="10"/>
  <c r="AF65" i="10"/>
  <c r="AE65" i="10"/>
  <c r="AD65" i="10"/>
  <c r="AC65" i="10"/>
  <c r="AF83" i="7" s="1"/>
  <c r="AB65" i="10"/>
  <c r="AA65" i="10"/>
  <c r="Z65" i="10"/>
  <c r="Y65" i="10"/>
  <c r="AB83" i="7" s="1"/>
  <c r="X65" i="10"/>
  <c r="AA83" i="7" s="1"/>
  <c r="W65" i="10"/>
  <c r="Z83" i="7" s="1"/>
  <c r="V65" i="10"/>
  <c r="U65" i="10"/>
  <c r="T65" i="10"/>
  <c r="S65" i="10"/>
  <c r="R65" i="10"/>
  <c r="Q65" i="10"/>
  <c r="P65" i="10"/>
  <c r="O65" i="10"/>
  <c r="R83" i="7" s="1"/>
  <c r="N65" i="10"/>
  <c r="M65" i="10"/>
  <c r="L65" i="10"/>
  <c r="O83" i="7" s="1"/>
  <c r="K65" i="10"/>
  <c r="N83" i="7" s="1"/>
  <c r="J65" i="10"/>
  <c r="I65" i="10"/>
  <c r="L83" i="7" s="1"/>
  <c r="H65" i="10"/>
  <c r="G65" i="10"/>
  <c r="F65" i="10"/>
  <c r="I83" i="7" s="1"/>
  <c r="E65" i="10"/>
  <c r="D65" i="10"/>
  <c r="C65" i="10"/>
  <c r="AL63" i="10"/>
  <c r="AK63" i="10"/>
  <c r="AN81" i="7" s="1"/>
  <c r="AJ63" i="10"/>
  <c r="AI63" i="10"/>
  <c r="AH63" i="10"/>
  <c r="AK81" i="7" s="1"/>
  <c r="AG63" i="10"/>
  <c r="AJ81" i="7" s="1"/>
  <c r="AF63" i="10"/>
  <c r="AI81" i="7" s="1"/>
  <c r="AE63" i="10"/>
  <c r="AH81" i="7" s="1"/>
  <c r="AD63" i="10"/>
  <c r="AC63" i="10"/>
  <c r="AB63" i="10"/>
  <c r="AA63" i="10"/>
  <c r="Z63" i="10"/>
  <c r="Y63" i="10"/>
  <c r="X63" i="10"/>
  <c r="W63" i="10"/>
  <c r="Z81" i="7" s="1"/>
  <c r="V63" i="10"/>
  <c r="U63" i="10"/>
  <c r="T63" i="10"/>
  <c r="W81" i="7" s="1"/>
  <c r="S63" i="10"/>
  <c r="V81" i="7" s="1"/>
  <c r="R63" i="10"/>
  <c r="U81" i="7" s="1"/>
  <c r="Q63" i="10"/>
  <c r="T81" i="7" s="1"/>
  <c r="P63" i="10"/>
  <c r="O63" i="10"/>
  <c r="N63" i="10"/>
  <c r="M63" i="10"/>
  <c r="L63" i="10"/>
  <c r="K63" i="10"/>
  <c r="J63" i="10"/>
  <c r="I63" i="10"/>
  <c r="L81" i="7" s="1"/>
  <c r="H63" i="10"/>
  <c r="G63" i="10"/>
  <c r="F63" i="10"/>
  <c r="I81" i="7" s="1"/>
  <c r="E63" i="10"/>
  <c r="H81" i="7" s="1"/>
  <c r="D63" i="10"/>
  <c r="G81" i="7" s="1"/>
  <c r="C63" i="10"/>
  <c r="F81" i="7" s="1"/>
  <c r="AL62" i="10"/>
  <c r="AK62" i="10"/>
  <c r="AJ62" i="10"/>
  <c r="AM80" i="7" s="1"/>
  <c r="AI62" i="10"/>
  <c r="AH62" i="10"/>
  <c r="AG62" i="10"/>
  <c r="AF62" i="10"/>
  <c r="AE62" i="10"/>
  <c r="AD62" i="10"/>
  <c r="AC62" i="10"/>
  <c r="AB62" i="10"/>
  <c r="AE80" i="7" s="1"/>
  <c r="AA62" i="10"/>
  <c r="AD80" i="7" s="1"/>
  <c r="Z62" i="10"/>
  <c r="AC80" i="7" s="1"/>
  <c r="Y62" i="10"/>
  <c r="AB80" i="7" s="1"/>
  <c r="X62" i="10"/>
  <c r="W62" i="10"/>
  <c r="V62" i="10"/>
  <c r="Y80" i="7" s="1"/>
  <c r="U62" i="10"/>
  <c r="T62" i="10"/>
  <c r="S62" i="10"/>
  <c r="R62" i="10"/>
  <c r="Q62" i="10"/>
  <c r="P62" i="10"/>
  <c r="O62" i="10"/>
  <c r="N62" i="10"/>
  <c r="Q80" i="7" s="1"/>
  <c r="M62" i="10"/>
  <c r="P80" i="7" s="1"/>
  <c r="L62" i="10"/>
  <c r="O80" i="7" s="1"/>
  <c r="K62" i="10"/>
  <c r="N80" i="7" s="1"/>
  <c r="J62" i="10"/>
  <c r="I62" i="10"/>
  <c r="H62" i="10"/>
  <c r="K80" i="7" s="1"/>
  <c r="G62" i="10"/>
  <c r="F62" i="10"/>
  <c r="E62" i="10"/>
  <c r="D62" i="10"/>
  <c r="C62" i="10"/>
  <c r="F80" i="7" s="1"/>
  <c r="AL61" i="10"/>
  <c r="AK61" i="10"/>
  <c r="AJ61" i="10"/>
  <c r="AM79" i="7" s="1"/>
  <c r="AI61" i="10"/>
  <c r="AL79" i="7" s="1"/>
  <c r="AH61" i="10"/>
  <c r="AK79" i="7" s="1"/>
  <c r="AG61" i="10"/>
  <c r="AJ79" i="7" s="1"/>
  <c r="AF61" i="10"/>
  <c r="AE61" i="10"/>
  <c r="AD61" i="10"/>
  <c r="AC61" i="10"/>
  <c r="AB61" i="10"/>
  <c r="AA61" i="10"/>
  <c r="Z61" i="10"/>
  <c r="Y61" i="10"/>
  <c r="AB79" i="7" s="1"/>
  <c r="X61" i="10"/>
  <c r="W61" i="10"/>
  <c r="V61" i="10"/>
  <c r="Y79" i="7" s="1"/>
  <c r="U61" i="10"/>
  <c r="X79" i="7" s="1"/>
  <c r="T61" i="10"/>
  <c r="W79" i="7" s="1"/>
  <c r="S61" i="10"/>
  <c r="V79" i="7" s="1"/>
  <c r="R61" i="10"/>
  <c r="Q61" i="10"/>
  <c r="P61" i="10"/>
  <c r="O61" i="10"/>
  <c r="N61" i="10"/>
  <c r="M61" i="10"/>
  <c r="L61" i="10"/>
  <c r="K61" i="10"/>
  <c r="N79" i="7" s="1"/>
  <c r="J61" i="10"/>
  <c r="I61" i="10"/>
  <c r="H61" i="10"/>
  <c r="K79" i="7" s="1"/>
  <c r="G61" i="10"/>
  <c r="J79" i="7" s="1"/>
  <c r="F61" i="10"/>
  <c r="E61" i="10"/>
  <c r="D61" i="10"/>
  <c r="C61" i="10"/>
  <c r="AL60" i="10"/>
  <c r="AK60" i="10"/>
  <c r="AJ60" i="10"/>
  <c r="AI60" i="10"/>
  <c r="AH60" i="10"/>
  <c r="AG60" i="10"/>
  <c r="AF60" i="10"/>
  <c r="AE60" i="10"/>
  <c r="AD60" i="10"/>
  <c r="AG78" i="7" s="1"/>
  <c r="AC60" i="10"/>
  <c r="AF78" i="7" s="1"/>
  <c r="AB60" i="10"/>
  <c r="AE78" i="7" s="1"/>
  <c r="AA60" i="10"/>
  <c r="AD78" i="7" s="1"/>
  <c r="Z60" i="10"/>
  <c r="Y60" i="10"/>
  <c r="X60" i="10"/>
  <c r="W60" i="10"/>
  <c r="V60" i="10"/>
  <c r="U60" i="10"/>
  <c r="T60" i="10"/>
  <c r="S60" i="10"/>
  <c r="R60" i="10"/>
  <c r="Q60" i="10"/>
  <c r="P60" i="10"/>
  <c r="O60" i="10"/>
  <c r="R78" i="7" s="1"/>
  <c r="N60" i="10"/>
  <c r="Q78" i="7" s="1"/>
  <c r="M60" i="10"/>
  <c r="P78" i="7" s="1"/>
  <c r="L60" i="10"/>
  <c r="K60" i="10"/>
  <c r="J60" i="10"/>
  <c r="I60" i="10"/>
  <c r="H60" i="10"/>
  <c r="G60" i="10"/>
  <c r="F60" i="10"/>
  <c r="E60" i="10"/>
  <c r="H78" i="7" s="1"/>
  <c r="D60" i="10"/>
  <c r="C60" i="10"/>
  <c r="AL59" i="10"/>
  <c r="AO77" i="7" s="1"/>
  <c r="AK59" i="10"/>
  <c r="AN77" i="7" s="1"/>
  <c r="AJ59" i="10"/>
  <c r="AM77" i="7" s="1"/>
  <c r="AI59" i="10"/>
  <c r="AL77" i="7" s="1"/>
  <c r="AH59" i="10"/>
  <c r="AG59" i="10"/>
  <c r="AF59" i="10"/>
  <c r="AE59" i="10"/>
  <c r="AD59" i="10"/>
  <c r="AC59" i="10"/>
  <c r="AB59" i="10"/>
  <c r="AA59" i="10"/>
  <c r="Z59" i="10"/>
  <c r="Y59" i="10"/>
  <c r="X59" i="10"/>
  <c r="AA77" i="7" s="1"/>
  <c r="W59" i="10"/>
  <c r="Z77" i="7" s="1"/>
  <c r="V59" i="10"/>
  <c r="Y77" i="7" s="1"/>
  <c r="U59" i="10"/>
  <c r="X77" i="7" s="1"/>
  <c r="T59" i="10"/>
  <c r="S59" i="10"/>
  <c r="R59" i="10"/>
  <c r="Q59" i="10"/>
  <c r="P59" i="10"/>
  <c r="O59" i="10"/>
  <c r="N59" i="10"/>
  <c r="M59" i="10"/>
  <c r="P77" i="7" s="1"/>
  <c r="L59" i="10"/>
  <c r="K59" i="10"/>
  <c r="J59" i="10"/>
  <c r="I59" i="10"/>
  <c r="H59" i="10"/>
  <c r="K77" i="7" s="1"/>
  <c r="G59" i="10"/>
  <c r="J77" i="7" s="1"/>
  <c r="F59" i="10"/>
  <c r="E59" i="10"/>
  <c r="D59" i="10"/>
  <c r="C59" i="10"/>
  <c r="AL58" i="10"/>
  <c r="AK58" i="10"/>
  <c r="AJ58" i="10"/>
  <c r="AI58" i="10"/>
  <c r="AH58" i="10"/>
  <c r="AG58" i="10"/>
  <c r="AF58" i="10"/>
  <c r="AI76" i="7" s="1"/>
  <c r="AE58" i="10"/>
  <c r="AH76" i="7" s="1"/>
  <c r="AD58" i="10"/>
  <c r="AG76" i="7" s="1"/>
  <c r="AC58" i="10"/>
  <c r="AF76" i="7" s="1"/>
  <c r="AB58" i="10"/>
  <c r="AA58" i="10"/>
  <c r="Z58" i="10"/>
  <c r="AC76" i="7" s="1"/>
  <c r="Y58" i="10"/>
  <c r="X58" i="10"/>
  <c r="W58" i="10"/>
  <c r="V58" i="10"/>
  <c r="U58" i="10"/>
  <c r="T58" i="10"/>
  <c r="S58" i="10"/>
  <c r="R58" i="10"/>
  <c r="U76" i="7" s="1"/>
  <c r="Q58" i="10"/>
  <c r="P58" i="10"/>
  <c r="S76" i="7" s="1"/>
  <c r="O58" i="10"/>
  <c r="R76" i="7" s="1"/>
  <c r="N58" i="10"/>
  <c r="M58" i="10"/>
  <c r="L58" i="10"/>
  <c r="K58" i="10"/>
  <c r="J58" i="10"/>
  <c r="I58" i="10"/>
  <c r="H58" i="10"/>
  <c r="G58" i="10"/>
  <c r="J76" i="7" s="1"/>
  <c r="F58" i="10"/>
  <c r="E58" i="10"/>
  <c r="D58" i="10"/>
  <c r="G76" i="7" s="1"/>
  <c r="C58" i="10"/>
  <c r="F76" i="7" s="1"/>
  <c r="AL57" i="10"/>
  <c r="AO75" i="7" s="1"/>
  <c r="AK57" i="10"/>
  <c r="AN75" i="7" s="1"/>
  <c r="AJ57" i="10"/>
  <c r="AI57" i="10"/>
  <c r="AH57" i="10"/>
  <c r="AG57" i="10"/>
  <c r="AF57" i="10"/>
  <c r="AE57" i="10"/>
  <c r="AD57" i="10"/>
  <c r="AC57" i="10"/>
  <c r="AF75" i="7" s="1"/>
  <c r="AB57" i="10"/>
  <c r="AA57" i="10"/>
  <c r="Z57" i="10"/>
  <c r="Y57" i="10"/>
  <c r="X57" i="10"/>
  <c r="AA75" i="7" s="1"/>
  <c r="W57" i="10"/>
  <c r="Z75" i="7" s="1"/>
  <c r="V57" i="10"/>
  <c r="U57" i="10"/>
  <c r="T57" i="10"/>
  <c r="S57" i="10"/>
  <c r="R57" i="10"/>
  <c r="Q57" i="10"/>
  <c r="P57" i="10"/>
  <c r="O57" i="10"/>
  <c r="R75" i="7" s="1"/>
  <c r="N57" i="10"/>
  <c r="M57" i="10"/>
  <c r="L57" i="10"/>
  <c r="K57" i="10"/>
  <c r="J57" i="10"/>
  <c r="I57" i="10"/>
  <c r="L75" i="7" s="1"/>
  <c r="H57" i="10"/>
  <c r="G57" i="10"/>
  <c r="F57" i="10"/>
  <c r="E57" i="10"/>
  <c r="D57" i="10"/>
  <c r="C57" i="10"/>
  <c r="AL56" i="10"/>
  <c r="AK56" i="10"/>
  <c r="AJ56" i="10"/>
  <c r="AI56" i="10"/>
  <c r="AH56" i="10"/>
  <c r="AK74" i="7" s="1"/>
  <c r="AG56" i="10"/>
  <c r="AJ74" i="7" s="1"/>
  <c r="AF56" i="10"/>
  <c r="AI74" i="7" s="1"/>
  <c r="AE56" i="10"/>
  <c r="AH74" i="7" s="1"/>
  <c r="AD56" i="10"/>
  <c r="AG74" i="7" s="1"/>
  <c r="AC56" i="10"/>
  <c r="AB56" i="10"/>
  <c r="AE74" i="7" s="1"/>
  <c r="AA56" i="10"/>
  <c r="Z56" i="10"/>
  <c r="Y56" i="10"/>
  <c r="X56" i="10"/>
  <c r="W56" i="10"/>
  <c r="Z74" i="7" s="1"/>
  <c r="V56" i="10"/>
  <c r="U56" i="10"/>
  <c r="T56" i="10"/>
  <c r="S56" i="10"/>
  <c r="R56" i="10"/>
  <c r="U74" i="7" s="1"/>
  <c r="Q56" i="10"/>
  <c r="T74" i="7" s="1"/>
  <c r="P56" i="10"/>
  <c r="S74" i="7" s="1"/>
  <c r="O56" i="10"/>
  <c r="N56" i="10"/>
  <c r="M56" i="10"/>
  <c r="L56" i="10"/>
  <c r="K56" i="10"/>
  <c r="J56" i="10"/>
  <c r="I56" i="10"/>
  <c r="L74" i="7" s="1"/>
  <c r="H56" i="10"/>
  <c r="G56" i="10"/>
  <c r="F56" i="10"/>
  <c r="I74" i="7" s="1"/>
  <c r="E56" i="10"/>
  <c r="D56" i="10"/>
  <c r="C56" i="10"/>
  <c r="AL55" i="10"/>
  <c r="AK55" i="10"/>
  <c r="AJ55" i="10"/>
  <c r="AI55" i="10"/>
  <c r="AH55" i="10"/>
  <c r="AG55" i="10"/>
  <c r="AF55" i="10"/>
  <c r="AE55" i="10"/>
  <c r="AD55" i="10"/>
  <c r="AC55" i="10"/>
  <c r="AB55" i="10"/>
  <c r="AE73" i="7" s="1"/>
  <c r="AA55" i="10"/>
  <c r="AD73" i="7" s="1"/>
  <c r="Z55" i="10"/>
  <c r="AC73" i="7" s="1"/>
  <c r="Y55" i="10"/>
  <c r="AB73" i="7" s="1"/>
  <c r="X55" i="10"/>
  <c r="W55" i="10"/>
  <c r="V55" i="10"/>
  <c r="U55" i="10"/>
  <c r="T55" i="10"/>
  <c r="S55" i="10"/>
  <c r="R55" i="10"/>
  <c r="Q55" i="10"/>
  <c r="P55" i="10"/>
  <c r="O55" i="10"/>
  <c r="N55" i="10"/>
  <c r="M55" i="10"/>
  <c r="P73" i="7" s="1"/>
  <c r="L55" i="10"/>
  <c r="O73" i="7" s="1"/>
  <c r="K55" i="10"/>
  <c r="N73" i="7" s="1"/>
  <c r="J55" i="10"/>
  <c r="I55" i="10"/>
  <c r="H55" i="10"/>
  <c r="G55" i="10"/>
  <c r="F55" i="10"/>
  <c r="E55" i="10"/>
  <c r="D55" i="10"/>
  <c r="C55" i="10"/>
  <c r="F73" i="7" s="1"/>
  <c r="AL54" i="10"/>
  <c r="AK54" i="10"/>
  <c r="AJ54" i="10"/>
  <c r="AM72" i="7" s="1"/>
  <c r="AI54" i="10"/>
  <c r="AL72" i="7" s="1"/>
  <c r="AH54" i="10"/>
  <c r="AK72" i="7" s="1"/>
  <c r="AG54" i="10"/>
  <c r="AJ72" i="7" s="1"/>
  <c r="AF54" i="10"/>
  <c r="AE54" i="10"/>
  <c r="AD54" i="10"/>
  <c r="AG72" i="7" s="1"/>
  <c r="AC54" i="10"/>
  <c r="AB54" i="10"/>
  <c r="AA54" i="10"/>
  <c r="Z54" i="10"/>
  <c r="Y54" i="10"/>
  <c r="X54" i="10"/>
  <c r="W54" i="10"/>
  <c r="V54" i="10"/>
  <c r="Y72" i="7" s="1"/>
  <c r="U54" i="10"/>
  <c r="X72" i="7" s="1"/>
  <c r="T54" i="10"/>
  <c r="W72" i="7" s="1"/>
  <c r="S54" i="10"/>
  <c r="V72" i="7" s="1"/>
  <c r="R54" i="10"/>
  <c r="Q54" i="10"/>
  <c r="P54" i="10"/>
  <c r="S72" i="7" s="1"/>
  <c r="O54" i="10"/>
  <c r="N54" i="10"/>
  <c r="M54" i="10"/>
  <c r="L54" i="10"/>
  <c r="K54" i="10"/>
  <c r="N72" i="7" s="1"/>
  <c r="J54" i="10"/>
  <c r="I54" i="10"/>
  <c r="H54" i="10"/>
  <c r="G54" i="10"/>
  <c r="J72" i="7" s="1"/>
  <c r="F54" i="10"/>
  <c r="E54" i="10"/>
  <c r="H72" i="7" s="1"/>
  <c r="D54" i="10"/>
  <c r="C54" i="10"/>
  <c r="AL53" i="10"/>
  <c r="AK53" i="10"/>
  <c r="AJ53" i="10"/>
  <c r="AI53" i="10"/>
  <c r="AH53" i="10"/>
  <c r="AG53" i="10"/>
  <c r="AF53" i="10"/>
  <c r="AE53" i="10"/>
  <c r="AD53" i="10"/>
  <c r="AG71" i="7" s="1"/>
  <c r="AC53" i="10"/>
  <c r="AF71" i="7" s="1"/>
  <c r="AB53" i="10"/>
  <c r="AE71" i="7" s="1"/>
  <c r="AA53" i="10"/>
  <c r="AD71" i="7" s="1"/>
  <c r="Z53" i="10"/>
  <c r="Y53" i="10"/>
  <c r="X53" i="10"/>
  <c r="W53" i="10"/>
  <c r="V53" i="10"/>
  <c r="U53" i="10"/>
  <c r="T53" i="10"/>
  <c r="S53" i="10"/>
  <c r="V71" i="7" s="1"/>
  <c r="R53" i="10"/>
  <c r="Q53" i="10"/>
  <c r="P53" i="10"/>
  <c r="O53" i="10"/>
  <c r="N53" i="10"/>
  <c r="Q71" i="7" s="1"/>
  <c r="M53" i="10"/>
  <c r="P71" i="7" s="1"/>
  <c r="D71" i="7" s="1"/>
  <c r="L53" i="10"/>
  <c r="K53" i="10"/>
  <c r="J53" i="10"/>
  <c r="I53" i="10"/>
  <c r="H53" i="10"/>
  <c r="G53" i="10"/>
  <c r="F53" i="10"/>
  <c r="E53" i="10"/>
  <c r="D53" i="10"/>
  <c r="C53" i="10"/>
  <c r="AL52" i="10"/>
  <c r="AO70" i="7" s="1"/>
  <c r="AK52" i="10"/>
  <c r="AN70" i="7" s="1"/>
  <c r="AJ52" i="10"/>
  <c r="AM70" i="7" s="1"/>
  <c r="AI52" i="10"/>
  <c r="AL70" i="7" s="1"/>
  <c r="AH52" i="10"/>
  <c r="AG52" i="10"/>
  <c r="AF52" i="10"/>
  <c r="AE52" i="10"/>
  <c r="AD52" i="10"/>
  <c r="AC52" i="10"/>
  <c r="AB52" i="10"/>
  <c r="AA52" i="10"/>
  <c r="Z52" i="10"/>
  <c r="AC70" i="7" s="1"/>
  <c r="Y52" i="10"/>
  <c r="X52" i="10"/>
  <c r="AA70" i="7" s="1"/>
  <c r="W52" i="10"/>
  <c r="Z70" i="7" s="1"/>
  <c r="V52" i="10"/>
  <c r="Y70" i="7" s="1"/>
  <c r="U52" i="10"/>
  <c r="X70" i="7" s="1"/>
  <c r="T52" i="10"/>
  <c r="S52" i="10"/>
  <c r="R52" i="10"/>
  <c r="U70" i="7" s="1"/>
  <c r="Q52" i="10"/>
  <c r="P52" i="10"/>
  <c r="O52" i="10"/>
  <c r="N52" i="10"/>
  <c r="M52" i="10"/>
  <c r="L52" i="10"/>
  <c r="O70" i="7" s="1"/>
  <c r="K52" i="10"/>
  <c r="J52" i="10"/>
  <c r="M70" i="7" s="1"/>
  <c r="I52" i="10"/>
  <c r="H52" i="10"/>
  <c r="G52" i="10"/>
  <c r="J70" i="7" s="1"/>
  <c r="F52" i="10"/>
  <c r="E52" i="10"/>
  <c r="D52" i="10"/>
  <c r="C52" i="10"/>
  <c r="AL50" i="10"/>
  <c r="AK50" i="10"/>
  <c r="AJ50" i="10"/>
  <c r="AI50" i="10"/>
  <c r="AH50" i="10"/>
  <c r="AG50" i="10"/>
  <c r="AF50" i="10"/>
  <c r="AE50" i="10"/>
  <c r="AH68" i="7" s="1"/>
  <c r="AD50" i="10"/>
  <c r="AG68" i="7" s="1"/>
  <c r="AC50" i="10"/>
  <c r="AF68" i="7" s="1"/>
  <c r="AB50" i="10"/>
  <c r="AA50" i="10"/>
  <c r="Z50" i="10"/>
  <c r="Y50" i="10"/>
  <c r="X50" i="10"/>
  <c r="W50" i="10"/>
  <c r="V50" i="10"/>
  <c r="U50" i="10"/>
  <c r="X68" i="7" s="1"/>
  <c r="T50" i="10"/>
  <c r="S50" i="10"/>
  <c r="R50" i="10"/>
  <c r="Q50" i="10"/>
  <c r="P50" i="10"/>
  <c r="S68" i="7" s="1"/>
  <c r="O50" i="10"/>
  <c r="R68" i="7" s="1"/>
  <c r="N50" i="10"/>
  <c r="M50" i="10"/>
  <c r="L50" i="10"/>
  <c r="K50" i="10"/>
  <c r="J50" i="10"/>
  <c r="I50" i="10"/>
  <c r="H50" i="10"/>
  <c r="G50" i="10"/>
  <c r="J68" i="7" s="1"/>
  <c r="F50" i="10"/>
  <c r="E50" i="10"/>
  <c r="D50" i="10"/>
  <c r="C50" i="10"/>
  <c r="AL48" i="10"/>
  <c r="AO66" i="7" s="1"/>
  <c r="AK48" i="10"/>
  <c r="AN66" i="7" s="1"/>
  <c r="AJ48" i="10"/>
  <c r="AM66" i="7" s="1"/>
  <c r="AI48" i="10"/>
  <c r="AH48" i="10"/>
  <c r="AG48" i="10"/>
  <c r="AF48" i="10"/>
  <c r="AE48" i="10"/>
  <c r="AD48" i="10"/>
  <c r="AC48" i="10"/>
  <c r="AB48" i="10"/>
  <c r="AA48" i="10"/>
  <c r="Z48" i="10"/>
  <c r="AC66" i="7" s="1"/>
  <c r="Y48" i="10"/>
  <c r="X48" i="10"/>
  <c r="AA66" i="7" s="1"/>
  <c r="W48" i="10"/>
  <c r="Z66" i="7" s="1"/>
  <c r="V48" i="10"/>
  <c r="Y66" i="7" s="1"/>
  <c r="U48" i="10"/>
  <c r="T48" i="10"/>
  <c r="S48" i="10"/>
  <c r="R48" i="10"/>
  <c r="Q48" i="10"/>
  <c r="P48" i="10"/>
  <c r="O48" i="10"/>
  <c r="N48" i="10"/>
  <c r="M48" i="10"/>
  <c r="L48" i="10"/>
  <c r="K48" i="10"/>
  <c r="N66" i="7" s="1"/>
  <c r="J48" i="10"/>
  <c r="I48" i="10"/>
  <c r="L66" i="7" s="1"/>
  <c r="H48" i="10"/>
  <c r="K66" i="7" s="1"/>
  <c r="G48" i="10"/>
  <c r="F48" i="10"/>
  <c r="E48" i="10"/>
  <c r="D48" i="10"/>
  <c r="C48" i="10"/>
  <c r="AL47" i="10"/>
  <c r="AK47" i="10"/>
  <c r="AN65" i="7" s="1"/>
  <c r="AJ47" i="10"/>
  <c r="AI47" i="10"/>
  <c r="AL65" i="7" s="1"/>
  <c r="AH47" i="10"/>
  <c r="AK65" i="7" s="1"/>
  <c r="AG47" i="10"/>
  <c r="AJ65" i="7" s="1"/>
  <c r="AF47" i="10"/>
  <c r="AE47" i="10"/>
  <c r="AD47" i="10"/>
  <c r="AC47" i="10"/>
  <c r="AB47" i="10"/>
  <c r="AA47" i="10"/>
  <c r="Z47" i="10"/>
  <c r="Y47" i="10"/>
  <c r="X47" i="10"/>
  <c r="W47" i="10"/>
  <c r="Z65" i="7" s="1"/>
  <c r="V47" i="10"/>
  <c r="U47" i="10"/>
  <c r="X65" i="7" s="1"/>
  <c r="T47" i="10"/>
  <c r="W65" i="7" s="1"/>
  <c r="S47" i="10"/>
  <c r="V65" i="7" s="1"/>
  <c r="R47" i="10"/>
  <c r="U65" i="7" s="1"/>
  <c r="Q47" i="10"/>
  <c r="T65" i="7" s="1"/>
  <c r="P47" i="10"/>
  <c r="O47" i="10"/>
  <c r="N47" i="10"/>
  <c r="Q65" i="7" s="1"/>
  <c r="M47" i="10"/>
  <c r="L47" i="10"/>
  <c r="K47" i="10"/>
  <c r="J47" i="10"/>
  <c r="I47" i="10"/>
  <c r="L65" i="7" s="1"/>
  <c r="H47" i="10"/>
  <c r="G47" i="10"/>
  <c r="J65" i="7" s="1"/>
  <c r="F47" i="10"/>
  <c r="I65" i="7" s="1"/>
  <c r="E47" i="10"/>
  <c r="H65" i="7" s="1"/>
  <c r="D47" i="10"/>
  <c r="G65" i="7" s="1"/>
  <c r="C47" i="10"/>
  <c r="F65" i="7" s="1"/>
  <c r="D65" i="7" s="1"/>
  <c r="E65" i="7" s="1"/>
  <c r="AL46" i="10"/>
  <c r="AK46" i="10"/>
  <c r="AJ46" i="10"/>
  <c r="AM64" i="7" s="1"/>
  <c r="AI46" i="10"/>
  <c r="AH46" i="10"/>
  <c r="AG46" i="10"/>
  <c r="AF46" i="10"/>
  <c r="AE46" i="10"/>
  <c r="AH64" i="7" s="1"/>
  <c r="AD46" i="10"/>
  <c r="AC46" i="10"/>
  <c r="AB46" i="10"/>
  <c r="AA46" i="10"/>
  <c r="AD64" i="7" s="1"/>
  <c r="Z46" i="10"/>
  <c r="AC64" i="7" s="1"/>
  <c r="Y46" i="10"/>
  <c r="AB64" i="7" s="1"/>
  <c r="X46" i="10"/>
  <c r="W46" i="10"/>
  <c r="V46" i="10"/>
  <c r="U46" i="10"/>
  <c r="T46" i="10"/>
  <c r="S46" i="10"/>
  <c r="R46" i="10"/>
  <c r="Q46" i="10"/>
  <c r="T64" i="7" s="1"/>
  <c r="P46" i="10"/>
  <c r="O46" i="10"/>
  <c r="N46" i="10"/>
  <c r="Q64" i="7" s="1"/>
  <c r="M46" i="10"/>
  <c r="P64" i="7" s="1"/>
  <c r="L46" i="10"/>
  <c r="O64" i="7" s="1"/>
  <c r="K46" i="10"/>
  <c r="N64" i="7" s="1"/>
  <c r="J46" i="10"/>
  <c r="I46" i="10"/>
  <c r="H46" i="10"/>
  <c r="G46" i="10"/>
  <c r="F46" i="10"/>
  <c r="E46" i="10"/>
  <c r="D46" i="10"/>
  <c r="C46" i="10"/>
  <c r="F64" i="7" s="1"/>
  <c r="AL45" i="10"/>
  <c r="AK45" i="10"/>
  <c r="AJ45" i="10"/>
  <c r="AM63" i="7" s="1"/>
  <c r="AI45" i="10"/>
  <c r="AL63" i="7" s="1"/>
  <c r="AH45" i="10"/>
  <c r="AK63" i="7" s="1"/>
  <c r="AG45" i="10"/>
  <c r="AJ63" i="7" s="1"/>
  <c r="AF45" i="10"/>
  <c r="AE45" i="10"/>
  <c r="AD45" i="10"/>
  <c r="AC45" i="10"/>
  <c r="AB45" i="10"/>
  <c r="AA45" i="10"/>
  <c r="Z45" i="10"/>
  <c r="Y45" i="10"/>
  <c r="AB63" i="7" s="1"/>
  <c r="X45" i="10"/>
  <c r="W45" i="10"/>
  <c r="V45" i="10"/>
  <c r="U45" i="10"/>
  <c r="X63" i="7" s="1"/>
  <c r="T45" i="10"/>
  <c r="W63" i="7" s="1"/>
  <c r="S45" i="10"/>
  <c r="V63" i="7" s="1"/>
  <c r="R45" i="10"/>
  <c r="Q45" i="10"/>
  <c r="P45" i="10"/>
  <c r="S63" i="7" s="1"/>
  <c r="O45" i="10"/>
  <c r="N45" i="10"/>
  <c r="M45" i="10"/>
  <c r="L45" i="10"/>
  <c r="K45" i="10"/>
  <c r="N63" i="7" s="1"/>
  <c r="J45" i="10"/>
  <c r="I45" i="10"/>
  <c r="H45" i="10"/>
  <c r="K63" i="7" s="1"/>
  <c r="G45" i="10"/>
  <c r="J63" i="7" s="1"/>
  <c r="F45" i="10"/>
  <c r="I63" i="7" s="1"/>
  <c r="E45" i="10"/>
  <c r="H63" i="7" s="1"/>
  <c r="D45" i="10"/>
  <c r="C45" i="10"/>
  <c r="AL44" i="10"/>
  <c r="AO62" i="7" s="1"/>
  <c r="AK44" i="10"/>
  <c r="AJ44" i="10"/>
  <c r="AI44" i="10"/>
  <c r="AH44" i="10"/>
  <c r="AG44" i="10"/>
  <c r="AJ62" i="7" s="1"/>
  <c r="AF44" i="10"/>
  <c r="AI62" i="7" s="1"/>
  <c r="AE44" i="10"/>
  <c r="AD44" i="10"/>
  <c r="AC44" i="10"/>
  <c r="AF62" i="7" s="1"/>
  <c r="AB44" i="10"/>
  <c r="AE62" i="7" s="1"/>
  <c r="AA44" i="10"/>
  <c r="AD62" i="7" s="1"/>
  <c r="Z44" i="10"/>
  <c r="Y44" i="10"/>
  <c r="X44" i="10"/>
  <c r="W44" i="10"/>
  <c r="V44" i="10"/>
  <c r="U44" i="10"/>
  <c r="T44" i="10"/>
  <c r="S44" i="10"/>
  <c r="V62" i="7" s="1"/>
  <c r="R44" i="10"/>
  <c r="U62" i="7" s="1"/>
  <c r="Q44" i="10"/>
  <c r="P44" i="10"/>
  <c r="S62" i="7" s="1"/>
  <c r="O44" i="10"/>
  <c r="R62" i="7" s="1"/>
  <c r="N44" i="10"/>
  <c r="Q62" i="7" s="1"/>
  <c r="M44" i="10"/>
  <c r="P62" i="7" s="1"/>
  <c r="L44" i="10"/>
  <c r="K44" i="10"/>
  <c r="J44" i="10"/>
  <c r="M62" i="7" s="1"/>
  <c r="I44" i="10"/>
  <c r="H44" i="10"/>
  <c r="G44" i="10"/>
  <c r="F44" i="10"/>
  <c r="E44" i="10"/>
  <c r="H62" i="7" s="1"/>
  <c r="D44" i="10"/>
  <c r="G62" i="7" s="1"/>
  <c r="C44" i="10"/>
  <c r="AL43" i="10"/>
  <c r="AO61" i="7" s="1"/>
  <c r="AK43" i="10"/>
  <c r="AN61" i="7" s="1"/>
  <c r="AJ43" i="10"/>
  <c r="AM61" i="7" s="1"/>
  <c r="AI43" i="10"/>
  <c r="AL61" i="7" s="1"/>
  <c r="AH43" i="10"/>
  <c r="AG43" i="10"/>
  <c r="AF43" i="10"/>
  <c r="AE43" i="10"/>
  <c r="AD43" i="10"/>
  <c r="AC43" i="10"/>
  <c r="AB43" i="10"/>
  <c r="AA43" i="10"/>
  <c r="AD61" i="7" s="1"/>
  <c r="Z43" i="10"/>
  <c r="Y43" i="10"/>
  <c r="X43" i="10"/>
  <c r="AA61" i="7" s="1"/>
  <c r="W43" i="10"/>
  <c r="Z61" i="7" s="1"/>
  <c r="V43" i="10"/>
  <c r="Y61" i="7" s="1"/>
  <c r="U43" i="10"/>
  <c r="X61" i="7" s="1"/>
  <c r="T43" i="10"/>
  <c r="S43" i="10"/>
  <c r="R43" i="10"/>
  <c r="U61" i="7" s="1"/>
  <c r="Q43" i="10"/>
  <c r="P43" i="10"/>
  <c r="O43" i="10"/>
  <c r="N43" i="10"/>
  <c r="M43" i="10"/>
  <c r="P61" i="7" s="1"/>
  <c r="L43" i="10"/>
  <c r="K43" i="10"/>
  <c r="J43" i="10"/>
  <c r="M61" i="7" s="1"/>
  <c r="I43" i="10"/>
  <c r="L61" i="7" s="1"/>
  <c r="H43" i="10"/>
  <c r="K61" i="7" s="1"/>
  <c r="G43" i="10"/>
  <c r="J61" i="7" s="1"/>
  <c r="D61" i="7" s="1"/>
  <c r="F43" i="10"/>
  <c r="E43" i="10"/>
  <c r="D43" i="10"/>
  <c r="C43" i="10"/>
  <c r="AL40" i="10"/>
  <c r="AK40" i="10"/>
  <c r="AJ40" i="10"/>
  <c r="AI40" i="10"/>
  <c r="AH40" i="10"/>
  <c r="AG40" i="10"/>
  <c r="AF40" i="10"/>
  <c r="AI58" i="7" s="1"/>
  <c r="AE40" i="10"/>
  <c r="AH58" i="7" s="1"/>
  <c r="AD40" i="10"/>
  <c r="AG58" i="7" s="1"/>
  <c r="AC40" i="10"/>
  <c r="AF58" i="7" s="1"/>
  <c r="AB40" i="10"/>
  <c r="AE58" i="7" s="1"/>
  <c r="AA40" i="10"/>
  <c r="Z40" i="10"/>
  <c r="Y40" i="10"/>
  <c r="X40" i="10"/>
  <c r="W40" i="10"/>
  <c r="V40" i="10"/>
  <c r="U40" i="10"/>
  <c r="T40" i="10"/>
  <c r="S40" i="10"/>
  <c r="R40" i="10"/>
  <c r="U58" i="7" s="1"/>
  <c r="Q40" i="10"/>
  <c r="P40" i="10"/>
  <c r="S58" i="7" s="1"/>
  <c r="O40" i="10"/>
  <c r="R58" i="7" s="1"/>
  <c r="N40" i="10"/>
  <c r="Q58" i="7" s="1"/>
  <c r="M40" i="10"/>
  <c r="L40" i="10"/>
  <c r="K40" i="10"/>
  <c r="J40" i="10"/>
  <c r="I40" i="10"/>
  <c r="H40" i="10"/>
  <c r="G40" i="10"/>
  <c r="F40" i="10"/>
  <c r="E40" i="10"/>
  <c r="D40" i="10"/>
  <c r="C40" i="10"/>
  <c r="F58" i="7" s="1"/>
  <c r="AL39" i="10"/>
  <c r="AO57" i="7" s="1"/>
  <c r="AK39" i="10"/>
  <c r="AN57" i="7" s="1"/>
  <c r="AJ39" i="10"/>
  <c r="AI39" i="10"/>
  <c r="AH39" i="10"/>
  <c r="AG39" i="10"/>
  <c r="AF39" i="10"/>
  <c r="AE39" i="10"/>
  <c r="AD39" i="10"/>
  <c r="AC39" i="10"/>
  <c r="AF57" i="7" s="1"/>
  <c r="AB39" i="10"/>
  <c r="AA39" i="10"/>
  <c r="AD57" i="7" s="1"/>
  <c r="Z39" i="10"/>
  <c r="Y39" i="10"/>
  <c r="X39" i="10"/>
  <c r="W39" i="10"/>
  <c r="Z57" i="7" s="1"/>
  <c r="V39" i="10"/>
  <c r="U39" i="10"/>
  <c r="T39" i="10"/>
  <c r="W57" i="7" s="1"/>
  <c r="S39" i="10"/>
  <c r="R39" i="10"/>
  <c r="Q39" i="10"/>
  <c r="P39" i="10"/>
  <c r="O39" i="10"/>
  <c r="R57" i="7" s="1"/>
  <c r="N39" i="10"/>
  <c r="M39" i="10"/>
  <c r="P57" i="7" s="1"/>
  <c r="L39" i="10"/>
  <c r="O57" i="7" s="1"/>
  <c r="K39" i="10"/>
  <c r="N57" i="7" s="1"/>
  <c r="J39" i="10"/>
  <c r="M57" i="7" s="1"/>
  <c r="I39" i="10"/>
  <c r="L57" i="7" s="1"/>
  <c r="H39" i="10"/>
  <c r="G39" i="10"/>
  <c r="F39" i="10"/>
  <c r="I57" i="7" s="1"/>
  <c r="E39" i="10"/>
  <c r="D39" i="10"/>
  <c r="C39" i="10"/>
  <c r="AL38" i="10"/>
  <c r="AK38" i="10"/>
  <c r="AJ38" i="10"/>
  <c r="AI38" i="10"/>
  <c r="AH38" i="10"/>
  <c r="AK56" i="7" s="1"/>
  <c r="AG38" i="10"/>
  <c r="AF38" i="10"/>
  <c r="AI56" i="7" s="1"/>
  <c r="AE38" i="10"/>
  <c r="AH56" i="7" s="1"/>
  <c r="AD38" i="10"/>
  <c r="AC38" i="10"/>
  <c r="AB38" i="10"/>
  <c r="AA38" i="10"/>
  <c r="Z38" i="10"/>
  <c r="Y38" i="10"/>
  <c r="X38" i="10"/>
  <c r="W38" i="10"/>
  <c r="Z56" i="7" s="1"/>
  <c r="V38" i="10"/>
  <c r="U38" i="10"/>
  <c r="T38" i="10"/>
  <c r="W56" i="7" s="1"/>
  <c r="S38" i="10"/>
  <c r="R38" i="10"/>
  <c r="Q38" i="10"/>
  <c r="T56" i="7" s="1"/>
  <c r="P38" i="10"/>
  <c r="O38" i="10"/>
  <c r="N38" i="10"/>
  <c r="Q56" i="7" s="1"/>
  <c r="M38" i="10"/>
  <c r="L38" i="10"/>
  <c r="K38" i="10"/>
  <c r="J38" i="10"/>
  <c r="I38" i="10"/>
  <c r="L56" i="7" s="1"/>
  <c r="H38" i="10"/>
  <c r="G38" i="10"/>
  <c r="F38" i="10"/>
  <c r="I56" i="7" s="1"/>
  <c r="E38" i="10"/>
  <c r="D38" i="10"/>
  <c r="C38" i="10"/>
  <c r="AL37" i="10"/>
  <c r="AK37" i="10"/>
  <c r="AJ37" i="10"/>
  <c r="AI37" i="10"/>
  <c r="AH37" i="10"/>
  <c r="AG37" i="10"/>
  <c r="AF37" i="10"/>
  <c r="AE37" i="10"/>
  <c r="AD37" i="10"/>
  <c r="AC37" i="10"/>
  <c r="AB37" i="10"/>
  <c r="AE55" i="7" s="1"/>
  <c r="AA37" i="10"/>
  <c r="AD55" i="7" s="1"/>
  <c r="Z37" i="10"/>
  <c r="AC55" i="7" s="1"/>
  <c r="Y37" i="10"/>
  <c r="AB55" i="7" s="1"/>
  <c r="X37" i="10"/>
  <c r="W37" i="10"/>
  <c r="V37" i="10"/>
  <c r="U37" i="10"/>
  <c r="T37" i="10"/>
  <c r="S37" i="10"/>
  <c r="R37" i="10"/>
  <c r="Q37" i="10"/>
  <c r="P37" i="10"/>
  <c r="O37" i="10"/>
  <c r="N37" i="10"/>
  <c r="M37" i="10"/>
  <c r="P55" i="7" s="1"/>
  <c r="L37" i="10"/>
  <c r="O55" i="7" s="1"/>
  <c r="K37" i="10"/>
  <c r="N55" i="7" s="1"/>
  <c r="J37" i="10"/>
  <c r="I37" i="10"/>
  <c r="H37" i="10"/>
  <c r="K55" i="7" s="1"/>
  <c r="G37" i="10"/>
  <c r="F37" i="10"/>
  <c r="E37" i="10"/>
  <c r="D37" i="10"/>
  <c r="C37" i="10"/>
  <c r="F55" i="7" s="1"/>
  <c r="AL36" i="10"/>
  <c r="AO54" i="7" s="1"/>
  <c r="AK36" i="10"/>
  <c r="AJ36" i="10"/>
  <c r="AM54" i="7" s="1"/>
  <c r="AI36" i="10"/>
  <c r="AL54" i="7" s="1"/>
  <c r="AH36" i="10"/>
  <c r="AK54" i="7" s="1"/>
  <c r="AG36" i="10"/>
  <c r="AJ54" i="7" s="1"/>
  <c r="AF36" i="10"/>
  <c r="AE36" i="10"/>
  <c r="AD36" i="10"/>
  <c r="AC36" i="10"/>
  <c r="AB36" i="10"/>
  <c r="AA36" i="10"/>
  <c r="Z36" i="10"/>
  <c r="Y36" i="10"/>
  <c r="AB54" i="7" s="1"/>
  <c r="X36" i="10"/>
  <c r="AA54" i="7" s="1"/>
  <c r="W36" i="10"/>
  <c r="V36" i="10"/>
  <c r="U36" i="10"/>
  <c r="X54" i="7" s="1"/>
  <c r="T36" i="10"/>
  <c r="S36" i="10"/>
  <c r="V54" i="7" s="1"/>
  <c r="R36" i="10"/>
  <c r="Q36" i="10"/>
  <c r="P36" i="10"/>
  <c r="O36" i="10"/>
  <c r="N36" i="10"/>
  <c r="M36" i="10"/>
  <c r="L36" i="10"/>
  <c r="K36" i="10"/>
  <c r="N54" i="7" s="1"/>
  <c r="J36" i="10"/>
  <c r="M54" i="7" s="1"/>
  <c r="I36" i="10"/>
  <c r="H36" i="10"/>
  <c r="K54" i="7" s="1"/>
  <c r="G36" i="10"/>
  <c r="J54" i="7" s="1"/>
  <c r="F36" i="10"/>
  <c r="I54" i="7" s="1"/>
  <c r="E36" i="10"/>
  <c r="H54" i="7" s="1"/>
  <c r="D36" i="10"/>
  <c r="C36" i="10"/>
  <c r="AL35" i="10"/>
  <c r="AK35" i="10"/>
  <c r="AJ35" i="10"/>
  <c r="AI35" i="10"/>
  <c r="AH35" i="10"/>
  <c r="AG35" i="10"/>
  <c r="AJ53" i="7" s="1"/>
  <c r="AF35" i="10"/>
  <c r="AE35" i="10"/>
  <c r="AD35" i="10"/>
  <c r="AC35" i="10"/>
  <c r="AB35" i="10"/>
  <c r="AA35" i="10"/>
  <c r="AD53" i="7" s="1"/>
  <c r="Z35" i="10"/>
  <c r="Y35" i="10"/>
  <c r="X35" i="10"/>
  <c r="AA53" i="7" s="1"/>
  <c r="W35" i="10"/>
  <c r="V35" i="10"/>
  <c r="U35" i="10"/>
  <c r="T35" i="10"/>
  <c r="S35" i="10"/>
  <c r="V53" i="7" s="1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H53" i="7" s="1"/>
  <c r="D35" i="10"/>
  <c r="C35" i="10"/>
  <c r="AL34" i="10"/>
  <c r="AO52" i="7" s="1"/>
  <c r="AK34" i="10"/>
  <c r="AN52" i="7" s="1"/>
  <c r="AJ34" i="10"/>
  <c r="AM52" i="7" s="1"/>
  <c r="AI34" i="10"/>
  <c r="AL52" i="7" s="1"/>
  <c r="AH34" i="10"/>
  <c r="AG34" i="10"/>
  <c r="AF34" i="10"/>
  <c r="AI52" i="7" s="1"/>
  <c r="AE34" i="10"/>
  <c r="AD34" i="10"/>
  <c r="AC34" i="10"/>
  <c r="AB34" i="10"/>
  <c r="AA34" i="10"/>
  <c r="Z34" i="10"/>
  <c r="Y34" i="10"/>
  <c r="X34" i="10"/>
  <c r="AA52" i="7" s="1"/>
  <c r="W34" i="10"/>
  <c r="V34" i="10"/>
  <c r="Y52" i="7" s="1"/>
  <c r="U34" i="10"/>
  <c r="X52" i="7" s="1"/>
  <c r="T34" i="10"/>
  <c r="S34" i="10"/>
  <c r="R34" i="10"/>
  <c r="U52" i="7" s="1"/>
  <c r="Q34" i="10"/>
  <c r="P34" i="10"/>
  <c r="O34" i="10"/>
  <c r="N34" i="10"/>
  <c r="M34" i="10"/>
  <c r="P52" i="7" s="1"/>
  <c r="L34" i="10"/>
  <c r="K34" i="10"/>
  <c r="J34" i="10"/>
  <c r="I34" i="10"/>
  <c r="L52" i="7" s="1"/>
  <c r="H34" i="10"/>
  <c r="K52" i="7" s="1"/>
  <c r="G34" i="10"/>
  <c r="J52" i="7" s="1"/>
  <c r="F34" i="10"/>
  <c r="E34" i="10"/>
  <c r="D34" i="10"/>
  <c r="C34" i="10"/>
  <c r="AL33" i="10"/>
  <c r="AK33" i="10"/>
  <c r="AJ33" i="10"/>
  <c r="AI33" i="10"/>
  <c r="AL51" i="7" s="1"/>
  <c r="AH33" i="10"/>
  <c r="AG33" i="10"/>
  <c r="AF33" i="10"/>
  <c r="AE33" i="10"/>
  <c r="AD33" i="10"/>
  <c r="AG51" i="7" s="1"/>
  <c r="AC33" i="10"/>
  <c r="AF51" i="7" s="1"/>
  <c r="AB33" i="10"/>
  <c r="AA33" i="10"/>
  <c r="Z33" i="10"/>
  <c r="Y33" i="10"/>
  <c r="X33" i="10"/>
  <c r="W33" i="10"/>
  <c r="V33" i="10"/>
  <c r="U33" i="10"/>
  <c r="X51" i="7" s="1"/>
  <c r="T33" i="10"/>
  <c r="S33" i="10"/>
  <c r="R33" i="10"/>
  <c r="Q33" i="10"/>
  <c r="P33" i="10"/>
  <c r="O33" i="10"/>
  <c r="R51" i="7" s="1"/>
  <c r="N33" i="10"/>
  <c r="M33" i="10"/>
  <c r="L33" i="10"/>
  <c r="O51" i="7" s="1"/>
  <c r="K33" i="10"/>
  <c r="J33" i="10"/>
  <c r="I33" i="10"/>
  <c r="H33" i="10"/>
  <c r="G33" i="10"/>
  <c r="J51" i="7" s="1"/>
  <c r="F33" i="10"/>
  <c r="E33" i="10"/>
  <c r="D33" i="10"/>
  <c r="G51" i="7" s="1"/>
  <c r="C33" i="10"/>
  <c r="F51" i="7" s="1"/>
  <c r="AL32" i="10"/>
  <c r="AO50" i="7" s="1"/>
  <c r="AK32" i="10"/>
  <c r="AN50" i="7" s="1"/>
  <c r="AJ32" i="10"/>
  <c r="AI32" i="10"/>
  <c r="AH32" i="10"/>
  <c r="AK50" i="7" s="1"/>
  <c r="AG32" i="10"/>
  <c r="AF32" i="10"/>
  <c r="AE32" i="10"/>
  <c r="AD32" i="10"/>
  <c r="AC32" i="10"/>
  <c r="AF50" i="7" s="1"/>
  <c r="AB32" i="10"/>
  <c r="AA32" i="10"/>
  <c r="Z32" i="10"/>
  <c r="Y32" i="10"/>
  <c r="X32" i="10"/>
  <c r="W32" i="10"/>
  <c r="Z50" i="7" s="1"/>
  <c r="V32" i="10"/>
  <c r="U32" i="10"/>
  <c r="T32" i="10"/>
  <c r="W50" i="7" s="1"/>
  <c r="S32" i="10"/>
  <c r="R32" i="10"/>
  <c r="Q32" i="10"/>
  <c r="P32" i="10"/>
  <c r="O32" i="10"/>
  <c r="R50" i="7" s="1"/>
  <c r="N32" i="10"/>
  <c r="M32" i="10"/>
  <c r="L32" i="10"/>
  <c r="O50" i="7" s="1"/>
  <c r="K32" i="10"/>
  <c r="N50" i="7" s="1"/>
  <c r="J32" i="10"/>
  <c r="M50" i="7" s="1"/>
  <c r="I32" i="10"/>
  <c r="L50" i="7" s="1"/>
  <c r="H32" i="10"/>
  <c r="G32" i="10"/>
  <c r="F32" i="10"/>
  <c r="I50" i="7" s="1"/>
  <c r="E32" i="10"/>
  <c r="D32" i="10"/>
  <c r="C32" i="10"/>
  <c r="AL31" i="10"/>
  <c r="AK31" i="10"/>
  <c r="AN49" i="7" s="1"/>
  <c r="AJ31" i="10"/>
  <c r="AI31" i="10"/>
  <c r="AH31" i="10"/>
  <c r="AK49" i="7" s="1"/>
  <c r="AG31" i="10"/>
  <c r="AJ49" i="7" s="1"/>
  <c r="AF31" i="10"/>
  <c r="AE31" i="10"/>
  <c r="AH49" i="7" s="1"/>
  <c r="AD31" i="10"/>
  <c r="AC31" i="10"/>
  <c r="AB31" i="10"/>
  <c r="AE49" i="7" s="1"/>
  <c r="AA31" i="10"/>
  <c r="Z31" i="10"/>
  <c r="Y31" i="10"/>
  <c r="X31" i="10"/>
  <c r="W31" i="10"/>
  <c r="Z49" i="7" s="1"/>
  <c r="V31" i="10"/>
  <c r="U31" i="10"/>
  <c r="T31" i="10"/>
  <c r="W49" i="7" s="1"/>
  <c r="S31" i="10"/>
  <c r="V49" i="7" s="1"/>
  <c r="R31" i="10"/>
  <c r="U49" i="7" s="1"/>
  <c r="Q31" i="10"/>
  <c r="T49" i="7" s="1"/>
  <c r="P31" i="10"/>
  <c r="O31" i="10"/>
  <c r="N31" i="10"/>
  <c r="M31" i="10"/>
  <c r="L31" i="10"/>
  <c r="K31" i="10"/>
  <c r="J31" i="10"/>
  <c r="I31" i="10"/>
  <c r="L49" i="7" s="1"/>
  <c r="H31" i="10"/>
  <c r="G31" i="10"/>
  <c r="F31" i="10"/>
  <c r="E31" i="10"/>
  <c r="H49" i="7" s="1"/>
  <c r="D31" i="10"/>
  <c r="G49" i="7" s="1"/>
  <c r="C31" i="10"/>
  <c r="F49" i="7" s="1"/>
  <c r="AL29" i="10"/>
  <c r="AK29" i="10"/>
  <c r="AJ29" i="10"/>
  <c r="AM47" i="7" s="1"/>
  <c r="AI29" i="10"/>
  <c r="AH29" i="10"/>
  <c r="AG29" i="10"/>
  <c r="AF29" i="10"/>
  <c r="AE29" i="10"/>
  <c r="AH47" i="7" s="1"/>
  <c r="AD29" i="10"/>
  <c r="AC29" i="10"/>
  <c r="AB29" i="10"/>
  <c r="AE47" i="7" s="1"/>
  <c r="AA29" i="10"/>
  <c r="AD47" i="7" s="1"/>
  <c r="Z29" i="10"/>
  <c r="AC47" i="7" s="1"/>
  <c r="Y29" i="10"/>
  <c r="AB47" i="7" s="1"/>
  <c r="X29" i="10"/>
  <c r="W29" i="10"/>
  <c r="V29" i="10"/>
  <c r="Y47" i="7" s="1"/>
  <c r="U29" i="10"/>
  <c r="T29" i="10"/>
  <c r="S29" i="10"/>
  <c r="R29" i="10"/>
  <c r="Q29" i="10"/>
  <c r="T47" i="7" s="1"/>
  <c r="P29" i="10"/>
  <c r="O29" i="10"/>
  <c r="N29" i="10"/>
  <c r="Q47" i="7" s="1"/>
  <c r="M29" i="10"/>
  <c r="P47" i="7" s="1"/>
  <c r="L29" i="10"/>
  <c r="O47" i="7" s="1"/>
  <c r="K29" i="10"/>
  <c r="N47" i="7" s="1"/>
  <c r="D47" i="7" s="1"/>
  <c r="J29" i="10"/>
  <c r="I29" i="10"/>
  <c r="H29" i="10"/>
  <c r="G29" i="10"/>
  <c r="F29" i="10"/>
  <c r="E29" i="10"/>
  <c r="D29" i="10"/>
  <c r="C29" i="10"/>
  <c r="F47" i="7" s="1"/>
  <c r="AL28" i="10"/>
  <c r="AK28" i="10"/>
  <c r="AJ28" i="10"/>
  <c r="AM46" i="7" s="1"/>
  <c r="AI28" i="10"/>
  <c r="AL46" i="7" s="1"/>
  <c r="AH28" i="10"/>
  <c r="AK46" i="7" s="1"/>
  <c r="AG28" i="10"/>
  <c r="AJ46" i="7" s="1"/>
  <c r="AF28" i="10"/>
  <c r="AE28" i="10"/>
  <c r="AD28" i="10"/>
  <c r="AC28" i="10"/>
  <c r="AB28" i="10"/>
  <c r="AA28" i="10"/>
  <c r="Z28" i="10"/>
  <c r="Y28" i="10"/>
  <c r="AB46" i="7" s="1"/>
  <c r="X28" i="10"/>
  <c r="W28" i="10"/>
  <c r="V28" i="10"/>
  <c r="Y46" i="7" s="1"/>
  <c r="U28" i="10"/>
  <c r="X46" i="7" s="1"/>
  <c r="T28" i="10"/>
  <c r="W46" i="7" s="1"/>
  <c r="S28" i="10"/>
  <c r="V46" i="7" s="1"/>
  <c r="R28" i="10"/>
  <c r="Q28" i="10"/>
  <c r="P28" i="10"/>
  <c r="S46" i="7" s="1"/>
  <c r="O28" i="10"/>
  <c r="N28" i="10"/>
  <c r="M28" i="10"/>
  <c r="L28" i="10"/>
  <c r="K28" i="10"/>
  <c r="N46" i="7" s="1"/>
  <c r="J28" i="10"/>
  <c r="I28" i="10"/>
  <c r="H28" i="10"/>
  <c r="K46" i="7" s="1"/>
  <c r="G28" i="10"/>
  <c r="J46" i="7" s="1"/>
  <c r="F28" i="10"/>
  <c r="I46" i="7" s="1"/>
  <c r="E28" i="10"/>
  <c r="H46" i="7" s="1"/>
  <c r="D28" i="10"/>
  <c r="C28" i="10"/>
  <c r="AL27" i="10"/>
  <c r="AO45" i="7" s="1"/>
  <c r="AK27" i="10"/>
  <c r="AJ27" i="10"/>
  <c r="AI27" i="10"/>
  <c r="AH27" i="10"/>
  <c r="AG27" i="10"/>
  <c r="AJ45" i="7" s="1"/>
  <c r="AF27" i="10"/>
  <c r="AE27" i="10"/>
  <c r="AD27" i="10"/>
  <c r="AG45" i="7" s="1"/>
  <c r="AC27" i="10"/>
  <c r="AF45" i="7" s="1"/>
  <c r="AB27" i="10"/>
  <c r="AE45" i="7" s="1"/>
  <c r="AA27" i="10"/>
  <c r="AD45" i="7" s="1"/>
  <c r="Z27" i="10"/>
  <c r="Y27" i="10"/>
  <c r="X27" i="10"/>
  <c r="AA45" i="7" s="1"/>
  <c r="W27" i="10"/>
  <c r="V27" i="10"/>
  <c r="U27" i="10"/>
  <c r="T27" i="10"/>
  <c r="S27" i="10"/>
  <c r="V45" i="7" s="1"/>
  <c r="R27" i="10"/>
  <c r="Q27" i="10"/>
  <c r="P27" i="10"/>
  <c r="S45" i="7" s="1"/>
  <c r="O27" i="10"/>
  <c r="R45" i="7" s="1"/>
  <c r="N27" i="10"/>
  <c r="Q45" i="7" s="1"/>
  <c r="M27" i="10"/>
  <c r="P45" i="7" s="1"/>
  <c r="L27" i="10"/>
  <c r="K27" i="10"/>
  <c r="J27" i="10"/>
  <c r="M45" i="7" s="1"/>
  <c r="I27" i="10"/>
  <c r="H27" i="10"/>
  <c r="G27" i="10"/>
  <c r="F27" i="10"/>
  <c r="E27" i="10"/>
  <c r="H45" i="7" s="1"/>
  <c r="D27" i="10"/>
  <c r="C27" i="10"/>
  <c r="AL26" i="10"/>
  <c r="AO44" i="7" s="1"/>
  <c r="AK26" i="10"/>
  <c r="AN44" i="7" s="1"/>
  <c r="AJ26" i="10"/>
  <c r="AM44" i="7" s="1"/>
  <c r="AI26" i="10"/>
  <c r="AL44" i="7" s="1"/>
  <c r="AH26" i="10"/>
  <c r="AG26" i="10"/>
  <c r="AF26" i="10"/>
  <c r="AE26" i="10"/>
  <c r="AD26" i="10"/>
  <c r="AC26" i="10"/>
  <c r="AB26" i="10"/>
  <c r="AA26" i="10"/>
  <c r="AD44" i="7" s="1"/>
  <c r="Z26" i="10"/>
  <c r="Y26" i="10"/>
  <c r="X26" i="10"/>
  <c r="W26" i="10"/>
  <c r="Z44" i="7" s="1"/>
  <c r="V26" i="10"/>
  <c r="Y44" i="7" s="1"/>
  <c r="U26" i="10"/>
  <c r="X44" i="7" s="1"/>
  <c r="T26" i="10"/>
  <c r="S26" i="10"/>
  <c r="R26" i="10"/>
  <c r="Q26" i="10"/>
  <c r="P26" i="10"/>
  <c r="O26" i="10"/>
  <c r="N26" i="10"/>
  <c r="M26" i="10"/>
  <c r="P44" i="7" s="1"/>
  <c r="L26" i="10"/>
  <c r="K26" i="10"/>
  <c r="J26" i="10"/>
  <c r="M44" i="7" s="1"/>
  <c r="I26" i="10"/>
  <c r="L44" i="7" s="1"/>
  <c r="H26" i="10"/>
  <c r="K44" i="7" s="1"/>
  <c r="G26" i="10"/>
  <c r="J44" i="7" s="1"/>
  <c r="F26" i="10"/>
  <c r="E26" i="10"/>
  <c r="D26" i="10"/>
  <c r="G44" i="7" s="1"/>
  <c r="C26" i="10"/>
  <c r="AL25" i="10"/>
  <c r="AK25" i="10"/>
  <c r="AJ25" i="10"/>
  <c r="AI25" i="10"/>
  <c r="AL43" i="7" s="1"/>
  <c r="AH25" i="10"/>
  <c r="AG25" i="10"/>
  <c r="AF25" i="10"/>
  <c r="AE25" i="10"/>
  <c r="AH43" i="7" s="1"/>
  <c r="AD25" i="10"/>
  <c r="AG43" i="7" s="1"/>
  <c r="AC25" i="10"/>
  <c r="AF43" i="7" s="1"/>
  <c r="AB25" i="10"/>
  <c r="AA25" i="10"/>
  <c r="Z25" i="10"/>
  <c r="Y25" i="10"/>
  <c r="X25" i="10"/>
  <c r="W25" i="10"/>
  <c r="V25" i="10"/>
  <c r="U25" i="10"/>
  <c r="X43" i="7" s="1"/>
  <c r="T25" i="10"/>
  <c r="S25" i="10"/>
  <c r="R25" i="10"/>
  <c r="U43" i="7" s="1"/>
  <c r="Q25" i="10"/>
  <c r="T43" i="7" s="1"/>
  <c r="P25" i="10"/>
  <c r="S43" i="7" s="1"/>
  <c r="O25" i="10"/>
  <c r="R43" i="7" s="1"/>
  <c r="N25" i="10"/>
  <c r="M25" i="10"/>
  <c r="L25" i="10"/>
  <c r="K25" i="10"/>
  <c r="J25" i="10"/>
  <c r="I25" i="10"/>
  <c r="H25" i="10"/>
  <c r="G25" i="10"/>
  <c r="J43" i="7" s="1"/>
  <c r="F25" i="10"/>
  <c r="E25" i="10"/>
  <c r="D25" i="10"/>
  <c r="G43" i="7" s="1"/>
  <c r="C25" i="10"/>
  <c r="F43" i="7" s="1"/>
  <c r="AL24" i="10"/>
  <c r="AO42" i="7" s="1"/>
  <c r="AK24" i="10"/>
  <c r="AN42" i="7" s="1"/>
  <c r="AJ24" i="10"/>
  <c r="AI24" i="10"/>
  <c r="AH24" i="10"/>
  <c r="AK42" i="7" s="1"/>
  <c r="AG24" i="10"/>
  <c r="AF24" i="10"/>
  <c r="AE24" i="10"/>
  <c r="AD24" i="10"/>
  <c r="AC24" i="10"/>
  <c r="AF42" i="7" s="1"/>
  <c r="AB24" i="10"/>
  <c r="AA24" i="10"/>
  <c r="Z24" i="10"/>
  <c r="AC42" i="7" s="1"/>
  <c r="Y24" i="10"/>
  <c r="AB42" i="7" s="1"/>
  <c r="X24" i="10"/>
  <c r="AA42" i="7" s="1"/>
  <c r="W24" i="10"/>
  <c r="Z42" i="7" s="1"/>
  <c r="V24" i="10"/>
  <c r="U24" i="10"/>
  <c r="T24" i="10"/>
  <c r="W42" i="7" s="1"/>
  <c r="S24" i="10"/>
  <c r="R24" i="10"/>
  <c r="Q24" i="10"/>
  <c r="P24" i="10"/>
  <c r="O24" i="10"/>
  <c r="R42" i="7" s="1"/>
  <c r="N24" i="10"/>
  <c r="M24" i="10"/>
  <c r="L24" i="10"/>
  <c r="O42" i="7" s="1"/>
  <c r="K24" i="10"/>
  <c r="N42" i="7" s="1"/>
  <c r="J24" i="10"/>
  <c r="M42" i="7" s="1"/>
  <c r="I24" i="10"/>
  <c r="L42" i="7" s="1"/>
  <c r="H24" i="10"/>
  <c r="G24" i="10"/>
  <c r="F24" i="10"/>
  <c r="I42" i="7" s="1"/>
  <c r="E24" i="10"/>
  <c r="D24" i="10"/>
  <c r="C24" i="10"/>
  <c r="AL23" i="10"/>
  <c r="AK23" i="10"/>
  <c r="AJ23" i="10"/>
  <c r="AI23" i="10"/>
  <c r="AH23" i="10"/>
  <c r="AK41" i="7" s="1"/>
  <c r="AG23" i="10"/>
  <c r="AJ41" i="7" s="1"/>
  <c r="AF23" i="10"/>
  <c r="AI41" i="7" s="1"/>
  <c r="AE23" i="10"/>
  <c r="AH41" i="7" s="1"/>
  <c r="AD23" i="10"/>
  <c r="AC23" i="10"/>
  <c r="AB23" i="10"/>
  <c r="AA23" i="10"/>
  <c r="Z23" i="10"/>
  <c r="Y23" i="10"/>
  <c r="X23" i="10"/>
  <c r="W23" i="10"/>
  <c r="Z41" i="7" s="1"/>
  <c r="V23" i="10"/>
  <c r="U23" i="10"/>
  <c r="T23" i="10"/>
  <c r="W41" i="7" s="1"/>
  <c r="S23" i="10"/>
  <c r="R23" i="10"/>
  <c r="U41" i="7" s="1"/>
  <c r="Q23" i="10"/>
  <c r="P23" i="10"/>
  <c r="O23" i="10"/>
  <c r="N23" i="10"/>
  <c r="M23" i="10"/>
  <c r="L23" i="10"/>
  <c r="K23" i="10"/>
  <c r="J23" i="10"/>
  <c r="I23" i="10"/>
  <c r="H23" i="10"/>
  <c r="G23" i="10"/>
  <c r="F23" i="10"/>
  <c r="I41" i="7" s="1"/>
  <c r="E23" i="10"/>
  <c r="H41" i="7" s="1"/>
  <c r="D23" i="10"/>
  <c r="G41" i="7" s="1"/>
  <c r="C23" i="10"/>
  <c r="F41" i="7" s="1"/>
  <c r="D41" i="7" s="1"/>
  <c r="E41" i="7" s="1"/>
  <c r="AL22" i="10"/>
  <c r="AK22" i="10"/>
  <c r="AJ22" i="10"/>
  <c r="AM40" i="7" s="1"/>
  <c r="AI22" i="10"/>
  <c r="AH22" i="10"/>
  <c r="AG22" i="10"/>
  <c r="AF22" i="10"/>
  <c r="AE22" i="10"/>
  <c r="AH40" i="7" s="1"/>
  <c r="AD22" i="10"/>
  <c r="AC22" i="10"/>
  <c r="AB22" i="10"/>
  <c r="AA22" i="10"/>
  <c r="Z22" i="10"/>
  <c r="AC40" i="7" s="1"/>
  <c r="Y22" i="10"/>
  <c r="AB40" i="7" s="1"/>
  <c r="X22" i="10"/>
  <c r="W22" i="10"/>
  <c r="V22" i="10"/>
  <c r="Y40" i="7" s="1"/>
  <c r="U22" i="10"/>
  <c r="T22" i="10"/>
  <c r="S22" i="10"/>
  <c r="R22" i="10"/>
  <c r="Q22" i="10"/>
  <c r="T40" i="7" s="1"/>
  <c r="P22" i="10"/>
  <c r="O22" i="10"/>
  <c r="N22" i="10"/>
  <c r="M22" i="10"/>
  <c r="L22" i="10"/>
  <c r="O40" i="7" s="1"/>
  <c r="K22" i="10"/>
  <c r="N40" i="7" s="1"/>
  <c r="J22" i="10"/>
  <c r="I22" i="10"/>
  <c r="H22" i="10"/>
  <c r="K40" i="7" s="1"/>
  <c r="G22" i="10"/>
  <c r="F22" i="10"/>
  <c r="E22" i="10"/>
  <c r="D22" i="10"/>
  <c r="C22" i="10"/>
  <c r="F40" i="7" s="1"/>
  <c r="AL21" i="10"/>
  <c r="AK21" i="10"/>
  <c r="AJ21" i="10"/>
  <c r="AI21" i="10"/>
  <c r="AL39" i="7" s="1"/>
  <c r="AH21" i="10"/>
  <c r="AK39" i="7" s="1"/>
  <c r="AG21" i="10"/>
  <c r="AJ39" i="7" s="1"/>
  <c r="AF21" i="10"/>
  <c r="AE21" i="10"/>
  <c r="AD21" i="10"/>
  <c r="AG39" i="7" s="1"/>
  <c r="AC21" i="10"/>
  <c r="AB21" i="10"/>
  <c r="AA21" i="10"/>
  <c r="Z21" i="10"/>
  <c r="Y21" i="10"/>
  <c r="AB39" i="7" s="1"/>
  <c r="X21" i="10"/>
  <c r="W21" i="10"/>
  <c r="V21" i="10"/>
  <c r="U21" i="10"/>
  <c r="T21" i="10"/>
  <c r="S21" i="10"/>
  <c r="V39" i="7" s="1"/>
  <c r="R21" i="10"/>
  <c r="Q21" i="10"/>
  <c r="P21" i="10"/>
  <c r="S39" i="7" s="1"/>
  <c r="O21" i="10"/>
  <c r="N21" i="10"/>
  <c r="M21" i="10"/>
  <c r="L21" i="10"/>
  <c r="K21" i="10"/>
  <c r="N39" i="7" s="1"/>
  <c r="J21" i="10"/>
  <c r="I21" i="10"/>
  <c r="H21" i="10"/>
  <c r="K39" i="7" s="1"/>
  <c r="G21" i="10"/>
  <c r="J39" i="7" s="1"/>
  <c r="F21" i="10"/>
  <c r="I39" i="7" s="1"/>
  <c r="E21" i="10"/>
  <c r="H39" i="7" s="1"/>
  <c r="D39" i="7" s="1"/>
  <c r="D21" i="10"/>
  <c r="C21" i="10"/>
  <c r="AL20" i="10"/>
  <c r="AO38" i="7" s="1"/>
  <c r="AK20" i="10"/>
  <c r="AJ20" i="10"/>
  <c r="AI20" i="10"/>
  <c r="AH20" i="10"/>
  <c r="AG20" i="10"/>
  <c r="AJ38" i="7" s="1"/>
  <c r="AF20" i="10"/>
  <c r="AE20" i="10"/>
  <c r="AD20" i="10"/>
  <c r="AC20" i="10"/>
  <c r="AF38" i="7" s="1"/>
  <c r="AB20" i="10"/>
  <c r="AA20" i="10"/>
  <c r="AD38" i="7" s="1"/>
  <c r="Z20" i="10"/>
  <c r="Y20" i="10"/>
  <c r="X20" i="10"/>
  <c r="AA38" i="7" s="1"/>
  <c r="W20" i="10"/>
  <c r="V20" i="10"/>
  <c r="U20" i="10"/>
  <c r="T20" i="10"/>
  <c r="S20" i="10"/>
  <c r="R20" i="10"/>
  <c r="Q20" i="10"/>
  <c r="P20" i="10"/>
  <c r="O20" i="10"/>
  <c r="R38" i="7" s="1"/>
  <c r="N20" i="10"/>
  <c r="Q38" i="7" s="1"/>
  <c r="M20" i="10"/>
  <c r="P38" i="7" s="1"/>
  <c r="L20" i="10"/>
  <c r="K20" i="10"/>
  <c r="J20" i="10"/>
  <c r="M38" i="7" s="1"/>
  <c r="I20" i="10"/>
  <c r="H20" i="10"/>
  <c r="G20" i="10"/>
  <c r="F20" i="10"/>
  <c r="E20" i="10"/>
  <c r="H38" i="7" s="1"/>
  <c r="D20" i="10"/>
  <c r="C20" i="10"/>
  <c r="AL19" i="10"/>
  <c r="AK19" i="10"/>
  <c r="AN37" i="7" s="1"/>
  <c r="AJ19" i="10"/>
  <c r="AI19" i="10"/>
  <c r="AL37" i="7" s="1"/>
  <c r="AH19" i="10"/>
  <c r="AG19" i="10"/>
  <c r="AF19" i="10"/>
  <c r="AI37" i="7" s="1"/>
  <c r="AE19" i="10"/>
  <c r="AD19" i="10"/>
  <c r="AC19" i="10"/>
  <c r="AB19" i="10"/>
  <c r="AA19" i="10"/>
  <c r="AD37" i="7" s="1"/>
  <c r="Z19" i="10"/>
  <c r="Y19" i="10"/>
  <c r="X19" i="10"/>
  <c r="W19" i="10"/>
  <c r="Z37" i="7" s="1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L37" i="7" s="1"/>
  <c r="H19" i="10"/>
  <c r="K37" i="7" s="1"/>
  <c r="G19" i="10"/>
  <c r="J37" i="7" s="1"/>
  <c r="F19" i="10"/>
  <c r="E19" i="10"/>
  <c r="D19" i="10"/>
  <c r="G37" i="7" s="1"/>
  <c r="C19" i="10"/>
  <c r="AL18" i="10"/>
  <c r="AK18" i="10"/>
  <c r="AJ18" i="10"/>
  <c r="AI18" i="10"/>
  <c r="AH18" i="10"/>
  <c r="AG18" i="10"/>
  <c r="AF18" i="10"/>
  <c r="AE18" i="10"/>
  <c r="AH36" i="7" s="1"/>
  <c r="AD18" i="10"/>
  <c r="AG36" i="7" s="1"/>
  <c r="AC18" i="10"/>
  <c r="AF36" i="7" s="1"/>
  <c r="AB18" i="10"/>
  <c r="AA18" i="10"/>
  <c r="Z18" i="10"/>
  <c r="Y18" i="10"/>
  <c r="X18" i="10"/>
  <c r="W18" i="10"/>
  <c r="V18" i="10"/>
  <c r="U18" i="10"/>
  <c r="X36" i="7" s="1"/>
  <c r="T18" i="10"/>
  <c r="S18" i="10"/>
  <c r="R18" i="10"/>
  <c r="Q18" i="10"/>
  <c r="P18" i="10"/>
  <c r="S36" i="7" s="1"/>
  <c r="O18" i="10"/>
  <c r="R36" i="7" s="1"/>
  <c r="N18" i="10"/>
  <c r="M18" i="10"/>
  <c r="L18" i="10"/>
  <c r="O36" i="7" s="1"/>
  <c r="K18" i="10"/>
  <c r="J18" i="10"/>
  <c r="I18" i="10"/>
  <c r="H18" i="10"/>
  <c r="G18" i="10"/>
  <c r="J36" i="7" s="1"/>
  <c r="F18" i="10"/>
  <c r="E18" i="10"/>
  <c r="D18" i="10"/>
  <c r="C18" i="10"/>
  <c r="AL17" i="10"/>
  <c r="AO35" i="7" s="1"/>
  <c r="AK17" i="10"/>
  <c r="AN35" i="7" s="1"/>
  <c r="AJ17" i="10"/>
  <c r="AI17" i="10"/>
  <c r="AH17" i="10"/>
  <c r="AG17" i="10"/>
  <c r="AF17" i="10"/>
  <c r="AE17" i="10"/>
  <c r="AD17" i="10"/>
  <c r="AC17" i="10"/>
  <c r="AB17" i="10"/>
  <c r="AA17" i="10"/>
  <c r="Z17" i="10"/>
  <c r="AC35" i="7" s="1"/>
  <c r="Y17" i="10"/>
  <c r="AB35" i="7" s="1"/>
  <c r="X17" i="10"/>
  <c r="AA35" i="7" s="1"/>
  <c r="W17" i="10"/>
  <c r="Z35" i="7" s="1"/>
  <c r="V17" i="10"/>
  <c r="U17" i="10"/>
  <c r="T17" i="10"/>
  <c r="W35" i="7" s="1"/>
  <c r="S17" i="10"/>
  <c r="R17" i="10"/>
  <c r="Q17" i="10"/>
  <c r="P17" i="10"/>
  <c r="O17" i="10"/>
  <c r="N17" i="10"/>
  <c r="M17" i="10"/>
  <c r="L17" i="10"/>
  <c r="O35" i="7" s="1"/>
  <c r="K17" i="10"/>
  <c r="N35" i="7" s="1"/>
  <c r="J17" i="10"/>
  <c r="M35" i="7" s="1"/>
  <c r="I17" i="10"/>
  <c r="L35" i="7" s="1"/>
  <c r="H17" i="10"/>
  <c r="G17" i="10"/>
  <c r="F17" i="10"/>
  <c r="I35" i="7" s="1"/>
  <c r="E17" i="10"/>
  <c r="D17" i="10"/>
  <c r="C17" i="10"/>
  <c r="AL16" i="10"/>
  <c r="AK16" i="10"/>
  <c r="AN34" i="7" s="1"/>
  <c r="AJ16" i="10"/>
  <c r="AI16" i="10"/>
  <c r="AH16" i="10"/>
  <c r="AK34" i="7" s="1"/>
  <c r="AG16" i="10"/>
  <c r="AJ34" i="7" s="1"/>
  <c r="AF16" i="10"/>
  <c r="AI34" i="7" s="1"/>
  <c r="AE16" i="10"/>
  <c r="AH34" i="7" s="1"/>
  <c r="AD16" i="10"/>
  <c r="AC16" i="10"/>
  <c r="AB16" i="10"/>
  <c r="AE34" i="7" s="1"/>
  <c r="AA16" i="10"/>
  <c r="Z16" i="10"/>
  <c r="Y16" i="10"/>
  <c r="X16" i="10"/>
  <c r="W16" i="10"/>
  <c r="Z34" i="7" s="1"/>
  <c r="V16" i="10"/>
  <c r="U16" i="10"/>
  <c r="T16" i="10"/>
  <c r="W34" i="7" s="1"/>
  <c r="S16" i="10"/>
  <c r="V34" i="7" s="1"/>
  <c r="R16" i="10"/>
  <c r="U34" i="7" s="1"/>
  <c r="Q16" i="10"/>
  <c r="T34" i="7" s="1"/>
  <c r="P16" i="10"/>
  <c r="O16" i="10"/>
  <c r="N16" i="10"/>
  <c r="Q34" i="7" s="1"/>
  <c r="M16" i="10"/>
  <c r="L16" i="10"/>
  <c r="K16" i="10"/>
  <c r="J16" i="10"/>
  <c r="I16" i="10"/>
  <c r="H16" i="10"/>
  <c r="G16" i="10"/>
  <c r="F16" i="10"/>
  <c r="I34" i="7" s="1"/>
  <c r="E16" i="10"/>
  <c r="H34" i="7" s="1"/>
  <c r="D16" i="10"/>
  <c r="G34" i="7" s="1"/>
  <c r="C16" i="10"/>
  <c r="F34" i="7" s="1"/>
  <c r="D34" i="7" s="1"/>
  <c r="AL15" i="10"/>
  <c r="AK15" i="10"/>
  <c r="AJ15" i="10"/>
  <c r="AI15" i="10"/>
  <c r="AH15" i="10"/>
  <c r="AG15" i="10"/>
  <c r="AF15" i="10"/>
  <c r="AE15" i="10"/>
  <c r="AH33" i="7" s="1"/>
  <c r="AD15" i="10"/>
  <c r="AC15" i="10"/>
  <c r="AB15" i="10"/>
  <c r="AE33" i="7" s="1"/>
  <c r="AA15" i="10"/>
  <c r="AD33" i="7" s="1"/>
  <c r="Z15" i="10"/>
  <c r="AC33" i="7" s="1"/>
  <c r="Y15" i="10"/>
  <c r="AB33" i="7" s="1"/>
  <c r="X15" i="10"/>
  <c r="W15" i="10"/>
  <c r="V15" i="10"/>
  <c r="U15" i="10"/>
  <c r="T15" i="10"/>
  <c r="S15" i="10"/>
  <c r="R15" i="10"/>
  <c r="Q15" i="10"/>
  <c r="T33" i="7" s="1"/>
  <c r="P15" i="10"/>
  <c r="O15" i="10"/>
  <c r="N15" i="10"/>
  <c r="Q33" i="7" s="1"/>
  <c r="M15" i="10"/>
  <c r="P33" i="7" s="1"/>
  <c r="L15" i="10"/>
  <c r="O33" i="7" s="1"/>
  <c r="K15" i="10"/>
  <c r="N33" i="7" s="1"/>
  <c r="J15" i="10"/>
  <c r="I15" i="10"/>
  <c r="H15" i="10"/>
  <c r="G15" i="10"/>
  <c r="F15" i="10"/>
  <c r="E15" i="10"/>
  <c r="D15" i="10"/>
  <c r="C15" i="10"/>
  <c r="F33" i="7" s="1"/>
  <c r="AL14" i="10"/>
  <c r="AK14" i="10"/>
  <c r="AJ14" i="10"/>
  <c r="AM32" i="7" s="1"/>
  <c r="AI14" i="10"/>
  <c r="AL32" i="7" s="1"/>
  <c r="AH14" i="10"/>
  <c r="AK32" i="7" s="1"/>
  <c r="AG14" i="10"/>
  <c r="AJ32" i="7" s="1"/>
  <c r="AF14" i="10"/>
  <c r="AE14" i="10"/>
  <c r="AD14" i="10"/>
  <c r="AG32" i="7" s="1"/>
  <c r="AC14" i="10"/>
  <c r="AB14" i="10"/>
  <c r="AA14" i="10"/>
  <c r="Z14" i="10"/>
  <c r="Y14" i="10"/>
  <c r="AB32" i="7" s="1"/>
  <c r="X14" i="10"/>
  <c r="W14" i="10"/>
  <c r="V14" i="10"/>
  <c r="Y32" i="7" s="1"/>
  <c r="U14" i="10"/>
  <c r="X32" i="7" s="1"/>
  <c r="T14" i="10"/>
  <c r="W32" i="7" s="1"/>
  <c r="S14" i="10"/>
  <c r="V32" i="7" s="1"/>
  <c r="R14" i="10"/>
  <c r="Q14" i="10"/>
  <c r="P14" i="10"/>
  <c r="S32" i="7" s="1"/>
  <c r="O14" i="10"/>
  <c r="N14" i="10"/>
  <c r="M14" i="10"/>
  <c r="L14" i="10"/>
  <c r="K14" i="10"/>
  <c r="N32" i="7" s="1"/>
  <c r="J14" i="10"/>
  <c r="I14" i="10"/>
  <c r="H14" i="10"/>
  <c r="K32" i="7" s="1"/>
  <c r="G14" i="10"/>
  <c r="J32" i="7" s="1"/>
  <c r="F14" i="10"/>
  <c r="I32" i="7" s="1"/>
  <c r="E14" i="10"/>
  <c r="H32" i="7" s="1"/>
  <c r="D14" i="10"/>
  <c r="C14" i="10"/>
  <c r="AL13" i="10"/>
  <c r="AO31" i="7" s="1"/>
  <c r="AK13" i="10"/>
  <c r="AJ13" i="10"/>
  <c r="AI13" i="10"/>
  <c r="AH13" i="10"/>
  <c r="AG13" i="10"/>
  <c r="AJ31" i="7" s="1"/>
  <c r="AF13" i="10"/>
  <c r="AE13" i="10"/>
  <c r="AD13" i="10"/>
  <c r="AC13" i="10"/>
  <c r="AB13" i="10"/>
  <c r="AA13" i="10"/>
  <c r="AD31" i="7" s="1"/>
  <c r="Z13" i="10"/>
  <c r="Y13" i="10"/>
  <c r="X13" i="10"/>
  <c r="AA31" i="7" s="1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M31" i="7" s="1"/>
  <c r="I13" i="10"/>
  <c r="H13" i="10"/>
  <c r="G13" i="10"/>
  <c r="F13" i="10"/>
  <c r="E13" i="10"/>
  <c r="H31" i="7" s="1"/>
  <c r="D13" i="10"/>
  <c r="C13" i="10"/>
  <c r="AL11" i="10"/>
  <c r="AK11" i="10"/>
  <c r="AJ11" i="10"/>
  <c r="AM29" i="7" s="1"/>
  <c r="AI11" i="10"/>
  <c r="AL29" i="7" s="1"/>
  <c r="AH11" i="10"/>
  <c r="AG11" i="10"/>
  <c r="AF11" i="10"/>
  <c r="AI29" i="7" s="1"/>
  <c r="AE11" i="10"/>
  <c r="AD11" i="10"/>
  <c r="AC11" i="10"/>
  <c r="AB11" i="10"/>
  <c r="AA11" i="10"/>
  <c r="AD29" i="7" s="1"/>
  <c r="Z11" i="10"/>
  <c r="Y11" i="10"/>
  <c r="X11" i="10"/>
  <c r="W11" i="10"/>
  <c r="V11" i="10"/>
  <c r="Y29" i="7" s="1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K29" i="7" s="1"/>
  <c r="G11" i="10"/>
  <c r="J29" i="7" s="1"/>
  <c r="F11" i="10"/>
  <c r="E11" i="10"/>
  <c r="D11" i="10"/>
  <c r="G29" i="7" s="1"/>
  <c r="C11" i="10"/>
  <c r="AL10" i="10"/>
  <c r="AK10" i="10"/>
  <c r="AJ10" i="10"/>
  <c r="AI10" i="10"/>
  <c r="AL28" i="7" s="1"/>
  <c r="AH10" i="10"/>
  <c r="AG10" i="10"/>
  <c r="AF10" i="10"/>
  <c r="AE10" i="10"/>
  <c r="AD10" i="10"/>
  <c r="AG28" i="7" s="1"/>
  <c r="AC10" i="10"/>
  <c r="AF28" i="7" s="1"/>
  <c r="AB10" i="10"/>
  <c r="AA10" i="10"/>
  <c r="Z10" i="10"/>
  <c r="AC28" i="7" s="1"/>
  <c r="Y10" i="10"/>
  <c r="X10" i="10"/>
  <c r="W10" i="10"/>
  <c r="V10" i="10"/>
  <c r="U10" i="10"/>
  <c r="X28" i="7" s="1"/>
  <c r="T10" i="10"/>
  <c r="S10" i="10"/>
  <c r="R10" i="10"/>
  <c r="Q10" i="10"/>
  <c r="P10" i="10"/>
  <c r="O10" i="10"/>
  <c r="R28" i="7" s="1"/>
  <c r="R190" i="7" s="1"/>
  <c r="N10" i="10"/>
  <c r="M10" i="10"/>
  <c r="L10" i="10"/>
  <c r="O28" i="7" s="1"/>
  <c r="K10" i="10"/>
  <c r="J10" i="10"/>
  <c r="I10" i="10"/>
  <c r="H10" i="10"/>
  <c r="G10" i="10"/>
  <c r="J28" i="7" s="1"/>
  <c r="F10" i="10"/>
  <c r="E10" i="10"/>
  <c r="D10" i="10"/>
  <c r="C10" i="10"/>
  <c r="AL9" i="10"/>
  <c r="AO27" i="7" s="1"/>
  <c r="AK9" i="10"/>
  <c r="AN27" i="7" s="1"/>
  <c r="AJ9" i="10"/>
  <c r="AI9" i="10"/>
  <c r="AH9" i="10"/>
  <c r="AK27" i="7" s="1"/>
  <c r="AG9" i="10"/>
  <c r="AF9" i="10"/>
  <c r="AE9" i="10"/>
  <c r="AD9" i="10"/>
  <c r="AC9" i="10"/>
  <c r="AB9" i="10"/>
  <c r="AA9" i="10"/>
  <c r="Z9" i="10"/>
  <c r="AC27" i="7" s="1"/>
  <c r="Y9" i="10"/>
  <c r="AB27" i="7" s="1"/>
  <c r="X9" i="10"/>
  <c r="AA27" i="7" s="1"/>
  <c r="W9" i="10"/>
  <c r="Z27" i="7" s="1"/>
  <c r="V9" i="10"/>
  <c r="U9" i="10"/>
  <c r="T9" i="10"/>
  <c r="W27" i="7" s="1"/>
  <c r="S9" i="10"/>
  <c r="R9" i="10"/>
  <c r="Q9" i="10"/>
  <c r="P9" i="10"/>
  <c r="O9" i="10"/>
  <c r="N9" i="10"/>
  <c r="M9" i="10"/>
  <c r="L9" i="10"/>
  <c r="K9" i="10"/>
  <c r="N27" i="7" s="1"/>
  <c r="J9" i="10"/>
  <c r="M27" i="7" s="1"/>
  <c r="I9" i="10"/>
  <c r="L27" i="7" s="1"/>
  <c r="H9" i="10"/>
  <c r="G9" i="10"/>
  <c r="F9" i="10"/>
  <c r="I27" i="7" s="1"/>
  <c r="E9" i="10"/>
  <c r="D9" i="10"/>
  <c r="C9" i="10"/>
  <c r="AL8" i="10"/>
  <c r="AK8" i="10"/>
  <c r="AN26" i="7" s="1"/>
  <c r="AJ8" i="10"/>
  <c r="AI8" i="10"/>
  <c r="AH8" i="10"/>
  <c r="AK26" i="7" s="1"/>
  <c r="AG8" i="10"/>
  <c r="AJ26" i="7" s="1"/>
  <c r="AF8" i="10"/>
  <c r="AI26" i="7" s="1"/>
  <c r="AI190" i="7" s="1"/>
  <c r="AE8" i="10"/>
  <c r="AH26" i="7" s="1"/>
  <c r="AD8" i="10"/>
  <c r="AC8" i="10"/>
  <c r="AB8" i="10"/>
  <c r="AA8" i="10"/>
  <c r="Z8" i="10"/>
  <c r="Y8" i="10"/>
  <c r="X8" i="10"/>
  <c r="W8" i="10"/>
  <c r="V8" i="10"/>
  <c r="U8" i="10"/>
  <c r="T8" i="10"/>
  <c r="W26" i="7" s="1"/>
  <c r="S8" i="10"/>
  <c r="V26" i="7" s="1"/>
  <c r="R8" i="10"/>
  <c r="U26" i="7" s="1"/>
  <c r="Q8" i="10"/>
  <c r="T26" i="7" s="1"/>
  <c r="P8" i="10"/>
  <c r="O8" i="10"/>
  <c r="N8" i="10"/>
  <c r="Q26" i="7" s="1"/>
  <c r="M8" i="10"/>
  <c r="L8" i="10"/>
  <c r="K8" i="10"/>
  <c r="J8" i="10"/>
  <c r="I8" i="10"/>
  <c r="H8" i="10"/>
  <c r="G8" i="10"/>
  <c r="F8" i="10"/>
  <c r="E8" i="10"/>
  <c r="H26" i="7" s="1"/>
  <c r="D8" i="10"/>
  <c r="G26" i="7" s="1"/>
  <c r="G190" i="7" s="1"/>
  <c r="C8" i="10"/>
  <c r="F26" i="7" s="1"/>
  <c r="D26" i="7" s="1"/>
  <c r="E26" i="7" s="1"/>
  <c r="AL7" i="10"/>
  <c r="AK7" i="10"/>
  <c r="AJ7" i="10"/>
  <c r="AM25" i="7" s="1"/>
  <c r="AI7" i="10"/>
  <c r="AH7" i="10"/>
  <c r="AG7" i="10"/>
  <c r="AF7" i="10"/>
  <c r="AE7" i="10"/>
  <c r="AD7" i="10"/>
  <c r="AC7" i="10"/>
  <c r="AB7" i="10"/>
  <c r="AE25" i="7" s="1"/>
  <c r="AA7" i="10"/>
  <c r="AD25" i="7" s="1"/>
  <c r="Z7" i="10"/>
  <c r="AC25" i="7" s="1"/>
  <c r="Y7" i="10"/>
  <c r="AB25" i="7" s="1"/>
  <c r="X7" i="10"/>
  <c r="W7" i="10"/>
  <c r="V7" i="10"/>
  <c r="U7" i="10"/>
  <c r="T7" i="10"/>
  <c r="S7" i="10"/>
  <c r="R7" i="10"/>
  <c r="Q7" i="10"/>
  <c r="P7" i="10"/>
  <c r="O7" i="10"/>
  <c r="N7" i="10"/>
  <c r="Q25" i="7" s="1"/>
  <c r="M7" i="10"/>
  <c r="P25" i="7" s="1"/>
  <c r="L7" i="10"/>
  <c r="O25" i="7" s="1"/>
  <c r="K7" i="10"/>
  <c r="N25" i="7" s="1"/>
  <c r="J7" i="10"/>
  <c r="I7" i="10"/>
  <c r="H7" i="10"/>
  <c r="K25" i="7" s="1"/>
  <c r="G7" i="10"/>
  <c r="F7" i="10"/>
  <c r="E7" i="10"/>
  <c r="D7" i="10"/>
  <c r="C7" i="10"/>
  <c r="AL6" i="10"/>
  <c r="AK6" i="10"/>
  <c r="AJ6" i="10"/>
  <c r="AM24" i="7" s="1"/>
  <c r="AI6" i="10"/>
  <c r="AL24" i="7" s="1"/>
  <c r="AH6" i="10"/>
  <c r="AK24" i="7" s="1"/>
  <c r="AK190" i="7" s="1"/>
  <c r="AG6" i="10"/>
  <c r="AJ24" i="7" s="1"/>
  <c r="AJ190" i="7" s="1"/>
  <c r="AF6" i="10"/>
  <c r="AE6" i="10"/>
  <c r="AD6" i="10"/>
  <c r="AC6" i="10"/>
  <c r="AB6" i="10"/>
  <c r="AA6" i="10"/>
  <c r="Z6" i="10"/>
  <c r="Y6" i="10"/>
  <c r="AB24" i="7" s="1"/>
  <c r="X6" i="10"/>
  <c r="W6" i="10"/>
  <c r="V6" i="10"/>
  <c r="Y24" i="7" s="1"/>
  <c r="U6" i="10"/>
  <c r="X24" i="7" s="1"/>
  <c r="T6" i="10"/>
  <c r="W24" i="7" s="1"/>
  <c r="W190" i="7" s="1"/>
  <c r="S6" i="10"/>
  <c r="V24" i="7" s="1"/>
  <c r="V190" i="7" s="1"/>
  <c r="R6" i="10"/>
  <c r="Q6" i="10"/>
  <c r="P6" i="10"/>
  <c r="O6" i="10"/>
  <c r="N6" i="10"/>
  <c r="M6" i="10"/>
  <c r="L6" i="10"/>
  <c r="K6" i="10"/>
  <c r="N24" i="7" s="1"/>
  <c r="J6" i="10"/>
  <c r="I6" i="10"/>
  <c r="H6" i="10"/>
  <c r="K24" i="7" s="1"/>
  <c r="G6" i="10"/>
  <c r="J24" i="7" s="1"/>
  <c r="F6" i="10"/>
  <c r="I24" i="7" s="1"/>
  <c r="I190" i="7" s="1"/>
  <c r="E6" i="10"/>
  <c r="H24" i="7" s="1"/>
  <c r="H190" i="7" s="1"/>
  <c r="D6" i="10"/>
  <c r="C6" i="10"/>
  <c r="B58" i="9"/>
  <c r="B56" i="9"/>
  <c r="D49" i="9"/>
  <c r="C49" i="9"/>
  <c r="I49" i="9" s="1"/>
  <c r="B49" i="9"/>
  <c r="D48" i="9"/>
  <c r="C48" i="9"/>
  <c r="I48" i="9" s="1"/>
  <c r="B48" i="9"/>
  <c r="I47" i="9"/>
  <c r="D47" i="9"/>
  <c r="C47" i="9"/>
  <c r="I46" i="9"/>
  <c r="D46" i="9"/>
  <c r="C46" i="9"/>
  <c r="B46" i="9"/>
  <c r="D45" i="9"/>
  <c r="C45" i="9"/>
  <c r="I45" i="9" s="1"/>
  <c r="B45" i="9"/>
  <c r="I44" i="9"/>
  <c r="D44" i="9"/>
  <c r="C44" i="9"/>
  <c r="B44" i="9"/>
  <c r="D43" i="9"/>
  <c r="C43" i="9"/>
  <c r="I43" i="9" s="1"/>
  <c r="B43" i="9"/>
  <c r="I42" i="9"/>
  <c r="D42" i="9"/>
  <c r="B42" i="9"/>
  <c r="D41" i="9"/>
  <c r="C41" i="9"/>
  <c r="I41" i="9" s="1"/>
  <c r="B41" i="9"/>
  <c r="I40" i="9"/>
  <c r="D40" i="9"/>
  <c r="C40" i="9"/>
  <c r="B40" i="9"/>
  <c r="D39" i="9"/>
  <c r="C39" i="9"/>
  <c r="I39" i="9" s="1"/>
  <c r="B39" i="9"/>
  <c r="D38" i="9"/>
  <c r="C38" i="9"/>
  <c r="I38" i="9" s="1"/>
  <c r="B38" i="9"/>
  <c r="D37" i="9"/>
  <c r="C37" i="9"/>
  <c r="I37" i="9" s="1"/>
  <c r="B37" i="9"/>
  <c r="D36" i="9"/>
  <c r="C36" i="9"/>
  <c r="I36" i="9" s="1"/>
  <c r="B36" i="9"/>
  <c r="D35" i="9"/>
  <c r="C35" i="9"/>
  <c r="I35" i="9" s="1"/>
  <c r="B35" i="9"/>
  <c r="D34" i="9"/>
  <c r="C34" i="9"/>
  <c r="I34" i="9" s="1"/>
  <c r="B34" i="9"/>
  <c r="D33" i="9"/>
  <c r="B33" i="9"/>
  <c r="D32" i="9"/>
  <c r="C32" i="9"/>
  <c r="I32" i="9" s="1"/>
  <c r="B32" i="9"/>
  <c r="I31" i="9"/>
  <c r="D31" i="9"/>
  <c r="C31" i="9"/>
  <c r="B31" i="9"/>
  <c r="D30" i="9"/>
  <c r="C30" i="9"/>
  <c r="I30" i="9" s="1"/>
  <c r="B30" i="9"/>
  <c r="D29" i="9"/>
  <c r="C29" i="9"/>
  <c r="I29" i="9" s="1"/>
  <c r="B29" i="9"/>
  <c r="D28" i="9"/>
  <c r="C28" i="9"/>
  <c r="I28" i="9" s="1"/>
  <c r="B28" i="9"/>
  <c r="D27" i="9"/>
  <c r="C27" i="9"/>
  <c r="I27" i="9" s="1"/>
  <c r="B27" i="9"/>
  <c r="D26" i="9"/>
  <c r="C26" i="9"/>
  <c r="B26" i="9"/>
  <c r="I25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B20" i="9"/>
  <c r="D19" i="9"/>
  <c r="C19" i="9"/>
  <c r="B19" i="9"/>
  <c r="I18" i="9"/>
  <c r="D18" i="9"/>
  <c r="C18" i="9"/>
  <c r="B18" i="9"/>
  <c r="D17" i="9"/>
  <c r="C17" i="9"/>
  <c r="D16" i="9"/>
  <c r="C16" i="9"/>
  <c r="B16" i="9"/>
  <c r="D15" i="9"/>
  <c r="C15" i="9"/>
  <c r="B15" i="9"/>
  <c r="C14" i="9"/>
  <c r="B14" i="9"/>
  <c r="B7" i="9"/>
  <c r="B6" i="9"/>
  <c r="I23" i="9" s="1"/>
  <c r="B5" i="9"/>
  <c r="B28" i="8"/>
  <c r="B27" i="8"/>
  <c r="B26" i="8"/>
  <c r="B25" i="8"/>
  <c r="B24" i="8"/>
  <c r="B23" i="8"/>
  <c r="B22" i="8"/>
  <c r="B21" i="8"/>
  <c r="B32" i="8" s="1"/>
  <c r="B20" i="8"/>
  <c r="D210" i="7"/>
  <c r="D209" i="7"/>
  <c r="D197" i="7"/>
  <c r="AO196" i="7"/>
  <c r="AN196" i="7"/>
  <c r="AM196" i="7"/>
  <c r="AL196" i="7"/>
  <c r="AK196" i="7"/>
  <c r="AJ196" i="7"/>
  <c r="AI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F196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C188" i="7"/>
  <c r="B188" i="7"/>
  <c r="A188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D187" i="7"/>
  <c r="C187" i="7"/>
  <c r="B187" i="7"/>
  <c r="A187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C186" i="7"/>
  <c r="B186" i="7"/>
  <c r="A186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D185" i="7" s="1"/>
  <c r="E185" i="7" s="1"/>
  <c r="F185" i="7"/>
  <c r="C185" i="7"/>
  <c r="B185" i="7"/>
  <c r="A185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D184" i="7" s="1"/>
  <c r="H184" i="7"/>
  <c r="G184" i="7"/>
  <c r="F184" i="7"/>
  <c r="C184" i="7"/>
  <c r="B184" i="7"/>
  <c r="A184" i="7"/>
  <c r="AO183" i="7"/>
  <c r="AN183" i="7"/>
  <c r="AM183" i="7"/>
  <c r="AL183" i="7"/>
  <c r="AK183" i="7"/>
  <c r="AJ183" i="7"/>
  <c r="AI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D183" i="7" s="1"/>
  <c r="E183" i="7" s="1"/>
  <c r="G183" i="7"/>
  <c r="C183" i="7"/>
  <c r="B183" i="7"/>
  <c r="A183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D182" i="7" s="1"/>
  <c r="C182" i="7"/>
  <c r="E182" i="7" s="1"/>
  <c r="B182" i="7"/>
  <c r="A182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C181" i="7"/>
  <c r="B181" i="7"/>
  <c r="A181" i="7"/>
  <c r="AO180" i="7"/>
  <c r="AN180" i="7"/>
  <c r="AM180" i="7"/>
  <c r="AL180" i="7"/>
  <c r="AK180" i="7"/>
  <c r="AJ180" i="7"/>
  <c r="AI180" i="7"/>
  <c r="AH180" i="7"/>
  <c r="AG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C180" i="7"/>
  <c r="B180" i="7"/>
  <c r="A180" i="7"/>
  <c r="AO179" i="7"/>
  <c r="AN179" i="7"/>
  <c r="AM179" i="7"/>
  <c r="AL179" i="7"/>
  <c r="AK179" i="7"/>
  <c r="AJ179" i="7"/>
  <c r="AI179" i="7"/>
  <c r="AH179" i="7"/>
  <c r="AG179" i="7"/>
  <c r="AF179" i="7"/>
  <c r="AD179" i="7"/>
  <c r="AC179" i="7"/>
  <c r="AB179" i="7"/>
  <c r="Z179" i="7"/>
  <c r="Y179" i="7"/>
  <c r="X179" i="7"/>
  <c r="W179" i="7"/>
  <c r="V179" i="7"/>
  <c r="U179" i="7"/>
  <c r="T179" i="7"/>
  <c r="S179" i="7"/>
  <c r="R179" i="7"/>
  <c r="P179" i="7"/>
  <c r="O179" i="7"/>
  <c r="N179" i="7"/>
  <c r="M179" i="7"/>
  <c r="L179" i="7"/>
  <c r="K179" i="7"/>
  <c r="J179" i="7"/>
  <c r="I179" i="7"/>
  <c r="H179" i="7"/>
  <c r="G179" i="7"/>
  <c r="F179" i="7"/>
  <c r="C179" i="7"/>
  <c r="B179" i="7"/>
  <c r="A179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D178" i="7"/>
  <c r="C178" i="7"/>
  <c r="B178" i="7"/>
  <c r="A178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N177" i="7"/>
  <c r="M177" i="7"/>
  <c r="L177" i="7"/>
  <c r="K177" i="7"/>
  <c r="J177" i="7"/>
  <c r="I177" i="7"/>
  <c r="H177" i="7"/>
  <c r="G177" i="7"/>
  <c r="F177" i="7"/>
  <c r="C177" i="7"/>
  <c r="B177" i="7"/>
  <c r="A177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A176" i="7"/>
  <c r="Z176" i="7"/>
  <c r="Y176" i="7"/>
  <c r="X176" i="7"/>
  <c r="V176" i="7"/>
  <c r="U176" i="7"/>
  <c r="T176" i="7"/>
  <c r="S176" i="7"/>
  <c r="R176" i="7"/>
  <c r="Q176" i="7"/>
  <c r="P176" i="7"/>
  <c r="O176" i="7"/>
  <c r="M176" i="7"/>
  <c r="L176" i="7"/>
  <c r="K176" i="7"/>
  <c r="J176" i="7"/>
  <c r="I176" i="7"/>
  <c r="H176" i="7"/>
  <c r="G176" i="7"/>
  <c r="F176" i="7"/>
  <c r="C176" i="7"/>
  <c r="B176" i="7"/>
  <c r="A176" i="7"/>
  <c r="AN175" i="7"/>
  <c r="AM175" i="7"/>
  <c r="AL175" i="7"/>
  <c r="AK175" i="7"/>
  <c r="AJ175" i="7"/>
  <c r="AI175" i="7"/>
  <c r="AH175" i="7"/>
  <c r="AG175" i="7"/>
  <c r="AF175" i="7"/>
  <c r="AD175" i="7"/>
  <c r="AC175" i="7"/>
  <c r="AB175" i="7"/>
  <c r="Z175" i="7"/>
  <c r="Y175" i="7"/>
  <c r="X175" i="7"/>
  <c r="W175" i="7"/>
  <c r="V175" i="7"/>
  <c r="U175" i="7"/>
  <c r="T175" i="7"/>
  <c r="S175" i="7"/>
  <c r="R175" i="7"/>
  <c r="P175" i="7"/>
  <c r="O175" i="7"/>
  <c r="N175" i="7"/>
  <c r="L175" i="7"/>
  <c r="K175" i="7"/>
  <c r="J175" i="7"/>
  <c r="I175" i="7"/>
  <c r="H175" i="7"/>
  <c r="G175" i="7"/>
  <c r="F175" i="7"/>
  <c r="C175" i="7"/>
  <c r="B175" i="7"/>
  <c r="A175" i="7"/>
  <c r="AO174" i="7"/>
  <c r="AM174" i="7"/>
  <c r="AL174" i="7"/>
  <c r="AK174" i="7"/>
  <c r="AJ174" i="7"/>
  <c r="AH174" i="7"/>
  <c r="AG174" i="7"/>
  <c r="AF174" i="7"/>
  <c r="AE174" i="7"/>
  <c r="AD174" i="7"/>
  <c r="AC174" i="7"/>
  <c r="AB174" i="7"/>
  <c r="AA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K174" i="7"/>
  <c r="J174" i="7"/>
  <c r="I174" i="7"/>
  <c r="H174" i="7"/>
  <c r="G174" i="7"/>
  <c r="F174" i="7"/>
  <c r="D174" i="7"/>
  <c r="C174" i="7"/>
  <c r="B174" i="7"/>
  <c r="A174" i="7"/>
  <c r="AO173" i="7"/>
  <c r="AN173" i="7"/>
  <c r="AM173" i="7"/>
  <c r="AL173" i="7"/>
  <c r="AK173" i="7"/>
  <c r="AJ173" i="7"/>
  <c r="AI173" i="7"/>
  <c r="AH173" i="7"/>
  <c r="AG173" i="7"/>
  <c r="AE173" i="7"/>
  <c r="AD173" i="7"/>
  <c r="AC173" i="7"/>
  <c r="AB173" i="7"/>
  <c r="AA173" i="7"/>
  <c r="Z173" i="7"/>
  <c r="Y173" i="7"/>
  <c r="X173" i="7"/>
  <c r="W173" i="7"/>
  <c r="V173" i="7"/>
  <c r="U173" i="7"/>
  <c r="S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C173" i="7"/>
  <c r="B173" i="7"/>
  <c r="A173" i="7"/>
  <c r="AO172" i="7"/>
  <c r="AN172" i="7"/>
  <c r="AM172" i="7"/>
  <c r="AK172" i="7"/>
  <c r="AJ172" i="7"/>
  <c r="AI172" i="7"/>
  <c r="AH172" i="7"/>
  <c r="AG172" i="7"/>
  <c r="AF172" i="7"/>
  <c r="AE172" i="7"/>
  <c r="AC172" i="7"/>
  <c r="Z172" i="7"/>
  <c r="Y172" i="7"/>
  <c r="W172" i="7"/>
  <c r="V172" i="7"/>
  <c r="U172" i="7"/>
  <c r="D172" i="7" s="1"/>
  <c r="E172" i="7" s="1"/>
  <c r="T172" i="7"/>
  <c r="S172" i="7"/>
  <c r="R172" i="7"/>
  <c r="Q172" i="7"/>
  <c r="P172" i="7"/>
  <c r="N172" i="7"/>
  <c r="L172" i="7"/>
  <c r="K172" i="7"/>
  <c r="I172" i="7"/>
  <c r="H172" i="7"/>
  <c r="G172" i="7"/>
  <c r="F172" i="7"/>
  <c r="C172" i="7"/>
  <c r="B172" i="7"/>
  <c r="A172" i="7"/>
  <c r="AO171" i="7"/>
  <c r="AN171" i="7"/>
  <c r="AM171" i="7"/>
  <c r="AL171" i="7"/>
  <c r="AI171" i="7"/>
  <c r="AH171" i="7"/>
  <c r="AG171" i="7"/>
  <c r="AF171" i="7"/>
  <c r="AE171" i="7"/>
  <c r="AD171" i="7"/>
  <c r="AC171" i="7"/>
  <c r="AB171" i="7"/>
  <c r="AA171" i="7"/>
  <c r="Y171" i="7"/>
  <c r="X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H171" i="7"/>
  <c r="F171" i="7"/>
  <c r="C171" i="7"/>
  <c r="B171" i="7"/>
  <c r="A171" i="7"/>
  <c r="AO170" i="7"/>
  <c r="AN170" i="7"/>
  <c r="AM170" i="7"/>
  <c r="AL170" i="7"/>
  <c r="AK170" i="7"/>
  <c r="AJ170" i="7"/>
  <c r="AI170" i="7"/>
  <c r="AG170" i="7"/>
  <c r="AF170" i="7"/>
  <c r="AE170" i="7"/>
  <c r="AD170" i="7"/>
  <c r="AB170" i="7"/>
  <c r="AA170" i="7"/>
  <c r="Z170" i="7"/>
  <c r="Y170" i="7"/>
  <c r="X170" i="7"/>
  <c r="W170" i="7"/>
  <c r="V170" i="7"/>
  <c r="U170" i="7"/>
  <c r="S170" i="7"/>
  <c r="R170" i="7"/>
  <c r="Q170" i="7"/>
  <c r="O170" i="7"/>
  <c r="N170" i="7"/>
  <c r="M170" i="7"/>
  <c r="L170" i="7"/>
  <c r="K170" i="7"/>
  <c r="J170" i="7"/>
  <c r="I170" i="7"/>
  <c r="H170" i="7"/>
  <c r="G170" i="7"/>
  <c r="C170" i="7"/>
  <c r="B170" i="7"/>
  <c r="A170" i="7"/>
  <c r="AO169" i="7"/>
  <c r="AN169" i="7"/>
  <c r="AM169" i="7"/>
  <c r="AL169" i="7"/>
  <c r="AI169" i="7"/>
  <c r="AH169" i="7"/>
  <c r="AG169" i="7"/>
  <c r="AF169" i="7"/>
  <c r="AE169" i="7"/>
  <c r="AD169" i="7"/>
  <c r="AC169" i="7"/>
  <c r="AB169" i="7"/>
  <c r="AA169" i="7"/>
  <c r="Z169" i="7"/>
  <c r="X169" i="7"/>
  <c r="U169" i="7"/>
  <c r="T169" i="7"/>
  <c r="S169" i="7"/>
  <c r="R169" i="7"/>
  <c r="Q169" i="7"/>
  <c r="P169" i="7"/>
  <c r="O169" i="7"/>
  <c r="N169" i="7"/>
  <c r="M169" i="7"/>
  <c r="L169" i="7"/>
  <c r="I169" i="7"/>
  <c r="G169" i="7"/>
  <c r="F169" i="7"/>
  <c r="D169" i="7" s="1"/>
  <c r="C169" i="7"/>
  <c r="E169" i="7" s="1"/>
  <c r="B169" i="7"/>
  <c r="A169" i="7"/>
  <c r="AO168" i="7"/>
  <c r="AN168" i="7"/>
  <c r="AM168" i="7"/>
  <c r="AL168" i="7"/>
  <c r="AK168" i="7"/>
  <c r="AI168" i="7"/>
  <c r="AG168" i="7"/>
  <c r="AD168" i="7"/>
  <c r="AC168" i="7"/>
  <c r="AB168" i="7"/>
  <c r="AA168" i="7"/>
  <c r="Z168" i="7"/>
  <c r="Y168" i="7"/>
  <c r="X168" i="7"/>
  <c r="W168" i="7"/>
  <c r="V168" i="7"/>
  <c r="U168" i="7"/>
  <c r="Q168" i="7"/>
  <c r="P168" i="7"/>
  <c r="O168" i="7"/>
  <c r="N168" i="7"/>
  <c r="M168" i="7"/>
  <c r="L168" i="7"/>
  <c r="K168" i="7"/>
  <c r="J168" i="7"/>
  <c r="I168" i="7"/>
  <c r="H168" i="7"/>
  <c r="G168" i="7"/>
  <c r="C168" i="7"/>
  <c r="B168" i="7"/>
  <c r="A168" i="7"/>
  <c r="AO167" i="7"/>
  <c r="AL167" i="7"/>
  <c r="AK167" i="7"/>
  <c r="AJ167" i="7"/>
  <c r="AI167" i="7"/>
  <c r="AH167" i="7"/>
  <c r="AG167" i="7"/>
  <c r="AF167" i="7"/>
  <c r="AE167" i="7"/>
  <c r="AC167" i="7"/>
  <c r="AB167" i="7"/>
  <c r="AA167" i="7"/>
  <c r="X167" i="7"/>
  <c r="W167" i="7"/>
  <c r="V167" i="7"/>
  <c r="U167" i="7"/>
  <c r="T167" i="7"/>
  <c r="S167" i="7"/>
  <c r="R167" i="7"/>
  <c r="Q167" i="7"/>
  <c r="O167" i="7"/>
  <c r="N167" i="7"/>
  <c r="L167" i="7"/>
  <c r="J167" i="7"/>
  <c r="I167" i="7"/>
  <c r="H167" i="7"/>
  <c r="G167" i="7"/>
  <c r="F167" i="7"/>
  <c r="C167" i="7"/>
  <c r="B167" i="7"/>
  <c r="A167" i="7"/>
  <c r="AO166" i="7"/>
  <c r="AN166" i="7"/>
  <c r="AM166" i="7"/>
  <c r="AL166" i="7"/>
  <c r="AK166" i="7"/>
  <c r="AJ166" i="7"/>
  <c r="AH166" i="7"/>
  <c r="AE166" i="7"/>
  <c r="AD166" i="7"/>
  <c r="AC166" i="7"/>
  <c r="AB166" i="7"/>
  <c r="AA166" i="7"/>
  <c r="Z166" i="7"/>
  <c r="Y166" i="7"/>
  <c r="X166" i="7"/>
  <c r="W166" i="7"/>
  <c r="V166" i="7"/>
  <c r="U166" i="7"/>
  <c r="Q166" i="7"/>
  <c r="P166" i="7"/>
  <c r="O166" i="7"/>
  <c r="N166" i="7"/>
  <c r="M166" i="7"/>
  <c r="L166" i="7"/>
  <c r="K166" i="7"/>
  <c r="I166" i="7"/>
  <c r="H166" i="7"/>
  <c r="G166" i="7"/>
  <c r="C166" i="7"/>
  <c r="B166" i="7"/>
  <c r="A166" i="7"/>
  <c r="AO165" i="7"/>
  <c r="AN165" i="7"/>
  <c r="AM165" i="7"/>
  <c r="AL165" i="7"/>
  <c r="AK165" i="7"/>
  <c r="AJ165" i="7"/>
  <c r="AI165" i="7"/>
  <c r="AH165" i="7"/>
  <c r="AG165" i="7"/>
  <c r="AF165" i="7"/>
  <c r="AD165" i="7"/>
  <c r="AC165" i="7"/>
  <c r="Z165" i="7"/>
  <c r="Y165" i="7"/>
  <c r="X165" i="7"/>
  <c r="W165" i="7"/>
  <c r="V165" i="7"/>
  <c r="U165" i="7"/>
  <c r="T165" i="7"/>
  <c r="S165" i="7"/>
  <c r="R165" i="7"/>
  <c r="P165" i="7"/>
  <c r="L165" i="7"/>
  <c r="K165" i="7"/>
  <c r="J165" i="7"/>
  <c r="H165" i="7"/>
  <c r="G165" i="7"/>
  <c r="F165" i="7"/>
  <c r="C165" i="7"/>
  <c r="B165" i="7"/>
  <c r="A165" i="7"/>
  <c r="AO164" i="7"/>
  <c r="AN164" i="7"/>
  <c r="AM164" i="7"/>
  <c r="AL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T164" i="7"/>
  <c r="S164" i="7"/>
  <c r="R164" i="7"/>
  <c r="Q164" i="7"/>
  <c r="P164" i="7"/>
  <c r="O164" i="7"/>
  <c r="N164" i="7"/>
  <c r="M164" i="7"/>
  <c r="L164" i="7"/>
  <c r="K164" i="7"/>
  <c r="J164" i="7"/>
  <c r="G164" i="7"/>
  <c r="D164" i="7" s="1"/>
  <c r="E164" i="7" s="1"/>
  <c r="F164" i="7"/>
  <c r="C164" i="7"/>
  <c r="B164" i="7"/>
  <c r="A164" i="7"/>
  <c r="AO163" i="7"/>
  <c r="AN163" i="7"/>
  <c r="AM163" i="7"/>
  <c r="AL163" i="7"/>
  <c r="AK163" i="7"/>
  <c r="AJ163" i="7"/>
  <c r="AI163" i="7"/>
  <c r="AH163" i="7"/>
  <c r="AG163" i="7"/>
  <c r="AF163" i="7"/>
  <c r="AE163" i="7"/>
  <c r="AB163" i="7"/>
  <c r="AA163" i="7"/>
  <c r="Z163" i="7"/>
  <c r="Y163" i="7"/>
  <c r="X163" i="7"/>
  <c r="W163" i="7"/>
  <c r="V163" i="7"/>
  <c r="U163" i="7"/>
  <c r="S163" i="7"/>
  <c r="R163" i="7"/>
  <c r="Q163" i="7"/>
  <c r="N163" i="7"/>
  <c r="M163" i="7"/>
  <c r="L163" i="7"/>
  <c r="K163" i="7"/>
  <c r="J163" i="7"/>
  <c r="I163" i="7"/>
  <c r="H163" i="7"/>
  <c r="G163" i="7"/>
  <c r="D163" i="7" s="1"/>
  <c r="C163" i="7"/>
  <c r="B163" i="7"/>
  <c r="A163" i="7"/>
  <c r="AO162" i="7"/>
  <c r="AN162" i="7"/>
  <c r="AM162" i="7"/>
  <c r="AJ162" i="7"/>
  <c r="AI162" i="7"/>
  <c r="AH162" i="7"/>
  <c r="AG162" i="7"/>
  <c r="AF162" i="7"/>
  <c r="AE162" i="7"/>
  <c r="AD162" i="7"/>
  <c r="AC162" i="7"/>
  <c r="AA162" i="7"/>
  <c r="Z162" i="7"/>
  <c r="V162" i="7"/>
  <c r="U162" i="7"/>
  <c r="T162" i="7"/>
  <c r="S162" i="7"/>
  <c r="R162" i="7"/>
  <c r="Q162" i="7"/>
  <c r="P162" i="7"/>
  <c r="O162" i="7"/>
  <c r="M162" i="7"/>
  <c r="L162" i="7"/>
  <c r="K162" i="7"/>
  <c r="H162" i="7"/>
  <c r="G162" i="7"/>
  <c r="F162" i="7"/>
  <c r="C162" i="7"/>
  <c r="B162" i="7"/>
  <c r="A162" i="7"/>
  <c r="AN161" i="7"/>
  <c r="AM161" i="7"/>
  <c r="AL161" i="7"/>
  <c r="AK161" i="7"/>
  <c r="AJ161" i="7"/>
  <c r="AI161" i="7"/>
  <c r="AH161" i="7"/>
  <c r="AG161" i="7"/>
  <c r="AF161" i="7"/>
  <c r="AD161" i="7"/>
  <c r="AC161" i="7"/>
  <c r="AB161" i="7"/>
  <c r="Z161" i="7"/>
  <c r="Y161" i="7"/>
  <c r="X161" i="7"/>
  <c r="W161" i="7"/>
  <c r="V161" i="7"/>
  <c r="U161" i="7"/>
  <c r="T161" i="7"/>
  <c r="R161" i="7"/>
  <c r="P161" i="7"/>
  <c r="O161" i="7"/>
  <c r="N161" i="7"/>
  <c r="L161" i="7"/>
  <c r="K161" i="7"/>
  <c r="J161" i="7"/>
  <c r="I161" i="7"/>
  <c r="H161" i="7"/>
  <c r="G161" i="7"/>
  <c r="F161" i="7"/>
  <c r="C161" i="7"/>
  <c r="B161" i="7"/>
  <c r="A161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D160" i="7" s="1"/>
  <c r="E160" i="7" s="1"/>
  <c r="Q160" i="7"/>
  <c r="P160" i="7"/>
  <c r="O160" i="7"/>
  <c r="N160" i="7"/>
  <c r="M160" i="7"/>
  <c r="L160" i="7"/>
  <c r="K160" i="7"/>
  <c r="J160" i="7"/>
  <c r="I160" i="7"/>
  <c r="H160" i="7"/>
  <c r="G160" i="7"/>
  <c r="F160" i="7"/>
  <c r="C160" i="7"/>
  <c r="B160" i="7"/>
  <c r="A160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C159" i="7"/>
  <c r="B159" i="7"/>
  <c r="A159" i="7"/>
  <c r="AO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W158" i="7"/>
  <c r="V158" i="7"/>
  <c r="T158" i="7"/>
  <c r="S158" i="7"/>
  <c r="R158" i="7"/>
  <c r="Q158" i="7"/>
  <c r="P158" i="7"/>
  <c r="O158" i="7"/>
  <c r="N158" i="7"/>
  <c r="M158" i="7"/>
  <c r="K158" i="7"/>
  <c r="I158" i="7"/>
  <c r="H158" i="7"/>
  <c r="G158" i="7"/>
  <c r="F158" i="7"/>
  <c r="C158" i="7"/>
  <c r="B158" i="7"/>
  <c r="A158" i="7"/>
  <c r="AO157" i="7"/>
  <c r="AN157" i="7"/>
  <c r="AM157" i="7"/>
  <c r="AL157" i="7"/>
  <c r="AJ157" i="7"/>
  <c r="AI157" i="7"/>
  <c r="AH157" i="7"/>
  <c r="AG157" i="7"/>
  <c r="AE157" i="7"/>
  <c r="AD157" i="7"/>
  <c r="AC157" i="7"/>
  <c r="AB157" i="7"/>
  <c r="AA157" i="7"/>
  <c r="Z157" i="7"/>
  <c r="Y157" i="7"/>
  <c r="X157" i="7"/>
  <c r="V157" i="7"/>
  <c r="U157" i="7"/>
  <c r="R157" i="7"/>
  <c r="P157" i="7"/>
  <c r="O157" i="7"/>
  <c r="N157" i="7"/>
  <c r="M157" i="7"/>
  <c r="L157" i="7"/>
  <c r="K157" i="7"/>
  <c r="H157" i="7"/>
  <c r="G157" i="7"/>
  <c r="C157" i="7"/>
  <c r="B157" i="7"/>
  <c r="A157" i="7"/>
  <c r="AM156" i="7"/>
  <c r="AL156" i="7"/>
  <c r="AK156" i="7"/>
  <c r="AJ156" i="7"/>
  <c r="AI156" i="7"/>
  <c r="AH156" i="7"/>
  <c r="AG156" i="7"/>
  <c r="AF156" i="7"/>
  <c r="AE156" i="7"/>
  <c r="AD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L156" i="7"/>
  <c r="K156" i="7"/>
  <c r="J156" i="7"/>
  <c r="I156" i="7"/>
  <c r="H156" i="7"/>
  <c r="G156" i="7"/>
  <c r="F156" i="7"/>
  <c r="C156" i="7"/>
  <c r="B156" i="7"/>
  <c r="A156" i="7"/>
  <c r="AO155" i="7"/>
  <c r="AN155" i="7"/>
  <c r="AM155" i="7"/>
  <c r="AL155" i="7"/>
  <c r="AJ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T155" i="7"/>
  <c r="S155" i="7"/>
  <c r="R155" i="7"/>
  <c r="Q155" i="7"/>
  <c r="P155" i="7"/>
  <c r="O155" i="7"/>
  <c r="N155" i="7"/>
  <c r="M155" i="7"/>
  <c r="K155" i="7"/>
  <c r="J155" i="7"/>
  <c r="I155" i="7"/>
  <c r="F155" i="7"/>
  <c r="C155" i="7"/>
  <c r="B155" i="7"/>
  <c r="A155" i="7"/>
  <c r="AO154" i="7"/>
  <c r="AN154" i="7"/>
  <c r="AM154" i="7"/>
  <c r="AL154" i="7"/>
  <c r="AK154" i="7"/>
  <c r="AJ154" i="7"/>
  <c r="AI154" i="7"/>
  <c r="AG154" i="7"/>
  <c r="AF154" i="7"/>
  <c r="AC154" i="7"/>
  <c r="AB154" i="7"/>
  <c r="AA154" i="7"/>
  <c r="Z154" i="7"/>
  <c r="Y154" i="7"/>
  <c r="X154" i="7"/>
  <c r="W154" i="7"/>
  <c r="V154" i="7"/>
  <c r="U154" i="7"/>
  <c r="S154" i="7"/>
  <c r="R154" i="7"/>
  <c r="Q154" i="7"/>
  <c r="N154" i="7"/>
  <c r="M154" i="7"/>
  <c r="L154" i="7"/>
  <c r="K154" i="7"/>
  <c r="J154" i="7"/>
  <c r="I154" i="7"/>
  <c r="H154" i="7"/>
  <c r="G154" i="7"/>
  <c r="C154" i="7"/>
  <c r="B154" i="7"/>
  <c r="A154" i="7"/>
  <c r="AO153" i="7"/>
  <c r="AN153" i="7"/>
  <c r="AM153" i="7"/>
  <c r="AJ153" i="7"/>
  <c r="AI153" i="7"/>
  <c r="AH153" i="7"/>
  <c r="AF153" i="7"/>
  <c r="AE153" i="7"/>
  <c r="AD153" i="7"/>
  <c r="AC153" i="7"/>
  <c r="AB153" i="7"/>
  <c r="AA153" i="7"/>
  <c r="Z153" i="7"/>
  <c r="Y153" i="7"/>
  <c r="X153" i="7"/>
  <c r="V153" i="7"/>
  <c r="U153" i="7"/>
  <c r="T153" i="7"/>
  <c r="R153" i="7"/>
  <c r="Q153" i="7"/>
  <c r="P153" i="7"/>
  <c r="O153" i="7"/>
  <c r="N153" i="7"/>
  <c r="M153" i="7"/>
  <c r="L153" i="7"/>
  <c r="H153" i="7"/>
  <c r="G153" i="7"/>
  <c r="F153" i="7"/>
  <c r="C153" i="7"/>
  <c r="B153" i="7"/>
  <c r="A153" i="7"/>
  <c r="AO152" i="7"/>
  <c r="AN152" i="7"/>
  <c r="AM152" i="7"/>
  <c r="AL152" i="7"/>
  <c r="AK152" i="7"/>
  <c r="AJ152" i="7"/>
  <c r="AI152" i="7"/>
  <c r="AH152" i="7"/>
  <c r="AG152" i="7"/>
  <c r="AD152" i="7"/>
  <c r="AB152" i="7"/>
  <c r="AA152" i="7"/>
  <c r="Z152" i="7"/>
  <c r="Y152" i="7"/>
  <c r="X152" i="7"/>
  <c r="W152" i="7"/>
  <c r="U152" i="7"/>
  <c r="T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C152" i="7"/>
  <c r="B152" i="7"/>
  <c r="A152" i="7"/>
  <c r="AO151" i="7"/>
  <c r="AL151" i="7"/>
  <c r="AK151" i="7"/>
  <c r="AJ151" i="7"/>
  <c r="AI151" i="7"/>
  <c r="AH151" i="7"/>
  <c r="AG151" i="7"/>
  <c r="AF151" i="7"/>
  <c r="AE151" i="7"/>
  <c r="AC151" i="7"/>
  <c r="AB151" i="7"/>
  <c r="AA151" i="7"/>
  <c r="Y151" i="7"/>
  <c r="W151" i="7"/>
  <c r="V151" i="7"/>
  <c r="U151" i="7"/>
  <c r="T151" i="7"/>
  <c r="S151" i="7"/>
  <c r="R151" i="7"/>
  <c r="Q151" i="7"/>
  <c r="P151" i="7"/>
  <c r="O151" i="7"/>
  <c r="N151" i="7"/>
  <c r="M151" i="7"/>
  <c r="J151" i="7"/>
  <c r="I151" i="7"/>
  <c r="H151" i="7"/>
  <c r="G151" i="7"/>
  <c r="F151" i="7"/>
  <c r="C151" i="7"/>
  <c r="B151" i="7"/>
  <c r="A151" i="7"/>
  <c r="AO150" i="7"/>
  <c r="AN150" i="7"/>
  <c r="AM150" i="7"/>
  <c r="AK150" i="7"/>
  <c r="AJ150" i="7"/>
  <c r="AI150" i="7"/>
  <c r="AH150" i="7"/>
  <c r="AG150" i="7"/>
  <c r="AF150" i="7"/>
  <c r="AE150" i="7"/>
  <c r="AC150" i="7"/>
  <c r="AB150" i="7"/>
  <c r="AA150" i="7"/>
  <c r="Z150" i="7"/>
  <c r="Y150" i="7"/>
  <c r="W150" i="7"/>
  <c r="V150" i="7"/>
  <c r="U150" i="7"/>
  <c r="R150" i="7"/>
  <c r="Q150" i="7"/>
  <c r="O150" i="7"/>
  <c r="N150" i="7"/>
  <c r="M150" i="7"/>
  <c r="L150" i="7"/>
  <c r="K150" i="7"/>
  <c r="J150" i="7"/>
  <c r="H150" i="7"/>
  <c r="C150" i="7"/>
  <c r="B150" i="7"/>
  <c r="A150" i="7"/>
  <c r="AN149" i="7"/>
  <c r="AM149" i="7"/>
  <c r="AL149" i="7"/>
  <c r="AK149" i="7"/>
  <c r="AJ149" i="7"/>
  <c r="AI149" i="7"/>
  <c r="AH149" i="7"/>
  <c r="AG149" i="7"/>
  <c r="AF149" i="7"/>
  <c r="AE149" i="7"/>
  <c r="AD149" i="7"/>
  <c r="AA149" i="7"/>
  <c r="Z149" i="7"/>
  <c r="Y149" i="7"/>
  <c r="X149" i="7"/>
  <c r="V149" i="7"/>
  <c r="U149" i="7"/>
  <c r="T149" i="7"/>
  <c r="S149" i="7"/>
  <c r="Q149" i="7"/>
  <c r="P149" i="7"/>
  <c r="L149" i="7"/>
  <c r="K149" i="7"/>
  <c r="J149" i="7"/>
  <c r="I149" i="7"/>
  <c r="H149" i="7"/>
  <c r="G149" i="7"/>
  <c r="F149" i="7"/>
  <c r="C149" i="7"/>
  <c r="B149" i="7"/>
  <c r="A149" i="7"/>
  <c r="AO148" i="7"/>
  <c r="AM148" i="7"/>
  <c r="AL148" i="7"/>
  <c r="AK148" i="7"/>
  <c r="AH148" i="7"/>
  <c r="AF148" i="7"/>
  <c r="AE148" i="7"/>
  <c r="AD148" i="7"/>
  <c r="AC148" i="7"/>
  <c r="AB148" i="7"/>
  <c r="AA148" i="7"/>
  <c r="Y148" i="7"/>
  <c r="X148" i="7"/>
  <c r="W148" i="7"/>
  <c r="U148" i="7"/>
  <c r="R148" i="7"/>
  <c r="Q148" i="7"/>
  <c r="P148" i="7"/>
  <c r="O148" i="7"/>
  <c r="N148" i="7"/>
  <c r="M148" i="7"/>
  <c r="L148" i="7"/>
  <c r="K148" i="7"/>
  <c r="J148" i="7"/>
  <c r="H148" i="7"/>
  <c r="F148" i="7"/>
  <c r="C148" i="7"/>
  <c r="B148" i="7"/>
  <c r="A148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C147" i="7"/>
  <c r="B147" i="7"/>
  <c r="A147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C146" i="7"/>
  <c r="B146" i="7"/>
  <c r="A146" i="7"/>
  <c r="AO145" i="7"/>
  <c r="AN145" i="7"/>
  <c r="AL145" i="7"/>
  <c r="AK145" i="7"/>
  <c r="AJ145" i="7"/>
  <c r="AI145" i="7"/>
  <c r="AG145" i="7"/>
  <c r="AF145" i="7"/>
  <c r="AE145" i="7"/>
  <c r="AB145" i="7"/>
  <c r="AA145" i="7"/>
  <c r="Z145" i="7"/>
  <c r="X145" i="7"/>
  <c r="W145" i="7"/>
  <c r="V145" i="7"/>
  <c r="U145" i="7"/>
  <c r="T145" i="7"/>
  <c r="S145" i="7"/>
  <c r="R145" i="7"/>
  <c r="M145" i="7"/>
  <c r="L145" i="7"/>
  <c r="J145" i="7"/>
  <c r="I145" i="7"/>
  <c r="H145" i="7"/>
  <c r="G145" i="7"/>
  <c r="F145" i="7"/>
  <c r="C145" i="7"/>
  <c r="B145" i="7"/>
  <c r="A145" i="7"/>
  <c r="AO144" i="7"/>
  <c r="AJ144" i="7"/>
  <c r="AI144" i="7"/>
  <c r="AH144" i="7"/>
  <c r="AG144" i="7"/>
  <c r="AF144" i="7"/>
  <c r="AE144" i="7"/>
  <c r="AD144" i="7"/>
  <c r="AC144" i="7"/>
  <c r="AB144" i="7"/>
  <c r="AA144" i="7"/>
  <c r="Z144" i="7"/>
  <c r="U144" i="7"/>
  <c r="T144" i="7"/>
  <c r="R144" i="7"/>
  <c r="Q144" i="7"/>
  <c r="P144" i="7"/>
  <c r="O144" i="7"/>
  <c r="N144" i="7"/>
  <c r="M144" i="7"/>
  <c r="L144" i="7"/>
  <c r="J144" i="7"/>
  <c r="I144" i="7"/>
  <c r="H144" i="7"/>
  <c r="G144" i="7"/>
  <c r="F144" i="7"/>
  <c r="C144" i="7"/>
  <c r="B144" i="7"/>
  <c r="A144" i="7"/>
  <c r="AO143" i="7"/>
  <c r="AN143" i="7"/>
  <c r="AM143" i="7"/>
  <c r="AL143" i="7"/>
  <c r="AK143" i="7"/>
  <c r="AJ143" i="7"/>
  <c r="AI143" i="7"/>
  <c r="AH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O143" i="7"/>
  <c r="N143" i="7"/>
  <c r="M143" i="7"/>
  <c r="L143" i="7"/>
  <c r="K143" i="7"/>
  <c r="J143" i="7"/>
  <c r="I143" i="7"/>
  <c r="G143" i="7"/>
  <c r="F143" i="7"/>
  <c r="D143" i="7" s="1"/>
  <c r="E143" i="7" s="1"/>
  <c r="C143" i="7"/>
  <c r="B143" i="7"/>
  <c r="A143" i="7"/>
  <c r="AO142" i="7"/>
  <c r="AM142" i="7"/>
  <c r="AL142" i="7"/>
  <c r="AJ142" i="7"/>
  <c r="AI142" i="7"/>
  <c r="AH142" i="7"/>
  <c r="AG142" i="7"/>
  <c r="AF142" i="7"/>
  <c r="AE142" i="7"/>
  <c r="AD142" i="7"/>
  <c r="AC142" i="7"/>
  <c r="AB142" i="7"/>
  <c r="X142" i="7"/>
  <c r="V142" i="7"/>
  <c r="U142" i="7"/>
  <c r="T142" i="7"/>
  <c r="S142" i="7"/>
  <c r="R142" i="7"/>
  <c r="Q142" i="7"/>
  <c r="P142" i="7"/>
  <c r="O142" i="7"/>
  <c r="N142" i="7"/>
  <c r="J142" i="7"/>
  <c r="H142" i="7"/>
  <c r="G142" i="7"/>
  <c r="F142" i="7"/>
  <c r="C142" i="7"/>
  <c r="B142" i="7"/>
  <c r="A142" i="7"/>
  <c r="AO141" i="7"/>
  <c r="AN141" i="7"/>
  <c r="AM141" i="7"/>
  <c r="AK141" i="7"/>
  <c r="AI141" i="7"/>
  <c r="AF141" i="7"/>
  <c r="AE141" i="7"/>
  <c r="AD141" i="7"/>
  <c r="AC141" i="7"/>
  <c r="AB141" i="7"/>
  <c r="AA141" i="7"/>
  <c r="Z141" i="7"/>
  <c r="Y141" i="7"/>
  <c r="W141" i="7"/>
  <c r="Q141" i="7"/>
  <c r="P141" i="7"/>
  <c r="O141" i="7"/>
  <c r="N141" i="7"/>
  <c r="M141" i="7"/>
  <c r="L141" i="7"/>
  <c r="K141" i="7"/>
  <c r="I141" i="7"/>
  <c r="C141" i="7"/>
  <c r="B141" i="7"/>
  <c r="A141" i="7"/>
  <c r="AN140" i="7"/>
  <c r="AM140" i="7"/>
  <c r="AL140" i="7"/>
  <c r="AK140" i="7"/>
  <c r="AJ140" i="7"/>
  <c r="AI140" i="7"/>
  <c r="AH140" i="7"/>
  <c r="AG140" i="7"/>
  <c r="AE140" i="7"/>
  <c r="AD140" i="7"/>
  <c r="AC140" i="7"/>
  <c r="AA140" i="7"/>
  <c r="Z140" i="7"/>
  <c r="Y140" i="7"/>
  <c r="X140" i="7"/>
  <c r="W140" i="7"/>
  <c r="V140" i="7"/>
  <c r="U140" i="7"/>
  <c r="T140" i="7"/>
  <c r="S140" i="7"/>
  <c r="Q140" i="7"/>
  <c r="P140" i="7"/>
  <c r="O140" i="7"/>
  <c r="M140" i="7"/>
  <c r="L140" i="7"/>
  <c r="K140" i="7"/>
  <c r="J140" i="7"/>
  <c r="I140" i="7"/>
  <c r="H140" i="7"/>
  <c r="G140" i="7"/>
  <c r="F140" i="7"/>
  <c r="C140" i="7"/>
  <c r="B140" i="7"/>
  <c r="A140" i="7"/>
  <c r="AO139" i="7"/>
  <c r="AN139" i="7"/>
  <c r="AM139" i="7"/>
  <c r="AL139" i="7"/>
  <c r="AK139" i="7"/>
  <c r="AG139" i="7"/>
  <c r="AF139" i="7"/>
  <c r="AD139" i="7"/>
  <c r="AC139" i="7"/>
  <c r="AB139" i="7"/>
  <c r="AA139" i="7"/>
  <c r="Y139" i="7"/>
  <c r="X139" i="7"/>
  <c r="W139" i="7"/>
  <c r="R139" i="7"/>
  <c r="Q139" i="7"/>
  <c r="P139" i="7"/>
  <c r="O139" i="7"/>
  <c r="N139" i="7"/>
  <c r="M139" i="7"/>
  <c r="K139" i="7"/>
  <c r="J139" i="7"/>
  <c r="I139" i="7"/>
  <c r="G139" i="7"/>
  <c r="C139" i="7"/>
  <c r="B139" i="7"/>
  <c r="A139" i="7"/>
  <c r="AO138" i="7"/>
  <c r="AN138" i="7"/>
  <c r="AM138" i="7"/>
  <c r="AL138" i="7"/>
  <c r="AK138" i="7"/>
  <c r="AJ138" i="7"/>
  <c r="AI138" i="7"/>
  <c r="AH138" i="7"/>
  <c r="AF138" i="7"/>
  <c r="AE138" i="7"/>
  <c r="AA138" i="7"/>
  <c r="Z138" i="7"/>
  <c r="Y138" i="7"/>
  <c r="X138" i="7"/>
  <c r="W138" i="7"/>
  <c r="V138" i="7"/>
  <c r="U138" i="7"/>
  <c r="D138" i="7" s="1"/>
  <c r="R138" i="7"/>
  <c r="Q138" i="7"/>
  <c r="N138" i="7"/>
  <c r="M138" i="7"/>
  <c r="L138" i="7"/>
  <c r="K138" i="7"/>
  <c r="J138" i="7"/>
  <c r="I138" i="7"/>
  <c r="H138" i="7"/>
  <c r="G138" i="7"/>
  <c r="F138" i="7"/>
  <c r="C138" i="7"/>
  <c r="B138" i="7"/>
  <c r="A138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C137" i="7"/>
  <c r="B137" i="7"/>
  <c r="A137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C136" i="7"/>
  <c r="B136" i="7"/>
  <c r="A136" i="7"/>
  <c r="AO135" i="7"/>
  <c r="AN135" i="7"/>
  <c r="AK135" i="7"/>
  <c r="AI135" i="7"/>
  <c r="AH135" i="7"/>
  <c r="AG135" i="7"/>
  <c r="AF135" i="7"/>
  <c r="AE135" i="7"/>
  <c r="AD135" i="7"/>
  <c r="AC135" i="7"/>
  <c r="AB135" i="7"/>
  <c r="AA135" i="7"/>
  <c r="Z135" i="7"/>
  <c r="V135" i="7"/>
  <c r="U135" i="7"/>
  <c r="T135" i="7"/>
  <c r="S135" i="7"/>
  <c r="R135" i="7"/>
  <c r="Q135" i="7"/>
  <c r="P135" i="7"/>
  <c r="O135" i="7"/>
  <c r="M135" i="7"/>
  <c r="L135" i="7"/>
  <c r="K135" i="7"/>
  <c r="G135" i="7"/>
  <c r="F135" i="7"/>
  <c r="C135" i="7"/>
  <c r="B135" i="7"/>
  <c r="A135" i="7"/>
  <c r="AN134" i="7"/>
  <c r="AM134" i="7"/>
  <c r="AL134" i="7"/>
  <c r="AK134" i="7"/>
  <c r="AI134" i="7"/>
  <c r="AH134" i="7"/>
  <c r="AG134" i="7"/>
  <c r="AB134" i="7"/>
  <c r="AA134" i="7"/>
  <c r="Z134" i="7"/>
  <c r="Y134" i="7"/>
  <c r="X134" i="7"/>
  <c r="W134" i="7"/>
  <c r="U134" i="7"/>
  <c r="T134" i="7"/>
  <c r="P134" i="7"/>
  <c r="N134" i="7"/>
  <c r="M134" i="7"/>
  <c r="L134" i="7"/>
  <c r="K134" i="7"/>
  <c r="J134" i="7"/>
  <c r="I134" i="7"/>
  <c r="H134" i="7"/>
  <c r="G134" i="7"/>
  <c r="F134" i="7"/>
  <c r="C134" i="7"/>
  <c r="B134" i="7"/>
  <c r="A134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C133" i="7"/>
  <c r="B133" i="7"/>
  <c r="A133" i="7"/>
  <c r="AK132" i="7"/>
  <c r="AJ132" i="7"/>
  <c r="AI132" i="7"/>
  <c r="AH132" i="7"/>
  <c r="AG132" i="7"/>
  <c r="AF132" i="7"/>
  <c r="AE132" i="7"/>
  <c r="AC132" i="7"/>
  <c r="AB132" i="7"/>
  <c r="Y132" i="7"/>
  <c r="W132" i="7"/>
  <c r="V132" i="7"/>
  <c r="T132" i="7"/>
  <c r="S132" i="7"/>
  <c r="R132" i="7"/>
  <c r="Q132" i="7"/>
  <c r="O132" i="7"/>
  <c r="N132" i="7"/>
  <c r="I132" i="7"/>
  <c r="H132" i="7"/>
  <c r="G132" i="7"/>
  <c r="F132" i="7"/>
  <c r="C132" i="7"/>
  <c r="B132" i="7"/>
  <c r="A132" i="7"/>
  <c r="AO131" i="7"/>
  <c r="AN131" i="7"/>
  <c r="AM131" i="7"/>
  <c r="AK131" i="7"/>
  <c r="AJ131" i="7"/>
  <c r="AF131" i="7"/>
  <c r="AE131" i="7"/>
  <c r="AD131" i="7"/>
  <c r="AC131" i="7"/>
  <c r="AB131" i="7"/>
  <c r="AA131" i="7"/>
  <c r="Z131" i="7"/>
  <c r="Y131" i="7"/>
  <c r="W131" i="7"/>
  <c r="V131" i="7"/>
  <c r="U131" i="7"/>
  <c r="Q131" i="7"/>
  <c r="P131" i="7"/>
  <c r="O131" i="7"/>
  <c r="N131" i="7"/>
  <c r="M131" i="7"/>
  <c r="L131" i="7"/>
  <c r="K131" i="7"/>
  <c r="I131" i="7"/>
  <c r="H131" i="7"/>
  <c r="C131" i="7"/>
  <c r="B131" i="7"/>
  <c r="A131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C130" i="7"/>
  <c r="B130" i="7"/>
  <c r="A130" i="7"/>
  <c r="AM129" i="7"/>
  <c r="AK129" i="7"/>
  <c r="AJ129" i="7"/>
  <c r="AI129" i="7"/>
  <c r="AH129" i="7"/>
  <c r="AG129" i="7"/>
  <c r="AE129" i="7"/>
  <c r="AD129" i="7"/>
  <c r="AC129" i="7"/>
  <c r="Z129" i="7"/>
  <c r="Y129" i="7"/>
  <c r="W129" i="7"/>
  <c r="V129" i="7"/>
  <c r="U129" i="7"/>
  <c r="T129" i="7"/>
  <c r="S129" i="7"/>
  <c r="Q129" i="7"/>
  <c r="P129" i="7"/>
  <c r="M129" i="7"/>
  <c r="K129" i="7"/>
  <c r="I129" i="7"/>
  <c r="H129" i="7"/>
  <c r="G129" i="7"/>
  <c r="F129" i="7"/>
  <c r="D129" i="7" s="1"/>
  <c r="E129" i="7" s="1"/>
  <c r="C129" i="7"/>
  <c r="B129" i="7"/>
  <c r="A129" i="7"/>
  <c r="AO128" i="7"/>
  <c r="AM128" i="7"/>
  <c r="AL128" i="7"/>
  <c r="AI128" i="7"/>
  <c r="AG128" i="7"/>
  <c r="AF128" i="7"/>
  <c r="AE128" i="7"/>
  <c r="AD128" i="7"/>
  <c r="AC128" i="7"/>
  <c r="AB128" i="7"/>
  <c r="AA128" i="7"/>
  <c r="Y128" i="7"/>
  <c r="X128" i="7"/>
  <c r="S128" i="7"/>
  <c r="R128" i="7"/>
  <c r="Q128" i="7"/>
  <c r="P128" i="7"/>
  <c r="O128" i="7"/>
  <c r="N128" i="7"/>
  <c r="M128" i="7"/>
  <c r="K128" i="7"/>
  <c r="J128" i="7"/>
  <c r="G128" i="7"/>
  <c r="C128" i="7"/>
  <c r="B128" i="7"/>
  <c r="A128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C127" i="7"/>
  <c r="B127" i="7"/>
  <c r="A127" i="7"/>
  <c r="AO126" i="7"/>
  <c r="AN126" i="7"/>
  <c r="AM126" i="7"/>
  <c r="AL126" i="7"/>
  <c r="AK126" i="7"/>
  <c r="AJ126" i="7"/>
  <c r="AI126" i="7"/>
  <c r="AG126" i="7"/>
  <c r="AF126" i="7"/>
  <c r="AD126" i="7"/>
  <c r="AB126" i="7"/>
  <c r="AA126" i="7"/>
  <c r="Z126" i="7"/>
  <c r="Y126" i="7"/>
  <c r="X126" i="7"/>
  <c r="W126" i="7"/>
  <c r="V126" i="7"/>
  <c r="U126" i="7"/>
  <c r="S126" i="7"/>
  <c r="R126" i="7"/>
  <c r="N126" i="7"/>
  <c r="M126" i="7"/>
  <c r="L126" i="7"/>
  <c r="K126" i="7"/>
  <c r="J126" i="7"/>
  <c r="I126" i="7"/>
  <c r="H126" i="7"/>
  <c r="G126" i="7"/>
  <c r="C126" i="7"/>
  <c r="B126" i="7"/>
  <c r="A126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D125" i="7" s="1"/>
  <c r="H125" i="7"/>
  <c r="G125" i="7"/>
  <c r="F125" i="7"/>
  <c r="C125" i="7"/>
  <c r="B125" i="7"/>
  <c r="A125" i="7"/>
  <c r="AO124" i="7"/>
  <c r="AN124" i="7"/>
  <c r="AJ124" i="7"/>
  <c r="AI124" i="7"/>
  <c r="AH124" i="7"/>
  <c r="AF124" i="7"/>
  <c r="AE124" i="7"/>
  <c r="AD124" i="7"/>
  <c r="AC124" i="7"/>
  <c r="AA124" i="7"/>
  <c r="Z124" i="7"/>
  <c r="Y124" i="7"/>
  <c r="V124" i="7"/>
  <c r="U124" i="7"/>
  <c r="T124" i="7"/>
  <c r="R124" i="7"/>
  <c r="Q124" i="7"/>
  <c r="P124" i="7"/>
  <c r="O124" i="7"/>
  <c r="M124" i="7"/>
  <c r="L124" i="7"/>
  <c r="H124" i="7"/>
  <c r="G124" i="7"/>
  <c r="F124" i="7"/>
  <c r="C124" i="7"/>
  <c r="B124" i="7"/>
  <c r="A124" i="7"/>
  <c r="AO123" i="7"/>
  <c r="AN123" i="7"/>
  <c r="AM123" i="7"/>
  <c r="AL123" i="7"/>
  <c r="AK123" i="7"/>
  <c r="AI123" i="7"/>
  <c r="AH123" i="7"/>
  <c r="AG123" i="7"/>
  <c r="AC123" i="7"/>
  <c r="AB123" i="7"/>
  <c r="AA123" i="7"/>
  <c r="Z123" i="7"/>
  <c r="Y123" i="7"/>
  <c r="X123" i="7"/>
  <c r="W123" i="7"/>
  <c r="U123" i="7"/>
  <c r="T123" i="7"/>
  <c r="P123" i="7"/>
  <c r="O123" i="7"/>
  <c r="N123" i="7"/>
  <c r="M123" i="7"/>
  <c r="L123" i="7"/>
  <c r="K123" i="7"/>
  <c r="J123" i="7"/>
  <c r="I123" i="7"/>
  <c r="H123" i="7"/>
  <c r="G123" i="7"/>
  <c r="F123" i="7"/>
  <c r="C123" i="7"/>
  <c r="B123" i="7"/>
  <c r="A123" i="7"/>
  <c r="AL122" i="7"/>
  <c r="AK122" i="7"/>
  <c r="AJ122" i="7"/>
  <c r="AI122" i="7"/>
  <c r="AH122" i="7"/>
  <c r="AG122" i="7"/>
  <c r="AF122" i="7"/>
  <c r="AE122" i="7"/>
  <c r="AD122" i="7"/>
  <c r="AC122" i="7"/>
  <c r="AB122" i="7"/>
  <c r="W122" i="7"/>
  <c r="V122" i="7"/>
  <c r="U122" i="7"/>
  <c r="T122" i="7"/>
  <c r="S122" i="7"/>
  <c r="R122" i="7"/>
  <c r="Q122" i="7"/>
  <c r="O122" i="7"/>
  <c r="N122" i="7"/>
  <c r="M122" i="7"/>
  <c r="K122" i="7"/>
  <c r="I122" i="7"/>
  <c r="H122" i="7"/>
  <c r="G122" i="7"/>
  <c r="F122" i="7"/>
  <c r="C122" i="7"/>
  <c r="B122" i="7"/>
  <c r="A122" i="7"/>
  <c r="AO121" i="7"/>
  <c r="AN121" i="7"/>
  <c r="AM121" i="7"/>
  <c r="AL121" i="7"/>
  <c r="AK121" i="7"/>
  <c r="AJ121" i="7"/>
  <c r="AI121" i="7"/>
  <c r="AE121" i="7"/>
  <c r="AC121" i="7"/>
  <c r="AB121" i="7"/>
  <c r="AA121" i="7"/>
  <c r="Z121" i="7"/>
  <c r="Y121" i="7"/>
  <c r="W121" i="7"/>
  <c r="V121" i="7"/>
  <c r="Q121" i="7"/>
  <c r="O121" i="7"/>
  <c r="N121" i="7"/>
  <c r="M121" i="7"/>
  <c r="L121" i="7"/>
  <c r="K121" i="7"/>
  <c r="J121" i="7"/>
  <c r="I121" i="7"/>
  <c r="H121" i="7"/>
  <c r="C121" i="7"/>
  <c r="B121" i="7"/>
  <c r="A121" i="7"/>
  <c r="AN120" i="7"/>
  <c r="AM120" i="7"/>
  <c r="AL120" i="7"/>
  <c r="AK120" i="7"/>
  <c r="AJ120" i="7"/>
  <c r="AI120" i="7"/>
  <c r="AH120" i="7"/>
  <c r="AG120" i="7"/>
  <c r="AE120" i="7"/>
  <c r="AD120" i="7"/>
  <c r="Y120" i="7"/>
  <c r="X120" i="7"/>
  <c r="W120" i="7"/>
  <c r="V120" i="7"/>
  <c r="U120" i="7"/>
  <c r="T120" i="7"/>
  <c r="S120" i="7"/>
  <c r="Q120" i="7"/>
  <c r="P120" i="7"/>
  <c r="K120" i="7"/>
  <c r="J120" i="7"/>
  <c r="I120" i="7"/>
  <c r="H120" i="7"/>
  <c r="G120" i="7"/>
  <c r="F120" i="7"/>
  <c r="C120" i="7"/>
  <c r="B120" i="7"/>
  <c r="A120" i="7"/>
  <c r="AO119" i="7"/>
  <c r="AM119" i="7"/>
  <c r="AL119" i="7"/>
  <c r="AG119" i="7"/>
  <c r="AF119" i="7"/>
  <c r="AE119" i="7"/>
  <c r="AD119" i="7"/>
  <c r="AC119" i="7"/>
  <c r="AB119" i="7"/>
  <c r="AA119" i="7"/>
  <c r="Y119" i="7"/>
  <c r="X119" i="7"/>
  <c r="S119" i="7"/>
  <c r="R119" i="7"/>
  <c r="Q119" i="7"/>
  <c r="P119" i="7"/>
  <c r="O119" i="7"/>
  <c r="N119" i="7"/>
  <c r="M119" i="7"/>
  <c r="L119" i="7"/>
  <c r="K119" i="7"/>
  <c r="J119" i="7"/>
  <c r="I119" i="7"/>
  <c r="C119" i="7"/>
  <c r="B119" i="7"/>
  <c r="A119" i="7"/>
  <c r="AN118" i="7"/>
  <c r="AM118" i="7"/>
  <c r="AL118" i="7"/>
  <c r="AK118" i="7"/>
  <c r="AJ118" i="7"/>
  <c r="AI118" i="7"/>
  <c r="AG118" i="7"/>
  <c r="AF118" i="7"/>
  <c r="Z118" i="7"/>
  <c r="Y118" i="7"/>
  <c r="X118" i="7"/>
  <c r="W118" i="7"/>
  <c r="V118" i="7"/>
  <c r="U118" i="7"/>
  <c r="S118" i="7"/>
  <c r="R118" i="7"/>
  <c r="N118" i="7"/>
  <c r="L118" i="7"/>
  <c r="K118" i="7"/>
  <c r="J118" i="7"/>
  <c r="I118" i="7"/>
  <c r="H118" i="7"/>
  <c r="G118" i="7"/>
  <c r="C118" i="7"/>
  <c r="B118" i="7"/>
  <c r="A118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D117" i="7" s="1"/>
  <c r="L117" i="7"/>
  <c r="K117" i="7"/>
  <c r="J117" i="7"/>
  <c r="I117" i="7"/>
  <c r="H117" i="7"/>
  <c r="G117" i="7"/>
  <c r="F117" i="7"/>
  <c r="C117" i="7"/>
  <c r="B117" i="7"/>
  <c r="A117" i="7"/>
  <c r="AO116" i="7"/>
  <c r="AN116" i="7"/>
  <c r="AL116" i="7"/>
  <c r="AI116" i="7"/>
  <c r="AH116" i="7"/>
  <c r="AG116" i="7"/>
  <c r="AF116" i="7"/>
  <c r="AE116" i="7"/>
  <c r="AD116" i="7"/>
  <c r="AC116" i="7"/>
  <c r="AA116" i="7"/>
  <c r="Z116" i="7"/>
  <c r="X116" i="7"/>
  <c r="W116" i="7"/>
  <c r="V116" i="7"/>
  <c r="U116" i="7"/>
  <c r="T116" i="7"/>
  <c r="S116" i="7"/>
  <c r="R116" i="7"/>
  <c r="Q116" i="7"/>
  <c r="P116" i="7"/>
  <c r="O116" i="7"/>
  <c r="M116" i="7"/>
  <c r="L116" i="7"/>
  <c r="G116" i="7"/>
  <c r="F116" i="7"/>
  <c r="C116" i="7"/>
  <c r="B116" i="7"/>
  <c r="A116" i="7"/>
  <c r="AO115" i="7"/>
  <c r="AN115" i="7"/>
  <c r="AM115" i="7"/>
  <c r="AL115" i="7"/>
  <c r="AK115" i="7"/>
  <c r="AI115" i="7"/>
  <c r="AH115" i="7"/>
  <c r="AG115" i="7"/>
  <c r="AF115" i="7"/>
  <c r="AE115" i="7"/>
  <c r="AC115" i="7"/>
  <c r="AB115" i="7"/>
  <c r="AA115" i="7"/>
  <c r="Z115" i="7"/>
  <c r="Y115" i="7"/>
  <c r="X115" i="7"/>
  <c r="W115" i="7"/>
  <c r="U115" i="7"/>
  <c r="T115" i="7"/>
  <c r="Q115" i="7"/>
  <c r="O115" i="7"/>
  <c r="N115" i="7"/>
  <c r="M115" i="7"/>
  <c r="L115" i="7"/>
  <c r="K115" i="7"/>
  <c r="J115" i="7"/>
  <c r="I115" i="7"/>
  <c r="G115" i="7"/>
  <c r="F115" i="7"/>
  <c r="C115" i="7"/>
  <c r="B115" i="7"/>
  <c r="A115" i="7"/>
  <c r="AO114" i="7"/>
  <c r="AM114" i="7"/>
  <c r="AJ114" i="7"/>
  <c r="AH114" i="7"/>
  <c r="AG114" i="7"/>
  <c r="AF114" i="7"/>
  <c r="AE114" i="7"/>
  <c r="AC114" i="7"/>
  <c r="AB114" i="7"/>
  <c r="Y114" i="7"/>
  <c r="V114" i="7"/>
  <c r="U114" i="7"/>
  <c r="T114" i="7"/>
  <c r="S114" i="7"/>
  <c r="R114" i="7"/>
  <c r="Q114" i="7"/>
  <c r="O114" i="7"/>
  <c r="N114" i="7"/>
  <c r="H114" i="7"/>
  <c r="G114" i="7"/>
  <c r="F114" i="7"/>
  <c r="C114" i="7"/>
  <c r="B114" i="7"/>
  <c r="A114" i="7"/>
  <c r="AO113" i="7"/>
  <c r="AN113" i="7"/>
  <c r="AM113" i="7"/>
  <c r="AK113" i="7"/>
  <c r="AD113" i="7"/>
  <c r="AC113" i="7"/>
  <c r="AB113" i="7"/>
  <c r="AA113" i="7"/>
  <c r="Z113" i="7"/>
  <c r="Y113" i="7"/>
  <c r="X113" i="7"/>
  <c r="W113" i="7"/>
  <c r="U113" i="7"/>
  <c r="R113" i="7"/>
  <c r="Q113" i="7"/>
  <c r="P113" i="7"/>
  <c r="O113" i="7"/>
  <c r="N113" i="7"/>
  <c r="M113" i="7"/>
  <c r="L113" i="7"/>
  <c r="K113" i="7"/>
  <c r="J113" i="7"/>
  <c r="I113" i="7"/>
  <c r="C113" i="7"/>
  <c r="B113" i="7"/>
  <c r="A113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C112" i="7"/>
  <c r="B112" i="7"/>
  <c r="A112" i="7"/>
  <c r="AN111" i="7"/>
  <c r="AM111" i="7"/>
  <c r="AL111" i="7"/>
  <c r="AK111" i="7"/>
  <c r="AJ111" i="7"/>
  <c r="AI111" i="7"/>
  <c r="AH111" i="7"/>
  <c r="AG111" i="7"/>
  <c r="AE111" i="7"/>
  <c r="AD111" i="7"/>
  <c r="Y111" i="7"/>
  <c r="X111" i="7"/>
  <c r="W111" i="7"/>
  <c r="V111" i="7"/>
  <c r="U111" i="7"/>
  <c r="T111" i="7"/>
  <c r="S111" i="7"/>
  <c r="Q111" i="7"/>
  <c r="P111" i="7"/>
  <c r="K111" i="7"/>
  <c r="J111" i="7"/>
  <c r="I111" i="7"/>
  <c r="H111" i="7"/>
  <c r="G111" i="7"/>
  <c r="F111" i="7"/>
  <c r="C111" i="7"/>
  <c r="B111" i="7"/>
  <c r="A111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C110" i="7"/>
  <c r="B110" i="7"/>
  <c r="A110" i="7"/>
  <c r="AO109" i="7"/>
  <c r="AM109" i="7"/>
  <c r="AL109" i="7"/>
  <c r="AG109" i="7"/>
  <c r="AE109" i="7"/>
  <c r="AD109" i="7"/>
  <c r="AC109" i="7"/>
  <c r="AB109" i="7"/>
  <c r="AA109" i="7"/>
  <c r="Z109" i="7"/>
  <c r="Y109" i="7"/>
  <c r="X109" i="7"/>
  <c r="S109" i="7"/>
  <c r="Q109" i="7"/>
  <c r="P109" i="7"/>
  <c r="O109" i="7"/>
  <c r="N109" i="7"/>
  <c r="M109" i="7"/>
  <c r="K109" i="7"/>
  <c r="J109" i="7"/>
  <c r="I109" i="7"/>
  <c r="C109" i="7"/>
  <c r="B109" i="7"/>
  <c r="A109" i="7"/>
  <c r="AO108" i="7"/>
  <c r="AN108" i="7"/>
  <c r="AM108" i="7"/>
  <c r="AL108" i="7"/>
  <c r="AK108" i="7"/>
  <c r="AJ108" i="7"/>
  <c r="AI108" i="7"/>
  <c r="AG108" i="7"/>
  <c r="AF108" i="7"/>
  <c r="AC108" i="7"/>
  <c r="AA108" i="7"/>
  <c r="Z108" i="7"/>
  <c r="Y108" i="7"/>
  <c r="X108" i="7"/>
  <c r="W108" i="7"/>
  <c r="V108" i="7"/>
  <c r="U108" i="7"/>
  <c r="S108" i="7"/>
  <c r="R108" i="7"/>
  <c r="M108" i="7"/>
  <c r="L108" i="7"/>
  <c r="K108" i="7"/>
  <c r="J108" i="7"/>
  <c r="I108" i="7"/>
  <c r="H108" i="7"/>
  <c r="G108" i="7"/>
  <c r="C108" i="7"/>
  <c r="B108" i="7"/>
  <c r="A108" i="7"/>
  <c r="AO107" i="7"/>
  <c r="AN107" i="7"/>
  <c r="AI107" i="7"/>
  <c r="AH107" i="7"/>
  <c r="AG107" i="7"/>
  <c r="AF107" i="7"/>
  <c r="AE107" i="7"/>
  <c r="AD107" i="7"/>
  <c r="AC107" i="7"/>
  <c r="AA107" i="7"/>
  <c r="Z107" i="7"/>
  <c r="U107" i="7"/>
  <c r="T107" i="7"/>
  <c r="S107" i="7"/>
  <c r="R107" i="7"/>
  <c r="Q107" i="7"/>
  <c r="P107" i="7"/>
  <c r="O107" i="7"/>
  <c r="M107" i="7"/>
  <c r="L107" i="7"/>
  <c r="G107" i="7"/>
  <c r="F107" i="7"/>
  <c r="C107" i="7"/>
  <c r="B107" i="7"/>
  <c r="A107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D106" i="7" s="1"/>
  <c r="J106" i="7"/>
  <c r="I106" i="7"/>
  <c r="H106" i="7"/>
  <c r="G106" i="7"/>
  <c r="F106" i="7"/>
  <c r="C106" i="7"/>
  <c r="B106" i="7"/>
  <c r="A106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C105" i="7"/>
  <c r="B105" i="7"/>
  <c r="A105" i="7"/>
  <c r="AN104" i="7"/>
  <c r="AM104" i="7"/>
  <c r="AL104" i="7"/>
  <c r="AK104" i="7"/>
  <c r="AJ104" i="7"/>
  <c r="AI104" i="7"/>
  <c r="AH104" i="7"/>
  <c r="AE104" i="7"/>
  <c r="AC104" i="7"/>
  <c r="AB104" i="7"/>
  <c r="Z104" i="7"/>
  <c r="Y104" i="7"/>
  <c r="X104" i="7"/>
  <c r="W104" i="7"/>
  <c r="U104" i="7"/>
  <c r="T104" i="7"/>
  <c r="O104" i="7"/>
  <c r="N104" i="7"/>
  <c r="L104" i="7"/>
  <c r="K104" i="7"/>
  <c r="J104" i="7"/>
  <c r="I104" i="7"/>
  <c r="G104" i="7"/>
  <c r="F104" i="7"/>
  <c r="C104" i="7"/>
  <c r="B104" i="7"/>
  <c r="A104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C103" i="7"/>
  <c r="B103" i="7"/>
  <c r="A103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D102" i="7" s="1"/>
  <c r="E102" i="7" s="1"/>
  <c r="F102" i="7"/>
  <c r="C102" i="7"/>
  <c r="B102" i="7"/>
  <c r="A102" i="7"/>
  <c r="AK101" i="7"/>
  <c r="AJ101" i="7"/>
  <c r="AH101" i="7"/>
  <c r="AG101" i="7"/>
  <c r="AF101" i="7"/>
  <c r="AE101" i="7"/>
  <c r="AC101" i="7"/>
  <c r="AB101" i="7"/>
  <c r="AA101" i="7"/>
  <c r="W101" i="7"/>
  <c r="V101" i="7"/>
  <c r="U101" i="7"/>
  <c r="T101" i="7"/>
  <c r="S101" i="7"/>
  <c r="R101" i="7"/>
  <c r="Q101" i="7"/>
  <c r="O101" i="7"/>
  <c r="N101" i="7"/>
  <c r="I101" i="7"/>
  <c r="H101" i="7"/>
  <c r="F101" i="7"/>
  <c r="C101" i="7"/>
  <c r="B101" i="7"/>
  <c r="A101" i="7"/>
  <c r="AO100" i="7"/>
  <c r="AN100" i="7"/>
  <c r="AM100" i="7"/>
  <c r="AJ100" i="7"/>
  <c r="AD100" i="7"/>
  <c r="AC100" i="7"/>
  <c r="AB100" i="7"/>
  <c r="AA100" i="7"/>
  <c r="Z100" i="7"/>
  <c r="Y100" i="7"/>
  <c r="V100" i="7"/>
  <c r="Q100" i="7"/>
  <c r="P100" i="7"/>
  <c r="O100" i="7"/>
  <c r="N100" i="7"/>
  <c r="M100" i="7"/>
  <c r="L100" i="7"/>
  <c r="K100" i="7"/>
  <c r="H100" i="7"/>
  <c r="G100" i="7"/>
  <c r="C100" i="7"/>
  <c r="B100" i="7"/>
  <c r="A100" i="7"/>
  <c r="AM99" i="7"/>
  <c r="AL99" i="7"/>
  <c r="AK99" i="7"/>
  <c r="AJ99" i="7"/>
  <c r="AI99" i="7"/>
  <c r="AH99" i="7"/>
  <c r="AG99" i="7"/>
  <c r="AF99" i="7"/>
  <c r="AE99" i="7"/>
  <c r="AD99" i="7"/>
  <c r="AC99" i="7"/>
  <c r="Y99" i="7"/>
  <c r="X99" i="7"/>
  <c r="W99" i="7"/>
  <c r="V99" i="7"/>
  <c r="U99" i="7"/>
  <c r="T99" i="7"/>
  <c r="S99" i="7"/>
  <c r="Q99" i="7"/>
  <c r="P99" i="7"/>
  <c r="O99" i="7"/>
  <c r="M99" i="7"/>
  <c r="K99" i="7"/>
  <c r="J99" i="7"/>
  <c r="I99" i="7"/>
  <c r="H99" i="7"/>
  <c r="G99" i="7"/>
  <c r="F99" i="7"/>
  <c r="C99" i="7"/>
  <c r="B99" i="7"/>
  <c r="A99" i="7"/>
  <c r="AO98" i="7"/>
  <c r="AM98" i="7"/>
  <c r="AL98" i="7"/>
  <c r="AK98" i="7"/>
  <c r="AJ98" i="7"/>
  <c r="AG98" i="7"/>
  <c r="AF98" i="7"/>
  <c r="AD98" i="7"/>
  <c r="AC98" i="7"/>
  <c r="AB98" i="7"/>
  <c r="AA98" i="7"/>
  <c r="Y98" i="7"/>
  <c r="X98" i="7"/>
  <c r="T98" i="7"/>
  <c r="S98" i="7"/>
  <c r="R98" i="7"/>
  <c r="Q98" i="7"/>
  <c r="P98" i="7"/>
  <c r="O98" i="7"/>
  <c r="N98" i="7"/>
  <c r="M98" i="7"/>
  <c r="K98" i="7"/>
  <c r="J98" i="7"/>
  <c r="I98" i="7"/>
  <c r="C98" i="7"/>
  <c r="B98" i="7"/>
  <c r="A98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D97" i="7" s="1"/>
  <c r="F97" i="7"/>
  <c r="C97" i="7"/>
  <c r="B97" i="7"/>
  <c r="A97" i="7"/>
  <c r="AO96" i="7"/>
  <c r="AN96" i="7"/>
  <c r="AM96" i="7"/>
  <c r="AL96" i="7"/>
  <c r="AK96" i="7"/>
  <c r="AJ96" i="7"/>
  <c r="AI96" i="7"/>
  <c r="AF96" i="7"/>
  <c r="AC96" i="7"/>
  <c r="AB96" i="7"/>
  <c r="AA96" i="7"/>
  <c r="Z96" i="7"/>
  <c r="X96" i="7"/>
  <c r="W96" i="7"/>
  <c r="V96" i="7"/>
  <c r="U96" i="7"/>
  <c r="R96" i="7"/>
  <c r="M96" i="7"/>
  <c r="L96" i="7"/>
  <c r="J96" i="7"/>
  <c r="I96" i="7"/>
  <c r="H96" i="7"/>
  <c r="G96" i="7"/>
  <c r="C96" i="7"/>
  <c r="B96" i="7"/>
  <c r="A96" i="7"/>
  <c r="AO95" i="7"/>
  <c r="AN95" i="7"/>
  <c r="AI95" i="7"/>
  <c r="AH95" i="7"/>
  <c r="AF95" i="7"/>
  <c r="AE95" i="7"/>
  <c r="AD95" i="7"/>
  <c r="AC95" i="7"/>
  <c r="AA95" i="7"/>
  <c r="Z95" i="7"/>
  <c r="U95" i="7"/>
  <c r="T95" i="7"/>
  <c r="R95" i="7"/>
  <c r="Q95" i="7"/>
  <c r="P95" i="7"/>
  <c r="O95" i="7"/>
  <c r="M95" i="7"/>
  <c r="L95" i="7"/>
  <c r="G95" i="7"/>
  <c r="F95" i="7"/>
  <c r="C95" i="7"/>
  <c r="B95" i="7"/>
  <c r="A95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D94" i="7" s="1"/>
  <c r="E94" i="7" s="1"/>
  <c r="G94" i="7"/>
  <c r="F94" i="7"/>
  <c r="C94" i="7"/>
  <c r="B94" i="7"/>
  <c r="A94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D93" i="7" s="1"/>
  <c r="C93" i="7"/>
  <c r="B93" i="7"/>
  <c r="A93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C92" i="7"/>
  <c r="B92" i="7"/>
  <c r="A92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D91" i="7" s="1"/>
  <c r="E91" i="7" s="1"/>
  <c r="N91" i="7"/>
  <c r="M91" i="7"/>
  <c r="L91" i="7"/>
  <c r="K91" i="7"/>
  <c r="J91" i="7"/>
  <c r="I91" i="7"/>
  <c r="H91" i="7"/>
  <c r="G91" i="7"/>
  <c r="F91" i="7"/>
  <c r="C91" i="7"/>
  <c r="B91" i="7"/>
  <c r="A91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D90" i="7" s="1"/>
  <c r="C90" i="7"/>
  <c r="E90" i="7" s="1"/>
  <c r="B90" i="7"/>
  <c r="A90" i="7"/>
  <c r="AO89" i="7"/>
  <c r="AN89" i="7"/>
  <c r="AM89" i="7"/>
  <c r="AL89" i="7"/>
  <c r="AK89" i="7"/>
  <c r="AI89" i="7"/>
  <c r="AH89" i="7"/>
  <c r="AG89" i="7"/>
  <c r="AD89" i="7"/>
  <c r="AC89" i="7"/>
  <c r="AB89" i="7"/>
  <c r="AA89" i="7"/>
  <c r="Z89" i="7"/>
  <c r="Y89" i="7"/>
  <c r="X89" i="7"/>
  <c r="W89" i="7"/>
  <c r="U89" i="7"/>
  <c r="T89" i="7"/>
  <c r="S89" i="7"/>
  <c r="P89" i="7"/>
  <c r="O89" i="7"/>
  <c r="N89" i="7"/>
  <c r="M89" i="7"/>
  <c r="L89" i="7"/>
  <c r="K89" i="7"/>
  <c r="J89" i="7"/>
  <c r="I89" i="7"/>
  <c r="G89" i="7"/>
  <c r="F89" i="7"/>
  <c r="C89" i="7"/>
  <c r="B89" i="7"/>
  <c r="A89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D88" i="7" s="1"/>
  <c r="E88" i="7" s="1"/>
  <c r="K88" i="7"/>
  <c r="J88" i="7"/>
  <c r="I88" i="7"/>
  <c r="H88" i="7"/>
  <c r="G88" i="7"/>
  <c r="F88" i="7"/>
  <c r="C88" i="7"/>
  <c r="B88" i="7"/>
  <c r="A88" i="7"/>
  <c r="AM87" i="7"/>
  <c r="AK87" i="7"/>
  <c r="AJ87" i="7"/>
  <c r="AH87" i="7"/>
  <c r="AG87" i="7"/>
  <c r="AF87" i="7"/>
  <c r="AE87" i="7"/>
  <c r="AC87" i="7"/>
  <c r="AB87" i="7"/>
  <c r="AA87" i="7"/>
  <c r="W87" i="7"/>
  <c r="V87" i="7"/>
  <c r="T87" i="7"/>
  <c r="S87" i="7"/>
  <c r="R87" i="7"/>
  <c r="Q87" i="7"/>
  <c r="O87" i="7"/>
  <c r="N87" i="7"/>
  <c r="I87" i="7"/>
  <c r="H87" i="7"/>
  <c r="G87" i="7"/>
  <c r="F87" i="7"/>
  <c r="C87" i="7"/>
  <c r="B87" i="7"/>
  <c r="A87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C86" i="7"/>
  <c r="B86" i="7"/>
  <c r="A86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C85" i="7"/>
  <c r="B85" i="7"/>
  <c r="A85" i="7"/>
  <c r="AO84" i="7"/>
  <c r="AN84" i="7"/>
  <c r="AM84" i="7"/>
  <c r="AK84" i="7"/>
  <c r="AJ84" i="7"/>
  <c r="AH84" i="7"/>
  <c r="AG84" i="7"/>
  <c r="AE84" i="7"/>
  <c r="AD84" i="7"/>
  <c r="AC84" i="7"/>
  <c r="AB84" i="7"/>
  <c r="AA84" i="7"/>
  <c r="Z84" i="7"/>
  <c r="Y84" i="7"/>
  <c r="W84" i="7"/>
  <c r="V84" i="7"/>
  <c r="T84" i="7"/>
  <c r="S84" i="7"/>
  <c r="R84" i="7"/>
  <c r="Q84" i="7"/>
  <c r="P84" i="7"/>
  <c r="N84" i="7"/>
  <c r="M84" i="7"/>
  <c r="L84" i="7"/>
  <c r="K84" i="7"/>
  <c r="I84" i="7"/>
  <c r="H84" i="7"/>
  <c r="C84" i="7"/>
  <c r="B84" i="7"/>
  <c r="A84" i="7"/>
  <c r="AM83" i="7"/>
  <c r="AL83" i="7"/>
  <c r="AK83" i="7"/>
  <c r="AJ83" i="7"/>
  <c r="AI83" i="7"/>
  <c r="AH83" i="7"/>
  <c r="AG83" i="7"/>
  <c r="AE83" i="7"/>
  <c r="AD83" i="7"/>
  <c r="AC83" i="7"/>
  <c r="Y83" i="7"/>
  <c r="X83" i="7"/>
  <c r="W83" i="7"/>
  <c r="V83" i="7"/>
  <c r="U83" i="7"/>
  <c r="T83" i="7"/>
  <c r="S83" i="7"/>
  <c r="Q83" i="7"/>
  <c r="P83" i="7"/>
  <c r="M83" i="7"/>
  <c r="K83" i="7"/>
  <c r="J83" i="7"/>
  <c r="H83" i="7"/>
  <c r="G83" i="7"/>
  <c r="F83" i="7"/>
  <c r="C83" i="7"/>
  <c r="B83" i="7"/>
  <c r="A83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D82" i="7" s="1"/>
  <c r="E82" i="7" s="1"/>
  <c r="C82" i="7"/>
  <c r="B82" i="7"/>
  <c r="A82" i="7"/>
  <c r="AO81" i="7"/>
  <c r="AM81" i="7"/>
  <c r="AL81" i="7"/>
  <c r="AG81" i="7"/>
  <c r="AF81" i="7"/>
  <c r="AE81" i="7"/>
  <c r="AD81" i="7"/>
  <c r="AC81" i="7"/>
  <c r="AB81" i="7"/>
  <c r="AA81" i="7"/>
  <c r="Y81" i="7"/>
  <c r="X81" i="7"/>
  <c r="S81" i="7"/>
  <c r="R81" i="7"/>
  <c r="Q81" i="7"/>
  <c r="P81" i="7"/>
  <c r="O81" i="7"/>
  <c r="N81" i="7"/>
  <c r="M81" i="7"/>
  <c r="K81" i="7"/>
  <c r="J81" i="7"/>
  <c r="C81" i="7"/>
  <c r="B81" i="7"/>
  <c r="A81" i="7"/>
  <c r="AO80" i="7"/>
  <c r="AN80" i="7"/>
  <c r="AL80" i="7"/>
  <c r="AK80" i="7"/>
  <c r="AJ80" i="7"/>
  <c r="AI80" i="7"/>
  <c r="AH80" i="7"/>
  <c r="AG80" i="7"/>
  <c r="AF80" i="7"/>
  <c r="AA80" i="7"/>
  <c r="Z80" i="7"/>
  <c r="X80" i="7"/>
  <c r="W80" i="7"/>
  <c r="V80" i="7"/>
  <c r="U80" i="7"/>
  <c r="T80" i="7"/>
  <c r="S80" i="7"/>
  <c r="R80" i="7"/>
  <c r="M80" i="7"/>
  <c r="L80" i="7"/>
  <c r="J80" i="7"/>
  <c r="I80" i="7"/>
  <c r="H80" i="7"/>
  <c r="G80" i="7"/>
  <c r="C80" i="7"/>
  <c r="B80" i="7"/>
  <c r="A80" i="7"/>
  <c r="AO79" i="7"/>
  <c r="AN79" i="7"/>
  <c r="AI79" i="7"/>
  <c r="AH79" i="7"/>
  <c r="AG79" i="7"/>
  <c r="AF79" i="7"/>
  <c r="AE79" i="7"/>
  <c r="AD79" i="7"/>
  <c r="AC79" i="7"/>
  <c r="AA79" i="7"/>
  <c r="Z79" i="7"/>
  <c r="U79" i="7"/>
  <c r="T79" i="7"/>
  <c r="S79" i="7"/>
  <c r="R79" i="7"/>
  <c r="Q79" i="7"/>
  <c r="P79" i="7"/>
  <c r="O79" i="7"/>
  <c r="M79" i="7"/>
  <c r="L79" i="7"/>
  <c r="I79" i="7"/>
  <c r="H79" i="7"/>
  <c r="G79" i="7"/>
  <c r="F79" i="7"/>
  <c r="C79" i="7"/>
  <c r="B79" i="7"/>
  <c r="A79" i="7"/>
  <c r="AO78" i="7"/>
  <c r="AN78" i="7"/>
  <c r="AM78" i="7"/>
  <c r="AL78" i="7"/>
  <c r="AK78" i="7"/>
  <c r="AJ78" i="7"/>
  <c r="AI78" i="7"/>
  <c r="AH78" i="7"/>
  <c r="AC78" i="7"/>
  <c r="AB78" i="7"/>
  <c r="AA78" i="7"/>
  <c r="Z78" i="7"/>
  <c r="Y78" i="7"/>
  <c r="X78" i="7"/>
  <c r="W78" i="7"/>
  <c r="V78" i="7"/>
  <c r="U78" i="7"/>
  <c r="T78" i="7"/>
  <c r="S78" i="7"/>
  <c r="O78" i="7"/>
  <c r="N78" i="7"/>
  <c r="M78" i="7"/>
  <c r="L78" i="7"/>
  <c r="K78" i="7"/>
  <c r="J78" i="7"/>
  <c r="I78" i="7"/>
  <c r="G78" i="7"/>
  <c r="F78" i="7"/>
  <c r="C78" i="7"/>
  <c r="B78" i="7"/>
  <c r="A78" i="7"/>
  <c r="AK77" i="7"/>
  <c r="AJ77" i="7"/>
  <c r="AI77" i="7"/>
  <c r="AH77" i="7"/>
  <c r="AG77" i="7"/>
  <c r="AF77" i="7"/>
  <c r="AE77" i="7"/>
  <c r="AD77" i="7"/>
  <c r="AC77" i="7"/>
  <c r="AB77" i="7"/>
  <c r="W77" i="7"/>
  <c r="V77" i="7"/>
  <c r="U77" i="7"/>
  <c r="T77" i="7"/>
  <c r="S77" i="7"/>
  <c r="R77" i="7"/>
  <c r="Q77" i="7"/>
  <c r="O77" i="7"/>
  <c r="N77" i="7"/>
  <c r="M77" i="7"/>
  <c r="L77" i="7"/>
  <c r="I77" i="7"/>
  <c r="H77" i="7"/>
  <c r="G77" i="7"/>
  <c r="F77" i="7"/>
  <c r="C77" i="7"/>
  <c r="B77" i="7"/>
  <c r="A77" i="7"/>
  <c r="AO76" i="7"/>
  <c r="AN76" i="7"/>
  <c r="AM76" i="7"/>
  <c r="AL76" i="7"/>
  <c r="AK76" i="7"/>
  <c r="AJ76" i="7"/>
  <c r="AE76" i="7"/>
  <c r="AD76" i="7"/>
  <c r="AB76" i="7"/>
  <c r="AA76" i="7"/>
  <c r="Z76" i="7"/>
  <c r="Y76" i="7"/>
  <c r="X76" i="7"/>
  <c r="W76" i="7"/>
  <c r="V76" i="7"/>
  <c r="T76" i="7"/>
  <c r="Q76" i="7"/>
  <c r="P76" i="7"/>
  <c r="O76" i="7"/>
  <c r="N76" i="7"/>
  <c r="M76" i="7"/>
  <c r="L76" i="7"/>
  <c r="K76" i="7"/>
  <c r="I76" i="7"/>
  <c r="H76" i="7"/>
  <c r="C76" i="7"/>
  <c r="B76" i="7"/>
  <c r="A76" i="7"/>
  <c r="AM75" i="7"/>
  <c r="AL75" i="7"/>
  <c r="AK75" i="7"/>
  <c r="AJ75" i="7"/>
  <c r="AI75" i="7"/>
  <c r="AH75" i="7"/>
  <c r="AG75" i="7"/>
  <c r="AE75" i="7"/>
  <c r="AD75" i="7"/>
  <c r="AC75" i="7"/>
  <c r="AB75" i="7"/>
  <c r="Y75" i="7"/>
  <c r="X75" i="7"/>
  <c r="W75" i="7"/>
  <c r="V75" i="7"/>
  <c r="U75" i="7"/>
  <c r="T75" i="7"/>
  <c r="S75" i="7"/>
  <c r="Q75" i="7"/>
  <c r="P75" i="7"/>
  <c r="O75" i="7"/>
  <c r="N75" i="7"/>
  <c r="M75" i="7"/>
  <c r="K75" i="7"/>
  <c r="J75" i="7"/>
  <c r="I75" i="7"/>
  <c r="H75" i="7"/>
  <c r="G75" i="7"/>
  <c r="F75" i="7"/>
  <c r="C75" i="7"/>
  <c r="B75" i="7"/>
  <c r="A75" i="7"/>
  <c r="AO74" i="7"/>
  <c r="AN74" i="7"/>
  <c r="AM74" i="7"/>
  <c r="AL74" i="7"/>
  <c r="AF74" i="7"/>
  <c r="AD74" i="7"/>
  <c r="AC74" i="7"/>
  <c r="AB74" i="7"/>
  <c r="AA74" i="7"/>
  <c r="Y74" i="7"/>
  <c r="X74" i="7"/>
  <c r="W74" i="7"/>
  <c r="V74" i="7"/>
  <c r="R74" i="7"/>
  <c r="Q74" i="7"/>
  <c r="P74" i="7"/>
  <c r="O74" i="7"/>
  <c r="N74" i="7"/>
  <c r="M74" i="7"/>
  <c r="K74" i="7"/>
  <c r="J74" i="7"/>
  <c r="H74" i="7"/>
  <c r="G74" i="7"/>
  <c r="F74" i="7"/>
  <c r="C74" i="7"/>
  <c r="B74" i="7"/>
  <c r="A74" i="7"/>
  <c r="AO73" i="7"/>
  <c r="AN73" i="7"/>
  <c r="AM73" i="7"/>
  <c r="AL73" i="7"/>
  <c r="AK73" i="7"/>
  <c r="AJ73" i="7"/>
  <c r="AI73" i="7"/>
  <c r="AH73" i="7"/>
  <c r="AG73" i="7"/>
  <c r="AF73" i="7"/>
  <c r="AA73" i="7"/>
  <c r="Z73" i="7"/>
  <c r="Y73" i="7"/>
  <c r="X73" i="7"/>
  <c r="W73" i="7"/>
  <c r="V73" i="7"/>
  <c r="U73" i="7"/>
  <c r="T73" i="7"/>
  <c r="S73" i="7"/>
  <c r="R73" i="7"/>
  <c r="Q73" i="7"/>
  <c r="M73" i="7"/>
  <c r="L73" i="7"/>
  <c r="K73" i="7"/>
  <c r="J73" i="7"/>
  <c r="I73" i="7"/>
  <c r="H73" i="7"/>
  <c r="G73" i="7"/>
  <c r="C73" i="7"/>
  <c r="B73" i="7"/>
  <c r="A73" i="7"/>
  <c r="AO72" i="7"/>
  <c r="AN72" i="7"/>
  <c r="AI72" i="7"/>
  <c r="AH72" i="7"/>
  <c r="AF72" i="7"/>
  <c r="AE72" i="7"/>
  <c r="AD72" i="7"/>
  <c r="AC72" i="7"/>
  <c r="AB72" i="7"/>
  <c r="AA72" i="7"/>
  <c r="Z72" i="7"/>
  <c r="U72" i="7"/>
  <c r="T72" i="7"/>
  <c r="R72" i="7"/>
  <c r="Q72" i="7"/>
  <c r="P72" i="7"/>
  <c r="O72" i="7"/>
  <c r="M72" i="7"/>
  <c r="L72" i="7"/>
  <c r="K72" i="7"/>
  <c r="I72" i="7"/>
  <c r="G72" i="7"/>
  <c r="F72" i="7"/>
  <c r="C72" i="7"/>
  <c r="B72" i="7"/>
  <c r="A72" i="7"/>
  <c r="AO71" i="7"/>
  <c r="AN71" i="7"/>
  <c r="AM71" i="7"/>
  <c r="AL71" i="7"/>
  <c r="AK71" i="7"/>
  <c r="AJ71" i="7"/>
  <c r="AI71" i="7"/>
  <c r="AH71" i="7"/>
  <c r="AC71" i="7"/>
  <c r="AB71" i="7"/>
  <c r="AA71" i="7"/>
  <c r="Z71" i="7"/>
  <c r="Y71" i="7"/>
  <c r="X71" i="7"/>
  <c r="W71" i="7"/>
  <c r="U71" i="7"/>
  <c r="T71" i="7"/>
  <c r="S71" i="7"/>
  <c r="R71" i="7"/>
  <c r="O71" i="7"/>
  <c r="N71" i="7"/>
  <c r="M71" i="7"/>
  <c r="L71" i="7"/>
  <c r="K71" i="7"/>
  <c r="J71" i="7"/>
  <c r="I71" i="7"/>
  <c r="H71" i="7"/>
  <c r="G71" i="7"/>
  <c r="F71" i="7"/>
  <c r="C71" i="7"/>
  <c r="B71" i="7"/>
  <c r="A71" i="7"/>
  <c r="AK70" i="7"/>
  <c r="AJ70" i="7"/>
  <c r="AI70" i="7"/>
  <c r="AH70" i="7"/>
  <c r="AG70" i="7"/>
  <c r="AF70" i="7"/>
  <c r="AE70" i="7"/>
  <c r="AD70" i="7"/>
  <c r="AB70" i="7"/>
  <c r="W70" i="7"/>
  <c r="V70" i="7"/>
  <c r="T70" i="7"/>
  <c r="S70" i="7"/>
  <c r="R70" i="7"/>
  <c r="Q70" i="7"/>
  <c r="P70" i="7"/>
  <c r="N70" i="7"/>
  <c r="L70" i="7"/>
  <c r="K70" i="7"/>
  <c r="I70" i="7"/>
  <c r="H70" i="7"/>
  <c r="G70" i="7"/>
  <c r="F70" i="7"/>
  <c r="C70" i="7"/>
  <c r="B70" i="7"/>
  <c r="A70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D69" i="7" s="1"/>
  <c r="E69" i="7" s="1"/>
  <c r="C69" i="7"/>
  <c r="B69" i="7"/>
  <c r="A69" i="7"/>
  <c r="AO68" i="7"/>
  <c r="AN68" i="7"/>
  <c r="AM68" i="7"/>
  <c r="AL68" i="7"/>
  <c r="AK68" i="7"/>
  <c r="AJ68" i="7"/>
  <c r="AI68" i="7"/>
  <c r="AE68" i="7"/>
  <c r="AD68" i="7"/>
  <c r="AC68" i="7"/>
  <c r="AB68" i="7"/>
  <c r="AA68" i="7"/>
  <c r="Z68" i="7"/>
  <c r="Y68" i="7"/>
  <c r="W68" i="7"/>
  <c r="V68" i="7"/>
  <c r="U68" i="7"/>
  <c r="T68" i="7"/>
  <c r="Q68" i="7"/>
  <c r="P68" i="7"/>
  <c r="O68" i="7"/>
  <c r="N68" i="7"/>
  <c r="M68" i="7"/>
  <c r="L68" i="7"/>
  <c r="K68" i="7"/>
  <c r="I68" i="7"/>
  <c r="H68" i="7"/>
  <c r="G68" i="7"/>
  <c r="F68" i="7"/>
  <c r="C68" i="7"/>
  <c r="B68" i="7"/>
  <c r="A68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D67" i="7" s="1"/>
  <c r="E67" i="7" s="1"/>
  <c r="Q67" i="7"/>
  <c r="P67" i="7"/>
  <c r="O67" i="7"/>
  <c r="N67" i="7"/>
  <c r="M67" i="7"/>
  <c r="L67" i="7"/>
  <c r="K67" i="7"/>
  <c r="J67" i="7"/>
  <c r="I67" i="7"/>
  <c r="H67" i="7"/>
  <c r="G67" i="7"/>
  <c r="F67" i="7"/>
  <c r="C67" i="7"/>
  <c r="B67" i="7"/>
  <c r="A67" i="7"/>
  <c r="AL66" i="7"/>
  <c r="AK66" i="7"/>
  <c r="AJ66" i="7"/>
  <c r="AI66" i="7"/>
  <c r="AH66" i="7"/>
  <c r="AG66" i="7"/>
  <c r="AF66" i="7"/>
  <c r="AE66" i="7"/>
  <c r="AD66" i="7"/>
  <c r="AB66" i="7"/>
  <c r="X66" i="7"/>
  <c r="W66" i="7"/>
  <c r="V66" i="7"/>
  <c r="U66" i="7"/>
  <c r="T66" i="7"/>
  <c r="S66" i="7"/>
  <c r="R66" i="7"/>
  <c r="Q66" i="7"/>
  <c r="P66" i="7"/>
  <c r="O66" i="7"/>
  <c r="M66" i="7"/>
  <c r="J66" i="7"/>
  <c r="I66" i="7"/>
  <c r="H66" i="7"/>
  <c r="G66" i="7"/>
  <c r="F66" i="7"/>
  <c r="C66" i="7"/>
  <c r="B66" i="7"/>
  <c r="A66" i="7"/>
  <c r="AO65" i="7"/>
  <c r="AM65" i="7"/>
  <c r="AI65" i="7"/>
  <c r="AH65" i="7"/>
  <c r="AG65" i="7"/>
  <c r="AF65" i="7"/>
  <c r="AE65" i="7"/>
  <c r="AD65" i="7"/>
  <c r="AC65" i="7"/>
  <c r="AB65" i="7"/>
  <c r="AA65" i="7"/>
  <c r="Y65" i="7"/>
  <c r="S65" i="7"/>
  <c r="R65" i="7"/>
  <c r="P65" i="7"/>
  <c r="O65" i="7"/>
  <c r="N65" i="7"/>
  <c r="M65" i="7"/>
  <c r="K65" i="7"/>
  <c r="C65" i="7"/>
  <c r="B65" i="7"/>
  <c r="A65" i="7"/>
  <c r="AO64" i="7"/>
  <c r="AN64" i="7"/>
  <c r="AL64" i="7"/>
  <c r="AK64" i="7"/>
  <c r="AJ64" i="7"/>
  <c r="AI64" i="7"/>
  <c r="AG64" i="7"/>
  <c r="AF64" i="7"/>
  <c r="AE64" i="7"/>
  <c r="AA64" i="7"/>
  <c r="Z64" i="7"/>
  <c r="Y64" i="7"/>
  <c r="X64" i="7"/>
  <c r="W64" i="7"/>
  <c r="V64" i="7"/>
  <c r="U64" i="7"/>
  <c r="S64" i="7"/>
  <c r="R64" i="7"/>
  <c r="M64" i="7"/>
  <c r="L64" i="7"/>
  <c r="K64" i="7"/>
  <c r="J64" i="7"/>
  <c r="I64" i="7"/>
  <c r="H64" i="7"/>
  <c r="G64" i="7"/>
  <c r="C64" i="7"/>
  <c r="B64" i="7"/>
  <c r="A64" i="7"/>
  <c r="AO63" i="7"/>
  <c r="AN63" i="7"/>
  <c r="AI63" i="7"/>
  <c r="AH63" i="7"/>
  <c r="AG63" i="7"/>
  <c r="AF63" i="7"/>
  <c r="AE63" i="7"/>
  <c r="AD63" i="7"/>
  <c r="AC63" i="7"/>
  <c r="AA63" i="7"/>
  <c r="Z63" i="7"/>
  <c r="Y63" i="7"/>
  <c r="U63" i="7"/>
  <c r="T63" i="7"/>
  <c r="R63" i="7"/>
  <c r="Q63" i="7"/>
  <c r="P63" i="7"/>
  <c r="O63" i="7"/>
  <c r="M63" i="7"/>
  <c r="L63" i="7"/>
  <c r="G63" i="7"/>
  <c r="F63" i="7"/>
  <c r="C63" i="7"/>
  <c r="B63" i="7"/>
  <c r="A63" i="7"/>
  <c r="AN62" i="7"/>
  <c r="AM62" i="7"/>
  <c r="AL62" i="7"/>
  <c r="AK62" i="7"/>
  <c r="AH62" i="7"/>
  <c r="AG62" i="7"/>
  <c r="AC62" i="7"/>
  <c r="AB62" i="7"/>
  <c r="AA62" i="7"/>
  <c r="Z62" i="7"/>
  <c r="Y62" i="7"/>
  <c r="X62" i="7"/>
  <c r="W62" i="7"/>
  <c r="T62" i="7"/>
  <c r="O62" i="7"/>
  <c r="N62" i="7"/>
  <c r="L62" i="7"/>
  <c r="K62" i="7"/>
  <c r="J62" i="7"/>
  <c r="I62" i="7"/>
  <c r="F62" i="7"/>
  <c r="C62" i="7"/>
  <c r="B62" i="7"/>
  <c r="A62" i="7"/>
  <c r="AK61" i="7"/>
  <c r="AJ61" i="7"/>
  <c r="AI61" i="7"/>
  <c r="AH61" i="7"/>
  <c r="AG61" i="7"/>
  <c r="AF61" i="7"/>
  <c r="AE61" i="7"/>
  <c r="AC61" i="7"/>
  <c r="AB61" i="7"/>
  <c r="W61" i="7"/>
  <c r="V61" i="7"/>
  <c r="T61" i="7"/>
  <c r="S61" i="7"/>
  <c r="R61" i="7"/>
  <c r="Q61" i="7"/>
  <c r="O61" i="7"/>
  <c r="N61" i="7"/>
  <c r="I61" i="7"/>
  <c r="H61" i="7"/>
  <c r="G61" i="7"/>
  <c r="F61" i="7"/>
  <c r="C61" i="7"/>
  <c r="B61" i="7"/>
  <c r="A61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C60" i="7"/>
  <c r="B60" i="7"/>
  <c r="A60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C59" i="7"/>
  <c r="B59" i="7"/>
  <c r="A59" i="7"/>
  <c r="AO58" i="7"/>
  <c r="AN58" i="7"/>
  <c r="AM58" i="7"/>
  <c r="AL58" i="7"/>
  <c r="AK58" i="7"/>
  <c r="AJ58" i="7"/>
  <c r="AD58" i="7"/>
  <c r="AC58" i="7"/>
  <c r="AB58" i="7"/>
  <c r="AA58" i="7"/>
  <c r="Z58" i="7"/>
  <c r="Y58" i="7"/>
  <c r="X58" i="7"/>
  <c r="W58" i="7"/>
  <c r="V58" i="7"/>
  <c r="T58" i="7"/>
  <c r="P58" i="7"/>
  <c r="O58" i="7"/>
  <c r="N58" i="7"/>
  <c r="M58" i="7"/>
  <c r="L58" i="7"/>
  <c r="K58" i="7"/>
  <c r="J58" i="7"/>
  <c r="I58" i="7"/>
  <c r="H58" i="7"/>
  <c r="G58" i="7"/>
  <c r="C58" i="7"/>
  <c r="B58" i="7"/>
  <c r="A58" i="7"/>
  <c r="AM57" i="7"/>
  <c r="AL57" i="7"/>
  <c r="AK57" i="7"/>
  <c r="AJ57" i="7"/>
  <c r="AI57" i="7"/>
  <c r="AH57" i="7"/>
  <c r="AG57" i="7"/>
  <c r="AE57" i="7"/>
  <c r="AC57" i="7"/>
  <c r="AB57" i="7"/>
  <c r="AA57" i="7"/>
  <c r="Y57" i="7"/>
  <c r="X57" i="7"/>
  <c r="V57" i="7"/>
  <c r="U57" i="7"/>
  <c r="T57" i="7"/>
  <c r="S57" i="7"/>
  <c r="Q57" i="7"/>
  <c r="K57" i="7"/>
  <c r="J57" i="7"/>
  <c r="H57" i="7"/>
  <c r="G57" i="7"/>
  <c r="F57" i="7"/>
  <c r="C57" i="7"/>
  <c r="B57" i="7"/>
  <c r="A57" i="7"/>
  <c r="AO56" i="7"/>
  <c r="AN56" i="7"/>
  <c r="AM56" i="7"/>
  <c r="AL56" i="7"/>
  <c r="AJ56" i="7"/>
  <c r="AG56" i="7"/>
  <c r="AF56" i="7"/>
  <c r="AE56" i="7"/>
  <c r="AD56" i="7"/>
  <c r="AC56" i="7"/>
  <c r="AB56" i="7"/>
  <c r="AA56" i="7"/>
  <c r="Y56" i="7"/>
  <c r="X56" i="7"/>
  <c r="V56" i="7"/>
  <c r="U56" i="7"/>
  <c r="S56" i="7"/>
  <c r="R56" i="7"/>
  <c r="P56" i="7"/>
  <c r="O56" i="7"/>
  <c r="N56" i="7"/>
  <c r="M56" i="7"/>
  <c r="K56" i="7"/>
  <c r="J56" i="7"/>
  <c r="H56" i="7"/>
  <c r="G56" i="7"/>
  <c r="F56" i="7"/>
  <c r="D56" i="7" s="1"/>
  <c r="C56" i="7"/>
  <c r="B56" i="7"/>
  <c r="A56" i="7"/>
  <c r="AO55" i="7"/>
  <c r="AN55" i="7"/>
  <c r="AM55" i="7"/>
  <c r="AL55" i="7"/>
  <c r="AK55" i="7"/>
  <c r="AJ55" i="7"/>
  <c r="AI55" i="7"/>
  <c r="AH55" i="7"/>
  <c r="AG55" i="7"/>
  <c r="AF55" i="7"/>
  <c r="AA55" i="7"/>
  <c r="Z55" i="7"/>
  <c r="Y55" i="7"/>
  <c r="X55" i="7"/>
  <c r="W55" i="7"/>
  <c r="V55" i="7"/>
  <c r="U55" i="7"/>
  <c r="T55" i="7"/>
  <c r="S55" i="7"/>
  <c r="R55" i="7"/>
  <c r="Q55" i="7"/>
  <c r="M55" i="7"/>
  <c r="L55" i="7"/>
  <c r="J55" i="7"/>
  <c r="I55" i="7"/>
  <c r="H55" i="7"/>
  <c r="G55" i="7"/>
  <c r="C55" i="7"/>
  <c r="B55" i="7"/>
  <c r="A55" i="7"/>
  <c r="AN54" i="7"/>
  <c r="AI54" i="7"/>
  <c r="AH54" i="7"/>
  <c r="AG54" i="7"/>
  <c r="AF54" i="7"/>
  <c r="AE54" i="7"/>
  <c r="AD54" i="7"/>
  <c r="AC54" i="7"/>
  <c r="Z54" i="7"/>
  <c r="Y54" i="7"/>
  <c r="W54" i="7"/>
  <c r="U54" i="7"/>
  <c r="T54" i="7"/>
  <c r="S54" i="7"/>
  <c r="R54" i="7"/>
  <c r="Q54" i="7"/>
  <c r="P54" i="7"/>
  <c r="O54" i="7"/>
  <c r="L54" i="7"/>
  <c r="G54" i="7"/>
  <c r="F54" i="7"/>
  <c r="C54" i="7"/>
  <c r="B54" i="7"/>
  <c r="A54" i="7"/>
  <c r="AO53" i="7"/>
  <c r="AN53" i="7"/>
  <c r="AM53" i="7"/>
  <c r="AL53" i="7"/>
  <c r="AK53" i="7"/>
  <c r="AI53" i="7"/>
  <c r="AH53" i="7"/>
  <c r="AG53" i="7"/>
  <c r="AF53" i="7"/>
  <c r="AE53" i="7"/>
  <c r="AC53" i="7"/>
  <c r="AB53" i="7"/>
  <c r="Z53" i="7"/>
  <c r="Y53" i="7"/>
  <c r="X53" i="7"/>
  <c r="W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G53" i="7"/>
  <c r="F53" i="7"/>
  <c r="C53" i="7"/>
  <c r="B53" i="7"/>
  <c r="A53" i="7"/>
  <c r="AK52" i="7"/>
  <c r="AJ52" i="7"/>
  <c r="AH52" i="7"/>
  <c r="AG52" i="7"/>
  <c r="AF52" i="7"/>
  <c r="AE52" i="7"/>
  <c r="AD52" i="7"/>
  <c r="AC52" i="7"/>
  <c r="AB52" i="7"/>
  <c r="Z52" i="7"/>
  <c r="W52" i="7"/>
  <c r="V52" i="7"/>
  <c r="T52" i="7"/>
  <c r="S52" i="7"/>
  <c r="R52" i="7"/>
  <c r="Q52" i="7"/>
  <c r="O52" i="7"/>
  <c r="N52" i="7"/>
  <c r="M52" i="7"/>
  <c r="I52" i="7"/>
  <c r="H52" i="7"/>
  <c r="G52" i="7"/>
  <c r="F52" i="7"/>
  <c r="C52" i="7"/>
  <c r="B52" i="7"/>
  <c r="A52" i="7"/>
  <c r="AO51" i="7"/>
  <c r="AN51" i="7"/>
  <c r="AM51" i="7"/>
  <c r="AK51" i="7"/>
  <c r="AJ51" i="7"/>
  <c r="AI51" i="7"/>
  <c r="AH51" i="7"/>
  <c r="AE51" i="7"/>
  <c r="AD51" i="7"/>
  <c r="AC51" i="7"/>
  <c r="AB51" i="7"/>
  <c r="AA51" i="7"/>
  <c r="Z51" i="7"/>
  <c r="Y51" i="7"/>
  <c r="W51" i="7"/>
  <c r="V51" i="7"/>
  <c r="U51" i="7"/>
  <c r="T51" i="7"/>
  <c r="S51" i="7"/>
  <c r="Q51" i="7"/>
  <c r="P51" i="7"/>
  <c r="N51" i="7"/>
  <c r="M51" i="7"/>
  <c r="L51" i="7"/>
  <c r="K51" i="7"/>
  <c r="I51" i="7"/>
  <c r="H51" i="7"/>
  <c r="C51" i="7"/>
  <c r="B51" i="7"/>
  <c r="A51" i="7"/>
  <c r="AM50" i="7"/>
  <c r="AL50" i="7"/>
  <c r="AJ50" i="7"/>
  <c r="AI50" i="7"/>
  <c r="AH50" i="7"/>
  <c r="AG50" i="7"/>
  <c r="AE50" i="7"/>
  <c r="AD50" i="7"/>
  <c r="AC50" i="7"/>
  <c r="AB50" i="7"/>
  <c r="AA50" i="7"/>
  <c r="Y50" i="7"/>
  <c r="X50" i="7"/>
  <c r="V50" i="7"/>
  <c r="U50" i="7"/>
  <c r="T50" i="7"/>
  <c r="S50" i="7"/>
  <c r="Q50" i="7"/>
  <c r="P50" i="7"/>
  <c r="K50" i="7"/>
  <c r="J50" i="7"/>
  <c r="H50" i="7"/>
  <c r="G50" i="7"/>
  <c r="F50" i="7"/>
  <c r="C50" i="7"/>
  <c r="B50" i="7"/>
  <c r="A50" i="7"/>
  <c r="AO49" i="7"/>
  <c r="AM49" i="7"/>
  <c r="AL49" i="7"/>
  <c r="AI49" i="7"/>
  <c r="AG49" i="7"/>
  <c r="AF49" i="7"/>
  <c r="AD49" i="7"/>
  <c r="AC49" i="7"/>
  <c r="AB49" i="7"/>
  <c r="AA49" i="7"/>
  <c r="Y49" i="7"/>
  <c r="X49" i="7"/>
  <c r="S49" i="7"/>
  <c r="R49" i="7"/>
  <c r="Q49" i="7"/>
  <c r="P49" i="7"/>
  <c r="O49" i="7"/>
  <c r="N49" i="7"/>
  <c r="M49" i="7"/>
  <c r="K49" i="7"/>
  <c r="J49" i="7"/>
  <c r="I49" i="7"/>
  <c r="C49" i="7"/>
  <c r="B49" i="7"/>
  <c r="A49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D48" i="7" s="1"/>
  <c r="E48" i="7" s="1"/>
  <c r="L48" i="7"/>
  <c r="K48" i="7"/>
  <c r="J48" i="7"/>
  <c r="I48" i="7"/>
  <c r="H48" i="7"/>
  <c r="G48" i="7"/>
  <c r="F48" i="7"/>
  <c r="C48" i="7"/>
  <c r="B48" i="7"/>
  <c r="A48" i="7"/>
  <c r="AO47" i="7"/>
  <c r="AN47" i="7"/>
  <c r="AL47" i="7"/>
  <c r="AK47" i="7"/>
  <c r="AJ47" i="7"/>
  <c r="AI47" i="7"/>
  <c r="AG47" i="7"/>
  <c r="AF47" i="7"/>
  <c r="AA47" i="7"/>
  <c r="Z47" i="7"/>
  <c r="X47" i="7"/>
  <c r="W47" i="7"/>
  <c r="V47" i="7"/>
  <c r="U47" i="7"/>
  <c r="S47" i="7"/>
  <c r="R47" i="7"/>
  <c r="M47" i="7"/>
  <c r="L47" i="7"/>
  <c r="K47" i="7"/>
  <c r="J47" i="7"/>
  <c r="I47" i="7"/>
  <c r="H47" i="7"/>
  <c r="G47" i="7"/>
  <c r="C47" i="7"/>
  <c r="B47" i="7"/>
  <c r="A47" i="7"/>
  <c r="AO46" i="7"/>
  <c r="AN46" i="7"/>
  <c r="AI46" i="7"/>
  <c r="AH46" i="7"/>
  <c r="AG46" i="7"/>
  <c r="AF46" i="7"/>
  <c r="AE46" i="7"/>
  <c r="AD46" i="7"/>
  <c r="AC46" i="7"/>
  <c r="AA46" i="7"/>
  <c r="Z46" i="7"/>
  <c r="U46" i="7"/>
  <c r="T46" i="7"/>
  <c r="R46" i="7"/>
  <c r="Q46" i="7"/>
  <c r="P46" i="7"/>
  <c r="O46" i="7"/>
  <c r="M46" i="7"/>
  <c r="L46" i="7"/>
  <c r="G46" i="7"/>
  <c r="F46" i="7"/>
  <c r="C46" i="7"/>
  <c r="B46" i="7"/>
  <c r="A46" i="7"/>
  <c r="AN45" i="7"/>
  <c r="AM45" i="7"/>
  <c r="AL45" i="7"/>
  <c r="AK45" i="7"/>
  <c r="AI45" i="7"/>
  <c r="AH45" i="7"/>
  <c r="AC45" i="7"/>
  <c r="AB45" i="7"/>
  <c r="Z45" i="7"/>
  <c r="Y45" i="7"/>
  <c r="X45" i="7"/>
  <c r="W45" i="7"/>
  <c r="U45" i="7"/>
  <c r="T45" i="7"/>
  <c r="O45" i="7"/>
  <c r="N45" i="7"/>
  <c r="L45" i="7"/>
  <c r="K45" i="7"/>
  <c r="J45" i="7"/>
  <c r="I45" i="7"/>
  <c r="G45" i="7"/>
  <c r="F45" i="7"/>
  <c r="C45" i="7"/>
  <c r="B45" i="7"/>
  <c r="A45" i="7"/>
  <c r="AK44" i="7"/>
  <c r="AJ44" i="7"/>
  <c r="AI44" i="7"/>
  <c r="AH44" i="7"/>
  <c r="AG44" i="7"/>
  <c r="AF44" i="7"/>
  <c r="AE44" i="7"/>
  <c r="AC44" i="7"/>
  <c r="AB44" i="7"/>
  <c r="AA44" i="7"/>
  <c r="W44" i="7"/>
  <c r="V44" i="7"/>
  <c r="U44" i="7"/>
  <c r="T44" i="7"/>
  <c r="S44" i="7"/>
  <c r="R44" i="7"/>
  <c r="Q44" i="7"/>
  <c r="O44" i="7"/>
  <c r="N44" i="7"/>
  <c r="I44" i="7"/>
  <c r="H44" i="7"/>
  <c r="F44" i="7"/>
  <c r="C44" i="7"/>
  <c r="B44" i="7"/>
  <c r="A44" i="7"/>
  <c r="AO43" i="7"/>
  <c r="AN43" i="7"/>
  <c r="AM43" i="7"/>
  <c r="AK43" i="7"/>
  <c r="AJ43" i="7"/>
  <c r="AI43" i="7"/>
  <c r="AE43" i="7"/>
  <c r="AD43" i="7"/>
  <c r="AC43" i="7"/>
  <c r="AB43" i="7"/>
  <c r="AA43" i="7"/>
  <c r="Z43" i="7"/>
  <c r="Y43" i="7"/>
  <c r="W43" i="7"/>
  <c r="V43" i="7"/>
  <c r="Q43" i="7"/>
  <c r="P43" i="7"/>
  <c r="O43" i="7"/>
  <c r="N43" i="7"/>
  <c r="M43" i="7"/>
  <c r="L43" i="7"/>
  <c r="K43" i="7"/>
  <c r="I43" i="7"/>
  <c r="H43" i="7"/>
  <c r="C43" i="7"/>
  <c r="B43" i="7"/>
  <c r="A43" i="7"/>
  <c r="AM42" i="7"/>
  <c r="AL42" i="7"/>
  <c r="AJ42" i="7"/>
  <c r="AI42" i="7"/>
  <c r="AH42" i="7"/>
  <c r="AG42" i="7"/>
  <c r="AE42" i="7"/>
  <c r="AD42" i="7"/>
  <c r="Y42" i="7"/>
  <c r="X42" i="7"/>
  <c r="V42" i="7"/>
  <c r="U42" i="7"/>
  <c r="T42" i="7"/>
  <c r="S42" i="7"/>
  <c r="Q42" i="7"/>
  <c r="P42" i="7"/>
  <c r="K42" i="7"/>
  <c r="J42" i="7"/>
  <c r="H42" i="7"/>
  <c r="G42" i="7"/>
  <c r="F42" i="7"/>
  <c r="C42" i="7"/>
  <c r="B42" i="7"/>
  <c r="A42" i="7"/>
  <c r="AO41" i="7"/>
  <c r="AN41" i="7"/>
  <c r="AM41" i="7"/>
  <c r="AL41" i="7"/>
  <c r="AG41" i="7"/>
  <c r="AF41" i="7"/>
  <c r="AE41" i="7"/>
  <c r="AD41" i="7"/>
  <c r="AC41" i="7"/>
  <c r="AB41" i="7"/>
  <c r="AA41" i="7"/>
  <c r="Y41" i="7"/>
  <c r="X41" i="7"/>
  <c r="V41" i="7"/>
  <c r="T41" i="7"/>
  <c r="S41" i="7"/>
  <c r="R41" i="7"/>
  <c r="Q41" i="7"/>
  <c r="P41" i="7"/>
  <c r="O41" i="7"/>
  <c r="N41" i="7"/>
  <c r="M41" i="7"/>
  <c r="L41" i="7"/>
  <c r="K41" i="7"/>
  <c r="J41" i="7"/>
  <c r="C41" i="7"/>
  <c r="B41" i="7"/>
  <c r="A41" i="7"/>
  <c r="AO40" i="7"/>
  <c r="AN40" i="7"/>
  <c r="AL40" i="7"/>
  <c r="AK40" i="7"/>
  <c r="AJ40" i="7"/>
  <c r="AI40" i="7"/>
  <c r="AG40" i="7"/>
  <c r="AF40" i="7"/>
  <c r="AE40" i="7"/>
  <c r="AD40" i="7"/>
  <c r="AA40" i="7"/>
  <c r="Z40" i="7"/>
  <c r="X40" i="7"/>
  <c r="W40" i="7"/>
  <c r="V40" i="7"/>
  <c r="U40" i="7"/>
  <c r="S40" i="7"/>
  <c r="R40" i="7"/>
  <c r="Q40" i="7"/>
  <c r="P40" i="7"/>
  <c r="M40" i="7"/>
  <c r="L40" i="7"/>
  <c r="J40" i="7"/>
  <c r="I40" i="7"/>
  <c r="H40" i="7"/>
  <c r="G40" i="7"/>
  <c r="C40" i="7"/>
  <c r="B40" i="7"/>
  <c r="A40" i="7"/>
  <c r="AO39" i="7"/>
  <c r="AN39" i="7"/>
  <c r="AM39" i="7"/>
  <c r="AI39" i="7"/>
  <c r="AH39" i="7"/>
  <c r="AF39" i="7"/>
  <c r="AE39" i="7"/>
  <c r="AD39" i="7"/>
  <c r="AC39" i="7"/>
  <c r="AA39" i="7"/>
  <c r="Z39" i="7"/>
  <c r="Y39" i="7"/>
  <c r="X39" i="7"/>
  <c r="W39" i="7"/>
  <c r="U39" i="7"/>
  <c r="T39" i="7"/>
  <c r="R39" i="7"/>
  <c r="Q39" i="7"/>
  <c r="P39" i="7"/>
  <c r="O39" i="7"/>
  <c r="M39" i="7"/>
  <c r="L39" i="7"/>
  <c r="G39" i="7"/>
  <c r="F39" i="7"/>
  <c r="C39" i="7"/>
  <c r="B39" i="7"/>
  <c r="A39" i="7"/>
  <c r="AN38" i="7"/>
  <c r="AM38" i="7"/>
  <c r="AL38" i="7"/>
  <c r="AK38" i="7"/>
  <c r="AI38" i="7"/>
  <c r="AH38" i="7"/>
  <c r="AG38" i="7"/>
  <c r="AE38" i="7"/>
  <c r="AC38" i="7"/>
  <c r="AB38" i="7"/>
  <c r="Z38" i="7"/>
  <c r="Y38" i="7"/>
  <c r="X38" i="7"/>
  <c r="W38" i="7"/>
  <c r="V38" i="7"/>
  <c r="U38" i="7"/>
  <c r="T38" i="7"/>
  <c r="S38" i="7"/>
  <c r="O38" i="7"/>
  <c r="N38" i="7"/>
  <c r="L38" i="7"/>
  <c r="K38" i="7"/>
  <c r="J38" i="7"/>
  <c r="I38" i="7"/>
  <c r="G38" i="7"/>
  <c r="F38" i="7"/>
  <c r="C38" i="7"/>
  <c r="B38" i="7"/>
  <c r="A38" i="7"/>
  <c r="AO37" i="7"/>
  <c r="AM37" i="7"/>
  <c r="AK37" i="7"/>
  <c r="AJ37" i="7"/>
  <c r="AH37" i="7"/>
  <c r="AG37" i="7"/>
  <c r="AF37" i="7"/>
  <c r="AE37" i="7"/>
  <c r="AC37" i="7"/>
  <c r="AB37" i="7"/>
  <c r="AA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I37" i="7"/>
  <c r="H37" i="7"/>
  <c r="F37" i="7"/>
  <c r="C37" i="7"/>
  <c r="B37" i="7"/>
  <c r="A37" i="7"/>
  <c r="AO36" i="7"/>
  <c r="AN36" i="7"/>
  <c r="AM36" i="7"/>
  <c r="AL36" i="7"/>
  <c r="AK36" i="7"/>
  <c r="AJ36" i="7"/>
  <c r="AI36" i="7"/>
  <c r="AE36" i="7"/>
  <c r="AD36" i="7"/>
  <c r="AC36" i="7"/>
  <c r="AB36" i="7"/>
  <c r="AA36" i="7"/>
  <c r="Z36" i="7"/>
  <c r="Y36" i="7"/>
  <c r="W36" i="7"/>
  <c r="V36" i="7"/>
  <c r="U36" i="7"/>
  <c r="T36" i="7"/>
  <c r="Q36" i="7"/>
  <c r="P36" i="7"/>
  <c r="N36" i="7"/>
  <c r="M36" i="7"/>
  <c r="L36" i="7"/>
  <c r="K36" i="7"/>
  <c r="I36" i="7"/>
  <c r="H36" i="7"/>
  <c r="G36" i="7"/>
  <c r="F36" i="7"/>
  <c r="C36" i="7"/>
  <c r="B36" i="7"/>
  <c r="A36" i="7"/>
  <c r="AM35" i="7"/>
  <c r="AL35" i="7"/>
  <c r="AK35" i="7"/>
  <c r="AJ35" i="7"/>
  <c r="AI35" i="7"/>
  <c r="AH35" i="7"/>
  <c r="AG35" i="7"/>
  <c r="AF35" i="7"/>
  <c r="AE35" i="7"/>
  <c r="AD35" i="7"/>
  <c r="Y35" i="7"/>
  <c r="X35" i="7"/>
  <c r="V35" i="7"/>
  <c r="U35" i="7"/>
  <c r="T35" i="7"/>
  <c r="S35" i="7"/>
  <c r="R35" i="7"/>
  <c r="Q35" i="7"/>
  <c r="P35" i="7"/>
  <c r="K35" i="7"/>
  <c r="J35" i="7"/>
  <c r="H35" i="7"/>
  <c r="G35" i="7"/>
  <c r="F35" i="7"/>
  <c r="C35" i="7"/>
  <c r="B35" i="7"/>
  <c r="A35" i="7"/>
  <c r="AO34" i="7"/>
  <c r="AM34" i="7"/>
  <c r="AL34" i="7"/>
  <c r="AG34" i="7"/>
  <c r="AF34" i="7"/>
  <c r="AD34" i="7"/>
  <c r="AC34" i="7"/>
  <c r="AB34" i="7"/>
  <c r="AA34" i="7"/>
  <c r="Y34" i="7"/>
  <c r="X34" i="7"/>
  <c r="S34" i="7"/>
  <c r="R34" i="7"/>
  <c r="P34" i="7"/>
  <c r="O34" i="7"/>
  <c r="N34" i="7"/>
  <c r="M34" i="7"/>
  <c r="L34" i="7"/>
  <c r="K34" i="7"/>
  <c r="J34" i="7"/>
  <c r="C34" i="7"/>
  <c r="B34" i="7"/>
  <c r="A34" i="7"/>
  <c r="AO33" i="7"/>
  <c r="AN33" i="7"/>
  <c r="AM33" i="7"/>
  <c r="AL33" i="7"/>
  <c r="AK33" i="7"/>
  <c r="AJ33" i="7"/>
  <c r="AI33" i="7"/>
  <c r="AG33" i="7"/>
  <c r="AF33" i="7"/>
  <c r="AA33" i="7"/>
  <c r="Z33" i="7"/>
  <c r="Y33" i="7"/>
  <c r="X33" i="7"/>
  <c r="W33" i="7"/>
  <c r="V33" i="7"/>
  <c r="U33" i="7"/>
  <c r="S33" i="7"/>
  <c r="R33" i="7"/>
  <c r="M33" i="7"/>
  <c r="L33" i="7"/>
  <c r="K33" i="7"/>
  <c r="J33" i="7"/>
  <c r="I33" i="7"/>
  <c r="H33" i="7"/>
  <c r="G33" i="7"/>
  <c r="C33" i="7"/>
  <c r="B33" i="7"/>
  <c r="A33" i="7"/>
  <c r="AO32" i="7"/>
  <c r="AN32" i="7"/>
  <c r="AI32" i="7"/>
  <c r="AH32" i="7"/>
  <c r="AF32" i="7"/>
  <c r="AE32" i="7"/>
  <c r="AD32" i="7"/>
  <c r="AC32" i="7"/>
  <c r="AA32" i="7"/>
  <c r="Z32" i="7"/>
  <c r="U32" i="7"/>
  <c r="T32" i="7"/>
  <c r="R32" i="7"/>
  <c r="Q32" i="7"/>
  <c r="P32" i="7"/>
  <c r="O32" i="7"/>
  <c r="M32" i="7"/>
  <c r="L32" i="7"/>
  <c r="G32" i="7"/>
  <c r="F32" i="7"/>
  <c r="C32" i="7"/>
  <c r="B32" i="7"/>
  <c r="A32" i="7"/>
  <c r="AN31" i="7"/>
  <c r="AM31" i="7"/>
  <c r="AL31" i="7"/>
  <c r="AK31" i="7"/>
  <c r="AI31" i="7"/>
  <c r="AH31" i="7"/>
  <c r="AG31" i="7"/>
  <c r="AF31" i="7"/>
  <c r="AE31" i="7"/>
  <c r="AC31" i="7"/>
  <c r="AB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L31" i="7"/>
  <c r="K31" i="7"/>
  <c r="J31" i="7"/>
  <c r="I31" i="7"/>
  <c r="G31" i="7"/>
  <c r="F31" i="7"/>
  <c r="C31" i="7"/>
  <c r="B31" i="7"/>
  <c r="A31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D30" i="7" s="1"/>
  <c r="C30" i="7"/>
  <c r="B30" i="7"/>
  <c r="A30" i="7"/>
  <c r="AO29" i="7"/>
  <c r="AN29" i="7"/>
  <c r="AK29" i="7"/>
  <c r="AJ29" i="7"/>
  <c r="AH29" i="7"/>
  <c r="AG29" i="7"/>
  <c r="AF29" i="7"/>
  <c r="AE29" i="7"/>
  <c r="AC29" i="7"/>
  <c r="AB29" i="7"/>
  <c r="AA29" i="7"/>
  <c r="Z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I29" i="7"/>
  <c r="H29" i="7"/>
  <c r="F29" i="7"/>
  <c r="C29" i="7"/>
  <c r="B29" i="7"/>
  <c r="A29" i="7"/>
  <c r="AO28" i="7"/>
  <c r="AN28" i="7"/>
  <c r="AM28" i="7"/>
  <c r="AK28" i="7"/>
  <c r="AJ28" i="7"/>
  <c r="AI28" i="7"/>
  <c r="AH28" i="7"/>
  <c r="AE28" i="7"/>
  <c r="AD28" i="7"/>
  <c r="AB28" i="7"/>
  <c r="AA28" i="7"/>
  <c r="Z28" i="7"/>
  <c r="Y28" i="7"/>
  <c r="W28" i="7"/>
  <c r="V28" i="7"/>
  <c r="U28" i="7"/>
  <c r="T28" i="7"/>
  <c r="S28" i="7"/>
  <c r="Q28" i="7"/>
  <c r="P28" i="7"/>
  <c r="N28" i="7"/>
  <c r="M28" i="7"/>
  <c r="L28" i="7"/>
  <c r="K28" i="7"/>
  <c r="I28" i="7"/>
  <c r="H28" i="7"/>
  <c r="G28" i="7"/>
  <c r="F28" i="7"/>
  <c r="C28" i="7"/>
  <c r="B28" i="7"/>
  <c r="A28" i="7"/>
  <c r="AM27" i="7"/>
  <c r="AL27" i="7"/>
  <c r="AJ27" i="7"/>
  <c r="AI27" i="7"/>
  <c r="AH27" i="7"/>
  <c r="AG27" i="7"/>
  <c r="AF27" i="7"/>
  <c r="AE27" i="7"/>
  <c r="AD27" i="7"/>
  <c r="Y27" i="7"/>
  <c r="X27" i="7"/>
  <c r="V27" i="7"/>
  <c r="U27" i="7"/>
  <c r="T27" i="7"/>
  <c r="S27" i="7"/>
  <c r="R27" i="7"/>
  <c r="Q27" i="7"/>
  <c r="P27" i="7"/>
  <c r="O27" i="7"/>
  <c r="K27" i="7"/>
  <c r="J27" i="7"/>
  <c r="H27" i="7"/>
  <c r="G27" i="7"/>
  <c r="F27" i="7"/>
  <c r="C27" i="7"/>
  <c r="B27" i="7"/>
  <c r="A27" i="7"/>
  <c r="AO26" i="7"/>
  <c r="AM26" i="7"/>
  <c r="AL26" i="7"/>
  <c r="AG26" i="7"/>
  <c r="AF26" i="7"/>
  <c r="AE26" i="7"/>
  <c r="AD26" i="7"/>
  <c r="AC26" i="7"/>
  <c r="AB26" i="7"/>
  <c r="AA26" i="7"/>
  <c r="Z26" i="7"/>
  <c r="Y26" i="7"/>
  <c r="X26" i="7"/>
  <c r="S26" i="7"/>
  <c r="R26" i="7"/>
  <c r="P26" i="7"/>
  <c r="O26" i="7"/>
  <c r="N26" i="7"/>
  <c r="M26" i="7"/>
  <c r="L26" i="7"/>
  <c r="K26" i="7"/>
  <c r="J26" i="7"/>
  <c r="I26" i="7"/>
  <c r="C26" i="7"/>
  <c r="B26" i="7"/>
  <c r="A26" i="7"/>
  <c r="AO25" i="7"/>
  <c r="AN25" i="7"/>
  <c r="AL25" i="7"/>
  <c r="AK25" i="7"/>
  <c r="AJ25" i="7"/>
  <c r="AI25" i="7"/>
  <c r="AH25" i="7"/>
  <c r="AG25" i="7"/>
  <c r="AF25" i="7"/>
  <c r="AA25" i="7"/>
  <c r="Z25" i="7"/>
  <c r="Y25" i="7"/>
  <c r="X25" i="7"/>
  <c r="W25" i="7"/>
  <c r="V25" i="7"/>
  <c r="U25" i="7"/>
  <c r="T25" i="7"/>
  <c r="T190" i="7" s="1"/>
  <c r="S25" i="7"/>
  <c r="R25" i="7"/>
  <c r="M25" i="7"/>
  <c r="L25" i="7"/>
  <c r="J25" i="7"/>
  <c r="I25" i="7"/>
  <c r="H25" i="7"/>
  <c r="G25" i="7"/>
  <c r="F25" i="7"/>
  <c r="C25" i="7"/>
  <c r="B25" i="7"/>
  <c r="A25" i="7"/>
  <c r="AO24" i="7"/>
  <c r="AN24" i="7"/>
  <c r="AI24" i="7"/>
  <c r="AH24" i="7"/>
  <c r="AG24" i="7"/>
  <c r="AF24" i="7"/>
  <c r="AE24" i="7"/>
  <c r="AD24" i="7"/>
  <c r="AC24" i="7"/>
  <c r="AA24" i="7"/>
  <c r="Z24" i="7"/>
  <c r="U24" i="7"/>
  <c r="T24" i="7"/>
  <c r="S24" i="7"/>
  <c r="R24" i="7"/>
  <c r="Q24" i="7"/>
  <c r="Q190" i="7" s="1"/>
  <c r="P24" i="7"/>
  <c r="O24" i="7"/>
  <c r="M24" i="7"/>
  <c r="L24" i="7"/>
  <c r="G24" i="7"/>
  <c r="F24" i="7"/>
  <c r="C24" i="7"/>
  <c r="B24" i="7"/>
  <c r="A24" i="7"/>
  <c r="B16" i="7"/>
  <c r="A16" i="7"/>
  <c r="B15" i="7"/>
  <c r="B12" i="7"/>
  <c r="B11" i="7"/>
  <c r="B10" i="7"/>
  <c r="B9" i="7"/>
  <c r="B8" i="7"/>
  <c r="B7" i="7"/>
  <c r="B6" i="7"/>
  <c r="B5" i="7"/>
  <c r="B14" i="7" s="1"/>
  <c r="B17" i="7" s="1"/>
  <c r="E17" i="6"/>
  <c r="C17" i="6"/>
  <c r="B9" i="8" s="1"/>
  <c r="B37" i="5"/>
  <c r="B36" i="5"/>
  <c r="B38" i="5" s="1"/>
  <c r="B30" i="5"/>
  <c r="E17" i="5"/>
  <c r="C17" i="5"/>
  <c r="B8" i="8" s="1"/>
  <c r="C238" i="7" s="1"/>
  <c r="B11" i="5"/>
  <c r="F32" i="4"/>
  <c r="E32" i="4"/>
  <c r="C32" i="4"/>
  <c r="F31" i="4"/>
  <c r="D31" i="4"/>
  <c r="C31" i="4"/>
  <c r="E31" i="4" s="1"/>
  <c r="C30" i="4"/>
  <c r="E30" i="4" s="1"/>
  <c r="C29" i="4"/>
  <c r="E29" i="4" s="1"/>
  <c r="F29" i="4" s="1"/>
  <c r="C28" i="4"/>
  <c r="E28" i="4" s="1"/>
  <c r="E27" i="4"/>
  <c r="C27" i="4"/>
  <c r="C26" i="4"/>
  <c r="E26" i="4" s="1"/>
  <c r="F26" i="4" s="1"/>
  <c r="E25" i="4"/>
  <c r="D25" i="4"/>
  <c r="C25" i="4"/>
  <c r="C16" i="4"/>
  <c r="E16" i="4" s="1"/>
  <c r="C15" i="4"/>
  <c r="E14" i="4"/>
  <c r="D14" i="4"/>
  <c r="C14" i="4"/>
  <c r="C33" i="4" s="1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I6" i="3"/>
  <c r="I5" i="3"/>
  <c r="G69" i="1"/>
  <c r="G68" i="1"/>
  <c r="H67" i="1"/>
  <c r="G67" i="1"/>
  <c r="H66" i="1"/>
  <c r="G66" i="1"/>
  <c r="H65" i="1"/>
  <c r="G65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G48" i="1"/>
  <c r="H47" i="1"/>
  <c r="G47" i="1"/>
  <c r="H46" i="1"/>
  <c r="G46" i="1"/>
  <c r="G45" i="1"/>
  <c r="H44" i="1"/>
  <c r="G44" i="1"/>
  <c r="G43" i="1"/>
  <c r="H42" i="1"/>
  <c r="G42" i="1"/>
  <c r="G41" i="1"/>
  <c r="H40" i="1"/>
  <c r="G40" i="1"/>
  <c r="G39" i="1"/>
  <c r="G38" i="1"/>
  <c r="H37" i="1"/>
  <c r="G37" i="1"/>
  <c r="H36" i="1"/>
  <c r="G36" i="1"/>
  <c r="AX20" i="14" l="1"/>
  <c r="AV20" i="14"/>
  <c r="AT20" i="14"/>
  <c r="AE20" i="14"/>
  <c r="T21" i="14"/>
  <c r="AA21" i="14"/>
  <c r="AJ21" i="14"/>
  <c r="AN20" i="14"/>
  <c r="D119" i="7"/>
  <c r="E15" i="9"/>
  <c r="G208" i="7"/>
  <c r="G211" i="7" s="1"/>
  <c r="X190" i="7"/>
  <c r="D51" i="7"/>
  <c r="D84" i="7"/>
  <c r="D113" i="7"/>
  <c r="D121" i="7"/>
  <c r="E121" i="7" s="1"/>
  <c r="D141" i="7"/>
  <c r="E141" i="7" s="1"/>
  <c r="D150" i="7"/>
  <c r="E27" i="7"/>
  <c r="D37" i="7"/>
  <c r="E37" i="7" s="1"/>
  <c r="D57" i="7"/>
  <c r="E57" i="7" s="1"/>
  <c r="K190" i="7"/>
  <c r="Y190" i="7"/>
  <c r="AM190" i="7"/>
  <c r="Z190" i="7"/>
  <c r="D27" i="7"/>
  <c r="E47" i="7"/>
  <c r="E70" i="7"/>
  <c r="E73" i="7"/>
  <c r="E84" i="7"/>
  <c r="E97" i="7"/>
  <c r="E29" i="7"/>
  <c r="E34" i="7"/>
  <c r="D53" i="7"/>
  <c r="D62" i="7"/>
  <c r="E62" i="7" s="1"/>
  <c r="D202" i="7"/>
  <c r="H41" i="1"/>
  <c r="C239" i="7"/>
  <c r="D42" i="7"/>
  <c r="E42" i="7" s="1"/>
  <c r="D142" i="7"/>
  <c r="E142" i="7" s="1"/>
  <c r="N190" i="7"/>
  <c r="AB190" i="7"/>
  <c r="D31" i="7"/>
  <c r="E31" i="7" s="1"/>
  <c r="D33" i="7"/>
  <c r="E33" i="7" s="1"/>
  <c r="D55" i="7"/>
  <c r="D64" i="7"/>
  <c r="E64" i="7" s="1"/>
  <c r="D73" i="7"/>
  <c r="D80" i="7"/>
  <c r="E80" i="7" s="1"/>
  <c r="D104" i="7"/>
  <c r="E104" i="7" s="1"/>
  <c r="D108" i="7"/>
  <c r="E108" i="7" s="1"/>
  <c r="D72" i="7"/>
  <c r="E72" i="7" s="1"/>
  <c r="D154" i="7"/>
  <c r="E154" i="7" s="1"/>
  <c r="E161" i="7"/>
  <c r="D33" i="4"/>
  <c r="E33" i="4"/>
  <c r="E34" i="4" s="1"/>
  <c r="E61" i="7"/>
  <c r="D74" i="7"/>
  <c r="D75" i="7"/>
  <c r="E75" i="7" s="1"/>
  <c r="L190" i="7"/>
  <c r="D46" i="7"/>
  <c r="E46" i="7" s="1"/>
  <c r="E51" i="7"/>
  <c r="E53" i="7"/>
  <c r="D66" i="7"/>
  <c r="E66" i="7" s="1"/>
  <c r="D89" i="7"/>
  <c r="E89" i="7" s="1"/>
  <c r="D140" i="7"/>
  <c r="E140" i="7" s="1"/>
  <c r="T208" i="7"/>
  <c r="T211" i="7" s="1"/>
  <c r="E28" i="9"/>
  <c r="H208" i="7"/>
  <c r="H211" i="7" s="1"/>
  <c r="E16" i="9"/>
  <c r="E31" i="9"/>
  <c r="W208" i="7"/>
  <c r="W211" i="7" s="1"/>
  <c r="D79" i="7"/>
  <c r="E79" i="7" s="1"/>
  <c r="D99" i="7"/>
  <c r="E99" i="7" s="1"/>
  <c r="D167" i="7"/>
  <c r="D43" i="7"/>
  <c r="E43" i="7" s="1"/>
  <c r="AH190" i="7"/>
  <c r="E78" i="7"/>
  <c r="E145" i="7"/>
  <c r="D165" i="7"/>
  <c r="E165" i="7" s="1"/>
  <c r="V208" i="7"/>
  <c r="V211" i="7" s="1"/>
  <c r="E30" i="9"/>
  <c r="E98" i="7"/>
  <c r="E17" i="9"/>
  <c r="I208" i="7"/>
  <c r="I211" i="7" s="1"/>
  <c r="AO190" i="7"/>
  <c r="E71" i="7"/>
  <c r="D111" i="7"/>
  <c r="E111" i="7" s="1"/>
  <c r="J190" i="7"/>
  <c r="AG190" i="7"/>
  <c r="M190" i="7"/>
  <c r="D32" i="7"/>
  <c r="E32" i="7" s="1"/>
  <c r="D50" i="7"/>
  <c r="E50" i="7" s="1"/>
  <c r="E55" i="7"/>
  <c r="D77" i="7"/>
  <c r="E77" i="7" s="1"/>
  <c r="E81" i="7"/>
  <c r="D25" i="7"/>
  <c r="E25" i="7" s="1"/>
  <c r="D28" i="7"/>
  <c r="E28" i="7" s="1"/>
  <c r="D35" i="7"/>
  <c r="E35" i="7" s="1"/>
  <c r="D40" i="7"/>
  <c r="E40" i="7" s="1"/>
  <c r="D44" i="7"/>
  <c r="Q208" i="7"/>
  <c r="Q211" i="7" s="1"/>
  <c r="E25" i="9"/>
  <c r="E26" i="9"/>
  <c r="R208" i="7"/>
  <c r="R211" i="7" s="1"/>
  <c r="E43" i="9"/>
  <c r="AI208" i="7"/>
  <c r="AI211" i="7" s="1"/>
  <c r="AL190" i="7"/>
  <c r="AJ208" i="7"/>
  <c r="AJ211" i="7" s="1"/>
  <c r="E44" i="9"/>
  <c r="E45" i="9"/>
  <c r="AK208" i="7"/>
  <c r="AK211" i="7" s="1"/>
  <c r="D54" i="7"/>
  <c r="E54" i="7" s="1"/>
  <c r="D45" i="7"/>
  <c r="E45" i="7" s="1"/>
  <c r="E49" i="7"/>
  <c r="E56" i="7"/>
  <c r="D115" i="7"/>
  <c r="E115" i="7" s="1"/>
  <c r="D162" i="7"/>
  <c r="E162" i="7" s="1"/>
  <c r="D81" i="7"/>
  <c r="D109" i="7"/>
  <c r="E109" i="7" s="1"/>
  <c r="D161" i="7"/>
  <c r="B37" i="8"/>
  <c r="H69" i="1" s="1"/>
  <c r="D171" i="7"/>
  <c r="E171" i="7" s="1"/>
  <c r="D30" i="4"/>
  <c r="C190" i="7"/>
  <c r="B8" i="9" s="1"/>
  <c r="B9" i="9" s="1"/>
  <c r="D78" i="7"/>
  <c r="D110" i="7"/>
  <c r="E110" i="7" s="1"/>
  <c r="E113" i="7"/>
  <c r="D157" i="7"/>
  <c r="E157" i="7" s="1"/>
  <c r="D166" i="7"/>
  <c r="E166" i="7" s="1"/>
  <c r="D49" i="7"/>
  <c r="F25" i="4"/>
  <c r="D179" i="7"/>
  <c r="E179" i="7" s="1"/>
  <c r="D26" i="4"/>
  <c r="F30" i="4"/>
  <c r="D24" i="7"/>
  <c r="E30" i="7"/>
  <c r="D63" i="7"/>
  <c r="E63" i="7" s="1"/>
  <c r="D159" i="7"/>
  <c r="E159" i="7" s="1"/>
  <c r="E167" i="7"/>
  <c r="D170" i="7"/>
  <c r="E170" i="7" s="1"/>
  <c r="D201" i="7"/>
  <c r="S190" i="7"/>
  <c r="U190" i="7"/>
  <c r="E117" i="7"/>
  <c r="D135" i="7"/>
  <c r="E135" i="7" s="1"/>
  <c r="D146" i="7"/>
  <c r="E146" i="7" s="1"/>
  <c r="D149" i="7"/>
  <c r="E149" i="7" s="1"/>
  <c r="D181" i="7"/>
  <c r="E181" i="7" s="1"/>
  <c r="D186" i="7"/>
  <c r="E186" i="7" s="1"/>
  <c r="D114" i="7"/>
  <c r="E114" i="7" s="1"/>
  <c r="D173" i="7"/>
  <c r="E173" i="7" s="1"/>
  <c r="E184" i="7"/>
  <c r="D96" i="7"/>
  <c r="D126" i="7"/>
  <c r="E126" i="7" s="1"/>
  <c r="D36" i="7"/>
  <c r="E36" i="7" s="1"/>
  <c r="C34" i="4"/>
  <c r="D38" i="7"/>
  <c r="E38" i="7" s="1"/>
  <c r="F27" i="4"/>
  <c r="D86" i="7"/>
  <c r="E119" i="7"/>
  <c r="D124" i="7"/>
  <c r="D175" i="7"/>
  <c r="E175" i="7" s="1"/>
  <c r="I16" i="9"/>
  <c r="E44" i="7"/>
  <c r="D127" i="7"/>
  <c r="D133" i="7"/>
  <c r="E133" i="7" s="1"/>
  <c r="D118" i="7"/>
  <c r="E118" i="7" s="1"/>
  <c r="E106" i="7"/>
  <c r="E150" i="7"/>
  <c r="E155" i="7"/>
  <c r="D177" i="7"/>
  <c r="E177" i="7" s="1"/>
  <c r="D188" i="7"/>
  <c r="E188" i="7" s="1"/>
  <c r="D32" i="4"/>
  <c r="D59" i="7"/>
  <c r="E59" i="7" s="1"/>
  <c r="D180" i="7"/>
  <c r="E180" i="7" s="1"/>
  <c r="P190" i="7"/>
  <c r="D100" i="7"/>
  <c r="E100" i="7" s="1"/>
  <c r="D70" i="7"/>
  <c r="E85" i="7"/>
  <c r="D95" i="7"/>
  <c r="E95" i="7" s="1"/>
  <c r="B6" i="8"/>
  <c r="E15" i="4"/>
  <c r="F28" i="4"/>
  <c r="AN190" i="7"/>
  <c r="D122" i="7"/>
  <c r="E122" i="7" s="1"/>
  <c r="D153" i="7"/>
  <c r="AD190" i="7"/>
  <c r="E127" i="7"/>
  <c r="D130" i="7"/>
  <c r="E130" i="7" s="1"/>
  <c r="D58" i="7"/>
  <c r="E58" i="7" s="1"/>
  <c r="D92" i="7"/>
  <c r="E92" i="7" s="1"/>
  <c r="E86" i="7"/>
  <c r="D87" i="7"/>
  <c r="E87" i="7" s="1"/>
  <c r="E39" i="7"/>
  <c r="I22" i="9"/>
  <c r="I14" i="9"/>
  <c r="AE190" i="7"/>
  <c r="D76" i="7"/>
  <c r="E76" i="7" s="1"/>
  <c r="H64" i="1"/>
  <c r="D60" i="7"/>
  <c r="E60" i="7" s="1"/>
  <c r="D112" i="7"/>
  <c r="E112" i="7" s="1"/>
  <c r="C18" i="4"/>
  <c r="B38" i="4" s="1"/>
  <c r="D123" i="7"/>
  <c r="E123" i="7" s="1"/>
  <c r="D148" i="7"/>
  <c r="D68" i="7"/>
  <c r="E68" i="7" s="1"/>
  <c r="AA190" i="7"/>
  <c r="D29" i="7"/>
  <c r="D52" i="7"/>
  <c r="E52" i="7" s="1"/>
  <c r="D29" i="4"/>
  <c r="E74" i="7"/>
  <c r="D83" i="7"/>
  <c r="E83" i="7" s="1"/>
  <c r="E96" i="7"/>
  <c r="D103" i="7"/>
  <c r="E103" i="7" s="1"/>
  <c r="D105" i="7"/>
  <c r="E105" i="7" s="1"/>
  <c r="E125" i="7"/>
  <c r="O190" i="7"/>
  <c r="AC190" i="7"/>
  <c r="E93" i="7"/>
  <c r="E101" i="7"/>
  <c r="E132" i="7"/>
  <c r="D134" i="7"/>
  <c r="E134" i="7" s="1"/>
  <c r="E148" i="7"/>
  <c r="D151" i="7"/>
  <c r="E151" i="7" s="1"/>
  <c r="E156" i="7"/>
  <c r="D158" i="7"/>
  <c r="E163" i="7"/>
  <c r="I21" i="9"/>
  <c r="D139" i="7"/>
  <c r="E139" i="7" s="1"/>
  <c r="I19" i="9"/>
  <c r="I26" i="9"/>
  <c r="D136" i="7"/>
  <c r="E136" i="7" s="1"/>
  <c r="I17" i="9"/>
  <c r="E131" i="7"/>
  <c r="D152" i="7"/>
  <c r="E152" i="7" s="1"/>
  <c r="E178" i="7"/>
  <c r="I15" i="9"/>
  <c r="AF190" i="7"/>
  <c r="F190" i="7"/>
  <c r="E158" i="7"/>
  <c r="D85" i="7"/>
  <c r="E138" i="7"/>
  <c r="E174" i="7"/>
  <c r="E187" i="7"/>
  <c r="I20" i="9"/>
  <c r="E124" i="7"/>
  <c r="D137" i="7"/>
  <c r="E137" i="7" s="1"/>
  <c r="D144" i="7"/>
  <c r="E144" i="7" s="1"/>
  <c r="D147" i="7"/>
  <c r="E147" i="7" s="1"/>
  <c r="D176" i="7"/>
  <c r="E176" i="7" s="1"/>
  <c r="I24" i="9"/>
  <c r="B21" i="13"/>
  <c r="K5" i="14"/>
  <c r="B47" i="9"/>
  <c r="G37" i="11"/>
  <c r="F27" i="11"/>
  <c r="E27" i="11"/>
  <c r="D37" i="11"/>
  <c r="S6" i="14"/>
  <c r="F45" i="11"/>
  <c r="E45" i="11"/>
  <c r="B4" i="13"/>
  <c r="B48" i="12"/>
  <c r="B49" i="12" s="1"/>
  <c r="F92" i="11"/>
  <c r="F108" i="11"/>
  <c r="E108" i="11"/>
  <c r="D17" i="11"/>
  <c r="AP6" i="14"/>
  <c r="E68" i="11"/>
  <c r="F5" i="11"/>
  <c r="E5" i="11"/>
  <c r="F68" i="11"/>
  <c r="G90" i="11"/>
  <c r="D90" i="11"/>
  <c r="F10" i="11"/>
  <c r="E10" i="11"/>
  <c r="G62" i="11"/>
  <c r="B46" i="13"/>
  <c r="AJ5" i="14"/>
  <c r="G7" i="11"/>
  <c r="B17" i="9"/>
  <c r="D7" i="11"/>
  <c r="B27" i="13"/>
  <c r="G43" i="11"/>
  <c r="D43" i="11"/>
  <c r="Q5" i="14"/>
  <c r="D62" i="11"/>
  <c r="D168" i="7"/>
  <c r="E168" i="7" s="1"/>
  <c r="N6" i="14"/>
  <c r="F40" i="11"/>
  <c r="E40" i="11"/>
  <c r="AG5" i="14"/>
  <c r="B43" i="13"/>
  <c r="G59" i="11"/>
  <c r="G99" i="11"/>
  <c r="D99" i="11"/>
  <c r="G10" i="11"/>
  <c r="D10" i="11"/>
  <c r="S5" i="14"/>
  <c r="B29" i="13"/>
  <c r="G45" i="11"/>
  <c r="B67" i="13"/>
  <c r="G83" i="11"/>
  <c r="BE5" i="14"/>
  <c r="BH5" i="14"/>
  <c r="D86" i="11"/>
  <c r="B70" i="13"/>
  <c r="BD22" i="14"/>
  <c r="AN22" i="14"/>
  <c r="BK12" i="14"/>
  <c r="T12" i="14"/>
  <c r="AX12" i="14"/>
  <c r="R12" i="14"/>
  <c r="BJ12" i="14"/>
  <c r="AW12" i="14"/>
  <c r="AT12" i="14"/>
  <c r="AJ12" i="14"/>
  <c r="AH12" i="14"/>
  <c r="X12" i="14"/>
  <c r="U12" i="14"/>
  <c r="V57" i="14"/>
  <c r="V56" i="14"/>
  <c r="V58" i="14"/>
  <c r="V60" i="14" s="1"/>
  <c r="Q22" i="14"/>
  <c r="D45" i="11"/>
  <c r="E59" i="11"/>
  <c r="BB5" i="14"/>
  <c r="B64" i="13"/>
  <c r="G80" i="11"/>
  <c r="D83" i="11"/>
  <c r="G86" i="11"/>
  <c r="I57" i="14"/>
  <c r="I56" i="14"/>
  <c r="AK57" i="14"/>
  <c r="AK56" i="14"/>
  <c r="AY57" i="14"/>
  <c r="AY56" i="14"/>
  <c r="BJ14" i="14"/>
  <c r="R22" i="14"/>
  <c r="B19" i="13"/>
  <c r="G35" i="11"/>
  <c r="D35" i="11"/>
  <c r="F59" i="11"/>
  <c r="BI5" i="14"/>
  <c r="B71" i="13"/>
  <c r="G87" i="11"/>
  <c r="D87" i="11"/>
  <c r="BC13" i="14"/>
  <c r="AO13" i="14"/>
  <c r="AA13" i="14"/>
  <c r="M13" i="14"/>
  <c r="BF13" i="14"/>
  <c r="AQ13" i="14"/>
  <c r="AB13" i="14"/>
  <c r="L13" i="14"/>
  <c r="BK13" i="14"/>
  <c r="AU13" i="14"/>
  <c r="AE13" i="14"/>
  <c r="O13" i="14"/>
  <c r="BJ13" i="14"/>
  <c r="AT13" i="14"/>
  <c r="AD13" i="14"/>
  <c r="N13" i="14"/>
  <c r="BI13" i="14"/>
  <c r="AS13" i="14"/>
  <c r="AC13" i="14"/>
  <c r="K13" i="14"/>
  <c r="BH13" i="14"/>
  <c r="AR13" i="14"/>
  <c r="Z13" i="14"/>
  <c r="J13" i="14"/>
  <c r="BA13" i="14"/>
  <c r="AK13" i="14"/>
  <c r="U13" i="14"/>
  <c r="E13" i="14"/>
  <c r="AV13" i="14"/>
  <c r="T13" i="14"/>
  <c r="AP13" i="14"/>
  <c r="S13" i="14"/>
  <c r="AN13" i="14"/>
  <c r="R13" i="14"/>
  <c r="AM13" i="14"/>
  <c r="Q13" i="14"/>
  <c r="Q14" i="14" s="1"/>
  <c r="BG13" i="14"/>
  <c r="AI13" i="14"/>
  <c r="H13" i="14"/>
  <c r="BE13" i="14"/>
  <c r="W13" i="14"/>
  <c r="BD13" i="14"/>
  <c r="V13" i="14"/>
  <c r="BB13" i="14"/>
  <c r="P13" i="14"/>
  <c r="AZ13" i="14"/>
  <c r="I13" i="14"/>
  <c r="AL13" i="14"/>
  <c r="C13" i="14"/>
  <c r="E12" i="15" s="1"/>
  <c r="AH13" i="14"/>
  <c r="AF13" i="14"/>
  <c r="F13" i="14"/>
  <c r="D13" i="14"/>
  <c r="B13" i="14"/>
  <c r="AY13" i="14"/>
  <c r="AX13" i="14"/>
  <c r="AW13" i="14"/>
  <c r="AJ13" i="14"/>
  <c r="O12" i="14"/>
  <c r="T22" i="14"/>
  <c r="AA6" i="14"/>
  <c r="F53" i="11"/>
  <c r="E53" i="11"/>
  <c r="D80" i="11"/>
  <c r="G102" i="11"/>
  <c r="D102" i="11"/>
  <c r="I23" i="14"/>
  <c r="I21" i="14"/>
  <c r="AY30" i="14"/>
  <c r="AY20" i="14"/>
  <c r="I10" i="14"/>
  <c r="Q12" i="14"/>
  <c r="AM22" i="14"/>
  <c r="E153" i="7"/>
  <c r="G15" i="11"/>
  <c r="D15" i="11"/>
  <c r="F22" i="11"/>
  <c r="E22" i="11"/>
  <c r="AV5" i="14"/>
  <c r="G74" i="11"/>
  <c r="E80" i="11"/>
  <c r="F102" i="11"/>
  <c r="E102" i="11"/>
  <c r="E120" i="11"/>
  <c r="F120" i="11"/>
  <c r="E123" i="11"/>
  <c r="S12" i="14"/>
  <c r="S14" i="14" s="1"/>
  <c r="F5" i="14"/>
  <c r="G32" i="11"/>
  <c r="AH196" i="7"/>
  <c r="F74" i="11"/>
  <c r="E74" i="11"/>
  <c r="AV6" i="14"/>
  <c r="G13" i="14"/>
  <c r="BF29" i="14"/>
  <c r="F6" i="14"/>
  <c r="E32" i="11"/>
  <c r="F32" i="11"/>
  <c r="N5" i="14"/>
  <c r="B24" i="13"/>
  <c r="G40" i="11"/>
  <c r="AB6" i="14"/>
  <c r="F54" i="11"/>
  <c r="E54" i="11"/>
  <c r="F95" i="11"/>
  <c r="E95" i="11"/>
  <c r="X13" i="14"/>
  <c r="D40" i="11"/>
  <c r="B55" i="13"/>
  <c r="AS5" i="14"/>
  <c r="G71" i="11"/>
  <c r="W10" i="14"/>
  <c r="C9" i="15" s="1"/>
  <c r="AG13" i="14"/>
  <c r="AJ57" i="14"/>
  <c r="AJ56" i="14"/>
  <c r="G196" i="7"/>
  <c r="G5" i="11"/>
  <c r="G20" i="11"/>
  <c r="D20" i="11"/>
  <c r="AS6" i="14"/>
  <c r="E71" i="11"/>
  <c r="F71" i="11"/>
  <c r="F96" i="11"/>
  <c r="E96" i="11"/>
  <c r="D114" i="11"/>
  <c r="G114" i="11"/>
  <c r="AY25" i="14"/>
  <c r="D5" i="11"/>
  <c r="D27" i="11"/>
  <c r="B32" i="13"/>
  <c r="V5" i="14"/>
  <c r="G48" i="11"/>
  <c r="B35" i="13"/>
  <c r="Y5" i="14"/>
  <c r="G51" i="11"/>
  <c r="D51" i="11"/>
  <c r="B49" i="13"/>
  <c r="D65" i="11"/>
  <c r="AM5" i="14"/>
  <c r="G65" i="11"/>
  <c r="Q6" i="14"/>
  <c r="E43" i="11"/>
  <c r="T5" i="14"/>
  <c r="G46" i="11"/>
  <c r="AE5" i="14"/>
  <c r="B41" i="13"/>
  <c r="AH5" i="14"/>
  <c r="G60" i="11"/>
  <c r="B65" i="13"/>
  <c r="G81" i="11"/>
  <c r="BH25" i="14"/>
  <c r="AT25" i="14"/>
  <c r="AF25" i="14"/>
  <c r="R25" i="14"/>
  <c r="BB25" i="14"/>
  <c r="AM25" i="14"/>
  <c r="X25" i="14"/>
  <c r="I25" i="14"/>
  <c r="BG25" i="14"/>
  <c r="AQ25" i="14"/>
  <c r="AA25" i="14"/>
  <c r="K25" i="14"/>
  <c r="BF25" i="14"/>
  <c r="AP25" i="14"/>
  <c r="Z25" i="14"/>
  <c r="J25" i="14"/>
  <c r="BE25" i="14"/>
  <c r="AO25" i="14"/>
  <c r="Y25" i="14"/>
  <c r="H25" i="14"/>
  <c r="BD25" i="14"/>
  <c r="AN25" i="14"/>
  <c r="W25" i="14"/>
  <c r="G25" i="14"/>
  <c r="AW25" i="14"/>
  <c r="AG25" i="14"/>
  <c r="P25" i="14"/>
  <c r="BJ25" i="14"/>
  <c r="AI25" i="14"/>
  <c r="L25" i="14"/>
  <c r="BI25" i="14"/>
  <c r="AH25" i="14"/>
  <c r="F25" i="14"/>
  <c r="BC25" i="14"/>
  <c r="AE25" i="14"/>
  <c r="E25" i="14"/>
  <c r="BA25" i="14"/>
  <c r="AD25" i="14"/>
  <c r="D25" i="14"/>
  <c r="AU25" i="14"/>
  <c r="T25" i="14"/>
  <c r="V25" i="14"/>
  <c r="U25" i="14"/>
  <c r="BK25" i="14"/>
  <c r="S25" i="14"/>
  <c r="AZ25" i="14"/>
  <c r="Q25" i="14"/>
  <c r="AV25" i="14"/>
  <c r="M25" i="14"/>
  <c r="O25" i="14"/>
  <c r="N25" i="14"/>
  <c r="C25" i="14"/>
  <c r="F24" i="15" s="1"/>
  <c r="B25" i="14"/>
  <c r="AS25" i="14"/>
  <c r="AL25" i="14"/>
  <c r="AK25" i="14"/>
  <c r="AJ25" i="14"/>
  <c r="B48" i="13"/>
  <c r="B62" i="13"/>
  <c r="M57" i="14"/>
  <c r="M56" i="14"/>
  <c r="M58" i="14" s="1"/>
  <c r="M60" i="14" s="1"/>
  <c r="AA57" i="14"/>
  <c r="AA56" i="14"/>
  <c r="BC57" i="14"/>
  <c r="BC56" i="14"/>
  <c r="T10" i="14"/>
  <c r="AD24" i="14"/>
  <c r="Q26" i="14"/>
  <c r="S33" i="14"/>
  <c r="B17" i="13"/>
  <c r="G5" i="14"/>
  <c r="L5" i="14"/>
  <c r="G38" i="11"/>
  <c r="T6" i="14"/>
  <c r="E46" i="11"/>
  <c r="B33" i="13"/>
  <c r="W5" i="14"/>
  <c r="AH6" i="14"/>
  <c r="F60" i="11"/>
  <c r="E60" i="11"/>
  <c r="B50" i="13"/>
  <c r="G66" i="11"/>
  <c r="B53" i="13"/>
  <c r="G69" i="11"/>
  <c r="BC6" i="14"/>
  <c r="F81" i="11"/>
  <c r="E81" i="11"/>
  <c r="V10" i="14"/>
  <c r="X14" i="14"/>
  <c r="X26" i="14"/>
  <c r="AA33" i="14"/>
  <c r="E15" i="11"/>
  <c r="E20" i="11"/>
  <c r="B25" i="13"/>
  <c r="G41" i="11"/>
  <c r="AT5" i="14"/>
  <c r="D72" i="11"/>
  <c r="B28" i="13"/>
  <c r="O56" i="14"/>
  <c r="O57" i="14"/>
  <c r="AZ6" i="14"/>
  <c r="AX26" i="14"/>
  <c r="D8" i="11"/>
  <c r="D13" i="11"/>
  <c r="D33" i="11"/>
  <c r="D38" i="11"/>
  <c r="F46" i="11"/>
  <c r="D49" i="11"/>
  <c r="B36" i="13"/>
  <c r="G52" i="11"/>
  <c r="AC5" i="14"/>
  <c r="B39" i="13"/>
  <c r="G55" i="11"/>
  <c r="F57" i="11"/>
  <c r="F109" i="11"/>
  <c r="E109" i="11"/>
  <c r="D115" i="11"/>
  <c r="D118" i="11"/>
  <c r="BD10" i="14"/>
  <c r="AP10" i="14"/>
  <c r="AB10" i="14"/>
  <c r="N10" i="14"/>
  <c r="BJ10" i="14"/>
  <c r="BJ15" i="14" s="1"/>
  <c r="AU10" i="14"/>
  <c r="AF10" i="14"/>
  <c r="Q10" i="14"/>
  <c r="B10" i="14"/>
  <c r="BI10" i="14"/>
  <c r="AT10" i="14"/>
  <c r="AE10" i="14"/>
  <c r="P10" i="14"/>
  <c r="BH10" i="14"/>
  <c r="AS10" i="14"/>
  <c r="AD10" i="14"/>
  <c r="O10" i="14"/>
  <c r="BG10" i="14"/>
  <c r="AR10" i="14"/>
  <c r="AC10" i="14"/>
  <c r="M10" i="14"/>
  <c r="AY10" i="14"/>
  <c r="AA10" i="14"/>
  <c r="H10" i="14"/>
  <c r="AX10" i="14"/>
  <c r="Z10" i="14"/>
  <c r="G10" i="14"/>
  <c r="AW10" i="14"/>
  <c r="Y10" i="14"/>
  <c r="F10" i="14"/>
  <c r="AV10" i="14"/>
  <c r="X10" i="14"/>
  <c r="E10" i="14"/>
  <c r="AN10" i="14"/>
  <c r="U10" i="14"/>
  <c r="AJ10" i="14"/>
  <c r="C10" i="14"/>
  <c r="AI10" i="14"/>
  <c r="BK10" i="14"/>
  <c r="BK15" i="14" s="1"/>
  <c r="AH10" i="14"/>
  <c r="BF10" i="14"/>
  <c r="AG10" i="14"/>
  <c r="BA10" i="14"/>
  <c r="S10" i="14"/>
  <c r="AQ10" i="14"/>
  <c r="L10" i="14"/>
  <c r="AM10" i="14"/>
  <c r="J10" i="14"/>
  <c r="BB33" i="14"/>
  <c r="AN33" i="14"/>
  <c r="Z33" i="14"/>
  <c r="L33" i="14"/>
  <c r="BD33" i="14"/>
  <c r="AO33" i="14"/>
  <c r="Y33" i="14"/>
  <c r="J33" i="14"/>
  <c r="BC33" i="14"/>
  <c r="AM33" i="14"/>
  <c r="X33" i="14"/>
  <c r="I33" i="14"/>
  <c r="BA33" i="14"/>
  <c r="AL33" i="14"/>
  <c r="W33" i="14"/>
  <c r="H33" i="14"/>
  <c r="AZ33" i="14"/>
  <c r="AK33" i="14"/>
  <c r="V33" i="14"/>
  <c r="G33" i="14"/>
  <c r="AY33" i="14"/>
  <c r="AF33" i="14"/>
  <c r="M33" i="14"/>
  <c r="AX33" i="14"/>
  <c r="AE33" i="14"/>
  <c r="K33" i="14"/>
  <c r="AW33" i="14"/>
  <c r="AD33" i="14"/>
  <c r="F33" i="14"/>
  <c r="AV33" i="14"/>
  <c r="AC33" i="14"/>
  <c r="E33" i="14"/>
  <c r="D32" i="15" s="1"/>
  <c r="BI33" i="14"/>
  <c r="AP33" i="14"/>
  <c r="R33" i="14"/>
  <c r="AR33" i="14"/>
  <c r="N33" i="14"/>
  <c r="AQ33" i="14"/>
  <c r="D33" i="14"/>
  <c r="AJ33" i="14"/>
  <c r="C33" i="14"/>
  <c r="AI33" i="14"/>
  <c r="B33" i="14"/>
  <c r="C32" i="15" s="1"/>
  <c r="BG33" i="14"/>
  <c r="U33" i="14"/>
  <c r="BE33" i="14"/>
  <c r="AU33" i="14"/>
  <c r="AT33" i="14"/>
  <c r="AS33" i="14"/>
  <c r="AB33" i="14"/>
  <c r="BK33" i="14"/>
  <c r="BJ33" i="14"/>
  <c r="BH33" i="14"/>
  <c r="BF33" i="14"/>
  <c r="AH33" i="14"/>
  <c r="T33" i="14"/>
  <c r="Q33" i="14"/>
  <c r="P33" i="14"/>
  <c r="O33" i="14"/>
  <c r="AK10" i="14"/>
  <c r="AK15" i="14" s="1"/>
  <c r="BC26" i="14"/>
  <c r="B31" i="13"/>
  <c r="U5" i="14"/>
  <c r="BJ5" i="14"/>
  <c r="G88" i="11"/>
  <c r="BJ27" i="14"/>
  <c r="AV27" i="14"/>
  <c r="AH27" i="14"/>
  <c r="T27" i="14"/>
  <c r="F27" i="14"/>
  <c r="AY27" i="14"/>
  <c r="AJ27" i="14"/>
  <c r="U27" i="14"/>
  <c r="E27" i="14"/>
  <c r="AW27" i="14"/>
  <c r="AF27" i="14"/>
  <c r="P27" i="14"/>
  <c r="AU27" i="14"/>
  <c r="AE27" i="14"/>
  <c r="O27" i="14"/>
  <c r="BK27" i="14"/>
  <c r="AT27" i="14"/>
  <c r="AD27" i="14"/>
  <c r="N27" i="14"/>
  <c r="BI27" i="14"/>
  <c r="AS27" i="14"/>
  <c r="AC27" i="14"/>
  <c r="M27" i="14"/>
  <c r="BC27" i="14"/>
  <c r="AM27" i="14"/>
  <c r="W27" i="14"/>
  <c r="G27" i="14"/>
  <c r="BH27" i="14"/>
  <c r="AL27" i="14"/>
  <c r="K27" i="14"/>
  <c r="BG27" i="14"/>
  <c r="AK27" i="14"/>
  <c r="J27" i="14"/>
  <c r="BF27" i="14"/>
  <c r="AI27" i="14"/>
  <c r="I27" i="14"/>
  <c r="BE27" i="14"/>
  <c r="AG27" i="14"/>
  <c r="H27" i="14"/>
  <c r="AX27" i="14"/>
  <c r="X27" i="14"/>
  <c r="BD27" i="14"/>
  <c r="S27" i="14"/>
  <c r="BB27" i="14"/>
  <c r="R27" i="14"/>
  <c r="BA27" i="14"/>
  <c r="Q27" i="14"/>
  <c r="AZ27" i="14"/>
  <c r="L27" i="14"/>
  <c r="AP27" i="14"/>
  <c r="B27" i="14"/>
  <c r="V27" i="14"/>
  <c r="D27" i="14"/>
  <c r="F26" i="15" s="1"/>
  <c r="C27" i="14"/>
  <c r="G26" i="15" s="1"/>
  <c r="AQ27" i="14"/>
  <c r="AN27" i="14"/>
  <c r="AB27" i="14"/>
  <c r="AA27" i="14"/>
  <c r="AE56" i="14"/>
  <c r="AE57" i="14"/>
  <c r="AE58" i="14" s="1"/>
  <c r="AE60" i="14" s="1"/>
  <c r="B5" i="15"/>
  <c r="G5" i="15"/>
  <c r="C4" i="15" a="1"/>
  <c r="C4" i="15" s="1"/>
  <c r="F12" i="15"/>
  <c r="E5" i="15"/>
  <c r="B4" i="15" a="1"/>
  <c r="B4" i="15" s="1"/>
  <c r="D5" i="15"/>
  <c r="B12" i="15"/>
  <c r="F5" i="15"/>
  <c r="C5" i="15"/>
  <c r="B32" i="15"/>
  <c r="G4" i="15" a="1"/>
  <c r="G4" i="15" s="1"/>
  <c r="D4" i="15" a="1"/>
  <c r="D4" i="15" s="1"/>
  <c r="B47" i="15" a="1"/>
  <c r="B47" i="15" s="1"/>
  <c r="H47" i="15" s="1"/>
  <c r="AL10" i="14"/>
  <c r="AN14" i="14"/>
  <c r="BD26" i="14"/>
  <c r="D6" i="11"/>
  <c r="E18" i="11"/>
  <c r="D23" i="11"/>
  <c r="E5" i="14"/>
  <c r="B15" i="13"/>
  <c r="F33" i="11"/>
  <c r="F38" i="11"/>
  <c r="D52" i="11"/>
  <c r="D55" i="11"/>
  <c r="AF5" i="14"/>
  <c r="D58" i="11"/>
  <c r="F66" i="11"/>
  <c r="AU5" i="14"/>
  <c r="B57" i="13"/>
  <c r="G73" i="11"/>
  <c r="AX5" i="14"/>
  <c r="F4" i="15" s="1" a="1"/>
  <c r="F4" i="15" s="1"/>
  <c r="G76" i="11"/>
  <c r="G78" i="11"/>
  <c r="B69" i="13"/>
  <c r="BG5" i="14"/>
  <c r="F88" i="11"/>
  <c r="E88" i="11"/>
  <c r="D94" i="11"/>
  <c r="D97" i="11"/>
  <c r="D106" i="11"/>
  <c r="AX11" i="14"/>
  <c r="AX14" i="14" s="1"/>
  <c r="AJ11" i="14"/>
  <c r="AJ14" i="14" s="1"/>
  <c r="V11" i="14"/>
  <c r="H11" i="14"/>
  <c r="BH11" i="14"/>
  <c r="AS11" i="14"/>
  <c r="AD11" i="14"/>
  <c r="O11" i="14"/>
  <c r="O14" i="14" s="1"/>
  <c r="BG11" i="14"/>
  <c r="AR11" i="14"/>
  <c r="AC11" i="14"/>
  <c r="AC14" i="14" s="1"/>
  <c r="N11" i="14"/>
  <c r="N14" i="14" s="1"/>
  <c r="BF11" i="14"/>
  <c r="BF14" i="14" s="1"/>
  <c r="AQ11" i="14"/>
  <c r="AB11" i="14"/>
  <c r="AB14" i="14" s="1"/>
  <c r="M11" i="14"/>
  <c r="M14" i="14" s="1"/>
  <c r="BE11" i="14"/>
  <c r="AP11" i="14"/>
  <c r="AA11" i="14"/>
  <c r="L11" i="14"/>
  <c r="AZ11" i="14"/>
  <c r="AZ14" i="14" s="1"/>
  <c r="AF11" i="14"/>
  <c r="I11" i="14"/>
  <c r="AY11" i="14"/>
  <c r="AE11" i="14"/>
  <c r="G11" i="14"/>
  <c r="G14" i="14" s="1"/>
  <c r="AW11" i="14"/>
  <c r="AW14" i="14" s="1"/>
  <c r="Z11" i="14"/>
  <c r="F11" i="14"/>
  <c r="F14" i="14" s="1"/>
  <c r="AV11" i="14"/>
  <c r="AV14" i="14" s="1"/>
  <c r="Y11" i="14"/>
  <c r="E11" i="14"/>
  <c r="AO11" i="14"/>
  <c r="U11" i="14"/>
  <c r="U14" i="14" s="1"/>
  <c r="B11" i="14"/>
  <c r="B14" i="14" s="1"/>
  <c r="AL11" i="14"/>
  <c r="D11" i="14"/>
  <c r="AK11" i="14"/>
  <c r="AK14" i="14" s="1"/>
  <c r="C11" i="14"/>
  <c r="C14" i="14" s="1"/>
  <c r="B13" i="12"/>
  <c r="B15" i="12" s="1"/>
  <c r="AI11" i="14"/>
  <c r="AI14" i="14" s="1"/>
  <c r="BK11" i="14"/>
  <c r="BK14" i="14" s="1"/>
  <c r="AH11" i="14"/>
  <c r="AH14" i="14" s="1"/>
  <c r="BC11" i="14"/>
  <c r="BC14" i="14" s="1"/>
  <c r="T11" i="14"/>
  <c r="T14" i="14" s="1"/>
  <c r="BA11" i="14"/>
  <c r="R11" i="14"/>
  <c r="R14" i="14" s="1"/>
  <c r="R15" i="14" s="1"/>
  <c r="AT11" i="14"/>
  <c r="AT14" i="14" s="1"/>
  <c r="P11" i="14"/>
  <c r="P14" i="14" s="1"/>
  <c r="BI21" i="14"/>
  <c r="AU21" i="14"/>
  <c r="AG21" i="14"/>
  <c r="S21" i="14"/>
  <c r="E21" i="14"/>
  <c r="BK21" i="14"/>
  <c r="AV21" i="14"/>
  <c r="AF21" i="14"/>
  <c r="Q21" i="14"/>
  <c r="B21" i="14"/>
  <c r="BJ21" i="14"/>
  <c r="AT21" i="14"/>
  <c r="AE21" i="14"/>
  <c r="BH21" i="14"/>
  <c r="AS21" i="14"/>
  <c r="AD21" i="14"/>
  <c r="BG21" i="14"/>
  <c r="AR21" i="14"/>
  <c r="BB21" i="14"/>
  <c r="AI21" i="14"/>
  <c r="O21" i="14"/>
  <c r="BA21" i="14"/>
  <c r="AH21" i="14"/>
  <c r="N21" i="14"/>
  <c r="AZ21" i="14"/>
  <c r="AC21" i="14"/>
  <c r="M21" i="14"/>
  <c r="AY21" i="14"/>
  <c r="AB21" i="14"/>
  <c r="L21" i="14"/>
  <c r="AO21" i="14"/>
  <c r="W21" i="14"/>
  <c r="G21" i="14"/>
  <c r="BF21" i="14"/>
  <c r="Z21" i="14"/>
  <c r="C21" i="14"/>
  <c r="BE21" i="14"/>
  <c r="Y21" i="14"/>
  <c r="BD21" i="14"/>
  <c r="X21" i="14"/>
  <c r="BC21" i="14"/>
  <c r="V21" i="14"/>
  <c r="AQ21" i="14"/>
  <c r="R21" i="14"/>
  <c r="AP21" i="14"/>
  <c r="F21" i="14"/>
  <c r="AN21" i="14"/>
  <c r="D21" i="14"/>
  <c r="AM21" i="14"/>
  <c r="AL21" i="14"/>
  <c r="U21" i="14"/>
  <c r="P21" i="14"/>
  <c r="K21" i="14"/>
  <c r="J21" i="14"/>
  <c r="B42" i="13"/>
  <c r="B56" i="13"/>
  <c r="AL5" i="14"/>
  <c r="E4" i="15" s="1" a="1"/>
  <c r="E4" i="15" s="1"/>
  <c r="AO10" i="14"/>
  <c r="AU11" i="14"/>
  <c r="F20" i="14"/>
  <c r="AK21" i="14"/>
  <c r="Y29" i="14"/>
  <c r="E6" i="11"/>
  <c r="D11" i="11"/>
  <c r="F23" i="11"/>
  <c r="G33" i="11"/>
  <c r="D36" i="11"/>
  <c r="M5" i="14"/>
  <c r="B23" i="13"/>
  <c r="G39" i="11"/>
  <c r="D44" i="11"/>
  <c r="D47" i="11"/>
  <c r="G49" i="11"/>
  <c r="E52" i="11"/>
  <c r="E61" i="11"/>
  <c r="B51" i="13"/>
  <c r="G67" i="11"/>
  <c r="B63" i="13"/>
  <c r="BA5" i="14"/>
  <c r="D79" i="11"/>
  <c r="E82" i="11"/>
  <c r="BG6" i="14"/>
  <c r="E85" i="11"/>
  <c r="D88" i="11"/>
  <c r="E94" i="11"/>
  <c r="G100" i="11"/>
  <c r="F106" i="11"/>
  <c r="B22" i="13"/>
  <c r="AG56" i="14"/>
  <c r="AG57" i="14"/>
  <c r="AG58" i="14" s="1"/>
  <c r="AG60" i="14" s="1"/>
  <c r="AN5" i="14"/>
  <c r="F63" i="15"/>
  <c r="E63" i="15"/>
  <c r="D63" i="15"/>
  <c r="C63" i="15"/>
  <c r="G63" i="15"/>
  <c r="B63" i="15"/>
  <c r="B64" i="15" s="1"/>
  <c r="B78" i="15" s="1"/>
  <c r="AF24" i="14"/>
  <c r="AT31" i="14"/>
  <c r="AT23" i="14"/>
  <c r="AZ10" i="14"/>
  <c r="AZ15" i="14" s="1"/>
  <c r="BB11" i="14"/>
  <c r="BB14" i="14" s="1"/>
  <c r="P20" i="14"/>
  <c r="AW21" i="14"/>
  <c r="AS23" i="14"/>
  <c r="Y27" i="14"/>
  <c r="AP29" i="14"/>
  <c r="G28" i="11"/>
  <c r="H5" i="14"/>
  <c r="G34" i="11"/>
  <c r="B18" i="13"/>
  <c r="M6" i="14"/>
  <c r="E39" i="11"/>
  <c r="X5" i="14"/>
  <c r="B34" i="13"/>
  <c r="F52" i="11"/>
  <c r="AL6" i="14"/>
  <c r="E64" i="11"/>
  <c r="AO6" i="14"/>
  <c r="F67" i="11"/>
  <c r="E67" i="11"/>
  <c r="F82" i="11"/>
  <c r="F116" i="11"/>
  <c r="E116" i="11"/>
  <c r="AN28" i="14"/>
  <c r="AM28" i="14"/>
  <c r="AA28" i="14"/>
  <c r="B60" i="13"/>
  <c r="F57" i="14"/>
  <c r="F56" i="14"/>
  <c r="AH57" i="14"/>
  <c r="AH56" i="14"/>
  <c r="AH58" i="14" s="1"/>
  <c r="AH60" i="14" s="1"/>
  <c r="AV57" i="14"/>
  <c r="AV56" i="14"/>
  <c r="AO5" i="14"/>
  <c r="BB10" i="14"/>
  <c r="G9" i="15" s="1"/>
  <c r="BD11" i="14"/>
  <c r="BD14" i="14" s="1"/>
  <c r="Q20" i="14"/>
  <c r="AX21" i="14"/>
  <c r="Z27" i="14"/>
  <c r="S56" i="14"/>
  <c r="S57" i="14"/>
  <c r="C33" i="9"/>
  <c r="I33" i="9" s="1"/>
  <c r="D4" i="11"/>
  <c r="F16" i="11"/>
  <c r="E31" i="11"/>
  <c r="D39" i="11"/>
  <c r="G44" i="11"/>
  <c r="F47" i="11"/>
  <c r="B37" i="13"/>
  <c r="G53" i="11"/>
  <c r="G58" i="11"/>
  <c r="D67" i="11"/>
  <c r="E73" i="11"/>
  <c r="G79" i="11"/>
  <c r="F85" i="11"/>
  <c r="D116" i="11"/>
  <c r="BC22" i="14"/>
  <c r="AO22" i="14"/>
  <c r="AA22" i="14"/>
  <c r="M22" i="14"/>
  <c r="BI22" i="14"/>
  <c r="AT22" i="14"/>
  <c r="AE22" i="14"/>
  <c r="P22" i="14"/>
  <c r="BH22" i="14"/>
  <c r="AS22" i="14"/>
  <c r="AD22" i="14"/>
  <c r="O22" i="14"/>
  <c r="BG22" i="14"/>
  <c r="AR22" i="14"/>
  <c r="AC22" i="14"/>
  <c r="N22" i="14"/>
  <c r="BF22" i="14"/>
  <c r="AQ22" i="14"/>
  <c r="AB22" i="14"/>
  <c r="L22" i="14"/>
  <c r="BB22" i="14"/>
  <c r="AI22" i="14"/>
  <c r="K22" i="14"/>
  <c r="BA22" i="14"/>
  <c r="AH22" i="14"/>
  <c r="J22" i="14"/>
  <c r="AZ22" i="14"/>
  <c r="AG22" i="14"/>
  <c r="I22" i="14"/>
  <c r="AY22" i="14"/>
  <c r="AF22" i="14"/>
  <c r="H22" i="14"/>
  <c r="AP22" i="14"/>
  <c r="V22" i="14"/>
  <c r="C22" i="14"/>
  <c r="Z22" i="14"/>
  <c r="BK22" i="14"/>
  <c r="Y22" i="14"/>
  <c r="BJ22" i="14"/>
  <c r="X22" i="14"/>
  <c r="BE22" i="14"/>
  <c r="W22" i="14"/>
  <c r="AW22" i="14"/>
  <c r="S22" i="14"/>
  <c r="AL22" i="14"/>
  <c r="AK22" i="14"/>
  <c r="AJ22" i="14"/>
  <c r="U22" i="14"/>
  <c r="G22" i="14"/>
  <c r="AX22" i="14"/>
  <c r="E22" i="14"/>
  <c r="AV22" i="14"/>
  <c r="D22" i="14"/>
  <c r="AU22" i="14"/>
  <c r="B22" i="14"/>
  <c r="AX29" i="14"/>
  <c r="AJ29" i="14"/>
  <c r="V29" i="14"/>
  <c r="H29" i="14"/>
  <c r="BJ29" i="14"/>
  <c r="AU29" i="14"/>
  <c r="AF29" i="14"/>
  <c r="Q29" i="14"/>
  <c r="B29" i="14"/>
  <c r="G28" i="15" s="1"/>
  <c r="BC29" i="14"/>
  <c r="AM29" i="14"/>
  <c r="W29" i="14"/>
  <c r="F29" i="14"/>
  <c r="BB29" i="14"/>
  <c r="AL29" i="14"/>
  <c r="U29" i="14"/>
  <c r="E29" i="14"/>
  <c r="BA29" i="14"/>
  <c r="AK29" i="14"/>
  <c r="T29" i="14"/>
  <c r="D29" i="14"/>
  <c r="AZ29" i="14"/>
  <c r="AI29" i="14"/>
  <c r="S29" i="14"/>
  <c r="C29" i="14"/>
  <c r="BH29" i="14"/>
  <c r="AR29" i="14"/>
  <c r="AB29" i="14"/>
  <c r="L29" i="14"/>
  <c r="AO29" i="14"/>
  <c r="N29" i="14"/>
  <c r="BK29" i="14"/>
  <c r="AN29" i="14"/>
  <c r="M29" i="14"/>
  <c r="BI29" i="14"/>
  <c r="AH29" i="14"/>
  <c r="K29" i="14"/>
  <c r="BG29" i="14"/>
  <c r="AG29" i="14"/>
  <c r="J29" i="14"/>
  <c r="AW29" i="14"/>
  <c r="Z29" i="14"/>
  <c r="AY29" i="14"/>
  <c r="O29" i="14"/>
  <c r="AV29" i="14"/>
  <c r="I29" i="14"/>
  <c r="AT29" i="14"/>
  <c r="G29" i="14"/>
  <c r="AS29" i="14"/>
  <c r="AE29" i="14"/>
  <c r="R29" i="14"/>
  <c r="P29" i="14"/>
  <c r="AQ29" i="14"/>
  <c r="AD29" i="14"/>
  <c r="AC29" i="14"/>
  <c r="AA29" i="14"/>
  <c r="G57" i="14"/>
  <c r="G56" i="14"/>
  <c r="U57" i="14"/>
  <c r="U56" i="14"/>
  <c r="AW57" i="14"/>
  <c r="AW56" i="14"/>
  <c r="BK56" i="14"/>
  <c r="BK57" i="14"/>
  <c r="AQ5" i="14"/>
  <c r="AE6" i="14"/>
  <c r="BC10" i="14"/>
  <c r="BI11" i="14"/>
  <c r="X20" i="14"/>
  <c r="F22" i="14"/>
  <c r="AB25" i="14"/>
  <c r="G24" i="15" s="1"/>
  <c r="AO27" i="14"/>
  <c r="BE29" i="14"/>
  <c r="Y57" i="14"/>
  <c r="Y56" i="14"/>
  <c r="BA20" i="14"/>
  <c r="AM20" i="14"/>
  <c r="Y20" i="14"/>
  <c r="K20" i="14"/>
  <c r="AW20" i="14"/>
  <c r="AH20" i="14"/>
  <c r="S20" i="14"/>
  <c r="D20" i="14"/>
  <c r="BI20" i="14"/>
  <c r="AS20" i="14"/>
  <c r="AC20" i="14"/>
  <c r="M20" i="14"/>
  <c r="BH20" i="14"/>
  <c r="AR20" i="14"/>
  <c r="AB20" i="14"/>
  <c r="L20" i="14"/>
  <c r="BG20" i="14"/>
  <c r="AQ20" i="14"/>
  <c r="AA20" i="14"/>
  <c r="J20" i="14"/>
  <c r="BF20" i="14"/>
  <c r="AP20" i="14"/>
  <c r="Z20" i="14"/>
  <c r="I20" i="14"/>
  <c r="AZ20" i="14"/>
  <c r="AJ20" i="14"/>
  <c r="T20" i="14"/>
  <c r="C20" i="14"/>
  <c r="AL20" i="14"/>
  <c r="O20" i="14"/>
  <c r="BK20" i="14"/>
  <c r="AK20" i="14"/>
  <c r="N20" i="14"/>
  <c r="BJ20" i="14"/>
  <c r="AI20" i="14"/>
  <c r="H20" i="14"/>
  <c r="BE20" i="14"/>
  <c r="AG20" i="14"/>
  <c r="G20" i="14"/>
  <c r="BB20" i="14"/>
  <c r="AD20" i="14"/>
  <c r="B20" i="14"/>
  <c r="BB26" i="14"/>
  <c r="AN26" i="14"/>
  <c r="Z26" i="14"/>
  <c r="L26" i="14"/>
  <c r="AZ26" i="14"/>
  <c r="AK26" i="14"/>
  <c r="V26" i="14"/>
  <c r="G26" i="14"/>
  <c r="BJ26" i="14"/>
  <c r="AT26" i="14"/>
  <c r="AD26" i="14"/>
  <c r="N26" i="14"/>
  <c r="BI26" i="14"/>
  <c r="AS26" i="14"/>
  <c r="AC26" i="14"/>
  <c r="M26" i="14"/>
  <c r="BH26" i="14"/>
  <c r="AR26" i="14"/>
  <c r="AB26" i="14"/>
  <c r="K26" i="14"/>
  <c r="BG26" i="14"/>
  <c r="AQ26" i="14"/>
  <c r="AA26" i="14"/>
  <c r="J26" i="14"/>
  <c r="AY26" i="14"/>
  <c r="AI26" i="14"/>
  <c r="S26" i="14"/>
  <c r="C26" i="14"/>
  <c r="AW26" i="14"/>
  <c r="W26" i="14"/>
  <c r="AV26" i="14"/>
  <c r="U26" i="14"/>
  <c r="AU26" i="14"/>
  <c r="T26" i="14"/>
  <c r="AP26" i="14"/>
  <c r="R26" i="14"/>
  <c r="BF26" i="14"/>
  <c r="AH26" i="14"/>
  <c r="H26" i="14"/>
  <c r="AM26" i="14"/>
  <c r="D26" i="14"/>
  <c r="AL26" i="14"/>
  <c r="B26" i="14"/>
  <c r="C25" i="15" s="1"/>
  <c r="AJ26" i="14"/>
  <c r="AG26" i="14"/>
  <c r="Y26" i="14"/>
  <c r="AF20" i="14"/>
  <c r="AE26" i="14"/>
  <c r="AF26" i="14"/>
  <c r="J56" i="14"/>
  <c r="J57" i="14"/>
  <c r="X56" i="14"/>
  <c r="X58" i="14" s="1"/>
  <c r="X60" i="14" s="1"/>
  <c r="AZ57" i="14"/>
  <c r="AZ56" i="14"/>
  <c r="AO20" i="14"/>
  <c r="AO26" i="14"/>
  <c r="BI12" i="14"/>
  <c r="AU12" i="14"/>
  <c r="BG12" i="14"/>
  <c r="AR12" i="14"/>
  <c r="AD12" i="14"/>
  <c r="P12" i="14"/>
  <c r="B12" i="14"/>
  <c r="BH12" i="14"/>
  <c r="AQ12" i="14"/>
  <c r="AB12" i="14"/>
  <c r="M12" i="14"/>
  <c r="BF12" i="14"/>
  <c r="AP12" i="14"/>
  <c r="AA12" i="14"/>
  <c r="L12" i="14"/>
  <c r="BE12" i="14"/>
  <c r="AO12" i="14"/>
  <c r="Z12" i="14"/>
  <c r="K12" i="14"/>
  <c r="K14" i="14" s="1"/>
  <c r="K15" i="14" s="1"/>
  <c r="BD12" i="14"/>
  <c r="AN12" i="14"/>
  <c r="Y12" i="14"/>
  <c r="J12" i="14"/>
  <c r="J14" i="14" s="1"/>
  <c r="AY12" i="14"/>
  <c r="AI12" i="14"/>
  <c r="BC12" i="14"/>
  <c r="AG12" i="14"/>
  <c r="AG14" i="14" s="1"/>
  <c r="I12" i="14"/>
  <c r="BB12" i="14"/>
  <c r="AF12" i="14"/>
  <c r="H12" i="14"/>
  <c r="BA12" i="14"/>
  <c r="AE12" i="14"/>
  <c r="G12" i="14"/>
  <c r="AZ12" i="14"/>
  <c r="AC12" i="14"/>
  <c r="F12" i="14"/>
  <c r="AV12" i="14"/>
  <c r="V12" i="14"/>
  <c r="C12" i="14"/>
  <c r="BD28" i="14"/>
  <c r="AP28" i="14"/>
  <c r="AB28" i="14"/>
  <c r="N28" i="14"/>
  <c r="AW28" i="14"/>
  <c r="AH28" i="14"/>
  <c r="S28" i="14"/>
  <c r="D28" i="14"/>
  <c r="AZ28" i="14"/>
  <c r="AJ28" i="14"/>
  <c r="T28" i="14"/>
  <c r="C28" i="14"/>
  <c r="AY28" i="14"/>
  <c r="AI28" i="14"/>
  <c r="R28" i="14"/>
  <c r="B28" i="14"/>
  <c r="E27" i="15" s="1"/>
  <c r="AX28" i="14"/>
  <c r="AG28" i="14"/>
  <c r="Q28" i="14"/>
  <c r="AV28" i="14"/>
  <c r="AF28" i="14"/>
  <c r="P28" i="14"/>
  <c r="BF28" i="14"/>
  <c r="AO28" i="14"/>
  <c r="Y28" i="14"/>
  <c r="I28" i="14"/>
  <c r="BA28" i="14"/>
  <c r="Z28" i="14"/>
  <c r="AU28" i="14"/>
  <c r="X28" i="14"/>
  <c r="AT28" i="14"/>
  <c r="W28" i="14"/>
  <c r="AS28" i="14"/>
  <c r="V28" i="14"/>
  <c r="BI28" i="14"/>
  <c r="AL28" i="14"/>
  <c r="K28" i="14"/>
  <c r="AK28" i="14"/>
  <c r="AE28" i="14"/>
  <c r="AD28" i="14"/>
  <c r="BK28" i="14"/>
  <c r="AC28" i="14"/>
  <c r="BG28" i="14"/>
  <c r="O28" i="14"/>
  <c r="BB56" i="14"/>
  <c r="W12" i="14"/>
  <c r="W14" i="14" s="1"/>
  <c r="E20" i="14"/>
  <c r="AU20" i="14"/>
  <c r="BA26" i="14"/>
  <c r="AR28" i="14"/>
  <c r="BK23" i="14"/>
  <c r="AW23" i="14"/>
  <c r="AI23" i="14"/>
  <c r="U23" i="14"/>
  <c r="G23" i="14"/>
  <c r="BG23" i="14"/>
  <c r="AR23" i="14"/>
  <c r="AC23" i="14"/>
  <c r="N23" i="14"/>
  <c r="BF23" i="14"/>
  <c r="AQ23" i="14"/>
  <c r="AB23" i="14"/>
  <c r="M23" i="14"/>
  <c r="BE23" i="14"/>
  <c r="AP23" i="14"/>
  <c r="AA23" i="14"/>
  <c r="L23" i="14"/>
  <c r="BD23" i="14"/>
  <c r="AO23" i="14"/>
  <c r="Z23" i="14"/>
  <c r="K23" i="14"/>
  <c r="AX23" i="14"/>
  <c r="AH23" i="14"/>
  <c r="S23" i="14"/>
  <c r="D23" i="14"/>
  <c r="AM23" i="14"/>
  <c r="Q23" i="14"/>
  <c r="BJ23" i="14"/>
  <c r="AL23" i="14"/>
  <c r="P23" i="14"/>
  <c r="BI23" i="14"/>
  <c r="AK23" i="14"/>
  <c r="O23" i="14"/>
  <c r="BH23" i="14"/>
  <c r="AJ23" i="14"/>
  <c r="J23" i="14"/>
  <c r="AY23" i="14"/>
  <c r="Y23" i="14"/>
  <c r="C23" i="14"/>
  <c r="D22" i="15" s="1"/>
  <c r="AN23" i="14"/>
  <c r="B23" i="14"/>
  <c r="AG23" i="14"/>
  <c r="AF23" i="14"/>
  <c r="AE23" i="14"/>
  <c r="BC23" i="14"/>
  <c r="W23" i="14"/>
  <c r="BF30" i="14"/>
  <c r="AR30" i="14"/>
  <c r="AD30" i="14"/>
  <c r="P30" i="14"/>
  <c r="B30" i="14"/>
  <c r="G29" i="15" s="1"/>
  <c r="BI30" i="14"/>
  <c r="AT30" i="14"/>
  <c r="AE30" i="14"/>
  <c r="O30" i="14"/>
  <c r="BH30" i="14"/>
  <c r="AS30" i="14"/>
  <c r="AC30" i="14"/>
  <c r="BG30" i="14"/>
  <c r="AQ30" i="14"/>
  <c r="AB30" i="14"/>
  <c r="BE30" i="14"/>
  <c r="AP30" i="14"/>
  <c r="AA30" i="14"/>
  <c r="L30" i="14"/>
  <c r="AX30" i="14"/>
  <c r="Z30" i="14"/>
  <c r="I30" i="14"/>
  <c r="AW30" i="14"/>
  <c r="Y30" i="14"/>
  <c r="H30" i="14"/>
  <c r="AV30" i="14"/>
  <c r="X30" i="14"/>
  <c r="G30" i="14"/>
  <c r="AU30" i="14"/>
  <c r="W30" i="14"/>
  <c r="F30" i="14"/>
  <c r="BC30" i="14"/>
  <c r="AJ30" i="14"/>
  <c r="Q30" i="14"/>
  <c r="AH30" i="14"/>
  <c r="C30" i="14"/>
  <c r="BK30" i="14"/>
  <c r="AG30" i="14"/>
  <c r="BJ30" i="14"/>
  <c r="AF30" i="14"/>
  <c r="BD30" i="14"/>
  <c r="V30" i="14"/>
  <c r="AO30" i="14"/>
  <c r="N30" i="14"/>
  <c r="AK30" i="14"/>
  <c r="AI30" i="14"/>
  <c r="U30" i="14"/>
  <c r="T30" i="14"/>
  <c r="M30" i="14"/>
  <c r="B38" i="13"/>
  <c r="P56" i="14"/>
  <c r="AR5" i="14"/>
  <c r="K6" i="14"/>
  <c r="AK12" i="14"/>
  <c r="R20" i="14"/>
  <c r="BC20" i="14"/>
  <c r="R23" i="14"/>
  <c r="P24" i="14"/>
  <c r="F26" i="14"/>
  <c r="B25" i="15" s="1"/>
  <c r="BK26" i="14"/>
  <c r="G28" i="14"/>
  <c r="G27" i="15" s="1"/>
  <c r="BH28" i="14"/>
  <c r="D30" i="14"/>
  <c r="I31" i="14"/>
  <c r="AY5" i="14"/>
  <c r="B61" i="13"/>
  <c r="B52" i="13"/>
  <c r="C56" i="14"/>
  <c r="C57" i="14"/>
  <c r="D12" i="14"/>
  <c r="D11" i="15" s="1"/>
  <c r="AL12" i="14"/>
  <c r="U20" i="14"/>
  <c r="BD20" i="14"/>
  <c r="T23" i="14"/>
  <c r="I26" i="14"/>
  <c r="H28" i="14"/>
  <c r="BJ28" i="14"/>
  <c r="E30" i="14"/>
  <c r="E30" i="11"/>
  <c r="E44" i="11"/>
  <c r="E65" i="11"/>
  <c r="E72" i="11"/>
  <c r="E79" i="11"/>
  <c r="E86" i="11"/>
  <c r="E93" i="11"/>
  <c r="E100" i="11"/>
  <c r="E107" i="11"/>
  <c r="E114" i="11"/>
  <c r="E121" i="11"/>
  <c r="BE24" i="14"/>
  <c r="AQ24" i="14"/>
  <c r="AC24" i="14"/>
  <c r="O24" i="14"/>
  <c r="BF24" i="14"/>
  <c r="AP24" i="14"/>
  <c r="AA24" i="14"/>
  <c r="L24" i="14"/>
  <c r="BD24" i="14"/>
  <c r="AO24" i="14"/>
  <c r="Z24" i="14"/>
  <c r="K24" i="14"/>
  <c r="BC24" i="14"/>
  <c r="AN24" i="14"/>
  <c r="Y24" i="14"/>
  <c r="J24" i="14"/>
  <c r="BB24" i="14"/>
  <c r="AM24" i="14"/>
  <c r="X24" i="14"/>
  <c r="I24" i="14"/>
  <c r="BK24" i="14"/>
  <c r="AV24" i="14"/>
  <c r="AG24" i="14"/>
  <c r="R24" i="14"/>
  <c r="C24" i="14"/>
  <c r="AW24" i="14"/>
  <c r="W24" i="14"/>
  <c r="B24" i="14"/>
  <c r="F23" i="15" s="1"/>
  <c r="AU24" i="14"/>
  <c r="V24" i="14"/>
  <c r="AT24" i="14"/>
  <c r="U24" i="14"/>
  <c r="AS24" i="14"/>
  <c r="T24" i="14"/>
  <c r="BH24" i="14"/>
  <c r="AI24" i="14"/>
  <c r="M24" i="14"/>
  <c r="AY24" i="14"/>
  <c r="N24" i="14"/>
  <c r="AX24" i="14"/>
  <c r="H24" i="14"/>
  <c r="AR24" i="14"/>
  <c r="G24" i="14"/>
  <c r="AL24" i="14"/>
  <c r="F24" i="14"/>
  <c r="AH24" i="14"/>
  <c r="AZ31" i="14"/>
  <c r="AL31" i="14"/>
  <c r="X31" i="14"/>
  <c r="J31" i="14"/>
  <c r="BG31" i="14"/>
  <c r="AR31" i="14"/>
  <c r="AC31" i="14"/>
  <c r="N31" i="14"/>
  <c r="BF31" i="14"/>
  <c r="AQ31" i="14"/>
  <c r="AB31" i="14"/>
  <c r="M31" i="14"/>
  <c r="BE31" i="14"/>
  <c r="AP31" i="14"/>
  <c r="AA31" i="14"/>
  <c r="L31" i="14"/>
  <c r="BD31" i="14"/>
  <c r="AO31" i="14"/>
  <c r="Z31" i="14"/>
  <c r="K31" i="14"/>
  <c r="AX31" i="14"/>
  <c r="AE31" i="14"/>
  <c r="G31" i="14"/>
  <c r="AW31" i="14"/>
  <c r="AD31" i="14"/>
  <c r="F31" i="14"/>
  <c r="AV31" i="14"/>
  <c r="Y31" i="14"/>
  <c r="E31" i="14"/>
  <c r="AU31" i="14"/>
  <c r="W31" i="14"/>
  <c r="D31" i="14"/>
  <c r="BH31" i="14"/>
  <c r="AJ31" i="14"/>
  <c r="Q31" i="14"/>
  <c r="AI31" i="14"/>
  <c r="B31" i="14"/>
  <c r="AH31" i="14"/>
  <c r="BK31" i="14"/>
  <c r="AG31" i="14"/>
  <c r="BJ31" i="14"/>
  <c r="AF31" i="14"/>
  <c r="AY31" i="14"/>
  <c r="R31" i="14"/>
  <c r="T31" i="14"/>
  <c r="S31" i="14"/>
  <c r="P31" i="14"/>
  <c r="BI31" i="14"/>
  <c r="O31" i="14"/>
  <c r="BA31" i="14"/>
  <c r="C31" i="14"/>
  <c r="D56" i="14"/>
  <c r="D57" i="14"/>
  <c r="R57" i="14"/>
  <c r="R58" i="14" s="1"/>
  <c r="R60" i="14" s="1"/>
  <c r="AT56" i="14"/>
  <c r="AT57" i="14"/>
  <c r="BH57" i="14"/>
  <c r="BH56" i="14"/>
  <c r="AT6" i="14"/>
  <c r="E12" i="14"/>
  <c r="AM12" i="14"/>
  <c r="AM14" i="14" s="1"/>
  <c r="V20" i="14"/>
  <c r="V23" i="14"/>
  <c r="S24" i="14"/>
  <c r="O26" i="14"/>
  <c r="J28" i="14"/>
  <c r="J30" i="14"/>
  <c r="V31" i="14"/>
  <c r="AW5" i="14"/>
  <c r="B59" i="13"/>
  <c r="D77" i="11"/>
  <c r="F79" i="11"/>
  <c r="F86" i="11"/>
  <c r="BI56" i="14"/>
  <c r="BI57" i="14"/>
  <c r="BI58" i="14" s="1"/>
  <c r="BI60" i="14" s="1"/>
  <c r="N12" i="14"/>
  <c r="AS12" i="14"/>
  <c r="W20" i="14"/>
  <c r="X23" i="14"/>
  <c r="AB24" i="14"/>
  <c r="P26" i="14"/>
  <c r="L28" i="14"/>
  <c r="K30" i="14"/>
  <c r="AK31" i="14"/>
  <c r="BB57" i="14"/>
  <c r="AS57" i="14"/>
  <c r="AS58" i="14" s="1"/>
  <c r="AS60" i="14" s="1"/>
  <c r="AB56" i="14"/>
  <c r="AB57" i="14"/>
  <c r="AP56" i="14"/>
  <c r="AP58" i="14" s="1"/>
  <c r="AP60" i="14" s="1"/>
  <c r="AP57" i="14"/>
  <c r="AQ56" i="14"/>
  <c r="AQ58" i="14"/>
  <c r="AQ60" i="14" s="1"/>
  <c r="BE57" i="14"/>
  <c r="BE56" i="14"/>
  <c r="BE58" i="14" s="1"/>
  <c r="BE60" i="14" s="1"/>
  <c r="AD58" i="14"/>
  <c r="AD60" i="14" s="1"/>
  <c r="AD57" i="14"/>
  <c r="AD56" i="14"/>
  <c r="BF57" i="14"/>
  <c r="BF56" i="14"/>
  <c r="AM57" i="14"/>
  <c r="AM56" i="14"/>
  <c r="AM58" i="14" s="1"/>
  <c r="AM60" i="14" s="1"/>
  <c r="L56" i="14"/>
  <c r="L57" i="14"/>
  <c r="AN56" i="14"/>
  <c r="AN57" i="14"/>
  <c r="S58" i="14" l="1"/>
  <c r="S60" i="14" s="1"/>
  <c r="AW58" i="14"/>
  <c r="AW60" i="14" s="1"/>
  <c r="AB58" i="14"/>
  <c r="AB60" i="14" s="1"/>
  <c r="J58" i="14"/>
  <c r="J60" i="14" s="1"/>
  <c r="Y58" i="14"/>
  <c r="Y60" i="14" s="1"/>
  <c r="R59" i="14"/>
  <c r="B19" i="15"/>
  <c r="D58" i="14"/>
  <c r="D60" i="14" s="1"/>
  <c r="F20" i="15"/>
  <c r="AV58" i="14"/>
  <c r="AV60" i="14" s="1"/>
  <c r="D20" i="15"/>
  <c r="E20" i="15"/>
  <c r="BF58" i="14"/>
  <c r="BF60" i="14" s="1"/>
  <c r="BB58" i="14"/>
  <c r="BB60" i="14" s="1"/>
  <c r="C58" i="14"/>
  <c r="C60" i="14" s="1"/>
  <c r="AZ58" i="14"/>
  <c r="AZ60" i="14" s="1"/>
  <c r="C19" i="15"/>
  <c r="B16" i="12"/>
  <c r="B17" i="12" s="1"/>
  <c r="K16" i="14"/>
  <c r="K17" i="14"/>
  <c r="B57" i="9"/>
  <c r="B40" i="4" s="1"/>
  <c r="B41" i="4" s="1"/>
  <c r="B39" i="4"/>
  <c r="B7" i="8"/>
  <c r="R17" i="14"/>
  <c r="R16" i="14"/>
  <c r="AP59" i="14"/>
  <c r="E21" i="15"/>
  <c r="C21" i="15"/>
  <c r="B21" i="15"/>
  <c r="L14" i="14"/>
  <c r="AS14" i="14"/>
  <c r="G12" i="15"/>
  <c r="C20" i="15"/>
  <c r="F28" i="15"/>
  <c r="F25" i="15"/>
  <c r="L15" i="14"/>
  <c r="BJ16" i="14"/>
  <c r="BJ17" i="14"/>
  <c r="E38" i="9"/>
  <c r="AD208" i="7"/>
  <c r="AD211" i="7" s="1"/>
  <c r="F201" i="7"/>
  <c r="B238" i="7"/>
  <c r="D238" i="7" s="1"/>
  <c r="BI59" i="14"/>
  <c r="G30" i="15"/>
  <c r="E30" i="15"/>
  <c r="D9" i="15"/>
  <c r="C22" i="15"/>
  <c r="F30" i="15"/>
  <c r="F27" i="15"/>
  <c r="C10" i="15"/>
  <c r="X15" i="14"/>
  <c r="N15" i="14"/>
  <c r="E14" i="9"/>
  <c r="F208" i="7"/>
  <c r="F26" i="9"/>
  <c r="G26" i="9" s="1"/>
  <c r="M208" i="7"/>
  <c r="M211" i="7" s="1"/>
  <c r="E21" i="9"/>
  <c r="F28" i="9"/>
  <c r="G28" i="9" s="1"/>
  <c r="E36" i="9"/>
  <c r="AB208" i="7"/>
  <c r="AB211" i="7" s="1"/>
  <c r="AQ59" i="14"/>
  <c r="BH58" i="14"/>
  <c r="BH60" i="14" s="1"/>
  <c r="AH59" i="14"/>
  <c r="AN58" i="14"/>
  <c r="AN60" i="14" s="1"/>
  <c r="E25" i="15"/>
  <c r="AO14" i="14"/>
  <c r="AA14" i="14"/>
  <c r="BH14" i="14"/>
  <c r="B24" i="15"/>
  <c r="AD59" i="14"/>
  <c r="P58" i="14"/>
  <c r="P60" i="14" s="1"/>
  <c r="E11" i="15"/>
  <c r="C11" i="15"/>
  <c r="B11" i="15"/>
  <c r="F11" i="15"/>
  <c r="G19" i="15"/>
  <c r="Y59" i="14"/>
  <c r="BK58" i="14"/>
  <c r="BK60" i="14" s="1"/>
  <c r="S59" i="14"/>
  <c r="BA14" i="14"/>
  <c r="E14" i="14"/>
  <c r="E15" i="14" s="1"/>
  <c r="AP14" i="14"/>
  <c r="H14" i="14"/>
  <c r="D21" i="15"/>
  <c r="B28" i="15"/>
  <c r="D12" i="15"/>
  <c r="G20" i="15"/>
  <c r="B27" i="15"/>
  <c r="C24" i="15"/>
  <c r="F32" i="15"/>
  <c r="F29" i="15"/>
  <c r="C12" i="15"/>
  <c r="H12" i="15" s="1"/>
  <c r="S15" i="14"/>
  <c r="AV15" i="14"/>
  <c r="O15" i="14"/>
  <c r="AB15" i="14"/>
  <c r="AJ58" i="14"/>
  <c r="AJ60" i="14" s="1"/>
  <c r="I58" i="14"/>
  <c r="I60" i="14" s="1"/>
  <c r="AF208" i="7"/>
  <c r="AF211" i="7" s="1"/>
  <c r="E40" i="9"/>
  <c r="G25" i="9"/>
  <c r="F25" i="9"/>
  <c r="E41" i="9"/>
  <c r="AG208" i="7"/>
  <c r="AG211" i="7" s="1"/>
  <c r="F33" i="4"/>
  <c r="N208" i="7"/>
  <c r="N211" i="7" s="1"/>
  <c r="E22" i="9"/>
  <c r="E29" i="15"/>
  <c r="D29" i="15"/>
  <c r="G11" i="15"/>
  <c r="G23" i="15"/>
  <c r="L58" i="14"/>
  <c r="L60" i="14" s="1"/>
  <c r="AB59" i="14"/>
  <c r="G22" i="15"/>
  <c r="E22" i="15"/>
  <c r="B22" i="15"/>
  <c r="X59" i="14"/>
  <c r="AW59" i="14"/>
  <c r="F58" i="14"/>
  <c r="F60" i="14" s="1"/>
  <c r="Y14" i="14"/>
  <c r="Y15" i="14" s="1"/>
  <c r="BE14" i="14"/>
  <c r="BE15" i="14" s="1"/>
  <c r="V14" i="14"/>
  <c r="E23" i="15"/>
  <c r="B30" i="15"/>
  <c r="C26" i="15"/>
  <c r="F10" i="15"/>
  <c r="BA15" i="14"/>
  <c r="F15" i="14"/>
  <c r="AP15" i="14"/>
  <c r="T15" i="14"/>
  <c r="C13" i="13"/>
  <c r="B10" i="13"/>
  <c r="AE208" i="7"/>
  <c r="AE211" i="7" s="1"/>
  <c r="E39" i="9"/>
  <c r="J208" i="7"/>
  <c r="J211" i="7" s="1"/>
  <c r="E18" i="9"/>
  <c r="AH208" i="7"/>
  <c r="AH211" i="7" s="1"/>
  <c r="E42" i="9"/>
  <c r="G10" i="15"/>
  <c r="C28" i="15"/>
  <c r="AG15" i="14"/>
  <c r="AS15" i="14"/>
  <c r="BD15" i="14"/>
  <c r="E48" i="9"/>
  <c r="AN208" i="7"/>
  <c r="AN211" i="7" s="1"/>
  <c r="AZ16" i="14"/>
  <c r="AZ17" i="14"/>
  <c r="D23" i="15"/>
  <c r="C30" i="15"/>
  <c r="BF15" i="14"/>
  <c r="AW15" i="14"/>
  <c r="BH15" i="14"/>
  <c r="BC58" i="14"/>
  <c r="BC60" i="14" s="1"/>
  <c r="B13" i="8"/>
  <c r="J14" i="9"/>
  <c r="AM59" i="14"/>
  <c r="J59" i="14"/>
  <c r="Z14" i="14"/>
  <c r="Z15" i="14" s="1"/>
  <c r="AQ14" i="14"/>
  <c r="AQ15" i="14" s="1"/>
  <c r="D25" i="15"/>
  <c r="H25" i="15" s="1"/>
  <c r="B23" i="15"/>
  <c r="E19" i="15"/>
  <c r="B20" i="15"/>
  <c r="B26" i="15"/>
  <c r="AH15" i="14"/>
  <c r="G15" i="14"/>
  <c r="P15" i="14"/>
  <c r="D190" i="7"/>
  <c r="E49" i="9"/>
  <c r="AO208" i="7"/>
  <c r="AO211" i="7" s="1"/>
  <c r="AK16" i="14"/>
  <c r="AK17" i="14"/>
  <c r="BK17" i="14"/>
  <c r="BK16" i="14"/>
  <c r="W15" i="14"/>
  <c r="E35" i="9"/>
  <c r="AA208" i="7"/>
  <c r="AA211" i="7" s="1"/>
  <c r="C236" i="7"/>
  <c r="D199" i="7"/>
  <c r="H38" i="1"/>
  <c r="F45" i="9"/>
  <c r="G45" i="9" s="1"/>
  <c r="B10" i="15"/>
  <c r="E32" i="15"/>
  <c r="H32" i="15" s="1"/>
  <c r="B9" i="15"/>
  <c r="E26" i="15"/>
  <c r="AI15" i="14"/>
  <c r="AX15" i="14"/>
  <c r="AT15" i="14"/>
  <c r="E37" i="9"/>
  <c r="AC208" i="7"/>
  <c r="AC211" i="7" s="1"/>
  <c r="F44" i="9"/>
  <c r="G44" i="9" s="1"/>
  <c r="G17" i="9"/>
  <c r="F17" i="9"/>
  <c r="F202" i="7"/>
  <c r="B239" i="7"/>
  <c r="D239" i="7" s="1"/>
  <c r="E34" i="9"/>
  <c r="Z208" i="7"/>
  <c r="Z211" i="7" s="1"/>
  <c r="E32" i="9"/>
  <c r="X208" i="7"/>
  <c r="X211" i="7" s="1"/>
  <c r="D27" i="15"/>
  <c r="C27" i="15"/>
  <c r="U58" i="14"/>
  <c r="U60" i="14" s="1"/>
  <c r="D24" i="15"/>
  <c r="H15" i="14"/>
  <c r="V15" i="14"/>
  <c r="AA58" i="14"/>
  <c r="AA60" i="14" s="1"/>
  <c r="E23" i="9"/>
  <c r="O208" i="7"/>
  <c r="O211" i="7" s="1"/>
  <c r="E20" i="9"/>
  <c r="L208" i="7"/>
  <c r="L211" i="7" s="1"/>
  <c r="E47" i="9"/>
  <c r="AM208" i="7"/>
  <c r="AM211" i="7" s="1"/>
  <c r="B29" i="15"/>
  <c r="C29" i="15"/>
  <c r="BB15" i="14"/>
  <c r="C23" i="15"/>
  <c r="AY14" i="14"/>
  <c r="AY15" i="14" s="1"/>
  <c r="G32" i="15"/>
  <c r="E10" i="15"/>
  <c r="D26" i="15"/>
  <c r="C15" i="14"/>
  <c r="AA15" i="14"/>
  <c r="B15" i="14"/>
  <c r="I15" i="14"/>
  <c r="AY58" i="14"/>
  <c r="AY60" i="14" s="1"/>
  <c r="E46" i="9"/>
  <c r="AL208" i="7"/>
  <c r="AL211" i="7" s="1"/>
  <c r="F30" i="9"/>
  <c r="G30" i="9" s="1"/>
  <c r="F31" i="9"/>
  <c r="G31" i="9" s="1"/>
  <c r="E33" i="9"/>
  <c r="Y208" i="7"/>
  <c r="Y211" i="7" s="1"/>
  <c r="AG59" i="14"/>
  <c r="AR14" i="14"/>
  <c r="AR15" i="14" s="1"/>
  <c r="BC15" i="14"/>
  <c r="AO15" i="14"/>
  <c r="D14" i="14"/>
  <c r="B13" i="15" s="1"/>
  <c r="I14" i="14"/>
  <c r="BG14" i="14"/>
  <c r="BG15" i="14" s="1"/>
  <c r="E24" i="15"/>
  <c r="E28" i="15"/>
  <c r="D28" i="15"/>
  <c r="F22" i="15"/>
  <c r="F19" i="15"/>
  <c r="AJ15" i="14"/>
  <c r="Q15" i="14"/>
  <c r="M59" i="14"/>
  <c r="E24" i="7"/>
  <c r="E190" i="7" s="1"/>
  <c r="E29" i="9"/>
  <c r="U208" i="7"/>
  <c r="U211" i="7" s="1"/>
  <c r="G16" i="9"/>
  <c r="F16" i="9"/>
  <c r="K208" i="7"/>
  <c r="K211" i="7" s="1"/>
  <c r="E19" i="9"/>
  <c r="F15" i="9"/>
  <c r="G15" i="9" s="1"/>
  <c r="BE59" i="14"/>
  <c r="AE14" i="14"/>
  <c r="AE15" i="14" s="1"/>
  <c r="AS59" i="14"/>
  <c r="BI14" i="14"/>
  <c r="BI15" i="14" s="1"/>
  <c r="AU14" i="14"/>
  <c r="AU15" i="14" s="1"/>
  <c r="D19" i="15"/>
  <c r="H19" i="15" s="1"/>
  <c r="AT58" i="14"/>
  <c r="AT60" i="14" s="1"/>
  <c r="G58" i="14"/>
  <c r="G60" i="14" s="1"/>
  <c r="AL14" i="14"/>
  <c r="AL15" i="14" s="1"/>
  <c r="AF14" i="14"/>
  <c r="AF15" i="14" s="1"/>
  <c r="G21" i="15"/>
  <c r="F9" i="15"/>
  <c r="D30" i="15"/>
  <c r="F21" i="15"/>
  <c r="AE59" i="14"/>
  <c r="J15" i="14"/>
  <c r="U15" i="14"/>
  <c r="M15" i="14"/>
  <c r="O58" i="14"/>
  <c r="O60" i="14" s="1"/>
  <c r="S208" i="7"/>
  <c r="S211" i="7" s="1"/>
  <c r="E27" i="9"/>
  <c r="F34" i="4"/>
  <c r="F43" i="9"/>
  <c r="G43" i="9" s="1"/>
  <c r="AD14" i="14"/>
  <c r="C13" i="15" s="1"/>
  <c r="D10" i="15"/>
  <c r="G25" i="15"/>
  <c r="E9" i="15"/>
  <c r="AM15" i="14"/>
  <c r="AN15" i="14"/>
  <c r="AC15" i="14"/>
  <c r="AK58" i="14"/>
  <c r="AK60" i="14" s="1"/>
  <c r="V59" i="14"/>
  <c r="E24" i="9"/>
  <c r="P208" i="7"/>
  <c r="P211" i="7" s="1"/>
  <c r="BF59" i="14" l="1"/>
  <c r="BH59" i="14"/>
  <c r="AV59" i="14"/>
  <c r="D59" i="14"/>
  <c r="AK59" i="14"/>
  <c r="AT59" i="14"/>
  <c r="I59" i="14"/>
  <c r="AY59" i="14"/>
  <c r="BB59" i="14"/>
  <c r="O59" i="14"/>
  <c r="AZ59" i="14"/>
  <c r="C59" i="14"/>
  <c r="BC59" i="14"/>
  <c r="AR16" i="14"/>
  <c r="AR17" i="14" s="1"/>
  <c r="E16" i="14"/>
  <c r="E17" i="14"/>
  <c r="AF16" i="14"/>
  <c r="AF17" i="14"/>
  <c r="AL16" i="14"/>
  <c r="AL17" i="14" s="1"/>
  <c r="Z16" i="14"/>
  <c r="Z17" i="14" s="1"/>
  <c r="AE16" i="14"/>
  <c r="AE17" i="14" s="1"/>
  <c r="AU17" i="14"/>
  <c r="AU16" i="14"/>
  <c r="BI16" i="14"/>
  <c r="BI17" i="14"/>
  <c r="AY16" i="14"/>
  <c r="AY17" i="14"/>
  <c r="Y16" i="14"/>
  <c r="Y17" i="14" s="1"/>
  <c r="AQ17" i="14"/>
  <c r="AQ16" i="14"/>
  <c r="BG16" i="14"/>
  <c r="BG17" i="14" s="1"/>
  <c r="B35" i="12"/>
  <c r="B33" i="12"/>
  <c r="H21" i="15"/>
  <c r="R32" i="14"/>
  <c r="R34" i="14"/>
  <c r="C16" i="14"/>
  <c r="C17" i="14" s="1"/>
  <c r="F32" i="9"/>
  <c r="G32" i="9" s="1"/>
  <c r="AX16" i="14"/>
  <c r="AX17" i="14" s="1"/>
  <c r="F35" i="9"/>
  <c r="G35" i="9" s="1"/>
  <c r="H26" i="15"/>
  <c r="H45" i="1"/>
  <c r="C241" i="7"/>
  <c r="B11" i="8"/>
  <c r="BD16" i="14"/>
  <c r="BD17" i="14"/>
  <c r="L59" i="14"/>
  <c r="F40" i="9"/>
  <c r="G40" i="9" s="1"/>
  <c r="F13" i="15"/>
  <c r="H20" i="15"/>
  <c r="AS16" i="14"/>
  <c r="AS17" i="14" s="1"/>
  <c r="D66" i="13"/>
  <c r="D52" i="13"/>
  <c r="D36" i="13"/>
  <c r="D21" i="13"/>
  <c r="D59" i="13"/>
  <c r="D45" i="13"/>
  <c r="D38" i="13"/>
  <c r="D23" i="13"/>
  <c r="D68" i="13"/>
  <c r="D54" i="13"/>
  <c r="D40" i="13"/>
  <c r="D25" i="13"/>
  <c r="D61" i="13"/>
  <c r="D47" i="13"/>
  <c r="D27" i="13"/>
  <c r="D14" i="13"/>
  <c r="D65" i="13"/>
  <c r="D51" i="13"/>
  <c r="D35" i="13"/>
  <c r="D22" i="13"/>
  <c r="D69" i="13"/>
  <c r="D55" i="13"/>
  <c r="D41" i="13"/>
  <c r="D30" i="13"/>
  <c r="D15" i="13"/>
  <c r="D67" i="13"/>
  <c r="D53" i="13"/>
  <c r="D39" i="13"/>
  <c r="D29" i="13"/>
  <c r="D19" i="13"/>
  <c r="D70" i="13"/>
  <c r="D56" i="13"/>
  <c r="D42" i="13"/>
  <c r="D32" i="13"/>
  <c r="D63" i="13"/>
  <c r="D49" i="13"/>
  <c r="D18" i="13"/>
  <c r="D31" i="13"/>
  <c r="D28" i="13"/>
  <c r="D24" i="13"/>
  <c r="D62" i="13"/>
  <c r="D48" i="13"/>
  <c r="D34" i="13"/>
  <c r="D72" i="13"/>
  <c r="D58" i="13"/>
  <c r="D44" i="13"/>
  <c r="D37" i="13"/>
  <c r="D17" i="13"/>
  <c r="D26" i="13"/>
  <c r="D60" i="13"/>
  <c r="D46" i="13"/>
  <c r="D13" i="13"/>
  <c r="D64" i="13"/>
  <c r="D50" i="13"/>
  <c r="D16" i="13"/>
  <c r="D71" i="13"/>
  <c r="D57" i="13"/>
  <c r="D43" i="13"/>
  <c r="D20" i="13"/>
  <c r="D33" i="13"/>
  <c r="H28" i="15"/>
  <c r="G21" i="9"/>
  <c r="F21" i="9"/>
  <c r="F38" i="9"/>
  <c r="G38" i="9" s="1"/>
  <c r="F34" i="9"/>
  <c r="G34" i="9" s="1"/>
  <c r="BH16" i="14"/>
  <c r="BH17" i="14" s="1"/>
  <c r="E13" i="13"/>
  <c r="H11" i="15"/>
  <c r="P59" i="14"/>
  <c r="BJ34" i="14"/>
  <c r="BJ32" i="14"/>
  <c r="BJ35" i="14" s="1"/>
  <c r="BJ38" i="14" s="1"/>
  <c r="F23" i="9"/>
  <c r="G23" i="9" s="1"/>
  <c r="H9" i="15"/>
  <c r="H23" i="15"/>
  <c r="AW16" i="14"/>
  <c r="AW17" i="14" s="1"/>
  <c r="AG16" i="14"/>
  <c r="AG17" i="14" s="1"/>
  <c r="T16" i="14"/>
  <c r="T17" i="14"/>
  <c r="AA17" i="14"/>
  <c r="AA16" i="14"/>
  <c r="AT16" i="14"/>
  <c r="AT17" i="14" s="1"/>
  <c r="AH16" i="14"/>
  <c r="AH17" i="14"/>
  <c r="BE17" i="14"/>
  <c r="BE16" i="14"/>
  <c r="AO16" i="14"/>
  <c r="AO17" i="14" s="1"/>
  <c r="BF16" i="14"/>
  <c r="BF17" i="14" s="1"/>
  <c r="AP16" i="14"/>
  <c r="AP17" i="14" s="1"/>
  <c r="AB16" i="14"/>
  <c r="AB17" i="14" s="1"/>
  <c r="AN59" i="14"/>
  <c r="C237" i="7"/>
  <c r="D200" i="7"/>
  <c r="H39" i="1"/>
  <c r="AC16" i="14"/>
  <c r="AC17" i="14" s="1"/>
  <c r="F27" i="9"/>
  <c r="G27" i="9" s="1"/>
  <c r="BC16" i="14"/>
  <c r="BC17" i="14"/>
  <c r="G59" i="14"/>
  <c r="V16" i="14"/>
  <c r="V17" i="14" s="1"/>
  <c r="H10" i="15"/>
  <c r="BK34" i="14"/>
  <c r="BK32" i="14"/>
  <c r="AD15" i="14"/>
  <c r="U59" i="14"/>
  <c r="O16" i="14"/>
  <c r="O17" i="14"/>
  <c r="F211" i="7"/>
  <c r="D208" i="7"/>
  <c r="D211" i="7" s="1"/>
  <c r="AI16" i="14"/>
  <c r="AI17" i="14"/>
  <c r="AK34" i="14"/>
  <c r="AK32" i="14"/>
  <c r="F17" i="14"/>
  <c r="F16" i="14"/>
  <c r="AV16" i="14"/>
  <c r="AV17" i="14" s="1"/>
  <c r="B53" i="9"/>
  <c r="B52" i="9"/>
  <c r="F14" i="9"/>
  <c r="G14" i="9"/>
  <c r="N14" i="9" s="1"/>
  <c r="L16" i="14"/>
  <c r="L17" i="14"/>
  <c r="H16" i="14"/>
  <c r="H17" i="14" s="1"/>
  <c r="BA16" i="14"/>
  <c r="BA17" i="14" s="1"/>
  <c r="G22" i="9"/>
  <c r="F22" i="9"/>
  <c r="S16" i="14"/>
  <c r="S17" i="14"/>
  <c r="H24" i="15"/>
  <c r="K32" i="14"/>
  <c r="K35" i="14" s="1"/>
  <c r="K34" i="14"/>
  <c r="K38" i="14"/>
  <c r="F29" i="9"/>
  <c r="G29" i="9" s="1"/>
  <c r="G20" i="9"/>
  <c r="F20" i="9"/>
  <c r="W16" i="14"/>
  <c r="W17" i="14" s="1"/>
  <c r="AN16" i="14"/>
  <c r="AN17" i="14" s="1"/>
  <c r="AM16" i="14"/>
  <c r="AM17" i="14"/>
  <c r="Q16" i="14"/>
  <c r="Q17" i="14" s="1"/>
  <c r="BB16" i="14"/>
  <c r="BB17" i="14"/>
  <c r="AZ34" i="14"/>
  <c r="AZ32" i="14"/>
  <c r="AZ35" i="14" s="1"/>
  <c r="AZ38" i="14" s="1"/>
  <c r="AJ59" i="14"/>
  <c r="G47" i="9"/>
  <c r="F47" i="9"/>
  <c r="G39" i="9"/>
  <c r="F39" i="9"/>
  <c r="D15" i="14"/>
  <c r="G13" i="15"/>
  <c r="D13" i="15"/>
  <c r="H13" i="15" s="1"/>
  <c r="M16" i="14"/>
  <c r="M17" i="14" s="1"/>
  <c r="F49" i="9"/>
  <c r="G49" i="9" s="1"/>
  <c r="N16" i="14"/>
  <c r="N17" i="14"/>
  <c r="F24" i="9"/>
  <c r="G24" i="9" s="1"/>
  <c r="F33" i="9"/>
  <c r="G33" i="9"/>
  <c r="AJ17" i="14"/>
  <c r="AJ16" i="14"/>
  <c r="G46" i="9"/>
  <c r="F46" i="9"/>
  <c r="G42" i="9"/>
  <c r="F42" i="9"/>
  <c r="H22" i="15"/>
  <c r="E13" i="15"/>
  <c r="U16" i="14"/>
  <c r="U17" i="14" s="1"/>
  <c r="G19" i="9"/>
  <c r="F19" i="9"/>
  <c r="H29" i="15"/>
  <c r="G37" i="9"/>
  <c r="F37" i="9"/>
  <c r="B236" i="7"/>
  <c r="F199" i="7"/>
  <c r="H30" i="15"/>
  <c r="F59" i="14"/>
  <c r="J17" i="14"/>
  <c r="J16" i="14"/>
  <c r="I16" i="14"/>
  <c r="I17" i="14"/>
  <c r="P17" i="14"/>
  <c r="P16" i="14"/>
  <c r="F18" i="9"/>
  <c r="G18" i="9" s="1"/>
  <c r="F41" i="9"/>
  <c r="G41" i="9"/>
  <c r="X16" i="14"/>
  <c r="X17" i="14"/>
  <c r="B14" i="15"/>
  <c r="B17" i="14"/>
  <c r="B16" i="14"/>
  <c r="G14" i="15"/>
  <c r="G85" i="15" s="1"/>
  <c r="E14" i="15"/>
  <c r="E85" i="15" s="1"/>
  <c r="F14" i="15"/>
  <c r="F85" i="15" s="1"/>
  <c r="C14" i="15"/>
  <c r="C85" i="15" s="1"/>
  <c r="AA59" i="14"/>
  <c r="G16" i="14"/>
  <c r="G17" i="14" s="1"/>
  <c r="F48" i="9"/>
  <c r="G48" i="9"/>
  <c r="H27" i="15"/>
  <c r="BK59" i="14"/>
  <c r="F36" i="9"/>
  <c r="G36" i="9" s="1"/>
  <c r="BF32" i="14" l="1"/>
  <c r="BF34" i="14"/>
  <c r="AT32" i="14"/>
  <c r="AT35" i="14" s="1"/>
  <c r="AT38" i="14"/>
  <c r="AT34" i="14"/>
  <c r="AE32" i="14"/>
  <c r="AE34" i="14"/>
  <c r="AC32" i="14"/>
  <c r="AC34" i="14"/>
  <c r="Z32" i="14"/>
  <c r="Z35" i="14" s="1"/>
  <c r="Z38" i="14" s="1"/>
  <c r="Z34" i="14"/>
  <c r="AX32" i="14"/>
  <c r="AX34" i="14"/>
  <c r="AS38" i="14"/>
  <c r="AS34" i="14"/>
  <c r="AS32" i="14"/>
  <c r="AS35" i="14" s="1"/>
  <c r="AN32" i="14"/>
  <c r="AN34" i="14"/>
  <c r="BG32" i="14"/>
  <c r="BG34" i="14"/>
  <c r="AV34" i="14"/>
  <c r="AV32" i="14"/>
  <c r="AV35" i="14" s="1"/>
  <c r="AV38" i="14"/>
  <c r="V34" i="14"/>
  <c r="V32" i="14"/>
  <c r="V35" i="14" s="1"/>
  <c r="V38" i="14" s="1"/>
  <c r="G34" i="14"/>
  <c r="G32" i="14"/>
  <c r="G35" i="14" s="1"/>
  <c r="G38" i="14"/>
  <c r="M34" i="14"/>
  <c r="M32" i="14"/>
  <c r="M35" i="14" s="1"/>
  <c r="M38" i="14" s="1"/>
  <c r="BA34" i="14"/>
  <c r="BA32" i="14"/>
  <c r="W34" i="14"/>
  <c r="W32" i="14"/>
  <c r="W35" i="14" s="1"/>
  <c r="W38" i="14" s="1"/>
  <c r="AG34" i="14"/>
  <c r="AG32" i="14"/>
  <c r="Q32" i="14"/>
  <c r="Q34" i="14"/>
  <c r="C32" i="14"/>
  <c r="C35" i="14" s="1"/>
  <c r="C38" i="14" s="1"/>
  <c r="C34" i="14"/>
  <c r="H38" i="14"/>
  <c r="H34" i="14"/>
  <c r="H32" i="14"/>
  <c r="H35" i="14" s="1"/>
  <c r="AL34" i="14"/>
  <c r="AL32" i="14"/>
  <c r="AL35" i="14" s="1"/>
  <c r="AL38" i="14" s="1"/>
  <c r="AB32" i="14"/>
  <c r="AB34" i="14"/>
  <c r="AW32" i="14"/>
  <c r="AW34" i="14"/>
  <c r="AO32" i="14"/>
  <c r="AO35" i="14" s="1"/>
  <c r="AO38" i="14" s="1"/>
  <c r="AO34" i="14"/>
  <c r="U34" i="14"/>
  <c r="U32" i="14"/>
  <c r="U35" i="14" s="1"/>
  <c r="U38" i="14" s="1"/>
  <c r="BH32" i="14"/>
  <c r="BH34" i="14"/>
  <c r="AP32" i="14"/>
  <c r="AP34" i="14"/>
  <c r="Y32" i="14"/>
  <c r="Y34" i="14"/>
  <c r="AR34" i="14"/>
  <c r="AR32" i="14"/>
  <c r="BE32" i="14"/>
  <c r="BE34" i="14"/>
  <c r="B37" i="12"/>
  <c r="B39" i="12" s="1"/>
  <c r="AU34" i="14"/>
  <c r="AU32" i="14"/>
  <c r="AM34" i="14"/>
  <c r="AM32" i="14"/>
  <c r="AM35" i="14" s="1"/>
  <c r="AM38" i="14"/>
  <c r="S34" i="14"/>
  <c r="S32" i="14"/>
  <c r="S35" i="14" s="1"/>
  <c r="S38" i="14" s="1"/>
  <c r="AD16" i="14"/>
  <c r="G15" i="15" s="1"/>
  <c r="AH34" i="14"/>
  <c r="AH32" i="14"/>
  <c r="D236" i="7"/>
  <c r="D16" i="14"/>
  <c r="D17" i="14"/>
  <c r="BK35" i="14"/>
  <c r="BK38" i="14" s="1"/>
  <c r="BK45" i="14" s="1"/>
  <c r="BK49" i="14" s="1"/>
  <c r="B237" i="7"/>
  <c r="D237" i="7" s="1"/>
  <c r="F200" i="7"/>
  <c r="BD32" i="14"/>
  <c r="BD34" i="14"/>
  <c r="X34" i="14"/>
  <c r="X32" i="14"/>
  <c r="X35" i="14" s="1"/>
  <c r="X38" i="14" s="1"/>
  <c r="AJ34" i="14"/>
  <c r="AJ32" i="14"/>
  <c r="AJ35" i="14" s="1"/>
  <c r="AJ38" i="14" s="1"/>
  <c r="F34" i="14"/>
  <c r="F32" i="14"/>
  <c r="F35" i="14" s="1"/>
  <c r="F38" i="14"/>
  <c r="C240" i="7"/>
  <c r="D203" i="7"/>
  <c r="H43" i="1"/>
  <c r="B16" i="8"/>
  <c r="AK35" i="14"/>
  <c r="AK38" i="14" s="1"/>
  <c r="P32" i="14"/>
  <c r="P35" i="14" s="1"/>
  <c r="P38" i="14" s="1"/>
  <c r="P34" i="14"/>
  <c r="AA32" i="14"/>
  <c r="AA34" i="14"/>
  <c r="AQ34" i="14"/>
  <c r="AQ32" i="14"/>
  <c r="AQ35" i="14" s="1"/>
  <c r="AQ38" i="14" s="1"/>
  <c r="C41" i="14"/>
  <c r="AF32" i="14"/>
  <c r="AF35" i="14" s="1"/>
  <c r="AF34" i="14"/>
  <c r="AF38" i="14"/>
  <c r="N34" i="14"/>
  <c r="N32" i="14"/>
  <c r="N35" i="14" s="1"/>
  <c r="N38" i="14" s="1"/>
  <c r="AI32" i="14"/>
  <c r="AI34" i="14"/>
  <c r="F15" i="15"/>
  <c r="D15" i="15"/>
  <c r="L32" i="14"/>
  <c r="L35" i="14" s="1"/>
  <c r="L38" i="14" s="1"/>
  <c r="L34" i="14"/>
  <c r="BC32" i="14"/>
  <c r="BC35" i="14" s="1"/>
  <c r="BC38" i="14" s="1"/>
  <c r="BC34" i="14"/>
  <c r="AY34" i="14"/>
  <c r="AY32" i="14"/>
  <c r="AY35" i="14" s="1"/>
  <c r="AY38" i="14" s="1"/>
  <c r="E34" i="14"/>
  <c r="E32" i="14"/>
  <c r="E35" i="14" s="1"/>
  <c r="E38" i="14" s="1"/>
  <c r="I34" i="14"/>
  <c r="I32" i="14"/>
  <c r="B32" i="14"/>
  <c r="B34" i="14"/>
  <c r="J32" i="14"/>
  <c r="J34" i="14"/>
  <c r="BI34" i="14"/>
  <c r="BI32" i="14"/>
  <c r="BI35" i="14" s="1"/>
  <c r="BI38" i="14" s="1"/>
  <c r="T34" i="14"/>
  <c r="T32" i="14"/>
  <c r="T35" i="14" s="1"/>
  <c r="T38" i="14" s="1"/>
  <c r="H14" i="15"/>
  <c r="B85" i="15"/>
  <c r="BB34" i="14"/>
  <c r="BB32" i="14"/>
  <c r="D14" i="15"/>
  <c r="D85" i="15" s="1"/>
  <c r="B54" i="9"/>
  <c r="O34" i="14"/>
  <c r="O32" i="14"/>
  <c r="O35" i="14" s="1"/>
  <c r="O38" i="14" s="1"/>
  <c r="R35" i="14"/>
  <c r="R38" i="14" s="1"/>
  <c r="D73" i="13"/>
  <c r="F13" i="13"/>
  <c r="AH35" i="14" l="1"/>
  <c r="AH38" i="14" s="1"/>
  <c r="E15" i="15"/>
  <c r="AU35" i="14"/>
  <c r="AU38" i="14" s="1"/>
  <c r="BG35" i="14"/>
  <c r="BG38" i="14" s="1"/>
  <c r="C243" i="7"/>
  <c r="B36" i="8"/>
  <c r="H48" i="1"/>
  <c r="C15" i="15"/>
  <c r="AD17" i="14"/>
  <c r="AC35" i="14"/>
  <c r="AC38" i="14" s="1"/>
  <c r="B35" i="14"/>
  <c r="B15" i="15"/>
  <c r="H15" i="15" s="1"/>
  <c r="B240" i="7"/>
  <c r="D240" i="7" s="1"/>
  <c r="F203" i="7"/>
  <c r="F205" i="7" s="1"/>
  <c r="B43" i="12"/>
  <c r="B44" i="12" s="1"/>
  <c r="B50" i="12"/>
  <c r="B52" i="12" s="1"/>
  <c r="Y35" i="14"/>
  <c r="Y38" i="14" s="1"/>
  <c r="AA35" i="14"/>
  <c r="AA38" i="14" s="1"/>
  <c r="AW35" i="14"/>
  <c r="AW38" i="14" s="1"/>
  <c r="Q35" i="14"/>
  <c r="Q38" i="14" s="1"/>
  <c r="AN35" i="14"/>
  <c r="AN38" i="14" s="1"/>
  <c r="C42" i="14"/>
  <c r="G13" i="13"/>
  <c r="C14" i="13" s="1"/>
  <c r="D32" i="14"/>
  <c r="D34" i="14"/>
  <c r="AE35" i="14"/>
  <c r="AE38" i="14" s="1"/>
  <c r="I35" i="14"/>
  <c r="I38" i="14" s="1"/>
  <c r="AP35" i="14"/>
  <c r="AP38" i="14" s="1"/>
  <c r="AB35" i="14"/>
  <c r="AB38" i="14" s="1"/>
  <c r="AG35" i="14"/>
  <c r="AG38" i="14" s="1"/>
  <c r="C43" i="14"/>
  <c r="AI35" i="14"/>
  <c r="AI38" i="14" s="1"/>
  <c r="BB35" i="14"/>
  <c r="BB38" i="14" s="1"/>
  <c r="J35" i="14"/>
  <c r="J38" i="14" s="1"/>
  <c r="BH35" i="14"/>
  <c r="BH38" i="14" s="1"/>
  <c r="AX35" i="14"/>
  <c r="AX38" i="14" s="1"/>
  <c r="F204" i="7"/>
  <c r="BE35" i="14"/>
  <c r="BE38" i="14" s="1"/>
  <c r="BF35" i="14"/>
  <c r="BF38" i="14" s="1"/>
  <c r="BD35" i="14"/>
  <c r="BD38" i="14" s="1"/>
  <c r="AR35" i="14"/>
  <c r="AR38" i="14" s="1"/>
  <c r="BA35" i="14"/>
  <c r="BA38" i="14" s="1"/>
  <c r="F215" i="7" l="1"/>
  <c r="E14" i="13"/>
  <c r="F218" i="7"/>
  <c r="D35" i="14"/>
  <c r="D38" i="14" s="1"/>
  <c r="B38" i="8"/>
  <c r="B39" i="8" s="1"/>
  <c r="H68" i="1"/>
  <c r="F206" i="7"/>
  <c r="F212" i="7" s="1"/>
  <c r="F213" i="7" s="1"/>
  <c r="B38" i="14"/>
  <c r="B31" i="15"/>
  <c r="C45" i="14"/>
  <c r="C49" i="14" s="1"/>
  <c r="F33" i="15"/>
  <c r="AD32" i="14"/>
  <c r="D31" i="15" s="1"/>
  <c r="AD34" i="14"/>
  <c r="D33" i="15" s="1"/>
  <c r="D16" i="15"/>
  <c r="G16" i="15"/>
  <c r="E16" i="15"/>
  <c r="C16" i="15"/>
  <c r="B16" i="15"/>
  <c r="F16" i="15"/>
  <c r="E31" i="15" l="1"/>
  <c r="H16" i="15"/>
  <c r="F214" i="7"/>
  <c r="G197" i="7"/>
  <c r="C33" i="15"/>
  <c r="D41" i="14"/>
  <c r="F14" i="13"/>
  <c r="E33" i="15"/>
  <c r="B33" i="15"/>
  <c r="B45" i="14"/>
  <c r="AD35" i="14"/>
  <c r="G31" i="15"/>
  <c r="C31" i="15"/>
  <c r="H31" i="15" s="1"/>
  <c r="F31" i="15"/>
  <c r="G33" i="15"/>
  <c r="G204" i="7" l="1"/>
  <c r="G205" i="7" s="1"/>
  <c r="D42" i="14"/>
  <c r="G14" i="13"/>
  <c r="C15" i="13" s="1"/>
  <c r="B49" i="14"/>
  <c r="D34" i="15"/>
  <c r="AD38" i="14"/>
  <c r="E34" i="15"/>
  <c r="G34" i="15"/>
  <c r="C34" i="15"/>
  <c r="B34" i="15"/>
  <c r="F34" i="15"/>
  <c r="H33" i="15"/>
  <c r="G215" i="7" l="1"/>
  <c r="E86" i="15"/>
  <c r="E81" i="15"/>
  <c r="C37" i="15"/>
  <c r="G37" i="15"/>
  <c r="E37" i="15"/>
  <c r="D37" i="15"/>
  <c r="F37" i="15"/>
  <c r="B37" i="15"/>
  <c r="B86" i="15"/>
  <c r="H34" i="15"/>
  <c r="B81" i="15"/>
  <c r="C86" i="15"/>
  <c r="C81" i="15"/>
  <c r="G86" i="15"/>
  <c r="G81" i="15"/>
  <c r="E15" i="13"/>
  <c r="D86" i="15"/>
  <c r="D81" i="15"/>
  <c r="D43" i="14"/>
  <c r="B50" i="14"/>
  <c r="G206" i="7"/>
  <c r="G212" i="7" s="1"/>
  <c r="G213" i="7" s="1"/>
  <c r="G218" i="7"/>
  <c r="F86" i="15"/>
  <c r="F81" i="15"/>
  <c r="G214" i="7" l="1"/>
  <c r="H197" i="7"/>
  <c r="F87" i="15"/>
  <c r="F68" i="15"/>
  <c r="F82" i="15"/>
  <c r="D87" i="15"/>
  <c r="D68" i="15"/>
  <c r="D82" i="15"/>
  <c r="E87" i="15"/>
  <c r="E68" i="15"/>
  <c r="E82" i="15"/>
  <c r="E41" i="14"/>
  <c r="F15" i="13"/>
  <c r="B96" i="15"/>
  <c r="B98" i="15" s="1"/>
  <c r="G87" i="15"/>
  <c r="G68" i="15"/>
  <c r="G82" i="15"/>
  <c r="C87" i="15"/>
  <c r="C68" i="15"/>
  <c r="C82" i="15"/>
  <c r="B87" i="15"/>
  <c r="B68" i="15"/>
  <c r="H37" i="15"/>
  <c r="B77" i="15"/>
  <c r="B82" i="15"/>
  <c r="B51" i="14"/>
  <c r="D45" i="14"/>
  <c r="B55" i="14" l="1"/>
  <c r="B52" i="14"/>
  <c r="B99" i="15"/>
  <c r="B100" i="15"/>
  <c r="J14" i="15"/>
  <c r="I14" i="15"/>
  <c r="E42" i="14"/>
  <c r="E43" i="14" s="1"/>
  <c r="G15" i="13"/>
  <c r="C16" i="13" s="1"/>
  <c r="D49" i="14"/>
  <c r="H204" i="7"/>
  <c r="H205" i="7" s="1"/>
  <c r="H215" i="7" l="1"/>
  <c r="E45" i="14"/>
  <c r="I37" i="15"/>
  <c r="J37" i="15"/>
  <c r="J34" i="15"/>
  <c r="I34" i="15"/>
  <c r="C48" i="14"/>
  <c r="B51" i="15"/>
  <c r="H206" i="7"/>
  <c r="H212" i="7" s="1"/>
  <c r="H213" i="7" s="1"/>
  <c r="H218" i="7"/>
  <c r="E16" i="13"/>
  <c r="B57" i="14"/>
  <c r="B56" i="14"/>
  <c r="B58" i="14" s="1"/>
  <c r="B60" i="14" l="1"/>
  <c r="B63" i="14"/>
  <c r="B62" i="14"/>
  <c r="F41" i="14"/>
  <c r="F16" i="13"/>
  <c r="E49" i="14"/>
  <c r="B59" i="14"/>
  <c r="H214" i="7"/>
  <c r="I197" i="7"/>
  <c r="C52" i="14"/>
  <c r="D48" i="14" s="1"/>
  <c r="C50" i="14"/>
  <c r="C47" i="15" a="1"/>
  <c r="C47" i="15" s="1"/>
  <c r="C62" i="14" l="1"/>
  <c r="D62" i="14" s="1"/>
  <c r="B61" i="15"/>
  <c r="D52" i="14"/>
  <c r="E48" i="14" s="1"/>
  <c r="D50" i="14"/>
  <c r="I204" i="7"/>
  <c r="C63" i="14"/>
  <c r="D63" i="14" s="1"/>
  <c r="B62" i="15"/>
  <c r="F42" i="14"/>
  <c r="G16" i="13"/>
  <c r="C17" i="13" s="1"/>
  <c r="F43" i="14"/>
  <c r="I218" i="7" l="1"/>
  <c r="I205" i="7"/>
  <c r="I206" i="7" s="1"/>
  <c r="I212" i="7" s="1"/>
  <c r="I213" i="7" s="1"/>
  <c r="F45" i="14"/>
  <c r="E50" i="14"/>
  <c r="E17" i="13"/>
  <c r="J197" i="7" l="1"/>
  <c r="I214" i="7"/>
  <c r="G41" i="14"/>
  <c r="F17" i="13"/>
  <c r="E51" i="14"/>
  <c r="F49" i="14"/>
  <c r="I215" i="7"/>
  <c r="E55" i="14" l="1"/>
  <c r="E52" i="14"/>
  <c r="F48" i="14" s="1"/>
  <c r="G42" i="14"/>
  <c r="G17" i="13"/>
  <c r="C18" i="13" s="1"/>
  <c r="G43" i="14"/>
  <c r="G45" i="14" s="1"/>
  <c r="G49" i="14" s="1"/>
  <c r="J204" i="7"/>
  <c r="J205" i="7"/>
  <c r="J206" i="7" l="1"/>
  <c r="J212" i="7" s="1"/>
  <c r="J213" i="7" s="1"/>
  <c r="J218" i="7"/>
  <c r="E18" i="13"/>
  <c r="E56" i="14"/>
  <c r="F52" i="14"/>
  <c r="G48" i="14" s="1"/>
  <c r="F50" i="14"/>
  <c r="J215" i="7"/>
  <c r="E57" i="14" l="1"/>
  <c r="H41" i="14"/>
  <c r="F18" i="13"/>
  <c r="G52" i="14"/>
  <c r="H48" i="14" s="1"/>
  <c r="G50" i="14"/>
  <c r="K197" i="7"/>
  <c r="J214" i="7"/>
  <c r="H42" i="14" l="1"/>
  <c r="G18" i="13"/>
  <c r="C19" i="13" s="1"/>
  <c r="E63" i="14"/>
  <c r="F63" i="14" s="1"/>
  <c r="G63" i="14" s="1"/>
  <c r="E62" i="14"/>
  <c r="F62" i="14" s="1"/>
  <c r="G62" i="14" s="1"/>
  <c r="H43" i="14"/>
  <c r="H45" i="14" s="1"/>
  <c r="H49" i="14" s="1"/>
  <c r="K204" i="7"/>
  <c r="E58" i="14"/>
  <c r="E59" i="14"/>
  <c r="H50" i="14" l="1"/>
  <c r="E19" i="13"/>
  <c r="K218" i="7"/>
  <c r="E60" i="14"/>
  <c r="K205" i="7"/>
  <c r="K215" i="7" s="1"/>
  <c r="K206" i="7" l="1"/>
  <c r="K212" i="7" s="1"/>
  <c r="K213" i="7" s="1"/>
  <c r="I41" i="14"/>
  <c r="F19" i="13"/>
  <c r="H51" i="14"/>
  <c r="H55" i="14" l="1"/>
  <c r="H52" i="14"/>
  <c r="I48" i="14" s="1"/>
  <c r="L197" i="7"/>
  <c r="K214" i="7"/>
  <c r="I42" i="14"/>
  <c r="G19" i="13"/>
  <c r="C20" i="13" s="1"/>
  <c r="I43" i="14"/>
  <c r="I45" i="14" s="1"/>
  <c r="I49" i="14" s="1"/>
  <c r="E20" i="13" l="1"/>
  <c r="I50" i="14"/>
  <c r="I52" i="14"/>
  <c r="J48" i="14" s="1"/>
  <c r="L204" i="7"/>
  <c r="H56" i="14"/>
  <c r="H57" i="14" l="1"/>
  <c r="H58" i="14"/>
  <c r="L218" i="7"/>
  <c r="L205" i="7"/>
  <c r="L215" i="7" s="1"/>
  <c r="J41" i="14"/>
  <c r="F20" i="13"/>
  <c r="H60" i="14" l="1"/>
  <c r="L206" i="7"/>
  <c r="L212" i="7" s="1"/>
  <c r="L213" i="7" s="1"/>
  <c r="H63" i="14"/>
  <c r="I63" i="14" s="1"/>
  <c r="J63" i="14" s="1"/>
  <c r="H62" i="14"/>
  <c r="I62" i="14" s="1"/>
  <c r="J62" i="14" s="1"/>
  <c r="J42" i="14"/>
  <c r="G20" i="13"/>
  <c r="C21" i="13" s="1"/>
  <c r="J43" i="14"/>
  <c r="J45" i="14" s="1"/>
  <c r="J49" i="14" s="1"/>
  <c r="H59" i="14"/>
  <c r="M197" i="7" l="1"/>
  <c r="L214" i="7"/>
  <c r="J50" i="14"/>
  <c r="J52" i="14"/>
  <c r="K48" i="14" s="1"/>
  <c r="E21" i="13"/>
  <c r="K41" i="14" l="1"/>
  <c r="F21" i="13"/>
  <c r="M204" i="7"/>
  <c r="M205" i="7" s="1"/>
  <c r="M215" i="7" s="1"/>
  <c r="M206" i="7" l="1"/>
  <c r="M212" i="7" s="1"/>
  <c r="M213" i="7" s="1"/>
  <c r="M218" i="7"/>
  <c r="K42" i="14"/>
  <c r="G21" i="13"/>
  <c r="C22" i="13" s="1"/>
  <c r="K43" i="14"/>
  <c r="K45" i="14" s="1"/>
  <c r="K49" i="14" s="1"/>
  <c r="E22" i="13" l="1"/>
  <c r="M214" i="7"/>
  <c r="N197" i="7"/>
  <c r="K50" i="14"/>
  <c r="K51" i="14" s="1"/>
  <c r="K52" i="14" s="1"/>
  <c r="L48" i="14" s="1"/>
  <c r="K55" i="14" l="1"/>
  <c r="N204" i="7"/>
  <c r="N205" i="7" s="1"/>
  <c r="N215" i="7" s="1"/>
  <c r="L41" i="14"/>
  <c r="F22" i="13"/>
  <c r="L42" i="14" l="1"/>
  <c r="L43" i="14" s="1"/>
  <c r="L45" i="14" s="1"/>
  <c r="L49" i="14" s="1"/>
  <c r="G22" i="13"/>
  <c r="C23" i="13" s="1"/>
  <c r="N206" i="7"/>
  <c r="N212" i="7" s="1"/>
  <c r="N213" i="7" s="1"/>
  <c r="N218" i="7"/>
  <c r="K56" i="14"/>
  <c r="L52" i="14" l="1"/>
  <c r="M48" i="14" s="1"/>
  <c r="L50" i="14"/>
  <c r="K57" i="14"/>
  <c r="N214" i="7"/>
  <c r="O197" i="7"/>
  <c r="E23" i="13"/>
  <c r="K62" i="14" l="1"/>
  <c r="L62" i="14" s="1"/>
  <c r="M62" i="14" s="1"/>
  <c r="K63" i="14"/>
  <c r="L63" i="14" s="1"/>
  <c r="M63" i="14" s="1"/>
  <c r="M41" i="14"/>
  <c r="F23" i="13"/>
  <c r="O204" i="7"/>
  <c r="O205" i="7" s="1"/>
  <c r="O215" i="7" s="1"/>
  <c r="K58" i="14"/>
  <c r="K60" i="14" l="1"/>
  <c r="M42" i="14"/>
  <c r="M43" i="14" s="1"/>
  <c r="M45" i="14" s="1"/>
  <c r="M49" i="14" s="1"/>
  <c r="G23" i="13"/>
  <c r="C24" i="13" s="1"/>
  <c r="O206" i="7"/>
  <c r="O212" i="7" s="1"/>
  <c r="O213" i="7" s="1"/>
  <c r="O218" i="7"/>
  <c r="K59" i="14"/>
  <c r="M50" i="14" l="1"/>
  <c r="M52" i="14"/>
  <c r="N48" i="14" s="1"/>
  <c r="E24" i="13"/>
  <c r="P197" i="7"/>
  <c r="O214" i="7"/>
  <c r="P204" i="7" l="1"/>
  <c r="N41" i="14"/>
  <c r="F24" i="13"/>
  <c r="P218" i="7" l="1"/>
  <c r="N42" i="14"/>
  <c r="G24" i="13"/>
  <c r="N43" i="14"/>
  <c r="N45" i="14" s="1"/>
  <c r="N49" i="14" s="1"/>
  <c r="P205" i="7"/>
  <c r="P215" i="7" s="1"/>
  <c r="C25" i="13" l="1"/>
  <c r="C64" i="15"/>
  <c r="N50" i="14"/>
  <c r="N51" i="14" s="1"/>
  <c r="N55" i="14" s="1"/>
  <c r="P206" i="7"/>
  <c r="P212" i="7" s="1"/>
  <c r="P213" i="7" s="1"/>
  <c r="P214" i="7" l="1"/>
  <c r="Q197" i="7"/>
  <c r="N52" i="14"/>
  <c r="C78" i="15"/>
  <c r="C77" i="15"/>
  <c r="N56" i="14"/>
  <c r="N57" i="14" s="1"/>
  <c r="E25" i="13"/>
  <c r="N63" i="14" l="1"/>
  <c r="N62" i="14"/>
  <c r="Q204" i="7"/>
  <c r="O41" i="14"/>
  <c r="F25" i="13"/>
  <c r="N58" i="14"/>
  <c r="O48" i="14"/>
  <c r="C51" i="15"/>
  <c r="Q218" i="7" l="1"/>
  <c r="O42" i="14"/>
  <c r="G25" i="13"/>
  <c r="C26" i="13" s="1"/>
  <c r="O62" i="14"/>
  <c r="P62" i="14" s="1"/>
  <c r="C61" i="15"/>
  <c r="D47" i="15" a="1"/>
  <c r="D47" i="15" s="1"/>
  <c r="N60" i="14"/>
  <c r="O43" i="14"/>
  <c r="O45" i="14" s="1"/>
  <c r="O49" i="14" s="1"/>
  <c r="O52" i="14" s="1"/>
  <c r="P48" i="14" s="1"/>
  <c r="Q205" i="7"/>
  <c r="Q215" i="7" s="1"/>
  <c r="N59" i="14"/>
  <c r="O63" i="14"/>
  <c r="P63" i="14" s="1"/>
  <c r="C62" i="15"/>
  <c r="O50" i="14" l="1"/>
  <c r="E26" i="13"/>
  <c r="Q206" i="7"/>
  <c r="Q212" i="7" s="1"/>
  <c r="Q213" i="7" s="1"/>
  <c r="R197" i="7" l="1"/>
  <c r="Q214" i="7"/>
  <c r="P41" i="14"/>
  <c r="F26" i="13"/>
  <c r="P42" i="14" l="1"/>
  <c r="P43" i="14" s="1"/>
  <c r="P45" i="14" s="1"/>
  <c r="P49" i="14" s="1"/>
  <c r="G26" i="13"/>
  <c r="C27" i="13" s="1"/>
  <c r="R204" i="7"/>
  <c r="P50" i="14" l="1"/>
  <c r="P52" i="14"/>
  <c r="Q48" i="14" s="1"/>
  <c r="R218" i="7"/>
  <c r="R205" i="7"/>
  <c r="R215" i="7" s="1"/>
  <c r="E27" i="13"/>
  <c r="Q41" i="14" l="1"/>
  <c r="F27" i="13"/>
  <c r="R206" i="7"/>
  <c r="R212" i="7" s="1"/>
  <c r="R213" i="7" s="1"/>
  <c r="Q42" i="14" l="1"/>
  <c r="G27" i="13"/>
  <c r="C28" i="13" s="1"/>
  <c r="Q43" i="14"/>
  <c r="Q45" i="14" s="1"/>
  <c r="Q49" i="14" s="1"/>
  <c r="S197" i="7"/>
  <c r="R214" i="7"/>
  <c r="E28" i="13" l="1"/>
  <c r="S204" i="7"/>
  <c r="Q50" i="14"/>
  <c r="Q51" i="14" s="1"/>
  <c r="Q55" i="14" s="1"/>
  <c r="Q56" i="14" l="1"/>
  <c r="Q57" i="14"/>
  <c r="S218" i="7"/>
  <c r="Q52" i="14"/>
  <c r="R48" i="14" s="1"/>
  <c r="R41" i="14"/>
  <c r="F28" i="13"/>
  <c r="S205" i="7"/>
  <c r="S215" i="7" s="1"/>
  <c r="Q58" i="14" l="1"/>
  <c r="Q60" i="14" s="1"/>
  <c r="Q62" i="14"/>
  <c r="R62" i="14" s="1"/>
  <c r="S62" i="14" s="1"/>
  <c r="Q63" i="14"/>
  <c r="R63" i="14" s="1"/>
  <c r="S63" i="14" s="1"/>
  <c r="R42" i="14"/>
  <c r="R43" i="14" s="1"/>
  <c r="R45" i="14" s="1"/>
  <c r="R49" i="14" s="1"/>
  <c r="G28" i="13"/>
  <c r="C29" i="13" s="1"/>
  <c r="S206" i="7"/>
  <c r="S212" i="7" s="1"/>
  <c r="S213" i="7" s="1"/>
  <c r="Q59" i="14"/>
  <c r="R52" i="14" l="1"/>
  <c r="S48" i="14" s="1"/>
  <c r="R50" i="14"/>
  <c r="T197" i="7"/>
  <c r="S214" i="7"/>
  <c r="E29" i="13"/>
  <c r="S41" i="14" l="1"/>
  <c r="F29" i="13"/>
  <c r="T204" i="7"/>
  <c r="T218" i="7" l="1"/>
  <c r="T205" i="7"/>
  <c r="T215" i="7" s="1"/>
  <c r="S42" i="14"/>
  <c r="G29" i="13"/>
  <c r="C30" i="13" s="1"/>
  <c r="S43" i="14"/>
  <c r="S45" i="14" s="1"/>
  <c r="S49" i="14" s="1"/>
  <c r="E30" i="13" l="1"/>
  <c r="S50" i="14"/>
  <c r="S52" i="14"/>
  <c r="T48" i="14" s="1"/>
  <c r="T206" i="7"/>
  <c r="T212" i="7" s="1"/>
  <c r="T213" i="7" s="1"/>
  <c r="T214" i="7" l="1"/>
  <c r="U197" i="7"/>
  <c r="T41" i="14"/>
  <c r="F30" i="13"/>
  <c r="T42" i="14" l="1"/>
  <c r="G30" i="13"/>
  <c r="C31" i="13" s="1"/>
  <c r="T43" i="14"/>
  <c r="T45" i="14" s="1"/>
  <c r="T49" i="14" s="1"/>
  <c r="U204" i="7"/>
  <c r="U205" i="7" s="1"/>
  <c r="U215" i="7" s="1"/>
  <c r="U206" i="7" l="1"/>
  <c r="U212" i="7" s="1"/>
  <c r="U213" i="7" s="1"/>
  <c r="U218" i="7"/>
  <c r="T50" i="14"/>
  <c r="T51" i="14" s="1"/>
  <c r="T55" i="14" s="1"/>
  <c r="E31" i="13"/>
  <c r="U41" i="14" l="1"/>
  <c r="F31" i="13"/>
  <c r="T56" i="14"/>
  <c r="T57" i="14" s="1"/>
  <c r="T52" i="14"/>
  <c r="U48" i="14" s="1"/>
  <c r="U214" i="7"/>
  <c r="V197" i="7"/>
  <c r="T63" i="14" l="1"/>
  <c r="U63" i="14" s="1"/>
  <c r="V63" i="14" s="1"/>
  <c r="T62" i="14"/>
  <c r="U62" i="14" s="1"/>
  <c r="V62" i="14" s="1"/>
  <c r="T58" i="14"/>
  <c r="T60" i="14" s="1"/>
  <c r="U42" i="14"/>
  <c r="G31" i="13"/>
  <c r="C32" i="13" s="1"/>
  <c r="V204" i="7"/>
  <c r="V205" i="7" s="1"/>
  <c r="V215" i="7" s="1"/>
  <c r="U43" i="14"/>
  <c r="U45" i="14" s="1"/>
  <c r="U49" i="14" s="1"/>
  <c r="U52" i="14" s="1"/>
  <c r="V48" i="14" s="1"/>
  <c r="T59" i="14" l="1"/>
  <c r="V206" i="7"/>
  <c r="V212" i="7" s="1"/>
  <c r="V213" i="7" s="1"/>
  <c r="V218" i="7"/>
  <c r="E32" i="13"/>
  <c r="U50" i="14"/>
  <c r="V41" i="14" l="1"/>
  <c r="F32" i="13"/>
  <c r="V214" i="7"/>
  <c r="W197" i="7"/>
  <c r="W204" i="7" l="1"/>
  <c r="W205" i="7"/>
  <c r="W215" i="7" s="1"/>
  <c r="V42" i="14"/>
  <c r="V43" i="14" s="1"/>
  <c r="V45" i="14" s="1"/>
  <c r="V49" i="14" s="1"/>
  <c r="G32" i="13"/>
  <c r="C33" i="13" s="1"/>
  <c r="V50" i="14" l="1"/>
  <c r="V52" i="14"/>
  <c r="W48" i="14" s="1"/>
  <c r="E33" i="13"/>
  <c r="W206" i="7"/>
  <c r="W212" i="7" s="1"/>
  <c r="W213" i="7" s="1"/>
  <c r="W218" i="7"/>
  <c r="W214" i="7" l="1"/>
  <c r="X197" i="7"/>
  <c r="W41" i="14"/>
  <c r="F33" i="13"/>
  <c r="W42" i="14" l="1"/>
  <c r="G33" i="13"/>
  <c r="C34" i="13" s="1"/>
  <c r="W43" i="14"/>
  <c r="W45" i="14" s="1"/>
  <c r="W49" i="14" s="1"/>
  <c r="X204" i="7"/>
  <c r="X218" i="7" l="1"/>
  <c r="X205" i="7"/>
  <c r="X215" i="7" s="1"/>
  <c r="E34" i="13"/>
  <c r="W50" i="14"/>
  <c r="W51" i="14" s="1"/>
  <c r="W55" i="14" s="1"/>
  <c r="W56" i="14" l="1"/>
  <c r="W57" i="14"/>
  <c r="W58" i="14" s="1"/>
  <c r="W60" i="14" s="1"/>
  <c r="W52" i="14"/>
  <c r="X48" i="14" s="1"/>
  <c r="X41" i="14"/>
  <c r="F34" i="13"/>
  <c r="X206" i="7"/>
  <c r="X212" i="7" s="1"/>
  <c r="X213" i="7" s="1"/>
  <c r="Y197" i="7" l="1"/>
  <c r="X214" i="7"/>
  <c r="X43" i="14"/>
  <c r="X45" i="14" s="1"/>
  <c r="X49" i="14" s="1"/>
  <c r="X50" i="14" s="1"/>
  <c r="X42" i="14"/>
  <c r="G34" i="13"/>
  <c r="C35" i="13" s="1"/>
  <c r="W63" i="14"/>
  <c r="X63" i="14" s="1"/>
  <c r="Y63" i="14" s="1"/>
  <c r="W62" i="14"/>
  <c r="X62" i="14" s="1"/>
  <c r="Y62" i="14" s="1"/>
  <c r="W59" i="14"/>
  <c r="E35" i="13" l="1"/>
  <c r="X52" i="14"/>
  <c r="Y48" i="14" s="1"/>
  <c r="Y204" i="7"/>
  <c r="Y205" i="7" s="1"/>
  <c r="Y215" i="7" s="1"/>
  <c r="Y206" i="7" l="1"/>
  <c r="Y212" i="7" s="1"/>
  <c r="Y213" i="7" s="1"/>
  <c r="Y218" i="7"/>
  <c r="Y41" i="14"/>
  <c r="F35" i="13"/>
  <c r="Y42" i="14" l="1"/>
  <c r="Y43" i="14" s="1"/>
  <c r="Y45" i="14" s="1"/>
  <c r="Y49" i="14" s="1"/>
  <c r="G35" i="13"/>
  <c r="C36" i="13" s="1"/>
  <c r="Z197" i="7"/>
  <c r="Y214" i="7"/>
  <c r="Y52" i="14" l="1"/>
  <c r="Z48" i="14" s="1"/>
  <c r="Y50" i="14"/>
  <c r="Z204" i="7"/>
  <c r="E36" i="13"/>
  <c r="Z41" i="14" l="1"/>
  <c r="F36" i="13"/>
  <c r="Z218" i="7"/>
  <c r="Z205" i="7"/>
  <c r="Z215" i="7" s="1"/>
  <c r="Z206" i="7" l="1"/>
  <c r="Z212" i="7" s="1"/>
  <c r="Z213" i="7" s="1"/>
  <c r="Z42" i="14"/>
  <c r="G36" i="13"/>
  <c r="Z43" i="14"/>
  <c r="Z45" i="14" s="1"/>
  <c r="Z49" i="14" s="1"/>
  <c r="C37" i="13" l="1"/>
  <c r="D64" i="15"/>
  <c r="Z50" i="14"/>
  <c r="Z51" i="14" s="1"/>
  <c r="Z55" i="14" s="1"/>
  <c r="AA197" i="7"/>
  <c r="Z214" i="7"/>
  <c r="AA204" i="7" l="1"/>
  <c r="Z52" i="14"/>
  <c r="D78" i="15"/>
  <c r="D77" i="15"/>
  <c r="Z56" i="14"/>
  <c r="Z57" i="14" s="1"/>
  <c r="E37" i="13"/>
  <c r="Z63" i="14" l="1"/>
  <c r="Z62" i="14"/>
  <c r="AA41" i="14"/>
  <c r="F37" i="13"/>
  <c r="Z58" i="14"/>
  <c r="Z60" i="14" s="1"/>
  <c r="Z59" i="14"/>
  <c r="AA48" i="14"/>
  <c r="D51" i="15"/>
  <c r="AA206" i="7"/>
  <c r="AA212" i="7" s="1"/>
  <c r="AA213" i="7" s="1"/>
  <c r="AA218" i="7"/>
  <c r="AB218" i="7"/>
  <c r="AA205" i="7"/>
  <c r="AA215" i="7" s="1"/>
  <c r="AA214" i="7" l="1"/>
  <c r="AB197" i="7"/>
  <c r="E47" i="15" a="1"/>
  <c r="E47" i="15" s="1"/>
  <c r="AA62" i="14"/>
  <c r="AB62" i="14" s="1"/>
  <c r="D61" i="15"/>
  <c r="AA42" i="14"/>
  <c r="AA43" i="14" s="1"/>
  <c r="AA45" i="14" s="1"/>
  <c r="AA49" i="14" s="1"/>
  <c r="G37" i="13"/>
  <c r="C38" i="13" s="1"/>
  <c r="AA63" i="14"/>
  <c r="AB63" i="14" s="1"/>
  <c r="D62" i="15"/>
  <c r="AA52" i="14" l="1"/>
  <c r="AB48" i="14" s="1"/>
  <c r="AA50" i="14"/>
  <c r="E38" i="13"/>
  <c r="AB204" i="7"/>
  <c r="AC218" i="7" l="1"/>
  <c r="AB41" i="14"/>
  <c r="F38" i="13"/>
  <c r="AB205" i="7"/>
  <c r="AB215" i="7" s="1"/>
  <c r="AB42" i="14" l="1"/>
  <c r="G38" i="13"/>
  <c r="C39" i="13" s="1"/>
  <c r="AB43" i="14"/>
  <c r="AB45" i="14" s="1"/>
  <c r="AB49" i="14" s="1"/>
  <c r="AB206" i="7"/>
  <c r="AB212" i="7" s="1"/>
  <c r="AB213" i="7" s="1"/>
  <c r="AB214" i="7" l="1"/>
  <c r="AC197" i="7"/>
  <c r="AB52" i="14"/>
  <c r="AC48" i="14" s="1"/>
  <c r="AB50" i="14"/>
  <c r="E39" i="13"/>
  <c r="AC204" i="7" l="1"/>
  <c r="AC205" i="7"/>
  <c r="AC215" i="7" s="1"/>
  <c r="AC41" i="14"/>
  <c r="F39" i="13"/>
  <c r="AC42" i="14" l="1"/>
  <c r="G39" i="13"/>
  <c r="C40" i="13" s="1"/>
  <c r="AC43" i="14"/>
  <c r="AC45" i="14" s="1"/>
  <c r="AC49" i="14" s="1"/>
  <c r="AC206" i="7"/>
  <c r="AC212" i="7" s="1"/>
  <c r="AC213" i="7" s="1"/>
  <c r="AD218" i="7"/>
  <c r="AD197" i="7" l="1"/>
  <c r="AC214" i="7"/>
  <c r="E40" i="13"/>
  <c r="AC50" i="14"/>
  <c r="AC51" i="14" s="1"/>
  <c r="AC55" i="14" s="1"/>
  <c r="AC56" i="14" l="1"/>
  <c r="AC57" i="14"/>
  <c r="AC58" i="14" s="1"/>
  <c r="AC60" i="14" s="1"/>
  <c r="AC52" i="14"/>
  <c r="AD48" i="14" s="1"/>
  <c r="AD41" i="14"/>
  <c r="F40" i="13"/>
  <c r="AD204" i="7"/>
  <c r="AD206" i="7" l="1"/>
  <c r="AD212" i="7" s="1"/>
  <c r="AD213" i="7" s="1"/>
  <c r="AE218" i="7"/>
  <c r="AD42" i="14"/>
  <c r="G40" i="13"/>
  <c r="C41" i="13" s="1"/>
  <c r="AD205" i="7"/>
  <c r="AD215" i="7" s="1"/>
  <c r="AD43" i="14"/>
  <c r="AD45" i="14" s="1"/>
  <c r="AD49" i="14" s="1"/>
  <c r="AD52" i="14" s="1"/>
  <c r="AE48" i="14" s="1"/>
  <c r="AC63" i="14"/>
  <c r="AD63" i="14" s="1"/>
  <c r="AE63" i="14" s="1"/>
  <c r="AC62" i="14"/>
  <c r="AD62" i="14" s="1"/>
  <c r="AE62" i="14" s="1"/>
  <c r="AC59" i="14"/>
  <c r="E41" i="13" l="1"/>
  <c r="AD50" i="14"/>
  <c r="AE197" i="7"/>
  <c r="AD214" i="7"/>
  <c r="AE204" i="7" l="1"/>
  <c r="AE41" i="14"/>
  <c r="F41" i="13"/>
  <c r="AE42" i="14" l="1"/>
  <c r="G41" i="13"/>
  <c r="C42" i="13" s="1"/>
  <c r="AE43" i="14"/>
  <c r="AE45" i="14" s="1"/>
  <c r="AE49" i="14" s="1"/>
  <c r="AF218" i="7"/>
  <c r="AE205" i="7"/>
  <c r="AE215" i="7" s="1"/>
  <c r="AE206" i="7" l="1"/>
  <c r="AE212" i="7" s="1"/>
  <c r="AE213" i="7" s="1"/>
  <c r="AE52" i="14"/>
  <c r="AF48" i="14" s="1"/>
  <c r="AE50" i="14"/>
  <c r="E42" i="13"/>
  <c r="AE214" i="7" l="1"/>
  <c r="AF197" i="7"/>
  <c r="AF41" i="14"/>
  <c r="F42" i="13"/>
  <c r="AF42" i="14" l="1"/>
  <c r="AF43" i="14" s="1"/>
  <c r="AF45" i="14" s="1"/>
  <c r="AF49" i="14" s="1"/>
  <c r="G42" i="13"/>
  <c r="C43" i="13" s="1"/>
  <c r="AF204" i="7"/>
  <c r="AF205" i="7" s="1"/>
  <c r="AF215" i="7" s="1"/>
  <c r="AF50" i="14" l="1"/>
  <c r="AF51" i="14" s="1"/>
  <c r="AF55" i="14" s="1"/>
  <c r="AF206" i="7"/>
  <c r="AF212" i="7" s="1"/>
  <c r="AF213" i="7" s="1"/>
  <c r="AG218" i="7"/>
  <c r="E43" i="13"/>
  <c r="AF52" i="14" l="1"/>
  <c r="AG48" i="14" s="1"/>
  <c r="AG41" i="14"/>
  <c r="F43" i="13"/>
  <c r="AF214" i="7"/>
  <c r="AG197" i="7"/>
  <c r="AF56" i="14"/>
  <c r="AF57" i="14" s="1"/>
  <c r="AF62" i="14" l="1"/>
  <c r="AG62" i="14" s="1"/>
  <c r="AH62" i="14" s="1"/>
  <c r="AF63" i="14"/>
  <c r="AG63" i="14" s="1"/>
  <c r="AH63" i="14" s="1"/>
  <c r="AF58" i="14"/>
  <c r="AF60" i="14" s="1"/>
  <c r="AG204" i="7"/>
  <c r="AG205" i="7" s="1"/>
  <c r="AG215" i="7" s="1"/>
  <c r="AG42" i="14"/>
  <c r="G43" i="13"/>
  <c r="C44" i="13" s="1"/>
  <c r="AG43" i="14"/>
  <c r="AG45" i="14" s="1"/>
  <c r="AG49" i="14" s="1"/>
  <c r="AF59" i="14" l="1"/>
  <c r="AG52" i="14"/>
  <c r="AH48" i="14" s="1"/>
  <c r="AG50" i="14"/>
  <c r="E44" i="13"/>
  <c r="AG206" i="7"/>
  <c r="AG212" i="7" s="1"/>
  <c r="AG213" i="7" s="1"/>
  <c r="AH218" i="7"/>
  <c r="AG214" i="7" l="1"/>
  <c r="AH197" i="7"/>
  <c r="AH41" i="14"/>
  <c r="F44" i="13"/>
  <c r="AH42" i="14" l="1"/>
  <c r="AH43" i="14" s="1"/>
  <c r="AH45" i="14" s="1"/>
  <c r="AH49" i="14" s="1"/>
  <c r="G44" i="13"/>
  <c r="C45" i="13" s="1"/>
  <c r="AH204" i="7"/>
  <c r="AH52" i="14" l="1"/>
  <c r="AI48" i="14" s="1"/>
  <c r="AH50" i="14"/>
  <c r="AI218" i="7"/>
  <c r="AH205" i="7"/>
  <c r="AH215" i="7" s="1"/>
  <c r="E45" i="13"/>
  <c r="AI41" i="14" l="1"/>
  <c r="F45" i="13"/>
  <c r="AH206" i="7"/>
  <c r="AH212" i="7" s="1"/>
  <c r="AH213" i="7" s="1"/>
  <c r="AI42" i="14" l="1"/>
  <c r="G45" i="13"/>
  <c r="C46" i="13" s="1"/>
  <c r="AI197" i="7"/>
  <c r="AH214" i="7"/>
  <c r="AI43" i="14"/>
  <c r="AI45" i="14" s="1"/>
  <c r="AI49" i="14" s="1"/>
  <c r="AI204" i="7" l="1"/>
  <c r="AI50" i="14"/>
  <c r="AI51" i="14" s="1"/>
  <c r="AI55" i="14" s="1"/>
  <c r="E46" i="13"/>
  <c r="AI56" i="14" l="1"/>
  <c r="AI57" i="14" s="1"/>
  <c r="AJ218" i="7"/>
  <c r="AJ41" i="14"/>
  <c r="F46" i="13"/>
  <c r="AI52" i="14"/>
  <c r="AJ48" i="14" s="1"/>
  <c r="AI205" i="7"/>
  <c r="AI215" i="7" s="1"/>
  <c r="AI206" i="7" l="1"/>
  <c r="AI212" i="7" s="1"/>
  <c r="AI213" i="7" s="1"/>
  <c r="AI62" i="14"/>
  <c r="AJ62" i="14" s="1"/>
  <c r="AK62" i="14" s="1"/>
  <c r="AI63" i="14"/>
  <c r="AJ63" i="14" s="1"/>
  <c r="AK63" i="14" s="1"/>
  <c r="AJ42" i="14"/>
  <c r="AJ43" i="14" s="1"/>
  <c r="AJ45" i="14" s="1"/>
  <c r="AJ49" i="14" s="1"/>
  <c r="G46" i="13"/>
  <c r="C47" i="13" s="1"/>
  <c r="AI58" i="14"/>
  <c r="AI60" i="14" s="1"/>
  <c r="AJ50" i="14" l="1"/>
  <c r="AJ52" i="14"/>
  <c r="AK48" i="14" s="1"/>
  <c r="E47" i="13"/>
  <c r="AI59" i="14"/>
  <c r="AJ197" i="7"/>
  <c r="AI214" i="7"/>
  <c r="AK41" i="14" l="1"/>
  <c r="F47" i="13"/>
  <c r="AJ204" i="7"/>
  <c r="AJ205" i="7" s="1"/>
  <c r="AJ215" i="7" s="1"/>
  <c r="AK42" i="14" l="1"/>
  <c r="G47" i="13"/>
  <c r="C48" i="13" s="1"/>
  <c r="AJ206" i="7"/>
  <c r="AJ212" i="7" s="1"/>
  <c r="AJ213" i="7" s="1"/>
  <c r="AK218" i="7"/>
  <c r="AK43" i="14"/>
  <c r="AK45" i="14" s="1"/>
  <c r="AK49" i="14" s="1"/>
  <c r="AK50" i="14" l="1"/>
  <c r="AK52" i="14"/>
  <c r="AL48" i="14" s="1"/>
  <c r="AJ214" i="7"/>
  <c r="AK197" i="7"/>
  <c r="E48" i="13"/>
  <c r="AL41" i="14" l="1"/>
  <c r="F48" i="13"/>
  <c r="AK204" i="7"/>
  <c r="AK205" i="7" s="1"/>
  <c r="AK215" i="7" s="1"/>
  <c r="AL42" i="14" l="1"/>
  <c r="G48" i="13"/>
  <c r="AK206" i="7"/>
  <c r="AK212" i="7" s="1"/>
  <c r="AK213" i="7" s="1"/>
  <c r="AL218" i="7"/>
  <c r="AL43" i="14"/>
  <c r="AL45" i="14" s="1"/>
  <c r="AL49" i="14" s="1"/>
  <c r="AL50" i="14" l="1"/>
  <c r="AL51" i="14" s="1"/>
  <c r="AL55" i="14" s="1"/>
  <c r="C49" i="13"/>
  <c r="E64" i="15"/>
  <c r="AK214" i="7"/>
  <c r="AL197" i="7"/>
  <c r="AL204" i="7" l="1"/>
  <c r="AL205" i="7"/>
  <c r="AL215" i="7" s="1"/>
  <c r="E49" i="13"/>
  <c r="E78" i="15"/>
  <c r="E77" i="15"/>
  <c r="AL52" i="14"/>
  <c r="AL56" i="14"/>
  <c r="AM48" i="14" l="1"/>
  <c r="E51" i="15"/>
  <c r="AL57" i="14"/>
  <c r="AM41" i="14"/>
  <c r="F49" i="13"/>
  <c r="AL206" i="7"/>
  <c r="AL212" i="7" s="1"/>
  <c r="AL213" i="7" s="1"/>
  <c r="AM218" i="7"/>
  <c r="AL214" i="7" l="1"/>
  <c r="AM197" i="7"/>
  <c r="AM42" i="14"/>
  <c r="AM43" i="14" s="1"/>
  <c r="AM45" i="14" s="1"/>
  <c r="AM49" i="14" s="1"/>
  <c r="G49" i="13"/>
  <c r="C50" i="13" s="1"/>
  <c r="AL62" i="14"/>
  <c r="AL63" i="14"/>
  <c r="F47" i="15" a="1"/>
  <c r="F47" i="15" s="1"/>
  <c r="AL58" i="14"/>
  <c r="AL60" i="14" s="1"/>
  <c r="AM52" i="14" l="1"/>
  <c r="AN48" i="14" s="1"/>
  <c r="AM50" i="14"/>
  <c r="AM63" i="14"/>
  <c r="AN63" i="14" s="1"/>
  <c r="E62" i="15"/>
  <c r="AM204" i="7"/>
  <c r="AM205" i="7"/>
  <c r="AM215" i="7" s="1"/>
  <c r="AL59" i="14"/>
  <c r="AM62" i="14"/>
  <c r="AN62" i="14" s="1"/>
  <c r="E61" i="15"/>
  <c r="E50" i="13"/>
  <c r="AM206" i="7" l="1"/>
  <c r="AM212" i="7" s="1"/>
  <c r="AM213" i="7" s="1"/>
  <c r="AN218" i="7"/>
  <c r="AN41" i="14"/>
  <c r="F50" i="13"/>
  <c r="AN42" i="14" l="1"/>
  <c r="G50" i="13"/>
  <c r="C51" i="13" s="1"/>
  <c r="AN43" i="14"/>
  <c r="AN45" i="14" s="1"/>
  <c r="AN49" i="14" s="1"/>
  <c r="AN197" i="7"/>
  <c r="AM214" i="7"/>
  <c r="AN50" i="14" l="1"/>
  <c r="AN52" i="14"/>
  <c r="AO48" i="14" s="1"/>
  <c r="AN204" i="7"/>
  <c r="AN205" i="7" s="1"/>
  <c r="E51" i="13"/>
  <c r="D205" i="7" l="1"/>
  <c r="B242" i="7" s="1"/>
  <c r="AN215" i="7"/>
  <c r="AO41" i="14"/>
  <c r="F51" i="13"/>
  <c r="AN206" i="7"/>
  <c r="AN212" i="7" s="1"/>
  <c r="AN213" i="7" s="1"/>
  <c r="AO218" i="7"/>
  <c r="D204" i="7"/>
  <c r="B241" i="7" l="1"/>
  <c r="C225" i="7"/>
  <c r="D225" i="7" s="1"/>
  <c r="C227" i="7"/>
  <c r="D227" i="7" s="1"/>
  <c r="D206" i="7"/>
  <c r="D212" i="7" s="1"/>
  <c r="AO42" i="14"/>
  <c r="G51" i="13"/>
  <c r="C52" i="13" s="1"/>
  <c r="D215" i="7"/>
  <c r="C226" i="7"/>
  <c r="D226" i="7" s="1"/>
  <c r="AO197" i="7"/>
  <c r="D213" i="7"/>
  <c r="AN214" i="7"/>
  <c r="C224" i="7"/>
  <c r="D224" i="7" s="1"/>
  <c r="C229" i="7" s="1"/>
  <c r="D229" i="7" s="1"/>
  <c r="AO43" i="14"/>
  <c r="AO45" i="14" s="1"/>
  <c r="AO49" i="14" s="1"/>
  <c r="E52" i="13" l="1"/>
  <c r="AO50" i="14"/>
  <c r="AO51" i="14" s="1"/>
  <c r="AO55" i="14" s="1"/>
  <c r="AO204" i="7"/>
  <c r="D241" i="7"/>
  <c r="B243" i="7"/>
  <c r="D243" i="7" s="1"/>
  <c r="D244" i="7" s="1"/>
  <c r="AO52" i="14" l="1"/>
  <c r="AP48" i="14" s="1"/>
  <c r="H14" i="9" a="1"/>
  <c r="AO205" i="7"/>
  <c r="AO215" i="7" s="1"/>
  <c r="AO56" i="14"/>
  <c r="AP41" i="14"/>
  <c r="F52" i="13"/>
  <c r="H44" i="9" l="1"/>
  <c r="N44" i="9" s="1"/>
  <c r="H30" i="9"/>
  <c r="N30" i="9" s="1"/>
  <c r="H16" i="9"/>
  <c r="N16" i="9" s="1"/>
  <c r="H43" i="9"/>
  <c r="N43" i="9" s="1"/>
  <c r="H29" i="9"/>
  <c r="N29" i="9" s="1"/>
  <c r="H15" i="9"/>
  <c r="N15" i="9" s="1"/>
  <c r="H37" i="9"/>
  <c r="N37" i="9" s="1"/>
  <c r="H21" i="9"/>
  <c r="N21" i="9" s="1"/>
  <c r="H47" i="9"/>
  <c r="N47" i="9" s="1"/>
  <c r="H28" i="9"/>
  <c r="N28" i="9" s="1"/>
  <c r="H46" i="9"/>
  <c r="N46" i="9" s="1"/>
  <c r="H27" i="9"/>
  <c r="N27" i="9" s="1"/>
  <c r="H45" i="9"/>
  <c r="N45" i="9" s="1"/>
  <c r="H26" i="9"/>
  <c r="N26" i="9" s="1"/>
  <c r="H39" i="9"/>
  <c r="N39" i="9" s="1"/>
  <c r="H18" i="9"/>
  <c r="N18" i="9" s="1"/>
  <c r="H38" i="9"/>
  <c r="N38" i="9" s="1"/>
  <c r="H17" i="9"/>
  <c r="N17" i="9" s="1"/>
  <c r="H40" i="9"/>
  <c r="N40" i="9" s="1"/>
  <c r="H14" i="9"/>
  <c r="H36" i="9"/>
  <c r="N36" i="9" s="1"/>
  <c r="H34" i="9"/>
  <c r="N34" i="9" s="1"/>
  <c r="H33" i="9"/>
  <c r="N33" i="9" s="1"/>
  <c r="H32" i="9"/>
  <c r="N32" i="9" s="1"/>
  <c r="H31" i="9"/>
  <c r="N31" i="9" s="1"/>
  <c r="H24" i="9"/>
  <c r="N24" i="9" s="1"/>
  <c r="H23" i="9"/>
  <c r="N23" i="9" s="1"/>
  <c r="H49" i="9"/>
  <c r="N49" i="9" s="1"/>
  <c r="H48" i="9"/>
  <c r="N48" i="9" s="1"/>
  <c r="H42" i="9"/>
  <c r="N42" i="9" s="1"/>
  <c r="H41" i="9"/>
  <c r="N41" i="9" s="1"/>
  <c r="H35" i="9"/>
  <c r="N35" i="9" s="1"/>
  <c r="H19" i="9"/>
  <c r="N19" i="9" s="1"/>
  <c r="H25" i="9"/>
  <c r="N25" i="9" s="1"/>
  <c r="H20" i="9"/>
  <c r="N20" i="9" s="1"/>
  <c r="H22" i="9"/>
  <c r="N22" i="9" s="1"/>
  <c r="AO57" i="14"/>
  <c r="AO58" i="14" s="1"/>
  <c r="AO60" i="14" s="1"/>
  <c r="AP42" i="14"/>
  <c r="AP43" i="14" s="1"/>
  <c r="AP45" i="14" s="1"/>
  <c r="AP49" i="14" s="1"/>
  <c r="G52" i="13"/>
  <c r="C53" i="13" s="1"/>
  <c r="AO206" i="7"/>
  <c r="AO212" i="7" s="1"/>
  <c r="AO213" i="7" s="1"/>
  <c r="AO214" i="7" s="1"/>
  <c r="AP52" i="14" l="1"/>
  <c r="AQ48" i="14" s="1"/>
  <c r="AP50" i="14"/>
  <c r="AO62" i="14"/>
  <c r="AP62" i="14" s="1"/>
  <c r="AQ62" i="14" s="1"/>
  <c r="AO63" i="14"/>
  <c r="AP63" i="14" s="1"/>
  <c r="AQ63" i="14" s="1"/>
  <c r="E53" i="13"/>
  <c r="B55" i="9"/>
  <c r="AO59" i="14"/>
  <c r="AQ41" i="14" l="1"/>
  <c r="F53" i="13"/>
  <c r="AQ42" i="14" l="1"/>
  <c r="G53" i="13"/>
  <c r="C54" i="13" s="1"/>
  <c r="AQ43" i="14"/>
  <c r="AQ45" i="14" s="1"/>
  <c r="AQ49" i="14" s="1"/>
  <c r="AQ50" i="14" l="1"/>
  <c r="AQ52" i="14"/>
  <c r="AR48" i="14" s="1"/>
  <c r="E54" i="13"/>
  <c r="AR41" i="14" l="1"/>
  <c r="F54" i="13"/>
  <c r="AR42" i="14" l="1"/>
  <c r="AR43" i="14" s="1"/>
  <c r="AR45" i="14" s="1"/>
  <c r="AR49" i="14" s="1"/>
  <c r="G54" i="13"/>
  <c r="C55" i="13" s="1"/>
  <c r="AR50" i="14" l="1"/>
  <c r="AR51" i="14" s="1"/>
  <c r="AR55" i="14" s="1"/>
  <c r="E55" i="13"/>
  <c r="AS41" i="14" l="1"/>
  <c r="F55" i="13"/>
  <c r="AR56" i="14"/>
  <c r="AR52" i="14"/>
  <c r="AS48" i="14" s="1"/>
  <c r="AR57" i="14" l="1"/>
  <c r="AS42" i="14"/>
  <c r="G55" i="13"/>
  <c r="C56" i="13" s="1"/>
  <c r="AS43" i="14"/>
  <c r="AS45" i="14" s="1"/>
  <c r="AS49" i="14" s="1"/>
  <c r="AS52" i="14" s="1"/>
  <c r="AT48" i="14" s="1"/>
  <c r="E56" i="13" l="1"/>
  <c r="AR62" i="14"/>
  <c r="AS62" i="14" s="1"/>
  <c r="AT62" i="14" s="1"/>
  <c r="AR63" i="14"/>
  <c r="AS63" i="14" s="1"/>
  <c r="AT63" i="14" s="1"/>
  <c r="AS50" i="14"/>
  <c r="AR58" i="14"/>
  <c r="AR60" i="14" l="1"/>
  <c r="AR59" i="14"/>
  <c r="AT41" i="14"/>
  <c r="F56" i="13"/>
  <c r="AT42" i="14" l="1"/>
  <c r="G56" i="13"/>
  <c r="C57" i="13" s="1"/>
  <c r="AT43" i="14"/>
  <c r="AT45" i="14" s="1"/>
  <c r="AT49" i="14" s="1"/>
  <c r="E57" i="13" l="1"/>
  <c r="AT50" i="14"/>
  <c r="AT52" i="14"/>
  <c r="AU48" i="14" s="1"/>
  <c r="AU41" i="14" l="1"/>
  <c r="F57" i="13"/>
  <c r="AU42" i="14" l="1"/>
  <c r="G57" i="13"/>
  <c r="C58" i="13" s="1"/>
  <c r="AU43" i="14"/>
  <c r="AU45" i="14" s="1"/>
  <c r="AU49" i="14" s="1"/>
  <c r="AU50" i="14" l="1"/>
  <c r="AU51" i="14" s="1"/>
  <c r="AU55" i="14" s="1"/>
  <c r="AU52" i="14"/>
  <c r="AV48" i="14" s="1"/>
  <c r="E58" i="13"/>
  <c r="AV41" i="14" l="1"/>
  <c r="F58" i="13"/>
  <c r="AU56" i="14"/>
  <c r="AU57" i="14" s="1"/>
  <c r="AU58" i="14" s="1"/>
  <c r="AU60" i="14" s="1"/>
  <c r="AU62" i="14" l="1"/>
  <c r="AV62" i="14" s="1"/>
  <c r="AW62" i="14" s="1"/>
  <c r="AU63" i="14"/>
  <c r="AV63" i="14" s="1"/>
  <c r="AW63" i="14" s="1"/>
  <c r="AV42" i="14"/>
  <c r="G58" i="13"/>
  <c r="C59" i="13" s="1"/>
  <c r="AU59" i="14"/>
  <c r="AV43" i="14"/>
  <c r="AV45" i="14" s="1"/>
  <c r="AV49" i="14" s="1"/>
  <c r="AV50" i="14" l="1"/>
  <c r="AV52" i="14"/>
  <c r="AW48" i="14" s="1"/>
  <c r="E59" i="13"/>
  <c r="AW41" i="14" l="1"/>
  <c r="F59" i="13"/>
  <c r="AW42" i="14" l="1"/>
  <c r="G59" i="13"/>
  <c r="C60" i="13" s="1"/>
  <c r="AW43" i="14"/>
  <c r="AW45" i="14" s="1"/>
  <c r="AW49" i="14" s="1"/>
  <c r="AW50" i="14" l="1"/>
  <c r="AW52" i="14"/>
  <c r="AX48" i="14" s="1"/>
  <c r="E60" i="13"/>
  <c r="AX41" i="14" l="1"/>
  <c r="F60" i="13"/>
  <c r="AX42" i="14" l="1"/>
  <c r="G60" i="13"/>
  <c r="AX43" i="14"/>
  <c r="AX45" i="14" s="1"/>
  <c r="AX49" i="14" s="1"/>
  <c r="C61" i="13" l="1"/>
  <c r="F64" i="15"/>
  <c r="AX50" i="14"/>
  <c r="AX51" i="14" s="1"/>
  <c r="AX55" i="14" s="1"/>
  <c r="AX52" i="14" l="1"/>
  <c r="AX56" i="14"/>
  <c r="F78" i="15"/>
  <c r="F77" i="15"/>
  <c r="E61" i="13"/>
  <c r="AY41" i="14" l="1"/>
  <c r="F61" i="13"/>
  <c r="AX57" i="14"/>
  <c r="AY48" i="14"/>
  <c r="F51" i="15"/>
  <c r="G47" i="15" l="1" a="1"/>
  <c r="G47" i="15" s="1"/>
  <c r="AY42" i="14"/>
  <c r="G61" i="13"/>
  <c r="C62" i="13" s="1"/>
  <c r="AX63" i="14"/>
  <c r="AX62" i="14"/>
  <c r="AX58" i="14"/>
  <c r="AY43" i="14"/>
  <c r="AY45" i="14" s="1"/>
  <c r="AY49" i="14" s="1"/>
  <c r="AY50" i="14" s="1"/>
  <c r="AX60" i="14" l="1"/>
  <c r="AX59" i="14"/>
  <c r="E62" i="13"/>
  <c r="AY62" i="14"/>
  <c r="AZ62" i="14" s="1"/>
  <c r="F61" i="15"/>
  <c r="AY63" i="14"/>
  <c r="AZ63" i="14" s="1"/>
  <c r="F62" i="15"/>
  <c r="AY52" i="14"/>
  <c r="AZ48" i="14" s="1"/>
  <c r="AZ41" i="14" l="1"/>
  <c r="F62" i="13"/>
  <c r="AZ42" i="14" l="1"/>
  <c r="G62" i="13"/>
  <c r="C63" i="13" s="1"/>
  <c r="AZ43" i="14"/>
  <c r="AZ45" i="14" s="1"/>
  <c r="AZ49" i="14" s="1"/>
  <c r="AZ50" i="14" l="1"/>
  <c r="AZ52" i="14"/>
  <c r="BA48" i="14" s="1"/>
  <c r="E63" i="13"/>
  <c r="BA41" i="14" l="1"/>
  <c r="F63" i="13"/>
  <c r="BA42" i="14" l="1"/>
  <c r="G63" i="13"/>
  <c r="C64" i="13" s="1"/>
  <c r="BA43" i="14"/>
  <c r="BA45" i="14" s="1"/>
  <c r="BA49" i="14" s="1"/>
  <c r="BA50" i="14" l="1"/>
  <c r="BA51" i="14" s="1"/>
  <c r="BA55" i="14" s="1"/>
  <c r="E64" i="13"/>
  <c r="BB41" i="14" l="1"/>
  <c r="F64" i="13"/>
  <c r="BA56" i="14"/>
  <c r="BA57" i="14" s="1"/>
  <c r="BA52" i="14"/>
  <c r="BB48" i="14" s="1"/>
  <c r="BA63" i="14" l="1"/>
  <c r="BB63" i="14" s="1"/>
  <c r="BC63" i="14" s="1"/>
  <c r="BA62" i="14"/>
  <c r="BB62" i="14" s="1"/>
  <c r="BC62" i="14" s="1"/>
  <c r="BB42" i="14"/>
  <c r="G64" i="13"/>
  <c r="C65" i="13" s="1"/>
  <c r="BA58" i="14"/>
  <c r="BA60" i="14" s="1"/>
  <c r="BB43" i="14"/>
  <c r="BB45" i="14" s="1"/>
  <c r="BB49" i="14" s="1"/>
  <c r="BB50" i="14" s="1"/>
  <c r="E65" i="13" l="1"/>
  <c r="BB52" i="14"/>
  <c r="BC48" i="14" s="1"/>
  <c r="BA59" i="14"/>
  <c r="BC41" i="14" l="1"/>
  <c r="F65" i="13"/>
  <c r="BC42" i="14" l="1"/>
  <c r="G65" i="13"/>
  <c r="C66" i="13" s="1"/>
  <c r="BC43" i="14"/>
  <c r="BC45" i="14" s="1"/>
  <c r="BC49" i="14" s="1"/>
  <c r="BC50" i="14" l="1"/>
  <c r="BC52" i="14"/>
  <c r="BD48" i="14" s="1"/>
  <c r="E66" i="13"/>
  <c r="BD41" i="14" l="1"/>
  <c r="F66" i="13"/>
  <c r="BD42" i="14" l="1"/>
  <c r="G66" i="13"/>
  <c r="C67" i="13" s="1"/>
  <c r="BD43" i="14"/>
  <c r="BD45" i="14" s="1"/>
  <c r="BD49" i="14" s="1"/>
  <c r="E67" i="13" l="1"/>
  <c r="BD50" i="14"/>
  <c r="BD51" i="14" s="1"/>
  <c r="BD55" i="14" s="1"/>
  <c r="BD52" i="14" l="1"/>
  <c r="BE48" i="14" s="1"/>
  <c r="BD56" i="14"/>
  <c r="BE41" i="14"/>
  <c r="F67" i="13"/>
  <c r="BE42" i="14" l="1"/>
  <c r="G67" i="13"/>
  <c r="C68" i="13" s="1"/>
  <c r="BE43" i="14"/>
  <c r="BE45" i="14" s="1"/>
  <c r="BE49" i="14" s="1"/>
  <c r="BD57" i="14"/>
  <c r="BD58" i="14"/>
  <c r="BD60" i="14" s="1"/>
  <c r="BE50" i="14"/>
  <c r="BE52" i="14"/>
  <c r="BF48" i="14" s="1"/>
  <c r="E68" i="13" l="1"/>
  <c r="BD63" i="14"/>
  <c r="BE63" i="14" s="1"/>
  <c r="BF63" i="14" s="1"/>
  <c r="BD62" i="14"/>
  <c r="BE62" i="14" s="1"/>
  <c r="BF62" i="14" s="1"/>
  <c r="BD59" i="14"/>
  <c r="BF41" i="14" l="1"/>
  <c r="F68" i="13"/>
  <c r="BF42" i="14" l="1"/>
  <c r="G68" i="13"/>
  <c r="C69" i="13" s="1"/>
  <c r="BF43" i="14"/>
  <c r="BF45" i="14" s="1"/>
  <c r="BF49" i="14" s="1"/>
  <c r="BF50" i="14" l="1"/>
  <c r="BF52" i="14"/>
  <c r="BG48" i="14" s="1"/>
  <c r="E69" i="13"/>
  <c r="BG41" i="14" l="1"/>
  <c r="F69" i="13"/>
  <c r="BG42" i="14" l="1"/>
  <c r="G69" i="13"/>
  <c r="C70" i="13" s="1"/>
  <c r="BG43" i="14"/>
  <c r="BG45" i="14" s="1"/>
  <c r="BG49" i="14" s="1"/>
  <c r="BG50" i="14" l="1"/>
  <c r="BG51" i="14" s="1"/>
  <c r="BG55" i="14" s="1"/>
  <c r="E70" i="13"/>
  <c r="BH41" i="14" l="1"/>
  <c r="F70" i="13"/>
  <c r="BG52" i="14"/>
  <c r="BH48" i="14" s="1"/>
  <c r="BG56" i="14"/>
  <c r="BG57" i="14" s="1"/>
  <c r="BG58" i="14" s="1"/>
  <c r="BG60" i="14" s="1"/>
  <c r="BG63" i="14" l="1"/>
  <c r="BH63" i="14" s="1"/>
  <c r="BI63" i="14" s="1"/>
  <c r="BG62" i="14"/>
  <c r="BH62" i="14" s="1"/>
  <c r="BI62" i="14" s="1"/>
  <c r="BG59" i="14"/>
  <c r="BH42" i="14"/>
  <c r="G70" i="13"/>
  <c r="C71" i="13" s="1"/>
  <c r="BH43" i="14"/>
  <c r="BH45" i="14" s="1"/>
  <c r="BH49" i="14" s="1"/>
  <c r="BH50" i="14" s="1"/>
  <c r="E71" i="13" l="1"/>
  <c r="BH52" i="14"/>
  <c r="BI48" i="14" s="1"/>
  <c r="BI41" i="14" l="1"/>
  <c r="F71" i="13"/>
  <c r="BI42" i="14" l="1"/>
  <c r="G71" i="13"/>
  <c r="C72" i="13" s="1"/>
  <c r="BI43" i="14"/>
  <c r="BI45" i="14" s="1"/>
  <c r="BI49" i="14" s="1"/>
  <c r="BI52" i="14" l="1"/>
  <c r="BJ48" i="14" s="1"/>
  <c r="BI50" i="14"/>
  <c r="E72" i="13"/>
  <c r="BJ41" i="14" l="1"/>
  <c r="F72" i="13"/>
  <c r="E73" i="13"/>
  <c r="BJ42" i="14" l="1"/>
  <c r="F73" i="13"/>
  <c r="G72" i="13"/>
  <c r="BJ43" i="14"/>
  <c r="F40" i="15"/>
  <c r="F76" i="15" s="1"/>
  <c r="C40" i="15"/>
  <c r="C76" i="15" s="1"/>
  <c r="E40" i="15"/>
  <c r="E76" i="15" s="1"/>
  <c r="G40" i="15"/>
  <c r="G76" i="15" s="1"/>
  <c r="B40" i="15"/>
  <c r="D40" i="15"/>
  <c r="D76" i="15" s="1"/>
  <c r="B76" i="15" l="1"/>
  <c r="H40" i="15"/>
  <c r="BJ45" i="14"/>
  <c r="E42" i="15"/>
  <c r="E75" i="15" s="1"/>
  <c r="F42" i="15"/>
  <c r="F75" i="15" s="1"/>
  <c r="C42" i="15"/>
  <c r="C75" i="15" s="1"/>
  <c r="D42" i="15"/>
  <c r="D75" i="15" s="1"/>
  <c r="G42" i="15"/>
  <c r="G75" i="15" s="1"/>
  <c r="B42" i="15"/>
  <c r="G74" i="13"/>
  <c r="G64" i="15"/>
  <c r="F41" i="15"/>
  <c r="B41" i="15"/>
  <c r="E41" i="15"/>
  <c r="D41" i="15"/>
  <c r="C41" i="15"/>
  <c r="G41" i="15"/>
  <c r="G78" i="15" l="1"/>
  <c r="G77" i="15"/>
  <c r="B101" i="15"/>
  <c r="I64" i="15"/>
  <c r="J64" i="15"/>
  <c r="H41" i="15"/>
  <c r="BJ49" i="14"/>
  <c r="B44" i="15"/>
  <c r="D44" i="15"/>
  <c r="C44" i="15"/>
  <c r="F44" i="15"/>
  <c r="E44" i="15"/>
  <c r="G44" i="15"/>
  <c r="B75" i="15"/>
  <c r="H42" i="15"/>
  <c r="G88" i="15" l="1"/>
  <c r="G67" i="15"/>
  <c r="G70" i="15"/>
  <c r="E67" i="15"/>
  <c r="E88" i="15"/>
  <c r="E70" i="15"/>
  <c r="D67" i="15"/>
  <c r="D88" i="15"/>
  <c r="D70" i="15"/>
  <c r="F67" i="15"/>
  <c r="F88" i="15"/>
  <c r="F70" i="15"/>
  <c r="C67" i="15"/>
  <c r="C88" i="15"/>
  <c r="C70" i="15"/>
  <c r="B88" i="15"/>
  <c r="B67" i="15"/>
  <c r="H44" i="15"/>
  <c r="B70" i="15"/>
  <c r="G48" i="15"/>
  <c r="D48" i="15"/>
  <c r="F48" i="15"/>
  <c r="E48" i="15"/>
  <c r="C48" i="15"/>
  <c r="B48" i="15"/>
  <c r="H48" i="15" s="1"/>
  <c r="BJ50" i="14"/>
  <c r="BJ51" i="14" s="1"/>
  <c r="BJ52" i="14" s="1"/>
  <c r="I42" i="15"/>
  <c r="J42" i="15"/>
  <c r="B102" i="15"/>
  <c r="BK48" i="14" l="1"/>
  <c r="G51" i="15"/>
  <c r="H51" i="15" s="1"/>
  <c r="BJ55" i="14"/>
  <c r="F50" i="15"/>
  <c r="D50" i="15"/>
  <c r="C50" i="15"/>
  <c r="B50" i="15"/>
  <c r="E50" i="15"/>
  <c r="G50" i="15"/>
  <c r="I44" i="15"/>
  <c r="B105" i="15"/>
  <c r="J44" i="15"/>
  <c r="J70" i="15" s="1"/>
  <c r="J54" i="15" l="1"/>
  <c r="I54" i="15"/>
  <c r="G122" i="15"/>
  <c r="E122" i="15"/>
  <c r="E123" i="15"/>
  <c r="E121" i="15"/>
  <c r="E120" i="15"/>
  <c r="H50" i="15"/>
  <c r="I69" i="15" s="1"/>
  <c r="G69" i="15"/>
  <c r="F69" i="15"/>
  <c r="C122" i="15"/>
  <c r="F71" i="15" s="1"/>
  <c r="E69" i="15"/>
  <c r="C121" i="15"/>
  <c r="C123" i="15"/>
  <c r="C120" i="15"/>
  <c r="B69" i="15"/>
  <c r="D69" i="15"/>
  <c r="C69" i="15"/>
  <c r="D122" i="15"/>
  <c r="D120" i="15"/>
  <c r="D121" i="15"/>
  <c r="D123" i="15"/>
  <c r="BJ56" i="14"/>
  <c r="E54" i="15"/>
  <c r="F54" i="15"/>
  <c r="C54" i="15"/>
  <c r="B54" i="15"/>
  <c r="G54" i="15"/>
  <c r="D54" i="15"/>
  <c r="F122" i="15"/>
  <c r="F123" i="15"/>
  <c r="F121" i="15"/>
  <c r="BK50" i="14"/>
  <c r="BK52" i="14"/>
  <c r="D55" i="15" l="1"/>
  <c r="G55" i="15"/>
  <c r="C55" i="15"/>
  <c r="E55" i="15"/>
  <c r="F55" i="15"/>
  <c r="B55" i="15"/>
  <c r="H55" i="15" s="1"/>
  <c r="BJ57" i="14"/>
  <c r="BJ58" i="14" s="1"/>
  <c r="F49" i="15"/>
  <c r="D49" i="15"/>
  <c r="C49" i="15"/>
  <c r="E49" i="15"/>
  <c r="G49" i="15"/>
  <c r="B49" i="15"/>
  <c r="G123" i="15"/>
  <c r="G72" i="15" s="1"/>
  <c r="H54" i="15"/>
  <c r="D71" i="15"/>
  <c r="E72" i="15"/>
  <c r="E71" i="15"/>
  <c r="F72" i="15"/>
  <c r="H71" i="15" l="1"/>
  <c r="I72" i="15"/>
  <c r="I71" i="15"/>
  <c r="G71" i="15"/>
  <c r="J72" i="15"/>
  <c r="F56" i="15"/>
  <c r="B56" i="15"/>
  <c r="E56" i="15"/>
  <c r="D56" i="15"/>
  <c r="G56" i="15"/>
  <c r="C56" i="15"/>
  <c r="BJ63" i="14"/>
  <c r="BJ62" i="14"/>
  <c r="BJ60" i="14"/>
  <c r="D57" i="15"/>
  <c r="G57" i="15"/>
  <c r="F57" i="15"/>
  <c r="E57" i="15"/>
  <c r="C57" i="15"/>
  <c r="B57" i="15"/>
  <c r="H49" i="15"/>
  <c r="BJ59" i="14"/>
  <c r="D59" i="15" l="1"/>
  <c r="F59" i="15"/>
  <c r="C59" i="15"/>
  <c r="G59" i="15"/>
  <c r="E59" i="15"/>
  <c r="B59" i="15"/>
  <c r="H59" i="15" s="1"/>
  <c r="BK62" i="14"/>
  <c r="G61" i="15"/>
  <c r="E58" i="15"/>
  <c r="C58" i="15"/>
  <c r="F58" i="15"/>
  <c r="D58" i="15"/>
  <c r="B58" i="15"/>
  <c r="G58" i="15"/>
  <c r="BK63" i="14"/>
  <c r="G62" i="15"/>
  <c r="H56" i="15"/>
  <c r="H57" i="15"/>
  <c r="E129" i="15" l="1"/>
  <c r="E126" i="15"/>
  <c r="E128" i="15"/>
  <c r="E127" i="15"/>
  <c r="G128" i="15"/>
  <c r="H61" i="15"/>
  <c r="C127" i="15"/>
  <c r="C129" i="15"/>
  <c r="C128" i="15"/>
  <c r="H58" i="15"/>
  <c r="C126" i="15"/>
  <c r="E73" i="15" s="1"/>
  <c r="D127" i="15"/>
  <c r="D129" i="15"/>
  <c r="D128" i="15"/>
  <c r="D126" i="15"/>
  <c r="F129" i="15"/>
  <c r="F127" i="15"/>
  <c r="F128" i="15"/>
  <c r="B106" i="15"/>
  <c r="B107" i="15" s="1"/>
  <c r="H62" i="15"/>
  <c r="F73" i="15" l="1"/>
  <c r="J55" i="15"/>
  <c r="I55" i="15"/>
  <c r="B108" i="15"/>
  <c r="B109" i="15" l="1"/>
  <c r="I56" i="15"/>
  <c r="J56" i="15"/>
  <c r="I61" i="15" l="1"/>
  <c r="I62" i="15"/>
  <c r="J62" i="15"/>
  <c r="J61" i="15"/>
  <c r="I57" i="15"/>
  <c r="B111" i="15"/>
  <c r="J57" i="15"/>
  <c r="B110" i="15"/>
  <c r="B112" i="15" l="1"/>
  <c r="I58" i="15"/>
  <c r="J58" i="15"/>
  <c r="G129" i="15"/>
  <c r="J59" i="15"/>
  <c r="I59" i="15"/>
  <c r="J73" i="15" l="1"/>
  <c r="I73" i="15"/>
  <c r="G73" i="15"/>
</calcChain>
</file>

<file path=xl/sharedStrings.xml><?xml version="1.0" encoding="utf-8"?>
<sst xmlns="http://schemas.openxmlformats.org/spreadsheetml/2006/main" count="1994" uniqueCount="799">
  <si>
    <t>CONSTRUCTION-TO-PERMANENT FINANCIAL MODEL</t>
  </si>
  <si>
    <t>INPUTS &amp; ASSUMPTIONS</t>
  </si>
  <si>
    <t>PROJECT INFORMATION</t>
  </si>
  <si>
    <t>Project Name</t>
  </si>
  <si>
    <t>Campus Adele</t>
  </si>
  <si>
    <t>Location</t>
  </si>
  <si>
    <t>Quebec</t>
  </si>
  <si>
    <t>Construction Start Date</t>
  </si>
  <si>
    <t>2025-03-01</t>
  </si>
  <si>
    <t>Construction Duration</t>
  </si>
  <si>
    <t>months</t>
  </si>
  <si>
    <t>Months Until First Units Ready</t>
  </si>
  <si>
    <t>Gap to Permanent Financing</t>
  </si>
  <si>
    <t>Permanent Loan Term</t>
  </si>
  <si>
    <t>Exit Timing (Post-Construction)</t>
  </si>
  <si>
    <t>CONSTRUCTION BUDGET</t>
  </si>
  <si>
    <t>Land - Purchase Price</t>
  </si>
  <si>
    <t>Land - Recognized Value</t>
  </si>
  <si>
    <t>Hard Costs by Category</t>
  </si>
  <si>
    <t>Budget</t>
  </si>
  <si>
    <t>Phasing %</t>
  </si>
  <si>
    <t>Holdback %</t>
  </si>
  <si>
    <t>Release (mo)</t>
  </si>
  <si>
    <t>Site Work &amp; Demolition</t>
  </si>
  <si>
    <t>Equal</t>
  </si>
  <si>
    <t>Foundation &amp; Structure</t>
  </si>
  <si>
    <t>Front-loaded</t>
  </si>
  <si>
    <t>Building Envelope</t>
  </si>
  <si>
    <t>Mid-weighted</t>
  </si>
  <si>
    <t>MEP Systems</t>
  </si>
  <si>
    <t>Interior Finishes</t>
  </si>
  <si>
    <t>Back-loaded</t>
  </si>
  <si>
    <t>Landscaping &amp; Site</t>
  </si>
  <si>
    <t>Soft Costs by Category</t>
  </si>
  <si>
    <t>Architecture &amp; Engineering</t>
  </si>
  <si>
    <t>Permits &amp; Approvals</t>
  </si>
  <si>
    <t>Legal &amp; Financing Fees</t>
  </si>
  <si>
    <t>Development Management</t>
  </si>
  <si>
    <t>Marketing &amp; Leasing</t>
  </si>
  <si>
    <t>Contingency</t>
  </si>
  <si>
    <t>CONSTRUCTION FINANCING - SENIOR LOAN</t>
  </si>
  <si>
    <t>Loan-to-Cost (LTC) %</t>
  </si>
  <si>
    <t>%</t>
  </si>
  <si>
    <t>Interest Rate (Annual)</t>
  </si>
  <si>
    <t>Commitment Fee</t>
  </si>
  <si>
    <t>Loan Amount</t>
  </si>
  <si>
    <t>SUBORDINATED LOAN #1 - PREFERRED EQUITY</t>
  </si>
  <si>
    <t>Draw Priority</t>
  </si>
  <si>
    <t>SUBORDINATED LOAN #2 - MEZZANINE</t>
  </si>
  <si>
    <t>GST/QST</t>
  </si>
  <si>
    <t>CASH MANAGEMENT</t>
  </si>
  <si>
    <t>Minimum Cash Balance</t>
  </si>
  <si>
    <t>Target minimum cash to maintain</t>
  </si>
  <si>
    <t>Sales Tax LOC Limit</t>
  </si>
  <si>
    <t>Maximum Sales Tax LOC</t>
  </si>
  <si>
    <t>GST/QST LOC Facility Size</t>
  </si>
  <si>
    <t>PERMANENT FINANCING</t>
  </si>
  <si>
    <t>Permanent Loan Amount</t>
  </si>
  <si>
    <t>$</t>
  </si>
  <si>
    <t>CMB Rate</t>
  </si>
  <si>
    <t>Markup</t>
  </si>
  <si>
    <t>Total Interest Rate</t>
  </si>
  <si>
    <t>Amortization Period</t>
  </si>
  <si>
    <t>years</t>
  </si>
  <si>
    <t>DSCR Covenant Minimum</t>
  </si>
  <si>
    <t>x</t>
  </si>
  <si>
    <t>EQUITY</t>
  </si>
  <si>
    <t>Class E (LP) Total Commitment</t>
  </si>
  <si>
    <t>Class A (GP) Land Contribution</t>
  </si>
  <si>
    <t>(recognized value)</t>
  </si>
  <si>
    <t>Preferred Return % (Annual)</t>
  </si>
  <si>
    <t>REVENUE ASSUMPTIONS</t>
  </si>
  <si>
    <t>Total Parking Spaces</t>
  </si>
  <si>
    <t>Revenue-Generating Parking Spaces</t>
  </si>
  <si>
    <t>Parking Rate</t>
  </si>
  <si>
    <t>$/month</t>
  </si>
  <si>
    <t>Internet Rate per Unit</t>
  </si>
  <si>
    <t>EV Charging Stations</t>
  </si>
  <si>
    <t>EV Charging Rate</t>
  </si>
  <si>
    <t>Annual Revenue Growth</t>
  </si>
  <si>
    <t>Lease-Up Lag (Months)</t>
  </si>
  <si>
    <t>Stabilized Vacancy %</t>
  </si>
  <si>
    <t>Service Revenue Escalation</t>
  </si>
  <si>
    <t>OPERATING EXPENSES</t>
  </si>
  <si>
    <t>Municipal Tax - Mill Rate</t>
  </si>
  <si>
    <t>School Tax - Mill Rate</t>
  </si>
  <si>
    <t>Tax Start Delay (Post-Construction)</t>
  </si>
  <si>
    <t>Tax Assessment Escalation</t>
  </si>
  <si>
    <t>Operating Expense Line Items</t>
  </si>
  <si>
    <t>Annual Amount</t>
  </si>
  <si>
    <t>Escalation %</t>
  </si>
  <si>
    <t>Insurance</t>
  </si>
  <si>
    <t>Repairs &amp; Maintenance</t>
  </si>
  <si>
    <t>Outdoor Amenities Maintenance</t>
  </si>
  <si>
    <t>Snow Removal, Grass, Garbage</t>
  </si>
  <si>
    <t>Janitor</t>
  </si>
  <si>
    <t>Cleaning Reserve on Turnover</t>
  </si>
  <si>
    <t>Security &amp; Monitoring</t>
  </si>
  <si>
    <t>Internet</t>
  </si>
  <si>
    <t>Electricity (Common)</t>
  </si>
  <si>
    <t>Administration (% of EGI)</t>
  </si>
  <si>
    <t>RESERVES</t>
  </si>
  <si>
    <t>Appliance/Furniture Reserve</t>
  </si>
  <si>
    <t>$/unit/year</t>
  </si>
  <si>
    <t>Structural Reserve</t>
  </si>
  <si>
    <t>% of EGI</t>
  </si>
  <si>
    <t>DISTRIBUTIONS</t>
  </si>
  <si>
    <t>Distribution Frequency</t>
  </si>
  <si>
    <t>Quarterly</t>
  </si>
  <si>
    <t>Waterfall Structure</t>
  </si>
  <si>
    <t xml:space="preserve">  Tier 1: Preferred Return %</t>
  </si>
  <si>
    <t>% (annual)</t>
  </si>
  <si>
    <t xml:space="preserve">  Tier 2: Return of Capital</t>
  </si>
  <si>
    <t>100%</t>
  </si>
  <si>
    <t xml:space="preserve">  Tier 3: Profit Split - Class E (LP)</t>
  </si>
  <si>
    <t xml:space="preserve">  Tier 3: Profit Split - Class A (GP)</t>
  </si>
  <si>
    <t>EXIT</t>
  </si>
  <si>
    <t>Exit Cap Rate</t>
  </si>
  <si>
    <t>Disposition Costs</t>
  </si>
  <si>
    <t>% of sale price</t>
  </si>
  <si>
    <t>Other Exit Costs</t>
  </si>
  <si>
    <t>BUDGET INPUT DATA</t>
  </si>
  <si>
    <t>Imported from ryanbudget.csv - Edit phasing, holdback, and eligibility as needed</t>
  </si>
  <si>
    <t>Row #</t>
  </si>
  <si>
    <t>Category</t>
  </si>
  <si>
    <t>Subcategory</t>
  </si>
  <si>
    <t>Budget Amount</t>
  </si>
  <si>
    <t>Phasing Pattern</t>
  </si>
  <si>
    <t>Holdback Release (mo after constr)</t>
  </si>
  <si>
    <t>GST/QST Eligible</t>
  </si>
  <si>
    <t>Yes</t>
  </si>
  <si>
    <t>1. LAND</t>
  </si>
  <si>
    <t>Land Acquisition</t>
  </si>
  <si>
    <t>Upfront</t>
  </si>
  <si>
    <t>Notary and cadastre</t>
  </si>
  <si>
    <t>Cadastral operation</t>
  </si>
  <si>
    <t>2. SITE SERVICING + LANDSCAPE</t>
  </si>
  <si>
    <t>Extension of services:Excavation &amp; Backfill - Adjustment for Bldgs 5 &amp; 6</t>
  </si>
  <si>
    <t>Extension of services:Excavation &amp; Backfill - Trailer pad, Access road, Septic tank</t>
  </si>
  <si>
    <t>Extension of services:Credit - Reservoir change</t>
  </si>
  <si>
    <t>Extension of services:Excavation &amp; Backfill - Campus Civil</t>
  </si>
  <si>
    <t>Extension of services:Excavation &amp; backfill - Extension - Mtee Ryan Civil</t>
  </si>
  <si>
    <t>Onsite services - civil:Excavation &amp; Backfill (PC)</t>
  </si>
  <si>
    <t>Landscaping:Excavation &amp; Backfill - Landscaping</t>
  </si>
  <si>
    <t>Electrical services</t>
  </si>
  <si>
    <t>Electrical charging stations</t>
  </si>
  <si>
    <t>3. HARD COSTS</t>
  </si>
  <si>
    <t>Admin and profit</t>
  </si>
  <si>
    <t>Insurance and bonding:Insurance</t>
  </si>
  <si>
    <t>Insurance and bonding:Wrap-up</t>
  </si>
  <si>
    <t>Insurance and bonding:Bris des Machines</t>
  </si>
  <si>
    <t>Insurance and bonding:L&amp;M and Performance Bonds</t>
  </si>
  <si>
    <t>General conditions:CoSS Agent</t>
  </si>
  <si>
    <t>General conditions:RSS Agent</t>
  </si>
  <si>
    <t>General conditions:Superintendent 1</t>
  </si>
  <si>
    <t>General conditions:Superintendent 2</t>
  </si>
  <si>
    <t>General conditions:Project Manager</t>
  </si>
  <si>
    <t>General conditions:Labourer</t>
  </si>
  <si>
    <t>General Conditions: Logding</t>
  </si>
  <si>
    <t>General conditions:Site fencing</t>
  </si>
  <si>
    <t>General Conditions: Printing</t>
  </si>
  <si>
    <t>General conditions:Scaffolding-Cranes-Nacelles</t>
  </si>
  <si>
    <t>General conditions:Tool rental</t>
  </si>
  <si>
    <t>General conditions:Garbage chutes</t>
  </si>
  <si>
    <t>General conditions:Garbage containers</t>
  </si>
  <si>
    <t>General conditions:Site trailers - Rental</t>
  </si>
  <si>
    <t>General conditions:Storage container rental</t>
  </si>
  <si>
    <t>General conditions:Sanitary trailer - Rental/Purchase - Portable Toilets</t>
  </si>
  <si>
    <t>General conditions:Winter conditions</t>
  </si>
  <si>
    <t>General conditions:Camera Security - Equipement</t>
  </si>
  <si>
    <t>General conditions:Camera Security - Monthly surveillance fees</t>
  </si>
  <si>
    <t>General conditions:Temporary Electrical - Installation</t>
  </si>
  <si>
    <t>General conditions:Temporary Electrical - Consumption</t>
  </si>
  <si>
    <t>General conditions:Trailer &amp; WC maintenance</t>
  </si>
  <si>
    <t>General conditions:Daily cleaning</t>
  </si>
  <si>
    <t>General conditions:Final Cleaning</t>
  </si>
  <si>
    <t>General conditions:Laboratory &amp; Testing</t>
  </si>
  <si>
    <t>General conditions:Surveyor</t>
  </si>
  <si>
    <t>General conditions:Project signage</t>
  </si>
  <si>
    <t>General conditions:Miscellaneous</t>
  </si>
  <si>
    <t>Formwork:Concrete purchases - Hambro floors</t>
  </si>
  <si>
    <t>Formwork:Stair slab concrete</t>
  </si>
  <si>
    <t>Concrete:Concrete purchases</t>
  </si>
  <si>
    <t>Formwork:Insulated formwork</t>
  </si>
  <si>
    <t>Formwork:Wire mesh - Hambro floors</t>
  </si>
  <si>
    <t>Formwork:Cement finishing</t>
  </si>
  <si>
    <t>Formwork:Stair slab cement finishing</t>
  </si>
  <si>
    <t>Formwork:Stair slab concrete pumps</t>
  </si>
  <si>
    <t>Formwork:Concrete pumps</t>
  </si>
  <si>
    <t>Concrete:Concrete pumps</t>
  </si>
  <si>
    <t>Concrete:Concrete accessories</t>
  </si>
  <si>
    <t>Concrete:Labour - Accessories</t>
  </si>
  <si>
    <t>Concrete:Polyethylene .006 - changed to .010 2024-01-22</t>
  </si>
  <si>
    <t>Concrete:3'' Rigid insulation (4' perimeter) - changed to 2'' Blue</t>
  </si>
  <si>
    <t>Concrete:Labour - Rigid insulation</t>
  </si>
  <si>
    <t>Concrete:Wet cure</t>
  </si>
  <si>
    <t>Formwork:Hambro joists</t>
  </si>
  <si>
    <t>Metal works:Stairs</t>
  </si>
  <si>
    <t>Metal works:Steel bases for balcony columns</t>
  </si>
  <si>
    <t>Handrails:Railings</t>
  </si>
  <si>
    <t>Carpentry rough:Miscellaneous carpentry labour (DCL)</t>
  </si>
  <si>
    <t>Formwork:Roof trusses - Labour</t>
  </si>
  <si>
    <t>Carpentry rough:Millwork &amp; WC Acc. Blocking</t>
  </si>
  <si>
    <t>Carpentry rough:Stair rail blocking</t>
  </si>
  <si>
    <t>Carpentry rough:OSB Dryguard - Roof</t>
  </si>
  <si>
    <t>Carpentry rough:Materials - small roofs</t>
  </si>
  <si>
    <t>Formwork:Hambro plywood purchases</t>
  </si>
  <si>
    <t>Handrails:Balcony structures</t>
  </si>
  <si>
    <t>Handrails:Floors</t>
  </si>
  <si>
    <t>Carpentry rough:Roof trusses</t>
  </si>
  <si>
    <t>Kitchen:Kitchens &amp; vanities (QC)</t>
  </si>
  <si>
    <t>Kitchen:Quartz counters - Purchase</t>
  </si>
  <si>
    <t>Kitchen:Quartz counters - Installation</t>
  </si>
  <si>
    <t>Carpentry rough:Roof insulation</t>
  </si>
  <si>
    <t>Exterior finishes:Wood siding</t>
  </si>
  <si>
    <t>Exterior finishes:Acrylic stucco &amp; Duroc</t>
  </si>
  <si>
    <t>Roof, membrane:Roofing (Shingles)</t>
  </si>
  <si>
    <t>Roof, membrane:Roofing (Winter conditions)</t>
  </si>
  <si>
    <t>Roof, membrane:Rain Gutters</t>
  </si>
  <si>
    <t>Fenestration:Caulking</t>
  </si>
  <si>
    <t>Doors and hardware:Wood doors</t>
  </si>
  <si>
    <t>Carpentry finish:Carpentry</t>
  </si>
  <si>
    <t>Doors and hardware:Baseboard, 1/4-round &amp; casing</t>
  </si>
  <si>
    <t>Carpentry finish:Shelving &amp; Finish materials</t>
  </si>
  <si>
    <t>Fenestration:Windows &amp; patio-doors - Supply</t>
  </si>
  <si>
    <t>Fenestration:Transport &amp; Handling - Quebec</t>
  </si>
  <si>
    <t>Interior systems:Drywall</t>
  </si>
  <si>
    <t>Ceramic:Ceramic Purchase, Transport, Handling &amp; Installation</t>
  </si>
  <si>
    <t>Ceramic:Shower walls</t>
  </si>
  <si>
    <t>Ceramic:Bathroom floors (SPC)</t>
  </si>
  <si>
    <t>Floor covering:Vinyl flooring &amp; Transport, Handling</t>
  </si>
  <si>
    <t>Paint:Painting</t>
  </si>
  <si>
    <t>Railings:Foot grilles</t>
  </si>
  <si>
    <t>Railings:Interior signage</t>
  </si>
  <si>
    <t>Railings:WC acccessories</t>
  </si>
  <si>
    <t>Plumbing:Plumbing (Rough S/I; Finish I/O)</t>
  </si>
  <si>
    <t>Plumbing:Plumbing finishes (S) - Toilet, Shower</t>
  </si>
  <si>
    <t>Fire protection:Extinguishers</t>
  </si>
  <si>
    <t>HVAC:HVAC</t>
  </si>
  <si>
    <t>Electricity:Electricity</t>
  </si>
  <si>
    <t>Electricity:Lighting allowance</t>
  </si>
  <si>
    <t>Electricity:Transport &amp; Handling - Quebec</t>
  </si>
  <si>
    <t>Electricity:DEL Comptoirs (cuisines)</t>
  </si>
  <si>
    <t>4. FF&amp;E</t>
  </si>
  <si>
    <t>Appliances</t>
  </si>
  <si>
    <t>Casegoods</t>
  </si>
  <si>
    <t>Smallwares</t>
  </si>
  <si>
    <t>Electronic Technology</t>
  </si>
  <si>
    <t>5. PROFESSIONAL FEES</t>
  </si>
  <si>
    <t>Accounting/bookkeeping</t>
  </si>
  <si>
    <t>Acoustical</t>
  </si>
  <si>
    <t>Appraisal/feasibility study</t>
  </si>
  <si>
    <t>Architect-design</t>
  </si>
  <si>
    <t>Architecture</t>
  </si>
  <si>
    <t>Development services fees</t>
  </si>
  <si>
    <t>Engineer - civil</t>
  </si>
  <si>
    <t>Engineer - electrical</t>
  </si>
  <si>
    <t>Engineer - geothermal</t>
  </si>
  <si>
    <t>Engineer - mechanical</t>
  </si>
  <si>
    <t>Engineer - structural</t>
  </si>
  <si>
    <t>Environmental - Phases I/II</t>
  </si>
  <si>
    <t>Land survey, certificate of location</t>
  </si>
  <si>
    <t>Landscape architect</t>
  </si>
  <si>
    <t>Legal</t>
  </si>
  <si>
    <t>Marketing/leasing</t>
  </si>
  <si>
    <t>Quantity surveyor</t>
  </si>
  <si>
    <t>Soil/geotechnical/compaction</t>
  </si>
  <si>
    <t>Urban planner</t>
  </si>
  <si>
    <t>Water tests</t>
  </si>
  <si>
    <t>Declaration of co-ownership/shared services</t>
  </si>
  <si>
    <t>6. FINANCE AND ADMINISTRATION</t>
  </si>
  <si>
    <t>Carrying costs land</t>
  </si>
  <si>
    <t>Construction interest</t>
  </si>
  <si>
    <t>Disbursements</t>
  </si>
  <si>
    <t>Legal fees</t>
  </si>
  <si>
    <t>Lender fees</t>
  </si>
  <si>
    <t>CMHC Insurance Premium</t>
  </si>
  <si>
    <t>Mortage broker</t>
  </si>
  <si>
    <t>Permits</t>
  </si>
  <si>
    <t>Pre Construction Carrying costs</t>
  </si>
  <si>
    <t>Taxes</t>
  </si>
  <si>
    <t>7. TAX ASSESSMENT</t>
  </si>
  <si>
    <t>Self assesement taxes</t>
  </si>
  <si>
    <t>At Completion</t>
  </si>
  <si>
    <t>8. CONTINGENCY ALLOWANCE</t>
  </si>
  <si>
    <t>As Needed</t>
  </si>
  <si>
    <t>Contingency Buy Down</t>
  </si>
  <si>
    <t>Contingency Non-Classified</t>
  </si>
  <si>
    <t>HOLDBACKS</t>
  </si>
  <si>
    <t>UNIT RENT ROLL DATA</t>
  </si>
  <si>
    <t>Exact import from Units-Proforma_View_Tremb.csv</t>
  </si>
  <si>
    <t>UnitId</t>
  </si>
  <si>
    <t>UnitRentalTypes</t>
  </si>
  <si>
    <t>Unit #</t>
  </si>
  <si>
    <t>Planned Delivery Date for Occupancy</t>
  </si>
  <si>
    <t>Projected Price Per Bedroom (from UnitRentalTypes)</t>
  </si>
  <si>
    <t>Projected Rate</t>
  </si>
  <si>
    <t>Bedroom Count (from UnitRentalTypes)</t>
  </si>
  <si>
    <t>Units Operations ID</t>
  </si>
  <si>
    <t>ADELE 1 A-101</t>
  </si>
  <si>
    <t>London</t>
  </si>
  <si>
    <t>ADELE -101</t>
  </si>
  <si>
    <t>ADELE 1 A-201</t>
  </si>
  <si>
    <t>Berlin</t>
  </si>
  <si>
    <t>ADELE -201</t>
  </si>
  <si>
    <t>ADELE 1 A-301</t>
  </si>
  <si>
    <t>ADELE -301</t>
  </si>
  <si>
    <t>ADELE 1 A-102</t>
  </si>
  <si>
    <t>ADELE -102</t>
  </si>
  <si>
    <t>ADELE 1 A-202</t>
  </si>
  <si>
    <t>ADELE -202</t>
  </si>
  <si>
    <t>ADELE 1 A-302</t>
  </si>
  <si>
    <t>ADELE -302</t>
  </si>
  <si>
    <t>ADELE 1 B-101</t>
  </si>
  <si>
    <t>ADELE 1 B-201</t>
  </si>
  <si>
    <t>Paris</t>
  </si>
  <si>
    <t>ADELE 1 B-202</t>
  </si>
  <si>
    <t>New York</t>
  </si>
  <si>
    <t>ADELE 1 B-301</t>
  </si>
  <si>
    <t>ADELE 1 B-302</t>
  </si>
  <si>
    <t>ADELE 1 B-102</t>
  </si>
  <si>
    <t>ADELE 1 B-203</t>
  </si>
  <si>
    <t>ADELE -203</t>
  </si>
  <si>
    <t>ADELE 1 C-303</t>
  </si>
  <si>
    <t>ADELE -303</t>
  </si>
  <si>
    <t>ADELE 1 C-101</t>
  </si>
  <si>
    <t>ADELE 1 C-201</t>
  </si>
  <si>
    <t>ADELE 1 C-301</t>
  </si>
  <si>
    <t>ADELE 1 C-102</t>
  </si>
  <si>
    <t>ADELE 2 D-303</t>
  </si>
  <si>
    <t>ADELE 2 D-102</t>
  </si>
  <si>
    <t>ADELE 2 E-302</t>
  </si>
  <si>
    <t>ADELE 2 D-301</t>
  </si>
  <si>
    <t>ADELE 1 C-202</t>
  </si>
  <si>
    <t>ADELE 2 E-203</t>
  </si>
  <si>
    <t>ADELE 2 D-201</t>
  </si>
  <si>
    <t>ADELE 2 F-101</t>
  </si>
  <si>
    <t>ADELE 2 E-101</t>
  </si>
  <si>
    <t>ADELE 2 E-301</t>
  </si>
  <si>
    <t>ADELE 2 D-302</t>
  </si>
  <si>
    <t>ADELE 2 D-202</t>
  </si>
  <si>
    <t>ADELE 2 E-201</t>
  </si>
  <si>
    <t>ADELE 2 D-101</t>
  </si>
  <si>
    <t>ADELE 2 F-201</t>
  </si>
  <si>
    <t>ADELE 2 F-301</t>
  </si>
  <si>
    <t>ADELE 2 F-102</t>
  </si>
  <si>
    <t>ADELE 2 F-202</t>
  </si>
  <si>
    <t>ADELE 2 F-203</t>
  </si>
  <si>
    <t>ADELE 2 F-302</t>
  </si>
  <si>
    <t>ADELE 2 F-303</t>
  </si>
  <si>
    <t>ADELE 3 G-101</t>
  </si>
  <si>
    <t>ADELE 3 G-201</t>
  </si>
  <si>
    <t>ADELE 3 G-202</t>
  </si>
  <si>
    <t>ADELE 3 G-301</t>
  </si>
  <si>
    <t>ADELE 3 G-302</t>
  </si>
  <si>
    <t>ADELE 3 G-102</t>
  </si>
  <si>
    <t>ADELE 3 H-301</t>
  </si>
  <si>
    <t>ADELE 3 H-101</t>
  </si>
  <si>
    <t>ADELE 3 H-201</t>
  </si>
  <si>
    <t>ADELE 3 H-302</t>
  </si>
  <si>
    <t>ADELE 3 H-102</t>
  </si>
  <si>
    <t>ADELE 3 H-202</t>
  </si>
  <si>
    <t>ADELE 3 H-203</t>
  </si>
  <si>
    <t>ADELE 3 H-303</t>
  </si>
  <si>
    <t>CAPITALIZATION TABLE</t>
  </si>
  <si>
    <t>Investor equity commitments and capital calls</t>
  </si>
  <si>
    <t>INVESTOR COMMITMENTS</t>
  </si>
  <si>
    <t>Investor Name</t>
  </si>
  <si>
    <t>Class</t>
  </si>
  <si>
    <t>Commitment Amount</t>
  </si>
  <si>
    <t>% of Class</t>
  </si>
  <si>
    <t>% of Total Equity</t>
  </si>
  <si>
    <t>Vafkor</t>
  </si>
  <si>
    <t>E</t>
  </si>
  <si>
    <t>Masteko Inc</t>
  </si>
  <si>
    <t>Gerome</t>
  </si>
  <si>
    <t>A</t>
  </si>
  <si>
    <t>Julie Maranda Medicine Professional Corporation</t>
  </si>
  <si>
    <t>Masteko Inc (Additional)</t>
  </si>
  <si>
    <t>Michel Roux Holding Co</t>
  </si>
  <si>
    <t>Dr Éric Tardif C.P. Inc.</t>
  </si>
  <si>
    <t>Tristan Koran</t>
  </si>
  <si>
    <t>Additional Equity Required</t>
  </si>
  <si>
    <t>CLASS A SUBTOTAL (GP - Land Contribution)</t>
  </si>
  <si>
    <t>100.00%</t>
  </si>
  <si>
    <t>CLASS E SUBTOTAL (LP Units)</t>
  </si>
  <si>
    <t>TOTAL EQUITY COMMITMENTS</t>
  </si>
  <si>
    <t>CAPITAL CALLS DURING CONSTRUCTION</t>
  </si>
  <si>
    <t>Based on pro-rata share when Class E equity is called</t>
  </si>
  <si>
    <t>Commitment</t>
  </si>
  <si>
    <t>% of Class E</t>
  </si>
  <si>
    <t>Total Called</t>
  </si>
  <si>
    <t>Remaining</t>
  </si>
  <si>
    <t>N/A - Class A</t>
  </si>
  <si>
    <t>TOTAL CAPITAL CALLED</t>
  </si>
  <si>
    <t>NOTE: 'Total Called' is now editable (yellow cells)</t>
  </si>
  <si>
    <t>• By default, Total Called = Commitment</t>
  </si>
  <si>
    <t>• Edit Total Called amounts as capital is actually called</t>
  </si>
  <si>
    <t>• Senior Construction Financing and other tabs reference these values</t>
  </si>
  <si>
    <t>Difference (Should be close to $0)</t>
  </si>
  <si>
    <t>PREFERRED EQUITY TABLE</t>
  </si>
  <si>
    <t>Subordinated Loan #1 - Preferred Equity investors</t>
  </si>
  <si>
    <t>PREFERRED EQUITY INVESTORS</t>
  </si>
  <si>
    <t>ID</t>
  </si>
  <si>
    <t>Contribution Amount</t>
  </si>
  <si>
    <t>Interest Rate</t>
  </si>
  <si>
    <t>Notes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</si>
  <si>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</si>
  <si>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</si>
  <si>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</si>
  <si>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</si>
  <si>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</si>
  <si>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</si>
  <si>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</si>
  <si>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</si>
  <si>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</si>
  <si>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</si>
  <si>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TOTAL</t>
  </si>
  <si>
    <t>Preferred Equity</t>
  </si>
  <si>
    <t>Weighted Avg:</t>
  </si>
  <si>
    <t>INSTRUCTIONS:</t>
  </si>
  <si>
    <t>• Enter investor names in column B (yellow cells)</t>
  </si>
  <si>
    <t>• Enter contribution amounts in column C (yellow cells)</t>
  </si>
  <si>
    <t>• Enter interest rates in column D (yellow cells)</t>
  </si>
  <si>
    <t>• Add any notes in column E</t>
  </si>
  <si>
    <t>• Total will update automatically</t>
  </si>
  <si>
    <t>• This total is linked to Sources &amp; Uses - Construction</t>
  </si>
  <si>
    <t>MEZZANINE DEBT TABLE</t>
  </si>
  <si>
    <t>Subordinated Loan #2 - Mezzanine lenders</t>
  </si>
  <si>
    <t>MEZZANINE LENDERS</t>
  </si>
  <si>
    <t>Lender Name</t>
  </si>
  <si>
    <t>MEZZ1</t>
  </si>
  <si>
    <t>MEZZ2</t>
  </si>
  <si>
    <t>MEZZ3</t>
  </si>
  <si>
    <t>MEZZ4</t>
  </si>
  <si>
    <t>MEZZ5</t>
  </si>
  <si>
    <t>MEZZ6</t>
  </si>
  <si>
    <t>MEZZ7</t>
  </si>
  <si>
    <t>MEZZ8</t>
  </si>
  <si>
    <t>MEZZ9</t>
  </si>
  <si>
    <t>MEZZ10</t>
  </si>
  <si>
    <t>Mezzanine Debt</t>
  </si>
  <si>
    <t>• Enter lender names in column B (yellow cells)</t>
  </si>
  <si>
    <t>• Enter loan amounts in column C (yellow cells)</t>
  </si>
  <si>
    <t>CONSTRUCTION BUDGET &amp; DRAWS</t>
  </si>
  <si>
    <t>References Budget Input Data tab</t>
  </si>
  <si>
    <t>BUDGET SUMMARY BY CATEGORY</t>
  </si>
  <si>
    <t>TOTAL PROJECT COST (Before Cap Interest)</t>
  </si>
  <si>
    <t>Capitalized Interest (from Financing tabs)</t>
  </si>
  <si>
    <t>GRAND TOTAL PROJECT COST</t>
  </si>
  <si>
    <t>MONTHLY DRAW SCHEDULE</t>
  </si>
  <si>
    <t>Detailed monthly draws by line item</t>
  </si>
  <si>
    <t>Phasing logic:</t>
  </si>
  <si>
    <t>Planned Budget Amount</t>
  </si>
  <si>
    <t>Checksum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</si>
  <si>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</si>
  <si>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</si>
  <si>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</si>
  <si>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</si>
  <si>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</si>
  <si>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</si>
  <si>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</si>
  <si>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</si>
  <si>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</si>
  <si>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</si>
  <si>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</si>
  <si>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</si>
  <si>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</si>
  <si>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</si>
  <si>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</si>
  <si>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</si>
  <si>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</si>
  <si>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</si>
  <si>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</si>
  <si>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</si>
  <si>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</si>
  <si>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</si>
  <si>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</si>
  <si>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</si>
  <si>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</si>
  <si>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</si>
  <si>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</si>
  <si>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</si>
  <si>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</si>
  <si>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</si>
  <si>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</si>
  <si>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</si>
  <si>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</si>
  <si>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</si>
  <si>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</si>
  <si>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</si>
  <si>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All Line Items</t>
  </si>
  <si>
    <t>CONSTRUCTION PERIOD CASH FLOW</t>
  </si>
  <si>
    <t>Professional CFO-grade tracking - Subordinated sources deployed BEFORE Senior Loan</t>
  </si>
  <si>
    <t>Item</t>
  </si>
  <si>
    <t>Description</t>
  </si>
  <si>
    <t>Type</t>
  </si>
  <si>
    <t>Total</t>
  </si>
  <si>
    <t>OPENING BALANCE</t>
  </si>
  <si>
    <t>Cash at beginning of month</t>
  </si>
  <si>
    <t>Balance</t>
  </si>
  <si>
    <t>CASH INFLOWS</t>
  </si>
  <si>
    <t>Sources of cash</t>
  </si>
  <si>
    <t>1. Class A Equity (Land)</t>
  </si>
  <si>
    <t>From Sources &amp; Uses - upfront</t>
  </si>
  <si>
    <t>Input</t>
  </si>
  <si>
    <t>2. Class E Equity Calls</t>
  </si>
  <si>
    <t>From Sources &amp; Uses - as needed</t>
  </si>
  <si>
    <t>3. Preferred Equity Draws</t>
  </si>
  <si>
    <t>4. Mezzanine Debt Draws</t>
  </si>
  <si>
    <t>5. Required Additional Equity</t>
  </si>
  <si>
    <t>Additional capital if needed</t>
  </si>
  <si>
    <t>6. SENIOR LOAN ADVANCE</t>
  </si>
  <si>
    <t>Covers construction after subordinated</t>
  </si>
  <si>
    <t>Calc</t>
  </si>
  <si>
    <t>7. Interdisbursement LOC Draw</t>
  </si>
  <si>
    <t>Maintains $100k minimum (max $1M total)</t>
  </si>
  <si>
    <t>TOTAL INFLOWS</t>
  </si>
  <si>
    <t>Sum of all sources</t>
  </si>
  <si>
    <t>CASH OUTFLOWS</t>
  </si>
  <si>
    <t>Uses of cash</t>
  </si>
  <si>
    <t>Construction Costs</t>
  </si>
  <si>
    <t>From budget schedule (row 190)</t>
  </si>
  <si>
    <t>Interest Payments</t>
  </si>
  <si>
    <t>On LOC balances</t>
  </si>
  <si>
    <t>Interdisbursement LOC Repayments</t>
  </si>
  <si>
    <t>Paydown of LOC</t>
  </si>
  <si>
    <t>TOTAL OUTFLOWS</t>
  </si>
  <si>
    <t>Sum of all uses</t>
  </si>
  <si>
    <t>NET CASH FLOW</t>
  </si>
  <si>
    <t>Inflows - Outflows</t>
  </si>
  <si>
    <t>CLOSING BALANCE</t>
  </si>
  <si>
    <t>Opening + Net Cash Flow</t>
  </si>
  <si>
    <t>Cash vs $100k Minimum</t>
  </si>
  <si>
    <t>Closing - $100,000 (should be ≥ $0)</t>
  </si>
  <si>
    <t>Check</t>
  </si>
  <si>
    <t>≥ $0 is OK</t>
  </si>
  <si>
    <t>Interdisbursement LOC Balance</t>
  </si>
  <si>
    <t>Cumulative balance (should be ≤ $1M)</t>
  </si>
  <si>
    <t>Total Sources Check</t>
  </si>
  <si>
    <t>Cash Flow Total vs Sources &amp; Uses</t>
  </si>
  <si>
    <t>Senior Loan Advance Left</t>
  </si>
  <si>
    <t>BUSINESS RULES &amp; VALIDATION</t>
  </si>
  <si>
    <t>Automated checks to ensure model integrity</t>
  </si>
  <si>
    <t>Check Description</t>
  </si>
  <si>
    <t>Formula</t>
  </si>
  <si>
    <t>Result</t>
  </si>
  <si>
    <t>Status</t>
  </si>
  <si>
    <t>1. Minimum Cash Balance ($100k)</t>
  </si>
  <si>
    <t>All closing balances ≥ $100,000</t>
  </si>
  <si>
    <t>2. Senior Loan vs Maximum</t>
  </si>
  <si>
    <t>Total drawn ≤ S&amp;U maximum</t>
  </si>
  <si>
    <t>3. Interdisbursement LOC Limit ($1M)</t>
  </si>
  <si>
    <t>All LOC balances ≤ $1,000,000</t>
  </si>
  <si>
    <t>4. Total Sources Synchronization</t>
  </si>
  <si>
    <t>Cash Flow total = S&amp;U total</t>
  </si>
  <si>
    <t>OVERALL MODEL STATUS</t>
  </si>
  <si>
    <t>All checks must pass</t>
  </si>
  <si>
    <t>CHECKSUMS - SOURCES &amp; USES RECONCILIATION</t>
  </si>
  <si>
    <t>Verify all sources match between Cash Flow and Sources &amp; Uses</t>
  </si>
  <si>
    <t>Source Item</t>
  </si>
  <si>
    <t>Cash Flow Total</t>
  </si>
  <si>
    <t>Sources &amp; Uses</t>
  </si>
  <si>
    <t>Difference</t>
  </si>
  <si>
    <t>Class A Equity</t>
  </si>
  <si>
    <t>Class E Equity</t>
  </si>
  <si>
    <t>Required Additional</t>
  </si>
  <si>
    <t>Senior Loan</t>
  </si>
  <si>
    <t>Interdisbursement LOC</t>
  </si>
  <si>
    <t>N/A</t>
  </si>
  <si>
    <t>TOTAL SOURCES</t>
  </si>
  <si>
    <t>SOURCES &amp; USES - CONSTRUCTION PERIOD</t>
  </si>
  <si>
    <t>Static summary of construction funding</t>
  </si>
  <si>
    <t>SOURCES OF FUNDS</t>
  </si>
  <si>
    <t>Amount</t>
  </si>
  <si>
    <t>In disbursement priority order (1→5)</t>
  </si>
  <si>
    <t>1. Class A Equity (GP - Land Contribution)</t>
  </si>
  <si>
    <t>Land contribution (upfront)</t>
  </si>
  <si>
    <t>2. Class E Equity (LP Units)</t>
  </si>
  <si>
    <t>From Cap Table - called during construction</t>
  </si>
  <si>
    <t>3. Subordinated Loan #1 (Preferred Equity)</t>
  </si>
  <si>
    <t>From Preferred Equity table</t>
  </si>
  <si>
    <t>4. Subordinated Loan #2 (Mezzanine)</t>
  </si>
  <si>
    <t>From Mezzanine Debt table</t>
  </si>
  <si>
    <t>Required Additional Equity</t>
  </si>
  <si>
    <t>Calculated gap - additional equity needed</t>
  </si>
  <si>
    <t>5. Senior Construction Loan</t>
  </si>
  <si>
    <t>Residual only - after all subordinated</t>
  </si>
  <si>
    <t>USES OF FUNDS</t>
  </si>
  <si>
    <t>Capitalized Interest</t>
  </si>
  <si>
    <t>GST/QST Paid (Gross)</t>
  </si>
  <si>
    <t>Set to $0</t>
  </si>
  <si>
    <t>TOTAL USES</t>
  </si>
  <si>
    <t>RECONCILIATION</t>
  </si>
  <si>
    <t>Total Sources</t>
  </si>
  <si>
    <t>Total Uses</t>
  </si>
  <si>
    <t>Difference (Should be $0)</t>
  </si>
  <si>
    <t>SENIOR CONSTRUCTION FINANCING</t>
  </si>
  <si>
    <t>Monthly tracking of construction loan draws, interest, and equity calls</t>
  </si>
  <si>
    <t>LOAN PARAMETERS</t>
  </si>
  <si>
    <t>Loan-to-Cost (LTC):</t>
  </si>
  <si>
    <t>Interest Rate (Annual):</t>
  </si>
  <si>
    <t>Commitment Fee:</t>
  </si>
  <si>
    <t>Total Project Cost (from Budget):</t>
  </si>
  <si>
    <t>Maximum Loan Amount (LTC × Cost):</t>
  </si>
  <si>
    <t>MONTHLY CONSTRUCTION LOAN SCHEDULE</t>
  </si>
  <si>
    <t>Month</t>
  </si>
  <si>
    <t>Date</t>
  </si>
  <si>
    <t>Phase</t>
  </si>
  <si>
    <t>Beg Balance</t>
  </si>
  <si>
    <t>Construction Draws</t>
  </si>
  <si>
    <t>Less: Holdback (10%)</t>
  </si>
  <si>
    <t>Net Draw</t>
  </si>
  <si>
    <t>Senior Loan Advance</t>
  </si>
  <si>
    <t>Interest Accrued</t>
  </si>
  <si>
    <t>End Balance</t>
  </si>
  <si>
    <t>Cumul Cap Interest</t>
  </si>
  <si>
    <t>Equity Called (Class E)</t>
  </si>
  <si>
    <t>Cash Balance Check</t>
  </si>
  <si>
    <t>CONSTRUCTION PERIOD SUMMARY</t>
  </si>
  <si>
    <t>Total Construction Draws:</t>
  </si>
  <si>
    <t>Total Holdback:</t>
  </si>
  <si>
    <t>Total Senior Loan Advanced:</t>
  </si>
  <si>
    <t>Total Capitalized Interest:</t>
  </si>
  <si>
    <t>Total Class E Equity Called:</t>
  </si>
  <si>
    <t>Senior Loan Balance at Refi:</t>
  </si>
  <si>
    <t>DETAILED PHASING CALCULATION</t>
  </si>
  <si>
    <t>Row alignment matches Budget Input Data exactly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</si>
  <si>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</si>
  <si>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</si>
  <si>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</si>
  <si>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</si>
  <si>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</si>
  <si>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</si>
  <si>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</si>
  <si>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</si>
  <si>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</si>
  <si>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</si>
  <si>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</si>
  <si>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</si>
  <si>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</si>
  <si>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</si>
  <si>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</si>
  <si>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</si>
  <si>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</si>
  <si>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</si>
  <si>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</si>
  <si>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</si>
  <si>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</si>
  <si>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</si>
  <si>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</si>
  <si>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</si>
  <si>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</si>
  <si>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</si>
  <si>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</si>
  <si>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</si>
  <si>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</si>
  <si>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</si>
  <si>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</si>
  <si>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</si>
  <si>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</si>
  <si>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</si>
  <si>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</si>
  <si>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</si>
  <si>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TIME AXIS</t>
  </si>
  <si>
    <t>All dates and phases driven from Inputs &amp; Assumptions tab</t>
  </si>
  <si>
    <t>Month #</t>
  </si>
  <si>
    <t>Days in Month</t>
  </si>
  <si>
    <t>Construction Mo</t>
  </si>
  <si>
    <t>Permanent Mo</t>
  </si>
  <si>
    <t>Year</t>
  </si>
  <si>
    <t>OPERATING BUDGET - POST CONSTRUCTION</t>
  </si>
  <si>
    <t>RENTAL REVENUE</t>
  </si>
  <si>
    <t>Number of Units</t>
  </si>
  <si>
    <t>From Unit Rent Roll Data</t>
  </si>
  <si>
    <t>Total Monthly Rent</t>
  </si>
  <si>
    <t>Sum of unit rents (Col F)</t>
  </si>
  <si>
    <t>Annual Rental Revenue</t>
  </si>
  <si>
    <t>Growth rate from I&amp;A</t>
  </si>
  <si>
    <t>SERVICE REVENUE</t>
  </si>
  <si>
    <t>Reserved Parking</t>
  </si>
  <si>
    <t>Total Service Revenue</t>
  </si>
  <si>
    <t>GROSS POTENTIAL REVENUE</t>
  </si>
  <si>
    <t>Vacancy &amp; Bad Debt Allowance</t>
  </si>
  <si>
    <t>EFFECTIVE GROSS INCOME (EGI)</t>
  </si>
  <si>
    <t>Source</t>
  </si>
  <si>
    <t>Assessed Property Value</t>
  </si>
  <si>
    <t>Manual input - update to municipal assessment</t>
  </si>
  <si>
    <t>Municipal Taxes</t>
  </si>
  <si>
    <t>School Taxes</t>
  </si>
  <si>
    <t>From I&amp;A</t>
  </si>
  <si>
    <t>Internet Expense</t>
  </si>
  <si>
    <t>EV Charging Expense</t>
  </si>
  <si>
    <t>Appliance &amp; Furniture Reserve</t>
  </si>
  <si>
    <t>Structural Reserve (% of EGI)</t>
  </si>
  <si>
    <t>TOTAL OPERATING EXPENSES</t>
  </si>
  <si>
    <t>NET OPERATING INCOME (NOI)</t>
  </si>
  <si>
    <t>PROPERTY VALUATION &amp; PERMANENT FINANCING</t>
  </si>
  <si>
    <t>Implied Property Value</t>
  </si>
  <si>
    <t>Loan-to-Value (LTV) - Check</t>
  </si>
  <si>
    <t>Computed: Loan / Property Value</t>
  </si>
  <si>
    <t>Fixed amount from I&amp;A</t>
  </si>
  <si>
    <t>Amortization (years)</t>
  </si>
  <si>
    <t>Monthly Payment</t>
  </si>
  <si>
    <t>Annual Debt Service</t>
  </si>
  <si>
    <t>DSCR</t>
  </si>
  <si>
    <t>DSCR Test</t>
  </si>
  <si>
    <t>PERMANENT FINANCING - AMORTIZATION SCHEDULE</t>
  </si>
  <si>
    <t>Loan Parameters</t>
  </si>
  <si>
    <t>Monthly Rate</t>
  </si>
  <si>
    <t>Amortization</t>
  </si>
  <si>
    <t>Amort Periods</t>
  </si>
  <si>
    <t>Loan Term</t>
  </si>
  <si>
    <t>Monthly Pmt</t>
  </si>
  <si>
    <t>Opening Bal.</t>
  </si>
  <si>
    <t>Payment</t>
  </si>
  <si>
    <t>Interest</t>
  </si>
  <si>
    <t>Principal</t>
  </si>
  <si>
    <t>Closing Bal.</t>
  </si>
  <si>
    <t>Balance at Maturity</t>
  </si>
  <si>
    <t>MORGAN SAINTE-ADELE</t>
  </si>
  <si>
    <t>OPERATING PROFORMA - MONTHLY CASH FLOW</t>
  </si>
  <si>
    <t>Operating Year</t>
  </si>
  <si>
    <t>REVENUE</t>
  </si>
  <si>
    <t>Gross Rental Income</t>
  </si>
  <si>
    <t>Internet Revenue</t>
  </si>
  <si>
    <t>Parking Revenue</t>
  </si>
  <si>
    <t>EV Charging Revenue</t>
  </si>
  <si>
    <t>Vacancy &amp; Bad Debt</t>
  </si>
  <si>
    <t>EFFECTIVE GROSS INCOME</t>
  </si>
  <si>
    <t>EBITDA / NOI</t>
  </si>
  <si>
    <t>Net Operating Income</t>
  </si>
  <si>
    <t>DEBT SERVICE</t>
  </si>
  <si>
    <t>Principal Repayment</t>
  </si>
  <si>
    <t>Total Debt Service</t>
  </si>
  <si>
    <t>CASH FLOW AFTER DEBT SERVICE</t>
  </si>
  <si>
    <t>Opening Cash Balance</t>
  </si>
  <si>
    <t>Cash Flow In Period</t>
  </si>
  <si>
    <t>Available for Distribution</t>
  </si>
  <si>
    <t>Distribution</t>
  </si>
  <si>
    <t>Closing Cash Balance</t>
  </si>
  <si>
    <t>WATERFALL DISTRIBUTION</t>
  </si>
  <si>
    <t>Quarterly Distribution Amount</t>
  </si>
  <si>
    <t>Tier 1: Preferred Return</t>
  </si>
  <si>
    <t>Tier 2: Return of Capital</t>
  </si>
  <si>
    <t>Tier 3: Profit Split</t>
  </si>
  <si>
    <t xml:space="preserve">  Class E (LP) Share</t>
  </si>
  <si>
    <t xml:space="preserve">  Class A (GP) Share</t>
  </si>
  <si>
    <t>Cumulative Capital Returned</t>
  </si>
  <si>
    <t>Unreturned LP Capital</t>
  </si>
  <si>
    <t>OPERATING PROFORMA - ANNUAL SUMMARY</t>
  </si>
  <si>
    <t>Disposition</t>
  </si>
  <si>
    <t>Period</t>
  </si>
  <si>
    <t>Exit / Sale</t>
  </si>
  <si>
    <t>Months in Year</t>
  </si>
  <si>
    <t>Year-End Month #</t>
  </si>
  <si>
    <t>Year-End Loan Balance</t>
  </si>
  <si>
    <t>KEY PERFORMANCE INDICATORS</t>
  </si>
  <si>
    <t>RETURN METRICS</t>
  </si>
  <si>
    <t>Cash-on-Cash Return</t>
  </si>
  <si>
    <t>Yield-on-Cost</t>
  </si>
  <si>
    <t>Equity Multiple (Cumulative)</t>
  </si>
  <si>
    <t>Cash Flow % (CFADS/EGI)</t>
  </si>
  <si>
    <t>Project IRR (Levered)</t>
  </si>
  <si>
    <t>Class E (LP) IRR</t>
  </si>
  <si>
    <t>DEBT METRICS</t>
  </si>
  <si>
    <t>Debt Service Coverage Ratio (DSCR)</t>
  </si>
  <si>
    <t>Interest Coverage Ratio (ICR)</t>
  </si>
  <si>
    <t>Loan-to-Value (LTV)</t>
  </si>
  <si>
    <t>Debt Yield</t>
  </si>
  <si>
    <t>EXPENSE METRICS</t>
  </si>
  <si>
    <t>Operating Expense Ratio</t>
  </si>
  <si>
    <t>Net Operating Margin</t>
  </si>
  <si>
    <t>PER-UNIT METRICS</t>
  </si>
  <si>
    <t>Revenue per Unit (Annualized)</t>
  </si>
  <si>
    <t>OPEX per Unit (Annualized)</t>
  </si>
  <si>
    <t>NOI per Unit (Annualized)</t>
  </si>
  <si>
    <t>CFADS per Unit (Annualized)</t>
  </si>
  <si>
    <t>DISPOSITION CALCULATIONS</t>
  </si>
  <si>
    <t>Annualized Year 6 NOI</t>
  </si>
  <si>
    <t>Gross Sale Price</t>
  </si>
  <si>
    <t>Net Sale Proceeds</t>
  </si>
  <si>
    <t>Loan Payoff (Balance at Maturity)</t>
  </si>
  <si>
    <t>Net Equity Proceeds</t>
  </si>
  <si>
    <t>DISPOSITION WATERFALL</t>
  </si>
  <si>
    <t>Unreturned LP Capital (at exit)</t>
  </si>
  <si>
    <t>Tier 1: Final Preferred Return</t>
  </si>
  <si>
    <t>Tier 2: Return of Remaining Capital</t>
  </si>
  <si>
    <t xml:space="preserve">  Class E (LP) Distribution</t>
  </si>
  <si>
    <t xml:space="preserve">  Class A (GP) Distribution</t>
  </si>
  <si>
    <t>Check (LP+GP = Net Proceeds)</t>
  </si>
  <si>
    <t>Project IRR CF (exit Y3)</t>
  </si>
  <si>
    <t>Project IRR CF (exit Y4)</t>
  </si>
  <si>
    <t>Project IRR CF (exit Y5)</t>
  </si>
  <si>
    <t>Project IRR CF (full hold)</t>
  </si>
  <si>
    <t>LP IRR CF (exit Y3)</t>
  </si>
  <si>
    <t>LP IRR CF (exit Y4)</t>
  </si>
  <si>
    <t>LP IRR CF (exit Y5)</t>
  </si>
  <si>
    <t>LP IRR CF (full 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</si>
</sst>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\$* #,##0.00_);_(\$* \(#,##0.00\);_(\$* \-??_);_(@_)"/>
    <numFmt numFmtId="165" formatCode="yyyy\-mm\-dd"/>
    <numFmt numFmtId="166" formatCode="\$#,##0"/>
    <numFmt numFmtId="167" formatCode="0.0%"/>
    <numFmt numFmtId="168" formatCode="0.000%"/>
    <numFmt numFmtId="169" formatCode="\$#,##0.00_);[Red]&quot;($&quot;#,##0.00\)"/>
    <numFmt numFmtId="170" formatCode="\$#,##0.00"/>
    <numFmt numFmtId="171" formatCode="\$#,##0;&quot;($&quot;#,##0\);\-"/>
    <numFmt numFmtId="172" formatCode="mmm\-yy"/>
    <numFmt numFmtId="173" formatCode="0&quot;  / 4&quot;"/>
    <numFmt numFmtId="174" formatCode="0.00\x"/>
    <numFmt numFmtId="175" formatCode="0.000000%"/>
  </numFmts>
  <fonts count="40" x14ac:knownFonts="1">
    <font>
      <sz val="11"/>
      <color theme="1"/>
      <name val="Calibri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sz val="12"/>
      <color theme="1"/>
      <name val="Arial"/>
      <family val="2"/>
    </font>
    <font>
      <b/>
      <i/>
      <sz val="9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8"/>
      <color theme="1"/>
      <name val="Calibri"/>
      <family val="2"/>
    </font>
    <font>
      <b/>
      <sz val="9"/>
      <color theme="1"/>
      <name val="Calibri"/>
      <family val="2"/>
    </font>
    <font>
      <i/>
      <sz val="8"/>
      <color theme="1"/>
      <name val="Calibri"/>
      <family val="2"/>
    </font>
    <font>
      <b/>
      <sz val="9"/>
      <color theme="1"/>
      <name val="Calibri"/>
      <family val="2"/>
    </font>
    <font>
      <i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i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i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E1F2"/>
        <bgColor rgb="FFDCE6F1"/>
      </patternFill>
    </fill>
    <fill>
      <patternFill patternType="solid">
        <fgColor rgb="FFC6E0B4"/>
        <bgColor rgb="FFE2EFDA"/>
      </patternFill>
    </fill>
    <fill>
      <patternFill patternType="solid">
        <fgColor rgb="FFFFFF99"/>
        <bgColor rgb="FFFFEB9C"/>
      </patternFill>
    </fill>
    <fill>
      <patternFill patternType="solid">
        <fgColor rgb="FFFFFF00"/>
        <bgColor rgb="FFFFD966"/>
      </patternFill>
    </fill>
    <fill>
      <patternFill patternType="solid">
        <fgColor rgb="FF4472C4"/>
        <bgColor rgb="FF666699"/>
      </patternFill>
    </fill>
    <fill>
      <patternFill patternType="solid">
        <fgColor rgb="FFB4C7E7"/>
        <bgColor rgb="FFC6E0B4"/>
      </patternFill>
    </fill>
    <fill>
      <patternFill patternType="solid">
        <fgColor rgb="FFFFE599"/>
        <bgColor rgb="FFFFEB9C"/>
      </patternFill>
    </fill>
    <fill>
      <patternFill patternType="solid">
        <fgColor rgb="FFFFD966"/>
        <bgColor rgb="FFFFE599"/>
      </patternFill>
    </fill>
    <fill>
      <patternFill patternType="solid">
        <fgColor rgb="FFFFEB9C"/>
        <bgColor rgb="FFFFE599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D9CC"/>
      </patternFill>
    </fill>
    <fill>
      <patternFill patternType="solid">
        <fgColor rgb="FF92D050"/>
        <bgColor rgb="FFC6E0B4"/>
      </patternFill>
    </fill>
    <fill>
      <patternFill patternType="solid">
        <fgColor rgb="FFFFCCCC"/>
        <bgColor rgb="FFFFD9CC"/>
      </patternFill>
    </fill>
    <fill>
      <patternFill patternType="solid">
        <fgColor rgb="FFE7E6E6"/>
        <bgColor rgb="FFDCE6F1"/>
      </patternFill>
    </fill>
    <fill>
      <patternFill patternType="solid">
        <fgColor rgb="FFFFD9CC"/>
        <bgColor rgb="FFFCE4D6"/>
      </patternFill>
    </fill>
    <fill>
      <patternFill patternType="solid">
        <fgColor rgb="FFFF6B6B"/>
        <bgColor rgb="FFFF6600"/>
      </patternFill>
    </fill>
    <fill>
      <patternFill patternType="solid">
        <fgColor rgb="FFDCE6F1"/>
        <bgColor rgb="FF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3" fillId="2" borderId="1" xfId="0" applyFont="1" applyFill="1" applyBorder="1"/>
    <xf numFmtId="0" fontId="12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0" fontId="4" fillId="0" borderId="0" xfId="0" applyFont="1"/>
    <xf numFmtId="0" fontId="0" fillId="3" borderId="1" xfId="0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0" fontId="5" fillId="0" borderId="0" xfId="0" applyFont="1"/>
    <xf numFmtId="0" fontId="6" fillId="0" borderId="0" xfId="0" applyFont="1"/>
    <xf numFmtId="167" fontId="0" fillId="3" borderId="1" xfId="0" applyNumberFormat="1" applyFill="1" applyBorder="1"/>
    <xf numFmtId="49" fontId="0" fillId="0" borderId="2" xfId="0" applyNumberFormat="1" applyBorder="1"/>
    <xf numFmtId="164" fontId="0" fillId="0" borderId="3" xfId="0" applyNumberFormat="1" applyBorder="1"/>
    <xf numFmtId="10" fontId="0" fillId="3" borderId="1" xfId="0" applyNumberFormat="1" applyFill="1" applyBorder="1"/>
    <xf numFmtId="49" fontId="0" fillId="0" borderId="4" xfId="0" applyNumberFormat="1" applyBorder="1"/>
    <xf numFmtId="164" fontId="0" fillId="0" borderId="5" xfId="0" applyNumberFormat="1" applyBorder="1"/>
    <xf numFmtId="49" fontId="0" fillId="0" borderId="6" xfId="0" applyNumberFormat="1" applyBorder="1"/>
    <xf numFmtId="164" fontId="0" fillId="0" borderId="7" xfId="0" applyNumberFormat="1" applyBorder="1"/>
    <xf numFmtId="0" fontId="3" fillId="2" borderId="0" xfId="0" applyFont="1" applyFill="1"/>
    <xf numFmtId="166" fontId="0" fillId="4" borderId="1" xfId="0" applyNumberFormat="1" applyFill="1" applyBorder="1"/>
    <xf numFmtId="0" fontId="7" fillId="0" borderId="0" xfId="0" applyFont="1"/>
    <xf numFmtId="0" fontId="8" fillId="0" borderId="0" xfId="0" applyFont="1"/>
    <xf numFmtId="166" fontId="9" fillId="5" borderId="1" xfId="0" applyNumberFormat="1" applyFont="1" applyFill="1" applyBorder="1"/>
    <xf numFmtId="2" fontId="0" fillId="3" borderId="1" xfId="0" applyNumberFormat="1" applyFill="1" applyBorder="1"/>
    <xf numFmtId="166" fontId="9" fillId="3" borderId="1" xfId="0" applyNumberFormat="1" applyFont="1" applyFill="1" applyBorder="1"/>
    <xf numFmtId="166" fontId="10" fillId="3" borderId="1" xfId="0" applyNumberFormat="1" applyFont="1" applyFill="1" applyBorder="1"/>
    <xf numFmtId="10" fontId="9" fillId="3" borderId="1" xfId="0" applyNumberFormat="1" applyFont="1" applyFill="1" applyBorder="1"/>
    <xf numFmtId="10" fontId="9" fillId="5" borderId="0" xfId="0" applyNumberFormat="1" applyFont="1" applyFill="1"/>
    <xf numFmtId="168" fontId="0" fillId="3" borderId="1" xfId="0" applyNumberFormat="1" applyFill="1" applyBorder="1"/>
    <xf numFmtId="0" fontId="11" fillId="0" borderId="0" xfId="0" applyFont="1"/>
    <xf numFmtId="167" fontId="9" fillId="3" borderId="1" xfId="0" applyNumberFormat="1" applyFont="1" applyFill="1" applyBorder="1"/>
    <xf numFmtId="0" fontId="12" fillId="0" borderId="0" xfId="0" applyFont="1"/>
    <xf numFmtId="0" fontId="13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6" fontId="7" fillId="0" borderId="1" xfId="0" applyNumberFormat="1" applyFont="1" applyBorder="1"/>
    <xf numFmtId="0" fontId="7" fillId="3" borderId="1" xfId="0" applyFont="1" applyFill="1" applyBorder="1"/>
    <xf numFmtId="167" fontId="7" fillId="3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169" fontId="15" fillId="0" borderId="0" xfId="0" applyNumberFormat="1" applyFont="1"/>
    <xf numFmtId="169" fontId="0" fillId="0" borderId="0" xfId="0" applyNumberFormat="1"/>
    <xf numFmtId="169" fontId="15" fillId="5" borderId="0" xfId="0" applyNumberFormat="1" applyFont="1" applyFill="1"/>
    <xf numFmtId="0" fontId="0" fillId="2" borderId="0" xfId="0" applyFill="1"/>
    <xf numFmtId="0" fontId="13" fillId="6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170" fontId="7" fillId="0" borderId="1" xfId="0" applyNumberFormat="1" applyFont="1" applyBorder="1"/>
    <xf numFmtId="10" fontId="7" fillId="0" borderId="1" xfId="0" applyNumberFormat="1" applyFont="1" applyBorder="1"/>
    <xf numFmtId="0" fontId="7" fillId="8" borderId="1" xfId="0" applyFont="1" applyFill="1" applyBorder="1" applyAlignment="1">
      <alignment horizontal="center"/>
    </xf>
    <xf numFmtId="0" fontId="9" fillId="0" borderId="0" xfId="0" applyFont="1"/>
    <xf numFmtId="171" fontId="10" fillId="0" borderId="0" xfId="0" applyNumberFormat="1" applyFont="1"/>
    <xf numFmtId="10" fontId="8" fillId="0" borderId="0" xfId="0" applyNumberFormat="1" applyFont="1"/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171" fontId="8" fillId="8" borderId="1" xfId="0" applyNumberFormat="1" applyFont="1" applyFill="1" applyBorder="1"/>
    <xf numFmtId="10" fontId="5" fillId="8" borderId="1" xfId="0" applyNumberFormat="1" applyFont="1" applyFill="1" applyBorder="1"/>
    <xf numFmtId="10" fontId="8" fillId="8" borderId="1" xfId="0" applyNumberFormat="1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171" fontId="8" fillId="7" borderId="1" xfId="0" applyNumberFormat="1" applyFont="1" applyFill="1" applyBorder="1"/>
    <xf numFmtId="10" fontId="5" fillId="7" borderId="1" xfId="0" applyNumberFormat="1" applyFont="1" applyFill="1" applyBorder="1"/>
    <xf numFmtId="10" fontId="8" fillId="7" borderId="1" xfId="0" applyNumberFormat="1" applyFont="1" applyFill="1" applyBorder="1"/>
    <xf numFmtId="0" fontId="3" fillId="9" borderId="1" xfId="0" applyFont="1" applyFill="1" applyBorder="1"/>
    <xf numFmtId="171" fontId="8" fillId="9" borderId="1" xfId="0" applyNumberFormat="1" applyFont="1" applyFill="1" applyBorder="1"/>
    <xf numFmtId="10" fontId="3" fillId="9" borderId="1" xfId="0" applyNumberFormat="1" applyFont="1" applyFill="1" applyBorder="1"/>
    <xf numFmtId="170" fontId="7" fillId="4" borderId="1" xfId="0" applyNumberFormat="1" applyFont="1" applyFill="1" applyBorder="1"/>
    <xf numFmtId="171" fontId="8" fillId="0" borderId="0" xfId="0" applyNumberFormat="1" applyFont="1"/>
    <xf numFmtId="0" fontId="5" fillId="9" borderId="1" xfId="0" applyFont="1" applyFill="1" applyBorder="1"/>
    <xf numFmtId="0" fontId="17" fillId="10" borderId="0" xfId="0" applyFont="1" applyFill="1"/>
    <xf numFmtId="170" fontId="0" fillId="0" borderId="1" xfId="0" applyNumberFormat="1" applyBorder="1"/>
    <xf numFmtId="170" fontId="5" fillId="0" borderId="1" xfId="0" applyNumberFormat="1" applyFont="1" applyBorder="1"/>
    <xf numFmtId="0" fontId="7" fillId="11" borderId="1" xfId="0" applyFont="1" applyFill="1" applyBorder="1" applyAlignment="1">
      <alignment horizontal="center"/>
    </xf>
    <xf numFmtId="0" fontId="7" fillId="4" borderId="1" xfId="0" applyFont="1" applyFill="1" applyBorder="1"/>
    <xf numFmtId="10" fontId="7" fillId="4" borderId="1" xfId="0" applyNumberFormat="1" applyFont="1" applyFill="1" applyBorder="1"/>
    <xf numFmtId="0" fontId="5" fillId="9" borderId="1" xfId="0" applyFont="1" applyFill="1" applyBorder="1" applyAlignment="1">
      <alignment horizontal="center"/>
    </xf>
    <xf numFmtId="170" fontId="5" fillId="9" borderId="1" xfId="0" applyNumberFormat="1" applyFont="1" applyFill="1" applyBorder="1"/>
    <xf numFmtId="0" fontId="12" fillId="9" borderId="1" xfId="0" applyFont="1" applyFill="1" applyBorder="1"/>
    <xf numFmtId="10" fontId="12" fillId="9" borderId="1" xfId="0" applyNumberFormat="1" applyFont="1" applyFill="1" applyBorder="1"/>
    <xf numFmtId="0" fontId="7" fillId="12" borderId="1" xfId="0" applyFont="1" applyFill="1" applyBorder="1" applyAlignment="1">
      <alignment horizontal="center"/>
    </xf>
    <xf numFmtId="166" fontId="5" fillId="12" borderId="1" xfId="0" applyNumberFormat="1" applyFont="1" applyFill="1" applyBorder="1"/>
    <xf numFmtId="0" fontId="3" fillId="0" borderId="0" xfId="0" applyFont="1"/>
    <xf numFmtId="166" fontId="3" fillId="9" borderId="1" xfId="0" applyNumberFormat="1" applyFont="1" applyFill="1" applyBorder="1"/>
    <xf numFmtId="0" fontId="18" fillId="0" borderId="0" xfId="0" applyFont="1"/>
    <xf numFmtId="166" fontId="12" fillId="0" borderId="1" xfId="0" applyNumberFormat="1" applyFont="1" applyBorder="1"/>
    <xf numFmtId="166" fontId="0" fillId="0" borderId="0" xfId="0" applyNumberFormat="1"/>
    <xf numFmtId="166" fontId="2" fillId="13" borderId="1" xfId="0" applyNumberFormat="1" applyFont="1" applyFill="1" applyBorder="1"/>
    <xf numFmtId="0" fontId="19" fillId="6" borderId="1" xfId="0" applyFont="1" applyFill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left" vertical="center"/>
    </xf>
    <xf numFmtId="166" fontId="18" fillId="0" borderId="1" xfId="0" applyNumberFormat="1" applyFont="1" applyBorder="1" applyAlignment="1">
      <alignment horizontal="right" vertical="center"/>
    </xf>
    <xf numFmtId="166" fontId="18" fillId="12" borderId="1" xfId="0" applyNumberFormat="1" applyFont="1" applyFill="1" applyBorder="1"/>
    <xf numFmtId="166" fontId="6" fillId="12" borderId="1" xfId="0" applyNumberFormat="1" applyFont="1" applyFill="1" applyBorder="1"/>
    <xf numFmtId="166" fontId="6" fillId="9" borderId="0" xfId="0" applyNumberFormat="1" applyFont="1" applyFill="1"/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right" vertical="center"/>
    </xf>
    <xf numFmtId="0" fontId="19" fillId="6" borderId="1" xfId="0" applyFont="1" applyFill="1" applyBorder="1"/>
    <xf numFmtId="172" fontId="19" fillId="6" borderId="1" xfId="0" applyNumberFormat="1" applyFont="1" applyFill="1" applyBorder="1" applyAlignment="1">
      <alignment horizontal="center"/>
    </xf>
    <xf numFmtId="0" fontId="6" fillId="13" borderId="1" xfId="0" applyFont="1" applyFill="1" applyBorder="1"/>
    <xf numFmtId="0" fontId="18" fillId="0" borderId="1" xfId="0" applyFont="1" applyBorder="1"/>
    <xf numFmtId="166" fontId="0" fillId="13" borderId="1" xfId="0" applyNumberFormat="1" applyFill="1" applyBorder="1"/>
    <xf numFmtId="0" fontId="5" fillId="2" borderId="1" xfId="0" applyFont="1" applyFill="1" applyBorder="1"/>
    <xf numFmtId="0" fontId="20" fillId="0" borderId="1" xfId="0" applyFont="1" applyBorder="1"/>
    <xf numFmtId="166" fontId="0" fillId="0" borderId="1" xfId="0" applyNumberFormat="1" applyBorder="1"/>
    <xf numFmtId="0" fontId="21" fillId="14" borderId="1" xfId="0" applyFont="1" applyFill="1" applyBorder="1"/>
    <xf numFmtId="0" fontId="22" fillId="0" borderId="1" xfId="0" applyFont="1" applyBorder="1"/>
    <xf numFmtId="166" fontId="0" fillId="14" borderId="1" xfId="0" applyNumberFormat="1" applyFill="1" applyBorder="1"/>
    <xf numFmtId="0" fontId="23" fillId="15" borderId="1" xfId="0" applyFont="1" applyFill="1" applyBorder="1"/>
    <xf numFmtId="0" fontId="24" fillId="0" borderId="1" xfId="0" applyFont="1" applyBorder="1"/>
    <xf numFmtId="166" fontId="0" fillId="15" borderId="1" xfId="0" applyNumberFormat="1" applyFill="1" applyBorder="1"/>
    <xf numFmtId="166" fontId="0" fillId="16" borderId="1" xfId="0" applyNumberFormat="1" applyFill="1" applyBorder="1"/>
    <xf numFmtId="0" fontId="5" fillId="12" borderId="1" xfId="0" applyFont="1" applyFill="1" applyBorder="1"/>
    <xf numFmtId="0" fontId="20" fillId="12" borderId="1" xfId="0" applyFont="1" applyFill="1" applyBorder="1"/>
    <xf numFmtId="166" fontId="0" fillId="12" borderId="1" xfId="0" applyNumberFormat="1" applyFill="1" applyBorder="1"/>
    <xf numFmtId="166" fontId="0" fillId="9" borderId="1" xfId="0" applyNumberFormat="1" applyFill="1" applyBorder="1"/>
    <xf numFmtId="0" fontId="5" fillId="13" borderId="1" xfId="0" applyFont="1" applyFill="1" applyBorder="1"/>
    <xf numFmtId="0" fontId="21" fillId="0" borderId="1" xfId="0" applyFont="1" applyBorder="1"/>
    <xf numFmtId="166" fontId="25" fillId="0" borderId="1" xfId="0" applyNumberFormat="1" applyFont="1" applyBorder="1"/>
    <xf numFmtId="0" fontId="23" fillId="0" borderId="1" xfId="0" applyFont="1" applyBorder="1"/>
    <xf numFmtId="166" fontId="26" fillId="0" borderId="1" xfId="0" applyNumberFormat="1" applyFont="1" applyBorder="1"/>
    <xf numFmtId="166" fontId="27" fillId="0" borderId="1" xfId="0" applyNumberFormat="1" applyFont="1" applyBorder="1"/>
    <xf numFmtId="166" fontId="28" fillId="0" borderId="0" xfId="0" applyNumberFormat="1" applyFont="1"/>
    <xf numFmtId="0" fontId="3" fillId="2" borderId="1" xfId="0" applyFont="1" applyFill="1" applyBorder="1"/>
    <xf numFmtId="0" fontId="5" fillId="0" borderId="1" xfId="0" applyFont="1" applyBorder="1"/>
    <xf numFmtId="0" fontId="12" fillId="0" borderId="1" xfId="0" applyFont="1" applyBorder="1"/>
    <xf numFmtId="0" fontId="3" fillId="10" borderId="1" xfId="0" applyFont="1" applyFill="1" applyBorder="1"/>
    <xf numFmtId="0" fontId="12" fillId="10" borderId="1" xfId="0" applyFont="1" applyFill="1" applyBorder="1"/>
    <xf numFmtId="173" fontId="0" fillId="10" borderId="1" xfId="0" applyNumberFormat="1" applyFill="1" applyBorder="1"/>
    <xf numFmtId="0" fontId="5" fillId="10" borderId="1" xfId="0" applyFont="1" applyFill="1" applyBorder="1"/>
    <xf numFmtId="166" fontId="28" fillId="0" borderId="1" xfId="0" applyNumberFormat="1" applyFont="1" applyBorder="1"/>
    <xf numFmtId="49" fontId="0" fillId="0" borderId="1" xfId="0" applyNumberFormat="1" applyBorder="1"/>
    <xf numFmtId="0" fontId="28" fillId="0" borderId="1" xfId="0" applyFont="1" applyBorder="1"/>
    <xf numFmtId="166" fontId="5" fillId="10" borderId="1" xfId="0" applyNumberFormat="1" applyFont="1" applyFill="1" applyBorder="1"/>
    <xf numFmtId="166" fontId="29" fillId="10" borderId="1" xfId="0" applyNumberFormat="1" applyFont="1" applyFill="1" applyBorder="1"/>
    <xf numFmtId="0" fontId="4" fillId="8" borderId="1" xfId="0" applyFont="1" applyFill="1" applyBorder="1"/>
    <xf numFmtId="166" fontId="0" fillId="8" borderId="1" xfId="0" applyNumberFormat="1" applyFill="1" applyBorder="1"/>
    <xf numFmtId="0" fontId="20" fillId="0" borderId="0" xfId="0" applyFont="1"/>
    <xf numFmtId="0" fontId="4" fillId="7" borderId="1" xfId="0" applyFont="1" applyFill="1" applyBorder="1"/>
    <xf numFmtId="166" fontId="0" fillId="7" borderId="1" xfId="0" applyNumberFormat="1" applyFill="1" applyBorder="1"/>
    <xf numFmtId="0" fontId="4" fillId="11" borderId="1" xfId="0" applyFont="1" applyFill="1" applyBorder="1"/>
    <xf numFmtId="166" fontId="0" fillId="11" borderId="1" xfId="0" applyNumberFormat="1" applyFill="1" applyBorder="1"/>
    <xf numFmtId="0" fontId="4" fillId="12" borderId="1" xfId="0" applyFont="1" applyFill="1" applyBorder="1"/>
    <xf numFmtId="0" fontId="30" fillId="0" borderId="0" xfId="0" applyFont="1"/>
    <xf numFmtId="0" fontId="29" fillId="17" borderId="1" xfId="0" applyFont="1" applyFill="1" applyBorder="1"/>
    <xf numFmtId="166" fontId="29" fillId="17" borderId="1" xfId="0" applyNumberFormat="1" applyFont="1" applyFill="1" applyBorder="1"/>
    <xf numFmtId="0" fontId="22" fillId="0" borderId="0" xfId="0" applyFont="1"/>
    <xf numFmtId="0" fontId="29" fillId="14" borderId="1" xfId="0" applyFont="1" applyFill="1" applyBorder="1"/>
    <xf numFmtId="166" fontId="29" fillId="14" borderId="1" xfId="0" applyNumberFormat="1" applyFont="1" applyFill="1" applyBorder="1"/>
    <xf numFmtId="0" fontId="4" fillId="0" borderId="1" xfId="0" applyFont="1" applyBorder="1"/>
    <xf numFmtId="0" fontId="2" fillId="9" borderId="1" xfId="0" applyFont="1" applyFill="1" applyBorder="1"/>
    <xf numFmtId="166" fontId="2" fillId="9" borderId="1" xfId="0" applyNumberFormat="1" applyFont="1" applyFill="1" applyBorder="1"/>
    <xf numFmtId="166" fontId="5" fillId="0" borderId="1" xfId="0" applyNumberFormat="1" applyFont="1" applyBorder="1"/>
    <xf numFmtId="167" fontId="0" fillId="0" borderId="0" xfId="0" applyNumberFormat="1"/>
    <xf numFmtId="10" fontId="0" fillId="0" borderId="0" xfId="0" applyNumberFormat="1"/>
    <xf numFmtId="166" fontId="20" fillId="0" borderId="0" xfId="0" applyNumberFormat="1" applyFont="1"/>
    <xf numFmtId="0" fontId="18" fillId="0" borderId="1" xfId="0" applyFont="1" applyBorder="1" applyAlignment="1">
      <alignment horizontal="center"/>
    </xf>
    <xf numFmtId="172" fontId="18" fillId="0" borderId="1" xfId="0" applyNumberFormat="1" applyFont="1" applyBorder="1" applyAlignment="1">
      <alignment horizontal="center"/>
    </xf>
    <xf numFmtId="166" fontId="18" fillId="0" borderId="1" xfId="0" applyNumberFormat="1" applyFont="1" applyBorder="1"/>
    <xf numFmtId="166" fontId="5" fillId="9" borderId="0" xfId="0" applyNumberFormat="1" applyFont="1" applyFill="1"/>
    <xf numFmtId="0" fontId="3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0" fontId="32" fillId="0" borderId="0" xfId="0" applyFont="1"/>
    <xf numFmtId="0" fontId="10" fillId="0" borderId="0" xfId="0" applyFont="1"/>
    <xf numFmtId="0" fontId="33" fillId="18" borderId="0" xfId="0" applyFont="1" applyFill="1"/>
    <xf numFmtId="0" fontId="11" fillId="18" borderId="0" xfId="0" applyFont="1" applyFill="1"/>
    <xf numFmtId="3" fontId="10" fillId="0" borderId="0" xfId="0" applyNumberFormat="1" applyFont="1"/>
    <xf numFmtId="0" fontId="34" fillId="0" borderId="0" xfId="0" applyFont="1"/>
    <xf numFmtId="171" fontId="8" fillId="0" borderId="8" xfId="0" applyNumberFormat="1" applyFont="1" applyBorder="1"/>
    <xf numFmtId="10" fontId="10" fillId="0" borderId="0" xfId="0" applyNumberFormat="1" applyFont="1"/>
    <xf numFmtId="0" fontId="0" fillId="18" borderId="0" xfId="0" applyFill="1"/>
    <xf numFmtId="171" fontId="11" fillId="18" borderId="0" xfId="0" applyNumberFormat="1" applyFont="1" applyFill="1"/>
    <xf numFmtId="171" fontId="8" fillId="0" borderId="9" xfId="0" applyNumberFormat="1" applyFont="1" applyBorder="1"/>
    <xf numFmtId="171" fontId="35" fillId="5" borderId="0" xfId="0" applyNumberFormat="1" applyFont="1" applyFill="1"/>
    <xf numFmtId="171" fontId="11" fillId="18" borderId="9" xfId="0" applyNumberFormat="1" applyFont="1" applyFill="1" applyBorder="1"/>
    <xf numFmtId="166" fontId="10" fillId="0" borderId="9" xfId="0" applyNumberFormat="1" applyFont="1" applyBorder="1"/>
    <xf numFmtId="1" fontId="10" fillId="0" borderId="0" xfId="0" applyNumberFormat="1" applyFont="1"/>
    <xf numFmtId="174" fontId="8" fillId="0" borderId="0" xfId="0" applyNumberFormat="1" applyFont="1"/>
    <xf numFmtId="174" fontId="10" fillId="0" borderId="0" xfId="0" applyNumberFormat="1" applyFont="1"/>
    <xf numFmtId="175" fontId="8" fillId="0" borderId="0" xfId="0" applyNumberFormat="1" applyFont="1"/>
    <xf numFmtId="1" fontId="8" fillId="0" borderId="0" xfId="0" applyNumberFormat="1" applyFont="1"/>
    <xf numFmtId="172" fontId="10" fillId="0" borderId="0" xfId="0" applyNumberFormat="1" applyFont="1"/>
    <xf numFmtId="0" fontId="11" fillId="0" borderId="9" xfId="0" applyFont="1" applyBorder="1"/>
    <xf numFmtId="0" fontId="0" fillId="0" borderId="9" xfId="0" applyBorder="1"/>
    <xf numFmtId="171" fontId="11" fillId="0" borderId="9" xfId="0" applyNumberFormat="1" applyFont="1" applyBorder="1"/>
    <xf numFmtId="171" fontId="11" fillId="0" borderId="0" xfId="0" applyNumberFormat="1" applyFont="1"/>
    <xf numFmtId="0" fontId="10" fillId="0" borderId="0" xfId="0" applyFont="1" applyAlignment="1">
      <alignment horizontal="right"/>
    </xf>
    <xf numFmtId="171" fontId="11" fillId="0" borderId="8" xfId="0" applyNumberFormat="1" applyFont="1" applyBorder="1"/>
    <xf numFmtId="171" fontId="9" fillId="0" borderId="0" xfId="0" applyNumberFormat="1" applyFont="1"/>
    <xf numFmtId="49" fontId="8" fillId="0" borderId="0" xfId="0" applyNumberFormat="1" applyFont="1"/>
    <xf numFmtId="0" fontId="8" fillId="18" borderId="0" xfId="0" applyFont="1" applyFill="1"/>
    <xf numFmtId="171" fontId="36" fillId="0" borderId="8" xfId="0" applyNumberFormat="1" applyFont="1" applyBorder="1"/>
    <xf numFmtId="171" fontId="36" fillId="0" borderId="0" xfId="0" applyNumberFormat="1" applyFont="1"/>
    <xf numFmtId="171" fontId="36" fillId="0" borderId="9" xfId="0" applyNumberFormat="1" applyFont="1" applyBorder="1"/>
    <xf numFmtId="0" fontId="37" fillId="6" borderId="0" xfId="0" applyFont="1" applyFill="1"/>
    <xf numFmtId="0" fontId="0" fillId="6" borderId="0" xfId="0" applyFill="1"/>
    <xf numFmtId="0" fontId="33" fillId="11" borderId="0" xfId="0" applyFont="1" applyFill="1"/>
    <xf numFmtId="0" fontId="0" fillId="11" borderId="0" xfId="0" applyFill="1"/>
    <xf numFmtId="174" fontId="36" fillId="0" borderId="0" xfId="0" applyNumberFormat="1" applyFont="1"/>
    <xf numFmtId="10" fontId="11" fillId="0" borderId="0" xfId="0" applyNumberFormat="1" applyFont="1"/>
    <xf numFmtId="0" fontId="38" fillId="0" borderId="0" xfId="0" applyFont="1"/>
    <xf numFmtId="10" fontId="38" fillId="0" borderId="0" xfId="0" applyNumberFormat="1" applyFont="1"/>
    <xf numFmtId="171" fontId="3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CE4D6"/>
      <rgbColor rgb="FFDCE6F1"/>
      <rgbColor rgb="FF660066"/>
      <rgbColor rgb="FFFF6B6B"/>
      <rgbColor rgb="FF0066CC"/>
      <rgbColor rgb="FFD9E1F2"/>
      <rgbColor rgb="FF000080"/>
      <rgbColor rgb="FFFF00FF"/>
      <rgbColor rgb="FFFFEB9C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C6E0B4"/>
      <rgbColor rgb="FFFFD9CC"/>
      <rgbColor rgb="FFFFE599"/>
      <rgbColor rgb="FFFFCCCC"/>
      <rgbColor rgb="FF4472C4"/>
      <rgbColor rgb="FF33CCCC"/>
      <rgbColor rgb="FF92D05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Normal="100" workbookViewId="0">
      <selection activeCell="A17" sqref="A17:B17"/>
    </sheetView>
  </sheetViews>
  <sheetFormatPr baseColWidth="10" defaultColWidth="14.5" defaultRowHeight="15" customHeight="1" x14ac:dyDescent="0.2"/>
  <cols>
    <col min="1" max="1" width="35" customWidth="1"/>
    <col min="2" max="2" width="20" customWidth="1"/>
    <col min="3" max="5" width="15" customWidth="1"/>
    <col min="6" max="6" width="8.83203125" customWidth="1"/>
    <col min="7" max="7" width="31.83203125" customWidth="1"/>
    <col min="8" max="8" width="14.6640625" customWidth="1"/>
    <col min="9" max="26" width="8.83203125" customWidth="1"/>
  </cols>
  <sheetData>
    <row r="1" spans="1:8" ht="18.75" customHeight="1" x14ac:dyDescent="0.25">
      <c r="A1" s="5" t="s">
        <v>0</v>
      </c>
      <c r="G1" s="6"/>
      <c r="H1" s="7"/>
    </row>
    <row r="2" spans="1:8" ht="15.75" customHeight="1" x14ac:dyDescent="0.2">
      <c r="A2" s="8" t="s">
        <v>1</v>
      </c>
      <c r="G2" s="6"/>
      <c r="H2" s="7"/>
    </row>
    <row r="3" spans="1:8" x14ac:dyDescent="0.2">
      <c r="G3" s="6"/>
      <c r="H3" s="7"/>
    </row>
    <row r="4" spans="1:8" ht="15" customHeight="1" x14ac:dyDescent="0.2">
      <c r="A4" s="4" t="s">
        <v>2</v>
      </c>
      <c r="B4" s="4"/>
      <c r="C4" s="4"/>
      <c r="G4" s="6"/>
      <c r="H4" s="7"/>
    </row>
    <row r="5" spans="1:8" ht="15" customHeight="1" x14ac:dyDescent="0.2">
      <c r="A5" s="9" t="s">
        <v>3</v>
      </c>
      <c r="B5" s="10" t="s">
        <v>4</v>
      </c>
      <c r="G5" s="6"/>
      <c r="H5" s="7"/>
    </row>
    <row r="6" spans="1:8" ht="15" customHeight="1" x14ac:dyDescent="0.2">
      <c r="A6" s="9" t="s">
        <v>5</v>
      </c>
      <c r="B6" s="10" t="s">
        <v>6</v>
      </c>
      <c r="G6" s="6"/>
      <c r="H6" s="7"/>
    </row>
    <row r="7" spans="1:8" ht="15" customHeight="1" x14ac:dyDescent="0.2">
      <c r="A7" s="9" t="s">
        <v>7</v>
      </c>
      <c r="B7" s="11" t="s">
        <v>8</v>
      </c>
      <c r="G7" s="6"/>
      <c r="H7" s="7"/>
    </row>
    <row r="8" spans="1:8" ht="15" customHeight="1" x14ac:dyDescent="0.2">
      <c r="A8" s="9" t="s">
        <v>9</v>
      </c>
      <c r="B8" s="10">
        <v>13</v>
      </c>
      <c r="C8" s="9" t="s">
        <v>10</v>
      </c>
      <c r="G8" s="6"/>
      <c r="H8" s="7"/>
    </row>
    <row r="9" spans="1:8" ht="15" customHeight="1" x14ac:dyDescent="0.2">
      <c r="A9" s="9" t="s">
        <v>11</v>
      </c>
      <c r="B9" s="10">
        <v>16</v>
      </c>
      <c r="C9" s="9" t="s">
        <v>10</v>
      </c>
      <c r="G9" s="6"/>
      <c r="H9" s="7"/>
    </row>
    <row r="10" spans="1:8" ht="15" customHeight="1" x14ac:dyDescent="0.2">
      <c r="A10" s="9" t="s">
        <v>12</v>
      </c>
      <c r="B10" s="10">
        <v>1</v>
      </c>
      <c r="C10" s="9" t="s">
        <v>10</v>
      </c>
      <c r="G10" s="6"/>
      <c r="H10" s="7"/>
    </row>
    <row r="11" spans="1:8" ht="15" customHeight="1" x14ac:dyDescent="0.2">
      <c r="A11" s="9" t="s">
        <v>13</v>
      </c>
      <c r="B11" s="10">
        <v>60</v>
      </c>
      <c r="C11" s="9" t="s">
        <v>10</v>
      </c>
      <c r="G11" s="6"/>
      <c r="H11" s="7"/>
    </row>
    <row r="12" spans="1:8" ht="15" customHeight="1" x14ac:dyDescent="0.2">
      <c r="A12" s="9" t="s">
        <v>14</v>
      </c>
      <c r="B12" s="10">
        <v>61</v>
      </c>
      <c r="C12" s="9" t="s">
        <v>10</v>
      </c>
      <c r="G12" s="6"/>
      <c r="H12" s="7"/>
    </row>
    <row r="13" spans="1:8" x14ac:dyDescent="0.2">
      <c r="G13" s="6"/>
      <c r="H13" s="7"/>
    </row>
    <row r="14" spans="1:8" ht="15" customHeight="1" x14ac:dyDescent="0.2">
      <c r="A14" s="4" t="s">
        <v>15</v>
      </c>
      <c r="B14" s="4"/>
      <c r="C14" s="4"/>
      <c r="G14" s="6"/>
      <c r="H14" s="7"/>
    </row>
    <row r="15" spans="1:8" ht="15" customHeight="1" x14ac:dyDescent="0.2">
      <c r="A15" s="9" t="s">
        <v>16</v>
      </c>
      <c r="B15" s="12">
        <v>400000</v>
      </c>
      <c r="G15" s="6"/>
      <c r="H15" s="7"/>
    </row>
    <row r="16" spans="1:8" ht="15" customHeight="1" x14ac:dyDescent="0.2">
      <c r="A16" s="9" t="s">
        <v>17</v>
      </c>
      <c r="B16" s="12">
        <v>600000</v>
      </c>
      <c r="G16" s="6"/>
      <c r="H16" s="7"/>
    </row>
    <row r="17" spans="1:8" x14ac:dyDescent="0.2">
      <c r="A17" s="34" t="s">
        <v>686</v>
      </c>
      <c r="B17" s="180">
        <v>15000000</v>
      </c>
      <c r="G17" s="6"/>
      <c r="H17" s="7"/>
    </row>
    <row r="18" spans="1:8" ht="15" customHeight="1" x14ac:dyDescent="0.2">
      <c r="A18" s="13" t="s">
        <v>18</v>
      </c>
      <c r="B18" s="14" t="s">
        <v>19</v>
      </c>
      <c r="C18" s="14" t="s">
        <v>20</v>
      </c>
      <c r="D18" s="14" t="s">
        <v>21</v>
      </c>
      <c r="E18" s="14" t="s">
        <v>22</v>
      </c>
      <c r="G18" s="6"/>
      <c r="H18" s="7"/>
    </row>
    <row r="19" spans="1:8" ht="15" customHeight="1" x14ac:dyDescent="0.2">
      <c r="A19" s="9" t="s">
        <v>23</v>
      </c>
      <c r="B19" s="12">
        <v>500000</v>
      </c>
      <c r="C19" s="10" t="s">
        <v>24</v>
      </c>
      <c r="D19" s="15">
        <v>0.1</v>
      </c>
      <c r="E19" s="10">
        <v>3</v>
      </c>
      <c r="G19" s="6"/>
      <c r="H19" s="7"/>
    </row>
    <row r="20" spans="1:8" ht="15" customHeight="1" x14ac:dyDescent="0.2">
      <c r="A20" s="9" t="s">
        <v>25</v>
      </c>
      <c r="B20" s="12">
        <v>3000000</v>
      </c>
      <c r="C20" s="10" t="s">
        <v>26</v>
      </c>
      <c r="D20" s="15">
        <v>0.1</v>
      </c>
      <c r="E20" s="10">
        <v>2</v>
      </c>
      <c r="G20" s="6"/>
      <c r="H20" s="7"/>
    </row>
    <row r="21" spans="1:8" ht="15" customHeight="1" x14ac:dyDescent="0.2">
      <c r="A21" s="9" t="s">
        <v>27</v>
      </c>
      <c r="B21" s="12">
        <v>2000000</v>
      </c>
      <c r="C21" s="10" t="s">
        <v>28</v>
      </c>
      <c r="D21" s="15">
        <v>0.1</v>
      </c>
      <c r="E21" s="10">
        <v>3</v>
      </c>
      <c r="G21" s="6"/>
      <c r="H21" s="7"/>
    </row>
    <row r="22" spans="1:8" ht="15" customHeight="1" x14ac:dyDescent="0.2">
      <c r="A22" s="9" t="s">
        <v>29</v>
      </c>
      <c r="B22" s="12">
        <v>2500000</v>
      </c>
      <c r="C22" s="10" t="s">
        <v>28</v>
      </c>
      <c r="D22" s="15">
        <v>0.1</v>
      </c>
      <c r="E22" s="10">
        <v>4</v>
      </c>
      <c r="G22" s="6"/>
      <c r="H22" s="7"/>
    </row>
    <row r="23" spans="1:8" ht="15" customHeight="1" x14ac:dyDescent="0.2">
      <c r="A23" s="9" t="s">
        <v>30</v>
      </c>
      <c r="B23" s="12">
        <v>1500000</v>
      </c>
      <c r="C23" s="10" t="s">
        <v>31</v>
      </c>
      <c r="D23" s="15">
        <v>0.1</v>
      </c>
      <c r="E23" s="10">
        <v>2</v>
      </c>
      <c r="G23" s="6"/>
      <c r="H23" s="7"/>
    </row>
    <row r="24" spans="1:8" ht="15" customHeight="1" x14ac:dyDescent="0.2">
      <c r="A24" s="9" t="s">
        <v>32</v>
      </c>
      <c r="B24" s="12">
        <v>300000</v>
      </c>
      <c r="C24" s="10" t="s">
        <v>31</v>
      </c>
      <c r="D24" s="15">
        <v>0.1</v>
      </c>
      <c r="E24" s="10">
        <v>6</v>
      </c>
      <c r="G24" s="6"/>
      <c r="H24" s="7"/>
    </row>
    <row r="25" spans="1:8" ht="15.75" customHeight="1" x14ac:dyDescent="0.2">
      <c r="G25" s="6"/>
      <c r="H25" s="7"/>
    </row>
    <row r="26" spans="1:8" ht="15" customHeight="1" x14ac:dyDescent="0.2">
      <c r="A26" s="13" t="s">
        <v>33</v>
      </c>
      <c r="B26" s="14" t="s">
        <v>19</v>
      </c>
      <c r="C26" s="14" t="s">
        <v>21</v>
      </c>
      <c r="G26" s="6"/>
      <c r="H26" s="7"/>
    </row>
    <row r="27" spans="1:8" ht="15" customHeight="1" x14ac:dyDescent="0.2">
      <c r="A27" s="9" t="s">
        <v>34</v>
      </c>
      <c r="B27" s="12">
        <v>400000</v>
      </c>
      <c r="C27" s="15">
        <v>0.1</v>
      </c>
      <c r="G27" s="6"/>
      <c r="H27" s="7"/>
    </row>
    <row r="28" spans="1:8" ht="15" customHeight="1" x14ac:dyDescent="0.2">
      <c r="A28" s="9" t="s">
        <v>35</v>
      </c>
      <c r="B28" s="12">
        <v>150000</v>
      </c>
      <c r="C28" s="15">
        <v>0</v>
      </c>
      <c r="G28" s="6"/>
      <c r="H28" s="7"/>
    </row>
    <row r="29" spans="1:8" ht="15" customHeight="1" x14ac:dyDescent="0.2">
      <c r="A29" s="9" t="s">
        <v>36</v>
      </c>
      <c r="B29" s="12">
        <v>200000</v>
      </c>
      <c r="C29" s="15">
        <v>0</v>
      </c>
      <c r="G29" s="6"/>
      <c r="H29" s="7"/>
    </row>
    <row r="30" spans="1:8" ht="15" customHeight="1" x14ac:dyDescent="0.2">
      <c r="A30" s="9" t="s">
        <v>37</v>
      </c>
      <c r="B30" s="12">
        <v>300000</v>
      </c>
      <c r="C30" s="15">
        <v>0.1</v>
      </c>
      <c r="G30" s="6"/>
      <c r="H30" s="7"/>
    </row>
    <row r="31" spans="1:8" ht="15" customHeight="1" x14ac:dyDescent="0.2">
      <c r="A31" s="9" t="s">
        <v>38</v>
      </c>
      <c r="B31" s="12">
        <v>100000</v>
      </c>
      <c r="C31" s="15">
        <v>0</v>
      </c>
      <c r="G31" s="6"/>
      <c r="H31" s="7"/>
    </row>
    <row r="32" spans="1:8" ht="15.75" customHeight="1" x14ac:dyDescent="0.2">
      <c r="G32" s="6"/>
      <c r="H32" s="7"/>
    </row>
    <row r="33" spans="1:8" ht="15" customHeight="1" x14ac:dyDescent="0.2">
      <c r="A33" s="9" t="s">
        <v>39</v>
      </c>
      <c r="B33" s="12">
        <v>500000</v>
      </c>
      <c r="G33" s="6"/>
      <c r="H33" s="7"/>
    </row>
    <row r="34" spans="1:8" ht="15.75" customHeight="1" x14ac:dyDescent="0.2">
      <c r="G34" s="6"/>
      <c r="H34" s="7"/>
    </row>
    <row r="35" spans="1:8" ht="15.75" customHeight="1" x14ac:dyDescent="0.2">
      <c r="A35" s="4" t="s">
        <v>40</v>
      </c>
      <c r="B35" s="4"/>
      <c r="C35" s="4"/>
      <c r="G35" s="6"/>
      <c r="H35" s="7"/>
    </row>
    <row r="36" spans="1:8" ht="15" customHeight="1" x14ac:dyDescent="0.2">
      <c r="A36" s="9" t="s">
        <v>41</v>
      </c>
      <c r="B36" s="15">
        <v>0.77190000000000003</v>
      </c>
      <c r="C36" s="9" t="s">
        <v>42</v>
      </c>
      <c r="G36" s="16" t="str">
        <f>'Sources &amp; Uses - Construction'!A4</f>
        <v>SOURCES OF FUNDS</v>
      </c>
      <c r="H36" s="17" t="str">
        <f>'Sources &amp; Uses - Construction'!B4</f>
        <v>Amount</v>
      </c>
    </row>
    <row r="37" spans="1:8" ht="15" customHeight="1" x14ac:dyDescent="0.2">
      <c r="A37" s="9" t="s">
        <v>43</v>
      </c>
      <c r="B37" s="18">
        <v>4.9500000000000002E-2</v>
      </c>
      <c r="C37" s="9" t="s">
        <v>42</v>
      </c>
      <c r="G37" s="19" t="str">
        <f>'Sources &amp; Uses - Construction'!A5</f>
        <v>In disbursement priority order (1→5)</v>
      </c>
      <c r="H37" s="20">
        <f>'Sources &amp; Uses - Construction'!B5</f>
        <v>0</v>
      </c>
    </row>
    <row r="38" spans="1:8" ht="15" customHeight="1" x14ac:dyDescent="0.2">
      <c r="A38" s="9" t="s">
        <v>44</v>
      </c>
      <c r="B38" s="18">
        <v>1E-3</v>
      </c>
      <c r="C38" s="9" t="s">
        <v>42</v>
      </c>
      <c r="G38" s="19" t="str">
        <f>'Sources &amp; Uses - Construction'!A6</f>
        <v>1. Class A Equity (GP - Land Contribution)</v>
      </c>
      <c r="H38" s="20">
        <f>'Sources &amp; Uses - Construction'!B6</f>
        <v>15</v>
      </c>
    </row>
    <row r="39" spans="1:8" ht="15" customHeight="1" x14ac:dyDescent="0.2">
      <c r="A39" s="9" t="s">
        <v>45</v>
      </c>
      <c r="B39" s="12">
        <v>33627000</v>
      </c>
      <c r="C39" s="9" t="s">
        <v>42</v>
      </c>
      <c r="G39" s="19" t="str">
        <f>'Sources &amp; Uses - Construction'!A7</f>
        <v>2. Class E Equity (LP Units)</v>
      </c>
      <c r="H39" s="20">
        <f>'Sources &amp; Uses - Construction'!B7</f>
        <v>2800015</v>
      </c>
    </row>
    <row r="40" spans="1:8" ht="15" customHeight="1" x14ac:dyDescent="0.2">
      <c r="A40" s="4" t="s">
        <v>46</v>
      </c>
      <c r="B40" s="4"/>
      <c r="C40" s="4"/>
      <c r="G40" s="19" t="str">
        <f>'Sources &amp; Uses - Construction'!A8</f>
        <v>3. Subordinated Loan #1 (Preferred Equity)</v>
      </c>
      <c r="H40" s="20">
        <f>'Sources &amp; Uses - Construction'!B8</f>
        <v>0</v>
      </c>
    </row>
    <row r="41" spans="1:8" ht="15" customHeight="1" x14ac:dyDescent="0.2">
      <c r="A41" s="9" t="s">
        <v>45</v>
      </c>
      <c r="B41" s="12">
        <v>0</v>
      </c>
      <c r="G41" s="19" t="str">
        <f>'Sources &amp; Uses - Construction'!A9</f>
        <v>4. Subordinated Loan #2 (Mezzanine)</v>
      </c>
      <c r="H41" s="20">
        <f>'Sources &amp; Uses - Construction'!B9</f>
        <v>0</v>
      </c>
    </row>
    <row r="42" spans="1:8" ht="15" customHeight="1" x14ac:dyDescent="0.2">
      <c r="A42" s="9" t="s">
        <v>43</v>
      </c>
      <c r="B42" s="18">
        <v>0.08</v>
      </c>
      <c r="C42" s="9" t="s">
        <v>42</v>
      </c>
      <c r="G42" s="19">
        <f>'Sources &amp; Uses - Construction'!A10</f>
        <v>0</v>
      </c>
      <c r="H42" s="20">
        <f>'Sources &amp; Uses - Construction'!B10</f>
        <v>0</v>
      </c>
    </row>
    <row r="43" spans="1:8" ht="15" customHeight="1" x14ac:dyDescent="0.2">
      <c r="A43" s="9" t="s">
        <v>44</v>
      </c>
      <c r="B43" s="18">
        <v>1E-3</v>
      </c>
      <c r="C43" s="9" t="s">
        <v>42</v>
      </c>
      <c r="G43" s="19" t="str">
        <f>'Sources &amp; Uses - Construction'!A11</f>
        <v>Required Additional Equity</v>
      </c>
      <c r="H43" s="20">
        <f>'Sources &amp; Uses - Construction'!B11</f>
        <v>7137311.8725000024</v>
      </c>
    </row>
    <row r="44" spans="1:8" ht="15" customHeight="1" x14ac:dyDescent="0.2">
      <c r="A44" s="9" t="s">
        <v>47</v>
      </c>
      <c r="B44" s="10">
        <v>1</v>
      </c>
      <c r="G44" s="19">
        <f>'Sources &amp; Uses - Construction'!A12</f>
        <v>0</v>
      </c>
      <c r="H44" s="20">
        <f>'Sources &amp; Uses - Construction'!B12</f>
        <v>0</v>
      </c>
    </row>
    <row r="45" spans="1:8" ht="15.75" customHeight="1" x14ac:dyDescent="0.2">
      <c r="G45" s="21" t="str">
        <f>'Sources &amp; Uses - Construction'!A13</f>
        <v>5. Senior Construction Loan</v>
      </c>
      <c r="H45" s="22">
        <f>'Sources &amp; Uses - Construction'!B13</f>
        <v>33628383.127499998</v>
      </c>
    </row>
    <row r="46" spans="1:8" ht="15" customHeight="1" x14ac:dyDescent="0.2">
      <c r="A46" s="4" t="s">
        <v>48</v>
      </c>
      <c r="B46" s="4"/>
      <c r="C46" s="4"/>
      <c r="G46" s="19">
        <f>'Sources &amp; Uses - Construction'!A14</f>
        <v>0</v>
      </c>
      <c r="H46" s="20">
        <f>'Sources &amp; Uses - Construction'!B14</f>
        <v>0</v>
      </c>
    </row>
    <row r="47" spans="1:8" ht="15.75" customHeight="1" x14ac:dyDescent="0.2">
      <c r="A47" s="9" t="s">
        <v>45</v>
      </c>
      <c r="B47" s="12">
        <v>0</v>
      </c>
      <c r="G47" s="19">
        <f>'Sources &amp; Uses - Construction'!A15</f>
        <v>0</v>
      </c>
      <c r="H47" s="20">
        <f>'Sources &amp; Uses - Construction'!B15</f>
        <v>0</v>
      </c>
    </row>
    <row r="48" spans="1:8" ht="15" customHeight="1" x14ac:dyDescent="0.2">
      <c r="A48" s="9" t="s">
        <v>43</v>
      </c>
      <c r="B48" s="18">
        <v>0.1</v>
      </c>
      <c r="C48" s="9" t="s">
        <v>42</v>
      </c>
      <c r="G48" s="16" t="str">
        <f>'Sources &amp; Uses - Construction'!A16</f>
        <v>TOTAL SOURCES</v>
      </c>
      <c r="H48" s="17">
        <f>'Sources &amp; Uses - Construction'!B16</f>
        <v>43565725</v>
      </c>
    </row>
    <row r="49" spans="1:8" ht="15" customHeight="1" x14ac:dyDescent="0.2">
      <c r="A49" s="9" t="s">
        <v>44</v>
      </c>
      <c r="B49" s="18">
        <v>1E-3</v>
      </c>
      <c r="C49" s="9" t="s">
        <v>42</v>
      </c>
      <c r="G49" s="19">
        <f>'Sources &amp; Uses - Construction'!A17</f>
        <v>0</v>
      </c>
      <c r="H49" s="20">
        <f>'Sources &amp; Uses - Construction'!B17</f>
        <v>0</v>
      </c>
    </row>
    <row r="50" spans="1:8" ht="15" customHeight="1" x14ac:dyDescent="0.2">
      <c r="A50" s="9" t="s">
        <v>47</v>
      </c>
      <c r="B50" s="10">
        <v>2</v>
      </c>
      <c r="G50" s="19">
        <f>'Sources &amp; Uses - Construction'!A18</f>
        <v>0</v>
      </c>
      <c r="H50" s="20">
        <f>'Sources &amp; Uses - Construction'!B18</f>
        <v>0</v>
      </c>
    </row>
    <row r="51" spans="1:8" ht="15" customHeight="1" x14ac:dyDescent="0.2">
      <c r="G51" s="19" t="str">
        <f>'Sources &amp; Uses - Construction'!A19</f>
        <v>USES OF FUNDS</v>
      </c>
      <c r="H51" s="20" t="str">
        <f>'Sources &amp; Uses - Construction'!B19</f>
        <v>Amount</v>
      </c>
    </row>
    <row r="52" spans="1:8" ht="15" customHeight="1" x14ac:dyDescent="0.2">
      <c r="A52" s="4" t="s">
        <v>49</v>
      </c>
      <c r="B52" s="4"/>
      <c r="C52" s="4"/>
      <c r="G52" s="19" t="str">
        <f>'Sources &amp; Uses - Construction'!A20</f>
        <v>1. LAND</v>
      </c>
      <c r="H52" s="20">
        <f>'Sources &amp; Uses - Construction'!B20</f>
        <v>1725168</v>
      </c>
    </row>
    <row r="53" spans="1:8" ht="15" customHeight="1" x14ac:dyDescent="0.2">
      <c r="A53" s="23" t="s">
        <v>50</v>
      </c>
      <c r="B53" s="18">
        <v>0.05</v>
      </c>
      <c r="C53" s="9" t="s">
        <v>42</v>
      </c>
      <c r="G53" s="19" t="str">
        <f>'Sources &amp; Uses - Construction'!A21</f>
        <v>2. SITE SERVICING + LANDSCAPE</v>
      </c>
      <c r="H53" s="20">
        <f>'Sources &amp; Uses - Construction'!B21</f>
        <v>5168121</v>
      </c>
    </row>
    <row r="54" spans="1:8" ht="15" customHeight="1" x14ac:dyDescent="0.2">
      <c r="A54" s="9" t="s">
        <v>51</v>
      </c>
      <c r="B54" s="24">
        <v>100000</v>
      </c>
      <c r="C54" s="25" t="s">
        <v>52</v>
      </c>
      <c r="G54" s="19" t="str">
        <f>'Sources &amp; Uses - Construction'!A22</f>
        <v>3. HARD COSTS</v>
      </c>
      <c r="H54" s="20">
        <f>'Sources &amp; Uses - Construction'!B22</f>
        <v>25732155</v>
      </c>
    </row>
    <row r="55" spans="1:8" ht="15" customHeight="1" x14ac:dyDescent="0.2">
      <c r="A55" s="9" t="s">
        <v>53</v>
      </c>
      <c r="B55" s="24">
        <v>750000</v>
      </c>
      <c r="C55" s="25" t="s">
        <v>54</v>
      </c>
      <c r="G55" s="19" t="str">
        <f>'Sources &amp; Uses - Construction'!A23</f>
        <v>4. FF&amp;E</v>
      </c>
      <c r="H55" s="20">
        <f>'Sources &amp; Uses - Construction'!B23</f>
        <v>1792768</v>
      </c>
    </row>
    <row r="56" spans="1:8" ht="15" customHeight="1" x14ac:dyDescent="0.2">
      <c r="A56" s="9" t="s">
        <v>55</v>
      </c>
      <c r="B56" s="12">
        <v>750000</v>
      </c>
      <c r="G56" s="19" t="str">
        <f>'Sources &amp; Uses - Construction'!A24</f>
        <v>5. PROFESSIONAL FEES</v>
      </c>
      <c r="H56" s="20">
        <f>'Sources &amp; Uses - Construction'!B24</f>
        <v>3283546</v>
      </c>
    </row>
    <row r="57" spans="1:8" ht="15" customHeight="1" x14ac:dyDescent="0.2">
      <c r="G57" s="19" t="str">
        <f>'Sources &amp; Uses - Construction'!A25</f>
        <v>6. FINANCE AND ADMINISTRATION</v>
      </c>
      <c r="H57" s="20">
        <f>'Sources &amp; Uses - Construction'!B25</f>
        <v>3276350</v>
      </c>
    </row>
    <row r="58" spans="1:8" ht="15" customHeight="1" x14ac:dyDescent="0.2">
      <c r="A58" s="4" t="s">
        <v>56</v>
      </c>
      <c r="B58" s="4"/>
      <c r="C58" s="4"/>
      <c r="G58" s="19" t="str">
        <f>'Sources &amp; Uses - Construction'!A26</f>
        <v>7. TAX ASSESSMENT</v>
      </c>
      <c r="H58" s="20">
        <f>'Sources &amp; Uses - Construction'!B26</f>
        <v>2087617</v>
      </c>
    </row>
    <row r="59" spans="1:8" ht="15" customHeight="1" x14ac:dyDescent="0.2">
      <c r="A59" s="26" t="s">
        <v>57</v>
      </c>
      <c r="B59" s="27">
        <v>19000000</v>
      </c>
      <c r="C59" s="26" t="s">
        <v>58</v>
      </c>
      <c r="G59" s="19" t="str">
        <f>'Sources &amp; Uses - Construction'!A27</f>
        <v>8. CONTINGENCY ALLOWANCE</v>
      </c>
      <c r="H59" s="20">
        <f>'Sources &amp; Uses - Construction'!B27</f>
        <v>500000</v>
      </c>
    </row>
    <row r="60" spans="1:8" ht="15" customHeight="1" x14ac:dyDescent="0.2">
      <c r="A60" s="9" t="s">
        <v>59</v>
      </c>
      <c r="B60" s="18">
        <v>3.2899999999999999E-2</v>
      </c>
      <c r="C60" s="9" t="s">
        <v>42</v>
      </c>
      <c r="G60" s="19" t="str">
        <f>'Sources &amp; Uses - Construction'!A28</f>
        <v>Capitalized Interest</v>
      </c>
      <c r="H60" s="20">
        <f>'Sources &amp; Uses - Construction'!B28</f>
        <v>0</v>
      </c>
    </row>
    <row r="61" spans="1:8" ht="15" customHeight="1" x14ac:dyDescent="0.2">
      <c r="A61" s="9" t="s">
        <v>60</v>
      </c>
      <c r="B61" s="18">
        <v>4.4999999999999997E-3</v>
      </c>
      <c r="C61" s="9" t="s">
        <v>42</v>
      </c>
      <c r="G61" s="19" t="str">
        <f>'Sources &amp; Uses - Construction'!A29</f>
        <v>GST/QST Paid (Gross)</v>
      </c>
      <c r="H61" s="20">
        <f>'Sources &amp; Uses - Construction'!B29</f>
        <v>0</v>
      </c>
    </row>
    <row r="62" spans="1:8" ht="15.75" customHeight="1" x14ac:dyDescent="0.2">
      <c r="A62" s="9" t="s">
        <v>39</v>
      </c>
      <c r="B62" s="18">
        <v>0</v>
      </c>
      <c r="C62" s="9" t="s">
        <v>42</v>
      </c>
      <c r="G62" s="21">
        <f>'Sources &amp; Uses - Construction'!A30</f>
        <v>0</v>
      </c>
      <c r="H62" s="22">
        <f>'Sources &amp; Uses - Construction'!B30</f>
        <v>0</v>
      </c>
    </row>
    <row r="63" spans="1:8" ht="15" customHeight="1" x14ac:dyDescent="0.2">
      <c r="A63" s="9" t="s">
        <v>61</v>
      </c>
      <c r="B63" s="18">
        <v>3.7400000000000003E-2</v>
      </c>
      <c r="C63" s="9" t="s">
        <v>42</v>
      </c>
      <c r="G63" s="19">
        <f>'Sources &amp; Uses - Construction'!A31</f>
        <v>0</v>
      </c>
      <c r="H63" s="20">
        <f>'Sources &amp; Uses - Construction'!B31</f>
        <v>0</v>
      </c>
    </row>
    <row r="64" spans="1:8" ht="15" customHeight="1" x14ac:dyDescent="0.2">
      <c r="A64" s="9" t="s">
        <v>62</v>
      </c>
      <c r="B64" s="10">
        <v>50</v>
      </c>
      <c r="C64" s="9" t="s">
        <v>63</v>
      </c>
      <c r="G64" s="19" t="str">
        <f>'Sources &amp; Uses - Construction'!A32</f>
        <v>TOTAL USES</v>
      </c>
      <c r="H64" s="20">
        <f>'Sources &amp; Uses - Construction'!B32</f>
        <v>43565725</v>
      </c>
    </row>
    <row r="65" spans="1:8" ht="15" customHeight="1" x14ac:dyDescent="0.2">
      <c r="A65" s="9" t="s">
        <v>64</v>
      </c>
      <c r="B65" s="28">
        <v>1.1000000000000001</v>
      </c>
      <c r="C65" s="9" t="s">
        <v>65</v>
      </c>
      <c r="G65" s="19">
        <f>'Sources &amp; Uses - Construction'!A33</f>
        <v>0</v>
      </c>
      <c r="H65" s="20">
        <f>'Sources &amp; Uses - Construction'!B33</f>
        <v>0</v>
      </c>
    </row>
    <row r="66" spans="1:8" ht="15" customHeight="1" x14ac:dyDescent="0.2">
      <c r="G66" s="19">
        <f>'Sources &amp; Uses - Construction'!A34</f>
        <v>0</v>
      </c>
      <c r="H66" s="20">
        <f>'Sources &amp; Uses - Construction'!B34</f>
        <v>0</v>
      </c>
    </row>
    <row r="67" spans="1:8" ht="15" customHeight="1" x14ac:dyDescent="0.2">
      <c r="A67" s="4" t="s">
        <v>66</v>
      </c>
      <c r="B67" s="4"/>
      <c r="C67" s="4"/>
      <c r="G67" s="19" t="str">
        <f>'Sources &amp; Uses - Construction'!A35</f>
        <v>RECONCILIATION</v>
      </c>
      <c r="H67" s="20">
        <f>'Sources &amp; Uses - Construction'!B35</f>
        <v>0</v>
      </c>
    </row>
    <row r="68" spans="1:8" ht="15" customHeight="1" x14ac:dyDescent="0.2">
      <c r="A68" s="9" t="s">
        <v>67</v>
      </c>
      <c r="B68" s="29">
        <v>2800000</v>
      </c>
      <c r="G68" s="19" t="str">
        <f>'Sources &amp; Uses - Construction'!A36</f>
        <v>Total Sources</v>
      </c>
      <c r="H68" s="20">
        <f>'Sources &amp; Uses - Construction'!B36</f>
        <v>43565725</v>
      </c>
    </row>
    <row r="69" spans="1:8" ht="15.75" customHeight="1" x14ac:dyDescent="0.2">
      <c r="A69" s="9" t="s">
        <v>68</v>
      </c>
      <c r="B69" s="30">
        <v>0</v>
      </c>
      <c r="C69" s="9" t="s">
        <v>69</v>
      </c>
      <c r="G69" s="21" t="str">
        <f>'Sources &amp; Uses - Construction'!A37</f>
        <v>Total Uses</v>
      </c>
      <c r="H69" s="22">
        <f>'Sources &amp; Uses - Construction'!B37</f>
        <v>43565725</v>
      </c>
    </row>
    <row r="70" spans="1:8" ht="15" customHeight="1" x14ac:dyDescent="0.2">
      <c r="A70" s="9" t="s">
        <v>70</v>
      </c>
      <c r="B70" s="31">
        <v>0</v>
      </c>
      <c r="C70" s="9" t="s">
        <v>42</v>
      </c>
      <c r="G70" s="6"/>
      <c r="H70" s="7"/>
    </row>
    <row r="71" spans="1:8" ht="15.75" customHeight="1" x14ac:dyDescent="0.2">
      <c r="G71" s="6"/>
      <c r="H71" s="7"/>
    </row>
    <row r="72" spans="1:8" ht="15" customHeight="1" x14ac:dyDescent="0.2">
      <c r="A72" s="4" t="s">
        <v>71</v>
      </c>
      <c r="B72" s="4"/>
      <c r="C72" s="4"/>
      <c r="G72" s="6"/>
      <c r="H72" s="7"/>
    </row>
    <row r="73" spans="1:8" ht="15" customHeight="1" x14ac:dyDescent="0.2">
      <c r="A73" s="9" t="s">
        <v>72</v>
      </c>
      <c r="B73" s="10">
        <v>47</v>
      </c>
      <c r="G73" s="6"/>
      <c r="H73" s="7"/>
    </row>
    <row r="74" spans="1:8" ht="15" customHeight="1" x14ac:dyDescent="0.2">
      <c r="A74" s="9" t="s">
        <v>73</v>
      </c>
      <c r="B74" s="10">
        <v>47</v>
      </c>
      <c r="G74" s="6"/>
      <c r="H74" s="7"/>
    </row>
    <row r="75" spans="1:8" ht="15" customHeight="1" x14ac:dyDescent="0.2">
      <c r="A75" s="9" t="s">
        <v>74</v>
      </c>
      <c r="B75" s="12">
        <v>75</v>
      </c>
      <c r="C75" s="9" t="s">
        <v>75</v>
      </c>
      <c r="G75" s="6"/>
      <c r="H75" s="7"/>
    </row>
    <row r="76" spans="1:8" ht="15" customHeight="1" x14ac:dyDescent="0.2">
      <c r="A76" s="9" t="s">
        <v>76</v>
      </c>
      <c r="B76" s="12">
        <v>50</v>
      </c>
      <c r="C76" s="9" t="s">
        <v>75</v>
      </c>
      <c r="G76" s="6"/>
      <c r="H76" s="7"/>
    </row>
    <row r="77" spans="1:8" ht="15" customHeight="1" x14ac:dyDescent="0.2">
      <c r="A77" s="9" t="s">
        <v>77</v>
      </c>
      <c r="B77" s="10">
        <v>50</v>
      </c>
      <c r="G77" s="6"/>
      <c r="H77" s="7"/>
    </row>
    <row r="78" spans="1:8" ht="15" customHeight="1" x14ac:dyDescent="0.2">
      <c r="A78" s="9" t="s">
        <v>78</v>
      </c>
      <c r="B78" s="12">
        <v>38</v>
      </c>
      <c r="C78" s="9" t="s">
        <v>75</v>
      </c>
      <c r="G78" s="6"/>
      <c r="H78" s="7"/>
    </row>
    <row r="79" spans="1:8" ht="15" customHeight="1" x14ac:dyDescent="0.2">
      <c r="A79" s="9" t="s">
        <v>79</v>
      </c>
      <c r="B79" s="15">
        <v>0.02</v>
      </c>
      <c r="C79" s="9" t="s">
        <v>42</v>
      </c>
      <c r="G79" s="6"/>
      <c r="H79" s="7"/>
    </row>
    <row r="80" spans="1:8" ht="15" customHeight="1" x14ac:dyDescent="0.2">
      <c r="A80" s="9" t="s">
        <v>80</v>
      </c>
      <c r="B80" s="10">
        <v>2</v>
      </c>
      <c r="C80" s="9" t="s">
        <v>10</v>
      </c>
      <c r="G80" s="6"/>
      <c r="H80" s="7"/>
    </row>
    <row r="81" spans="1:8" ht="15" customHeight="1" x14ac:dyDescent="0.2">
      <c r="A81" s="9" t="s">
        <v>81</v>
      </c>
      <c r="B81" s="15">
        <v>0.06</v>
      </c>
      <c r="C81" s="9" t="s">
        <v>42</v>
      </c>
      <c r="G81" s="6"/>
      <c r="H81" s="7"/>
    </row>
    <row r="82" spans="1:8" ht="15" customHeight="1" x14ac:dyDescent="0.2">
      <c r="A82" s="26" t="s">
        <v>82</v>
      </c>
      <c r="B82" s="32">
        <v>1.4999999999999999E-2</v>
      </c>
      <c r="C82" s="26" t="s">
        <v>42</v>
      </c>
      <c r="G82" s="6"/>
      <c r="H82" s="7"/>
    </row>
    <row r="83" spans="1:8" ht="15" customHeight="1" x14ac:dyDescent="0.2">
      <c r="A83" s="4" t="s">
        <v>83</v>
      </c>
      <c r="B83" s="4"/>
      <c r="C83" s="4"/>
      <c r="G83" s="6"/>
      <c r="H83" s="7"/>
    </row>
    <row r="84" spans="1:8" ht="15" customHeight="1" x14ac:dyDescent="0.2">
      <c r="A84" s="9" t="s">
        <v>84</v>
      </c>
      <c r="B84" s="18">
        <v>7.4999999999999997E-3</v>
      </c>
      <c r="C84" s="9" t="s">
        <v>42</v>
      </c>
      <c r="G84" s="6"/>
      <c r="H84" s="7"/>
    </row>
    <row r="85" spans="1:8" ht="15" customHeight="1" x14ac:dyDescent="0.2">
      <c r="A85" s="9" t="s">
        <v>85</v>
      </c>
      <c r="B85" s="33">
        <v>1.56E-3</v>
      </c>
      <c r="C85" s="9" t="s">
        <v>42</v>
      </c>
      <c r="G85" s="6"/>
      <c r="H85" s="7"/>
    </row>
    <row r="86" spans="1:8" ht="15" customHeight="1" x14ac:dyDescent="0.2">
      <c r="A86" s="9" t="s">
        <v>86</v>
      </c>
      <c r="B86" s="10">
        <v>0</v>
      </c>
      <c r="C86" s="9" t="s">
        <v>10</v>
      </c>
      <c r="G86" s="6"/>
      <c r="H86" s="7"/>
    </row>
    <row r="87" spans="1:8" ht="15" customHeight="1" x14ac:dyDescent="0.2">
      <c r="A87" s="26" t="s">
        <v>87</v>
      </c>
      <c r="B87" s="32">
        <v>0</v>
      </c>
      <c r="C87" s="26" t="s">
        <v>42</v>
      </c>
      <c r="G87" s="6"/>
      <c r="H87" s="7"/>
    </row>
    <row r="88" spans="1:8" ht="15" customHeight="1" x14ac:dyDescent="0.2">
      <c r="A88" s="13" t="s">
        <v>88</v>
      </c>
      <c r="B88" s="14" t="s">
        <v>89</v>
      </c>
      <c r="C88" s="14" t="s">
        <v>90</v>
      </c>
      <c r="G88" s="6"/>
      <c r="H88" s="7"/>
    </row>
    <row r="89" spans="1:8" ht="15" customHeight="1" x14ac:dyDescent="0.2">
      <c r="A89" s="9" t="s">
        <v>91</v>
      </c>
      <c r="B89" s="12">
        <v>16989</v>
      </c>
      <c r="C89" s="15">
        <v>0.01</v>
      </c>
      <c r="G89" s="6"/>
      <c r="H89" s="7"/>
    </row>
    <row r="90" spans="1:8" ht="15" customHeight="1" x14ac:dyDescent="0.2">
      <c r="A90" s="9" t="s">
        <v>92</v>
      </c>
      <c r="B90" s="12">
        <v>38400</v>
      </c>
      <c r="C90" s="15">
        <v>0.01</v>
      </c>
      <c r="G90" s="6"/>
      <c r="H90" s="7"/>
    </row>
    <row r="91" spans="1:8" ht="15" customHeight="1" x14ac:dyDescent="0.2">
      <c r="A91" s="9" t="s">
        <v>93</v>
      </c>
      <c r="B91" s="12">
        <v>2000</v>
      </c>
      <c r="C91" s="15">
        <v>0.01</v>
      </c>
      <c r="G91" s="6"/>
      <c r="H91" s="7"/>
    </row>
    <row r="92" spans="1:8" ht="15" customHeight="1" x14ac:dyDescent="0.2">
      <c r="A92" s="9" t="s">
        <v>94</v>
      </c>
      <c r="B92" s="12">
        <v>23000</v>
      </c>
      <c r="C92" s="15">
        <v>0.01</v>
      </c>
      <c r="G92" s="6"/>
      <c r="H92" s="7"/>
    </row>
    <row r="93" spans="1:8" ht="15" customHeight="1" x14ac:dyDescent="0.2">
      <c r="A93" s="9" t="s">
        <v>95</v>
      </c>
      <c r="B93" s="12">
        <v>23000</v>
      </c>
      <c r="C93" s="15">
        <v>0.01</v>
      </c>
      <c r="G93" s="6"/>
      <c r="H93" s="7"/>
    </row>
    <row r="94" spans="1:8" ht="15" customHeight="1" x14ac:dyDescent="0.2">
      <c r="A94" s="9" t="s">
        <v>96</v>
      </c>
      <c r="B94" s="12">
        <v>7650</v>
      </c>
      <c r="C94" s="15">
        <v>0.01</v>
      </c>
      <c r="G94" s="6"/>
      <c r="H94" s="7"/>
    </row>
    <row r="95" spans="1:8" ht="15" customHeight="1" x14ac:dyDescent="0.2">
      <c r="A95" s="9" t="s">
        <v>97</v>
      </c>
      <c r="B95" s="12">
        <v>9000</v>
      </c>
      <c r="C95" s="15">
        <v>0.01</v>
      </c>
      <c r="G95" s="6"/>
      <c r="H95" s="7"/>
    </row>
    <row r="96" spans="1:8" ht="15" customHeight="1" x14ac:dyDescent="0.2">
      <c r="A96" s="9" t="s">
        <v>98</v>
      </c>
      <c r="B96" s="12">
        <v>20000</v>
      </c>
      <c r="C96" s="15">
        <v>0.01</v>
      </c>
      <c r="G96" s="6"/>
      <c r="H96" s="7"/>
    </row>
    <row r="97" spans="1:8" ht="15" customHeight="1" x14ac:dyDescent="0.2">
      <c r="A97" s="9" t="s">
        <v>77</v>
      </c>
      <c r="B97" s="12">
        <v>5000</v>
      </c>
      <c r="C97" s="15">
        <v>0.01</v>
      </c>
      <c r="G97" s="6"/>
      <c r="H97" s="7"/>
    </row>
    <row r="98" spans="1:8" ht="15" customHeight="1" x14ac:dyDescent="0.2">
      <c r="A98" s="9" t="s">
        <v>99</v>
      </c>
      <c r="B98" s="12">
        <v>12200</v>
      </c>
      <c r="C98" s="15">
        <v>0.01</v>
      </c>
      <c r="G98" s="6"/>
      <c r="H98" s="7"/>
    </row>
    <row r="99" spans="1:8" ht="15" customHeight="1" x14ac:dyDescent="0.2">
      <c r="A99" s="9" t="s">
        <v>100</v>
      </c>
      <c r="B99" s="15">
        <v>0.03</v>
      </c>
      <c r="C99" s="15">
        <v>0</v>
      </c>
      <c r="G99" s="6"/>
      <c r="H99" s="7"/>
    </row>
    <row r="100" spans="1:8" ht="15.75" customHeight="1" x14ac:dyDescent="0.2">
      <c r="G100" s="6"/>
      <c r="H100" s="7"/>
    </row>
    <row r="101" spans="1:8" ht="15" customHeight="1" x14ac:dyDescent="0.2">
      <c r="A101" s="4" t="s">
        <v>101</v>
      </c>
      <c r="B101" s="4"/>
      <c r="C101" s="4"/>
      <c r="D101" s="34" t="s">
        <v>90</v>
      </c>
      <c r="G101" s="6"/>
      <c r="H101" s="7"/>
    </row>
    <row r="102" spans="1:8" ht="15" customHeight="1" x14ac:dyDescent="0.2">
      <c r="A102" s="9" t="s">
        <v>102</v>
      </c>
      <c r="B102" s="12">
        <v>700</v>
      </c>
      <c r="C102" s="9" t="s">
        <v>103</v>
      </c>
      <c r="D102" s="32">
        <v>0.01</v>
      </c>
      <c r="G102" s="6"/>
      <c r="H102" s="7"/>
    </row>
    <row r="103" spans="1:8" ht="15" customHeight="1" x14ac:dyDescent="0.2">
      <c r="A103" s="9" t="s">
        <v>104</v>
      </c>
      <c r="B103" s="15">
        <v>7.4999999999999997E-3</v>
      </c>
      <c r="C103" s="9" t="s">
        <v>105</v>
      </c>
      <c r="D103" s="32">
        <v>0.01</v>
      </c>
      <c r="G103" s="6"/>
      <c r="H103" s="7"/>
    </row>
    <row r="104" spans="1:8" ht="15.75" customHeight="1" x14ac:dyDescent="0.2">
      <c r="G104" s="6"/>
      <c r="H104" s="7"/>
    </row>
    <row r="105" spans="1:8" ht="15" customHeight="1" x14ac:dyDescent="0.2">
      <c r="A105" s="4" t="s">
        <v>106</v>
      </c>
      <c r="B105" s="4"/>
      <c r="C105" s="4"/>
      <c r="G105" s="6"/>
      <c r="H105" s="7"/>
    </row>
    <row r="106" spans="1:8" ht="15" customHeight="1" x14ac:dyDescent="0.2">
      <c r="A106" s="9" t="s">
        <v>51</v>
      </c>
      <c r="B106" s="12">
        <v>100000</v>
      </c>
      <c r="G106" s="6"/>
      <c r="H106" s="7"/>
    </row>
    <row r="107" spans="1:8" ht="15" customHeight="1" x14ac:dyDescent="0.2">
      <c r="A107" s="9" t="s">
        <v>107</v>
      </c>
      <c r="B107" s="10" t="s">
        <v>108</v>
      </c>
      <c r="G107" s="6"/>
      <c r="H107" s="7"/>
    </row>
    <row r="108" spans="1:8" ht="15.75" customHeight="1" x14ac:dyDescent="0.2">
      <c r="G108" s="6"/>
      <c r="H108" s="7"/>
    </row>
    <row r="109" spans="1:8" ht="15" customHeight="1" x14ac:dyDescent="0.2">
      <c r="A109" s="13" t="s">
        <v>109</v>
      </c>
      <c r="G109" s="6"/>
      <c r="H109" s="7"/>
    </row>
    <row r="110" spans="1:8" ht="15" customHeight="1" x14ac:dyDescent="0.2">
      <c r="A110" s="9" t="s">
        <v>110</v>
      </c>
      <c r="B110" s="18">
        <v>0</v>
      </c>
      <c r="C110" s="9" t="s">
        <v>111</v>
      </c>
      <c r="G110" s="6"/>
      <c r="H110" s="7"/>
    </row>
    <row r="111" spans="1:8" ht="15" customHeight="1" x14ac:dyDescent="0.2">
      <c r="A111" s="9" t="s">
        <v>112</v>
      </c>
      <c r="B111" s="10" t="s">
        <v>113</v>
      </c>
      <c r="G111" s="6"/>
      <c r="H111" s="7"/>
    </row>
    <row r="112" spans="1:8" ht="15" customHeight="1" x14ac:dyDescent="0.2">
      <c r="A112" s="9" t="s">
        <v>114</v>
      </c>
      <c r="B112" s="35">
        <v>0.7</v>
      </c>
      <c r="C112" s="9" t="s">
        <v>42</v>
      </c>
      <c r="G112" s="6"/>
      <c r="H112" s="7"/>
    </row>
    <row r="113" spans="1:8" ht="15" customHeight="1" x14ac:dyDescent="0.2">
      <c r="A113" s="9" t="s">
        <v>115</v>
      </c>
      <c r="B113" s="35">
        <v>0.3</v>
      </c>
      <c r="C113" s="9" t="s">
        <v>42</v>
      </c>
      <c r="G113" s="6"/>
      <c r="H113" s="7"/>
    </row>
    <row r="114" spans="1:8" ht="15.75" customHeight="1" x14ac:dyDescent="0.2">
      <c r="G114" s="6"/>
      <c r="H114" s="7"/>
    </row>
    <row r="115" spans="1:8" ht="15" customHeight="1" x14ac:dyDescent="0.2">
      <c r="A115" s="4" t="s">
        <v>116</v>
      </c>
      <c r="B115" s="4"/>
      <c r="C115" s="4"/>
      <c r="G115" s="6"/>
      <c r="H115" s="7"/>
    </row>
    <row r="116" spans="1:8" ht="15" customHeight="1" x14ac:dyDescent="0.2">
      <c r="A116" s="9" t="s">
        <v>117</v>
      </c>
      <c r="B116" s="18">
        <v>4.4999999999999998E-2</v>
      </c>
      <c r="C116" s="9" t="s">
        <v>42</v>
      </c>
      <c r="G116" s="6"/>
      <c r="H116" s="7"/>
    </row>
    <row r="117" spans="1:8" ht="15" customHeight="1" x14ac:dyDescent="0.2">
      <c r="A117" s="9" t="s">
        <v>118</v>
      </c>
      <c r="B117" s="15">
        <v>0.01</v>
      </c>
      <c r="C117" s="9" t="s">
        <v>119</v>
      </c>
      <c r="G117" s="6"/>
      <c r="H117" s="7"/>
    </row>
    <row r="118" spans="1:8" ht="15" customHeight="1" x14ac:dyDescent="0.2">
      <c r="A118" s="9" t="s">
        <v>120</v>
      </c>
      <c r="B118" s="12">
        <v>0</v>
      </c>
      <c r="G118" s="6"/>
      <c r="H118" s="7"/>
    </row>
    <row r="119" spans="1:8" ht="15.75" customHeight="1" x14ac:dyDescent="0.2">
      <c r="G119" s="6"/>
      <c r="H119" s="7"/>
    </row>
    <row r="120" spans="1:8" ht="15.75" customHeight="1" x14ac:dyDescent="0.2">
      <c r="G120" s="6"/>
      <c r="H120" s="7"/>
    </row>
    <row r="121" spans="1:8" ht="15.75" customHeight="1" x14ac:dyDescent="0.2">
      <c r="G121" s="6"/>
      <c r="H121" s="7"/>
    </row>
    <row r="122" spans="1:8" ht="15.75" customHeight="1" x14ac:dyDescent="0.2">
      <c r="G122" s="6"/>
      <c r="H122" s="7"/>
    </row>
    <row r="123" spans="1:8" ht="15.75" customHeight="1" x14ac:dyDescent="0.2">
      <c r="G123" s="6"/>
      <c r="H123" s="7"/>
    </row>
    <row r="124" spans="1:8" ht="15.75" customHeight="1" x14ac:dyDescent="0.2">
      <c r="G124" s="6"/>
      <c r="H124" s="7"/>
    </row>
    <row r="125" spans="1:8" ht="15.75" customHeight="1" x14ac:dyDescent="0.2">
      <c r="G125" s="6"/>
      <c r="H125" s="7"/>
    </row>
    <row r="126" spans="1:8" ht="15.75" customHeight="1" x14ac:dyDescent="0.2">
      <c r="G126" s="6"/>
      <c r="H126" s="7"/>
    </row>
    <row r="127" spans="1:8" ht="15.75" customHeight="1" x14ac:dyDescent="0.2">
      <c r="G127" s="6"/>
      <c r="H127" s="7"/>
    </row>
    <row r="128" spans="1:8" ht="15.75" customHeight="1" x14ac:dyDescent="0.2">
      <c r="G128" s="6"/>
      <c r="H128" s="7"/>
    </row>
    <row r="129" spans="7:8" ht="15.75" customHeight="1" x14ac:dyDescent="0.2">
      <c r="G129" s="6"/>
      <c r="H129" s="7"/>
    </row>
    <row r="130" spans="7:8" ht="15.75" customHeight="1" x14ac:dyDescent="0.2">
      <c r="G130" s="6"/>
      <c r="H130" s="7"/>
    </row>
    <row r="131" spans="7:8" ht="15.75" customHeight="1" x14ac:dyDescent="0.2">
      <c r="G131" s="6"/>
      <c r="H131" s="7"/>
    </row>
    <row r="132" spans="7:8" ht="15.75" customHeight="1" x14ac:dyDescent="0.2">
      <c r="G132" s="6"/>
      <c r="H132" s="7"/>
    </row>
    <row r="133" spans="7:8" ht="15.75" customHeight="1" x14ac:dyDescent="0.2">
      <c r="G133" s="6"/>
      <c r="H133" s="7"/>
    </row>
    <row r="134" spans="7:8" ht="15.75" customHeight="1" x14ac:dyDescent="0.2">
      <c r="G134" s="6"/>
      <c r="H134" s="7"/>
    </row>
    <row r="135" spans="7:8" ht="15.75" customHeight="1" x14ac:dyDescent="0.2">
      <c r="G135" s="6"/>
      <c r="H135" s="7"/>
    </row>
    <row r="136" spans="7:8" ht="15.75" customHeight="1" x14ac:dyDescent="0.2">
      <c r="G136" s="6"/>
      <c r="H136" s="7"/>
    </row>
    <row r="137" spans="7:8" ht="15.75" customHeight="1" x14ac:dyDescent="0.2">
      <c r="G137" s="6"/>
      <c r="H137" s="7"/>
    </row>
    <row r="138" spans="7:8" ht="15.75" customHeight="1" x14ac:dyDescent="0.2">
      <c r="G138" s="6"/>
      <c r="H138" s="7"/>
    </row>
    <row r="139" spans="7:8" ht="15.75" customHeight="1" x14ac:dyDescent="0.2">
      <c r="G139" s="6"/>
      <c r="H139" s="7"/>
    </row>
    <row r="140" spans="7:8" ht="15.75" customHeight="1" x14ac:dyDescent="0.2">
      <c r="G140" s="6"/>
      <c r="H140" s="7"/>
    </row>
    <row r="141" spans="7:8" ht="15.75" customHeight="1" x14ac:dyDescent="0.2">
      <c r="G141" s="6"/>
      <c r="H141" s="7"/>
    </row>
    <row r="142" spans="7:8" ht="15.75" customHeight="1" x14ac:dyDescent="0.2">
      <c r="G142" s="6"/>
      <c r="H142" s="7"/>
    </row>
    <row r="143" spans="7:8" ht="15.75" customHeight="1" x14ac:dyDescent="0.2">
      <c r="G143" s="6"/>
      <c r="H143" s="7"/>
    </row>
    <row r="144" spans="7:8" ht="15.75" customHeight="1" x14ac:dyDescent="0.2">
      <c r="G144" s="6"/>
      <c r="H144" s="7"/>
    </row>
    <row r="145" spans="7:8" ht="15.75" customHeight="1" x14ac:dyDescent="0.2">
      <c r="G145" s="6"/>
      <c r="H145" s="7"/>
    </row>
    <row r="146" spans="7:8" ht="15.75" customHeight="1" x14ac:dyDescent="0.2">
      <c r="G146" s="6"/>
      <c r="H146" s="7"/>
    </row>
    <row r="147" spans="7:8" ht="15.75" customHeight="1" x14ac:dyDescent="0.2">
      <c r="G147" s="6"/>
      <c r="H147" s="7"/>
    </row>
    <row r="148" spans="7:8" ht="15.75" customHeight="1" x14ac:dyDescent="0.2">
      <c r="G148" s="6"/>
      <c r="H148" s="7"/>
    </row>
    <row r="149" spans="7:8" ht="15.75" customHeight="1" x14ac:dyDescent="0.2">
      <c r="G149" s="6"/>
      <c r="H149" s="7"/>
    </row>
    <row r="150" spans="7:8" ht="15.75" customHeight="1" x14ac:dyDescent="0.2">
      <c r="G150" s="6"/>
      <c r="H150" s="7"/>
    </row>
    <row r="151" spans="7:8" ht="15.75" customHeight="1" x14ac:dyDescent="0.2">
      <c r="G151" s="6"/>
      <c r="H151" s="7"/>
    </row>
    <row r="152" spans="7:8" ht="15.75" customHeight="1" x14ac:dyDescent="0.2">
      <c r="G152" s="6"/>
      <c r="H152" s="7"/>
    </row>
    <row r="153" spans="7:8" ht="15.75" customHeight="1" x14ac:dyDescent="0.2">
      <c r="G153" s="6"/>
      <c r="H153" s="7"/>
    </row>
    <row r="154" spans="7:8" ht="15.75" customHeight="1" x14ac:dyDescent="0.2">
      <c r="G154" s="6"/>
      <c r="H154" s="7"/>
    </row>
    <row r="155" spans="7:8" ht="15.75" customHeight="1" x14ac:dyDescent="0.2">
      <c r="G155" s="6"/>
      <c r="H155" s="7"/>
    </row>
    <row r="156" spans="7:8" ht="15.75" customHeight="1" x14ac:dyDescent="0.2">
      <c r="G156" s="6"/>
      <c r="H156" s="7"/>
    </row>
    <row r="157" spans="7:8" ht="15.75" customHeight="1" x14ac:dyDescent="0.2">
      <c r="G157" s="6"/>
      <c r="H157" s="7"/>
    </row>
    <row r="158" spans="7:8" ht="15.75" customHeight="1" x14ac:dyDescent="0.2">
      <c r="G158" s="6"/>
      <c r="H158" s="7"/>
    </row>
    <row r="159" spans="7:8" ht="15.75" customHeight="1" x14ac:dyDescent="0.2">
      <c r="G159" s="6"/>
      <c r="H159" s="7"/>
    </row>
    <row r="160" spans="7:8" ht="15.75" customHeight="1" x14ac:dyDescent="0.2">
      <c r="G160" s="6"/>
      <c r="H160" s="7"/>
    </row>
    <row r="161" spans="7:8" ht="15.75" customHeight="1" x14ac:dyDescent="0.2">
      <c r="G161" s="6"/>
      <c r="H161" s="7"/>
    </row>
    <row r="162" spans="7:8" ht="15.75" customHeight="1" x14ac:dyDescent="0.2">
      <c r="G162" s="6"/>
      <c r="H162" s="7"/>
    </row>
    <row r="163" spans="7:8" ht="15.75" customHeight="1" x14ac:dyDescent="0.2">
      <c r="G163" s="6"/>
      <c r="H163" s="7"/>
    </row>
    <row r="164" spans="7:8" ht="15.75" customHeight="1" x14ac:dyDescent="0.2">
      <c r="G164" s="6"/>
      <c r="H164" s="7"/>
    </row>
    <row r="165" spans="7:8" ht="15.75" customHeight="1" x14ac:dyDescent="0.2">
      <c r="G165" s="6"/>
      <c r="H165" s="7"/>
    </row>
    <row r="166" spans="7:8" ht="15.75" customHeight="1" x14ac:dyDescent="0.2">
      <c r="G166" s="6"/>
      <c r="H166" s="7"/>
    </row>
    <row r="167" spans="7:8" ht="15.75" customHeight="1" x14ac:dyDescent="0.2">
      <c r="G167" s="6"/>
      <c r="H167" s="7"/>
    </row>
    <row r="168" spans="7:8" ht="15.75" customHeight="1" x14ac:dyDescent="0.2">
      <c r="G168" s="6"/>
      <c r="H168" s="7"/>
    </row>
    <row r="169" spans="7:8" ht="15.75" customHeight="1" x14ac:dyDescent="0.2">
      <c r="G169" s="6"/>
      <c r="H169" s="7"/>
    </row>
    <row r="170" spans="7:8" ht="15.75" customHeight="1" x14ac:dyDescent="0.2">
      <c r="G170" s="6"/>
      <c r="H170" s="7"/>
    </row>
    <row r="171" spans="7:8" ht="15.75" customHeight="1" x14ac:dyDescent="0.2">
      <c r="G171" s="6"/>
      <c r="H171" s="7"/>
    </row>
    <row r="172" spans="7:8" ht="15.75" customHeight="1" x14ac:dyDescent="0.2">
      <c r="G172" s="6"/>
      <c r="H172" s="7"/>
    </row>
    <row r="173" spans="7:8" ht="15.75" customHeight="1" x14ac:dyDescent="0.2">
      <c r="G173" s="6"/>
      <c r="H173" s="7"/>
    </row>
    <row r="174" spans="7:8" ht="15.75" customHeight="1" x14ac:dyDescent="0.2">
      <c r="G174" s="6"/>
      <c r="H174" s="7"/>
    </row>
    <row r="175" spans="7:8" ht="15.75" customHeight="1" x14ac:dyDescent="0.2">
      <c r="G175" s="6"/>
      <c r="H175" s="7"/>
    </row>
    <row r="176" spans="7:8" ht="15.75" customHeight="1" x14ac:dyDescent="0.2">
      <c r="G176" s="6"/>
      <c r="H176" s="7"/>
    </row>
    <row r="177" spans="7:8" ht="15.75" customHeight="1" x14ac:dyDescent="0.2">
      <c r="G177" s="6"/>
      <c r="H177" s="7"/>
    </row>
    <row r="178" spans="7:8" ht="15.75" customHeight="1" x14ac:dyDescent="0.2">
      <c r="G178" s="6"/>
      <c r="H178" s="7"/>
    </row>
    <row r="179" spans="7:8" ht="15.75" customHeight="1" x14ac:dyDescent="0.2">
      <c r="G179" s="6"/>
      <c r="H179" s="7"/>
    </row>
    <row r="180" spans="7:8" ht="15.75" customHeight="1" x14ac:dyDescent="0.2">
      <c r="G180" s="6"/>
      <c r="H180" s="7"/>
    </row>
    <row r="181" spans="7:8" ht="15.75" customHeight="1" x14ac:dyDescent="0.2">
      <c r="G181" s="6"/>
      <c r="H181" s="7"/>
    </row>
    <row r="182" spans="7:8" ht="15.75" customHeight="1" x14ac:dyDescent="0.2">
      <c r="G182" s="6"/>
      <c r="H182" s="7"/>
    </row>
    <row r="183" spans="7:8" ht="15.75" customHeight="1" x14ac:dyDescent="0.2">
      <c r="G183" s="6"/>
      <c r="H183" s="7"/>
    </row>
    <row r="184" spans="7:8" ht="15.75" customHeight="1" x14ac:dyDescent="0.2">
      <c r="G184" s="6"/>
      <c r="H184" s="7"/>
    </row>
    <row r="185" spans="7:8" ht="15.75" customHeight="1" x14ac:dyDescent="0.2">
      <c r="G185" s="6"/>
      <c r="H185" s="7"/>
    </row>
    <row r="186" spans="7:8" ht="15.75" customHeight="1" x14ac:dyDescent="0.2">
      <c r="G186" s="6"/>
      <c r="H186" s="7"/>
    </row>
    <row r="187" spans="7:8" ht="15.75" customHeight="1" x14ac:dyDescent="0.2">
      <c r="G187" s="6"/>
      <c r="H187" s="7"/>
    </row>
    <row r="188" spans="7:8" ht="15.75" customHeight="1" x14ac:dyDescent="0.2">
      <c r="G188" s="6"/>
      <c r="H188" s="7"/>
    </row>
    <row r="189" spans="7:8" ht="15.75" customHeight="1" x14ac:dyDescent="0.2">
      <c r="G189" s="6"/>
      <c r="H189" s="7"/>
    </row>
    <row r="190" spans="7:8" ht="15.75" customHeight="1" x14ac:dyDescent="0.2">
      <c r="G190" s="6"/>
      <c r="H190" s="7"/>
    </row>
    <row r="191" spans="7:8" ht="15.75" customHeight="1" x14ac:dyDescent="0.2">
      <c r="G191" s="6"/>
      <c r="H191" s="7"/>
    </row>
    <row r="192" spans="7:8" ht="15.75" customHeight="1" x14ac:dyDescent="0.2">
      <c r="G192" s="6"/>
      <c r="H192" s="7"/>
    </row>
    <row r="193" spans="7:8" ht="15.75" customHeight="1" x14ac:dyDescent="0.2">
      <c r="G193" s="6"/>
      <c r="H193" s="7"/>
    </row>
    <row r="194" spans="7:8" ht="15.75" customHeight="1" x14ac:dyDescent="0.2">
      <c r="G194" s="6"/>
      <c r="H194" s="7"/>
    </row>
    <row r="195" spans="7:8" ht="15.75" customHeight="1" x14ac:dyDescent="0.2">
      <c r="G195" s="6"/>
      <c r="H195" s="7"/>
    </row>
    <row r="196" spans="7:8" ht="15.75" customHeight="1" x14ac:dyDescent="0.2">
      <c r="G196" s="6"/>
      <c r="H196" s="7"/>
    </row>
    <row r="197" spans="7:8" ht="15.75" customHeight="1" x14ac:dyDescent="0.2">
      <c r="G197" s="6"/>
      <c r="H197" s="7"/>
    </row>
    <row r="198" spans="7:8" ht="15.75" customHeight="1" x14ac:dyDescent="0.2">
      <c r="G198" s="6"/>
      <c r="H198" s="7"/>
    </row>
    <row r="199" spans="7:8" ht="15.75" customHeight="1" x14ac:dyDescent="0.2">
      <c r="G199" s="6"/>
      <c r="H199" s="7"/>
    </row>
    <row r="200" spans="7:8" ht="15.75" customHeight="1" x14ac:dyDescent="0.2">
      <c r="G200" s="6"/>
      <c r="H200" s="7"/>
    </row>
    <row r="201" spans="7:8" ht="15.75" customHeight="1" x14ac:dyDescent="0.2">
      <c r="G201" s="6"/>
      <c r="H201" s="7"/>
    </row>
    <row r="202" spans="7:8" ht="15.75" customHeight="1" x14ac:dyDescent="0.2">
      <c r="G202" s="6"/>
      <c r="H202" s="7"/>
    </row>
    <row r="203" spans="7:8" ht="15.75" customHeight="1" x14ac:dyDescent="0.2">
      <c r="G203" s="6"/>
      <c r="H203" s="7"/>
    </row>
    <row r="204" spans="7:8" ht="15.75" customHeight="1" x14ac:dyDescent="0.2">
      <c r="G204" s="6"/>
      <c r="H204" s="7"/>
    </row>
    <row r="205" spans="7:8" ht="15.75" customHeight="1" x14ac:dyDescent="0.2">
      <c r="G205" s="6"/>
      <c r="H205" s="7"/>
    </row>
    <row r="206" spans="7:8" ht="15.75" customHeight="1" x14ac:dyDescent="0.2">
      <c r="G206" s="6"/>
      <c r="H206" s="7"/>
    </row>
    <row r="207" spans="7:8" ht="15.75" customHeight="1" x14ac:dyDescent="0.2">
      <c r="G207" s="6"/>
      <c r="H207" s="7"/>
    </row>
    <row r="208" spans="7:8" ht="15.75" customHeight="1" x14ac:dyDescent="0.2">
      <c r="G208" s="6"/>
      <c r="H208" s="7"/>
    </row>
    <row r="209" spans="7:8" ht="15.75" customHeight="1" x14ac:dyDescent="0.2">
      <c r="G209" s="6"/>
      <c r="H209" s="7"/>
    </row>
    <row r="210" spans="7:8" ht="15.75" customHeight="1" x14ac:dyDescent="0.2">
      <c r="G210" s="6"/>
      <c r="H210" s="7"/>
    </row>
    <row r="211" spans="7:8" ht="15.75" customHeight="1" x14ac:dyDescent="0.2">
      <c r="G211" s="6"/>
      <c r="H211" s="7"/>
    </row>
    <row r="212" spans="7:8" ht="15.75" customHeight="1" x14ac:dyDescent="0.2">
      <c r="G212" s="6"/>
      <c r="H212" s="7"/>
    </row>
    <row r="213" spans="7:8" ht="15.75" customHeight="1" x14ac:dyDescent="0.2">
      <c r="G213" s="6"/>
      <c r="H213" s="7"/>
    </row>
    <row r="214" spans="7:8" ht="15.75" customHeight="1" x14ac:dyDescent="0.2">
      <c r="G214" s="6"/>
      <c r="H214" s="7"/>
    </row>
    <row r="215" spans="7:8" ht="15.75" customHeight="1" x14ac:dyDescent="0.2">
      <c r="G215" s="6"/>
      <c r="H215" s="7"/>
    </row>
    <row r="216" spans="7:8" ht="15.75" customHeight="1" x14ac:dyDescent="0.2">
      <c r="G216" s="6"/>
      <c r="H216" s="7"/>
    </row>
    <row r="217" spans="7:8" ht="15.75" customHeight="1" x14ac:dyDescent="0.2">
      <c r="G217" s="6"/>
      <c r="H217" s="7"/>
    </row>
    <row r="218" spans="7:8" ht="15.75" customHeight="1" x14ac:dyDescent="0.2">
      <c r="G218" s="6"/>
      <c r="H218" s="7"/>
    </row>
    <row r="219" spans="7:8" ht="15.75" customHeight="1" x14ac:dyDescent="0.2">
      <c r="G219" s="6"/>
      <c r="H219" s="7"/>
    </row>
    <row r="220" spans="7:8" ht="15.75" customHeight="1" x14ac:dyDescent="0.2">
      <c r="G220" s="6"/>
      <c r="H220" s="7"/>
    </row>
    <row r="221" spans="7:8" ht="15.75" customHeight="1" x14ac:dyDescent="0.2">
      <c r="G221" s="6"/>
      <c r="H221" s="7"/>
    </row>
    <row r="222" spans="7:8" ht="15.75" customHeight="1" x14ac:dyDescent="0.2">
      <c r="G222" s="6"/>
      <c r="H222" s="7"/>
    </row>
    <row r="223" spans="7:8" ht="15.75" customHeight="1" x14ac:dyDescent="0.2">
      <c r="G223" s="6"/>
      <c r="H223" s="7"/>
    </row>
    <row r="224" spans="7:8" ht="15.75" customHeight="1" x14ac:dyDescent="0.2">
      <c r="G224" s="6"/>
      <c r="H224" s="7"/>
    </row>
    <row r="225" spans="7:8" ht="15.75" customHeight="1" x14ac:dyDescent="0.2">
      <c r="G225" s="6"/>
      <c r="H225" s="7"/>
    </row>
    <row r="226" spans="7:8" ht="15.75" customHeight="1" x14ac:dyDescent="0.2">
      <c r="G226" s="6"/>
      <c r="H226" s="7"/>
    </row>
    <row r="227" spans="7:8" ht="15.75" customHeight="1" x14ac:dyDescent="0.2">
      <c r="G227" s="6"/>
      <c r="H227" s="7"/>
    </row>
    <row r="228" spans="7:8" ht="15.75" customHeight="1" x14ac:dyDescent="0.2">
      <c r="G228" s="6"/>
      <c r="H228" s="7"/>
    </row>
    <row r="229" spans="7:8" ht="15.75" customHeight="1" x14ac:dyDescent="0.2">
      <c r="G229" s="6"/>
      <c r="H229" s="7"/>
    </row>
    <row r="230" spans="7:8" ht="15.75" customHeight="1" x14ac:dyDescent="0.2">
      <c r="G230" s="6"/>
      <c r="H230" s="7"/>
    </row>
    <row r="231" spans="7:8" ht="15.75" customHeight="1" x14ac:dyDescent="0.2">
      <c r="G231" s="6"/>
      <c r="H231" s="7"/>
    </row>
    <row r="232" spans="7:8" ht="15.75" customHeight="1" x14ac:dyDescent="0.2">
      <c r="G232" s="6"/>
      <c r="H232" s="7"/>
    </row>
    <row r="233" spans="7:8" ht="15.75" customHeight="1" x14ac:dyDescent="0.2">
      <c r="G233" s="6"/>
      <c r="H233" s="7"/>
    </row>
    <row r="234" spans="7:8" ht="15.75" customHeight="1" x14ac:dyDescent="0.2">
      <c r="G234" s="6"/>
      <c r="H234" s="7"/>
    </row>
    <row r="235" spans="7:8" ht="15.75" customHeight="1" x14ac:dyDescent="0.2">
      <c r="G235" s="6"/>
      <c r="H235" s="7"/>
    </row>
    <row r="236" spans="7:8" ht="15.75" customHeight="1" x14ac:dyDescent="0.2">
      <c r="G236" s="6"/>
      <c r="H236" s="7"/>
    </row>
    <row r="237" spans="7:8" ht="15.75" customHeight="1" x14ac:dyDescent="0.2">
      <c r="G237" s="6"/>
      <c r="H237" s="7"/>
    </row>
    <row r="238" spans="7:8" ht="15.75" customHeight="1" x14ac:dyDescent="0.2">
      <c r="G238" s="6"/>
      <c r="H238" s="7"/>
    </row>
    <row r="239" spans="7:8" ht="15.75" customHeight="1" x14ac:dyDescent="0.2">
      <c r="G239" s="6"/>
      <c r="H239" s="7"/>
    </row>
    <row r="240" spans="7:8" ht="15.75" customHeight="1" x14ac:dyDescent="0.2">
      <c r="G240" s="6"/>
      <c r="H240" s="7"/>
    </row>
    <row r="241" spans="7:8" ht="15.75" customHeight="1" x14ac:dyDescent="0.2">
      <c r="G241" s="6"/>
      <c r="H241" s="7"/>
    </row>
    <row r="242" spans="7:8" ht="15.75" customHeight="1" x14ac:dyDescent="0.2">
      <c r="G242" s="6"/>
      <c r="H242" s="7"/>
    </row>
    <row r="243" spans="7:8" ht="15.75" customHeight="1" x14ac:dyDescent="0.2">
      <c r="G243" s="6"/>
      <c r="H243" s="7"/>
    </row>
    <row r="244" spans="7:8" ht="15.75" customHeight="1" x14ac:dyDescent="0.2">
      <c r="G244" s="6"/>
      <c r="H244" s="7"/>
    </row>
    <row r="245" spans="7:8" ht="15.75" customHeight="1" x14ac:dyDescent="0.2">
      <c r="G245" s="6"/>
      <c r="H245" s="7"/>
    </row>
    <row r="246" spans="7:8" ht="15.75" customHeight="1" x14ac:dyDescent="0.2">
      <c r="G246" s="6"/>
      <c r="H246" s="7"/>
    </row>
    <row r="247" spans="7:8" ht="15.75" customHeight="1" x14ac:dyDescent="0.2">
      <c r="G247" s="6"/>
      <c r="H247" s="7"/>
    </row>
    <row r="248" spans="7:8" ht="15.75" customHeight="1" x14ac:dyDescent="0.2">
      <c r="G248" s="6"/>
      <c r="H248" s="7"/>
    </row>
    <row r="249" spans="7:8" ht="15.75" customHeight="1" x14ac:dyDescent="0.2">
      <c r="G249" s="6"/>
      <c r="H249" s="7"/>
    </row>
    <row r="250" spans="7:8" ht="15.75" customHeight="1" x14ac:dyDescent="0.2">
      <c r="G250" s="6"/>
      <c r="H250" s="7"/>
    </row>
    <row r="251" spans="7:8" ht="15.75" customHeight="1" x14ac:dyDescent="0.2">
      <c r="G251" s="6"/>
      <c r="H251" s="7"/>
    </row>
    <row r="252" spans="7:8" ht="15.75" customHeight="1" x14ac:dyDescent="0.2">
      <c r="G252" s="6"/>
      <c r="H252" s="7"/>
    </row>
    <row r="253" spans="7:8" ht="15.75" customHeight="1" x14ac:dyDescent="0.2">
      <c r="G253" s="6"/>
      <c r="H253" s="7"/>
    </row>
    <row r="254" spans="7:8" ht="15.75" customHeight="1" x14ac:dyDescent="0.2">
      <c r="G254" s="6"/>
      <c r="H254" s="7"/>
    </row>
    <row r="255" spans="7:8" ht="15.75" customHeight="1" x14ac:dyDescent="0.2">
      <c r="G255" s="6"/>
      <c r="H255" s="7"/>
    </row>
    <row r="256" spans="7:8" ht="15.75" customHeight="1" x14ac:dyDescent="0.2">
      <c r="G256" s="6"/>
      <c r="H256" s="7"/>
    </row>
    <row r="257" spans="7:8" ht="15.75" customHeight="1" x14ac:dyDescent="0.2">
      <c r="G257" s="6"/>
      <c r="H257" s="7"/>
    </row>
    <row r="258" spans="7:8" ht="15.75" customHeight="1" x14ac:dyDescent="0.2">
      <c r="G258" s="6"/>
      <c r="H258" s="7"/>
    </row>
    <row r="259" spans="7:8" ht="15.75" customHeight="1" x14ac:dyDescent="0.2">
      <c r="G259" s="6"/>
      <c r="H259" s="7"/>
    </row>
    <row r="260" spans="7:8" ht="15.75" customHeight="1" x14ac:dyDescent="0.2">
      <c r="G260" s="6"/>
      <c r="H260" s="7"/>
    </row>
    <row r="261" spans="7:8" ht="15.75" customHeight="1" x14ac:dyDescent="0.2">
      <c r="G261" s="6"/>
      <c r="H261" s="7"/>
    </row>
    <row r="262" spans="7:8" ht="15.75" customHeight="1" x14ac:dyDescent="0.2">
      <c r="G262" s="6"/>
      <c r="H262" s="7"/>
    </row>
    <row r="263" spans="7:8" ht="15.75" customHeight="1" x14ac:dyDescent="0.2">
      <c r="G263" s="6"/>
      <c r="H263" s="7"/>
    </row>
    <row r="264" spans="7:8" ht="15.75" customHeight="1" x14ac:dyDescent="0.2">
      <c r="G264" s="6"/>
      <c r="H264" s="7"/>
    </row>
    <row r="265" spans="7:8" ht="15.75" customHeight="1" x14ac:dyDescent="0.2">
      <c r="G265" s="6"/>
      <c r="H265" s="7"/>
    </row>
    <row r="266" spans="7:8" ht="15.75" customHeight="1" x14ac:dyDescent="0.2">
      <c r="G266" s="6"/>
      <c r="H266" s="7"/>
    </row>
    <row r="267" spans="7:8" ht="15.75" customHeight="1" x14ac:dyDescent="0.2">
      <c r="G267" s="6"/>
      <c r="H267" s="7"/>
    </row>
    <row r="268" spans="7:8" ht="15.75" customHeight="1" x14ac:dyDescent="0.2">
      <c r="G268" s="6"/>
      <c r="H268" s="7"/>
    </row>
    <row r="269" spans="7:8" ht="15.75" customHeight="1" x14ac:dyDescent="0.2">
      <c r="G269" s="6"/>
      <c r="H269" s="7"/>
    </row>
    <row r="270" spans="7:8" ht="15.75" customHeight="1" x14ac:dyDescent="0.2">
      <c r="G270" s="6"/>
      <c r="H270" s="7"/>
    </row>
    <row r="271" spans="7:8" ht="15.75" customHeight="1" x14ac:dyDescent="0.2">
      <c r="G271" s="6"/>
      <c r="H271" s="7"/>
    </row>
    <row r="272" spans="7:8" ht="15.75" customHeight="1" x14ac:dyDescent="0.2">
      <c r="G272" s="6"/>
      <c r="H272" s="7"/>
    </row>
    <row r="273" spans="7:8" ht="15.75" customHeight="1" x14ac:dyDescent="0.2">
      <c r="G273" s="6"/>
      <c r="H273" s="7"/>
    </row>
    <row r="274" spans="7:8" ht="15.75" customHeight="1" x14ac:dyDescent="0.2">
      <c r="G274" s="6"/>
      <c r="H274" s="7"/>
    </row>
    <row r="275" spans="7:8" ht="15.75" customHeight="1" x14ac:dyDescent="0.2">
      <c r="G275" s="6"/>
      <c r="H275" s="7"/>
    </row>
    <row r="276" spans="7:8" ht="15.75" customHeight="1" x14ac:dyDescent="0.2">
      <c r="G276" s="6"/>
      <c r="H276" s="7"/>
    </row>
    <row r="277" spans="7:8" ht="15.75" customHeight="1" x14ac:dyDescent="0.2">
      <c r="G277" s="6"/>
      <c r="H277" s="7"/>
    </row>
    <row r="278" spans="7:8" ht="15.75" customHeight="1" x14ac:dyDescent="0.2">
      <c r="G278" s="6"/>
      <c r="H278" s="7"/>
    </row>
    <row r="279" spans="7:8" ht="15.75" customHeight="1" x14ac:dyDescent="0.2">
      <c r="G279" s="6"/>
      <c r="H279" s="7"/>
    </row>
    <row r="280" spans="7:8" ht="15.75" customHeight="1" x14ac:dyDescent="0.2">
      <c r="G280" s="6"/>
      <c r="H280" s="7"/>
    </row>
    <row r="281" spans="7:8" ht="15.75" customHeight="1" x14ac:dyDescent="0.2">
      <c r="G281" s="6"/>
      <c r="H281" s="7"/>
    </row>
    <row r="282" spans="7:8" ht="15.75" customHeight="1" x14ac:dyDescent="0.2">
      <c r="G282" s="6"/>
      <c r="H282" s="7"/>
    </row>
    <row r="283" spans="7:8" ht="15.75" customHeight="1" x14ac:dyDescent="0.2">
      <c r="G283" s="6"/>
      <c r="H283" s="7"/>
    </row>
    <row r="284" spans="7:8" ht="15.75" customHeight="1" x14ac:dyDescent="0.2">
      <c r="G284" s="6"/>
      <c r="H284" s="7"/>
    </row>
    <row r="285" spans="7:8" ht="15.75" customHeight="1" x14ac:dyDescent="0.2">
      <c r="G285" s="6"/>
      <c r="H285" s="7"/>
    </row>
    <row r="286" spans="7:8" ht="15.75" customHeight="1" x14ac:dyDescent="0.2">
      <c r="G286" s="6"/>
      <c r="H286" s="7"/>
    </row>
    <row r="287" spans="7:8" ht="15.75" customHeight="1" x14ac:dyDescent="0.2">
      <c r="G287" s="6"/>
      <c r="H287" s="7"/>
    </row>
    <row r="288" spans="7:8" ht="15.75" customHeight="1" x14ac:dyDescent="0.2">
      <c r="G288" s="6"/>
      <c r="H288" s="7"/>
    </row>
    <row r="289" spans="7:8" ht="15.75" customHeight="1" x14ac:dyDescent="0.2">
      <c r="G289" s="6"/>
      <c r="H289" s="7"/>
    </row>
    <row r="290" spans="7:8" ht="15.75" customHeight="1" x14ac:dyDescent="0.2">
      <c r="G290" s="6"/>
      <c r="H290" s="7"/>
    </row>
    <row r="291" spans="7:8" ht="15.75" customHeight="1" x14ac:dyDescent="0.2">
      <c r="G291" s="6"/>
      <c r="H291" s="7"/>
    </row>
    <row r="292" spans="7:8" ht="15.75" customHeight="1" x14ac:dyDescent="0.2">
      <c r="G292" s="6"/>
      <c r="H292" s="7"/>
    </row>
    <row r="293" spans="7:8" ht="15.75" customHeight="1" x14ac:dyDescent="0.2">
      <c r="G293" s="6"/>
      <c r="H293" s="7"/>
    </row>
    <row r="294" spans="7:8" ht="15.75" customHeight="1" x14ac:dyDescent="0.2">
      <c r="G294" s="6"/>
      <c r="H294" s="7"/>
    </row>
    <row r="295" spans="7:8" ht="15.75" customHeight="1" x14ac:dyDescent="0.2">
      <c r="G295" s="6"/>
      <c r="H295" s="7"/>
    </row>
    <row r="296" spans="7:8" ht="15.75" customHeight="1" x14ac:dyDescent="0.2">
      <c r="G296" s="6"/>
      <c r="H296" s="7"/>
    </row>
    <row r="297" spans="7:8" ht="15.75" customHeight="1" x14ac:dyDescent="0.2">
      <c r="G297" s="6"/>
      <c r="H297" s="7"/>
    </row>
    <row r="298" spans="7:8" ht="15.75" customHeight="1" x14ac:dyDescent="0.2">
      <c r="G298" s="6"/>
      <c r="H298" s="7"/>
    </row>
    <row r="299" spans="7:8" ht="15.75" customHeight="1" x14ac:dyDescent="0.2">
      <c r="G299" s="6"/>
      <c r="H299" s="7"/>
    </row>
    <row r="300" spans="7:8" ht="15.75" customHeight="1" x14ac:dyDescent="0.2">
      <c r="G300" s="6"/>
      <c r="H300" s="7"/>
    </row>
    <row r="301" spans="7:8" ht="15.75" customHeight="1" x14ac:dyDescent="0.2">
      <c r="G301" s="6"/>
      <c r="H301" s="7"/>
    </row>
    <row r="302" spans="7:8" ht="15.75" customHeight="1" x14ac:dyDescent="0.2">
      <c r="G302" s="6"/>
      <c r="H302" s="7"/>
    </row>
    <row r="303" spans="7:8" ht="15.75" customHeight="1" x14ac:dyDescent="0.2">
      <c r="G303" s="6"/>
      <c r="H303" s="7"/>
    </row>
    <row r="304" spans="7:8" ht="15.75" customHeight="1" x14ac:dyDescent="0.2">
      <c r="G304" s="6"/>
      <c r="H304" s="7"/>
    </row>
    <row r="305" spans="7:8" ht="15.75" customHeight="1" x14ac:dyDescent="0.2">
      <c r="G305" s="6"/>
      <c r="H305" s="7"/>
    </row>
    <row r="306" spans="7:8" ht="15.75" customHeight="1" x14ac:dyDescent="0.2">
      <c r="G306" s="6"/>
      <c r="H306" s="7"/>
    </row>
    <row r="307" spans="7:8" ht="15.75" customHeight="1" x14ac:dyDescent="0.2">
      <c r="G307" s="6"/>
      <c r="H307" s="7"/>
    </row>
    <row r="308" spans="7:8" ht="15.75" customHeight="1" x14ac:dyDescent="0.2">
      <c r="G308" s="6"/>
      <c r="H308" s="7"/>
    </row>
    <row r="309" spans="7:8" ht="15.75" customHeight="1" x14ac:dyDescent="0.2">
      <c r="G309" s="6"/>
      <c r="H309" s="7"/>
    </row>
    <row r="310" spans="7:8" ht="15.75" customHeight="1" x14ac:dyDescent="0.2">
      <c r="G310" s="6"/>
      <c r="H310" s="7"/>
    </row>
    <row r="311" spans="7:8" ht="15.75" customHeight="1" x14ac:dyDescent="0.2">
      <c r="G311" s="6"/>
      <c r="H311" s="7"/>
    </row>
    <row r="312" spans="7:8" ht="15.75" customHeight="1" x14ac:dyDescent="0.2">
      <c r="G312" s="6"/>
      <c r="H312" s="7"/>
    </row>
    <row r="313" spans="7:8" ht="15.75" customHeight="1" x14ac:dyDescent="0.2">
      <c r="G313" s="6"/>
      <c r="H313" s="7"/>
    </row>
    <row r="314" spans="7:8" ht="15.75" customHeight="1" x14ac:dyDescent="0.2">
      <c r="G314" s="6"/>
      <c r="H314" s="7"/>
    </row>
    <row r="315" spans="7:8" ht="15.75" customHeight="1" x14ac:dyDescent="0.2">
      <c r="G315" s="6"/>
      <c r="H315" s="7"/>
    </row>
    <row r="316" spans="7:8" ht="15.75" customHeight="1" x14ac:dyDescent="0.2">
      <c r="G316" s="6"/>
      <c r="H316" s="7"/>
    </row>
    <row r="317" spans="7:8" ht="15.75" customHeight="1" x14ac:dyDescent="0.2">
      <c r="G317" s="6"/>
      <c r="H317" s="7"/>
    </row>
    <row r="318" spans="7:8" ht="15.75" customHeight="1" x14ac:dyDescent="0.2">
      <c r="G318" s="6"/>
      <c r="H318" s="7"/>
    </row>
    <row r="319" spans="7:8" ht="15.75" customHeight="1" x14ac:dyDescent="0.2">
      <c r="G319" s="6"/>
      <c r="H319" s="7"/>
    </row>
    <row r="320" spans="7:8" ht="15.75" customHeight="1" x14ac:dyDescent="0.2">
      <c r="G320" s="6"/>
      <c r="H320" s="7"/>
    </row>
    <row r="321" spans="7:8" ht="15.75" customHeight="1" x14ac:dyDescent="0.2">
      <c r="G321" s="6"/>
      <c r="H321" s="7"/>
    </row>
    <row r="322" spans="7:8" ht="15.75" customHeight="1" x14ac:dyDescent="0.2">
      <c r="G322" s="6"/>
      <c r="H322" s="7"/>
    </row>
    <row r="323" spans="7:8" ht="15.75" customHeight="1" x14ac:dyDescent="0.2">
      <c r="G323" s="6"/>
      <c r="H323" s="7"/>
    </row>
    <row r="324" spans="7:8" ht="15.75" customHeight="1" x14ac:dyDescent="0.2">
      <c r="G324" s="6"/>
      <c r="H324" s="7"/>
    </row>
    <row r="325" spans="7:8" ht="15.75" customHeight="1" x14ac:dyDescent="0.2">
      <c r="G325" s="6"/>
      <c r="H325" s="7"/>
    </row>
    <row r="326" spans="7:8" ht="15.75" customHeight="1" x14ac:dyDescent="0.2">
      <c r="G326" s="6"/>
      <c r="H326" s="7"/>
    </row>
    <row r="327" spans="7:8" ht="15.75" customHeight="1" x14ac:dyDescent="0.2">
      <c r="G327" s="6"/>
      <c r="H327" s="7"/>
    </row>
    <row r="328" spans="7:8" ht="15.75" customHeight="1" x14ac:dyDescent="0.2">
      <c r="G328" s="6"/>
      <c r="H328" s="7"/>
    </row>
    <row r="329" spans="7:8" ht="15.75" customHeight="1" x14ac:dyDescent="0.2">
      <c r="G329" s="6"/>
      <c r="H329" s="7"/>
    </row>
    <row r="330" spans="7:8" ht="15.75" customHeight="1" x14ac:dyDescent="0.2">
      <c r="G330" s="6"/>
      <c r="H330" s="7"/>
    </row>
    <row r="331" spans="7:8" ht="15.75" customHeight="1" x14ac:dyDescent="0.2">
      <c r="G331" s="6"/>
      <c r="H331" s="7"/>
    </row>
    <row r="332" spans="7:8" ht="15.75" customHeight="1" x14ac:dyDescent="0.2">
      <c r="G332" s="6"/>
      <c r="H332" s="7"/>
    </row>
    <row r="333" spans="7:8" ht="15.75" customHeight="1" x14ac:dyDescent="0.2">
      <c r="G333" s="6"/>
      <c r="H333" s="7"/>
    </row>
    <row r="334" spans="7:8" ht="15.75" customHeight="1" x14ac:dyDescent="0.2">
      <c r="G334" s="6"/>
      <c r="H334" s="7"/>
    </row>
    <row r="335" spans="7:8" ht="15.75" customHeight="1" x14ac:dyDescent="0.2">
      <c r="G335" s="6"/>
      <c r="H335" s="7"/>
    </row>
    <row r="336" spans="7:8" ht="15.75" customHeight="1" x14ac:dyDescent="0.2">
      <c r="G336" s="6"/>
      <c r="H336" s="7"/>
    </row>
    <row r="337" spans="7:8" ht="15.75" customHeight="1" x14ac:dyDescent="0.2">
      <c r="G337" s="6"/>
      <c r="H337" s="7"/>
    </row>
    <row r="338" spans="7:8" ht="15.75" customHeight="1" x14ac:dyDescent="0.2">
      <c r="G338" s="6"/>
      <c r="H338" s="7"/>
    </row>
    <row r="339" spans="7:8" ht="15.75" customHeight="1" x14ac:dyDescent="0.2">
      <c r="G339" s="6"/>
      <c r="H339" s="7"/>
    </row>
    <row r="340" spans="7:8" ht="15.75" customHeight="1" x14ac:dyDescent="0.2">
      <c r="G340" s="6"/>
      <c r="H340" s="7"/>
    </row>
    <row r="341" spans="7:8" ht="15.75" customHeight="1" x14ac:dyDescent="0.2">
      <c r="G341" s="6"/>
      <c r="H341" s="7"/>
    </row>
    <row r="342" spans="7:8" ht="15.75" customHeight="1" x14ac:dyDescent="0.2">
      <c r="G342" s="6"/>
      <c r="H342" s="7"/>
    </row>
    <row r="343" spans="7:8" ht="15.75" customHeight="1" x14ac:dyDescent="0.2">
      <c r="G343" s="6"/>
      <c r="H343" s="7"/>
    </row>
    <row r="344" spans="7:8" ht="15.75" customHeight="1" x14ac:dyDescent="0.2">
      <c r="G344" s="6"/>
      <c r="H344" s="7"/>
    </row>
    <row r="345" spans="7:8" ht="15.75" customHeight="1" x14ac:dyDescent="0.2">
      <c r="G345" s="6"/>
      <c r="H345" s="7"/>
    </row>
    <row r="346" spans="7:8" ht="15.75" customHeight="1" x14ac:dyDescent="0.2">
      <c r="G346" s="6"/>
      <c r="H346" s="7"/>
    </row>
    <row r="347" spans="7:8" ht="15.75" customHeight="1" x14ac:dyDescent="0.2">
      <c r="G347" s="6"/>
      <c r="H347" s="7"/>
    </row>
    <row r="348" spans="7:8" ht="15.75" customHeight="1" x14ac:dyDescent="0.2">
      <c r="G348" s="6"/>
      <c r="H348" s="7"/>
    </row>
    <row r="349" spans="7:8" ht="15.75" customHeight="1" x14ac:dyDescent="0.2">
      <c r="G349" s="6"/>
      <c r="H349" s="7"/>
    </row>
    <row r="350" spans="7:8" ht="15.75" customHeight="1" x14ac:dyDescent="0.2">
      <c r="G350" s="6"/>
      <c r="H350" s="7"/>
    </row>
    <row r="351" spans="7:8" ht="15.75" customHeight="1" x14ac:dyDescent="0.2">
      <c r="G351" s="6"/>
      <c r="H351" s="7"/>
    </row>
    <row r="352" spans="7:8" ht="15.75" customHeight="1" x14ac:dyDescent="0.2">
      <c r="G352" s="6"/>
      <c r="H352" s="7"/>
    </row>
    <row r="353" spans="7:8" ht="15.75" customHeight="1" x14ac:dyDescent="0.2">
      <c r="G353" s="6"/>
      <c r="H353" s="7"/>
    </row>
    <row r="354" spans="7:8" ht="15.75" customHeight="1" x14ac:dyDescent="0.2">
      <c r="G354" s="6"/>
      <c r="H354" s="7"/>
    </row>
    <row r="355" spans="7:8" ht="15.75" customHeight="1" x14ac:dyDescent="0.2">
      <c r="G355" s="6"/>
      <c r="H355" s="7"/>
    </row>
    <row r="356" spans="7:8" ht="15.75" customHeight="1" x14ac:dyDescent="0.2">
      <c r="G356" s="6"/>
      <c r="H356" s="7"/>
    </row>
    <row r="357" spans="7:8" ht="15.75" customHeight="1" x14ac:dyDescent="0.2">
      <c r="G357" s="6"/>
      <c r="H357" s="7"/>
    </row>
    <row r="358" spans="7:8" ht="15.75" customHeight="1" x14ac:dyDescent="0.2">
      <c r="G358" s="6"/>
      <c r="H358" s="7"/>
    </row>
    <row r="359" spans="7:8" ht="15.75" customHeight="1" x14ac:dyDescent="0.2">
      <c r="G359" s="6"/>
      <c r="H359" s="7"/>
    </row>
    <row r="360" spans="7:8" ht="15.75" customHeight="1" x14ac:dyDescent="0.2">
      <c r="G360" s="6"/>
      <c r="H360" s="7"/>
    </row>
    <row r="361" spans="7:8" ht="15.75" customHeight="1" x14ac:dyDescent="0.2">
      <c r="G361" s="6"/>
      <c r="H361" s="7"/>
    </row>
    <row r="362" spans="7:8" ht="15.75" customHeight="1" x14ac:dyDescent="0.2">
      <c r="G362" s="6"/>
      <c r="H362" s="7"/>
    </row>
    <row r="363" spans="7:8" ht="15.75" customHeight="1" x14ac:dyDescent="0.2">
      <c r="G363" s="6"/>
      <c r="H363" s="7"/>
    </row>
    <row r="364" spans="7:8" ht="15.75" customHeight="1" x14ac:dyDescent="0.2">
      <c r="G364" s="6"/>
      <c r="H364" s="7"/>
    </row>
    <row r="365" spans="7:8" ht="15.75" customHeight="1" x14ac:dyDescent="0.2">
      <c r="G365" s="6"/>
      <c r="H365" s="7"/>
    </row>
    <row r="366" spans="7:8" ht="15.75" customHeight="1" x14ac:dyDescent="0.2">
      <c r="G366" s="6"/>
      <c r="H366" s="7"/>
    </row>
    <row r="367" spans="7:8" ht="15.75" customHeight="1" x14ac:dyDescent="0.2">
      <c r="G367" s="6"/>
      <c r="H367" s="7"/>
    </row>
    <row r="368" spans="7:8" ht="15.75" customHeight="1" x14ac:dyDescent="0.2">
      <c r="G368" s="6"/>
      <c r="H368" s="7"/>
    </row>
    <row r="369" spans="7:8" ht="15.75" customHeight="1" x14ac:dyDescent="0.2">
      <c r="G369" s="6"/>
      <c r="H369" s="7"/>
    </row>
    <row r="370" spans="7:8" ht="15.75" customHeight="1" x14ac:dyDescent="0.2">
      <c r="G370" s="6"/>
      <c r="H370" s="7"/>
    </row>
    <row r="371" spans="7:8" ht="15.75" customHeight="1" x14ac:dyDescent="0.2">
      <c r="G371" s="6"/>
      <c r="H371" s="7"/>
    </row>
    <row r="372" spans="7:8" ht="15.75" customHeight="1" x14ac:dyDescent="0.2">
      <c r="G372" s="6"/>
      <c r="H372" s="7"/>
    </row>
    <row r="373" spans="7:8" ht="15.75" customHeight="1" x14ac:dyDescent="0.2">
      <c r="G373" s="6"/>
      <c r="H373" s="7"/>
    </row>
    <row r="374" spans="7:8" ht="15.75" customHeight="1" x14ac:dyDescent="0.2">
      <c r="G374" s="6"/>
      <c r="H374" s="7"/>
    </row>
    <row r="375" spans="7:8" ht="15.75" customHeight="1" x14ac:dyDescent="0.2">
      <c r="G375" s="6"/>
      <c r="H375" s="7"/>
    </row>
    <row r="376" spans="7:8" ht="15.75" customHeight="1" x14ac:dyDescent="0.2">
      <c r="G376" s="6"/>
      <c r="H376" s="7"/>
    </row>
    <row r="377" spans="7:8" ht="15.75" customHeight="1" x14ac:dyDescent="0.2">
      <c r="G377" s="6"/>
      <c r="H377" s="7"/>
    </row>
    <row r="378" spans="7:8" ht="15.75" customHeight="1" x14ac:dyDescent="0.2">
      <c r="G378" s="6"/>
      <c r="H378" s="7"/>
    </row>
    <row r="379" spans="7:8" ht="15.75" customHeight="1" x14ac:dyDescent="0.2">
      <c r="G379" s="6"/>
      <c r="H379" s="7"/>
    </row>
    <row r="380" spans="7:8" ht="15.75" customHeight="1" x14ac:dyDescent="0.2">
      <c r="G380" s="6"/>
      <c r="H380" s="7"/>
    </row>
    <row r="381" spans="7:8" ht="15.75" customHeight="1" x14ac:dyDescent="0.2">
      <c r="G381" s="6"/>
      <c r="H381" s="7"/>
    </row>
    <row r="382" spans="7:8" ht="15.75" customHeight="1" x14ac:dyDescent="0.2">
      <c r="G382" s="6"/>
      <c r="H382" s="7"/>
    </row>
    <row r="383" spans="7:8" ht="15.75" customHeight="1" x14ac:dyDescent="0.2">
      <c r="G383" s="6"/>
      <c r="H383" s="7"/>
    </row>
    <row r="384" spans="7:8" ht="15.75" customHeight="1" x14ac:dyDescent="0.2">
      <c r="G384" s="6"/>
      <c r="H384" s="7"/>
    </row>
    <row r="385" spans="7:8" ht="15.75" customHeight="1" x14ac:dyDescent="0.2">
      <c r="G385" s="6"/>
      <c r="H385" s="7"/>
    </row>
    <row r="386" spans="7:8" ht="15.75" customHeight="1" x14ac:dyDescent="0.2">
      <c r="G386" s="6"/>
      <c r="H386" s="7"/>
    </row>
    <row r="387" spans="7:8" ht="15.75" customHeight="1" x14ac:dyDescent="0.2">
      <c r="G387" s="6"/>
      <c r="H387" s="7"/>
    </row>
    <row r="388" spans="7:8" ht="15.75" customHeight="1" x14ac:dyDescent="0.2">
      <c r="G388" s="6"/>
      <c r="H388" s="7"/>
    </row>
    <row r="389" spans="7:8" ht="15.75" customHeight="1" x14ac:dyDescent="0.2">
      <c r="G389" s="6"/>
      <c r="H389" s="7"/>
    </row>
    <row r="390" spans="7:8" ht="15.75" customHeight="1" x14ac:dyDescent="0.2">
      <c r="G390" s="6"/>
      <c r="H390" s="7"/>
    </row>
    <row r="391" spans="7:8" ht="15.75" customHeight="1" x14ac:dyDescent="0.2">
      <c r="G391" s="6"/>
      <c r="H391" s="7"/>
    </row>
    <row r="392" spans="7:8" ht="15.75" customHeight="1" x14ac:dyDescent="0.2">
      <c r="G392" s="6"/>
      <c r="H392" s="7"/>
    </row>
    <row r="393" spans="7:8" ht="15.75" customHeight="1" x14ac:dyDescent="0.2">
      <c r="G393" s="6"/>
      <c r="H393" s="7"/>
    </row>
    <row r="394" spans="7:8" ht="15.75" customHeight="1" x14ac:dyDescent="0.2">
      <c r="G394" s="6"/>
      <c r="H394" s="7"/>
    </row>
    <row r="395" spans="7:8" ht="15.75" customHeight="1" x14ac:dyDescent="0.2">
      <c r="G395" s="6"/>
      <c r="H395" s="7"/>
    </row>
    <row r="396" spans="7:8" ht="15.75" customHeight="1" x14ac:dyDescent="0.2">
      <c r="G396" s="6"/>
      <c r="H396" s="7"/>
    </row>
    <row r="397" spans="7:8" ht="15.75" customHeight="1" x14ac:dyDescent="0.2">
      <c r="G397" s="6"/>
      <c r="H397" s="7"/>
    </row>
    <row r="398" spans="7:8" ht="15.75" customHeight="1" x14ac:dyDescent="0.2">
      <c r="G398" s="6"/>
      <c r="H398" s="7"/>
    </row>
    <row r="399" spans="7:8" ht="15.75" customHeight="1" x14ac:dyDescent="0.2">
      <c r="G399" s="6"/>
      <c r="H399" s="7"/>
    </row>
    <row r="400" spans="7:8" ht="15.75" customHeight="1" x14ac:dyDescent="0.2">
      <c r="G400" s="6"/>
      <c r="H400" s="7"/>
    </row>
    <row r="401" spans="7:8" ht="15.75" customHeight="1" x14ac:dyDescent="0.2">
      <c r="G401" s="6"/>
      <c r="H401" s="7"/>
    </row>
    <row r="402" spans="7:8" ht="15.75" customHeight="1" x14ac:dyDescent="0.2">
      <c r="G402" s="6"/>
      <c r="H402" s="7"/>
    </row>
    <row r="403" spans="7:8" ht="15.75" customHeight="1" x14ac:dyDescent="0.2">
      <c r="G403" s="6"/>
      <c r="H403" s="7"/>
    </row>
    <row r="404" spans="7:8" ht="15.75" customHeight="1" x14ac:dyDescent="0.2">
      <c r="G404" s="6"/>
      <c r="H404" s="7"/>
    </row>
    <row r="405" spans="7:8" ht="15.75" customHeight="1" x14ac:dyDescent="0.2">
      <c r="G405" s="6"/>
      <c r="H405" s="7"/>
    </row>
    <row r="406" spans="7:8" ht="15.75" customHeight="1" x14ac:dyDescent="0.2">
      <c r="G406" s="6"/>
      <c r="H406" s="7"/>
    </row>
    <row r="407" spans="7:8" ht="15.75" customHeight="1" x14ac:dyDescent="0.2">
      <c r="G407" s="6"/>
      <c r="H407" s="7"/>
    </row>
    <row r="408" spans="7:8" ht="15.75" customHeight="1" x14ac:dyDescent="0.2">
      <c r="G408" s="6"/>
      <c r="H408" s="7"/>
    </row>
    <row r="409" spans="7:8" ht="15.75" customHeight="1" x14ac:dyDescent="0.2">
      <c r="G409" s="6"/>
      <c r="H409" s="7"/>
    </row>
    <row r="410" spans="7:8" ht="15.75" customHeight="1" x14ac:dyDescent="0.2">
      <c r="G410" s="6"/>
      <c r="H410" s="7"/>
    </row>
    <row r="411" spans="7:8" ht="15.75" customHeight="1" x14ac:dyDescent="0.2">
      <c r="G411" s="6"/>
      <c r="H411" s="7"/>
    </row>
    <row r="412" spans="7:8" ht="15.75" customHeight="1" x14ac:dyDescent="0.2">
      <c r="G412" s="6"/>
      <c r="H412" s="7"/>
    </row>
    <row r="413" spans="7:8" ht="15.75" customHeight="1" x14ac:dyDescent="0.2">
      <c r="G413" s="6"/>
      <c r="H413" s="7"/>
    </row>
    <row r="414" spans="7:8" ht="15.75" customHeight="1" x14ac:dyDescent="0.2">
      <c r="G414" s="6"/>
      <c r="H414" s="7"/>
    </row>
    <row r="415" spans="7:8" ht="15.75" customHeight="1" x14ac:dyDescent="0.2">
      <c r="G415" s="6"/>
      <c r="H415" s="7"/>
    </row>
    <row r="416" spans="7:8" ht="15.75" customHeight="1" x14ac:dyDescent="0.2">
      <c r="G416" s="6"/>
      <c r="H416" s="7"/>
    </row>
    <row r="417" spans="7:8" ht="15.75" customHeight="1" x14ac:dyDescent="0.2">
      <c r="G417" s="6"/>
      <c r="H417" s="7"/>
    </row>
    <row r="418" spans="7:8" ht="15.75" customHeight="1" x14ac:dyDescent="0.2">
      <c r="G418" s="6"/>
      <c r="H418" s="7"/>
    </row>
    <row r="419" spans="7:8" ht="15.75" customHeight="1" x14ac:dyDescent="0.2">
      <c r="G419" s="6"/>
      <c r="H419" s="7"/>
    </row>
    <row r="420" spans="7:8" ht="15.75" customHeight="1" x14ac:dyDescent="0.2">
      <c r="G420" s="6"/>
      <c r="H420" s="7"/>
    </row>
    <row r="421" spans="7:8" ht="15.75" customHeight="1" x14ac:dyDescent="0.2">
      <c r="G421" s="6"/>
      <c r="H421" s="7"/>
    </row>
    <row r="422" spans="7:8" ht="15.75" customHeight="1" x14ac:dyDescent="0.2">
      <c r="G422" s="6"/>
      <c r="H422" s="7"/>
    </row>
    <row r="423" spans="7:8" ht="15.75" customHeight="1" x14ac:dyDescent="0.2">
      <c r="G423" s="6"/>
      <c r="H423" s="7"/>
    </row>
    <row r="424" spans="7:8" ht="15.75" customHeight="1" x14ac:dyDescent="0.2">
      <c r="G424" s="6"/>
      <c r="H424" s="7"/>
    </row>
    <row r="425" spans="7:8" ht="15.75" customHeight="1" x14ac:dyDescent="0.2">
      <c r="G425" s="6"/>
      <c r="H425" s="7"/>
    </row>
    <row r="426" spans="7:8" ht="15.75" customHeight="1" x14ac:dyDescent="0.2">
      <c r="G426" s="6"/>
      <c r="H426" s="7"/>
    </row>
    <row r="427" spans="7:8" ht="15.75" customHeight="1" x14ac:dyDescent="0.2">
      <c r="G427" s="6"/>
      <c r="H427" s="7"/>
    </row>
    <row r="428" spans="7:8" ht="15.75" customHeight="1" x14ac:dyDescent="0.2">
      <c r="G428" s="6"/>
      <c r="H428" s="7"/>
    </row>
    <row r="429" spans="7:8" ht="15.75" customHeight="1" x14ac:dyDescent="0.2">
      <c r="G429" s="6"/>
      <c r="H429" s="7"/>
    </row>
    <row r="430" spans="7:8" ht="15.75" customHeight="1" x14ac:dyDescent="0.2">
      <c r="G430" s="6"/>
      <c r="H430" s="7"/>
    </row>
    <row r="431" spans="7:8" ht="15.75" customHeight="1" x14ac:dyDescent="0.2">
      <c r="G431" s="6"/>
      <c r="H431" s="7"/>
    </row>
    <row r="432" spans="7:8" ht="15.75" customHeight="1" x14ac:dyDescent="0.2">
      <c r="G432" s="6"/>
      <c r="H432" s="7"/>
    </row>
    <row r="433" spans="7:8" ht="15.75" customHeight="1" x14ac:dyDescent="0.2">
      <c r="G433" s="6"/>
      <c r="H433" s="7"/>
    </row>
    <row r="434" spans="7:8" ht="15.75" customHeight="1" x14ac:dyDescent="0.2">
      <c r="G434" s="6"/>
      <c r="H434" s="7"/>
    </row>
    <row r="435" spans="7:8" ht="15.75" customHeight="1" x14ac:dyDescent="0.2">
      <c r="G435" s="6"/>
      <c r="H435" s="7"/>
    </row>
    <row r="436" spans="7:8" ht="15.75" customHeight="1" x14ac:dyDescent="0.2">
      <c r="G436" s="6"/>
      <c r="H436" s="7"/>
    </row>
    <row r="437" spans="7:8" ht="15.75" customHeight="1" x14ac:dyDescent="0.2">
      <c r="G437" s="6"/>
      <c r="H437" s="7"/>
    </row>
    <row r="438" spans="7:8" ht="15.75" customHeight="1" x14ac:dyDescent="0.2">
      <c r="G438" s="6"/>
      <c r="H438" s="7"/>
    </row>
    <row r="439" spans="7:8" ht="15.75" customHeight="1" x14ac:dyDescent="0.2">
      <c r="G439" s="6"/>
      <c r="H439" s="7"/>
    </row>
    <row r="440" spans="7:8" ht="15.75" customHeight="1" x14ac:dyDescent="0.2">
      <c r="G440" s="6"/>
      <c r="H440" s="7"/>
    </row>
    <row r="441" spans="7:8" ht="15.75" customHeight="1" x14ac:dyDescent="0.2">
      <c r="G441" s="6"/>
      <c r="H441" s="7"/>
    </row>
    <row r="442" spans="7:8" ht="15.75" customHeight="1" x14ac:dyDescent="0.2">
      <c r="G442" s="6"/>
      <c r="H442" s="7"/>
    </row>
    <row r="443" spans="7:8" ht="15.75" customHeight="1" x14ac:dyDescent="0.2">
      <c r="G443" s="6"/>
      <c r="H443" s="7"/>
    </row>
    <row r="444" spans="7:8" ht="15.75" customHeight="1" x14ac:dyDescent="0.2">
      <c r="G444" s="6"/>
      <c r="H444" s="7"/>
    </row>
    <row r="445" spans="7:8" ht="15.75" customHeight="1" x14ac:dyDescent="0.2">
      <c r="G445" s="6"/>
      <c r="H445" s="7"/>
    </row>
    <row r="446" spans="7:8" ht="15.75" customHeight="1" x14ac:dyDescent="0.2">
      <c r="G446" s="6"/>
      <c r="H446" s="7"/>
    </row>
    <row r="447" spans="7:8" ht="15.75" customHeight="1" x14ac:dyDescent="0.2">
      <c r="G447" s="6"/>
      <c r="H447" s="7"/>
    </row>
    <row r="448" spans="7:8" ht="15.75" customHeight="1" x14ac:dyDescent="0.2">
      <c r="G448" s="6"/>
      <c r="H448" s="7"/>
    </row>
    <row r="449" spans="7:8" ht="15.75" customHeight="1" x14ac:dyDescent="0.2">
      <c r="G449" s="6"/>
      <c r="H449" s="7"/>
    </row>
    <row r="450" spans="7:8" ht="15.75" customHeight="1" x14ac:dyDescent="0.2">
      <c r="G450" s="6"/>
      <c r="H450" s="7"/>
    </row>
    <row r="451" spans="7:8" ht="15.75" customHeight="1" x14ac:dyDescent="0.2">
      <c r="G451" s="6"/>
      <c r="H451" s="7"/>
    </row>
    <row r="452" spans="7:8" ht="15.75" customHeight="1" x14ac:dyDescent="0.2">
      <c r="G452" s="6"/>
      <c r="H452" s="7"/>
    </row>
    <row r="453" spans="7:8" ht="15.75" customHeight="1" x14ac:dyDescent="0.2">
      <c r="G453" s="6"/>
      <c r="H453" s="7"/>
    </row>
    <row r="454" spans="7:8" ht="15.75" customHeight="1" x14ac:dyDescent="0.2">
      <c r="G454" s="6"/>
      <c r="H454" s="7"/>
    </row>
    <row r="455" spans="7:8" ht="15.75" customHeight="1" x14ac:dyDescent="0.2">
      <c r="G455" s="6"/>
      <c r="H455" s="7"/>
    </row>
    <row r="456" spans="7:8" ht="15.75" customHeight="1" x14ac:dyDescent="0.2">
      <c r="G456" s="6"/>
      <c r="H456" s="7"/>
    </row>
    <row r="457" spans="7:8" ht="15.75" customHeight="1" x14ac:dyDescent="0.2">
      <c r="G457" s="6"/>
      <c r="H457" s="7"/>
    </row>
    <row r="458" spans="7:8" ht="15.75" customHeight="1" x14ac:dyDescent="0.2">
      <c r="G458" s="6"/>
      <c r="H458" s="7"/>
    </row>
    <row r="459" spans="7:8" ht="15.75" customHeight="1" x14ac:dyDescent="0.2">
      <c r="G459" s="6"/>
      <c r="H459" s="7"/>
    </row>
    <row r="460" spans="7:8" ht="15.75" customHeight="1" x14ac:dyDescent="0.2">
      <c r="G460" s="6"/>
      <c r="H460" s="7"/>
    </row>
    <row r="461" spans="7:8" ht="15.75" customHeight="1" x14ac:dyDescent="0.2">
      <c r="G461" s="6"/>
      <c r="H461" s="7"/>
    </row>
    <row r="462" spans="7:8" ht="15.75" customHeight="1" x14ac:dyDescent="0.2">
      <c r="G462" s="6"/>
      <c r="H462" s="7"/>
    </row>
    <row r="463" spans="7:8" ht="15.75" customHeight="1" x14ac:dyDescent="0.2">
      <c r="G463" s="6"/>
      <c r="H463" s="7"/>
    </row>
    <row r="464" spans="7:8" ht="15.75" customHeight="1" x14ac:dyDescent="0.2">
      <c r="G464" s="6"/>
      <c r="H464" s="7"/>
    </row>
    <row r="465" spans="7:8" ht="15.75" customHeight="1" x14ac:dyDescent="0.2">
      <c r="G465" s="6"/>
      <c r="H465" s="7"/>
    </row>
    <row r="466" spans="7:8" ht="15.75" customHeight="1" x14ac:dyDescent="0.2">
      <c r="G466" s="6"/>
      <c r="H466" s="7"/>
    </row>
    <row r="467" spans="7:8" ht="15.75" customHeight="1" x14ac:dyDescent="0.2">
      <c r="G467" s="6"/>
      <c r="H467" s="7"/>
    </row>
    <row r="468" spans="7:8" ht="15.75" customHeight="1" x14ac:dyDescent="0.2">
      <c r="G468" s="6"/>
      <c r="H468" s="7"/>
    </row>
    <row r="469" spans="7:8" ht="15.75" customHeight="1" x14ac:dyDescent="0.2">
      <c r="G469" s="6"/>
      <c r="H469" s="7"/>
    </row>
    <row r="470" spans="7:8" ht="15.75" customHeight="1" x14ac:dyDescent="0.2">
      <c r="G470" s="6"/>
      <c r="H470" s="7"/>
    </row>
    <row r="471" spans="7:8" ht="15.75" customHeight="1" x14ac:dyDescent="0.2">
      <c r="G471" s="6"/>
      <c r="H471" s="7"/>
    </row>
    <row r="472" spans="7:8" ht="15.75" customHeight="1" x14ac:dyDescent="0.2">
      <c r="G472" s="6"/>
      <c r="H472" s="7"/>
    </row>
    <row r="473" spans="7:8" ht="15.75" customHeight="1" x14ac:dyDescent="0.2">
      <c r="G473" s="6"/>
      <c r="H473" s="7"/>
    </row>
    <row r="474" spans="7:8" ht="15.75" customHeight="1" x14ac:dyDescent="0.2">
      <c r="G474" s="6"/>
      <c r="H474" s="7"/>
    </row>
    <row r="475" spans="7:8" ht="15.75" customHeight="1" x14ac:dyDescent="0.2">
      <c r="G475" s="6"/>
      <c r="H475" s="7"/>
    </row>
    <row r="476" spans="7:8" ht="15.75" customHeight="1" x14ac:dyDescent="0.2">
      <c r="G476" s="6"/>
      <c r="H476" s="7"/>
    </row>
    <row r="477" spans="7:8" ht="15.75" customHeight="1" x14ac:dyDescent="0.2">
      <c r="G477" s="6"/>
      <c r="H477" s="7"/>
    </row>
    <row r="478" spans="7:8" ht="15.75" customHeight="1" x14ac:dyDescent="0.2">
      <c r="G478" s="6"/>
      <c r="H478" s="7"/>
    </row>
    <row r="479" spans="7:8" ht="15.75" customHeight="1" x14ac:dyDescent="0.2">
      <c r="G479" s="6"/>
      <c r="H479" s="7"/>
    </row>
    <row r="480" spans="7:8" ht="15.75" customHeight="1" x14ac:dyDescent="0.2">
      <c r="G480" s="6"/>
      <c r="H480" s="7"/>
    </row>
    <row r="481" spans="7:8" ht="15.75" customHeight="1" x14ac:dyDescent="0.2">
      <c r="G481" s="6"/>
      <c r="H481" s="7"/>
    </row>
    <row r="482" spans="7:8" ht="15.75" customHeight="1" x14ac:dyDescent="0.2">
      <c r="G482" s="6"/>
      <c r="H482" s="7"/>
    </row>
    <row r="483" spans="7:8" ht="15.75" customHeight="1" x14ac:dyDescent="0.2">
      <c r="G483" s="6"/>
      <c r="H483" s="7"/>
    </row>
    <row r="484" spans="7:8" ht="15.75" customHeight="1" x14ac:dyDescent="0.2">
      <c r="G484" s="6"/>
      <c r="H484" s="7"/>
    </row>
    <row r="485" spans="7:8" ht="15.75" customHeight="1" x14ac:dyDescent="0.2">
      <c r="G485" s="6"/>
      <c r="H485" s="7"/>
    </row>
    <row r="486" spans="7:8" ht="15.75" customHeight="1" x14ac:dyDescent="0.2">
      <c r="G486" s="6"/>
      <c r="H486" s="7"/>
    </row>
    <row r="487" spans="7:8" ht="15.75" customHeight="1" x14ac:dyDescent="0.2">
      <c r="G487" s="6"/>
      <c r="H487" s="7"/>
    </row>
    <row r="488" spans="7:8" ht="15.75" customHeight="1" x14ac:dyDescent="0.2">
      <c r="G488" s="6"/>
      <c r="H488" s="7"/>
    </row>
    <row r="489" spans="7:8" ht="15.75" customHeight="1" x14ac:dyDescent="0.2">
      <c r="G489" s="6"/>
      <c r="H489" s="7"/>
    </row>
    <row r="490" spans="7:8" ht="15.75" customHeight="1" x14ac:dyDescent="0.2">
      <c r="G490" s="6"/>
      <c r="H490" s="7"/>
    </row>
    <row r="491" spans="7:8" ht="15.75" customHeight="1" x14ac:dyDescent="0.2">
      <c r="G491" s="6"/>
      <c r="H491" s="7"/>
    </row>
    <row r="492" spans="7:8" ht="15.75" customHeight="1" x14ac:dyDescent="0.2">
      <c r="G492" s="6"/>
      <c r="H492" s="7"/>
    </row>
    <row r="493" spans="7:8" ht="15.75" customHeight="1" x14ac:dyDescent="0.2">
      <c r="G493" s="6"/>
      <c r="H493" s="7"/>
    </row>
    <row r="494" spans="7:8" ht="15.75" customHeight="1" x14ac:dyDescent="0.2">
      <c r="G494" s="6"/>
      <c r="H494" s="7"/>
    </row>
    <row r="495" spans="7:8" ht="15.75" customHeight="1" x14ac:dyDescent="0.2">
      <c r="G495" s="6"/>
      <c r="H495" s="7"/>
    </row>
    <row r="496" spans="7:8" ht="15.75" customHeight="1" x14ac:dyDescent="0.2">
      <c r="G496" s="6"/>
      <c r="H496" s="7"/>
    </row>
    <row r="497" spans="7:8" ht="15.75" customHeight="1" x14ac:dyDescent="0.2">
      <c r="G497" s="6"/>
      <c r="H497" s="7"/>
    </row>
    <row r="498" spans="7:8" ht="15.75" customHeight="1" x14ac:dyDescent="0.2">
      <c r="G498" s="6"/>
      <c r="H498" s="7"/>
    </row>
    <row r="499" spans="7:8" ht="15.75" customHeight="1" x14ac:dyDescent="0.2">
      <c r="G499" s="6"/>
      <c r="H499" s="7"/>
    </row>
    <row r="500" spans="7:8" ht="15.75" customHeight="1" x14ac:dyDescent="0.2">
      <c r="G500" s="6"/>
      <c r="H500" s="7"/>
    </row>
    <row r="501" spans="7:8" ht="15.75" customHeight="1" x14ac:dyDescent="0.2">
      <c r="G501" s="6"/>
      <c r="H501" s="7"/>
    </row>
    <row r="502" spans="7:8" ht="15.75" customHeight="1" x14ac:dyDescent="0.2">
      <c r="G502" s="6"/>
      <c r="H502" s="7"/>
    </row>
    <row r="503" spans="7:8" ht="15.75" customHeight="1" x14ac:dyDescent="0.2">
      <c r="G503" s="6"/>
      <c r="H503" s="7"/>
    </row>
    <row r="504" spans="7:8" ht="15.75" customHeight="1" x14ac:dyDescent="0.2">
      <c r="G504" s="6"/>
      <c r="H504" s="7"/>
    </row>
    <row r="505" spans="7:8" ht="15.75" customHeight="1" x14ac:dyDescent="0.2">
      <c r="G505" s="6"/>
      <c r="H505" s="7"/>
    </row>
    <row r="506" spans="7:8" ht="15.75" customHeight="1" x14ac:dyDescent="0.2">
      <c r="G506" s="6"/>
      <c r="H506" s="7"/>
    </row>
    <row r="507" spans="7:8" ht="15.75" customHeight="1" x14ac:dyDescent="0.2">
      <c r="G507" s="6"/>
      <c r="H507" s="7"/>
    </row>
    <row r="508" spans="7:8" ht="15.75" customHeight="1" x14ac:dyDescent="0.2">
      <c r="G508" s="6"/>
      <c r="H508" s="7"/>
    </row>
    <row r="509" spans="7:8" ht="15.75" customHeight="1" x14ac:dyDescent="0.2">
      <c r="G509" s="6"/>
      <c r="H509" s="7"/>
    </row>
    <row r="510" spans="7:8" ht="15.75" customHeight="1" x14ac:dyDescent="0.2">
      <c r="G510" s="6"/>
      <c r="H510" s="7"/>
    </row>
    <row r="511" spans="7:8" ht="15.75" customHeight="1" x14ac:dyDescent="0.2">
      <c r="G511" s="6"/>
      <c r="H511" s="7"/>
    </row>
    <row r="512" spans="7:8" ht="15.75" customHeight="1" x14ac:dyDescent="0.2">
      <c r="G512" s="6"/>
      <c r="H512" s="7"/>
    </row>
    <row r="513" spans="7:8" ht="15.75" customHeight="1" x14ac:dyDescent="0.2">
      <c r="G513" s="6"/>
      <c r="H513" s="7"/>
    </row>
    <row r="514" spans="7:8" ht="15.75" customHeight="1" x14ac:dyDescent="0.2">
      <c r="G514" s="6"/>
      <c r="H514" s="7"/>
    </row>
    <row r="515" spans="7:8" ht="15.75" customHeight="1" x14ac:dyDescent="0.2">
      <c r="G515" s="6"/>
      <c r="H515" s="7"/>
    </row>
    <row r="516" spans="7:8" ht="15.75" customHeight="1" x14ac:dyDescent="0.2">
      <c r="G516" s="6"/>
      <c r="H516" s="7"/>
    </row>
    <row r="517" spans="7:8" ht="15.75" customHeight="1" x14ac:dyDescent="0.2">
      <c r="G517" s="6"/>
      <c r="H517" s="7"/>
    </row>
    <row r="518" spans="7:8" ht="15.75" customHeight="1" x14ac:dyDescent="0.2">
      <c r="G518" s="6"/>
      <c r="H518" s="7"/>
    </row>
    <row r="519" spans="7:8" ht="15.75" customHeight="1" x14ac:dyDescent="0.2">
      <c r="G519" s="6"/>
      <c r="H519" s="7"/>
    </row>
    <row r="520" spans="7:8" ht="15.75" customHeight="1" x14ac:dyDescent="0.2">
      <c r="G520" s="6"/>
      <c r="H520" s="7"/>
    </row>
    <row r="521" spans="7:8" ht="15.75" customHeight="1" x14ac:dyDescent="0.2">
      <c r="G521" s="6"/>
      <c r="H521" s="7"/>
    </row>
    <row r="522" spans="7:8" ht="15.75" customHeight="1" x14ac:dyDescent="0.2">
      <c r="G522" s="6"/>
      <c r="H522" s="7"/>
    </row>
    <row r="523" spans="7:8" ht="15.75" customHeight="1" x14ac:dyDescent="0.2">
      <c r="G523" s="6"/>
      <c r="H523" s="7"/>
    </row>
    <row r="524" spans="7:8" ht="15.75" customHeight="1" x14ac:dyDescent="0.2">
      <c r="G524" s="6"/>
      <c r="H524" s="7"/>
    </row>
    <row r="525" spans="7:8" ht="15.75" customHeight="1" x14ac:dyDescent="0.2">
      <c r="G525" s="6"/>
      <c r="H525" s="7"/>
    </row>
    <row r="526" spans="7:8" ht="15.75" customHeight="1" x14ac:dyDescent="0.2">
      <c r="G526" s="6"/>
      <c r="H526" s="7"/>
    </row>
    <row r="527" spans="7:8" ht="15.75" customHeight="1" x14ac:dyDescent="0.2">
      <c r="G527" s="6"/>
      <c r="H527" s="7"/>
    </row>
    <row r="528" spans="7:8" ht="15.75" customHeight="1" x14ac:dyDescent="0.2">
      <c r="G528" s="6"/>
      <c r="H528" s="7"/>
    </row>
    <row r="529" spans="7:8" ht="15.75" customHeight="1" x14ac:dyDescent="0.2">
      <c r="G529" s="6"/>
      <c r="H529" s="7"/>
    </row>
    <row r="530" spans="7:8" ht="15.75" customHeight="1" x14ac:dyDescent="0.2">
      <c r="G530" s="6"/>
      <c r="H530" s="7"/>
    </row>
    <row r="531" spans="7:8" ht="15.75" customHeight="1" x14ac:dyDescent="0.2">
      <c r="G531" s="6"/>
      <c r="H531" s="7"/>
    </row>
    <row r="532" spans="7:8" ht="15.75" customHeight="1" x14ac:dyDescent="0.2">
      <c r="G532" s="6"/>
      <c r="H532" s="7"/>
    </row>
    <row r="533" spans="7:8" ht="15.75" customHeight="1" x14ac:dyDescent="0.2">
      <c r="G533" s="6"/>
      <c r="H533" s="7"/>
    </row>
    <row r="534" spans="7:8" ht="15.75" customHeight="1" x14ac:dyDescent="0.2">
      <c r="G534" s="6"/>
      <c r="H534" s="7"/>
    </row>
    <row r="535" spans="7:8" ht="15.75" customHeight="1" x14ac:dyDescent="0.2">
      <c r="G535" s="6"/>
      <c r="H535" s="7"/>
    </row>
    <row r="536" spans="7:8" ht="15.75" customHeight="1" x14ac:dyDescent="0.2">
      <c r="G536" s="6"/>
      <c r="H536" s="7"/>
    </row>
    <row r="537" spans="7:8" ht="15.75" customHeight="1" x14ac:dyDescent="0.2">
      <c r="G537" s="6"/>
      <c r="H537" s="7"/>
    </row>
    <row r="538" spans="7:8" ht="15.75" customHeight="1" x14ac:dyDescent="0.2">
      <c r="G538" s="6"/>
      <c r="H538" s="7"/>
    </row>
    <row r="539" spans="7:8" ht="15.75" customHeight="1" x14ac:dyDescent="0.2">
      <c r="G539" s="6"/>
      <c r="H539" s="7"/>
    </row>
    <row r="540" spans="7:8" ht="15.75" customHeight="1" x14ac:dyDescent="0.2">
      <c r="G540" s="6"/>
      <c r="H540" s="7"/>
    </row>
    <row r="541" spans="7:8" ht="15.75" customHeight="1" x14ac:dyDescent="0.2">
      <c r="G541" s="6"/>
      <c r="H541" s="7"/>
    </row>
    <row r="542" spans="7:8" ht="15.75" customHeight="1" x14ac:dyDescent="0.2">
      <c r="G542" s="6"/>
      <c r="H542" s="7"/>
    </row>
    <row r="543" spans="7:8" ht="15.75" customHeight="1" x14ac:dyDescent="0.2">
      <c r="G543" s="6"/>
      <c r="H543" s="7"/>
    </row>
    <row r="544" spans="7:8" ht="15.75" customHeight="1" x14ac:dyDescent="0.2">
      <c r="G544" s="6"/>
      <c r="H544" s="7"/>
    </row>
    <row r="545" spans="7:8" ht="15.75" customHeight="1" x14ac:dyDescent="0.2">
      <c r="G545" s="6"/>
      <c r="H545" s="7"/>
    </row>
    <row r="546" spans="7:8" ht="15.75" customHeight="1" x14ac:dyDescent="0.2">
      <c r="G546" s="6"/>
      <c r="H546" s="7"/>
    </row>
    <row r="547" spans="7:8" ht="15.75" customHeight="1" x14ac:dyDescent="0.2">
      <c r="G547" s="6"/>
      <c r="H547" s="7"/>
    </row>
    <row r="548" spans="7:8" ht="15.75" customHeight="1" x14ac:dyDescent="0.2">
      <c r="G548" s="6"/>
      <c r="H548" s="7"/>
    </row>
    <row r="549" spans="7:8" ht="15.75" customHeight="1" x14ac:dyDescent="0.2">
      <c r="G549" s="6"/>
      <c r="H549" s="7"/>
    </row>
    <row r="550" spans="7:8" ht="15.75" customHeight="1" x14ac:dyDescent="0.2">
      <c r="G550" s="6"/>
      <c r="H550" s="7"/>
    </row>
    <row r="551" spans="7:8" ht="15.75" customHeight="1" x14ac:dyDescent="0.2">
      <c r="G551" s="6"/>
      <c r="H551" s="7"/>
    </row>
    <row r="552" spans="7:8" ht="15.75" customHeight="1" x14ac:dyDescent="0.2">
      <c r="G552" s="6"/>
      <c r="H552" s="7"/>
    </row>
    <row r="553" spans="7:8" ht="15.75" customHeight="1" x14ac:dyDescent="0.2">
      <c r="G553" s="6"/>
      <c r="H553" s="7"/>
    </row>
    <row r="554" spans="7:8" ht="15.75" customHeight="1" x14ac:dyDescent="0.2">
      <c r="G554" s="6"/>
      <c r="H554" s="7"/>
    </row>
    <row r="555" spans="7:8" ht="15.75" customHeight="1" x14ac:dyDescent="0.2">
      <c r="G555" s="6"/>
      <c r="H555" s="7"/>
    </row>
    <row r="556" spans="7:8" ht="15.75" customHeight="1" x14ac:dyDescent="0.2">
      <c r="G556" s="6"/>
      <c r="H556" s="7"/>
    </row>
    <row r="557" spans="7:8" ht="15.75" customHeight="1" x14ac:dyDescent="0.2">
      <c r="G557" s="6"/>
      <c r="H557" s="7"/>
    </row>
    <row r="558" spans="7:8" ht="15.75" customHeight="1" x14ac:dyDescent="0.2">
      <c r="G558" s="6"/>
      <c r="H558" s="7"/>
    </row>
    <row r="559" spans="7:8" ht="15.75" customHeight="1" x14ac:dyDescent="0.2">
      <c r="G559" s="6"/>
      <c r="H559" s="7"/>
    </row>
    <row r="560" spans="7:8" ht="15.75" customHeight="1" x14ac:dyDescent="0.2">
      <c r="G560" s="6"/>
      <c r="H560" s="7"/>
    </row>
    <row r="561" spans="7:8" ht="15.75" customHeight="1" x14ac:dyDescent="0.2">
      <c r="G561" s="6"/>
      <c r="H561" s="7"/>
    </row>
    <row r="562" spans="7:8" ht="15.75" customHeight="1" x14ac:dyDescent="0.2">
      <c r="G562" s="6"/>
      <c r="H562" s="7"/>
    </row>
    <row r="563" spans="7:8" ht="15.75" customHeight="1" x14ac:dyDescent="0.2">
      <c r="G563" s="6"/>
      <c r="H563" s="7"/>
    </row>
    <row r="564" spans="7:8" ht="15.75" customHeight="1" x14ac:dyDescent="0.2">
      <c r="G564" s="6"/>
      <c r="H564" s="7"/>
    </row>
    <row r="565" spans="7:8" ht="15.75" customHeight="1" x14ac:dyDescent="0.2">
      <c r="G565" s="6"/>
      <c r="H565" s="7"/>
    </row>
    <row r="566" spans="7:8" ht="15.75" customHeight="1" x14ac:dyDescent="0.2">
      <c r="G566" s="6"/>
      <c r="H566" s="7"/>
    </row>
    <row r="567" spans="7:8" ht="15.75" customHeight="1" x14ac:dyDescent="0.2">
      <c r="G567" s="6"/>
      <c r="H567" s="7"/>
    </row>
    <row r="568" spans="7:8" ht="15.75" customHeight="1" x14ac:dyDescent="0.2">
      <c r="G568" s="6"/>
      <c r="H568" s="7"/>
    </row>
    <row r="569" spans="7:8" ht="15.75" customHeight="1" x14ac:dyDescent="0.2">
      <c r="G569" s="6"/>
      <c r="H569" s="7"/>
    </row>
    <row r="570" spans="7:8" ht="15.75" customHeight="1" x14ac:dyDescent="0.2">
      <c r="G570" s="6"/>
      <c r="H570" s="7"/>
    </row>
    <row r="571" spans="7:8" ht="15.75" customHeight="1" x14ac:dyDescent="0.2">
      <c r="G571" s="6"/>
      <c r="H571" s="7"/>
    </row>
    <row r="572" spans="7:8" ht="15.75" customHeight="1" x14ac:dyDescent="0.2">
      <c r="G572" s="6"/>
      <c r="H572" s="7"/>
    </row>
    <row r="573" spans="7:8" ht="15.75" customHeight="1" x14ac:dyDescent="0.2">
      <c r="G573" s="6"/>
      <c r="H573" s="7"/>
    </row>
    <row r="574" spans="7:8" ht="15.75" customHeight="1" x14ac:dyDescent="0.2">
      <c r="G574" s="6"/>
      <c r="H574" s="7"/>
    </row>
    <row r="575" spans="7:8" ht="15.75" customHeight="1" x14ac:dyDescent="0.2">
      <c r="G575" s="6"/>
      <c r="H575" s="7"/>
    </row>
    <row r="576" spans="7:8" ht="15.75" customHeight="1" x14ac:dyDescent="0.2">
      <c r="G576" s="6"/>
      <c r="H576" s="7"/>
    </row>
    <row r="577" spans="7:8" ht="15.75" customHeight="1" x14ac:dyDescent="0.2">
      <c r="G577" s="6"/>
      <c r="H577" s="7"/>
    </row>
    <row r="578" spans="7:8" ht="15.75" customHeight="1" x14ac:dyDescent="0.2">
      <c r="G578" s="6"/>
      <c r="H578" s="7"/>
    </row>
    <row r="579" spans="7:8" ht="15.75" customHeight="1" x14ac:dyDescent="0.2">
      <c r="G579" s="6"/>
      <c r="H579" s="7"/>
    </row>
    <row r="580" spans="7:8" ht="15.75" customHeight="1" x14ac:dyDescent="0.2">
      <c r="G580" s="6"/>
      <c r="H580" s="7"/>
    </row>
    <row r="581" spans="7:8" ht="15.75" customHeight="1" x14ac:dyDescent="0.2">
      <c r="G581" s="6"/>
      <c r="H581" s="7"/>
    </row>
    <row r="582" spans="7:8" ht="15.75" customHeight="1" x14ac:dyDescent="0.2">
      <c r="G582" s="6"/>
      <c r="H582" s="7"/>
    </row>
    <row r="583" spans="7:8" ht="15.75" customHeight="1" x14ac:dyDescent="0.2">
      <c r="G583" s="6"/>
      <c r="H583" s="7"/>
    </row>
    <row r="584" spans="7:8" ht="15.75" customHeight="1" x14ac:dyDescent="0.2">
      <c r="G584" s="6"/>
      <c r="H584" s="7"/>
    </row>
    <row r="585" spans="7:8" ht="15.75" customHeight="1" x14ac:dyDescent="0.2">
      <c r="G585" s="6"/>
      <c r="H585" s="7"/>
    </row>
    <row r="586" spans="7:8" ht="15.75" customHeight="1" x14ac:dyDescent="0.2">
      <c r="G586" s="6"/>
      <c r="H586" s="7"/>
    </row>
    <row r="587" spans="7:8" ht="15.75" customHeight="1" x14ac:dyDescent="0.2">
      <c r="G587" s="6"/>
      <c r="H587" s="7"/>
    </row>
    <row r="588" spans="7:8" ht="15.75" customHeight="1" x14ac:dyDescent="0.2">
      <c r="G588" s="6"/>
      <c r="H588" s="7"/>
    </row>
    <row r="589" spans="7:8" ht="15.75" customHeight="1" x14ac:dyDescent="0.2">
      <c r="G589" s="6"/>
      <c r="H589" s="7"/>
    </row>
    <row r="590" spans="7:8" ht="15.75" customHeight="1" x14ac:dyDescent="0.2">
      <c r="G590" s="6"/>
      <c r="H590" s="7"/>
    </row>
    <row r="591" spans="7:8" ht="15.75" customHeight="1" x14ac:dyDescent="0.2">
      <c r="G591" s="6"/>
      <c r="H591" s="7"/>
    </row>
    <row r="592" spans="7:8" ht="15.75" customHeight="1" x14ac:dyDescent="0.2">
      <c r="G592" s="6"/>
      <c r="H592" s="7"/>
    </row>
    <row r="593" spans="7:8" ht="15.75" customHeight="1" x14ac:dyDescent="0.2">
      <c r="G593" s="6"/>
      <c r="H593" s="7"/>
    </row>
    <row r="594" spans="7:8" ht="15.75" customHeight="1" x14ac:dyDescent="0.2">
      <c r="G594" s="6"/>
      <c r="H594" s="7"/>
    </row>
    <row r="595" spans="7:8" ht="15.75" customHeight="1" x14ac:dyDescent="0.2">
      <c r="G595" s="6"/>
      <c r="H595" s="7"/>
    </row>
    <row r="596" spans="7:8" ht="15.75" customHeight="1" x14ac:dyDescent="0.2">
      <c r="G596" s="6"/>
      <c r="H596" s="7"/>
    </row>
    <row r="597" spans="7:8" ht="15.75" customHeight="1" x14ac:dyDescent="0.2">
      <c r="G597" s="6"/>
      <c r="H597" s="7"/>
    </row>
    <row r="598" spans="7:8" ht="15.75" customHeight="1" x14ac:dyDescent="0.2">
      <c r="G598" s="6"/>
      <c r="H598" s="7"/>
    </row>
    <row r="599" spans="7:8" ht="15.75" customHeight="1" x14ac:dyDescent="0.2">
      <c r="G599" s="6"/>
      <c r="H599" s="7"/>
    </row>
    <row r="600" spans="7:8" ht="15.75" customHeight="1" x14ac:dyDescent="0.2">
      <c r="G600" s="6"/>
      <c r="H600" s="7"/>
    </row>
    <row r="601" spans="7:8" ht="15.75" customHeight="1" x14ac:dyDescent="0.2">
      <c r="G601" s="6"/>
      <c r="H601" s="7"/>
    </row>
    <row r="602" spans="7:8" ht="15.75" customHeight="1" x14ac:dyDescent="0.2">
      <c r="G602" s="6"/>
      <c r="H602" s="7"/>
    </row>
    <row r="603" spans="7:8" ht="15.75" customHeight="1" x14ac:dyDescent="0.2">
      <c r="G603" s="6"/>
      <c r="H603" s="7"/>
    </row>
    <row r="604" spans="7:8" ht="15.75" customHeight="1" x14ac:dyDescent="0.2">
      <c r="G604" s="6"/>
      <c r="H604" s="7"/>
    </row>
    <row r="605" spans="7:8" ht="15.75" customHeight="1" x14ac:dyDescent="0.2">
      <c r="G605" s="6"/>
      <c r="H605" s="7"/>
    </row>
    <row r="606" spans="7:8" ht="15.75" customHeight="1" x14ac:dyDescent="0.2">
      <c r="G606" s="6"/>
      <c r="H606" s="7"/>
    </row>
    <row r="607" spans="7:8" ht="15.75" customHeight="1" x14ac:dyDescent="0.2">
      <c r="G607" s="6"/>
      <c r="H607" s="7"/>
    </row>
    <row r="608" spans="7:8" ht="15.75" customHeight="1" x14ac:dyDescent="0.2">
      <c r="G608" s="6"/>
      <c r="H608" s="7"/>
    </row>
    <row r="609" spans="7:8" ht="15.75" customHeight="1" x14ac:dyDescent="0.2">
      <c r="G609" s="6"/>
      <c r="H609" s="7"/>
    </row>
    <row r="610" spans="7:8" ht="15.75" customHeight="1" x14ac:dyDescent="0.2">
      <c r="G610" s="6"/>
      <c r="H610" s="7"/>
    </row>
    <row r="611" spans="7:8" ht="15.75" customHeight="1" x14ac:dyDescent="0.2">
      <c r="G611" s="6"/>
      <c r="H611" s="7"/>
    </row>
    <row r="612" spans="7:8" ht="15.75" customHeight="1" x14ac:dyDescent="0.2">
      <c r="G612" s="6"/>
      <c r="H612" s="7"/>
    </row>
    <row r="613" spans="7:8" ht="15.75" customHeight="1" x14ac:dyDescent="0.2">
      <c r="G613" s="6"/>
      <c r="H613" s="7"/>
    </row>
    <row r="614" spans="7:8" ht="15.75" customHeight="1" x14ac:dyDescent="0.2">
      <c r="G614" s="6"/>
      <c r="H614" s="7"/>
    </row>
    <row r="615" spans="7:8" ht="15.75" customHeight="1" x14ac:dyDescent="0.2">
      <c r="G615" s="6"/>
      <c r="H615" s="7"/>
    </row>
    <row r="616" spans="7:8" ht="15.75" customHeight="1" x14ac:dyDescent="0.2">
      <c r="G616" s="6"/>
      <c r="H616" s="7"/>
    </row>
    <row r="617" spans="7:8" ht="15.75" customHeight="1" x14ac:dyDescent="0.2">
      <c r="G617" s="6"/>
      <c r="H617" s="7"/>
    </row>
    <row r="618" spans="7:8" ht="15.75" customHeight="1" x14ac:dyDescent="0.2">
      <c r="G618" s="6"/>
      <c r="H618" s="7"/>
    </row>
    <row r="619" spans="7:8" ht="15.75" customHeight="1" x14ac:dyDescent="0.2">
      <c r="G619" s="6"/>
      <c r="H619" s="7"/>
    </row>
    <row r="620" spans="7:8" ht="15.75" customHeight="1" x14ac:dyDescent="0.2">
      <c r="G620" s="6"/>
      <c r="H620" s="7"/>
    </row>
    <row r="621" spans="7:8" ht="15.75" customHeight="1" x14ac:dyDescent="0.2">
      <c r="G621" s="6"/>
      <c r="H621" s="7"/>
    </row>
    <row r="622" spans="7:8" ht="15.75" customHeight="1" x14ac:dyDescent="0.2">
      <c r="G622" s="6"/>
      <c r="H622" s="7"/>
    </row>
    <row r="623" spans="7:8" ht="15.75" customHeight="1" x14ac:dyDescent="0.2">
      <c r="G623" s="6"/>
      <c r="H623" s="7"/>
    </row>
    <row r="624" spans="7:8" ht="15.75" customHeight="1" x14ac:dyDescent="0.2">
      <c r="G624" s="6"/>
      <c r="H624" s="7"/>
    </row>
    <row r="625" spans="7:8" ht="15.75" customHeight="1" x14ac:dyDescent="0.2">
      <c r="G625" s="6"/>
      <c r="H625" s="7"/>
    </row>
    <row r="626" spans="7:8" ht="15.75" customHeight="1" x14ac:dyDescent="0.2">
      <c r="G626" s="6"/>
      <c r="H626" s="7"/>
    </row>
    <row r="627" spans="7:8" ht="15.75" customHeight="1" x14ac:dyDescent="0.2">
      <c r="G627" s="6"/>
      <c r="H627" s="7"/>
    </row>
    <row r="628" spans="7:8" ht="15.75" customHeight="1" x14ac:dyDescent="0.2">
      <c r="G628" s="6"/>
      <c r="H628" s="7"/>
    </row>
    <row r="629" spans="7:8" ht="15.75" customHeight="1" x14ac:dyDescent="0.2">
      <c r="G629" s="6"/>
      <c r="H629" s="7"/>
    </row>
    <row r="630" spans="7:8" ht="15.75" customHeight="1" x14ac:dyDescent="0.2">
      <c r="G630" s="6"/>
      <c r="H630" s="7"/>
    </row>
    <row r="631" spans="7:8" ht="15.75" customHeight="1" x14ac:dyDescent="0.2">
      <c r="G631" s="6"/>
      <c r="H631" s="7"/>
    </row>
    <row r="632" spans="7:8" ht="15.75" customHeight="1" x14ac:dyDescent="0.2">
      <c r="G632" s="6"/>
      <c r="H632" s="7"/>
    </row>
    <row r="633" spans="7:8" ht="15.75" customHeight="1" x14ac:dyDescent="0.2">
      <c r="G633" s="6"/>
      <c r="H633" s="7"/>
    </row>
    <row r="634" spans="7:8" ht="15.75" customHeight="1" x14ac:dyDescent="0.2">
      <c r="G634" s="6"/>
      <c r="H634" s="7"/>
    </row>
    <row r="635" spans="7:8" ht="15.75" customHeight="1" x14ac:dyDescent="0.2">
      <c r="G635" s="6"/>
      <c r="H635" s="7"/>
    </row>
    <row r="636" spans="7:8" ht="15.75" customHeight="1" x14ac:dyDescent="0.2">
      <c r="G636" s="6"/>
      <c r="H636" s="7"/>
    </row>
    <row r="637" spans="7:8" ht="15.75" customHeight="1" x14ac:dyDescent="0.2">
      <c r="G637" s="6"/>
      <c r="H637" s="7"/>
    </row>
    <row r="638" spans="7:8" ht="15.75" customHeight="1" x14ac:dyDescent="0.2">
      <c r="G638" s="6"/>
      <c r="H638" s="7"/>
    </row>
    <row r="639" spans="7:8" ht="15.75" customHeight="1" x14ac:dyDescent="0.2">
      <c r="G639" s="6"/>
      <c r="H639" s="7"/>
    </row>
    <row r="640" spans="7:8" ht="15.75" customHeight="1" x14ac:dyDescent="0.2">
      <c r="G640" s="6"/>
      <c r="H640" s="7"/>
    </row>
    <row r="641" spans="7:8" ht="15.75" customHeight="1" x14ac:dyDescent="0.2">
      <c r="G641" s="6"/>
      <c r="H641" s="7"/>
    </row>
    <row r="642" spans="7:8" ht="15.75" customHeight="1" x14ac:dyDescent="0.2">
      <c r="G642" s="6"/>
      <c r="H642" s="7"/>
    </row>
    <row r="643" spans="7:8" ht="15.75" customHeight="1" x14ac:dyDescent="0.2">
      <c r="G643" s="6"/>
      <c r="H643" s="7"/>
    </row>
    <row r="644" spans="7:8" ht="15.75" customHeight="1" x14ac:dyDescent="0.2">
      <c r="G644" s="6"/>
      <c r="H644" s="7"/>
    </row>
    <row r="645" spans="7:8" ht="15.75" customHeight="1" x14ac:dyDescent="0.2">
      <c r="G645" s="6"/>
      <c r="H645" s="7"/>
    </row>
    <row r="646" spans="7:8" ht="15.75" customHeight="1" x14ac:dyDescent="0.2">
      <c r="G646" s="6"/>
      <c r="H646" s="7"/>
    </row>
    <row r="647" spans="7:8" ht="15.75" customHeight="1" x14ac:dyDescent="0.2">
      <c r="G647" s="6"/>
      <c r="H647" s="7"/>
    </row>
    <row r="648" spans="7:8" ht="15.75" customHeight="1" x14ac:dyDescent="0.2">
      <c r="G648" s="6"/>
      <c r="H648" s="7"/>
    </row>
    <row r="649" spans="7:8" ht="15.75" customHeight="1" x14ac:dyDescent="0.2">
      <c r="G649" s="6"/>
      <c r="H649" s="7"/>
    </row>
    <row r="650" spans="7:8" ht="15.75" customHeight="1" x14ac:dyDescent="0.2">
      <c r="G650" s="6"/>
      <c r="H650" s="7"/>
    </row>
    <row r="651" spans="7:8" ht="15.75" customHeight="1" x14ac:dyDescent="0.2">
      <c r="G651" s="6"/>
      <c r="H651" s="7"/>
    </row>
    <row r="652" spans="7:8" ht="15.75" customHeight="1" x14ac:dyDescent="0.2">
      <c r="G652" s="6"/>
      <c r="H652" s="7"/>
    </row>
    <row r="653" spans="7:8" ht="15.75" customHeight="1" x14ac:dyDescent="0.2">
      <c r="G653" s="6"/>
      <c r="H653" s="7"/>
    </row>
    <row r="654" spans="7:8" ht="15.75" customHeight="1" x14ac:dyDescent="0.2">
      <c r="G654" s="6"/>
      <c r="H654" s="7"/>
    </row>
    <row r="655" spans="7:8" ht="15.75" customHeight="1" x14ac:dyDescent="0.2">
      <c r="G655" s="6"/>
      <c r="H655" s="7"/>
    </row>
    <row r="656" spans="7:8" ht="15.75" customHeight="1" x14ac:dyDescent="0.2">
      <c r="G656" s="6"/>
      <c r="H656" s="7"/>
    </row>
    <row r="657" spans="7:8" ht="15.75" customHeight="1" x14ac:dyDescent="0.2">
      <c r="G657" s="6"/>
      <c r="H657" s="7"/>
    </row>
    <row r="658" spans="7:8" ht="15.75" customHeight="1" x14ac:dyDescent="0.2">
      <c r="G658" s="6"/>
      <c r="H658" s="7"/>
    </row>
    <row r="659" spans="7:8" ht="15.75" customHeight="1" x14ac:dyDescent="0.2">
      <c r="G659" s="6"/>
      <c r="H659" s="7"/>
    </row>
    <row r="660" spans="7:8" ht="15.75" customHeight="1" x14ac:dyDescent="0.2">
      <c r="G660" s="6"/>
      <c r="H660" s="7"/>
    </row>
    <row r="661" spans="7:8" ht="15.75" customHeight="1" x14ac:dyDescent="0.2">
      <c r="G661" s="6"/>
      <c r="H661" s="7"/>
    </row>
    <row r="662" spans="7:8" ht="15.75" customHeight="1" x14ac:dyDescent="0.2">
      <c r="G662" s="6"/>
      <c r="H662" s="7"/>
    </row>
    <row r="663" spans="7:8" ht="15.75" customHeight="1" x14ac:dyDescent="0.2">
      <c r="G663" s="6"/>
      <c r="H663" s="7"/>
    </row>
    <row r="664" spans="7:8" ht="15.75" customHeight="1" x14ac:dyDescent="0.2">
      <c r="G664" s="6"/>
      <c r="H664" s="7"/>
    </row>
    <row r="665" spans="7:8" ht="15.75" customHeight="1" x14ac:dyDescent="0.2">
      <c r="G665" s="6"/>
      <c r="H665" s="7"/>
    </row>
    <row r="666" spans="7:8" ht="15.75" customHeight="1" x14ac:dyDescent="0.2">
      <c r="G666" s="6"/>
      <c r="H666" s="7"/>
    </row>
    <row r="667" spans="7:8" ht="15.75" customHeight="1" x14ac:dyDescent="0.2">
      <c r="G667" s="6"/>
      <c r="H667" s="7"/>
    </row>
    <row r="668" spans="7:8" ht="15.75" customHeight="1" x14ac:dyDescent="0.2">
      <c r="G668" s="6"/>
      <c r="H668" s="7"/>
    </row>
    <row r="669" spans="7:8" ht="15.75" customHeight="1" x14ac:dyDescent="0.2">
      <c r="G669" s="6"/>
      <c r="H669" s="7"/>
    </row>
    <row r="670" spans="7:8" ht="15.75" customHeight="1" x14ac:dyDescent="0.2">
      <c r="G670" s="6"/>
      <c r="H670" s="7"/>
    </row>
    <row r="671" spans="7:8" ht="15.75" customHeight="1" x14ac:dyDescent="0.2">
      <c r="G671" s="6"/>
      <c r="H671" s="7"/>
    </row>
    <row r="672" spans="7:8" ht="15.75" customHeight="1" x14ac:dyDescent="0.2">
      <c r="G672" s="6"/>
      <c r="H672" s="7"/>
    </row>
    <row r="673" spans="7:8" ht="15.75" customHeight="1" x14ac:dyDescent="0.2">
      <c r="G673" s="6"/>
      <c r="H673" s="7"/>
    </row>
    <row r="674" spans="7:8" ht="15.75" customHeight="1" x14ac:dyDescent="0.2">
      <c r="G674" s="6"/>
      <c r="H674" s="7"/>
    </row>
    <row r="675" spans="7:8" ht="15.75" customHeight="1" x14ac:dyDescent="0.2">
      <c r="G675" s="6"/>
      <c r="H675" s="7"/>
    </row>
    <row r="676" spans="7:8" ht="15.75" customHeight="1" x14ac:dyDescent="0.2">
      <c r="G676" s="6"/>
      <c r="H676" s="7"/>
    </row>
    <row r="677" spans="7:8" ht="15.75" customHeight="1" x14ac:dyDescent="0.2">
      <c r="G677" s="6"/>
      <c r="H677" s="7"/>
    </row>
    <row r="678" spans="7:8" ht="15.75" customHeight="1" x14ac:dyDescent="0.2">
      <c r="G678" s="6"/>
      <c r="H678" s="7"/>
    </row>
    <row r="679" spans="7:8" ht="15.75" customHeight="1" x14ac:dyDescent="0.2">
      <c r="G679" s="6"/>
      <c r="H679" s="7"/>
    </row>
    <row r="680" spans="7:8" ht="15.75" customHeight="1" x14ac:dyDescent="0.2">
      <c r="G680" s="6"/>
      <c r="H680" s="7"/>
    </row>
    <row r="681" spans="7:8" ht="15.75" customHeight="1" x14ac:dyDescent="0.2">
      <c r="G681" s="6"/>
      <c r="H681" s="7"/>
    </row>
    <row r="682" spans="7:8" ht="15.75" customHeight="1" x14ac:dyDescent="0.2">
      <c r="G682" s="6"/>
      <c r="H682" s="7"/>
    </row>
    <row r="683" spans="7:8" ht="15.75" customHeight="1" x14ac:dyDescent="0.2">
      <c r="G683" s="6"/>
      <c r="H683" s="7"/>
    </row>
    <row r="684" spans="7:8" ht="15.75" customHeight="1" x14ac:dyDescent="0.2">
      <c r="G684" s="6"/>
      <c r="H684" s="7"/>
    </row>
    <row r="685" spans="7:8" ht="15.75" customHeight="1" x14ac:dyDescent="0.2">
      <c r="G685" s="6"/>
      <c r="H685" s="7"/>
    </row>
    <row r="686" spans="7:8" ht="15.75" customHeight="1" x14ac:dyDescent="0.2">
      <c r="G686" s="6"/>
      <c r="H686" s="7"/>
    </row>
    <row r="687" spans="7:8" ht="15.75" customHeight="1" x14ac:dyDescent="0.2">
      <c r="G687" s="6"/>
      <c r="H687" s="7"/>
    </row>
    <row r="688" spans="7:8" ht="15.75" customHeight="1" x14ac:dyDescent="0.2">
      <c r="G688" s="6"/>
      <c r="H688" s="7"/>
    </row>
    <row r="689" spans="7:8" ht="15.75" customHeight="1" x14ac:dyDescent="0.2">
      <c r="G689" s="6"/>
      <c r="H689" s="7"/>
    </row>
    <row r="690" spans="7:8" ht="15.75" customHeight="1" x14ac:dyDescent="0.2">
      <c r="G690" s="6"/>
      <c r="H690" s="7"/>
    </row>
    <row r="691" spans="7:8" ht="15.75" customHeight="1" x14ac:dyDescent="0.2">
      <c r="G691" s="6"/>
      <c r="H691" s="7"/>
    </row>
    <row r="692" spans="7:8" ht="15.75" customHeight="1" x14ac:dyDescent="0.2">
      <c r="G692" s="6"/>
      <c r="H692" s="7"/>
    </row>
    <row r="693" spans="7:8" ht="15.75" customHeight="1" x14ac:dyDescent="0.2">
      <c r="G693" s="6"/>
      <c r="H693" s="7"/>
    </row>
    <row r="694" spans="7:8" ht="15.75" customHeight="1" x14ac:dyDescent="0.2">
      <c r="G694" s="6"/>
      <c r="H694" s="7"/>
    </row>
    <row r="695" spans="7:8" ht="15.75" customHeight="1" x14ac:dyDescent="0.2">
      <c r="G695" s="6"/>
      <c r="H695" s="7"/>
    </row>
    <row r="696" spans="7:8" ht="15.75" customHeight="1" x14ac:dyDescent="0.2">
      <c r="G696" s="6"/>
      <c r="H696" s="7"/>
    </row>
    <row r="697" spans="7:8" ht="15.75" customHeight="1" x14ac:dyDescent="0.2">
      <c r="G697" s="6"/>
      <c r="H697" s="7"/>
    </row>
    <row r="698" spans="7:8" ht="15.75" customHeight="1" x14ac:dyDescent="0.2">
      <c r="G698" s="6"/>
      <c r="H698" s="7"/>
    </row>
    <row r="699" spans="7:8" ht="15.75" customHeight="1" x14ac:dyDescent="0.2">
      <c r="G699" s="6"/>
      <c r="H699" s="7"/>
    </row>
    <row r="700" spans="7:8" ht="15.75" customHeight="1" x14ac:dyDescent="0.2">
      <c r="G700" s="6"/>
      <c r="H700" s="7"/>
    </row>
    <row r="701" spans="7:8" ht="15.75" customHeight="1" x14ac:dyDescent="0.2">
      <c r="G701" s="6"/>
      <c r="H701" s="7"/>
    </row>
    <row r="702" spans="7:8" ht="15.75" customHeight="1" x14ac:dyDescent="0.2">
      <c r="G702" s="6"/>
      <c r="H702" s="7"/>
    </row>
    <row r="703" spans="7:8" ht="15.75" customHeight="1" x14ac:dyDescent="0.2">
      <c r="G703" s="6"/>
      <c r="H703" s="7"/>
    </row>
    <row r="704" spans="7:8" ht="15.75" customHeight="1" x14ac:dyDescent="0.2">
      <c r="G704" s="6"/>
      <c r="H704" s="7"/>
    </row>
    <row r="705" spans="7:8" ht="15.75" customHeight="1" x14ac:dyDescent="0.2">
      <c r="G705" s="6"/>
      <c r="H705" s="7"/>
    </row>
    <row r="706" spans="7:8" ht="15.75" customHeight="1" x14ac:dyDescent="0.2">
      <c r="G706" s="6"/>
      <c r="H706" s="7"/>
    </row>
    <row r="707" spans="7:8" ht="15.75" customHeight="1" x14ac:dyDescent="0.2">
      <c r="G707" s="6"/>
      <c r="H707" s="7"/>
    </row>
    <row r="708" spans="7:8" ht="15.75" customHeight="1" x14ac:dyDescent="0.2">
      <c r="G708" s="6"/>
      <c r="H708" s="7"/>
    </row>
    <row r="709" spans="7:8" ht="15.75" customHeight="1" x14ac:dyDescent="0.2">
      <c r="G709" s="6"/>
      <c r="H709" s="7"/>
    </row>
    <row r="710" spans="7:8" ht="15.75" customHeight="1" x14ac:dyDescent="0.2">
      <c r="G710" s="6"/>
      <c r="H710" s="7"/>
    </row>
    <row r="711" spans="7:8" ht="15.75" customHeight="1" x14ac:dyDescent="0.2">
      <c r="G711" s="6"/>
      <c r="H711" s="7"/>
    </row>
    <row r="712" spans="7:8" ht="15.75" customHeight="1" x14ac:dyDescent="0.2">
      <c r="G712" s="6"/>
      <c r="H712" s="7"/>
    </row>
    <row r="713" spans="7:8" ht="15.75" customHeight="1" x14ac:dyDescent="0.2">
      <c r="G713" s="6"/>
      <c r="H713" s="7"/>
    </row>
    <row r="714" spans="7:8" ht="15.75" customHeight="1" x14ac:dyDescent="0.2">
      <c r="G714" s="6"/>
      <c r="H714" s="7"/>
    </row>
    <row r="715" spans="7:8" ht="15.75" customHeight="1" x14ac:dyDescent="0.2">
      <c r="G715" s="6"/>
      <c r="H715" s="7"/>
    </row>
    <row r="716" spans="7:8" ht="15.75" customHeight="1" x14ac:dyDescent="0.2">
      <c r="G716" s="6"/>
      <c r="H716" s="7"/>
    </row>
    <row r="717" spans="7:8" ht="15.75" customHeight="1" x14ac:dyDescent="0.2">
      <c r="G717" s="6"/>
      <c r="H717" s="7"/>
    </row>
    <row r="718" spans="7:8" ht="15.75" customHeight="1" x14ac:dyDescent="0.2">
      <c r="G718" s="6"/>
      <c r="H718" s="7"/>
    </row>
    <row r="719" spans="7:8" ht="15.75" customHeight="1" x14ac:dyDescent="0.2">
      <c r="G719" s="6"/>
      <c r="H719" s="7"/>
    </row>
    <row r="720" spans="7:8" ht="15.75" customHeight="1" x14ac:dyDescent="0.2">
      <c r="G720" s="6"/>
      <c r="H720" s="7"/>
    </row>
    <row r="721" spans="7:8" ht="15.75" customHeight="1" x14ac:dyDescent="0.2">
      <c r="G721" s="6"/>
      <c r="H721" s="7"/>
    </row>
    <row r="722" spans="7:8" ht="15.75" customHeight="1" x14ac:dyDescent="0.2">
      <c r="G722" s="6"/>
      <c r="H722" s="7"/>
    </row>
    <row r="723" spans="7:8" ht="15.75" customHeight="1" x14ac:dyDescent="0.2">
      <c r="G723" s="6"/>
      <c r="H723" s="7"/>
    </row>
    <row r="724" spans="7:8" ht="15.75" customHeight="1" x14ac:dyDescent="0.2">
      <c r="G724" s="6"/>
      <c r="H724" s="7"/>
    </row>
    <row r="725" spans="7:8" ht="15.75" customHeight="1" x14ac:dyDescent="0.2">
      <c r="G725" s="6"/>
      <c r="H725" s="7"/>
    </row>
    <row r="726" spans="7:8" ht="15.75" customHeight="1" x14ac:dyDescent="0.2">
      <c r="G726" s="6"/>
      <c r="H726" s="7"/>
    </row>
    <row r="727" spans="7:8" ht="15.75" customHeight="1" x14ac:dyDescent="0.2">
      <c r="G727" s="6"/>
      <c r="H727" s="7"/>
    </row>
    <row r="728" spans="7:8" ht="15.75" customHeight="1" x14ac:dyDescent="0.2">
      <c r="G728" s="6"/>
      <c r="H728" s="7"/>
    </row>
    <row r="729" spans="7:8" ht="15.75" customHeight="1" x14ac:dyDescent="0.2">
      <c r="G729" s="6"/>
      <c r="H729" s="7"/>
    </row>
    <row r="730" spans="7:8" ht="15.75" customHeight="1" x14ac:dyDescent="0.2">
      <c r="G730" s="6"/>
      <c r="H730" s="7"/>
    </row>
    <row r="731" spans="7:8" ht="15.75" customHeight="1" x14ac:dyDescent="0.2">
      <c r="G731" s="6"/>
      <c r="H731" s="7"/>
    </row>
    <row r="732" spans="7:8" ht="15.75" customHeight="1" x14ac:dyDescent="0.2">
      <c r="G732" s="6"/>
      <c r="H732" s="7"/>
    </row>
    <row r="733" spans="7:8" ht="15.75" customHeight="1" x14ac:dyDescent="0.2">
      <c r="G733" s="6"/>
      <c r="H733" s="7"/>
    </row>
    <row r="734" spans="7:8" ht="15.75" customHeight="1" x14ac:dyDescent="0.2">
      <c r="G734" s="6"/>
      <c r="H734" s="7"/>
    </row>
    <row r="735" spans="7:8" ht="15.75" customHeight="1" x14ac:dyDescent="0.2">
      <c r="G735" s="6"/>
      <c r="H735" s="7"/>
    </row>
    <row r="736" spans="7:8" ht="15.75" customHeight="1" x14ac:dyDescent="0.2">
      <c r="G736" s="6"/>
      <c r="H736" s="7"/>
    </row>
    <row r="737" spans="7:8" ht="15.75" customHeight="1" x14ac:dyDescent="0.2">
      <c r="G737" s="6"/>
      <c r="H737" s="7"/>
    </row>
    <row r="738" spans="7:8" ht="15.75" customHeight="1" x14ac:dyDescent="0.2">
      <c r="G738" s="6"/>
      <c r="H738" s="7"/>
    </row>
    <row r="739" spans="7:8" ht="15.75" customHeight="1" x14ac:dyDescent="0.2">
      <c r="G739" s="6"/>
      <c r="H739" s="7"/>
    </row>
    <row r="740" spans="7:8" ht="15.75" customHeight="1" x14ac:dyDescent="0.2">
      <c r="G740" s="6"/>
      <c r="H740" s="7"/>
    </row>
    <row r="741" spans="7:8" ht="15.75" customHeight="1" x14ac:dyDescent="0.2">
      <c r="G741" s="6"/>
      <c r="H741" s="7"/>
    </row>
    <row r="742" spans="7:8" ht="15.75" customHeight="1" x14ac:dyDescent="0.2">
      <c r="G742" s="6"/>
      <c r="H742" s="7"/>
    </row>
    <row r="743" spans="7:8" ht="15.75" customHeight="1" x14ac:dyDescent="0.2">
      <c r="G743" s="6"/>
      <c r="H743" s="7"/>
    </row>
    <row r="744" spans="7:8" ht="15.75" customHeight="1" x14ac:dyDescent="0.2">
      <c r="G744" s="6"/>
      <c r="H744" s="7"/>
    </row>
    <row r="745" spans="7:8" ht="15.75" customHeight="1" x14ac:dyDescent="0.2">
      <c r="G745" s="6"/>
      <c r="H745" s="7"/>
    </row>
    <row r="746" spans="7:8" ht="15.75" customHeight="1" x14ac:dyDescent="0.2">
      <c r="G746" s="6"/>
      <c r="H746" s="7"/>
    </row>
    <row r="747" spans="7:8" ht="15.75" customHeight="1" x14ac:dyDescent="0.2">
      <c r="G747" s="6"/>
      <c r="H747" s="7"/>
    </row>
    <row r="748" spans="7:8" ht="15.75" customHeight="1" x14ac:dyDescent="0.2">
      <c r="G748" s="6"/>
      <c r="H748" s="7"/>
    </row>
    <row r="749" spans="7:8" ht="15.75" customHeight="1" x14ac:dyDescent="0.2">
      <c r="G749" s="6"/>
      <c r="H749" s="7"/>
    </row>
    <row r="750" spans="7:8" ht="15.75" customHeight="1" x14ac:dyDescent="0.2">
      <c r="G750" s="6"/>
      <c r="H750" s="7"/>
    </row>
    <row r="751" spans="7:8" ht="15.75" customHeight="1" x14ac:dyDescent="0.2">
      <c r="G751" s="6"/>
      <c r="H751" s="7"/>
    </row>
    <row r="752" spans="7:8" ht="15.75" customHeight="1" x14ac:dyDescent="0.2">
      <c r="G752" s="6"/>
      <c r="H752" s="7"/>
    </row>
    <row r="753" spans="7:8" ht="15.75" customHeight="1" x14ac:dyDescent="0.2">
      <c r="G753" s="6"/>
      <c r="H753" s="7"/>
    </row>
    <row r="754" spans="7:8" ht="15.75" customHeight="1" x14ac:dyDescent="0.2">
      <c r="G754" s="6"/>
      <c r="H754" s="7"/>
    </row>
    <row r="755" spans="7:8" ht="15.75" customHeight="1" x14ac:dyDescent="0.2">
      <c r="G755" s="6"/>
      <c r="H755" s="7"/>
    </row>
    <row r="756" spans="7:8" ht="15.75" customHeight="1" x14ac:dyDescent="0.2">
      <c r="G756" s="6"/>
      <c r="H756" s="7"/>
    </row>
    <row r="757" spans="7:8" ht="15.75" customHeight="1" x14ac:dyDescent="0.2">
      <c r="G757" s="6"/>
      <c r="H757" s="7"/>
    </row>
    <row r="758" spans="7:8" ht="15.75" customHeight="1" x14ac:dyDescent="0.2">
      <c r="G758" s="6"/>
      <c r="H758" s="7"/>
    </row>
    <row r="759" spans="7:8" ht="15.75" customHeight="1" x14ac:dyDescent="0.2">
      <c r="G759" s="6"/>
      <c r="H759" s="7"/>
    </row>
    <row r="760" spans="7:8" ht="15.75" customHeight="1" x14ac:dyDescent="0.2">
      <c r="G760" s="6"/>
      <c r="H760" s="7"/>
    </row>
    <row r="761" spans="7:8" ht="15.75" customHeight="1" x14ac:dyDescent="0.2">
      <c r="G761" s="6"/>
      <c r="H761" s="7"/>
    </row>
    <row r="762" spans="7:8" ht="15.75" customHeight="1" x14ac:dyDescent="0.2">
      <c r="G762" s="6"/>
      <c r="H762" s="7"/>
    </row>
    <row r="763" spans="7:8" ht="15.75" customHeight="1" x14ac:dyDescent="0.2">
      <c r="G763" s="6"/>
      <c r="H763" s="7"/>
    </row>
    <row r="764" spans="7:8" ht="15.75" customHeight="1" x14ac:dyDescent="0.2">
      <c r="G764" s="6"/>
      <c r="H764" s="7"/>
    </row>
    <row r="765" spans="7:8" ht="15.75" customHeight="1" x14ac:dyDescent="0.2">
      <c r="G765" s="6"/>
      <c r="H765" s="7"/>
    </row>
    <row r="766" spans="7:8" ht="15.75" customHeight="1" x14ac:dyDescent="0.2">
      <c r="G766" s="6"/>
      <c r="H766" s="7"/>
    </row>
    <row r="767" spans="7:8" ht="15.75" customHeight="1" x14ac:dyDescent="0.2">
      <c r="G767" s="6"/>
      <c r="H767" s="7"/>
    </row>
    <row r="768" spans="7:8" ht="15.75" customHeight="1" x14ac:dyDescent="0.2">
      <c r="G768" s="6"/>
      <c r="H768" s="7"/>
    </row>
    <row r="769" spans="7:8" ht="15.75" customHeight="1" x14ac:dyDescent="0.2">
      <c r="G769" s="6"/>
      <c r="H769" s="7"/>
    </row>
    <row r="770" spans="7:8" ht="15.75" customHeight="1" x14ac:dyDescent="0.2">
      <c r="G770" s="6"/>
      <c r="H770" s="7"/>
    </row>
    <row r="771" spans="7:8" ht="15.75" customHeight="1" x14ac:dyDescent="0.2">
      <c r="G771" s="6"/>
      <c r="H771" s="7"/>
    </row>
    <row r="772" spans="7:8" ht="15.75" customHeight="1" x14ac:dyDescent="0.2">
      <c r="G772" s="6"/>
      <c r="H772" s="7"/>
    </row>
    <row r="773" spans="7:8" ht="15.75" customHeight="1" x14ac:dyDescent="0.2">
      <c r="G773" s="6"/>
      <c r="H773" s="7"/>
    </row>
    <row r="774" spans="7:8" ht="15.75" customHeight="1" x14ac:dyDescent="0.2">
      <c r="G774" s="6"/>
      <c r="H774" s="7"/>
    </row>
    <row r="775" spans="7:8" ht="15.75" customHeight="1" x14ac:dyDescent="0.2">
      <c r="G775" s="6"/>
      <c r="H775" s="7"/>
    </row>
    <row r="776" spans="7:8" ht="15.75" customHeight="1" x14ac:dyDescent="0.2">
      <c r="G776" s="6"/>
      <c r="H776" s="7"/>
    </row>
    <row r="777" spans="7:8" ht="15.75" customHeight="1" x14ac:dyDescent="0.2">
      <c r="G777" s="6"/>
      <c r="H777" s="7"/>
    </row>
    <row r="778" spans="7:8" ht="15.75" customHeight="1" x14ac:dyDescent="0.2">
      <c r="G778" s="6"/>
      <c r="H778" s="7"/>
    </row>
    <row r="779" spans="7:8" ht="15.75" customHeight="1" x14ac:dyDescent="0.2">
      <c r="G779" s="6"/>
      <c r="H779" s="7"/>
    </row>
    <row r="780" spans="7:8" ht="15.75" customHeight="1" x14ac:dyDescent="0.2">
      <c r="G780" s="6"/>
      <c r="H780" s="7"/>
    </row>
    <row r="781" spans="7:8" ht="15.75" customHeight="1" x14ac:dyDescent="0.2">
      <c r="G781" s="6"/>
      <c r="H781" s="7"/>
    </row>
    <row r="782" spans="7:8" ht="15.75" customHeight="1" x14ac:dyDescent="0.2">
      <c r="G782" s="6"/>
      <c r="H782" s="7"/>
    </row>
    <row r="783" spans="7:8" ht="15.75" customHeight="1" x14ac:dyDescent="0.2">
      <c r="G783" s="6"/>
      <c r="H783" s="7"/>
    </row>
    <row r="784" spans="7:8" ht="15.75" customHeight="1" x14ac:dyDescent="0.2">
      <c r="G784" s="6"/>
      <c r="H784" s="7"/>
    </row>
    <row r="785" spans="7:8" ht="15.75" customHeight="1" x14ac:dyDescent="0.2">
      <c r="G785" s="6"/>
      <c r="H785" s="7"/>
    </row>
    <row r="786" spans="7:8" ht="15.75" customHeight="1" x14ac:dyDescent="0.2">
      <c r="G786" s="6"/>
      <c r="H786" s="7"/>
    </row>
    <row r="787" spans="7:8" ht="15.75" customHeight="1" x14ac:dyDescent="0.2">
      <c r="G787" s="6"/>
      <c r="H787" s="7"/>
    </row>
    <row r="788" spans="7:8" ht="15.75" customHeight="1" x14ac:dyDescent="0.2">
      <c r="G788" s="6"/>
      <c r="H788" s="7"/>
    </row>
    <row r="789" spans="7:8" ht="15.75" customHeight="1" x14ac:dyDescent="0.2">
      <c r="G789" s="6"/>
      <c r="H789" s="7"/>
    </row>
    <row r="790" spans="7:8" ht="15.75" customHeight="1" x14ac:dyDescent="0.2">
      <c r="G790" s="6"/>
      <c r="H790" s="7"/>
    </row>
    <row r="791" spans="7:8" ht="15.75" customHeight="1" x14ac:dyDescent="0.2">
      <c r="G791" s="6"/>
      <c r="H791" s="7"/>
    </row>
    <row r="792" spans="7:8" ht="15.75" customHeight="1" x14ac:dyDescent="0.2">
      <c r="G792" s="6"/>
      <c r="H792" s="7"/>
    </row>
    <row r="793" spans="7:8" ht="15.75" customHeight="1" x14ac:dyDescent="0.2">
      <c r="G793" s="6"/>
      <c r="H793" s="7"/>
    </row>
    <row r="794" spans="7:8" ht="15.75" customHeight="1" x14ac:dyDescent="0.2">
      <c r="G794" s="6"/>
      <c r="H794" s="7"/>
    </row>
    <row r="795" spans="7:8" ht="15.75" customHeight="1" x14ac:dyDescent="0.2">
      <c r="G795" s="6"/>
      <c r="H795" s="7"/>
    </row>
    <row r="796" spans="7:8" ht="15.75" customHeight="1" x14ac:dyDescent="0.2">
      <c r="G796" s="6"/>
      <c r="H796" s="7"/>
    </row>
    <row r="797" spans="7:8" ht="15.75" customHeight="1" x14ac:dyDescent="0.2">
      <c r="G797" s="6"/>
      <c r="H797" s="7"/>
    </row>
    <row r="798" spans="7:8" ht="15.75" customHeight="1" x14ac:dyDescent="0.2">
      <c r="G798" s="6"/>
      <c r="H798" s="7"/>
    </row>
    <row r="799" spans="7:8" ht="15.75" customHeight="1" x14ac:dyDescent="0.2">
      <c r="G799" s="6"/>
      <c r="H799" s="7"/>
    </row>
    <row r="800" spans="7:8" ht="15.75" customHeight="1" x14ac:dyDescent="0.2">
      <c r="G800" s="6"/>
      <c r="H800" s="7"/>
    </row>
    <row r="801" spans="7:8" ht="15.75" customHeight="1" x14ac:dyDescent="0.2">
      <c r="G801" s="6"/>
      <c r="H801" s="7"/>
    </row>
    <row r="802" spans="7:8" ht="15.75" customHeight="1" x14ac:dyDescent="0.2">
      <c r="G802" s="6"/>
      <c r="H802" s="7"/>
    </row>
    <row r="803" spans="7:8" ht="15.75" customHeight="1" x14ac:dyDescent="0.2">
      <c r="G803" s="6"/>
      <c r="H803" s="7"/>
    </row>
    <row r="804" spans="7:8" ht="15.75" customHeight="1" x14ac:dyDescent="0.2">
      <c r="G804" s="6"/>
      <c r="H804" s="7"/>
    </row>
    <row r="805" spans="7:8" ht="15.75" customHeight="1" x14ac:dyDescent="0.2">
      <c r="G805" s="6"/>
      <c r="H805" s="7"/>
    </row>
    <row r="806" spans="7:8" ht="15.75" customHeight="1" x14ac:dyDescent="0.2">
      <c r="G806" s="6"/>
      <c r="H806" s="7"/>
    </row>
    <row r="807" spans="7:8" ht="15.75" customHeight="1" x14ac:dyDescent="0.2">
      <c r="G807" s="6"/>
      <c r="H807" s="7"/>
    </row>
    <row r="808" spans="7:8" ht="15.75" customHeight="1" x14ac:dyDescent="0.2">
      <c r="G808" s="6"/>
      <c r="H808" s="7"/>
    </row>
    <row r="809" spans="7:8" ht="15.75" customHeight="1" x14ac:dyDescent="0.2">
      <c r="G809" s="6"/>
      <c r="H809" s="7"/>
    </row>
    <row r="810" spans="7:8" ht="15.75" customHeight="1" x14ac:dyDescent="0.2">
      <c r="G810" s="6"/>
      <c r="H810" s="7"/>
    </row>
    <row r="811" spans="7:8" ht="15.75" customHeight="1" x14ac:dyDescent="0.2">
      <c r="G811" s="6"/>
      <c r="H811" s="7"/>
    </row>
    <row r="812" spans="7:8" ht="15.75" customHeight="1" x14ac:dyDescent="0.2">
      <c r="G812" s="6"/>
      <c r="H812" s="7"/>
    </row>
    <row r="813" spans="7:8" ht="15.75" customHeight="1" x14ac:dyDescent="0.2">
      <c r="G813" s="6"/>
      <c r="H813" s="7"/>
    </row>
    <row r="814" spans="7:8" ht="15.75" customHeight="1" x14ac:dyDescent="0.2">
      <c r="G814" s="6"/>
      <c r="H814" s="7"/>
    </row>
    <row r="815" spans="7:8" ht="15.75" customHeight="1" x14ac:dyDescent="0.2">
      <c r="G815" s="6"/>
      <c r="H815" s="7"/>
    </row>
    <row r="816" spans="7:8" ht="15.75" customHeight="1" x14ac:dyDescent="0.2">
      <c r="G816" s="6"/>
      <c r="H816" s="7"/>
    </row>
    <row r="817" spans="7:8" ht="15.75" customHeight="1" x14ac:dyDescent="0.2">
      <c r="G817" s="6"/>
      <c r="H817" s="7"/>
    </row>
    <row r="818" spans="7:8" ht="15.75" customHeight="1" x14ac:dyDescent="0.2">
      <c r="G818" s="6"/>
      <c r="H818" s="7"/>
    </row>
    <row r="819" spans="7:8" ht="15.75" customHeight="1" x14ac:dyDescent="0.2">
      <c r="G819" s="6"/>
      <c r="H819" s="7"/>
    </row>
    <row r="820" spans="7:8" ht="15.75" customHeight="1" x14ac:dyDescent="0.2">
      <c r="G820" s="6"/>
      <c r="H820" s="7"/>
    </row>
    <row r="821" spans="7:8" ht="15.75" customHeight="1" x14ac:dyDescent="0.2">
      <c r="G821" s="6"/>
      <c r="H821" s="7"/>
    </row>
    <row r="822" spans="7:8" ht="15.75" customHeight="1" x14ac:dyDescent="0.2">
      <c r="G822" s="6"/>
      <c r="H822" s="7"/>
    </row>
    <row r="823" spans="7:8" ht="15.75" customHeight="1" x14ac:dyDescent="0.2">
      <c r="G823" s="6"/>
      <c r="H823" s="7"/>
    </row>
    <row r="824" spans="7:8" ht="15.75" customHeight="1" x14ac:dyDescent="0.2">
      <c r="G824" s="6"/>
      <c r="H824" s="7"/>
    </row>
    <row r="825" spans="7:8" ht="15.75" customHeight="1" x14ac:dyDescent="0.2">
      <c r="G825" s="6"/>
      <c r="H825" s="7"/>
    </row>
    <row r="826" spans="7:8" ht="15.75" customHeight="1" x14ac:dyDescent="0.2">
      <c r="G826" s="6"/>
      <c r="H826" s="7"/>
    </row>
    <row r="827" spans="7:8" ht="15.75" customHeight="1" x14ac:dyDescent="0.2">
      <c r="G827" s="6"/>
      <c r="H827" s="7"/>
    </row>
    <row r="828" spans="7:8" ht="15.75" customHeight="1" x14ac:dyDescent="0.2">
      <c r="G828" s="6"/>
      <c r="H828" s="7"/>
    </row>
    <row r="829" spans="7:8" ht="15.75" customHeight="1" x14ac:dyDescent="0.2">
      <c r="G829" s="6"/>
      <c r="H829" s="7"/>
    </row>
    <row r="830" spans="7:8" ht="15.75" customHeight="1" x14ac:dyDescent="0.2">
      <c r="G830" s="6"/>
      <c r="H830" s="7"/>
    </row>
    <row r="831" spans="7:8" ht="15.75" customHeight="1" x14ac:dyDescent="0.2">
      <c r="G831" s="6"/>
      <c r="H831" s="7"/>
    </row>
    <row r="832" spans="7:8" ht="15.75" customHeight="1" x14ac:dyDescent="0.2">
      <c r="G832" s="6"/>
      <c r="H832" s="7"/>
    </row>
    <row r="833" spans="7:8" ht="15.75" customHeight="1" x14ac:dyDescent="0.2">
      <c r="G833" s="6"/>
      <c r="H833" s="7"/>
    </row>
    <row r="834" spans="7:8" ht="15.75" customHeight="1" x14ac:dyDescent="0.2">
      <c r="G834" s="6"/>
      <c r="H834" s="7"/>
    </row>
    <row r="835" spans="7:8" ht="15.75" customHeight="1" x14ac:dyDescent="0.2">
      <c r="G835" s="6"/>
      <c r="H835" s="7"/>
    </row>
    <row r="836" spans="7:8" ht="15.75" customHeight="1" x14ac:dyDescent="0.2">
      <c r="G836" s="6"/>
      <c r="H836" s="7"/>
    </row>
    <row r="837" spans="7:8" ht="15.75" customHeight="1" x14ac:dyDescent="0.2">
      <c r="G837" s="6"/>
      <c r="H837" s="7"/>
    </row>
    <row r="838" spans="7:8" ht="15.75" customHeight="1" x14ac:dyDescent="0.2">
      <c r="G838" s="6"/>
      <c r="H838" s="7"/>
    </row>
    <row r="839" spans="7:8" ht="15.75" customHeight="1" x14ac:dyDescent="0.2">
      <c r="G839" s="6"/>
      <c r="H839" s="7"/>
    </row>
    <row r="840" spans="7:8" ht="15.75" customHeight="1" x14ac:dyDescent="0.2">
      <c r="G840" s="6"/>
      <c r="H840" s="7"/>
    </row>
    <row r="841" spans="7:8" ht="15.75" customHeight="1" x14ac:dyDescent="0.2">
      <c r="G841" s="6"/>
      <c r="H841" s="7"/>
    </row>
    <row r="842" spans="7:8" ht="15.75" customHeight="1" x14ac:dyDescent="0.2">
      <c r="G842" s="6"/>
      <c r="H842" s="7"/>
    </row>
    <row r="843" spans="7:8" ht="15.75" customHeight="1" x14ac:dyDescent="0.2">
      <c r="G843" s="6"/>
      <c r="H843" s="7"/>
    </row>
    <row r="844" spans="7:8" ht="15.75" customHeight="1" x14ac:dyDescent="0.2">
      <c r="G844" s="6"/>
      <c r="H844" s="7"/>
    </row>
    <row r="845" spans="7:8" ht="15.75" customHeight="1" x14ac:dyDescent="0.2">
      <c r="G845" s="6"/>
      <c r="H845" s="7"/>
    </row>
    <row r="846" spans="7:8" ht="15.75" customHeight="1" x14ac:dyDescent="0.2">
      <c r="G846" s="6"/>
      <c r="H846" s="7"/>
    </row>
    <row r="847" spans="7:8" ht="15.75" customHeight="1" x14ac:dyDescent="0.2">
      <c r="G847" s="6"/>
      <c r="H847" s="7"/>
    </row>
    <row r="848" spans="7:8" ht="15.75" customHeight="1" x14ac:dyDescent="0.2">
      <c r="G848" s="6"/>
      <c r="H848" s="7"/>
    </row>
    <row r="849" spans="7:8" ht="15.75" customHeight="1" x14ac:dyDescent="0.2">
      <c r="G849" s="6"/>
      <c r="H849" s="7"/>
    </row>
    <row r="850" spans="7:8" ht="15.75" customHeight="1" x14ac:dyDescent="0.2">
      <c r="G850" s="6"/>
      <c r="H850" s="7"/>
    </row>
    <row r="851" spans="7:8" ht="15.75" customHeight="1" x14ac:dyDescent="0.2">
      <c r="G851" s="6"/>
      <c r="H851" s="7"/>
    </row>
    <row r="852" spans="7:8" ht="15.75" customHeight="1" x14ac:dyDescent="0.2">
      <c r="G852" s="6"/>
      <c r="H852" s="7"/>
    </row>
    <row r="853" spans="7:8" ht="15.75" customHeight="1" x14ac:dyDescent="0.2">
      <c r="G853" s="6"/>
      <c r="H853" s="7"/>
    </row>
    <row r="854" spans="7:8" ht="15.75" customHeight="1" x14ac:dyDescent="0.2">
      <c r="G854" s="6"/>
      <c r="H854" s="7"/>
    </row>
    <row r="855" spans="7:8" ht="15.75" customHeight="1" x14ac:dyDescent="0.2">
      <c r="G855" s="6"/>
      <c r="H855" s="7"/>
    </row>
    <row r="856" spans="7:8" ht="15.75" customHeight="1" x14ac:dyDescent="0.2">
      <c r="G856" s="6"/>
      <c r="H856" s="7"/>
    </row>
    <row r="857" spans="7:8" ht="15.75" customHeight="1" x14ac:dyDescent="0.2">
      <c r="G857" s="6"/>
      <c r="H857" s="7"/>
    </row>
    <row r="858" spans="7:8" ht="15.75" customHeight="1" x14ac:dyDescent="0.2">
      <c r="G858" s="6"/>
      <c r="H858" s="7"/>
    </row>
    <row r="859" spans="7:8" ht="15.75" customHeight="1" x14ac:dyDescent="0.2">
      <c r="G859" s="6"/>
      <c r="H859" s="7"/>
    </row>
    <row r="860" spans="7:8" ht="15.75" customHeight="1" x14ac:dyDescent="0.2">
      <c r="G860" s="6"/>
      <c r="H860" s="7"/>
    </row>
    <row r="861" spans="7:8" ht="15.75" customHeight="1" x14ac:dyDescent="0.2">
      <c r="G861" s="6"/>
      <c r="H861" s="7"/>
    </row>
    <row r="862" spans="7:8" ht="15.75" customHeight="1" x14ac:dyDescent="0.2">
      <c r="G862" s="6"/>
      <c r="H862" s="7"/>
    </row>
    <row r="863" spans="7:8" ht="15.75" customHeight="1" x14ac:dyDescent="0.2">
      <c r="G863" s="6"/>
      <c r="H863" s="7"/>
    </row>
    <row r="864" spans="7:8" ht="15.75" customHeight="1" x14ac:dyDescent="0.2">
      <c r="G864" s="6"/>
      <c r="H864" s="7"/>
    </row>
    <row r="865" spans="7:8" ht="15.75" customHeight="1" x14ac:dyDescent="0.2">
      <c r="G865" s="6"/>
      <c r="H865" s="7"/>
    </row>
    <row r="866" spans="7:8" ht="15.75" customHeight="1" x14ac:dyDescent="0.2">
      <c r="G866" s="6"/>
      <c r="H866" s="7"/>
    </row>
    <row r="867" spans="7:8" ht="15.75" customHeight="1" x14ac:dyDescent="0.2">
      <c r="G867" s="6"/>
      <c r="H867" s="7"/>
    </row>
    <row r="868" spans="7:8" ht="15.75" customHeight="1" x14ac:dyDescent="0.2">
      <c r="G868" s="6"/>
      <c r="H868" s="7"/>
    </row>
    <row r="869" spans="7:8" ht="15.75" customHeight="1" x14ac:dyDescent="0.2">
      <c r="G869" s="6"/>
      <c r="H869" s="7"/>
    </row>
    <row r="870" spans="7:8" ht="15.75" customHeight="1" x14ac:dyDescent="0.2">
      <c r="G870" s="6"/>
      <c r="H870" s="7"/>
    </row>
    <row r="871" spans="7:8" ht="15.75" customHeight="1" x14ac:dyDescent="0.2">
      <c r="G871" s="6"/>
      <c r="H871" s="7"/>
    </row>
    <row r="872" spans="7:8" ht="15.75" customHeight="1" x14ac:dyDescent="0.2">
      <c r="G872" s="6"/>
      <c r="H872" s="7"/>
    </row>
    <row r="873" spans="7:8" ht="15.75" customHeight="1" x14ac:dyDescent="0.2">
      <c r="G873" s="6"/>
      <c r="H873" s="7"/>
    </row>
    <row r="874" spans="7:8" ht="15.75" customHeight="1" x14ac:dyDescent="0.2">
      <c r="G874" s="6"/>
      <c r="H874" s="7"/>
    </row>
    <row r="875" spans="7:8" ht="15.75" customHeight="1" x14ac:dyDescent="0.2">
      <c r="G875" s="6"/>
      <c r="H875" s="7"/>
    </row>
    <row r="876" spans="7:8" ht="15.75" customHeight="1" x14ac:dyDescent="0.2">
      <c r="G876" s="6"/>
      <c r="H876" s="7"/>
    </row>
    <row r="877" spans="7:8" ht="15.75" customHeight="1" x14ac:dyDescent="0.2">
      <c r="G877" s="6"/>
      <c r="H877" s="7"/>
    </row>
    <row r="878" spans="7:8" ht="15.75" customHeight="1" x14ac:dyDescent="0.2">
      <c r="G878" s="6"/>
      <c r="H878" s="7"/>
    </row>
    <row r="879" spans="7:8" ht="15.75" customHeight="1" x14ac:dyDescent="0.2">
      <c r="G879" s="6"/>
      <c r="H879" s="7"/>
    </row>
    <row r="880" spans="7:8" ht="15.75" customHeight="1" x14ac:dyDescent="0.2">
      <c r="G880" s="6"/>
      <c r="H880" s="7"/>
    </row>
    <row r="881" spans="7:8" ht="15.75" customHeight="1" x14ac:dyDescent="0.2">
      <c r="G881" s="6"/>
      <c r="H881" s="7"/>
    </row>
    <row r="882" spans="7:8" ht="15.75" customHeight="1" x14ac:dyDescent="0.2">
      <c r="G882" s="6"/>
      <c r="H882" s="7"/>
    </row>
    <row r="883" spans="7:8" ht="15.75" customHeight="1" x14ac:dyDescent="0.2">
      <c r="G883" s="6"/>
      <c r="H883" s="7"/>
    </row>
    <row r="884" spans="7:8" ht="15.75" customHeight="1" x14ac:dyDescent="0.2">
      <c r="G884" s="6"/>
      <c r="H884" s="7"/>
    </row>
    <row r="885" spans="7:8" ht="15.75" customHeight="1" x14ac:dyDescent="0.2">
      <c r="G885" s="6"/>
      <c r="H885" s="7"/>
    </row>
    <row r="886" spans="7:8" ht="15.75" customHeight="1" x14ac:dyDescent="0.2">
      <c r="G886" s="6"/>
      <c r="H886" s="7"/>
    </row>
    <row r="887" spans="7:8" ht="15.75" customHeight="1" x14ac:dyDescent="0.2">
      <c r="G887" s="6"/>
      <c r="H887" s="7"/>
    </row>
    <row r="888" spans="7:8" ht="15.75" customHeight="1" x14ac:dyDescent="0.2">
      <c r="G888" s="6"/>
      <c r="H888" s="7"/>
    </row>
    <row r="889" spans="7:8" ht="15.75" customHeight="1" x14ac:dyDescent="0.2">
      <c r="G889" s="6"/>
      <c r="H889" s="7"/>
    </row>
    <row r="890" spans="7:8" ht="15.75" customHeight="1" x14ac:dyDescent="0.2">
      <c r="G890" s="6"/>
      <c r="H890" s="7"/>
    </row>
    <row r="891" spans="7:8" ht="15.75" customHeight="1" x14ac:dyDescent="0.2">
      <c r="G891" s="6"/>
      <c r="H891" s="7"/>
    </row>
    <row r="892" spans="7:8" ht="15.75" customHeight="1" x14ac:dyDescent="0.2">
      <c r="G892" s="6"/>
      <c r="H892" s="7"/>
    </row>
    <row r="893" spans="7:8" ht="15.75" customHeight="1" x14ac:dyDescent="0.2">
      <c r="G893" s="6"/>
      <c r="H893" s="7"/>
    </row>
    <row r="894" spans="7:8" ht="15.75" customHeight="1" x14ac:dyDescent="0.2">
      <c r="G894" s="6"/>
      <c r="H894" s="7"/>
    </row>
    <row r="895" spans="7:8" ht="15.75" customHeight="1" x14ac:dyDescent="0.2">
      <c r="G895" s="6"/>
      <c r="H895" s="7"/>
    </row>
    <row r="896" spans="7:8" ht="15.75" customHeight="1" x14ac:dyDescent="0.2">
      <c r="G896" s="6"/>
      <c r="H896" s="7"/>
    </row>
    <row r="897" spans="7:8" ht="15.75" customHeight="1" x14ac:dyDescent="0.2">
      <c r="G897" s="6"/>
      <c r="H897" s="7"/>
    </row>
    <row r="898" spans="7:8" ht="15.75" customHeight="1" x14ac:dyDescent="0.2">
      <c r="G898" s="6"/>
      <c r="H898" s="7"/>
    </row>
    <row r="899" spans="7:8" ht="15.75" customHeight="1" x14ac:dyDescent="0.2">
      <c r="G899" s="6"/>
      <c r="H899" s="7"/>
    </row>
    <row r="900" spans="7:8" ht="15.75" customHeight="1" x14ac:dyDescent="0.2">
      <c r="G900" s="6"/>
      <c r="H900" s="7"/>
    </row>
    <row r="901" spans="7:8" ht="15.75" customHeight="1" x14ac:dyDescent="0.2">
      <c r="G901" s="6"/>
      <c r="H901" s="7"/>
    </row>
    <row r="902" spans="7:8" ht="15.75" customHeight="1" x14ac:dyDescent="0.2">
      <c r="G902" s="6"/>
      <c r="H902" s="7"/>
    </row>
    <row r="903" spans="7:8" ht="15.75" customHeight="1" x14ac:dyDescent="0.2">
      <c r="G903" s="6"/>
      <c r="H903" s="7"/>
    </row>
    <row r="904" spans="7:8" ht="15.75" customHeight="1" x14ac:dyDescent="0.2">
      <c r="G904" s="6"/>
      <c r="H904" s="7"/>
    </row>
    <row r="905" spans="7:8" ht="15.75" customHeight="1" x14ac:dyDescent="0.2">
      <c r="G905" s="6"/>
      <c r="H905" s="7"/>
    </row>
    <row r="906" spans="7:8" ht="15.75" customHeight="1" x14ac:dyDescent="0.2">
      <c r="G906" s="6"/>
      <c r="H906" s="7"/>
    </row>
    <row r="907" spans="7:8" ht="15.75" customHeight="1" x14ac:dyDescent="0.2">
      <c r="G907" s="6"/>
      <c r="H907" s="7"/>
    </row>
    <row r="908" spans="7:8" ht="15.75" customHeight="1" x14ac:dyDescent="0.2">
      <c r="G908" s="6"/>
      <c r="H908" s="7"/>
    </row>
    <row r="909" spans="7:8" ht="15.75" customHeight="1" x14ac:dyDescent="0.2">
      <c r="G909" s="6"/>
      <c r="H909" s="7"/>
    </row>
    <row r="910" spans="7:8" ht="15.75" customHeight="1" x14ac:dyDescent="0.2">
      <c r="G910" s="6"/>
      <c r="H910" s="7"/>
    </row>
    <row r="911" spans="7:8" ht="15.75" customHeight="1" x14ac:dyDescent="0.2">
      <c r="G911" s="6"/>
      <c r="H911" s="7"/>
    </row>
    <row r="912" spans="7:8" ht="15.75" customHeight="1" x14ac:dyDescent="0.2">
      <c r="G912" s="6"/>
      <c r="H912" s="7"/>
    </row>
    <row r="913" spans="7:8" ht="15.75" customHeight="1" x14ac:dyDescent="0.2">
      <c r="G913" s="6"/>
      <c r="H913" s="7"/>
    </row>
    <row r="914" spans="7:8" ht="15.75" customHeight="1" x14ac:dyDescent="0.2">
      <c r="G914" s="6"/>
      <c r="H914" s="7"/>
    </row>
    <row r="915" spans="7:8" ht="15.75" customHeight="1" x14ac:dyDescent="0.2">
      <c r="G915" s="6"/>
      <c r="H915" s="7"/>
    </row>
    <row r="916" spans="7:8" ht="15.75" customHeight="1" x14ac:dyDescent="0.2">
      <c r="G916" s="6"/>
      <c r="H916" s="7"/>
    </row>
    <row r="917" spans="7:8" ht="15.75" customHeight="1" x14ac:dyDescent="0.2">
      <c r="G917" s="6"/>
      <c r="H917" s="7"/>
    </row>
    <row r="918" spans="7:8" ht="15.75" customHeight="1" x14ac:dyDescent="0.2">
      <c r="G918" s="6"/>
      <c r="H918" s="7"/>
    </row>
    <row r="919" spans="7:8" ht="15.75" customHeight="1" x14ac:dyDescent="0.2">
      <c r="G919" s="6"/>
      <c r="H919" s="7"/>
    </row>
    <row r="920" spans="7:8" ht="15.75" customHeight="1" x14ac:dyDescent="0.2">
      <c r="G920" s="6"/>
      <c r="H920" s="7"/>
    </row>
    <row r="921" spans="7:8" ht="15.75" customHeight="1" x14ac:dyDescent="0.2">
      <c r="G921" s="6"/>
      <c r="H921" s="7"/>
    </row>
    <row r="922" spans="7:8" ht="15.75" customHeight="1" x14ac:dyDescent="0.2">
      <c r="G922" s="6"/>
      <c r="H922" s="7"/>
    </row>
    <row r="923" spans="7:8" ht="15.75" customHeight="1" x14ac:dyDescent="0.2">
      <c r="G923" s="6"/>
      <c r="H923" s="7"/>
    </row>
    <row r="924" spans="7:8" ht="15.75" customHeight="1" x14ac:dyDescent="0.2">
      <c r="G924" s="6"/>
      <c r="H924" s="7"/>
    </row>
    <row r="925" spans="7:8" ht="15.75" customHeight="1" x14ac:dyDescent="0.2">
      <c r="G925" s="6"/>
      <c r="H925" s="7"/>
    </row>
    <row r="926" spans="7:8" ht="15.75" customHeight="1" x14ac:dyDescent="0.2">
      <c r="G926" s="6"/>
      <c r="H926" s="7"/>
    </row>
    <row r="927" spans="7:8" ht="15.75" customHeight="1" x14ac:dyDescent="0.2">
      <c r="G927" s="6"/>
      <c r="H927" s="7"/>
    </row>
    <row r="928" spans="7:8" ht="15.75" customHeight="1" x14ac:dyDescent="0.2">
      <c r="G928" s="6"/>
      <c r="H928" s="7"/>
    </row>
    <row r="929" spans="7:8" ht="15.75" customHeight="1" x14ac:dyDescent="0.2">
      <c r="G929" s="6"/>
      <c r="H929" s="7"/>
    </row>
    <row r="930" spans="7:8" ht="15.75" customHeight="1" x14ac:dyDescent="0.2">
      <c r="G930" s="6"/>
      <c r="H930" s="7"/>
    </row>
    <row r="931" spans="7:8" ht="15.75" customHeight="1" x14ac:dyDescent="0.2">
      <c r="G931" s="6"/>
      <c r="H931" s="7"/>
    </row>
    <row r="932" spans="7:8" ht="15.75" customHeight="1" x14ac:dyDescent="0.2">
      <c r="G932" s="6"/>
      <c r="H932" s="7"/>
    </row>
    <row r="933" spans="7:8" ht="15.75" customHeight="1" x14ac:dyDescent="0.2">
      <c r="G933" s="6"/>
      <c r="H933" s="7"/>
    </row>
    <row r="934" spans="7:8" ht="15.75" customHeight="1" x14ac:dyDescent="0.2">
      <c r="G934" s="6"/>
      <c r="H934" s="7"/>
    </row>
    <row r="935" spans="7:8" ht="15.75" customHeight="1" x14ac:dyDescent="0.2">
      <c r="G935" s="6"/>
      <c r="H935" s="7"/>
    </row>
    <row r="936" spans="7:8" ht="15.75" customHeight="1" x14ac:dyDescent="0.2">
      <c r="G936" s="6"/>
      <c r="H936" s="7"/>
    </row>
    <row r="937" spans="7:8" ht="15.75" customHeight="1" x14ac:dyDescent="0.2">
      <c r="G937" s="6"/>
      <c r="H937" s="7"/>
    </row>
    <row r="938" spans="7:8" ht="15.75" customHeight="1" x14ac:dyDescent="0.2">
      <c r="G938" s="6"/>
      <c r="H938" s="7"/>
    </row>
    <row r="939" spans="7:8" ht="15.75" customHeight="1" x14ac:dyDescent="0.2">
      <c r="G939" s="6"/>
      <c r="H939" s="7"/>
    </row>
    <row r="940" spans="7:8" ht="15.75" customHeight="1" x14ac:dyDescent="0.2">
      <c r="G940" s="6"/>
      <c r="H940" s="7"/>
    </row>
    <row r="941" spans="7:8" ht="15.75" customHeight="1" x14ac:dyDescent="0.2">
      <c r="G941" s="6"/>
      <c r="H941" s="7"/>
    </row>
    <row r="942" spans="7:8" ht="15.75" customHeight="1" x14ac:dyDescent="0.2">
      <c r="G942" s="6"/>
      <c r="H942" s="7"/>
    </row>
    <row r="943" spans="7:8" ht="15.75" customHeight="1" x14ac:dyDescent="0.2">
      <c r="G943" s="6"/>
      <c r="H943" s="7"/>
    </row>
    <row r="944" spans="7:8" ht="15.75" customHeight="1" x14ac:dyDescent="0.2">
      <c r="G944" s="6"/>
      <c r="H944" s="7"/>
    </row>
    <row r="945" spans="7:8" ht="15.75" customHeight="1" x14ac:dyDescent="0.2">
      <c r="G945" s="6"/>
      <c r="H945" s="7"/>
    </row>
    <row r="946" spans="7:8" ht="15.75" customHeight="1" x14ac:dyDescent="0.2">
      <c r="G946" s="6"/>
      <c r="H946" s="7"/>
    </row>
    <row r="947" spans="7:8" ht="15.75" customHeight="1" x14ac:dyDescent="0.2">
      <c r="G947" s="6"/>
      <c r="H947" s="7"/>
    </row>
    <row r="948" spans="7:8" ht="15.75" customHeight="1" x14ac:dyDescent="0.2">
      <c r="G948" s="6"/>
      <c r="H948" s="7"/>
    </row>
    <row r="949" spans="7:8" ht="15.75" customHeight="1" x14ac:dyDescent="0.2">
      <c r="G949" s="6"/>
      <c r="H949" s="7"/>
    </row>
    <row r="950" spans="7:8" ht="15.75" customHeight="1" x14ac:dyDescent="0.2">
      <c r="G950" s="6"/>
      <c r="H950" s="7"/>
    </row>
    <row r="951" spans="7:8" ht="15.75" customHeight="1" x14ac:dyDescent="0.2">
      <c r="G951" s="6"/>
      <c r="H951" s="7"/>
    </row>
    <row r="952" spans="7:8" ht="15.75" customHeight="1" x14ac:dyDescent="0.2">
      <c r="G952" s="6"/>
      <c r="H952" s="7"/>
    </row>
    <row r="953" spans="7:8" ht="15.75" customHeight="1" x14ac:dyDescent="0.2">
      <c r="G953" s="6"/>
      <c r="H953" s="7"/>
    </row>
    <row r="954" spans="7:8" ht="15.75" customHeight="1" x14ac:dyDescent="0.2">
      <c r="G954" s="6"/>
      <c r="H954" s="7"/>
    </row>
    <row r="955" spans="7:8" ht="15.75" customHeight="1" x14ac:dyDescent="0.2">
      <c r="G955" s="6"/>
      <c r="H955" s="7"/>
    </row>
    <row r="956" spans="7:8" ht="15.75" customHeight="1" x14ac:dyDescent="0.2">
      <c r="G956" s="6"/>
      <c r="H956" s="7"/>
    </row>
    <row r="957" spans="7:8" ht="15.75" customHeight="1" x14ac:dyDescent="0.2">
      <c r="G957" s="6"/>
      <c r="H957" s="7"/>
    </row>
    <row r="958" spans="7:8" ht="15.75" customHeight="1" x14ac:dyDescent="0.2">
      <c r="G958" s="6"/>
      <c r="H958" s="7"/>
    </row>
    <row r="959" spans="7:8" ht="15.75" customHeight="1" x14ac:dyDescent="0.2">
      <c r="G959" s="6"/>
      <c r="H959" s="7"/>
    </row>
    <row r="960" spans="7:8" ht="15.75" customHeight="1" x14ac:dyDescent="0.2">
      <c r="G960" s="6"/>
      <c r="H960" s="7"/>
    </row>
    <row r="961" spans="7:8" ht="15.75" customHeight="1" x14ac:dyDescent="0.2">
      <c r="G961" s="6"/>
      <c r="H961" s="7"/>
    </row>
    <row r="962" spans="7:8" ht="15.75" customHeight="1" x14ac:dyDescent="0.2">
      <c r="G962" s="6"/>
      <c r="H962" s="7"/>
    </row>
    <row r="963" spans="7:8" ht="15.75" customHeight="1" x14ac:dyDescent="0.2">
      <c r="G963" s="6"/>
      <c r="H963" s="7"/>
    </row>
    <row r="964" spans="7:8" ht="15.75" customHeight="1" x14ac:dyDescent="0.2">
      <c r="G964" s="6"/>
      <c r="H964" s="7"/>
    </row>
    <row r="965" spans="7:8" ht="15.75" customHeight="1" x14ac:dyDescent="0.2">
      <c r="G965" s="6"/>
      <c r="H965" s="7"/>
    </row>
    <row r="966" spans="7:8" ht="15.75" customHeight="1" x14ac:dyDescent="0.2">
      <c r="G966" s="6"/>
      <c r="H966" s="7"/>
    </row>
    <row r="967" spans="7:8" ht="15.75" customHeight="1" x14ac:dyDescent="0.2">
      <c r="G967" s="6"/>
      <c r="H967" s="7"/>
    </row>
    <row r="968" spans="7:8" ht="15.75" customHeight="1" x14ac:dyDescent="0.2">
      <c r="G968" s="6"/>
      <c r="H968" s="7"/>
    </row>
    <row r="969" spans="7:8" ht="15.75" customHeight="1" x14ac:dyDescent="0.2">
      <c r="G969" s="6"/>
      <c r="H969" s="7"/>
    </row>
    <row r="970" spans="7:8" ht="15.75" customHeight="1" x14ac:dyDescent="0.2">
      <c r="G970" s="6"/>
      <c r="H970" s="7"/>
    </row>
    <row r="971" spans="7:8" ht="15.75" customHeight="1" x14ac:dyDescent="0.2">
      <c r="G971" s="6"/>
      <c r="H971" s="7"/>
    </row>
    <row r="972" spans="7:8" ht="15.75" customHeight="1" x14ac:dyDescent="0.2">
      <c r="G972" s="6"/>
      <c r="H972" s="7"/>
    </row>
    <row r="973" spans="7:8" ht="15.75" customHeight="1" x14ac:dyDescent="0.2">
      <c r="G973" s="6"/>
      <c r="H973" s="7"/>
    </row>
    <row r="974" spans="7:8" ht="15.75" customHeight="1" x14ac:dyDescent="0.2">
      <c r="G974" s="6"/>
      <c r="H974" s="7"/>
    </row>
    <row r="975" spans="7:8" ht="15.75" customHeight="1" x14ac:dyDescent="0.2">
      <c r="G975" s="6"/>
      <c r="H975" s="7"/>
    </row>
    <row r="976" spans="7:8" ht="15.75" customHeight="1" x14ac:dyDescent="0.2">
      <c r="G976" s="6"/>
      <c r="H976" s="7"/>
    </row>
    <row r="977" spans="7:8" ht="15.75" customHeight="1" x14ac:dyDescent="0.2">
      <c r="G977" s="6"/>
      <c r="H977" s="7"/>
    </row>
    <row r="978" spans="7:8" ht="15.75" customHeight="1" x14ac:dyDescent="0.2">
      <c r="G978" s="6"/>
      <c r="H978" s="7"/>
    </row>
    <row r="979" spans="7:8" ht="15.75" customHeight="1" x14ac:dyDescent="0.2">
      <c r="G979" s="6"/>
      <c r="H979" s="7"/>
    </row>
    <row r="980" spans="7:8" ht="15.75" customHeight="1" x14ac:dyDescent="0.2">
      <c r="G980" s="6"/>
      <c r="H980" s="7"/>
    </row>
    <row r="981" spans="7:8" ht="15.75" customHeight="1" x14ac:dyDescent="0.2">
      <c r="G981" s="6"/>
      <c r="H981" s="7"/>
    </row>
    <row r="982" spans="7:8" ht="15.75" customHeight="1" x14ac:dyDescent="0.2">
      <c r="G982" s="6"/>
      <c r="H982" s="7"/>
    </row>
    <row r="983" spans="7:8" ht="15.75" customHeight="1" x14ac:dyDescent="0.2">
      <c r="G983" s="6"/>
      <c r="H983" s="7"/>
    </row>
    <row r="984" spans="7:8" ht="15.75" customHeight="1" x14ac:dyDescent="0.2">
      <c r="G984" s="6"/>
      <c r="H984" s="7"/>
    </row>
    <row r="985" spans="7:8" ht="15.75" customHeight="1" x14ac:dyDescent="0.2">
      <c r="G985" s="6"/>
      <c r="H985" s="7"/>
    </row>
    <row r="986" spans="7:8" ht="15.75" customHeight="1" x14ac:dyDescent="0.2">
      <c r="G986" s="6"/>
      <c r="H986" s="7"/>
    </row>
    <row r="987" spans="7:8" ht="15.75" customHeight="1" x14ac:dyDescent="0.2">
      <c r="G987" s="6"/>
      <c r="H987" s="7"/>
    </row>
    <row r="988" spans="7:8" ht="15.75" customHeight="1" x14ac:dyDescent="0.2">
      <c r="G988" s="6"/>
      <c r="H988" s="7"/>
    </row>
    <row r="989" spans="7:8" ht="15.75" customHeight="1" x14ac:dyDescent="0.2">
      <c r="G989" s="6"/>
      <c r="H989" s="7"/>
    </row>
    <row r="990" spans="7:8" ht="15.75" customHeight="1" x14ac:dyDescent="0.2">
      <c r="G990" s="6"/>
      <c r="H990" s="7"/>
    </row>
    <row r="991" spans="7:8" ht="15.75" customHeight="1" x14ac:dyDescent="0.2">
      <c r="G991" s="6"/>
      <c r="H991" s="7"/>
    </row>
    <row r="992" spans="7:8" ht="15.75" customHeight="1" x14ac:dyDescent="0.2">
      <c r="G992" s="6"/>
      <c r="H992" s="7"/>
    </row>
    <row r="993" spans="7:8" ht="15.75" customHeight="1" x14ac:dyDescent="0.2">
      <c r="G993" s="6"/>
      <c r="H993" s="7"/>
    </row>
    <row r="994" spans="7:8" ht="15.75" customHeight="1" x14ac:dyDescent="0.2">
      <c r="G994" s="6"/>
      <c r="H994" s="7"/>
    </row>
    <row r="995" spans="7:8" ht="15.75" customHeight="1" x14ac:dyDescent="0.2">
      <c r="G995" s="6"/>
      <c r="H995" s="7"/>
    </row>
    <row r="996" spans="7:8" ht="15.75" customHeight="1" x14ac:dyDescent="0.2">
      <c r="G996" s="6"/>
      <c r="H996" s="7"/>
    </row>
    <row r="997" spans="7:8" ht="15.75" customHeight="1" x14ac:dyDescent="0.2">
      <c r="G997" s="6"/>
      <c r="H997" s="7"/>
    </row>
    <row r="998" spans="7:8" ht="15.75" customHeight="1" x14ac:dyDescent="0.2">
      <c r="G998" s="6"/>
      <c r="H998" s="7"/>
    </row>
    <row r="999" spans="7:8" ht="15.75" customHeight="1" x14ac:dyDescent="0.2">
      <c r="G999" s="6"/>
      <c r="H999" s="7"/>
    </row>
    <row r="1000" spans="7:8" ht="15.75" customHeight="1" x14ac:dyDescent="0.2">
      <c r="G1000" s="6"/>
      <c r="H1000" s="7"/>
    </row>
  </sheetData>
  <mergeCells count="13">
    <mergeCell ref="A101:C101"/>
    <mergeCell ref="A105:C105"/>
    <mergeCell ref="A115:C115"/>
    <mergeCell ref="A52:C52"/>
    <mergeCell ref="A58:C58"/>
    <mergeCell ref="A67:C67"/>
    <mergeCell ref="A72:C72"/>
    <mergeCell ref="A83:C83"/>
    <mergeCell ref="A4:C4"/>
    <mergeCell ref="A14:C14"/>
    <mergeCell ref="A35:C35"/>
    <mergeCell ref="A40:C40"/>
    <mergeCell ref="A46:C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Normal="100" zoomScalePageLayoutView="60" workbookViewId="0"/>
  </sheetViews>
  <sheetFormatPr baseColWidth="10" defaultColWidth="14.5" defaultRowHeight="15" customHeight="1" x14ac:dyDescent="0.2"/>
  <cols>
    <col min="1" max="1" width="8" customWidth="1"/>
    <col min="2" max="2" width="30" customWidth="1"/>
    <col min="3" max="3" width="45" customWidth="1"/>
    <col min="4" max="4" width="15" customWidth="1"/>
    <col min="5" max="5" width="18" customWidth="1"/>
    <col min="6" max="6" width="12" customWidth="1"/>
    <col min="7" max="7" width="15" customWidth="1"/>
    <col min="8" max="8" width="12" customWidth="1"/>
    <col min="9" max="26" width="8.83203125" customWidth="1"/>
  </cols>
  <sheetData>
    <row r="1" spans="1:8" ht="18.75" customHeight="1" x14ac:dyDescent="0.25">
      <c r="A1" s="5" t="s">
        <v>121</v>
      </c>
    </row>
    <row r="2" spans="1:8" ht="15" customHeight="1" x14ac:dyDescent="0.2">
      <c r="A2" s="36" t="s">
        <v>122</v>
      </c>
    </row>
    <row r="4" spans="1:8" ht="30" customHeight="1" x14ac:dyDescent="0.2">
      <c r="A4" s="37" t="s">
        <v>123</v>
      </c>
      <c r="B4" s="37" t="s">
        <v>124</v>
      </c>
      <c r="C4" s="37" t="s">
        <v>125</v>
      </c>
      <c r="D4" s="37" t="s">
        <v>126</v>
      </c>
      <c r="E4" s="37" t="s">
        <v>127</v>
      </c>
      <c r="F4" s="37" t="s">
        <v>21</v>
      </c>
      <c r="G4" s="37" t="s">
        <v>128</v>
      </c>
      <c r="H4" s="37" t="s">
        <v>129</v>
      </c>
    </row>
    <row r="5" spans="1:8" ht="15" customHeight="1" x14ac:dyDescent="0.2">
      <c r="A5" s="38">
        <v>1</v>
      </c>
      <c r="B5" s="39"/>
      <c r="C5" s="39"/>
      <c r="D5" s="40">
        <v>0</v>
      </c>
      <c r="E5" s="41" t="s">
        <v>24</v>
      </c>
      <c r="F5" s="42">
        <v>0.1</v>
      </c>
      <c r="G5" s="43">
        <v>3</v>
      </c>
      <c r="H5" s="43" t="s">
        <v>130</v>
      </c>
    </row>
    <row r="6" spans="1:8" ht="15" customHeight="1" x14ac:dyDescent="0.2">
      <c r="A6" s="38">
        <v>2</v>
      </c>
      <c r="B6" s="39" t="s">
        <v>131</v>
      </c>
      <c r="C6" s="39" t="s">
        <v>132</v>
      </c>
      <c r="D6" s="40">
        <v>1600000</v>
      </c>
      <c r="E6" s="41" t="s">
        <v>133</v>
      </c>
      <c r="F6" s="42">
        <v>0</v>
      </c>
      <c r="G6" s="43">
        <v>0</v>
      </c>
      <c r="H6" s="43" t="s">
        <v>130</v>
      </c>
    </row>
    <row r="7" spans="1:8" ht="15" customHeight="1" x14ac:dyDescent="0.2">
      <c r="A7" s="38">
        <v>3</v>
      </c>
      <c r="B7" s="39" t="s">
        <v>131</v>
      </c>
      <c r="C7" s="39" t="s">
        <v>134</v>
      </c>
      <c r="D7" s="40">
        <v>19808</v>
      </c>
      <c r="E7" s="41" t="s">
        <v>133</v>
      </c>
      <c r="F7" s="42">
        <v>0</v>
      </c>
      <c r="G7" s="43">
        <v>0</v>
      </c>
      <c r="H7" s="43" t="s">
        <v>130</v>
      </c>
    </row>
    <row r="8" spans="1:8" ht="15" customHeight="1" x14ac:dyDescent="0.2">
      <c r="A8" s="38">
        <v>4</v>
      </c>
      <c r="B8" s="39" t="s">
        <v>131</v>
      </c>
      <c r="C8" s="39" t="s">
        <v>135</v>
      </c>
      <c r="D8" s="40">
        <v>105360</v>
      </c>
      <c r="E8" s="41" t="s">
        <v>133</v>
      </c>
      <c r="F8" s="42">
        <v>0</v>
      </c>
      <c r="G8" s="43">
        <v>0</v>
      </c>
      <c r="H8" s="43" t="s">
        <v>130</v>
      </c>
    </row>
    <row r="9" spans="1:8" ht="15" customHeight="1" x14ac:dyDescent="0.2">
      <c r="A9" s="38">
        <v>5</v>
      </c>
      <c r="B9" s="39" t="s">
        <v>136</v>
      </c>
      <c r="C9" s="39" t="s">
        <v>137</v>
      </c>
      <c r="D9" s="40">
        <v>479320</v>
      </c>
      <c r="E9" s="41" t="s">
        <v>26</v>
      </c>
      <c r="F9" s="42">
        <v>0.1</v>
      </c>
      <c r="G9" s="43">
        <v>3</v>
      </c>
      <c r="H9" s="43" t="s">
        <v>130</v>
      </c>
    </row>
    <row r="10" spans="1:8" ht="15" customHeight="1" x14ac:dyDescent="0.2">
      <c r="A10" s="38">
        <v>6</v>
      </c>
      <c r="B10" s="39" t="s">
        <v>136</v>
      </c>
      <c r="C10" s="39" t="s">
        <v>138</v>
      </c>
      <c r="D10" s="40">
        <v>10900</v>
      </c>
      <c r="E10" s="41" t="s">
        <v>26</v>
      </c>
      <c r="F10" s="42">
        <v>0.1</v>
      </c>
      <c r="G10" s="43">
        <v>3</v>
      </c>
      <c r="H10" s="43" t="s">
        <v>130</v>
      </c>
    </row>
    <row r="11" spans="1:8" ht="15" customHeight="1" x14ac:dyDescent="0.2">
      <c r="A11" s="38">
        <v>7</v>
      </c>
      <c r="B11" s="39" t="s">
        <v>136</v>
      </c>
      <c r="C11" s="39" t="s">
        <v>139</v>
      </c>
      <c r="D11" s="40">
        <v>1946765</v>
      </c>
      <c r="E11" s="41" t="s">
        <v>26</v>
      </c>
      <c r="F11" s="42">
        <v>0.1</v>
      </c>
      <c r="G11" s="43">
        <v>3</v>
      </c>
      <c r="H11" s="43" t="s">
        <v>130</v>
      </c>
    </row>
    <row r="12" spans="1:8" ht="15" customHeight="1" x14ac:dyDescent="0.2">
      <c r="A12" s="38">
        <v>8</v>
      </c>
      <c r="B12" s="39" t="s">
        <v>136</v>
      </c>
      <c r="C12" s="39" t="s">
        <v>139</v>
      </c>
      <c r="D12" s="40">
        <v>0</v>
      </c>
      <c r="E12" s="41" t="s">
        <v>26</v>
      </c>
      <c r="F12" s="42">
        <v>0.1</v>
      </c>
      <c r="G12" s="43">
        <v>3</v>
      </c>
      <c r="H12" s="43" t="s">
        <v>130</v>
      </c>
    </row>
    <row r="13" spans="1:8" ht="15" customHeight="1" x14ac:dyDescent="0.2">
      <c r="A13" s="38">
        <v>9</v>
      </c>
      <c r="B13" s="39" t="s">
        <v>136</v>
      </c>
      <c r="C13" s="39" t="s">
        <v>140</v>
      </c>
      <c r="D13" s="40">
        <v>143113</v>
      </c>
      <c r="E13" s="41" t="s">
        <v>26</v>
      </c>
      <c r="F13" s="42">
        <v>0.1</v>
      </c>
      <c r="G13" s="43">
        <v>3</v>
      </c>
      <c r="H13" s="43" t="s">
        <v>130</v>
      </c>
    </row>
    <row r="14" spans="1:8" ht="15" customHeight="1" x14ac:dyDescent="0.2">
      <c r="A14" s="38">
        <v>10</v>
      </c>
      <c r="B14" s="39" t="s">
        <v>136</v>
      </c>
      <c r="C14" s="39" t="s">
        <v>140</v>
      </c>
      <c r="D14" s="40">
        <v>30493</v>
      </c>
      <c r="E14" s="41" t="s">
        <v>26</v>
      </c>
      <c r="F14" s="42">
        <v>0.1</v>
      </c>
      <c r="G14" s="43">
        <v>3</v>
      </c>
      <c r="H14" s="43" t="s">
        <v>130</v>
      </c>
    </row>
    <row r="15" spans="1:8" ht="15" customHeight="1" x14ac:dyDescent="0.2">
      <c r="A15" s="38">
        <v>11</v>
      </c>
      <c r="B15" s="39" t="s">
        <v>136</v>
      </c>
      <c r="C15" s="39" t="s">
        <v>141</v>
      </c>
      <c r="D15" s="40">
        <v>375295</v>
      </c>
      <c r="E15" s="41" t="s">
        <v>26</v>
      </c>
      <c r="F15" s="42">
        <v>0.1</v>
      </c>
      <c r="G15" s="43">
        <v>3</v>
      </c>
      <c r="H15" s="43" t="s">
        <v>130</v>
      </c>
    </row>
    <row r="16" spans="1:8" ht="15" customHeight="1" x14ac:dyDescent="0.2">
      <c r="A16" s="38">
        <v>12</v>
      </c>
      <c r="B16" s="39" t="s">
        <v>136</v>
      </c>
      <c r="C16" s="39"/>
      <c r="D16" s="40">
        <v>165563</v>
      </c>
      <c r="E16" s="41" t="s">
        <v>26</v>
      </c>
      <c r="F16" s="42">
        <v>0.1</v>
      </c>
      <c r="G16" s="43">
        <v>3</v>
      </c>
      <c r="H16" s="43" t="s">
        <v>130</v>
      </c>
    </row>
    <row r="17" spans="1:8" ht="15" customHeight="1" x14ac:dyDescent="0.2">
      <c r="A17" s="38">
        <v>13</v>
      </c>
      <c r="B17" s="39" t="s">
        <v>136</v>
      </c>
      <c r="C17" s="39" t="s">
        <v>142</v>
      </c>
      <c r="D17" s="40">
        <v>475672</v>
      </c>
      <c r="E17" s="41" t="s">
        <v>26</v>
      </c>
      <c r="F17" s="42">
        <v>0.1</v>
      </c>
      <c r="G17" s="43">
        <v>3</v>
      </c>
      <c r="H17" s="43" t="s">
        <v>130</v>
      </c>
    </row>
    <row r="18" spans="1:8" ht="15" customHeight="1" x14ac:dyDescent="0.2">
      <c r="A18" s="38">
        <v>14</v>
      </c>
      <c r="B18" s="39" t="s">
        <v>136</v>
      </c>
      <c r="C18" s="39" t="s">
        <v>142</v>
      </c>
      <c r="D18" s="40">
        <v>23100</v>
      </c>
      <c r="E18" s="41" t="s">
        <v>26</v>
      </c>
      <c r="F18" s="42">
        <v>0.1</v>
      </c>
      <c r="G18" s="43">
        <v>3</v>
      </c>
      <c r="H18" s="43" t="s">
        <v>130</v>
      </c>
    </row>
    <row r="19" spans="1:8" ht="15" customHeight="1" x14ac:dyDescent="0.2">
      <c r="A19" s="38">
        <v>15</v>
      </c>
      <c r="B19" s="39" t="s">
        <v>136</v>
      </c>
      <c r="C19" s="39" t="s">
        <v>142</v>
      </c>
      <c r="D19" s="40">
        <v>2300</v>
      </c>
      <c r="E19" s="41" t="s">
        <v>26</v>
      </c>
      <c r="F19" s="42">
        <v>0.1</v>
      </c>
      <c r="G19" s="43">
        <v>3</v>
      </c>
      <c r="H19" s="43" t="s">
        <v>130</v>
      </c>
    </row>
    <row r="20" spans="1:8" ht="15" customHeight="1" x14ac:dyDescent="0.2">
      <c r="A20" s="38">
        <v>16</v>
      </c>
      <c r="B20" s="39" t="s">
        <v>136</v>
      </c>
      <c r="C20" s="39" t="s">
        <v>142</v>
      </c>
      <c r="D20" s="40">
        <v>25102</v>
      </c>
      <c r="E20" s="41" t="s">
        <v>26</v>
      </c>
      <c r="F20" s="42">
        <v>0.1</v>
      </c>
      <c r="G20" s="43">
        <v>3</v>
      </c>
      <c r="H20" s="43" t="s">
        <v>130</v>
      </c>
    </row>
    <row r="21" spans="1:8" ht="15" customHeight="1" x14ac:dyDescent="0.2">
      <c r="A21" s="38">
        <v>17</v>
      </c>
      <c r="B21" s="39" t="s">
        <v>136</v>
      </c>
      <c r="C21" s="39" t="s">
        <v>142</v>
      </c>
      <c r="D21" s="40">
        <v>47223</v>
      </c>
      <c r="E21" s="41" t="s">
        <v>26</v>
      </c>
      <c r="F21" s="42">
        <v>0.1</v>
      </c>
      <c r="G21" s="43">
        <v>3</v>
      </c>
      <c r="H21" s="43" t="s">
        <v>130</v>
      </c>
    </row>
    <row r="22" spans="1:8" ht="15" customHeight="1" x14ac:dyDescent="0.2">
      <c r="A22" s="38">
        <v>18</v>
      </c>
      <c r="B22" s="39" t="s">
        <v>136</v>
      </c>
      <c r="C22" s="39" t="s">
        <v>143</v>
      </c>
      <c r="D22" s="40">
        <v>1065794</v>
      </c>
      <c r="E22" s="41" t="s">
        <v>26</v>
      </c>
      <c r="F22" s="42">
        <v>0.1</v>
      </c>
      <c r="G22" s="43">
        <v>3</v>
      </c>
      <c r="H22" s="43" t="s">
        <v>130</v>
      </c>
    </row>
    <row r="23" spans="1:8" ht="15" customHeight="1" x14ac:dyDescent="0.2">
      <c r="A23" s="38">
        <v>19</v>
      </c>
      <c r="B23" s="39" t="s">
        <v>136</v>
      </c>
      <c r="C23" s="39" t="s">
        <v>144</v>
      </c>
      <c r="D23" s="40">
        <v>252500</v>
      </c>
      <c r="E23" s="41" t="s">
        <v>26</v>
      </c>
      <c r="F23" s="42">
        <v>0.1</v>
      </c>
      <c r="G23" s="43">
        <v>3</v>
      </c>
      <c r="H23" s="43" t="s">
        <v>130</v>
      </c>
    </row>
    <row r="24" spans="1:8" ht="15" customHeight="1" x14ac:dyDescent="0.2">
      <c r="A24" s="38">
        <v>20</v>
      </c>
      <c r="B24" s="39" t="s">
        <v>136</v>
      </c>
      <c r="C24" s="39" t="s">
        <v>145</v>
      </c>
      <c r="D24" s="40">
        <v>124981</v>
      </c>
      <c r="E24" s="41" t="s">
        <v>26</v>
      </c>
      <c r="F24" s="42">
        <v>0.1</v>
      </c>
      <c r="G24" s="43">
        <v>3</v>
      </c>
      <c r="H24" s="43" t="s">
        <v>130</v>
      </c>
    </row>
    <row r="25" spans="1:8" ht="15" customHeight="1" x14ac:dyDescent="0.2">
      <c r="A25" s="38">
        <v>21</v>
      </c>
      <c r="B25" s="39" t="s">
        <v>146</v>
      </c>
      <c r="C25" s="39" t="s">
        <v>147</v>
      </c>
      <c r="D25" s="40">
        <v>1577987</v>
      </c>
      <c r="E25" s="41" t="s">
        <v>24</v>
      </c>
      <c r="F25" s="42">
        <v>0.1</v>
      </c>
      <c r="G25" s="43">
        <v>3</v>
      </c>
      <c r="H25" s="43" t="s">
        <v>130</v>
      </c>
    </row>
    <row r="26" spans="1:8" ht="15" customHeight="1" x14ac:dyDescent="0.2">
      <c r="A26" s="38">
        <v>22</v>
      </c>
      <c r="B26" s="39" t="s">
        <v>146</v>
      </c>
      <c r="C26" s="39" t="s">
        <v>148</v>
      </c>
      <c r="D26" s="40">
        <v>278718</v>
      </c>
      <c r="E26" s="41" t="s">
        <v>24</v>
      </c>
      <c r="F26" s="42">
        <v>0.1</v>
      </c>
      <c r="G26" s="43">
        <v>3</v>
      </c>
      <c r="H26" s="43" t="s">
        <v>130</v>
      </c>
    </row>
    <row r="27" spans="1:8" ht="15" customHeight="1" x14ac:dyDescent="0.2">
      <c r="A27" s="38">
        <v>23</v>
      </c>
      <c r="B27" s="39" t="s">
        <v>146</v>
      </c>
      <c r="C27" s="39"/>
      <c r="D27" s="40">
        <v>140525</v>
      </c>
      <c r="E27" s="41" t="s">
        <v>24</v>
      </c>
      <c r="F27" s="42">
        <v>0.1</v>
      </c>
      <c r="G27" s="43">
        <v>3</v>
      </c>
      <c r="H27" s="43" t="s">
        <v>130</v>
      </c>
    </row>
    <row r="28" spans="1:8" ht="15" customHeight="1" x14ac:dyDescent="0.2">
      <c r="A28" s="38">
        <v>24</v>
      </c>
      <c r="B28" s="39" t="s">
        <v>146</v>
      </c>
      <c r="C28" s="39" t="s">
        <v>149</v>
      </c>
      <c r="D28" s="40">
        <v>36465</v>
      </c>
      <c r="E28" s="41" t="s">
        <v>24</v>
      </c>
      <c r="F28" s="42">
        <v>0.1</v>
      </c>
      <c r="G28" s="43">
        <v>3</v>
      </c>
      <c r="H28" s="43" t="s">
        <v>130</v>
      </c>
    </row>
    <row r="29" spans="1:8" ht="15" customHeight="1" x14ac:dyDescent="0.2">
      <c r="A29" s="38">
        <v>25</v>
      </c>
      <c r="B29" s="39" t="s">
        <v>146</v>
      </c>
      <c r="C29" s="39" t="s">
        <v>150</v>
      </c>
      <c r="D29" s="40">
        <v>2585</v>
      </c>
      <c r="E29" s="41" t="s">
        <v>24</v>
      </c>
      <c r="F29" s="42">
        <v>0.1</v>
      </c>
      <c r="G29" s="43">
        <v>3</v>
      </c>
      <c r="H29" s="43" t="s">
        <v>130</v>
      </c>
    </row>
    <row r="30" spans="1:8" ht="15" customHeight="1" x14ac:dyDescent="0.2">
      <c r="A30" s="38">
        <v>26</v>
      </c>
      <c r="B30" s="39" t="s">
        <v>146</v>
      </c>
      <c r="C30" s="39" t="s">
        <v>151</v>
      </c>
      <c r="D30" s="40">
        <v>0</v>
      </c>
      <c r="E30" s="41" t="s">
        <v>24</v>
      </c>
      <c r="F30" s="42">
        <v>0.1</v>
      </c>
      <c r="G30" s="43">
        <v>3</v>
      </c>
      <c r="H30" s="43" t="s">
        <v>130</v>
      </c>
    </row>
    <row r="31" spans="1:8" ht="15" customHeight="1" x14ac:dyDescent="0.2">
      <c r="A31" s="38">
        <v>27</v>
      </c>
      <c r="B31" s="39" t="s">
        <v>146</v>
      </c>
      <c r="C31" s="39" t="s">
        <v>152</v>
      </c>
      <c r="D31" s="40">
        <v>236000</v>
      </c>
      <c r="E31" s="41" t="s">
        <v>24</v>
      </c>
      <c r="F31" s="42">
        <v>0.1</v>
      </c>
      <c r="G31" s="43">
        <v>3</v>
      </c>
      <c r="H31" s="43" t="s">
        <v>130</v>
      </c>
    </row>
    <row r="32" spans="1:8" ht="15" customHeight="1" x14ac:dyDescent="0.2">
      <c r="A32" s="38">
        <v>28</v>
      </c>
      <c r="B32" s="39" t="s">
        <v>146</v>
      </c>
      <c r="C32" s="39" t="s">
        <v>153</v>
      </c>
      <c r="D32" s="40">
        <v>213500</v>
      </c>
      <c r="E32" s="41" t="s">
        <v>24</v>
      </c>
      <c r="F32" s="42">
        <v>0.1</v>
      </c>
      <c r="G32" s="43">
        <v>3</v>
      </c>
      <c r="H32" s="43" t="s">
        <v>130</v>
      </c>
    </row>
    <row r="33" spans="1:8" ht="15" customHeight="1" x14ac:dyDescent="0.2">
      <c r="A33" s="38">
        <v>29</v>
      </c>
      <c r="B33" s="39" t="s">
        <v>146</v>
      </c>
      <c r="C33" s="39" t="s">
        <v>154</v>
      </c>
      <c r="D33" s="40">
        <v>303400</v>
      </c>
      <c r="E33" s="41" t="s">
        <v>24</v>
      </c>
      <c r="F33" s="42">
        <v>0.1</v>
      </c>
      <c r="G33" s="43">
        <v>3</v>
      </c>
      <c r="H33" s="43" t="s">
        <v>130</v>
      </c>
    </row>
    <row r="34" spans="1:8" ht="15" customHeight="1" x14ac:dyDescent="0.2">
      <c r="A34" s="38">
        <v>30</v>
      </c>
      <c r="B34" s="39" t="s">
        <v>146</v>
      </c>
      <c r="C34" s="39" t="s">
        <v>155</v>
      </c>
      <c r="D34" s="40">
        <v>266400</v>
      </c>
      <c r="E34" s="41" t="s">
        <v>24</v>
      </c>
      <c r="F34" s="42">
        <v>0.1</v>
      </c>
      <c r="G34" s="43">
        <v>3</v>
      </c>
      <c r="H34" s="43" t="s">
        <v>130</v>
      </c>
    </row>
    <row r="35" spans="1:8" ht="15" customHeight="1" x14ac:dyDescent="0.2">
      <c r="A35" s="38">
        <v>31</v>
      </c>
      <c r="B35" s="39" t="s">
        <v>146</v>
      </c>
      <c r="C35" s="39" t="s">
        <v>156</v>
      </c>
      <c r="D35" s="40">
        <v>150750</v>
      </c>
      <c r="E35" s="41" t="s">
        <v>24</v>
      </c>
      <c r="F35" s="42">
        <v>0.1</v>
      </c>
      <c r="G35" s="43">
        <v>3</v>
      </c>
      <c r="H35" s="43" t="s">
        <v>130</v>
      </c>
    </row>
    <row r="36" spans="1:8" ht="15" customHeight="1" x14ac:dyDescent="0.2">
      <c r="A36" s="38">
        <v>32</v>
      </c>
      <c r="B36" s="39" t="s">
        <v>146</v>
      </c>
      <c r="C36" s="39" t="s">
        <v>157</v>
      </c>
      <c r="D36" s="40">
        <v>230020</v>
      </c>
      <c r="E36" s="41" t="s">
        <v>24</v>
      </c>
      <c r="F36" s="42">
        <v>0.1</v>
      </c>
      <c r="G36" s="43">
        <v>3</v>
      </c>
      <c r="H36" s="43" t="s">
        <v>130</v>
      </c>
    </row>
    <row r="37" spans="1:8" ht="15" customHeight="1" x14ac:dyDescent="0.2">
      <c r="A37" s="38">
        <v>33</v>
      </c>
      <c r="B37" s="39" t="s">
        <v>146</v>
      </c>
      <c r="C37" s="39" t="s">
        <v>158</v>
      </c>
      <c r="D37" s="40">
        <v>11000</v>
      </c>
      <c r="E37" s="41" t="s">
        <v>24</v>
      </c>
      <c r="F37" s="42">
        <v>0.1</v>
      </c>
      <c r="G37" s="43">
        <v>3</v>
      </c>
      <c r="H37" s="43" t="s">
        <v>130</v>
      </c>
    </row>
    <row r="38" spans="1:8" ht="15" customHeight="1" x14ac:dyDescent="0.2">
      <c r="A38" s="38">
        <v>34</v>
      </c>
      <c r="B38" s="39" t="s">
        <v>146</v>
      </c>
      <c r="C38" s="39" t="s">
        <v>159</v>
      </c>
      <c r="D38" s="40">
        <v>10780</v>
      </c>
      <c r="E38" s="41" t="s">
        <v>24</v>
      </c>
      <c r="F38" s="42">
        <v>0.1</v>
      </c>
      <c r="G38" s="43">
        <v>3</v>
      </c>
      <c r="H38" s="43" t="s">
        <v>130</v>
      </c>
    </row>
    <row r="39" spans="1:8" ht="15" customHeight="1" x14ac:dyDescent="0.2">
      <c r="A39" s="38">
        <v>35</v>
      </c>
      <c r="B39" s="39" t="s">
        <v>146</v>
      </c>
      <c r="C39" s="39" t="s">
        <v>160</v>
      </c>
      <c r="D39" s="40">
        <v>8048</v>
      </c>
      <c r="E39" s="41" t="s">
        <v>24</v>
      </c>
      <c r="F39" s="42">
        <v>0.1</v>
      </c>
      <c r="G39" s="43">
        <v>3</v>
      </c>
      <c r="H39" s="43" t="s">
        <v>130</v>
      </c>
    </row>
    <row r="40" spans="1:8" ht="15" customHeight="1" x14ac:dyDescent="0.2">
      <c r="A40" s="38">
        <v>36</v>
      </c>
      <c r="B40" s="39" t="s">
        <v>146</v>
      </c>
      <c r="C40" s="39" t="s">
        <v>161</v>
      </c>
      <c r="D40" s="40">
        <v>242750</v>
      </c>
      <c r="E40" s="41" t="s">
        <v>24</v>
      </c>
      <c r="F40" s="42">
        <v>0.1</v>
      </c>
      <c r="G40" s="43">
        <v>3</v>
      </c>
      <c r="H40" s="43" t="s">
        <v>130</v>
      </c>
    </row>
    <row r="41" spans="1:8" ht="15" customHeight="1" x14ac:dyDescent="0.2">
      <c r="A41" s="38">
        <v>37</v>
      </c>
      <c r="B41" s="39" t="s">
        <v>146</v>
      </c>
      <c r="C41" s="39" t="s">
        <v>162</v>
      </c>
      <c r="D41" s="40">
        <v>0</v>
      </c>
      <c r="E41" s="41" t="s">
        <v>24</v>
      </c>
      <c r="F41" s="42">
        <v>0.1</v>
      </c>
      <c r="G41" s="43">
        <v>3</v>
      </c>
      <c r="H41" s="43" t="s">
        <v>130</v>
      </c>
    </row>
    <row r="42" spans="1:8" ht="15" customHeight="1" x14ac:dyDescent="0.2">
      <c r="A42" s="38">
        <v>38</v>
      </c>
      <c r="B42" s="39" t="s">
        <v>146</v>
      </c>
      <c r="C42" s="39" t="s">
        <v>163</v>
      </c>
      <c r="D42" s="40">
        <v>0</v>
      </c>
      <c r="E42" s="41" t="s">
        <v>24</v>
      </c>
      <c r="F42" s="42">
        <v>0.1</v>
      </c>
      <c r="G42" s="43">
        <v>3</v>
      </c>
      <c r="H42" s="43" t="s">
        <v>130</v>
      </c>
    </row>
    <row r="43" spans="1:8" ht="15" customHeight="1" x14ac:dyDescent="0.2">
      <c r="A43" s="38">
        <v>39</v>
      </c>
      <c r="B43" s="39" t="s">
        <v>146</v>
      </c>
      <c r="C43" s="39" t="s">
        <v>164</v>
      </c>
      <c r="D43" s="40">
        <v>87875</v>
      </c>
      <c r="E43" s="41" t="s">
        <v>24</v>
      </c>
      <c r="F43" s="42">
        <v>0.1</v>
      </c>
      <c r="G43" s="43">
        <v>3</v>
      </c>
      <c r="H43" s="43" t="s">
        <v>130</v>
      </c>
    </row>
    <row r="44" spans="1:8" ht="15" customHeight="1" x14ac:dyDescent="0.2">
      <c r="A44" s="38">
        <v>40</v>
      </c>
      <c r="B44" s="39" t="s">
        <v>146</v>
      </c>
      <c r="C44" s="39" t="s">
        <v>165</v>
      </c>
      <c r="D44" s="40">
        <v>51500</v>
      </c>
      <c r="E44" s="41" t="s">
        <v>24</v>
      </c>
      <c r="F44" s="42">
        <v>0.1</v>
      </c>
      <c r="G44" s="43">
        <v>3</v>
      </c>
      <c r="H44" s="43" t="s">
        <v>130</v>
      </c>
    </row>
    <row r="45" spans="1:8" ht="15" customHeight="1" x14ac:dyDescent="0.2">
      <c r="A45" s="38">
        <v>41</v>
      </c>
      <c r="B45" s="39" t="s">
        <v>146</v>
      </c>
      <c r="C45" s="39" t="s">
        <v>166</v>
      </c>
      <c r="D45" s="40">
        <v>8798</v>
      </c>
      <c r="E45" s="41" t="s">
        <v>24</v>
      </c>
      <c r="F45" s="42">
        <v>0.1</v>
      </c>
      <c r="G45" s="43">
        <v>3</v>
      </c>
      <c r="H45" s="43" t="s">
        <v>130</v>
      </c>
    </row>
    <row r="46" spans="1:8" ht="15" customHeight="1" x14ac:dyDescent="0.2">
      <c r="A46" s="38">
        <v>42</v>
      </c>
      <c r="B46" s="39" t="s">
        <v>146</v>
      </c>
      <c r="C46" s="39" t="s">
        <v>167</v>
      </c>
      <c r="D46" s="40">
        <v>56242</v>
      </c>
      <c r="E46" s="41" t="s">
        <v>24</v>
      </c>
      <c r="F46" s="42">
        <v>0.1</v>
      </c>
      <c r="G46" s="43">
        <v>3</v>
      </c>
      <c r="H46" s="43" t="s">
        <v>130</v>
      </c>
    </row>
    <row r="47" spans="1:8" ht="15" customHeight="1" x14ac:dyDescent="0.2">
      <c r="A47" s="38">
        <v>43</v>
      </c>
      <c r="B47" s="39" t="s">
        <v>146</v>
      </c>
      <c r="C47" s="39" t="s">
        <v>168</v>
      </c>
      <c r="D47" s="40">
        <v>881840</v>
      </c>
      <c r="E47" s="41" t="s">
        <v>24</v>
      </c>
      <c r="F47" s="42">
        <v>0.1</v>
      </c>
      <c r="G47" s="43">
        <v>3</v>
      </c>
      <c r="H47" s="43" t="s">
        <v>130</v>
      </c>
    </row>
    <row r="48" spans="1:8" ht="15" customHeight="1" x14ac:dyDescent="0.2">
      <c r="A48" s="38">
        <v>44</v>
      </c>
      <c r="B48" s="39" t="s">
        <v>146</v>
      </c>
      <c r="C48" s="39" t="s">
        <v>169</v>
      </c>
      <c r="D48" s="40">
        <v>29000</v>
      </c>
      <c r="E48" s="41" t="s">
        <v>24</v>
      </c>
      <c r="F48" s="42">
        <v>0.1</v>
      </c>
      <c r="G48" s="43">
        <v>3</v>
      </c>
      <c r="H48" s="43" t="s">
        <v>130</v>
      </c>
    </row>
    <row r="49" spans="1:8" ht="15" customHeight="1" x14ac:dyDescent="0.2">
      <c r="A49" s="38">
        <v>45</v>
      </c>
      <c r="B49" s="39" t="s">
        <v>146</v>
      </c>
      <c r="C49" s="39" t="s">
        <v>170</v>
      </c>
      <c r="D49" s="40">
        <v>0</v>
      </c>
      <c r="E49" s="41" t="s">
        <v>24</v>
      </c>
      <c r="F49" s="42">
        <v>0.1</v>
      </c>
      <c r="G49" s="43">
        <v>3</v>
      </c>
      <c r="H49" s="43" t="s">
        <v>130</v>
      </c>
    </row>
    <row r="50" spans="1:8" ht="15" customHeight="1" x14ac:dyDescent="0.2">
      <c r="A50" s="38">
        <v>46</v>
      </c>
      <c r="B50" s="39" t="s">
        <v>146</v>
      </c>
      <c r="C50" s="39" t="s">
        <v>171</v>
      </c>
      <c r="D50" s="40">
        <v>147967</v>
      </c>
      <c r="E50" s="41" t="s">
        <v>24</v>
      </c>
      <c r="F50" s="42">
        <v>0.1</v>
      </c>
      <c r="G50" s="43">
        <v>3</v>
      </c>
      <c r="H50" s="43" t="s">
        <v>130</v>
      </c>
    </row>
    <row r="51" spans="1:8" ht="15" customHeight="1" x14ac:dyDescent="0.2">
      <c r="A51" s="38">
        <v>47</v>
      </c>
      <c r="B51" s="39" t="s">
        <v>146</v>
      </c>
      <c r="C51" s="39" t="s">
        <v>172</v>
      </c>
      <c r="D51" s="40">
        <v>0</v>
      </c>
      <c r="E51" s="41" t="s">
        <v>24</v>
      </c>
      <c r="F51" s="42">
        <v>0.1</v>
      </c>
      <c r="G51" s="43">
        <v>3</v>
      </c>
      <c r="H51" s="43" t="s">
        <v>130</v>
      </c>
    </row>
    <row r="52" spans="1:8" ht="15" customHeight="1" x14ac:dyDescent="0.2">
      <c r="A52" s="38">
        <v>48</v>
      </c>
      <c r="B52" s="39" t="s">
        <v>146</v>
      </c>
      <c r="C52" s="39" t="s">
        <v>173</v>
      </c>
      <c r="D52" s="40">
        <v>6500</v>
      </c>
      <c r="E52" s="41" t="s">
        <v>24</v>
      </c>
      <c r="F52" s="42">
        <v>0.1</v>
      </c>
      <c r="G52" s="43">
        <v>3</v>
      </c>
      <c r="H52" s="43" t="s">
        <v>130</v>
      </c>
    </row>
    <row r="53" spans="1:8" ht="15" customHeight="1" x14ac:dyDescent="0.2">
      <c r="A53" s="38">
        <v>49</v>
      </c>
      <c r="B53" s="39" t="s">
        <v>146</v>
      </c>
      <c r="C53" s="39" t="s">
        <v>174</v>
      </c>
      <c r="D53" s="40">
        <v>60094</v>
      </c>
      <c r="E53" s="41" t="s">
        <v>24</v>
      </c>
      <c r="F53" s="42">
        <v>0.1</v>
      </c>
      <c r="G53" s="43">
        <v>3</v>
      </c>
      <c r="H53" s="43" t="s">
        <v>130</v>
      </c>
    </row>
    <row r="54" spans="1:8" ht="15" customHeight="1" x14ac:dyDescent="0.2">
      <c r="A54" s="38">
        <v>50</v>
      </c>
      <c r="B54" s="39" t="s">
        <v>146</v>
      </c>
      <c r="C54" s="39" t="s">
        <v>175</v>
      </c>
      <c r="D54" s="40">
        <v>53800</v>
      </c>
      <c r="E54" s="41" t="s">
        <v>24</v>
      </c>
      <c r="F54" s="42">
        <v>0.1</v>
      </c>
      <c r="G54" s="43">
        <v>3</v>
      </c>
      <c r="H54" s="43" t="s">
        <v>130</v>
      </c>
    </row>
    <row r="55" spans="1:8" ht="15" customHeight="1" x14ac:dyDescent="0.2">
      <c r="A55" s="38">
        <v>51</v>
      </c>
      <c r="B55" s="39" t="s">
        <v>146</v>
      </c>
      <c r="C55" s="39" t="s">
        <v>176</v>
      </c>
      <c r="D55" s="40">
        <v>98600</v>
      </c>
      <c r="E55" s="41" t="s">
        <v>24</v>
      </c>
      <c r="F55" s="42">
        <v>0.1</v>
      </c>
      <c r="G55" s="43">
        <v>3</v>
      </c>
      <c r="H55" s="43" t="s">
        <v>130</v>
      </c>
    </row>
    <row r="56" spans="1:8" ht="15" customHeight="1" x14ac:dyDescent="0.2">
      <c r="A56" s="38">
        <v>52</v>
      </c>
      <c r="B56" s="39" t="s">
        <v>146</v>
      </c>
      <c r="C56" s="39" t="s">
        <v>177</v>
      </c>
      <c r="D56" s="40">
        <v>35407</v>
      </c>
      <c r="E56" s="41" t="s">
        <v>24</v>
      </c>
      <c r="F56" s="42">
        <v>0.1</v>
      </c>
      <c r="G56" s="43">
        <v>3</v>
      </c>
      <c r="H56" s="43" t="s">
        <v>130</v>
      </c>
    </row>
    <row r="57" spans="1:8" ht="15" customHeight="1" x14ac:dyDescent="0.2">
      <c r="A57" s="38">
        <v>53</v>
      </c>
      <c r="B57" s="39" t="s">
        <v>146</v>
      </c>
      <c r="C57" s="39" t="s">
        <v>178</v>
      </c>
      <c r="D57" s="40">
        <v>181830</v>
      </c>
      <c r="E57" s="41" t="s">
        <v>24</v>
      </c>
      <c r="F57" s="42">
        <v>0.1</v>
      </c>
      <c r="G57" s="43">
        <v>3</v>
      </c>
      <c r="H57" s="43" t="s">
        <v>130</v>
      </c>
    </row>
    <row r="58" spans="1:8" ht="15" customHeight="1" x14ac:dyDescent="0.2">
      <c r="A58" s="38">
        <v>54</v>
      </c>
      <c r="B58" s="39" t="s">
        <v>146</v>
      </c>
      <c r="C58" s="39"/>
      <c r="D58" s="40">
        <v>6000</v>
      </c>
      <c r="E58" s="41" t="s">
        <v>24</v>
      </c>
      <c r="F58" s="42">
        <v>0.1</v>
      </c>
      <c r="G58" s="43">
        <v>3</v>
      </c>
      <c r="H58" s="43" t="s">
        <v>130</v>
      </c>
    </row>
    <row r="59" spans="1:8" ht="15" customHeight="1" x14ac:dyDescent="0.2">
      <c r="A59" s="38">
        <v>55</v>
      </c>
      <c r="B59" s="39" t="s">
        <v>146</v>
      </c>
      <c r="C59" s="39" t="s">
        <v>179</v>
      </c>
      <c r="D59" s="40">
        <v>1901</v>
      </c>
      <c r="E59" s="41" t="s">
        <v>24</v>
      </c>
      <c r="F59" s="42">
        <v>0.1</v>
      </c>
      <c r="G59" s="43">
        <v>3</v>
      </c>
      <c r="H59" s="43" t="s">
        <v>130</v>
      </c>
    </row>
    <row r="60" spans="1:8" ht="15" customHeight="1" x14ac:dyDescent="0.2">
      <c r="A60" s="38">
        <v>56</v>
      </c>
      <c r="B60" s="39" t="s">
        <v>146</v>
      </c>
      <c r="C60" s="39" t="s">
        <v>180</v>
      </c>
      <c r="D60" s="40">
        <v>94276</v>
      </c>
      <c r="E60" s="41" t="s">
        <v>26</v>
      </c>
      <c r="F60" s="42">
        <v>0.1</v>
      </c>
      <c r="G60" s="43">
        <v>3</v>
      </c>
      <c r="H60" s="43" t="s">
        <v>130</v>
      </c>
    </row>
    <row r="61" spans="1:8" ht="15" customHeight="1" x14ac:dyDescent="0.2">
      <c r="A61" s="38">
        <v>57</v>
      </c>
      <c r="B61" s="39" t="s">
        <v>146</v>
      </c>
      <c r="C61" s="39" t="s">
        <v>181</v>
      </c>
      <c r="D61" s="40">
        <v>27681</v>
      </c>
      <c r="E61" s="41" t="s">
        <v>26</v>
      </c>
      <c r="F61" s="42">
        <v>0.1</v>
      </c>
      <c r="G61" s="43">
        <v>3</v>
      </c>
      <c r="H61" s="43" t="s">
        <v>130</v>
      </c>
    </row>
    <row r="62" spans="1:8" ht="15" customHeight="1" x14ac:dyDescent="0.2">
      <c r="A62" s="38">
        <v>58</v>
      </c>
      <c r="B62" s="39" t="s">
        <v>146</v>
      </c>
      <c r="C62" s="39" t="s">
        <v>182</v>
      </c>
      <c r="D62" s="40">
        <v>97941</v>
      </c>
      <c r="E62" s="41" t="s">
        <v>26</v>
      </c>
      <c r="F62" s="42">
        <v>0.1</v>
      </c>
      <c r="G62" s="43">
        <v>3</v>
      </c>
      <c r="H62" s="43" t="s">
        <v>130</v>
      </c>
    </row>
    <row r="63" spans="1:8" ht="15" customHeight="1" x14ac:dyDescent="0.2">
      <c r="A63" s="38">
        <v>59</v>
      </c>
      <c r="B63" s="39" t="s">
        <v>146</v>
      </c>
      <c r="C63" s="39" t="s">
        <v>183</v>
      </c>
      <c r="D63" s="40">
        <v>2681518</v>
      </c>
      <c r="E63" s="41" t="s">
        <v>26</v>
      </c>
      <c r="F63" s="42">
        <v>0.1</v>
      </c>
      <c r="G63" s="43">
        <v>3</v>
      </c>
      <c r="H63" s="43" t="s">
        <v>130</v>
      </c>
    </row>
    <row r="64" spans="1:8" ht="15" customHeight="1" x14ac:dyDescent="0.2">
      <c r="A64" s="38">
        <v>60</v>
      </c>
      <c r="B64" s="39" t="s">
        <v>146</v>
      </c>
      <c r="C64" s="39"/>
      <c r="D64" s="40">
        <v>0</v>
      </c>
      <c r="E64" s="41" t="s">
        <v>24</v>
      </c>
      <c r="F64" s="42">
        <v>0.1</v>
      </c>
      <c r="G64" s="43">
        <v>3</v>
      </c>
      <c r="H64" s="43" t="s">
        <v>130</v>
      </c>
    </row>
    <row r="65" spans="1:8" ht="15" customHeight="1" x14ac:dyDescent="0.2">
      <c r="A65" s="38">
        <v>61</v>
      </c>
      <c r="B65" s="39" t="s">
        <v>146</v>
      </c>
      <c r="C65" s="39" t="s">
        <v>184</v>
      </c>
      <c r="D65" s="40">
        <v>62581</v>
      </c>
      <c r="E65" s="41" t="s">
        <v>26</v>
      </c>
      <c r="F65" s="42">
        <v>0.1</v>
      </c>
      <c r="G65" s="43">
        <v>3</v>
      </c>
      <c r="H65" s="43" t="s">
        <v>130</v>
      </c>
    </row>
    <row r="66" spans="1:8" ht="15" customHeight="1" x14ac:dyDescent="0.2">
      <c r="A66" s="38">
        <v>62</v>
      </c>
      <c r="B66" s="39" t="s">
        <v>146</v>
      </c>
      <c r="C66" s="39" t="s">
        <v>185</v>
      </c>
      <c r="D66" s="40">
        <v>163654</v>
      </c>
      <c r="E66" s="41" t="s">
        <v>26</v>
      </c>
      <c r="F66" s="42">
        <v>0.1</v>
      </c>
      <c r="G66" s="43">
        <v>3</v>
      </c>
      <c r="H66" s="43" t="s">
        <v>130</v>
      </c>
    </row>
    <row r="67" spans="1:8" ht="15" customHeight="1" x14ac:dyDescent="0.2">
      <c r="A67" s="38">
        <v>63</v>
      </c>
      <c r="B67" s="39" t="s">
        <v>146</v>
      </c>
      <c r="C67" s="39" t="s">
        <v>186</v>
      </c>
      <c r="D67" s="40">
        <v>0</v>
      </c>
      <c r="E67" s="41" t="s">
        <v>26</v>
      </c>
      <c r="F67" s="42">
        <v>0.1</v>
      </c>
      <c r="G67" s="43">
        <v>3</v>
      </c>
      <c r="H67" s="43" t="s">
        <v>130</v>
      </c>
    </row>
    <row r="68" spans="1:8" ht="15" customHeight="1" x14ac:dyDescent="0.2">
      <c r="A68" s="38">
        <v>64</v>
      </c>
      <c r="B68" s="39" t="s">
        <v>146</v>
      </c>
      <c r="C68" s="39" t="s">
        <v>187</v>
      </c>
      <c r="D68" s="40">
        <v>0</v>
      </c>
      <c r="E68" s="41" t="s">
        <v>26</v>
      </c>
      <c r="F68" s="42">
        <v>0.1</v>
      </c>
      <c r="G68" s="43">
        <v>3</v>
      </c>
      <c r="H68" s="43" t="s">
        <v>130</v>
      </c>
    </row>
    <row r="69" spans="1:8" ht="15" customHeight="1" x14ac:dyDescent="0.2">
      <c r="A69" s="38">
        <v>65</v>
      </c>
      <c r="B69" s="39" t="s">
        <v>146</v>
      </c>
      <c r="C69" s="39" t="s">
        <v>188</v>
      </c>
      <c r="D69" s="40">
        <v>31715</v>
      </c>
      <c r="E69" s="41" t="s">
        <v>26</v>
      </c>
      <c r="F69" s="42">
        <v>0.1</v>
      </c>
      <c r="G69" s="43">
        <v>3</v>
      </c>
      <c r="H69" s="43" t="s">
        <v>130</v>
      </c>
    </row>
    <row r="70" spans="1:8" ht="15" customHeight="1" x14ac:dyDescent="0.2">
      <c r="A70" s="38">
        <v>66</v>
      </c>
      <c r="B70" s="39" t="s">
        <v>146</v>
      </c>
      <c r="C70" s="39" t="s">
        <v>189</v>
      </c>
      <c r="D70" s="40">
        <v>0</v>
      </c>
      <c r="E70" s="41" t="s">
        <v>26</v>
      </c>
      <c r="F70" s="42">
        <v>0.1</v>
      </c>
      <c r="G70" s="43">
        <v>3</v>
      </c>
      <c r="H70" s="43" t="s">
        <v>130</v>
      </c>
    </row>
    <row r="71" spans="1:8" ht="15" customHeight="1" x14ac:dyDescent="0.2">
      <c r="A71" s="38">
        <v>67</v>
      </c>
      <c r="B71" s="39" t="s">
        <v>146</v>
      </c>
      <c r="C71" s="39" t="s">
        <v>190</v>
      </c>
      <c r="D71" s="40">
        <v>79342</v>
      </c>
      <c r="E71" s="41" t="s">
        <v>26</v>
      </c>
      <c r="F71" s="42">
        <v>0.1</v>
      </c>
      <c r="G71" s="43">
        <v>3</v>
      </c>
      <c r="H71" s="43" t="s">
        <v>130</v>
      </c>
    </row>
    <row r="72" spans="1:8" ht="15" customHeight="1" x14ac:dyDescent="0.2">
      <c r="A72" s="38">
        <v>68</v>
      </c>
      <c r="B72" s="39" t="s">
        <v>146</v>
      </c>
      <c r="C72" s="39" t="s">
        <v>191</v>
      </c>
      <c r="D72" s="40">
        <v>0</v>
      </c>
      <c r="E72" s="41" t="s">
        <v>26</v>
      </c>
      <c r="F72" s="42">
        <v>0.1</v>
      </c>
      <c r="G72" s="43">
        <v>3</v>
      </c>
      <c r="H72" s="43" t="s">
        <v>130</v>
      </c>
    </row>
    <row r="73" spans="1:8" ht="15" customHeight="1" x14ac:dyDescent="0.2">
      <c r="A73" s="38">
        <v>69</v>
      </c>
      <c r="B73" s="39" t="s">
        <v>146</v>
      </c>
      <c r="C73" s="39" t="s">
        <v>192</v>
      </c>
      <c r="D73" s="40">
        <v>0</v>
      </c>
      <c r="E73" s="41" t="s">
        <v>26</v>
      </c>
      <c r="F73" s="42">
        <v>0.1</v>
      </c>
      <c r="G73" s="43">
        <v>3</v>
      </c>
      <c r="H73" s="43" t="s">
        <v>130</v>
      </c>
    </row>
    <row r="74" spans="1:8" ht="15" customHeight="1" x14ac:dyDescent="0.2">
      <c r="A74" s="38">
        <v>70</v>
      </c>
      <c r="B74" s="39" t="s">
        <v>146</v>
      </c>
      <c r="C74" s="39" t="s">
        <v>193</v>
      </c>
      <c r="D74" s="40">
        <v>0</v>
      </c>
      <c r="E74" s="41" t="s">
        <v>26</v>
      </c>
      <c r="F74" s="42">
        <v>0.1</v>
      </c>
      <c r="G74" s="43">
        <v>3</v>
      </c>
      <c r="H74" s="43" t="s">
        <v>130</v>
      </c>
    </row>
    <row r="75" spans="1:8" ht="15" customHeight="1" x14ac:dyDescent="0.2">
      <c r="A75" s="38">
        <v>71</v>
      </c>
      <c r="B75" s="39" t="s">
        <v>146</v>
      </c>
      <c r="C75" s="39" t="s">
        <v>194</v>
      </c>
      <c r="D75" s="40">
        <v>0</v>
      </c>
      <c r="E75" s="41" t="s">
        <v>26</v>
      </c>
      <c r="F75" s="42">
        <v>0.1</v>
      </c>
      <c r="G75" s="43">
        <v>3</v>
      </c>
      <c r="H75" s="43" t="s">
        <v>130</v>
      </c>
    </row>
    <row r="76" spans="1:8" ht="15" customHeight="1" x14ac:dyDescent="0.2">
      <c r="A76" s="38">
        <v>72</v>
      </c>
      <c r="B76" s="39" t="s">
        <v>146</v>
      </c>
      <c r="C76" s="39" t="s">
        <v>195</v>
      </c>
      <c r="D76" s="40">
        <v>0</v>
      </c>
      <c r="E76" s="41" t="s">
        <v>26</v>
      </c>
      <c r="F76" s="42">
        <v>0.1</v>
      </c>
      <c r="G76" s="43">
        <v>3</v>
      </c>
      <c r="H76" s="43" t="s">
        <v>130</v>
      </c>
    </row>
    <row r="77" spans="1:8" ht="15" customHeight="1" x14ac:dyDescent="0.2">
      <c r="A77" s="38">
        <v>73</v>
      </c>
      <c r="B77" s="39" t="s">
        <v>146</v>
      </c>
      <c r="C77" s="39" t="s">
        <v>196</v>
      </c>
      <c r="D77" s="40">
        <v>494189</v>
      </c>
      <c r="E77" s="41" t="s">
        <v>26</v>
      </c>
      <c r="F77" s="42">
        <v>0.1</v>
      </c>
      <c r="G77" s="43">
        <v>3</v>
      </c>
      <c r="H77" s="43" t="s">
        <v>130</v>
      </c>
    </row>
    <row r="78" spans="1:8" ht="15" customHeight="1" x14ac:dyDescent="0.2">
      <c r="A78" s="38">
        <v>74</v>
      </c>
      <c r="B78" s="39" t="s">
        <v>146</v>
      </c>
      <c r="C78" s="39" t="s">
        <v>197</v>
      </c>
      <c r="D78" s="40">
        <v>682129</v>
      </c>
      <c r="E78" s="41" t="s">
        <v>24</v>
      </c>
      <c r="F78" s="42">
        <v>0.1</v>
      </c>
      <c r="G78" s="43">
        <v>3</v>
      </c>
      <c r="H78" s="43" t="s">
        <v>130</v>
      </c>
    </row>
    <row r="79" spans="1:8" ht="15" customHeight="1" x14ac:dyDescent="0.2">
      <c r="A79" s="38">
        <v>75</v>
      </c>
      <c r="B79" s="39" t="s">
        <v>146</v>
      </c>
      <c r="C79" s="39" t="s">
        <v>198</v>
      </c>
      <c r="D79" s="40">
        <v>0</v>
      </c>
      <c r="E79" s="41" t="s">
        <v>24</v>
      </c>
      <c r="F79" s="42">
        <v>0.1</v>
      </c>
      <c r="G79" s="43">
        <v>3</v>
      </c>
      <c r="H79" s="43" t="s">
        <v>130</v>
      </c>
    </row>
    <row r="80" spans="1:8" ht="15" customHeight="1" x14ac:dyDescent="0.2">
      <c r="A80" s="38">
        <v>76</v>
      </c>
      <c r="B80" s="39" t="s">
        <v>146</v>
      </c>
      <c r="C80" s="39" t="s">
        <v>199</v>
      </c>
      <c r="D80" s="40">
        <v>116664</v>
      </c>
      <c r="E80" s="41" t="s">
        <v>24</v>
      </c>
      <c r="F80" s="42">
        <v>0.1</v>
      </c>
      <c r="G80" s="43">
        <v>3</v>
      </c>
      <c r="H80" s="43" t="s">
        <v>130</v>
      </c>
    </row>
    <row r="81" spans="1:8" ht="15" customHeight="1" x14ac:dyDescent="0.2">
      <c r="A81" s="38">
        <v>77</v>
      </c>
      <c r="B81" s="39" t="s">
        <v>146</v>
      </c>
      <c r="C81" s="39" t="s">
        <v>200</v>
      </c>
      <c r="D81" s="40">
        <v>754800</v>
      </c>
      <c r="E81" s="41" t="s">
        <v>24</v>
      </c>
      <c r="F81" s="42">
        <v>0.1</v>
      </c>
      <c r="G81" s="43">
        <v>3</v>
      </c>
      <c r="H81" s="43" t="s">
        <v>130</v>
      </c>
    </row>
    <row r="82" spans="1:8" ht="15" customHeight="1" x14ac:dyDescent="0.2">
      <c r="A82" s="38">
        <v>78</v>
      </c>
      <c r="B82" s="39" t="s">
        <v>146</v>
      </c>
      <c r="C82" s="39" t="s">
        <v>201</v>
      </c>
      <c r="D82" s="40">
        <v>550190</v>
      </c>
      <c r="E82" s="41" t="s">
        <v>26</v>
      </c>
      <c r="F82" s="42">
        <v>0.1</v>
      </c>
      <c r="G82" s="43">
        <v>3</v>
      </c>
      <c r="H82" s="43" t="s">
        <v>130</v>
      </c>
    </row>
    <row r="83" spans="1:8" ht="15" customHeight="1" x14ac:dyDescent="0.2">
      <c r="A83" s="38">
        <v>79</v>
      </c>
      <c r="B83" s="39" t="s">
        <v>146</v>
      </c>
      <c r="C83" s="39" t="s">
        <v>202</v>
      </c>
      <c r="D83" s="40">
        <v>252570</v>
      </c>
      <c r="E83" s="41" t="s">
        <v>24</v>
      </c>
      <c r="F83" s="42">
        <v>0.1</v>
      </c>
      <c r="G83" s="43">
        <v>3</v>
      </c>
      <c r="H83" s="43" t="s">
        <v>130</v>
      </c>
    </row>
    <row r="84" spans="1:8" ht="15" customHeight="1" x14ac:dyDescent="0.2">
      <c r="A84" s="38">
        <v>80</v>
      </c>
      <c r="B84" s="39" t="s">
        <v>146</v>
      </c>
      <c r="C84" s="39" t="s">
        <v>203</v>
      </c>
      <c r="D84" s="40">
        <v>0</v>
      </c>
      <c r="E84" s="41" t="s">
        <v>24</v>
      </c>
      <c r="F84" s="42">
        <v>0.1</v>
      </c>
      <c r="G84" s="43">
        <v>3</v>
      </c>
      <c r="H84" s="43" t="s">
        <v>130</v>
      </c>
    </row>
    <row r="85" spans="1:8" ht="15" customHeight="1" x14ac:dyDescent="0.2">
      <c r="A85" s="38">
        <v>81</v>
      </c>
      <c r="B85" s="39" t="s">
        <v>146</v>
      </c>
      <c r="C85" s="39" t="s">
        <v>204</v>
      </c>
      <c r="D85" s="40">
        <v>0</v>
      </c>
      <c r="E85" s="41" t="s">
        <v>28</v>
      </c>
      <c r="F85" s="42">
        <v>0.1</v>
      </c>
      <c r="G85" s="43">
        <v>3</v>
      </c>
      <c r="H85" s="43" t="s">
        <v>130</v>
      </c>
    </row>
    <row r="86" spans="1:8" ht="15" customHeight="1" x14ac:dyDescent="0.2">
      <c r="A86" s="38">
        <v>82</v>
      </c>
      <c r="B86" s="39" t="s">
        <v>146</v>
      </c>
      <c r="C86" s="39" t="s">
        <v>205</v>
      </c>
      <c r="D86" s="40">
        <v>498625</v>
      </c>
      <c r="E86" s="41" t="s">
        <v>24</v>
      </c>
      <c r="F86" s="42">
        <v>0.1</v>
      </c>
      <c r="G86" s="43">
        <v>3</v>
      </c>
      <c r="H86" s="43" t="s">
        <v>130</v>
      </c>
    </row>
    <row r="87" spans="1:8" ht="15" customHeight="1" x14ac:dyDescent="0.2">
      <c r="A87" s="38">
        <v>83</v>
      </c>
      <c r="B87" s="39" t="s">
        <v>146</v>
      </c>
      <c r="C87" s="39" t="s">
        <v>206</v>
      </c>
      <c r="D87" s="40">
        <v>0</v>
      </c>
      <c r="E87" s="41" t="s">
        <v>26</v>
      </c>
      <c r="F87" s="42">
        <v>0.1</v>
      </c>
      <c r="G87" s="43">
        <v>3</v>
      </c>
      <c r="H87" s="43" t="s">
        <v>130</v>
      </c>
    </row>
    <row r="88" spans="1:8" ht="15" customHeight="1" x14ac:dyDescent="0.2">
      <c r="A88" s="38">
        <v>84</v>
      </c>
      <c r="B88" s="39" t="s">
        <v>146</v>
      </c>
      <c r="C88" s="39" t="s">
        <v>207</v>
      </c>
      <c r="D88" s="40">
        <v>0</v>
      </c>
      <c r="E88" s="41" t="s">
        <v>24</v>
      </c>
      <c r="F88" s="42">
        <v>0.1</v>
      </c>
      <c r="G88" s="43">
        <v>3</v>
      </c>
      <c r="H88" s="43" t="s">
        <v>130</v>
      </c>
    </row>
    <row r="89" spans="1:8" ht="15" customHeight="1" x14ac:dyDescent="0.2">
      <c r="A89" s="38">
        <v>85</v>
      </c>
      <c r="B89" s="39" t="s">
        <v>146</v>
      </c>
      <c r="C89" s="39" t="s">
        <v>208</v>
      </c>
      <c r="D89" s="40">
        <v>114000</v>
      </c>
      <c r="E89" s="41" t="s">
        <v>24</v>
      </c>
      <c r="F89" s="42">
        <v>0.1</v>
      </c>
      <c r="G89" s="43">
        <v>3</v>
      </c>
      <c r="H89" s="43" t="s">
        <v>130</v>
      </c>
    </row>
    <row r="90" spans="1:8" ht="15" customHeight="1" x14ac:dyDescent="0.2">
      <c r="A90" s="38">
        <v>86</v>
      </c>
      <c r="B90" s="39" t="s">
        <v>146</v>
      </c>
      <c r="C90" s="39" t="s">
        <v>209</v>
      </c>
      <c r="D90" s="40">
        <v>176601</v>
      </c>
      <c r="E90" s="41" t="s">
        <v>28</v>
      </c>
      <c r="F90" s="42">
        <v>0.1</v>
      </c>
      <c r="G90" s="43">
        <v>3</v>
      </c>
      <c r="H90" s="43" t="s">
        <v>130</v>
      </c>
    </row>
    <row r="91" spans="1:8" ht="15" customHeight="1" x14ac:dyDescent="0.2">
      <c r="A91" s="38">
        <v>87</v>
      </c>
      <c r="B91" s="39" t="s">
        <v>146</v>
      </c>
      <c r="C91" s="39" t="s">
        <v>210</v>
      </c>
      <c r="D91" s="40">
        <v>844652</v>
      </c>
      <c r="E91" s="41" t="s">
        <v>31</v>
      </c>
      <c r="F91" s="42">
        <v>0.1</v>
      </c>
      <c r="G91" s="43">
        <v>3</v>
      </c>
      <c r="H91" s="43" t="s">
        <v>130</v>
      </c>
    </row>
    <row r="92" spans="1:8" ht="15" customHeight="1" x14ac:dyDescent="0.2">
      <c r="A92" s="38">
        <v>88</v>
      </c>
      <c r="B92" s="39" t="s">
        <v>146</v>
      </c>
      <c r="C92" s="39"/>
      <c r="D92" s="40">
        <v>0</v>
      </c>
      <c r="E92" s="41" t="s">
        <v>24</v>
      </c>
      <c r="F92" s="42">
        <v>0.1</v>
      </c>
      <c r="G92" s="43">
        <v>3</v>
      </c>
      <c r="H92" s="43" t="s">
        <v>130</v>
      </c>
    </row>
    <row r="93" spans="1:8" ht="15" customHeight="1" x14ac:dyDescent="0.2">
      <c r="A93" s="38">
        <v>89</v>
      </c>
      <c r="B93" s="39" t="s">
        <v>146</v>
      </c>
      <c r="C93" s="39" t="s">
        <v>211</v>
      </c>
      <c r="D93" s="40">
        <v>177900</v>
      </c>
      <c r="E93" s="41" t="s">
        <v>31</v>
      </c>
      <c r="F93" s="42">
        <v>0.1</v>
      </c>
      <c r="G93" s="43">
        <v>3</v>
      </c>
      <c r="H93" s="43" t="s">
        <v>130</v>
      </c>
    </row>
    <row r="94" spans="1:8" ht="15" customHeight="1" x14ac:dyDescent="0.2">
      <c r="A94" s="38">
        <v>90</v>
      </c>
      <c r="B94" s="39" t="s">
        <v>146</v>
      </c>
      <c r="C94" s="39" t="s">
        <v>212</v>
      </c>
      <c r="D94" s="40">
        <v>0</v>
      </c>
      <c r="E94" s="41" t="s">
        <v>31</v>
      </c>
      <c r="F94" s="42">
        <v>0.1</v>
      </c>
      <c r="G94" s="43">
        <v>3</v>
      </c>
      <c r="H94" s="43" t="s">
        <v>130</v>
      </c>
    </row>
    <row r="95" spans="1:8" ht="15" customHeight="1" x14ac:dyDescent="0.2">
      <c r="A95" s="38">
        <v>91</v>
      </c>
      <c r="B95" s="39" t="s">
        <v>146</v>
      </c>
      <c r="C95" s="39" t="s">
        <v>213</v>
      </c>
      <c r="D95" s="40">
        <v>35500</v>
      </c>
      <c r="E95" s="41" t="s">
        <v>28</v>
      </c>
      <c r="F95" s="42">
        <v>0.1</v>
      </c>
      <c r="G95" s="43">
        <v>3</v>
      </c>
      <c r="H95" s="43" t="s">
        <v>130</v>
      </c>
    </row>
    <row r="96" spans="1:8" ht="15" customHeight="1" x14ac:dyDescent="0.2">
      <c r="A96" s="38">
        <v>92</v>
      </c>
      <c r="B96" s="39" t="s">
        <v>146</v>
      </c>
      <c r="C96" s="39" t="s">
        <v>214</v>
      </c>
      <c r="D96" s="40">
        <v>1482450</v>
      </c>
      <c r="E96" s="41" t="s">
        <v>28</v>
      </c>
      <c r="F96" s="42">
        <v>0.1</v>
      </c>
      <c r="G96" s="43">
        <v>3</v>
      </c>
      <c r="H96" s="43" t="s">
        <v>130</v>
      </c>
    </row>
    <row r="97" spans="1:8" ht="15" customHeight="1" x14ac:dyDescent="0.2">
      <c r="A97" s="38">
        <v>93</v>
      </c>
      <c r="B97" s="39" t="s">
        <v>146</v>
      </c>
      <c r="C97" s="39" t="s">
        <v>215</v>
      </c>
      <c r="D97" s="40">
        <v>280000</v>
      </c>
      <c r="E97" s="41" t="s">
        <v>28</v>
      </c>
      <c r="F97" s="42">
        <v>0.1</v>
      </c>
      <c r="G97" s="43">
        <v>3</v>
      </c>
      <c r="H97" s="43" t="s">
        <v>130</v>
      </c>
    </row>
    <row r="98" spans="1:8" ht="15" customHeight="1" x14ac:dyDescent="0.2">
      <c r="A98" s="38">
        <v>94</v>
      </c>
      <c r="B98" s="39" t="s">
        <v>146</v>
      </c>
      <c r="C98" s="39" t="s">
        <v>216</v>
      </c>
      <c r="D98" s="40">
        <v>280825</v>
      </c>
      <c r="E98" s="41" t="s">
        <v>28</v>
      </c>
      <c r="F98" s="42">
        <v>0.1</v>
      </c>
      <c r="G98" s="43">
        <v>3</v>
      </c>
      <c r="H98" s="43" t="s">
        <v>130</v>
      </c>
    </row>
    <row r="99" spans="1:8" ht="15" customHeight="1" x14ac:dyDescent="0.2">
      <c r="A99" s="38">
        <v>95</v>
      </c>
      <c r="B99" s="39" t="s">
        <v>146</v>
      </c>
      <c r="C99" s="39" t="s">
        <v>217</v>
      </c>
      <c r="D99" s="40">
        <v>0</v>
      </c>
      <c r="E99" s="41" t="s">
        <v>28</v>
      </c>
      <c r="F99" s="42">
        <v>0.1</v>
      </c>
      <c r="G99" s="43">
        <v>3</v>
      </c>
      <c r="H99" s="43" t="s">
        <v>130</v>
      </c>
    </row>
    <row r="100" spans="1:8" ht="15" customHeight="1" x14ac:dyDescent="0.2">
      <c r="A100" s="38">
        <v>96</v>
      </c>
      <c r="B100" s="39" t="s">
        <v>146</v>
      </c>
      <c r="C100" s="39" t="s">
        <v>218</v>
      </c>
      <c r="D100" s="40">
        <v>36000</v>
      </c>
      <c r="E100" s="41" t="s">
        <v>28</v>
      </c>
      <c r="F100" s="42">
        <v>0.1</v>
      </c>
      <c r="G100" s="43">
        <v>3</v>
      </c>
      <c r="H100" s="43" t="s">
        <v>130</v>
      </c>
    </row>
    <row r="101" spans="1:8" ht="15" customHeight="1" x14ac:dyDescent="0.2">
      <c r="A101" s="38">
        <v>97</v>
      </c>
      <c r="B101" s="39" t="s">
        <v>146</v>
      </c>
      <c r="C101" s="39" t="s">
        <v>219</v>
      </c>
      <c r="D101" s="40">
        <v>91200</v>
      </c>
      <c r="E101" s="41" t="s">
        <v>28</v>
      </c>
      <c r="F101" s="42">
        <v>0.1</v>
      </c>
      <c r="G101" s="43">
        <v>3</v>
      </c>
      <c r="H101" s="43" t="s">
        <v>130</v>
      </c>
    </row>
    <row r="102" spans="1:8" ht="15" customHeight="1" x14ac:dyDescent="0.2">
      <c r="A102" s="38">
        <v>98</v>
      </c>
      <c r="B102" s="39" t="s">
        <v>146</v>
      </c>
      <c r="C102" s="39" t="s">
        <v>220</v>
      </c>
      <c r="D102" s="40">
        <v>449827</v>
      </c>
      <c r="E102" s="41" t="s">
        <v>24</v>
      </c>
      <c r="F102" s="42">
        <v>0.1</v>
      </c>
      <c r="G102" s="43">
        <v>3</v>
      </c>
      <c r="H102" s="43" t="s">
        <v>130</v>
      </c>
    </row>
    <row r="103" spans="1:8" ht="15" customHeight="1" x14ac:dyDescent="0.2">
      <c r="A103" s="38">
        <v>99</v>
      </c>
      <c r="B103" s="39" t="s">
        <v>146</v>
      </c>
      <c r="C103" s="39"/>
      <c r="D103" s="40">
        <v>49800</v>
      </c>
      <c r="E103" s="41" t="s">
        <v>24</v>
      </c>
      <c r="F103" s="42">
        <v>0.1</v>
      </c>
      <c r="G103" s="43">
        <v>3</v>
      </c>
      <c r="H103" s="43" t="s">
        <v>130</v>
      </c>
    </row>
    <row r="104" spans="1:8" ht="15" customHeight="1" x14ac:dyDescent="0.2">
      <c r="A104" s="38">
        <v>100</v>
      </c>
      <c r="B104" s="39" t="s">
        <v>146</v>
      </c>
      <c r="C104" s="39"/>
      <c r="D104" s="40">
        <v>157600</v>
      </c>
      <c r="E104" s="41" t="s">
        <v>24</v>
      </c>
      <c r="F104" s="42">
        <v>0.1</v>
      </c>
      <c r="G104" s="43">
        <v>3</v>
      </c>
      <c r="H104" s="43" t="s">
        <v>130</v>
      </c>
    </row>
    <row r="105" spans="1:8" ht="15" customHeight="1" x14ac:dyDescent="0.2">
      <c r="A105" s="38">
        <v>101</v>
      </c>
      <c r="B105" s="39" t="s">
        <v>146</v>
      </c>
      <c r="C105" s="39" t="s">
        <v>221</v>
      </c>
      <c r="D105" s="40">
        <v>248100</v>
      </c>
      <c r="E105" s="41" t="s">
        <v>24</v>
      </c>
      <c r="F105" s="42">
        <v>0.1</v>
      </c>
      <c r="G105" s="43">
        <v>3</v>
      </c>
      <c r="H105" s="43" t="s">
        <v>130</v>
      </c>
    </row>
    <row r="106" spans="1:8" ht="15" customHeight="1" x14ac:dyDescent="0.2">
      <c r="A106" s="38">
        <v>102</v>
      </c>
      <c r="B106" s="39" t="s">
        <v>146</v>
      </c>
      <c r="C106" s="39" t="s">
        <v>222</v>
      </c>
      <c r="D106" s="40">
        <v>108850</v>
      </c>
      <c r="E106" s="41" t="s">
        <v>24</v>
      </c>
      <c r="F106" s="42">
        <v>0.1</v>
      </c>
      <c r="G106" s="43">
        <v>3</v>
      </c>
      <c r="H106" s="43" t="s">
        <v>130</v>
      </c>
    </row>
    <row r="107" spans="1:8" ht="15" customHeight="1" x14ac:dyDescent="0.2">
      <c r="A107" s="38">
        <v>103</v>
      </c>
      <c r="B107" s="39" t="s">
        <v>146</v>
      </c>
      <c r="C107" s="39" t="s">
        <v>223</v>
      </c>
      <c r="D107" s="40">
        <v>0</v>
      </c>
      <c r="E107" s="41" t="s">
        <v>24</v>
      </c>
      <c r="F107" s="42">
        <v>0.1</v>
      </c>
      <c r="G107" s="43">
        <v>3</v>
      </c>
      <c r="H107" s="43" t="s">
        <v>130</v>
      </c>
    </row>
    <row r="108" spans="1:8" ht="15" customHeight="1" x14ac:dyDescent="0.2">
      <c r="A108" s="38">
        <v>104</v>
      </c>
      <c r="B108" s="39" t="s">
        <v>146</v>
      </c>
      <c r="C108" s="39" t="s">
        <v>224</v>
      </c>
      <c r="D108" s="40">
        <v>851388</v>
      </c>
      <c r="E108" s="41" t="s">
        <v>28</v>
      </c>
      <c r="F108" s="42">
        <v>0.1</v>
      </c>
      <c r="G108" s="43">
        <v>3</v>
      </c>
      <c r="H108" s="43" t="s">
        <v>130</v>
      </c>
    </row>
    <row r="109" spans="1:8" ht="15" customHeight="1" x14ac:dyDescent="0.2">
      <c r="A109" s="38">
        <v>105</v>
      </c>
      <c r="B109" s="39" t="s">
        <v>146</v>
      </c>
      <c r="C109" s="39" t="s">
        <v>225</v>
      </c>
      <c r="D109" s="40">
        <v>0</v>
      </c>
      <c r="E109" s="41" t="s">
        <v>28</v>
      </c>
      <c r="F109" s="42">
        <v>0.1</v>
      </c>
      <c r="G109" s="43">
        <v>3</v>
      </c>
      <c r="H109" s="43" t="s">
        <v>130</v>
      </c>
    </row>
    <row r="110" spans="1:8" ht="15" customHeight="1" x14ac:dyDescent="0.2">
      <c r="A110" s="38">
        <v>106</v>
      </c>
      <c r="B110" s="39" t="s">
        <v>146</v>
      </c>
      <c r="C110" s="39" t="s">
        <v>226</v>
      </c>
      <c r="D110" s="40">
        <v>2345879</v>
      </c>
      <c r="E110" s="41" t="s">
        <v>31</v>
      </c>
      <c r="F110" s="42">
        <v>0.1</v>
      </c>
      <c r="G110" s="43">
        <v>3</v>
      </c>
      <c r="H110" s="43" t="s">
        <v>130</v>
      </c>
    </row>
    <row r="111" spans="1:8" ht="15" customHeight="1" x14ac:dyDescent="0.2">
      <c r="A111" s="38">
        <v>107</v>
      </c>
      <c r="B111" s="39" t="s">
        <v>146</v>
      </c>
      <c r="C111" s="39" t="s">
        <v>227</v>
      </c>
      <c r="D111" s="40">
        <v>179184</v>
      </c>
      <c r="E111" s="41" t="s">
        <v>31</v>
      </c>
      <c r="F111" s="42">
        <v>0.1</v>
      </c>
      <c r="G111" s="43">
        <v>3</v>
      </c>
      <c r="H111" s="43" t="s">
        <v>130</v>
      </c>
    </row>
    <row r="112" spans="1:8" ht="15" customHeight="1" x14ac:dyDescent="0.2">
      <c r="A112" s="38">
        <v>108</v>
      </c>
      <c r="B112" s="39" t="s">
        <v>146</v>
      </c>
      <c r="C112" s="39" t="s">
        <v>228</v>
      </c>
      <c r="D112" s="40">
        <v>0</v>
      </c>
      <c r="E112" s="41" t="s">
        <v>31</v>
      </c>
      <c r="F112" s="42">
        <v>0.1</v>
      </c>
      <c r="G112" s="43">
        <v>3</v>
      </c>
      <c r="H112" s="43" t="s">
        <v>130</v>
      </c>
    </row>
    <row r="113" spans="1:8" ht="15" customHeight="1" x14ac:dyDescent="0.2">
      <c r="A113" s="38">
        <v>109</v>
      </c>
      <c r="B113" s="39" t="s">
        <v>146</v>
      </c>
      <c r="C113" s="39" t="s">
        <v>229</v>
      </c>
      <c r="D113" s="40">
        <v>208859</v>
      </c>
      <c r="E113" s="41" t="s">
        <v>31</v>
      </c>
      <c r="F113" s="42">
        <v>0.1</v>
      </c>
      <c r="G113" s="43">
        <v>3</v>
      </c>
      <c r="H113" s="43" t="s">
        <v>130</v>
      </c>
    </row>
    <row r="114" spans="1:8" ht="15" customHeight="1" x14ac:dyDescent="0.2">
      <c r="A114" s="38">
        <v>110</v>
      </c>
      <c r="B114" s="39" t="s">
        <v>146</v>
      </c>
      <c r="C114" s="39" t="s">
        <v>230</v>
      </c>
      <c r="D114" s="40">
        <v>343300</v>
      </c>
      <c r="E114" s="41" t="s">
        <v>31</v>
      </c>
      <c r="F114" s="42">
        <v>0.1</v>
      </c>
      <c r="G114" s="43">
        <v>3</v>
      </c>
      <c r="H114" s="43" t="s">
        <v>130</v>
      </c>
    </row>
    <row r="115" spans="1:8" ht="15" customHeight="1" x14ac:dyDescent="0.2">
      <c r="A115" s="38">
        <v>111</v>
      </c>
      <c r="B115" s="39" t="s">
        <v>146</v>
      </c>
      <c r="C115" s="39"/>
      <c r="D115" s="40">
        <v>0</v>
      </c>
      <c r="E115" s="41" t="s">
        <v>24</v>
      </c>
      <c r="F115" s="42">
        <v>0.1</v>
      </c>
      <c r="G115" s="43">
        <v>3</v>
      </c>
      <c r="H115" s="43" t="s">
        <v>130</v>
      </c>
    </row>
    <row r="116" spans="1:8" ht="15" customHeight="1" x14ac:dyDescent="0.2">
      <c r="A116" s="38">
        <v>112</v>
      </c>
      <c r="B116" s="39" t="s">
        <v>146</v>
      </c>
      <c r="C116" s="39" t="s">
        <v>231</v>
      </c>
      <c r="D116" s="40">
        <v>366000</v>
      </c>
      <c r="E116" s="41" t="s">
        <v>31</v>
      </c>
      <c r="F116" s="42">
        <v>0.1</v>
      </c>
      <c r="G116" s="43">
        <v>3</v>
      </c>
      <c r="H116" s="43" t="s">
        <v>130</v>
      </c>
    </row>
    <row r="117" spans="1:8" ht="15" customHeight="1" x14ac:dyDescent="0.2">
      <c r="A117" s="38">
        <v>113</v>
      </c>
      <c r="B117" s="39" t="s">
        <v>146</v>
      </c>
      <c r="C117" s="39"/>
      <c r="D117" s="40">
        <v>102000</v>
      </c>
      <c r="E117" s="41" t="s">
        <v>24</v>
      </c>
      <c r="F117" s="42">
        <v>0.1</v>
      </c>
      <c r="G117" s="43">
        <v>3</v>
      </c>
      <c r="H117" s="43" t="s">
        <v>130</v>
      </c>
    </row>
    <row r="118" spans="1:8" ht="15" customHeight="1" x14ac:dyDescent="0.2">
      <c r="A118" s="38">
        <v>114</v>
      </c>
      <c r="B118" s="39" t="s">
        <v>146</v>
      </c>
      <c r="C118" s="39"/>
      <c r="D118" s="40">
        <v>0</v>
      </c>
      <c r="E118" s="41" t="s">
        <v>24</v>
      </c>
      <c r="F118" s="42">
        <v>0.1</v>
      </c>
      <c r="G118" s="43">
        <v>3</v>
      </c>
      <c r="H118" s="43" t="s">
        <v>130</v>
      </c>
    </row>
    <row r="119" spans="1:8" ht="15" customHeight="1" x14ac:dyDescent="0.2">
      <c r="A119" s="38">
        <v>115</v>
      </c>
      <c r="B119" s="39" t="s">
        <v>146</v>
      </c>
      <c r="C119" s="39" t="s">
        <v>232</v>
      </c>
      <c r="D119" s="40">
        <v>0</v>
      </c>
      <c r="E119" s="41" t="s">
        <v>24</v>
      </c>
      <c r="F119" s="42">
        <v>0.1</v>
      </c>
      <c r="G119" s="43">
        <v>3</v>
      </c>
      <c r="H119" s="43" t="s">
        <v>130</v>
      </c>
    </row>
    <row r="120" spans="1:8" ht="15" customHeight="1" x14ac:dyDescent="0.2">
      <c r="A120" s="38">
        <v>116</v>
      </c>
      <c r="B120" s="39" t="s">
        <v>146</v>
      </c>
      <c r="C120" s="39" t="s">
        <v>233</v>
      </c>
      <c r="D120" s="40">
        <v>15300</v>
      </c>
      <c r="E120" s="41" t="s">
        <v>31</v>
      </c>
      <c r="F120" s="42">
        <v>0.1</v>
      </c>
      <c r="G120" s="43">
        <v>3</v>
      </c>
      <c r="H120" s="43" t="s">
        <v>130</v>
      </c>
    </row>
    <row r="121" spans="1:8" ht="15" customHeight="1" x14ac:dyDescent="0.2">
      <c r="A121" s="38">
        <v>117</v>
      </c>
      <c r="B121" s="39" t="s">
        <v>146</v>
      </c>
      <c r="C121" s="39" t="s">
        <v>234</v>
      </c>
      <c r="D121" s="40">
        <v>25750</v>
      </c>
      <c r="E121" s="41" t="s">
        <v>24</v>
      </c>
      <c r="F121" s="42">
        <v>0.1</v>
      </c>
      <c r="G121" s="43">
        <v>3</v>
      </c>
      <c r="H121" s="43" t="s">
        <v>130</v>
      </c>
    </row>
    <row r="122" spans="1:8" ht="15" customHeight="1" x14ac:dyDescent="0.2">
      <c r="A122" s="38">
        <v>118</v>
      </c>
      <c r="B122" s="39" t="s">
        <v>146</v>
      </c>
      <c r="C122" s="39" t="s">
        <v>235</v>
      </c>
      <c r="D122" s="40">
        <v>1643900</v>
      </c>
      <c r="E122" s="41" t="s">
        <v>28</v>
      </c>
      <c r="F122" s="42">
        <v>0.1</v>
      </c>
      <c r="G122" s="43">
        <v>3</v>
      </c>
      <c r="H122" s="43" t="s">
        <v>130</v>
      </c>
    </row>
    <row r="123" spans="1:8" ht="15" customHeight="1" x14ac:dyDescent="0.2">
      <c r="A123" s="38">
        <v>119</v>
      </c>
      <c r="B123" s="39" t="s">
        <v>146</v>
      </c>
      <c r="C123" s="39" t="s">
        <v>236</v>
      </c>
      <c r="D123" s="40">
        <v>377966</v>
      </c>
      <c r="E123" s="41" t="s">
        <v>28</v>
      </c>
      <c r="F123" s="42">
        <v>0.1</v>
      </c>
      <c r="G123" s="43">
        <v>3</v>
      </c>
      <c r="H123" s="43" t="s">
        <v>130</v>
      </c>
    </row>
    <row r="124" spans="1:8" ht="15" customHeight="1" x14ac:dyDescent="0.2">
      <c r="A124" s="38">
        <v>120</v>
      </c>
      <c r="B124" s="39" t="s">
        <v>146</v>
      </c>
      <c r="C124" s="39" t="s">
        <v>237</v>
      </c>
      <c r="D124" s="40">
        <v>25500</v>
      </c>
      <c r="E124" s="41" t="s">
        <v>24</v>
      </c>
      <c r="F124" s="42">
        <v>0.1</v>
      </c>
      <c r="G124" s="43">
        <v>3</v>
      </c>
      <c r="H124" s="43" t="s">
        <v>130</v>
      </c>
    </row>
    <row r="125" spans="1:8" ht="15" customHeight="1" x14ac:dyDescent="0.2">
      <c r="A125" s="38">
        <v>121</v>
      </c>
      <c r="B125" s="39" t="s">
        <v>146</v>
      </c>
      <c r="C125" s="39" t="s">
        <v>238</v>
      </c>
      <c r="D125" s="40">
        <v>790030</v>
      </c>
      <c r="E125" s="41" t="s">
        <v>28</v>
      </c>
      <c r="F125" s="42">
        <v>0.1</v>
      </c>
      <c r="G125" s="43">
        <v>3</v>
      </c>
      <c r="H125" s="43" t="s">
        <v>130</v>
      </c>
    </row>
    <row r="126" spans="1:8" ht="15" customHeight="1" x14ac:dyDescent="0.2">
      <c r="A126" s="38">
        <v>122</v>
      </c>
      <c r="B126" s="39" t="s">
        <v>146</v>
      </c>
      <c r="C126" s="39" t="s">
        <v>239</v>
      </c>
      <c r="D126" s="40">
        <v>1866337</v>
      </c>
      <c r="E126" s="41" t="s">
        <v>28</v>
      </c>
      <c r="F126" s="42">
        <v>0.1</v>
      </c>
      <c r="G126" s="43">
        <v>3</v>
      </c>
      <c r="H126" s="43" t="s">
        <v>130</v>
      </c>
    </row>
    <row r="127" spans="1:8" ht="15" customHeight="1" x14ac:dyDescent="0.2">
      <c r="A127" s="38">
        <v>123</v>
      </c>
      <c r="B127" s="39" t="s">
        <v>146</v>
      </c>
      <c r="C127" s="39" t="s">
        <v>240</v>
      </c>
      <c r="D127" s="40">
        <v>53300</v>
      </c>
      <c r="E127" s="41" t="s">
        <v>28</v>
      </c>
      <c r="F127" s="42">
        <v>0.1</v>
      </c>
      <c r="G127" s="43">
        <v>3</v>
      </c>
      <c r="H127" s="43" t="s">
        <v>130</v>
      </c>
    </row>
    <row r="128" spans="1:8" ht="15" customHeight="1" x14ac:dyDescent="0.2">
      <c r="A128" s="38">
        <v>124</v>
      </c>
      <c r="B128" s="39" t="s">
        <v>146</v>
      </c>
      <c r="C128" s="39" t="s">
        <v>241</v>
      </c>
      <c r="D128" s="40">
        <v>0</v>
      </c>
      <c r="E128" s="41" t="s">
        <v>28</v>
      </c>
      <c r="F128" s="42">
        <v>0.1</v>
      </c>
      <c r="G128" s="43">
        <v>3</v>
      </c>
      <c r="H128" s="43" t="s">
        <v>130</v>
      </c>
    </row>
    <row r="129" spans="1:8" ht="15" customHeight="1" x14ac:dyDescent="0.2">
      <c r="A129" s="38">
        <v>125</v>
      </c>
      <c r="B129" s="39" t="s">
        <v>146</v>
      </c>
      <c r="C129" s="39" t="s">
        <v>242</v>
      </c>
      <c r="D129" s="40">
        <v>0</v>
      </c>
      <c r="E129" s="41" t="s">
        <v>28</v>
      </c>
      <c r="F129" s="42">
        <v>0.1</v>
      </c>
      <c r="G129" s="43">
        <v>3</v>
      </c>
      <c r="H129" s="43" t="s">
        <v>130</v>
      </c>
    </row>
    <row r="130" spans="1:8" ht="15" customHeight="1" x14ac:dyDescent="0.2">
      <c r="A130" s="38">
        <v>126</v>
      </c>
      <c r="B130" s="39" t="s">
        <v>243</v>
      </c>
      <c r="C130" s="39" t="s">
        <v>244</v>
      </c>
      <c r="D130" s="40">
        <v>403998</v>
      </c>
      <c r="E130" s="41" t="s">
        <v>31</v>
      </c>
      <c r="F130" s="42">
        <v>0.05</v>
      </c>
      <c r="G130" s="43">
        <v>3</v>
      </c>
      <c r="H130" s="43" t="s">
        <v>130</v>
      </c>
    </row>
    <row r="131" spans="1:8" ht="15" customHeight="1" x14ac:dyDescent="0.2">
      <c r="A131" s="38">
        <v>127</v>
      </c>
      <c r="B131" s="39" t="s">
        <v>243</v>
      </c>
      <c r="C131" s="39" t="s">
        <v>245</v>
      </c>
      <c r="D131" s="40">
        <v>963770</v>
      </c>
      <c r="E131" s="41" t="s">
        <v>31</v>
      </c>
      <c r="F131" s="42">
        <v>0.05</v>
      </c>
      <c r="G131" s="43">
        <v>3</v>
      </c>
      <c r="H131" s="43" t="s">
        <v>130</v>
      </c>
    </row>
    <row r="132" spans="1:8" ht="15" customHeight="1" x14ac:dyDescent="0.2">
      <c r="A132" s="38">
        <v>128</v>
      </c>
      <c r="B132" s="39" t="s">
        <v>243</v>
      </c>
      <c r="C132" s="39" t="s">
        <v>246</v>
      </c>
      <c r="D132" s="40">
        <v>250000</v>
      </c>
      <c r="E132" s="41" t="s">
        <v>31</v>
      </c>
      <c r="F132" s="42">
        <v>0.05</v>
      </c>
      <c r="G132" s="43">
        <v>3</v>
      </c>
      <c r="H132" s="43" t="s">
        <v>130</v>
      </c>
    </row>
    <row r="133" spans="1:8" ht="15" customHeight="1" x14ac:dyDescent="0.2">
      <c r="A133" s="38">
        <v>129</v>
      </c>
      <c r="B133" s="39" t="s">
        <v>243</v>
      </c>
      <c r="C133" s="39" t="s">
        <v>247</v>
      </c>
      <c r="D133" s="40">
        <v>175000</v>
      </c>
      <c r="E133" s="41" t="s">
        <v>31</v>
      </c>
      <c r="F133" s="42">
        <v>0.05</v>
      </c>
      <c r="G133" s="43">
        <v>3</v>
      </c>
      <c r="H133" s="43" t="s">
        <v>130</v>
      </c>
    </row>
    <row r="134" spans="1:8" ht="15" customHeight="1" x14ac:dyDescent="0.2">
      <c r="A134" s="38">
        <v>130</v>
      </c>
      <c r="B134" s="39" t="s">
        <v>248</v>
      </c>
      <c r="C134" s="39" t="s">
        <v>249</v>
      </c>
      <c r="D134" s="40">
        <v>49979</v>
      </c>
      <c r="E134" s="41" t="s">
        <v>26</v>
      </c>
      <c r="F134" s="42">
        <v>0.1</v>
      </c>
      <c r="G134" s="43">
        <v>3</v>
      </c>
      <c r="H134" s="43" t="s">
        <v>130</v>
      </c>
    </row>
    <row r="135" spans="1:8" ht="15" customHeight="1" x14ac:dyDescent="0.2">
      <c r="A135" s="38">
        <v>131</v>
      </c>
      <c r="B135" s="39" t="s">
        <v>248</v>
      </c>
      <c r="C135" s="39" t="s">
        <v>250</v>
      </c>
      <c r="D135" s="40">
        <v>6740</v>
      </c>
      <c r="E135" s="41" t="s">
        <v>26</v>
      </c>
      <c r="F135" s="42">
        <v>0.1</v>
      </c>
      <c r="G135" s="43">
        <v>3</v>
      </c>
      <c r="H135" s="43" t="s">
        <v>130</v>
      </c>
    </row>
    <row r="136" spans="1:8" ht="15" customHeight="1" x14ac:dyDescent="0.2">
      <c r="A136" s="38">
        <v>132</v>
      </c>
      <c r="B136" s="39" t="s">
        <v>248</v>
      </c>
      <c r="C136" s="39" t="s">
        <v>251</v>
      </c>
      <c r="D136" s="40">
        <v>67509</v>
      </c>
      <c r="E136" s="41" t="s">
        <v>26</v>
      </c>
      <c r="F136" s="42">
        <v>0.1</v>
      </c>
      <c r="G136" s="43">
        <v>3</v>
      </c>
      <c r="H136" s="43" t="s">
        <v>130</v>
      </c>
    </row>
    <row r="137" spans="1:8" ht="15" customHeight="1" x14ac:dyDescent="0.2">
      <c r="A137" s="38">
        <v>133</v>
      </c>
      <c r="B137" s="39" t="s">
        <v>248</v>
      </c>
      <c r="C137" s="39" t="s">
        <v>252</v>
      </c>
      <c r="D137" s="40">
        <v>31063</v>
      </c>
      <c r="E137" s="41" t="s">
        <v>26</v>
      </c>
      <c r="F137" s="42">
        <v>0.1</v>
      </c>
      <c r="G137" s="43">
        <v>3</v>
      </c>
      <c r="H137" s="43" t="s">
        <v>130</v>
      </c>
    </row>
    <row r="138" spans="1:8" ht="15" customHeight="1" x14ac:dyDescent="0.2">
      <c r="A138" s="38">
        <v>134</v>
      </c>
      <c r="B138" s="39" t="s">
        <v>248</v>
      </c>
      <c r="C138" s="39" t="s">
        <v>253</v>
      </c>
      <c r="D138" s="40">
        <v>594877</v>
      </c>
      <c r="E138" s="41" t="s">
        <v>26</v>
      </c>
      <c r="F138" s="42">
        <v>0.1</v>
      </c>
      <c r="G138" s="43">
        <v>3</v>
      </c>
      <c r="H138" s="43" t="s">
        <v>130</v>
      </c>
    </row>
    <row r="139" spans="1:8" ht="15" customHeight="1" x14ac:dyDescent="0.2">
      <c r="A139" s="38">
        <v>135</v>
      </c>
      <c r="B139" s="39" t="s">
        <v>248</v>
      </c>
      <c r="C139" s="39" t="s">
        <v>254</v>
      </c>
      <c r="D139" s="40">
        <v>1325000</v>
      </c>
      <c r="E139" s="41" t="s">
        <v>26</v>
      </c>
      <c r="F139" s="42">
        <v>0.1</v>
      </c>
      <c r="G139" s="43">
        <v>3</v>
      </c>
      <c r="H139" s="43" t="s">
        <v>130</v>
      </c>
    </row>
    <row r="140" spans="1:8" ht="15" customHeight="1" x14ac:dyDescent="0.2">
      <c r="A140" s="38">
        <v>136</v>
      </c>
      <c r="B140" s="39" t="s">
        <v>248</v>
      </c>
      <c r="C140" s="39" t="s">
        <v>255</v>
      </c>
      <c r="D140" s="40">
        <v>227656</v>
      </c>
      <c r="E140" s="41" t="s">
        <v>26</v>
      </c>
      <c r="F140" s="42">
        <v>0.1</v>
      </c>
      <c r="G140" s="43">
        <v>3</v>
      </c>
      <c r="H140" s="43" t="s">
        <v>130</v>
      </c>
    </row>
    <row r="141" spans="1:8" ht="15" customHeight="1" x14ac:dyDescent="0.2">
      <c r="A141" s="38">
        <v>137</v>
      </c>
      <c r="B141" s="39" t="s">
        <v>248</v>
      </c>
      <c r="C141" s="39" t="s">
        <v>256</v>
      </c>
      <c r="D141" s="40">
        <v>0</v>
      </c>
      <c r="E141" s="41" t="s">
        <v>26</v>
      </c>
      <c r="F141" s="42">
        <v>0.1</v>
      </c>
      <c r="G141" s="43">
        <v>3</v>
      </c>
      <c r="H141" s="43" t="s">
        <v>130</v>
      </c>
    </row>
    <row r="142" spans="1:8" ht="15" customHeight="1" x14ac:dyDescent="0.2">
      <c r="A142" s="38">
        <v>138</v>
      </c>
      <c r="B142" s="39" t="s">
        <v>248</v>
      </c>
      <c r="C142" s="39" t="s">
        <v>257</v>
      </c>
      <c r="D142" s="40">
        <v>0</v>
      </c>
      <c r="E142" s="41" t="s">
        <v>26</v>
      </c>
      <c r="F142" s="42">
        <v>0.1</v>
      </c>
      <c r="G142" s="43">
        <v>3</v>
      </c>
      <c r="H142" s="43" t="s">
        <v>130</v>
      </c>
    </row>
    <row r="143" spans="1:8" ht="15" customHeight="1" x14ac:dyDescent="0.2">
      <c r="A143" s="38">
        <v>139</v>
      </c>
      <c r="B143" s="39" t="s">
        <v>248</v>
      </c>
      <c r="C143" s="39" t="s">
        <v>258</v>
      </c>
      <c r="D143" s="40">
        <v>89984</v>
      </c>
      <c r="E143" s="41" t="s">
        <v>26</v>
      </c>
      <c r="F143" s="42">
        <v>0.1</v>
      </c>
      <c r="G143" s="43">
        <v>3</v>
      </c>
      <c r="H143" s="43" t="s">
        <v>130</v>
      </c>
    </row>
    <row r="144" spans="1:8" ht="15" customHeight="1" x14ac:dyDescent="0.2">
      <c r="A144" s="38">
        <v>140</v>
      </c>
      <c r="B144" s="39" t="s">
        <v>248</v>
      </c>
      <c r="C144" s="39" t="s">
        <v>259</v>
      </c>
      <c r="D144" s="40">
        <v>158013</v>
      </c>
      <c r="E144" s="41" t="s">
        <v>26</v>
      </c>
      <c r="F144" s="42">
        <v>0.1</v>
      </c>
      <c r="G144" s="43">
        <v>3</v>
      </c>
      <c r="H144" s="43" t="s">
        <v>130</v>
      </c>
    </row>
    <row r="145" spans="1:8" ht="15" customHeight="1" x14ac:dyDescent="0.2">
      <c r="A145" s="38">
        <v>141</v>
      </c>
      <c r="B145" s="39" t="s">
        <v>248</v>
      </c>
      <c r="C145" s="39" t="s">
        <v>260</v>
      </c>
      <c r="D145" s="40">
        <v>17708</v>
      </c>
      <c r="E145" s="41" t="s">
        <v>26</v>
      </c>
      <c r="F145" s="42">
        <v>0.1</v>
      </c>
      <c r="G145" s="43">
        <v>3</v>
      </c>
      <c r="H145" s="43" t="s">
        <v>130</v>
      </c>
    </row>
    <row r="146" spans="1:8" ht="15" customHeight="1" x14ac:dyDescent="0.2">
      <c r="A146" s="38">
        <v>142</v>
      </c>
      <c r="B146" s="39" t="s">
        <v>248</v>
      </c>
      <c r="C146" s="39" t="s">
        <v>261</v>
      </c>
      <c r="D146" s="40">
        <v>5000</v>
      </c>
      <c r="E146" s="41" t="s">
        <v>26</v>
      </c>
      <c r="F146" s="42">
        <v>0.1</v>
      </c>
      <c r="G146" s="43">
        <v>3</v>
      </c>
      <c r="H146" s="43" t="s">
        <v>130</v>
      </c>
    </row>
    <row r="147" spans="1:8" ht="15" customHeight="1" x14ac:dyDescent="0.2">
      <c r="A147" s="38">
        <v>143</v>
      </c>
      <c r="B147" s="39" t="s">
        <v>248</v>
      </c>
      <c r="C147" s="39" t="s">
        <v>262</v>
      </c>
      <c r="D147" s="40">
        <v>81864</v>
      </c>
      <c r="E147" s="41" t="s">
        <v>26</v>
      </c>
      <c r="F147" s="42">
        <v>0.1</v>
      </c>
      <c r="G147" s="43">
        <v>3</v>
      </c>
      <c r="H147" s="43" t="s">
        <v>130</v>
      </c>
    </row>
    <row r="148" spans="1:8" ht="15" customHeight="1" x14ac:dyDescent="0.2">
      <c r="A148" s="38">
        <v>144</v>
      </c>
      <c r="B148" s="39" t="s">
        <v>248</v>
      </c>
      <c r="C148" s="39" t="s">
        <v>263</v>
      </c>
      <c r="D148" s="40">
        <v>64523</v>
      </c>
      <c r="E148" s="41" t="s">
        <v>26</v>
      </c>
      <c r="F148" s="42">
        <v>0.1</v>
      </c>
      <c r="G148" s="43">
        <v>3</v>
      </c>
      <c r="H148" s="43" t="s">
        <v>130</v>
      </c>
    </row>
    <row r="149" spans="1:8" ht="15" customHeight="1" x14ac:dyDescent="0.2">
      <c r="A149" s="38">
        <v>145</v>
      </c>
      <c r="B149" s="39" t="s">
        <v>248</v>
      </c>
      <c r="C149" s="39" t="s">
        <v>264</v>
      </c>
      <c r="D149" s="40">
        <v>297679</v>
      </c>
      <c r="E149" s="41" t="s">
        <v>26</v>
      </c>
      <c r="F149" s="42">
        <v>0.1</v>
      </c>
      <c r="G149" s="43">
        <v>3</v>
      </c>
      <c r="H149" s="43" t="s">
        <v>130</v>
      </c>
    </row>
    <row r="150" spans="1:8" ht="15" customHeight="1" x14ac:dyDescent="0.2">
      <c r="A150" s="38">
        <v>146</v>
      </c>
      <c r="B150" s="39" t="s">
        <v>248</v>
      </c>
      <c r="C150" s="39" t="s">
        <v>265</v>
      </c>
      <c r="D150" s="40">
        <v>97080</v>
      </c>
      <c r="E150" s="41" t="s">
        <v>26</v>
      </c>
      <c r="F150" s="42">
        <v>0.1</v>
      </c>
      <c r="G150" s="43">
        <v>3</v>
      </c>
      <c r="H150" s="43" t="s">
        <v>130</v>
      </c>
    </row>
    <row r="151" spans="1:8" ht="15" customHeight="1" x14ac:dyDescent="0.2">
      <c r="A151" s="38">
        <v>147</v>
      </c>
      <c r="B151" s="39" t="s">
        <v>248</v>
      </c>
      <c r="C151" s="39" t="s">
        <v>266</v>
      </c>
      <c r="D151" s="40">
        <v>93319</v>
      </c>
      <c r="E151" s="41" t="s">
        <v>26</v>
      </c>
      <c r="F151" s="42">
        <v>0.1</v>
      </c>
      <c r="G151" s="43">
        <v>3</v>
      </c>
      <c r="H151" s="43" t="s">
        <v>130</v>
      </c>
    </row>
    <row r="152" spans="1:8" ht="15" customHeight="1" x14ac:dyDescent="0.2">
      <c r="A152" s="38">
        <v>148</v>
      </c>
      <c r="B152" s="39" t="s">
        <v>248</v>
      </c>
      <c r="C152" s="39" t="s">
        <v>267</v>
      </c>
      <c r="D152" s="40">
        <v>56552</v>
      </c>
      <c r="E152" s="41" t="s">
        <v>26</v>
      </c>
      <c r="F152" s="42">
        <v>0.1</v>
      </c>
      <c r="G152" s="43">
        <v>3</v>
      </c>
      <c r="H152" s="43" t="s">
        <v>130</v>
      </c>
    </row>
    <row r="153" spans="1:8" ht="15" customHeight="1" x14ac:dyDescent="0.2">
      <c r="A153" s="38">
        <v>149</v>
      </c>
      <c r="B153" s="39" t="s">
        <v>248</v>
      </c>
      <c r="C153" s="39" t="s">
        <v>268</v>
      </c>
      <c r="D153" s="40">
        <v>4000</v>
      </c>
      <c r="E153" s="41" t="s">
        <v>26</v>
      </c>
      <c r="F153" s="42">
        <v>0.1</v>
      </c>
      <c r="G153" s="43">
        <v>3</v>
      </c>
      <c r="H153" s="43" t="s">
        <v>130</v>
      </c>
    </row>
    <row r="154" spans="1:8" ht="15" customHeight="1" x14ac:dyDescent="0.2">
      <c r="A154" s="38">
        <v>150</v>
      </c>
      <c r="B154" s="39" t="s">
        <v>248</v>
      </c>
      <c r="C154" s="39" t="s">
        <v>269</v>
      </c>
      <c r="D154" s="40">
        <v>15000</v>
      </c>
      <c r="E154" s="41" t="s">
        <v>26</v>
      </c>
      <c r="F154" s="42">
        <v>0.1</v>
      </c>
      <c r="G154" s="43">
        <v>3</v>
      </c>
      <c r="H154" s="43" t="s">
        <v>130</v>
      </c>
    </row>
    <row r="155" spans="1:8" ht="15" customHeight="1" x14ac:dyDescent="0.2">
      <c r="A155" s="38">
        <v>151</v>
      </c>
      <c r="B155" s="39" t="s">
        <v>270</v>
      </c>
      <c r="C155" s="39" t="s">
        <v>271</v>
      </c>
      <c r="D155" s="40">
        <v>240000</v>
      </c>
      <c r="E155" s="41" t="s">
        <v>24</v>
      </c>
      <c r="F155" s="42">
        <v>0</v>
      </c>
      <c r="G155" s="43">
        <v>0</v>
      </c>
      <c r="H155" s="43" t="s">
        <v>130</v>
      </c>
    </row>
    <row r="156" spans="1:8" ht="15" customHeight="1" x14ac:dyDescent="0.2">
      <c r="A156" s="38">
        <v>152</v>
      </c>
      <c r="B156" s="39" t="s">
        <v>270</v>
      </c>
      <c r="C156" s="39" t="s">
        <v>272</v>
      </c>
      <c r="D156" s="40">
        <v>1592483</v>
      </c>
      <c r="E156" s="41" t="s">
        <v>24</v>
      </c>
      <c r="F156" s="42">
        <v>0</v>
      </c>
      <c r="G156" s="43">
        <v>0</v>
      </c>
      <c r="H156" s="43" t="s">
        <v>130</v>
      </c>
    </row>
    <row r="157" spans="1:8" ht="15" customHeight="1" x14ac:dyDescent="0.2">
      <c r="A157" s="38">
        <v>153</v>
      </c>
      <c r="B157" s="39" t="s">
        <v>270</v>
      </c>
      <c r="C157" s="39" t="s">
        <v>273</v>
      </c>
      <c r="D157" s="40">
        <v>10220</v>
      </c>
      <c r="E157" s="41" t="s">
        <v>24</v>
      </c>
      <c r="F157" s="42">
        <v>0</v>
      </c>
      <c r="G157" s="43">
        <v>0</v>
      </c>
      <c r="H157" s="43" t="s">
        <v>130</v>
      </c>
    </row>
    <row r="158" spans="1:8" ht="15" customHeight="1" x14ac:dyDescent="0.2">
      <c r="A158" s="38">
        <v>154</v>
      </c>
      <c r="B158" s="39" t="s">
        <v>270</v>
      </c>
      <c r="C158" s="39" t="s">
        <v>91</v>
      </c>
      <c r="D158" s="40">
        <v>44753</v>
      </c>
      <c r="E158" s="41" t="s">
        <v>24</v>
      </c>
      <c r="F158" s="42">
        <v>0</v>
      </c>
      <c r="G158" s="43">
        <v>0</v>
      </c>
      <c r="H158" s="43" t="s">
        <v>130</v>
      </c>
    </row>
    <row r="159" spans="1:8" ht="15" customHeight="1" x14ac:dyDescent="0.2">
      <c r="A159" s="38">
        <v>155</v>
      </c>
      <c r="B159" s="39" t="s">
        <v>270</v>
      </c>
      <c r="C159" s="39" t="s">
        <v>274</v>
      </c>
      <c r="D159" s="40">
        <v>125339</v>
      </c>
      <c r="E159" s="41" t="s">
        <v>24</v>
      </c>
      <c r="F159" s="42">
        <v>0</v>
      </c>
      <c r="G159" s="43">
        <v>0</v>
      </c>
      <c r="H159" s="43" t="s">
        <v>130</v>
      </c>
    </row>
    <row r="160" spans="1:8" ht="15" customHeight="1" x14ac:dyDescent="0.2">
      <c r="A160" s="38">
        <v>156</v>
      </c>
      <c r="B160" s="39" t="s">
        <v>270</v>
      </c>
      <c r="C160" s="39" t="s">
        <v>275</v>
      </c>
      <c r="D160" s="40">
        <v>112290</v>
      </c>
      <c r="E160" s="41" t="s">
        <v>24</v>
      </c>
      <c r="F160" s="42">
        <v>0</v>
      </c>
      <c r="G160" s="43">
        <v>0</v>
      </c>
      <c r="H160" s="43" t="s">
        <v>130</v>
      </c>
    </row>
    <row r="161" spans="1:8" ht="15" customHeight="1" x14ac:dyDescent="0.2">
      <c r="A161" s="38">
        <v>157</v>
      </c>
      <c r="B161" s="39" t="s">
        <v>270</v>
      </c>
      <c r="C161" s="39" t="s">
        <v>276</v>
      </c>
      <c r="D161" s="40">
        <v>452241</v>
      </c>
      <c r="E161" s="41" t="s">
        <v>24</v>
      </c>
      <c r="F161" s="42">
        <v>0</v>
      </c>
      <c r="G161" s="43">
        <v>0</v>
      </c>
      <c r="H161" s="43" t="s">
        <v>130</v>
      </c>
    </row>
    <row r="162" spans="1:8" ht="15" customHeight="1" x14ac:dyDescent="0.2">
      <c r="A162" s="38">
        <v>158</v>
      </c>
      <c r="B162" s="39" t="s">
        <v>270</v>
      </c>
      <c r="C162" s="39" t="s">
        <v>277</v>
      </c>
      <c r="D162" s="40">
        <v>247344</v>
      </c>
      <c r="E162" s="41" t="s">
        <v>24</v>
      </c>
      <c r="F162" s="42">
        <v>0</v>
      </c>
      <c r="G162" s="43">
        <v>0</v>
      </c>
      <c r="H162" s="43" t="s">
        <v>130</v>
      </c>
    </row>
    <row r="163" spans="1:8" ht="15" customHeight="1" x14ac:dyDescent="0.2">
      <c r="A163" s="38">
        <v>159</v>
      </c>
      <c r="B163" s="39" t="s">
        <v>270</v>
      </c>
      <c r="C163" s="39" t="s">
        <v>278</v>
      </c>
      <c r="D163" s="40">
        <v>168546</v>
      </c>
      <c r="E163" s="41" t="s">
        <v>24</v>
      </c>
      <c r="F163" s="42">
        <v>0</v>
      </c>
      <c r="G163" s="43">
        <v>0</v>
      </c>
      <c r="H163" s="43" t="s">
        <v>130</v>
      </c>
    </row>
    <row r="164" spans="1:8" ht="15" customHeight="1" x14ac:dyDescent="0.2">
      <c r="A164" s="38">
        <v>160</v>
      </c>
      <c r="B164" s="39" t="s">
        <v>270</v>
      </c>
      <c r="C164" s="39" t="s">
        <v>279</v>
      </c>
      <c r="D164" s="40">
        <v>273134</v>
      </c>
      <c r="E164" s="41" t="s">
        <v>24</v>
      </c>
      <c r="F164" s="42">
        <v>0</v>
      </c>
      <c r="G164" s="43">
        <v>0</v>
      </c>
      <c r="H164" s="43" t="s">
        <v>130</v>
      </c>
    </row>
    <row r="165" spans="1:8" ht="15" customHeight="1" x14ac:dyDescent="0.2">
      <c r="A165" s="38">
        <v>161</v>
      </c>
      <c r="B165" s="39" t="s">
        <v>270</v>
      </c>
      <c r="C165" s="39" t="s">
        <v>280</v>
      </c>
      <c r="D165" s="40">
        <v>10000</v>
      </c>
      <c r="E165" s="41" t="s">
        <v>24</v>
      </c>
      <c r="F165" s="42">
        <v>0</v>
      </c>
      <c r="G165" s="43">
        <v>0</v>
      </c>
      <c r="H165" s="43" t="s">
        <v>130</v>
      </c>
    </row>
    <row r="166" spans="1:8" ht="15" customHeight="1" x14ac:dyDescent="0.2">
      <c r="A166" s="38">
        <v>162</v>
      </c>
      <c r="B166" s="39" t="s">
        <v>281</v>
      </c>
      <c r="C166" s="39" t="s">
        <v>282</v>
      </c>
      <c r="D166" s="40">
        <v>2087617</v>
      </c>
      <c r="E166" s="41" t="s">
        <v>283</v>
      </c>
      <c r="F166" s="42">
        <v>0</v>
      </c>
      <c r="G166" s="43">
        <v>0</v>
      </c>
      <c r="H166" s="43" t="s">
        <v>130</v>
      </c>
    </row>
    <row r="167" spans="1:8" ht="15" customHeight="1" x14ac:dyDescent="0.2">
      <c r="A167" s="38">
        <v>163</v>
      </c>
      <c r="B167" s="39" t="s">
        <v>284</v>
      </c>
      <c r="C167" s="39" t="s">
        <v>39</v>
      </c>
      <c r="D167" s="40">
        <v>500000</v>
      </c>
      <c r="E167" s="41" t="s">
        <v>285</v>
      </c>
      <c r="F167" s="42">
        <v>0</v>
      </c>
      <c r="G167" s="43">
        <v>0</v>
      </c>
      <c r="H167" s="43" t="s">
        <v>130</v>
      </c>
    </row>
    <row r="168" spans="1:8" ht="15" customHeight="1" x14ac:dyDescent="0.2">
      <c r="A168" s="38">
        <v>164</v>
      </c>
      <c r="B168" s="39" t="s">
        <v>284</v>
      </c>
      <c r="C168" s="39" t="s">
        <v>286</v>
      </c>
      <c r="D168" s="40">
        <v>0</v>
      </c>
      <c r="E168" s="41" t="s">
        <v>285</v>
      </c>
      <c r="F168" s="42">
        <v>0</v>
      </c>
      <c r="G168" s="43">
        <v>0</v>
      </c>
      <c r="H168" s="43" t="s">
        <v>130</v>
      </c>
    </row>
    <row r="169" spans="1:8" ht="15" customHeight="1" x14ac:dyDescent="0.2">
      <c r="A169" s="38">
        <v>165</v>
      </c>
      <c r="B169" s="39" t="s">
        <v>284</v>
      </c>
      <c r="C169" s="39" t="s">
        <v>287</v>
      </c>
      <c r="D169" s="40">
        <v>0</v>
      </c>
      <c r="E169" s="41" t="s">
        <v>285</v>
      </c>
      <c r="F169" s="42">
        <v>0</v>
      </c>
      <c r="G169" s="43">
        <v>0</v>
      </c>
      <c r="H169" s="43" t="s">
        <v>130</v>
      </c>
    </row>
    <row r="170" spans="1:8" ht="15" customHeight="1" x14ac:dyDescent="0.2">
      <c r="A170" s="38">
        <v>166</v>
      </c>
      <c r="B170" s="39" t="s">
        <v>288</v>
      </c>
      <c r="C170" s="39"/>
      <c r="D170" s="40">
        <v>0</v>
      </c>
      <c r="E170" s="41" t="s">
        <v>24</v>
      </c>
      <c r="F170" s="42">
        <v>0.1</v>
      </c>
      <c r="G170" s="43">
        <v>3</v>
      </c>
      <c r="H170" s="43" t="s">
        <v>130</v>
      </c>
    </row>
    <row r="171" spans="1:8" ht="15.75" customHeight="1" x14ac:dyDescent="0.2"/>
    <row r="172" spans="1:8" ht="15.75" customHeight="1" x14ac:dyDescent="0.2"/>
    <row r="173" spans="1:8" ht="15.75" customHeight="1" x14ac:dyDescent="0.2"/>
    <row r="174" spans="1:8" ht="15.75" customHeight="1" x14ac:dyDescent="0.2"/>
    <row r="175" spans="1:8" ht="15.75" customHeight="1" x14ac:dyDescent="0.2"/>
    <row r="176" spans="1:8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operator="equal" allowBlank="1" sqref="E5:E171" xr:uid="{00000000-0002-0000-0100-000000000000}">
      <formula1>"Upfront,Equal,Front-loaded,Mid-weighted,Back-loaded,At Completion,As Needed"</formula1>
      <formula2>0</formula2>
    </dataValidation>
    <dataValidation type="list" operator="equal" allowBlank="1" sqref="H5:H171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zoomScaleNormal="100" zoomScalePageLayoutView="60" workbookViewId="0"/>
  </sheetViews>
  <sheetFormatPr baseColWidth="10" defaultColWidth="14.5" defaultRowHeight="15" customHeight="1" x14ac:dyDescent="0.2"/>
  <cols>
    <col min="1" max="1" width="18" customWidth="1"/>
    <col min="2" max="2" width="15" customWidth="1"/>
    <col min="3" max="3" width="10" customWidth="1"/>
    <col min="4" max="4" width="15" customWidth="1"/>
    <col min="5" max="5" width="20" customWidth="1"/>
    <col min="6" max="7" width="15" customWidth="1"/>
    <col min="8" max="8" width="25" customWidth="1"/>
    <col min="9" max="9" width="9.6640625" customWidth="1"/>
    <col min="10" max="26" width="8.83203125" customWidth="1"/>
  </cols>
  <sheetData>
    <row r="1" spans="1:9" ht="18.75" customHeight="1" x14ac:dyDescent="0.25">
      <c r="A1" s="5" t="s">
        <v>289</v>
      </c>
    </row>
    <row r="2" spans="1:9" ht="15" customHeight="1" x14ac:dyDescent="0.2">
      <c r="A2" s="36" t="s">
        <v>290</v>
      </c>
    </row>
    <row r="4" spans="1:9" ht="45" customHeight="1" x14ac:dyDescent="0.2">
      <c r="A4" s="44" t="s">
        <v>291</v>
      </c>
      <c r="B4" s="44" t="s">
        <v>292</v>
      </c>
      <c r="C4" s="44" t="s">
        <v>293</v>
      </c>
      <c r="D4" s="44" t="s">
        <v>294</v>
      </c>
      <c r="E4" s="44" t="s">
        <v>295</v>
      </c>
      <c r="F4" s="44" t="s">
        <v>296</v>
      </c>
      <c r="G4" s="44" t="s">
        <v>297</v>
      </c>
      <c r="H4" s="44" t="s">
        <v>298</v>
      </c>
    </row>
    <row r="5" spans="1:9" ht="15.75" customHeight="1" x14ac:dyDescent="0.2">
      <c r="A5" s="44" t="s">
        <v>299</v>
      </c>
      <c r="B5" s="45" t="s">
        <v>300</v>
      </c>
      <c r="C5" s="45">
        <v>101</v>
      </c>
      <c r="D5" s="46"/>
      <c r="E5" s="47"/>
      <c r="F5" s="47">
        <v>1905</v>
      </c>
      <c r="G5" s="45"/>
      <c r="H5" s="45" t="s">
        <v>301</v>
      </c>
      <c r="I5" s="48">
        <f>F5*G5</f>
        <v>0</v>
      </c>
    </row>
    <row r="6" spans="1:9" ht="15.75" customHeight="1" x14ac:dyDescent="0.2">
      <c r="A6" s="44" t="s">
        <v>302</v>
      </c>
      <c r="B6" s="45" t="s">
        <v>303</v>
      </c>
      <c r="C6" s="45">
        <v>201</v>
      </c>
      <c r="D6" s="46"/>
      <c r="E6" s="47"/>
      <c r="F6" s="47">
        <v>2455</v>
      </c>
      <c r="G6" s="45"/>
      <c r="H6" s="45" t="s">
        <v>304</v>
      </c>
      <c r="I6" s="48">
        <f>F6*G6</f>
        <v>0</v>
      </c>
    </row>
    <row r="7" spans="1:9" ht="15.75" customHeight="1" x14ac:dyDescent="0.2">
      <c r="A7" s="44" t="s">
        <v>305</v>
      </c>
      <c r="B7" s="45" t="s">
        <v>303</v>
      </c>
      <c r="C7" s="45">
        <v>301</v>
      </c>
      <c r="D7" s="46"/>
      <c r="E7" s="47"/>
      <c r="F7" s="47">
        <v>2455</v>
      </c>
      <c r="G7" s="45"/>
      <c r="H7" s="45" t="s">
        <v>306</v>
      </c>
      <c r="I7" s="48"/>
    </row>
    <row r="8" spans="1:9" ht="15.75" customHeight="1" x14ac:dyDescent="0.2">
      <c r="A8" s="44" t="s">
        <v>307</v>
      </c>
      <c r="B8" s="45" t="s">
        <v>300</v>
      </c>
      <c r="C8" s="45">
        <v>102</v>
      </c>
      <c r="D8" s="46"/>
      <c r="E8" s="47"/>
      <c r="F8" s="47">
        <v>1905</v>
      </c>
      <c r="G8" s="45"/>
      <c r="H8" s="45" t="s">
        <v>308</v>
      </c>
      <c r="I8" s="48"/>
    </row>
    <row r="9" spans="1:9" ht="15.75" customHeight="1" x14ac:dyDescent="0.2">
      <c r="A9" s="44" t="s">
        <v>309</v>
      </c>
      <c r="B9" s="45" t="s">
        <v>303</v>
      </c>
      <c r="C9" s="45">
        <v>202</v>
      </c>
      <c r="D9" s="46"/>
      <c r="E9" s="47"/>
      <c r="F9" s="47">
        <v>2455</v>
      </c>
      <c r="G9" s="45"/>
      <c r="H9" s="45" t="s">
        <v>310</v>
      </c>
      <c r="I9" s="48"/>
    </row>
    <row r="10" spans="1:9" ht="15.75" customHeight="1" x14ac:dyDescent="0.2">
      <c r="A10" s="44" t="s">
        <v>311</v>
      </c>
      <c r="B10" s="45" t="s">
        <v>303</v>
      </c>
      <c r="C10" s="45">
        <v>302</v>
      </c>
      <c r="D10" s="46"/>
      <c r="E10" s="47"/>
      <c r="F10" s="47">
        <v>2455</v>
      </c>
      <c r="G10" s="45"/>
      <c r="H10" s="45" t="s">
        <v>312</v>
      </c>
      <c r="I10" s="48"/>
    </row>
    <row r="11" spans="1:9" ht="15.75" customHeight="1" x14ac:dyDescent="0.2">
      <c r="A11" s="44" t="s">
        <v>313</v>
      </c>
      <c r="B11" s="45" t="s">
        <v>300</v>
      </c>
      <c r="C11" s="45">
        <v>101</v>
      </c>
      <c r="D11" s="46"/>
      <c r="E11" s="47"/>
      <c r="F11" s="47">
        <v>1905</v>
      </c>
      <c r="G11" s="45"/>
      <c r="H11" s="45" t="s">
        <v>301</v>
      </c>
      <c r="I11" s="48"/>
    </row>
    <row r="12" spans="1:9" ht="15.75" customHeight="1" x14ac:dyDescent="0.2">
      <c r="A12" s="44" t="s">
        <v>314</v>
      </c>
      <c r="B12" s="45" t="s">
        <v>315</v>
      </c>
      <c r="C12" s="45">
        <v>201</v>
      </c>
      <c r="D12" s="46"/>
      <c r="E12" s="47"/>
      <c r="F12" s="47">
        <v>1639</v>
      </c>
      <c r="G12" s="45"/>
      <c r="H12" s="45" t="s">
        <v>304</v>
      </c>
      <c r="I12" s="48"/>
    </row>
    <row r="13" spans="1:9" ht="15.75" customHeight="1" x14ac:dyDescent="0.2">
      <c r="A13" s="44" t="s">
        <v>316</v>
      </c>
      <c r="B13" s="45" t="s">
        <v>317</v>
      </c>
      <c r="C13" s="45">
        <v>202</v>
      </c>
      <c r="D13" s="46"/>
      <c r="E13" s="47"/>
      <c r="F13" s="47">
        <v>1589</v>
      </c>
      <c r="G13" s="45"/>
      <c r="H13" s="45" t="s">
        <v>310</v>
      </c>
      <c r="I13" s="48"/>
    </row>
    <row r="14" spans="1:9" ht="15.75" customHeight="1" x14ac:dyDescent="0.2">
      <c r="A14" s="44" t="s">
        <v>318</v>
      </c>
      <c r="B14" s="45" t="s">
        <v>315</v>
      </c>
      <c r="C14" s="45">
        <v>301</v>
      </c>
      <c r="D14" s="46"/>
      <c r="E14" s="47"/>
      <c r="F14" s="47">
        <v>1639</v>
      </c>
      <c r="G14" s="45"/>
      <c r="H14" s="45" t="s">
        <v>306</v>
      </c>
      <c r="I14" s="48"/>
    </row>
    <row r="15" spans="1:9" ht="15.75" customHeight="1" x14ac:dyDescent="0.2">
      <c r="A15" s="44" t="s">
        <v>319</v>
      </c>
      <c r="B15" s="45" t="s">
        <v>317</v>
      </c>
      <c r="C15" s="45">
        <v>302</v>
      </c>
      <c r="D15" s="46"/>
      <c r="E15" s="47"/>
      <c r="F15" s="47">
        <v>1589</v>
      </c>
      <c r="G15" s="45"/>
      <c r="H15" s="45" t="s">
        <v>312</v>
      </c>
      <c r="I15" s="48"/>
    </row>
    <row r="16" spans="1:9" ht="15.75" customHeight="1" x14ac:dyDescent="0.2">
      <c r="A16" s="44" t="s">
        <v>320</v>
      </c>
      <c r="B16" s="45" t="s">
        <v>300</v>
      </c>
      <c r="C16" s="45">
        <v>102</v>
      </c>
      <c r="D16" s="46"/>
      <c r="E16" s="47"/>
      <c r="F16" s="47">
        <v>1905</v>
      </c>
      <c r="G16" s="45"/>
      <c r="H16" s="45" t="s">
        <v>308</v>
      </c>
      <c r="I16" s="48"/>
    </row>
    <row r="17" spans="1:9" ht="15.75" customHeight="1" x14ac:dyDescent="0.2">
      <c r="A17" s="44" t="s">
        <v>316</v>
      </c>
      <c r="B17" s="45" t="s">
        <v>315</v>
      </c>
      <c r="C17" s="45">
        <v>202</v>
      </c>
      <c r="D17" s="46"/>
      <c r="E17" s="47"/>
      <c r="F17" s="47">
        <v>1639</v>
      </c>
      <c r="G17" s="45"/>
      <c r="H17" s="45" t="s">
        <v>310</v>
      </c>
      <c r="I17" s="48"/>
    </row>
    <row r="18" spans="1:9" ht="15.75" customHeight="1" x14ac:dyDescent="0.2">
      <c r="A18" s="44" t="s">
        <v>321</v>
      </c>
      <c r="B18" s="45" t="s">
        <v>317</v>
      </c>
      <c r="C18" s="45">
        <v>203</v>
      </c>
      <c r="D18" s="46"/>
      <c r="E18" s="47"/>
      <c r="F18" s="47">
        <v>1589</v>
      </c>
      <c r="G18" s="45"/>
      <c r="H18" s="45" t="s">
        <v>322</v>
      </c>
      <c r="I18" s="48"/>
    </row>
    <row r="19" spans="1:9" ht="15.75" customHeight="1" x14ac:dyDescent="0.2">
      <c r="A19" s="44" t="s">
        <v>319</v>
      </c>
      <c r="B19" s="45" t="s">
        <v>315</v>
      </c>
      <c r="C19" s="45">
        <v>302</v>
      </c>
      <c r="D19" s="46"/>
      <c r="E19" s="47"/>
      <c r="F19" s="47">
        <v>1639</v>
      </c>
      <c r="G19" s="45"/>
      <c r="H19" s="45" t="s">
        <v>312</v>
      </c>
      <c r="I19" s="48"/>
    </row>
    <row r="20" spans="1:9" ht="15.75" customHeight="1" x14ac:dyDescent="0.2">
      <c r="A20" s="44" t="s">
        <v>323</v>
      </c>
      <c r="B20" s="45" t="s">
        <v>317</v>
      </c>
      <c r="C20" s="45">
        <v>303</v>
      </c>
      <c r="D20" s="46"/>
      <c r="E20" s="47"/>
      <c r="F20" s="47">
        <v>1589</v>
      </c>
      <c r="G20" s="45"/>
      <c r="H20" s="45" t="s">
        <v>324</v>
      </c>
      <c r="I20" s="48"/>
    </row>
    <row r="21" spans="1:9" ht="15.75" customHeight="1" x14ac:dyDescent="0.2">
      <c r="A21" s="44" t="s">
        <v>325</v>
      </c>
      <c r="B21" s="45" t="s">
        <v>300</v>
      </c>
      <c r="C21" s="45">
        <v>101</v>
      </c>
      <c r="D21" s="46"/>
      <c r="E21" s="47"/>
      <c r="F21" s="47">
        <v>1905</v>
      </c>
      <c r="G21" s="45"/>
      <c r="H21" s="45" t="s">
        <v>301</v>
      </c>
      <c r="I21" s="48"/>
    </row>
    <row r="22" spans="1:9" ht="15.75" customHeight="1" x14ac:dyDescent="0.2">
      <c r="A22" s="44" t="s">
        <v>326</v>
      </c>
      <c r="B22" s="45" t="s">
        <v>303</v>
      </c>
      <c r="C22" s="45">
        <v>201</v>
      </c>
      <c r="D22" s="46"/>
      <c r="E22" s="47"/>
      <c r="F22" s="47">
        <v>2455</v>
      </c>
      <c r="G22" s="45"/>
      <c r="H22" s="45" t="s">
        <v>304</v>
      </c>
      <c r="I22" s="48"/>
    </row>
    <row r="23" spans="1:9" ht="15.75" customHeight="1" x14ac:dyDescent="0.2">
      <c r="A23" s="44" t="s">
        <v>327</v>
      </c>
      <c r="B23" s="45" t="s">
        <v>303</v>
      </c>
      <c r="C23" s="45">
        <v>301</v>
      </c>
      <c r="D23" s="46"/>
      <c r="E23" s="47"/>
      <c r="F23" s="47">
        <v>2455</v>
      </c>
      <c r="G23" s="45"/>
      <c r="H23" s="45" t="s">
        <v>306</v>
      </c>
      <c r="I23" s="48"/>
    </row>
    <row r="24" spans="1:9" ht="15.75" customHeight="1" x14ac:dyDescent="0.2">
      <c r="A24" s="44" t="s">
        <v>328</v>
      </c>
      <c r="B24" s="45" t="s">
        <v>300</v>
      </c>
      <c r="C24" s="45">
        <v>102</v>
      </c>
      <c r="D24" s="46"/>
      <c r="E24" s="47"/>
      <c r="F24" s="47">
        <v>1905</v>
      </c>
      <c r="G24" s="45"/>
      <c r="H24" s="45" t="s">
        <v>308</v>
      </c>
      <c r="I24" s="48"/>
    </row>
    <row r="25" spans="1:9" ht="15.75" customHeight="1" x14ac:dyDescent="0.2">
      <c r="A25" s="44" t="s">
        <v>329</v>
      </c>
      <c r="B25" s="45" t="s">
        <v>317</v>
      </c>
      <c r="C25" s="45">
        <v>303</v>
      </c>
      <c r="D25" s="46"/>
      <c r="E25" s="47"/>
      <c r="F25" s="49">
        <v>1589</v>
      </c>
      <c r="G25" s="45"/>
      <c r="H25" s="45" t="s">
        <v>324</v>
      </c>
      <c r="I25" s="48"/>
    </row>
    <row r="26" spans="1:9" ht="15.75" customHeight="1" x14ac:dyDescent="0.2">
      <c r="A26" s="44" t="s">
        <v>330</v>
      </c>
      <c r="B26" s="45" t="s">
        <v>300</v>
      </c>
      <c r="C26" s="45">
        <v>102</v>
      </c>
      <c r="D26" s="46"/>
      <c r="E26" s="47"/>
      <c r="F26" s="49">
        <v>1905</v>
      </c>
      <c r="G26" s="45"/>
      <c r="H26" s="45" t="s">
        <v>308</v>
      </c>
      <c r="I26" s="48"/>
    </row>
    <row r="27" spans="1:9" ht="15.75" customHeight="1" x14ac:dyDescent="0.2">
      <c r="A27" s="44" t="s">
        <v>331</v>
      </c>
      <c r="B27" s="45" t="s">
        <v>303</v>
      </c>
      <c r="C27" s="45">
        <v>302</v>
      </c>
      <c r="D27" s="46"/>
      <c r="E27" s="47"/>
      <c r="F27" s="49">
        <v>2455</v>
      </c>
      <c r="G27" s="45"/>
      <c r="H27" s="45" t="s">
        <v>312</v>
      </c>
      <c r="I27" s="48"/>
    </row>
    <row r="28" spans="1:9" ht="15.75" customHeight="1" x14ac:dyDescent="0.2">
      <c r="A28" s="44" t="s">
        <v>332</v>
      </c>
      <c r="B28" s="45" t="s">
        <v>303</v>
      </c>
      <c r="C28" s="45">
        <v>301</v>
      </c>
      <c r="D28" s="46"/>
      <c r="E28" s="47"/>
      <c r="F28" s="49">
        <v>2455</v>
      </c>
      <c r="G28" s="45"/>
      <c r="H28" s="45" t="s">
        <v>306</v>
      </c>
      <c r="I28" s="48"/>
    </row>
    <row r="29" spans="1:9" ht="15.75" customHeight="1" x14ac:dyDescent="0.2">
      <c r="A29" s="44" t="s">
        <v>333</v>
      </c>
      <c r="B29" s="45" t="s">
        <v>303</v>
      </c>
      <c r="C29" s="45">
        <v>202</v>
      </c>
      <c r="D29" s="46"/>
      <c r="E29" s="47"/>
      <c r="F29" s="49">
        <v>2455</v>
      </c>
      <c r="G29" s="45"/>
      <c r="H29" s="45" t="s">
        <v>310</v>
      </c>
      <c r="I29" s="48"/>
    </row>
    <row r="30" spans="1:9" ht="15.75" customHeight="1" x14ac:dyDescent="0.2">
      <c r="A30" s="44" t="s">
        <v>334</v>
      </c>
      <c r="B30" s="45" t="s">
        <v>317</v>
      </c>
      <c r="C30" s="45">
        <v>203</v>
      </c>
      <c r="D30" s="46"/>
      <c r="E30" s="47"/>
      <c r="F30" s="49">
        <v>1589</v>
      </c>
      <c r="G30" s="45"/>
      <c r="H30" s="45" t="s">
        <v>322</v>
      </c>
      <c r="I30" s="48"/>
    </row>
    <row r="31" spans="1:9" ht="15.75" customHeight="1" x14ac:dyDescent="0.2">
      <c r="A31" s="44" t="s">
        <v>335</v>
      </c>
      <c r="B31" s="45" t="s">
        <v>315</v>
      </c>
      <c r="C31" s="45">
        <v>201</v>
      </c>
      <c r="D31" s="46"/>
      <c r="E31" s="47"/>
      <c r="F31" s="49">
        <v>1639</v>
      </c>
      <c r="G31" s="45"/>
      <c r="H31" s="45" t="s">
        <v>304</v>
      </c>
      <c r="I31" s="48"/>
    </row>
    <row r="32" spans="1:9" ht="15.75" customHeight="1" x14ac:dyDescent="0.2">
      <c r="A32" s="44" t="s">
        <v>336</v>
      </c>
      <c r="B32" s="45" t="s">
        <v>300</v>
      </c>
      <c r="C32" s="45">
        <v>101</v>
      </c>
      <c r="D32" s="46"/>
      <c r="E32" s="47"/>
      <c r="F32" s="49">
        <v>1905</v>
      </c>
      <c r="G32" s="45"/>
      <c r="H32" s="45" t="s">
        <v>301</v>
      </c>
      <c r="I32" s="48"/>
    </row>
    <row r="33" spans="1:9" ht="15.75" customHeight="1" x14ac:dyDescent="0.2">
      <c r="A33" s="44" t="s">
        <v>337</v>
      </c>
      <c r="B33" s="45" t="s">
        <v>300</v>
      </c>
      <c r="C33" s="45">
        <v>101</v>
      </c>
      <c r="D33" s="46"/>
      <c r="E33" s="47"/>
      <c r="F33" s="47">
        <v>1905</v>
      </c>
      <c r="G33" s="45"/>
      <c r="H33" s="45" t="s">
        <v>301</v>
      </c>
      <c r="I33" s="48"/>
    </row>
    <row r="34" spans="1:9" ht="15.75" customHeight="1" x14ac:dyDescent="0.2">
      <c r="A34" s="44" t="s">
        <v>338</v>
      </c>
      <c r="B34" s="45" t="s">
        <v>315</v>
      </c>
      <c r="C34" s="45">
        <v>301</v>
      </c>
      <c r="D34" s="46"/>
      <c r="E34" s="47"/>
      <c r="F34" s="47">
        <v>1639</v>
      </c>
      <c r="G34" s="45"/>
      <c r="H34" s="45" t="s">
        <v>306</v>
      </c>
      <c r="I34" s="48"/>
    </row>
    <row r="35" spans="1:9" ht="15.75" customHeight="1" x14ac:dyDescent="0.2">
      <c r="A35" s="44" t="s">
        <v>339</v>
      </c>
      <c r="B35" s="45" t="s">
        <v>315</v>
      </c>
      <c r="C35" s="45">
        <v>302</v>
      </c>
      <c r="D35" s="46"/>
      <c r="E35" s="47"/>
      <c r="F35" s="47">
        <v>1639</v>
      </c>
      <c r="G35" s="45"/>
      <c r="H35" s="45" t="s">
        <v>312</v>
      </c>
      <c r="I35" s="48"/>
    </row>
    <row r="36" spans="1:9" ht="15.75" customHeight="1" x14ac:dyDescent="0.2">
      <c r="A36" s="44" t="s">
        <v>331</v>
      </c>
      <c r="B36" s="45" t="s">
        <v>317</v>
      </c>
      <c r="C36" s="45">
        <v>302</v>
      </c>
      <c r="D36" s="46"/>
      <c r="E36" s="47"/>
      <c r="F36" s="47">
        <v>1589</v>
      </c>
      <c r="G36" s="45"/>
      <c r="H36" s="45" t="s">
        <v>312</v>
      </c>
      <c r="I36" s="48"/>
    </row>
    <row r="37" spans="1:9" ht="15.75" customHeight="1" x14ac:dyDescent="0.2">
      <c r="A37" s="44" t="s">
        <v>340</v>
      </c>
      <c r="B37" s="45" t="s">
        <v>315</v>
      </c>
      <c r="C37" s="45">
        <v>202</v>
      </c>
      <c r="D37" s="46"/>
      <c r="E37" s="47"/>
      <c r="F37" s="47">
        <v>1639</v>
      </c>
      <c r="G37" s="45"/>
      <c r="H37" s="45" t="s">
        <v>310</v>
      </c>
      <c r="I37" s="48"/>
    </row>
    <row r="38" spans="1:9" ht="15.75" customHeight="1" x14ac:dyDescent="0.2">
      <c r="A38" s="44" t="s">
        <v>340</v>
      </c>
      <c r="B38" s="45" t="s">
        <v>317</v>
      </c>
      <c r="C38" s="45">
        <v>202</v>
      </c>
      <c r="D38" s="46"/>
      <c r="E38" s="47"/>
      <c r="F38" s="47">
        <v>1589</v>
      </c>
      <c r="G38" s="45"/>
      <c r="H38" s="45" t="s">
        <v>310</v>
      </c>
      <c r="I38" s="48"/>
    </row>
    <row r="39" spans="1:9" ht="15.75" customHeight="1" x14ac:dyDescent="0.2">
      <c r="A39" s="44" t="s">
        <v>341</v>
      </c>
      <c r="B39" s="45" t="s">
        <v>303</v>
      </c>
      <c r="C39" s="45">
        <v>201</v>
      </c>
      <c r="D39" s="46"/>
      <c r="E39" s="47"/>
      <c r="F39" s="47">
        <v>2455</v>
      </c>
      <c r="G39" s="45"/>
      <c r="H39" s="45" t="s">
        <v>304</v>
      </c>
      <c r="I39" s="48"/>
    </row>
    <row r="40" spans="1:9" ht="15.75" customHeight="1" x14ac:dyDescent="0.2">
      <c r="A40" s="44" t="s">
        <v>342</v>
      </c>
      <c r="B40" s="45" t="s">
        <v>300</v>
      </c>
      <c r="C40" s="45">
        <v>101</v>
      </c>
      <c r="D40" s="46"/>
      <c r="E40" s="47"/>
      <c r="F40" s="47">
        <v>1905</v>
      </c>
      <c r="G40" s="45"/>
      <c r="H40" s="45" t="s">
        <v>301</v>
      </c>
      <c r="I40" s="48"/>
    </row>
    <row r="41" spans="1:9" ht="15.75" customHeight="1" x14ac:dyDescent="0.2">
      <c r="A41" s="44" t="s">
        <v>343</v>
      </c>
      <c r="B41" s="45" t="s">
        <v>303</v>
      </c>
      <c r="C41" s="45">
        <v>201</v>
      </c>
      <c r="D41" s="46"/>
      <c r="E41" s="47"/>
      <c r="F41" s="47">
        <v>2455</v>
      </c>
      <c r="G41" s="45"/>
      <c r="H41" s="45" t="s">
        <v>304</v>
      </c>
      <c r="I41" s="48"/>
    </row>
    <row r="42" spans="1:9" ht="15.75" customHeight="1" x14ac:dyDescent="0.2">
      <c r="A42" s="44" t="s">
        <v>344</v>
      </c>
      <c r="B42" s="45" t="s">
        <v>303</v>
      </c>
      <c r="C42" s="45">
        <v>301</v>
      </c>
      <c r="D42" s="46"/>
      <c r="E42" s="47"/>
      <c r="F42" s="47">
        <v>2455</v>
      </c>
      <c r="G42" s="45"/>
      <c r="H42" s="45" t="s">
        <v>306</v>
      </c>
      <c r="I42" s="48"/>
    </row>
    <row r="43" spans="1:9" ht="15.75" customHeight="1" x14ac:dyDescent="0.2">
      <c r="A43" s="44" t="s">
        <v>345</v>
      </c>
      <c r="B43" s="45" t="s">
        <v>300</v>
      </c>
      <c r="C43" s="45">
        <v>102</v>
      </c>
      <c r="D43" s="46"/>
      <c r="E43" s="47"/>
      <c r="F43" s="47">
        <v>1905</v>
      </c>
      <c r="G43" s="45"/>
      <c r="H43" s="45" t="s">
        <v>308</v>
      </c>
      <c r="I43" s="48"/>
    </row>
    <row r="44" spans="1:9" ht="15.75" customHeight="1" x14ac:dyDescent="0.2">
      <c r="A44" s="44" t="s">
        <v>346</v>
      </c>
      <c r="B44" s="45" t="s">
        <v>315</v>
      </c>
      <c r="C44" s="45">
        <v>202</v>
      </c>
      <c r="D44" s="46"/>
      <c r="E44" s="47"/>
      <c r="F44" s="47">
        <v>1639</v>
      </c>
      <c r="G44" s="45"/>
      <c r="H44" s="45" t="s">
        <v>310</v>
      </c>
      <c r="I44" s="48"/>
    </row>
    <row r="45" spans="1:9" ht="15.75" customHeight="1" x14ac:dyDescent="0.2">
      <c r="A45" s="44" t="s">
        <v>347</v>
      </c>
      <c r="B45" s="45" t="s">
        <v>317</v>
      </c>
      <c r="C45" s="45">
        <v>203</v>
      </c>
      <c r="D45" s="46"/>
      <c r="E45" s="45"/>
      <c r="F45" s="48">
        <v>1589</v>
      </c>
      <c r="G45" s="45"/>
      <c r="H45" s="45" t="s">
        <v>322</v>
      </c>
      <c r="I45" s="48"/>
    </row>
    <row r="46" spans="1:9" ht="15.75" customHeight="1" x14ac:dyDescent="0.2">
      <c r="A46" s="44" t="s">
        <v>348</v>
      </c>
      <c r="B46" s="45" t="s">
        <v>315</v>
      </c>
      <c r="C46" s="45">
        <v>302</v>
      </c>
      <c r="D46" s="46"/>
      <c r="E46" s="45"/>
      <c r="F46" s="48">
        <v>1639</v>
      </c>
      <c r="G46" s="45"/>
      <c r="H46" s="45" t="s">
        <v>312</v>
      </c>
      <c r="I46" s="48"/>
    </row>
    <row r="47" spans="1:9" ht="15.75" customHeight="1" x14ac:dyDescent="0.2">
      <c r="A47" s="44" t="s">
        <v>349</v>
      </c>
      <c r="B47" s="45" t="s">
        <v>317</v>
      </c>
      <c r="C47" s="45">
        <v>303</v>
      </c>
      <c r="D47" s="46"/>
      <c r="E47" s="45"/>
      <c r="F47" s="48">
        <v>1589</v>
      </c>
      <c r="G47" s="45"/>
      <c r="H47" s="45" t="s">
        <v>324</v>
      </c>
      <c r="I47" s="48"/>
    </row>
    <row r="48" spans="1:9" ht="15.75" customHeight="1" x14ac:dyDescent="0.2">
      <c r="A48" s="44" t="s">
        <v>350</v>
      </c>
      <c r="B48" s="45" t="s">
        <v>300</v>
      </c>
      <c r="C48" s="45">
        <v>101</v>
      </c>
      <c r="D48" s="46"/>
      <c r="E48" s="45"/>
      <c r="F48" s="48">
        <v>1905</v>
      </c>
      <c r="G48" s="45"/>
      <c r="H48" s="45" t="s">
        <v>301</v>
      </c>
      <c r="I48" s="48"/>
    </row>
    <row r="49" spans="1:9" ht="15.75" customHeight="1" x14ac:dyDescent="0.2">
      <c r="A49" s="44" t="s">
        <v>351</v>
      </c>
      <c r="B49" s="45" t="s">
        <v>315</v>
      </c>
      <c r="C49" s="45">
        <v>201</v>
      </c>
      <c r="D49" s="46"/>
      <c r="E49" s="45"/>
      <c r="F49" s="48">
        <v>1639</v>
      </c>
      <c r="G49" s="45"/>
      <c r="H49" s="45" t="s">
        <v>304</v>
      </c>
      <c r="I49" s="48"/>
    </row>
    <row r="50" spans="1:9" ht="15.75" customHeight="1" x14ac:dyDescent="0.2">
      <c r="A50" s="44" t="s">
        <v>352</v>
      </c>
      <c r="B50" s="45" t="s">
        <v>317</v>
      </c>
      <c r="C50" s="45">
        <v>202</v>
      </c>
      <c r="D50" s="46"/>
      <c r="E50" s="45"/>
      <c r="F50" s="48">
        <v>1589</v>
      </c>
      <c r="G50" s="45"/>
      <c r="H50" s="45" t="s">
        <v>310</v>
      </c>
      <c r="I50" s="48"/>
    </row>
    <row r="51" spans="1:9" ht="15.75" customHeight="1" x14ac:dyDescent="0.2">
      <c r="A51" s="44" t="s">
        <v>353</v>
      </c>
      <c r="B51" s="45" t="s">
        <v>315</v>
      </c>
      <c r="C51" s="45">
        <v>301</v>
      </c>
      <c r="D51" s="46"/>
      <c r="E51" s="45"/>
      <c r="F51" s="48">
        <v>1639</v>
      </c>
      <c r="G51" s="45"/>
      <c r="H51" s="45" t="s">
        <v>306</v>
      </c>
      <c r="I51" s="48"/>
    </row>
    <row r="52" spans="1:9" ht="15.75" customHeight="1" x14ac:dyDescent="0.2">
      <c r="A52" s="44" t="s">
        <v>354</v>
      </c>
      <c r="B52" s="45" t="s">
        <v>317</v>
      </c>
      <c r="C52" s="45">
        <v>302</v>
      </c>
      <c r="D52" s="46"/>
      <c r="E52" s="45"/>
      <c r="F52" s="48">
        <v>1589</v>
      </c>
      <c r="G52" s="45"/>
      <c r="H52" s="45" t="s">
        <v>312</v>
      </c>
      <c r="I52" s="48"/>
    </row>
    <row r="53" spans="1:9" ht="15.75" customHeight="1" x14ac:dyDescent="0.2">
      <c r="A53" s="44" t="s">
        <v>355</v>
      </c>
      <c r="B53" s="45" t="s">
        <v>300</v>
      </c>
      <c r="C53" s="45">
        <v>102</v>
      </c>
      <c r="D53" s="46"/>
      <c r="E53" s="45"/>
      <c r="F53" s="48">
        <v>1905</v>
      </c>
      <c r="G53" s="45"/>
      <c r="H53" s="45" t="s">
        <v>308</v>
      </c>
      <c r="I53" s="48"/>
    </row>
    <row r="54" spans="1:9" ht="15.75" customHeight="1" x14ac:dyDescent="0.2">
      <c r="A54" s="44" t="s">
        <v>352</v>
      </c>
      <c r="B54" s="45" t="s">
        <v>303</v>
      </c>
      <c r="C54" s="45">
        <v>202</v>
      </c>
      <c r="D54" s="46"/>
      <c r="E54" s="45"/>
      <c r="F54" s="48">
        <v>2455</v>
      </c>
      <c r="G54" s="45"/>
      <c r="H54" s="45" t="s">
        <v>310</v>
      </c>
      <c r="I54" s="48"/>
    </row>
    <row r="55" spans="1:9" ht="15.75" customHeight="1" x14ac:dyDescent="0.2">
      <c r="A55" s="44" t="s">
        <v>356</v>
      </c>
      <c r="B55" s="45" t="s">
        <v>303</v>
      </c>
      <c r="C55" s="45">
        <v>301</v>
      </c>
      <c r="D55" s="46"/>
      <c r="E55" s="45"/>
      <c r="F55" s="48">
        <v>2455</v>
      </c>
      <c r="G55" s="45"/>
      <c r="H55" s="45" t="s">
        <v>306</v>
      </c>
      <c r="I55" s="48"/>
    </row>
    <row r="56" spans="1:9" ht="15.75" customHeight="1" x14ac:dyDescent="0.2">
      <c r="A56" s="44" t="s">
        <v>357</v>
      </c>
      <c r="B56" s="45" t="s">
        <v>300</v>
      </c>
      <c r="C56" s="45">
        <v>101</v>
      </c>
      <c r="D56" s="46"/>
      <c r="E56" s="45"/>
      <c r="F56" s="48">
        <v>1905</v>
      </c>
      <c r="G56" s="45"/>
      <c r="H56" s="45" t="s">
        <v>301</v>
      </c>
      <c r="I56" s="48"/>
    </row>
    <row r="57" spans="1:9" ht="15.75" customHeight="1" x14ac:dyDescent="0.2">
      <c r="A57" s="44" t="s">
        <v>358</v>
      </c>
      <c r="B57" s="45" t="s">
        <v>303</v>
      </c>
      <c r="C57" s="45">
        <v>201</v>
      </c>
      <c r="D57" s="46"/>
      <c r="E57" s="45"/>
      <c r="F57" s="48">
        <v>2455</v>
      </c>
      <c r="G57" s="45"/>
      <c r="H57" s="45" t="s">
        <v>304</v>
      </c>
      <c r="I57" s="48"/>
    </row>
    <row r="58" spans="1:9" ht="15.75" customHeight="1" x14ac:dyDescent="0.2">
      <c r="A58" s="44" t="s">
        <v>359</v>
      </c>
      <c r="B58" s="45" t="s">
        <v>303</v>
      </c>
      <c r="C58" s="45">
        <v>302</v>
      </c>
      <c r="D58" s="46"/>
      <c r="E58" s="45"/>
      <c r="F58" s="48">
        <v>2455</v>
      </c>
      <c r="G58" s="45"/>
      <c r="H58" s="45" t="s">
        <v>312</v>
      </c>
      <c r="I58" s="48"/>
    </row>
    <row r="59" spans="1:9" ht="15.75" customHeight="1" x14ac:dyDescent="0.2">
      <c r="A59" s="44" t="s">
        <v>360</v>
      </c>
      <c r="B59" s="45" t="s">
        <v>300</v>
      </c>
      <c r="C59" s="45">
        <v>102</v>
      </c>
      <c r="D59" s="46"/>
      <c r="E59" s="45"/>
      <c r="F59" s="48">
        <v>1905</v>
      </c>
      <c r="G59" s="45"/>
      <c r="H59" s="45" t="s">
        <v>308</v>
      </c>
      <c r="I59" s="48"/>
    </row>
    <row r="60" spans="1:9" ht="15.75" customHeight="1" x14ac:dyDescent="0.2">
      <c r="A60" s="44" t="s">
        <v>361</v>
      </c>
      <c r="B60" s="45" t="s">
        <v>315</v>
      </c>
      <c r="C60" s="45">
        <v>202</v>
      </c>
      <c r="D60" s="46"/>
      <c r="E60" s="45"/>
      <c r="F60" s="48">
        <v>1639</v>
      </c>
      <c r="G60" s="45"/>
      <c r="H60" s="45" t="s">
        <v>310</v>
      </c>
      <c r="I60" s="48"/>
    </row>
    <row r="61" spans="1:9" ht="15.75" customHeight="1" x14ac:dyDescent="0.2">
      <c r="A61" s="44" t="s">
        <v>362</v>
      </c>
      <c r="B61" s="45" t="s">
        <v>317</v>
      </c>
      <c r="C61" s="45">
        <v>203</v>
      </c>
      <c r="D61" s="46"/>
      <c r="E61" s="45"/>
      <c r="F61" s="48">
        <v>1589</v>
      </c>
      <c r="G61" s="45"/>
      <c r="H61" s="45" t="s">
        <v>322</v>
      </c>
      <c r="I61" s="48"/>
    </row>
    <row r="62" spans="1:9" ht="15.75" customHeight="1" x14ac:dyDescent="0.2">
      <c r="A62" s="44" t="s">
        <v>359</v>
      </c>
      <c r="B62" s="45" t="s">
        <v>315</v>
      </c>
      <c r="C62" s="45">
        <v>302</v>
      </c>
      <c r="D62" s="46"/>
      <c r="E62" s="45"/>
      <c r="F62" s="48">
        <v>1639</v>
      </c>
      <c r="G62" s="45"/>
      <c r="H62" s="45" t="s">
        <v>312</v>
      </c>
      <c r="I62" s="48"/>
    </row>
    <row r="63" spans="1:9" ht="15.75" customHeight="1" x14ac:dyDescent="0.2">
      <c r="A63" s="44" t="s">
        <v>363</v>
      </c>
      <c r="B63" s="45" t="s">
        <v>317</v>
      </c>
      <c r="C63" s="45">
        <v>303</v>
      </c>
      <c r="D63" s="46"/>
      <c r="E63" s="45"/>
      <c r="F63" s="48">
        <v>1589</v>
      </c>
      <c r="G63" s="45"/>
      <c r="H63" s="45" t="s">
        <v>324</v>
      </c>
      <c r="I63" s="48"/>
    </row>
    <row r="64" spans="1:9" ht="15.75" customHeight="1" x14ac:dyDescent="0.2">
      <c r="A64" s="44" t="s">
        <v>357</v>
      </c>
      <c r="B64" s="45" t="s">
        <v>300</v>
      </c>
      <c r="C64" s="45">
        <v>101</v>
      </c>
      <c r="D64" s="46"/>
      <c r="E64" s="45"/>
      <c r="F64" s="48">
        <v>1905</v>
      </c>
      <c r="G64" s="45"/>
      <c r="H64" s="45" t="s">
        <v>301</v>
      </c>
      <c r="I64" s="48"/>
    </row>
    <row r="65" spans="1:9" ht="15.75" customHeight="1" x14ac:dyDescent="0.2">
      <c r="A65" s="44" t="s">
        <v>358</v>
      </c>
      <c r="B65" s="45" t="s">
        <v>315</v>
      </c>
      <c r="C65" s="45">
        <v>201</v>
      </c>
      <c r="D65" s="46"/>
      <c r="E65" s="45"/>
      <c r="F65" s="48">
        <v>1639</v>
      </c>
      <c r="G65" s="45"/>
      <c r="H65" s="45" t="s">
        <v>304</v>
      </c>
      <c r="I65" s="48"/>
    </row>
    <row r="66" spans="1:9" ht="15.75" customHeight="1" x14ac:dyDescent="0.2">
      <c r="A66" s="44" t="s">
        <v>356</v>
      </c>
      <c r="B66" s="45" t="s">
        <v>315</v>
      </c>
      <c r="C66" s="45">
        <v>301</v>
      </c>
      <c r="D66" s="46"/>
      <c r="E66" s="45"/>
      <c r="F66" s="48">
        <v>1639</v>
      </c>
      <c r="G66" s="45"/>
      <c r="H66" s="45" t="s">
        <v>306</v>
      </c>
      <c r="I66" s="48"/>
    </row>
    <row r="67" spans="1:9" ht="15.75" customHeight="1" x14ac:dyDescent="0.2">
      <c r="A67" s="44" t="s">
        <v>361</v>
      </c>
      <c r="B67" s="45" t="s">
        <v>317</v>
      </c>
      <c r="C67" s="45">
        <v>202</v>
      </c>
      <c r="D67" s="46"/>
      <c r="E67" s="45"/>
      <c r="F67" s="48">
        <v>1589</v>
      </c>
      <c r="G67" s="45"/>
      <c r="H67" s="45" t="s">
        <v>310</v>
      </c>
      <c r="I67" s="48"/>
    </row>
    <row r="68" spans="1:9" ht="15.75" customHeight="1" x14ac:dyDescent="0.2">
      <c r="A68" s="44" t="s">
        <v>359</v>
      </c>
      <c r="B68" s="45" t="s">
        <v>317</v>
      </c>
      <c r="C68" s="45">
        <v>302</v>
      </c>
      <c r="D68" s="46"/>
      <c r="E68" s="45"/>
      <c r="F68" s="48">
        <v>1589</v>
      </c>
      <c r="G68" s="45"/>
      <c r="H68" s="45" t="s">
        <v>312</v>
      </c>
      <c r="I68" s="48"/>
    </row>
    <row r="69" spans="1:9" ht="15.75" customHeight="1" x14ac:dyDescent="0.2">
      <c r="A69" s="44"/>
      <c r="B69" s="45"/>
      <c r="C69" s="45"/>
      <c r="D69" s="46"/>
      <c r="E69" s="45"/>
      <c r="G69" s="45"/>
      <c r="H69" s="45"/>
      <c r="I69" s="48"/>
    </row>
    <row r="70" spans="1:9" ht="15.75" customHeight="1" x14ac:dyDescent="0.2">
      <c r="A70" s="44"/>
      <c r="B70" s="45"/>
      <c r="C70" s="45"/>
      <c r="D70" s="46"/>
      <c r="E70" s="45"/>
      <c r="G70" s="45"/>
      <c r="H70" s="45"/>
      <c r="I70" s="48"/>
    </row>
    <row r="71" spans="1:9" ht="15.75" customHeight="1" x14ac:dyDescent="0.2">
      <c r="A71" s="44"/>
      <c r="B71" s="45"/>
      <c r="C71" s="45"/>
      <c r="D71" s="46"/>
      <c r="E71" s="45"/>
      <c r="G71" s="45"/>
      <c r="H71" s="45"/>
      <c r="I71" s="48"/>
    </row>
    <row r="72" spans="1:9" ht="15.75" customHeight="1" x14ac:dyDescent="0.2">
      <c r="A72" s="44"/>
      <c r="B72" s="45"/>
      <c r="C72" s="45"/>
      <c r="D72" s="46"/>
      <c r="E72" s="45"/>
      <c r="G72" s="45"/>
      <c r="H72" s="45"/>
      <c r="I72" s="48"/>
    </row>
    <row r="73" spans="1:9" ht="15.75" customHeight="1" x14ac:dyDescent="0.2">
      <c r="A73" s="44"/>
      <c r="B73" s="45"/>
      <c r="C73" s="45"/>
      <c r="D73" s="46"/>
      <c r="E73" s="45"/>
      <c r="G73" s="45"/>
      <c r="H73" s="45"/>
      <c r="I73" s="48"/>
    </row>
    <row r="74" spans="1:9" ht="15.75" customHeight="1" x14ac:dyDescent="0.2">
      <c r="A74" s="44"/>
      <c r="B74" s="45"/>
      <c r="C74" s="45"/>
      <c r="D74" s="46"/>
      <c r="E74" s="45"/>
      <c r="G74" s="45"/>
      <c r="H74" s="45"/>
      <c r="I74" s="48"/>
    </row>
    <row r="75" spans="1:9" ht="15.75" customHeight="1" x14ac:dyDescent="0.2">
      <c r="A75" s="44"/>
      <c r="B75" s="45"/>
      <c r="C75" s="45"/>
      <c r="D75" s="46"/>
      <c r="E75" s="45"/>
      <c r="G75" s="45"/>
      <c r="H75" s="45"/>
      <c r="I75" s="48"/>
    </row>
    <row r="76" spans="1:9" ht="15.75" customHeight="1" x14ac:dyDescent="0.2">
      <c r="A76" s="44"/>
      <c r="B76" s="45"/>
      <c r="C76" s="45"/>
      <c r="D76" s="46"/>
      <c r="E76" s="45"/>
      <c r="G76" s="45"/>
      <c r="H76" s="45"/>
      <c r="I76" s="48"/>
    </row>
    <row r="77" spans="1:9" ht="15.75" customHeight="1" x14ac:dyDescent="0.2">
      <c r="A77" s="44"/>
      <c r="B77" s="45"/>
      <c r="C77" s="45"/>
      <c r="D77" s="46"/>
      <c r="E77" s="45"/>
      <c r="G77" s="45"/>
      <c r="H77" s="45"/>
      <c r="I77" s="48"/>
    </row>
    <row r="78" spans="1:9" ht="15.75" customHeight="1" x14ac:dyDescent="0.2">
      <c r="A78" s="44"/>
      <c r="B78" s="45"/>
      <c r="C78" s="45"/>
      <c r="D78" s="46"/>
      <c r="E78" s="45"/>
      <c r="G78" s="45"/>
      <c r="H78" s="45"/>
      <c r="I78" s="48"/>
    </row>
    <row r="79" spans="1:9" ht="15.75" customHeight="1" x14ac:dyDescent="0.2">
      <c r="A79" s="44"/>
      <c r="B79" s="45"/>
      <c r="C79" s="45"/>
      <c r="D79" s="46"/>
      <c r="E79" s="45"/>
      <c r="G79" s="45"/>
      <c r="H79" s="45"/>
      <c r="I79" s="48"/>
    </row>
    <row r="80" spans="1:9" ht="15.75" customHeight="1" x14ac:dyDescent="0.2">
      <c r="A80" s="44"/>
      <c r="B80" s="45"/>
      <c r="C80" s="45"/>
      <c r="D80" s="46"/>
      <c r="E80" s="45"/>
      <c r="G80" s="45"/>
      <c r="H80" s="45"/>
      <c r="I80" s="48"/>
    </row>
    <row r="81" spans="1:9" ht="15.75" customHeight="1" x14ac:dyDescent="0.2">
      <c r="A81" s="44"/>
      <c r="B81" s="45"/>
      <c r="C81" s="45"/>
      <c r="D81" s="46"/>
      <c r="E81" s="45"/>
      <c r="G81" s="45"/>
      <c r="H81" s="45"/>
      <c r="I81" s="48"/>
    </row>
    <row r="82" spans="1:9" ht="15.75" customHeight="1" x14ac:dyDescent="0.2">
      <c r="A82" s="44"/>
      <c r="B82" s="45"/>
      <c r="C82" s="45"/>
      <c r="D82" s="46"/>
      <c r="E82" s="45"/>
      <c r="G82" s="45"/>
      <c r="H82" s="45"/>
      <c r="I82" s="48"/>
    </row>
    <row r="83" spans="1:9" ht="15.75" customHeight="1" x14ac:dyDescent="0.2">
      <c r="A83" s="44"/>
      <c r="B83" s="45"/>
      <c r="C83" s="45"/>
      <c r="D83" s="46"/>
      <c r="E83" s="45"/>
      <c r="G83" s="45"/>
      <c r="H83" s="45"/>
      <c r="I83" s="48"/>
    </row>
    <row r="84" spans="1:9" ht="15.75" customHeight="1" x14ac:dyDescent="0.2">
      <c r="A84" s="44"/>
      <c r="B84" s="45"/>
      <c r="C84" s="45"/>
      <c r="D84" s="46"/>
      <c r="E84" s="45"/>
      <c r="G84" s="45"/>
      <c r="H84" s="45"/>
      <c r="I84" s="48"/>
    </row>
    <row r="85" spans="1:9" ht="15.75" customHeight="1" x14ac:dyDescent="0.2">
      <c r="A85" s="44"/>
      <c r="B85" s="45"/>
      <c r="C85" s="45"/>
      <c r="D85" s="46"/>
      <c r="E85" s="45"/>
      <c r="G85" s="45"/>
      <c r="H85" s="45"/>
      <c r="I85" s="48"/>
    </row>
    <row r="86" spans="1:9" ht="15.75" customHeight="1" x14ac:dyDescent="0.2">
      <c r="A86" s="44"/>
      <c r="B86" s="45"/>
      <c r="C86" s="45"/>
      <c r="D86" s="46"/>
      <c r="E86" s="45"/>
      <c r="G86" s="45"/>
      <c r="H86" s="45"/>
      <c r="I86" s="48"/>
    </row>
    <row r="87" spans="1:9" ht="15.75" customHeight="1" x14ac:dyDescent="0.2">
      <c r="A87" s="44"/>
      <c r="B87" s="45"/>
      <c r="C87" s="45"/>
      <c r="D87" s="46"/>
      <c r="E87" s="45"/>
      <c r="G87" s="45"/>
      <c r="H87" s="45"/>
      <c r="I87" s="48"/>
    </row>
    <row r="88" spans="1:9" ht="15.75" customHeight="1" x14ac:dyDescent="0.2">
      <c r="A88" s="44"/>
      <c r="B88" s="45"/>
      <c r="C88" s="45"/>
      <c r="D88" s="46"/>
      <c r="E88" s="45"/>
      <c r="G88" s="45"/>
      <c r="H88" s="45"/>
      <c r="I88" s="48"/>
    </row>
    <row r="89" spans="1:9" ht="15.75" customHeight="1" x14ac:dyDescent="0.2">
      <c r="A89" s="44"/>
      <c r="B89" s="45"/>
      <c r="C89" s="45"/>
      <c r="D89" s="46"/>
      <c r="E89" s="45"/>
      <c r="G89" s="45"/>
      <c r="H89" s="45"/>
      <c r="I89" s="48"/>
    </row>
    <row r="90" spans="1:9" ht="15.75" customHeight="1" x14ac:dyDescent="0.2">
      <c r="A90" s="44"/>
      <c r="B90" s="45"/>
      <c r="C90" s="45"/>
      <c r="D90" s="46"/>
      <c r="E90" s="45"/>
      <c r="G90" s="45"/>
      <c r="H90" s="45"/>
      <c r="I90" s="48"/>
    </row>
    <row r="91" spans="1:9" ht="15.75" customHeight="1" x14ac:dyDescent="0.2">
      <c r="A91" s="44"/>
      <c r="B91" s="45"/>
      <c r="C91" s="45"/>
      <c r="D91" s="46"/>
      <c r="E91" s="45"/>
      <c r="G91" s="45"/>
      <c r="H91" s="45"/>
      <c r="I91" s="48"/>
    </row>
    <row r="92" spans="1:9" ht="15.75" customHeight="1" x14ac:dyDescent="0.2">
      <c r="A92" s="44"/>
      <c r="B92" s="45"/>
      <c r="C92" s="45"/>
      <c r="D92" s="46"/>
      <c r="E92" s="45"/>
      <c r="G92" s="45"/>
      <c r="H92" s="45"/>
      <c r="I92" s="48"/>
    </row>
    <row r="93" spans="1:9" ht="15.75" customHeight="1" x14ac:dyDescent="0.2">
      <c r="A93" s="44"/>
      <c r="B93" s="45"/>
      <c r="C93" s="45"/>
      <c r="D93" s="46"/>
      <c r="E93" s="45"/>
      <c r="G93" s="45"/>
      <c r="H93" s="45"/>
      <c r="I93" s="48"/>
    </row>
    <row r="94" spans="1:9" ht="15.75" customHeight="1" x14ac:dyDescent="0.2">
      <c r="A94" s="44"/>
      <c r="B94" s="45"/>
      <c r="C94" s="45"/>
      <c r="D94" s="46"/>
      <c r="E94" s="45"/>
      <c r="G94" s="45"/>
      <c r="H94" s="45"/>
      <c r="I94" s="48"/>
    </row>
    <row r="95" spans="1:9" ht="15.75" customHeight="1" x14ac:dyDescent="0.2"/>
    <row r="96" spans="1: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zoomScaleNormal="100" zoomScalePageLayoutView="60" workbookViewId="0"/>
  </sheetViews>
  <sheetFormatPr baseColWidth="10" defaultColWidth="14.5" defaultRowHeight="15" customHeight="1" x14ac:dyDescent="0.2"/>
  <cols>
    <col min="1" max="1" width="45" customWidth="1"/>
    <col min="2" max="2" width="12.6640625" customWidth="1"/>
    <col min="3" max="3" width="18" customWidth="1"/>
    <col min="4" max="4" width="12" customWidth="1"/>
    <col min="5" max="6" width="16" customWidth="1"/>
    <col min="7" max="26" width="8.83203125" customWidth="1"/>
  </cols>
  <sheetData>
    <row r="1" spans="1:5" ht="18.75" customHeight="1" x14ac:dyDescent="0.25">
      <c r="A1" s="5" t="s">
        <v>364</v>
      </c>
    </row>
    <row r="2" spans="1:5" ht="15" customHeight="1" x14ac:dyDescent="0.2">
      <c r="A2" s="36" t="s">
        <v>365</v>
      </c>
    </row>
    <row r="4" spans="1:5" ht="15" customHeight="1" x14ac:dyDescent="0.2">
      <c r="A4" s="23" t="s">
        <v>366</v>
      </c>
      <c r="B4" s="50"/>
      <c r="C4" s="50"/>
      <c r="D4" s="50"/>
      <c r="E4" s="50"/>
    </row>
    <row r="5" spans="1:5" ht="15" customHeight="1" x14ac:dyDescent="0.2">
      <c r="A5" s="51" t="s">
        <v>367</v>
      </c>
      <c r="B5" s="51" t="s">
        <v>368</v>
      </c>
      <c r="C5" s="51" t="s">
        <v>369</v>
      </c>
      <c r="D5" s="51" t="s">
        <v>370</v>
      </c>
      <c r="E5" s="51" t="s">
        <v>371</v>
      </c>
    </row>
    <row r="6" spans="1:5" ht="15" customHeight="1" x14ac:dyDescent="0.2">
      <c r="A6" s="39" t="s">
        <v>372</v>
      </c>
      <c r="B6" s="52" t="s">
        <v>373</v>
      </c>
      <c r="C6" s="53">
        <v>750000</v>
      </c>
      <c r="D6" s="54">
        <f>C6/SUMIF($B$6,"E",$C$6)</f>
        <v>1</v>
      </c>
      <c r="E6" s="54">
        <f>C6/SUM($C$6)</f>
        <v>1</v>
      </c>
    </row>
    <row r="7" spans="1:5" ht="15" customHeight="1" x14ac:dyDescent="0.2">
      <c r="A7" s="39" t="s">
        <v>374</v>
      </c>
      <c r="B7" s="52" t="s">
        <v>373</v>
      </c>
      <c r="C7" s="53">
        <v>500000</v>
      </c>
      <c r="D7" s="54">
        <f>C7/SUMIF($B$6:$B$7,"E",$C$6:$C$7)</f>
        <v>0.4</v>
      </c>
      <c r="E7" s="54">
        <f>C7/SUM($C$6:$C$7)</f>
        <v>0.4</v>
      </c>
    </row>
    <row r="8" spans="1:5" ht="15" customHeight="1" x14ac:dyDescent="0.2">
      <c r="A8" s="39" t="s">
        <v>375</v>
      </c>
      <c r="B8" s="55" t="s">
        <v>376</v>
      </c>
      <c r="C8" s="53">
        <v>4.5</v>
      </c>
      <c r="D8" s="54">
        <f>C8/SUMIF($B$6:$B$8,"A",$C$6:$C$8)</f>
        <v>1</v>
      </c>
      <c r="E8" s="54">
        <f>C8/SUM($C$6:$C$8)</f>
        <v>3.5999870400466557E-6</v>
      </c>
    </row>
    <row r="9" spans="1:5" ht="15" customHeight="1" x14ac:dyDescent="0.2">
      <c r="A9" s="39" t="s">
        <v>377</v>
      </c>
      <c r="B9" s="55" t="s">
        <v>376</v>
      </c>
      <c r="C9" s="53">
        <v>10.5</v>
      </c>
      <c r="D9" s="54">
        <f>C9/SUMIF($B$6:$B$9,"A",$C$6:$C$9)</f>
        <v>0.7</v>
      </c>
      <c r="E9" s="54">
        <f>C9/SUM($C$6:$C$9)</f>
        <v>8.3998992012095862E-6</v>
      </c>
    </row>
    <row r="10" spans="1:5" ht="15" customHeight="1" x14ac:dyDescent="0.2">
      <c r="A10" s="39" t="s">
        <v>378</v>
      </c>
      <c r="B10" s="52" t="s">
        <v>373</v>
      </c>
      <c r="C10" s="53">
        <v>3152</v>
      </c>
      <c r="D10" s="54">
        <f>C10/SUMIF($B$6:$B$10,"E",$C$6:$C$10)</f>
        <v>2.5152575266208727E-3</v>
      </c>
      <c r="E10" s="54">
        <f>C10/SUM($C$6:$C$10)</f>
        <v>2.5152274198091715E-3</v>
      </c>
    </row>
    <row r="11" spans="1:5" ht="15" customHeight="1" x14ac:dyDescent="0.2">
      <c r="A11" s="39" t="s">
        <v>379</v>
      </c>
      <c r="B11" s="52" t="s">
        <v>373</v>
      </c>
      <c r="C11" s="53">
        <v>250000</v>
      </c>
      <c r="D11" s="54">
        <f>C11/SUMIF($B$6:$B$11,"E",$C$6:$C$11)</f>
        <v>0.16631717883487498</v>
      </c>
      <c r="E11" s="54">
        <f>C11/SUM($C$6:$C$11)</f>
        <v>0.16631551916719833</v>
      </c>
    </row>
    <row r="12" spans="1:5" ht="15" customHeight="1" x14ac:dyDescent="0.2">
      <c r="A12" s="39" t="s">
        <v>380</v>
      </c>
      <c r="B12" s="52" t="s">
        <v>373</v>
      </c>
      <c r="C12" s="53">
        <v>250000</v>
      </c>
      <c r="D12" s="54">
        <f>C12/SUMIF($B$6:$B$12,"E",$C$6:$C$12)</f>
        <v>0.14260029934654839</v>
      </c>
      <c r="E12" s="54">
        <f>C12/SUM($C$6:$C$12)</f>
        <v>0.142599079266265</v>
      </c>
    </row>
    <row r="13" spans="1:5" ht="15" customHeight="1" x14ac:dyDescent="0.2">
      <c r="A13" s="39" t="s">
        <v>381</v>
      </c>
      <c r="B13" s="52" t="s">
        <v>373</v>
      </c>
      <c r="C13" s="53">
        <v>100000</v>
      </c>
      <c r="D13" s="54">
        <f>C13/SUMIF($B$6:$B$13,"E",$C$6:$C$13)</f>
        <v>5.3962114278807136E-2</v>
      </c>
      <c r="E13" s="54">
        <f>C13/SUM($C$6:$C$13)</f>
        <v>5.3961677495875979E-2</v>
      </c>
    </row>
    <row r="14" spans="1:5" ht="15" customHeight="1" x14ac:dyDescent="0.2">
      <c r="A14" s="56" t="s">
        <v>382</v>
      </c>
      <c r="B14" s="56" t="s">
        <v>373</v>
      </c>
      <c r="C14" s="57">
        <f>'I_Inputs &amp; Assumptions'!B68-SUMIF(B6:B13,"E",C6:C13)</f>
        <v>946848</v>
      </c>
      <c r="D14" s="58">
        <f>C14/SUMIF($B$6:$B$14,"E",$C$6:$C$14)</f>
        <v>0.33816000000000002</v>
      </c>
      <c r="E14" s="58">
        <f>C14/SUM($C$6:$C$14)</f>
        <v>0.33815818843827622</v>
      </c>
    </row>
    <row r="15" spans="1:5" ht="15" customHeight="1" x14ac:dyDescent="0.2">
      <c r="A15" s="59" t="s">
        <v>383</v>
      </c>
      <c r="B15" s="60" t="s">
        <v>376</v>
      </c>
      <c r="C15" s="61">
        <f>SUMIF(B6:B14,"A",C6:C14)</f>
        <v>15</v>
      </c>
      <c r="D15" s="62" t="s">
        <v>384</v>
      </c>
      <c r="E15" s="63">
        <f>C15/SUM(C6:C14)</f>
        <v>5.3571141583170087E-6</v>
      </c>
    </row>
    <row r="16" spans="1:5" ht="15" customHeight="1" x14ac:dyDescent="0.2">
      <c r="A16" s="64" t="s">
        <v>385</v>
      </c>
      <c r="B16" s="65" t="s">
        <v>373</v>
      </c>
      <c r="C16" s="66">
        <f>SUMIF(B6:B14,"E",C6:C14)</f>
        <v>2800000</v>
      </c>
      <c r="D16" s="67" t="s">
        <v>384</v>
      </c>
      <c r="E16" s="68">
        <f>C16/SUM(C6:C14)</f>
        <v>0.99999464288584172</v>
      </c>
    </row>
    <row r="18" spans="1:6" ht="15" customHeight="1" x14ac:dyDescent="0.2">
      <c r="A18" s="69" t="s">
        <v>386</v>
      </c>
      <c r="C18" s="70">
        <f>C15+C16</f>
        <v>2800015</v>
      </c>
      <c r="E18" s="71" t="s">
        <v>384</v>
      </c>
    </row>
    <row r="21" spans="1:6" ht="15" customHeight="1" x14ac:dyDescent="0.2">
      <c r="A21" s="23" t="s">
        <v>387</v>
      </c>
    </row>
    <row r="22" spans="1:6" ht="15" customHeight="1" x14ac:dyDescent="0.2">
      <c r="A22" s="36" t="s">
        <v>388</v>
      </c>
    </row>
    <row r="23" spans="1:6" ht="15.75" customHeight="1" x14ac:dyDescent="0.2"/>
    <row r="24" spans="1:6" ht="15" customHeight="1" x14ac:dyDescent="0.2">
      <c r="A24" s="51" t="s">
        <v>367</v>
      </c>
      <c r="B24" s="51" t="s">
        <v>368</v>
      </c>
      <c r="C24" s="51" t="s">
        <v>389</v>
      </c>
      <c r="D24" s="51" t="s">
        <v>390</v>
      </c>
      <c r="E24" s="51" t="s">
        <v>391</v>
      </c>
      <c r="F24" s="51" t="s">
        <v>392</v>
      </c>
    </row>
    <row r="25" spans="1:6" ht="15" customHeight="1" x14ac:dyDescent="0.2">
      <c r="A25" s="39" t="s">
        <v>372</v>
      </c>
      <c r="B25" s="52" t="s">
        <v>373</v>
      </c>
      <c r="C25" s="53">
        <f t="shared" ref="C25:C33" si="0">C6</f>
        <v>750000</v>
      </c>
      <c r="D25" s="54">
        <f>C25/C$16</f>
        <v>0.26785714285714285</v>
      </c>
      <c r="E25" s="72">
        <f t="shared" ref="E25:E33" si="1">C25</f>
        <v>750000</v>
      </c>
      <c r="F25" s="53">
        <f t="shared" ref="F25:F33" si="2">C25-E25</f>
        <v>0</v>
      </c>
    </row>
    <row r="26" spans="1:6" ht="15" customHeight="1" x14ac:dyDescent="0.2">
      <c r="A26" s="39" t="s">
        <v>374</v>
      </c>
      <c r="B26" s="52" t="s">
        <v>373</v>
      </c>
      <c r="C26" s="53">
        <f t="shared" si="0"/>
        <v>500000</v>
      </c>
      <c r="D26" s="54">
        <f>C26/C$16</f>
        <v>0.17857142857142858</v>
      </c>
      <c r="E26" s="72">
        <f t="shared" si="1"/>
        <v>500000</v>
      </c>
      <c r="F26" s="53">
        <f t="shared" si="2"/>
        <v>0</v>
      </c>
    </row>
    <row r="27" spans="1:6" ht="15" customHeight="1" x14ac:dyDescent="0.2">
      <c r="A27" s="39" t="s">
        <v>375</v>
      </c>
      <c r="B27" s="55" t="s">
        <v>376</v>
      </c>
      <c r="C27" s="53">
        <f t="shared" si="0"/>
        <v>4.5</v>
      </c>
      <c r="D27" s="39" t="s">
        <v>393</v>
      </c>
      <c r="E27" s="72">
        <f t="shared" si="1"/>
        <v>4.5</v>
      </c>
      <c r="F27" s="53">
        <f t="shared" si="2"/>
        <v>0</v>
      </c>
    </row>
    <row r="28" spans="1:6" ht="15" customHeight="1" x14ac:dyDescent="0.2">
      <c r="A28" s="39" t="s">
        <v>377</v>
      </c>
      <c r="B28" s="55" t="s">
        <v>376</v>
      </c>
      <c r="C28" s="53">
        <f t="shared" si="0"/>
        <v>10.5</v>
      </c>
      <c r="D28" s="39" t="s">
        <v>393</v>
      </c>
      <c r="E28" s="72">
        <f t="shared" si="1"/>
        <v>10.5</v>
      </c>
      <c r="F28" s="53">
        <f t="shared" si="2"/>
        <v>0</v>
      </c>
    </row>
    <row r="29" spans="1:6" ht="15" customHeight="1" x14ac:dyDescent="0.2">
      <c r="A29" s="39" t="s">
        <v>378</v>
      </c>
      <c r="B29" s="52" t="s">
        <v>373</v>
      </c>
      <c r="C29" s="53">
        <f t="shared" si="0"/>
        <v>3152</v>
      </c>
      <c r="D29" s="54">
        <f>C29/C$16</f>
        <v>1.1257142857142857E-3</v>
      </c>
      <c r="E29" s="72">
        <f t="shared" si="1"/>
        <v>3152</v>
      </c>
      <c r="F29" s="53">
        <f t="shared" si="2"/>
        <v>0</v>
      </c>
    </row>
    <row r="30" spans="1:6" ht="15" customHeight="1" x14ac:dyDescent="0.2">
      <c r="A30" s="39" t="s">
        <v>379</v>
      </c>
      <c r="B30" s="52" t="s">
        <v>373</v>
      </c>
      <c r="C30" s="53">
        <f t="shared" si="0"/>
        <v>250000</v>
      </c>
      <c r="D30" s="54">
        <f>C30/C$16</f>
        <v>8.9285714285714288E-2</v>
      </c>
      <c r="E30" s="72">
        <f t="shared" si="1"/>
        <v>250000</v>
      </c>
      <c r="F30" s="53">
        <f t="shared" si="2"/>
        <v>0</v>
      </c>
    </row>
    <row r="31" spans="1:6" ht="15" customHeight="1" x14ac:dyDescent="0.2">
      <c r="A31" s="39" t="s">
        <v>380</v>
      </c>
      <c r="B31" s="52" t="s">
        <v>373</v>
      </c>
      <c r="C31" s="53">
        <f t="shared" si="0"/>
        <v>250000</v>
      </c>
      <c r="D31" s="54">
        <f>C31/C$16</f>
        <v>8.9285714285714288E-2</v>
      </c>
      <c r="E31" s="72">
        <f t="shared" si="1"/>
        <v>250000</v>
      </c>
      <c r="F31" s="53">
        <f t="shared" si="2"/>
        <v>0</v>
      </c>
    </row>
    <row r="32" spans="1:6" ht="15" customHeight="1" x14ac:dyDescent="0.2">
      <c r="A32" s="39" t="s">
        <v>381</v>
      </c>
      <c r="B32" s="52" t="s">
        <v>373</v>
      </c>
      <c r="C32" s="53">
        <f t="shared" si="0"/>
        <v>100000</v>
      </c>
      <c r="D32" s="54">
        <f>C32/C$16</f>
        <v>3.5714285714285712E-2</v>
      </c>
      <c r="E32" s="72">
        <f t="shared" si="1"/>
        <v>100000</v>
      </c>
      <c r="F32" s="53">
        <f t="shared" si="2"/>
        <v>0</v>
      </c>
    </row>
    <row r="33" spans="1:6" ht="15" customHeight="1" x14ac:dyDescent="0.2">
      <c r="A33" s="56" t="s">
        <v>382</v>
      </c>
      <c r="B33" t="s">
        <v>373</v>
      </c>
      <c r="C33" s="57">
        <f t="shared" si="0"/>
        <v>946848</v>
      </c>
      <c r="D33" s="58">
        <f>C33/C$16</f>
        <v>0.33816000000000002</v>
      </c>
      <c r="E33" s="73">
        <f t="shared" si="1"/>
        <v>946848</v>
      </c>
      <c r="F33" s="73">
        <f t="shared" si="2"/>
        <v>0</v>
      </c>
    </row>
    <row r="34" spans="1:6" ht="15" customHeight="1" x14ac:dyDescent="0.2">
      <c r="A34" s="74" t="s">
        <v>394</v>
      </c>
      <c r="C34" s="70">
        <f>SUM(C25:C33)</f>
        <v>2800015</v>
      </c>
      <c r="E34" s="70">
        <f>SUM(E25:E33)</f>
        <v>2800015</v>
      </c>
      <c r="F34" s="70">
        <f>SUM(F25:F33)</f>
        <v>0</v>
      </c>
    </row>
    <row r="35" spans="1:6" ht="15.75" customHeight="1" x14ac:dyDescent="0.2"/>
    <row r="36" spans="1:6" ht="15.75" customHeight="1" x14ac:dyDescent="0.2"/>
    <row r="37" spans="1:6" ht="15" customHeight="1" x14ac:dyDescent="0.2">
      <c r="A37" s="75" t="s">
        <v>395</v>
      </c>
    </row>
    <row r="38" spans="1:6" ht="15" customHeight="1" x14ac:dyDescent="0.2">
      <c r="A38" s="36" t="s">
        <v>396</v>
      </c>
      <c r="B38" s="76">
        <f>C18</f>
        <v>2800015</v>
      </c>
    </row>
    <row r="39" spans="1:6" ht="15" customHeight="1" x14ac:dyDescent="0.2">
      <c r="A39" s="36" t="s">
        <v>397</v>
      </c>
      <c r="B39" s="76">
        <f>E34</f>
        <v>2800015</v>
      </c>
    </row>
    <row r="40" spans="1:6" ht="15" customHeight="1" x14ac:dyDescent="0.2">
      <c r="A40" s="36" t="s">
        <v>398</v>
      </c>
      <c r="B40" s="76">
        <f>'Senior Construction Financing'!B57</f>
        <v>2800015</v>
      </c>
    </row>
    <row r="41" spans="1:6" ht="15" customHeight="1" x14ac:dyDescent="0.2">
      <c r="A41" s="13" t="s">
        <v>399</v>
      </c>
      <c r="B41" s="77">
        <f>B40-B39</f>
        <v>0</v>
      </c>
    </row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zoomScaleNormal="100" zoomScalePageLayoutView="60" workbookViewId="0"/>
  </sheetViews>
  <sheetFormatPr baseColWidth="10" defaultColWidth="14.5" defaultRowHeight="15" customHeight="1" x14ac:dyDescent="0.2"/>
  <cols>
    <col min="1" max="1" width="8" customWidth="1"/>
    <col min="2" max="2" width="35" customWidth="1"/>
    <col min="3" max="3" width="18" customWidth="1"/>
    <col min="4" max="4" width="12" customWidth="1"/>
    <col min="5" max="5" width="30" customWidth="1"/>
    <col min="6" max="26" width="8.83203125" customWidth="1"/>
  </cols>
  <sheetData>
    <row r="1" spans="1:5" ht="18.75" customHeight="1" x14ac:dyDescent="0.25">
      <c r="A1" s="5" t="s">
        <v>400</v>
      </c>
    </row>
    <row r="2" spans="1:5" ht="15" customHeight="1" x14ac:dyDescent="0.2">
      <c r="A2" s="36" t="s">
        <v>401</v>
      </c>
    </row>
    <row r="4" spans="1:5" ht="15" customHeight="1" x14ac:dyDescent="0.2">
      <c r="A4" s="23" t="s">
        <v>402</v>
      </c>
      <c r="B4" s="50"/>
      <c r="C4" s="50"/>
      <c r="D4" s="50"/>
      <c r="E4" s="50"/>
    </row>
    <row r="5" spans="1:5" ht="15" customHeight="1" x14ac:dyDescent="0.2">
      <c r="A5" s="51" t="s">
        <v>403</v>
      </c>
      <c r="B5" s="51" t="s">
        <v>367</v>
      </c>
      <c r="C5" s="51" t="s">
        <v>404</v>
      </c>
      <c r="D5" s="51" t="s">
        <v>405</v>
      </c>
      <c r="E5" s="51" t="s">
        <v>406</v>
      </c>
    </row>
    <row r="6" spans="1:5" ht="15" customHeight="1" x14ac:dyDescent="0.2">
      <c r="A6" s="78" t="s">
        <v>407</v>
      </c>
      <c r="B6" s="79"/>
      <c r="C6" s="72">
        <v>0</v>
      </c>
      <c r="D6" s="80">
        <v>0</v>
      </c>
      <c r="E6" s="79"/>
    </row>
    <row r="7" spans="1:5" ht="15" customHeight="1" x14ac:dyDescent="0.2">
      <c r="A7" s="78" t="s">
        <v>408</v>
      </c>
      <c r="B7" s="79"/>
      <c r="C7" s="72">
        <v>0</v>
      </c>
      <c r="D7" s="80">
        <v>0</v>
      </c>
      <c r="E7" s="79"/>
    </row>
    <row r="8" spans="1:5" ht="15" customHeight="1" x14ac:dyDescent="0.2">
      <c r="A8" s="78" t="s">
        <v>409</v>
      </c>
      <c r="B8" s="79"/>
      <c r="C8" s="72">
        <v>0</v>
      </c>
      <c r="D8" s="80">
        <v>0</v>
      </c>
      <c r="E8" s="79"/>
    </row>
    <row r="9" spans="1:5" ht="15" customHeight="1" x14ac:dyDescent="0.2">
      <c r="A9" s="78" t="s">
        <v>410</v>
      </c>
      <c r="B9" s="79"/>
      <c r="C9" s="72">
        <v>0</v>
      </c>
      <c r="D9" s="80">
        <v>0</v>
      </c>
      <c r="E9" s="79"/>
    </row>
    <row r="10" spans="1:5" ht="15" customHeight="1" x14ac:dyDescent="0.2">
      <c r="A10" s="78" t="s">
        <v>411</v>
      </c>
      <c r="B10" s="79"/>
      <c r="C10" s="72">
        <v>0</v>
      </c>
      <c r="D10" s="80">
        <v>0</v>
      </c>
      <c r="E10" s="79"/>
    </row>
    <row r="11" spans="1:5" ht="15" customHeight="1" x14ac:dyDescent="0.2">
      <c r="A11" s="78" t="s">
        <v>412</v>
      </c>
      <c r="B11" s="79">
        <f>B32-B13-B10*2</f>
        <v>0</v>
      </c>
      <c r="C11" s="72">
        <v>0</v>
      </c>
      <c r="D11" s="80">
        <v>0</v>
      </c>
      <c r="E11" s="79"/>
    </row>
    <row r="12" spans="1:5" ht="15" customHeight="1" x14ac:dyDescent="0.2">
      <c r="A12" s="78" t="s">
        <v>413</v>
      </c>
      <c r="B12" s="79"/>
      <c r="C12" s="72">
        <v>0</v>
      </c>
      <c r="D12" s="80">
        <v>0</v>
      </c>
      <c r="E12" s="79"/>
    </row>
    <row r="13" spans="1:5" ht="15" customHeight="1" x14ac:dyDescent="0.2">
      <c r="A13" s="78" t="s">
        <v>414</v>
      </c>
      <c r="B13" s="79"/>
      <c r="C13" s="72">
        <v>0</v>
      </c>
      <c r="D13" s="80">
        <v>0</v>
      </c>
      <c r="E13" s="79"/>
    </row>
    <row r="14" spans="1:5" ht="15" customHeight="1" x14ac:dyDescent="0.2">
      <c r="A14" s="78" t="s">
        <v>415</v>
      </c>
      <c r="B14" s="79"/>
      <c r="C14" s="72">
        <v>0</v>
      </c>
      <c r="D14" s="80">
        <v>0</v>
      </c>
      <c r="E14" s="79"/>
    </row>
    <row r="15" spans="1:5" ht="15" customHeight="1" x14ac:dyDescent="0.2">
      <c r="A15" s="78" t="s">
        <v>416</v>
      </c>
      <c r="B15" s="79"/>
      <c r="C15" s="72">
        <v>0</v>
      </c>
      <c r="D15" s="80">
        <v>0</v>
      </c>
      <c r="E15" s="79"/>
    </row>
    <row r="17" spans="1:5" ht="15" customHeight="1" x14ac:dyDescent="0.2">
      <c r="A17" s="81" t="s">
        <v>417</v>
      </c>
      <c r="B17" s="74" t="s">
        <v>418</v>
      </c>
      <c r="C17" s="82">
        <f>SUM(C6:C15)</f>
        <v>0</v>
      </c>
      <c r="D17" s="83" t="s">
        <v>419</v>
      </c>
      <c r="E17" s="84" t="e">
        <f>SUMPRODUCT(C6:C15,D6:D15)/C17</f>
        <v>#DIV/0!</v>
      </c>
    </row>
    <row r="20" spans="1:5" ht="15" customHeight="1" x14ac:dyDescent="0.2">
      <c r="A20" s="13" t="s">
        <v>420</v>
      </c>
    </row>
    <row r="21" spans="1:5" ht="15" customHeight="1" x14ac:dyDescent="0.2">
      <c r="A21" s="25" t="s">
        <v>421</v>
      </c>
    </row>
    <row r="22" spans="1:5" ht="15" customHeight="1" x14ac:dyDescent="0.2">
      <c r="A22" s="25" t="s">
        <v>422</v>
      </c>
    </row>
    <row r="23" spans="1:5" ht="15" customHeight="1" x14ac:dyDescent="0.2">
      <c r="A23" s="25" t="s">
        <v>423</v>
      </c>
    </row>
    <row r="24" spans="1:5" ht="15" customHeight="1" x14ac:dyDescent="0.2">
      <c r="A24" s="25" t="s">
        <v>424</v>
      </c>
    </row>
    <row r="25" spans="1:5" ht="15" customHeight="1" x14ac:dyDescent="0.2">
      <c r="A25" s="25" t="s">
        <v>425</v>
      </c>
    </row>
    <row r="26" spans="1:5" ht="15" customHeight="1" x14ac:dyDescent="0.2">
      <c r="A26" s="36" t="s">
        <v>426</v>
      </c>
    </row>
    <row r="27" spans="1:5" ht="15.75" customHeight="1" x14ac:dyDescent="0.2"/>
    <row r="28" spans="1:5" ht="15.75" customHeight="1" x14ac:dyDescent="0.2"/>
    <row r="29" spans="1:5" ht="15.75" customHeight="1" x14ac:dyDescent="0.2"/>
    <row r="30" spans="1:5" ht="15" customHeight="1" x14ac:dyDescent="0.2">
      <c r="B30">
        <f>-B13</f>
        <v>0</v>
      </c>
    </row>
    <row r="31" spans="1:5" ht="15.75" customHeight="1" x14ac:dyDescent="0.2"/>
    <row r="32" spans="1:5" ht="15.75" customHeight="1" x14ac:dyDescent="0.2"/>
    <row r="33" spans="2:2" ht="15.75" customHeight="1" x14ac:dyDescent="0.2"/>
    <row r="34" spans="2:2" ht="15.75" customHeight="1" x14ac:dyDescent="0.2"/>
    <row r="35" spans="2:2" ht="15.75" customHeight="1" x14ac:dyDescent="0.2"/>
    <row r="36" spans="2:2" ht="15" customHeight="1" x14ac:dyDescent="0.2">
      <c r="B36">
        <f>B16</f>
        <v>0</v>
      </c>
    </row>
    <row r="37" spans="2:2" ht="15" customHeight="1" x14ac:dyDescent="0.2">
      <c r="B37">
        <f>B32</f>
        <v>0</v>
      </c>
    </row>
    <row r="38" spans="2:2" ht="15" customHeight="1" x14ac:dyDescent="0.2">
      <c r="B38">
        <f>B36-B37</f>
        <v>0</v>
      </c>
    </row>
    <row r="39" spans="2:2" ht="15.75" customHeight="1" x14ac:dyDescent="0.2"/>
    <row r="40" spans="2:2" ht="15.75" customHeight="1" x14ac:dyDescent="0.2"/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zoomScaleNormal="100" zoomScalePageLayoutView="60" workbookViewId="0"/>
  </sheetViews>
  <sheetFormatPr baseColWidth="10" defaultColWidth="14.5" defaultRowHeight="15" customHeight="1" x14ac:dyDescent="0.2"/>
  <cols>
    <col min="1" max="1" width="8" customWidth="1"/>
    <col min="2" max="2" width="35" customWidth="1"/>
    <col min="3" max="3" width="18" customWidth="1"/>
    <col min="4" max="4" width="12" customWidth="1"/>
    <col min="5" max="5" width="30" customWidth="1"/>
    <col min="6" max="26" width="8.83203125" customWidth="1"/>
  </cols>
  <sheetData>
    <row r="1" spans="1:5" ht="18.75" customHeight="1" x14ac:dyDescent="0.25">
      <c r="A1" s="5" t="s">
        <v>427</v>
      </c>
    </row>
    <row r="2" spans="1:5" ht="15" customHeight="1" x14ac:dyDescent="0.2">
      <c r="A2" s="36" t="s">
        <v>428</v>
      </c>
    </row>
    <row r="4" spans="1:5" ht="15" customHeight="1" x14ac:dyDescent="0.2">
      <c r="A4" s="23" t="s">
        <v>429</v>
      </c>
      <c r="B4" s="50"/>
      <c r="C4" s="50"/>
      <c r="D4" s="50"/>
      <c r="E4" s="50"/>
    </row>
    <row r="5" spans="1:5" ht="15" customHeight="1" x14ac:dyDescent="0.2">
      <c r="A5" s="51" t="s">
        <v>403</v>
      </c>
      <c r="B5" s="51" t="s">
        <v>430</v>
      </c>
      <c r="C5" s="51" t="s">
        <v>45</v>
      </c>
      <c r="D5" s="51" t="s">
        <v>405</v>
      </c>
      <c r="E5" s="51" t="s">
        <v>406</v>
      </c>
    </row>
    <row r="6" spans="1:5" ht="15" customHeight="1" x14ac:dyDescent="0.2">
      <c r="A6" s="85" t="s">
        <v>431</v>
      </c>
      <c r="B6" s="79"/>
      <c r="C6" s="72">
        <v>0</v>
      </c>
      <c r="D6" s="80">
        <v>0</v>
      </c>
      <c r="E6" s="79"/>
    </row>
    <row r="7" spans="1:5" ht="15" customHeight="1" x14ac:dyDescent="0.2">
      <c r="A7" s="85" t="s">
        <v>432</v>
      </c>
      <c r="B7" s="79"/>
      <c r="C7" s="72">
        <v>0</v>
      </c>
      <c r="D7" s="80">
        <v>0</v>
      </c>
      <c r="E7" s="79"/>
    </row>
    <row r="8" spans="1:5" ht="15" customHeight="1" x14ac:dyDescent="0.2">
      <c r="A8" s="85" t="s">
        <v>433</v>
      </c>
      <c r="B8" s="79"/>
      <c r="C8" s="72">
        <v>0</v>
      </c>
      <c r="D8" s="80">
        <v>0</v>
      </c>
      <c r="E8" s="79"/>
    </row>
    <row r="9" spans="1:5" ht="15" customHeight="1" x14ac:dyDescent="0.2">
      <c r="A9" s="85" t="s">
        <v>434</v>
      </c>
      <c r="B9" s="79"/>
      <c r="C9" s="72">
        <v>0</v>
      </c>
      <c r="D9" s="80">
        <v>0</v>
      </c>
      <c r="E9" s="79"/>
    </row>
    <row r="10" spans="1:5" ht="15" customHeight="1" x14ac:dyDescent="0.2">
      <c r="A10" s="85" t="s">
        <v>435</v>
      </c>
      <c r="B10" s="79"/>
      <c r="C10" s="72">
        <v>0</v>
      </c>
      <c r="D10" s="80">
        <v>0</v>
      </c>
      <c r="E10" s="79"/>
    </row>
    <row r="11" spans="1:5" ht="15" customHeight="1" x14ac:dyDescent="0.2">
      <c r="A11" s="85" t="s">
        <v>436</v>
      </c>
      <c r="B11" s="79"/>
      <c r="C11" s="72">
        <v>0</v>
      </c>
      <c r="D11" s="80">
        <v>0</v>
      </c>
      <c r="E11" s="79"/>
    </row>
    <row r="12" spans="1:5" ht="15" customHeight="1" x14ac:dyDescent="0.2">
      <c r="A12" s="85" t="s">
        <v>437</v>
      </c>
      <c r="B12" s="79"/>
      <c r="C12" s="72">
        <v>0</v>
      </c>
      <c r="D12" s="80">
        <v>0</v>
      </c>
      <c r="E12" s="79"/>
    </row>
    <row r="13" spans="1:5" ht="15" customHeight="1" x14ac:dyDescent="0.2">
      <c r="A13" s="85" t="s">
        <v>438</v>
      </c>
      <c r="B13" s="79"/>
      <c r="C13" s="72">
        <v>0</v>
      </c>
      <c r="D13" s="80">
        <v>0</v>
      </c>
      <c r="E13" s="79"/>
    </row>
    <row r="14" spans="1:5" ht="15" customHeight="1" x14ac:dyDescent="0.2">
      <c r="A14" s="85" t="s">
        <v>439</v>
      </c>
      <c r="B14" s="79"/>
      <c r="C14" s="72">
        <v>0</v>
      </c>
      <c r="D14" s="80">
        <v>0</v>
      </c>
      <c r="E14" s="79"/>
    </row>
    <row r="15" spans="1:5" ht="15" customHeight="1" x14ac:dyDescent="0.2">
      <c r="A15" s="85" t="s">
        <v>440</v>
      </c>
      <c r="B15" s="79"/>
      <c r="C15" s="72">
        <v>0</v>
      </c>
      <c r="D15" s="80">
        <v>0</v>
      </c>
      <c r="E15" s="79"/>
    </row>
    <row r="17" spans="1:5" ht="15" customHeight="1" x14ac:dyDescent="0.2">
      <c r="A17" s="81" t="s">
        <v>417</v>
      </c>
      <c r="B17" s="74" t="s">
        <v>441</v>
      </c>
      <c r="C17" s="82">
        <f>SUM(C6:C15)</f>
        <v>0</v>
      </c>
      <c r="D17" s="83" t="s">
        <v>419</v>
      </c>
      <c r="E17" s="84" t="e">
        <f>SUMPRODUCT(C6:C15,D6:D15)/C17</f>
        <v>#DIV/0!</v>
      </c>
    </row>
    <row r="20" spans="1:5" ht="15" customHeight="1" x14ac:dyDescent="0.2">
      <c r="A20" s="13" t="s">
        <v>420</v>
      </c>
    </row>
    <row r="21" spans="1:5" ht="15" customHeight="1" x14ac:dyDescent="0.2">
      <c r="A21" s="25" t="s">
        <v>442</v>
      </c>
    </row>
    <row r="22" spans="1:5" ht="15" customHeight="1" x14ac:dyDescent="0.2">
      <c r="A22" s="25" t="s">
        <v>443</v>
      </c>
    </row>
    <row r="23" spans="1:5" ht="15" customHeight="1" x14ac:dyDescent="0.2">
      <c r="A23" s="25" t="s">
        <v>423</v>
      </c>
    </row>
    <row r="24" spans="1:5" ht="15" customHeight="1" x14ac:dyDescent="0.2">
      <c r="A24" s="25" t="s">
        <v>424</v>
      </c>
    </row>
    <row r="25" spans="1:5" ht="15" customHeight="1" x14ac:dyDescent="0.2">
      <c r="A25" s="25" t="s">
        <v>425</v>
      </c>
    </row>
    <row r="26" spans="1:5" ht="15" customHeight="1" x14ac:dyDescent="0.2">
      <c r="A26" s="36" t="s">
        <v>426</v>
      </c>
    </row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000"/>
  <sheetViews>
    <sheetView zoomScaleNormal="100" zoomScalePageLayoutView="60" workbookViewId="0">
      <selection activeCell="A29" sqref="A29"/>
    </sheetView>
  </sheetViews>
  <sheetFormatPr baseColWidth="10" defaultColWidth="14.5" defaultRowHeight="15" customHeight="1" x14ac:dyDescent="0.2"/>
  <cols>
    <col min="1" max="2" width="35" customWidth="1"/>
    <col min="3" max="3" width="18" customWidth="1"/>
    <col min="4" max="4" width="20" customWidth="1"/>
    <col min="5" max="41" width="12" customWidth="1"/>
  </cols>
  <sheetData>
    <row r="1" spans="1:2" ht="18.75" customHeight="1" x14ac:dyDescent="0.25">
      <c r="A1" s="5" t="s">
        <v>444</v>
      </c>
    </row>
    <row r="2" spans="1:2" ht="15" customHeight="1" x14ac:dyDescent="0.2">
      <c r="A2" s="36" t="s">
        <v>445</v>
      </c>
    </row>
    <row r="4" spans="1:2" ht="15" customHeight="1" x14ac:dyDescent="0.2">
      <c r="A4" s="23" t="s">
        <v>446</v>
      </c>
    </row>
    <row r="5" spans="1:2" ht="15" customHeight="1" x14ac:dyDescent="0.2">
      <c r="A5" s="13" t="s">
        <v>131</v>
      </c>
      <c r="B5" s="86">
        <f>SUMIF('I_Budget Input Data'!$B:$B,"1. LAND",'I_Budget Input Data'!$D:$D)</f>
        <v>1725168</v>
      </c>
    </row>
    <row r="6" spans="1:2" ht="15" customHeight="1" x14ac:dyDescent="0.2">
      <c r="A6" s="13" t="s">
        <v>136</v>
      </c>
      <c r="B6" s="86">
        <f>SUMIF('I_Budget Input Data'!$B:$B,"2. SITE SERVICING + LANDSCAPE",'I_Budget Input Data'!$D:$D)</f>
        <v>5168121</v>
      </c>
    </row>
    <row r="7" spans="1:2" ht="15" customHeight="1" x14ac:dyDescent="0.2">
      <c r="A7" s="13" t="s">
        <v>146</v>
      </c>
      <c r="B7" s="86">
        <f>SUMIF('I_Budget Input Data'!$B:$B,"3. HARD COSTS",'I_Budget Input Data'!$D:$D)</f>
        <v>25732155</v>
      </c>
    </row>
    <row r="8" spans="1:2" ht="15" customHeight="1" x14ac:dyDescent="0.2">
      <c r="A8" s="13" t="s">
        <v>243</v>
      </c>
      <c r="B8" s="86">
        <f>SUMIF('I_Budget Input Data'!$B:$B,"4. FF&amp;E",'I_Budget Input Data'!$D:$D)</f>
        <v>1792768</v>
      </c>
    </row>
    <row r="9" spans="1:2" ht="15" customHeight="1" x14ac:dyDescent="0.2">
      <c r="A9" s="13" t="s">
        <v>248</v>
      </c>
      <c r="B9" s="86">
        <f>SUMIF('I_Budget Input Data'!$B:$B,"5. PROFESSIONAL FEES",'I_Budget Input Data'!$D:$D)</f>
        <v>3283546</v>
      </c>
    </row>
    <row r="10" spans="1:2" ht="15" customHeight="1" x14ac:dyDescent="0.2">
      <c r="A10" s="13" t="s">
        <v>270</v>
      </c>
      <c r="B10" s="86">
        <f>SUMIF('I_Budget Input Data'!$B:$B,"6. FINANCE AND ADMINISTRATION",'I_Budget Input Data'!$D:$D)</f>
        <v>3276350</v>
      </c>
    </row>
    <row r="11" spans="1:2" ht="15" customHeight="1" x14ac:dyDescent="0.2">
      <c r="A11" s="13" t="s">
        <v>281</v>
      </c>
      <c r="B11" s="86">
        <f>SUMIF('I_Budget Input Data'!$B:$B,"7. TAX ASSESSMENT",'I_Budget Input Data'!$D:$D)</f>
        <v>2087617</v>
      </c>
    </row>
    <row r="12" spans="1:2" ht="15" customHeight="1" x14ac:dyDescent="0.2">
      <c r="A12" s="13" t="s">
        <v>284</v>
      </c>
      <c r="B12" s="86">
        <f>SUMIF('I_Budget Input Data'!$B:$B,"8. CONTINGENCY ALLOWANCE",'I_Budget Input Data'!$D:$D)</f>
        <v>500000</v>
      </c>
    </row>
    <row r="14" spans="1:2" ht="15" customHeight="1" x14ac:dyDescent="0.2">
      <c r="A14" s="87" t="s">
        <v>447</v>
      </c>
      <c r="B14" s="88">
        <f>SUM(B5:B12)</f>
        <v>43565725</v>
      </c>
    </row>
    <row r="15" spans="1:2" ht="15" customHeight="1" x14ac:dyDescent="0.2">
      <c r="A15" s="89" t="s">
        <v>448</v>
      </c>
      <c r="B15" s="90">
        <f>'Senior Construction Financing'!B56</f>
        <v>0</v>
      </c>
    </row>
    <row r="16" spans="1:2" ht="15" customHeight="1" x14ac:dyDescent="0.2">
      <c r="A16" s="91" t="str">
        <f>B174</f>
        <v>Construction interest</v>
      </c>
      <c r="B16" s="91">
        <f>-C174</f>
        <v>-1592483</v>
      </c>
    </row>
    <row r="17" spans="1:41" ht="15.75" customHeight="1" x14ac:dyDescent="0.2">
      <c r="A17" s="8" t="s">
        <v>449</v>
      </c>
      <c r="B17" s="92">
        <f>B14+IF(ISNUMBER(B15),B15,0)</f>
        <v>43565725</v>
      </c>
    </row>
    <row r="20" spans="1:41" ht="15" customHeight="1" x14ac:dyDescent="0.2">
      <c r="A20" s="23" t="s">
        <v>450</v>
      </c>
    </row>
    <row r="21" spans="1:41" ht="15" customHeight="1" x14ac:dyDescent="0.2">
      <c r="A21" s="36" t="s">
        <v>451</v>
      </c>
    </row>
    <row r="22" spans="1:41" ht="15" customHeight="1" x14ac:dyDescent="0.2">
      <c r="A22" s="14" t="s">
        <v>452</v>
      </c>
    </row>
    <row r="23" spans="1:41" ht="25.5" customHeight="1" x14ac:dyDescent="0.2">
      <c r="A23" s="93" t="s">
        <v>124</v>
      </c>
      <c r="B23" s="93" t="s">
        <v>125</v>
      </c>
      <c r="C23" s="93" t="s">
        <v>126</v>
      </c>
      <c r="D23" s="93" t="s">
        <v>453</v>
      </c>
      <c r="E23" s="93" t="s">
        <v>454</v>
      </c>
      <c r="F23" s="93" t="s">
        <v>455</v>
      </c>
      <c r="G23" s="93" t="s">
        <v>456</v>
      </c>
      <c r="H23" s="93" t="s">
        <v>457</v>
      </c>
      <c r="I23" s="93" t="s">
        <v>458</v>
      </c>
      <c r="J23" s="93" t="s">
        <v>459</v>
      </c>
      <c r="K23" s="93" t="s">
        <v>460</v>
      </c>
      <c r="L23" s="93" t="s">
        <v>461</v>
      </c>
      <c r="M23" s="93" t="s">
        <v>462</v>
      </c>
      <c r="N23" s="93" t="s">
        <v>463</v>
      </c>
      <c r="O23" s="93" t="s">
        <v>464</v>
      </c>
      <c r="P23" s="93" t="s">
        <v>465</v>
      </c>
      <c r="Q23" s="93" t="s">
        <v>466</v>
      </c>
      <c r="R23" s="93" t="s">
        <v>467</v>
      </c>
      <c r="S23" s="93" t="s">
        <v>468</v>
      </c>
      <c r="T23" s="93" t="s">
        <v>469</v>
      </c>
      <c r="U23" s="93" t="s">
        <v>470</v>
      </c>
      <c r="V23" s="93" t="s">
        <v>471</v>
      </c>
      <c r="W23" s="93" t="s">
        <v>472</v>
      </c>
      <c r="X23" s="93" t="s">
        <v>473</v>
      </c>
      <c r="Y23" s="93" t="s">
        <v>474</v>
      </c>
      <c r="Z23" s="93" t="s">
        <v>475</v>
      </c>
      <c r="AA23" s="93" t="s">
        <v>476</v>
      </c>
      <c r="AB23" s="93" t="s">
        <v>477</v>
      </c>
      <c r="AC23" s="93" t="s">
        <v>478</v>
      </c>
      <c r="AD23" s="93" t="s">
        <v>479</v>
      </c>
      <c r="AE23" s="93" t="s">
        <v>480</v>
      </c>
      <c r="AF23" s="93" t="s">
        <v>481</v>
      </c>
      <c r="AG23" s="93" t="s">
        <v>482</v>
      </c>
      <c r="AH23" s="93" t="s">
        <v>483</v>
      </c>
      <c r="AI23" s="93" t="s">
        <v>484</v>
      </c>
      <c r="AJ23" s="93" t="s">
        <v>485</v>
      </c>
      <c r="AK23" s="93" t="s">
        <v>486</v>
      </c>
      <c r="AL23" s="93" t="s">
        <v>487</v>
      </c>
      <c r="AM23" s="93" t="s">
        <v>488</v>
      </c>
      <c r="AN23" s="93" t="s">
        <v>489</v>
      </c>
      <c r="AO23" s="93" t="s">
        <v>490</v>
      </c>
    </row>
    <row r="24" spans="1:41" ht="15" customHeight="1" x14ac:dyDescent="0.2">
      <c r="A24" s="94" t="str">
        <f>'I_Budget Input Data'!B6</f>
        <v>1. LAND</v>
      </c>
      <c r="B24" s="94" t="str">
        <f>'I_Budget Input Data'!C6</f>
        <v>Land Acquisition</v>
      </c>
      <c r="C24" s="95">
        <f>'I_Budget Input Data'!D6</f>
        <v>1600000</v>
      </c>
      <c r="D24" s="95">
        <f t="shared" ref="D24:D55" si="0">SUM(F24:AO24)</f>
        <v>1600000</v>
      </c>
      <c r="E24" s="95">
        <f t="shared" ref="E24:E55" si="1">C24-D24</f>
        <v>0</v>
      </c>
      <c r="F24" s="95">
        <f>'Draw Calc (Hidden)'!C6</f>
        <v>1600000</v>
      </c>
      <c r="G24" s="95">
        <f>'Draw Calc (Hidden)'!D6</f>
        <v>0</v>
      </c>
      <c r="H24" s="95">
        <f>'Draw Calc (Hidden)'!E6</f>
        <v>0</v>
      </c>
      <c r="I24" s="95">
        <f>'Draw Calc (Hidden)'!F6</f>
        <v>0</v>
      </c>
      <c r="J24" s="95">
        <f>'Draw Calc (Hidden)'!G6</f>
        <v>0</v>
      </c>
      <c r="K24" s="95">
        <f>'Draw Calc (Hidden)'!H6</f>
        <v>0</v>
      </c>
      <c r="L24" s="95">
        <f>'Draw Calc (Hidden)'!I6</f>
        <v>0</v>
      </c>
      <c r="M24" s="95">
        <f>'Draw Calc (Hidden)'!J6</f>
        <v>0</v>
      </c>
      <c r="N24" s="95">
        <f>'Draw Calc (Hidden)'!K6</f>
        <v>0</v>
      </c>
      <c r="O24" s="95">
        <f>'Draw Calc (Hidden)'!L6</f>
        <v>0</v>
      </c>
      <c r="P24" s="95">
        <f>'Draw Calc (Hidden)'!M6</f>
        <v>0</v>
      </c>
      <c r="Q24" s="95">
        <f>'Draw Calc (Hidden)'!N6</f>
        <v>0</v>
      </c>
      <c r="R24" s="95">
        <f>'Draw Calc (Hidden)'!O6</f>
        <v>0</v>
      </c>
      <c r="S24" s="95">
        <f>'Draw Calc (Hidden)'!P6</f>
        <v>0</v>
      </c>
      <c r="T24" s="95">
        <f>'Draw Calc (Hidden)'!Q6</f>
        <v>0</v>
      </c>
      <c r="U24" s="95">
        <f>'Draw Calc (Hidden)'!R6</f>
        <v>0</v>
      </c>
      <c r="V24" s="95">
        <f>'Draw Calc (Hidden)'!S6</f>
        <v>0</v>
      </c>
      <c r="W24" s="95">
        <f>'Draw Calc (Hidden)'!T6</f>
        <v>0</v>
      </c>
      <c r="X24" s="95">
        <f>'Draw Calc (Hidden)'!U6</f>
        <v>0</v>
      </c>
      <c r="Y24" s="95">
        <f>'Draw Calc (Hidden)'!V6</f>
        <v>0</v>
      </c>
      <c r="Z24" s="95">
        <f>'Draw Calc (Hidden)'!W6</f>
        <v>0</v>
      </c>
      <c r="AA24" s="95">
        <f>'Draw Calc (Hidden)'!X6</f>
        <v>0</v>
      </c>
      <c r="AB24" s="95">
        <f>'Draw Calc (Hidden)'!Y6</f>
        <v>0</v>
      </c>
      <c r="AC24" s="95">
        <f>'Draw Calc (Hidden)'!Z6</f>
        <v>0</v>
      </c>
      <c r="AD24" s="95">
        <f>'Draw Calc (Hidden)'!AA6</f>
        <v>0</v>
      </c>
      <c r="AE24" s="95">
        <f>'Draw Calc (Hidden)'!AB6</f>
        <v>0</v>
      </c>
      <c r="AF24" s="95">
        <f>'Draw Calc (Hidden)'!AC6</f>
        <v>0</v>
      </c>
      <c r="AG24" s="95">
        <f>'Draw Calc (Hidden)'!AD6</f>
        <v>0</v>
      </c>
      <c r="AH24" s="95">
        <f>'Draw Calc (Hidden)'!AE6</f>
        <v>0</v>
      </c>
      <c r="AI24" s="95">
        <f>'Draw Calc (Hidden)'!AF6</f>
        <v>0</v>
      </c>
      <c r="AJ24" s="95">
        <f>'Draw Calc (Hidden)'!AG6</f>
        <v>0</v>
      </c>
      <c r="AK24" s="95">
        <f>'Draw Calc (Hidden)'!AH6</f>
        <v>0</v>
      </c>
      <c r="AL24" s="95">
        <f>'Draw Calc (Hidden)'!AI6</f>
        <v>0</v>
      </c>
      <c r="AM24" s="95">
        <f>'Draw Calc (Hidden)'!AJ6</f>
        <v>0</v>
      </c>
      <c r="AN24" s="95">
        <f>'Draw Calc (Hidden)'!AK6</f>
        <v>0</v>
      </c>
      <c r="AO24" s="95">
        <f>'Draw Calc (Hidden)'!AL6</f>
        <v>0</v>
      </c>
    </row>
    <row r="25" spans="1:41" ht="15" customHeight="1" x14ac:dyDescent="0.2">
      <c r="A25" s="94" t="str">
        <f>'I_Budget Input Data'!B7</f>
        <v>1. LAND</v>
      </c>
      <c r="B25" s="94" t="str">
        <f>'I_Budget Input Data'!C7</f>
        <v>Notary and cadastre</v>
      </c>
      <c r="C25" s="95">
        <f>'I_Budget Input Data'!D7</f>
        <v>19808</v>
      </c>
      <c r="D25" s="95">
        <f t="shared" si="0"/>
        <v>19808</v>
      </c>
      <c r="E25" s="95">
        <f t="shared" si="1"/>
        <v>0</v>
      </c>
      <c r="F25" s="95">
        <f>'Draw Calc (Hidden)'!C7</f>
        <v>19808</v>
      </c>
      <c r="G25" s="95">
        <f>'Draw Calc (Hidden)'!D7</f>
        <v>0</v>
      </c>
      <c r="H25" s="95">
        <f>'Draw Calc (Hidden)'!E7</f>
        <v>0</v>
      </c>
      <c r="I25" s="95">
        <f>'Draw Calc (Hidden)'!F7</f>
        <v>0</v>
      </c>
      <c r="J25" s="95">
        <f>'Draw Calc (Hidden)'!G7</f>
        <v>0</v>
      </c>
      <c r="K25" s="95">
        <f>'Draw Calc (Hidden)'!H7</f>
        <v>0</v>
      </c>
      <c r="L25" s="95">
        <f>'Draw Calc (Hidden)'!I7</f>
        <v>0</v>
      </c>
      <c r="M25" s="95">
        <f>'Draw Calc (Hidden)'!J7</f>
        <v>0</v>
      </c>
      <c r="N25" s="95">
        <f>'Draw Calc (Hidden)'!K7</f>
        <v>0</v>
      </c>
      <c r="O25" s="95">
        <f>'Draw Calc (Hidden)'!L7</f>
        <v>0</v>
      </c>
      <c r="P25" s="95">
        <f>'Draw Calc (Hidden)'!M7</f>
        <v>0</v>
      </c>
      <c r="Q25" s="95">
        <f>'Draw Calc (Hidden)'!N7</f>
        <v>0</v>
      </c>
      <c r="R25" s="95">
        <f>'Draw Calc (Hidden)'!O7</f>
        <v>0</v>
      </c>
      <c r="S25" s="95">
        <f>'Draw Calc (Hidden)'!P7</f>
        <v>0</v>
      </c>
      <c r="T25" s="95">
        <f>'Draw Calc (Hidden)'!Q7</f>
        <v>0</v>
      </c>
      <c r="U25" s="95">
        <f>'Draw Calc (Hidden)'!R7</f>
        <v>0</v>
      </c>
      <c r="V25" s="95">
        <f>'Draw Calc (Hidden)'!S7</f>
        <v>0</v>
      </c>
      <c r="W25" s="95">
        <f>'Draw Calc (Hidden)'!T7</f>
        <v>0</v>
      </c>
      <c r="X25" s="95">
        <f>'Draw Calc (Hidden)'!U7</f>
        <v>0</v>
      </c>
      <c r="Y25" s="95">
        <f>'Draw Calc (Hidden)'!V7</f>
        <v>0</v>
      </c>
      <c r="Z25" s="95">
        <f>'Draw Calc (Hidden)'!W7</f>
        <v>0</v>
      </c>
      <c r="AA25" s="95">
        <f>'Draw Calc (Hidden)'!X7</f>
        <v>0</v>
      </c>
      <c r="AB25" s="95">
        <f>'Draw Calc (Hidden)'!Y7</f>
        <v>0</v>
      </c>
      <c r="AC25" s="95">
        <f>'Draw Calc (Hidden)'!Z7</f>
        <v>0</v>
      </c>
      <c r="AD25" s="95">
        <f>'Draw Calc (Hidden)'!AA7</f>
        <v>0</v>
      </c>
      <c r="AE25" s="95">
        <f>'Draw Calc (Hidden)'!AB7</f>
        <v>0</v>
      </c>
      <c r="AF25" s="95">
        <f>'Draw Calc (Hidden)'!AC7</f>
        <v>0</v>
      </c>
      <c r="AG25" s="95">
        <f>'Draw Calc (Hidden)'!AD7</f>
        <v>0</v>
      </c>
      <c r="AH25" s="95">
        <f>'Draw Calc (Hidden)'!AE7</f>
        <v>0</v>
      </c>
      <c r="AI25" s="95">
        <f>'Draw Calc (Hidden)'!AF7</f>
        <v>0</v>
      </c>
      <c r="AJ25" s="95">
        <f>'Draw Calc (Hidden)'!AG7</f>
        <v>0</v>
      </c>
      <c r="AK25" s="95">
        <f>'Draw Calc (Hidden)'!AH7</f>
        <v>0</v>
      </c>
      <c r="AL25" s="95">
        <f>'Draw Calc (Hidden)'!AI7</f>
        <v>0</v>
      </c>
      <c r="AM25" s="95">
        <f>'Draw Calc (Hidden)'!AJ7</f>
        <v>0</v>
      </c>
      <c r="AN25" s="95">
        <f>'Draw Calc (Hidden)'!AK7</f>
        <v>0</v>
      </c>
      <c r="AO25" s="95">
        <f>'Draw Calc (Hidden)'!AL7</f>
        <v>0</v>
      </c>
    </row>
    <row r="26" spans="1:41" ht="15" customHeight="1" x14ac:dyDescent="0.2">
      <c r="A26" s="94" t="str">
        <f>'I_Budget Input Data'!B8</f>
        <v>1. LAND</v>
      </c>
      <c r="B26" s="94" t="str">
        <f>'I_Budget Input Data'!C8</f>
        <v>Cadastral operation</v>
      </c>
      <c r="C26" s="95">
        <f>'I_Budget Input Data'!D8</f>
        <v>105360</v>
      </c>
      <c r="D26" s="95">
        <f t="shared" si="0"/>
        <v>105360</v>
      </c>
      <c r="E26" s="95">
        <f t="shared" si="1"/>
        <v>0</v>
      </c>
      <c r="F26" s="95">
        <f>'Draw Calc (Hidden)'!C8</f>
        <v>105360</v>
      </c>
      <c r="G26" s="95">
        <f>'Draw Calc (Hidden)'!D8</f>
        <v>0</v>
      </c>
      <c r="H26" s="95">
        <f>'Draw Calc (Hidden)'!E8</f>
        <v>0</v>
      </c>
      <c r="I26" s="95">
        <f>'Draw Calc (Hidden)'!F8</f>
        <v>0</v>
      </c>
      <c r="J26" s="95">
        <f>'Draw Calc (Hidden)'!G8</f>
        <v>0</v>
      </c>
      <c r="K26" s="95">
        <f>'Draw Calc (Hidden)'!H8</f>
        <v>0</v>
      </c>
      <c r="L26" s="95">
        <f>'Draw Calc (Hidden)'!I8</f>
        <v>0</v>
      </c>
      <c r="M26" s="95">
        <f>'Draw Calc (Hidden)'!J8</f>
        <v>0</v>
      </c>
      <c r="N26" s="95">
        <f>'Draw Calc (Hidden)'!K8</f>
        <v>0</v>
      </c>
      <c r="O26" s="95">
        <f>'Draw Calc (Hidden)'!L8</f>
        <v>0</v>
      </c>
      <c r="P26" s="95">
        <f>'Draw Calc (Hidden)'!M8</f>
        <v>0</v>
      </c>
      <c r="Q26" s="95">
        <f>'Draw Calc (Hidden)'!N8</f>
        <v>0</v>
      </c>
      <c r="R26" s="95">
        <f>'Draw Calc (Hidden)'!O8</f>
        <v>0</v>
      </c>
      <c r="S26" s="95">
        <f>'Draw Calc (Hidden)'!P8</f>
        <v>0</v>
      </c>
      <c r="T26" s="95">
        <f>'Draw Calc (Hidden)'!Q8</f>
        <v>0</v>
      </c>
      <c r="U26" s="95">
        <f>'Draw Calc (Hidden)'!R8</f>
        <v>0</v>
      </c>
      <c r="V26" s="95">
        <f>'Draw Calc (Hidden)'!S8</f>
        <v>0</v>
      </c>
      <c r="W26" s="95">
        <f>'Draw Calc (Hidden)'!T8</f>
        <v>0</v>
      </c>
      <c r="X26" s="95">
        <f>'Draw Calc (Hidden)'!U8</f>
        <v>0</v>
      </c>
      <c r="Y26" s="95">
        <f>'Draw Calc (Hidden)'!V8</f>
        <v>0</v>
      </c>
      <c r="Z26" s="95">
        <f>'Draw Calc (Hidden)'!W8</f>
        <v>0</v>
      </c>
      <c r="AA26" s="95">
        <f>'Draw Calc (Hidden)'!X8</f>
        <v>0</v>
      </c>
      <c r="AB26" s="95">
        <f>'Draw Calc (Hidden)'!Y8</f>
        <v>0</v>
      </c>
      <c r="AC26" s="95">
        <f>'Draw Calc (Hidden)'!Z8</f>
        <v>0</v>
      </c>
      <c r="AD26" s="95">
        <f>'Draw Calc (Hidden)'!AA8</f>
        <v>0</v>
      </c>
      <c r="AE26" s="95">
        <f>'Draw Calc (Hidden)'!AB8</f>
        <v>0</v>
      </c>
      <c r="AF26" s="95">
        <f>'Draw Calc (Hidden)'!AC8</f>
        <v>0</v>
      </c>
      <c r="AG26" s="95">
        <f>'Draw Calc (Hidden)'!AD8</f>
        <v>0</v>
      </c>
      <c r="AH26" s="95">
        <f>'Draw Calc (Hidden)'!AE8</f>
        <v>0</v>
      </c>
      <c r="AI26" s="95">
        <f>'Draw Calc (Hidden)'!AF8</f>
        <v>0</v>
      </c>
      <c r="AJ26" s="95">
        <f>'Draw Calc (Hidden)'!AG8</f>
        <v>0</v>
      </c>
      <c r="AK26" s="95">
        <f>'Draw Calc (Hidden)'!AH8</f>
        <v>0</v>
      </c>
      <c r="AL26" s="95">
        <f>'Draw Calc (Hidden)'!AI8</f>
        <v>0</v>
      </c>
      <c r="AM26" s="95">
        <f>'Draw Calc (Hidden)'!AJ8</f>
        <v>0</v>
      </c>
      <c r="AN26" s="95">
        <f>'Draw Calc (Hidden)'!AK8</f>
        <v>0</v>
      </c>
      <c r="AO26" s="95">
        <f>'Draw Calc (Hidden)'!AL8</f>
        <v>0</v>
      </c>
    </row>
    <row r="27" spans="1:41" ht="15" customHeight="1" x14ac:dyDescent="0.2">
      <c r="A27" s="94" t="str">
        <f>'I_Budget Input Data'!B9</f>
        <v>2. SITE SERVICING + LANDSCAPE</v>
      </c>
      <c r="B27" s="94" t="str">
        <f>'I_Budget Input Data'!C9</f>
        <v>Extension of services:Excavation &amp; Backfill - Adjustment for Bldgs 5 &amp; 6</v>
      </c>
      <c r="C27" s="95">
        <f>'I_Budget Input Data'!D9</f>
        <v>479320</v>
      </c>
      <c r="D27" s="95">
        <f t="shared" si="0"/>
        <v>471945.84615384607</v>
      </c>
      <c r="E27" s="95">
        <f t="shared" si="1"/>
        <v>7374.1538461539312</v>
      </c>
      <c r="F27" s="95">
        <f>'Draw Calc (Hidden)'!C9</f>
        <v>44244.923076923078</v>
      </c>
      <c r="G27" s="95">
        <f>'Draw Calc (Hidden)'!D9</f>
        <v>44244.923076923078</v>
      </c>
      <c r="H27" s="95">
        <f>'Draw Calc (Hidden)'!E9</f>
        <v>44244.923076923078</v>
      </c>
      <c r="I27" s="95">
        <f>'Draw Calc (Hidden)'!F9</f>
        <v>44244.923076923078</v>
      </c>
      <c r="J27" s="95">
        <f>'Draw Calc (Hidden)'!G9</f>
        <v>44244.923076923078</v>
      </c>
      <c r="K27" s="95">
        <f>'Draw Calc (Hidden)'!H9</f>
        <v>44244.923076923078</v>
      </c>
      <c r="L27" s="95">
        <f>'Draw Calc (Hidden)'!I9</f>
        <v>29496.615384615383</v>
      </c>
      <c r="M27" s="95">
        <f>'Draw Calc (Hidden)'!J9</f>
        <v>29496.615384615383</v>
      </c>
      <c r="N27" s="95">
        <f>'Draw Calc (Hidden)'!K9</f>
        <v>29496.615384615383</v>
      </c>
      <c r="O27" s="95">
        <f>'Draw Calc (Hidden)'!L9</f>
        <v>29496.615384615383</v>
      </c>
      <c r="P27" s="95">
        <f>'Draw Calc (Hidden)'!M9</f>
        <v>29496.615384615383</v>
      </c>
      <c r="Q27" s="95">
        <f>'Draw Calc (Hidden)'!N9</f>
        <v>29496.615384615383</v>
      </c>
      <c r="R27" s="95">
        <f>'Draw Calc (Hidden)'!O9</f>
        <v>29496.615384615383</v>
      </c>
      <c r="S27" s="95">
        <f>'Draw Calc (Hidden)'!P9</f>
        <v>0</v>
      </c>
      <c r="T27" s="95">
        <f>'Draw Calc (Hidden)'!Q9</f>
        <v>0</v>
      </c>
      <c r="U27" s="95">
        <f>'Draw Calc (Hidden)'!R9</f>
        <v>0</v>
      </c>
      <c r="V27" s="95">
        <f>'Draw Calc (Hidden)'!S9</f>
        <v>0</v>
      </c>
      <c r="W27" s="95">
        <f>'Draw Calc (Hidden)'!T9</f>
        <v>0</v>
      </c>
      <c r="X27" s="95">
        <f>'Draw Calc (Hidden)'!U9</f>
        <v>0</v>
      </c>
      <c r="Y27" s="95">
        <f>'Draw Calc (Hidden)'!V9</f>
        <v>0</v>
      </c>
      <c r="Z27" s="95">
        <f>'Draw Calc (Hidden)'!W9</f>
        <v>0</v>
      </c>
      <c r="AA27" s="95">
        <f>'Draw Calc (Hidden)'!X9</f>
        <v>0</v>
      </c>
      <c r="AB27" s="95">
        <f>'Draw Calc (Hidden)'!Y9</f>
        <v>0</v>
      </c>
      <c r="AC27" s="95">
        <f>'Draw Calc (Hidden)'!Z9</f>
        <v>0</v>
      </c>
      <c r="AD27" s="95">
        <f>'Draw Calc (Hidden)'!AA9</f>
        <v>0</v>
      </c>
      <c r="AE27" s="95">
        <f>'Draw Calc (Hidden)'!AB9</f>
        <v>0</v>
      </c>
      <c r="AF27" s="95">
        <f>'Draw Calc (Hidden)'!AC9</f>
        <v>0</v>
      </c>
      <c r="AG27" s="95">
        <f>'Draw Calc (Hidden)'!AD9</f>
        <v>0</v>
      </c>
      <c r="AH27" s="95">
        <f>'Draw Calc (Hidden)'!AE9</f>
        <v>0</v>
      </c>
      <c r="AI27" s="95">
        <f>'Draw Calc (Hidden)'!AF9</f>
        <v>0</v>
      </c>
      <c r="AJ27" s="95">
        <f>'Draw Calc (Hidden)'!AG9</f>
        <v>0</v>
      </c>
      <c r="AK27" s="95">
        <f>'Draw Calc (Hidden)'!AH9</f>
        <v>0</v>
      </c>
      <c r="AL27" s="95">
        <f>'Draw Calc (Hidden)'!AI9</f>
        <v>0</v>
      </c>
      <c r="AM27" s="95">
        <f>'Draw Calc (Hidden)'!AJ9</f>
        <v>0</v>
      </c>
      <c r="AN27" s="95">
        <f>'Draw Calc (Hidden)'!AK9</f>
        <v>0</v>
      </c>
      <c r="AO27" s="95">
        <f>'Draw Calc (Hidden)'!AL9</f>
        <v>0</v>
      </c>
    </row>
    <row r="28" spans="1:41" ht="15" customHeight="1" x14ac:dyDescent="0.2">
      <c r="A28" s="94" t="str">
        <f>'I_Budget Input Data'!B10</f>
        <v>2. SITE SERVICING + LANDSCAPE</v>
      </c>
      <c r="B28" s="94" t="str">
        <f>'I_Budget Input Data'!C10</f>
        <v>Extension of services:Excavation &amp; Backfill - Trailer pad, Access road, Septic tank</v>
      </c>
      <c r="C28" s="95">
        <f>'I_Budget Input Data'!D10</f>
        <v>10900</v>
      </c>
      <c r="D28" s="95">
        <f t="shared" si="0"/>
        <v>10732.30769230769</v>
      </c>
      <c r="E28" s="95">
        <f t="shared" si="1"/>
        <v>167.69230769231035</v>
      </c>
      <c r="F28" s="95">
        <f>'Draw Calc (Hidden)'!C10</f>
        <v>1006.1538461538462</v>
      </c>
      <c r="G28" s="95">
        <f>'Draw Calc (Hidden)'!D10</f>
        <v>1006.1538461538462</v>
      </c>
      <c r="H28" s="95">
        <f>'Draw Calc (Hidden)'!E10</f>
        <v>1006.1538461538462</v>
      </c>
      <c r="I28" s="95">
        <f>'Draw Calc (Hidden)'!F10</f>
        <v>1006.1538461538462</v>
      </c>
      <c r="J28" s="95">
        <f>'Draw Calc (Hidden)'!G10</f>
        <v>1006.1538461538462</v>
      </c>
      <c r="K28" s="95">
        <f>'Draw Calc (Hidden)'!H10</f>
        <v>1006.1538461538462</v>
      </c>
      <c r="L28" s="95">
        <f>'Draw Calc (Hidden)'!I10</f>
        <v>670.76923076923072</v>
      </c>
      <c r="M28" s="95">
        <f>'Draw Calc (Hidden)'!J10</f>
        <v>670.76923076923072</v>
      </c>
      <c r="N28" s="95">
        <f>'Draw Calc (Hidden)'!K10</f>
        <v>670.76923076923072</v>
      </c>
      <c r="O28" s="95">
        <f>'Draw Calc (Hidden)'!L10</f>
        <v>670.76923076923072</v>
      </c>
      <c r="P28" s="95">
        <f>'Draw Calc (Hidden)'!M10</f>
        <v>670.76923076923072</v>
      </c>
      <c r="Q28" s="95">
        <f>'Draw Calc (Hidden)'!N10</f>
        <v>670.76923076923072</v>
      </c>
      <c r="R28" s="95">
        <f>'Draw Calc (Hidden)'!O10</f>
        <v>670.76923076923072</v>
      </c>
      <c r="S28" s="95">
        <f>'Draw Calc (Hidden)'!P10</f>
        <v>0</v>
      </c>
      <c r="T28" s="95">
        <f>'Draw Calc (Hidden)'!Q10</f>
        <v>0</v>
      </c>
      <c r="U28" s="95">
        <f>'Draw Calc (Hidden)'!R10</f>
        <v>0</v>
      </c>
      <c r="V28" s="95">
        <f>'Draw Calc (Hidden)'!S10</f>
        <v>0</v>
      </c>
      <c r="W28" s="95">
        <f>'Draw Calc (Hidden)'!T10</f>
        <v>0</v>
      </c>
      <c r="X28" s="95">
        <f>'Draw Calc (Hidden)'!U10</f>
        <v>0</v>
      </c>
      <c r="Y28" s="95">
        <f>'Draw Calc (Hidden)'!V10</f>
        <v>0</v>
      </c>
      <c r="Z28" s="95">
        <f>'Draw Calc (Hidden)'!W10</f>
        <v>0</v>
      </c>
      <c r="AA28" s="95">
        <f>'Draw Calc (Hidden)'!X10</f>
        <v>0</v>
      </c>
      <c r="AB28" s="95">
        <f>'Draw Calc (Hidden)'!Y10</f>
        <v>0</v>
      </c>
      <c r="AC28" s="95">
        <f>'Draw Calc (Hidden)'!Z10</f>
        <v>0</v>
      </c>
      <c r="AD28" s="95">
        <f>'Draw Calc (Hidden)'!AA10</f>
        <v>0</v>
      </c>
      <c r="AE28" s="95">
        <f>'Draw Calc (Hidden)'!AB10</f>
        <v>0</v>
      </c>
      <c r="AF28" s="95">
        <f>'Draw Calc (Hidden)'!AC10</f>
        <v>0</v>
      </c>
      <c r="AG28" s="95">
        <f>'Draw Calc (Hidden)'!AD10</f>
        <v>0</v>
      </c>
      <c r="AH28" s="95">
        <f>'Draw Calc (Hidden)'!AE10</f>
        <v>0</v>
      </c>
      <c r="AI28" s="95">
        <f>'Draw Calc (Hidden)'!AF10</f>
        <v>0</v>
      </c>
      <c r="AJ28" s="95">
        <f>'Draw Calc (Hidden)'!AG10</f>
        <v>0</v>
      </c>
      <c r="AK28" s="95">
        <f>'Draw Calc (Hidden)'!AH10</f>
        <v>0</v>
      </c>
      <c r="AL28" s="95">
        <f>'Draw Calc (Hidden)'!AI10</f>
        <v>0</v>
      </c>
      <c r="AM28" s="95">
        <f>'Draw Calc (Hidden)'!AJ10</f>
        <v>0</v>
      </c>
      <c r="AN28" s="95">
        <f>'Draw Calc (Hidden)'!AK10</f>
        <v>0</v>
      </c>
      <c r="AO28" s="95">
        <f>'Draw Calc (Hidden)'!AL10</f>
        <v>0</v>
      </c>
    </row>
    <row r="29" spans="1:41" ht="15" customHeight="1" x14ac:dyDescent="0.2">
      <c r="A29" s="94" t="str">
        <f>'I_Budget Input Data'!B11</f>
        <v>2. SITE SERVICING + LANDSCAPE</v>
      </c>
      <c r="B29" s="94" t="str">
        <f>'I_Budget Input Data'!C11</f>
        <v>Extension of services:Credit - Reservoir change</v>
      </c>
      <c r="C29" s="95">
        <f>'I_Budget Input Data'!D11</f>
        <v>1946765</v>
      </c>
      <c r="D29" s="95">
        <f t="shared" si="0"/>
        <v>1916814.7692307688</v>
      </c>
      <c r="E29" s="95">
        <f t="shared" si="1"/>
        <v>29950.230769231217</v>
      </c>
      <c r="F29" s="95">
        <f>'Draw Calc (Hidden)'!C11</f>
        <v>179701.38461538462</v>
      </c>
      <c r="G29" s="95">
        <f>'Draw Calc (Hidden)'!D11</f>
        <v>179701.38461538462</v>
      </c>
      <c r="H29" s="95">
        <f>'Draw Calc (Hidden)'!E11</f>
        <v>179701.38461538462</v>
      </c>
      <c r="I29" s="95">
        <f>'Draw Calc (Hidden)'!F11</f>
        <v>179701.38461538462</v>
      </c>
      <c r="J29" s="95">
        <f>'Draw Calc (Hidden)'!G11</f>
        <v>179701.38461538462</v>
      </c>
      <c r="K29" s="95">
        <f>'Draw Calc (Hidden)'!H11</f>
        <v>179701.38461538462</v>
      </c>
      <c r="L29" s="95">
        <f>'Draw Calc (Hidden)'!I11</f>
        <v>119800.92307692308</v>
      </c>
      <c r="M29" s="95">
        <f>'Draw Calc (Hidden)'!J11</f>
        <v>119800.92307692308</v>
      </c>
      <c r="N29" s="95">
        <f>'Draw Calc (Hidden)'!K11</f>
        <v>119800.92307692308</v>
      </c>
      <c r="O29" s="95">
        <f>'Draw Calc (Hidden)'!L11</f>
        <v>119800.92307692308</v>
      </c>
      <c r="P29" s="95">
        <f>'Draw Calc (Hidden)'!M11</f>
        <v>119800.92307692308</v>
      </c>
      <c r="Q29" s="95">
        <f>'Draw Calc (Hidden)'!N11</f>
        <v>119800.92307692308</v>
      </c>
      <c r="R29" s="95">
        <f>'Draw Calc (Hidden)'!O11</f>
        <v>119800.92307692308</v>
      </c>
      <c r="S29" s="95">
        <f>'Draw Calc (Hidden)'!P11</f>
        <v>0</v>
      </c>
      <c r="T29" s="95">
        <f>'Draw Calc (Hidden)'!Q11</f>
        <v>0</v>
      </c>
      <c r="U29" s="95">
        <f>'Draw Calc (Hidden)'!R11</f>
        <v>0</v>
      </c>
      <c r="V29" s="95">
        <f>'Draw Calc (Hidden)'!S11</f>
        <v>0</v>
      </c>
      <c r="W29" s="95">
        <f>'Draw Calc (Hidden)'!T11</f>
        <v>0</v>
      </c>
      <c r="X29" s="95">
        <f>'Draw Calc (Hidden)'!U11</f>
        <v>0</v>
      </c>
      <c r="Y29" s="95">
        <f>'Draw Calc (Hidden)'!V11</f>
        <v>0</v>
      </c>
      <c r="Z29" s="95">
        <f>'Draw Calc (Hidden)'!W11</f>
        <v>0</v>
      </c>
      <c r="AA29" s="95">
        <f>'Draw Calc (Hidden)'!X11</f>
        <v>0</v>
      </c>
      <c r="AB29" s="95">
        <f>'Draw Calc (Hidden)'!Y11</f>
        <v>0</v>
      </c>
      <c r="AC29" s="95">
        <f>'Draw Calc (Hidden)'!Z11</f>
        <v>0</v>
      </c>
      <c r="AD29" s="95">
        <f>'Draw Calc (Hidden)'!AA11</f>
        <v>0</v>
      </c>
      <c r="AE29" s="95">
        <f>'Draw Calc (Hidden)'!AB11</f>
        <v>0</v>
      </c>
      <c r="AF29" s="95">
        <f>'Draw Calc (Hidden)'!AC11</f>
        <v>0</v>
      </c>
      <c r="AG29" s="95">
        <f>'Draw Calc (Hidden)'!AD11</f>
        <v>0</v>
      </c>
      <c r="AH29" s="95">
        <f>'Draw Calc (Hidden)'!AE11</f>
        <v>0</v>
      </c>
      <c r="AI29" s="95">
        <f>'Draw Calc (Hidden)'!AF11</f>
        <v>0</v>
      </c>
      <c r="AJ29" s="95">
        <f>'Draw Calc (Hidden)'!AG11</f>
        <v>0</v>
      </c>
      <c r="AK29" s="95">
        <f>'Draw Calc (Hidden)'!AH11</f>
        <v>0</v>
      </c>
      <c r="AL29" s="95">
        <f>'Draw Calc (Hidden)'!AI11</f>
        <v>0</v>
      </c>
      <c r="AM29" s="95">
        <f>'Draw Calc (Hidden)'!AJ11</f>
        <v>0</v>
      </c>
      <c r="AN29" s="95">
        <f>'Draw Calc (Hidden)'!AK11</f>
        <v>0</v>
      </c>
      <c r="AO29" s="95">
        <f>'Draw Calc (Hidden)'!AL11</f>
        <v>0</v>
      </c>
    </row>
    <row r="30" spans="1:41" ht="15" customHeight="1" x14ac:dyDescent="0.2">
      <c r="A30" s="94" t="str">
        <f>'I_Budget Input Data'!B12</f>
        <v>2. SITE SERVICING + LANDSCAPE</v>
      </c>
      <c r="B30" s="94" t="str">
        <f>'I_Budget Input Data'!C12</f>
        <v>Extension of services:Credit - Reservoir change</v>
      </c>
      <c r="C30" s="95">
        <f>'I_Budget Input Data'!D12</f>
        <v>0</v>
      </c>
      <c r="D30" s="95">
        <f t="shared" si="0"/>
        <v>0</v>
      </c>
      <c r="E30" s="95">
        <f t="shared" si="1"/>
        <v>0</v>
      </c>
      <c r="F30" s="95">
        <f>'Draw Calc (Hidden)'!C12</f>
        <v>0</v>
      </c>
      <c r="G30" s="95">
        <f>'Draw Calc (Hidden)'!D12</f>
        <v>0</v>
      </c>
      <c r="H30" s="95">
        <f>'Draw Calc (Hidden)'!E12</f>
        <v>0</v>
      </c>
      <c r="I30" s="95">
        <f>'Draw Calc (Hidden)'!F12</f>
        <v>0</v>
      </c>
      <c r="J30" s="95">
        <f>'Draw Calc (Hidden)'!G12</f>
        <v>0</v>
      </c>
      <c r="K30" s="95">
        <f>'Draw Calc (Hidden)'!H12</f>
        <v>0</v>
      </c>
      <c r="L30" s="95">
        <f>'Draw Calc (Hidden)'!I12</f>
        <v>0</v>
      </c>
      <c r="M30" s="95">
        <f>'Draw Calc (Hidden)'!J12</f>
        <v>0</v>
      </c>
      <c r="N30" s="95">
        <f>'Draw Calc (Hidden)'!K12</f>
        <v>0</v>
      </c>
      <c r="O30" s="95">
        <f>'Draw Calc (Hidden)'!L12</f>
        <v>0</v>
      </c>
      <c r="P30" s="95">
        <f>'Draw Calc (Hidden)'!M12</f>
        <v>0</v>
      </c>
      <c r="Q30" s="95">
        <f>'Draw Calc (Hidden)'!N12</f>
        <v>0</v>
      </c>
      <c r="R30" s="95">
        <f>'Draw Calc (Hidden)'!O12</f>
        <v>0</v>
      </c>
      <c r="S30" s="95">
        <f>'Draw Calc (Hidden)'!P12</f>
        <v>0</v>
      </c>
      <c r="T30" s="95">
        <f>'Draw Calc (Hidden)'!Q12</f>
        <v>0</v>
      </c>
      <c r="U30" s="95">
        <f>'Draw Calc (Hidden)'!R12</f>
        <v>0</v>
      </c>
      <c r="V30" s="95">
        <f>'Draw Calc (Hidden)'!S12</f>
        <v>0</v>
      </c>
      <c r="W30" s="95">
        <f>'Draw Calc (Hidden)'!T12</f>
        <v>0</v>
      </c>
      <c r="X30" s="95">
        <f>'Draw Calc (Hidden)'!U12</f>
        <v>0</v>
      </c>
      <c r="Y30" s="95">
        <f>'Draw Calc (Hidden)'!V12</f>
        <v>0</v>
      </c>
      <c r="Z30" s="95">
        <f>'Draw Calc (Hidden)'!W12</f>
        <v>0</v>
      </c>
      <c r="AA30" s="95">
        <f>'Draw Calc (Hidden)'!X12</f>
        <v>0</v>
      </c>
      <c r="AB30" s="95">
        <f>'Draw Calc (Hidden)'!Y12</f>
        <v>0</v>
      </c>
      <c r="AC30" s="95">
        <f>'Draw Calc (Hidden)'!Z12</f>
        <v>0</v>
      </c>
      <c r="AD30" s="95">
        <f>'Draw Calc (Hidden)'!AA12</f>
        <v>0</v>
      </c>
      <c r="AE30" s="95">
        <f>'Draw Calc (Hidden)'!AB12</f>
        <v>0</v>
      </c>
      <c r="AF30" s="95">
        <f>'Draw Calc (Hidden)'!AC12</f>
        <v>0</v>
      </c>
      <c r="AG30" s="95">
        <f>'Draw Calc (Hidden)'!AD12</f>
        <v>0</v>
      </c>
      <c r="AH30" s="95">
        <f>'Draw Calc (Hidden)'!AE12</f>
        <v>0</v>
      </c>
      <c r="AI30" s="95">
        <f>'Draw Calc (Hidden)'!AF12</f>
        <v>0</v>
      </c>
      <c r="AJ30" s="95">
        <f>'Draw Calc (Hidden)'!AG12</f>
        <v>0</v>
      </c>
      <c r="AK30" s="95">
        <f>'Draw Calc (Hidden)'!AH12</f>
        <v>0</v>
      </c>
      <c r="AL30" s="95">
        <f>'Draw Calc (Hidden)'!AI12</f>
        <v>0</v>
      </c>
      <c r="AM30" s="95">
        <f>'Draw Calc (Hidden)'!AJ12</f>
        <v>0</v>
      </c>
      <c r="AN30" s="95">
        <f>'Draw Calc (Hidden)'!AK12</f>
        <v>0</v>
      </c>
      <c r="AO30" s="95">
        <f>'Draw Calc (Hidden)'!AL12</f>
        <v>0</v>
      </c>
    </row>
    <row r="31" spans="1:41" ht="15" customHeight="1" x14ac:dyDescent="0.2">
      <c r="A31" s="94" t="str">
        <f>'I_Budget Input Data'!B13</f>
        <v>2. SITE SERVICING + LANDSCAPE</v>
      </c>
      <c r="B31" s="94" t="str">
        <f>'I_Budget Input Data'!C13</f>
        <v>Extension of services:Excavation &amp; Backfill - Campus Civil</v>
      </c>
      <c r="C31" s="95">
        <f>'I_Budget Input Data'!D13</f>
        <v>143113</v>
      </c>
      <c r="D31" s="95">
        <f t="shared" si="0"/>
        <v>140911.26153846155</v>
      </c>
      <c r="E31" s="95">
        <f t="shared" si="1"/>
        <v>2201.7384615384508</v>
      </c>
      <c r="F31" s="95">
        <f>'Draw Calc (Hidden)'!C13</f>
        <v>13210.43076923077</v>
      </c>
      <c r="G31" s="95">
        <f>'Draw Calc (Hidden)'!D13</f>
        <v>13210.43076923077</v>
      </c>
      <c r="H31" s="95">
        <f>'Draw Calc (Hidden)'!E13</f>
        <v>13210.43076923077</v>
      </c>
      <c r="I31" s="95">
        <f>'Draw Calc (Hidden)'!F13</f>
        <v>13210.43076923077</v>
      </c>
      <c r="J31" s="95">
        <f>'Draw Calc (Hidden)'!G13</f>
        <v>13210.43076923077</v>
      </c>
      <c r="K31" s="95">
        <f>'Draw Calc (Hidden)'!H13</f>
        <v>13210.43076923077</v>
      </c>
      <c r="L31" s="95">
        <f>'Draw Calc (Hidden)'!I13</f>
        <v>8806.9538461538468</v>
      </c>
      <c r="M31" s="95">
        <f>'Draw Calc (Hidden)'!J13</f>
        <v>8806.9538461538468</v>
      </c>
      <c r="N31" s="95">
        <f>'Draw Calc (Hidden)'!K13</f>
        <v>8806.9538461538468</v>
      </c>
      <c r="O31" s="95">
        <f>'Draw Calc (Hidden)'!L13</f>
        <v>8806.9538461538468</v>
      </c>
      <c r="P31" s="95">
        <f>'Draw Calc (Hidden)'!M13</f>
        <v>8806.9538461538468</v>
      </c>
      <c r="Q31" s="95">
        <f>'Draw Calc (Hidden)'!N13</f>
        <v>8806.9538461538468</v>
      </c>
      <c r="R31" s="95">
        <f>'Draw Calc (Hidden)'!O13</f>
        <v>8806.9538461538468</v>
      </c>
      <c r="S31" s="95">
        <f>'Draw Calc (Hidden)'!P13</f>
        <v>0</v>
      </c>
      <c r="T31" s="95">
        <f>'Draw Calc (Hidden)'!Q13</f>
        <v>0</v>
      </c>
      <c r="U31" s="95">
        <f>'Draw Calc (Hidden)'!R13</f>
        <v>0</v>
      </c>
      <c r="V31" s="95">
        <f>'Draw Calc (Hidden)'!S13</f>
        <v>0</v>
      </c>
      <c r="W31" s="95">
        <f>'Draw Calc (Hidden)'!T13</f>
        <v>0</v>
      </c>
      <c r="X31" s="95">
        <f>'Draw Calc (Hidden)'!U13</f>
        <v>0</v>
      </c>
      <c r="Y31" s="95">
        <f>'Draw Calc (Hidden)'!V13</f>
        <v>0</v>
      </c>
      <c r="Z31" s="95">
        <f>'Draw Calc (Hidden)'!W13</f>
        <v>0</v>
      </c>
      <c r="AA31" s="95">
        <f>'Draw Calc (Hidden)'!X13</f>
        <v>0</v>
      </c>
      <c r="AB31" s="95">
        <f>'Draw Calc (Hidden)'!Y13</f>
        <v>0</v>
      </c>
      <c r="AC31" s="95">
        <f>'Draw Calc (Hidden)'!Z13</f>
        <v>0</v>
      </c>
      <c r="AD31" s="95">
        <f>'Draw Calc (Hidden)'!AA13</f>
        <v>0</v>
      </c>
      <c r="AE31" s="95">
        <f>'Draw Calc (Hidden)'!AB13</f>
        <v>0</v>
      </c>
      <c r="AF31" s="95">
        <f>'Draw Calc (Hidden)'!AC13</f>
        <v>0</v>
      </c>
      <c r="AG31" s="95">
        <f>'Draw Calc (Hidden)'!AD13</f>
        <v>0</v>
      </c>
      <c r="AH31" s="95">
        <f>'Draw Calc (Hidden)'!AE13</f>
        <v>0</v>
      </c>
      <c r="AI31" s="95">
        <f>'Draw Calc (Hidden)'!AF13</f>
        <v>0</v>
      </c>
      <c r="AJ31" s="95">
        <f>'Draw Calc (Hidden)'!AG13</f>
        <v>0</v>
      </c>
      <c r="AK31" s="95">
        <f>'Draw Calc (Hidden)'!AH13</f>
        <v>0</v>
      </c>
      <c r="AL31" s="95">
        <f>'Draw Calc (Hidden)'!AI13</f>
        <v>0</v>
      </c>
      <c r="AM31" s="95">
        <f>'Draw Calc (Hidden)'!AJ13</f>
        <v>0</v>
      </c>
      <c r="AN31" s="95">
        <f>'Draw Calc (Hidden)'!AK13</f>
        <v>0</v>
      </c>
      <c r="AO31" s="95">
        <f>'Draw Calc (Hidden)'!AL13</f>
        <v>0</v>
      </c>
    </row>
    <row r="32" spans="1:41" ht="15" customHeight="1" x14ac:dyDescent="0.2">
      <c r="A32" s="94" t="str">
        <f>'I_Budget Input Data'!B14</f>
        <v>2. SITE SERVICING + LANDSCAPE</v>
      </c>
      <c r="B32" s="94" t="str">
        <f>'I_Budget Input Data'!C14</f>
        <v>Extension of services:Excavation &amp; Backfill - Campus Civil</v>
      </c>
      <c r="C32" s="95">
        <f>'I_Budget Input Data'!D14</f>
        <v>30493</v>
      </c>
      <c r="D32" s="95">
        <f t="shared" si="0"/>
        <v>30023.876923076921</v>
      </c>
      <c r="E32" s="95">
        <f t="shared" si="1"/>
        <v>469.12307692307877</v>
      </c>
      <c r="F32" s="95">
        <f>'Draw Calc (Hidden)'!C14</f>
        <v>2814.7384615384613</v>
      </c>
      <c r="G32" s="95">
        <f>'Draw Calc (Hidden)'!D14</f>
        <v>2814.7384615384613</v>
      </c>
      <c r="H32" s="95">
        <f>'Draw Calc (Hidden)'!E14</f>
        <v>2814.7384615384613</v>
      </c>
      <c r="I32" s="95">
        <f>'Draw Calc (Hidden)'!F14</f>
        <v>2814.7384615384613</v>
      </c>
      <c r="J32" s="95">
        <f>'Draw Calc (Hidden)'!G14</f>
        <v>2814.7384615384613</v>
      </c>
      <c r="K32" s="95">
        <f>'Draw Calc (Hidden)'!H14</f>
        <v>2814.7384615384613</v>
      </c>
      <c r="L32" s="95">
        <f>'Draw Calc (Hidden)'!I14</f>
        <v>1876.4923076923078</v>
      </c>
      <c r="M32" s="95">
        <f>'Draw Calc (Hidden)'!J14</f>
        <v>1876.4923076923078</v>
      </c>
      <c r="N32" s="95">
        <f>'Draw Calc (Hidden)'!K14</f>
        <v>1876.4923076923078</v>
      </c>
      <c r="O32" s="95">
        <f>'Draw Calc (Hidden)'!L14</f>
        <v>1876.4923076923078</v>
      </c>
      <c r="P32" s="95">
        <f>'Draw Calc (Hidden)'!M14</f>
        <v>1876.4923076923078</v>
      </c>
      <c r="Q32" s="95">
        <f>'Draw Calc (Hidden)'!N14</f>
        <v>1876.4923076923078</v>
      </c>
      <c r="R32" s="95">
        <f>'Draw Calc (Hidden)'!O14</f>
        <v>1876.4923076923078</v>
      </c>
      <c r="S32" s="95">
        <f>'Draw Calc (Hidden)'!P14</f>
        <v>0</v>
      </c>
      <c r="T32" s="95">
        <f>'Draw Calc (Hidden)'!Q14</f>
        <v>0</v>
      </c>
      <c r="U32" s="95">
        <f>'Draw Calc (Hidden)'!R14</f>
        <v>0</v>
      </c>
      <c r="V32" s="95">
        <f>'Draw Calc (Hidden)'!S14</f>
        <v>0</v>
      </c>
      <c r="W32" s="95">
        <f>'Draw Calc (Hidden)'!T14</f>
        <v>0</v>
      </c>
      <c r="X32" s="95">
        <f>'Draw Calc (Hidden)'!U14</f>
        <v>0</v>
      </c>
      <c r="Y32" s="95">
        <f>'Draw Calc (Hidden)'!V14</f>
        <v>0</v>
      </c>
      <c r="Z32" s="95">
        <f>'Draw Calc (Hidden)'!W14</f>
        <v>0</v>
      </c>
      <c r="AA32" s="95">
        <f>'Draw Calc (Hidden)'!X14</f>
        <v>0</v>
      </c>
      <c r="AB32" s="95">
        <f>'Draw Calc (Hidden)'!Y14</f>
        <v>0</v>
      </c>
      <c r="AC32" s="95">
        <f>'Draw Calc (Hidden)'!Z14</f>
        <v>0</v>
      </c>
      <c r="AD32" s="95">
        <f>'Draw Calc (Hidden)'!AA14</f>
        <v>0</v>
      </c>
      <c r="AE32" s="95">
        <f>'Draw Calc (Hidden)'!AB14</f>
        <v>0</v>
      </c>
      <c r="AF32" s="95">
        <f>'Draw Calc (Hidden)'!AC14</f>
        <v>0</v>
      </c>
      <c r="AG32" s="95">
        <f>'Draw Calc (Hidden)'!AD14</f>
        <v>0</v>
      </c>
      <c r="AH32" s="95">
        <f>'Draw Calc (Hidden)'!AE14</f>
        <v>0</v>
      </c>
      <c r="AI32" s="95">
        <f>'Draw Calc (Hidden)'!AF14</f>
        <v>0</v>
      </c>
      <c r="AJ32" s="95">
        <f>'Draw Calc (Hidden)'!AG14</f>
        <v>0</v>
      </c>
      <c r="AK32" s="95">
        <f>'Draw Calc (Hidden)'!AH14</f>
        <v>0</v>
      </c>
      <c r="AL32" s="95">
        <f>'Draw Calc (Hidden)'!AI14</f>
        <v>0</v>
      </c>
      <c r="AM32" s="95">
        <f>'Draw Calc (Hidden)'!AJ14</f>
        <v>0</v>
      </c>
      <c r="AN32" s="95">
        <f>'Draw Calc (Hidden)'!AK14</f>
        <v>0</v>
      </c>
      <c r="AO32" s="95">
        <f>'Draw Calc (Hidden)'!AL14</f>
        <v>0</v>
      </c>
    </row>
    <row r="33" spans="1:41" ht="15" customHeight="1" x14ac:dyDescent="0.2">
      <c r="A33" s="94" t="str">
        <f>'I_Budget Input Data'!B15</f>
        <v>2. SITE SERVICING + LANDSCAPE</v>
      </c>
      <c r="B33" s="94" t="str">
        <f>'I_Budget Input Data'!C15</f>
        <v>Extension of services:Excavation &amp; backfill - Extension - Mtee Ryan Civil</v>
      </c>
      <c r="C33" s="95">
        <f>'I_Budget Input Data'!D15</f>
        <v>375295</v>
      </c>
      <c r="D33" s="95">
        <f t="shared" si="0"/>
        <v>369521.23076923081</v>
      </c>
      <c r="E33" s="95">
        <f t="shared" si="1"/>
        <v>5773.7692307691905</v>
      </c>
      <c r="F33" s="95">
        <f>'Draw Calc (Hidden)'!C15</f>
        <v>34642.615384615383</v>
      </c>
      <c r="G33" s="95">
        <f>'Draw Calc (Hidden)'!D15</f>
        <v>34642.615384615383</v>
      </c>
      <c r="H33" s="95">
        <f>'Draw Calc (Hidden)'!E15</f>
        <v>34642.615384615383</v>
      </c>
      <c r="I33" s="95">
        <f>'Draw Calc (Hidden)'!F15</f>
        <v>34642.615384615383</v>
      </c>
      <c r="J33" s="95">
        <f>'Draw Calc (Hidden)'!G15</f>
        <v>34642.615384615383</v>
      </c>
      <c r="K33" s="95">
        <f>'Draw Calc (Hidden)'!H15</f>
        <v>34642.615384615383</v>
      </c>
      <c r="L33" s="95">
        <f>'Draw Calc (Hidden)'!I15</f>
        <v>23095.076923076922</v>
      </c>
      <c r="M33" s="95">
        <f>'Draw Calc (Hidden)'!J15</f>
        <v>23095.076923076922</v>
      </c>
      <c r="N33" s="95">
        <f>'Draw Calc (Hidden)'!K15</f>
        <v>23095.076923076922</v>
      </c>
      <c r="O33" s="95">
        <f>'Draw Calc (Hidden)'!L15</f>
        <v>23095.076923076922</v>
      </c>
      <c r="P33" s="95">
        <f>'Draw Calc (Hidden)'!M15</f>
        <v>23095.076923076922</v>
      </c>
      <c r="Q33" s="95">
        <f>'Draw Calc (Hidden)'!N15</f>
        <v>23095.076923076922</v>
      </c>
      <c r="R33" s="95">
        <f>'Draw Calc (Hidden)'!O15</f>
        <v>23095.076923076922</v>
      </c>
      <c r="S33" s="95">
        <f>'Draw Calc (Hidden)'!P15</f>
        <v>0</v>
      </c>
      <c r="T33" s="95">
        <f>'Draw Calc (Hidden)'!Q15</f>
        <v>0</v>
      </c>
      <c r="U33" s="95">
        <f>'Draw Calc (Hidden)'!R15</f>
        <v>0</v>
      </c>
      <c r="V33" s="95">
        <f>'Draw Calc (Hidden)'!S15</f>
        <v>0</v>
      </c>
      <c r="W33" s="95">
        <f>'Draw Calc (Hidden)'!T15</f>
        <v>0</v>
      </c>
      <c r="X33" s="95">
        <f>'Draw Calc (Hidden)'!U15</f>
        <v>0</v>
      </c>
      <c r="Y33" s="95">
        <f>'Draw Calc (Hidden)'!V15</f>
        <v>0</v>
      </c>
      <c r="Z33" s="95">
        <f>'Draw Calc (Hidden)'!W15</f>
        <v>0</v>
      </c>
      <c r="AA33" s="95">
        <f>'Draw Calc (Hidden)'!X15</f>
        <v>0</v>
      </c>
      <c r="AB33" s="95">
        <f>'Draw Calc (Hidden)'!Y15</f>
        <v>0</v>
      </c>
      <c r="AC33" s="95">
        <f>'Draw Calc (Hidden)'!Z15</f>
        <v>0</v>
      </c>
      <c r="AD33" s="95">
        <f>'Draw Calc (Hidden)'!AA15</f>
        <v>0</v>
      </c>
      <c r="AE33" s="95">
        <f>'Draw Calc (Hidden)'!AB15</f>
        <v>0</v>
      </c>
      <c r="AF33" s="95">
        <f>'Draw Calc (Hidden)'!AC15</f>
        <v>0</v>
      </c>
      <c r="AG33" s="95">
        <f>'Draw Calc (Hidden)'!AD15</f>
        <v>0</v>
      </c>
      <c r="AH33" s="95">
        <f>'Draw Calc (Hidden)'!AE15</f>
        <v>0</v>
      </c>
      <c r="AI33" s="95">
        <f>'Draw Calc (Hidden)'!AF15</f>
        <v>0</v>
      </c>
      <c r="AJ33" s="95">
        <f>'Draw Calc (Hidden)'!AG15</f>
        <v>0</v>
      </c>
      <c r="AK33" s="95">
        <f>'Draw Calc (Hidden)'!AH15</f>
        <v>0</v>
      </c>
      <c r="AL33" s="95">
        <f>'Draw Calc (Hidden)'!AI15</f>
        <v>0</v>
      </c>
      <c r="AM33" s="95">
        <f>'Draw Calc (Hidden)'!AJ15</f>
        <v>0</v>
      </c>
      <c r="AN33" s="95">
        <f>'Draw Calc (Hidden)'!AK15</f>
        <v>0</v>
      </c>
      <c r="AO33" s="95">
        <f>'Draw Calc (Hidden)'!AL15</f>
        <v>0</v>
      </c>
    </row>
    <row r="34" spans="1:41" ht="15" customHeight="1" x14ac:dyDescent="0.2">
      <c r="A34" s="94" t="str">
        <f>'I_Budget Input Data'!B16</f>
        <v>2. SITE SERVICING + LANDSCAPE</v>
      </c>
      <c r="B34" s="94">
        <f>'I_Budget Input Data'!C16</f>
        <v>0</v>
      </c>
      <c r="C34" s="95">
        <f>'I_Budget Input Data'!D16</f>
        <v>165563</v>
      </c>
      <c r="D34" s="95">
        <f t="shared" si="0"/>
        <v>163015.8769230769</v>
      </c>
      <c r="E34" s="95">
        <f t="shared" si="1"/>
        <v>2547.1230769231042</v>
      </c>
      <c r="F34" s="95">
        <f>'Draw Calc (Hidden)'!C16</f>
        <v>15282.738461538462</v>
      </c>
      <c r="G34" s="95">
        <f>'Draw Calc (Hidden)'!D16</f>
        <v>15282.738461538462</v>
      </c>
      <c r="H34" s="95">
        <f>'Draw Calc (Hidden)'!E16</f>
        <v>15282.738461538462</v>
      </c>
      <c r="I34" s="95">
        <f>'Draw Calc (Hidden)'!F16</f>
        <v>15282.738461538462</v>
      </c>
      <c r="J34" s="95">
        <f>'Draw Calc (Hidden)'!G16</f>
        <v>15282.738461538462</v>
      </c>
      <c r="K34" s="95">
        <f>'Draw Calc (Hidden)'!H16</f>
        <v>15282.738461538462</v>
      </c>
      <c r="L34" s="95">
        <f>'Draw Calc (Hidden)'!I16</f>
        <v>10188.492307692308</v>
      </c>
      <c r="M34" s="95">
        <f>'Draw Calc (Hidden)'!J16</f>
        <v>10188.492307692308</v>
      </c>
      <c r="N34" s="95">
        <f>'Draw Calc (Hidden)'!K16</f>
        <v>10188.492307692308</v>
      </c>
      <c r="O34" s="95">
        <f>'Draw Calc (Hidden)'!L16</f>
        <v>10188.492307692308</v>
      </c>
      <c r="P34" s="95">
        <f>'Draw Calc (Hidden)'!M16</f>
        <v>10188.492307692308</v>
      </c>
      <c r="Q34" s="95">
        <f>'Draw Calc (Hidden)'!N16</f>
        <v>10188.492307692308</v>
      </c>
      <c r="R34" s="95">
        <f>'Draw Calc (Hidden)'!O16</f>
        <v>10188.492307692308</v>
      </c>
      <c r="S34" s="95">
        <f>'Draw Calc (Hidden)'!P16</f>
        <v>0</v>
      </c>
      <c r="T34" s="95">
        <f>'Draw Calc (Hidden)'!Q16</f>
        <v>0</v>
      </c>
      <c r="U34" s="95">
        <f>'Draw Calc (Hidden)'!R16</f>
        <v>0</v>
      </c>
      <c r="V34" s="95">
        <f>'Draw Calc (Hidden)'!S16</f>
        <v>0</v>
      </c>
      <c r="W34" s="95">
        <f>'Draw Calc (Hidden)'!T16</f>
        <v>0</v>
      </c>
      <c r="X34" s="95">
        <f>'Draw Calc (Hidden)'!U16</f>
        <v>0</v>
      </c>
      <c r="Y34" s="95">
        <f>'Draw Calc (Hidden)'!V16</f>
        <v>0</v>
      </c>
      <c r="Z34" s="95">
        <f>'Draw Calc (Hidden)'!W16</f>
        <v>0</v>
      </c>
      <c r="AA34" s="95">
        <f>'Draw Calc (Hidden)'!X16</f>
        <v>0</v>
      </c>
      <c r="AB34" s="95">
        <f>'Draw Calc (Hidden)'!Y16</f>
        <v>0</v>
      </c>
      <c r="AC34" s="95">
        <f>'Draw Calc (Hidden)'!Z16</f>
        <v>0</v>
      </c>
      <c r="AD34" s="95">
        <f>'Draw Calc (Hidden)'!AA16</f>
        <v>0</v>
      </c>
      <c r="AE34" s="95">
        <f>'Draw Calc (Hidden)'!AB16</f>
        <v>0</v>
      </c>
      <c r="AF34" s="95">
        <f>'Draw Calc (Hidden)'!AC16</f>
        <v>0</v>
      </c>
      <c r="AG34" s="95">
        <f>'Draw Calc (Hidden)'!AD16</f>
        <v>0</v>
      </c>
      <c r="AH34" s="95">
        <f>'Draw Calc (Hidden)'!AE16</f>
        <v>0</v>
      </c>
      <c r="AI34" s="95">
        <f>'Draw Calc (Hidden)'!AF16</f>
        <v>0</v>
      </c>
      <c r="AJ34" s="95">
        <f>'Draw Calc (Hidden)'!AG16</f>
        <v>0</v>
      </c>
      <c r="AK34" s="95">
        <f>'Draw Calc (Hidden)'!AH16</f>
        <v>0</v>
      </c>
      <c r="AL34" s="95">
        <f>'Draw Calc (Hidden)'!AI16</f>
        <v>0</v>
      </c>
      <c r="AM34" s="95">
        <f>'Draw Calc (Hidden)'!AJ16</f>
        <v>0</v>
      </c>
      <c r="AN34" s="95">
        <f>'Draw Calc (Hidden)'!AK16</f>
        <v>0</v>
      </c>
      <c r="AO34" s="95">
        <f>'Draw Calc (Hidden)'!AL16</f>
        <v>0</v>
      </c>
    </row>
    <row r="35" spans="1:41" ht="15" customHeight="1" x14ac:dyDescent="0.2">
      <c r="A35" s="94" t="str">
        <f>'I_Budget Input Data'!B17</f>
        <v>2. SITE SERVICING + LANDSCAPE</v>
      </c>
      <c r="B35" s="94" t="str">
        <f>'I_Budget Input Data'!C17</f>
        <v>Onsite services - civil:Excavation &amp; Backfill (PC)</v>
      </c>
      <c r="C35" s="95">
        <f>'I_Budget Input Data'!D17</f>
        <v>475672</v>
      </c>
      <c r="D35" s="95">
        <f t="shared" si="0"/>
        <v>468353.96923076926</v>
      </c>
      <c r="E35" s="95">
        <f t="shared" si="1"/>
        <v>7318.0307692307397</v>
      </c>
      <c r="F35" s="95">
        <f>'Draw Calc (Hidden)'!C17</f>
        <v>43908.18461538462</v>
      </c>
      <c r="G35" s="95">
        <f>'Draw Calc (Hidden)'!D17</f>
        <v>43908.18461538462</v>
      </c>
      <c r="H35" s="95">
        <f>'Draw Calc (Hidden)'!E17</f>
        <v>43908.18461538462</v>
      </c>
      <c r="I35" s="95">
        <f>'Draw Calc (Hidden)'!F17</f>
        <v>43908.18461538462</v>
      </c>
      <c r="J35" s="95">
        <f>'Draw Calc (Hidden)'!G17</f>
        <v>43908.18461538462</v>
      </c>
      <c r="K35" s="95">
        <f>'Draw Calc (Hidden)'!H17</f>
        <v>43908.18461538462</v>
      </c>
      <c r="L35" s="95">
        <f>'Draw Calc (Hidden)'!I17</f>
        <v>29272.123076923079</v>
      </c>
      <c r="M35" s="95">
        <f>'Draw Calc (Hidden)'!J17</f>
        <v>29272.123076923079</v>
      </c>
      <c r="N35" s="95">
        <f>'Draw Calc (Hidden)'!K17</f>
        <v>29272.123076923079</v>
      </c>
      <c r="O35" s="95">
        <f>'Draw Calc (Hidden)'!L17</f>
        <v>29272.123076923079</v>
      </c>
      <c r="P35" s="95">
        <f>'Draw Calc (Hidden)'!M17</f>
        <v>29272.123076923079</v>
      </c>
      <c r="Q35" s="95">
        <f>'Draw Calc (Hidden)'!N17</f>
        <v>29272.123076923079</v>
      </c>
      <c r="R35" s="95">
        <f>'Draw Calc (Hidden)'!O17</f>
        <v>29272.123076923079</v>
      </c>
      <c r="S35" s="95">
        <f>'Draw Calc (Hidden)'!P17</f>
        <v>0</v>
      </c>
      <c r="T35" s="95">
        <f>'Draw Calc (Hidden)'!Q17</f>
        <v>0</v>
      </c>
      <c r="U35" s="95">
        <f>'Draw Calc (Hidden)'!R17</f>
        <v>0</v>
      </c>
      <c r="V35" s="95">
        <f>'Draw Calc (Hidden)'!S17</f>
        <v>0</v>
      </c>
      <c r="W35" s="95">
        <f>'Draw Calc (Hidden)'!T17</f>
        <v>0</v>
      </c>
      <c r="X35" s="95">
        <f>'Draw Calc (Hidden)'!U17</f>
        <v>0</v>
      </c>
      <c r="Y35" s="95">
        <f>'Draw Calc (Hidden)'!V17</f>
        <v>0</v>
      </c>
      <c r="Z35" s="95">
        <f>'Draw Calc (Hidden)'!W17</f>
        <v>0</v>
      </c>
      <c r="AA35" s="95">
        <f>'Draw Calc (Hidden)'!X17</f>
        <v>0</v>
      </c>
      <c r="AB35" s="95">
        <f>'Draw Calc (Hidden)'!Y17</f>
        <v>0</v>
      </c>
      <c r="AC35" s="95">
        <f>'Draw Calc (Hidden)'!Z17</f>
        <v>0</v>
      </c>
      <c r="AD35" s="95">
        <f>'Draw Calc (Hidden)'!AA17</f>
        <v>0</v>
      </c>
      <c r="AE35" s="95">
        <f>'Draw Calc (Hidden)'!AB17</f>
        <v>0</v>
      </c>
      <c r="AF35" s="95">
        <f>'Draw Calc (Hidden)'!AC17</f>
        <v>0</v>
      </c>
      <c r="AG35" s="95">
        <f>'Draw Calc (Hidden)'!AD17</f>
        <v>0</v>
      </c>
      <c r="AH35" s="95">
        <f>'Draw Calc (Hidden)'!AE17</f>
        <v>0</v>
      </c>
      <c r="AI35" s="95">
        <f>'Draw Calc (Hidden)'!AF17</f>
        <v>0</v>
      </c>
      <c r="AJ35" s="95">
        <f>'Draw Calc (Hidden)'!AG17</f>
        <v>0</v>
      </c>
      <c r="AK35" s="95">
        <f>'Draw Calc (Hidden)'!AH17</f>
        <v>0</v>
      </c>
      <c r="AL35" s="95">
        <f>'Draw Calc (Hidden)'!AI17</f>
        <v>0</v>
      </c>
      <c r="AM35" s="95">
        <f>'Draw Calc (Hidden)'!AJ17</f>
        <v>0</v>
      </c>
      <c r="AN35" s="95">
        <f>'Draw Calc (Hidden)'!AK17</f>
        <v>0</v>
      </c>
      <c r="AO35" s="95">
        <f>'Draw Calc (Hidden)'!AL17</f>
        <v>0</v>
      </c>
    </row>
    <row r="36" spans="1:41" ht="15" customHeight="1" x14ac:dyDescent="0.2">
      <c r="A36" s="94" t="str">
        <f>'I_Budget Input Data'!B18</f>
        <v>2. SITE SERVICING + LANDSCAPE</v>
      </c>
      <c r="B36" s="94" t="str">
        <f>'I_Budget Input Data'!C18</f>
        <v>Onsite services - civil:Excavation &amp; Backfill (PC)</v>
      </c>
      <c r="C36" s="95">
        <f>'I_Budget Input Data'!D18</f>
        <v>23100</v>
      </c>
      <c r="D36" s="95">
        <f t="shared" si="0"/>
        <v>22744.615384615379</v>
      </c>
      <c r="E36" s="95">
        <f t="shared" si="1"/>
        <v>355.3846153846207</v>
      </c>
      <c r="F36" s="95">
        <f>'Draw Calc (Hidden)'!C18</f>
        <v>2132.3076923076924</v>
      </c>
      <c r="G36" s="95">
        <f>'Draw Calc (Hidden)'!D18</f>
        <v>2132.3076923076924</v>
      </c>
      <c r="H36" s="95">
        <f>'Draw Calc (Hidden)'!E18</f>
        <v>2132.3076923076924</v>
      </c>
      <c r="I36" s="95">
        <f>'Draw Calc (Hidden)'!F18</f>
        <v>2132.3076923076924</v>
      </c>
      <c r="J36" s="95">
        <f>'Draw Calc (Hidden)'!G18</f>
        <v>2132.3076923076924</v>
      </c>
      <c r="K36" s="95">
        <f>'Draw Calc (Hidden)'!H18</f>
        <v>2132.3076923076924</v>
      </c>
      <c r="L36" s="95">
        <f>'Draw Calc (Hidden)'!I18</f>
        <v>1421.5384615384614</v>
      </c>
      <c r="M36" s="95">
        <f>'Draw Calc (Hidden)'!J18</f>
        <v>1421.5384615384614</v>
      </c>
      <c r="N36" s="95">
        <f>'Draw Calc (Hidden)'!K18</f>
        <v>1421.5384615384614</v>
      </c>
      <c r="O36" s="95">
        <f>'Draw Calc (Hidden)'!L18</f>
        <v>1421.5384615384614</v>
      </c>
      <c r="P36" s="95">
        <f>'Draw Calc (Hidden)'!M18</f>
        <v>1421.5384615384614</v>
      </c>
      <c r="Q36" s="95">
        <f>'Draw Calc (Hidden)'!N18</f>
        <v>1421.5384615384614</v>
      </c>
      <c r="R36" s="95">
        <f>'Draw Calc (Hidden)'!O18</f>
        <v>1421.5384615384614</v>
      </c>
      <c r="S36" s="95">
        <f>'Draw Calc (Hidden)'!P18</f>
        <v>0</v>
      </c>
      <c r="T36" s="95">
        <f>'Draw Calc (Hidden)'!Q18</f>
        <v>0</v>
      </c>
      <c r="U36" s="95">
        <f>'Draw Calc (Hidden)'!R18</f>
        <v>0</v>
      </c>
      <c r="V36" s="95">
        <f>'Draw Calc (Hidden)'!S18</f>
        <v>0</v>
      </c>
      <c r="W36" s="95">
        <f>'Draw Calc (Hidden)'!T18</f>
        <v>0</v>
      </c>
      <c r="X36" s="95">
        <f>'Draw Calc (Hidden)'!U18</f>
        <v>0</v>
      </c>
      <c r="Y36" s="95">
        <f>'Draw Calc (Hidden)'!V18</f>
        <v>0</v>
      </c>
      <c r="Z36" s="95">
        <f>'Draw Calc (Hidden)'!W18</f>
        <v>0</v>
      </c>
      <c r="AA36" s="95">
        <f>'Draw Calc (Hidden)'!X18</f>
        <v>0</v>
      </c>
      <c r="AB36" s="95">
        <f>'Draw Calc (Hidden)'!Y18</f>
        <v>0</v>
      </c>
      <c r="AC36" s="95">
        <f>'Draw Calc (Hidden)'!Z18</f>
        <v>0</v>
      </c>
      <c r="AD36" s="95">
        <f>'Draw Calc (Hidden)'!AA18</f>
        <v>0</v>
      </c>
      <c r="AE36" s="95">
        <f>'Draw Calc (Hidden)'!AB18</f>
        <v>0</v>
      </c>
      <c r="AF36" s="95">
        <f>'Draw Calc (Hidden)'!AC18</f>
        <v>0</v>
      </c>
      <c r="AG36" s="95">
        <f>'Draw Calc (Hidden)'!AD18</f>
        <v>0</v>
      </c>
      <c r="AH36" s="95">
        <f>'Draw Calc (Hidden)'!AE18</f>
        <v>0</v>
      </c>
      <c r="AI36" s="95">
        <f>'Draw Calc (Hidden)'!AF18</f>
        <v>0</v>
      </c>
      <c r="AJ36" s="95">
        <f>'Draw Calc (Hidden)'!AG18</f>
        <v>0</v>
      </c>
      <c r="AK36" s="95">
        <f>'Draw Calc (Hidden)'!AH18</f>
        <v>0</v>
      </c>
      <c r="AL36" s="95">
        <f>'Draw Calc (Hidden)'!AI18</f>
        <v>0</v>
      </c>
      <c r="AM36" s="95">
        <f>'Draw Calc (Hidden)'!AJ18</f>
        <v>0</v>
      </c>
      <c r="AN36" s="95">
        <f>'Draw Calc (Hidden)'!AK18</f>
        <v>0</v>
      </c>
      <c r="AO36" s="95">
        <f>'Draw Calc (Hidden)'!AL18</f>
        <v>0</v>
      </c>
    </row>
    <row r="37" spans="1:41" ht="15" customHeight="1" x14ac:dyDescent="0.2">
      <c r="A37" s="94" t="str">
        <f>'I_Budget Input Data'!B19</f>
        <v>2. SITE SERVICING + LANDSCAPE</v>
      </c>
      <c r="B37" s="94" t="str">
        <f>'I_Budget Input Data'!C19</f>
        <v>Onsite services - civil:Excavation &amp; Backfill (PC)</v>
      </c>
      <c r="C37" s="95">
        <f>'I_Budget Input Data'!D19</f>
        <v>2300</v>
      </c>
      <c r="D37" s="95">
        <f t="shared" si="0"/>
        <v>2264.6153846153843</v>
      </c>
      <c r="E37" s="95">
        <f t="shared" si="1"/>
        <v>35.384615384615699</v>
      </c>
      <c r="F37" s="95">
        <f>'Draw Calc (Hidden)'!C19</f>
        <v>212.30769230769232</v>
      </c>
      <c r="G37" s="95">
        <f>'Draw Calc (Hidden)'!D19</f>
        <v>212.30769230769232</v>
      </c>
      <c r="H37" s="95">
        <f>'Draw Calc (Hidden)'!E19</f>
        <v>212.30769230769232</v>
      </c>
      <c r="I37" s="95">
        <f>'Draw Calc (Hidden)'!F19</f>
        <v>212.30769230769232</v>
      </c>
      <c r="J37" s="95">
        <f>'Draw Calc (Hidden)'!G19</f>
        <v>212.30769230769232</v>
      </c>
      <c r="K37" s="95">
        <f>'Draw Calc (Hidden)'!H19</f>
        <v>212.30769230769232</v>
      </c>
      <c r="L37" s="95">
        <f>'Draw Calc (Hidden)'!I19</f>
        <v>141.53846153846155</v>
      </c>
      <c r="M37" s="95">
        <f>'Draw Calc (Hidden)'!J19</f>
        <v>141.53846153846155</v>
      </c>
      <c r="N37" s="95">
        <f>'Draw Calc (Hidden)'!K19</f>
        <v>141.53846153846155</v>
      </c>
      <c r="O37" s="95">
        <f>'Draw Calc (Hidden)'!L19</f>
        <v>141.53846153846155</v>
      </c>
      <c r="P37" s="95">
        <f>'Draw Calc (Hidden)'!M19</f>
        <v>141.53846153846155</v>
      </c>
      <c r="Q37" s="95">
        <f>'Draw Calc (Hidden)'!N19</f>
        <v>141.53846153846155</v>
      </c>
      <c r="R37" s="95">
        <f>'Draw Calc (Hidden)'!O19</f>
        <v>141.53846153846155</v>
      </c>
      <c r="S37" s="95">
        <f>'Draw Calc (Hidden)'!P19</f>
        <v>0</v>
      </c>
      <c r="T37" s="95">
        <f>'Draw Calc (Hidden)'!Q19</f>
        <v>0</v>
      </c>
      <c r="U37" s="95">
        <f>'Draw Calc (Hidden)'!R19</f>
        <v>0</v>
      </c>
      <c r="V37" s="95">
        <f>'Draw Calc (Hidden)'!S19</f>
        <v>0</v>
      </c>
      <c r="W37" s="95">
        <f>'Draw Calc (Hidden)'!T19</f>
        <v>0</v>
      </c>
      <c r="X37" s="95">
        <f>'Draw Calc (Hidden)'!U19</f>
        <v>0</v>
      </c>
      <c r="Y37" s="95">
        <f>'Draw Calc (Hidden)'!V19</f>
        <v>0</v>
      </c>
      <c r="Z37" s="95">
        <f>'Draw Calc (Hidden)'!W19</f>
        <v>0</v>
      </c>
      <c r="AA37" s="95">
        <f>'Draw Calc (Hidden)'!X19</f>
        <v>0</v>
      </c>
      <c r="AB37" s="95">
        <f>'Draw Calc (Hidden)'!Y19</f>
        <v>0</v>
      </c>
      <c r="AC37" s="95">
        <f>'Draw Calc (Hidden)'!Z19</f>
        <v>0</v>
      </c>
      <c r="AD37" s="95">
        <f>'Draw Calc (Hidden)'!AA19</f>
        <v>0</v>
      </c>
      <c r="AE37" s="95">
        <f>'Draw Calc (Hidden)'!AB19</f>
        <v>0</v>
      </c>
      <c r="AF37" s="95">
        <f>'Draw Calc (Hidden)'!AC19</f>
        <v>0</v>
      </c>
      <c r="AG37" s="95">
        <f>'Draw Calc (Hidden)'!AD19</f>
        <v>0</v>
      </c>
      <c r="AH37" s="95">
        <f>'Draw Calc (Hidden)'!AE19</f>
        <v>0</v>
      </c>
      <c r="AI37" s="95">
        <f>'Draw Calc (Hidden)'!AF19</f>
        <v>0</v>
      </c>
      <c r="AJ37" s="95">
        <f>'Draw Calc (Hidden)'!AG19</f>
        <v>0</v>
      </c>
      <c r="AK37" s="95">
        <f>'Draw Calc (Hidden)'!AH19</f>
        <v>0</v>
      </c>
      <c r="AL37" s="95">
        <f>'Draw Calc (Hidden)'!AI19</f>
        <v>0</v>
      </c>
      <c r="AM37" s="95">
        <f>'Draw Calc (Hidden)'!AJ19</f>
        <v>0</v>
      </c>
      <c r="AN37" s="95">
        <f>'Draw Calc (Hidden)'!AK19</f>
        <v>0</v>
      </c>
      <c r="AO37" s="95">
        <f>'Draw Calc (Hidden)'!AL19</f>
        <v>0</v>
      </c>
    </row>
    <row r="38" spans="1:41" ht="15" customHeight="1" x14ac:dyDescent="0.2">
      <c r="A38" s="94" t="str">
        <f>'I_Budget Input Data'!B20</f>
        <v>2. SITE SERVICING + LANDSCAPE</v>
      </c>
      <c r="B38" s="94" t="str">
        <f>'I_Budget Input Data'!C20</f>
        <v>Onsite services - civil:Excavation &amp; Backfill (PC)</v>
      </c>
      <c r="C38" s="95">
        <f>'I_Budget Input Data'!D20</f>
        <v>25102</v>
      </c>
      <c r="D38" s="95">
        <f t="shared" si="0"/>
        <v>24715.815384615384</v>
      </c>
      <c r="E38" s="95">
        <f t="shared" si="1"/>
        <v>386.18461538461634</v>
      </c>
      <c r="F38" s="95">
        <f>'Draw Calc (Hidden)'!C20</f>
        <v>2317.1076923076921</v>
      </c>
      <c r="G38" s="95">
        <f>'Draw Calc (Hidden)'!D20</f>
        <v>2317.1076923076921</v>
      </c>
      <c r="H38" s="95">
        <f>'Draw Calc (Hidden)'!E20</f>
        <v>2317.1076923076921</v>
      </c>
      <c r="I38" s="95">
        <f>'Draw Calc (Hidden)'!F20</f>
        <v>2317.1076923076921</v>
      </c>
      <c r="J38" s="95">
        <f>'Draw Calc (Hidden)'!G20</f>
        <v>2317.1076923076921</v>
      </c>
      <c r="K38" s="95">
        <f>'Draw Calc (Hidden)'!H20</f>
        <v>2317.1076923076921</v>
      </c>
      <c r="L38" s="95">
        <f>'Draw Calc (Hidden)'!I20</f>
        <v>1544.7384615384617</v>
      </c>
      <c r="M38" s="95">
        <f>'Draw Calc (Hidden)'!J20</f>
        <v>1544.7384615384617</v>
      </c>
      <c r="N38" s="95">
        <f>'Draw Calc (Hidden)'!K20</f>
        <v>1544.7384615384617</v>
      </c>
      <c r="O38" s="95">
        <f>'Draw Calc (Hidden)'!L20</f>
        <v>1544.7384615384617</v>
      </c>
      <c r="P38" s="95">
        <f>'Draw Calc (Hidden)'!M20</f>
        <v>1544.7384615384617</v>
      </c>
      <c r="Q38" s="95">
        <f>'Draw Calc (Hidden)'!N20</f>
        <v>1544.7384615384617</v>
      </c>
      <c r="R38" s="95">
        <f>'Draw Calc (Hidden)'!O20</f>
        <v>1544.7384615384617</v>
      </c>
      <c r="S38" s="95">
        <f>'Draw Calc (Hidden)'!P20</f>
        <v>0</v>
      </c>
      <c r="T38" s="95">
        <f>'Draw Calc (Hidden)'!Q20</f>
        <v>0</v>
      </c>
      <c r="U38" s="95">
        <f>'Draw Calc (Hidden)'!R20</f>
        <v>0</v>
      </c>
      <c r="V38" s="95">
        <f>'Draw Calc (Hidden)'!S20</f>
        <v>0</v>
      </c>
      <c r="W38" s="95">
        <f>'Draw Calc (Hidden)'!T20</f>
        <v>0</v>
      </c>
      <c r="X38" s="95">
        <f>'Draw Calc (Hidden)'!U20</f>
        <v>0</v>
      </c>
      <c r="Y38" s="95">
        <f>'Draw Calc (Hidden)'!V20</f>
        <v>0</v>
      </c>
      <c r="Z38" s="95">
        <f>'Draw Calc (Hidden)'!W20</f>
        <v>0</v>
      </c>
      <c r="AA38" s="95">
        <f>'Draw Calc (Hidden)'!X20</f>
        <v>0</v>
      </c>
      <c r="AB38" s="95">
        <f>'Draw Calc (Hidden)'!Y20</f>
        <v>0</v>
      </c>
      <c r="AC38" s="95">
        <f>'Draw Calc (Hidden)'!Z20</f>
        <v>0</v>
      </c>
      <c r="AD38" s="95">
        <f>'Draw Calc (Hidden)'!AA20</f>
        <v>0</v>
      </c>
      <c r="AE38" s="95">
        <f>'Draw Calc (Hidden)'!AB20</f>
        <v>0</v>
      </c>
      <c r="AF38" s="95">
        <f>'Draw Calc (Hidden)'!AC20</f>
        <v>0</v>
      </c>
      <c r="AG38" s="95">
        <f>'Draw Calc (Hidden)'!AD20</f>
        <v>0</v>
      </c>
      <c r="AH38" s="95">
        <f>'Draw Calc (Hidden)'!AE20</f>
        <v>0</v>
      </c>
      <c r="AI38" s="95">
        <f>'Draw Calc (Hidden)'!AF20</f>
        <v>0</v>
      </c>
      <c r="AJ38" s="95">
        <f>'Draw Calc (Hidden)'!AG20</f>
        <v>0</v>
      </c>
      <c r="AK38" s="95">
        <f>'Draw Calc (Hidden)'!AH20</f>
        <v>0</v>
      </c>
      <c r="AL38" s="95">
        <f>'Draw Calc (Hidden)'!AI20</f>
        <v>0</v>
      </c>
      <c r="AM38" s="95">
        <f>'Draw Calc (Hidden)'!AJ20</f>
        <v>0</v>
      </c>
      <c r="AN38" s="95">
        <f>'Draw Calc (Hidden)'!AK20</f>
        <v>0</v>
      </c>
      <c r="AO38" s="95">
        <f>'Draw Calc (Hidden)'!AL20</f>
        <v>0</v>
      </c>
    </row>
    <row r="39" spans="1:41" ht="15" customHeight="1" x14ac:dyDescent="0.2">
      <c r="A39" s="94" t="str">
        <f>'I_Budget Input Data'!B21</f>
        <v>2. SITE SERVICING + LANDSCAPE</v>
      </c>
      <c r="B39" s="94" t="str">
        <f>'I_Budget Input Data'!C21</f>
        <v>Onsite services - civil:Excavation &amp; Backfill (PC)</v>
      </c>
      <c r="C39" s="95">
        <f>'I_Budget Input Data'!D21</f>
        <v>47223</v>
      </c>
      <c r="D39" s="95">
        <f t="shared" si="0"/>
        <v>46496.492307692308</v>
      </c>
      <c r="E39" s="95">
        <f t="shared" si="1"/>
        <v>726.5076923076922</v>
      </c>
      <c r="F39" s="95">
        <f>'Draw Calc (Hidden)'!C21</f>
        <v>4359.0461538461541</v>
      </c>
      <c r="G39" s="95">
        <f>'Draw Calc (Hidden)'!D21</f>
        <v>4359.0461538461541</v>
      </c>
      <c r="H39" s="95">
        <f>'Draw Calc (Hidden)'!E21</f>
        <v>4359.0461538461541</v>
      </c>
      <c r="I39" s="95">
        <f>'Draw Calc (Hidden)'!F21</f>
        <v>4359.0461538461541</v>
      </c>
      <c r="J39" s="95">
        <f>'Draw Calc (Hidden)'!G21</f>
        <v>4359.0461538461541</v>
      </c>
      <c r="K39" s="95">
        <f>'Draw Calc (Hidden)'!H21</f>
        <v>4359.0461538461541</v>
      </c>
      <c r="L39" s="95">
        <f>'Draw Calc (Hidden)'!I21</f>
        <v>2906.0307692307692</v>
      </c>
      <c r="M39" s="95">
        <f>'Draw Calc (Hidden)'!J21</f>
        <v>2906.0307692307692</v>
      </c>
      <c r="N39" s="95">
        <f>'Draw Calc (Hidden)'!K21</f>
        <v>2906.0307692307692</v>
      </c>
      <c r="O39" s="95">
        <f>'Draw Calc (Hidden)'!L21</f>
        <v>2906.0307692307692</v>
      </c>
      <c r="P39" s="95">
        <f>'Draw Calc (Hidden)'!M21</f>
        <v>2906.0307692307692</v>
      </c>
      <c r="Q39" s="95">
        <f>'Draw Calc (Hidden)'!N21</f>
        <v>2906.0307692307692</v>
      </c>
      <c r="R39" s="95">
        <f>'Draw Calc (Hidden)'!O21</f>
        <v>2906.0307692307692</v>
      </c>
      <c r="S39" s="95">
        <f>'Draw Calc (Hidden)'!P21</f>
        <v>0</v>
      </c>
      <c r="T39" s="95">
        <f>'Draw Calc (Hidden)'!Q21</f>
        <v>0</v>
      </c>
      <c r="U39" s="95">
        <f>'Draw Calc (Hidden)'!R21</f>
        <v>0</v>
      </c>
      <c r="V39" s="95">
        <f>'Draw Calc (Hidden)'!S21</f>
        <v>0</v>
      </c>
      <c r="W39" s="95">
        <f>'Draw Calc (Hidden)'!T21</f>
        <v>0</v>
      </c>
      <c r="X39" s="95">
        <f>'Draw Calc (Hidden)'!U21</f>
        <v>0</v>
      </c>
      <c r="Y39" s="95">
        <f>'Draw Calc (Hidden)'!V21</f>
        <v>0</v>
      </c>
      <c r="Z39" s="95">
        <f>'Draw Calc (Hidden)'!W21</f>
        <v>0</v>
      </c>
      <c r="AA39" s="95">
        <f>'Draw Calc (Hidden)'!X21</f>
        <v>0</v>
      </c>
      <c r="AB39" s="95">
        <f>'Draw Calc (Hidden)'!Y21</f>
        <v>0</v>
      </c>
      <c r="AC39" s="95">
        <f>'Draw Calc (Hidden)'!Z21</f>
        <v>0</v>
      </c>
      <c r="AD39" s="95">
        <f>'Draw Calc (Hidden)'!AA21</f>
        <v>0</v>
      </c>
      <c r="AE39" s="95">
        <f>'Draw Calc (Hidden)'!AB21</f>
        <v>0</v>
      </c>
      <c r="AF39" s="95">
        <f>'Draw Calc (Hidden)'!AC21</f>
        <v>0</v>
      </c>
      <c r="AG39" s="95">
        <f>'Draw Calc (Hidden)'!AD21</f>
        <v>0</v>
      </c>
      <c r="AH39" s="95">
        <f>'Draw Calc (Hidden)'!AE21</f>
        <v>0</v>
      </c>
      <c r="AI39" s="95">
        <f>'Draw Calc (Hidden)'!AF21</f>
        <v>0</v>
      </c>
      <c r="AJ39" s="95">
        <f>'Draw Calc (Hidden)'!AG21</f>
        <v>0</v>
      </c>
      <c r="AK39" s="95">
        <f>'Draw Calc (Hidden)'!AH21</f>
        <v>0</v>
      </c>
      <c r="AL39" s="95">
        <f>'Draw Calc (Hidden)'!AI21</f>
        <v>0</v>
      </c>
      <c r="AM39" s="95">
        <f>'Draw Calc (Hidden)'!AJ21</f>
        <v>0</v>
      </c>
      <c r="AN39" s="95">
        <f>'Draw Calc (Hidden)'!AK21</f>
        <v>0</v>
      </c>
      <c r="AO39" s="95">
        <f>'Draw Calc (Hidden)'!AL21</f>
        <v>0</v>
      </c>
    </row>
    <row r="40" spans="1:41" ht="15" customHeight="1" x14ac:dyDescent="0.2">
      <c r="A40" s="94" t="str">
        <f>'I_Budget Input Data'!B22</f>
        <v>2. SITE SERVICING + LANDSCAPE</v>
      </c>
      <c r="B40" s="94" t="str">
        <f>'I_Budget Input Data'!C22</f>
        <v>Landscaping:Excavation &amp; Backfill - Landscaping</v>
      </c>
      <c r="C40" s="95">
        <f>'I_Budget Input Data'!D22</f>
        <v>1065794</v>
      </c>
      <c r="D40" s="95">
        <f t="shared" si="0"/>
        <v>1049397.1692307696</v>
      </c>
      <c r="E40" s="95">
        <f t="shared" si="1"/>
        <v>16396.830769230379</v>
      </c>
      <c r="F40" s="95">
        <f>'Draw Calc (Hidden)'!C22</f>
        <v>98380.984615384616</v>
      </c>
      <c r="G40" s="95">
        <f>'Draw Calc (Hidden)'!D22</f>
        <v>98380.984615384616</v>
      </c>
      <c r="H40" s="95">
        <f>'Draw Calc (Hidden)'!E22</f>
        <v>98380.984615384616</v>
      </c>
      <c r="I40" s="95">
        <f>'Draw Calc (Hidden)'!F22</f>
        <v>98380.984615384616</v>
      </c>
      <c r="J40" s="95">
        <f>'Draw Calc (Hidden)'!G22</f>
        <v>98380.984615384616</v>
      </c>
      <c r="K40" s="95">
        <f>'Draw Calc (Hidden)'!H22</f>
        <v>98380.984615384616</v>
      </c>
      <c r="L40" s="95">
        <f>'Draw Calc (Hidden)'!I22</f>
        <v>65587.323076923087</v>
      </c>
      <c r="M40" s="95">
        <f>'Draw Calc (Hidden)'!J22</f>
        <v>65587.323076923087</v>
      </c>
      <c r="N40" s="95">
        <f>'Draw Calc (Hidden)'!K22</f>
        <v>65587.323076923087</v>
      </c>
      <c r="O40" s="95">
        <f>'Draw Calc (Hidden)'!L22</f>
        <v>65587.323076923087</v>
      </c>
      <c r="P40" s="95">
        <f>'Draw Calc (Hidden)'!M22</f>
        <v>65587.323076923087</v>
      </c>
      <c r="Q40" s="95">
        <f>'Draw Calc (Hidden)'!N22</f>
        <v>65587.323076923087</v>
      </c>
      <c r="R40" s="95">
        <f>'Draw Calc (Hidden)'!O22</f>
        <v>65587.323076923087</v>
      </c>
      <c r="S40" s="95">
        <f>'Draw Calc (Hidden)'!P22</f>
        <v>0</v>
      </c>
      <c r="T40" s="95">
        <f>'Draw Calc (Hidden)'!Q22</f>
        <v>0</v>
      </c>
      <c r="U40" s="95">
        <f>'Draw Calc (Hidden)'!R22</f>
        <v>0</v>
      </c>
      <c r="V40" s="95">
        <f>'Draw Calc (Hidden)'!S22</f>
        <v>0</v>
      </c>
      <c r="W40" s="95">
        <f>'Draw Calc (Hidden)'!T22</f>
        <v>0</v>
      </c>
      <c r="X40" s="95">
        <f>'Draw Calc (Hidden)'!U22</f>
        <v>0</v>
      </c>
      <c r="Y40" s="95">
        <f>'Draw Calc (Hidden)'!V22</f>
        <v>0</v>
      </c>
      <c r="Z40" s="95">
        <f>'Draw Calc (Hidden)'!W22</f>
        <v>0</v>
      </c>
      <c r="AA40" s="95">
        <f>'Draw Calc (Hidden)'!X22</f>
        <v>0</v>
      </c>
      <c r="AB40" s="95">
        <f>'Draw Calc (Hidden)'!Y22</f>
        <v>0</v>
      </c>
      <c r="AC40" s="95">
        <f>'Draw Calc (Hidden)'!Z22</f>
        <v>0</v>
      </c>
      <c r="AD40" s="95">
        <f>'Draw Calc (Hidden)'!AA22</f>
        <v>0</v>
      </c>
      <c r="AE40" s="95">
        <f>'Draw Calc (Hidden)'!AB22</f>
        <v>0</v>
      </c>
      <c r="AF40" s="95">
        <f>'Draw Calc (Hidden)'!AC22</f>
        <v>0</v>
      </c>
      <c r="AG40" s="95">
        <f>'Draw Calc (Hidden)'!AD22</f>
        <v>0</v>
      </c>
      <c r="AH40" s="95">
        <f>'Draw Calc (Hidden)'!AE22</f>
        <v>0</v>
      </c>
      <c r="AI40" s="95">
        <f>'Draw Calc (Hidden)'!AF22</f>
        <v>0</v>
      </c>
      <c r="AJ40" s="95">
        <f>'Draw Calc (Hidden)'!AG22</f>
        <v>0</v>
      </c>
      <c r="AK40" s="95">
        <f>'Draw Calc (Hidden)'!AH22</f>
        <v>0</v>
      </c>
      <c r="AL40" s="95">
        <f>'Draw Calc (Hidden)'!AI22</f>
        <v>0</v>
      </c>
      <c r="AM40" s="95">
        <f>'Draw Calc (Hidden)'!AJ22</f>
        <v>0</v>
      </c>
      <c r="AN40" s="95">
        <f>'Draw Calc (Hidden)'!AK22</f>
        <v>0</v>
      </c>
      <c r="AO40" s="95">
        <f>'Draw Calc (Hidden)'!AL22</f>
        <v>0</v>
      </c>
    </row>
    <row r="41" spans="1:41" ht="15" customHeight="1" x14ac:dyDescent="0.2">
      <c r="A41" s="94" t="str">
        <f>'I_Budget Input Data'!B23</f>
        <v>2. SITE SERVICING + LANDSCAPE</v>
      </c>
      <c r="B41" s="94" t="str">
        <f>'I_Budget Input Data'!C23</f>
        <v>Electrical services</v>
      </c>
      <c r="C41" s="95">
        <f>'I_Budget Input Data'!D23</f>
        <v>252500</v>
      </c>
      <c r="D41" s="95">
        <f t="shared" si="0"/>
        <v>248615.38461538457</v>
      </c>
      <c r="E41" s="95">
        <f t="shared" si="1"/>
        <v>3884.6153846154339</v>
      </c>
      <c r="F41" s="95">
        <f>'Draw Calc (Hidden)'!C23</f>
        <v>23307.692307692309</v>
      </c>
      <c r="G41" s="95">
        <f>'Draw Calc (Hidden)'!D23</f>
        <v>23307.692307692309</v>
      </c>
      <c r="H41" s="95">
        <f>'Draw Calc (Hidden)'!E23</f>
        <v>23307.692307692309</v>
      </c>
      <c r="I41" s="95">
        <f>'Draw Calc (Hidden)'!F23</f>
        <v>23307.692307692309</v>
      </c>
      <c r="J41" s="95">
        <f>'Draw Calc (Hidden)'!G23</f>
        <v>23307.692307692309</v>
      </c>
      <c r="K41" s="95">
        <f>'Draw Calc (Hidden)'!H23</f>
        <v>23307.692307692309</v>
      </c>
      <c r="L41" s="95">
        <f>'Draw Calc (Hidden)'!I23</f>
        <v>15538.461538461539</v>
      </c>
      <c r="M41" s="95">
        <f>'Draw Calc (Hidden)'!J23</f>
        <v>15538.461538461539</v>
      </c>
      <c r="N41" s="95">
        <f>'Draw Calc (Hidden)'!K23</f>
        <v>15538.461538461539</v>
      </c>
      <c r="O41" s="95">
        <f>'Draw Calc (Hidden)'!L23</f>
        <v>15538.461538461539</v>
      </c>
      <c r="P41" s="95">
        <f>'Draw Calc (Hidden)'!M23</f>
        <v>15538.461538461539</v>
      </c>
      <c r="Q41" s="95">
        <f>'Draw Calc (Hidden)'!N23</f>
        <v>15538.461538461539</v>
      </c>
      <c r="R41" s="95">
        <f>'Draw Calc (Hidden)'!O23</f>
        <v>15538.461538461539</v>
      </c>
      <c r="S41" s="95">
        <f>'Draw Calc (Hidden)'!P23</f>
        <v>0</v>
      </c>
      <c r="T41" s="95">
        <f>'Draw Calc (Hidden)'!Q23</f>
        <v>0</v>
      </c>
      <c r="U41" s="95">
        <f>'Draw Calc (Hidden)'!R23</f>
        <v>0</v>
      </c>
      <c r="V41" s="95">
        <f>'Draw Calc (Hidden)'!S23</f>
        <v>0</v>
      </c>
      <c r="W41" s="95">
        <f>'Draw Calc (Hidden)'!T23</f>
        <v>0</v>
      </c>
      <c r="X41" s="95">
        <f>'Draw Calc (Hidden)'!U23</f>
        <v>0</v>
      </c>
      <c r="Y41" s="95">
        <f>'Draw Calc (Hidden)'!V23</f>
        <v>0</v>
      </c>
      <c r="Z41" s="95">
        <f>'Draw Calc (Hidden)'!W23</f>
        <v>0</v>
      </c>
      <c r="AA41" s="95">
        <f>'Draw Calc (Hidden)'!X23</f>
        <v>0</v>
      </c>
      <c r="AB41" s="95">
        <f>'Draw Calc (Hidden)'!Y23</f>
        <v>0</v>
      </c>
      <c r="AC41" s="95">
        <f>'Draw Calc (Hidden)'!Z23</f>
        <v>0</v>
      </c>
      <c r="AD41" s="95">
        <f>'Draw Calc (Hidden)'!AA23</f>
        <v>0</v>
      </c>
      <c r="AE41" s="95">
        <f>'Draw Calc (Hidden)'!AB23</f>
        <v>0</v>
      </c>
      <c r="AF41" s="95">
        <f>'Draw Calc (Hidden)'!AC23</f>
        <v>0</v>
      </c>
      <c r="AG41" s="95">
        <f>'Draw Calc (Hidden)'!AD23</f>
        <v>0</v>
      </c>
      <c r="AH41" s="95">
        <f>'Draw Calc (Hidden)'!AE23</f>
        <v>0</v>
      </c>
      <c r="AI41" s="95">
        <f>'Draw Calc (Hidden)'!AF23</f>
        <v>0</v>
      </c>
      <c r="AJ41" s="95">
        <f>'Draw Calc (Hidden)'!AG23</f>
        <v>0</v>
      </c>
      <c r="AK41" s="95">
        <f>'Draw Calc (Hidden)'!AH23</f>
        <v>0</v>
      </c>
      <c r="AL41" s="95">
        <f>'Draw Calc (Hidden)'!AI23</f>
        <v>0</v>
      </c>
      <c r="AM41" s="95">
        <f>'Draw Calc (Hidden)'!AJ23</f>
        <v>0</v>
      </c>
      <c r="AN41" s="95">
        <f>'Draw Calc (Hidden)'!AK23</f>
        <v>0</v>
      </c>
      <c r="AO41" s="95">
        <f>'Draw Calc (Hidden)'!AL23</f>
        <v>0</v>
      </c>
    </row>
    <row r="42" spans="1:41" ht="15" customHeight="1" x14ac:dyDescent="0.2">
      <c r="A42" s="94" t="str">
        <f>'I_Budget Input Data'!B24</f>
        <v>2. SITE SERVICING + LANDSCAPE</v>
      </c>
      <c r="B42" s="94" t="str">
        <f>'I_Budget Input Data'!C24</f>
        <v>Electrical charging stations</v>
      </c>
      <c r="C42" s="95">
        <f>'I_Budget Input Data'!D24</f>
        <v>124981</v>
      </c>
      <c r="D42" s="95">
        <f t="shared" si="0"/>
        <v>123058.21538461537</v>
      </c>
      <c r="E42" s="95">
        <f t="shared" si="1"/>
        <v>1922.7846153846331</v>
      </c>
      <c r="F42" s="95">
        <f>'Draw Calc (Hidden)'!C24</f>
        <v>11536.707692307691</v>
      </c>
      <c r="G42" s="95">
        <f>'Draw Calc (Hidden)'!D24</f>
        <v>11536.707692307691</v>
      </c>
      <c r="H42" s="95">
        <f>'Draw Calc (Hidden)'!E24</f>
        <v>11536.707692307691</v>
      </c>
      <c r="I42" s="95">
        <f>'Draw Calc (Hidden)'!F24</f>
        <v>11536.707692307691</v>
      </c>
      <c r="J42" s="95">
        <f>'Draw Calc (Hidden)'!G24</f>
        <v>11536.707692307691</v>
      </c>
      <c r="K42" s="95">
        <f>'Draw Calc (Hidden)'!H24</f>
        <v>11536.707692307691</v>
      </c>
      <c r="L42" s="95">
        <f>'Draw Calc (Hidden)'!I24</f>
        <v>7691.1384615384613</v>
      </c>
      <c r="M42" s="95">
        <f>'Draw Calc (Hidden)'!J24</f>
        <v>7691.1384615384613</v>
      </c>
      <c r="N42" s="95">
        <f>'Draw Calc (Hidden)'!K24</f>
        <v>7691.1384615384613</v>
      </c>
      <c r="O42" s="95">
        <f>'Draw Calc (Hidden)'!L24</f>
        <v>7691.1384615384613</v>
      </c>
      <c r="P42" s="95">
        <f>'Draw Calc (Hidden)'!M24</f>
        <v>7691.1384615384613</v>
      </c>
      <c r="Q42" s="95">
        <f>'Draw Calc (Hidden)'!N24</f>
        <v>7691.1384615384613</v>
      </c>
      <c r="R42" s="95">
        <f>'Draw Calc (Hidden)'!O24</f>
        <v>7691.1384615384613</v>
      </c>
      <c r="S42" s="95">
        <f>'Draw Calc (Hidden)'!P24</f>
        <v>0</v>
      </c>
      <c r="T42" s="95">
        <f>'Draw Calc (Hidden)'!Q24</f>
        <v>0</v>
      </c>
      <c r="U42" s="95">
        <f>'Draw Calc (Hidden)'!R24</f>
        <v>0</v>
      </c>
      <c r="V42" s="95">
        <f>'Draw Calc (Hidden)'!S24</f>
        <v>0</v>
      </c>
      <c r="W42" s="95">
        <f>'Draw Calc (Hidden)'!T24</f>
        <v>0</v>
      </c>
      <c r="X42" s="95">
        <f>'Draw Calc (Hidden)'!U24</f>
        <v>0</v>
      </c>
      <c r="Y42" s="95">
        <f>'Draw Calc (Hidden)'!V24</f>
        <v>0</v>
      </c>
      <c r="Z42" s="95">
        <f>'Draw Calc (Hidden)'!W24</f>
        <v>0</v>
      </c>
      <c r="AA42" s="95">
        <f>'Draw Calc (Hidden)'!X24</f>
        <v>0</v>
      </c>
      <c r="AB42" s="95">
        <f>'Draw Calc (Hidden)'!Y24</f>
        <v>0</v>
      </c>
      <c r="AC42" s="95">
        <f>'Draw Calc (Hidden)'!Z24</f>
        <v>0</v>
      </c>
      <c r="AD42" s="95">
        <f>'Draw Calc (Hidden)'!AA24</f>
        <v>0</v>
      </c>
      <c r="AE42" s="95">
        <f>'Draw Calc (Hidden)'!AB24</f>
        <v>0</v>
      </c>
      <c r="AF42" s="95">
        <f>'Draw Calc (Hidden)'!AC24</f>
        <v>0</v>
      </c>
      <c r="AG42" s="95">
        <f>'Draw Calc (Hidden)'!AD24</f>
        <v>0</v>
      </c>
      <c r="AH42" s="95">
        <f>'Draw Calc (Hidden)'!AE24</f>
        <v>0</v>
      </c>
      <c r="AI42" s="95">
        <f>'Draw Calc (Hidden)'!AF24</f>
        <v>0</v>
      </c>
      <c r="AJ42" s="95">
        <f>'Draw Calc (Hidden)'!AG24</f>
        <v>0</v>
      </c>
      <c r="AK42" s="95">
        <f>'Draw Calc (Hidden)'!AH24</f>
        <v>0</v>
      </c>
      <c r="AL42" s="95">
        <f>'Draw Calc (Hidden)'!AI24</f>
        <v>0</v>
      </c>
      <c r="AM42" s="95">
        <f>'Draw Calc (Hidden)'!AJ24</f>
        <v>0</v>
      </c>
      <c r="AN42" s="95">
        <f>'Draw Calc (Hidden)'!AK24</f>
        <v>0</v>
      </c>
      <c r="AO42" s="95">
        <f>'Draw Calc (Hidden)'!AL24</f>
        <v>0</v>
      </c>
    </row>
    <row r="43" spans="1:41" ht="15" customHeight="1" x14ac:dyDescent="0.2">
      <c r="A43" s="94" t="str">
        <f>'I_Budget Input Data'!B25</f>
        <v>3. HARD COSTS</v>
      </c>
      <c r="B43" s="94" t="str">
        <f>'I_Budget Input Data'!C25</f>
        <v>Admin and profit</v>
      </c>
      <c r="C43" s="95">
        <f>'I_Budget Input Data'!D25</f>
        <v>1577987</v>
      </c>
      <c r="D43" s="95">
        <f t="shared" si="0"/>
        <v>1577987.0000000005</v>
      </c>
      <c r="E43" s="95">
        <f t="shared" si="1"/>
        <v>0</v>
      </c>
      <c r="F43" s="95">
        <f>'Draw Calc (Hidden)'!C25</f>
        <v>121383.61538461539</v>
      </c>
      <c r="G43" s="95">
        <f>'Draw Calc (Hidden)'!D25</f>
        <v>121383.61538461539</v>
      </c>
      <c r="H43" s="95">
        <f>'Draw Calc (Hidden)'!E25</f>
        <v>121383.61538461539</v>
      </c>
      <c r="I43" s="95">
        <f>'Draw Calc (Hidden)'!F25</f>
        <v>121383.61538461539</v>
      </c>
      <c r="J43" s="95">
        <f>'Draw Calc (Hidden)'!G25</f>
        <v>121383.61538461539</v>
      </c>
      <c r="K43" s="95">
        <f>'Draw Calc (Hidden)'!H25</f>
        <v>121383.61538461539</v>
      </c>
      <c r="L43" s="95">
        <f>'Draw Calc (Hidden)'!I25</f>
        <v>121383.61538461539</v>
      </c>
      <c r="M43" s="95">
        <f>'Draw Calc (Hidden)'!J25</f>
        <v>121383.61538461539</v>
      </c>
      <c r="N43" s="95">
        <f>'Draw Calc (Hidden)'!K25</f>
        <v>121383.61538461539</v>
      </c>
      <c r="O43" s="95">
        <f>'Draw Calc (Hidden)'!L25</f>
        <v>121383.61538461539</v>
      </c>
      <c r="P43" s="95">
        <f>'Draw Calc (Hidden)'!M25</f>
        <v>121383.61538461539</v>
      </c>
      <c r="Q43" s="95">
        <f>'Draw Calc (Hidden)'!N25</f>
        <v>121383.61538461539</v>
      </c>
      <c r="R43" s="95">
        <f>'Draw Calc (Hidden)'!O25</f>
        <v>121383.61538461539</v>
      </c>
      <c r="S43" s="95">
        <f>'Draw Calc (Hidden)'!P25</f>
        <v>0</v>
      </c>
      <c r="T43" s="95">
        <f>'Draw Calc (Hidden)'!Q25</f>
        <v>0</v>
      </c>
      <c r="U43" s="95">
        <f>'Draw Calc (Hidden)'!R25</f>
        <v>0</v>
      </c>
      <c r="V43" s="95">
        <f>'Draw Calc (Hidden)'!S25</f>
        <v>0</v>
      </c>
      <c r="W43" s="95">
        <f>'Draw Calc (Hidden)'!T25</f>
        <v>0</v>
      </c>
      <c r="X43" s="95">
        <f>'Draw Calc (Hidden)'!U25</f>
        <v>0</v>
      </c>
      <c r="Y43" s="95">
        <f>'Draw Calc (Hidden)'!V25</f>
        <v>0</v>
      </c>
      <c r="Z43" s="95">
        <f>'Draw Calc (Hidden)'!W25</f>
        <v>0</v>
      </c>
      <c r="AA43" s="95">
        <f>'Draw Calc (Hidden)'!X25</f>
        <v>0</v>
      </c>
      <c r="AB43" s="95">
        <f>'Draw Calc (Hidden)'!Y25</f>
        <v>0</v>
      </c>
      <c r="AC43" s="95">
        <f>'Draw Calc (Hidden)'!Z25</f>
        <v>0</v>
      </c>
      <c r="AD43" s="95">
        <f>'Draw Calc (Hidden)'!AA25</f>
        <v>0</v>
      </c>
      <c r="AE43" s="95">
        <f>'Draw Calc (Hidden)'!AB25</f>
        <v>0</v>
      </c>
      <c r="AF43" s="95">
        <f>'Draw Calc (Hidden)'!AC25</f>
        <v>0</v>
      </c>
      <c r="AG43" s="95">
        <f>'Draw Calc (Hidden)'!AD25</f>
        <v>0</v>
      </c>
      <c r="AH43" s="95">
        <f>'Draw Calc (Hidden)'!AE25</f>
        <v>0</v>
      </c>
      <c r="AI43" s="95">
        <f>'Draw Calc (Hidden)'!AF25</f>
        <v>0</v>
      </c>
      <c r="AJ43" s="95">
        <f>'Draw Calc (Hidden)'!AG25</f>
        <v>0</v>
      </c>
      <c r="AK43" s="95">
        <f>'Draw Calc (Hidden)'!AH25</f>
        <v>0</v>
      </c>
      <c r="AL43" s="95">
        <f>'Draw Calc (Hidden)'!AI25</f>
        <v>0</v>
      </c>
      <c r="AM43" s="95">
        <f>'Draw Calc (Hidden)'!AJ25</f>
        <v>0</v>
      </c>
      <c r="AN43" s="95">
        <f>'Draw Calc (Hidden)'!AK25</f>
        <v>0</v>
      </c>
      <c r="AO43" s="95">
        <f>'Draw Calc (Hidden)'!AL25</f>
        <v>0</v>
      </c>
    </row>
    <row r="44" spans="1:41" ht="15" customHeight="1" x14ac:dyDescent="0.2">
      <c r="A44" s="94" t="str">
        <f>'I_Budget Input Data'!B26</f>
        <v>3. HARD COSTS</v>
      </c>
      <c r="B44" s="94" t="str">
        <f>'I_Budget Input Data'!C26</f>
        <v>Insurance and bonding:Insurance</v>
      </c>
      <c r="C44" s="95">
        <f>'I_Budget Input Data'!D26</f>
        <v>278718</v>
      </c>
      <c r="D44" s="95">
        <f t="shared" si="0"/>
        <v>278718</v>
      </c>
      <c r="E44" s="95">
        <f t="shared" si="1"/>
        <v>0</v>
      </c>
      <c r="F44" s="95">
        <f>'Draw Calc (Hidden)'!C26</f>
        <v>21439.846153846152</v>
      </c>
      <c r="G44" s="95">
        <f>'Draw Calc (Hidden)'!D26</f>
        <v>21439.846153846152</v>
      </c>
      <c r="H44" s="95">
        <f>'Draw Calc (Hidden)'!E26</f>
        <v>21439.846153846152</v>
      </c>
      <c r="I44" s="95">
        <f>'Draw Calc (Hidden)'!F26</f>
        <v>21439.846153846152</v>
      </c>
      <c r="J44" s="95">
        <f>'Draw Calc (Hidden)'!G26</f>
        <v>21439.846153846152</v>
      </c>
      <c r="K44" s="95">
        <f>'Draw Calc (Hidden)'!H26</f>
        <v>21439.846153846152</v>
      </c>
      <c r="L44" s="95">
        <f>'Draw Calc (Hidden)'!I26</f>
        <v>21439.846153846152</v>
      </c>
      <c r="M44" s="95">
        <f>'Draw Calc (Hidden)'!J26</f>
        <v>21439.846153846152</v>
      </c>
      <c r="N44" s="95">
        <f>'Draw Calc (Hidden)'!K26</f>
        <v>21439.846153846152</v>
      </c>
      <c r="O44" s="95">
        <f>'Draw Calc (Hidden)'!L26</f>
        <v>21439.846153846152</v>
      </c>
      <c r="P44" s="95">
        <f>'Draw Calc (Hidden)'!M26</f>
        <v>21439.846153846152</v>
      </c>
      <c r="Q44" s="95">
        <f>'Draw Calc (Hidden)'!N26</f>
        <v>21439.846153846152</v>
      </c>
      <c r="R44" s="95">
        <f>'Draw Calc (Hidden)'!O26</f>
        <v>21439.846153846152</v>
      </c>
      <c r="S44" s="95">
        <f>'Draw Calc (Hidden)'!P26</f>
        <v>0</v>
      </c>
      <c r="T44" s="95">
        <f>'Draw Calc (Hidden)'!Q26</f>
        <v>0</v>
      </c>
      <c r="U44" s="95">
        <f>'Draw Calc (Hidden)'!R26</f>
        <v>0</v>
      </c>
      <c r="V44" s="95">
        <f>'Draw Calc (Hidden)'!S26</f>
        <v>0</v>
      </c>
      <c r="W44" s="95">
        <f>'Draw Calc (Hidden)'!T26</f>
        <v>0</v>
      </c>
      <c r="X44" s="95">
        <f>'Draw Calc (Hidden)'!U26</f>
        <v>0</v>
      </c>
      <c r="Y44" s="95">
        <f>'Draw Calc (Hidden)'!V26</f>
        <v>0</v>
      </c>
      <c r="Z44" s="95">
        <f>'Draw Calc (Hidden)'!W26</f>
        <v>0</v>
      </c>
      <c r="AA44" s="95">
        <f>'Draw Calc (Hidden)'!X26</f>
        <v>0</v>
      </c>
      <c r="AB44" s="95">
        <f>'Draw Calc (Hidden)'!Y26</f>
        <v>0</v>
      </c>
      <c r="AC44" s="95">
        <f>'Draw Calc (Hidden)'!Z26</f>
        <v>0</v>
      </c>
      <c r="AD44" s="95">
        <f>'Draw Calc (Hidden)'!AA26</f>
        <v>0</v>
      </c>
      <c r="AE44" s="95">
        <f>'Draw Calc (Hidden)'!AB26</f>
        <v>0</v>
      </c>
      <c r="AF44" s="95">
        <f>'Draw Calc (Hidden)'!AC26</f>
        <v>0</v>
      </c>
      <c r="AG44" s="95">
        <f>'Draw Calc (Hidden)'!AD26</f>
        <v>0</v>
      </c>
      <c r="AH44" s="95">
        <f>'Draw Calc (Hidden)'!AE26</f>
        <v>0</v>
      </c>
      <c r="AI44" s="95">
        <f>'Draw Calc (Hidden)'!AF26</f>
        <v>0</v>
      </c>
      <c r="AJ44" s="95">
        <f>'Draw Calc (Hidden)'!AG26</f>
        <v>0</v>
      </c>
      <c r="AK44" s="95">
        <f>'Draw Calc (Hidden)'!AH26</f>
        <v>0</v>
      </c>
      <c r="AL44" s="95">
        <f>'Draw Calc (Hidden)'!AI26</f>
        <v>0</v>
      </c>
      <c r="AM44" s="95">
        <f>'Draw Calc (Hidden)'!AJ26</f>
        <v>0</v>
      </c>
      <c r="AN44" s="95">
        <f>'Draw Calc (Hidden)'!AK26</f>
        <v>0</v>
      </c>
      <c r="AO44" s="95">
        <f>'Draw Calc (Hidden)'!AL26</f>
        <v>0</v>
      </c>
    </row>
    <row r="45" spans="1:41" ht="15" customHeight="1" x14ac:dyDescent="0.2">
      <c r="A45" s="94" t="str">
        <f>'I_Budget Input Data'!B27</f>
        <v>3. HARD COSTS</v>
      </c>
      <c r="B45" s="94">
        <f>'I_Budget Input Data'!C27</f>
        <v>0</v>
      </c>
      <c r="C45" s="95">
        <f>'I_Budget Input Data'!D27</f>
        <v>140525</v>
      </c>
      <c r="D45" s="95">
        <f t="shared" si="0"/>
        <v>140525.00000000003</v>
      </c>
      <c r="E45" s="95">
        <f t="shared" si="1"/>
        <v>0</v>
      </c>
      <c r="F45" s="95">
        <f>'Draw Calc (Hidden)'!C27</f>
        <v>10809.615384615385</v>
      </c>
      <c r="G45" s="95">
        <f>'Draw Calc (Hidden)'!D27</f>
        <v>10809.615384615385</v>
      </c>
      <c r="H45" s="95">
        <f>'Draw Calc (Hidden)'!E27</f>
        <v>10809.615384615385</v>
      </c>
      <c r="I45" s="95">
        <f>'Draw Calc (Hidden)'!F27</f>
        <v>10809.615384615385</v>
      </c>
      <c r="J45" s="95">
        <f>'Draw Calc (Hidden)'!G27</f>
        <v>10809.615384615385</v>
      </c>
      <c r="K45" s="95">
        <f>'Draw Calc (Hidden)'!H27</f>
        <v>10809.615384615385</v>
      </c>
      <c r="L45" s="95">
        <f>'Draw Calc (Hidden)'!I27</f>
        <v>10809.615384615385</v>
      </c>
      <c r="M45" s="95">
        <f>'Draw Calc (Hidden)'!J27</f>
        <v>10809.615384615385</v>
      </c>
      <c r="N45" s="95">
        <f>'Draw Calc (Hidden)'!K27</f>
        <v>10809.615384615385</v>
      </c>
      <c r="O45" s="95">
        <f>'Draw Calc (Hidden)'!L27</f>
        <v>10809.615384615385</v>
      </c>
      <c r="P45" s="95">
        <f>'Draw Calc (Hidden)'!M27</f>
        <v>10809.615384615385</v>
      </c>
      <c r="Q45" s="95">
        <f>'Draw Calc (Hidden)'!N27</f>
        <v>10809.615384615385</v>
      </c>
      <c r="R45" s="95">
        <f>'Draw Calc (Hidden)'!O27</f>
        <v>10809.615384615385</v>
      </c>
      <c r="S45" s="95">
        <f>'Draw Calc (Hidden)'!P27</f>
        <v>0</v>
      </c>
      <c r="T45" s="95">
        <f>'Draw Calc (Hidden)'!Q27</f>
        <v>0</v>
      </c>
      <c r="U45" s="95">
        <f>'Draw Calc (Hidden)'!R27</f>
        <v>0</v>
      </c>
      <c r="V45" s="95">
        <f>'Draw Calc (Hidden)'!S27</f>
        <v>0</v>
      </c>
      <c r="W45" s="95">
        <f>'Draw Calc (Hidden)'!T27</f>
        <v>0</v>
      </c>
      <c r="X45" s="95">
        <f>'Draw Calc (Hidden)'!U27</f>
        <v>0</v>
      </c>
      <c r="Y45" s="95">
        <f>'Draw Calc (Hidden)'!V27</f>
        <v>0</v>
      </c>
      <c r="Z45" s="95">
        <f>'Draw Calc (Hidden)'!W27</f>
        <v>0</v>
      </c>
      <c r="AA45" s="95">
        <f>'Draw Calc (Hidden)'!X27</f>
        <v>0</v>
      </c>
      <c r="AB45" s="95">
        <f>'Draw Calc (Hidden)'!Y27</f>
        <v>0</v>
      </c>
      <c r="AC45" s="95">
        <f>'Draw Calc (Hidden)'!Z27</f>
        <v>0</v>
      </c>
      <c r="AD45" s="95">
        <f>'Draw Calc (Hidden)'!AA27</f>
        <v>0</v>
      </c>
      <c r="AE45" s="95">
        <f>'Draw Calc (Hidden)'!AB27</f>
        <v>0</v>
      </c>
      <c r="AF45" s="95">
        <f>'Draw Calc (Hidden)'!AC27</f>
        <v>0</v>
      </c>
      <c r="AG45" s="95">
        <f>'Draw Calc (Hidden)'!AD27</f>
        <v>0</v>
      </c>
      <c r="AH45" s="95">
        <f>'Draw Calc (Hidden)'!AE27</f>
        <v>0</v>
      </c>
      <c r="AI45" s="95">
        <f>'Draw Calc (Hidden)'!AF27</f>
        <v>0</v>
      </c>
      <c r="AJ45" s="95">
        <f>'Draw Calc (Hidden)'!AG27</f>
        <v>0</v>
      </c>
      <c r="AK45" s="95">
        <f>'Draw Calc (Hidden)'!AH27</f>
        <v>0</v>
      </c>
      <c r="AL45" s="95">
        <f>'Draw Calc (Hidden)'!AI27</f>
        <v>0</v>
      </c>
      <c r="AM45" s="95">
        <f>'Draw Calc (Hidden)'!AJ27</f>
        <v>0</v>
      </c>
      <c r="AN45" s="95">
        <f>'Draw Calc (Hidden)'!AK27</f>
        <v>0</v>
      </c>
      <c r="AO45" s="95">
        <f>'Draw Calc (Hidden)'!AL27</f>
        <v>0</v>
      </c>
    </row>
    <row r="46" spans="1:41" ht="15" customHeight="1" x14ac:dyDescent="0.2">
      <c r="A46" s="94" t="str">
        <f>'I_Budget Input Data'!B28</f>
        <v>3. HARD COSTS</v>
      </c>
      <c r="B46" s="94" t="str">
        <f>'I_Budget Input Data'!C28</f>
        <v>Insurance and bonding:Wrap-up</v>
      </c>
      <c r="C46" s="95">
        <f>'I_Budget Input Data'!D28</f>
        <v>36465</v>
      </c>
      <c r="D46" s="95">
        <f t="shared" si="0"/>
        <v>36465</v>
      </c>
      <c r="E46" s="95">
        <f t="shared" si="1"/>
        <v>0</v>
      </c>
      <c r="F46" s="95">
        <f>'Draw Calc (Hidden)'!C28</f>
        <v>2805</v>
      </c>
      <c r="G46" s="95">
        <f>'Draw Calc (Hidden)'!D28</f>
        <v>2805</v>
      </c>
      <c r="H46" s="95">
        <f>'Draw Calc (Hidden)'!E28</f>
        <v>2805</v>
      </c>
      <c r="I46" s="95">
        <f>'Draw Calc (Hidden)'!F28</f>
        <v>2805</v>
      </c>
      <c r="J46" s="95">
        <f>'Draw Calc (Hidden)'!G28</f>
        <v>2805</v>
      </c>
      <c r="K46" s="95">
        <f>'Draw Calc (Hidden)'!H28</f>
        <v>2805</v>
      </c>
      <c r="L46" s="95">
        <f>'Draw Calc (Hidden)'!I28</f>
        <v>2805</v>
      </c>
      <c r="M46" s="95">
        <f>'Draw Calc (Hidden)'!J28</f>
        <v>2805</v>
      </c>
      <c r="N46" s="95">
        <f>'Draw Calc (Hidden)'!K28</f>
        <v>2805</v>
      </c>
      <c r="O46" s="95">
        <f>'Draw Calc (Hidden)'!L28</f>
        <v>2805</v>
      </c>
      <c r="P46" s="95">
        <f>'Draw Calc (Hidden)'!M28</f>
        <v>2805</v>
      </c>
      <c r="Q46" s="95">
        <f>'Draw Calc (Hidden)'!N28</f>
        <v>2805</v>
      </c>
      <c r="R46" s="95">
        <f>'Draw Calc (Hidden)'!O28</f>
        <v>2805</v>
      </c>
      <c r="S46" s="95">
        <f>'Draw Calc (Hidden)'!P28</f>
        <v>0</v>
      </c>
      <c r="T46" s="95">
        <f>'Draw Calc (Hidden)'!Q28</f>
        <v>0</v>
      </c>
      <c r="U46" s="95">
        <f>'Draw Calc (Hidden)'!R28</f>
        <v>0</v>
      </c>
      <c r="V46" s="95">
        <f>'Draw Calc (Hidden)'!S28</f>
        <v>0</v>
      </c>
      <c r="W46" s="95">
        <f>'Draw Calc (Hidden)'!T28</f>
        <v>0</v>
      </c>
      <c r="X46" s="95">
        <f>'Draw Calc (Hidden)'!U28</f>
        <v>0</v>
      </c>
      <c r="Y46" s="95">
        <f>'Draw Calc (Hidden)'!V28</f>
        <v>0</v>
      </c>
      <c r="Z46" s="95">
        <f>'Draw Calc (Hidden)'!W28</f>
        <v>0</v>
      </c>
      <c r="AA46" s="95">
        <f>'Draw Calc (Hidden)'!X28</f>
        <v>0</v>
      </c>
      <c r="AB46" s="95">
        <f>'Draw Calc (Hidden)'!Y28</f>
        <v>0</v>
      </c>
      <c r="AC46" s="95">
        <f>'Draw Calc (Hidden)'!Z28</f>
        <v>0</v>
      </c>
      <c r="AD46" s="95">
        <f>'Draw Calc (Hidden)'!AA28</f>
        <v>0</v>
      </c>
      <c r="AE46" s="95">
        <f>'Draw Calc (Hidden)'!AB28</f>
        <v>0</v>
      </c>
      <c r="AF46" s="95">
        <f>'Draw Calc (Hidden)'!AC28</f>
        <v>0</v>
      </c>
      <c r="AG46" s="95">
        <f>'Draw Calc (Hidden)'!AD28</f>
        <v>0</v>
      </c>
      <c r="AH46" s="95">
        <f>'Draw Calc (Hidden)'!AE28</f>
        <v>0</v>
      </c>
      <c r="AI46" s="95">
        <f>'Draw Calc (Hidden)'!AF28</f>
        <v>0</v>
      </c>
      <c r="AJ46" s="95">
        <f>'Draw Calc (Hidden)'!AG28</f>
        <v>0</v>
      </c>
      <c r="AK46" s="95">
        <f>'Draw Calc (Hidden)'!AH28</f>
        <v>0</v>
      </c>
      <c r="AL46" s="95">
        <f>'Draw Calc (Hidden)'!AI28</f>
        <v>0</v>
      </c>
      <c r="AM46" s="95">
        <f>'Draw Calc (Hidden)'!AJ28</f>
        <v>0</v>
      </c>
      <c r="AN46" s="95">
        <f>'Draw Calc (Hidden)'!AK28</f>
        <v>0</v>
      </c>
      <c r="AO46" s="95">
        <f>'Draw Calc (Hidden)'!AL28</f>
        <v>0</v>
      </c>
    </row>
    <row r="47" spans="1:41" ht="15" customHeight="1" x14ac:dyDescent="0.2">
      <c r="A47" s="94" t="str">
        <f>'I_Budget Input Data'!B29</f>
        <v>3. HARD COSTS</v>
      </c>
      <c r="B47" s="94" t="str">
        <f>'I_Budget Input Data'!C29</f>
        <v>Insurance and bonding:Bris des Machines</v>
      </c>
      <c r="C47" s="95">
        <f>'I_Budget Input Data'!D29</f>
        <v>2585</v>
      </c>
      <c r="D47" s="95">
        <f t="shared" si="0"/>
        <v>2585</v>
      </c>
      <c r="E47" s="95">
        <f t="shared" si="1"/>
        <v>0</v>
      </c>
      <c r="F47" s="95">
        <f>'Draw Calc (Hidden)'!C29</f>
        <v>198.84615384615384</v>
      </c>
      <c r="G47" s="95">
        <f>'Draw Calc (Hidden)'!D29</f>
        <v>198.84615384615384</v>
      </c>
      <c r="H47" s="95">
        <f>'Draw Calc (Hidden)'!E29</f>
        <v>198.84615384615384</v>
      </c>
      <c r="I47" s="95">
        <f>'Draw Calc (Hidden)'!F29</f>
        <v>198.84615384615384</v>
      </c>
      <c r="J47" s="95">
        <f>'Draw Calc (Hidden)'!G29</f>
        <v>198.84615384615384</v>
      </c>
      <c r="K47" s="95">
        <f>'Draw Calc (Hidden)'!H29</f>
        <v>198.84615384615384</v>
      </c>
      <c r="L47" s="95">
        <f>'Draw Calc (Hidden)'!I29</f>
        <v>198.84615384615384</v>
      </c>
      <c r="M47" s="95">
        <f>'Draw Calc (Hidden)'!J29</f>
        <v>198.84615384615384</v>
      </c>
      <c r="N47" s="95">
        <f>'Draw Calc (Hidden)'!K29</f>
        <v>198.84615384615384</v>
      </c>
      <c r="O47" s="95">
        <f>'Draw Calc (Hidden)'!L29</f>
        <v>198.84615384615384</v>
      </c>
      <c r="P47" s="95">
        <f>'Draw Calc (Hidden)'!M29</f>
        <v>198.84615384615384</v>
      </c>
      <c r="Q47" s="95">
        <f>'Draw Calc (Hidden)'!N29</f>
        <v>198.84615384615384</v>
      </c>
      <c r="R47" s="95">
        <f>'Draw Calc (Hidden)'!O29</f>
        <v>198.84615384615384</v>
      </c>
      <c r="S47" s="95">
        <f>'Draw Calc (Hidden)'!P29</f>
        <v>0</v>
      </c>
      <c r="T47" s="95">
        <f>'Draw Calc (Hidden)'!Q29</f>
        <v>0</v>
      </c>
      <c r="U47" s="95">
        <f>'Draw Calc (Hidden)'!R29</f>
        <v>0</v>
      </c>
      <c r="V47" s="95">
        <f>'Draw Calc (Hidden)'!S29</f>
        <v>0</v>
      </c>
      <c r="W47" s="95">
        <f>'Draw Calc (Hidden)'!T29</f>
        <v>0</v>
      </c>
      <c r="X47" s="95">
        <f>'Draw Calc (Hidden)'!U29</f>
        <v>0</v>
      </c>
      <c r="Y47" s="95">
        <f>'Draw Calc (Hidden)'!V29</f>
        <v>0</v>
      </c>
      <c r="Z47" s="95">
        <f>'Draw Calc (Hidden)'!W29</f>
        <v>0</v>
      </c>
      <c r="AA47" s="95">
        <f>'Draw Calc (Hidden)'!X29</f>
        <v>0</v>
      </c>
      <c r="AB47" s="95">
        <f>'Draw Calc (Hidden)'!Y29</f>
        <v>0</v>
      </c>
      <c r="AC47" s="95">
        <f>'Draw Calc (Hidden)'!Z29</f>
        <v>0</v>
      </c>
      <c r="AD47" s="95">
        <f>'Draw Calc (Hidden)'!AA29</f>
        <v>0</v>
      </c>
      <c r="AE47" s="95">
        <f>'Draw Calc (Hidden)'!AB29</f>
        <v>0</v>
      </c>
      <c r="AF47" s="95">
        <f>'Draw Calc (Hidden)'!AC29</f>
        <v>0</v>
      </c>
      <c r="AG47" s="95">
        <f>'Draw Calc (Hidden)'!AD29</f>
        <v>0</v>
      </c>
      <c r="AH47" s="95">
        <f>'Draw Calc (Hidden)'!AE29</f>
        <v>0</v>
      </c>
      <c r="AI47" s="95">
        <f>'Draw Calc (Hidden)'!AF29</f>
        <v>0</v>
      </c>
      <c r="AJ47" s="95">
        <f>'Draw Calc (Hidden)'!AG29</f>
        <v>0</v>
      </c>
      <c r="AK47" s="95">
        <f>'Draw Calc (Hidden)'!AH29</f>
        <v>0</v>
      </c>
      <c r="AL47" s="95">
        <f>'Draw Calc (Hidden)'!AI29</f>
        <v>0</v>
      </c>
      <c r="AM47" s="95">
        <f>'Draw Calc (Hidden)'!AJ29</f>
        <v>0</v>
      </c>
      <c r="AN47" s="95">
        <f>'Draw Calc (Hidden)'!AK29</f>
        <v>0</v>
      </c>
      <c r="AO47" s="95">
        <f>'Draw Calc (Hidden)'!AL29</f>
        <v>0</v>
      </c>
    </row>
    <row r="48" spans="1:41" ht="15" customHeight="1" x14ac:dyDescent="0.2">
      <c r="A48" s="94" t="str">
        <f>'I_Budget Input Data'!B30</f>
        <v>3. HARD COSTS</v>
      </c>
      <c r="B48" s="94" t="str">
        <f>'I_Budget Input Data'!C30</f>
        <v>Insurance and bonding:L&amp;M and Performance Bonds</v>
      </c>
      <c r="C48" s="95">
        <f>'I_Budget Input Data'!D30</f>
        <v>0</v>
      </c>
      <c r="D48" s="95">
        <f t="shared" si="0"/>
        <v>0</v>
      </c>
      <c r="E48" s="95">
        <f t="shared" si="1"/>
        <v>0</v>
      </c>
      <c r="F48" s="95">
        <f>'Draw Calc (Hidden)'!C30</f>
        <v>0</v>
      </c>
      <c r="G48" s="95">
        <f>'Draw Calc (Hidden)'!D30</f>
        <v>0</v>
      </c>
      <c r="H48" s="95">
        <f>'Draw Calc (Hidden)'!E30</f>
        <v>0</v>
      </c>
      <c r="I48" s="95">
        <f>'Draw Calc (Hidden)'!F30</f>
        <v>0</v>
      </c>
      <c r="J48" s="95">
        <f>'Draw Calc (Hidden)'!G30</f>
        <v>0</v>
      </c>
      <c r="K48" s="95">
        <f>'Draw Calc (Hidden)'!H30</f>
        <v>0</v>
      </c>
      <c r="L48" s="95">
        <f>'Draw Calc (Hidden)'!I30</f>
        <v>0</v>
      </c>
      <c r="M48" s="95">
        <f>'Draw Calc (Hidden)'!J30</f>
        <v>0</v>
      </c>
      <c r="N48" s="95">
        <f>'Draw Calc (Hidden)'!K30</f>
        <v>0</v>
      </c>
      <c r="O48" s="95">
        <f>'Draw Calc (Hidden)'!L30</f>
        <v>0</v>
      </c>
      <c r="P48" s="95">
        <f>'Draw Calc (Hidden)'!M30</f>
        <v>0</v>
      </c>
      <c r="Q48" s="95">
        <f>'Draw Calc (Hidden)'!N30</f>
        <v>0</v>
      </c>
      <c r="R48" s="95">
        <f>'Draw Calc (Hidden)'!O30</f>
        <v>0</v>
      </c>
      <c r="S48" s="95">
        <f>'Draw Calc (Hidden)'!P30</f>
        <v>0</v>
      </c>
      <c r="T48" s="95">
        <f>'Draw Calc (Hidden)'!Q30</f>
        <v>0</v>
      </c>
      <c r="U48" s="95">
        <f>'Draw Calc (Hidden)'!R30</f>
        <v>0</v>
      </c>
      <c r="V48" s="95">
        <f>'Draw Calc (Hidden)'!S30</f>
        <v>0</v>
      </c>
      <c r="W48" s="95">
        <f>'Draw Calc (Hidden)'!T30</f>
        <v>0</v>
      </c>
      <c r="X48" s="95">
        <f>'Draw Calc (Hidden)'!U30</f>
        <v>0</v>
      </c>
      <c r="Y48" s="95">
        <f>'Draw Calc (Hidden)'!V30</f>
        <v>0</v>
      </c>
      <c r="Z48" s="95">
        <f>'Draw Calc (Hidden)'!W30</f>
        <v>0</v>
      </c>
      <c r="AA48" s="95">
        <f>'Draw Calc (Hidden)'!X30</f>
        <v>0</v>
      </c>
      <c r="AB48" s="95">
        <f>'Draw Calc (Hidden)'!Y30</f>
        <v>0</v>
      </c>
      <c r="AC48" s="95">
        <f>'Draw Calc (Hidden)'!Z30</f>
        <v>0</v>
      </c>
      <c r="AD48" s="95">
        <f>'Draw Calc (Hidden)'!AA30</f>
        <v>0</v>
      </c>
      <c r="AE48" s="95">
        <f>'Draw Calc (Hidden)'!AB30</f>
        <v>0</v>
      </c>
      <c r="AF48" s="95">
        <f>'Draw Calc (Hidden)'!AC30</f>
        <v>0</v>
      </c>
      <c r="AG48" s="95">
        <f>'Draw Calc (Hidden)'!AD30</f>
        <v>0</v>
      </c>
      <c r="AH48" s="95">
        <f>'Draw Calc (Hidden)'!AE30</f>
        <v>0</v>
      </c>
      <c r="AI48" s="95">
        <f>'Draw Calc (Hidden)'!AF30</f>
        <v>0</v>
      </c>
      <c r="AJ48" s="95">
        <f>'Draw Calc (Hidden)'!AG30</f>
        <v>0</v>
      </c>
      <c r="AK48" s="95">
        <f>'Draw Calc (Hidden)'!AH30</f>
        <v>0</v>
      </c>
      <c r="AL48" s="95">
        <f>'Draw Calc (Hidden)'!AI30</f>
        <v>0</v>
      </c>
      <c r="AM48" s="95">
        <f>'Draw Calc (Hidden)'!AJ30</f>
        <v>0</v>
      </c>
      <c r="AN48" s="95">
        <f>'Draw Calc (Hidden)'!AK30</f>
        <v>0</v>
      </c>
      <c r="AO48" s="95">
        <f>'Draw Calc (Hidden)'!AL30</f>
        <v>0</v>
      </c>
    </row>
    <row r="49" spans="1:41" ht="15" customHeight="1" x14ac:dyDescent="0.2">
      <c r="A49" s="94" t="str">
        <f>'I_Budget Input Data'!B31</f>
        <v>3. HARD COSTS</v>
      </c>
      <c r="B49" s="94" t="str">
        <f>'I_Budget Input Data'!C31</f>
        <v>General conditions:CoSS Agent</v>
      </c>
      <c r="C49" s="95">
        <f>'I_Budget Input Data'!D31</f>
        <v>236000</v>
      </c>
      <c r="D49" s="95">
        <f t="shared" si="0"/>
        <v>236000</v>
      </c>
      <c r="E49" s="95">
        <f t="shared" si="1"/>
        <v>0</v>
      </c>
      <c r="F49" s="95">
        <f>'Draw Calc (Hidden)'!C31</f>
        <v>18153.846153846152</v>
      </c>
      <c r="G49" s="95">
        <f>'Draw Calc (Hidden)'!D31</f>
        <v>18153.846153846152</v>
      </c>
      <c r="H49" s="95">
        <f>'Draw Calc (Hidden)'!E31</f>
        <v>18153.846153846152</v>
      </c>
      <c r="I49" s="95">
        <f>'Draw Calc (Hidden)'!F31</f>
        <v>18153.846153846152</v>
      </c>
      <c r="J49" s="95">
        <f>'Draw Calc (Hidden)'!G31</f>
        <v>18153.846153846152</v>
      </c>
      <c r="K49" s="95">
        <f>'Draw Calc (Hidden)'!H31</f>
        <v>18153.846153846152</v>
      </c>
      <c r="L49" s="95">
        <f>'Draw Calc (Hidden)'!I31</f>
        <v>18153.846153846152</v>
      </c>
      <c r="M49" s="95">
        <f>'Draw Calc (Hidden)'!J31</f>
        <v>18153.846153846152</v>
      </c>
      <c r="N49" s="95">
        <f>'Draw Calc (Hidden)'!K31</f>
        <v>18153.846153846152</v>
      </c>
      <c r="O49" s="95">
        <f>'Draw Calc (Hidden)'!L31</f>
        <v>18153.846153846152</v>
      </c>
      <c r="P49" s="95">
        <f>'Draw Calc (Hidden)'!M31</f>
        <v>18153.846153846152</v>
      </c>
      <c r="Q49" s="95">
        <f>'Draw Calc (Hidden)'!N31</f>
        <v>18153.846153846152</v>
      </c>
      <c r="R49" s="95">
        <f>'Draw Calc (Hidden)'!O31</f>
        <v>18153.846153846152</v>
      </c>
      <c r="S49" s="95">
        <f>'Draw Calc (Hidden)'!P31</f>
        <v>0</v>
      </c>
      <c r="T49" s="95">
        <f>'Draw Calc (Hidden)'!Q31</f>
        <v>0</v>
      </c>
      <c r="U49" s="95">
        <f>'Draw Calc (Hidden)'!R31</f>
        <v>0</v>
      </c>
      <c r="V49" s="95">
        <f>'Draw Calc (Hidden)'!S31</f>
        <v>0</v>
      </c>
      <c r="W49" s="95">
        <f>'Draw Calc (Hidden)'!T31</f>
        <v>0</v>
      </c>
      <c r="X49" s="95">
        <f>'Draw Calc (Hidden)'!U31</f>
        <v>0</v>
      </c>
      <c r="Y49" s="95">
        <f>'Draw Calc (Hidden)'!V31</f>
        <v>0</v>
      </c>
      <c r="Z49" s="95">
        <f>'Draw Calc (Hidden)'!W31</f>
        <v>0</v>
      </c>
      <c r="AA49" s="95">
        <f>'Draw Calc (Hidden)'!X31</f>
        <v>0</v>
      </c>
      <c r="AB49" s="95">
        <f>'Draw Calc (Hidden)'!Y31</f>
        <v>0</v>
      </c>
      <c r="AC49" s="95">
        <f>'Draw Calc (Hidden)'!Z31</f>
        <v>0</v>
      </c>
      <c r="AD49" s="95">
        <f>'Draw Calc (Hidden)'!AA31</f>
        <v>0</v>
      </c>
      <c r="AE49" s="95">
        <f>'Draw Calc (Hidden)'!AB31</f>
        <v>0</v>
      </c>
      <c r="AF49" s="95">
        <f>'Draw Calc (Hidden)'!AC31</f>
        <v>0</v>
      </c>
      <c r="AG49" s="95">
        <f>'Draw Calc (Hidden)'!AD31</f>
        <v>0</v>
      </c>
      <c r="AH49" s="95">
        <f>'Draw Calc (Hidden)'!AE31</f>
        <v>0</v>
      </c>
      <c r="AI49" s="95">
        <f>'Draw Calc (Hidden)'!AF31</f>
        <v>0</v>
      </c>
      <c r="AJ49" s="95">
        <f>'Draw Calc (Hidden)'!AG31</f>
        <v>0</v>
      </c>
      <c r="AK49" s="95">
        <f>'Draw Calc (Hidden)'!AH31</f>
        <v>0</v>
      </c>
      <c r="AL49" s="95">
        <f>'Draw Calc (Hidden)'!AI31</f>
        <v>0</v>
      </c>
      <c r="AM49" s="95">
        <f>'Draw Calc (Hidden)'!AJ31</f>
        <v>0</v>
      </c>
      <c r="AN49" s="95">
        <f>'Draw Calc (Hidden)'!AK31</f>
        <v>0</v>
      </c>
      <c r="AO49" s="95">
        <f>'Draw Calc (Hidden)'!AL31</f>
        <v>0</v>
      </c>
    </row>
    <row r="50" spans="1:41" ht="15" customHeight="1" x14ac:dyDescent="0.2">
      <c r="A50" s="94" t="str">
        <f>'I_Budget Input Data'!B32</f>
        <v>3. HARD COSTS</v>
      </c>
      <c r="B50" s="94" t="str">
        <f>'I_Budget Input Data'!C32</f>
        <v>General conditions:RSS Agent</v>
      </c>
      <c r="C50" s="95">
        <f>'I_Budget Input Data'!D32</f>
        <v>213500</v>
      </c>
      <c r="D50" s="95">
        <f t="shared" si="0"/>
        <v>213500.00000000006</v>
      </c>
      <c r="E50" s="95">
        <f t="shared" si="1"/>
        <v>0</v>
      </c>
      <c r="F50" s="95">
        <f>'Draw Calc (Hidden)'!C32</f>
        <v>16423.076923076922</v>
      </c>
      <c r="G50" s="95">
        <f>'Draw Calc (Hidden)'!D32</f>
        <v>16423.076923076922</v>
      </c>
      <c r="H50" s="95">
        <f>'Draw Calc (Hidden)'!E32</f>
        <v>16423.076923076922</v>
      </c>
      <c r="I50" s="95">
        <f>'Draw Calc (Hidden)'!F32</f>
        <v>16423.076923076922</v>
      </c>
      <c r="J50" s="95">
        <f>'Draw Calc (Hidden)'!G32</f>
        <v>16423.076923076922</v>
      </c>
      <c r="K50" s="95">
        <f>'Draw Calc (Hidden)'!H32</f>
        <v>16423.076923076922</v>
      </c>
      <c r="L50" s="95">
        <f>'Draw Calc (Hidden)'!I32</f>
        <v>16423.076923076922</v>
      </c>
      <c r="M50" s="95">
        <f>'Draw Calc (Hidden)'!J32</f>
        <v>16423.076923076922</v>
      </c>
      <c r="N50" s="95">
        <f>'Draw Calc (Hidden)'!K32</f>
        <v>16423.076923076922</v>
      </c>
      <c r="O50" s="95">
        <f>'Draw Calc (Hidden)'!L32</f>
        <v>16423.076923076922</v>
      </c>
      <c r="P50" s="95">
        <f>'Draw Calc (Hidden)'!M32</f>
        <v>16423.076923076922</v>
      </c>
      <c r="Q50" s="95">
        <f>'Draw Calc (Hidden)'!N32</f>
        <v>16423.076923076922</v>
      </c>
      <c r="R50" s="95">
        <f>'Draw Calc (Hidden)'!O32</f>
        <v>16423.076923076922</v>
      </c>
      <c r="S50" s="95">
        <f>'Draw Calc (Hidden)'!P32</f>
        <v>0</v>
      </c>
      <c r="T50" s="95">
        <f>'Draw Calc (Hidden)'!Q32</f>
        <v>0</v>
      </c>
      <c r="U50" s="95">
        <f>'Draw Calc (Hidden)'!R32</f>
        <v>0</v>
      </c>
      <c r="V50" s="95">
        <f>'Draw Calc (Hidden)'!S32</f>
        <v>0</v>
      </c>
      <c r="W50" s="95">
        <f>'Draw Calc (Hidden)'!T32</f>
        <v>0</v>
      </c>
      <c r="X50" s="95">
        <f>'Draw Calc (Hidden)'!U32</f>
        <v>0</v>
      </c>
      <c r="Y50" s="95">
        <f>'Draw Calc (Hidden)'!V32</f>
        <v>0</v>
      </c>
      <c r="Z50" s="95">
        <f>'Draw Calc (Hidden)'!W32</f>
        <v>0</v>
      </c>
      <c r="AA50" s="95">
        <f>'Draw Calc (Hidden)'!X32</f>
        <v>0</v>
      </c>
      <c r="AB50" s="95">
        <f>'Draw Calc (Hidden)'!Y32</f>
        <v>0</v>
      </c>
      <c r="AC50" s="95">
        <f>'Draw Calc (Hidden)'!Z32</f>
        <v>0</v>
      </c>
      <c r="AD50" s="95">
        <f>'Draw Calc (Hidden)'!AA32</f>
        <v>0</v>
      </c>
      <c r="AE50" s="95">
        <f>'Draw Calc (Hidden)'!AB32</f>
        <v>0</v>
      </c>
      <c r="AF50" s="95">
        <f>'Draw Calc (Hidden)'!AC32</f>
        <v>0</v>
      </c>
      <c r="AG50" s="95">
        <f>'Draw Calc (Hidden)'!AD32</f>
        <v>0</v>
      </c>
      <c r="AH50" s="95">
        <f>'Draw Calc (Hidden)'!AE32</f>
        <v>0</v>
      </c>
      <c r="AI50" s="95">
        <f>'Draw Calc (Hidden)'!AF32</f>
        <v>0</v>
      </c>
      <c r="AJ50" s="95">
        <f>'Draw Calc (Hidden)'!AG32</f>
        <v>0</v>
      </c>
      <c r="AK50" s="95">
        <f>'Draw Calc (Hidden)'!AH32</f>
        <v>0</v>
      </c>
      <c r="AL50" s="95">
        <f>'Draw Calc (Hidden)'!AI32</f>
        <v>0</v>
      </c>
      <c r="AM50" s="95">
        <f>'Draw Calc (Hidden)'!AJ32</f>
        <v>0</v>
      </c>
      <c r="AN50" s="95">
        <f>'Draw Calc (Hidden)'!AK32</f>
        <v>0</v>
      </c>
      <c r="AO50" s="95">
        <f>'Draw Calc (Hidden)'!AL32</f>
        <v>0</v>
      </c>
    </row>
    <row r="51" spans="1:41" ht="15" customHeight="1" x14ac:dyDescent="0.2">
      <c r="A51" s="94" t="str">
        <f>'I_Budget Input Data'!B33</f>
        <v>3. HARD COSTS</v>
      </c>
      <c r="B51" s="94" t="str">
        <f>'I_Budget Input Data'!C33</f>
        <v>General conditions:Superintendent 1</v>
      </c>
      <c r="C51" s="95">
        <f>'I_Budget Input Data'!D33</f>
        <v>303400</v>
      </c>
      <c r="D51" s="95">
        <f t="shared" si="0"/>
        <v>303400</v>
      </c>
      <c r="E51" s="95">
        <f t="shared" si="1"/>
        <v>0</v>
      </c>
      <c r="F51" s="95">
        <f>'Draw Calc (Hidden)'!C33</f>
        <v>23338.461538461539</v>
      </c>
      <c r="G51" s="95">
        <f>'Draw Calc (Hidden)'!D33</f>
        <v>23338.461538461539</v>
      </c>
      <c r="H51" s="95">
        <f>'Draw Calc (Hidden)'!E33</f>
        <v>23338.461538461539</v>
      </c>
      <c r="I51" s="95">
        <f>'Draw Calc (Hidden)'!F33</f>
        <v>23338.461538461539</v>
      </c>
      <c r="J51" s="95">
        <f>'Draw Calc (Hidden)'!G33</f>
        <v>23338.461538461539</v>
      </c>
      <c r="K51" s="95">
        <f>'Draw Calc (Hidden)'!H33</f>
        <v>23338.461538461539</v>
      </c>
      <c r="L51" s="95">
        <f>'Draw Calc (Hidden)'!I33</f>
        <v>23338.461538461539</v>
      </c>
      <c r="M51" s="95">
        <f>'Draw Calc (Hidden)'!J33</f>
        <v>23338.461538461539</v>
      </c>
      <c r="N51" s="95">
        <f>'Draw Calc (Hidden)'!K33</f>
        <v>23338.461538461539</v>
      </c>
      <c r="O51" s="95">
        <f>'Draw Calc (Hidden)'!L33</f>
        <v>23338.461538461539</v>
      </c>
      <c r="P51" s="95">
        <f>'Draw Calc (Hidden)'!M33</f>
        <v>23338.461538461539</v>
      </c>
      <c r="Q51" s="95">
        <f>'Draw Calc (Hidden)'!N33</f>
        <v>23338.461538461539</v>
      </c>
      <c r="R51" s="95">
        <f>'Draw Calc (Hidden)'!O33</f>
        <v>23338.461538461539</v>
      </c>
      <c r="S51" s="95">
        <f>'Draw Calc (Hidden)'!P33</f>
        <v>0</v>
      </c>
      <c r="T51" s="95">
        <f>'Draw Calc (Hidden)'!Q33</f>
        <v>0</v>
      </c>
      <c r="U51" s="95">
        <f>'Draw Calc (Hidden)'!R33</f>
        <v>0</v>
      </c>
      <c r="V51" s="95">
        <f>'Draw Calc (Hidden)'!S33</f>
        <v>0</v>
      </c>
      <c r="W51" s="95">
        <f>'Draw Calc (Hidden)'!T33</f>
        <v>0</v>
      </c>
      <c r="X51" s="95">
        <f>'Draw Calc (Hidden)'!U33</f>
        <v>0</v>
      </c>
      <c r="Y51" s="95">
        <f>'Draw Calc (Hidden)'!V33</f>
        <v>0</v>
      </c>
      <c r="Z51" s="95">
        <f>'Draw Calc (Hidden)'!W33</f>
        <v>0</v>
      </c>
      <c r="AA51" s="95">
        <f>'Draw Calc (Hidden)'!X33</f>
        <v>0</v>
      </c>
      <c r="AB51" s="95">
        <f>'Draw Calc (Hidden)'!Y33</f>
        <v>0</v>
      </c>
      <c r="AC51" s="95">
        <f>'Draw Calc (Hidden)'!Z33</f>
        <v>0</v>
      </c>
      <c r="AD51" s="95">
        <f>'Draw Calc (Hidden)'!AA33</f>
        <v>0</v>
      </c>
      <c r="AE51" s="95">
        <f>'Draw Calc (Hidden)'!AB33</f>
        <v>0</v>
      </c>
      <c r="AF51" s="95">
        <f>'Draw Calc (Hidden)'!AC33</f>
        <v>0</v>
      </c>
      <c r="AG51" s="95">
        <f>'Draw Calc (Hidden)'!AD33</f>
        <v>0</v>
      </c>
      <c r="AH51" s="95">
        <f>'Draw Calc (Hidden)'!AE33</f>
        <v>0</v>
      </c>
      <c r="AI51" s="95">
        <f>'Draw Calc (Hidden)'!AF33</f>
        <v>0</v>
      </c>
      <c r="AJ51" s="95">
        <f>'Draw Calc (Hidden)'!AG33</f>
        <v>0</v>
      </c>
      <c r="AK51" s="95">
        <f>'Draw Calc (Hidden)'!AH33</f>
        <v>0</v>
      </c>
      <c r="AL51" s="95">
        <f>'Draw Calc (Hidden)'!AI33</f>
        <v>0</v>
      </c>
      <c r="AM51" s="95">
        <f>'Draw Calc (Hidden)'!AJ33</f>
        <v>0</v>
      </c>
      <c r="AN51" s="95">
        <f>'Draw Calc (Hidden)'!AK33</f>
        <v>0</v>
      </c>
      <c r="AO51" s="95">
        <f>'Draw Calc (Hidden)'!AL33</f>
        <v>0</v>
      </c>
    </row>
    <row r="52" spans="1:41" ht="15" customHeight="1" x14ac:dyDescent="0.2">
      <c r="A52" s="94" t="str">
        <f>'I_Budget Input Data'!B34</f>
        <v>3. HARD COSTS</v>
      </c>
      <c r="B52" s="94" t="str">
        <f>'I_Budget Input Data'!C34</f>
        <v>General conditions:Superintendent 2</v>
      </c>
      <c r="C52" s="95">
        <f>'I_Budget Input Data'!D34</f>
        <v>266400</v>
      </c>
      <c r="D52" s="95">
        <f t="shared" si="0"/>
        <v>266400</v>
      </c>
      <c r="E52" s="95">
        <f t="shared" si="1"/>
        <v>0</v>
      </c>
      <c r="F52" s="95">
        <f>'Draw Calc (Hidden)'!C34</f>
        <v>20492.307692307691</v>
      </c>
      <c r="G52" s="95">
        <f>'Draw Calc (Hidden)'!D34</f>
        <v>20492.307692307691</v>
      </c>
      <c r="H52" s="95">
        <f>'Draw Calc (Hidden)'!E34</f>
        <v>20492.307692307691</v>
      </c>
      <c r="I52" s="95">
        <f>'Draw Calc (Hidden)'!F34</f>
        <v>20492.307692307691</v>
      </c>
      <c r="J52" s="95">
        <f>'Draw Calc (Hidden)'!G34</f>
        <v>20492.307692307691</v>
      </c>
      <c r="K52" s="95">
        <f>'Draw Calc (Hidden)'!H34</f>
        <v>20492.307692307691</v>
      </c>
      <c r="L52" s="95">
        <f>'Draw Calc (Hidden)'!I34</f>
        <v>20492.307692307691</v>
      </c>
      <c r="M52" s="95">
        <f>'Draw Calc (Hidden)'!J34</f>
        <v>20492.307692307691</v>
      </c>
      <c r="N52" s="95">
        <f>'Draw Calc (Hidden)'!K34</f>
        <v>20492.307692307691</v>
      </c>
      <c r="O52" s="95">
        <f>'Draw Calc (Hidden)'!L34</f>
        <v>20492.307692307691</v>
      </c>
      <c r="P52" s="95">
        <f>'Draw Calc (Hidden)'!M34</f>
        <v>20492.307692307691</v>
      </c>
      <c r="Q52" s="95">
        <f>'Draw Calc (Hidden)'!N34</f>
        <v>20492.307692307691</v>
      </c>
      <c r="R52" s="95">
        <f>'Draw Calc (Hidden)'!O34</f>
        <v>20492.307692307691</v>
      </c>
      <c r="S52" s="95">
        <f>'Draw Calc (Hidden)'!P34</f>
        <v>0</v>
      </c>
      <c r="T52" s="95">
        <f>'Draw Calc (Hidden)'!Q34</f>
        <v>0</v>
      </c>
      <c r="U52" s="95">
        <f>'Draw Calc (Hidden)'!R34</f>
        <v>0</v>
      </c>
      <c r="V52" s="95">
        <f>'Draw Calc (Hidden)'!S34</f>
        <v>0</v>
      </c>
      <c r="W52" s="95">
        <f>'Draw Calc (Hidden)'!T34</f>
        <v>0</v>
      </c>
      <c r="X52" s="95">
        <f>'Draw Calc (Hidden)'!U34</f>
        <v>0</v>
      </c>
      <c r="Y52" s="95">
        <f>'Draw Calc (Hidden)'!V34</f>
        <v>0</v>
      </c>
      <c r="Z52" s="95">
        <f>'Draw Calc (Hidden)'!W34</f>
        <v>0</v>
      </c>
      <c r="AA52" s="95">
        <f>'Draw Calc (Hidden)'!X34</f>
        <v>0</v>
      </c>
      <c r="AB52" s="95">
        <f>'Draw Calc (Hidden)'!Y34</f>
        <v>0</v>
      </c>
      <c r="AC52" s="95">
        <f>'Draw Calc (Hidden)'!Z34</f>
        <v>0</v>
      </c>
      <c r="AD52" s="95">
        <f>'Draw Calc (Hidden)'!AA34</f>
        <v>0</v>
      </c>
      <c r="AE52" s="95">
        <f>'Draw Calc (Hidden)'!AB34</f>
        <v>0</v>
      </c>
      <c r="AF52" s="95">
        <f>'Draw Calc (Hidden)'!AC34</f>
        <v>0</v>
      </c>
      <c r="AG52" s="95">
        <f>'Draw Calc (Hidden)'!AD34</f>
        <v>0</v>
      </c>
      <c r="AH52" s="95">
        <f>'Draw Calc (Hidden)'!AE34</f>
        <v>0</v>
      </c>
      <c r="AI52" s="95">
        <f>'Draw Calc (Hidden)'!AF34</f>
        <v>0</v>
      </c>
      <c r="AJ52" s="95">
        <f>'Draw Calc (Hidden)'!AG34</f>
        <v>0</v>
      </c>
      <c r="AK52" s="95">
        <f>'Draw Calc (Hidden)'!AH34</f>
        <v>0</v>
      </c>
      <c r="AL52" s="95">
        <f>'Draw Calc (Hidden)'!AI34</f>
        <v>0</v>
      </c>
      <c r="AM52" s="95">
        <f>'Draw Calc (Hidden)'!AJ34</f>
        <v>0</v>
      </c>
      <c r="AN52" s="95">
        <f>'Draw Calc (Hidden)'!AK34</f>
        <v>0</v>
      </c>
      <c r="AO52" s="95">
        <f>'Draw Calc (Hidden)'!AL34</f>
        <v>0</v>
      </c>
    </row>
    <row r="53" spans="1:41" ht="15" customHeight="1" x14ac:dyDescent="0.2">
      <c r="A53" s="94" t="str">
        <f>'I_Budget Input Data'!B35</f>
        <v>3. HARD COSTS</v>
      </c>
      <c r="B53" s="94" t="str">
        <f>'I_Budget Input Data'!C35</f>
        <v>General conditions:Project Manager</v>
      </c>
      <c r="C53" s="95">
        <f>'I_Budget Input Data'!D35</f>
        <v>150750</v>
      </c>
      <c r="D53" s="95">
        <f t="shared" si="0"/>
        <v>150750</v>
      </c>
      <c r="E53" s="95">
        <f t="shared" si="1"/>
        <v>0</v>
      </c>
      <c r="F53" s="95">
        <f>'Draw Calc (Hidden)'!C35</f>
        <v>11596.153846153846</v>
      </c>
      <c r="G53" s="95">
        <f>'Draw Calc (Hidden)'!D35</f>
        <v>11596.153846153846</v>
      </c>
      <c r="H53" s="95">
        <f>'Draw Calc (Hidden)'!E35</f>
        <v>11596.153846153846</v>
      </c>
      <c r="I53" s="95">
        <f>'Draw Calc (Hidden)'!F35</f>
        <v>11596.153846153846</v>
      </c>
      <c r="J53" s="95">
        <f>'Draw Calc (Hidden)'!G35</f>
        <v>11596.153846153846</v>
      </c>
      <c r="K53" s="95">
        <f>'Draw Calc (Hidden)'!H35</f>
        <v>11596.153846153846</v>
      </c>
      <c r="L53" s="95">
        <f>'Draw Calc (Hidden)'!I35</f>
        <v>11596.153846153846</v>
      </c>
      <c r="M53" s="95">
        <f>'Draw Calc (Hidden)'!J35</f>
        <v>11596.153846153846</v>
      </c>
      <c r="N53" s="95">
        <f>'Draw Calc (Hidden)'!K35</f>
        <v>11596.153846153846</v>
      </c>
      <c r="O53" s="95">
        <f>'Draw Calc (Hidden)'!L35</f>
        <v>11596.153846153846</v>
      </c>
      <c r="P53" s="95">
        <f>'Draw Calc (Hidden)'!M35</f>
        <v>11596.153846153846</v>
      </c>
      <c r="Q53" s="95">
        <f>'Draw Calc (Hidden)'!N35</f>
        <v>11596.153846153846</v>
      </c>
      <c r="R53" s="95">
        <f>'Draw Calc (Hidden)'!O35</f>
        <v>11596.153846153846</v>
      </c>
      <c r="S53" s="95">
        <f>'Draw Calc (Hidden)'!P35</f>
        <v>0</v>
      </c>
      <c r="T53" s="95">
        <f>'Draw Calc (Hidden)'!Q35</f>
        <v>0</v>
      </c>
      <c r="U53" s="95">
        <f>'Draw Calc (Hidden)'!R35</f>
        <v>0</v>
      </c>
      <c r="V53" s="95">
        <f>'Draw Calc (Hidden)'!S35</f>
        <v>0</v>
      </c>
      <c r="W53" s="95">
        <f>'Draw Calc (Hidden)'!T35</f>
        <v>0</v>
      </c>
      <c r="X53" s="95">
        <f>'Draw Calc (Hidden)'!U35</f>
        <v>0</v>
      </c>
      <c r="Y53" s="95">
        <f>'Draw Calc (Hidden)'!V35</f>
        <v>0</v>
      </c>
      <c r="Z53" s="95">
        <f>'Draw Calc (Hidden)'!W35</f>
        <v>0</v>
      </c>
      <c r="AA53" s="95">
        <f>'Draw Calc (Hidden)'!X35</f>
        <v>0</v>
      </c>
      <c r="AB53" s="95">
        <f>'Draw Calc (Hidden)'!Y35</f>
        <v>0</v>
      </c>
      <c r="AC53" s="95">
        <f>'Draw Calc (Hidden)'!Z35</f>
        <v>0</v>
      </c>
      <c r="AD53" s="95">
        <f>'Draw Calc (Hidden)'!AA35</f>
        <v>0</v>
      </c>
      <c r="AE53" s="95">
        <f>'Draw Calc (Hidden)'!AB35</f>
        <v>0</v>
      </c>
      <c r="AF53" s="95">
        <f>'Draw Calc (Hidden)'!AC35</f>
        <v>0</v>
      </c>
      <c r="AG53" s="95">
        <f>'Draw Calc (Hidden)'!AD35</f>
        <v>0</v>
      </c>
      <c r="AH53" s="95">
        <f>'Draw Calc (Hidden)'!AE35</f>
        <v>0</v>
      </c>
      <c r="AI53" s="95">
        <f>'Draw Calc (Hidden)'!AF35</f>
        <v>0</v>
      </c>
      <c r="AJ53" s="95">
        <f>'Draw Calc (Hidden)'!AG35</f>
        <v>0</v>
      </c>
      <c r="AK53" s="95">
        <f>'Draw Calc (Hidden)'!AH35</f>
        <v>0</v>
      </c>
      <c r="AL53" s="95">
        <f>'Draw Calc (Hidden)'!AI35</f>
        <v>0</v>
      </c>
      <c r="AM53" s="95">
        <f>'Draw Calc (Hidden)'!AJ35</f>
        <v>0</v>
      </c>
      <c r="AN53" s="95">
        <f>'Draw Calc (Hidden)'!AK35</f>
        <v>0</v>
      </c>
      <c r="AO53" s="95">
        <f>'Draw Calc (Hidden)'!AL35</f>
        <v>0</v>
      </c>
    </row>
    <row r="54" spans="1:41" ht="15" customHeight="1" x14ac:dyDescent="0.2">
      <c r="A54" s="94" t="str">
        <f>'I_Budget Input Data'!B36</f>
        <v>3. HARD COSTS</v>
      </c>
      <c r="B54" s="94" t="str">
        <f>'I_Budget Input Data'!C36</f>
        <v>General conditions:Labourer</v>
      </c>
      <c r="C54" s="96">
        <f>'I_Budget Input Data'!D36</f>
        <v>230020</v>
      </c>
      <c r="D54" s="96">
        <f t="shared" si="0"/>
        <v>230020</v>
      </c>
      <c r="E54" s="96">
        <f t="shared" si="1"/>
        <v>0</v>
      </c>
      <c r="F54" s="96">
        <f>'Draw Calc (Hidden)'!C36</f>
        <v>17693.846153846152</v>
      </c>
      <c r="G54" s="96">
        <f>'Draw Calc (Hidden)'!D36</f>
        <v>17693.846153846152</v>
      </c>
      <c r="H54" s="96">
        <f>'Draw Calc (Hidden)'!E36</f>
        <v>17693.846153846152</v>
      </c>
      <c r="I54" s="96">
        <f>'Draw Calc (Hidden)'!F36</f>
        <v>17693.846153846152</v>
      </c>
      <c r="J54" s="96">
        <f>'Draw Calc (Hidden)'!G36</f>
        <v>17693.846153846152</v>
      </c>
      <c r="K54" s="96">
        <f>'Draw Calc (Hidden)'!H36</f>
        <v>17693.846153846152</v>
      </c>
      <c r="L54" s="96">
        <f>'Draw Calc (Hidden)'!I36</f>
        <v>17693.846153846152</v>
      </c>
      <c r="M54" s="96">
        <f>'Draw Calc (Hidden)'!J36</f>
        <v>17693.846153846152</v>
      </c>
      <c r="N54" s="96">
        <f>'Draw Calc (Hidden)'!K36</f>
        <v>17693.846153846152</v>
      </c>
      <c r="O54" s="96">
        <f>'Draw Calc (Hidden)'!L36</f>
        <v>17693.846153846152</v>
      </c>
      <c r="P54" s="96">
        <f>'Draw Calc (Hidden)'!M36</f>
        <v>17693.846153846152</v>
      </c>
      <c r="Q54" s="96">
        <f>'Draw Calc (Hidden)'!N36</f>
        <v>17693.846153846152</v>
      </c>
      <c r="R54" s="96">
        <f>'Draw Calc (Hidden)'!O36</f>
        <v>17693.846153846152</v>
      </c>
      <c r="S54" s="96">
        <f>'Draw Calc (Hidden)'!P36</f>
        <v>0</v>
      </c>
      <c r="T54" s="96">
        <f>'Draw Calc (Hidden)'!Q36</f>
        <v>0</v>
      </c>
      <c r="U54" s="96">
        <f>'Draw Calc (Hidden)'!R36</f>
        <v>0</v>
      </c>
      <c r="V54" s="96">
        <f>'Draw Calc (Hidden)'!S36</f>
        <v>0</v>
      </c>
      <c r="W54" s="96">
        <f>'Draw Calc (Hidden)'!T36</f>
        <v>0</v>
      </c>
      <c r="X54" s="96">
        <f>'Draw Calc (Hidden)'!U36</f>
        <v>0</v>
      </c>
      <c r="Y54" s="96">
        <f>'Draw Calc (Hidden)'!V36</f>
        <v>0</v>
      </c>
      <c r="Z54" s="96">
        <f>'Draw Calc (Hidden)'!W36</f>
        <v>0</v>
      </c>
      <c r="AA54" s="96">
        <f>'Draw Calc (Hidden)'!X36</f>
        <v>0</v>
      </c>
      <c r="AB54" s="96">
        <f>'Draw Calc (Hidden)'!Y36</f>
        <v>0</v>
      </c>
      <c r="AC54" s="96">
        <f>'Draw Calc (Hidden)'!Z36</f>
        <v>0</v>
      </c>
      <c r="AD54" s="96">
        <f>'Draw Calc (Hidden)'!AA36</f>
        <v>0</v>
      </c>
      <c r="AE54" s="96">
        <f>'Draw Calc (Hidden)'!AB36</f>
        <v>0</v>
      </c>
      <c r="AF54" s="96">
        <f>'Draw Calc (Hidden)'!AC36</f>
        <v>0</v>
      </c>
      <c r="AG54" s="96">
        <f>'Draw Calc (Hidden)'!AD36</f>
        <v>0</v>
      </c>
      <c r="AH54" s="96">
        <f>'Draw Calc (Hidden)'!AE36</f>
        <v>0</v>
      </c>
      <c r="AI54" s="96">
        <f>'Draw Calc (Hidden)'!AF36</f>
        <v>0</v>
      </c>
      <c r="AJ54" s="96">
        <f>'Draw Calc (Hidden)'!AG36</f>
        <v>0</v>
      </c>
      <c r="AK54" s="96">
        <f>'Draw Calc (Hidden)'!AH36</f>
        <v>0</v>
      </c>
      <c r="AL54" s="96">
        <f>'Draw Calc (Hidden)'!AI36</f>
        <v>0</v>
      </c>
      <c r="AM54" s="95">
        <f>'Draw Calc (Hidden)'!AJ36</f>
        <v>0</v>
      </c>
      <c r="AN54" s="95">
        <f>'Draw Calc (Hidden)'!AK36</f>
        <v>0</v>
      </c>
      <c r="AO54" s="95">
        <f>'Draw Calc (Hidden)'!AL36</f>
        <v>0</v>
      </c>
    </row>
    <row r="55" spans="1:41" ht="15" customHeight="1" x14ac:dyDescent="0.2">
      <c r="A55" s="94" t="str">
        <f>'I_Budget Input Data'!B37</f>
        <v>3. HARD COSTS</v>
      </c>
      <c r="B55" s="94" t="str">
        <f>'I_Budget Input Data'!C37</f>
        <v>General Conditions: Logding</v>
      </c>
      <c r="C55" s="95">
        <f>'I_Budget Input Data'!D37</f>
        <v>11000</v>
      </c>
      <c r="D55" s="95">
        <f t="shared" si="0"/>
        <v>10999.999999999996</v>
      </c>
      <c r="E55" s="95">
        <f t="shared" si="1"/>
        <v>0</v>
      </c>
      <c r="F55" s="95">
        <f>'Draw Calc (Hidden)'!C37</f>
        <v>846.15384615384619</v>
      </c>
      <c r="G55" s="95">
        <f>'Draw Calc (Hidden)'!D37</f>
        <v>846.15384615384619</v>
      </c>
      <c r="H55" s="95">
        <f>'Draw Calc (Hidden)'!E37</f>
        <v>846.15384615384619</v>
      </c>
      <c r="I55" s="95">
        <f>'Draw Calc (Hidden)'!F37</f>
        <v>846.15384615384619</v>
      </c>
      <c r="J55" s="95">
        <f>'Draw Calc (Hidden)'!G37</f>
        <v>846.15384615384619</v>
      </c>
      <c r="K55" s="95">
        <f>'Draw Calc (Hidden)'!H37</f>
        <v>846.15384615384619</v>
      </c>
      <c r="L55" s="95">
        <f>'Draw Calc (Hidden)'!I37</f>
        <v>846.15384615384619</v>
      </c>
      <c r="M55" s="95">
        <f>'Draw Calc (Hidden)'!J37</f>
        <v>846.15384615384619</v>
      </c>
      <c r="N55" s="95">
        <f>'Draw Calc (Hidden)'!K37</f>
        <v>846.15384615384619</v>
      </c>
      <c r="O55" s="95">
        <f>'Draw Calc (Hidden)'!L37</f>
        <v>846.15384615384619</v>
      </c>
      <c r="P55" s="95">
        <f>'Draw Calc (Hidden)'!M37</f>
        <v>846.15384615384619</v>
      </c>
      <c r="Q55" s="95">
        <f>'Draw Calc (Hidden)'!N37</f>
        <v>846.15384615384619</v>
      </c>
      <c r="R55" s="95">
        <f>'Draw Calc (Hidden)'!O37</f>
        <v>846.15384615384619</v>
      </c>
      <c r="S55" s="95">
        <f>'Draw Calc (Hidden)'!P37</f>
        <v>0</v>
      </c>
      <c r="T55" s="95">
        <f>'Draw Calc (Hidden)'!Q37</f>
        <v>0</v>
      </c>
      <c r="U55" s="95">
        <f>'Draw Calc (Hidden)'!R37</f>
        <v>0</v>
      </c>
      <c r="V55" s="95">
        <f>'Draw Calc (Hidden)'!S37</f>
        <v>0</v>
      </c>
      <c r="W55" s="95">
        <f>'Draw Calc (Hidden)'!T37</f>
        <v>0</v>
      </c>
      <c r="X55" s="95">
        <f>'Draw Calc (Hidden)'!U37</f>
        <v>0</v>
      </c>
      <c r="Y55" s="95">
        <f>'Draw Calc (Hidden)'!V37</f>
        <v>0</v>
      </c>
      <c r="Z55" s="95">
        <f>'Draw Calc (Hidden)'!W37</f>
        <v>0</v>
      </c>
      <c r="AA55" s="95">
        <f>'Draw Calc (Hidden)'!X37</f>
        <v>0</v>
      </c>
      <c r="AB55" s="95">
        <f>'Draw Calc (Hidden)'!Y37</f>
        <v>0</v>
      </c>
      <c r="AC55" s="95">
        <f>'Draw Calc (Hidden)'!Z37</f>
        <v>0</v>
      </c>
      <c r="AD55" s="95">
        <f>'Draw Calc (Hidden)'!AA37</f>
        <v>0</v>
      </c>
      <c r="AE55" s="95">
        <f>'Draw Calc (Hidden)'!AB37</f>
        <v>0</v>
      </c>
      <c r="AF55" s="95">
        <f>'Draw Calc (Hidden)'!AC37</f>
        <v>0</v>
      </c>
      <c r="AG55" s="95">
        <f>'Draw Calc (Hidden)'!AD37</f>
        <v>0</v>
      </c>
      <c r="AH55" s="95">
        <f>'Draw Calc (Hidden)'!AE37</f>
        <v>0</v>
      </c>
      <c r="AI55" s="95">
        <f>'Draw Calc (Hidden)'!AF37</f>
        <v>0</v>
      </c>
      <c r="AJ55" s="95">
        <f>'Draw Calc (Hidden)'!AG37</f>
        <v>0</v>
      </c>
      <c r="AK55" s="95">
        <f>'Draw Calc (Hidden)'!AH37</f>
        <v>0</v>
      </c>
      <c r="AL55" s="95">
        <f>'Draw Calc (Hidden)'!AI37</f>
        <v>0</v>
      </c>
      <c r="AM55" s="95">
        <f>'Draw Calc (Hidden)'!AJ37</f>
        <v>0</v>
      </c>
      <c r="AN55" s="95">
        <f>'Draw Calc (Hidden)'!AK37</f>
        <v>0</v>
      </c>
      <c r="AO55" s="95">
        <f>'Draw Calc (Hidden)'!AL37</f>
        <v>0</v>
      </c>
    </row>
    <row r="56" spans="1:41" ht="15" customHeight="1" x14ac:dyDescent="0.2">
      <c r="A56" s="94" t="str">
        <f>'I_Budget Input Data'!B38</f>
        <v>3. HARD COSTS</v>
      </c>
      <c r="B56" s="94" t="str">
        <f>'I_Budget Input Data'!C38</f>
        <v>General conditions:Site fencing</v>
      </c>
      <c r="C56" s="95">
        <f>'I_Budget Input Data'!D38</f>
        <v>10780</v>
      </c>
      <c r="D56" s="95">
        <f t="shared" ref="D56:D87" si="2">SUM(F56:AO56)</f>
        <v>10780.000000000002</v>
      </c>
      <c r="E56" s="95">
        <f t="shared" ref="E56:E87" si="3">C56-D56</f>
        <v>0</v>
      </c>
      <c r="F56" s="95">
        <f>'Draw Calc (Hidden)'!C38</f>
        <v>829.23076923076928</v>
      </c>
      <c r="G56" s="95">
        <f>'Draw Calc (Hidden)'!D38</f>
        <v>829.23076923076928</v>
      </c>
      <c r="H56" s="95">
        <f>'Draw Calc (Hidden)'!E38</f>
        <v>829.23076923076928</v>
      </c>
      <c r="I56" s="95">
        <f>'Draw Calc (Hidden)'!F38</f>
        <v>829.23076923076928</v>
      </c>
      <c r="J56" s="95">
        <f>'Draw Calc (Hidden)'!G38</f>
        <v>829.23076923076928</v>
      </c>
      <c r="K56" s="95">
        <f>'Draw Calc (Hidden)'!H38</f>
        <v>829.23076923076928</v>
      </c>
      <c r="L56" s="95">
        <f>'Draw Calc (Hidden)'!I38</f>
        <v>829.23076923076928</v>
      </c>
      <c r="M56" s="95">
        <f>'Draw Calc (Hidden)'!J38</f>
        <v>829.23076923076928</v>
      </c>
      <c r="N56" s="95">
        <f>'Draw Calc (Hidden)'!K38</f>
        <v>829.23076923076928</v>
      </c>
      <c r="O56" s="95">
        <f>'Draw Calc (Hidden)'!L38</f>
        <v>829.23076923076928</v>
      </c>
      <c r="P56" s="95">
        <f>'Draw Calc (Hidden)'!M38</f>
        <v>829.23076923076928</v>
      </c>
      <c r="Q56" s="95">
        <f>'Draw Calc (Hidden)'!N38</f>
        <v>829.23076923076928</v>
      </c>
      <c r="R56" s="95">
        <f>'Draw Calc (Hidden)'!O38</f>
        <v>829.23076923076928</v>
      </c>
      <c r="S56" s="95">
        <f>'Draw Calc (Hidden)'!P38</f>
        <v>0</v>
      </c>
      <c r="T56" s="95">
        <f>'Draw Calc (Hidden)'!Q38</f>
        <v>0</v>
      </c>
      <c r="U56" s="95">
        <f>'Draw Calc (Hidden)'!R38</f>
        <v>0</v>
      </c>
      <c r="V56" s="95">
        <f>'Draw Calc (Hidden)'!S38</f>
        <v>0</v>
      </c>
      <c r="W56" s="95">
        <f>'Draw Calc (Hidden)'!T38</f>
        <v>0</v>
      </c>
      <c r="X56" s="95">
        <f>'Draw Calc (Hidden)'!U38</f>
        <v>0</v>
      </c>
      <c r="Y56" s="95">
        <f>'Draw Calc (Hidden)'!V38</f>
        <v>0</v>
      </c>
      <c r="Z56" s="95">
        <f>'Draw Calc (Hidden)'!W38</f>
        <v>0</v>
      </c>
      <c r="AA56" s="95">
        <f>'Draw Calc (Hidden)'!X38</f>
        <v>0</v>
      </c>
      <c r="AB56" s="95">
        <f>'Draw Calc (Hidden)'!Y38</f>
        <v>0</v>
      </c>
      <c r="AC56" s="95">
        <f>'Draw Calc (Hidden)'!Z38</f>
        <v>0</v>
      </c>
      <c r="AD56" s="95">
        <f>'Draw Calc (Hidden)'!AA38</f>
        <v>0</v>
      </c>
      <c r="AE56" s="95">
        <f>'Draw Calc (Hidden)'!AB38</f>
        <v>0</v>
      </c>
      <c r="AF56" s="95">
        <f>'Draw Calc (Hidden)'!AC38</f>
        <v>0</v>
      </c>
      <c r="AG56" s="95">
        <f>'Draw Calc (Hidden)'!AD38</f>
        <v>0</v>
      </c>
      <c r="AH56" s="95">
        <f>'Draw Calc (Hidden)'!AE38</f>
        <v>0</v>
      </c>
      <c r="AI56" s="95">
        <f>'Draw Calc (Hidden)'!AF38</f>
        <v>0</v>
      </c>
      <c r="AJ56" s="95">
        <f>'Draw Calc (Hidden)'!AG38</f>
        <v>0</v>
      </c>
      <c r="AK56" s="95">
        <f>'Draw Calc (Hidden)'!AH38</f>
        <v>0</v>
      </c>
      <c r="AL56" s="95">
        <f>'Draw Calc (Hidden)'!AI38</f>
        <v>0</v>
      </c>
      <c r="AM56" s="95">
        <f>'Draw Calc (Hidden)'!AJ38</f>
        <v>0</v>
      </c>
      <c r="AN56" s="95">
        <f>'Draw Calc (Hidden)'!AK38</f>
        <v>0</v>
      </c>
      <c r="AO56" s="95">
        <f>'Draw Calc (Hidden)'!AL38</f>
        <v>0</v>
      </c>
    </row>
    <row r="57" spans="1:41" ht="15" customHeight="1" x14ac:dyDescent="0.2">
      <c r="A57" s="94" t="str">
        <f>'I_Budget Input Data'!B39</f>
        <v>3. HARD COSTS</v>
      </c>
      <c r="B57" s="94" t="str">
        <f>'I_Budget Input Data'!C39</f>
        <v>General Conditions: Printing</v>
      </c>
      <c r="C57" s="95">
        <f>'I_Budget Input Data'!D39</f>
        <v>8048</v>
      </c>
      <c r="D57" s="95">
        <f t="shared" si="2"/>
        <v>8047.9999999999982</v>
      </c>
      <c r="E57" s="95">
        <f t="shared" si="3"/>
        <v>0</v>
      </c>
      <c r="F57" s="95">
        <f>'Draw Calc (Hidden)'!C39</f>
        <v>619.07692307692309</v>
      </c>
      <c r="G57" s="95">
        <f>'Draw Calc (Hidden)'!D39</f>
        <v>619.07692307692309</v>
      </c>
      <c r="H57" s="95">
        <f>'Draw Calc (Hidden)'!E39</f>
        <v>619.07692307692309</v>
      </c>
      <c r="I57" s="95">
        <f>'Draw Calc (Hidden)'!F39</f>
        <v>619.07692307692309</v>
      </c>
      <c r="J57" s="95">
        <f>'Draw Calc (Hidden)'!G39</f>
        <v>619.07692307692309</v>
      </c>
      <c r="K57" s="95">
        <f>'Draw Calc (Hidden)'!H39</f>
        <v>619.07692307692309</v>
      </c>
      <c r="L57" s="95">
        <f>'Draw Calc (Hidden)'!I39</f>
        <v>619.07692307692309</v>
      </c>
      <c r="M57" s="95">
        <f>'Draw Calc (Hidden)'!J39</f>
        <v>619.07692307692309</v>
      </c>
      <c r="N57" s="95">
        <f>'Draw Calc (Hidden)'!K39</f>
        <v>619.07692307692309</v>
      </c>
      <c r="O57" s="95">
        <f>'Draw Calc (Hidden)'!L39</f>
        <v>619.07692307692309</v>
      </c>
      <c r="P57" s="95">
        <f>'Draw Calc (Hidden)'!M39</f>
        <v>619.07692307692309</v>
      </c>
      <c r="Q57" s="95">
        <f>'Draw Calc (Hidden)'!N39</f>
        <v>619.07692307692309</v>
      </c>
      <c r="R57" s="95">
        <f>'Draw Calc (Hidden)'!O39</f>
        <v>619.07692307692309</v>
      </c>
      <c r="S57" s="95">
        <f>'Draw Calc (Hidden)'!P39</f>
        <v>0</v>
      </c>
      <c r="T57" s="95">
        <f>'Draw Calc (Hidden)'!Q39</f>
        <v>0</v>
      </c>
      <c r="U57" s="95">
        <f>'Draw Calc (Hidden)'!R39</f>
        <v>0</v>
      </c>
      <c r="V57" s="95">
        <f>'Draw Calc (Hidden)'!S39</f>
        <v>0</v>
      </c>
      <c r="W57" s="95">
        <f>'Draw Calc (Hidden)'!T39</f>
        <v>0</v>
      </c>
      <c r="X57" s="95">
        <f>'Draw Calc (Hidden)'!U39</f>
        <v>0</v>
      </c>
      <c r="Y57" s="95">
        <f>'Draw Calc (Hidden)'!V39</f>
        <v>0</v>
      </c>
      <c r="Z57" s="95">
        <f>'Draw Calc (Hidden)'!W39</f>
        <v>0</v>
      </c>
      <c r="AA57" s="95">
        <f>'Draw Calc (Hidden)'!X39</f>
        <v>0</v>
      </c>
      <c r="AB57" s="95">
        <f>'Draw Calc (Hidden)'!Y39</f>
        <v>0</v>
      </c>
      <c r="AC57" s="95">
        <f>'Draw Calc (Hidden)'!Z39</f>
        <v>0</v>
      </c>
      <c r="AD57" s="95">
        <f>'Draw Calc (Hidden)'!AA39</f>
        <v>0</v>
      </c>
      <c r="AE57" s="95">
        <f>'Draw Calc (Hidden)'!AB39</f>
        <v>0</v>
      </c>
      <c r="AF57" s="95">
        <f>'Draw Calc (Hidden)'!AC39</f>
        <v>0</v>
      </c>
      <c r="AG57" s="95">
        <f>'Draw Calc (Hidden)'!AD39</f>
        <v>0</v>
      </c>
      <c r="AH57" s="95">
        <f>'Draw Calc (Hidden)'!AE39</f>
        <v>0</v>
      </c>
      <c r="AI57" s="95">
        <f>'Draw Calc (Hidden)'!AF39</f>
        <v>0</v>
      </c>
      <c r="AJ57" s="95">
        <f>'Draw Calc (Hidden)'!AG39</f>
        <v>0</v>
      </c>
      <c r="AK57" s="95">
        <f>'Draw Calc (Hidden)'!AH39</f>
        <v>0</v>
      </c>
      <c r="AL57" s="95">
        <f>'Draw Calc (Hidden)'!AI39</f>
        <v>0</v>
      </c>
      <c r="AM57" s="95">
        <f>'Draw Calc (Hidden)'!AJ39</f>
        <v>0</v>
      </c>
      <c r="AN57" s="95">
        <f>'Draw Calc (Hidden)'!AK39</f>
        <v>0</v>
      </c>
      <c r="AO57" s="95">
        <f>'Draw Calc (Hidden)'!AL39</f>
        <v>0</v>
      </c>
    </row>
    <row r="58" spans="1:41" ht="15" customHeight="1" x14ac:dyDescent="0.2">
      <c r="A58" s="94" t="str">
        <f>'I_Budget Input Data'!B40</f>
        <v>3. HARD COSTS</v>
      </c>
      <c r="B58" s="94" t="str">
        <f>'I_Budget Input Data'!C40</f>
        <v>General conditions:Scaffolding-Cranes-Nacelles</v>
      </c>
      <c r="C58" s="95">
        <f>'I_Budget Input Data'!D40</f>
        <v>242750</v>
      </c>
      <c r="D58" s="95">
        <f t="shared" si="2"/>
        <v>242750.00000000006</v>
      </c>
      <c r="E58" s="95">
        <f t="shared" si="3"/>
        <v>0</v>
      </c>
      <c r="F58" s="95">
        <f>'Draw Calc (Hidden)'!C40</f>
        <v>18673.076923076922</v>
      </c>
      <c r="G58" s="95">
        <f>'Draw Calc (Hidden)'!D40</f>
        <v>18673.076923076922</v>
      </c>
      <c r="H58" s="95">
        <f>'Draw Calc (Hidden)'!E40</f>
        <v>18673.076923076922</v>
      </c>
      <c r="I58" s="95">
        <f>'Draw Calc (Hidden)'!F40</f>
        <v>18673.076923076922</v>
      </c>
      <c r="J58" s="95">
        <f>'Draw Calc (Hidden)'!G40</f>
        <v>18673.076923076922</v>
      </c>
      <c r="K58" s="95">
        <f>'Draw Calc (Hidden)'!H40</f>
        <v>18673.076923076922</v>
      </c>
      <c r="L58" s="95">
        <f>'Draw Calc (Hidden)'!I40</f>
        <v>18673.076923076922</v>
      </c>
      <c r="M58" s="95">
        <f>'Draw Calc (Hidden)'!J40</f>
        <v>18673.076923076922</v>
      </c>
      <c r="N58" s="95">
        <f>'Draw Calc (Hidden)'!K40</f>
        <v>18673.076923076922</v>
      </c>
      <c r="O58" s="95">
        <f>'Draw Calc (Hidden)'!L40</f>
        <v>18673.076923076922</v>
      </c>
      <c r="P58" s="95">
        <f>'Draw Calc (Hidden)'!M40</f>
        <v>18673.076923076922</v>
      </c>
      <c r="Q58" s="95">
        <f>'Draw Calc (Hidden)'!N40</f>
        <v>18673.076923076922</v>
      </c>
      <c r="R58" s="95">
        <f>'Draw Calc (Hidden)'!O40</f>
        <v>18673.076923076922</v>
      </c>
      <c r="S58" s="95">
        <f>'Draw Calc (Hidden)'!P40</f>
        <v>0</v>
      </c>
      <c r="T58" s="95">
        <f>'Draw Calc (Hidden)'!Q40</f>
        <v>0</v>
      </c>
      <c r="U58" s="95">
        <f>'Draw Calc (Hidden)'!R40</f>
        <v>0</v>
      </c>
      <c r="V58" s="95">
        <f>'Draw Calc (Hidden)'!S40</f>
        <v>0</v>
      </c>
      <c r="W58" s="95">
        <f>'Draw Calc (Hidden)'!T40</f>
        <v>0</v>
      </c>
      <c r="X58" s="95">
        <f>'Draw Calc (Hidden)'!U40</f>
        <v>0</v>
      </c>
      <c r="Y58" s="95">
        <f>'Draw Calc (Hidden)'!V40</f>
        <v>0</v>
      </c>
      <c r="Z58" s="95">
        <f>'Draw Calc (Hidden)'!W40</f>
        <v>0</v>
      </c>
      <c r="AA58" s="95">
        <f>'Draw Calc (Hidden)'!X40</f>
        <v>0</v>
      </c>
      <c r="AB58" s="95">
        <f>'Draw Calc (Hidden)'!Y40</f>
        <v>0</v>
      </c>
      <c r="AC58" s="95">
        <f>'Draw Calc (Hidden)'!Z40</f>
        <v>0</v>
      </c>
      <c r="AD58" s="95">
        <f>'Draw Calc (Hidden)'!AA40</f>
        <v>0</v>
      </c>
      <c r="AE58" s="95">
        <f>'Draw Calc (Hidden)'!AB40</f>
        <v>0</v>
      </c>
      <c r="AF58" s="95">
        <f>'Draw Calc (Hidden)'!AC40</f>
        <v>0</v>
      </c>
      <c r="AG58" s="95">
        <f>'Draw Calc (Hidden)'!AD40</f>
        <v>0</v>
      </c>
      <c r="AH58" s="95">
        <f>'Draw Calc (Hidden)'!AE40</f>
        <v>0</v>
      </c>
      <c r="AI58" s="95">
        <f>'Draw Calc (Hidden)'!AF40</f>
        <v>0</v>
      </c>
      <c r="AJ58" s="95">
        <f>'Draw Calc (Hidden)'!AG40</f>
        <v>0</v>
      </c>
      <c r="AK58" s="95">
        <f>'Draw Calc (Hidden)'!AH40</f>
        <v>0</v>
      </c>
      <c r="AL58" s="95">
        <f>'Draw Calc (Hidden)'!AI40</f>
        <v>0</v>
      </c>
      <c r="AM58" s="95">
        <f>'Draw Calc (Hidden)'!AJ40</f>
        <v>0</v>
      </c>
      <c r="AN58" s="95">
        <f>'Draw Calc (Hidden)'!AK40</f>
        <v>0</v>
      </c>
      <c r="AO58" s="95">
        <f>'Draw Calc (Hidden)'!AL40</f>
        <v>0</v>
      </c>
    </row>
    <row r="59" spans="1:41" ht="15" customHeight="1" x14ac:dyDescent="0.2">
      <c r="A59" s="94" t="str">
        <f>'I_Budget Input Data'!B41</f>
        <v>3. HARD COSTS</v>
      </c>
      <c r="B59" s="94" t="str">
        <f>'I_Budget Input Data'!C41</f>
        <v>General conditions:Tool rental</v>
      </c>
      <c r="C59" s="96">
        <f>'I_Budget Input Data'!D41</f>
        <v>0</v>
      </c>
      <c r="D59" s="96">
        <f t="shared" si="2"/>
        <v>0</v>
      </c>
      <c r="E59" s="96">
        <f t="shared" si="3"/>
        <v>0</v>
      </c>
      <c r="F59" s="96">
        <f>'Draw Calc (Hidden)'!C41</f>
        <v>0</v>
      </c>
      <c r="G59" s="96">
        <f>'Draw Calc (Hidden)'!D41</f>
        <v>0</v>
      </c>
      <c r="H59" s="96">
        <f>'Draw Calc (Hidden)'!E41</f>
        <v>0</v>
      </c>
      <c r="I59" s="96">
        <f>'Draw Calc (Hidden)'!F41</f>
        <v>0</v>
      </c>
      <c r="J59" s="96">
        <f>'Draw Calc (Hidden)'!G41</f>
        <v>0</v>
      </c>
      <c r="K59" s="96">
        <f>'Draw Calc (Hidden)'!H41</f>
        <v>0</v>
      </c>
      <c r="L59" s="96">
        <f>'Draw Calc (Hidden)'!I41</f>
        <v>0</v>
      </c>
      <c r="M59" s="96">
        <f>'Draw Calc (Hidden)'!J41</f>
        <v>0</v>
      </c>
      <c r="N59" s="96">
        <f>'Draw Calc (Hidden)'!K41</f>
        <v>0</v>
      </c>
      <c r="O59" s="96">
        <f>'Draw Calc (Hidden)'!L41</f>
        <v>0</v>
      </c>
      <c r="P59" s="96">
        <f>'Draw Calc (Hidden)'!M41</f>
        <v>0</v>
      </c>
      <c r="Q59" s="96">
        <f>'Draw Calc (Hidden)'!N41</f>
        <v>0</v>
      </c>
      <c r="R59" s="96">
        <f>'Draw Calc (Hidden)'!O41</f>
        <v>0</v>
      </c>
      <c r="S59" s="96">
        <f>'Draw Calc (Hidden)'!P41</f>
        <v>0</v>
      </c>
      <c r="T59" s="96">
        <f>'Draw Calc (Hidden)'!Q41</f>
        <v>0</v>
      </c>
      <c r="U59" s="96">
        <f>'Draw Calc (Hidden)'!R41</f>
        <v>0</v>
      </c>
      <c r="V59" s="96">
        <f>'Draw Calc (Hidden)'!S41</f>
        <v>0</v>
      </c>
      <c r="W59" s="96">
        <f>'Draw Calc (Hidden)'!T41</f>
        <v>0</v>
      </c>
      <c r="X59" s="96">
        <f>'Draw Calc (Hidden)'!U41</f>
        <v>0</v>
      </c>
      <c r="Y59" s="96">
        <f>'Draw Calc (Hidden)'!V41</f>
        <v>0</v>
      </c>
      <c r="Z59" s="96">
        <f>'Draw Calc (Hidden)'!W41</f>
        <v>0</v>
      </c>
      <c r="AA59" s="96">
        <f>'Draw Calc (Hidden)'!X41</f>
        <v>0</v>
      </c>
      <c r="AB59" s="96">
        <f>'Draw Calc (Hidden)'!Y41</f>
        <v>0</v>
      </c>
      <c r="AC59" s="96">
        <f>'Draw Calc (Hidden)'!Z41</f>
        <v>0</v>
      </c>
      <c r="AD59" s="96">
        <f>'Draw Calc (Hidden)'!AA41</f>
        <v>0</v>
      </c>
      <c r="AE59" s="96">
        <f>'Draw Calc (Hidden)'!AB41</f>
        <v>0</v>
      </c>
      <c r="AF59" s="96">
        <f>'Draw Calc (Hidden)'!AC41</f>
        <v>0</v>
      </c>
      <c r="AG59" s="96">
        <f>'Draw Calc (Hidden)'!AD41</f>
        <v>0</v>
      </c>
      <c r="AH59" s="96">
        <f>'Draw Calc (Hidden)'!AE41</f>
        <v>0</v>
      </c>
      <c r="AI59" s="96">
        <f>'Draw Calc (Hidden)'!AF41</f>
        <v>0</v>
      </c>
      <c r="AJ59" s="96">
        <f>'Draw Calc (Hidden)'!AG41</f>
        <v>0</v>
      </c>
      <c r="AK59" s="96">
        <f>'Draw Calc (Hidden)'!AH41</f>
        <v>0</v>
      </c>
      <c r="AL59" s="96">
        <f>'Draw Calc (Hidden)'!AI41</f>
        <v>0</v>
      </c>
      <c r="AM59" s="95">
        <f>'Draw Calc (Hidden)'!AJ41</f>
        <v>0</v>
      </c>
      <c r="AN59" s="95">
        <f>'Draw Calc (Hidden)'!AK41</f>
        <v>0</v>
      </c>
      <c r="AO59" s="95">
        <f>'Draw Calc (Hidden)'!AL41</f>
        <v>0</v>
      </c>
    </row>
    <row r="60" spans="1:41" ht="15" customHeight="1" x14ac:dyDescent="0.2">
      <c r="A60" s="94" t="str">
        <f>'I_Budget Input Data'!B42</f>
        <v>3. HARD COSTS</v>
      </c>
      <c r="B60" s="94" t="str">
        <f>'I_Budget Input Data'!C42</f>
        <v>General conditions:Garbage chutes</v>
      </c>
      <c r="C60" s="95">
        <f>'I_Budget Input Data'!D42</f>
        <v>0</v>
      </c>
      <c r="D60" s="95">
        <f t="shared" si="2"/>
        <v>0</v>
      </c>
      <c r="E60" s="95">
        <f t="shared" si="3"/>
        <v>0</v>
      </c>
      <c r="F60" s="95">
        <f>'Draw Calc (Hidden)'!C42</f>
        <v>0</v>
      </c>
      <c r="G60" s="95">
        <f>'Draw Calc (Hidden)'!D42</f>
        <v>0</v>
      </c>
      <c r="H60" s="95">
        <f>'Draw Calc (Hidden)'!E42</f>
        <v>0</v>
      </c>
      <c r="I60" s="95">
        <f>'Draw Calc (Hidden)'!F42</f>
        <v>0</v>
      </c>
      <c r="J60" s="95">
        <f>'Draw Calc (Hidden)'!G42</f>
        <v>0</v>
      </c>
      <c r="K60" s="95">
        <f>'Draw Calc (Hidden)'!H42</f>
        <v>0</v>
      </c>
      <c r="L60" s="95">
        <f>'Draw Calc (Hidden)'!I42</f>
        <v>0</v>
      </c>
      <c r="M60" s="95">
        <f>'Draw Calc (Hidden)'!J42</f>
        <v>0</v>
      </c>
      <c r="N60" s="95">
        <f>'Draw Calc (Hidden)'!K42</f>
        <v>0</v>
      </c>
      <c r="O60" s="95">
        <f>'Draw Calc (Hidden)'!L42</f>
        <v>0</v>
      </c>
      <c r="P60" s="95">
        <f>'Draw Calc (Hidden)'!M42</f>
        <v>0</v>
      </c>
      <c r="Q60" s="95">
        <f>'Draw Calc (Hidden)'!N42</f>
        <v>0</v>
      </c>
      <c r="R60" s="95">
        <f>'Draw Calc (Hidden)'!O42</f>
        <v>0</v>
      </c>
      <c r="S60" s="95">
        <f>'Draw Calc (Hidden)'!P42</f>
        <v>0</v>
      </c>
      <c r="T60" s="95">
        <f>'Draw Calc (Hidden)'!Q42</f>
        <v>0</v>
      </c>
      <c r="U60" s="95">
        <f>'Draw Calc (Hidden)'!R42</f>
        <v>0</v>
      </c>
      <c r="V60" s="95">
        <f>'Draw Calc (Hidden)'!S42</f>
        <v>0</v>
      </c>
      <c r="W60" s="95">
        <f>'Draw Calc (Hidden)'!T42</f>
        <v>0</v>
      </c>
      <c r="X60" s="95">
        <f>'Draw Calc (Hidden)'!U42</f>
        <v>0</v>
      </c>
      <c r="Y60" s="95">
        <f>'Draw Calc (Hidden)'!V42</f>
        <v>0</v>
      </c>
      <c r="Z60" s="95">
        <f>'Draw Calc (Hidden)'!W42</f>
        <v>0</v>
      </c>
      <c r="AA60" s="95">
        <f>'Draw Calc (Hidden)'!X42</f>
        <v>0</v>
      </c>
      <c r="AB60" s="95">
        <f>'Draw Calc (Hidden)'!Y42</f>
        <v>0</v>
      </c>
      <c r="AC60" s="95">
        <f>'Draw Calc (Hidden)'!Z42</f>
        <v>0</v>
      </c>
      <c r="AD60" s="95">
        <f>'Draw Calc (Hidden)'!AA42</f>
        <v>0</v>
      </c>
      <c r="AE60" s="95">
        <f>'Draw Calc (Hidden)'!AB42</f>
        <v>0</v>
      </c>
      <c r="AF60" s="95">
        <f>'Draw Calc (Hidden)'!AC42</f>
        <v>0</v>
      </c>
      <c r="AG60" s="95">
        <f>'Draw Calc (Hidden)'!AD42</f>
        <v>0</v>
      </c>
      <c r="AH60" s="95">
        <f>'Draw Calc (Hidden)'!AE42</f>
        <v>0</v>
      </c>
      <c r="AI60" s="95">
        <f>'Draw Calc (Hidden)'!AF42</f>
        <v>0</v>
      </c>
      <c r="AJ60" s="95">
        <f>'Draw Calc (Hidden)'!AG42</f>
        <v>0</v>
      </c>
      <c r="AK60" s="95">
        <f>'Draw Calc (Hidden)'!AH42</f>
        <v>0</v>
      </c>
      <c r="AL60" s="95">
        <f>'Draw Calc (Hidden)'!AI42</f>
        <v>0</v>
      </c>
      <c r="AM60" s="95">
        <f>'Draw Calc (Hidden)'!AJ42</f>
        <v>0</v>
      </c>
      <c r="AN60" s="95">
        <f>'Draw Calc (Hidden)'!AK42</f>
        <v>0</v>
      </c>
      <c r="AO60" s="95">
        <f>'Draw Calc (Hidden)'!AL42</f>
        <v>0</v>
      </c>
    </row>
    <row r="61" spans="1:41" ht="15" customHeight="1" x14ac:dyDescent="0.2">
      <c r="A61" s="94" t="str">
        <f>'I_Budget Input Data'!B43</f>
        <v>3. HARD COSTS</v>
      </c>
      <c r="B61" s="94" t="str">
        <f>'I_Budget Input Data'!C43</f>
        <v>General conditions:Garbage containers</v>
      </c>
      <c r="C61" s="95">
        <f>'I_Budget Input Data'!D43</f>
        <v>87875</v>
      </c>
      <c r="D61" s="95">
        <f t="shared" si="2"/>
        <v>87875.000000000015</v>
      </c>
      <c r="E61" s="95">
        <f t="shared" si="3"/>
        <v>0</v>
      </c>
      <c r="F61" s="95">
        <f>'Draw Calc (Hidden)'!C43</f>
        <v>6759.6153846153848</v>
      </c>
      <c r="G61" s="95">
        <f>'Draw Calc (Hidden)'!D43</f>
        <v>6759.6153846153848</v>
      </c>
      <c r="H61" s="95">
        <f>'Draw Calc (Hidden)'!E43</f>
        <v>6759.6153846153848</v>
      </c>
      <c r="I61" s="95">
        <f>'Draw Calc (Hidden)'!F43</f>
        <v>6759.6153846153848</v>
      </c>
      <c r="J61" s="95">
        <f>'Draw Calc (Hidden)'!G43</f>
        <v>6759.6153846153848</v>
      </c>
      <c r="K61" s="95">
        <f>'Draw Calc (Hidden)'!H43</f>
        <v>6759.6153846153848</v>
      </c>
      <c r="L61" s="95">
        <f>'Draw Calc (Hidden)'!I43</f>
        <v>6759.6153846153848</v>
      </c>
      <c r="M61" s="95">
        <f>'Draw Calc (Hidden)'!J43</f>
        <v>6759.6153846153848</v>
      </c>
      <c r="N61" s="95">
        <f>'Draw Calc (Hidden)'!K43</f>
        <v>6759.6153846153848</v>
      </c>
      <c r="O61" s="95">
        <f>'Draw Calc (Hidden)'!L43</f>
        <v>6759.6153846153848</v>
      </c>
      <c r="P61" s="95">
        <f>'Draw Calc (Hidden)'!M43</f>
        <v>6759.6153846153848</v>
      </c>
      <c r="Q61" s="95">
        <f>'Draw Calc (Hidden)'!N43</f>
        <v>6759.6153846153848</v>
      </c>
      <c r="R61" s="95">
        <f>'Draw Calc (Hidden)'!O43</f>
        <v>6759.6153846153848</v>
      </c>
      <c r="S61" s="95">
        <f>'Draw Calc (Hidden)'!P43</f>
        <v>0</v>
      </c>
      <c r="T61" s="95">
        <f>'Draw Calc (Hidden)'!Q43</f>
        <v>0</v>
      </c>
      <c r="U61" s="95">
        <f>'Draw Calc (Hidden)'!R43</f>
        <v>0</v>
      </c>
      <c r="V61" s="95">
        <f>'Draw Calc (Hidden)'!S43</f>
        <v>0</v>
      </c>
      <c r="W61" s="95">
        <f>'Draw Calc (Hidden)'!T43</f>
        <v>0</v>
      </c>
      <c r="X61" s="95">
        <f>'Draw Calc (Hidden)'!U43</f>
        <v>0</v>
      </c>
      <c r="Y61" s="95">
        <f>'Draw Calc (Hidden)'!V43</f>
        <v>0</v>
      </c>
      <c r="Z61" s="95">
        <f>'Draw Calc (Hidden)'!W43</f>
        <v>0</v>
      </c>
      <c r="AA61" s="95">
        <f>'Draw Calc (Hidden)'!X43</f>
        <v>0</v>
      </c>
      <c r="AB61" s="95">
        <f>'Draw Calc (Hidden)'!Y43</f>
        <v>0</v>
      </c>
      <c r="AC61" s="95">
        <f>'Draw Calc (Hidden)'!Z43</f>
        <v>0</v>
      </c>
      <c r="AD61" s="95">
        <f>'Draw Calc (Hidden)'!AA43</f>
        <v>0</v>
      </c>
      <c r="AE61" s="95">
        <f>'Draw Calc (Hidden)'!AB43</f>
        <v>0</v>
      </c>
      <c r="AF61" s="95">
        <f>'Draw Calc (Hidden)'!AC43</f>
        <v>0</v>
      </c>
      <c r="AG61" s="95">
        <f>'Draw Calc (Hidden)'!AD43</f>
        <v>0</v>
      </c>
      <c r="AH61" s="95">
        <f>'Draw Calc (Hidden)'!AE43</f>
        <v>0</v>
      </c>
      <c r="AI61" s="95">
        <f>'Draw Calc (Hidden)'!AF43</f>
        <v>0</v>
      </c>
      <c r="AJ61" s="95">
        <f>'Draw Calc (Hidden)'!AG43</f>
        <v>0</v>
      </c>
      <c r="AK61" s="95">
        <f>'Draw Calc (Hidden)'!AH43</f>
        <v>0</v>
      </c>
      <c r="AL61" s="95">
        <f>'Draw Calc (Hidden)'!AI43</f>
        <v>0</v>
      </c>
      <c r="AM61" s="95">
        <f>'Draw Calc (Hidden)'!AJ43</f>
        <v>0</v>
      </c>
      <c r="AN61" s="95">
        <f>'Draw Calc (Hidden)'!AK43</f>
        <v>0</v>
      </c>
      <c r="AO61" s="95">
        <f>'Draw Calc (Hidden)'!AL43</f>
        <v>0</v>
      </c>
    </row>
    <row r="62" spans="1:41" ht="15" customHeight="1" x14ac:dyDescent="0.2">
      <c r="A62" s="94" t="str">
        <f>'I_Budget Input Data'!B44</f>
        <v>3. HARD COSTS</v>
      </c>
      <c r="B62" s="94" t="str">
        <f>'I_Budget Input Data'!C44</f>
        <v>General conditions:Site trailers - Rental</v>
      </c>
      <c r="C62" s="95">
        <f>'I_Budget Input Data'!D44</f>
        <v>51500</v>
      </c>
      <c r="D62" s="95">
        <f t="shared" si="2"/>
        <v>51500</v>
      </c>
      <c r="E62" s="95">
        <f t="shared" si="3"/>
        <v>0</v>
      </c>
      <c r="F62" s="95">
        <f>'Draw Calc (Hidden)'!C44</f>
        <v>3961.5384615384614</v>
      </c>
      <c r="G62" s="95">
        <f>'Draw Calc (Hidden)'!D44</f>
        <v>3961.5384615384614</v>
      </c>
      <c r="H62" s="95">
        <f>'Draw Calc (Hidden)'!E44</f>
        <v>3961.5384615384614</v>
      </c>
      <c r="I62" s="95">
        <f>'Draw Calc (Hidden)'!F44</f>
        <v>3961.5384615384614</v>
      </c>
      <c r="J62" s="95">
        <f>'Draw Calc (Hidden)'!G44</f>
        <v>3961.5384615384614</v>
      </c>
      <c r="K62" s="95">
        <f>'Draw Calc (Hidden)'!H44</f>
        <v>3961.5384615384614</v>
      </c>
      <c r="L62" s="95">
        <f>'Draw Calc (Hidden)'!I44</f>
        <v>3961.5384615384614</v>
      </c>
      <c r="M62" s="95">
        <f>'Draw Calc (Hidden)'!J44</f>
        <v>3961.5384615384614</v>
      </c>
      <c r="N62" s="95">
        <f>'Draw Calc (Hidden)'!K44</f>
        <v>3961.5384615384614</v>
      </c>
      <c r="O62" s="95">
        <f>'Draw Calc (Hidden)'!L44</f>
        <v>3961.5384615384614</v>
      </c>
      <c r="P62" s="95">
        <f>'Draw Calc (Hidden)'!M44</f>
        <v>3961.5384615384614</v>
      </c>
      <c r="Q62" s="95">
        <f>'Draw Calc (Hidden)'!N44</f>
        <v>3961.5384615384614</v>
      </c>
      <c r="R62" s="95">
        <f>'Draw Calc (Hidden)'!O44</f>
        <v>3961.5384615384614</v>
      </c>
      <c r="S62" s="95">
        <f>'Draw Calc (Hidden)'!P44</f>
        <v>0</v>
      </c>
      <c r="T62" s="95">
        <f>'Draw Calc (Hidden)'!Q44</f>
        <v>0</v>
      </c>
      <c r="U62" s="95">
        <f>'Draw Calc (Hidden)'!R44</f>
        <v>0</v>
      </c>
      <c r="V62" s="95">
        <f>'Draw Calc (Hidden)'!S44</f>
        <v>0</v>
      </c>
      <c r="W62" s="95">
        <f>'Draw Calc (Hidden)'!T44</f>
        <v>0</v>
      </c>
      <c r="X62" s="95">
        <f>'Draw Calc (Hidden)'!U44</f>
        <v>0</v>
      </c>
      <c r="Y62" s="95">
        <f>'Draw Calc (Hidden)'!V44</f>
        <v>0</v>
      </c>
      <c r="Z62" s="95">
        <f>'Draw Calc (Hidden)'!W44</f>
        <v>0</v>
      </c>
      <c r="AA62" s="95">
        <f>'Draw Calc (Hidden)'!X44</f>
        <v>0</v>
      </c>
      <c r="AB62" s="95">
        <f>'Draw Calc (Hidden)'!Y44</f>
        <v>0</v>
      </c>
      <c r="AC62" s="95">
        <f>'Draw Calc (Hidden)'!Z44</f>
        <v>0</v>
      </c>
      <c r="AD62" s="95">
        <f>'Draw Calc (Hidden)'!AA44</f>
        <v>0</v>
      </c>
      <c r="AE62" s="95">
        <f>'Draw Calc (Hidden)'!AB44</f>
        <v>0</v>
      </c>
      <c r="AF62" s="95">
        <f>'Draw Calc (Hidden)'!AC44</f>
        <v>0</v>
      </c>
      <c r="AG62" s="95">
        <f>'Draw Calc (Hidden)'!AD44</f>
        <v>0</v>
      </c>
      <c r="AH62" s="95">
        <f>'Draw Calc (Hidden)'!AE44</f>
        <v>0</v>
      </c>
      <c r="AI62" s="95">
        <f>'Draw Calc (Hidden)'!AF44</f>
        <v>0</v>
      </c>
      <c r="AJ62" s="95">
        <f>'Draw Calc (Hidden)'!AG44</f>
        <v>0</v>
      </c>
      <c r="AK62" s="95">
        <f>'Draw Calc (Hidden)'!AH44</f>
        <v>0</v>
      </c>
      <c r="AL62" s="95">
        <f>'Draw Calc (Hidden)'!AI44</f>
        <v>0</v>
      </c>
      <c r="AM62" s="95">
        <f>'Draw Calc (Hidden)'!AJ44</f>
        <v>0</v>
      </c>
      <c r="AN62" s="95">
        <f>'Draw Calc (Hidden)'!AK44</f>
        <v>0</v>
      </c>
      <c r="AO62" s="95">
        <f>'Draw Calc (Hidden)'!AL44</f>
        <v>0</v>
      </c>
    </row>
    <row r="63" spans="1:41" ht="15" customHeight="1" x14ac:dyDescent="0.2">
      <c r="A63" s="94" t="str">
        <f>'I_Budget Input Data'!B45</f>
        <v>3. HARD COSTS</v>
      </c>
      <c r="B63" s="94" t="str">
        <f>'I_Budget Input Data'!C45</f>
        <v>General conditions:Storage container rental</v>
      </c>
      <c r="C63" s="95">
        <f>'I_Budget Input Data'!D45</f>
        <v>8798</v>
      </c>
      <c r="D63" s="95">
        <f t="shared" si="2"/>
        <v>8797.9999999999982</v>
      </c>
      <c r="E63" s="95">
        <f t="shared" si="3"/>
        <v>0</v>
      </c>
      <c r="F63" s="95">
        <f>'Draw Calc (Hidden)'!C45</f>
        <v>676.76923076923072</v>
      </c>
      <c r="G63" s="95">
        <f>'Draw Calc (Hidden)'!D45</f>
        <v>676.76923076923072</v>
      </c>
      <c r="H63" s="95">
        <f>'Draw Calc (Hidden)'!E45</f>
        <v>676.76923076923072</v>
      </c>
      <c r="I63" s="95">
        <f>'Draw Calc (Hidden)'!F45</f>
        <v>676.76923076923072</v>
      </c>
      <c r="J63" s="95">
        <f>'Draw Calc (Hidden)'!G45</f>
        <v>676.76923076923072</v>
      </c>
      <c r="K63" s="95">
        <f>'Draw Calc (Hidden)'!H45</f>
        <v>676.76923076923072</v>
      </c>
      <c r="L63" s="95">
        <f>'Draw Calc (Hidden)'!I45</f>
        <v>676.76923076923072</v>
      </c>
      <c r="M63" s="95">
        <f>'Draw Calc (Hidden)'!J45</f>
        <v>676.76923076923072</v>
      </c>
      <c r="N63" s="95">
        <f>'Draw Calc (Hidden)'!K45</f>
        <v>676.76923076923072</v>
      </c>
      <c r="O63" s="95">
        <f>'Draw Calc (Hidden)'!L45</f>
        <v>676.76923076923072</v>
      </c>
      <c r="P63" s="95">
        <f>'Draw Calc (Hidden)'!M45</f>
        <v>676.76923076923072</v>
      </c>
      <c r="Q63" s="95">
        <f>'Draw Calc (Hidden)'!N45</f>
        <v>676.76923076923072</v>
      </c>
      <c r="R63" s="95">
        <f>'Draw Calc (Hidden)'!O45</f>
        <v>676.76923076923072</v>
      </c>
      <c r="S63" s="95">
        <f>'Draw Calc (Hidden)'!P45</f>
        <v>0</v>
      </c>
      <c r="T63" s="95">
        <f>'Draw Calc (Hidden)'!Q45</f>
        <v>0</v>
      </c>
      <c r="U63" s="95">
        <f>'Draw Calc (Hidden)'!R45</f>
        <v>0</v>
      </c>
      <c r="V63" s="95">
        <f>'Draw Calc (Hidden)'!S45</f>
        <v>0</v>
      </c>
      <c r="W63" s="95">
        <f>'Draw Calc (Hidden)'!T45</f>
        <v>0</v>
      </c>
      <c r="X63" s="95">
        <f>'Draw Calc (Hidden)'!U45</f>
        <v>0</v>
      </c>
      <c r="Y63" s="95">
        <f>'Draw Calc (Hidden)'!V45</f>
        <v>0</v>
      </c>
      <c r="Z63" s="95">
        <f>'Draw Calc (Hidden)'!W45</f>
        <v>0</v>
      </c>
      <c r="AA63" s="95">
        <f>'Draw Calc (Hidden)'!X45</f>
        <v>0</v>
      </c>
      <c r="AB63" s="95">
        <f>'Draw Calc (Hidden)'!Y45</f>
        <v>0</v>
      </c>
      <c r="AC63" s="95">
        <f>'Draw Calc (Hidden)'!Z45</f>
        <v>0</v>
      </c>
      <c r="AD63" s="95">
        <f>'Draw Calc (Hidden)'!AA45</f>
        <v>0</v>
      </c>
      <c r="AE63" s="95">
        <f>'Draw Calc (Hidden)'!AB45</f>
        <v>0</v>
      </c>
      <c r="AF63" s="95">
        <f>'Draw Calc (Hidden)'!AC45</f>
        <v>0</v>
      </c>
      <c r="AG63" s="95">
        <f>'Draw Calc (Hidden)'!AD45</f>
        <v>0</v>
      </c>
      <c r="AH63" s="95">
        <f>'Draw Calc (Hidden)'!AE45</f>
        <v>0</v>
      </c>
      <c r="AI63" s="95">
        <f>'Draw Calc (Hidden)'!AF45</f>
        <v>0</v>
      </c>
      <c r="AJ63" s="95">
        <f>'Draw Calc (Hidden)'!AG45</f>
        <v>0</v>
      </c>
      <c r="AK63" s="95">
        <f>'Draw Calc (Hidden)'!AH45</f>
        <v>0</v>
      </c>
      <c r="AL63" s="95">
        <f>'Draw Calc (Hidden)'!AI45</f>
        <v>0</v>
      </c>
      <c r="AM63" s="95">
        <f>'Draw Calc (Hidden)'!AJ45</f>
        <v>0</v>
      </c>
      <c r="AN63" s="95">
        <f>'Draw Calc (Hidden)'!AK45</f>
        <v>0</v>
      </c>
      <c r="AO63" s="95">
        <f>'Draw Calc (Hidden)'!AL45</f>
        <v>0</v>
      </c>
    </row>
    <row r="64" spans="1:41" ht="15" customHeight="1" x14ac:dyDescent="0.2">
      <c r="A64" s="94" t="str">
        <f>'I_Budget Input Data'!B46</f>
        <v>3. HARD COSTS</v>
      </c>
      <c r="B64" s="94" t="str">
        <f>'I_Budget Input Data'!C46</f>
        <v>General conditions:Sanitary trailer - Rental/Purchase - Portable Toilets</v>
      </c>
      <c r="C64" s="95">
        <f>'I_Budget Input Data'!D46</f>
        <v>56242</v>
      </c>
      <c r="D64" s="95">
        <f t="shared" si="2"/>
        <v>56242.000000000015</v>
      </c>
      <c r="E64" s="95">
        <f t="shared" si="3"/>
        <v>0</v>
      </c>
      <c r="F64" s="95">
        <f>'Draw Calc (Hidden)'!C46</f>
        <v>4326.3076923076924</v>
      </c>
      <c r="G64" s="95">
        <f>'Draw Calc (Hidden)'!D46</f>
        <v>4326.3076923076924</v>
      </c>
      <c r="H64" s="95">
        <f>'Draw Calc (Hidden)'!E46</f>
        <v>4326.3076923076924</v>
      </c>
      <c r="I64" s="95">
        <f>'Draw Calc (Hidden)'!F46</f>
        <v>4326.3076923076924</v>
      </c>
      <c r="J64" s="95">
        <f>'Draw Calc (Hidden)'!G46</f>
        <v>4326.3076923076924</v>
      </c>
      <c r="K64" s="95">
        <f>'Draw Calc (Hidden)'!H46</f>
        <v>4326.3076923076924</v>
      </c>
      <c r="L64" s="95">
        <f>'Draw Calc (Hidden)'!I46</f>
        <v>4326.3076923076924</v>
      </c>
      <c r="M64" s="95">
        <f>'Draw Calc (Hidden)'!J46</f>
        <v>4326.3076923076924</v>
      </c>
      <c r="N64" s="95">
        <f>'Draw Calc (Hidden)'!K46</f>
        <v>4326.3076923076924</v>
      </c>
      <c r="O64" s="95">
        <f>'Draw Calc (Hidden)'!L46</f>
        <v>4326.3076923076924</v>
      </c>
      <c r="P64" s="95">
        <f>'Draw Calc (Hidden)'!M46</f>
        <v>4326.3076923076924</v>
      </c>
      <c r="Q64" s="95">
        <f>'Draw Calc (Hidden)'!N46</f>
        <v>4326.3076923076924</v>
      </c>
      <c r="R64" s="95">
        <f>'Draw Calc (Hidden)'!O46</f>
        <v>4326.3076923076924</v>
      </c>
      <c r="S64" s="95">
        <f>'Draw Calc (Hidden)'!P46</f>
        <v>0</v>
      </c>
      <c r="T64" s="95">
        <f>'Draw Calc (Hidden)'!Q46</f>
        <v>0</v>
      </c>
      <c r="U64" s="95">
        <f>'Draw Calc (Hidden)'!R46</f>
        <v>0</v>
      </c>
      <c r="V64" s="95">
        <f>'Draw Calc (Hidden)'!S46</f>
        <v>0</v>
      </c>
      <c r="W64" s="95">
        <f>'Draw Calc (Hidden)'!T46</f>
        <v>0</v>
      </c>
      <c r="X64" s="95">
        <f>'Draw Calc (Hidden)'!U46</f>
        <v>0</v>
      </c>
      <c r="Y64" s="95">
        <f>'Draw Calc (Hidden)'!V46</f>
        <v>0</v>
      </c>
      <c r="Z64" s="95">
        <f>'Draw Calc (Hidden)'!W46</f>
        <v>0</v>
      </c>
      <c r="AA64" s="95">
        <f>'Draw Calc (Hidden)'!X46</f>
        <v>0</v>
      </c>
      <c r="AB64" s="95">
        <f>'Draw Calc (Hidden)'!Y46</f>
        <v>0</v>
      </c>
      <c r="AC64" s="95">
        <f>'Draw Calc (Hidden)'!Z46</f>
        <v>0</v>
      </c>
      <c r="AD64" s="95">
        <f>'Draw Calc (Hidden)'!AA46</f>
        <v>0</v>
      </c>
      <c r="AE64" s="95">
        <f>'Draw Calc (Hidden)'!AB46</f>
        <v>0</v>
      </c>
      <c r="AF64" s="95">
        <f>'Draw Calc (Hidden)'!AC46</f>
        <v>0</v>
      </c>
      <c r="AG64" s="95">
        <f>'Draw Calc (Hidden)'!AD46</f>
        <v>0</v>
      </c>
      <c r="AH64" s="95">
        <f>'Draw Calc (Hidden)'!AE46</f>
        <v>0</v>
      </c>
      <c r="AI64" s="95">
        <f>'Draw Calc (Hidden)'!AF46</f>
        <v>0</v>
      </c>
      <c r="AJ64" s="95">
        <f>'Draw Calc (Hidden)'!AG46</f>
        <v>0</v>
      </c>
      <c r="AK64" s="95">
        <f>'Draw Calc (Hidden)'!AH46</f>
        <v>0</v>
      </c>
      <c r="AL64" s="95">
        <f>'Draw Calc (Hidden)'!AI46</f>
        <v>0</v>
      </c>
      <c r="AM64" s="95">
        <f>'Draw Calc (Hidden)'!AJ46</f>
        <v>0</v>
      </c>
      <c r="AN64" s="95">
        <f>'Draw Calc (Hidden)'!AK46</f>
        <v>0</v>
      </c>
      <c r="AO64" s="95">
        <f>'Draw Calc (Hidden)'!AL46</f>
        <v>0</v>
      </c>
    </row>
    <row r="65" spans="1:41" ht="15" customHeight="1" x14ac:dyDescent="0.2">
      <c r="A65" s="94" t="str">
        <f>'I_Budget Input Data'!B47</f>
        <v>3. HARD COSTS</v>
      </c>
      <c r="B65" s="94" t="str">
        <f>'I_Budget Input Data'!C47</f>
        <v>General conditions:Winter conditions</v>
      </c>
      <c r="C65" s="95">
        <f>'I_Budget Input Data'!D47</f>
        <v>881840</v>
      </c>
      <c r="D65" s="95">
        <f t="shared" si="2"/>
        <v>881839.99999999977</v>
      </c>
      <c r="E65" s="95">
        <f t="shared" si="3"/>
        <v>0</v>
      </c>
      <c r="F65" s="95">
        <f>'Draw Calc (Hidden)'!C47</f>
        <v>67833.846153846156</v>
      </c>
      <c r="G65" s="95">
        <f>'Draw Calc (Hidden)'!D47</f>
        <v>67833.846153846156</v>
      </c>
      <c r="H65" s="95">
        <f>'Draw Calc (Hidden)'!E47</f>
        <v>67833.846153846156</v>
      </c>
      <c r="I65" s="95">
        <f>'Draw Calc (Hidden)'!F47</f>
        <v>67833.846153846156</v>
      </c>
      <c r="J65" s="95">
        <f>'Draw Calc (Hidden)'!G47</f>
        <v>67833.846153846156</v>
      </c>
      <c r="K65" s="95">
        <f>'Draw Calc (Hidden)'!H47</f>
        <v>67833.846153846156</v>
      </c>
      <c r="L65" s="95">
        <f>'Draw Calc (Hidden)'!I47</f>
        <v>67833.846153846156</v>
      </c>
      <c r="M65" s="95">
        <f>'Draw Calc (Hidden)'!J47</f>
        <v>67833.846153846156</v>
      </c>
      <c r="N65" s="95">
        <f>'Draw Calc (Hidden)'!K47</f>
        <v>67833.846153846156</v>
      </c>
      <c r="O65" s="95">
        <f>'Draw Calc (Hidden)'!L47</f>
        <v>67833.846153846156</v>
      </c>
      <c r="P65" s="95">
        <f>'Draw Calc (Hidden)'!M47</f>
        <v>67833.846153846156</v>
      </c>
      <c r="Q65" s="95">
        <f>'Draw Calc (Hidden)'!N47</f>
        <v>67833.846153846156</v>
      </c>
      <c r="R65" s="95">
        <f>'Draw Calc (Hidden)'!O47</f>
        <v>67833.846153846156</v>
      </c>
      <c r="S65" s="95">
        <f>'Draw Calc (Hidden)'!P47</f>
        <v>0</v>
      </c>
      <c r="T65" s="95">
        <f>'Draw Calc (Hidden)'!Q47</f>
        <v>0</v>
      </c>
      <c r="U65" s="95">
        <f>'Draw Calc (Hidden)'!R47</f>
        <v>0</v>
      </c>
      <c r="V65" s="95">
        <f>'Draw Calc (Hidden)'!S47</f>
        <v>0</v>
      </c>
      <c r="W65" s="95">
        <f>'Draw Calc (Hidden)'!T47</f>
        <v>0</v>
      </c>
      <c r="X65" s="95">
        <f>'Draw Calc (Hidden)'!U47</f>
        <v>0</v>
      </c>
      <c r="Y65" s="95">
        <f>'Draw Calc (Hidden)'!V47</f>
        <v>0</v>
      </c>
      <c r="Z65" s="95">
        <f>'Draw Calc (Hidden)'!W47</f>
        <v>0</v>
      </c>
      <c r="AA65" s="95">
        <f>'Draw Calc (Hidden)'!X47</f>
        <v>0</v>
      </c>
      <c r="AB65" s="95">
        <f>'Draw Calc (Hidden)'!Y47</f>
        <v>0</v>
      </c>
      <c r="AC65" s="95">
        <f>'Draw Calc (Hidden)'!Z47</f>
        <v>0</v>
      </c>
      <c r="AD65" s="95">
        <f>'Draw Calc (Hidden)'!AA47</f>
        <v>0</v>
      </c>
      <c r="AE65" s="95">
        <f>'Draw Calc (Hidden)'!AB47</f>
        <v>0</v>
      </c>
      <c r="AF65" s="95">
        <f>'Draw Calc (Hidden)'!AC47</f>
        <v>0</v>
      </c>
      <c r="AG65" s="95">
        <f>'Draw Calc (Hidden)'!AD47</f>
        <v>0</v>
      </c>
      <c r="AH65" s="95">
        <f>'Draw Calc (Hidden)'!AE47</f>
        <v>0</v>
      </c>
      <c r="AI65" s="95">
        <f>'Draw Calc (Hidden)'!AF47</f>
        <v>0</v>
      </c>
      <c r="AJ65" s="95">
        <f>'Draw Calc (Hidden)'!AG47</f>
        <v>0</v>
      </c>
      <c r="AK65" s="95">
        <f>'Draw Calc (Hidden)'!AH47</f>
        <v>0</v>
      </c>
      <c r="AL65" s="95">
        <f>'Draw Calc (Hidden)'!AI47</f>
        <v>0</v>
      </c>
      <c r="AM65" s="95">
        <f>'Draw Calc (Hidden)'!AJ47</f>
        <v>0</v>
      </c>
      <c r="AN65" s="95">
        <f>'Draw Calc (Hidden)'!AK47</f>
        <v>0</v>
      </c>
      <c r="AO65" s="95">
        <f>'Draw Calc (Hidden)'!AL47</f>
        <v>0</v>
      </c>
    </row>
    <row r="66" spans="1:41" ht="15" customHeight="1" x14ac:dyDescent="0.2">
      <c r="A66" s="94" t="str">
        <f>'I_Budget Input Data'!B48</f>
        <v>3. HARD COSTS</v>
      </c>
      <c r="B66" s="94" t="str">
        <f>'I_Budget Input Data'!C48</f>
        <v>General conditions:Camera Security - Equipement</v>
      </c>
      <c r="C66" s="95">
        <f>'I_Budget Input Data'!D48</f>
        <v>29000</v>
      </c>
      <c r="D66" s="95">
        <f t="shared" si="2"/>
        <v>29000</v>
      </c>
      <c r="E66" s="95">
        <f t="shared" si="3"/>
        <v>0</v>
      </c>
      <c r="F66" s="95">
        <f>'Draw Calc (Hidden)'!C48</f>
        <v>2230.7692307692309</v>
      </c>
      <c r="G66" s="95">
        <f>'Draw Calc (Hidden)'!D48</f>
        <v>2230.7692307692309</v>
      </c>
      <c r="H66" s="95">
        <f>'Draw Calc (Hidden)'!E48</f>
        <v>2230.7692307692309</v>
      </c>
      <c r="I66" s="95">
        <f>'Draw Calc (Hidden)'!F48</f>
        <v>2230.7692307692309</v>
      </c>
      <c r="J66" s="95">
        <f>'Draw Calc (Hidden)'!G48</f>
        <v>2230.7692307692309</v>
      </c>
      <c r="K66" s="95">
        <f>'Draw Calc (Hidden)'!H48</f>
        <v>2230.7692307692309</v>
      </c>
      <c r="L66" s="95">
        <f>'Draw Calc (Hidden)'!I48</f>
        <v>2230.7692307692309</v>
      </c>
      <c r="M66" s="95">
        <f>'Draw Calc (Hidden)'!J48</f>
        <v>2230.7692307692309</v>
      </c>
      <c r="N66" s="95">
        <f>'Draw Calc (Hidden)'!K48</f>
        <v>2230.7692307692309</v>
      </c>
      <c r="O66" s="95">
        <f>'Draw Calc (Hidden)'!L48</f>
        <v>2230.7692307692309</v>
      </c>
      <c r="P66" s="95">
        <f>'Draw Calc (Hidden)'!M48</f>
        <v>2230.7692307692309</v>
      </c>
      <c r="Q66" s="95">
        <f>'Draw Calc (Hidden)'!N48</f>
        <v>2230.7692307692309</v>
      </c>
      <c r="R66" s="95">
        <f>'Draw Calc (Hidden)'!O48</f>
        <v>2230.7692307692309</v>
      </c>
      <c r="S66" s="95">
        <f>'Draw Calc (Hidden)'!P48</f>
        <v>0</v>
      </c>
      <c r="T66" s="95">
        <f>'Draw Calc (Hidden)'!Q48</f>
        <v>0</v>
      </c>
      <c r="U66" s="95">
        <f>'Draw Calc (Hidden)'!R48</f>
        <v>0</v>
      </c>
      <c r="V66" s="95">
        <f>'Draw Calc (Hidden)'!S48</f>
        <v>0</v>
      </c>
      <c r="W66" s="95">
        <f>'Draw Calc (Hidden)'!T48</f>
        <v>0</v>
      </c>
      <c r="X66" s="95">
        <f>'Draw Calc (Hidden)'!U48</f>
        <v>0</v>
      </c>
      <c r="Y66" s="95">
        <f>'Draw Calc (Hidden)'!V48</f>
        <v>0</v>
      </c>
      <c r="Z66" s="95">
        <f>'Draw Calc (Hidden)'!W48</f>
        <v>0</v>
      </c>
      <c r="AA66" s="95">
        <f>'Draw Calc (Hidden)'!X48</f>
        <v>0</v>
      </c>
      <c r="AB66" s="95">
        <f>'Draw Calc (Hidden)'!Y48</f>
        <v>0</v>
      </c>
      <c r="AC66" s="95">
        <f>'Draw Calc (Hidden)'!Z48</f>
        <v>0</v>
      </c>
      <c r="AD66" s="95">
        <f>'Draw Calc (Hidden)'!AA48</f>
        <v>0</v>
      </c>
      <c r="AE66" s="95">
        <f>'Draw Calc (Hidden)'!AB48</f>
        <v>0</v>
      </c>
      <c r="AF66" s="95">
        <f>'Draw Calc (Hidden)'!AC48</f>
        <v>0</v>
      </c>
      <c r="AG66" s="95">
        <f>'Draw Calc (Hidden)'!AD48</f>
        <v>0</v>
      </c>
      <c r="AH66" s="95">
        <f>'Draw Calc (Hidden)'!AE48</f>
        <v>0</v>
      </c>
      <c r="AI66" s="95">
        <f>'Draw Calc (Hidden)'!AF48</f>
        <v>0</v>
      </c>
      <c r="AJ66" s="95">
        <f>'Draw Calc (Hidden)'!AG48</f>
        <v>0</v>
      </c>
      <c r="AK66" s="95">
        <f>'Draw Calc (Hidden)'!AH48</f>
        <v>0</v>
      </c>
      <c r="AL66" s="95">
        <f>'Draw Calc (Hidden)'!AI48</f>
        <v>0</v>
      </c>
      <c r="AM66" s="95">
        <f>'Draw Calc (Hidden)'!AJ48</f>
        <v>0</v>
      </c>
      <c r="AN66" s="95">
        <f>'Draw Calc (Hidden)'!AK48</f>
        <v>0</v>
      </c>
      <c r="AO66" s="95">
        <f>'Draw Calc (Hidden)'!AL48</f>
        <v>0</v>
      </c>
    </row>
    <row r="67" spans="1:41" ht="15" customHeight="1" x14ac:dyDescent="0.2">
      <c r="A67" s="94" t="str">
        <f>'I_Budget Input Data'!B49</f>
        <v>3. HARD COSTS</v>
      </c>
      <c r="B67" s="94" t="str">
        <f>'I_Budget Input Data'!C49</f>
        <v>General conditions:Camera Security - Monthly surveillance fees</v>
      </c>
      <c r="C67" s="95">
        <f>'I_Budget Input Data'!D49</f>
        <v>0</v>
      </c>
      <c r="D67" s="95">
        <f t="shared" si="2"/>
        <v>0</v>
      </c>
      <c r="E67" s="95">
        <f t="shared" si="3"/>
        <v>0</v>
      </c>
      <c r="F67" s="95">
        <f>'Draw Calc (Hidden)'!C49</f>
        <v>0</v>
      </c>
      <c r="G67" s="95">
        <f>'Draw Calc (Hidden)'!D49</f>
        <v>0</v>
      </c>
      <c r="H67" s="95">
        <f>'Draw Calc (Hidden)'!E49</f>
        <v>0</v>
      </c>
      <c r="I67" s="95">
        <f>'Draw Calc (Hidden)'!F49</f>
        <v>0</v>
      </c>
      <c r="J67" s="95">
        <f>'Draw Calc (Hidden)'!G49</f>
        <v>0</v>
      </c>
      <c r="K67" s="95">
        <f>'Draw Calc (Hidden)'!H49</f>
        <v>0</v>
      </c>
      <c r="L67" s="95">
        <f>'Draw Calc (Hidden)'!I49</f>
        <v>0</v>
      </c>
      <c r="M67" s="95">
        <f>'Draw Calc (Hidden)'!J49</f>
        <v>0</v>
      </c>
      <c r="N67" s="95">
        <f>'Draw Calc (Hidden)'!K49</f>
        <v>0</v>
      </c>
      <c r="O67" s="95">
        <f>'Draw Calc (Hidden)'!L49</f>
        <v>0</v>
      </c>
      <c r="P67" s="95">
        <f>'Draw Calc (Hidden)'!M49</f>
        <v>0</v>
      </c>
      <c r="Q67" s="95">
        <f>'Draw Calc (Hidden)'!N49</f>
        <v>0</v>
      </c>
      <c r="R67" s="95">
        <f>'Draw Calc (Hidden)'!O49</f>
        <v>0</v>
      </c>
      <c r="S67" s="95">
        <f>'Draw Calc (Hidden)'!P49</f>
        <v>0</v>
      </c>
      <c r="T67" s="95">
        <f>'Draw Calc (Hidden)'!Q49</f>
        <v>0</v>
      </c>
      <c r="U67" s="95">
        <f>'Draw Calc (Hidden)'!R49</f>
        <v>0</v>
      </c>
      <c r="V67" s="95">
        <f>'Draw Calc (Hidden)'!S49</f>
        <v>0</v>
      </c>
      <c r="W67" s="95">
        <f>'Draw Calc (Hidden)'!T49</f>
        <v>0</v>
      </c>
      <c r="X67" s="95">
        <f>'Draw Calc (Hidden)'!U49</f>
        <v>0</v>
      </c>
      <c r="Y67" s="95">
        <f>'Draw Calc (Hidden)'!V49</f>
        <v>0</v>
      </c>
      <c r="Z67" s="95">
        <f>'Draw Calc (Hidden)'!W49</f>
        <v>0</v>
      </c>
      <c r="AA67" s="95">
        <f>'Draw Calc (Hidden)'!X49</f>
        <v>0</v>
      </c>
      <c r="AB67" s="95">
        <f>'Draw Calc (Hidden)'!Y49</f>
        <v>0</v>
      </c>
      <c r="AC67" s="95">
        <f>'Draw Calc (Hidden)'!Z49</f>
        <v>0</v>
      </c>
      <c r="AD67" s="95">
        <f>'Draw Calc (Hidden)'!AA49</f>
        <v>0</v>
      </c>
      <c r="AE67" s="95">
        <f>'Draw Calc (Hidden)'!AB49</f>
        <v>0</v>
      </c>
      <c r="AF67" s="95">
        <f>'Draw Calc (Hidden)'!AC49</f>
        <v>0</v>
      </c>
      <c r="AG67" s="95">
        <f>'Draw Calc (Hidden)'!AD49</f>
        <v>0</v>
      </c>
      <c r="AH67" s="95">
        <f>'Draw Calc (Hidden)'!AE49</f>
        <v>0</v>
      </c>
      <c r="AI67" s="95">
        <f>'Draw Calc (Hidden)'!AF49</f>
        <v>0</v>
      </c>
      <c r="AJ67" s="95">
        <f>'Draw Calc (Hidden)'!AG49</f>
        <v>0</v>
      </c>
      <c r="AK67" s="95">
        <f>'Draw Calc (Hidden)'!AH49</f>
        <v>0</v>
      </c>
      <c r="AL67" s="95">
        <f>'Draw Calc (Hidden)'!AI49</f>
        <v>0</v>
      </c>
      <c r="AM67" s="95">
        <f>'Draw Calc (Hidden)'!AJ49</f>
        <v>0</v>
      </c>
      <c r="AN67" s="95">
        <f>'Draw Calc (Hidden)'!AK49</f>
        <v>0</v>
      </c>
      <c r="AO67" s="95">
        <f>'Draw Calc (Hidden)'!AL49</f>
        <v>0</v>
      </c>
    </row>
    <row r="68" spans="1:41" ht="15" customHeight="1" x14ac:dyDescent="0.2">
      <c r="A68" s="94" t="str">
        <f>'I_Budget Input Data'!B50</f>
        <v>3. HARD COSTS</v>
      </c>
      <c r="B68" s="94" t="str">
        <f>'I_Budget Input Data'!C50</f>
        <v>General conditions:Temporary Electrical - Installation</v>
      </c>
      <c r="C68" s="95">
        <f>'I_Budget Input Data'!D50</f>
        <v>147967</v>
      </c>
      <c r="D68" s="95">
        <f t="shared" si="2"/>
        <v>147967.00000000003</v>
      </c>
      <c r="E68" s="95">
        <f t="shared" si="3"/>
        <v>0</v>
      </c>
      <c r="F68" s="95">
        <f>'Draw Calc (Hidden)'!C50</f>
        <v>11382.076923076924</v>
      </c>
      <c r="G68" s="95">
        <f>'Draw Calc (Hidden)'!D50</f>
        <v>11382.076923076924</v>
      </c>
      <c r="H68" s="95">
        <f>'Draw Calc (Hidden)'!E50</f>
        <v>11382.076923076924</v>
      </c>
      <c r="I68" s="95">
        <f>'Draw Calc (Hidden)'!F50</f>
        <v>11382.076923076924</v>
      </c>
      <c r="J68" s="95">
        <f>'Draw Calc (Hidden)'!G50</f>
        <v>11382.076923076924</v>
      </c>
      <c r="K68" s="95">
        <f>'Draw Calc (Hidden)'!H50</f>
        <v>11382.076923076924</v>
      </c>
      <c r="L68" s="95">
        <f>'Draw Calc (Hidden)'!I50</f>
        <v>11382.076923076924</v>
      </c>
      <c r="M68" s="95">
        <f>'Draw Calc (Hidden)'!J50</f>
        <v>11382.076923076924</v>
      </c>
      <c r="N68" s="95">
        <f>'Draw Calc (Hidden)'!K50</f>
        <v>11382.076923076924</v>
      </c>
      <c r="O68" s="95">
        <f>'Draw Calc (Hidden)'!L50</f>
        <v>11382.076923076924</v>
      </c>
      <c r="P68" s="95">
        <f>'Draw Calc (Hidden)'!M50</f>
        <v>11382.076923076924</v>
      </c>
      <c r="Q68" s="95">
        <f>'Draw Calc (Hidden)'!N50</f>
        <v>11382.076923076924</v>
      </c>
      <c r="R68" s="95">
        <f>'Draw Calc (Hidden)'!O50</f>
        <v>11382.076923076924</v>
      </c>
      <c r="S68" s="95">
        <f>'Draw Calc (Hidden)'!P50</f>
        <v>0</v>
      </c>
      <c r="T68" s="95">
        <f>'Draw Calc (Hidden)'!Q50</f>
        <v>0</v>
      </c>
      <c r="U68" s="95">
        <f>'Draw Calc (Hidden)'!R50</f>
        <v>0</v>
      </c>
      <c r="V68" s="95">
        <f>'Draw Calc (Hidden)'!S50</f>
        <v>0</v>
      </c>
      <c r="W68" s="95">
        <f>'Draw Calc (Hidden)'!T50</f>
        <v>0</v>
      </c>
      <c r="X68" s="95">
        <f>'Draw Calc (Hidden)'!U50</f>
        <v>0</v>
      </c>
      <c r="Y68" s="95">
        <f>'Draw Calc (Hidden)'!V50</f>
        <v>0</v>
      </c>
      <c r="Z68" s="95">
        <f>'Draw Calc (Hidden)'!W50</f>
        <v>0</v>
      </c>
      <c r="AA68" s="95">
        <f>'Draw Calc (Hidden)'!X50</f>
        <v>0</v>
      </c>
      <c r="AB68" s="95">
        <f>'Draw Calc (Hidden)'!Y50</f>
        <v>0</v>
      </c>
      <c r="AC68" s="95">
        <f>'Draw Calc (Hidden)'!Z50</f>
        <v>0</v>
      </c>
      <c r="AD68" s="95">
        <f>'Draw Calc (Hidden)'!AA50</f>
        <v>0</v>
      </c>
      <c r="AE68" s="95">
        <f>'Draw Calc (Hidden)'!AB50</f>
        <v>0</v>
      </c>
      <c r="AF68" s="95">
        <f>'Draw Calc (Hidden)'!AC50</f>
        <v>0</v>
      </c>
      <c r="AG68" s="95">
        <f>'Draw Calc (Hidden)'!AD50</f>
        <v>0</v>
      </c>
      <c r="AH68" s="95">
        <f>'Draw Calc (Hidden)'!AE50</f>
        <v>0</v>
      </c>
      <c r="AI68" s="95">
        <f>'Draw Calc (Hidden)'!AF50</f>
        <v>0</v>
      </c>
      <c r="AJ68" s="95">
        <f>'Draw Calc (Hidden)'!AG50</f>
        <v>0</v>
      </c>
      <c r="AK68" s="95">
        <f>'Draw Calc (Hidden)'!AH50</f>
        <v>0</v>
      </c>
      <c r="AL68" s="95">
        <f>'Draw Calc (Hidden)'!AI50</f>
        <v>0</v>
      </c>
      <c r="AM68" s="95">
        <f>'Draw Calc (Hidden)'!AJ50</f>
        <v>0</v>
      </c>
      <c r="AN68" s="95">
        <f>'Draw Calc (Hidden)'!AK50</f>
        <v>0</v>
      </c>
      <c r="AO68" s="95">
        <f>'Draw Calc (Hidden)'!AL50</f>
        <v>0</v>
      </c>
    </row>
    <row r="69" spans="1:41" ht="15" customHeight="1" x14ac:dyDescent="0.2">
      <c r="A69" s="94" t="str">
        <f>'I_Budget Input Data'!B51</f>
        <v>3. HARD COSTS</v>
      </c>
      <c r="B69" s="94" t="str">
        <f>'I_Budget Input Data'!C51</f>
        <v>General conditions:Temporary Electrical - Consumption</v>
      </c>
      <c r="C69" s="95">
        <f>'I_Budget Input Data'!D51</f>
        <v>0</v>
      </c>
      <c r="D69" s="95">
        <f t="shared" si="2"/>
        <v>0</v>
      </c>
      <c r="E69" s="95">
        <f t="shared" si="3"/>
        <v>0</v>
      </c>
      <c r="F69" s="95">
        <f>'Draw Calc (Hidden)'!C51</f>
        <v>0</v>
      </c>
      <c r="G69" s="95">
        <f>'Draw Calc (Hidden)'!D51</f>
        <v>0</v>
      </c>
      <c r="H69" s="95">
        <f>'Draw Calc (Hidden)'!E51</f>
        <v>0</v>
      </c>
      <c r="I69" s="95">
        <f>'Draw Calc (Hidden)'!F51</f>
        <v>0</v>
      </c>
      <c r="J69" s="95">
        <f>'Draw Calc (Hidden)'!G51</f>
        <v>0</v>
      </c>
      <c r="K69" s="95">
        <f>'Draw Calc (Hidden)'!H51</f>
        <v>0</v>
      </c>
      <c r="L69" s="95">
        <f>'Draw Calc (Hidden)'!I51</f>
        <v>0</v>
      </c>
      <c r="M69" s="95">
        <f>'Draw Calc (Hidden)'!J51</f>
        <v>0</v>
      </c>
      <c r="N69" s="95">
        <f>'Draw Calc (Hidden)'!K51</f>
        <v>0</v>
      </c>
      <c r="O69" s="95">
        <f>'Draw Calc (Hidden)'!L51</f>
        <v>0</v>
      </c>
      <c r="P69" s="95">
        <f>'Draw Calc (Hidden)'!M51</f>
        <v>0</v>
      </c>
      <c r="Q69" s="95">
        <f>'Draw Calc (Hidden)'!N51</f>
        <v>0</v>
      </c>
      <c r="R69" s="95">
        <f>'Draw Calc (Hidden)'!O51</f>
        <v>0</v>
      </c>
      <c r="S69" s="95">
        <f>'Draw Calc (Hidden)'!P51</f>
        <v>0</v>
      </c>
      <c r="T69" s="95">
        <f>'Draw Calc (Hidden)'!Q51</f>
        <v>0</v>
      </c>
      <c r="U69" s="95">
        <f>'Draw Calc (Hidden)'!R51</f>
        <v>0</v>
      </c>
      <c r="V69" s="95">
        <f>'Draw Calc (Hidden)'!S51</f>
        <v>0</v>
      </c>
      <c r="W69" s="95">
        <f>'Draw Calc (Hidden)'!T51</f>
        <v>0</v>
      </c>
      <c r="X69" s="95">
        <f>'Draw Calc (Hidden)'!U51</f>
        <v>0</v>
      </c>
      <c r="Y69" s="95">
        <f>'Draw Calc (Hidden)'!V51</f>
        <v>0</v>
      </c>
      <c r="Z69" s="95">
        <f>'Draw Calc (Hidden)'!W51</f>
        <v>0</v>
      </c>
      <c r="AA69" s="95">
        <f>'Draw Calc (Hidden)'!X51</f>
        <v>0</v>
      </c>
      <c r="AB69" s="95">
        <f>'Draw Calc (Hidden)'!Y51</f>
        <v>0</v>
      </c>
      <c r="AC69" s="95">
        <f>'Draw Calc (Hidden)'!Z51</f>
        <v>0</v>
      </c>
      <c r="AD69" s="95">
        <f>'Draw Calc (Hidden)'!AA51</f>
        <v>0</v>
      </c>
      <c r="AE69" s="95">
        <f>'Draw Calc (Hidden)'!AB51</f>
        <v>0</v>
      </c>
      <c r="AF69" s="95">
        <f>'Draw Calc (Hidden)'!AC51</f>
        <v>0</v>
      </c>
      <c r="AG69" s="95">
        <f>'Draw Calc (Hidden)'!AD51</f>
        <v>0</v>
      </c>
      <c r="AH69" s="95">
        <f>'Draw Calc (Hidden)'!AE51</f>
        <v>0</v>
      </c>
      <c r="AI69" s="95">
        <f>'Draw Calc (Hidden)'!AF51</f>
        <v>0</v>
      </c>
      <c r="AJ69" s="95">
        <f>'Draw Calc (Hidden)'!AG51</f>
        <v>0</v>
      </c>
      <c r="AK69" s="95">
        <f>'Draw Calc (Hidden)'!AH51</f>
        <v>0</v>
      </c>
      <c r="AL69" s="95">
        <f>'Draw Calc (Hidden)'!AI51</f>
        <v>0</v>
      </c>
      <c r="AM69" s="95">
        <f>'Draw Calc (Hidden)'!AJ51</f>
        <v>0</v>
      </c>
      <c r="AN69" s="95">
        <f>'Draw Calc (Hidden)'!AK51</f>
        <v>0</v>
      </c>
      <c r="AO69" s="95">
        <f>'Draw Calc (Hidden)'!AL51</f>
        <v>0</v>
      </c>
    </row>
    <row r="70" spans="1:41" ht="15" customHeight="1" x14ac:dyDescent="0.2">
      <c r="A70" s="94" t="str">
        <f>'I_Budget Input Data'!B52</f>
        <v>3. HARD COSTS</v>
      </c>
      <c r="B70" s="94" t="str">
        <f>'I_Budget Input Data'!C52</f>
        <v>General conditions:Trailer &amp; WC maintenance</v>
      </c>
      <c r="C70" s="95">
        <f>'I_Budget Input Data'!D52</f>
        <v>6500</v>
      </c>
      <c r="D70" s="95">
        <f t="shared" si="2"/>
        <v>6500</v>
      </c>
      <c r="E70" s="95">
        <f t="shared" si="3"/>
        <v>0</v>
      </c>
      <c r="F70" s="95">
        <f>'Draw Calc (Hidden)'!C52</f>
        <v>500</v>
      </c>
      <c r="G70" s="95">
        <f>'Draw Calc (Hidden)'!D52</f>
        <v>500</v>
      </c>
      <c r="H70" s="95">
        <f>'Draw Calc (Hidden)'!E52</f>
        <v>500</v>
      </c>
      <c r="I70" s="95">
        <f>'Draw Calc (Hidden)'!F52</f>
        <v>500</v>
      </c>
      <c r="J70" s="95">
        <f>'Draw Calc (Hidden)'!G52</f>
        <v>500</v>
      </c>
      <c r="K70" s="95">
        <f>'Draw Calc (Hidden)'!H52</f>
        <v>500</v>
      </c>
      <c r="L70" s="95">
        <f>'Draw Calc (Hidden)'!I52</f>
        <v>500</v>
      </c>
      <c r="M70" s="95">
        <f>'Draw Calc (Hidden)'!J52</f>
        <v>500</v>
      </c>
      <c r="N70" s="95">
        <f>'Draw Calc (Hidden)'!K52</f>
        <v>500</v>
      </c>
      <c r="O70" s="95">
        <f>'Draw Calc (Hidden)'!L52</f>
        <v>500</v>
      </c>
      <c r="P70" s="95">
        <f>'Draw Calc (Hidden)'!M52</f>
        <v>500</v>
      </c>
      <c r="Q70" s="95">
        <f>'Draw Calc (Hidden)'!N52</f>
        <v>500</v>
      </c>
      <c r="R70" s="95">
        <f>'Draw Calc (Hidden)'!O52</f>
        <v>500</v>
      </c>
      <c r="S70" s="95">
        <f>'Draw Calc (Hidden)'!P52</f>
        <v>0</v>
      </c>
      <c r="T70" s="95">
        <f>'Draw Calc (Hidden)'!Q52</f>
        <v>0</v>
      </c>
      <c r="U70" s="95">
        <f>'Draw Calc (Hidden)'!R52</f>
        <v>0</v>
      </c>
      <c r="V70" s="95">
        <f>'Draw Calc (Hidden)'!S52</f>
        <v>0</v>
      </c>
      <c r="W70" s="95">
        <f>'Draw Calc (Hidden)'!T52</f>
        <v>0</v>
      </c>
      <c r="X70" s="95">
        <f>'Draw Calc (Hidden)'!U52</f>
        <v>0</v>
      </c>
      <c r="Y70" s="95">
        <f>'Draw Calc (Hidden)'!V52</f>
        <v>0</v>
      </c>
      <c r="Z70" s="95">
        <f>'Draw Calc (Hidden)'!W52</f>
        <v>0</v>
      </c>
      <c r="AA70" s="95">
        <f>'Draw Calc (Hidden)'!X52</f>
        <v>0</v>
      </c>
      <c r="AB70" s="95">
        <f>'Draw Calc (Hidden)'!Y52</f>
        <v>0</v>
      </c>
      <c r="AC70" s="95">
        <f>'Draw Calc (Hidden)'!Z52</f>
        <v>0</v>
      </c>
      <c r="AD70" s="95">
        <f>'Draw Calc (Hidden)'!AA52</f>
        <v>0</v>
      </c>
      <c r="AE70" s="95">
        <f>'Draw Calc (Hidden)'!AB52</f>
        <v>0</v>
      </c>
      <c r="AF70" s="95">
        <f>'Draw Calc (Hidden)'!AC52</f>
        <v>0</v>
      </c>
      <c r="AG70" s="95">
        <f>'Draw Calc (Hidden)'!AD52</f>
        <v>0</v>
      </c>
      <c r="AH70" s="95">
        <f>'Draw Calc (Hidden)'!AE52</f>
        <v>0</v>
      </c>
      <c r="AI70" s="95">
        <f>'Draw Calc (Hidden)'!AF52</f>
        <v>0</v>
      </c>
      <c r="AJ70" s="95">
        <f>'Draw Calc (Hidden)'!AG52</f>
        <v>0</v>
      </c>
      <c r="AK70" s="95">
        <f>'Draw Calc (Hidden)'!AH52</f>
        <v>0</v>
      </c>
      <c r="AL70" s="95">
        <f>'Draw Calc (Hidden)'!AI52</f>
        <v>0</v>
      </c>
      <c r="AM70" s="95">
        <f>'Draw Calc (Hidden)'!AJ52</f>
        <v>0</v>
      </c>
      <c r="AN70" s="95">
        <f>'Draw Calc (Hidden)'!AK52</f>
        <v>0</v>
      </c>
      <c r="AO70" s="95">
        <f>'Draw Calc (Hidden)'!AL52</f>
        <v>0</v>
      </c>
    </row>
    <row r="71" spans="1:41" ht="15" customHeight="1" x14ac:dyDescent="0.2">
      <c r="A71" s="94" t="str">
        <f>'I_Budget Input Data'!B53</f>
        <v>3. HARD COSTS</v>
      </c>
      <c r="B71" s="94" t="str">
        <f>'I_Budget Input Data'!C53</f>
        <v>General conditions:Daily cleaning</v>
      </c>
      <c r="C71" s="95">
        <f>'I_Budget Input Data'!D53</f>
        <v>60094</v>
      </c>
      <c r="D71" s="95">
        <f t="shared" si="2"/>
        <v>60093.999999999985</v>
      </c>
      <c r="E71" s="95">
        <f t="shared" si="3"/>
        <v>0</v>
      </c>
      <c r="F71" s="95">
        <f>'Draw Calc (Hidden)'!C53</f>
        <v>4622.6153846153848</v>
      </c>
      <c r="G71" s="95">
        <f>'Draw Calc (Hidden)'!D53</f>
        <v>4622.6153846153848</v>
      </c>
      <c r="H71" s="95">
        <f>'Draw Calc (Hidden)'!E53</f>
        <v>4622.6153846153848</v>
      </c>
      <c r="I71" s="95">
        <f>'Draw Calc (Hidden)'!F53</f>
        <v>4622.6153846153848</v>
      </c>
      <c r="J71" s="95">
        <f>'Draw Calc (Hidden)'!G53</f>
        <v>4622.6153846153848</v>
      </c>
      <c r="K71" s="95">
        <f>'Draw Calc (Hidden)'!H53</f>
        <v>4622.6153846153848</v>
      </c>
      <c r="L71" s="95">
        <f>'Draw Calc (Hidden)'!I53</f>
        <v>4622.6153846153848</v>
      </c>
      <c r="M71" s="95">
        <f>'Draw Calc (Hidden)'!J53</f>
        <v>4622.6153846153848</v>
      </c>
      <c r="N71" s="95">
        <f>'Draw Calc (Hidden)'!K53</f>
        <v>4622.6153846153848</v>
      </c>
      <c r="O71" s="95">
        <f>'Draw Calc (Hidden)'!L53</f>
        <v>4622.6153846153848</v>
      </c>
      <c r="P71" s="95">
        <f>'Draw Calc (Hidden)'!M53</f>
        <v>4622.6153846153848</v>
      </c>
      <c r="Q71" s="95">
        <f>'Draw Calc (Hidden)'!N53</f>
        <v>4622.6153846153848</v>
      </c>
      <c r="R71" s="95">
        <f>'Draw Calc (Hidden)'!O53</f>
        <v>4622.6153846153848</v>
      </c>
      <c r="S71" s="95">
        <f>'Draw Calc (Hidden)'!P53</f>
        <v>0</v>
      </c>
      <c r="T71" s="95">
        <f>'Draw Calc (Hidden)'!Q53</f>
        <v>0</v>
      </c>
      <c r="U71" s="95">
        <f>'Draw Calc (Hidden)'!R53</f>
        <v>0</v>
      </c>
      <c r="V71" s="95">
        <f>'Draw Calc (Hidden)'!S53</f>
        <v>0</v>
      </c>
      <c r="W71" s="95">
        <f>'Draw Calc (Hidden)'!T53</f>
        <v>0</v>
      </c>
      <c r="X71" s="95">
        <f>'Draw Calc (Hidden)'!U53</f>
        <v>0</v>
      </c>
      <c r="Y71" s="95">
        <f>'Draw Calc (Hidden)'!V53</f>
        <v>0</v>
      </c>
      <c r="Z71" s="95">
        <f>'Draw Calc (Hidden)'!W53</f>
        <v>0</v>
      </c>
      <c r="AA71" s="95">
        <f>'Draw Calc (Hidden)'!X53</f>
        <v>0</v>
      </c>
      <c r="AB71" s="95">
        <f>'Draw Calc (Hidden)'!Y53</f>
        <v>0</v>
      </c>
      <c r="AC71" s="95">
        <f>'Draw Calc (Hidden)'!Z53</f>
        <v>0</v>
      </c>
      <c r="AD71" s="95">
        <f>'Draw Calc (Hidden)'!AA53</f>
        <v>0</v>
      </c>
      <c r="AE71" s="95">
        <f>'Draw Calc (Hidden)'!AB53</f>
        <v>0</v>
      </c>
      <c r="AF71" s="95">
        <f>'Draw Calc (Hidden)'!AC53</f>
        <v>0</v>
      </c>
      <c r="AG71" s="95">
        <f>'Draw Calc (Hidden)'!AD53</f>
        <v>0</v>
      </c>
      <c r="AH71" s="95">
        <f>'Draw Calc (Hidden)'!AE53</f>
        <v>0</v>
      </c>
      <c r="AI71" s="95">
        <f>'Draw Calc (Hidden)'!AF53</f>
        <v>0</v>
      </c>
      <c r="AJ71" s="95">
        <f>'Draw Calc (Hidden)'!AG53</f>
        <v>0</v>
      </c>
      <c r="AK71" s="95">
        <f>'Draw Calc (Hidden)'!AH53</f>
        <v>0</v>
      </c>
      <c r="AL71" s="95">
        <f>'Draw Calc (Hidden)'!AI53</f>
        <v>0</v>
      </c>
      <c r="AM71" s="95">
        <f>'Draw Calc (Hidden)'!AJ53</f>
        <v>0</v>
      </c>
      <c r="AN71" s="95">
        <f>'Draw Calc (Hidden)'!AK53</f>
        <v>0</v>
      </c>
      <c r="AO71" s="95">
        <f>'Draw Calc (Hidden)'!AL53</f>
        <v>0</v>
      </c>
    </row>
    <row r="72" spans="1:41" ht="15" customHeight="1" x14ac:dyDescent="0.2">
      <c r="A72" s="94" t="str">
        <f>'I_Budget Input Data'!B54</f>
        <v>3. HARD COSTS</v>
      </c>
      <c r="B72" s="94" t="str">
        <f>'I_Budget Input Data'!C54</f>
        <v>General conditions:Final Cleaning</v>
      </c>
      <c r="C72" s="95">
        <f>'I_Budget Input Data'!D54</f>
        <v>53800</v>
      </c>
      <c r="D72" s="95">
        <f t="shared" si="2"/>
        <v>53800</v>
      </c>
      <c r="E72" s="95">
        <f t="shared" si="3"/>
        <v>0</v>
      </c>
      <c r="F72" s="95">
        <f>'Draw Calc (Hidden)'!C54</f>
        <v>4138.4615384615381</v>
      </c>
      <c r="G72" s="95">
        <f>'Draw Calc (Hidden)'!D54</f>
        <v>4138.4615384615381</v>
      </c>
      <c r="H72" s="95">
        <f>'Draw Calc (Hidden)'!E54</f>
        <v>4138.4615384615381</v>
      </c>
      <c r="I72" s="95">
        <f>'Draw Calc (Hidden)'!F54</f>
        <v>4138.4615384615381</v>
      </c>
      <c r="J72" s="95">
        <f>'Draw Calc (Hidden)'!G54</f>
        <v>4138.4615384615381</v>
      </c>
      <c r="K72" s="95">
        <f>'Draw Calc (Hidden)'!H54</f>
        <v>4138.4615384615381</v>
      </c>
      <c r="L72" s="95">
        <f>'Draw Calc (Hidden)'!I54</f>
        <v>4138.4615384615381</v>
      </c>
      <c r="M72" s="95">
        <f>'Draw Calc (Hidden)'!J54</f>
        <v>4138.4615384615381</v>
      </c>
      <c r="N72" s="95">
        <f>'Draw Calc (Hidden)'!K54</f>
        <v>4138.4615384615381</v>
      </c>
      <c r="O72" s="95">
        <f>'Draw Calc (Hidden)'!L54</f>
        <v>4138.4615384615381</v>
      </c>
      <c r="P72" s="95">
        <f>'Draw Calc (Hidden)'!M54</f>
        <v>4138.4615384615381</v>
      </c>
      <c r="Q72" s="95">
        <f>'Draw Calc (Hidden)'!N54</f>
        <v>4138.4615384615381</v>
      </c>
      <c r="R72" s="95">
        <f>'Draw Calc (Hidden)'!O54</f>
        <v>4138.4615384615381</v>
      </c>
      <c r="S72" s="95">
        <f>'Draw Calc (Hidden)'!P54</f>
        <v>0</v>
      </c>
      <c r="T72" s="95">
        <f>'Draw Calc (Hidden)'!Q54</f>
        <v>0</v>
      </c>
      <c r="U72" s="95">
        <f>'Draw Calc (Hidden)'!R54</f>
        <v>0</v>
      </c>
      <c r="V72" s="95">
        <f>'Draw Calc (Hidden)'!S54</f>
        <v>0</v>
      </c>
      <c r="W72" s="95">
        <f>'Draw Calc (Hidden)'!T54</f>
        <v>0</v>
      </c>
      <c r="X72" s="95">
        <f>'Draw Calc (Hidden)'!U54</f>
        <v>0</v>
      </c>
      <c r="Y72" s="95">
        <f>'Draw Calc (Hidden)'!V54</f>
        <v>0</v>
      </c>
      <c r="Z72" s="95">
        <f>'Draw Calc (Hidden)'!W54</f>
        <v>0</v>
      </c>
      <c r="AA72" s="95">
        <f>'Draw Calc (Hidden)'!X54</f>
        <v>0</v>
      </c>
      <c r="AB72" s="95">
        <f>'Draw Calc (Hidden)'!Y54</f>
        <v>0</v>
      </c>
      <c r="AC72" s="95">
        <f>'Draw Calc (Hidden)'!Z54</f>
        <v>0</v>
      </c>
      <c r="AD72" s="95">
        <f>'Draw Calc (Hidden)'!AA54</f>
        <v>0</v>
      </c>
      <c r="AE72" s="95">
        <f>'Draw Calc (Hidden)'!AB54</f>
        <v>0</v>
      </c>
      <c r="AF72" s="95">
        <f>'Draw Calc (Hidden)'!AC54</f>
        <v>0</v>
      </c>
      <c r="AG72" s="95">
        <f>'Draw Calc (Hidden)'!AD54</f>
        <v>0</v>
      </c>
      <c r="AH72" s="95">
        <f>'Draw Calc (Hidden)'!AE54</f>
        <v>0</v>
      </c>
      <c r="AI72" s="95">
        <f>'Draw Calc (Hidden)'!AF54</f>
        <v>0</v>
      </c>
      <c r="AJ72" s="95">
        <f>'Draw Calc (Hidden)'!AG54</f>
        <v>0</v>
      </c>
      <c r="AK72" s="95">
        <f>'Draw Calc (Hidden)'!AH54</f>
        <v>0</v>
      </c>
      <c r="AL72" s="95">
        <f>'Draw Calc (Hidden)'!AI54</f>
        <v>0</v>
      </c>
      <c r="AM72" s="95">
        <f>'Draw Calc (Hidden)'!AJ54</f>
        <v>0</v>
      </c>
      <c r="AN72" s="95">
        <f>'Draw Calc (Hidden)'!AK54</f>
        <v>0</v>
      </c>
      <c r="AO72" s="95">
        <f>'Draw Calc (Hidden)'!AL54</f>
        <v>0</v>
      </c>
    </row>
    <row r="73" spans="1:41" ht="15" customHeight="1" x14ac:dyDescent="0.2">
      <c r="A73" s="94" t="str">
        <f>'I_Budget Input Data'!B55</f>
        <v>3. HARD COSTS</v>
      </c>
      <c r="B73" s="94" t="str">
        <f>'I_Budget Input Data'!C55</f>
        <v>General conditions:Laboratory &amp; Testing</v>
      </c>
      <c r="C73" s="95">
        <f>'I_Budget Input Data'!D55</f>
        <v>98600</v>
      </c>
      <c r="D73" s="95">
        <f t="shared" si="2"/>
        <v>98600.000000000015</v>
      </c>
      <c r="E73" s="95">
        <f t="shared" si="3"/>
        <v>0</v>
      </c>
      <c r="F73" s="95">
        <f>'Draw Calc (Hidden)'!C55</f>
        <v>7584.6153846153848</v>
      </c>
      <c r="G73" s="95">
        <f>'Draw Calc (Hidden)'!D55</f>
        <v>7584.6153846153848</v>
      </c>
      <c r="H73" s="95">
        <f>'Draw Calc (Hidden)'!E55</f>
        <v>7584.6153846153848</v>
      </c>
      <c r="I73" s="95">
        <f>'Draw Calc (Hidden)'!F55</f>
        <v>7584.6153846153848</v>
      </c>
      <c r="J73" s="95">
        <f>'Draw Calc (Hidden)'!G55</f>
        <v>7584.6153846153848</v>
      </c>
      <c r="K73" s="95">
        <f>'Draw Calc (Hidden)'!H55</f>
        <v>7584.6153846153848</v>
      </c>
      <c r="L73" s="95">
        <f>'Draw Calc (Hidden)'!I55</f>
        <v>7584.6153846153848</v>
      </c>
      <c r="M73" s="95">
        <f>'Draw Calc (Hidden)'!J55</f>
        <v>7584.6153846153848</v>
      </c>
      <c r="N73" s="95">
        <f>'Draw Calc (Hidden)'!K55</f>
        <v>7584.6153846153848</v>
      </c>
      <c r="O73" s="95">
        <f>'Draw Calc (Hidden)'!L55</f>
        <v>7584.6153846153848</v>
      </c>
      <c r="P73" s="95">
        <f>'Draw Calc (Hidden)'!M55</f>
        <v>7584.6153846153848</v>
      </c>
      <c r="Q73" s="95">
        <f>'Draw Calc (Hidden)'!N55</f>
        <v>7584.6153846153848</v>
      </c>
      <c r="R73" s="95">
        <f>'Draw Calc (Hidden)'!O55</f>
        <v>7584.6153846153848</v>
      </c>
      <c r="S73" s="95">
        <f>'Draw Calc (Hidden)'!P55</f>
        <v>0</v>
      </c>
      <c r="T73" s="95">
        <f>'Draw Calc (Hidden)'!Q55</f>
        <v>0</v>
      </c>
      <c r="U73" s="95">
        <f>'Draw Calc (Hidden)'!R55</f>
        <v>0</v>
      </c>
      <c r="V73" s="95">
        <f>'Draw Calc (Hidden)'!S55</f>
        <v>0</v>
      </c>
      <c r="W73" s="95">
        <f>'Draw Calc (Hidden)'!T55</f>
        <v>0</v>
      </c>
      <c r="X73" s="95">
        <f>'Draw Calc (Hidden)'!U55</f>
        <v>0</v>
      </c>
      <c r="Y73" s="95">
        <f>'Draw Calc (Hidden)'!V55</f>
        <v>0</v>
      </c>
      <c r="Z73" s="95">
        <f>'Draw Calc (Hidden)'!W55</f>
        <v>0</v>
      </c>
      <c r="AA73" s="95">
        <f>'Draw Calc (Hidden)'!X55</f>
        <v>0</v>
      </c>
      <c r="AB73" s="95">
        <f>'Draw Calc (Hidden)'!Y55</f>
        <v>0</v>
      </c>
      <c r="AC73" s="95">
        <f>'Draw Calc (Hidden)'!Z55</f>
        <v>0</v>
      </c>
      <c r="AD73" s="95">
        <f>'Draw Calc (Hidden)'!AA55</f>
        <v>0</v>
      </c>
      <c r="AE73" s="95">
        <f>'Draw Calc (Hidden)'!AB55</f>
        <v>0</v>
      </c>
      <c r="AF73" s="95">
        <f>'Draw Calc (Hidden)'!AC55</f>
        <v>0</v>
      </c>
      <c r="AG73" s="95">
        <f>'Draw Calc (Hidden)'!AD55</f>
        <v>0</v>
      </c>
      <c r="AH73" s="95">
        <f>'Draw Calc (Hidden)'!AE55</f>
        <v>0</v>
      </c>
      <c r="AI73" s="95">
        <f>'Draw Calc (Hidden)'!AF55</f>
        <v>0</v>
      </c>
      <c r="AJ73" s="95">
        <f>'Draw Calc (Hidden)'!AG55</f>
        <v>0</v>
      </c>
      <c r="AK73" s="95">
        <f>'Draw Calc (Hidden)'!AH55</f>
        <v>0</v>
      </c>
      <c r="AL73" s="95">
        <f>'Draw Calc (Hidden)'!AI55</f>
        <v>0</v>
      </c>
      <c r="AM73" s="95">
        <f>'Draw Calc (Hidden)'!AJ55</f>
        <v>0</v>
      </c>
      <c r="AN73" s="95">
        <f>'Draw Calc (Hidden)'!AK55</f>
        <v>0</v>
      </c>
      <c r="AO73" s="95">
        <f>'Draw Calc (Hidden)'!AL55</f>
        <v>0</v>
      </c>
    </row>
    <row r="74" spans="1:41" ht="15" customHeight="1" x14ac:dyDescent="0.2">
      <c r="A74" s="94" t="str">
        <f>'I_Budget Input Data'!B56</f>
        <v>3. HARD COSTS</v>
      </c>
      <c r="B74" s="94" t="str">
        <f>'I_Budget Input Data'!C56</f>
        <v>General conditions:Surveyor</v>
      </c>
      <c r="C74" s="95">
        <f>'I_Budget Input Data'!D56</f>
        <v>35407</v>
      </c>
      <c r="D74" s="95">
        <f t="shared" si="2"/>
        <v>35406.999999999993</v>
      </c>
      <c r="E74" s="95">
        <f t="shared" si="3"/>
        <v>0</v>
      </c>
      <c r="F74" s="95">
        <f>'Draw Calc (Hidden)'!C56</f>
        <v>2723.6153846153848</v>
      </c>
      <c r="G74" s="95">
        <f>'Draw Calc (Hidden)'!D56</f>
        <v>2723.6153846153848</v>
      </c>
      <c r="H74" s="95">
        <f>'Draw Calc (Hidden)'!E56</f>
        <v>2723.6153846153848</v>
      </c>
      <c r="I74" s="95">
        <f>'Draw Calc (Hidden)'!F56</f>
        <v>2723.6153846153848</v>
      </c>
      <c r="J74" s="95">
        <f>'Draw Calc (Hidden)'!G56</f>
        <v>2723.6153846153848</v>
      </c>
      <c r="K74" s="95">
        <f>'Draw Calc (Hidden)'!H56</f>
        <v>2723.6153846153848</v>
      </c>
      <c r="L74" s="95">
        <f>'Draw Calc (Hidden)'!I56</f>
        <v>2723.6153846153848</v>
      </c>
      <c r="M74" s="95">
        <f>'Draw Calc (Hidden)'!J56</f>
        <v>2723.6153846153848</v>
      </c>
      <c r="N74" s="95">
        <f>'Draw Calc (Hidden)'!K56</f>
        <v>2723.6153846153848</v>
      </c>
      <c r="O74" s="95">
        <f>'Draw Calc (Hidden)'!L56</f>
        <v>2723.6153846153848</v>
      </c>
      <c r="P74" s="95">
        <f>'Draw Calc (Hidden)'!M56</f>
        <v>2723.6153846153848</v>
      </c>
      <c r="Q74" s="95">
        <f>'Draw Calc (Hidden)'!N56</f>
        <v>2723.6153846153848</v>
      </c>
      <c r="R74" s="95">
        <f>'Draw Calc (Hidden)'!O56</f>
        <v>2723.6153846153848</v>
      </c>
      <c r="S74" s="95">
        <f>'Draw Calc (Hidden)'!P56</f>
        <v>0</v>
      </c>
      <c r="T74" s="95">
        <f>'Draw Calc (Hidden)'!Q56</f>
        <v>0</v>
      </c>
      <c r="U74" s="95">
        <f>'Draw Calc (Hidden)'!R56</f>
        <v>0</v>
      </c>
      <c r="V74" s="95">
        <f>'Draw Calc (Hidden)'!S56</f>
        <v>0</v>
      </c>
      <c r="W74" s="95">
        <f>'Draw Calc (Hidden)'!T56</f>
        <v>0</v>
      </c>
      <c r="X74" s="95">
        <f>'Draw Calc (Hidden)'!U56</f>
        <v>0</v>
      </c>
      <c r="Y74" s="95">
        <f>'Draw Calc (Hidden)'!V56</f>
        <v>0</v>
      </c>
      <c r="Z74" s="95">
        <f>'Draw Calc (Hidden)'!W56</f>
        <v>0</v>
      </c>
      <c r="AA74" s="95">
        <f>'Draw Calc (Hidden)'!X56</f>
        <v>0</v>
      </c>
      <c r="AB74" s="95">
        <f>'Draw Calc (Hidden)'!Y56</f>
        <v>0</v>
      </c>
      <c r="AC74" s="95">
        <f>'Draw Calc (Hidden)'!Z56</f>
        <v>0</v>
      </c>
      <c r="AD74" s="95">
        <f>'Draw Calc (Hidden)'!AA56</f>
        <v>0</v>
      </c>
      <c r="AE74" s="95">
        <f>'Draw Calc (Hidden)'!AB56</f>
        <v>0</v>
      </c>
      <c r="AF74" s="95">
        <f>'Draw Calc (Hidden)'!AC56</f>
        <v>0</v>
      </c>
      <c r="AG74" s="95">
        <f>'Draw Calc (Hidden)'!AD56</f>
        <v>0</v>
      </c>
      <c r="AH74" s="95">
        <f>'Draw Calc (Hidden)'!AE56</f>
        <v>0</v>
      </c>
      <c r="AI74" s="95">
        <f>'Draw Calc (Hidden)'!AF56</f>
        <v>0</v>
      </c>
      <c r="AJ74" s="95">
        <f>'Draw Calc (Hidden)'!AG56</f>
        <v>0</v>
      </c>
      <c r="AK74" s="95">
        <f>'Draw Calc (Hidden)'!AH56</f>
        <v>0</v>
      </c>
      <c r="AL74" s="95">
        <f>'Draw Calc (Hidden)'!AI56</f>
        <v>0</v>
      </c>
      <c r="AM74" s="95">
        <f>'Draw Calc (Hidden)'!AJ56</f>
        <v>0</v>
      </c>
      <c r="AN74" s="95">
        <f>'Draw Calc (Hidden)'!AK56</f>
        <v>0</v>
      </c>
      <c r="AO74" s="95">
        <f>'Draw Calc (Hidden)'!AL56</f>
        <v>0</v>
      </c>
    </row>
    <row r="75" spans="1:41" ht="15" customHeight="1" x14ac:dyDescent="0.2">
      <c r="A75" s="94" t="str">
        <f>'I_Budget Input Data'!B57</f>
        <v>3. HARD COSTS</v>
      </c>
      <c r="B75" s="94" t="str">
        <f>'I_Budget Input Data'!C57</f>
        <v>General conditions:Project signage</v>
      </c>
      <c r="C75" s="95">
        <f>'I_Budget Input Data'!D57</f>
        <v>181830</v>
      </c>
      <c r="D75" s="95">
        <f t="shared" si="2"/>
        <v>181829.99999999994</v>
      </c>
      <c r="E75" s="95">
        <f t="shared" si="3"/>
        <v>0</v>
      </c>
      <c r="F75" s="95">
        <f>'Draw Calc (Hidden)'!C57</f>
        <v>13986.923076923076</v>
      </c>
      <c r="G75" s="95">
        <f>'Draw Calc (Hidden)'!D57</f>
        <v>13986.923076923076</v>
      </c>
      <c r="H75" s="95">
        <f>'Draw Calc (Hidden)'!E57</f>
        <v>13986.923076923076</v>
      </c>
      <c r="I75" s="95">
        <f>'Draw Calc (Hidden)'!F57</f>
        <v>13986.923076923076</v>
      </c>
      <c r="J75" s="95">
        <f>'Draw Calc (Hidden)'!G57</f>
        <v>13986.923076923076</v>
      </c>
      <c r="K75" s="95">
        <f>'Draw Calc (Hidden)'!H57</f>
        <v>13986.923076923076</v>
      </c>
      <c r="L75" s="95">
        <f>'Draw Calc (Hidden)'!I57</f>
        <v>13986.923076923076</v>
      </c>
      <c r="M75" s="95">
        <f>'Draw Calc (Hidden)'!J57</f>
        <v>13986.923076923076</v>
      </c>
      <c r="N75" s="95">
        <f>'Draw Calc (Hidden)'!K57</f>
        <v>13986.923076923076</v>
      </c>
      <c r="O75" s="95">
        <f>'Draw Calc (Hidden)'!L57</f>
        <v>13986.923076923076</v>
      </c>
      <c r="P75" s="95">
        <f>'Draw Calc (Hidden)'!M57</f>
        <v>13986.923076923076</v>
      </c>
      <c r="Q75" s="95">
        <f>'Draw Calc (Hidden)'!N57</f>
        <v>13986.923076923076</v>
      </c>
      <c r="R75" s="95">
        <f>'Draw Calc (Hidden)'!O57</f>
        <v>13986.923076923076</v>
      </c>
      <c r="S75" s="95">
        <f>'Draw Calc (Hidden)'!P57</f>
        <v>0</v>
      </c>
      <c r="T75" s="95">
        <f>'Draw Calc (Hidden)'!Q57</f>
        <v>0</v>
      </c>
      <c r="U75" s="95">
        <f>'Draw Calc (Hidden)'!R57</f>
        <v>0</v>
      </c>
      <c r="V75" s="95">
        <f>'Draw Calc (Hidden)'!S57</f>
        <v>0</v>
      </c>
      <c r="W75" s="95">
        <f>'Draw Calc (Hidden)'!T57</f>
        <v>0</v>
      </c>
      <c r="X75" s="95">
        <f>'Draw Calc (Hidden)'!U57</f>
        <v>0</v>
      </c>
      <c r="Y75" s="95">
        <f>'Draw Calc (Hidden)'!V57</f>
        <v>0</v>
      </c>
      <c r="Z75" s="95">
        <f>'Draw Calc (Hidden)'!W57</f>
        <v>0</v>
      </c>
      <c r="AA75" s="95">
        <f>'Draw Calc (Hidden)'!X57</f>
        <v>0</v>
      </c>
      <c r="AB75" s="95">
        <f>'Draw Calc (Hidden)'!Y57</f>
        <v>0</v>
      </c>
      <c r="AC75" s="95">
        <f>'Draw Calc (Hidden)'!Z57</f>
        <v>0</v>
      </c>
      <c r="AD75" s="95">
        <f>'Draw Calc (Hidden)'!AA57</f>
        <v>0</v>
      </c>
      <c r="AE75" s="95">
        <f>'Draw Calc (Hidden)'!AB57</f>
        <v>0</v>
      </c>
      <c r="AF75" s="95">
        <f>'Draw Calc (Hidden)'!AC57</f>
        <v>0</v>
      </c>
      <c r="AG75" s="95">
        <f>'Draw Calc (Hidden)'!AD57</f>
        <v>0</v>
      </c>
      <c r="AH75" s="95">
        <f>'Draw Calc (Hidden)'!AE57</f>
        <v>0</v>
      </c>
      <c r="AI75" s="95">
        <f>'Draw Calc (Hidden)'!AF57</f>
        <v>0</v>
      </c>
      <c r="AJ75" s="95">
        <f>'Draw Calc (Hidden)'!AG57</f>
        <v>0</v>
      </c>
      <c r="AK75" s="95">
        <f>'Draw Calc (Hidden)'!AH57</f>
        <v>0</v>
      </c>
      <c r="AL75" s="95">
        <f>'Draw Calc (Hidden)'!AI57</f>
        <v>0</v>
      </c>
      <c r="AM75" s="95">
        <f>'Draw Calc (Hidden)'!AJ57</f>
        <v>0</v>
      </c>
      <c r="AN75" s="95">
        <f>'Draw Calc (Hidden)'!AK57</f>
        <v>0</v>
      </c>
      <c r="AO75" s="95">
        <f>'Draw Calc (Hidden)'!AL57</f>
        <v>0</v>
      </c>
    </row>
    <row r="76" spans="1:41" ht="15" customHeight="1" x14ac:dyDescent="0.2">
      <c r="A76" s="94" t="str">
        <f>'I_Budget Input Data'!B58</f>
        <v>3. HARD COSTS</v>
      </c>
      <c r="B76" s="94">
        <f>'I_Budget Input Data'!C58</f>
        <v>0</v>
      </c>
      <c r="C76" s="95">
        <f>'I_Budget Input Data'!D58</f>
        <v>6000</v>
      </c>
      <c r="D76" s="95">
        <f t="shared" si="2"/>
        <v>6000.0000000000009</v>
      </c>
      <c r="E76" s="95">
        <f t="shared" si="3"/>
        <v>0</v>
      </c>
      <c r="F76" s="95">
        <f>'Draw Calc (Hidden)'!C58</f>
        <v>461.53846153846155</v>
      </c>
      <c r="G76" s="95">
        <f>'Draw Calc (Hidden)'!D58</f>
        <v>461.53846153846155</v>
      </c>
      <c r="H76" s="95">
        <f>'Draw Calc (Hidden)'!E58</f>
        <v>461.53846153846155</v>
      </c>
      <c r="I76" s="95">
        <f>'Draw Calc (Hidden)'!F58</f>
        <v>461.53846153846155</v>
      </c>
      <c r="J76" s="95">
        <f>'Draw Calc (Hidden)'!G58</f>
        <v>461.53846153846155</v>
      </c>
      <c r="K76" s="95">
        <f>'Draw Calc (Hidden)'!H58</f>
        <v>461.53846153846155</v>
      </c>
      <c r="L76" s="95">
        <f>'Draw Calc (Hidden)'!I58</f>
        <v>461.53846153846155</v>
      </c>
      <c r="M76" s="95">
        <f>'Draw Calc (Hidden)'!J58</f>
        <v>461.53846153846155</v>
      </c>
      <c r="N76" s="95">
        <f>'Draw Calc (Hidden)'!K58</f>
        <v>461.53846153846155</v>
      </c>
      <c r="O76" s="95">
        <f>'Draw Calc (Hidden)'!L58</f>
        <v>461.53846153846155</v>
      </c>
      <c r="P76" s="95">
        <f>'Draw Calc (Hidden)'!M58</f>
        <v>461.53846153846155</v>
      </c>
      <c r="Q76" s="95">
        <f>'Draw Calc (Hidden)'!N58</f>
        <v>461.53846153846155</v>
      </c>
      <c r="R76" s="95">
        <f>'Draw Calc (Hidden)'!O58</f>
        <v>461.53846153846155</v>
      </c>
      <c r="S76" s="95">
        <f>'Draw Calc (Hidden)'!P58</f>
        <v>0</v>
      </c>
      <c r="T76" s="95">
        <f>'Draw Calc (Hidden)'!Q58</f>
        <v>0</v>
      </c>
      <c r="U76" s="95">
        <f>'Draw Calc (Hidden)'!R58</f>
        <v>0</v>
      </c>
      <c r="V76" s="95">
        <f>'Draw Calc (Hidden)'!S58</f>
        <v>0</v>
      </c>
      <c r="W76" s="95">
        <f>'Draw Calc (Hidden)'!T58</f>
        <v>0</v>
      </c>
      <c r="X76" s="95">
        <f>'Draw Calc (Hidden)'!U58</f>
        <v>0</v>
      </c>
      <c r="Y76" s="95">
        <f>'Draw Calc (Hidden)'!V58</f>
        <v>0</v>
      </c>
      <c r="Z76" s="95">
        <f>'Draw Calc (Hidden)'!W58</f>
        <v>0</v>
      </c>
      <c r="AA76" s="95">
        <f>'Draw Calc (Hidden)'!X58</f>
        <v>0</v>
      </c>
      <c r="AB76" s="95">
        <f>'Draw Calc (Hidden)'!Y58</f>
        <v>0</v>
      </c>
      <c r="AC76" s="95">
        <f>'Draw Calc (Hidden)'!Z58</f>
        <v>0</v>
      </c>
      <c r="AD76" s="95">
        <f>'Draw Calc (Hidden)'!AA58</f>
        <v>0</v>
      </c>
      <c r="AE76" s="95">
        <f>'Draw Calc (Hidden)'!AB58</f>
        <v>0</v>
      </c>
      <c r="AF76" s="95">
        <f>'Draw Calc (Hidden)'!AC58</f>
        <v>0</v>
      </c>
      <c r="AG76" s="95">
        <f>'Draw Calc (Hidden)'!AD58</f>
        <v>0</v>
      </c>
      <c r="AH76" s="95">
        <f>'Draw Calc (Hidden)'!AE58</f>
        <v>0</v>
      </c>
      <c r="AI76" s="95">
        <f>'Draw Calc (Hidden)'!AF58</f>
        <v>0</v>
      </c>
      <c r="AJ76" s="95">
        <f>'Draw Calc (Hidden)'!AG58</f>
        <v>0</v>
      </c>
      <c r="AK76" s="95">
        <f>'Draw Calc (Hidden)'!AH58</f>
        <v>0</v>
      </c>
      <c r="AL76" s="95">
        <f>'Draw Calc (Hidden)'!AI58</f>
        <v>0</v>
      </c>
      <c r="AM76" s="95">
        <f>'Draw Calc (Hidden)'!AJ58</f>
        <v>0</v>
      </c>
      <c r="AN76" s="95">
        <f>'Draw Calc (Hidden)'!AK58</f>
        <v>0</v>
      </c>
      <c r="AO76" s="95">
        <f>'Draw Calc (Hidden)'!AL58</f>
        <v>0</v>
      </c>
    </row>
    <row r="77" spans="1:41" ht="15" customHeight="1" x14ac:dyDescent="0.2">
      <c r="A77" s="94" t="str">
        <f>'I_Budget Input Data'!B59</f>
        <v>3. HARD COSTS</v>
      </c>
      <c r="B77" s="94" t="str">
        <f>'I_Budget Input Data'!C59</f>
        <v>General conditions:Miscellaneous</v>
      </c>
      <c r="C77" s="95">
        <f>'I_Budget Input Data'!D59</f>
        <v>1901</v>
      </c>
      <c r="D77" s="95">
        <f t="shared" si="2"/>
        <v>1901.0000000000005</v>
      </c>
      <c r="E77" s="95">
        <f t="shared" si="3"/>
        <v>0</v>
      </c>
      <c r="F77" s="95">
        <f>'Draw Calc (Hidden)'!C59</f>
        <v>146.23076923076923</v>
      </c>
      <c r="G77" s="95">
        <f>'Draw Calc (Hidden)'!D59</f>
        <v>146.23076923076923</v>
      </c>
      <c r="H77" s="95">
        <f>'Draw Calc (Hidden)'!E59</f>
        <v>146.23076923076923</v>
      </c>
      <c r="I77" s="95">
        <f>'Draw Calc (Hidden)'!F59</f>
        <v>146.23076923076923</v>
      </c>
      <c r="J77" s="95">
        <f>'Draw Calc (Hidden)'!G59</f>
        <v>146.23076923076923</v>
      </c>
      <c r="K77" s="95">
        <f>'Draw Calc (Hidden)'!H59</f>
        <v>146.23076923076923</v>
      </c>
      <c r="L77" s="95">
        <f>'Draw Calc (Hidden)'!I59</f>
        <v>146.23076923076923</v>
      </c>
      <c r="M77" s="95">
        <f>'Draw Calc (Hidden)'!J59</f>
        <v>146.23076923076923</v>
      </c>
      <c r="N77" s="95">
        <f>'Draw Calc (Hidden)'!K59</f>
        <v>146.23076923076923</v>
      </c>
      <c r="O77" s="95">
        <f>'Draw Calc (Hidden)'!L59</f>
        <v>146.23076923076923</v>
      </c>
      <c r="P77" s="95">
        <f>'Draw Calc (Hidden)'!M59</f>
        <v>146.23076923076923</v>
      </c>
      <c r="Q77" s="95">
        <f>'Draw Calc (Hidden)'!N59</f>
        <v>146.23076923076923</v>
      </c>
      <c r="R77" s="95">
        <f>'Draw Calc (Hidden)'!O59</f>
        <v>146.23076923076923</v>
      </c>
      <c r="S77" s="95">
        <f>'Draw Calc (Hidden)'!P59</f>
        <v>0</v>
      </c>
      <c r="T77" s="95">
        <f>'Draw Calc (Hidden)'!Q59</f>
        <v>0</v>
      </c>
      <c r="U77" s="95">
        <f>'Draw Calc (Hidden)'!R59</f>
        <v>0</v>
      </c>
      <c r="V77" s="95">
        <f>'Draw Calc (Hidden)'!S59</f>
        <v>0</v>
      </c>
      <c r="W77" s="95">
        <f>'Draw Calc (Hidden)'!T59</f>
        <v>0</v>
      </c>
      <c r="X77" s="95">
        <f>'Draw Calc (Hidden)'!U59</f>
        <v>0</v>
      </c>
      <c r="Y77" s="95">
        <f>'Draw Calc (Hidden)'!V59</f>
        <v>0</v>
      </c>
      <c r="Z77" s="95">
        <f>'Draw Calc (Hidden)'!W59</f>
        <v>0</v>
      </c>
      <c r="AA77" s="95">
        <f>'Draw Calc (Hidden)'!X59</f>
        <v>0</v>
      </c>
      <c r="AB77" s="95">
        <f>'Draw Calc (Hidden)'!Y59</f>
        <v>0</v>
      </c>
      <c r="AC77" s="95">
        <f>'Draw Calc (Hidden)'!Z59</f>
        <v>0</v>
      </c>
      <c r="AD77" s="95">
        <f>'Draw Calc (Hidden)'!AA59</f>
        <v>0</v>
      </c>
      <c r="AE77" s="95">
        <f>'Draw Calc (Hidden)'!AB59</f>
        <v>0</v>
      </c>
      <c r="AF77" s="95">
        <f>'Draw Calc (Hidden)'!AC59</f>
        <v>0</v>
      </c>
      <c r="AG77" s="95">
        <f>'Draw Calc (Hidden)'!AD59</f>
        <v>0</v>
      </c>
      <c r="AH77" s="95">
        <f>'Draw Calc (Hidden)'!AE59</f>
        <v>0</v>
      </c>
      <c r="AI77" s="95">
        <f>'Draw Calc (Hidden)'!AF59</f>
        <v>0</v>
      </c>
      <c r="AJ77" s="95">
        <f>'Draw Calc (Hidden)'!AG59</f>
        <v>0</v>
      </c>
      <c r="AK77" s="95">
        <f>'Draw Calc (Hidden)'!AH59</f>
        <v>0</v>
      </c>
      <c r="AL77" s="95">
        <f>'Draw Calc (Hidden)'!AI59</f>
        <v>0</v>
      </c>
      <c r="AM77" s="95">
        <f>'Draw Calc (Hidden)'!AJ59</f>
        <v>0</v>
      </c>
      <c r="AN77" s="95">
        <f>'Draw Calc (Hidden)'!AK59</f>
        <v>0</v>
      </c>
      <c r="AO77" s="95">
        <f>'Draw Calc (Hidden)'!AL59</f>
        <v>0</v>
      </c>
    </row>
    <row r="78" spans="1:41" ht="15" customHeight="1" x14ac:dyDescent="0.2">
      <c r="A78" s="94" t="str">
        <f>'I_Budget Input Data'!B60</f>
        <v>3. HARD COSTS</v>
      </c>
      <c r="B78" s="94" t="str">
        <f>'I_Budget Input Data'!C60</f>
        <v>Formwork:Concrete purchases - Hambro floors</v>
      </c>
      <c r="C78" s="95">
        <f>'I_Budget Input Data'!D60</f>
        <v>94276</v>
      </c>
      <c r="D78" s="95">
        <f t="shared" si="2"/>
        <v>92825.60000000002</v>
      </c>
      <c r="E78" s="95">
        <f t="shared" si="3"/>
        <v>1450.3999999999796</v>
      </c>
      <c r="F78" s="95">
        <f>'Draw Calc (Hidden)'!C60</f>
        <v>8702.4</v>
      </c>
      <c r="G78" s="95">
        <f>'Draw Calc (Hidden)'!D60</f>
        <v>8702.4</v>
      </c>
      <c r="H78" s="95">
        <f>'Draw Calc (Hidden)'!E60</f>
        <v>8702.4</v>
      </c>
      <c r="I78" s="95">
        <f>'Draw Calc (Hidden)'!F60</f>
        <v>8702.4</v>
      </c>
      <c r="J78" s="95">
        <f>'Draw Calc (Hidden)'!G60</f>
        <v>8702.4</v>
      </c>
      <c r="K78" s="95">
        <f>'Draw Calc (Hidden)'!H60</f>
        <v>8702.4</v>
      </c>
      <c r="L78" s="95">
        <f>'Draw Calc (Hidden)'!I60</f>
        <v>5801.6</v>
      </c>
      <c r="M78" s="95">
        <f>'Draw Calc (Hidden)'!J60</f>
        <v>5801.6</v>
      </c>
      <c r="N78" s="95">
        <f>'Draw Calc (Hidden)'!K60</f>
        <v>5801.6</v>
      </c>
      <c r="O78" s="95">
        <f>'Draw Calc (Hidden)'!L60</f>
        <v>5801.6</v>
      </c>
      <c r="P78" s="95">
        <f>'Draw Calc (Hidden)'!M60</f>
        <v>5801.6</v>
      </c>
      <c r="Q78" s="95">
        <f>'Draw Calc (Hidden)'!N60</f>
        <v>5801.6</v>
      </c>
      <c r="R78" s="95">
        <f>'Draw Calc (Hidden)'!O60</f>
        <v>5801.6</v>
      </c>
      <c r="S78" s="95">
        <f>'Draw Calc (Hidden)'!P60</f>
        <v>0</v>
      </c>
      <c r="T78" s="95">
        <f>'Draw Calc (Hidden)'!Q60</f>
        <v>0</v>
      </c>
      <c r="U78" s="95">
        <f>'Draw Calc (Hidden)'!R60</f>
        <v>0</v>
      </c>
      <c r="V78" s="95">
        <f>'Draw Calc (Hidden)'!S60</f>
        <v>0</v>
      </c>
      <c r="W78" s="95">
        <f>'Draw Calc (Hidden)'!T60</f>
        <v>0</v>
      </c>
      <c r="X78" s="95">
        <f>'Draw Calc (Hidden)'!U60</f>
        <v>0</v>
      </c>
      <c r="Y78" s="95">
        <f>'Draw Calc (Hidden)'!V60</f>
        <v>0</v>
      </c>
      <c r="Z78" s="95">
        <f>'Draw Calc (Hidden)'!W60</f>
        <v>0</v>
      </c>
      <c r="AA78" s="95">
        <f>'Draw Calc (Hidden)'!X60</f>
        <v>0</v>
      </c>
      <c r="AB78" s="95">
        <f>'Draw Calc (Hidden)'!Y60</f>
        <v>0</v>
      </c>
      <c r="AC78" s="95">
        <f>'Draw Calc (Hidden)'!Z60</f>
        <v>0</v>
      </c>
      <c r="AD78" s="95">
        <f>'Draw Calc (Hidden)'!AA60</f>
        <v>0</v>
      </c>
      <c r="AE78" s="95">
        <f>'Draw Calc (Hidden)'!AB60</f>
        <v>0</v>
      </c>
      <c r="AF78" s="95">
        <f>'Draw Calc (Hidden)'!AC60</f>
        <v>0</v>
      </c>
      <c r="AG78" s="95">
        <f>'Draw Calc (Hidden)'!AD60</f>
        <v>0</v>
      </c>
      <c r="AH78" s="95">
        <f>'Draw Calc (Hidden)'!AE60</f>
        <v>0</v>
      </c>
      <c r="AI78" s="95">
        <f>'Draw Calc (Hidden)'!AF60</f>
        <v>0</v>
      </c>
      <c r="AJ78" s="95">
        <f>'Draw Calc (Hidden)'!AG60</f>
        <v>0</v>
      </c>
      <c r="AK78" s="95">
        <f>'Draw Calc (Hidden)'!AH60</f>
        <v>0</v>
      </c>
      <c r="AL78" s="95">
        <f>'Draw Calc (Hidden)'!AI60</f>
        <v>0</v>
      </c>
      <c r="AM78" s="95">
        <f>'Draw Calc (Hidden)'!AJ60</f>
        <v>0</v>
      </c>
      <c r="AN78" s="95">
        <f>'Draw Calc (Hidden)'!AK60</f>
        <v>0</v>
      </c>
      <c r="AO78" s="95">
        <f>'Draw Calc (Hidden)'!AL60</f>
        <v>0</v>
      </c>
    </row>
    <row r="79" spans="1:41" ht="15" customHeight="1" x14ac:dyDescent="0.2">
      <c r="A79" s="94" t="str">
        <f>'I_Budget Input Data'!B61</f>
        <v>3. HARD COSTS</v>
      </c>
      <c r="B79" s="94" t="str">
        <f>'I_Budget Input Data'!C61</f>
        <v>Formwork:Stair slab concrete</v>
      </c>
      <c r="C79" s="96">
        <f>'I_Budget Input Data'!D61</f>
        <v>27681</v>
      </c>
      <c r="D79" s="96">
        <f t="shared" si="2"/>
        <v>27255.138461538463</v>
      </c>
      <c r="E79" s="96">
        <f t="shared" si="3"/>
        <v>425.86153846153684</v>
      </c>
      <c r="F79" s="96">
        <f>'Draw Calc (Hidden)'!C61</f>
        <v>2555.1692307692306</v>
      </c>
      <c r="G79" s="96">
        <f>'Draw Calc (Hidden)'!D61</f>
        <v>2555.1692307692306</v>
      </c>
      <c r="H79" s="96">
        <f>'Draw Calc (Hidden)'!E61</f>
        <v>2555.1692307692306</v>
      </c>
      <c r="I79" s="96">
        <f>'Draw Calc (Hidden)'!F61</f>
        <v>2555.1692307692306</v>
      </c>
      <c r="J79" s="96">
        <f>'Draw Calc (Hidden)'!G61</f>
        <v>2555.1692307692306</v>
      </c>
      <c r="K79" s="96">
        <f>'Draw Calc (Hidden)'!H61</f>
        <v>2555.1692307692306</v>
      </c>
      <c r="L79" s="96">
        <f>'Draw Calc (Hidden)'!I61</f>
        <v>1703.4461538461542</v>
      </c>
      <c r="M79" s="96">
        <f>'Draw Calc (Hidden)'!J61</f>
        <v>1703.4461538461542</v>
      </c>
      <c r="N79" s="96">
        <f>'Draw Calc (Hidden)'!K61</f>
        <v>1703.4461538461542</v>
      </c>
      <c r="O79" s="96">
        <f>'Draw Calc (Hidden)'!L61</f>
        <v>1703.4461538461542</v>
      </c>
      <c r="P79" s="96">
        <f>'Draw Calc (Hidden)'!M61</f>
        <v>1703.4461538461542</v>
      </c>
      <c r="Q79" s="96">
        <f>'Draw Calc (Hidden)'!N61</f>
        <v>1703.4461538461542</v>
      </c>
      <c r="R79" s="96">
        <f>'Draw Calc (Hidden)'!O61</f>
        <v>1703.4461538461542</v>
      </c>
      <c r="S79" s="96">
        <f>'Draw Calc (Hidden)'!P61</f>
        <v>0</v>
      </c>
      <c r="T79" s="96">
        <f>'Draw Calc (Hidden)'!Q61</f>
        <v>0</v>
      </c>
      <c r="U79" s="96">
        <f>'Draw Calc (Hidden)'!R61</f>
        <v>0</v>
      </c>
      <c r="V79" s="96">
        <f>'Draw Calc (Hidden)'!S61</f>
        <v>0</v>
      </c>
      <c r="W79" s="96">
        <f>'Draw Calc (Hidden)'!T61</f>
        <v>0</v>
      </c>
      <c r="X79" s="96">
        <f>'Draw Calc (Hidden)'!U61</f>
        <v>0</v>
      </c>
      <c r="Y79" s="96">
        <f>'Draw Calc (Hidden)'!V61</f>
        <v>0</v>
      </c>
      <c r="Z79" s="96">
        <f>'Draw Calc (Hidden)'!W61</f>
        <v>0</v>
      </c>
      <c r="AA79" s="96">
        <f>'Draw Calc (Hidden)'!X61</f>
        <v>0</v>
      </c>
      <c r="AB79" s="96">
        <f>'Draw Calc (Hidden)'!Y61</f>
        <v>0</v>
      </c>
      <c r="AC79" s="96">
        <f>'Draw Calc (Hidden)'!Z61</f>
        <v>0</v>
      </c>
      <c r="AD79" s="96">
        <f>'Draw Calc (Hidden)'!AA61</f>
        <v>0</v>
      </c>
      <c r="AE79" s="96">
        <f>'Draw Calc (Hidden)'!AB61</f>
        <v>0</v>
      </c>
      <c r="AF79" s="96">
        <f>'Draw Calc (Hidden)'!AC61</f>
        <v>0</v>
      </c>
      <c r="AG79" s="96">
        <f>'Draw Calc (Hidden)'!AD61</f>
        <v>0</v>
      </c>
      <c r="AH79" s="96">
        <f>'Draw Calc (Hidden)'!AE61</f>
        <v>0</v>
      </c>
      <c r="AI79" s="96">
        <f>'Draw Calc (Hidden)'!AF61</f>
        <v>0</v>
      </c>
      <c r="AJ79" s="96">
        <f>'Draw Calc (Hidden)'!AG61</f>
        <v>0</v>
      </c>
      <c r="AK79" s="96">
        <f>'Draw Calc (Hidden)'!AH61</f>
        <v>0</v>
      </c>
      <c r="AL79" s="96">
        <f>'Draw Calc (Hidden)'!AI61</f>
        <v>0</v>
      </c>
      <c r="AM79" s="95">
        <f>'Draw Calc (Hidden)'!AJ61</f>
        <v>0</v>
      </c>
      <c r="AN79" s="95">
        <f>'Draw Calc (Hidden)'!AK61</f>
        <v>0</v>
      </c>
      <c r="AO79" s="95">
        <f>'Draw Calc (Hidden)'!AL61</f>
        <v>0</v>
      </c>
    </row>
    <row r="80" spans="1:41" ht="15" customHeight="1" x14ac:dyDescent="0.2">
      <c r="A80" s="94" t="str">
        <f>'I_Budget Input Data'!B62</f>
        <v>3. HARD COSTS</v>
      </c>
      <c r="B80" s="94" t="str">
        <f>'I_Budget Input Data'!C62</f>
        <v>Concrete:Concrete purchases</v>
      </c>
      <c r="C80" s="95">
        <f>'I_Budget Input Data'!D62</f>
        <v>97941</v>
      </c>
      <c r="D80" s="95">
        <f t="shared" si="2"/>
        <v>96434.215384615381</v>
      </c>
      <c r="E80" s="95">
        <f t="shared" si="3"/>
        <v>1506.7846153846185</v>
      </c>
      <c r="F80" s="95">
        <f>'Draw Calc (Hidden)'!C62</f>
        <v>9040.7076923076929</v>
      </c>
      <c r="G80" s="95">
        <f>'Draw Calc (Hidden)'!D62</f>
        <v>9040.7076923076929</v>
      </c>
      <c r="H80" s="95">
        <f>'Draw Calc (Hidden)'!E62</f>
        <v>9040.7076923076929</v>
      </c>
      <c r="I80" s="95">
        <f>'Draw Calc (Hidden)'!F62</f>
        <v>9040.7076923076929</v>
      </c>
      <c r="J80" s="95">
        <f>'Draw Calc (Hidden)'!G62</f>
        <v>9040.7076923076929</v>
      </c>
      <c r="K80" s="95">
        <f>'Draw Calc (Hidden)'!H62</f>
        <v>9040.7076923076929</v>
      </c>
      <c r="L80" s="95">
        <f>'Draw Calc (Hidden)'!I62</f>
        <v>6027.1384615384613</v>
      </c>
      <c r="M80" s="95">
        <f>'Draw Calc (Hidden)'!J62</f>
        <v>6027.1384615384613</v>
      </c>
      <c r="N80" s="95">
        <f>'Draw Calc (Hidden)'!K62</f>
        <v>6027.1384615384613</v>
      </c>
      <c r="O80" s="95">
        <f>'Draw Calc (Hidden)'!L62</f>
        <v>6027.1384615384613</v>
      </c>
      <c r="P80" s="95">
        <f>'Draw Calc (Hidden)'!M62</f>
        <v>6027.1384615384613</v>
      </c>
      <c r="Q80" s="95">
        <f>'Draw Calc (Hidden)'!N62</f>
        <v>6027.1384615384613</v>
      </c>
      <c r="R80" s="95">
        <f>'Draw Calc (Hidden)'!O62</f>
        <v>6027.1384615384613</v>
      </c>
      <c r="S80" s="95">
        <f>'Draw Calc (Hidden)'!P62</f>
        <v>0</v>
      </c>
      <c r="T80" s="95">
        <f>'Draw Calc (Hidden)'!Q62</f>
        <v>0</v>
      </c>
      <c r="U80" s="95">
        <f>'Draw Calc (Hidden)'!R62</f>
        <v>0</v>
      </c>
      <c r="V80" s="95">
        <f>'Draw Calc (Hidden)'!S62</f>
        <v>0</v>
      </c>
      <c r="W80" s="95">
        <f>'Draw Calc (Hidden)'!T62</f>
        <v>0</v>
      </c>
      <c r="X80" s="95">
        <f>'Draw Calc (Hidden)'!U62</f>
        <v>0</v>
      </c>
      <c r="Y80" s="95">
        <f>'Draw Calc (Hidden)'!V62</f>
        <v>0</v>
      </c>
      <c r="Z80" s="95">
        <f>'Draw Calc (Hidden)'!W62</f>
        <v>0</v>
      </c>
      <c r="AA80" s="95">
        <f>'Draw Calc (Hidden)'!X62</f>
        <v>0</v>
      </c>
      <c r="AB80" s="95">
        <f>'Draw Calc (Hidden)'!Y62</f>
        <v>0</v>
      </c>
      <c r="AC80" s="95">
        <f>'Draw Calc (Hidden)'!Z62</f>
        <v>0</v>
      </c>
      <c r="AD80" s="95">
        <f>'Draw Calc (Hidden)'!AA62</f>
        <v>0</v>
      </c>
      <c r="AE80" s="95">
        <f>'Draw Calc (Hidden)'!AB62</f>
        <v>0</v>
      </c>
      <c r="AF80" s="95">
        <f>'Draw Calc (Hidden)'!AC62</f>
        <v>0</v>
      </c>
      <c r="AG80" s="95">
        <f>'Draw Calc (Hidden)'!AD62</f>
        <v>0</v>
      </c>
      <c r="AH80" s="95">
        <f>'Draw Calc (Hidden)'!AE62</f>
        <v>0</v>
      </c>
      <c r="AI80" s="95">
        <f>'Draw Calc (Hidden)'!AF62</f>
        <v>0</v>
      </c>
      <c r="AJ80" s="95">
        <f>'Draw Calc (Hidden)'!AG62</f>
        <v>0</v>
      </c>
      <c r="AK80" s="95">
        <f>'Draw Calc (Hidden)'!AH62</f>
        <v>0</v>
      </c>
      <c r="AL80" s="95">
        <f>'Draw Calc (Hidden)'!AI62</f>
        <v>0</v>
      </c>
      <c r="AM80" s="95">
        <f>'Draw Calc (Hidden)'!AJ62</f>
        <v>0</v>
      </c>
      <c r="AN80" s="95">
        <f>'Draw Calc (Hidden)'!AK62</f>
        <v>0</v>
      </c>
      <c r="AO80" s="95">
        <f>'Draw Calc (Hidden)'!AL62</f>
        <v>0</v>
      </c>
    </row>
    <row r="81" spans="1:41" ht="15" customHeight="1" x14ac:dyDescent="0.2">
      <c r="A81" s="94" t="str">
        <f>'I_Budget Input Data'!B63</f>
        <v>3. HARD COSTS</v>
      </c>
      <c r="B81" s="94" t="str">
        <f>'I_Budget Input Data'!C63</f>
        <v>Formwork:Insulated formwork</v>
      </c>
      <c r="C81" s="95">
        <f>'I_Budget Input Data'!D63</f>
        <v>2681518</v>
      </c>
      <c r="D81" s="95">
        <f t="shared" si="2"/>
        <v>2640263.8769230773</v>
      </c>
      <c r="E81" s="95">
        <f t="shared" si="3"/>
        <v>41254.123076922726</v>
      </c>
      <c r="F81" s="95">
        <f>'Draw Calc (Hidden)'!C63</f>
        <v>247524.73846153848</v>
      </c>
      <c r="G81" s="95">
        <f>'Draw Calc (Hidden)'!D63</f>
        <v>247524.73846153848</v>
      </c>
      <c r="H81" s="95">
        <f>'Draw Calc (Hidden)'!E63</f>
        <v>247524.73846153848</v>
      </c>
      <c r="I81" s="95">
        <f>'Draw Calc (Hidden)'!F63</f>
        <v>247524.73846153848</v>
      </c>
      <c r="J81" s="95">
        <f>'Draw Calc (Hidden)'!G63</f>
        <v>247524.73846153848</v>
      </c>
      <c r="K81" s="95">
        <f>'Draw Calc (Hidden)'!H63</f>
        <v>247524.73846153848</v>
      </c>
      <c r="L81" s="95">
        <f>'Draw Calc (Hidden)'!I63</f>
        <v>165016.4923076923</v>
      </c>
      <c r="M81" s="95">
        <f>'Draw Calc (Hidden)'!J63</f>
        <v>165016.4923076923</v>
      </c>
      <c r="N81" s="95">
        <f>'Draw Calc (Hidden)'!K63</f>
        <v>165016.4923076923</v>
      </c>
      <c r="O81" s="95">
        <f>'Draw Calc (Hidden)'!L63</f>
        <v>165016.4923076923</v>
      </c>
      <c r="P81" s="95">
        <f>'Draw Calc (Hidden)'!M63</f>
        <v>165016.4923076923</v>
      </c>
      <c r="Q81" s="95">
        <f>'Draw Calc (Hidden)'!N63</f>
        <v>165016.4923076923</v>
      </c>
      <c r="R81" s="95">
        <f>'Draw Calc (Hidden)'!O63</f>
        <v>165016.4923076923</v>
      </c>
      <c r="S81" s="95">
        <f>'Draw Calc (Hidden)'!P63</f>
        <v>0</v>
      </c>
      <c r="T81" s="95">
        <f>'Draw Calc (Hidden)'!Q63</f>
        <v>0</v>
      </c>
      <c r="U81" s="95">
        <f>'Draw Calc (Hidden)'!R63</f>
        <v>0</v>
      </c>
      <c r="V81" s="95">
        <f>'Draw Calc (Hidden)'!S63</f>
        <v>0</v>
      </c>
      <c r="W81" s="95">
        <f>'Draw Calc (Hidden)'!T63</f>
        <v>0</v>
      </c>
      <c r="X81" s="95">
        <f>'Draw Calc (Hidden)'!U63</f>
        <v>0</v>
      </c>
      <c r="Y81" s="95">
        <f>'Draw Calc (Hidden)'!V63</f>
        <v>0</v>
      </c>
      <c r="Z81" s="95">
        <f>'Draw Calc (Hidden)'!W63</f>
        <v>0</v>
      </c>
      <c r="AA81" s="95">
        <f>'Draw Calc (Hidden)'!X63</f>
        <v>0</v>
      </c>
      <c r="AB81" s="95">
        <f>'Draw Calc (Hidden)'!Y63</f>
        <v>0</v>
      </c>
      <c r="AC81" s="95">
        <f>'Draw Calc (Hidden)'!Z63</f>
        <v>0</v>
      </c>
      <c r="AD81" s="95">
        <f>'Draw Calc (Hidden)'!AA63</f>
        <v>0</v>
      </c>
      <c r="AE81" s="95">
        <f>'Draw Calc (Hidden)'!AB63</f>
        <v>0</v>
      </c>
      <c r="AF81" s="95">
        <f>'Draw Calc (Hidden)'!AC63</f>
        <v>0</v>
      </c>
      <c r="AG81" s="95">
        <f>'Draw Calc (Hidden)'!AD63</f>
        <v>0</v>
      </c>
      <c r="AH81" s="95">
        <f>'Draw Calc (Hidden)'!AE63</f>
        <v>0</v>
      </c>
      <c r="AI81" s="95">
        <f>'Draw Calc (Hidden)'!AF63</f>
        <v>0</v>
      </c>
      <c r="AJ81" s="95">
        <f>'Draw Calc (Hidden)'!AG63</f>
        <v>0</v>
      </c>
      <c r="AK81" s="95">
        <f>'Draw Calc (Hidden)'!AH63</f>
        <v>0</v>
      </c>
      <c r="AL81" s="95">
        <f>'Draw Calc (Hidden)'!AI63</f>
        <v>0</v>
      </c>
      <c r="AM81" s="95">
        <f>'Draw Calc (Hidden)'!AJ63</f>
        <v>0</v>
      </c>
      <c r="AN81" s="95">
        <f>'Draw Calc (Hidden)'!AK63</f>
        <v>0</v>
      </c>
      <c r="AO81" s="95">
        <f>'Draw Calc (Hidden)'!AL63</f>
        <v>0</v>
      </c>
    </row>
    <row r="82" spans="1:41" ht="15" customHeight="1" x14ac:dyDescent="0.2">
      <c r="A82" s="94" t="str">
        <f>'I_Budget Input Data'!B64</f>
        <v>3. HARD COSTS</v>
      </c>
      <c r="B82" s="94">
        <f>'I_Budget Input Data'!C64</f>
        <v>0</v>
      </c>
      <c r="C82" s="95">
        <f>'I_Budget Input Data'!D64</f>
        <v>0</v>
      </c>
      <c r="D82" s="95">
        <f t="shared" si="2"/>
        <v>0</v>
      </c>
      <c r="E82" s="95">
        <f t="shared" si="3"/>
        <v>0</v>
      </c>
      <c r="F82" s="95">
        <f>'Draw Calc (Hidden)'!C64</f>
        <v>0</v>
      </c>
      <c r="G82" s="95">
        <f>'Draw Calc (Hidden)'!D64</f>
        <v>0</v>
      </c>
      <c r="H82" s="95">
        <f>'Draw Calc (Hidden)'!E64</f>
        <v>0</v>
      </c>
      <c r="I82" s="95">
        <f>'Draw Calc (Hidden)'!F64</f>
        <v>0</v>
      </c>
      <c r="J82" s="95">
        <f>'Draw Calc (Hidden)'!G64</f>
        <v>0</v>
      </c>
      <c r="K82" s="95">
        <f>'Draw Calc (Hidden)'!H64</f>
        <v>0</v>
      </c>
      <c r="L82" s="95">
        <f>'Draw Calc (Hidden)'!I64</f>
        <v>0</v>
      </c>
      <c r="M82" s="95">
        <f>'Draw Calc (Hidden)'!J64</f>
        <v>0</v>
      </c>
      <c r="N82" s="95">
        <f>'Draw Calc (Hidden)'!K64</f>
        <v>0</v>
      </c>
      <c r="O82" s="95">
        <f>'Draw Calc (Hidden)'!L64</f>
        <v>0</v>
      </c>
      <c r="P82" s="95">
        <f>'Draw Calc (Hidden)'!M64</f>
        <v>0</v>
      </c>
      <c r="Q82" s="95">
        <f>'Draw Calc (Hidden)'!N64</f>
        <v>0</v>
      </c>
      <c r="R82" s="95">
        <f>'Draw Calc (Hidden)'!O64</f>
        <v>0</v>
      </c>
      <c r="S82" s="95">
        <f>'Draw Calc (Hidden)'!P64</f>
        <v>0</v>
      </c>
      <c r="T82" s="95">
        <f>'Draw Calc (Hidden)'!Q64</f>
        <v>0</v>
      </c>
      <c r="U82" s="95">
        <f>'Draw Calc (Hidden)'!R64</f>
        <v>0</v>
      </c>
      <c r="V82" s="95">
        <f>'Draw Calc (Hidden)'!S64</f>
        <v>0</v>
      </c>
      <c r="W82" s="95">
        <f>'Draw Calc (Hidden)'!T64</f>
        <v>0</v>
      </c>
      <c r="X82" s="95">
        <f>'Draw Calc (Hidden)'!U64</f>
        <v>0</v>
      </c>
      <c r="Y82" s="95">
        <f>'Draw Calc (Hidden)'!V64</f>
        <v>0</v>
      </c>
      <c r="Z82" s="95">
        <f>'Draw Calc (Hidden)'!W64</f>
        <v>0</v>
      </c>
      <c r="AA82" s="95">
        <f>'Draw Calc (Hidden)'!X64</f>
        <v>0</v>
      </c>
      <c r="AB82" s="95">
        <f>'Draw Calc (Hidden)'!Y64</f>
        <v>0</v>
      </c>
      <c r="AC82" s="95">
        <f>'Draw Calc (Hidden)'!Z64</f>
        <v>0</v>
      </c>
      <c r="AD82" s="95">
        <f>'Draw Calc (Hidden)'!AA64</f>
        <v>0</v>
      </c>
      <c r="AE82" s="95">
        <f>'Draw Calc (Hidden)'!AB64</f>
        <v>0</v>
      </c>
      <c r="AF82" s="95">
        <f>'Draw Calc (Hidden)'!AC64</f>
        <v>0</v>
      </c>
      <c r="AG82" s="95">
        <f>'Draw Calc (Hidden)'!AD64</f>
        <v>0</v>
      </c>
      <c r="AH82" s="95">
        <f>'Draw Calc (Hidden)'!AE64</f>
        <v>0</v>
      </c>
      <c r="AI82" s="95">
        <f>'Draw Calc (Hidden)'!AF64</f>
        <v>0</v>
      </c>
      <c r="AJ82" s="95">
        <f>'Draw Calc (Hidden)'!AG64</f>
        <v>0</v>
      </c>
      <c r="AK82" s="95">
        <f>'Draw Calc (Hidden)'!AH64</f>
        <v>0</v>
      </c>
      <c r="AL82" s="95">
        <f>'Draw Calc (Hidden)'!AI64</f>
        <v>0</v>
      </c>
      <c r="AM82" s="95">
        <f>'Draw Calc (Hidden)'!AJ64</f>
        <v>0</v>
      </c>
      <c r="AN82" s="95">
        <f>'Draw Calc (Hidden)'!AK64</f>
        <v>0</v>
      </c>
      <c r="AO82" s="95">
        <f>'Draw Calc (Hidden)'!AL64</f>
        <v>0</v>
      </c>
    </row>
    <row r="83" spans="1:41" ht="15" customHeight="1" x14ac:dyDescent="0.2">
      <c r="A83" s="94" t="str">
        <f>'I_Budget Input Data'!B65</f>
        <v>3. HARD COSTS</v>
      </c>
      <c r="B83" s="94" t="str">
        <f>'I_Budget Input Data'!C65</f>
        <v>Formwork:Wire mesh - Hambro floors</v>
      </c>
      <c r="C83" s="95">
        <f>'I_Budget Input Data'!D65</f>
        <v>62581</v>
      </c>
      <c r="D83" s="95">
        <f t="shared" si="2"/>
        <v>61618.215384615367</v>
      </c>
      <c r="E83" s="95">
        <f t="shared" si="3"/>
        <v>962.78461538463307</v>
      </c>
      <c r="F83" s="95">
        <f>'Draw Calc (Hidden)'!C65</f>
        <v>5776.707692307692</v>
      </c>
      <c r="G83" s="95">
        <f>'Draw Calc (Hidden)'!D65</f>
        <v>5776.707692307692</v>
      </c>
      <c r="H83" s="95">
        <f>'Draw Calc (Hidden)'!E65</f>
        <v>5776.707692307692</v>
      </c>
      <c r="I83" s="95">
        <f>'Draw Calc (Hidden)'!F65</f>
        <v>5776.707692307692</v>
      </c>
      <c r="J83" s="95">
        <f>'Draw Calc (Hidden)'!G65</f>
        <v>5776.707692307692</v>
      </c>
      <c r="K83" s="95">
        <f>'Draw Calc (Hidden)'!H65</f>
        <v>5776.707692307692</v>
      </c>
      <c r="L83" s="95">
        <f>'Draw Calc (Hidden)'!I65</f>
        <v>3851.1384615384618</v>
      </c>
      <c r="M83" s="95">
        <f>'Draw Calc (Hidden)'!J65</f>
        <v>3851.1384615384618</v>
      </c>
      <c r="N83" s="95">
        <f>'Draw Calc (Hidden)'!K65</f>
        <v>3851.1384615384618</v>
      </c>
      <c r="O83" s="95">
        <f>'Draw Calc (Hidden)'!L65</f>
        <v>3851.1384615384618</v>
      </c>
      <c r="P83" s="95">
        <f>'Draw Calc (Hidden)'!M65</f>
        <v>3851.1384615384618</v>
      </c>
      <c r="Q83" s="95">
        <f>'Draw Calc (Hidden)'!N65</f>
        <v>3851.1384615384618</v>
      </c>
      <c r="R83" s="95">
        <f>'Draw Calc (Hidden)'!O65</f>
        <v>3851.1384615384618</v>
      </c>
      <c r="S83" s="95">
        <f>'Draw Calc (Hidden)'!P65</f>
        <v>0</v>
      </c>
      <c r="T83" s="95">
        <f>'Draw Calc (Hidden)'!Q65</f>
        <v>0</v>
      </c>
      <c r="U83" s="95">
        <f>'Draw Calc (Hidden)'!R65</f>
        <v>0</v>
      </c>
      <c r="V83" s="95">
        <f>'Draw Calc (Hidden)'!S65</f>
        <v>0</v>
      </c>
      <c r="W83" s="95">
        <f>'Draw Calc (Hidden)'!T65</f>
        <v>0</v>
      </c>
      <c r="X83" s="95">
        <f>'Draw Calc (Hidden)'!U65</f>
        <v>0</v>
      </c>
      <c r="Y83" s="95">
        <f>'Draw Calc (Hidden)'!V65</f>
        <v>0</v>
      </c>
      <c r="Z83" s="95">
        <f>'Draw Calc (Hidden)'!W65</f>
        <v>0</v>
      </c>
      <c r="AA83" s="95">
        <f>'Draw Calc (Hidden)'!X65</f>
        <v>0</v>
      </c>
      <c r="AB83" s="95">
        <f>'Draw Calc (Hidden)'!Y65</f>
        <v>0</v>
      </c>
      <c r="AC83" s="95">
        <f>'Draw Calc (Hidden)'!Z65</f>
        <v>0</v>
      </c>
      <c r="AD83" s="95">
        <f>'Draw Calc (Hidden)'!AA65</f>
        <v>0</v>
      </c>
      <c r="AE83" s="95">
        <f>'Draw Calc (Hidden)'!AB65</f>
        <v>0</v>
      </c>
      <c r="AF83" s="95">
        <f>'Draw Calc (Hidden)'!AC65</f>
        <v>0</v>
      </c>
      <c r="AG83" s="95">
        <f>'Draw Calc (Hidden)'!AD65</f>
        <v>0</v>
      </c>
      <c r="AH83" s="95">
        <f>'Draw Calc (Hidden)'!AE65</f>
        <v>0</v>
      </c>
      <c r="AI83" s="95">
        <f>'Draw Calc (Hidden)'!AF65</f>
        <v>0</v>
      </c>
      <c r="AJ83" s="95">
        <f>'Draw Calc (Hidden)'!AG65</f>
        <v>0</v>
      </c>
      <c r="AK83" s="95">
        <f>'Draw Calc (Hidden)'!AH65</f>
        <v>0</v>
      </c>
      <c r="AL83" s="95">
        <f>'Draw Calc (Hidden)'!AI65</f>
        <v>0</v>
      </c>
      <c r="AM83" s="95">
        <f>'Draw Calc (Hidden)'!AJ65</f>
        <v>0</v>
      </c>
      <c r="AN83" s="95">
        <f>'Draw Calc (Hidden)'!AK65</f>
        <v>0</v>
      </c>
      <c r="AO83" s="95">
        <f>'Draw Calc (Hidden)'!AL65</f>
        <v>0</v>
      </c>
    </row>
    <row r="84" spans="1:41" ht="15" customHeight="1" x14ac:dyDescent="0.2">
      <c r="A84" s="94" t="str">
        <f>'I_Budget Input Data'!B66</f>
        <v>3. HARD COSTS</v>
      </c>
      <c r="B84" s="94" t="str">
        <f>'I_Budget Input Data'!C66</f>
        <v>Formwork:Cement finishing</v>
      </c>
      <c r="C84" s="95">
        <f>'I_Budget Input Data'!D66</f>
        <v>163654</v>
      </c>
      <c r="D84" s="95">
        <f t="shared" si="2"/>
        <v>161136.24615384618</v>
      </c>
      <c r="E84" s="95">
        <f t="shared" si="3"/>
        <v>2517.7538461538206</v>
      </c>
      <c r="F84" s="95">
        <f>'Draw Calc (Hidden)'!C66</f>
        <v>15106.523076923077</v>
      </c>
      <c r="G84" s="95">
        <f>'Draw Calc (Hidden)'!D66</f>
        <v>15106.523076923077</v>
      </c>
      <c r="H84" s="95">
        <f>'Draw Calc (Hidden)'!E66</f>
        <v>15106.523076923077</v>
      </c>
      <c r="I84" s="95">
        <f>'Draw Calc (Hidden)'!F66</f>
        <v>15106.523076923077</v>
      </c>
      <c r="J84" s="95">
        <f>'Draw Calc (Hidden)'!G66</f>
        <v>15106.523076923077</v>
      </c>
      <c r="K84" s="95">
        <f>'Draw Calc (Hidden)'!H66</f>
        <v>15106.523076923077</v>
      </c>
      <c r="L84" s="95">
        <f>'Draw Calc (Hidden)'!I66</f>
        <v>10071.015384615386</v>
      </c>
      <c r="M84" s="95">
        <f>'Draw Calc (Hidden)'!J66</f>
        <v>10071.015384615386</v>
      </c>
      <c r="N84" s="95">
        <f>'Draw Calc (Hidden)'!K66</f>
        <v>10071.015384615386</v>
      </c>
      <c r="O84" s="95">
        <f>'Draw Calc (Hidden)'!L66</f>
        <v>10071.015384615386</v>
      </c>
      <c r="P84" s="95">
        <f>'Draw Calc (Hidden)'!M66</f>
        <v>10071.015384615386</v>
      </c>
      <c r="Q84" s="95">
        <f>'Draw Calc (Hidden)'!N66</f>
        <v>10071.015384615386</v>
      </c>
      <c r="R84" s="95">
        <f>'Draw Calc (Hidden)'!O66</f>
        <v>10071.015384615386</v>
      </c>
      <c r="S84" s="95">
        <f>'Draw Calc (Hidden)'!P66</f>
        <v>0</v>
      </c>
      <c r="T84" s="95">
        <f>'Draw Calc (Hidden)'!Q66</f>
        <v>0</v>
      </c>
      <c r="U84" s="95">
        <f>'Draw Calc (Hidden)'!R66</f>
        <v>0</v>
      </c>
      <c r="V84" s="95">
        <f>'Draw Calc (Hidden)'!S66</f>
        <v>0</v>
      </c>
      <c r="W84" s="95">
        <f>'Draw Calc (Hidden)'!T66</f>
        <v>0</v>
      </c>
      <c r="X84" s="95">
        <f>'Draw Calc (Hidden)'!U66</f>
        <v>0</v>
      </c>
      <c r="Y84" s="95">
        <f>'Draw Calc (Hidden)'!V66</f>
        <v>0</v>
      </c>
      <c r="Z84" s="95">
        <f>'Draw Calc (Hidden)'!W66</f>
        <v>0</v>
      </c>
      <c r="AA84" s="95">
        <f>'Draw Calc (Hidden)'!X66</f>
        <v>0</v>
      </c>
      <c r="AB84" s="95">
        <f>'Draw Calc (Hidden)'!Y66</f>
        <v>0</v>
      </c>
      <c r="AC84" s="95">
        <f>'Draw Calc (Hidden)'!Z66</f>
        <v>0</v>
      </c>
      <c r="AD84" s="95">
        <f>'Draw Calc (Hidden)'!AA66</f>
        <v>0</v>
      </c>
      <c r="AE84" s="95">
        <f>'Draw Calc (Hidden)'!AB66</f>
        <v>0</v>
      </c>
      <c r="AF84" s="95">
        <f>'Draw Calc (Hidden)'!AC66</f>
        <v>0</v>
      </c>
      <c r="AG84" s="95">
        <f>'Draw Calc (Hidden)'!AD66</f>
        <v>0</v>
      </c>
      <c r="AH84" s="95">
        <f>'Draw Calc (Hidden)'!AE66</f>
        <v>0</v>
      </c>
      <c r="AI84" s="95">
        <f>'Draw Calc (Hidden)'!AF66</f>
        <v>0</v>
      </c>
      <c r="AJ84" s="95">
        <f>'Draw Calc (Hidden)'!AG66</f>
        <v>0</v>
      </c>
      <c r="AK84" s="95">
        <f>'Draw Calc (Hidden)'!AH66</f>
        <v>0</v>
      </c>
      <c r="AL84" s="95">
        <f>'Draw Calc (Hidden)'!AI66</f>
        <v>0</v>
      </c>
      <c r="AM84" s="95">
        <f>'Draw Calc (Hidden)'!AJ66</f>
        <v>0</v>
      </c>
      <c r="AN84" s="95">
        <f>'Draw Calc (Hidden)'!AK66</f>
        <v>0</v>
      </c>
      <c r="AO84" s="95">
        <f>'Draw Calc (Hidden)'!AL66</f>
        <v>0</v>
      </c>
    </row>
    <row r="85" spans="1:41" ht="15" customHeight="1" x14ac:dyDescent="0.2">
      <c r="A85" s="94" t="str">
        <f>'I_Budget Input Data'!B67</f>
        <v>3. HARD COSTS</v>
      </c>
      <c r="B85" s="94" t="str">
        <f>'I_Budget Input Data'!C67</f>
        <v>Formwork:Stair slab cement finishing</v>
      </c>
      <c r="C85" s="95">
        <f>'I_Budget Input Data'!D67</f>
        <v>0</v>
      </c>
      <c r="D85" s="95">
        <f t="shared" si="2"/>
        <v>0</v>
      </c>
      <c r="E85" s="95">
        <f t="shared" si="3"/>
        <v>0</v>
      </c>
      <c r="F85" s="95">
        <f>'Draw Calc (Hidden)'!C67</f>
        <v>0</v>
      </c>
      <c r="G85" s="95">
        <f>'Draw Calc (Hidden)'!D67</f>
        <v>0</v>
      </c>
      <c r="H85" s="95">
        <f>'Draw Calc (Hidden)'!E67</f>
        <v>0</v>
      </c>
      <c r="I85" s="95">
        <f>'Draw Calc (Hidden)'!F67</f>
        <v>0</v>
      </c>
      <c r="J85" s="95">
        <f>'Draw Calc (Hidden)'!G67</f>
        <v>0</v>
      </c>
      <c r="K85" s="95">
        <f>'Draw Calc (Hidden)'!H67</f>
        <v>0</v>
      </c>
      <c r="L85" s="95">
        <f>'Draw Calc (Hidden)'!I67</f>
        <v>0</v>
      </c>
      <c r="M85" s="95">
        <f>'Draw Calc (Hidden)'!J67</f>
        <v>0</v>
      </c>
      <c r="N85" s="95">
        <f>'Draw Calc (Hidden)'!K67</f>
        <v>0</v>
      </c>
      <c r="O85" s="95">
        <f>'Draw Calc (Hidden)'!L67</f>
        <v>0</v>
      </c>
      <c r="P85" s="95">
        <f>'Draw Calc (Hidden)'!M67</f>
        <v>0</v>
      </c>
      <c r="Q85" s="95">
        <f>'Draw Calc (Hidden)'!N67</f>
        <v>0</v>
      </c>
      <c r="R85" s="95">
        <f>'Draw Calc (Hidden)'!O67</f>
        <v>0</v>
      </c>
      <c r="S85" s="95">
        <f>'Draw Calc (Hidden)'!P67</f>
        <v>0</v>
      </c>
      <c r="T85" s="95">
        <f>'Draw Calc (Hidden)'!Q67</f>
        <v>0</v>
      </c>
      <c r="U85" s="95">
        <f>'Draw Calc (Hidden)'!R67</f>
        <v>0</v>
      </c>
      <c r="V85" s="95">
        <f>'Draw Calc (Hidden)'!S67</f>
        <v>0</v>
      </c>
      <c r="W85" s="95">
        <f>'Draw Calc (Hidden)'!T67</f>
        <v>0</v>
      </c>
      <c r="X85" s="95">
        <f>'Draw Calc (Hidden)'!U67</f>
        <v>0</v>
      </c>
      <c r="Y85" s="95">
        <f>'Draw Calc (Hidden)'!V67</f>
        <v>0</v>
      </c>
      <c r="Z85" s="95">
        <f>'Draw Calc (Hidden)'!W67</f>
        <v>0</v>
      </c>
      <c r="AA85" s="95">
        <f>'Draw Calc (Hidden)'!X67</f>
        <v>0</v>
      </c>
      <c r="AB85" s="95">
        <f>'Draw Calc (Hidden)'!Y67</f>
        <v>0</v>
      </c>
      <c r="AC85" s="95">
        <f>'Draw Calc (Hidden)'!Z67</f>
        <v>0</v>
      </c>
      <c r="AD85" s="95">
        <f>'Draw Calc (Hidden)'!AA67</f>
        <v>0</v>
      </c>
      <c r="AE85" s="95">
        <f>'Draw Calc (Hidden)'!AB67</f>
        <v>0</v>
      </c>
      <c r="AF85" s="95">
        <f>'Draw Calc (Hidden)'!AC67</f>
        <v>0</v>
      </c>
      <c r="AG85" s="95">
        <f>'Draw Calc (Hidden)'!AD67</f>
        <v>0</v>
      </c>
      <c r="AH85" s="95">
        <f>'Draw Calc (Hidden)'!AE67</f>
        <v>0</v>
      </c>
      <c r="AI85" s="95">
        <f>'Draw Calc (Hidden)'!AF67</f>
        <v>0</v>
      </c>
      <c r="AJ85" s="95">
        <f>'Draw Calc (Hidden)'!AG67</f>
        <v>0</v>
      </c>
      <c r="AK85" s="95">
        <f>'Draw Calc (Hidden)'!AH67</f>
        <v>0</v>
      </c>
      <c r="AL85" s="95">
        <f>'Draw Calc (Hidden)'!AI67</f>
        <v>0</v>
      </c>
      <c r="AM85" s="95">
        <f>'Draw Calc (Hidden)'!AJ67</f>
        <v>0</v>
      </c>
      <c r="AN85" s="95">
        <f>'Draw Calc (Hidden)'!AK67</f>
        <v>0</v>
      </c>
      <c r="AO85" s="95">
        <f>'Draw Calc (Hidden)'!AL67</f>
        <v>0</v>
      </c>
    </row>
    <row r="86" spans="1:41" ht="15" customHeight="1" x14ac:dyDescent="0.2">
      <c r="A86" s="94" t="str">
        <f>'I_Budget Input Data'!B68</f>
        <v>3. HARD COSTS</v>
      </c>
      <c r="B86" s="94" t="str">
        <f>'I_Budget Input Data'!C68</f>
        <v>Formwork:Stair slab concrete pumps</v>
      </c>
      <c r="C86" s="95">
        <f>'I_Budget Input Data'!D68</f>
        <v>0</v>
      </c>
      <c r="D86" s="95">
        <f t="shared" si="2"/>
        <v>0</v>
      </c>
      <c r="E86" s="95">
        <f t="shared" si="3"/>
        <v>0</v>
      </c>
      <c r="F86" s="95">
        <f>'Draw Calc (Hidden)'!C68</f>
        <v>0</v>
      </c>
      <c r="G86" s="95">
        <f>'Draw Calc (Hidden)'!D68</f>
        <v>0</v>
      </c>
      <c r="H86" s="95">
        <f>'Draw Calc (Hidden)'!E68</f>
        <v>0</v>
      </c>
      <c r="I86" s="95">
        <f>'Draw Calc (Hidden)'!F68</f>
        <v>0</v>
      </c>
      <c r="J86" s="95">
        <f>'Draw Calc (Hidden)'!G68</f>
        <v>0</v>
      </c>
      <c r="K86" s="95">
        <f>'Draw Calc (Hidden)'!H68</f>
        <v>0</v>
      </c>
      <c r="L86" s="95">
        <f>'Draw Calc (Hidden)'!I68</f>
        <v>0</v>
      </c>
      <c r="M86" s="95">
        <f>'Draw Calc (Hidden)'!J68</f>
        <v>0</v>
      </c>
      <c r="N86" s="95">
        <f>'Draw Calc (Hidden)'!K68</f>
        <v>0</v>
      </c>
      <c r="O86" s="95">
        <f>'Draw Calc (Hidden)'!L68</f>
        <v>0</v>
      </c>
      <c r="P86" s="95">
        <f>'Draw Calc (Hidden)'!M68</f>
        <v>0</v>
      </c>
      <c r="Q86" s="95">
        <f>'Draw Calc (Hidden)'!N68</f>
        <v>0</v>
      </c>
      <c r="R86" s="95">
        <f>'Draw Calc (Hidden)'!O68</f>
        <v>0</v>
      </c>
      <c r="S86" s="95">
        <f>'Draw Calc (Hidden)'!P68</f>
        <v>0</v>
      </c>
      <c r="T86" s="95">
        <f>'Draw Calc (Hidden)'!Q68</f>
        <v>0</v>
      </c>
      <c r="U86" s="95">
        <f>'Draw Calc (Hidden)'!R68</f>
        <v>0</v>
      </c>
      <c r="V86" s="95">
        <f>'Draw Calc (Hidden)'!S68</f>
        <v>0</v>
      </c>
      <c r="W86" s="95">
        <f>'Draw Calc (Hidden)'!T68</f>
        <v>0</v>
      </c>
      <c r="X86" s="95">
        <f>'Draw Calc (Hidden)'!U68</f>
        <v>0</v>
      </c>
      <c r="Y86" s="95">
        <f>'Draw Calc (Hidden)'!V68</f>
        <v>0</v>
      </c>
      <c r="Z86" s="95">
        <f>'Draw Calc (Hidden)'!W68</f>
        <v>0</v>
      </c>
      <c r="AA86" s="95">
        <f>'Draw Calc (Hidden)'!X68</f>
        <v>0</v>
      </c>
      <c r="AB86" s="95">
        <f>'Draw Calc (Hidden)'!Y68</f>
        <v>0</v>
      </c>
      <c r="AC86" s="95">
        <f>'Draw Calc (Hidden)'!Z68</f>
        <v>0</v>
      </c>
      <c r="AD86" s="95">
        <f>'Draw Calc (Hidden)'!AA68</f>
        <v>0</v>
      </c>
      <c r="AE86" s="95">
        <f>'Draw Calc (Hidden)'!AB68</f>
        <v>0</v>
      </c>
      <c r="AF86" s="95">
        <f>'Draw Calc (Hidden)'!AC68</f>
        <v>0</v>
      </c>
      <c r="AG86" s="95">
        <f>'Draw Calc (Hidden)'!AD68</f>
        <v>0</v>
      </c>
      <c r="AH86" s="95">
        <f>'Draw Calc (Hidden)'!AE68</f>
        <v>0</v>
      </c>
      <c r="AI86" s="95">
        <f>'Draw Calc (Hidden)'!AF68</f>
        <v>0</v>
      </c>
      <c r="AJ86" s="95">
        <f>'Draw Calc (Hidden)'!AG68</f>
        <v>0</v>
      </c>
      <c r="AK86" s="95">
        <f>'Draw Calc (Hidden)'!AH68</f>
        <v>0</v>
      </c>
      <c r="AL86" s="95">
        <f>'Draw Calc (Hidden)'!AI68</f>
        <v>0</v>
      </c>
      <c r="AM86" s="95">
        <f>'Draw Calc (Hidden)'!AJ68</f>
        <v>0</v>
      </c>
      <c r="AN86" s="95">
        <f>'Draw Calc (Hidden)'!AK68</f>
        <v>0</v>
      </c>
      <c r="AO86" s="95">
        <f>'Draw Calc (Hidden)'!AL68</f>
        <v>0</v>
      </c>
    </row>
    <row r="87" spans="1:41" ht="15" customHeight="1" x14ac:dyDescent="0.2">
      <c r="A87" s="94" t="str">
        <f>'I_Budget Input Data'!B69</f>
        <v>3. HARD COSTS</v>
      </c>
      <c r="B87" s="94" t="str">
        <f>'I_Budget Input Data'!C69</f>
        <v>Formwork:Concrete pumps</v>
      </c>
      <c r="C87" s="95">
        <f>'I_Budget Input Data'!D69</f>
        <v>31715</v>
      </c>
      <c r="D87" s="95">
        <f t="shared" si="2"/>
        <v>31227.076923076929</v>
      </c>
      <c r="E87" s="95">
        <f t="shared" si="3"/>
        <v>487.92307692307077</v>
      </c>
      <c r="F87" s="95">
        <f>'Draw Calc (Hidden)'!C69</f>
        <v>2927.5384615384614</v>
      </c>
      <c r="G87" s="95">
        <f>'Draw Calc (Hidden)'!D69</f>
        <v>2927.5384615384614</v>
      </c>
      <c r="H87" s="95">
        <f>'Draw Calc (Hidden)'!E69</f>
        <v>2927.5384615384614</v>
      </c>
      <c r="I87" s="95">
        <f>'Draw Calc (Hidden)'!F69</f>
        <v>2927.5384615384614</v>
      </c>
      <c r="J87" s="95">
        <f>'Draw Calc (Hidden)'!G69</f>
        <v>2927.5384615384614</v>
      </c>
      <c r="K87" s="95">
        <f>'Draw Calc (Hidden)'!H69</f>
        <v>2927.5384615384614</v>
      </c>
      <c r="L87" s="95">
        <f>'Draw Calc (Hidden)'!I69</f>
        <v>1951.6923076923076</v>
      </c>
      <c r="M87" s="95">
        <f>'Draw Calc (Hidden)'!J69</f>
        <v>1951.6923076923076</v>
      </c>
      <c r="N87" s="95">
        <f>'Draw Calc (Hidden)'!K69</f>
        <v>1951.6923076923076</v>
      </c>
      <c r="O87" s="95">
        <f>'Draw Calc (Hidden)'!L69</f>
        <v>1951.6923076923076</v>
      </c>
      <c r="P87" s="95">
        <f>'Draw Calc (Hidden)'!M69</f>
        <v>1951.6923076923076</v>
      </c>
      <c r="Q87" s="95">
        <f>'Draw Calc (Hidden)'!N69</f>
        <v>1951.6923076923076</v>
      </c>
      <c r="R87" s="95">
        <f>'Draw Calc (Hidden)'!O69</f>
        <v>1951.6923076923076</v>
      </c>
      <c r="S87" s="95">
        <f>'Draw Calc (Hidden)'!P69</f>
        <v>0</v>
      </c>
      <c r="T87" s="95">
        <f>'Draw Calc (Hidden)'!Q69</f>
        <v>0</v>
      </c>
      <c r="U87" s="95">
        <f>'Draw Calc (Hidden)'!R69</f>
        <v>0</v>
      </c>
      <c r="V87" s="95">
        <f>'Draw Calc (Hidden)'!S69</f>
        <v>0</v>
      </c>
      <c r="W87" s="95">
        <f>'Draw Calc (Hidden)'!T69</f>
        <v>0</v>
      </c>
      <c r="X87" s="95">
        <f>'Draw Calc (Hidden)'!U69</f>
        <v>0</v>
      </c>
      <c r="Y87" s="95">
        <f>'Draw Calc (Hidden)'!V69</f>
        <v>0</v>
      </c>
      <c r="Z87" s="95">
        <f>'Draw Calc (Hidden)'!W69</f>
        <v>0</v>
      </c>
      <c r="AA87" s="95">
        <f>'Draw Calc (Hidden)'!X69</f>
        <v>0</v>
      </c>
      <c r="AB87" s="95">
        <f>'Draw Calc (Hidden)'!Y69</f>
        <v>0</v>
      </c>
      <c r="AC87" s="95">
        <f>'Draw Calc (Hidden)'!Z69</f>
        <v>0</v>
      </c>
      <c r="AD87" s="95">
        <f>'Draw Calc (Hidden)'!AA69</f>
        <v>0</v>
      </c>
      <c r="AE87" s="95">
        <f>'Draw Calc (Hidden)'!AB69</f>
        <v>0</v>
      </c>
      <c r="AF87" s="95">
        <f>'Draw Calc (Hidden)'!AC69</f>
        <v>0</v>
      </c>
      <c r="AG87" s="95">
        <f>'Draw Calc (Hidden)'!AD69</f>
        <v>0</v>
      </c>
      <c r="AH87" s="95">
        <f>'Draw Calc (Hidden)'!AE69</f>
        <v>0</v>
      </c>
      <c r="AI87" s="95">
        <f>'Draw Calc (Hidden)'!AF69</f>
        <v>0</v>
      </c>
      <c r="AJ87" s="95">
        <f>'Draw Calc (Hidden)'!AG69</f>
        <v>0</v>
      </c>
      <c r="AK87" s="95">
        <f>'Draw Calc (Hidden)'!AH69</f>
        <v>0</v>
      </c>
      <c r="AL87" s="95">
        <f>'Draw Calc (Hidden)'!AI69</f>
        <v>0</v>
      </c>
      <c r="AM87" s="95">
        <f>'Draw Calc (Hidden)'!AJ69</f>
        <v>0</v>
      </c>
      <c r="AN87" s="95">
        <f>'Draw Calc (Hidden)'!AK69</f>
        <v>0</v>
      </c>
      <c r="AO87" s="95">
        <f>'Draw Calc (Hidden)'!AL69</f>
        <v>0</v>
      </c>
    </row>
    <row r="88" spans="1:41" ht="15" customHeight="1" x14ac:dyDescent="0.2">
      <c r="A88" s="94" t="str">
        <f>'I_Budget Input Data'!B70</f>
        <v>3. HARD COSTS</v>
      </c>
      <c r="B88" s="94" t="str">
        <f>'I_Budget Input Data'!C70</f>
        <v>Concrete:Concrete pumps</v>
      </c>
      <c r="C88" s="95">
        <f>'I_Budget Input Data'!D70</f>
        <v>0</v>
      </c>
      <c r="D88" s="95">
        <f t="shared" ref="D88:D119" si="4">SUM(F88:AO88)</f>
        <v>0</v>
      </c>
      <c r="E88" s="95">
        <f t="shared" ref="E88:E119" si="5">C88-D88</f>
        <v>0</v>
      </c>
      <c r="F88" s="95">
        <f>'Draw Calc (Hidden)'!C70</f>
        <v>0</v>
      </c>
      <c r="G88" s="95">
        <f>'Draw Calc (Hidden)'!D70</f>
        <v>0</v>
      </c>
      <c r="H88" s="95">
        <f>'Draw Calc (Hidden)'!E70</f>
        <v>0</v>
      </c>
      <c r="I88" s="95">
        <f>'Draw Calc (Hidden)'!F70</f>
        <v>0</v>
      </c>
      <c r="J88" s="95">
        <f>'Draw Calc (Hidden)'!G70</f>
        <v>0</v>
      </c>
      <c r="K88" s="95">
        <f>'Draw Calc (Hidden)'!H70</f>
        <v>0</v>
      </c>
      <c r="L88" s="95">
        <f>'Draw Calc (Hidden)'!I70</f>
        <v>0</v>
      </c>
      <c r="M88" s="95">
        <f>'Draw Calc (Hidden)'!J70</f>
        <v>0</v>
      </c>
      <c r="N88" s="95">
        <f>'Draw Calc (Hidden)'!K70</f>
        <v>0</v>
      </c>
      <c r="O88" s="95">
        <f>'Draw Calc (Hidden)'!L70</f>
        <v>0</v>
      </c>
      <c r="P88" s="95">
        <f>'Draw Calc (Hidden)'!M70</f>
        <v>0</v>
      </c>
      <c r="Q88" s="95">
        <f>'Draw Calc (Hidden)'!N70</f>
        <v>0</v>
      </c>
      <c r="R88" s="95">
        <f>'Draw Calc (Hidden)'!O70</f>
        <v>0</v>
      </c>
      <c r="S88" s="95">
        <f>'Draw Calc (Hidden)'!P70</f>
        <v>0</v>
      </c>
      <c r="T88" s="95">
        <f>'Draw Calc (Hidden)'!Q70</f>
        <v>0</v>
      </c>
      <c r="U88" s="95">
        <f>'Draw Calc (Hidden)'!R70</f>
        <v>0</v>
      </c>
      <c r="V88" s="95">
        <f>'Draw Calc (Hidden)'!S70</f>
        <v>0</v>
      </c>
      <c r="W88" s="95">
        <f>'Draw Calc (Hidden)'!T70</f>
        <v>0</v>
      </c>
      <c r="X88" s="95">
        <f>'Draw Calc (Hidden)'!U70</f>
        <v>0</v>
      </c>
      <c r="Y88" s="95">
        <f>'Draw Calc (Hidden)'!V70</f>
        <v>0</v>
      </c>
      <c r="Z88" s="95">
        <f>'Draw Calc (Hidden)'!W70</f>
        <v>0</v>
      </c>
      <c r="AA88" s="95">
        <f>'Draw Calc (Hidden)'!X70</f>
        <v>0</v>
      </c>
      <c r="AB88" s="95">
        <f>'Draw Calc (Hidden)'!Y70</f>
        <v>0</v>
      </c>
      <c r="AC88" s="95">
        <f>'Draw Calc (Hidden)'!Z70</f>
        <v>0</v>
      </c>
      <c r="AD88" s="95">
        <f>'Draw Calc (Hidden)'!AA70</f>
        <v>0</v>
      </c>
      <c r="AE88" s="95">
        <f>'Draw Calc (Hidden)'!AB70</f>
        <v>0</v>
      </c>
      <c r="AF88" s="95">
        <f>'Draw Calc (Hidden)'!AC70</f>
        <v>0</v>
      </c>
      <c r="AG88" s="95">
        <f>'Draw Calc (Hidden)'!AD70</f>
        <v>0</v>
      </c>
      <c r="AH88" s="95">
        <f>'Draw Calc (Hidden)'!AE70</f>
        <v>0</v>
      </c>
      <c r="AI88" s="95">
        <f>'Draw Calc (Hidden)'!AF70</f>
        <v>0</v>
      </c>
      <c r="AJ88" s="95">
        <f>'Draw Calc (Hidden)'!AG70</f>
        <v>0</v>
      </c>
      <c r="AK88" s="95">
        <f>'Draw Calc (Hidden)'!AH70</f>
        <v>0</v>
      </c>
      <c r="AL88" s="95">
        <f>'Draw Calc (Hidden)'!AI70</f>
        <v>0</v>
      </c>
      <c r="AM88" s="95">
        <f>'Draw Calc (Hidden)'!AJ70</f>
        <v>0</v>
      </c>
      <c r="AN88" s="95">
        <f>'Draw Calc (Hidden)'!AK70</f>
        <v>0</v>
      </c>
      <c r="AO88" s="95">
        <f>'Draw Calc (Hidden)'!AL70</f>
        <v>0</v>
      </c>
    </row>
    <row r="89" spans="1:41" ht="15" customHeight="1" x14ac:dyDescent="0.2">
      <c r="A89" s="94" t="str">
        <f>'I_Budget Input Data'!B71</f>
        <v>3. HARD COSTS</v>
      </c>
      <c r="B89" s="94" t="str">
        <f>'I_Budget Input Data'!C71</f>
        <v>Concrete:Concrete accessories</v>
      </c>
      <c r="C89" s="95">
        <f>'I_Budget Input Data'!D71</f>
        <v>79342</v>
      </c>
      <c r="D89" s="95">
        <f t="shared" si="4"/>
        <v>78121.353846153856</v>
      </c>
      <c r="E89" s="95">
        <f t="shared" si="5"/>
        <v>1220.6461538461444</v>
      </c>
      <c r="F89" s="95">
        <f>'Draw Calc (Hidden)'!C71</f>
        <v>7323.876923076923</v>
      </c>
      <c r="G89" s="95">
        <f>'Draw Calc (Hidden)'!D71</f>
        <v>7323.876923076923</v>
      </c>
      <c r="H89" s="95">
        <f>'Draw Calc (Hidden)'!E71</f>
        <v>7323.876923076923</v>
      </c>
      <c r="I89" s="95">
        <f>'Draw Calc (Hidden)'!F71</f>
        <v>7323.876923076923</v>
      </c>
      <c r="J89" s="95">
        <f>'Draw Calc (Hidden)'!G71</f>
        <v>7323.876923076923</v>
      </c>
      <c r="K89" s="95">
        <f>'Draw Calc (Hidden)'!H71</f>
        <v>7323.876923076923</v>
      </c>
      <c r="L89" s="95">
        <f>'Draw Calc (Hidden)'!I71</f>
        <v>4882.584615384616</v>
      </c>
      <c r="M89" s="95">
        <f>'Draw Calc (Hidden)'!J71</f>
        <v>4882.584615384616</v>
      </c>
      <c r="N89" s="95">
        <f>'Draw Calc (Hidden)'!K71</f>
        <v>4882.584615384616</v>
      </c>
      <c r="O89" s="95">
        <f>'Draw Calc (Hidden)'!L71</f>
        <v>4882.584615384616</v>
      </c>
      <c r="P89" s="95">
        <f>'Draw Calc (Hidden)'!M71</f>
        <v>4882.584615384616</v>
      </c>
      <c r="Q89" s="95">
        <f>'Draw Calc (Hidden)'!N71</f>
        <v>4882.584615384616</v>
      </c>
      <c r="R89" s="95">
        <f>'Draw Calc (Hidden)'!O71</f>
        <v>4882.584615384616</v>
      </c>
      <c r="S89" s="95">
        <f>'Draw Calc (Hidden)'!P71</f>
        <v>0</v>
      </c>
      <c r="T89" s="95">
        <f>'Draw Calc (Hidden)'!Q71</f>
        <v>0</v>
      </c>
      <c r="U89" s="95">
        <f>'Draw Calc (Hidden)'!R71</f>
        <v>0</v>
      </c>
      <c r="V89" s="95">
        <f>'Draw Calc (Hidden)'!S71</f>
        <v>0</v>
      </c>
      <c r="W89" s="95">
        <f>'Draw Calc (Hidden)'!T71</f>
        <v>0</v>
      </c>
      <c r="X89" s="95">
        <f>'Draw Calc (Hidden)'!U71</f>
        <v>0</v>
      </c>
      <c r="Y89" s="95">
        <f>'Draw Calc (Hidden)'!V71</f>
        <v>0</v>
      </c>
      <c r="Z89" s="95">
        <f>'Draw Calc (Hidden)'!W71</f>
        <v>0</v>
      </c>
      <c r="AA89" s="95">
        <f>'Draw Calc (Hidden)'!X71</f>
        <v>0</v>
      </c>
      <c r="AB89" s="95">
        <f>'Draw Calc (Hidden)'!Y71</f>
        <v>0</v>
      </c>
      <c r="AC89" s="95">
        <f>'Draw Calc (Hidden)'!Z71</f>
        <v>0</v>
      </c>
      <c r="AD89" s="95">
        <f>'Draw Calc (Hidden)'!AA71</f>
        <v>0</v>
      </c>
      <c r="AE89" s="95">
        <f>'Draw Calc (Hidden)'!AB71</f>
        <v>0</v>
      </c>
      <c r="AF89" s="95">
        <f>'Draw Calc (Hidden)'!AC71</f>
        <v>0</v>
      </c>
      <c r="AG89" s="95">
        <f>'Draw Calc (Hidden)'!AD71</f>
        <v>0</v>
      </c>
      <c r="AH89" s="95">
        <f>'Draw Calc (Hidden)'!AE71</f>
        <v>0</v>
      </c>
      <c r="AI89" s="95">
        <f>'Draw Calc (Hidden)'!AF71</f>
        <v>0</v>
      </c>
      <c r="AJ89" s="95">
        <f>'Draw Calc (Hidden)'!AG71</f>
        <v>0</v>
      </c>
      <c r="AK89" s="95">
        <f>'Draw Calc (Hidden)'!AH71</f>
        <v>0</v>
      </c>
      <c r="AL89" s="95">
        <f>'Draw Calc (Hidden)'!AI71</f>
        <v>0</v>
      </c>
      <c r="AM89" s="95">
        <f>'Draw Calc (Hidden)'!AJ71</f>
        <v>0</v>
      </c>
      <c r="AN89" s="95">
        <f>'Draw Calc (Hidden)'!AK71</f>
        <v>0</v>
      </c>
      <c r="AO89" s="95">
        <f>'Draw Calc (Hidden)'!AL71</f>
        <v>0</v>
      </c>
    </row>
    <row r="90" spans="1:41" ht="15" customHeight="1" x14ac:dyDescent="0.2">
      <c r="A90" s="94" t="str">
        <f>'I_Budget Input Data'!B72</f>
        <v>3. HARD COSTS</v>
      </c>
      <c r="B90" s="94" t="str">
        <f>'I_Budget Input Data'!C72</f>
        <v>Concrete:Labour - Accessories</v>
      </c>
      <c r="C90" s="95">
        <f>'I_Budget Input Data'!D72</f>
        <v>0</v>
      </c>
      <c r="D90" s="95">
        <f t="shared" si="4"/>
        <v>0</v>
      </c>
      <c r="E90" s="95">
        <f t="shared" si="5"/>
        <v>0</v>
      </c>
      <c r="F90" s="95">
        <f>'Draw Calc (Hidden)'!C72</f>
        <v>0</v>
      </c>
      <c r="G90" s="95">
        <f>'Draw Calc (Hidden)'!D72</f>
        <v>0</v>
      </c>
      <c r="H90" s="95">
        <f>'Draw Calc (Hidden)'!E72</f>
        <v>0</v>
      </c>
      <c r="I90" s="95">
        <f>'Draw Calc (Hidden)'!F72</f>
        <v>0</v>
      </c>
      <c r="J90" s="95">
        <f>'Draw Calc (Hidden)'!G72</f>
        <v>0</v>
      </c>
      <c r="K90" s="95">
        <f>'Draw Calc (Hidden)'!H72</f>
        <v>0</v>
      </c>
      <c r="L90" s="95">
        <f>'Draw Calc (Hidden)'!I72</f>
        <v>0</v>
      </c>
      <c r="M90" s="95">
        <f>'Draw Calc (Hidden)'!J72</f>
        <v>0</v>
      </c>
      <c r="N90" s="95">
        <f>'Draw Calc (Hidden)'!K72</f>
        <v>0</v>
      </c>
      <c r="O90" s="95">
        <f>'Draw Calc (Hidden)'!L72</f>
        <v>0</v>
      </c>
      <c r="P90" s="95">
        <f>'Draw Calc (Hidden)'!M72</f>
        <v>0</v>
      </c>
      <c r="Q90" s="95">
        <f>'Draw Calc (Hidden)'!N72</f>
        <v>0</v>
      </c>
      <c r="R90" s="95">
        <f>'Draw Calc (Hidden)'!O72</f>
        <v>0</v>
      </c>
      <c r="S90" s="95">
        <f>'Draw Calc (Hidden)'!P72</f>
        <v>0</v>
      </c>
      <c r="T90" s="95">
        <f>'Draw Calc (Hidden)'!Q72</f>
        <v>0</v>
      </c>
      <c r="U90" s="95">
        <f>'Draw Calc (Hidden)'!R72</f>
        <v>0</v>
      </c>
      <c r="V90" s="95">
        <f>'Draw Calc (Hidden)'!S72</f>
        <v>0</v>
      </c>
      <c r="W90" s="95">
        <f>'Draw Calc (Hidden)'!T72</f>
        <v>0</v>
      </c>
      <c r="X90" s="95">
        <f>'Draw Calc (Hidden)'!U72</f>
        <v>0</v>
      </c>
      <c r="Y90" s="95">
        <f>'Draw Calc (Hidden)'!V72</f>
        <v>0</v>
      </c>
      <c r="Z90" s="95">
        <f>'Draw Calc (Hidden)'!W72</f>
        <v>0</v>
      </c>
      <c r="AA90" s="95">
        <f>'Draw Calc (Hidden)'!X72</f>
        <v>0</v>
      </c>
      <c r="AB90" s="95">
        <f>'Draw Calc (Hidden)'!Y72</f>
        <v>0</v>
      </c>
      <c r="AC90" s="95">
        <f>'Draw Calc (Hidden)'!Z72</f>
        <v>0</v>
      </c>
      <c r="AD90" s="95">
        <f>'Draw Calc (Hidden)'!AA72</f>
        <v>0</v>
      </c>
      <c r="AE90" s="95">
        <f>'Draw Calc (Hidden)'!AB72</f>
        <v>0</v>
      </c>
      <c r="AF90" s="95">
        <f>'Draw Calc (Hidden)'!AC72</f>
        <v>0</v>
      </c>
      <c r="AG90" s="95">
        <f>'Draw Calc (Hidden)'!AD72</f>
        <v>0</v>
      </c>
      <c r="AH90" s="95">
        <f>'Draw Calc (Hidden)'!AE72</f>
        <v>0</v>
      </c>
      <c r="AI90" s="95">
        <f>'Draw Calc (Hidden)'!AF72</f>
        <v>0</v>
      </c>
      <c r="AJ90" s="95">
        <f>'Draw Calc (Hidden)'!AG72</f>
        <v>0</v>
      </c>
      <c r="AK90" s="95">
        <f>'Draw Calc (Hidden)'!AH72</f>
        <v>0</v>
      </c>
      <c r="AL90" s="95">
        <f>'Draw Calc (Hidden)'!AI72</f>
        <v>0</v>
      </c>
      <c r="AM90" s="95">
        <f>'Draw Calc (Hidden)'!AJ72</f>
        <v>0</v>
      </c>
      <c r="AN90" s="95">
        <f>'Draw Calc (Hidden)'!AK72</f>
        <v>0</v>
      </c>
      <c r="AO90" s="95">
        <f>'Draw Calc (Hidden)'!AL72</f>
        <v>0</v>
      </c>
    </row>
    <row r="91" spans="1:41" ht="15" customHeight="1" x14ac:dyDescent="0.2">
      <c r="A91" s="94" t="str">
        <f>'I_Budget Input Data'!B73</f>
        <v>3. HARD COSTS</v>
      </c>
      <c r="B91" s="94" t="str">
        <f>'I_Budget Input Data'!C73</f>
        <v>Concrete:Polyethylene .006 - changed to .010 2024-01-22</v>
      </c>
      <c r="C91" s="97">
        <f>'I_Budget Input Data'!D73</f>
        <v>0</v>
      </c>
      <c r="D91" s="97">
        <f t="shared" si="4"/>
        <v>0</v>
      </c>
      <c r="E91" s="97">
        <f t="shared" si="5"/>
        <v>0</v>
      </c>
      <c r="F91" s="97">
        <f>'Draw Calc (Hidden)'!C73</f>
        <v>0</v>
      </c>
      <c r="G91" s="97">
        <f>'Draw Calc (Hidden)'!D73</f>
        <v>0</v>
      </c>
      <c r="H91" s="97">
        <f>'Draw Calc (Hidden)'!E73</f>
        <v>0</v>
      </c>
      <c r="I91" s="97">
        <f>'Draw Calc (Hidden)'!F73</f>
        <v>0</v>
      </c>
      <c r="J91" s="97">
        <f>'Draw Calc (Hidden)'!G73</f>
        <v>0</v>
      </c>
      <c r="K91" s="97">
        <f>'Draw Calc (Hidden)'!H73</f>
        <v>0</v>
      </c>
      <c r="L91" s="97">
        <f>'Draw Calc (Hidden)'!I73</f>
        <v>0</v>
      </c>
      <c r="M91" s="97">
        <f>'Draw Calc (Hidden)'!J73</f>
        <v>0</v>
      </c>
      <c r="N91" s="97">
        <f>'Draw Calc (Hidden)'!K73</f>
        <v>0</v>
      </c>
      <c r="O91" s="97">
        <f>'Draw Calc (Hidden)'!L73</f>
        <v>0</v>
      </c>
      <c r="P91" s="97">
        <f>'Draw Calc (Hidden)'!M73</f>
        <v>0</v>
      </c>
      <c r="Q91" s="97">
        <f>'Draw Calc (Hidden)'!N73</f>
        <v>0</v>
      </c>
      <c r="R91" s="97">
        <f>'Draw Calc (Hidden)'!O73</f>
        <v>0</v>
      </c>
      <c r="S91" s="97">
        <f>'Draw Calc (Hidden)'!P73</f>
        <v>0</v>
      </c>
      <c r="T91" s="97">
        <f>'Draw Calc (Hidden)'!Q73</f>
        <v>0</v>
      </c>
      <c r="U91" s="97">
        <f>'Draw Calc (Hidden)'!R73</f>
        <v>0</v>
      </c>
      <c r="V91" s="97">
        <f>'Draw Calc (Hidden)'!S73</f>
        <v>0</v>
      </c>
      <c r="W91" s="97">
        <f>'Draw Calc (Hidden)'!T73</f>
        <v>0</v>
      </c>
      <c r="X91" s="97">
        <f>'Draw Calc (Hidden)'!U73</f>
        <v>0</v>
      </c>
      <c r="Y91" s="97">
        <f>'Draw Calc (Hidden)'!V73</f>
        <v>0</v>
      </c>
      <c r="Z91" s="97">
        <f>'Draw Calc (Hidden)'!W73</f>
        <v>0</v>
      </c>
      <c r="AA91" s="97">
        <f>'Draw Calc (Hidden)'!X73</f>
        <v>0</v>
      </c>
      <c r="AB91" s="97">
        <f>'Draw Calc (Hidden)'!Y73</f>
        <v>0</v>
      </c>
      <c r="AC91" s="97">
        <f>'Draw Calc (Hidden)'!Z73</f>
        <v>0</v>
      </c>
      <c r="AD91" s="97">
        <f>'Draw Calc (Hidden)'!AA73</f>
        <v>0</v>
      </c>
      <c r="AE91" s="97">
        <f>'Draw Calc (Hidden)'!AB73</f>
        <v>0</v>
      </c>
      <c r="AF91" s="97">
        <f>'Draw Calc (Hidden)'!AC73</f>
        <v>0</v>
      </c>
      <c r="AG91" s="97">
        <f>'Draw Calc (Hidden)'!AD73</f>
        <v>0</v>
      </c>
      <c r="AH91" s="97">
        <f>'Draw Calc (Hidden)'!AE73</f>
        <v>0</v>
      </c>
      <c r="AI91" s="97">
        <f>'Draw Calc (Hidden)'!AF73</f>
        <v>0</v>
      </c>
      <c r="AJ91" s="97">
        <f>'Draw Calc (Hidden)'!AG73</f>
        <v>0</v>
      </c>
      <c r="AK91" s="97">
        <f>'Draw Calc (Hidden)'!AH73</f>
        <v>0</v>
      </c>
      <c r="AL91" s="97">
        <f>'Draw Calc (Hidden)'!AI73</f>
        <v>0</v>
      </c>
      <c r="AM91" s="95">
        <f>'Draw Calc (Hidden)'!AJ73</f>
        <v>0</v>
      </c>
      <c r="AN91" s="95">
        <f>'Draw Calc (Hidden)'!AK73</f>
        <v>0</v>
      </c>
      <c r="AO91" s="95">
        <f>'Draw Calc (Hidden)'!AL73</f>
        <v>0</v>
      </c>
    </row>
    <row r="92" spans="1:41" ht="15" customHeight="1" x14ac:dyDescent="0.2">
      <c r="A92" s="94" t="str">
        <f>'I_Budget Input Data'!B74</f>
        <v>3. HARD COSTS</v>
      </c>
      <c r="B92" s="94" t="str">
        <f>'I_Budget Input Data'!C74</f>
        <v>Concrete:3'' Rigid insulation (4' perimeter) - changed to 2'' Blue</v>
      </c>
      <c r="C92" s="95">
        <f>'I_Budget Input Data'!D74</f>
        <v>0</v>
      </c>
      <c r="D92" s="95">
        <f t="shared" si="4"/>
        <v>0</v>
      </c>
      <c r="E92" s="95">
        <f t="shared" si="5"/>
        <v>0</v>
      </c>
      <c r="F92" s="95">
        <f>'Draw Calc (Hidden)'!C74</f>
        <v>0</v>
      </c>
      <c r="G92" s="95">
        <f>'Draw Calc (Hidden)'!D74</f>
        <v>0</v>
      </c>
      <c r="H92" s="95">
        <f>'Draw Calc (Hidden)'!E74</f>
        <v>0</v>
      </c>
      <c r="I92" s="95">
        <f>'Draw Calc (Hidden)'!F74</f>
        <v>0</v>
      </c>
      <c r="J92" s="95">
        <f>'Draw Calc (Hidden)'!G74</f>
        <v>0</v>
      </c>
      <c r="K92" s="95">
        <f>'Draw Calc (Hidden)'!H74</f>
        <v>0</v>
      </c>
      <c r="L92" s="95">
        <f>'Draw Calc (Hidden)'!I74</f>
        <v>0</v>
      </c>
      <c r="M92" s="95">
        <f>'Draw Calc (Hidden)'!J74</f>
        <v>0</v>
      </c>
      <c r="N92" s="95">
        <f>'Draw Calc (Hidden)'!K74</f>
        <v>0</v>
      </c>
      <c r="O92" s="95">
        <f>'Draw Calc (Hidden)'!L74</f>
        <v>0</v>
      </c>
      <c r="P92" s="95">
        <f>'Draw Calc (Hidden)'!M74</f>
        <v>0</v>
      </c>
      <c r="Q92" s="95">
        <f>'Draw Calc (Hidden)'!N74</f>
        <v>0</v>
      </c>
      <c r="R92" s="95">
        <f>'Draw Calc (Hidden)'!O74</f>
        <v>0</v>
      </c>
      <c r="S92" s="95">
        <f>'Draw Calc (Hidden)'!P74</f>
        <v>0</v>
      </c>
      <c r="T92" s="95">
        <f>'Draw Calc (Hidden)'!Q74</f>
        <v>0</v>
      </c>
      <c r="U92" s="95">
        <f>'Draw Calc (Hidden)'!R74</f>
        <v>0</v>
      </c>
      <c r="V92" s="95">
        <f>'Draw Calc (Hidden)'!S74</f>
        <v>0</v>
      </c>
      <c r="W92" s="95">
        <f>'Draw Calc (Hidden)'!T74</f>
        <v>0</v>
      </c>
      <c r="X92" s="95">
        <f>'Draw Calc (Hidden)'!U74</f>
        <v>0</v>
      </c>
      <c r="Y92" s="95">
        <f>'Draw Calc (Hidden)'!V74</f>
        <v>0</v>
      </c>
      <c r="Z92" s="95">
        <f>'Draw Calc (Hidden)'!W74</f>
        <v>0</v>
      </c>
      <c r="AA92" s="95">
        <f>'Draw Calc (Hidden)'!X74</f>
        <v>0</v>
      </c>
      <c r="AB92" s="95">
        <f>'Draw Calc (Hidden)'!Y74</f>
        <v>0</v>
      </c>
      <c r="AC92" s="95">
        <f>'Draw Calc (Hidden)'!Z74</f>
        <v>0</v>
      </c>
      <c r="AD92" s="95">
        <f>'Draw Calc (Hidden)'!AA74</f>
        <v>0</v>
      </c>
      <c r="AE92" s="95">
        <f>'Draw Calc (Hidden)'!AB74</f>
        <v>0</v>
      </c>
      <c r="AF92" s="95">
        <f>'Draw Calc (Hidden)'!AC74</f>
        <v>0</v>
      </c>
      <c r="AG92" s="95">
        <f>'Draw Calc (Hidden)'!AD74</f>
        <v>0</v>
      </c>
      <c r="AH92" s="95">
        <f>'Draw Calc (Hidden)'!AE74</f>
        <v>0</v>
      </c>
      <c r="AI92" s="95">
        <f>'Draw Calc (Hidden)'!AF74</f>
        <v>0</v>
      </c>
      <c r="AJ92" s="95">
        <f>'Draw Calc (Hidden)'!AG74</f>
        <v>0</v>
      </c>
      <c r="AK92" s="95">
        <f>'Draw Calc (Hidden)'!AH74</f>
        <v>0</v>
      </c>
      <c r="AL92" s="95">
        <f>'Draw Calc (Hidden)'!AI74</f>
        <v>0</v>
      </c>
      <c r="AM92" s="95">
        <f>'Draw Calc (Hidden)'!AJ74</f>
        <v>0</v>
      </c>
      <c r="AN92" s="95">
        <f>'Draw Calc (Hidden)'!AK74</f>
        <v>0</v>
      </c>
      <c r="AO92" s="95">
        <f>'Draw Calc (Hidden)'!AL74</f>
        <v>0</v>
      </c>
    </row>
    <row r="93" spans="1:41" ht="15" customHeight="1" x14ac:dyDescent="0.2">
      <c r="A93" s="94" t="str">
        <f>'I_Budget Input Data'!B75</f>
        <v>3. HARD COSTS</v>
      </c>
      <c r="B93" s="94" t="str">
        <f>'I_Budget Input Data'!C75</f>
        <v>Concrete:Labour - Rigid insulation</v>
      </c>
      <c r="C93" s="97">
        <f>'I_Budget Input Data'!D75</f>
        <v>0</v>
      </c>
      <c r="D93" s="97">
        <f t="shared" si="4"/>
        <v>0</v>
      </c>
      <c r="E93" s="97">
        <f t="shared" si="5"/>
        <v>0</v>
      </c>
      <c r="F93" s="97">
        <f>'Draw Calc (Hidden)'!C75</f>
        <v>0</v>
      </c>
      <c r="G93" s="97">
        <f>'Draw Calc (Hidden)'!D75</f>
        <v>0</v>
      </c>
      <c r="H93" s="97">
        <f>'Draw Calc (Hidden)'!E75</f>
        <v>0</v>
      </c>
      <c r="I93" s="97">
        <f>'Draw Calc (Hidden)'!F75</f>
        <v>0</v>
      </c>
      <c r="J93" s="97">
        <f>'Draw Calc (Hidden)'!G75</f>
        <v>0</v>
      </c>
      <c r="K93" s="97">
        <f>'Draw Calc (Hidden)'!H75</f>
        <v>0</v>
      </c>
      <c r="L93" s="97">
        <f>'Draw Calc (Hidden)'!I75</f>
        <v>0</v>
      </c>
      <c r="M93" s="97">
        <f>'Draw Calc (Hidden)'!J75</f>
        <v>0</v>
      </c>
      <c r="N93" s="97">
        <f>'Draw Calc (Hidden)'!K75</f>
        <v>0</v>
      </c>
      <c r="O93" s="97">
        <f>'Draw Calc (Hidden)'!L75</f>
        <v>0</v>
      </c>
      <c r="P93" s="97">
        <f>'Draw Calc (Hidden)'!M75</f>
        <v>0</v>
      </c>
      <c r="Q93" s="97">
        <f>'Draw Calc (Hidden)'!N75</f>
        <v>0</v>
      </c>
      <c r="R93" s="97">
        <f>'Draw Calc (Hidden)'!O75</f>
        <v>0</v>
      </c>
      <c r="S93" s="97">
        <f>'Draw Calc (Hidden)'!P75</f>
        <v>0</v>
      </c>
      <c r="T93" s="97">
        <f>'Draw Calc (Hidden)'!Q75</f>
        <v>0</v>
      </c>
      <c r="U93" s="97">
        <f>'Draw Calc (Hidden)'!R75</f>
        <v>0</v>
      </c>
      <c r="V93" s="97">
        <f>'Draw Calc (Hidden)'!S75</f>
        <v>0</v>
      </c>
      <c r="W93" s="97">
        <f>'Draw Calc (Hidden)'!T75</f>
        <v>0</v>
      </c>
      <c r="X93" s="97">
        <f>'Draw Calc (Hidden)'!U75</f>
        <v>0</v>
      </c>
      <c r="Y93" s="97">
        <f>'Draw Calc (Hidden)'!V75</f>
        <v>0</v>
      </c>
      <c r="Z93" s="97">
        <f>'Draw Calc (Hidden)'!W75</f>
        <v>0</v>
      </c>
      <c r="AA93" s="97">
        <f>'Draw Calc (Hidden)'!X75</f>
        <v>0</v>
      </c>
      <c r="AB93" s="97">
        <f>'Draw Calc (Hidden)'!Y75</f>
        <v>0</v>
      </c>
      <c r="AC93" s="97">
        <f>'Draw Calc (Hidden)'!Z75</f>
        <v>0</v>
      </c>
      <c r="AD93" s="97">
        <f>'Draw Calc (Hidden)'!AA75</f>
        <v>0</v>
      </c>
      <c r="AE93" s="97">
        <f>'Draw Calc (Hidden)'!AB75</f>
        <v>0</v>
      </c>
      <c r="AF93" s="97">
        <f>'Draw Calc (Hidden)'!AC75</f>
        <v>0</v>
      </c>
      <c r="AG93" s="97">
        <f>'Draw Calc (Hidden)'!AD75</f>
        <v>0</v>
      </c>
      <c r="AH93" s="97">
        <f>'Draw Calc (Hidden)'!AE75</f>
        <v>0</v>
      </c>
      <c r="AI93" s="97">
        <f>'Draw Calc (Hidden)'!AF75</f>
        <v>0</v>
      </c>
      <c r="AJ93" s="97">
        <f>'Draw Calc (Hidden)'!AG75</f>
        <v>0</v>
      </c>
      <c r="AK93" s="97">
        <f>'Draw Calc (Hidden)'!AH75</f>
        <v>0</v>
      </c>
      <c r="AL93" s="97">
        <f>'Draw Calc (Hidden)'!AI75</f>
        <v>0</v>
      </c>
      <c r="AM93" s="95">
        <f>'Draw Calc (Hidden)'!AJ75</f>
        <v>0</v>
      </c>
      <c r="AN93" s="95">
        <f>'Draw Calc (Hidden)'!AK75</f>
        <v>0</v>
      </c>
      <c r="AO93" s="95">
        <f>'Draw Calc (Hidden)'!AL75</f>
        <v>0</v>
      </c>
    </row>
    <row r="94" spans="1:41" ht="15" customHeight="1" x14ac:dyDescent="0.2">
      <c r="A94" s="94" t="str">
        <f>'I_Budget Input Data'!B76</f>
        <v>3. HARD COSTS</v>
      </c>
      <c r="B94" s="94" t="str">
        <f>'I_Budget Input Data'!C76</f>
        <v>Concrete:Wet cure</v>
      </c>
      <c r="C94" s="95">
        <f>'I_Budget Input Data'!D76</f>
        <v>0</v>
      </c>
      <c r="D94" s="95">
        <f t="shared" si="4"/>
        <v>0</v>
      </c>
      <c r="E94" s="95">
        <f t="shared" si="5"/>
        <v>0</v>
      </c>
      <c r="F94" s="95">
        <f>'Draw Calc (Hidden)'!C76</f>
        <v>0</v>
      </c>
      <c r="G94" s="95">
        <f>'Draw Calc (Hidden)'!D76</f>
        <v>0</v>
      </c>
      <c r="H94" s="95">
        <f>'Draw Calc (Hidden)'!E76</f>
        <v>0</v>
      </c>
      <c r="I94" s="95">
        <f>'Draw Calc (Hidden)'!F76</f>
        <v>0</v>
      </c>
      <c r="J94" s="95">
        <f>'Draw Calc (Hidden)'!G76</f>
        <v>0</v>
      </c>
      <c r="K94" s="95">
        <f>'Draw Calc (Hidden)'!H76</f>
        <v>0</v>
      </c>
      <c r="L94" s="95">
        <f>'Draw Calc (Hidden)'!I76</f>
        <v>0</v>
      </c>
      <c r="M94" s="95">
        <f>'Draw Calc (Hidden)'!J76</f>
        <v>0</v>
      </c>
      <c r="N94" s="95">
        <f>'Draw Calc (Hidden)'!K76</f>
        <v>0</v>
      </c>
      <c r="O94" s="95">
        <f>'Draw Calc (Hidden)'!L76</f>
        <v>0</v>
      </c>
      <c r="P94" s="95">
        <f>'Draw Calc (Hidden)'!M76</f>
        <v>0</v>
      </c>
      <c r="Q94" s="95">
        <f>'Draw Calc (Hidden)'!N76</f>
        <v>0</v>
      </c>
      <c r="R94" s="95">
        <f>'Draw Calc (Hidden)'!O76</f>
        <v>0</v>
      </c>
      <c r="S94" s="95">
        <f>'Draw Calc (Hidden)'!P76</f>
        <v>0</v>
      </c>
      <c r="T94" s="95">
        <f>'Draw Calc (Hidden)'!Q76</f>
        <v>0</v>
      </c>
      <c r="U94" s="95">
        <f>'Draw Calc (Hidden)'!R76</f>
        <v>0</v>
      </c>
      <c r="V94" s="95">
        <f>'Draw Calc (Hidden)'!S76</f>
        <v>0</v>
      </c>
      <c r="W94" s="95">
        <f>'Draw Calc (Hidden)'!T76</f>
        <v>0</v>
      </c>
      <c r="X94" s="95">
        <f>'Draw Calc (Hidden)'!U76</f>
        <v>0</v>
      </c>
      <c r="Y94" s="95">
        <f>'Draw Calc (Hidden)'!V76</f>
        <v>0</v>
      </c>
      <c r="Z94" s="95">
        <f>'Draw Calc (Hidden)'!W76</f>
        <v>0</v>
      </c>
      <c r="AA94" s="95">
        <f>'Draw Calc (Hidden)'!X76</f>
        <v>0</v>
      </c>
      <c r="AB94" s="95">
        <f>'Draw Calc (Hidden)'!Y76</f>
        <v>0</v>
      </c>
      <c r="AC94" s="95">
        <f>'Draw Calc (Hidden)'!Z76</f>
        <v>0</v>
      </c>
      <c r="AD94" s="95">
        <f>'Draw Calc (Hidden)'!AA76</f>
        <v>0</v>
      </c>
      <c r="AE94" s="95">
        <f>'Draw Calc (Hidden)'!AB76</f>
        <v>0</v>
      </c>
      <c r="AF94" s="95">
        <f>'Draw Calc (Hidden)'!AC76</f>
        <v>0</v>
      </c>
      <c r="AG94" s="95">
        <f>'Draw Calc (Hidden)'!AD76</f>
        <v>0</v>
      </c>
      <c r="AH94" s="95">
        <f>'Draw Calc (Hidden)'!AE76</f>
        <v>0</v>
      </c>
      <c r="AI94" s="95">
        <f>'Draw Calc (Hidden)'!AF76</f>
        <v>0</v>
      </c>
      <c r="AJ94" s="95">
        <f>'Draw Calc (Hidden)'!AG76</f>
        <v>0</v>
      </c>
      <c r="AK94" s="95">
        <f>'Draw Calc (Hidden)'!AH76</f>
        <v>0</v>
      </c>
      <c r="AL94" s="95">
        <f>'Draw Calc (Hidden)'!AI76</f>
        <v>0</v>
      </c>
      <c r="AM94" s="95">
        <f>'Draw Calc (Hidden)'!AJ76</f>
        <v>0</v>
      </c>
      <c r="AN94" s="95">
        <f>'Draw Calc (Hidden)'!AK76</f>
        <v>0</v>
      </c>
      <c r="AO94" s="95">
        <f>'Draw Calc (Hidden)'!AL76</f>
        <v>0</v>
      </c>
    </row>
    <row r="95" spans="1:41" ht="15" customHeight="1" x14ac:dyDescent="0.2">
      <c r="A95" s="94" t="str">
        <f>'I_Budget Input Data'!B77</f>
        <v>3. HARD COSTS</v>
      </c>
      <c r="B95" s="94" t="str">
        <f>'I_Budget Input Data'!C77</f>
        <v>Formwork:Hambro joists</v>
      </c>
      <c r="C95" s="97">
        <f>'I_Budget Input Data'!D77</f>
        <v>494189</v>
      </c>
      <c r="D95" s="97">
        <f t="shared" si="4"/>
        <v>486586.09230769234</v>
      </c>
      <c r="E95" s="97">
        <f t="shared" si="5"/>
        <v>7602.9076923076645</v>
      </c>
      <c r="F95" s="97">
        <f>'Draw Calc (Hidden)'!C77</f>
        <v>45617.446153846147</v>
      </c>
      <c r="G95" s="97">
        <f>'Draw Calc (Hidden)'!D77</f>
        <v>45617.446153846147</v>
      </c>
      <c r="H95" s="97">
        <f>'Draw Calc (Hidden)'!E77</f>
        <v>45617.446153846147</v>
      </c>
      <c r="I95" s="97">
        <f>'Draw Calc (Hidden)'!F77</f>
        <v>45617.446153846147</v>
      </c>
      <c r="J95" s="97">
        <f>'Draw Calc (Hidden)'!G77</f>
        <v>45617.446153846147</v>
      </c>
      <c r="K95" s="97">
        <f>'Draw Calc (Hidden)'!H77</f>
        <v>45617.446153846147</v>
      </c>
      <c r="L95" s="97">
        <f>'Draw Calc (Hidden)'!I77</f>
        <v>30411.630769230771</v>
      </c>
      <c r="M95" s="97">
        <f>'Draw Calc (Hidden)'!J77</f>
        <v>30411.630769230771</v>
      </c>
      <c r="N95" s="97">
        <f>'Draw Calc (Hidden)'!K77</f>
        <v>30411.630769230771</v>
      </c>
      <c r="O95" s="97">
        <f>'Draw Calc (Hidden)'!L77</f>
        <v>30411.630769230771</v>
      </c>
      <c r="P95" s="97">
        <f>'Draw Calc (Hidden)'!M77</f>
        <v>30411.630769230771</v>
      </c>
      <c r="Q95" s="97">
        <f>'Draw Calc (Hidden)'!N77</f>
        <v>30411.630769230771</v>
      </c>
      <c r="R95" s="97">
        <f>'Draw Calc (Hidden)'!O77</f>
        <v>30411.630769230771</v>
      </c>
      <c r="S95" s="97">
        <f>'Draw Calc (Hidden)'!P77</f>
        <v>0</v>
      </c>
      <c r="T95" s="97">
        <f>'Draw Calc (Hidden)'!Q77</f>
        <v>0</v>
      </c>
      <c r="U95" s="97">
        <f>'Draw Calc (Hidden)'!R77</f>
        <v>0</v>
      </c>
      <c r="V95" s="97">
        <f>'Draw Calc (Hidden)'!S77</f>
        <v>0</v>
      </c>
      <c r="W95" s="97">
        <f>'Draw Calc (Hidden)'!T77</f>
        <v>0</v>
      </c>
      <c r="X95" s="97">
        <f>'Draw Calc (Hidden)'!U77</f>
        <v>0</v>
      </c>
      <c r="Y95" s="97">
        <f>'Draw Calc (Hidden)'!V77</f>
        <v>0</v>
      </c>
      <c r="Z95" s="97">
        <f>'Draw Calc (Hidden)'!W77</f>
        <v>0</v>
      </c>
      <c r="AA95" s="97">
        <f>'Draw Calc (Hidden)'!X77</f>
        <v>0</v>
      </c>
      <c r="AB95" s="97">
        <f>'Draw Calc (Hidden)'!Y77</f>
        <v>0</v>
      </c>
      <c r="AC95" s="97">
        <f>'Draw Calc (Hidden)'!Z77</f>
        <v>0</v>
      </c>
      <c r="AD95" s="97">
        <f>'Draw Calc (Hidden)'!AA77</f>
        <v>0</v>
      </c>
      <c r="AE95" s="97">
        <f>'Draw Calc (Hidden)'!AB77</f>
        <v>0</v>
      </c>
      <c r="AF95" s="97">
        <f>'Draw Calc (Hidden)'!AC77</f>
        <v>0</v>
      </c>
      <c r="AG95" s="97">
        <f>'Draw Calc (Hidden)'!AD77</f>
        <v>0</v>
      </c>
      <c r="AH95" s="97">
        <f>'Draw Calc (Hidden)'!AE77</f>
        <v>0</v>
      </c>
      <c r="AI95" s="97">
        <f>'Draw Calc (Hidden)'!AF77</f>
        <v>0</v>
      </c>
      <c r="AJ95" s="97">
        <f>'Draw Calc (Hidden)'!AG77</f>
        <v>0</v>
      </c>
      <c r="AK95" s="97">
        <f>'Draw Calc (Hidden)'!AH77</f>
        <v>0</v>
      </c>
      <c r="AL95" s="97">
        <f>'Draw Calc (Hidden)'!AI77</f>
        <v>0</v>
      </c>
      <c r="AM95" s="95">
        <f>'Draw Calc (Hidden)'!AJ77</f>
        <v>0</v>
      </c>
      <c r="AN95" s="95">
        <f>'Draw Calc (Hidden)'!AK77</f>
        <v>0</v>
      </c>
      <c r="AO95" s="95">
        <f>'Draw Calc (Hidden)'!AL77</f>
        <v>0</v>
      </c>
    </row>
    <row r="96" spans="1:41" ht="15" customHeight="1" x14ac:dyDescent="0.2">
      <c r="A96" s="94" t="str">
        <f>'I_Budget Input Data'!B78</f>
        <v>3. HARD COSTS</v>
      </c>
      <c r="B96" s="94" t="str">
        <f>'I_Budget Input Data'!C78</f>
        <v>Metal works:Stairs</v>
      </c>
      <c r="C96" s="98">
        <f>'I_Budget Input Data'!D78</f>
        <v>682129</v>
      </c>
      <c r="D96" s="98">
        <f t="shared" si="4"/>
        <v>682129</v>
      </c>
      <c r="E96" s="98">
        <f t="shared" si="5"/>
        <v>0</v>
      </c>
      <c r="F96" s="98">
        <f>'Draw Calc (Hidden)'!C78</f>
        <v>52471.461538461539</v>
      </c>
      <c r="G96" s="98">
        <f>'Draw Calc (Hidden)'!D78</f>
        <v>52471.461538461539</v>
      </c>
      <c r="H96" s="98">
        <f>'Draw Calc (Hidden)'!E78</f>
        <v>52471.461538461539</v>
      </c>
      <c r="I96" s="98">
        <f>'Draw Calc (Hidden)'!F78</f>
        <v>52471.461538461539</v>
      </c>
      <c r="J96" s="98">
        <f>'Draw Calc (Hidden)'!G78</f>
        <v>52471.461538461539</v>
      </c>
      <c r="K96" s="98">
        <f>'Draw Calc (Hidden)'!H78</f>
        <v>52471.461538461539</v>
      </c>
      <c r="L96" s="98">
        <f>'Draw Calc (Hidden)'!I78</f>
        <v>52471.461538461539</v>
      </c>
      <c r="M96" s="98">
        <f>'Draw Calc (Hidden)'!J78</f>
        <v>52471.461538461539</v>
      </c>
      <c r="N96" s="98">
        <f>'Draw Calc (Hidden)'!K78</f>
        <v>52471.461538461539</v>
      </c>
      <c r="O96" s="98">
        <f>'Draw Calc (Hidden)'!L78</f>
        <v>52471.461538461539</v>
      </c>
      <c r="P96" s="98">
        <f>'Draw Calc (Hidden)'!M78</f>
        <v>52471.461538461539</v>
      </c>
      <c r="Q96" s="98">
        <f>'Draw Calc (Hidden)'!N78</f>
        <v>52471.461538461539</v>
      </c>
      <c r="R96" s="98">
        <f>'Draw Calc (Hidden)'!O78</f>
        <v>52471.461538461539</v>
      </c>
      <c r="S96" s="98">
        <f>'Draw Calc (Hidden)'!P78</f>
        <v>0</v>
      </c>
      <c r="T96" s="98">
        <f>'Draw Calc (Hidden)'!Q78</f>
        <v>0</v>
      </c>
      <c r="U96" s="98">
        <f>'Draw Calc (Hidden)'!R78</f>
        <v>0</v>
      </c>
      <c r="V96" s="98">
        <f>'Draw Calc (Hidden)'!S78</f>
        <v>0</v>
      </c>
      <c r="W96" s="98">
        <f>'Draw Calc (Hidden)'!T78</f>
        <v>0</v>
      </c>
      <c r="X96" s="98">
        <f>'Draw Calc (Hidden)'!U78</f>
        <v>0</v>
      </c>
      <c r="Y96" s="98">
        <f>'Draw Calc (Hidden)'!V78</f>
        <v>0</v>
      </c>
      <c r="Z96" s="98">
        <f>'Draw Calc (Hidden)'!W78</f>
        <v>0</v>
      </c>
      <c r="AA96" s="98">
        <f>'Draw Calc (Hidden)'!X78</f>
        <v>0</v>
      </c>
      <c r="AB96" s="98">
        <f>'Draw Calc (Hidden)'!Y78</f>
        <v>0</v>
      </c>
      <c r="AC96" s="98">
        <f>'Draw Calc (Hidden)'!Z78</f>
        <v>0</v>
      </c>
      <c r="AD96" s="98">
        <f>'Draw Calc (Hidden)'!AA78</f>
        <v>0</v>
      </c>
      <c r="AE96" s="98">
        <f>'Draw Calc (Hidden)'!AB78</f>
        <v>0</v>
      </c>
      <c r="AF96" s="98">
        <f>'Draw Calc (Hidden)'!AC78</f>
        <v>0</v>
      </c>
      <c r="AG96" s="98">
        <f>'Draw Calc (Hidden)'!AD78</f>
        <v>0</v>
      </c>
      <c r="AH96" s="98">
        <f>'Draw Calc (Hidden)'!AE78</f>
        <v>0</v>
      </c>
      <c r="AI96" s="98">
        <f>'Draw Calc (Hidden)'!AF78</f>
        <v>0</v>
      </c>
      <c r="AJ96" s="98">
        <f>'Draw Calc (Hidden)'!AG78</f>
        <v>0</v>
      </c>
      <c r="AK96" s="98">
        <f>'Draw Calc (Hidden)'!AH78</f>
        <v>0</v>
      </c>
      <c r="AL96" s="98">
        <f>'Draw Calc (Hidden)'!AI78</f>
        <v>0</v>
      </c>
      <c r="AM96" s="98">
        <f>'Draw Calc (Hidden)'!AJ78</f>
        <v>0</v>
      </c>
      <c r="AN96" s="98">
        <f>'Draw Calc (Hidden)'!AK78</f>
        <v>0</v>
      </c>
      <c r="AO96" s="98">
        <f>'Draw Calc (Hidden)'!AL78</f>
        <v>0</v>
      </c>
    </row>
    <row r="97" spans="1:41" ht="15" customHeight="1" x14ac:dyDescent="0.2">
      <c r="A97" s="94" t="str">
        <f>'I_Budget Input Data'!B79</f>
        <v>3. HARD COSTS</v>
      </c>
      <c r="B97" s="94" t="str">
        <f>'I_Budget Input Data'!C79</f>
        <v>Metal works:Steel bases for balcony columns</v>
      </c>
      <c r="C97" s="95">
        <f>'I_Budget Input Data'!D79</f>
        <v>0</v>
      </c>
      <c r="D97" s="95">
        <f t="shared" si="4"/>
        <v>0</v>
      </c>
      <c r="E97" s="95">
        <f t="shared" si="5"/>
        <v>0</v>
      </c>
      <c r="F97" s="95">
        <f>'Draw Calc (Hidden)'!C79</f>
        <v>0</v>
      </c>
      <c r="G97" s="95">
        <f>'Draw Calc (Hidden)'!D79</f>
        <v>0</v>
      </c>
      <c r="H97" s="95">
        <f>'Draw Calc (Hidden)'!E79</f>
        <v>0</v>
      </c>
      <c r="I97" s="95">
        <f>'Draw Calc (Hidden)'!F79</f>
        <v>0</v>
      </c>
      <c r="J97" s="95">
        <f>'Draw Calc (Hidden)'!G79</f>
        <v>0</v>
      </c>
      <c r="K97" s="95">
        <f>'Draw Calc (Hidden)'!H79</f>
        <v>0</v>
      </c>
      <c r="L97" s="95">
        <f>'Draw Calc (Hidden)'!I79</f>
        <v>0</v>
      </c>
      <c r="M97" s="95">
        <f>'Draw Calc (Hidden)'!J79</f>
        <v>0</v>
      </c>
      <c r="N97" s="95">
        <f>'Draw Calc (Hidden)'!K79</f>
        <v>0</v>
      </c>
      <c r="O97" s="95">
        <f>'Draw Calc (Hidden)'!L79</f>
        <v>0</v>
      </c>
      <c r="P97" s="95">
        <f>'Draw Calc (Hidden)'!M79</f>
        <v>0</v>
      </c>
      <c r="Q97" s="95">
        <f>'Draw Calc (Hidden)'!N79</f>
        <v>0</v>
      </c>
      <c r="R97" s="95">
        <f>'Draw Calc (Hidden)'!O79</f>
        <v>0</v>
      </c>
      <c r="S97" s="95">
        <f>'Draw Calc (Hidden)'!P79</f>
        <v>0</v>
      </c>
      <c r="T97" s="95">
        <f>'Draw Calc (Hidden)'!Q79</f>
        <v>0</v>
      </c>
      <c r="U97" s="95">
        <f>'Draw Calc (Hidden)'!R79</f>
        <v>0</v>
      </c>
      <c r="V97" s="95">
        <f>'Draw Calc (Hidden)'!S79</f>
        <v>0</v>
      </c>
      <c r="W97" s="95">
        <f>'Draw Calc (Hidden)'!T79</f>
        <v>0</v>
      </c>
      <c r="X97" s="95">
        <f>'Draw Calc (Hidden)'!U79</f>
        <v>0</v>
      </c>
      <c r="Y97" s="95">
        <f>'Draw Calc (Hidden)'!V79</f>
        <v>0</v>
      </c>
      <c r="Z97" s="95">
        <f>'Draw Calc (Hidden)'!W79</f>
        <v>0</v>
      </c>
      <c r="AA97" s="95">
        <f>'Draw Calc (Hidden)'!X79</f>
        <v>0</v>
      </c>
      <c r="AB97" s="95">
        <f>'Draw Calc (Hidden)'!Y79</f>
        <v>0</v>
      </c>
      <c r="AC97" s="95">
        <f>'Draw Calc (Hidden)'!Z79</f>
        <v>0</v>
      </c>
      <c r="AD97" s="95">
        <f>'Draw Calc (Hidden)'!AA79</f>
        <v>0</v>
      </c>
      <c r="AE97" s="95">
        <f>'Draw Calc (Hidden)'!AB79</f>
        <v>0</v>
      </c>
      <c r="AF97" s="95">
        <f>'Draw Calc (Hidden)'!AC79</f>
        <v>0</v>
      </c>
      <c r="AG97" s="95">
        <f>'Draw Calc (Hidden)'!AD79</f>
        <v>0</v>
      </c>
      <c r="AH97" s="95">
        <f>'Draw Calc (Hidden)'!AE79</f>
        <v>0</v>
      </c>
      <c r="AI97" s="95">
        <f>'Draw Calc (Hidden)'!AF79</f>
        <v>0</v>
      </c>
      <c r="AJ97" s="95">
        <f>'Draw Calc (Hidden)'!AG79</f>
        <v>0</v>
      </c>
      <c r="AK97" s="95">
        <f>'Draw Calc (Hidden)'!AH79</f>
        <v>0</v>
      </c>
      <c r="AL97" s="95">
        <f>'Draw Calc (Hidden)'!AI79</f>
        <v>0</v>
      </c>
      <c r="AM97" s="95">
        <f>'Draw Calc (Hidden)'!AJ79</f>
        <v>0</v>
      </c>
      <c r="AN97" s="95">
        <f>'Draw Calc (Hidden)'!AK79</f>
        <v>0</v>
      </c>
      <c r="AO97" s="95">
        <f>'Draw Calc (Hidden)'!AL79</f>
        <v>0</v>
      </c>
    </row>
    <row r="98" spans="1:41" ht="15" customHeight="1" x14ac:dyDescent="0.2">
      <c r="A98" s="94" t="str">
        <f>'I_Budget Input Data'!B80</f>
        <v>3. HARD COSTS</v>
      </c>
      <c r="B98" s="94" t="str">
        <f>'I_Budget Input Data'!C80</f>
        <v>Handrails:Railings</v>
      </c>
      <c r="C98" s="95">
        <f>'I_Budget Input Data'!D80</f>
        <v>116664</v>
      </c>
      <c r="D98" s="95">
        <f t="shared" si="4"/>
        <v>116663.99999999999</v>
      </c>
      <c r="E98" s="95">
        <f t="shared" si="5"/>
        <v>0</v>
      </c>
      <c r="F98" s="95">
        <f>'Draw Calc (Hidden)'!C80</f>
        <v>8974.1538461538457</v>
      </c>
      <c r="G98" s="95">
        <f>'Draw Calc (Hidden)'!D80</f>
        <v>8974.1538461538457</v>
      </c>
      <c r="H98" s="95">
        <f>'Draw Calc (Hidden)'!E80</f>
        <v>8974.1538461538457</v>
      </c>
      <c r="I98" s="95">
        <f>'Draw Calc (Hidden)'!F80</f>
        <v>8974.1538461538457</v>
      </c>
      <c r="J98" s="95">
        <f>'Draw Calc (Hidden)'!G80</f>
        <v>8974.1538461538457</v>
      </c>
      <c r="K98" s="95">
        <f>'Draw Calc (Hidden)'!H80</f>
        <v>8974.1538461538457</v>
      </c>
      <c r="L98" s="95">
        <f>'Draw Calc (Hidden)'!I80</f>
        <v>8974.1538461538457</v>
      </c>
      <c r="M98" s="95">
        <f>'Draw Calc (Hidden)'!J80</f>
        <v>8974.1538461538457</v>
      </c>
      <c r="N98" s="95">
        <f>'Draw Calc (Hidden)'!K80</f>
        <v>8974.1538461538457</v>
      </c>
      <c r="O98" s="95">
        <f>'Draw Calc (Hidden)'!L80</f>
        <v>8974.1538461538457</v>
      </c>
      <c r="P98" s="95">
        <f>'Draw Calc (Hidden)'!M80</f>
        <v>8974.1538461538457</v>
      </c>
      <c r="Q98" s="95">
        <f>'Draw Calc (Hidden)'!N80</f>
        <v>8974.1538461538457</v>
      </c>
      <c r="R98" s="95">
        <f>'Draw Calc (Hidden)'!O80</f>
        <v>8974.1538461538457</v>
      </c>
      <c r="S98" s="95">
        <f>'Draw Calc (Hidden)'!P80</f>
        <v>0</v>
      </c>
      <c r="T98" s="95">
        <f>'Draw Calc (Hidden)'!Q80</f>
        <v>0</v>
      </c>
      <c r="U98" s="95">
        <f>'Draw Calc (Hidden)'!R80</f>
        <v>0</v>
      </c>
      <c r="V98" s="95">
        <f>'Draw Calc (Hidden)'!S80</f>
        <v>0</v>
      </c>
      <c r="W98" s="95">
        <f>'Draw Calc (Hidden)'!T80</f>
        <v>0</v>
      </c>
      <c r="X98" s="95">
        <f>'Draw Calc (Hidden)'!U80</f>
        <v>0</v>
      </c>
      <c r="Y98" s="95">
        <f>'Draw Calc (Hidden)'!V80</f>
        <v>0</v>
      </c>
      <c r="Z98" s="95">
        <f>'Draw Calc (Hidden)'!W80</f>
        <v>0</v>
      </c>
      <c r="AA98" s="95">
        <f>'Draw Calc (Hidden)'!X80</f>
        <v>0</v>
      </c>
      <c r="AB98" s="95">
        <f>'Draw Calc (Hidden)'!Y80</f>
        <v>0</v>
      </c>
      <c r="AC98" s="95">
        <f>'Draw Calc (Hidden)'!Z80</f>
        <v>0</v>
      </c>
      <c r="AD98" s="95">
        <f>'Draw Calc (Hidden)'!AA80</f>
        <v>0</v>
      </c>
      <c r="AE98" s="95">
        <f>'Draw Calc (Hidden)'!AB80</f>
        <v>0</v>
      </c>
      <c r="AF98" s="95">
        <f>'Draw Calc (Hidden)'!AC80</f>
        <v>0</v>
      </c>
      <c r="AG98" s="95">
        <f>'Draw Calc (Hidden)'!AD80</f>
        <v>0</v>
      </c>
      <c r="AH98" s="95">
        <f>'Draw Calc (Hidden)'!AE80</f>
        <v>0</v>
      </c>
      <c r="AI98" s="95">
        <f>'Draw Calc (Hidden)'!AF80</f>
        <v>0</v>
      </c>
      <c r="AJ98" s="95">
        <f>'Draw Calc (Hidden)'!AG80</f>
        <v>0</v>
      </c>
      <c r="AK98" s="95">
        <f>'Draw Calc (Hidden)'!AH80</f>
        <v>0</v>
      </c>
      <c r="AL98" s="95">
        <f>'Draw Calc (Hidden)'!AI80</f>
        <v>0</v>
      </c>
      <c r="AM98" s="95">
        <f>'Draw Calc (Hidden)'!AJ80</f>
        <v>0</v>
      </c>
      <c r="AN98" s="95">
        <f>'Draw Calc (Hidden)'!AK80</f>
        <v>0</v>
      </c>
      <c r="AO98" s="95">
        <f>'Draw Calc (Hidden)'!AL80</f>
        <v>0</v>
      </c>
    </row>
    <row r="99" spans="1:41" ht="15" customHeight="1" x14ac:dyDescent="0.2">
      <c r="A99" s="94" t="str">
        <f>'I_Budget Input Data'!B81</f>
        <v>3. HARD COSTS</v>
      </c>
      <c r="B99" s="94" t="str">
        <f>'I_Budget Input Data'!C81</f>
        <v>Carpentry rough:Miscellaneous carpentry labour (DCL)</v>
      </c>
      <c r="C99" s="95">
        <f>'I_Budget Input Data'!D81</f>
        <v>754800</v>
      </c>
      <c r="D99" s="95">
        <f t="shared" si="4"/>
        <v>754800</v>
      </c>
      <c r="E99" s="95">
        <f t="shared" si="5"/>
        <v>0</v>
      </c>
      <c r="F99" s="95">
        <f>'Draw Calc (Hidden)'!C81</f>
        <v>58061.538461538461</v>
      </c>
      <c r="G99" s="95">
        <f>'Draw Calc (Hidden)'!D81</f>
        <v>58061.538461538461</v>
      </c>
      <c r="H99" s="95">
        <f>'Draw Calc (Hidden)'!E81</f>
        <v>58061.538461538461</v>
      </c>
      <c r="I99" s="95">
        <f>'Draw Calc (Hidden)'!F81</f>
        <v>58061.538461538461</v>
      </c>
      <c r="J99" s="95">
        <f>'Draw Calc (Hidden)'!G81</f>
        <v>58061.538461538461</v>
      </c>
      <c r="K99" s="95">
        <f>'Draw Calc (Hidden)'!H81</f>
        <v>58061.538461538461</v>
      </c>
      <c r="L99" s="95">
        <f>'Draw Calc (Hidden)'!I81</f>
        <v>58061.538461538461</v>
      </c>
      <c r="M99" s="95">
        <f>'Draw Calc (Hidden)'!J81</f>
        <v>58061.538461538461</v>
      </c>
      <c r="N99" s="95">
        <f>'Draw Calc (Hidden)'!K81</f>
        <v>58061.538461538461</v>
      </c>
      <c r="O99" s="95">
        <f>'Draw Calc (Hidden)'!L81</f>
        <v>58061.538461538461</v>
      </c>
      <c r="P99" s="95">
        <f>'Draw Calc (Hidden)'!M81</f>
        <v>58061.538461538461</v>
      </c>
      <c r="Q99" s="95">
        <f>'Draw Calc (Hidden)'!N81</f>
        <v>58061.538461538461</v>
      </c>
      <c r="R99" s="95">
        <f>'Draw Calc (Hidden)'!O81</f>
        <v>58061.538461538461</v>
      </c>
      <c r="S99" s="95">
        <f>'Draw Calc (Hidden)'!P81</f>
        <v>0</v>
      </c>
      <c r="T99" s="95">
        <f>'Draw Calc (Hidden)'!Q81</f>
        <v>0</v>
      </c>
      <c r="U99" s="95">
        <f>'Draw Calc (Hidden)'!R81</f>
        <v>0</v>
      </c>
      <c r="V99" s="95">
        <f>'Draw Calc (Hidden)'!S81</f>
        <v>0</v>
      </c>
      <c r="W99" s="95">
        <f>'Draw Calc (Hidden)'!T81</f>
        <v>0</v>
      </c>
      <c r="X99" s="95">
        <f>'Draw Calc (Hidden)'!U81</f>
        <v>0</v>
      </c>
      <c r="Y99" s="95">
        <f>'Draw Calc (Hidden)'!V81</f>
        <v>0</v>
      </c>
      <c r="Z99" s="95">
        <f>'Draw Calc (Hidden)'!W81</f>
        <v>0</v>
      </c>
      <c r="AA99" s="95">
        <f>'Draw Calc (Hidden)'!X81</f>
        <v>0</v>
      </c>
      <c r="AB99" s="95">
        <f>'Draw Calc (Hidden)'!Y81</f>
        <v>0</v>
      </c>
      <c r="AC99" s="95">
        <f>'Draw Calc (Hidden)'!Z81</f>
        <v>0</v>
      </c>
      <c r="AD99" s="95">
        <f>'Draw Calc (Hidden)'!AA81</f>
        <v>0</v>
      </c>
      <c r="AE99" s="95">
        <f>'Draw Calc (Hidden)'!AB81</f>
        <v>0</v>
      </c>
      <c r="AF99" s="95">
        <f>'Draw Calc (Hidden)'!AC81</f>
        <v>0</v>
      </c>
      <c r="AG99" s="95">
        <f>'Draw Calc (Hidden)'!AD81</f>
        <v>0</v>
      </c>
      <c r="AH99" s="95">
        <f>'Draw Calc (Hidden)'!AE81</f>
        <v>0</v>
      </c>
      <c r="AI99" s="95">
        <f>'Draw Calc (Hidden)'!AF81</f>
        <v>0</v>
      </c>
      <c r="AJ99" s="95">
        <f>'Draw Calc (Hidden)'!AG81</f>
        <v>0</v>
      </c>
      <c r="AK99" s="95">
        <f>'Draw Calc (Hidden)'!AH81</f>
        <v>0</v>
      </c>
      <c r="AL99" s="95">
        <f>'Draw Calc (Hidden)'!AI81</f>
        <v>0</v>
      </c>
      <c r="AM99" s="95">
        <f>'Draw Calc (Hidden)'!AJ81</f>
        <v>0</v>
      </c>
      <c r="AN99" s="95">
        <f>'Draw Calc (Hidden)'!AK81</f>
        <v>0</v>
      </c>
      <c r="AO99" s="95">
        <f>'Draw Calc (Hidden)'!AL81</f>
        <v>0</v>
      </c>
    </row>
    <row r="100" spans="1:41" ht="15" customHeight="1" x14ac:dyDescent="0.2">
      <c r="A100" s="94" t="str">
        <f>'I_Budget Input Data'!B82</f>
        <v>3. HARD COSTS</v>
      </c>
      <c r="B100" s="94" t="str">
        <f>'I_Budget Input Data'!C82</f>
        <v>Formwork:Roof trusses - Labour</v>
      </c>
      <c r="C100" s="95">
        <f>'I_Budget Input Data'!D82</f>
        <v>550190</v>
      </c>
      <c r="D100" s="95">
        <f t="shared" si="4"/>
        <v>541725.53846153838</v>
      </c>
      <c r="E100" s="95">
        <f t="shared" si="5"/>
        <v>8464.4615384616191</v>
      </c>
      <c r="F100" s="95">
        <f>'Draw Calc (Hidden)'!C82</f>
        <v>50786.769230769234</v>
      </c>
      <c r="G100" s="95">
        <f>'Draw Calc (Hidden)'!D82</f>
        <v>50786.769230769234</v>
      </c>
      <c r="H100" s="95">
        <f>'Draw Calc (Hidden)'!E82</f>
        <v>50786.769230769234</v>
      </c>
      <c r="I100" s="95">
        <f>'Draw Calc (Hidden)'!F82</f>
        <v>50786.769230769234</v>
      </c>
      <c r="J100" s="95">
        <f>'Draw Calc (Hidden)'!G82</f>
        <v>50786.769230769234</v>
      </c>
      <c r="K100" s="95">
        <f>'Draw Calc (Hidden)'!H82</f>
        <v>50786.769230769234</v>
      </c>
      <c r="L100" s="95">
        <f>'Draw Calc (Hidden)'!I82</f>
        <v>33857.846153846156</v>
      </c>
      <c r="M100" s="95">
        <f>'Draw Calc (Hidden)'!J82</f>
        <v>33857.846153846156</v>
      </c>
      <c r="N100" s="95">
        <f>'Draw Calc (Hidden)'!K82</f>
        <v>33857.846153846156</v>
      </c>
      <c r="O100" s="95">
        <f>'Draw Calc (Hidden)'!L82</f>
        <v>33857.846153846156</v>
      </c>
      <c r="P100" s="95">
        <f>'Draw Calc (Hidden)'!M82</f>
        <v>33857.846153846156</v>
      </c>
      <c r="Q100" s="95">
        <f>'Draw Calc (Hidden)'!N82</f>
        <v>33857.846153846156</v>
      </c>
      <c r="R100" s="95">
        <f>'Draw Calc (Hidden)'!O82</f>
        <v>33857.846153846156</v>
      </c>
      <c r="S100" s="95">
        <f>'Draw Calc (Hidden)'!P82</f>
        <v>0</v>
      </c>
      <c r="T100" s="95">
        <f>'Draw Calc (Hidden)'!Q82</f>
        <v>0</v>
      </c>
      <c r="U100" s="95">
        <f>'Draw Calc (Hidden)'!R82</f>
        <v>0</v>
      </c>
      <c r="V100" s="95">
        <f>'Draw Calc (Hidden)'!S82</f>
        <v>0</v>
      </c>
      <c r="W100" s="95">
        <f>'Draw Calc (Hidden)'!T82</f>
        <v>0</v>
      </c>
      <c r="X100" s="95">
        <f>'Draw Calc (Hidden)'!U82</f>
        <v>0</v>
      </c>
      <c r="Y100" s="95">
        <f>'Draw Calc (Hidden)'!V82</f>
        <v>0</v>
      </c>
      <c r="Z100" s="95">
        <f>'Draw Calc (Hidden)'!W82</f>
        <v>0</v>
      </c>
      <c r="AA100" s="95">
        <f>'Draw Calc (Hidden)'!X82</f>
        <v>0</v>
      </c>
      <c r="AB100" s="95">
        <f>'Draw Calc (Hidden)'!Y82</f>
        <v>0</v>
      </c>
      <c r="AC100" s="95">
        <f>'Draw Calc (Hidden)'!Z82</f>
        <v>0</v>
      </c>
      <c r="AD100" s="95">
        <f>'Draw Calc (Hidden)'!AA82</f>
        <v>0</v>
      </c>
      <c r="AE100" s="95">
        <f>'Draw Calc (Hidden)'!AB82</f>
        <v>0</v>
      </c>
      <c r="AF100" s="95">
        <f>'Draw Calc (Hidden)'!AC82</f>
        <v>0</v>
      </c>
      <c r="AG100" s="95">
        <f>'Draw Calc (Hidden)'!AD82</f>
        <v>0</v>
      </c>
      <c r="AH100" s="95">
        <f>'Draw Calc (Hidden)'!AE82</f>
        <v>0</v>
      </c>
      <c r="AI100" s="95">
        <f>'Draw Calc (Hidden)'!AF82</f>
        <v>0</v>
      </c>
      <c r="AJ100" s="95">
        <f>'Draw Calc (Hidden)'!AG82</f>
        <v>0</v>
      </c>
      <c r="AK100" s="95">
        <f>'Draw Calc (Hidden)'!AH82</f>
        <v>0</v>
      </c>
      <c r="AL100" s="95">
        <f>'Draw Calc (Hidden)'!AI82</f>
        <v>0</v>
      </c>
      <c r="AM100" s="95">
        <f>'Draw Calc (Hidden)'!AJ82</f>
        <v>0</v>
      </c>
      <c r="AN100" s="95">
        <f>'Draw Calc (Hidden)'!AK82</f>
        <v>0</v>
      </c>
      <c r="AO100" s="95">
        <f>'Draw Calc (Hidden)'!AL82</f>
        <v>0</v>
      </c>
    </row>
    <row r="101" spans="1:41" ht="15" customHeight="1" x14ac:dyDescent="0.2">
      <c r="A101" s="94" t="str">
        <f>'I_Budget Input Data'!B83</f>
        <v>3. HARD COSTS</v>
      </c>
      <c r="B101" s="94" t="str">
        <f>'I_Budget Input Data'!C83</f>
        <v>Carpentry rough:Millwork &amp; WC Acc. Blocking</v>
      </c>
      <c r="C101" s="95">
        <f>'I_Budget Input Data'!D83</f>
        <v>252570</v>
      </c>
      <c r="D101" s="95">
        <f t="shared" si="4"/>
        <v>252569.99999999994</v>
      </c>
      <c r="E101" s="95">
        <f t="shared" si="5"/>
        <v>0</v>
      </c>
      <c r="F101" s="95">
        <f>'Draw Calc (Hidden)'!C83</f>
        <v>19428.461538461539</v>
      </c>
      <c r="G101" s="95">
        <f>'Draw Calc (Hidden)'!D83</f>
        <v>19428.461538461539</v>
      </c>
      <c r="H101" s="95">
        <f>'Draw Calc (Hidden)'!E83</f>
        <v>19428.461538461539</v>
      </c>
      <c r="I101" s="95">
        <f>'Draw Calc (Hidden)'!F83</f>
        <v>19428.461538461539</v>
      </c>
      <c r="J101" s="95">
        <f>'Draw Calc (Hidden)'!G83</f>
        <v>19428.461538461539</v>
      </c>
      <c r="K101" s="95">
        <f>'Draw Calc (Hidden)'!H83</f>
        <v>19428.461538461539</v>
      </c>
      <c r="L101" s="95">
        <f>'Draw Calc (Hidden)'!I83</f>
        <v>19428.461538461539</v>
      </c>
      <c r="M101" s="95">
        <f>'Draw Calc (Hidden)'!J83</f>
        <v>19428.461538461539</v>
      </c>
      <c r="N101" s="95">
        <f>'Draw Calc (Hidden)'!K83</f>
        <v>19428.461538461539</v>
      </c>
      <c r="O101" s="95">
        <f>'Draw Calc (Hidden)'!L83</f>
        <v>19428.461538461539</v>
      </c>
      <c r="P101" s="95">
        <f>'Draw Calc (Hidden)'!M83</f>
        <v>19428.461538461539</v>
      </c>
      <c r="Q101" s="95">
        <f>'Draw Calc (Hidden)'!N83</f>
        <v>19428.461538461539</v>
      </c>
      <c r="R101" s="95">
        <f>'Draw Calc (Hidden)'!O83</f>
        <v>19428.461538461539</v>
      </c>
      <c r="S101" s="95">
        <f>'Draw Calc (Hidden)'!P83</f>
        <v>0</v>
      </c>
      <c r="T101" s="95">
        <f>'Draw Calc (Hidden)'!Q83</f>
        <v>0</v>
      </c>
      <c r="U101" s="95">
        <f>'Draw Calc (Hidden)'!R83</f>
        <v>0</v>
      </c>
      <c r="V101" s="95">
        <f>'Draw Calc (Hidden)'!S83</f>
        <v>0</v>
      </c>
      <c r="W101" s="95">
        <f>'Draw Calc (Hidden)'!T83</f>
        <v>0</v>
      </c>
      <c r="X101" s="95">
        <f>'Draw Calc (Hidden)'!U83</f>
        <v>0</v>
      </c>
      <c r="Y101" s="95">
        <f>'Draw Calc (Hidden)'!V83</f>
        <v>0</v>
      </c>
      <c r="Z101" s="95">
        <f>'Draw Calc (Hidden)'!W83</f>
        <v>0</v>
      </c>
      <c r="AA101" s="95">
        <f>'Draw Calc (Hidden)'!X83</f>
        <v>0</v>
      </c>
      <c r="AB101" s="95">
        <f>'Draw Calc (Hidden)'!Y83</f>
        <v>0</v>
      </c>
      <c r="AC101" s="95">
        <f>'Draw Calc (Hidden)'!Z83</f>
        <v>0</v>
      </c>
      <c r="AD101" s="95">
        <f>'Draw Calc (Hidden)'!AA83</f>
        <v>0</v>
      </c>
      <c r="AE101" s="95">
        <f>'Draw Calc (Hidden)'!AB83</f>
        <v>0</v>
      </c>
      <c r="AF101" s="95">
        <f>'Draw Calc (Hidden)'!AC83</f>
        <v>0</v>
      </c>
      <c r="AG101" s="95">
        <f>'Draw Calc (Hidden)'!AD83</f>
        <v>0</v>
      </c>
      <c r="AH101" s="95">
        <f>'Draw Calc (Hidden)'!AE83</f>
        <v>0</v>
      </c>
      <c r="AI101" s="95">
        <f>'Draw Calc (Hidden)'!AF83</f>
        <v>0</v>
      </c>
      <c r="AJ101" s="95">
        <f>'Draw Calc (Hidden)'!AG83</f>
        <v>0</v>
      </c>
      <c r="AK101" s="95">
        <f>'Draw Calc (Hidden)'!AH83</f>
        <v>0</v>
      </c>
      <c r="AL101" s="95">
        <f>'Draw Calc (Hidden)'!AI83</f>
        <v>0</v>
      </c>
      <c r="AM101" s="95">
        <f>'Draw Calc (Hidden)'!AJ83</f>
        <v>0</v>
      </c>
      <c r="AN101" s="95">
        <f>'Draw Calc (Hidden)'!AK83</f>
        <v>0</v>
      </c>
      <c r="AO101" s="95">
        <f>'Draw Calc (Hidden)'!AL83</f>
        <v>0</v>
      </c>
    </row>
    <row r="102" spans="1:41" ht="15" customHeight="1" x14ac:dyDescent="0.2">
      <c r="A102" s="94" t="str">
        <f>'I_Budget Input Data'!B84</f>
        <v>3. HARD COSTS</v>
      </c>
      <c r="B102" s="94" t="str">
        <f>'I_Budget Input Data'!C84</f>
        <v>Carpentry rough:Stair rail blocking</v>
      </c>
      <c r="C102" s="95">
        <f>'I_Budget Input Data'!D84</f>
        <v>0</v>
      </c>
      <c r="D102" s="95">
        <f t="shared" si="4"/>
        <v>0</v>
      </c>
      <c r="E102" s="95">
        <f t="shared" si="5"/>
        <v>0</v>
      </c>
      <c r="F102" s="95">
        <f>'Draw Calc (Hidden)'!C84</f>
        <v>0</v>
      </c>
      <c r="G102" s="95">
        <f>'Draw Calc (Hidden)'!D84</f>
        <v>0</v>
      </c>
      <c r="H102" s="95">
        <f>'Draw Calc (Hidden)'!E84</f>
        <v>0</v>
      </c>
      <c r="I102" s="95">
        <f>'Draw Calc (Hidden)'!F84</f>
        <v>0</v>
      </c>
      <c r="J102" s="95">
        <f>'Draw Calc (Hidden)'!G84</f>
        <v>0</v>
      </c>
      <c r="K102" s="95">
        <f>'Draw Calc (Hidden)'!H84</f>
        <v>0</v>
      </c>
      <c r="L102" s="95">
        <f>'Draw Calc (Hidden)'!I84</f>
        <v>0</v>
      </c>
      <c r="M102" s="95">
        <f>'Draw Calc (Hidden)'!J84</f>
        <v>0</v>
      </c>
      <c r="N102" s="95">
        <f>'Draw Calc (Hidden)'!K84</f>
        <v>0</v>
      </c>
      <c r="O102" s="95">
        <f>'Draw Calc (Hidden)'!L84</f>
        <v>0</v>
      </c>
      <c r="P102" s="95">
        <f>'Draw Calc (Hidden)'!M84</f>
        <v>0</v>
      </c>
      <c r="Q102" s="95">
        <f>'Draw Calc (Hidden)'!N84</f>
        <v>0</v>
      </c>
      <c r="R102" s="95">
        <f>'Draw Calc (Hidden)'!O84</f>
        <v>0</v>
      </c>
      <c r="S102" s="95">
        <f>'Draw Calc (Hidden)'!P84</f>
        <v>0</v>
      </c>
      <c r="T102" s="95">
        <f>'Draw Calc (Hidden)'!Q84</f>
        <v>0</v>
      </c>
      <c r="U102" s="95">
        <f>'Draw Calc (Hidden)'!R84</f>
        <v>0</v>
      </c>
      <c r="V102" s="95">
        <f>'Draw Calc (Hidden)'!S84</f>
        <v>0</v>
      </c>
      <c r="W102" s="95">
        <f>'Draw Calc (Hidden)'!T84</f>
        <v>0</v>
      </c>
      <c r="X102" s="95">
        <f>'Draw Calc (Hidden)'!U84</f>
        <v>0</v>
      </c>
      <c r="Y102" s="95">
        <f>'Draw Calc (Hidden)'!V84</f>
        <v>0</v>
      </c>
      <c r="Z102" s="95">
        <f>'Draw Calc (Hidden)'!W84</f>
        <v>0</v>
      </c>
      <c r="AA102" s="95">
        <f>'Draw Calc (Hidden)'!X84</f>
        <v>0</v>
      </c>
      <c r="AB102" s="95">
        <f>'Draw Calc (Hidden)'!Y84</f>
        <v>0</v>
      </c>
      <c r="AC102" s="95">
        <f>'Draw Calc (Hidden)'!Z84</f>
        <v>0</v>
      </c>
      <c r="AD102" s="95">
        <f>'Draw Calc (Hidden)'!AA84</f>
        <v>0</v>
      </c>
      <c r="AE102" s="95">
        <f>'Draw Calc (Hidden)'!AB84</f>
        <v>0</v>
      </c>
      <c r="AF102" s="95">
        <f>'Draw Calc (Hidden)'!AC84</f>
        <v>0</v>
      </c>
      <c r="AG102" s="95">
        <f>'Draw Calc (Hidden)'!AD84</f>
        <v>0</v>
      </c>
      <c r="AH102" s="95">
        <f>'Draw Calc (Hidden)'!AE84</f>
        <v>0</v>
      </c>
      <c r="AI102" s="95">
        <f>'Draw Calc (Hidden)'!AF84</f>
        <v>0</v>
      </c>
      <c r="AJ102" s="95">
        <f>'Draw Calc (Hidden)'!AG84</f>
        <v>0</v>
      </c>
      <c r="AK102" s="95">
        <f>'Draw Calc (Hidden)'!AH84</f>
        <v>0</v>
      </c>
      <c r="AL102" s="95">
        <f>'Draw Calc (Hidden)'!AI84</f>
        <v>0</v>
      </c>
      <c r="AM102" s="95">
        <f>'Draw Calc (Hidden)'!AJ84</f>
        <v>0</v>
      </c>
      <c r="AN102" s="95">
        <f>'Draw Calc (Hidden)'!AK84</f>
        <v>0</v>
      </c>
      <c r="AO102" s="95">
        <f>'Draw Calc (Hidden)'!AL84</f>
        <v>0</v>
      </c>
    </row>
    <row r="103" spans="1:41" ht="15" customHeight="1" x14ac:dyDescent="0.2">
      <c r="A103" s="94" t="str">
        <f>'I_Budget Input Data'!B85</f>
        <v>3. HARD COSTS</v>
      </c>
      <c r="B103" s="94" t="str">
        <f>'I_Budget Input Data'!C85</f>
        <v>Carpentry rough:OSB Dryguard - Roof</v>
      </c>
      <c r="C103" s="95">
        <f>'I_Budget Input Data'!D85</f>
        <v>0</v>
      </c>
      <c r="D103" s="95">
        <f t="shared" si="4"/>
        <v>0</v>
      </c>
      <c r="E103" s="95">
        <f t="shared" si="5"/>
        <v>0</v>
      </c>
      <c r="F103" s="95">
        <f>'Draw Calc (Hidden)'!C85</f>
        <v>0</v>
      </c>
      <c r="G103" s="95">
        <f>'Draw Calc (Hidden)'!D85</f>
        <v>0</v>
      </c>
      <c r="H103" s="95">
        <f>'Draw Calc (Hidden)'!E85</f>
        <v>0</v>
      </c>
      <c r="I103" s="95">
        <f>'Draw Calc (Hidden)'!F85</f>
        <v>0</v>
      </c>
      <c r="J103" s="95">
        <f>'Draw Calc (Hidden)'!G85</f>
        <v>0</v>
      </c>
      <c r="K103" s="95">
        <f>'Draw Calc (Hidden)'!H85</f>
        <v>0</v>
      </c>
      <c r="L103" s="95">
        <f>'Draw Calc (Hidden)'!I85</f>
        <v>0</v>
      </c>
      <c r="M103" s="95">
        <f>'Draw Calc (Hidden)'!J85</f>
        <v>0</v>
      </c>
      <c r="N103" s="95">
        <f>'Draw Calc (Hidden)'!K85</f>
        <v>0</v>
      </c>
      <c r="O103" s="95">
        <f>'Draw Calc (Hidden)'!L85</f>
        <v>0</v>
      </c>
      <c r="P103" s="95">
        <f>'Draw Calc (Hidden)'!M85</f>
        <v>0</v>
      </c>
      <c r="Q103" s="95">
        <f>'Draw Calc (Hidden)'!N85</f>
        <v>0</v>
      </c>
      <c r="R103" s="95">
        <f>'Draw Calc (Hidden)'!O85</f>
        <v>0</v>
      </c>
      <c r="S103" s="95">
        <f>'Draw Calc (Hidden)'!P85</f>
        <v>0</v>
      </c>
      <c r="T103" s="95">
        <f>'Draw Calc (Hidden)'!Q85</f>
        <v>0</v>
      </c>
      <c r="U103" s="95">
        <f>'Draw Calc (Hidden)'!R85</f>
        <v>0</v>
      </c>
      <c r="V103" s="95">
        <f>'Draw Calc (Hidden)'!S85</f>
        <v>0</v>
      </c>
      <c r="W103" s="95">
        <f>'Draw Calc (Hidden)'!T85</f>
        <v>0</v>
      </c>
      <c r="X103" s="95">
        <f>'Draw Calc (Hidden)'!U85</f>
        <v>0</v>
      </c>
      <c r="Y103" s="95">
        <f>'Draw Calc (Hidden)'!V85</f>
        <v>0</v>
      </c>
      <c r="Z103" s="95">
        <f>'Draw Calc (Hidden)'!W85</f>
        <v>0</v>
      </c>
      <c r="AA103" s="95">
        <f>'Draw Calc (Hidden)'!X85</f>
        <v>0</v>
      </c>
      <c r="AB103" s="95">
        <f>'Draw Calc (Hidden)'!Y85</f>
        <v>0</v>
      </c>
      <c r="AC103" s="95">
        <f>'Draw Calc (Hidden)'!Z85</f>
        <v>0</v>
      </c>
      <c r="AD103" s="95">
        <f>'Draw Calc (Hidden)'!AA85</f>
        <v>0</v>
      </c>
      <c r="AE103" s="95">
        <f>'Draw Calc (Hidden)'!AB85</f>
        <v>0</v>
      </c>
      <c r="AF103" s="95">
        <f>'Draw Calc (Hidden)'!AC85</f>
        <v>0</v>
      </c>
      <c r="AG103" s="95">
        <f>'Draw Calc (Hidden)'!AD85</f>
        <v>0</v>
      </c>
      <c r="AH103" s="95">
        <f>'Draw Calc (Hidden)'!AE85</f>
        <v>0</v>
      </c>
      <c r="AI103" s="95">
        <f>'Draw Calc (Hidden)'!AF85</f>
        <v>0</v>
      </c>
      <c r="AJ103" s="95">
        <f>'Draw Calc (Hidden)'!AG85</f>
        <v>0</v>
      </c>
      <c r="AK103" s="95">
        <f>'Draw Calc (Hidden)'!AH85</f>
        <v>0</v>
      </c>
      <c r="AL103" s="95">
        <f>'Draw Calc (Hidden)'!AI85</f>
        <v>0</v>
      </c>
      <c r="AM103" s="95">
        <f>'Draw Calc (Hidden)'!AJ85</f>
        <v>0</v>
      </c>
      <c r="AN103" s="95">
        <f>'Draw Calc (Hidden)'!AK85</f>
        <v>0</v>
      </c>
      <c r="AO103" s="95">
        <f>'Draw Calc (Hidden)'!AL85</f>
        <v>0</v>
      </c>
    </row>
    <row r="104" spans="1:41" ht="15" customHeight="1" x14ac:dyDescent="0.2">
      <c r="A104" s="94" t="str">
        <f>'I_Budget Input Data'!B86</f>
        <v>3. HARD COSTS</v>
      </c>
      <c r="B104" s="94" t="str">
        <f>'I_Budget Input Data'!C86</f>
        <v>Carpentry rough:Materials - small roofs</v>
      </c>
      <c r="C104" s="95">
        <f>'I_Budget Input Data'!D86</f>
        <v>498625</v>
      </c>
      <c r="D104" s="95">
        <f t="shared" si="4"/>
        <v>498625.00000000017</v>
      </c>
      <c r="E104" s="95">
        <f t="shared" si="5"/>
        <v>0</v>
      </c>
      <c r="F104" s="95">
        <f>'Draw Calc (Hidden)'!C86</f>
        <v>38355.769230769234</v>
      </c>
      <c r="G104" s="95">
        <f>'Draw Calc (Hidden)'!D86</f>
        <v>38355.769230769234</v>
      </c>
      <c r="H104" s="95">
        <f>'Draw Calc (Hidden)'!E86</f>
        <v>38355.769230769234</v>
      </c>
      <c r="I104" s="95">
        <f>'Draw Calc (Hidden)'!F86</f>
        <v>38355.769230769234</v>
      </c>
      <c r="J104" s="95">
        <f>'Draw Calc (Hidden)'!G86</f>
        <v>38355.769230769234</v>
      </c>
      <c r="K104" s="95">
        <f>'Draw Calc (Hidden)'!H86</f>
        <v>38355.769230769234</v>
      </c>
      <c r="L104" s="95">
        <f>'Draw Calc (Hidden)'!I86</f>
        <v>38355.769230769234</v>
      </c>
      <c r="M104" s="95">
        <f>'Draw Calc (Hidden)'!J86</f>
        <v>38355.769230769234</v>
      </c>
      <c r="N104" s="95">
        <f>'Draw Calc (Hidden)'!K86</f>
        <v>38355.769230769234</v>
      </c>
      <c r="O104" s="95">
        <f>'Draw Calc (Hidden)'!L86</f>
        <v>38355.769230769234</v>
      </c>
      <c r="P104" s="95">
        <f>'Draw Calc (Hidden)'!M86</f>
        <v>38355.769230769234</v>
      </c>
      <c r="Q104" s="95">
        <f>'Draw Calc (Hidden)'!N86</f>
        <v>38355.769230769234</v>
      </c>
      <c r="R104" s="95">
        <f>'Draw Calc (Hidden)'!O86</f>
        <v>38355.769230769234</v>
      </c>
      <c r="S104" s="95">
        <f>'Draw Calc (Hidden)'!P86</f>
        <v>0</v>
      </c>
      <c r="T104" s="95">
        <f>'Draw Calc (Hidden)'!Q86</f>
        <v>0</v>
      </c>
      <c r="U104" s="95">
        <f>'Draw Calc (Hidden)'!R86</f>
        <v>0</v>
      </c>
      <c r="V104" s="95">
        <f>'Draw Calc (Hidden)'!S86</f>
        <v>0</v>
      </c>
      <c r="W104" s="95">
        <f>'Draw Calc (Hidden)'!T86</f>
        <v>0</v>
      </c>
      <c r="X104" s="95">
        <f>'Draw Calc (Hidden)'!U86</f>
        <v>0</v>
      </c>
      <c r="Y104" s="95">
        <f>'Draw Calc (Hidden)'!V86</f>
        <v>0</v>
      </c>
      <c r="Z104" s="95">
        <f>'Draw Calc (Hidden)'!W86</f>
        <v>0</v>
      </c>
      <c r="AA104" s="95">
        <f>'Draw Calc (Hidden)'!X86</f>
        <v>0</v>
      </c>
      <c r="AB104" s="95">
        <f>'Draw Calc (Hidden)'!Y86</f>
        <v>0</v>
      </c>
      <c r="AC104" s="95">
        <f>'Draw Calc (Hidden)'!Z86</f>
        <v>0</v>
      </c>
      <c r="AD104" s="95">
        <f>'Draw Calc (Hidden)'!AA86</f>
        <v>0</v>
      </c>
      <c r="AE104" s="95">
        <f>'Draw Calc (Hidden)'!AB86</f>
        <v>0</v>
      </c>
      <c r="AF104" s="95">
        <f>'Draw Calc (Hidden)'!AC86</f>
        <v>0</v>
      </c>
      <c r="AG104" s="95">
        <f>'Draw Calc (Hidden)'!AD86</f>
        <v>0</v>
      </c>
      <c r="AH104" s="95">
        <f>'Draw Calc (Hidden)'!AE86</f>
        <v>0</v>
      </c>
      <c r="AI104" s="95">
        <f>'Draw Calc (Hidden)'!AF86</f>
        <v>0</v>
      </c>
      <c r="AJ104" s="95">
        <f>'Draw Calc (Hidden)'!AG86</f>
        <v>0</v>
      </c>
      <c r="AK104" s="95">
        <f>'Draw Calc (Hidden)'!AH86</f>
        <v>0</v>
      </c>
      <c r="AL104" s="95">
        <f>'Draw Calc (Hidden)'!AI86</f>
        <v>0</v>
      </c>
      <c r="AM104" s="95">
        <f>'Draw Calc (Hidden)'!AJ86</f>
        <v>0</v>
      </c>
      <c r="AN104" s="95">
        <f>'Draw Calc (Hidden)'!AK86</f>
        <v>0</v>
      </c>
      <c r="AO104" s="95">
        <f>'Draw Calc (Hidden)'!AL86</f>
        <v>0</v>
      </c>
    </row>
    <row r="105" spans="1:41" ht="15" customHeight="1" x14ac:dyDescent="0.2">
      <c r="A105" s="94" t="str">
        <f>'I_Budget Input Data'!B87</f>
        <v>3. HARD COSTS</v>
      </c>
      <c r="B105" s="94" t="str">
        <f>'I_Budget Input Data'!C87</f>
        <v>Formwork:Hambro plywood purchases</v>
      </c>
      <c r="C105" s="95">
        <f>'I_Budget Input Data'!D87</f>
        <v>0</v>
      </c>
      <c r="D105" s="95">
        <f t="shared" si="4"/>
        <v>0</v>
      </c>
      <c r="E105" s="95">
        <f t="shared" si="5"/>
        <v>0</v>
      </c>
      <c r="F105" s="95">
        <f>'Draw Calc (Hidden)'!C87</f>
        <v>0</v>
      </c>
      <c r="G105" s="95">
        <f>'Draw Calc (Hidden)'!D87</f>
        <v>0</v>
      </c>
      <c r="H105" s="95">
        <f>'Draw Calc (Hidden)'!E87</f>
        <v>0</v>
      </c>
      <c r="I105" s="95">
        <f>'Draw Calc (Hidden)'!F87</f>
        <v>0</v>
      </c>
      <c r="J105" s="95">
        <f>'Draw Calc (Hidden)'!G87</f>
        <v>0</v>
      </c>
      <c r="K105" s="95">
        <f>'Draw Calc (Hidden)'!H87</f>
        <v>0</v>
      </c>
      <c r="L105" s="95">
        <f>'Draw Calc (Hidden)'!I87</f>
        <v>0</v>
      </c>
      <c r="M105" s="95">
        <f>'Draw Calc (Hidden)'!J87</f>
        <v>0</v>
      </c>
      <c r="N105" s="95">
        <f>'Draw Calc (Hidden)'!K87</f>
        <v>0</v>
      </c>
      <c r="O105" s="95">
        <f>'Draw Calc (Hidden)'!L87</f>
        <v>0</v>
      </c>
      <c r="P105" s="95">
        <f>'Draw Calc (Hidden)'!M87</f>
        <v>0</v>
      </c>
      <c r="Q105" s="95">
        <f>'Draw Calc (Hidden)'!N87</f>
        <v>0</v>
      </c>
      <c r="R105" s="95">
        <f>'Draw Calc (Hidden)'!O87</f>
        <v>0</v>
      </c>
      <c r="S105" s="95">
        <f>'Draw Calc (Hidden)'!P87</f>
        <v>0</v>
      </c>
      <c r="T105" s="95">
        <f>'Draw Calc (Hidden)'!Q87</f>
        <v>0</v>
      </c>
      <c r="U105" s="95">
        <f>'Draw Calc (Hidden)'!R87</f>
        <v>0</v>
      </c>
      <c r="V105" s="95">
        <f>'Draw Calc (Hidden)'!S87</f>
        <v>0</v>
      </c>
      <c r="W105" s="95">
        <f>'Draw Calc (Hidden)'!T87</f>
        <v>0</v>
      </c>
      <c r="X105" s="95">
        <f>'Draw Calc (Hidden)'!U87</f>
        <v>0</v>
      </c>
      <c r="Y105" s="95">
        <f>'Draw Calc (Hidden)'!V87</f>
        <v>0</v>
      </c>
      <c r="Z105" s="95">
        <f>'Draw Calc (Hidden)'!W87</f>
        <v>0</v>
      </c>
      <c r="AA105" s="95">
        <f>'Draw Calc (Hidden)'!X87</f>
        <v>0</v>
      </c>
      <c r="AB105" s="95">
        <f>'Draw Calc (Hidden)'!Y87</f>
        <v>0</v>
      </c>
      <c r="AC105" s="95">
        <f>'Draw Calc (Hidden)'!Z87</f>
        <v>0</v>
      </c>
      <c r="AD105" s="95">
        <f>'Draw Calc (Hidden)'!AA87</f>
        <v>0</v>
      </c>
      <c r="AE105" s="95">
        <f>'Draw Calc (Hidden)'!AB87</f>
        <v>0</v>
      </c>
      <c r="AF105" s="95">
        <f>'Draw Calc (Hidden)'!AC87</f>
        <v>0</v>
      </c>
      <c r="AG105" s="95">
        <f>'Draw Calc (Hidden)'!AD87</f>
        <v>0</v>
      </c>
      <c r="AH105" s="95">
        <f>'Draw Calc (Hidden)'!AE87</f>
        <v>0</v>
      </c>
      <c r="AI105" s="95">
        <f>'Draw Calc (Hidden)'!AF87</f>
        <v>0</v>
      </c>
      <c r="AJ105" s="95">
        <f>'Draw Calc (Hidden)'!AG87</f>
        <v>0</v>
      </c>
      <c r="AK105" s="95">
        <f>'Draw Calc (Hidden)'!AH87</f>
        <v>0</v>
      </c>
      <c r="AL105" s="95">
        <f>'Draw Calc (Hidden)'!AI87</f>
        <v>0</v>
      </c>
      <c r="AM105" s="95">
        <f>'Draw Calc (Hidden)'!AJ87</f>
        <v>0</v>
      </c>
      <c r="AN105" s="95">
        <f>'Draw Calc (Hidden)'!AK87</f>
        <v>0</v>
      </c>
      <c r="AO105" s="95">
        <f>'Draw Calc (Hidden)'!AL87</f>
        <v>0</v>
      </c>
    </row>
    <row r="106" spans="1:41" ht="15" customHeight="1" x14ac:dyDescent="0.2">
      <c r="A106" s="94" t="str">
        <f>'I_Budget Input Data'!B88</f>
        <v>3. HARD COSTS</v>
      </c>
      <c r="B106" s="94" t="str">
        <f>'I_Budget Input Data'!C88</f>
        <v>Handrails:Balcony structures</v>
      </c>
      <c r="C106" s="95">
        <f>'I_Budget Input Data'!D88</f>
        <v>0</v>
      </c>
      <c r="D106" s="95">
        <f t="shared" si="4"/>
        <v>0</v>
      </c>
      <c r="E106" s="95">
        <f t="shared" si="5"/>
        <v>0</v>
      </c>
      <c r="F106" s="95">
        <f>'Draw Calc (Hidden)'!C88</f>
        <v>0</v>
      </c>
      <c r="G106" s="95">
        <f>'Draw Calc (Hidden)'!D88</f>
        <v>0</v>
      </c>
      <c r="H106" s="95">
        <f>'Draw Calc (Hidden)'!E88</f>
        <v>0</v>
      </c>
      <c r="I106" s="95">
        <f>'Draw Calc (Hidden)'!F88</f>
        <v>0</v>
      </c>
      <c r="J106" s="95">
        <f>'Draw Calc (Hidden)'!G88</f>
        <v>0</v>
      </c>
      <c r="K106" s="95">
        <f>'Draw Calc (Hidden)'!H88</f>
        <v>0</v>
      </c>
      <c r="L106" s="95">
        <f>'Draw Calc (Hidden)'!I88</f>
        <v>0</v>
      </c>
      <c r="M106" s="95">
        <f>'Draw Calc (Hidden)'!J88</f>
        <v>0</v>
      </c>
      <c r="N106" s="95">
        <f>'Draw Calc (Hidden)'!K88</f>
        <v>0</v>
      </c>
      <c r="O106" s="95">
        <f>'Draw Calc (Hidden)'!L88</f>
        <v>0</v>
      </c>
      <c r="P106" s="95">
        <f>'Draw Calc (Hidden)'!M88</f>
        <v>0</v>
      </c>
      <c r="Q106" s="95">
        <f>'Draw Calc (Hidden)'!N88</f>
        <v>0</v>
      </c>
      <c r="R106" s="95">
        <f>'Draw Calc (Hidden)'!O88</f>
        <v>0</v>
      </c>
      <c r="S106" s="95">
        <f>'Draw Calc (Hidden)'!P88</f>
        <v>0</v>
      </c>
      <c r="T106" s="95">
        <f>'Draw Calc (Hidden)'!Q88</f>
        <v>0</v>
      </c>
      <c r="U106" s="95">
        <f>'Draw Calc (Hidden)'!R88</f>
        <v>0</v>
      </c>
      <c r="V106" s="95">
        <f>'Draw Calc (Hidden)'!S88</f>
        <v>0</v>
      </c>
      <c r="W106" s="95">
        <f>'Draw Calc (Hidden)'!T88</f>
        <v>0</v>
      </c>
      <c r="X106" s="95">
        <f>'Draw Calc (Hidden)'!U88</f>
        <v>0</v>
      </c>
      <c r="Y106" s="95">
        <f>'Draw Calc (Hidden)'!V88</f>
        <v>0</v>
      </c>
      <c r="Z106" s="95">
        <f>'Draw Calc (Hidden)'!W88</f>
        <v>0</v>
      </c>
      <c r="AA106" s="95">
        <f>'Draw Calc (Hidden)'!X88</f>
        <v>0</v>
      </c>
      <c r="AB106" s="95">
        <f>'Draw Calc (Hidden)'!Y88</f>
        <v>0</v>
      </c>
      <c r="AC106" s="95">
        <f>'Draw Calc (Hidden)'!Z88</f>
        <v>0</v>
      </c>
      <c r="AD106" s="95">
        <f>'Draw Calc (Hidden)'!AA88</f>
        <v>0</v>
      </c>
      <c r="AE106" s="95">
        <f>'Draw Calc (Hidden)'!AB88</f>
        <v>0</v>
      </c>
      <c r="AF106" s="95">
        <f>'Draw Calc (Hidden)'!AC88</f>
        <v>0</v>
      </c>
      <c r="AG106" s="95">
        <f>'Draw Calc (Hidden)'!AD88</f>
        <v>0</v>
      </c>
      <c r="AH106" s="95">
        <f>'Draw Calc (Hidden)'!AE88</f>
        <v>0</v>
      </c>
      <c r="AI106" s="95">
        <f>'Draw Calc (Hidden)'!AF88</f>
        <v>0</v>
      </c>
      <c r="AJ106" s="95">
        <f>'Draw Calc (Hidden)'!AG88</f>
        <v>0</v>
      </c>
      <c r="AK106" s="95">
        <f>'Draw Calc (Hidden)'!AH88</f>
        <v>0</v>
      </c>
      <c r="AL106" s="95">
        <f>'Draw Calc (Hidden)'!AI88</f>
        <v>0</v>
      </c>
      <c r="AM106" s="95">
        <f>'Draw Calc (Hidden)'!AJ88</f>
        <v>0</v>
      </c>
      <c r="AN106" s="95">
        <f>'Draw Calc (Hidden)'!AK88</f>
        <v>0</v>
      </c>
      <c r="AO106" s="95">
        <f>'Draw Calc (Hidden)'!AL88</f>
        <v>0</v>
      </c>
    </row>
    <row r="107" spans="1:41" ht="15" customHeight="1" x14ac:dyDescent="0.2">
      <c r="A107" s="94" t="str">
        <f>'I_Budget Input Data'!B89</f>
        <v>3. HARD COSTS</v>
      </c>
      <c r="B107" s="94" t="str">
        <f>'I_Budget Input Data'!C89</f>
        <v>Handrails:Floors</v>
      </c>
      <c r="C107" s="95">
        <f>'I_Budget Input Data'!D89</f>
        <v>114000</v>
      </c>
      <c r="D107" s="95">
        <f t="shared" si="4"/>
        <v>113999.99999999997</v>
      </c>
      <c r="E107" s="95">
        <f t="shared" si="5"/>
        <v>0</v>
      </c>
      <c r="F107" s="95">
        <f>'Draw Calc (Hidden)'!C89</f>
        <v>8769.2307692307695</v>
      </c>
      <c r="G107" s="95">
        <f>'Draw Calc (Hidden)'!D89</f>
        <v>8769.2307692307695</v>
      </c>
      <c r="H107" s="95">
        <f>'Draw Calc (Hidden)'!E89</f>
        <v>8769.2307692307695</v>
      </c>
      <c r="I107" s="95">
        <f>'Draw Calc (Hidden)'!F89</f>
        <v>8769.2307692307695</v>
      </c>
      <c r="J107" s="95">
        <f>'Draw Calc (Hidden)'!G89</f>
        <v>8769.2307692307695</v>
      </c>
      <c r="K107" s="95">
        <f>'Draw Calc (Hidden)'!H89</f>
        <v>8769.2307692307695</v>
      </c>
      <c r="L107" s="95">
        <f>'Draw Calc (Hidden)'!I89</f>
        <v>8769.2307692307695</v>
      </c>
      <c r="M107" s="95">
        <f>'Draw Calc (Hidden)'!J89</f>
        <v>8769.2307692307695</v>
      </c>
      <c r="N107" s="95">
        <f>'Draw Calc (Hidden)'!K89</f>
        <v>8769.2307692307695</v>
      </c>
      <c r="O107" s="95">
        <f>'Draw Calc (Hidden)'!L89</f>
        <v>8769.2307692307695</v>
      </c>
      <c r="P107" s="95">
        <f>'Draw Calc (Hidden)'!M89</f>
        <v>8769.2307692307695</v>
      </c>
      <c r="Q107" s="95">
        <f>'Draw Calc (Hidden)'!N89</f>
        <v>8769.2307692307695</v>
      </c>
      <c r="R107" s="95">
        <f>'Draw Calc (Hidden)'!O89</f>
        <v>8769.2307692307695</v>
      </c>
      <c r="S107" s="95">
        <f>'Draw Calc (Hidden)'!P89</f>
        <v>0</v>
      </c>
      <c r="T107" s="95">
        <f>'Draw Calc (Hidden)'!Q89</f>
        <v>0</v>
      </c>
      <c r="U107" s="95">
        <f>'Draw Calc (Hidden)'!R89</f>
        <v>0</v>
      </c>
      <c r="V107" s="95">
        <f>'Draw Calc (Hidden)'!S89</f>
        <v>0</v>
      </c>
      <c r="W107" s="95">
        <f>'Draw Calc (Hidden)'!T89</f>
        <v>0</v>
      </c>
      <c r="X107" s="95">
        <f>'Draw Calc (Hidden)'!U89</f>
        <v>0</v>
      </c>
      <c r="Y107" s="95">
        <f>'Draw Calc (Hidden)'!V89</f>
        <v>0</v>
      </c>
      <c r="Z107" s="95">
        <f>'Draw Calc (Hidden)'!W89</f>
        <v>0</v>
      </c>
      <c r="AA107" s="95">
        <f>'Draw Calc (Hidden)'!X89</f>
        <v>0</v>
      </c>
      <c r="AB107" s="95">
        <f>'Draw Calc (Hidden)'!Y89</f>
        <v>0</v>
      </c>
      <c r="AC107" s="95">
        <f>'Draw Calc (Hidden)'!Z89</f>
        <v>0</v>
      </c>
      <c r="AD107" s="95">
        <f>'Draw Calc (Hidden)'!AA89</f>
        <v>0</v>
      </c>
      <c r="AE107" s="95">
        <f>'Draw Calc (Hidden)'!AB89</f>
        <v>0</v>
      </c>
      <c r="AF107" s="95">
        <f>'Draw Calc (Hidden)'!AC89</f>
        <v>0</v>
      </c>
      <c r="AG107" s="95">
        <f>'Draw Calc (Hidden)'!AD89</f>
        <v>0</v>
      </c>
      <c r="AH107" s="95">
        <f>'Draw Calc (Hidden)'!AE89</f>
        <v>0</v>
      </c>
      <c r="AI107" s="95">
        <f>'Draw Calc (Hidden)'!AF89</f>
        <v>0</v>
      </c>
      <c r="AJ107" s="95">
        <f>'Draw Calc (Hidden)'!AG89</f>
        <v>0</v>
      </c>
      <c r="AK107" s="95">
        <f>'Draw Calc (Hidden)'!AH89</f>
        <v>0</v>
      </c>
      <c r="AL107" s="95">
        <f>'Draw Calc (Hidden)'!AI89</f>
        <v>0</v>
      </c>
      <c r="AM107" s="95">
        <f>'Draw Calc (Hidden)'!AJ89</f>
        <v>0</v>
      </c>
      <c r="AN107" s="95">
        <f>'Draw Calc (Hidden)'!AK89</f>
        <v>0</v>
      </c>
      <c r="AO107" s="95">
        <f>'Draw Calc (Hidden)'!AL89</f>
        <v>0</v>
      </c>
    </row>
    <row r="108" spans="1:41" ht="15" customHeight="1" x14ac:dyDescent="0.2">
      <c r="A108" s="94" t="str">
        <f>'I_Budget Input Data'!B90</f>
        <v>3. HARD COSTS</v>
      </c>
      <c r="B108" s="94" t="str">
        <f>'I_Budget Input Data'!C90</f>
        <v>Carpentry rough:Roof trusses</v>
      </c>
      <c r="C108" s="95">
        <f>'I_Budget Input Data'!D90</f>
        <v>176601</v>
      </c>
      <c r="D108" s="95">
        <f t="shared" si="4"/>
        <v>173884.06153846157</v>
      </c>
      <c r="E108" s="95">
        <f t="shared" si="5"/>
        <v>2716.9384615384333</v>
      </c>
      <c r="F108" s="95">
        <f>'Draw Calc (Hidden)'!C90</f>
        <v>10867.753846153848</v>
      </c>
      <c r="G108" s="95">
        <f>'Draw Calc (Hidden)'!D90</f>
        <v>10867.753846153848</v>
      </c>
      <c r="H108" s="95">
        <f>'Draw Calc (Hidden)'!E90</f>
        <v>10867.753846153848</v>
      </c>
      <c r="I108" s="95">
        <f>'Draw Calc (Hidden)'!F90</f>
        <v>16301.630769230767</v>
      </c>
      <c r="J108" s="95">
        <f>'Draw Calc (Hidden)'!G90</f>
        <v>16301.630769230767</v>
      </c>
      <c r="K108" s="95">
        <f>'Draw Calc (Hidden)'!H90</f>
        <v>16301.630769230767</v>
      </c>
      <c r="L108" s="95">
        <f>'Draw Calc (Hidden)'!I90</f>
        <v>16301.630769230767</v>
      </c>
      <c r="M108" s="95">
        <f>'Draw Calc (Hidden)'!J90</f>
        <v>16301.630769230767</v>
      </c>
      <c r="N108" s="95">
        <f>'Draw Calc (Hidden)'!K90</f>
        <v>16301.630769230767</v>
      </c>
      <c r="O108" s="95">
        <f>'Draw Calc (Hidden)'!L90</f>
        <v>10867.753846153848</v>
      </c>
      <c r="P108" s="95">
        <f>'Draw Calc (Hidden)'!M90</f>
        <v>10867.753846153848</v>
      </c>
      <c r="Q108" s="95">
        <f>'Draw Calc (Hidden)'!N90</f>
        <v>10867.753846153848</v>
      </c>
      <c r="R108" s="95">
        <f>'Draw Calc (Hidden)'!O90</f>
        <v>10867.753846153848</v>
      </c>
      <c r="S108" s="95">
        <f>'Draw Calc (Hidden)'!P90</f>
        <v>0</v>
      </c>
      <c r="T108" s="95">
        <f>'Draw Calc (Hidden)'!Q90</f>
        <v>0</v>
      </c>
      <c r="U108" s="95">
        <f>'Draw Calc (Hidden)'!R90</f>
        <v>0</v>
      </c>
      <c r="V108" s="95">
        <f>'Draw Calc (Hidden)'!S90</f>
        <v>0</v>
      </c>
      <c r="W108" s="95">
        <f>'Draw Calc (Hidden)'!T90</f>
        <v>0</v>
      </c>
      <c r="X108" s="95">
        <f>'Draw Calc (Hidden)'!U90</f>
        <v>0</v>
      </c>
      <c r="Y108" s="95">
        <f>'Draw Calc (Hidden)'!V90</f>
        <v>0</v>
      </c>
      <c r="Z108" s="95">
        <f>'Draw Calc (Hidden)'!W90</f>
        <v>0</v>
      </c>
      <c r="AA108" s="95">
        <f>'Draw Calc (Hidden)'!X90</f>
        <v>0</v>
      </c>
      <c r="AB108" s="95">
        <f>'Draw Calc (Hidden)'!Y90</f>
        <v>0</v>
      </c>
      <c r="AC108" s="95">
        <f>'Draw Calc (Hidden)'!Z90</f>
        <v>0</v>
      </c>
      <c r="AD108" s="95">
        <f>'Draw Calc (Hidden)'!AA90</f>
        <v>0</v>
      </c>
      <c r="AE108" s="95">
        <f>'Draw Calc (Hidden)'!AB90</f>
        <v>0</v>
      </c>
      <c r="AF108" s="95">
        <f>'Draw Calc (Hidden)'!AC90</f>
        <v>0</v>
      </c>
      <c r="AG108" s="95">
        <f>'Draw Calc (Hidden)'!AD90</f>
        <v>0</v>
      </c>
      <c r="AH108" s="95">
        <f>'Draw Calc (Hidden)'!AE90</f>
        <v>0</v>
      </c>
      <c r="AI108" s="95">
        <f>'Draw Calc (Hidden)'!AF90</f>
        <v>0</v>
      </c>
      <c r="AJ108" s="95">
        <f>'Draw Calc (Hidden)'!AG90</f>
        <v>0</v>
      </c>
      <c r="AK108" s="95">
        <f>'Draw Calc (Hidden)'!AH90</f>
        <v>0</v>
      </c>
      <c r="AL108" s="95">
        <f>'Draw Calc (Hidden)'!AI90</f>
        <v>0</v>
      </c>
      <c r="AM108" s="95">
        <f>'Draw Calc (Hidden)'!AJ90</f>
        <v>0</v>
      </c>
      <c r="AN108" s="95">
        <f>'Draw Calc (Hidden)'!AK90</f>
        <v>0</v>
      </c>
      <c r="AO108" s="95">
        <f>'Draw Calc (Hidden)'!AL90</f>
        <v>0</v>
      </c>
    </row>
    <row r="109" spans="1:41" ht="15" customHeight="1" x14ac:dyDescent="0.2">
      <c r="A109" s="94" t="str">
        <f>'I_Budget Input Data'!B91</f>
        <v>3. HARD COSTS</v>
      </c>
      <c r="B109" s="94" t="str">
        <f>'I_Budget Input Data'!C91</f>
        <v>Kitchen:Kitchens &amp; vanities (QC)</v>
      </c>
      <c r="C109" s="95">
        <f>'I_Budget Input Data'!D91</f>
        <v>844652</v>
      </c>
      <c r="D109" s="95">
        <f t="shared" si="4"/>
        <v>857646.64615384617</v>
      </c>
      <c r="E109" s="95">
        <f t="shared" si="5"/>
        <v>-12994.646153846174</v>
      </c>
      <c r="F109" s="95">
        <f>'Draw Calc (Hidden)'!C91</f>
        <v>51978.584615384621</v>
      </c>
      <c r="G109" s="95">
        <f>'Draw Calc (Hidden)'!D91</f>
        <v>51978.584615384621</v>
      </c>
      <c r="H109" s="95">
        <f>'Draw Calc (Hidden)'!E91</f>
        <v>51978.584615384621</v>
      </c>
      <c r="I109" s="95">
        <f>'Draw Calc (Hidden)'!F91</f>
        <v>51978.584615384621</v>
      </c>
      <c r="J109" s="95">
        <f>'Draw Calc (Hidden)'!G91</f>
        <v>51978.584615384621</v>
      </c>
      <c r="K109" s="95">
        <f>'Draw Calc (Hidden)'!H91</f>
        <v>51978.584615384621</v>
      </c>
      <c r="L109" s="95">
        <f>'Draw Calc (Hidden)'!I91</f>
        <v>77967.87692307691</v>
      </c>
      <c r="M109" s="95">
        <f>'Draw Calc (Hidden)'!J91</f>
        <v>77967.87692307691</v>
      </c>
      <c r="N109" s="95">
        <f>'Draw Calc (Hidden)'!K91</f>
        <v>77967.87692307691</v>
      </c>
      <c r="O109" s="95">
        <f>'Draw Calc (Hidden)'!L91</f>
        <v>77967.87692307691</v>
      </c>
      <c r="P109" s="95">
        <f>'Draw Calc (Hidden)'!M91</f>
        <v>77967.87692307691</v>
      </c>
      <c r="Q109" s="95">
        <f>'Draw Calc (Hidden)'!N91</f>
        <v>77967.87692307691</v>
      </c>
      <c r="R109" s="95">
        <f>'Draw Calc (Hidden)'!O91</f>
        <v>77967.87692307691</v>
      </c>
      <c r="S109" s="95">
        <f>'Draw Calc (Hidden)'!P91</f>
        <v>0</v>
      </c>
      <c r="T109" s="95">
        <f>'Draw Calc (Hidden)'!Q91</f>
        <v>0</v>
      </c>
      <c r="U109" s="95">
        <f>'Draw Calc (Hidden)'!R91</f>
        <v>0</v>
      </c>
      <c r="V109" s="95">
        <f>'Draw Calc (Hidden)'!S91</f>
        <v>0</v>
      </c>
      <c r="W109" s="95">
        <f>'Draw Calc (Hidden)'!T91</f>
        <v>0</v>
      </c>
      <c r="X109" s="95">
        <f>'Draw Calc (Hidden)'!U91</f>
        <v>0</v>
      </c>
      <c r="Y109" s="95">
        <f>'Draw Calc (Hidden)'!V91</f>
        <v>0</v>
      </c>
      <c r="Z109" s="95">
        <f>'Draw Calc (Hidden)'!W91</f>
        <v>0</v>
      </c>
      <c r="AA109" s="95">
        <f>'Draw Calc (Hidden)'!X91</f>
        <v>0</v>
      </c>
      <c r="AB109" s="95">
        <f>'Draw Calc (Hidden)'!Y91</f>
        <v>0</v>
      </c>
      <c r="AC109" s="95">
        <f>'Draw Calc (Hidden)'!Z91</f>
        <v>0</v>
      </c>
      <c r="AD109" s="95">
        <f>'Draw Calc (Hidden)'!AA91</f>
        <v>0</v>
      </c>
      <c r="AE109" s="95">
        <f>'Draw Calc (Hidden)'!AB91</f>
        <v>0</v>
      </c>
      <c r="AF109" s="95">
        <f>'Draw Calc (Hidden)'!AC91</f>
        <v>0</v>
      </c>
      <c r="AG109" s="95">
        <f>'Draw Calc (Hidden)'!AD91</f>
        <v>0</v>
      </c>
      <c r="AH109" s="95">
        <f>'Draw Calc (Hidden)'!AE91</f>
        <v>0</v>
      </c>
      <c r="AI109" s="95">
        <f>'Draw Calc (Hidden)'!AF91</f>
        <v>0</v>
      </c>
      <c r="AJ109" s="95">
        <f>'Draw Calc (Hidden)'!AG91</f>
        <v>0</v>
      </c>
      <c r="AK109" s="95">
        <f>'Draw Calc (Hidden)'!AH91</f>
        <v>0</v>
      </c>
      <c r="AL109" s="95">
        <f>'Draw Calc (Hidden)'!AI91</f>
        <v>0</v>
      </c>
      <c r="AM109" s="95">
        <f>'Draw Calc (Hidden)'!AJ91</f>
        <v>0</v>
      </c>
      <c r="AN109" s="95">
        <f>'Draw Calc (Hidden)'!AK91</f>
        <v>0</v>
      </c>
      <c r="AO109" s="95">
        <f>'Draw Calc (Hidden)'!AL91</f>
        <v>0</v>
      </c>
    </row>
    <row r="110" spans="1:41" ht="15" customHeight="1" x14ac:dyDescent="0.2">
      <c r="A110" s="94" t="str">
        <f>'I_Budget Input Data'!B92</f>
        <v>3. HARD COSTS</v>
      </c>
      <c r="B110" s="94">
        <f>'I_Budget Input Data'!C92</f>
        <v>0</v>
      </c>
      <c r="C110" s="95">
        <f>'I_Budget Input Data'!D92</f>
        <v>0</v>
      </c>
      <c r="D110" s="95">
        <f t="shared" si="4"/>
        <v>0</v>
      </c>
      <c r="E110" s="95">
        <f t="shared" si="5"/>
        <v>0</v>
      </c>
      <c r="F110" s="95">
        <f>'Draw Calc (Hidden)'!C92</f>
        <v>0</v>
      </c>
      <c r="G110" s="95">
        <f>'Draw Calc (Hidden)'!D92</f>
        <v>0</v>
      </c>
      <c r="H110" s="95">
        <f>'Draw Calc (Hidden)'!E92</f>
        <v>0</v>
      </c>
      <c r="I110" s="95">
        <f>'Draw Calc (Hidden)'!F92</f>
        <v>0</v>
      </c>
      <c r="J110" s="95">
        <f>'Draw Calc (Hidden)'!G92</f>
        <v>0</v>
      </c>
      <c r="K110" s="95">
        <f>'Draw Calc (Hidden)'!H92</f>
        <v>0</v>
      </c>
      <c r="L110" s="95">
        <f>'Draw Calc (Hidden)'!I92</f>
        <v>0</v>
      </c>
      <c r="M110" s="95">
        <f>'Draw Calc (Hidden)'!J92</f>
        <v>0</v>
      </c>
      <c r="N110" s="95">
        <f>'Draw Calc (Hidden)'!K92</f>
        <v>0</v>
      </c>
      <c r="O110" s="95">
        <f>'Draw Calc (Hidden)'!L92</f>
        <v>0</v>
      </c>
      <c r="P110" s="95">
        <f>'Draw Calc (Hidden)'!M92</f>
        <v>0</v>
      </c>
      <c r="Q110" s="95">
        <f>'Draw Calc (Hidden)'!N92</f>
        <v>0</v>
      </c>
      <c r="R110" s="95">
        <f>'Draw Calc (Hidden)'!O92</f>
        <v>0</v>
      </c>
      <c r="S110" s="95">
        <f>'Draw Calc (Hidden)'!P92</f>
        <v>0</v>
      </c>
      <c r="T110" s="95">
        <f>'Draw Calc (Hidden)'!Q92</f>
        <v>0</v>
      </c>
      <c r="U110" s="95">
        <f>'Draw Calc (Hidden)'!R92</f>
        <v>0</v>
      </c>
      <c r="V110" s="95">
        <f>'Draw Calc (Hidden)'!S92</f>
        <v>0</v>
      </c>
      <c r="W110" s="95">
        <f>'Draw Calc (Hidden)'!T92</f>
        <v>0</v>
      </c>
      <c r="X110" s="95">
        <f>'Draw Calc (Hidden)'!U92</f>
        <v>0</v>
      </c>
      <c r="Y110" s="95">
        <f>'Draw Calc (Hidden)'!V92</f>
        <v>0</v>
      </c>
      <c r="Z110" s="95">
        <f>'Draw Calc (Hidden)'!W92</f>
        <v>0</v>
      </c>
      <c r="AA110" s="95">
        <f>'Draw Calc (Hidden)'!X92</f>
        <v>0</v>
      </c>
      <c r="AB110" s="95">
        <f>'Draw Calc (Hidden)'!Y92</f>
        <v>0</v>
      </c>
      <c r="AC110" s="95">
        <f>'Draw Calc (Hidden)'!Z92</f>
        <v>0</v>
      </c>
      <c r="AD110" s="95">
        <f>'Draw Calc (Hidden)'!AA92</f>
        <v>0</v>
      </c>
      <c r="AE110" s="95">
        <f>'Draw Calc (Hidden)'!AB92</f>
        <v>0</v>
      </c>
      <c r="AF110" s="95">
        <f>'Draw Calc (Hidden)'!AC92</f>
        <v>0</v>
      </c>
      <c r="AG110" s="95">
        <f>'Draw Calc (Hidden)'!AD92</f>
        <v>0</v>
      </c>
      <c r="AH110" s="95">
        <f>'Draw Calc (Hidden)'!AE92</f>
        <v>0</v>
      </c>
      <c r="AI110" s="95">
        <f>'Draw Calc (Hidden)'!AF92</f>
        <v>0</v>
      </c>
      <c r="AJ110" s="95">
        <f>'Draw Calc (Hidden)'!AG92</f>
        <v>0</v>
      </c>
      <c r="AK110" s="95">
        <f>'Draw Calc (Hidden)'!AH92</f>
        <v>0</v>
      </c>
      <c r="AL110" s="95">
        <f>'Draw Calc (Hidden)'!AI92</f>
        <v>0</v>
      </c>
      <c r="AM110" s="95">
        <f>'Draw Calc (Hidden)'!AJ92</f>
        <v>0</v>
      </c>
      <c r="AN110" s="95">
        <f>'Draw Calc (Hidden)'!AK92</f>
        <v>0</v>
      </c>
      <c r="AO110" s="95">
        <f>'Draw Calc (Hidden)'!AL92</f>
        <v>0</v>
      </c>
    </row>
    <row r="111" spans="1:41" ht="15" customHeight="1" x14ac:dyDescent="0.2">
      <c r="A111" s="94" t="str">
        <f>'I_Budget Input Data'!B93</f>
        <v>3. HARD COSTS</v>
      </c>
      <c r="B111" s="94" t="str">
        <f>'I_Budget Input Data'!C93</f>
        <v>Kitchen:Quartz counters - Purchase</v>
      </c>
      <c r="C111" s="95">
        <f>'I_Budget Input Data'!D93</f>
        <v>177900</v>
      </c>
      <c r="D111" s="95">
        <f t="shared" si="4"/>
        <v>180636.92307692312</v>
      </c>
      <c r="E111" s="95">
        <f t="shared" si="5"/>
        <v>-2736.9230769231217</v>
      </c>
      <c r="F111" s="95">
        <f>'Draw Calc (Hidden)'!C93</f>
        <v>10947.692307692309</v>
      </c>
      <c r="G111" s="95">
        <f>'Draw Calc (Hidden)'!D93</f>
        <v>10947.692307692309</v>
      </c>
      <c r="H111" s="95">
        <f>'Draw Calc (Hidden)'!E93</f>
        <v>10947.692307692309</v>
      </c>
      <c r="I111" s="95">
        <f>'Draw Calc (Hidden)'!F93</f>
        <v>10947.692307692309</v>
      </c>
      <c r="J111" s="95">
        <f>'Draw Calc (Hidden)'!G93</f>
        <v>10947.692307692309</v>
      </c>
      <c r="K111" s="95">
        <f>'Draw Calc (Hidden)'!H93</f>
        <v>10947.692307692309</v>
      </c>
      <c r="L111" s="95">
        <f>'Draw Calc (Hidden)'!I93</f>
        <v>16421.538461538461</v>
      </c>
      <c r="M111" s="95">
        <f>'Draw Calc (Hidden)'!J93</f>
        <v>16421.538461538461</v>
      </c>
      <c r="N111" s="95">
        <f>'Draw Calc (Hidden)'!K93</f>
        <v>16421.538461538461</v>
      </c>
      <c r="O111" s="95">
        <f>'Draw Calc (Hidden)'!L93</f>
        <v>16421.538461538461</v>
      </c>
      <c r="P111" s="95">
        <f>'Draw Calc (Hidden)'!M93</f>
        <v>16421.538461538461</v>
      </c>
      <c r="Q111" s="95">
        <f>'Draw Calc (Hidden)'!N93</f>
        <v>16421.538461538461</v>
      </c>
      <c r="R111" s="95">
        <f>'Draw Calc (Hidden)'!O93</f>
        <v>16421.538461538461</v>
      </c>
      <c r="S111" s="95">
        <f>'Draw Calc (Hidden)'!P93</f>
        <v>0</v>
      </c>
      <c r="T111" s="95">
        <f>'Draw Calc (Hidden)'!Q93</f>
        <v>0</v>
      </c>
      <c r="U111" s="95">
        <f>'Draw Calc (Hidden)'!R93</f>
        <v>0</v>
      </c>
      <c r="V111" s="95">
        <f>'Draw Calc (Hidden)'!S93</f>
        <v>0</v>
      </c>
      <c r="W111" s="95">
        <f>'Draw Calc (Hidden)'!T93</f>
        <v>0</v>
      </c>
      <c r="X111" s="95">
        <f>'Draw Calc (Hidden)'!U93</f>
        <v>0</v>
      </c>
      <c r="Y111" s="95">
        <f>'Draw Calc (Hidden)'!V93</f>
        <v>0</v>
      </c>
      <c r="Z111" s="95">
        <f>'Draw Calc (Hidden)'!W93</f>
        <v>0</v>
      </c>
      <c r="AA111" s="95">
        <f>'Draw Calc (Hidden)'!X93</f>
        <v>0</v>
      </c>
      <c r="AB111" s="95">
        <f>'Draw Calc (Hidden)'!Y93</f>
        <v>0</v>
      </c>
      <c r="AC111" s="95">
        <f>'Draw Calc (Hidden)'!Z93</f>
        <v>0</v>
      </c>
      <c r="AD111" s="95">
        <f>'Draw Calc (Hidden)'!AA93</f>
        <v>0</v>
      </c>
      <c r="AE111" s="95">
        <f>'Draw Calc (Hidden)'!AB93</f>
        <v>0</v>
      </c>
      <c r="AF111" s="95">
        <f>'Draw Calc (Hidden)'!AC93</f>
        <v>0</v>
      </c>
      <c r="AG111" s="95">
        <f>'Draw Calc (Hidden)'!AD93</f>
        <v>0</v>
      </c>
      <c r="AH111" s="95">
        <f>'Draw Calc (Hidden)'!AE93</f>
        <v>0</v>
      </c>
      <c r="AI111" s="95">
        <f>'Draw Calc (Hidden)'!AF93</f>
        <v>0</v>
      </c>
      <c r="AJ111" s="95">
        <f>'Draw Calc (Hidden)'!AG93</f>
        <v>0</v>
      </c>
      <c r="AK111" s="95">
        <f>'Draw Calc (Hidden)'!AH93</f>
        <v>0</v>
      </c>
      <c r="AL111" s="95">
        <f>'Draw Calc (Hidden)'!AI93</f>
        <v>0</v>
      </c>
      <c r="AM111" s="95">
        <f>'Draw Calc (Hidden)'!AJ93</f>
        <v>0</v>
      </c>
      <c r="AN111" s="95">
        <f>'Draw Calc (Hidden)'!AK93</f>
        <v>0</v>
      </c>
      <c r="AO111" s="95">
        <f>'Draw Calc (Hidden)'!AL93</f>
        <v>0</v>
      </c>
    </row>
    <row r="112" spans="1:41" ht="15" customHeight="1" x14ac:dyDescent="0.2">
      <c r="A112" s="94" t="str">
        <f>'I_Budget Input Data'!B94</f>
        <v>3. HARD COSTS</v>
      </c>
      <c r="B112" s="94" t="str">
        <f>'I_Budget Input Data'!C94</f>
        <v>Kitchen:Quartz counters - Installation</v>
      </c>
      <c r="C112" s="95">
        <f>'I_Budget Input Data'!D94</f>
        <v>0</v>
      </c>
      <c r="D112" s="95">
        <f t="shared" si="4"/>
        <v>0</v>
      </c>
      <c r="E112" s="95">
        <f t="shared" si="5"/>
        <v>0</v>
      </c>
      <c r="F112" s="95">
        <f>'Draw Calc (Hidden)'!C94</f>
        <v>0</v>
      </c>
      <c r="G112" s="95">
        <f>'Draw Calc (Hidden)'!D94</f>
        <v>0</v>
      </c>
      <c r="H112" s="95">
        <f>'Draw Calc (Hidden)'!E94</f>
        <v>0</v>
      </c>
      <c r="I112" s="95">
        <f>'Draw Calc (Hidden)'!F94</f>
        <v>0</v>
      </c>
      <c r="J112" s="95">
        <f>'Draw Calc (Hidden)'!G94</f>
        <v>0</v>
      </c>
      <c r="K112" s="95">
        <f>'Draw Calc (Hidden)'!H94</f>
        <v>0</v>
      </c>
      <c r="L112" s="95">
        <f>'Draw Calc (Hidden)'!I94</f>
        <v>0</v>
      </c>
      <c r="M112" s="95">
        <f>'Draw Calc (Hidden)'!J94</f>
        <v>0</v>
      </c>
      <c r="N112" s="95">
        <f>'Draw Calc (Hidden)'!K94</f>
        <v>0</v>
      </c>
      <c r="O112" s="95">
        <f>'Draw Calc (Hidden)'!L94</f>
        <v>0</v>
      </c>
      <c r="P112" s="95">
        <f>'Draw Calc (Hidden)'!M94</f>
        <v>0</v>
      </c>
      <c r="Q112" s="95">
        <f>'Draw Calc (Hidden)'!N94</f>
        <v>0</v>
      </c>
      <c r="R112" s="95">
        <f>'Draw Calc (Hidden)'!O94</f>
        <v>0</v>
      </c>
      <c r="S112" s="95">
        <f>'Draw Calc (Hidden)'!P94</f>
        <v>0</v>
      </c>
      <c r="T112" s="95">
        <f>'Draw Calc (Hidden)'!Q94</f>
        <v>0</v>
      </c>
      <c r="U112" s="95">
        <f>'Draw Calc (Hidden)'!R94</f>
        <v>0</v>
      </c>
      <c r="V112" s="95">
        <f>'Draw Calc (Hidden)'!S94</f>
        <v>0</v>
      </c>
      <c r="W112" s="95">
        <f>'Draw Calc (Hidden)'!T94</f>
        <v>0</v>
      </c>
      <c r="X112" s="95">
        <f>'Draw Calc (Hidden)'!U94</f>
        <v>0</v>
      </c>
      <c r="Y112" s="95">
        <f>'Draw Calc (Hidden)'!V94</f>
        <v>0</v>
      </c>
      <c r="Z112" s="95">
        <f>'Draw Calc (Hidden)'!W94</f>
        <v>0</v>
      </c>
      <c r="AA112" s="95">
        <f>'Draw Calc (Hidden)'!X94</f>
        <v>0</v>
      </c>
      <c r="AB112" s="95">
        <f>'Draw Calc (Hidden)'!Y94</f>
        <v>0</v>
      </c>
      <c r="AC112" s="95">
        <f>'Draw Calc (Hidden)'!Z94</f>
        <v>0</v>
      </c>
      <c r="AD112" s="95">
        <f>'Draw Calc (Hidden)'!AA94</f>
        <v>0</v>
      </c>
      <c r="AE112" s="95">
        <f>'Draw Calc (Hidden)'!AB94</f>
        <v>0</v>
      </c>
      <c r="AF112" s="95">
        <f>'Draw Calc (Hidden)'!AC94</f>
        <v>0</v>
      </c>
      <c r="AG112" s="95">
        <f>'Draw Calc (Hidden)'!AD94</f>
        <v>0</v>
      </c>
      <c r="AH112" s="95">
        <f>'Draw Calc (Hidden)'!AE94</f>
        <v>0</v>
      </c>
      <c r="AI112" s="95">
        <f>'Draw Calc (Hidden)'!AF94</f>
        <v>0</v>
      </c>
      <c r="AJ112" s="95">
        <f>'Draw Calc (Hidden)'!AG94</f>
        <v>0</v>
      </c>
      <c r="AK112" s="95">
        <f>'Draw Calc (Hidden)'!AH94</f>
        <v>0</v>
      </c>
      <c r="AL112" s="95">
        <f>'Draw Calc (Hidden)'!AI94</f>
        <v>0</v>
      </c>
      <c r="AM112" s="95">
        <f>'Draw Calc (Hidden)'!AJ94</f>
        <v>0</v>
      </c>
      <c r="AN112" s="95">
        <f>'Draw Calc (Hidden)'!AK94</f>
        <v>0</v>
      </c>
      <c r="AO112" s="95">
        <f>'Draw Calc (Hidden)'!AL94</f>
        <v>0</v>
      </c>
    </row>
    <row r="113" spans="1:41" ht="15" customHeight="1" x14ac:dyDescent="0.2">
      <c r="A113" s="94" t="str">
        <f>'I_Budget Input Data'!B95</f>
        <v>3. HARD COSTS</v>
      </c>
      <c r="B113" s="94" t="str">
        <f>'I_Budget Input Data'!C95</f>
        <v>Carpentry rough:Roof insulation</v>
      </c>
      <c r="C113" s="95">
        <f>'I_Budget Input Data'!D95</f>
        <v>35500</v>
      </c>
      <c r="D113" s="95">
        <f t="shared" si="4"/>
        <v>34953.846153846156</v>
      </c>
      <c r="E113" s="95">
        <f t="shared" si="5"/>
        <v>546.15384615384392</v>
      </c>
      <c r="F113" s="95">
        <f>'Draw Calc (Hidden)'!C95</f>
        <v>2184.6153846153848</v>
      </c>
      <c r="G113" s="95">
        <f>'Draw Calc (Hidden)'!D95</f>
        <v>2184.6153846153848</v>
      </c>
      <c r="H113" s="95">
        <f>'Draw Calc (Hidden)'!E95</f>
        <v>2184.6153846153848</v>
      </c>
      <c r="I113" s="95">
        <f>'Draw Calc (Hidden)'!F95</f>
        <v>3276.9230769230771</v>
      </c>
      <c r="J113" s="95">
        <f>'Draw Calc (Hidden)'!G95</f>
        <v>3276.9230769230771</v>
      </c>
      <c r="K113" s="95">
        <f>'Draw Calc (Hidden)'!H95</f>
        <v>3276.9230769230771</v>
      </c>
      <c r="L113" s="95">
        <f>'Draw Calc (Hidden)'!I95</f>
        <v>3276.9230769230771</v>
      </c>
      <c r="M113" s="95">
        <f>'Draw Calc (Hidden)'!J95</f>
        <v>3276.9230769230771</v>
      </c>
      <c r="N113" s="95">
        <f>'Draw Calc (Hidden)'!K95</f>
        <v>3276.9230769230771</v>
      </c>
      <c r="O113" s="95">
        <f>'Draw Calc (Hidden)'!L95</f>
        <v>2184.6153846153848</v>
      </c>
      <c r="P113" s="95">
        <f>'Draw Calc (Hidden)'!M95</f>
        <v>2184.6153846153848</v>
      </c>
      <c r="Q113" s="95">
        <f>'Draw Calc (Hidden)'!N95</f>
        <v>2184.6153846153848</v>
      </c>
      <c r="R113" s="95">
        <f>'Draw Calc (Hidden)'!O95</f>
        <v>2184.6153846153848</v>
      </c>
      <c r="S113" s="95">
        <f>'Draw Calc (Hidden)'!P95</f>
        <v>0</v>
      </c>
      <c r="T113" s="95">
        <f>'Draw Calc (Hidden)'!Q95</f>
        <v>0</v>
      </c>
      <c r="U113" s="95">
        <f>'Draw Calc (Hidden)'!R95</f>
        <v>0</v>
      </c>
      <c r="V113" s="95">
        <f>'Draw Calc (Hidden)'!S95</f>
        <v>0</v>
      </c>
      <c r="W113" s="95">
        <f>'Draw Calc (Hidden)'!T95</f>
        <v>0</v>
      </c>
      <c r="X113" s="95">
        <f>'Draw Calc (Hidden)'!U95</f>
        <v>0</v>
      </c>
      <c r="Y113" s="95">
        <f>'Draw Calc (Hidden)'!V95</f>
        <v>0</v>
      </c>
      <c r="Z113" s="95">
        <f>'Draw Calc (Hidden)'!W95</f>
        <v>0</v>
      </c>
      <c r="AA113" s="95">
        <f>'Draw Calc (Hidden)'!X95</f>
        <v>0</v>
      </c>
      <c r="AB113" s="95">
        <f>'Draw Calc (Hidden)'!Y95</f>
        <v>0</v>
      </c>
      <c r="AC113" s="95">
        <f>'Draw Calc (Hidden)'!Z95</f>
        <v>0</v>
      </c>
      <c r="AD113" s="95">
        <f>'Draw Calc (Hidden)'!AA95</f>
        <v>0</v>
      </c>
      <c r="AE113" s="95">
        <f>'Draw Calc (Hidden)'!AB95</f>
        <v>0</v>
      </c>
      <c r="AF113" s="95">
        <f>'Draw Calc (Hidden)'!AC95</f>
        <v>0</v>
      </c>
      <c r="AG113" s="95">
        <f>'Draw Calc (Hidden)'!AD95</f>
        <v>0</v>
      </c>
      <c r="AH113" s="95">
        <f>'Draw Calc (Hidden)'!AE95</f>
        <v>0</v>
      </c>
      <c r="AI113" s="95">
        <f>'Draw Calc (Hidden)'!AF95</f>
        <v>0</v>
      </c>
      <c r="AJ113" s="95">
        <f>'Draw Calc (Hidden)'!AG95</f>
        <v>0</v>
      </c>
      <c r="AK113" s="95">
        <f>'Draw Calc (Hidden)'!AH95</f>
        <v>0</v>
      </c>
      <c r="AL113" s="95">
        <f>'Draw Calc (Hidden)'!AI95</f>
        <v>0</v>
      </c>
      <c r="AM113" s="95">
        <f>'Draw Calc (Hidden)'!AJ95</f>
        <v>0</v>
      </c>
      <c r="AN113" s="95">
        <f>'Draw Calc (Hidden)'!AK95</f>
        <v>0</v>
      </c>
      <c r="AO113" s="95">
        <f>'Draw Calc (Hidden)'!AL95</f>
        <v>0</v>
      </c>
    </row>
    <row r="114" spans="1:41" ht="15" customHeight="1" x14ac:dyDescent="0.2">
      <c r="A114" s="94" t="str">
        <f>'I_Budget Input Data'!B96</f>
        <v>3. HARD COSTS</v>
      </c>
      <c r="B114" s="94" t="str">
        <f>'I_Budget Input Data'!C96</f>
        <v>Exterior finishes:Wood siding</v>
      </c>
      <c r="C114" s="95">
        <f>'I_Budget Input Data'!D96</f>
        <v>1482450</v>
      </c>
      <c r="D114" s="95">
        <f t="shared" si="4"/>
        <v>1459643.0769230768</v>
      </c>
      <c r="E114" s="95">
        <f t="shared" si="5"/>
        <v>22806.923076923238</v>
      </c>
      <c r="F114" s="95">
        <f>'Draw Calc (Hidden)'!C96</f>
        <v>91227.692307692312</v>
      </c>
      <c r="G114" s="95">
        <f>'Draw Calc (Hidden)'!D96</f>
        <v>91227.692307692312</v>
      </c>
      <c r="H114" s="95">
        <f>'Draw Calc (Hidden)'!E96</f>
        <v>91227.692307692312</v>
      </c>
      <c r="I114" s="95">
        <f>'Draw Calc (Hidden)'!F96</f>
        <v>136841.53846153847</v>
      </c>
      <c r="J114" s="95">
        <f>'Draw Calc (Hidden)'!G96</f>
        <v>136841.53846153847</v>
      </c>
      <c r="K114" s="95">
        <f>'Draw Calc (Hidden)'!H96</f>
        <v>136841.53846153847</v>
      </c>
      <c r="L114" s="95">
        <f>'Draw Calc (Hidden)'!I96</f>
        <v>136841.53846153847</v>
      </c>
      <c r="M114" s="95">
        <f>'Draw Calc (Hidden)'!J96</f>
        <v>136841.53846153847</v>
      </c>
      <c r="N114" s="95">
        <f>'Draw Calc (Hidden)'!K96</f>
        <v>136841.53846153847</v>
      </c>
      <c r="O114" s="95">
        <f>'Draw Calc (Hidden)'!L96</f>
        <v>91227.692307692312</v>
      </c>
      <c r="P114" s="95">
        <f>'Draw Calc (Hidden)'!M96</f>
        <v>91227.692307692312</v>
      </c>
      <c r="Q114" s="95">
        <f>'Draw Calc (Hidden)'!N96</f>
        <v>91227.692307692312</v>
      </c>
      <c r="R114" s="95">
        <f>'Draw Calc (Hidden)'!O96</f>
        <v>91227.692307692312</v>
      </c>
      <c r="S114" s="95">
        <f>'Draw Calc (Hidden)'!P96</f>
        <v>0</v>
      </c>
      <c r="T114" s="95">
        <f>'Draw Calc (Hidden)'!Q96</f>
        <v>0</v>
      </c>
      <c r="U114" s="95">
        <f>'Draw Calc (Hidden)'!R96</f>
        <v>0</v>
      </c>
      <c r="V114" s="95">
        <f>'Draw Calc (Hidden)'!S96</f>
        <v>0</v>
      </c>
      <c r="W114" s="95">
        <f>'Draw Calc (Hidden)'!T96</f>
        <v>0</v>
      </c>
      <c r="X114" s="95">
        <f>'Draw Calc (Hidden)'!U96</f>
        <v>0</v>
      </c>
      <c r="Y114" s="95">
        <f>'Draw Calc (Hidden)'!V96</f>
        <v>0</v>
      </c>
      <c r="Z114" s="95">
        <f>'Draw Calc (Hidden)'!W96</f>
        <v>0</v>
      </c>
      <c r="AA114" s="95">
        <f>'Draw Calc (Hidden)'!X96</f>
        <v>0</v>
      </c>
      <c r="AB114" s="95">
        <f>'Draw Calc (Hidden)'!Y96</f>
        <v>0</v>
      </c>
      <c r="AC114" s="95">
        <f>'Draw Calc (Hidden)'!Z96</f>
        <v>0</v>
      </c>
      <c r="AD114" s="95">
        <f>'Draw Calc (Hidden)'!AA96</f>
        <v>0</v>
      </c>
      <c r="AE114" s="95">
        <f>'Draw Calc (Hidden)'!AB96</f>
        <v>0</v>
      </c>
      <c r="AF114" s="95">
        <f>'Draw Calc (Hidden)'!AC96</f>
        <v>0</v>
      </c>
      <c r="AG114" s="95">
        <f>'Draw Calc (Hidden)'!AD96</f>
        <v>0</v>
      </c>
      <c r="AH114" s="95">
        <f>'Draw Calc (Hidden)'!AE96</f>
        <v>0</v>
      </c>
      <c r="AI114" s="95">
        <f>'Draw Calc (Hidden)'!AF96</f>
        <v>0</v>
      </c>
      <c r="AJ114" s="95">
        <f>'Draw Calc (Hidden)'!AG96</f>
        <v>0</v>
      </c>
      <c r="AK114" s="95">
        <f>'Draw Calc (Hidden)'!AH96</f>
        <v>0</v>
      </c>
      <c r="AL114" s="95">
        <f>'Draw Calc (Hidden)'!AI96</f>
        <v>0</v>
      </c>
      <c r="AM114" s="95">
        <f>'Draw Calc (Hidden)'!AJ96</f>
        <v>0</v>
      </c>
      <c r="AN114" s="95">
        <f>'Draw Calc (Hidden)'!AK96</f>
        <v>0</v>
      </c>
      <c r="AO114" s="95">
        <f>'Draw Calc (Hidden)'!AL96</f>
        <v>0</v>
      </c>
    </row>
    <row r="115" spans="1:41" ht="15" customHeight="1" x14ac:dyDescent="0.2">
      <c r="A115" s="94" t="str">
        <f>'I_Budget Input Data'!B97</f>
        <v>3. HARD COSTS</v>
      </c>
      <c r="B115" s="94" t="str">
        <f>'I_Budget Input Data'!C97</f>
        <v>Exterior finishes:Acrylic stucco &amp; Duroc</v>
      </c>
      <c r="C115" s="95">
        <f>'I_Budget Input Data'!D97</f>
        <v>280000</v>
      </c>
      <c r="D115" s="95">
        <f t="shared" si="4"/>
        <v>275692.30769230763</v>
      </c>
      <c r="E115" s="95">
        <f t="shared" si="5"/>
        <v>4307.6923076923704</v>
      </c>
      <c r="F115" s="95">
        <f>'Draw Calc (Hidden)'!C97</f>
        <v>17230.76923076923</v>
      </c>
      <c r="G115" s="95">
        <f>'Draw Calc (Hidden)'!D97</f>
        <v>17230.76923076923</v>
      </c>
      <c r="H115" s="95">
        <f>'Draw Calc (Hidden)'!E97</f>
        <v>17230.76923076923</v>
      </c>
      <c r="I115" s="95">
        <f>'Draw Calc (Hidden)'!F97</f>
        <v>25846.153846153848</v>
      </c>
      <c r="J115" s="95">
        <f>'Draw Calc (Hidden)'!G97</f>
        <v>25846.153846153848</v>
      </c>
      <c r="K115" s="95">
        <f>'Draw Calc (Hidden)'!H97</f>
        <v>25846.153846153848</v>
      </c>
      <c r="L115" s="95">
        <f>'Draw Calc (Hidden)'!I97</f>
        <v>25846.153846153848</v>
      </c>
      <c r="M115" s="95">
        <f>'Draw Calc (Hidden)'!J97</f>
        <v>25846.153846153848</v>
      </c>
      <c r="N115" s="95">
        <f>'Draw Calc (Hidden)'!K97</f>
        <v>25846.153846153848</v>
      </c>
      <c r="O115" s="95">
        <f>'Draw Calc (Hidden)'!L97</f>
        <v>17230.76923076923</v>
      </c>
      <c r="P115" s="95">
        <f>'Draw Calc (Hidden)'!M97</f>
        <v>17230.76923076923</v>
      </c>
      <c r="Q115" s="95">
        <f>'Draw Calc (Hidden)'!N97</f>
        <v>17230.76923076923</v>
      </c>
      <c r="R115" s="95">
        <f>'Draw Calc (Hidden)'!O97</f>
        <v>17230.76923076923</v>
      </c>
      <c r="S115" s="95">
        <f>'Draw Calc (Hidden)'!P97</f>
        <v>0</v>
      </c>
      <c r="T115" s="95">
        <f>'Draw Calc (Hidden)'!Q97</f>
        <v>0</v>
      </c>
      <c r="U115" s="95">
        <f>'Draw Calc (Hidden)'!R97</f>
        <v>0</v>
      </c>
      <c r="V115" s="95">
        <f>'Draw Calc (Hidden)'!S97</f>
        <v>0</v>
      </c>
      <c r="W115" s="95">
        <f>'Draw Calc (Hidden)'!T97</f>
        <v>0</v>
      </c>
      <c r="X115" s="95">
        <f>'Draw Calc (Hidden)'!U97</f>
        <v>0</v>
      </c>
      <c r="Y115" s="95">
        <f>'Draw Calc (Hidden)'!V97</f>
        <v>0</v>
      </c>
      <c r="Z115" s="95">
        <f>'Draw Calc (Hidden)'!W97</f>
        <v>0</v>
      </c>
      <c r="AA115" s="95">
        <f>'Draw Calc (Hidden)'!X97</f>
        <v>0</v>
      </c>
      <c r="AB115" s="95">
        <f>'Draw Calc (Hidden)'!Y97</f>
        <v>0</v>
      </c>
      <c r="AC115" s="95">
        <f>'Draw Calc (Hidden)'!Z97</f>
        <v>0</v>
      </c>
      <c r="AD115" s="95">
        <f>'Draw Calc (Hidden)'!AA97</f>
        <v>0</v>
      </c>
      <c r="AE115" s="95">
        <f>'Draw Calc (Hidden)'!AB97</f>
        <v>0</v>
      </c>
      <c r="AF115" s="95">
        <f>'Draw Calc (Hidden)'!AC97</f>
        <v>0</v>
      </c>
      <c r="AG115" s="95">
        <f>'Draw Calc (Hidden)'!AD97</f>
        <v>0</v>
      </c>
      <c r="AH115" s="95">
        <f>'Draw Calc (Hidden)'!AE97</f>
        <v>0</v>
      </c>
      <c r="AI115" s="95">
        <f>'Draw Calc (Hidden)'!AF97</f>
        <v>0</v>
      </c>
      <c r="AJ115" s="95">
        <f>'Draw Calc (Hidden)'!AG97</f>
        <v>0</v>
      </c>
      <c r="AK115" s="95">
        <f>'Draw Calc (Hidden)'!AH97</f>
        <v>0</v>
      </c>
      <c r="AL115" s="95">
        <f>'Draw Calc (Hidden)'!AI97</f>
        <v>0</v>
      </c>
      <c r="AM115" s="95">
        <f>'Draw Calc (Hidden)'!AJ97</f>
        <v>0</v>
      </c>
      <c r="AN115" s="95">
        <f>'Draw Calc (Hidden)'!AK97</f>
        <v>0</v>
      </c>
      <c r="AO115" s="95">
        <f>'Draw Calc (Hidden)'!AL97</f>
        <v>0</v>
      </c>
    </row>
    <row r="116" spans="1:41" ht="15" customHeight="1" x14ac:dyDescent="0.2">
      <c r="A116" s="94" t="str">
        <f>'I_Budget Input Data'!B98</f>
        <v>3. HARD COSTS</v>
      </c>
      <c r="B116" s="94" t="str">
        <f>'I_Budget Input Data'!C98</f>
        <v>Roof, membrane:Roofing (Shingles)</v>
      </c>
      <c r="C116" s="95">
        <f>'I_Budget Input Data'!D98</f>
        <v>280825</v>
      </c>
      <c r="D116" s="95">
        <f t="shared" si="4"/>
        <v>276504.61538461538</v>
      </c>
      <c r="E116" s="95">
        <f t="shared" si="5"/>
        <v>4320.3846153846243</v>
      </c>
      <c r="F116" s="95">
        <f>'Draw Calc (Hidden)'!C98</f>
        <v>17281.538461538461</v>
      </c>
      <c r="G116" s="95">
        <f>'Draw Calc (Hidden)'!D98</f>
        <v>17281.538461538461</v>
      </c>
      <c r="H116" s="95">
        <f>'Draw Calc (Hidden)'!E98</f>
        <v>17281.538461538461</v>
      </c>
      <c r="I116" s="95">
        <f>'Draw Calc (Hidden)'!F98</f>
        <v>25922.307692307691</v>
      </c>
      <c r="J116" s="95">
        <f>'Draw Calc (Hidden)'!G98</f>
        <v>25922.307692307691</v>
      </c>
      <c r="K116" s="95">
        <f>'Draw Calc (Hidden)'!H98</f>
        <v>25922.307692307691</v>
      </c>
      <c r="L116" s="95">
        <f>'Draw Calc (Hidden)'!I98</f>
        <v>25922.307692307691</v>
      </c>
      <c r="M116" s="95">
        <f>'Draw Calc (Hidden)'!J98</f>
        <v>25922.307692307691</v>
      </c>
      <c r="N116" s="95">
        <f>'Draw Calc (Hidden)'!K98</f>
        <v>25922.307692307691</v>
      </c>
      <c r="O116" s="95">
        <f>'Draw Calc (Hidden)'!L98</f>
        <v>17281.538461538461</v>
      </c>
      <c r="P116" s="95">
        <f>'Draw Calc (Hidden)'!M98</f>
        <v>17281.538461538461</v>
      </c>
      <c r="Q116" s="95">
        <f>'Draw Calc (Hidden)'!N98</f>
        <v>17281.538461538461</v>
      </c>
      <c r="R116" s="95">
        <f>'Draw Calc (Hidden)'!O98</f>
        <v>17281.538461538461</v>
      </c>
      <c r="S116" s="95">
        <f>'Draw Calc (Hidden)'!P98</f>
        <v>0</v>
      </c>
      <c r="T116" s="95">
        <f>'Draw Calc (Hidden)'!Q98</f>
        <v>0</v>
      </c>
      <c r="U116" s="95">
        <f>'Draw Calc (Hidden)'!R98</f>
        <v>0</v>
      </c>
      <c r="V116" s="95">
        <f>'Draw Calc (Hidden)'!S98</f>
        <v>0</v>
      </c>
      <c r="W116" s="95">
        <f>'Draw Calc (Hidden)'!T98</f>
        <v>0</v>
      </c>
      <c r="X116" s="95">
        <f>'Draw Calc (Hidden)'!U98</f>
        <v>0</v>
      </c>
      <c r="Y116" s="95">
        <f>'Draw Calc (Hidden)'!V98</f>
        <v>0</v>
      </c>
      <c r="Z116" s="95">
        <f>'Draw Calc (Hidden)'!W98</f>
        <v>0</v>
      </c>
      <c r="AA116" s="95">
        <f>'Draw Calc (Hidden)'!X98</f>
        <v>0</v>
      </c>
      <c r="AB116" s="95">
        <f>'Draw Calc (Hidden)'!Y98</f>
        <v>0</v>
      </c>
      <c r="AC116" s="95">
        <f>'Draw Calc (Hidden)'!Z98</f>
        <v>0</v>
      </c>
      <c r="AD116" s="95">
        <f>'Draw Calc (Hidden)'!AA98</f>
        <v>0</v>
      </c>
      <c r="AE116" s="95">
        <f>'Draw Calc (Hidden)'!AB98</f>
        <v>0</v>
      </c>
      <c r="AF116" s="95">
        <f>'Draw Calc (Hidden)'!AC98</f>
        <v>0</v>
      </c>
      <c r="AG116" s="95">
        <f>'Draw Calc (Hidden)'!AD98</f>
        <v>0</v>
      </c>
      <c r="AH116" s="95">
        <f>'Draw Calc (Hidden)'!AE98</f>
        <v>0</v>
      </c>
      <c r="AI116" s="95">
        <f>'Draw Calc (Hidden)'!AF98</f>
        <v>0</v>
      </c>
      <c r="AJ116" s="95">
        <f>'Draw Calc (Hidden)'!AG98</f>
        <v>0</v>
      </c>
      <c r="AK116" s="95">
        <f>'Draw Calc (Hidden)'!AH98</f>
        <v>0</v>
      </c>
      <c r="AL116" s="95">
        <f>'Draw Calc (Hidden)'!AI98</f>
        <v>0</v>
      </c>
      <c r="AM116" s="95">
        <f>'Draw Calc (Hidden)'!AJ98</f>
        <v>0</v>
      </c>
      <c r="AN116" s="95">
        <f>'Draw Calc (Hidden)'!AK98</f>
        <v>0</v>
      </c>
      <c r="AO116" s="95">
        <f>'Draw Calc (Hidden)'!AL98</f>
        <v>0</v>
      </c>
    </row>
    <row r="117" spans="1:41" ht="15" customHeight="1" x14ac:dyDescent="0.2">
      <c r="A117" s="94" t="str">
        <f>'I_Budget Input Data'!B99</f>
        <v>3. HARD COSTS</v>
      </c>
      <c r="B117" s="94" t="str">
        <f>'I_Budget Input Data'!C99</f>
        <v>Roof, membrane:Roofing (Winter conditions)</v>
      </c>
      <c r="C117" s="95">
        <f>'I_Budget Input Data'!D99</f>
        <v>0</v>
      </c>
      <c r="D117" s="95">
        <f t="shared" si="4"/>
        <v>0</v>
      </c>
      <c r="E117" s="95">
        <f t="shared" si="5"/>
        <v>0</v>
      </c>
      <c r="F117" s="95">
        <f>'Draw Calc (Hidden)'!C99</f>
        <v>0</v>
      </c>
      <c r="G117" s="95">
        <f>'Draw Calc (Hidden)'!D99</f>
        <v>0</v>
      </c>
      <c r="H117" s="95">
        <f>'Draw Calc (Hidden)'!E99</f>
        <v>0</v>
      </c>
      <c r="I117" s="95">
        <f>'Draw Calc (Hidden)'!F99</f>
        <v>0</v>
      </c>
      <c r="J117" s="95">
        <f>'Draw Calc (Hidden)'!G99</f>
        <v>0</v>
      </c>
      <c r="K117" s="95">
        <f>'Draw Calc (Hidden)'!H99</f>
        <v>0</v>
      </c>
      <c r="L117" s="95">
        <f>'Draw Calc (Hidden)'!I99</f>
        <v>0</v>
      </c>
      <c r="M117" s="95">
        <f>'Draw Calc (Hidden)'!J99</f>
        <v>0</v>
      </c>
      <c r="N117" s="95">
        <f>'Draw Calc (Hidden)'!K99</f>
        <v>0</v>
      </c>
      <c r="O117" s="95">
        <f>'Draw Calc (Hidden)'!L99</f>
        <v>0</v>
      </c>
      <c r="P117" s="95">
        <f>'Draw Calc (Hidden)'!M99</f>
        <v>0</v>
      </c>
      <c r="Q117" s="95">
        <f>'Draw Calc (Hidden)'!N99</f>
        <v>0</v>
      </c>
      <c r="R117" s="95">
        <f>'Draw Calc (Hidden)'!O99</f>
        <v>0</v>
      </c>
      <c r="S117" s="95">
        <f>'Draw Calc (Hidden)'!P99</f>
        <v>0</v>
      </c>
      <c r="T117" s="95">
        <f>'Draw Calc (Hidden)'!Q99</f>
        <v>0</v>
      </c>
      <c r="U117" s="95">
        <f>'Draw Calc (Hidden)'!R99</f>
        <v>0</v>
      </c>
      <c r="V117" s="95">
        <f>'Draw Calc (Hidden)'!S99</f>
        <v>0</v>
      </c>
      <c r="W117" s="95">
        <f>'Draw Calc (Hidden)'!T99</f>
        <v>0</v>
      </c>
      <c r="X117" s="95">
        <f>'Draw Calc (Hidden)'!U99</f>
        <v>0</v>
      </c>
      <c r="Y117" s="95">
        <f>'Draw Calc (Hidden)'!V99</f>
        <v>0</v>
      </c>
      <c r="Z117" s="95">
        <f>'Draw Calc (Hidden)'!W99</f>
        <v>0</v>
      </c>
      <c r="AA117" s="95">
        <f>'Draw Calc (Hidden)'!X99</f>
        <v>0</v>
      </c>
      <c r="AB117" s="95">
        <f>'Draw Calc (Hidden)'!Y99</f>
        <v>0</v>
      </c>
      <c r="AC117" s="95">
        <f>'Draw Calc (Hidden)'!Z99</f>
        <v>0</v>
      </c>
      <c r="AD117" s="95">
        <f>'Draw Calc (Hidden)'!AA99</f>
        <v>0</v>
      </c>
      <c r="AE117" s="95">
        <f>'Draw Calc (Hidden)'!AB99</f>
        <v>0</v>
      </c>
      <c r="AF117" s="95">
        <f>'Draw Calc (Hidden)'!AC99</f>
        <v>0</v>
      </c>
      <c r="AG117" s="95">
        <f>'Draw Calc (Hidden)'!AD99</f>
        <v>0</v>
      </c>
      <c r="AH117" s="95">
        <f>'Draw Calc (Hidden)'!AE99</f>
        <v>0</v>
      </c>
      <c r="AI117" s="95">
        <f>'Draw Calc (Hidden)'!AF99</f>
        <v>0</v>
      </c>
      <c r="AJ117" s="95">
        <f>'Draw Calc (Hidden)'!AG99</f>
        <v>0</v>
      </c>
      <c r="AK117" s="95">
        <f>'Draw Calc (Hidden)'!AH99</f>
        <v>0</v>
      </c>
      <c r="AL117" s="95">
        <f>'Draw Calc (Hidden)'!AI99</f>
        <v>0</v>
      </c>
      <c r="AM117" s="95">
        <f>'Draw Calc (Hidden)'!AJ99</f>
        <v>0</v>
      </c>
      <c r="AN117" s="95">
        <f>'Draw Calc (Hidden)'!AK99</f>
        <v>0</v>
      </c>
      <c r="AO117" s="95">
        <f>'Draw Calc (Hidden)'!AL99</f>
        <v>0</v>
      </c>
    </row>
    <row r="118" spans="1:41" ht="15" customHeight="1" x14ac:dyDescent="0.2">
      <c r="A118" s="94" t="str">
        <f>'I_Budget Input Data'!B100</f>
        <v>3. HARD COSTS</v>
      </c>
      <c r="B118" s="94" t="str">
        <f>'I_Budget Input Data'!C100</f>
        <v>Roof, membrane:Rain Gutters</v>
      </c>
      <c r="C118" s="95">
        <f>'I_Budget Input Data'!D100</f>
        <v>36000</v>
      </c>
      <c r="D118" s="95">
        <f t="shared" si="4"/>
        <v>35446.153846153844</v>
      </c>
      <c r="E118" s="95">
        <f t="shared" si="5"/>
        <v>553.84615384615608</v>
      </c>
      <c r="F118" s="95">
        <f>'Draw Calc (Hidden)'!C100</f>
        <v>2215.3846153846152</v>
      </c>
      <c r="G118" s="95">
        <f>'Draw Calc (Hidden)'!D100</f>
        <v>2215.3846153846152</v>
      </c>
      <c r="H118" s="95">
        <f>'Draw Calc (Hidden)'!E100</f>
        <v>2215.3846153846152</v>
      </c>
      <c r="I118" s="95">
        <f>'Draw Calc (Hidden)'!F100</f>
        <v>3323.0769230769229</v>
      </c>
      <c r="J118" s="95">
        <f>'Draw Calc (Hidden)'!G100</f>
        <v>3323.0769230769229</v>
      </c>
      <c r="K118" s="95">
        <f>'Draw Calc (Hidden)'!H100</f>
        <v>3323.0769230769229</v>
      </c>
      <c r="L118" s="95">
        <f>'Draw Calc (Hidden)'!I100</f>
        <v>3323.0769230769229</v>
      </c>
      <c r="M118" s="95">
        <f>'Draw Calc (Hidden)'!J100</f>
        <v>3323.0769230769229</v>
      </c>
      <c r="N118" s="95">
        <f>'Draw Calc (Hidden)'!K100</f>
        <v>3323.0769230769229</v>
      </c>
      <c r="O118" s="95">
        <f>'Draw Calc (Hidden)'!L100</f>
        <v>2215.3846153846152</v>
      </c>
      <c r="P118" s="95">
        <f>'Draw Calc (Hidden)'!M100</f>
        <v>2215.3846153846152</v>
      </c>
      <c r="Q118" s="95">
        <f>'Draw Calc (Hidden)'!N100</f>
        <v>2215.3846153846152</v>
      </c>
      <c r="R118" s="95">
        <f>'Draw Calc (Hidden)'!O100</f>
        <v>2215.3846153846152</v>
      </c>
      <c r="S118" s="95">
        <f>'Draw Calc (Hidden)'!P100</f>
        <v>0</v>
      </c>
      <c r="T118" s="95">
        <f>'Draw Calc (Hidden)'!Q100</f>
        <v>0</v>
      </c>
      <c r="U118" s="95">
        <f>'Draw Calc (Hidden)'!R100</f>
        <v>0</v>
      </c>
      <c r="V118" s="95">
        <f>'Draw Calc (Hidden)'!S100</f>
        <v>0</v>
      </c>
      <c r="W118" s="95">
        <f>'Draw Calc (Hidden)'!T100</f>
        <v>0</v>
      </c>
      <c r="X118" s="95">
        <f>'Draw Calc (Hidden)'!U100</f>
        <v>0</v>
      </c>
      <c r="Y118" s="95">
        <f>'Draw Calc (Hidden)'!V100</f>
        <v>0</v>
      </c>
      <c r="Z118" s="95">
        <f>'Draw Calc (Hidden)'!W100</f>
        <v>0</v>
      </c>
      <c r="AA118" s="95">
        <f>'Draw Calc (Hidden)'!X100</f>
        <v>0</v>
      </c>
      <c r="AB118" s="95">
        <f>'Draw Calc (Hidden)'!Y100</f>
        <v>0</v>
      </c>
      <c r="AC118" s="95">
        <f>'Draw Calc (Hidden)'!Z100</f>
        <v>0</v>
      </c>
      <c r="AD118" s="95">
        <f>'Draw Calc (Hidden)'!AA100</f>
        <v>0</v>
      </c>
      <c r="AE118" s="95">
        <f>'Draw Calc (Hidden)'!AB100</f>
        <v>0</v>
      </c>
      <c r="AF118" s="95">
        <f>'Draw Calc (Hidden)'!AC100</f>
        <v>0</v>
      </c>
      <c r="AG118" s="95">
        <f>'Draw Calc (Hidden)'!AD100</f>
        <v>0</v>
      </c>
      <c r="AH118" s="95">
        <f>'Draw Calc (Hidden)'!AE100</f>
        <v>0</v>
      </c>
      <c r="AI118" s="95">
        <f>'Draw Calc (Hidden)'!AF100</f>
        <v>0</v>
      </c>
      <c r="AJ118" s="95">
        <f>'Draw Calc (Hidden)'!AG100</f>
        <v>0</v>
      </c>
      <c r="AK118" s="95">
        <f>'Draw Calc (Hidden)'!AH100</f>
        <v>0</v>
      </c>
      <c r="AL118" s="95">
        <f>'Draw Calc (Hidden)'!AI100</f>
        <v>0</v>
      </c>
      <c r="AM118" s="95">
        <f>'Draw Calc (Hidden)'!AJ100</f>
        <v>0</v>
      </c>
      <c r="AN118" s="95">
        <f>'Draw Calc (Hidden)'!AK100</f>
        <v>0</v>
      </c>
      <c r="AO118" s="95">
        <f>'Draw Calc (Hidden)'!AL100</f>
        <v>0</v>
      </c>
    </row>
    <row r="119" spans="1:41" ht="15" customHeight="1" x14ac:dyDescent="0.2">
      <c r="A119" s="94" t="str">
        <f>'I_Budget Input Data'!B101</f>
        <v>3. HARD COSTS</v>
      </c>
      <c r="B119" s="94" t="str">
        <f>'I_Budget Input Data'!C101</f>
        <v>Fenestration:Caulking</v>
      </c>
      <c r="C119" s="95">
        <f>'I_Budget Input Data'!D101</f>
        <v>91200</v>
      </c>
      <c r="D119" s="95">
        <f t="shared" si="4"/>
        <v>89796.923076923063</v>
      </c>
      <c r="E119" s="95">
        <f t="shared" si="5"/>
        <v>1403.0769230769365</v>
      </c>
      <c r="F119" s="95">
        <f>'Draw Calc (Hidden)'!C101</f>
        <v>5612.3076923076924</v>
      </c>
      <c r="G119" s="95">
        <f>'Draw Calc (Hidden)'!D101</f>
        <v>5612.3076923076924</v>
      </c>
      <c r="H119" s="95">
        <f>'Draw Calc (Hidden)'!E101</f>
        <v>5612.3076923076924</v>
      </c>
      <c r="I119" s="95">
        <f>'Draw Calc (Hidden)'!F101</f>
        <v>8418.461538461539</v>
      </c>
      <c r="J119" s="95">
        <f>'Draw Calc (Hidden)'!G101</f>
        <v>8418.461538461539</v>
      </c>
      <c r="K119" s="95">
        <f>'Draw Calc (Hidden)'!H101</f>
        <v>8418.461538461539</v>
      </c>
      <c r="L119" s="95">
        <f>'Draw Calc (Hidden)'!I101</f>
        <v>8418.461538461539</v>
      </c>
      <c r="M119" s="95">
        <f>'Draw Calc (Hidden)'!J101</f>
        <v>8418.461538461539</v>
      </c>
      <c r="N119" s="95">
        <f>'Draw Calc (Hidden)'!K101</f>
        <v>8418.461538461539</v>
      </c>
      <c r="O119" s="95">
        <f>'Draw Calc (Hidden)'!L101</f>
        <v>5612.3076923076924</v>
      </c>
      <c r="P119" s="95">
        <f>'Draw Calc (Hidden)'!M101</f>
        <v>5612.3076923076924</v>
      </c>
      <c r="Q119" s="95">
        <f>'Draw Calc (Hidden)'!N101</f>
        <v>5612.3076923076924</v>
      </c>
      <c r="R119" s="95">
        <f>'Draw Calc (Hidden)'!O101</f>
        <v>5612.3076923076924</v>
      </c>
      <c r="S119" s="95">
        <f>'Draw Calc (Hidden)'!P101</f>
        <v>0</v>
      </c>
      <c r="T119" s="95">
        <f>'Draw Calc (Hidden)'!Q101</f>
        <v>0</v>
      </c>
      <c r="U119" s="95">
        <f>'Draw Calc (Hidden)'!R101</f>
        <v>0</v>
      </c>
      <c r="V119" s="95">
        <f>'Draw Calc (Hidden)'!S101</f>
        <v>0</v>
      </c>
      <c r="W119" s="95">
        <f>'Draw Calc (Hidden)'!T101</f>
        <v>0</v>
      </c>
      <c r="X119" s="95">
        <f>'Draw Calc (Hidden)'!U101</f>
        <v>0</v>
      </c>
      <c r="Y119" s="95">
        <f>'Draw Calc (Hidden)'!V101</f>
        <v>0</v>
      </c>
      <c r="Z119" s="95">
        <f>'Draw Calc (Hidden)'!W101</f>
        <v>0</v>
      </c>
      <c r="AA119" s="95">
        <f>'Draw Calc (Hidden)'!X101</f>
        <v>0</v>
      </c>
      <c r="AB119" s="95">
        <f>'Draw Calc (Hidden)'!Y101</f>
        <v>0</v>
      </c>
      <c r="AC119" s="95">
        <f>'Draw Calc (Hidden)'!Z101</f>
        <v>0</v>
      </c>
      <c r="AD119" s="95">
        <f>'Draw Calc (Hidden)'!AA101</f>
        <v>0</v>
      </c>
      <c r="AE119" s="95">
        <f>'Draw Calc (Hidden)'!AB101</f>
        <v>0</v>
      </c>
      <c r="AF119" s="95">
        <f>'Draw Calc (Hidden)'!AC101</f>
        <v>0</v>
      </c>
      <c r="AG119" s="95">
        <f>'Draw Calc (Hidden)'!AD101</f>
        <v>0</v>
      </c>
      <c r="AH119" s="95">
        <f>'Draw Calc (Hidden)'!AE101</f>
        <v>0</v>
      </c>
      <c r="AI119" s="95">
        <f>'Draw Calc (Hidden)'!AF101</f>
        <v>0</v>
      </c>
      <c r="AJ119" s="95">
        <f>'Draw Calc (Hidden)'!AG101</f>
        <v>0</v>
      </c>
      <c r="AK119" s="95">
        <f>'Draw Calc (Hidden)'!AH101</f>
        <v>0</v>
      </c>
      <c r="AL119" s="95">
        <f>'Draw Calc (Hidden)'!AI101</f>
        <v>0</v>
      </c>
      <c r="AM119" s="95">
        <f>'Draw Calc (Hidden)'!AJ101</f>
        <v>0</v>
      </c>
      <c r="AN119" s="95">
        <f>'Draw Calc (Hidden)'!AK101</f>
        <v>0</v>
      </c>
      <c r="AO119" s="95">
        <f>'Draw Calc (Hidden)'!AL101</f>
        <v>0</v>
      </c>
    </row>
    <row r="120" spans="1:41" ht="15" customHeight="1" x14ac:dyDescent="0.2">
      <c r="A120" s="94" t="str">
        <f>'I_Budget Input Data'!B102</f>
        <v>3. HARD COSTS</v>
      </c>
      <c r="B120" s="94" t="str">
        <f>'I_Budget Input Data'!C102</f>
        <v>Doors and hardware:Wood doors</v>
      </c>
      <c r="C120" s="95">
        <f>'I_Budget Input Data'!D102</f>
        <v>449827</v>
      </c>
      <c r="D120" s="95">
        <f t="shared" ref="D120:D151" si="6">SUM(F120:AO120)</f>
        <v>449827.00000000012</v>
      </c>
      <c r="E120" s="95">
        <f t="shared" ref="E120:E151" si="7">C120-D120</f>
        <v>0</v>
      </c>
      <c r="F120" s="95">
        <f>'Draw Calc (Hidden)'!C102</f>
        <v>34602.076923076922</v>
      </c>
      <c r="G120" s="95">
        <f>'Draw Calc (Hidden)'!D102</f>
        <v>34602.076923076922</v>
      </c>
      <c r="H120" s="95">
        <f>'Draw Calc (Hidden)'!E102</f>
        <v>34602.076923076922</v>
      </c>
      <c r="I120" s="95">
        <f>'Draw Calc (Hidden)'!F102</f>
        <v>34602.076923076922</v>
      </c>
      <c r="J120" s="95">
        <f>'Draw Calc (Hidden)'!G102</f>
        <v>34602.076923076922</v>
      </c>
      <c r="K120" s="95">
        <f>'Draw Calc (Hidden)'!H102</f>
        <v>34602.076923076922</v>
      </c>
      <c r="L120" s="95">
        <f>'Draw Calc (Hidden)'!I102</f>
        <v>34602.076923076922</v>
      </c>
      <c r="M120" s="95">
        <f>'Draw Calc (Hidden)'!J102</f>
        <v>34602.076923076922</v>
      </c>
      <c r="N120" s="95">
        <f>'Draw Calc (Hidden)'!K102</f>
        <v>34602.076923076922</v>
      </c>
      <c r="O120" s="95">
        <f>'Draw Calc (Hidden)'!L102</f>
        <v>34602.076923076922</v>
      </c>
      <c r="P120" s="95">
        <f>'Draw Calc (Hidden)'!M102</f>
        <v>34602.076923076922</v>
      </c>
      <c r="Q120" s="95">
        <f>'Draw Calc (Hidden)'!N102</f>
        <v>34602.076923076922</v>
      </c>
      <c r="R120" s="95">
        <f>'Draw Calc (Hidden)'!O102</f>
        <v>34602.076923076922</v>
      </c>
      <c r="S120" s="95">
        <f>'Draw Calc (Hidden)'!P102</f>
        <v>0</v>
      </c>
      <c r="T120" s="95">
        <f>'Draw Calc (Hidden)'!Q102</f>
        <v>0</v>
      </c>
      <c r="U120" s="95">
        <f>'Draw Calc (Hidden)'!R102</f>
        <v>0</v>
      </c>
      <c r="V120" s="95">
        <f>'Draw Calc (Hidden)'!S102</f>
        <v>0</v>
      </c>
      <c r="W120" s="95">
        <f>'Draw Calc (Hidden)'!T102</f>
        <v>0</v>
      </c>
      <c r="X120" s="95">
        <f>'Draw Calc (Hidden)'!U102</f>
        <v>0</v>
      </c>
      <c r="Y120" s="95">
        <f>'Draw Calc (Hidden)'!V102</f>
        <v>0</v>
      </c>
      <c r="Z120" s="95">
        <f>'Draw Calc (Hidden)'!W102</f>
        <v>0</v>
      </c>
      <c r="AA120" s="95">
        <f>'Draw Calc (Hidden)'!X102</f>
        <v>0</v>
      </c>
      <c r="AB120" s="95">
        <f>'Draw Calc (Hidden)'!Y102</f>
        <v>0</v>
      </c>
      <c r="AC120" s="95">
        <f>'Draw Calc (Hidden)'!Z102</f>
        <v>0</v>
      </c>
      <c r="AD120" s="95">
        <f>'Draw Calc (Hidden)'!AA102</f>
        <v>0</v>
      </c>
      <c r="AE120" s="95">
        <f>'Draw Calc (Hidden)'!AB102</f>
        <v>0</v>
      </c>
      <c r="AF120" s="95">
        <f>'Draw Calc (Hidden)'!AC102</f>
        <v>0</v>
      </c>
      <c r="AG120" s="95">
        <f>'Draw Calc (Hidden)'!AD102</f>
        <v>0</v>
      </c>
      <c r="AH120" s="95">
        <f>'Draw Calc (Hidden)'!AE102</f>
        <v>0</v>
      </c>
      <c r="AI120" s="95">
        <f>'Draw Calc (Hidden)'!AF102</f>
        <v>0</v>
      </c>
      <c r="AJ120" s="95">
        <f>'Draw Calc (Hidden)'!AG102</f>
        <v>0</v>
      </c>
      <c r="AK120" s="95">
        <f>'Draw Calc (Hidden)'!AH102</f>
        <v>0</v>
      </c>
      <c r="AL120" s="95">
        <f>'Draw Calc (Hidden)'!AI102</f>
        <v>0</v>
      </c>
      <c r="AM120" s="95">
        <f>'Draw Calc (Hidden)'!AJ102</f>
        <v>0</v>
      </c>
      <c r="AN120" s="95">
        <f>'Draw Calc (Hidden)'!AK102</f>
        <v>0</v>
      </c>
      <c r="AO120" s="95">
        <f>'Draw Calc (Hidden)'!AL102</f>
        <v>0</v>
      </c>
    </row>
    <row r="121" spans="1:41" ht="15" customHeight="1" x14ac:dyDescent="0.2">
      <c r="A121" s="94" t="str">
        <f>'I_Budget Input Data'!B103</f>
        <v>3. HARD COSTS</v>
      </c>
      <c r="B121" s="94">
        <f>'I_Budget Input Data'!C103</f>
        <v>0</v>
      </c>
      <c r="C121" s="95">
        <f>'I_Budget Input Data'!D103</f>
        <v>49800</v>
      </c>
      <c r="D121" s="95">
        <f t="shared" si="6"/>
        <v>49800.000000000015</v>
      </c>
      <c r="E121" s="95">
        <f t="shared" si="7"/>
        <v>0</v>
      </c>
      <c r="F121" s="95">
        <f>'Draw Calc (Hidden)'!C103</f>
        <v>3830.7692307692309</v>
      </c>
      <c r="G121" s="95">
        <f>'Draw Calc (Hidden)'!D103</f>
        <v>3830.7692307692309</v>
      </c>
      <c r="H121" s="95">
        <f>'Draw Calc (Hidden)'!E103</f>
        <v>3830.7692307692309</v>
      </c>
      <c r="I121" s="95">
        <f>'Draw Calc (Hidden)'!F103</f>
        <v>3830.7692307692309</v>
      </c>
      <c r="J121" s="95">
        <f>'Draw Calc (Hidden)'!G103</f>
        <v>3830.7692307692309</v>
      </c>
      <c r="K121" s="95">
        <f>'Draw Calc (Hidden)'!H103</f>
        <v>3830.7692307692309</v>
      </c>
      <c r="L121" s="95">
        <f>'Draw Calc (Hidden)'!I103</f>
        <v>3830.7692307692309</v>
      </c>
      <c r="M121" s="95">
        <f>'Draw Calc (Hidden)'!J103</f>
        <v>3830.7692307692309</v>
      </c>
      <c r="N121" s="95">
        <f>'Draw Calc (Hidden)'!K103</f>
        <v>3830.7692307692309</v>
      </c>
      <c r="O121" s="95">
        <f>'Draw Calc (Hidden)'!L103</f>
        <v>3830.7692307692309</v>
      </c>
      <c r="P121" s="95">
        <f>'Draw Calc (Hidden)'!M103</f>
        <v>3830.7692307692309</v>
      </c>
      <c r="Q121" s="95">
        <f>'Draw Calc (Hidden)'!N103</f>
        <v>3830.7692307692309</v>
      </c>
      <c r="R121" s="95">
        <f>'Draw Calc (Hidden)'!O103</f>
        <v>3830.7692307692309</v>
      </c>
      <c r="S121" s="95">
        <f>'Draw Calc (Hidden)'!P103</f>
        <v>0</v>
      </c>
      <c r="T121" s="95">
        <f>'Draw Calc (Hidden)'!Q103</f>
        <v>0</v>
      </c>
      <c r="U121" s="95">
        <f>'Draw Calc (Hidden)'!R103</f>
        <v>0</v>
      </c>
      <c r="V121" s="95">
        <f>'Draw Calc (Hidden)'!S103</f>
        <v>0</v>
      </c>
      <c r="W121" s="95">
        <f>'Draw Calc (Hidden)'!T103</f>
        <v>0</v>
      </c>
      <c r="X121" s="95">
        <f>'Draw Calc (Hidden)'!U103</f>
        <v>0</v>
      </c>
      <c r="Y121" s="95">
        <f>'Draw Calc (Hidden)'!V103</f>
        <v>0</v>
      </c>
      <c r="Z121" s="95">
        <f>'Draw Calc (Hidden)'!W103</f>
        <v>0</v>
      </c>
      <c r="AA121" s="95">
        <f>'Draw Calc (Hidden)'!X103</f>
        <v>0</v>
      </c>
      <c r="AB121" s="95">
        <f>'Draw Calc (Hidden)'!Y103</f>
        <v>0</v>
      </c>
      <c r="AC121" s="95">
        <f>'Draw Calc (Hidden)'!Z103</f>
        <v>0</v>
      </c>
      <c r="AD121" s="95">
        <f>'Draw Calc (Hidden)'!AA103</f>
        <v>0</v>
      </c>
      <c r="AE121" s="95">
        <f>'Draw Calc (Hidden)'!AB103</f>
        <v>0</v>
      </c>
      <c r="AF121" s="95">
        <f>'Draw Calc (Hidden)'!AC103</f>
        <v>0</v>
      </c>
      <c r="AG121" s="95">
        <f>'Draw Calc (Hidden)'!AD103</f>
        <v>0</v>
      </c>
      <c r="AH121" s="95">
        <f>'Draw Calc (Hidden)'!AE103</f>
        <v>0</v>
      </c>
      <c r="AI121" s="95">
        <f>'Draw Calc (Hidden)'!AF103</f>
        <v>0</v>
      </c>
      <c r="AJ121" s="95">
        <f>'Draw Calc (Hidden)'!AG103</f>
        <v>0</v>
      </c>
      <c r="AK121" s="95">
        <f>'Draw Calc (Hidden)'!AH103</f>
        <v>0</v>
      </c>
      <c r="AL121" s="95">
        <f>'Draw Calc (Hidden)'!AI103</f>
        <v>0</v>
      </c>
      <c r="AM121" s="95">
        <f>'Draw Calc (Hidden)'!AJ103</f>
        <v>0</v>
      </c>
      <c r="AN121" s="95">
        <f>'Draw Calc (Hidden)'!AK103</f>
        <v>0</v>
      </c>
      <c r="AO121" s="95">
        <f>'Draw Calc (Hidden)'!AL103</f>
        <v>0</v>
      </c>
    </row>
    <row r="122" spans="1:41" ht="15" customHeight="1" x14ac:dyDescent="0.2">
      <c r="A122" s="94" t="str">
        <f>'I_Budget Input Data'!B104</f>
        <v>3. HARD COSTS</v>
      </c>
      <c r="B122" s="94">
        <f>'I_Budget Input Data'!C104</f>
        <v>0</v>
      </c>
      <c r="C122" s="95">
        <f>'I_Budget Input Data'!D104</f>
        <v>157600</v>
      </c>
      <c r="D122" s="95">
        <f t="shared" si="6"/>
        <v>157600.00000000003</v>
      </c>
      <c r="E122" s="95">
        <f t="shared" si="7"/>
        <v>0</v>
      </c>
      <c r="F122" s="95">
        <f>'Draw Calc (Hidden)'!C104</f>
        <v>12123.076923076924</v>
      </c>
      <c r="G122" s="95">
        <f>'Draw Calc (Hidden)'!D104</f>
        <v>12123.076923076924</v>
      </c>
      <c r="H122" s="95">
        <f>'Draw Calc (Hidden)'!E104</f>
        <v>12123.076923076924</v>
      </c>
      <c r="I122" s="95">
        <f>'Draw Calc (Hidden)'!F104</f>
        <v>12123.076923076924</v>
      </c>
      <c r="J122" s="95">
        <f>'Draw Calc (Hidden)'!G104</f>
        <v>12123.076923076924</v>
      </c>
      <c r="K122" s="95">
        <f>'Draw Calc (Hidden)'!H104</f>
        <v>12123.076923076924</v>
      </c>
      <c r="L122" s="95">
        <f>'Draw Calc (Hidden)'!I104</f>
        <v>12123.076923076924</v>
      </c>
      <c r="M122" s="95">
        <f>'Draw Calc (Hidden)'!J104</f>
        <v>12123.076923076924</v>
      </c>
      <c r="N122" s="95">
        <f>'Draw Calc (Hidden)'!K104</f>
        <v>12123.076923076924</v>
      </c>
      <c r="O122" s="95">
        <f>'Draw Calc (Hidden)'!L104</f>
        <v>12123.076923076924</v>
      </c>
      <c r="P122" s="95">
        <f>'Draw Calc (Hidden)'!M104</f>
        <v>12123.076923076924</v>
      </c>
      <c r="Q122" s="95">
        <f>'Draw Calc (Hidden)'!N104</f>
        <v>12123.076923076924</v>
      </c>
      <c r="R122" s="95">
        <f>'Draw Calc (Hidden)'!O104</f>
        <v>12123.076923076924</v>
      </c>
      <c r="S122" s="95">
        <f>'Draw Calc (Hidden)'!P104</f>
        <v>0</v>
      </c>
      <c r="T122" s="95">
        <f>'Draw Calc (Hidden)'!Q104</f>
        <v>0</v>
      </c>
      <c r="U122" s="95">
        <f>'Draw Calc (Hidden)'!R104</f>
        <v>0</v>
      </c>
      <c r="V122" s="95">
        <f>'Draw Calc (Hidden)'!S104</f>
        <v>0</v>
      </c>
      <c r="W122" s="95">
        <f>'Draw Calc (Hidden)'!T104</f>
        <v>0</v>
      </c>
      <c r="X122" s="95">
        <f>'Draw Calc (Hidden)'!U104</f>
        <v>0</v>
      </c>
      <c r="Y122" s="95">
        <f>'Draw Calc (Hidden)'!V104</f>
        <v>0</v>
      </c>
      <c r="Z122" s="95">
        <f>'Draw Calc (Hidden)'!W104</f>
        <v>0</v>
      </c>
      <c r="AA122" s="95">
        <f>'Draw Calc (Hidden)'!X104</f>
        <v>0</v>
      </c>
      <c r="AB122" s="95">
        <f>'Draw Calc (Hidden)'!Y104</f>
        <v>0</v>
      </c>
      <c r="AC122" s="95">
        <f>'Draw Calc (Hidden)'!Z104</f>
        <v>0</v>
      </c>
      <c r="AD122" s="95">
        <f>'Draw Calc (Hidden)'!AA104</f>
        <v>0</v>
      </c>
      <c r="AE122" s="95">
        <f>'Draw Calc (Hidden)'!AB104</f>
        <v>0</v>
      </c>
      <c r="AF122" s="95">
        <f>'Draw Calc (Hidden)'!AC104</f>
        <v>0</v>
      </c>
      <c r="AG122" s="95">
        <f>'Draw Calc (Hidden)'!AD104</f>
        <v>0</v>
      </c>
      <c r="AH122" s="95">
        <f>'Draw Calc (Hidden)'!AE104</f>
        <v>0</v>
      </c>
      <c r="AI122" s="95">
        <f>'Draw Calc (Hidden)'!AF104</f>
        <v>0</v>
      </c>
      <c r="AJ122" s="95">
        <f>'Draw Calc (Hidden)'!AG104</f>
        <v>0</v>
      </c>
      <c r="AK122" s="95">
        <f>'Draw Calc (Hidden)'!AH104</f>
        <v>0</v>
      </c>
      <c r="AL122" s="95">
        <f>'Draw Calc (Hidden)'!AI104</f>
        <v>0</v>
      </c>
      <c r="AM122" s="95">
        <f>'Draw Calc (Hidden)'!AJ104</f>
        <v>0</v>
      </c>
      <c r="AN122" s="95">
        <f>'Draw Calc (Hidden)'!AK104</f>
        <v>0</v>
      </c>
      <c r="AO122" s="95">
        <f>'Draw Calc (Hidden)'!AL104</f>
        <v>0</v>
      </c>
    </row>
    <row r="123" spans="1:41" ht="15" customHeight="1" x14ac:dyDescent="0.2">
      <c r="A123" s="94" t="str">
        <f>'I_Budget Input Data'!B105</f>
        <v>3. HARD COSTS</v>
      </c>
      <c r="B123" s="94" t="str">
        <f>'I_Budget Input Data'!C105</f>
        <v>Carpentry finish:Carpentry</v>
      </c>
      <c r="C123" s="95">
        <f>'I_Budget Input Data'!D105</f>
        <v>248100</v>
      </c>
      <c r="D123" s="95">
        <f t="shared" si="6"/>
        <v>248099.99999999991</v>
      </c>
      <c r="E123" s="95">
        <f t="shared" si="7"/>
        <v>0</v>
      </c>
      <c r="F123" s="95">
        <f>'Draw Calc (Hidden)'!C105</f>
        <v>19084.615384615383</v>
      </c>
      <c r="G123" s="95">
        <f>'Draw Calc (Hidden)'!D105</f>
        <v>19084.615384615383</v>
      </c>
      <c r="H123" s="95">
        <f>'Draw Calc (Hidden)'!E105</f>
        <v>19084.615384615383</v>
      </c>
      <c r="I123" s="95">
        <f>'Draw Calc (Hidden)'!F105</f>
        <v>19084.615384615383</v>
      </c>
      <c r="J123" s="95">
        <f>'Draw Calc (Hidden)'!G105</f>
        <v>19084.615384615383</v>
      </c>
      <c r="K123" s="95">
        <f>'Draw Calc (Hidden)'!H105</f>
        <v>19084.615384615383</v>
      </c>
      <c r="L123" s="95">
        <f>'Draw Calc (Hidden)'!I105</f>
        <v>19084.615384615383</v>
      </c>
      <c r="M123" s="95">
        <f>'Draw Calc (Hidden)'!J105</f>
        <v>19084.615384615383</v>
      </c>
      <c r="N123" s="95">
        <f>'Draw Calc (Hidden)'!K105</f>
        <v>19084.615384615383</v>
      </c>
      <c r="O123" s="95">
        <f>'Draw Calc (Hidden)'!L105</f>
        <v>19084.615384615383</v>
      </c>
      <c r="P123" s="95">
        <f>'Draw Calc (Hidden)'!M105</f>
        <v>19084.615384615383</v>
      </c>
      <c r="Q123" s="95">
        <f>'Draw Calc (Hidden)'!N105</f>
        <v>19084.615384615383</v>
      </c>
      <c r="R123" s="95">
        <f>'Draw Calc (Hidden)'!O105</f>
        <v>19084.615384615383</v>
      </c>
      <c r="S123" s="95">
        <f>'Draw Calc (Hidden)'!P105</f>
        <v>0</v>
      </c>
      <c r="T123" s="95">
        <f>'Draw Calc (Hidden)'!Q105</f>
        <v>0</v>
      </c>
      <c r="U123" s="95">
        <f>'Draw Calc (Hidden)'!R105</f>
        <v>0</v>
      </c>
      <c r="V123" s="95">
        <f>'Draw Calc (Hidden)'!S105</f>
        <v>0</v>
      </c>
      <c r="W123" s="95">
        <f>'Draw Calc (Hidden)'!T105</f>
        <v>0</v>
      </c>
      <c r="X123" s="95">
        <f>'Draw Calc (Hidden)'!U105</f>
        <v>0</v>
      </c>
      <c r="Y123" s="95">
        <f>'Draw Calc (Hidden)'!V105</f>
        <v>0</v>
      </c>
      <c r="Z123" s="95">
        <f>'Draw Calc (Hidden)'!W105</f>
        <v>0</v>
      </c>
      <c r="AA123" s="95">
        <f>'Draw Calc (Hidden)'!X105</f>
        <v>0</v>
      </c>
      <c r="AB123" s="95">
        <f>'Draw Calc (Hidden)'!Y105</f>
        <v>0</v>
      </c>
      <c r="AC123" s="95">
        <f>'Draw Calc (Hidden)'!Z105</f>
        <v>0</v>
      </c>
      <c r="AD123" s="95">
        <f>'Draw Calc (Hidden)'!AA105</f>
        <v>0</v>
      </c>
      <c r="AE123" s="95">
        <f>'Draw Calc (Hidden)'!AB105</f>
        <v>0</v>
      </c>
      <c r="AF123" s="95">
        <f>'Draw Calc (Hidden)'!AC105</f>
        <v>0</v>
      </c>
      <c r="AG123" s="95">
        <f>'Draw Calc (Hidden)'!AD105</f>
        <v>0</v>
      </c>
      <c r="AH123" s="95">
        <f>'Draw Calc (Hidden)'!AE105</f>
        <v>0</v>
      </c>
      <c r="AI123" s="95">
        <f>'Draw Calc (Hidden)'!AF105</f>
        <v>0</v>
      </c>
      <c r="AJ123" s="95">
        <f>'Draw Calc (Hidden)'!AG105</f>
        <v>0</v>
      </c>
      <c r="AK123" s="95">
        <f>'Draw Calc (Hidden)'!AH105</f>
        <v>0</v>
      </c>
      <c r="AL123" s="95">
        <f>'Draw Calc (Hidden)'!AI105</f>
        <v>0</v>
      </c>
      <c r="AM123" s="95">
        <f>'Draw Calc (Hidden)'!AJ105</f>
        <v>0</v>
      </c>
      <c r="AN123" s="95">
        <f>'Draw Calc (Hidden)'!AK105</f>
        <v>0</v>
      </c>
      <c r="AO123" s="95">
        <f>'Draw Calc (Hidden)'!AL105</f>
        <v>0</v>
      </c>
    </row>
    <row r="124" spans="1:41" ht="15" customHeight="1" x14ac:dyDescent="0.2">
      <c r="A124" s="94" t="str">
        <f>'I_Budget Input Data'!B106</f>
        <v>3. HARD COSTS</v>
      </c>
      <c r="B124" s="94" t="str">
        <f>'I_Budget Input Data'!C106</f>
        <v>Doors and hardware:Baseboard, 1/4-round &amp; casing</v>
      </c>
      <c r="C124" s="95">
        <f>'I_Budget Input Data'!D106</f>
        <v>108850</v>
      </c>
      <c r="D124" s="95">
        <f t="shared" si="6"/>
        <v>108850</v>
      </c>
      <c r="E124" s="95">
        <f t="shared" si="7"/>
        <v>0</v>
      </c>
      <c r="F124" s="95">
        <f>'Draw Calc (Hidden)'!C106</f>
        <v>8373.0769230769238</v>
      </c>
      <c r="G124" s="95">
        <f>'Draw Calc (Hidden)'!D106</f>
        <v>8373.0769230769238</v>
      </c>
      <c r="H124" s="95">
        <f>'Draw Calc (Hidden)'!E106</f>
        <v>8373.0769230769238</v>
      </c>
      <c r="I124" s="95">
        <f>'Draw Calc (Hidden)'!F106</f>
        <v>8373.0769230769238</v>
      </c>
      <c r="J124" s="95">
        <f>'Draw Calc (Hidden)'!G106</f>
        <v>8373.0769230769238</v>
      </c>
      <c r="K124" s="95">
        <f>'Draw Calc (Hidden)'!H106</f>
        <v>8373.0769230769238</v>
      </c>
      <c r="L124" s="95">
        <f>'Draw Calc (Hidden)'!I106</f>
        <v>8373.0769230769238</v>
      </c>
      <c r="M124" s="95">
        <f>'Draw Calc (Hidden)'!J106</f>
        <v>8373.0769230769238</v>
      </c>
      <c r="N124" s="95">
        <f>'Draw Calc (Hidden)'!K106</f>
        <v>8373.0769230769238</v>
      </c>
      <c r="O124" s="95">
        <f>'Draw Calc (Hidden)'!L106</f>
        <v>8373.0769230769238</v>
      </c>
      <c r="P124" s="95">
        <f>'Draw Calc (Hidden)'!M106</f>
        <v>8373.0769230769238</v>
      </c>
      <c r="Q124" s="95">
        <f>'Draw Calc (Hidden)'!N106</f>
        <v>8373.0769230769238</v>
      </c>
      <c r="R124" s="95">
        <f>'Draw Calc (Hidden)'!O106</f>
        <v>8373.0769230769238</v>
      </c>
      <c r="S124" s="95">
        <f>'Draw Calc (Hidden)'!P106</f>
        <v>0</v>
      </c>
      <c r="T124" s="95">
        <f>'Draw Calc (Hidden)'!Q106</f>
        <v>0</v>
      </c>
      <c r="U124" s="95">
        <f>'Draw Calc (Hidden)'!R106</f>
        <v>0</v>
      </c>
      <c r="V124" s="95">
        <f>'Draw Calc (Hidden)'!S106</f>
        <v>0</v>
      </c>
      <c r="W124" s="95">
        <f>'Draw Calc (Hidden)'!T106</f>
        <v>0</v>
      </c>
      <c r="X124" s="95">
        <f>'Draw Calc (Hidden)'!U106</f>
        <v>0</v>
      </c>
      <c r="Y124" s="95">
        <f>'Draw Calc (Hidden)'!V106</f>
        <v>0</v>
      </c>
      <c r="Z124" s="95">
        <f>'Draw Calc (Hidden)'!W106</f>
        <v>0</v>
      </c>
      <c r="AA124" s="95">
        <f>'Draw Calc (Hidden)'!X106</f>
        <v>0</v>
      </c>
      <c r="AB124" s="95">
        <f>'Draw Calc (Hidden)'!Y106</f>
        <v>0</v>
      </c>
      <c r="AC124" s="95">
        <f>'Draw Calc (Hidden)'!Z106</f>
        <v>0</v>
      </c>
      <c r="AD124" s="95">
        <f>'Draw Calc (Hidden)'!AA106</f>
        <v>0</v>
      </c>
      <c r="AE124" s="95">
        <f>'Draw Calc (Hidden)'!AB106</f>
        <v>0</v>
      </c>
      <c r="AF124" s="95">
        <f>'Draw Calc (Hidden)'!AC106</f>
        <v>0</v>
      </c>
      <c r="AG124" s="95">
        <f>'Draw Calc (Hidden)'!AD106</f>
        <v>0</v>
      </c>
      <c r="AH124" s="95">
        <f>'Draw Calc (Hidden)'!AE106</f>
        <v>0</v>
      </c>
      <c r="AI124" s="95">
        <f>'Draw Calc (Hidden)'!AF106</f>
        <v>0</v>
      </c>
      <c r="AJ124" s="95">
        <f>'Draw Calc (Hidden)'!AG106</f>
        <v>0</v>
      </c>
      <c r="AK124" s="95">
        <f>'Draw Calc (Hidden)'!AH106</f>
        <v>0</v>
      </c>
      <c r="AL124" s="95">
        <f>'Draw Calc (Hidden)'!AI106</f>
        <v>0</v>
      </c>
      <c r="AM124" s="95">
        <f>'Draw Calc (Hidden)'!AJ106</f>
        <v>0</v>
      </c>
      <c r="AN124" s="95">
        <f>'Draw Calc (Hidden)'!AK106</f>
        <v>0</v>
      </c>
      <c r="AO124" s="95">
        <f>'Draw Calc (Hidden)'!AL106</f>
        <v>0</v>
      </c>
    </row>
    <row r="125" spans="1:41" ht="15" customHeight="1" x14ac:dyDescent="0.2">
      <c r="A125" s="94" t="str">
        <f>'I_Budget Input Data'!B107</f>
        <v>3. HARD COSTS</v>
      </c>
      <c r="B125" s="94" t="str">
        <f>'I_Budget Input Data'!C107</f>
        <v>Carpentry finish:Shelving &amp; Finish materials</v>
      </c>
      <c r="C125" s="95">
        <f>'I_Budget Input Data'!D107</f>
        <v>0</v>
      </c>
      <c r="D125" s="95">
        <f t="shared" si="6"/>
        <v>0</v>
      </c>
      <c r="E125" s="95">
        <f t="shared" si="7"/>
        <v>0</v>
      </c>
      <c r="F125" s="95">
        <f>'Draw Calc (Hidden)'!C107</f>
        <v>0</v>
      </c>
      <c r="G125" s="95">
        <f>'Draw Calc (Hidden)'!D107</f>
        <v>0</v>
      </c>
      <c r="H125" s="95">
        <f>'Draw Calc (Hidden)'!E107</f>
        <v>0</v>
      </c>
      <c r="I125" s="95">
        <f>'Draw Calc (Hidden)'!F107</f>
        <v>0</v>
      </c>
      <c r="J125" s="95">
        <f>'Draw Calc (Hidden)'!G107</f>
        <v>0</v>
      </c>
      <c r="K125" s="95">
        <f>'Draw Calc (Hidden)'!H107</f>
        <v>0</v>
      </c>
      <c r="L125" s="95">
        <f>'Draw Calc (Hidden)'!I107</f>
        <v>0</v>
      </c>
      <c r="M125" s="95">
        <f>'Draw Calc (Hidden)'!J107</f>
        <v>0</v>
      </c>
      <c r="N125" s="95">
        <f>'Draw Calc (Hidden)'!K107</f>
        <v>0</v>
      </c>
      <c r="O125" s="95">
        <f>'Draw Calc (Hidden)'!L107</f>
        <v>0</v>
      </c>
      <c r="P125" s="95">
        <f>'Draw Calc (Hidden)'!M107</f>
        <v>0</v>
      </c>
      <c r="Q125" s="95">
        <f>'Draw Calc (Hidden)'!N107</f>
        <v>0</v>
      </c>
      <c r="R125" s="95">
        <f>'Draw Calc (Hidden)'!O107</f>
        <v>0</v>
      </c>
      <c r="S125" s="95">
        <f>'Draw Calc (Hidden)'!P107</f>
        <v>0</v>
      </c>
      <c r="T125" s="95">
        <f>'Draw Calc (Hidden)'!Q107</f>
        <v>0</v>
      </c>
      <c r="U125" s="95">
        <f>'Draw Calc (Hidden)'!R107</f>
        <v>0</v>
      </c>
      <c r="V125" s="95">
        <f>'Draw Calc (Hidden)'!S107</f>
        <v>0</v>
      </c>
      <c r="W125" s="95">
        <f>'Draw Calc (Hidden)'!T107</f>
        <v>0</v>
      </c>
      <c r="X125" s="95">
        <f>'Draw Calc (Hidden)'!U107</f>
        <v>0</v>
      </c>
      <c r="Y125" s="95">
        <f>'Draw Calc (Hidden)'!V107</f>
        <v>0</v>
      </c>
      <c r="Z125" s="95">
        <f>'Draw Calc (Hidden)'!W107</f>
        <v>0</v>
      </c>
      <c r="AA125" s="95">
        <f>'Draw Calc (Hidden)'!X107</f>
        <v>0</v>
      </c>
      <c r="AB125" s="95">
        <f>'Draw Calc (Hidden)'!Y107</f>
        <v>0</v>
      </c>
      <c r="AC125" s="95">
        <f>'Draw Calc (Hidden)'!Z107</f>
        <v>0</v>
      </c>
      <c r="AD125" s="95">
        <f>'Draw Calc (Hidden)'!AA107</f>
        <v>0</v>
      </c>
      <c r="AE125" s="95">
        <f>'Draw Calc (Hidden)'!AB107</f>
        <v>0</v>
      </c>
      <c r="AF125" s="95">
        <f>'Draw Calc (Hidden)'!AC107</f>
        <v>0</v>
      </c>
      <c r="AG125" s="95">
        <f>'Draw Calc (Hidden)'!AD107</f>
        <v>0</v>
      </c>
      <c r="AH125" s="95">
        <f>'Draw Calc (Hidden)'!AE107</f>
        <v>0</v>
      </c>
      <c r="AI125" s="95">
        <f>'Draw Calc (Hidden)'!AF107</f>
        <v>0</v>
      </c>
      <c r="AJ125" s="95">
        <f>'Draw Calc (Hidden)'!AG107</f>
        <v>0</v>
      </c>
      <c r="AK125" s="95">
        <f>'Draw Calc (Hidden)'!AH107</f>
        <v>0</v>
      </c>
      <c r="AL125" s="95">
        <f>'Draw Calc (Hidden)'!AI107</f>
        <v>0</v>
      </c>
      <c r="AM125" s="95">
        <f>'Draw Calc (Hidden)'!AJ107</f>
        <v>0</v>
      </c>
      <c r="AN125" s="95">
        <f>'Draw Calc (Hidden)'!AK107</f>
        <v>0</v>
      </c>
      <c r="AO125" s="95">
        <f>'Draw Calc (Hidden)'!AL107</f>
        <v>0</v>
      </c>
    </row>
    <row r="126" spans="1:41" ht="15" customHeight="1" x14ac:dyDescent="0.2">
      <c r="A126" s="94" t="str">
        <f>'I_Budget Input Data'!B108</f>
        <v>3. HARD COSTS</v>
      </c>
      <c r="B126" s="94" t="str">
        <f>'I_Budget Input Data'!C108</f>
        <v>Fenestration:Windows &amp; patio-doors - Supply</v>
      </c>
      <c r="C126" s="95">
        <f>'I_Budget Input Data'!D108</f>
        <v>851388</v>
      </c>
      <c r="D126" s="95">
        <f t="shared" si="6"/>
        <v>838289.72307692317</v>
      </c>
      <c r="E126" s="95">
        <f t="shared" si="7"/>
        <v>13098.276923076832</v>
      </c>
      <c r="F126" s="95">
        <f>'Draw Calc (Hidden)'!C108</f>
        <v>52393.107692307691</v>
      </c>
      <c r="G126" s="95">
        <f>'Draw Calc (Hidden)'!D108</f>
        <v>52393.107692307691</v>
      </c>
      <c r="H126" s="95">
        <f>'Draw Calc (Hidden)'!E108</f>
        <v>52393.107692307691</v>
      </c>
      <c r="I126" s="95">
        <f>'Draw Calc (Hidden)'!F108</f>
        <v>78589.661538461543</v>
      </c>
      <c r="J126" s="95">
        <f>'Draw Calc (Hidden)'!G108</f>
        <v>78589.661538461543</v>
      </c>
      <c r="K126" s="95">
        <f>'Draw Calc (Hidden)'!H108</f>
        <v>78589.661538461543</v>
      </c>
      <c r="L126" s="95">
        <f>'Draw Calc (Hidden)'!I108</f>
        <v>78589.661538461543</v>
      </c>
      <c r="M126" s="95">
        <f>'Draw Calc (Hidden)'!J108</f>
        <v>78589.661538461543</v>
      </c>
      <c r="N126" s="95">
        <f>'Draw Calc (Hidden)'!K108</f>
        <v>78589.661538461543</v>
      </c>
      <c r="O126" s="95">
        <f>'Draw Calc (Hidden)'!L108</f>
        <v>52393.107692307691</v>
      </c>
      <c r="P126" s="95">
        <f>'Draw Calc (Hidden)'!M108</f>
        <v>52393.107692307691</v>
      </c>
      <c r="Q126" s="95">
        <f>'Draw Calc (Hidden)'!N108</f>
        <v>52393.107692307691</v>
      </c>
      <c r="R126" s="95">
        <f>'Draw Calc (Hidden)'!O108</f>
        <v>52393.107692307691</v>
      </c>
      <c r="S126" s="95">
        <f>'Draw Calc (Hidden)'!P108</f>
        <v>0</v>
      </c>
      <c r="T126" s="95">
        <f>'Draw Calc (Hidden)'!Q108</f>
        <v>0</v>
      </c>
      <c r="U126" s="95">
        <f>'Draw Calc (Hidden)'!R108</f>
        <v>0</v>
      </c>
      <c r="V126" s="95">
        <f>'Draw Calc (Hidden)'!S108</f>
        <v>0</v>
      </c>
      <c r="W126" s="95">
        <f>'Draw Calc (Hidden)'!T108</f>
        <v>0</v>
      </c>
      <c r="X126" s="95">
        <f>'Draw Calc (Hidden)'!U108</f>
        <v>0</v>
      </c>
      <c r="Y126" s="95">
        <f>'Draw Calc (Hidden)'!V108</f>
        <v>0</v>
      </c>
      <c r="Z126" s="95">
        <f>'Draw Calc (Hidden)'!W108</f>
        <v>0</v>
      </c>
      <c r="AA126" s="95">
        <f>'Draw Calc (Hidden)'!X108</f>
        <v>0</v>
      </c>
      <c r="AB126" s="95">
        <f>'Draw Calc (Hidden)'!Y108</f>
        <v>0</v>
      </c>
      <c r="AC126" s="95">
        <f>'Draw Calc (Hidden)'!Z108</f>
        <v>0</v>
      </c>
      <c r="AD126" s="95">
        <f>'Draw Calc (Hidden)'!AA108</f>
        <v>0</v>
      </c>
      <c r="AE126" s="95">
        <f>'Draw Calc (Hidden)'!AB108</f>
        <v>0</v>
      </c>
      <c r="AF126" s="95">
        <f>'Draw Calc (Hidden)'!AC108</f>
        <v>0</v>
      </c>
      <c r="AG126" s="95">
        <f>'Draw Calc (Hidden)'!AD108</f>
        <v>0</v>
      </c>
      <c r="AH126" s="95">
        <f>'Draw Calc (Hidden)'!AE108</f>
        <v>0</v>
      </c>
      <c r="AI126" s="95">
        <f>'Draw Calc (Hidden)'!AF108</f>
        <v>0</v>
      </c>
      <c r="AJ126" s="95">
        <f>'Draw Calc (Hidden)'!AG108</f>
        <v>0</v>
      </c>
      <c r="AK126" s="95">
        <f>'Draw Calc (Hidden)'!AH108</f>
        <v>0</v>
      </c>
      <c r="AL126" s="95">
        <f>'Draw Calc (Hidden)'!AI108</f>
        <v>0</v>
      </c>
      <c r="AM126" s="95">
        <f>'Draw Calc (Hidden)'!AJ108</f>
        <v>0</v>
      </c>
      <c r="AN126" s="95">
        <f>'Draw Calc (Hidden)'!AK108</f>
        <v>0</v>
      </c>
      <c r="AO126" s="95">
        <f>'Draw Calc (Hidden)'!AL108</f>
        <v>0</v>
      </c>
    </row>
    <row r="127" spans="1:41" ht="15" customHeight="1" x14ac:dyDescent="0.2">
      <c r="A127" s="94" t="str">
        <f>'I_Budget Input Data'!B109</f>
        <v>3. HARD COSTS</v>
      </c>
      <c r="B127" s="94" t="str">
        <f>'I_Budget Input Data'!C109</f>
        <v>Fenestration:Transport &amp; Handling - Quebec</v>
      </c>
      <c r="C127" s="95">
        <f>'I_Budget Input Data'!D109</f>
        <v>0</v>
      </c>
      <c r="D127" s="95">
        <f t="shared" si="6"/>
        <v>0</v>
      </c>
      <c r="E127" s="95">
        <f t="shared" si="7"/>
        <v>0</v>
      </c>
      <c r="F127" s="95">
        <f>'Draw Calc (Hidden)'!C109</f>
        <v>0</v>
      </c>
      <c r="G127" s="95">
        <f>'Draw Calc (Hidden)'!D109</f>
        <v>0</v>
      </c>
      <c r="H127" s="95">
        <f>'Draw Calc (Hidden)'!E109</f>
        <v>0</v>
      </c>
      <c r="I127" s="95">
        <f>'Draw Calc (Hidden)'!F109</f>
        <v>0</v>
      </c>
      <c r="J127" s="95">
        <f>'Draw Calc (Hidden)'!G109</f>
        <v>0</v>
      </c>
      <c r="K127" s="95">
        <f>'Draw Calc (Hidden)'!H109</f>
        <v>0</v>
      </c>
      <c r="L127" s="95">
        <f>'Draw Calc (Hidden)'!I109</f>
        <v>0</v>
      </c>
      <c r="M127" s="95">
        <f>'Draw Calc (Hidden)'!J109</f>
        <v>0</v>
      </c>
      <c r="N127" s="95">
        <f>'Draw Calc (Hidden)'!K109</f>
        <v>0</v>
      </c>
      <c r="O127" s="95">
        <f>'Draw Calc (Hidden)'!L109</f>
        <v>0</v>
      </c>
      <c r="P127" s="95">
        <f>'Draw Calc (Hidden)'!M109</f>
        <v>0</v>
      </c>
      <c r="Q127" s="95">
        <f>'Draw Calc (Hidden)'!N109</f>
        <v>0</v>
      </c>
      <c r="R127" s="95">
        <f>'Draw Calc (Hidden)'!O109</f>
        <v>0</v>
      </c>
      <c r="S127" s="95">
        <f>'Draw Calc (Hidden)'!P109</f>
        <v>0</v>
      </c>
      <c r="T127" s="95">
        <f>'Draw Calc (Hidden)'!Q109</f>
        <v>0</v>
      </c>
      <c r="U127" s="95">
        <f>'Draw Calc (Hidden)'!R109</f>
        <v>0</v>
      </c>
      <c r="V127" s="95">
        <f>'Draw Calc (Hidden)'!S109</f>
        <v>0</v>
      </c>
      <c r="W127" s="95">
        <f>'Draw Calc (Hidden)'!T109</f>
        <v>0</v>
      </c>
      <c r="X127" s="95">
        <f>'Draw Calc (Hidden)'!U109</f>
        <v>0</v>
      </c>
      <c r="Y127" s="95">
        <f>'Draw Calc (Hidden)'!V109</f>
        <v>0</v>
      </c>
      <c r="Z127" s="95">
        <f>'Draw Calc (Hidden)'!W109</f>
        <v>0</v>
      </c>
      <c r="AA127" s="95">
        <f>'Draw Calc (Hidden)'!X109</f>
        <v>0</v>
      </c>
      <c r="AB127" s="95">
        <f>'Draw Calc (Hidden)'!Y109</f>
        <v>0</v>
      </c>
      <c r="AC127" s="95">
        <f>'Draw Calc (Hidden)'!Z109</f>
        <v>0</v>
      </c>
      <c r="AD127" s="95">
        <f>'Draw Calc (Hidden)'!AA109</f>
        <v>0</v>
      </c>
      <c r="AE127" s="95">
        <f>'Draw Calc (Hidden)'!AB109</f>
        <v>0</v>
      </c>
      <c r="AF127" s="95">
        <f>'Draw Calc (Hidden)'!AC109</f>
        <v>0</v>
      </c>
      <c r="AG127" s="95">
        <f>'Draw Calc (Hidden)'!AD109</f>
        <v>0</v>
      </c>
      <c r="AH127" s="95">
        <f>'Draw Calc (Hidden)'!AE109</f>
        <v>0</v>
      </c>
      <c r="AI127" s="95">
        <f>'Draw Calc (Hidden)'!AF109</f>
        <v>0</v>
      </c>
      <c r="AJ127" s="95">
        <f>'Draw Calc (Hidden)'!AG109</f>
        <v>0</v>
      </c>
      <c r="AK127" s="95">
        <f>'Draw Calc (Hidden)'!AH109</f>
        <v>0</v>
      </c>
      <c r="AL127" s="95">
        <f>'Draw Calc (Hidden)'!AI109</f>
        <v>0</v>
      </c>
      <c r="AM127" s="95">
        <f>'Draw Calc (Hidden)'!AJ109</f>
        <v>0</v>
      </c>
      <c r="AN127" s="95">
        <f>'Draw Calc (Hidden)'!AK109</f>
        <v>0</v>
      </c>
      <c r="AO127" s="95">
        <f>'Draw Calc (Hidden)'!AL109</f>
        <v>0</v>
      </c>
    </row>
    <row r="128" spans="1:41" ht="15" customHeight="1" x14ac:dyDescent="0.2">
      <c r="A128" s="94" t="str">
        <f>'I_Budget Input Data'!B110</f>
        <v>3. HARD COSTS</v>
      </c>
      <c r="B128" s="94" t="str">
        <f>'I_Budget Input Data'!C110</f>
        <v>Interior systems:Drywall</v>
      </c>
      <c r="C128" s="95">
        <f>'I_Budget Input Data'!D110</f>
        <v>2345879</v>
      </c>
      <c r="D128" s="95">
        <f t="shared" si="6"/>
        <v>2381969.4461538461</v>
      </c>
      <c r="E128" s="95">
        <f t="shared" si="7"/>
        <v>-36090.446153846104</v>
      </c>
      <c r="F128" s="95">
        <f>'Draw Calc (Hidden)'!C110</f>
        <v>144361.78461538462</v>
      </c>
      <c r="G128" s="95">
        <f>'Draw Calc (Hidden)'!D110</f>
        <v>144361.78461538462</v>
      </c>
      <c r="H128" s="95">
        <f>'Draw Calc (Hidden)'!E110</f>
        <v>144361.78461538462</v>
      </c>
      <c r="I128" s="95">
        <f>'Draw Calc (Hidden)'!F110</f>
        <v>144361.78461538462</v>
      </c>
      <c r="J128" s="95">
        <f>'Draw Calc (Hidden)'!G110</f>
        <v>144361.78461538462</v>
      </c>
      <c r="K128" s="95">
        <f>'Draw Calc (Hidden)'!H110</f>
        <v>144361.78461538462</v>
      </c>
      <c r="L128" s="95">
        <f>'Draw Calc (Hidden)'!I110</f>
        <v>216542.67692307691</v>
      </c>
      <c r="M128" s="95">
        <f>'Draw Calc (Hidden)'!J110</f>
        <v>216542.67692307691</v>
      </c>
      <c r="N128" s="95">
        <f>'Draw Calc (Hidden)'!K110</f>
        <v>216542.67692307691</v>
      </c>
      <c r="O128" s="95">
        <f>'Draw Calc (Hidden)'!L110</f>
        <v>216542.67692307691</v>
      </c>
      <c r="P128" s="95">
        <f>'Draw Calc (Hidden)'!M110</f>
        <v>216542.67692307691</v>
      </c>
      <c r="Q128" s="95">
        <f>'Draw Calc (Hidden)'!N110</f>
        <v>216542.67692307691</v>
      </c>
      <c r="R128" s="95">
        <f>'Draw Calc (Hidden)'!O110</f>
        <v>216542.67692307691</v>
      </c>
      <c r="S128" s="95">
        <f>'Draw Calc (Hidden)'!P110</f>
        <v>0</v>
      </c>
      <c r="T128" s="95">
        <f>'Draw Calc (Hidden)'!Q110</f>
        <v>0</v>
      </c>
      <c r="U128" s="95">
        <f>'Draw Calc (Hidden)'!R110</f>
        <v>0</v>
      </c>
      <c r="V128" s="95">
        <f>'Draw Calc (Hidden)'!S110</f>
        <v>0</v>
      </c>
      <c r="W128" s="95">
        <f>'Draw Calc (Hidden)'!T110</f>
        <v>0</v>
      </c>
      <c r="X128" s="95">
        <f>'Draw Calc (Hidden)'!U110</f>
        <v>0</v>
      </c>
      <c r="Y128" s="95">
        <f>'Draw Calc (Hidden)'!V110</f>
        <v>0</v>
      </c>
      <c r="Z128" s="95">
        <f>'Draw Calc (Hidden)'!W110</f>
        <v>0</v>
      </c>
      <c r="AA128" s="95">
        <f>'Draw Calc (Hidden)'!X110</f>
        <v>0</v>
      </c>
      <c r="AB128" s="95">
        <f>'Draw Calc (Hidden)'!Y110</f>
        <v>0</v>
      </c>
      <c r="AC128" s="95">
        <f>'Draw Calc (Hidden)'!Z110</f>
        <v>0</v>
      </c>
      <c r="AD128" s="95">
        <f>'Draw Calc (Hidden)'!AA110</f>
        <v>0</v>
      </c>
      <c r="AE128" s="95">
        <f>'Draw Calc (Hidden)'!AB110</f>
        <v>0</v>
      </c>
      <c r="AF128" s="95">
        <f>'Draw Calc (Hidden)'!AC110</f>
        <v>0</v>
      </c>
      <c r="AG128" s="95">
        <f>'Draw Calc (Hidden)'!AD110</f>
        <v>0</v>
      </c>
      <c r="AH128" s="95">
        <f>'Draw Calc (Hidden)'!AE110</f>
        <v>0</v>
      </c>
      <c r="AI128" s="95">
        <f>'Draw Calc (Hidden)'!AF110</f>
        <v>0</v>
      </c>
      <c r="AJ128" s="95">
        <f>'Draw Calc (Hidden)'!AG110</f>
        <v>0</v>
      </c>
      <c r="AK128" s="95">
        <f>'Draw Calc (Hidden)'!AH110</f>
        <v>0</v>
      </c>
      <c r="AL128" s="95">
        <f>'Draw Calc (Hidden)'!AI110</f>
        <v>0</v>
      </c>
      <c r="AM128" s="95">
        <f>'Draw Calc (Hidden)'!AJ110</f>
        <v>0</v>
      </c>
      <c r="AN128" s="95">
        <f>'Draw Calc (Hidden)'!AK110</f>
        <v>0</v>
      </c>
      <c r="AO128" s="95">
        <f>'Draw Calc (Hidden)'!AL110</f>
        <v>0</v>
      </c>
    </row>
    <row r="129" spans="1:41" ht="15" customHeight="1" x14ac:dyDescent="0.2">
      <c r="A129" s="94" t="str">
        <f>'I_Budget Input Data'!B111</f>
        <v>3. HARD COSTS</v>
      </c>
      <c r="B129" s="94" t="str">
        <f>'I_Budget Input Data'!C111</f>
        <v>Ceramic:Ceramic Purchase, Transport, Handling &amp; Installation</v>
      </c>
      <c r="C129" s="95">
        <f>'I_Budget Input Data'!D111</f>
        <v>179184</v>
      </c>
      <c r="D129" s="95">
        <f t="shared" si="6"/>
        <v>181940.67692307691</v>
      </c>
      <c r="E129" s="95">
        <f t="shared" si="7"/>
        <v>-2756.6769230769132</v>
      </c>
      <c r="F129" s="95">
        <f>'Draw Calc (Hidden)'!C111</f>
        <v>11026.707692307693</v>
      </c>
      <c r="G129" s="95">
        <f>'Draw Calc (Hidden)'!D111</f>
        <v>11026.707692307693</v>
      </c>
      <c r="H129" s="95">
        <f>'Draw Calc (Hidden)'!E111</f>
        <v>11026.707692307693</v>
      </c>
      <c r="I129" s="95">
        <f>'Draw Calc (Hidden)'!F111</f>
        <v>11026.707692307693</v>
      </c>
      <c r="J129" s="95">
        <f>'Draw Calc (Hidden)'!G111</f>
        <v>11026.707692307693</v>
      </c>
      <c r="K129" s="95">
        <f>'Draw Calc (Hidden)'!H111</f>
        <v>11026.707692307693</v>
      </c>
      <c r="L129" s="95">
        <f>'Draw Calc (Hidden)'!I111</f>
        <v>16540.061538461538</v>
      </c>
      <c r="M129" s="95">
        <f>'Draw Calc (Hidden)'!J111</f>
        <v>16540.061538461538</v>
      </c>
      <c r="N129" s="95">
        <f>'Draw Calc (Hidden)'!K111</f>
        <v>16540.061538461538</v>
      </c>
      <c r="O129" s="95">
        <f>'Draw Calc (Hidden)'!L111</f>
        <v>16540.061538461538</v>
      </c>
      <c r="P129" s="95">
        <f>'Draw Calc (Hidden)'!M111</f>
        <v>16540.061538461538</v>
      </c>
      <c r="Q129" s="95">
        <f>'Draw Calc (Hidden)'!N111</f>
        <v>16540.061538461538</v>
      </c>
      <c r="R129" s="95">
        <f>'Draw Calc (Hidden)'!O111</f>
        <v>16540.061538461538</v>
      </c>
      <c r="S129" s="95">
        <f>'Draw Calc (Hidden)'!P111</f>
        <v>0</v>
      </c>
      <c r="T129" s="95">
        <f>'Draw Calc (Hidden)'!Q111</f>
        <v>0</v>
      </c>
      <c r="U129" s="95">
        <f>'Draw Calc (Hidden)'!R111</f>
        <v>0</v>
      </c>
      <c r="V129" s="95">
        <f>'Draw Calc (Hidden)'!S111</f>
        <v>0</v>
      </c>
      <c r="W129" s="95">
        <f>'Draw Calc (Hidden)'!T111</f>
        <v>0</v>
      </c>
      <c r="X129" s="95">
        <f>'Draw Calc (Hidden)'!U111</f>
        <v>0</v>
      </c>
      <c r="Y129" s="95">
        <f>'Draw Calc (Hidden)'!V111</f>
        <v>0</v>
      </c>
      <c r="Z129" s="95">
        <f>'Draw Calc (Hidden)'!W111</f>
        <v>0</v>
      </c>
      <c r="AA129" s="95">
        <f>'Draw Calc (Hidden)'!X111</f>
        <v>0</v>
      </c>
      <c r="AB129" s="95">
        <f>'Draw Calc (Hidden)'!Y111</f>
        <v>0</v>
      </c>
      <c r="AC129" s="95">
        <f>'Draw Calc (Hidden)'!Z111</f>
        <v>0</v>
      </c>
      <c r="AD129" s="95">
        <f>'Draw Calc (Hidden)'!AA111</f>
        <v>0</v>
      </c>
      <c r="AE129" s="95">
        <f>'Draw Calc (Hidden)'!AB111</f>
        <v>0</v>
      </c>
      <c r="AF129" s="95">
        <f>'Draw Calc (Hidden)'!AC111</f>
        <v>0</v>
      </c>
      <c r="AG129" s="95">
        <f>'Draw Calc (Hidden)'!AD111</f>
        <v>0</v>
      </c>
      <c r="AH129" s="95">
        <f>'Draw Calc (Hidden)'!AE111</f>
        <v>0</v>
      </c>
      <c r="AI129" s="95">
        <f>'Draw Calc (Hidden)'!AF111</f>
        <v>0</v>
      </c>
      <c r="AJ129" s="95">
        <f>'Draw Calc (Hidden)'!AG111</f>
        <v>0</v>
      </c>
      <c r="AK129" s="95">
        <f>'Draw Calc (Hidden)'!AH111</f>
        <v>0</v>
      </c>
      <c r="AL129" s="95">
        <f>'Draw Calc (Hidden)'!AI111</f>
        <v>0</v>
      </c>
      <c r="AM129" s="95">
        <f>'Draw Calc (Hidden)'!AJ111</f>
        <v>0</v>
      </c>
      <c r="AN129" s="95">
        <f>'Draw Calc (Hidden)'!AK111</f>
        <v>0</v>
      </c>
      <c r="AO129" s="95">
        <f>'Draw Calc (Hidden)'!AL111</f>
        <v>0</v>
      </c>
    </row>
    <row r="130" spans="1:41" ht="15" customHeight="1" x14ac:dyDescent="0.2">
      <c r="A130" s="94" t="str">
        <f>'I_Budget Input Data'!B112</f>
        <v>3. HARD COSTS</v>
      </c>
      <c r="B130" s="94" t="str">
        <f>'I_Budget Input Data'!C112</f>
        <v>Ceramic:Shower walls</v>
      </c>
      <c r="C130" s="95">
        <f>'I_Budget Input Data'!D112</f>
        <v>0</v>
      </c>
      <c r="D130" s="95">
        <f t="shared" si="6"/>
        <v>0</v>
      </c>
      <c r="E130" s="95">
        <f t="shared" si="7"/>
        <v>0</v>
      </c>
      <c r="F130" s="95">
        <f>'Draw Calc (Hidden)'!C112</f>
        <v>0</v>
      </c>
      <c r="G130" s="95">
        <f>'Draw Calc (Hidden)'!D112</f>
        <v>0</v>
      </c>
      <c r="H130" s="95">
        <f>'Draw Calc (Hidden)'!E112</f>
        <v>0</v>
      </c>
      <c r="I130" s="95">
        <f>'Draw Calc (Hidden)'!F112</f>
        <v>0</v>
      </c>
      <c r="J130" s="95">
        <f>'Draw Calc (Hidden)'!G112</f>
        <v>0</v>
      </c>
      <c r="K130" s="95">
        <f>'Draw Calc (Hidden)'!H112</f>
        <v>0</v>
      </c>
      <c r="L130" s="95">
        <f>'Draw Calc (Hidden)'!I112</f>
        <v>0</v>
      </c>
      <c r="M130" s="95">
        <f>'Draw Calc (Hidden)'!J112</f>
        <v>0</v>
      </c>
      <c r="N130" s="95">
        <f>'Draw Calc (Hidden)'!K112</f>
        <v>0</v>
      </c>
      <c r="O130" s="95">
        <f>'Draw Calc (Hidden)'!L112</f>
        <v>0</v>
      </c>
      <c r="P130" s="95">
        <f>'Draw Calc (Hidden)'!M112</f>
        <v>0</v>
      </c>
      <c r="Q130" s="95">
        <f>'Draw Calc (Hidden)'!N112</f>
        <v>0</v>
      </c>
      <c r="R130" s="95">
        <f>'Draw Calc (Hidden)'!O112</f>
        <v>0</v>
      </c>
      <c r="S130" s="95">
        <f>'Draw Calc (Hidden)'!P112</f>
        <v>0</v>
      </c>
      <c r="T130" s="95">
        <f>'Draw Calc (Hidden)'!Q112</f>
        <v>0</v>
      </c>
      <c r="U130" s="95">
        <f>'Draw Calc (Hidden)'!R112</f>
        <v>0</v>
      </c>
      <c r="V130" s="95">
        <f>'Draw Calc (Hidden)'!S112</f>
        <v>0</v>
      </c>
      <c r="W130" s="95">
        <f>'Draw Calc (Hidden)'!T112</f>
        <v>0</v>
      </c>
      <c r="X130" s="95">
        <f>'Draw Calc (Hidden)'!U112</f>
        <v>0</v>
      </c>
      <c r="Y130" s="95">
        <f>'Draw Calc (Hidden)'!V112</f>
        <v>0</v>
      </c>
      <c r="Z130" s="95">
        <f>'Draw Calc (Hidden)'!W112</f>
        <v>0</v>
      </c>
      <c r="AA130" s="95">
        <f>'Draw Calc (Hidden)'!X112</f>
        <v>0</v>
      </c>
      <c r="AB130" s="95">
        <f>'Draw Calc (Hidden)'!Y112</f>
        <v>0</v>
      </c>
      <c r="AC130" s="95">
        <f>'Draw Calc (Hidden)'!Z112</f>
        <v>0</v>
      </c>
      <c r="AD130" s="95">
        <f>'Draw Calc (Hidden)'!AA112</f>
        <v>0</v>
      </c>
      <c r="AE130" s="95">
        <f>'Draw Calc (Hidden)'!AB112</f>
        <v>0</v>
      </c>
      <c r="AF130" s="95">
        <f>'Draw Calc (Hidden)'!AC112</f>
        <v>0</v>
      </c>
      <c r="AG130" s="95">
        <f>'Draw Calc (Hidden)'!AD112</f>
        <v>0</v>
      </c>
      <c r="AH130" s="95">
        <f>'Draw Calc (Hidden)'!AE112</f>
        <v>0</v>
      </c>
      <c r="AI130" s="95">
        <f>'Draw Calc (Hidden)'!AF112</f>
        <v>0</v>
      </c>
      <c r="AJ130" s="95">
        <f>'Draw Calc (Hidden)'!AG112</f>
        <v>0</v>
      </c>
      <c r="AK130" s="95">
        <f>'Draw Calc (Hidden)'!AH112</f>
        <v>0</v>
      </c>
      <c r="AL130" s="95">
        <f>'Draw Calc (Hidden)'!AI112</f>
        <v>0</v>
      </c>
      <c r="AM130" s="95">
        <f>'Draw Calc (Hidden)'!AJ112</f>
        <v>0</v>
      </c>
      <c r="AN130" s="95">
        <f>'Draw Calc (Hidden)'!AK112</f>
        <v>0</v>
      </c>
      <c r="AO130" s="95">
        <f>'Draw Calc (Hidden)'!AL112</f>
        <v>0</v>
      </c>
    </row>
    <row r="131" spans="1:41" ht="15" customHeight="1" x14ac:dyDescent="0.2">
      <c r="A131" s="94" t="str">
        <f>'I_Budget Input Data'!B113</f>
        <v>3. HARD COSTS</v>
      </c>
      <c r="B131" s="94" t="str">
        <f>'I_Budget Input Data'!C113</f>
        <v>Ceramic:Bathroom floors (SPC)</v>
      </c>
      <c r="C131" s="95">
        <f>'I_Budget Input Data'!D113</f>
        <v>208859</v>
      </c>
      <c r="D131" s="95">
        <f t="shared" si="6"/>
        <v>212072.21538461541</v>
      </c>
      <c r="E131" s="95">
        <f t="shared" si="7"/>
        <v>-3213.2153846154106</v>
      </c>
      <c r="F131" s="95">
        <f>'Draw Calc (Hidden)'!C113</f>
        <v>12852.861538461539</v>
      </c>
      <c r="G131" s="95">
        <f>'Draw Calc (Hidden)'!D113</f>
        <v>12852.861538461539</v>
      </c>
      <c r="H131" s="95">
        <f>'Draw Calc (Hidden)'!E113</f>
        <v>12852.861538461539</v>
      </c>
      <c r="I131" s="95">
        <f>'Draw Calc (Hidden)'!F113</f>
        <v>12852.861538461539</v>
      </c>
      <c r="J131" s="95">
        <f>'Draw Calc (Hidden)'!G113</f>
        <v>12852.861538461539</v>
      </c>
      <c r="K131" s="95">
        <f>'Draw Calc (Hidden)'!H113</f>
        <v>12852.861538461539</v>
      </c>
      <c r="L131" s="95">
        <f>'Draw Calc (Hidden)'!I113</f>
        <v>19279.292307692307</v>
      </c>
      <c r="M131" s="95">
        <f>'Draw Calc (Hidden)'!J113</f>
        <v>19279.292307692307</v>
      </c>
      <c r="N131" s="95">
        <f>'Draw Calc (Hidden)'!K113</f>
        <v>19279.292307692307</v>
      </c>
      <c r="O131" s="95">
        <f>'Draw Calc (Hidden)'!L113</f>
        <v>19279.292307692307</v>
      </c>
      <c r="P131" s="95">
        <f>'Draw Calc (Hidden)'!M113</f>
        <v>19279.292307692307</v>
      </c>
      <c r="Q131" s="95">
        <f>'Draw Calc (Hidden)'!N113</f>
        <v>19279.292307692307</v>
      </c>
      <c r="R131" s="95">
        <f>'Draw Calc (Hidden)'!O113</f>
        <v>19279.292307692307</v>
      </c>
      <c r="S131" s="95">
        <f>'Draw Calc (Hidden)'!P113</f>
        <v>0</v>
      </c>
      <c r="T131" s="95">
        <f>'Draw Calc (Hidden)'!Q113</f>
        <v>0</v>
      </c>
      <c r="U131" s="95">
        <f>'Draw Calc (Hidden)'!R113</f>
        <v>0</v>
      </c>
      <c r="V131" s="95">
        <f>'Draw Calc (Hidden)'!S113</f>
        <v>0</v>
      </c>
      <c r="W131" s="95">
        <f>'Draw Calc (Hidden)'!T113</f>
        <v>0</v>
      </c>
      <c r="X131" s="95">
        <f>'Draw Calc (Hidden)'!U113</f>
        <v>0</v>
      </c>
      <c r="Y131" s="95">
        <f>'Draw Calc (Hidden)'!V113</f>
        <v>0</v>
      </c>
      <c r="Z131" s="95">
        <f>'Draw Calc (Hidden)'!W113</f>
        <v>0</v>
      </c>
      <c r="AA131" s="95">
        <f>'Draw Calc (Hidden)'!X113</f>
        <v>0</v>
      </c>
      <c r="AB131" s="95">
        <f>'Draw Calc (Hidden)'!Y113</f>
        <v>0</v>
      </c>
      <c r="AC131" s="95">
        <f>'Draw Calc (Hidden)'!Z113</f>
        <v>0</v>
      </c>
      <c r="AD131" s="95">
        <f>'Draw Calc (Hidden)'!AA113</f>
        <v>0</v>
      </c>
      <c r="AE131" s="95">
        <f>'Draw Calc (Hidden)'!AB113</f>
        <v>0</v>
      </c>
      <c r="AF131" s="95">
        <f>'Draw Calc (Hidden)'!AC113</f>
        <v>0</v>
      </c>
      <c r="AG131" s="95">
        <f>'Draw Calc (Hidden)'!AD113</f>
        <v>0</v>
      </c>
      <c r="AH131" s="95">
        <f>'Draw Calc (Hidden)'!AE113</f>
        <v>0</v>
      </c>
      <c r="AI131" s="95">
        <f>'Draw Calc (Hidden)'!AF113</f>
        <v>0</v>
      </c>
      <c r="AJ131" s="95">
        <f>'Draw Calc (Hidden)'!AG113</f>
        <v>0</v>
      </c>
      <c r="AK131" s="95">
        <f>'Draw Calc (Hidden)'!AH113</f>
        <v>0</v>
      </c>
      <c r="AL131" s="95">
        <f>'Draw Calc (Hidden)'!AI113</f>
        <v>0</v>
      </c>
      <c r="AM131" s="95">
        <f>'Draw Calc (Hidden)'!AJ113</f>
        <v>0</v>
      </c>
      <c r="AN131" s="95">
        <f>'Draw Calc (Hidden)'!AK113</f>
        <v>0</v>
      </c>
      <c r="AO131" s="95">
        <f>'Draw Calc (Hidden)'!AL113</f>
        <v>0</v>
      </c>
    </row>
    <row r="132" spans="1:41" ht="15" customHeight="1" x14ac:dyDescent="0.2">
      <c r="A132" s="94" t="str">
        <f>'I_Budget Input Data'!B114</f>
        <v>3. HARD COSTS</v>
      </c>
      <c r="B132" s="94" t="str">
        <f>'I_Budget Input Data'!C114</f>
        <v>Floor covering:Vinyl flooring &amp; Transport, Handling</v>
      </c>
      <c r="C132" s="95">
        <f>'I_Budget Input Data'!D114</f>
        <v>343300</v>
      </c>
      <c r="D132" s="95">
        <f t="shared" si="6"/>
        <v>348581.53846153844</v>
      </c>
      <c r="E132" s="95">
        <f t="shared" si="7"/>
        <v>-5281.5384615384392</v>
      </c>
      <c r="F132" s="95">
        <f>'Draw Calc (Hidden)'!C114</f>
        <v>21126.153846153848</v>
      </c>
      <c r="G132" s="95">
        <f>'Draw Calc (Hidden)'!D114</f>
        <v>21126.153846153848</v>
      </c>
      <c r="H132" s="95">
        <f>'Draw Calc (Hidden)'!E114</f>
        <v>21126.153846153848</v>
      </c>
      <c r="I132" s="95">
        <f>'Draw Calc (Hidden)'!F114</f>
        <v>21126.153846153848</v>
      </c>
      <c r="J132" s="95">
        <f>'Draw Calc (Hidden)'!G114</f>
        <v>21126.153846153848</v>
      </c>
      <c r="K132" s="95">
        <f>'Draw Calc (Hidden)'!H114</f>
        <v>21126.153846153848</v>
      </c>
      <c r="L132" s="95">
        <f>'Draw Calc (Hidden)'!I114</f>
        <v>31689.23076923077</v>
      </c>
      <c r="M132" s="95">
        <f>'Draw Calc (Hidden)'!J114</f>
        <v>31689.23076923077</v>
      </c>
      <c r="N132" s="95">
        <f>'Draw Calc (Hidden)'!K114</f>
        <v>31689.23076923077</v>
      </c>
      <c r="O132" s="95">
        <f>'Draw Calc (Hidden)'!L114</f>
        <v>31689.23076923077</v>
      </c>
      <c r="P132" s="95">
        <f>'Draw Calc (Hidden)'!M114</f>
        <v>31689.23076923077</v>
      </c>
      <c r="Q132" s="95">
        <f>'Draw Calc (Hidden)'!N114</f>
        <v>31689.23076923077</v>
      </c>
      <c r="R132" s="95">
        <f>'Draw Calc (Hidden)'!O114</f>
        <v>31689.23076923077</v>
      </c>
      <c r="S132" s="95">
        <f>'Draw Calc (Hidden)'!P114</f>
        <v>0</v>
      </c>
      <c r="T132" s="95">
        <f>'Draw Calc (Hidden)'!Q114</f>
        <v>0</v>
      </c>
      <c r="U132" s="95">
        <f>'Draw Calc (Hidden)'!R114</f>
        <v>0</v>
      </c>
      <c r="V132" s="95">
        <f>'Draw Calc (Hidden)'!S114</f>
        <v>0</v>
      </c>
      <c r="W132" s="95">
        <f>'Draw Calc (Hidden)'!T114</f>
        <v>0</v>
      </c>
      <c r="X132" s="95">
        <f>'Draw Calc (Hidden)'!U114</f>
        <v>0</v>
      </c>
      <c r="Y132" s="95">
        <f>'Draw Calc (Hidden)'!V114</f>
        <v>0</v>
      </c>
      <c r="Z132" s="95">
        <f>'Draw Calc (Hidden)'!W114</f>
        <v>0</v>
      </c>
      <c r="AA132" s="95">
        <f>'Draw Calc (Hidden)'!X114</f>
        <v>0</v>
      </c>
      <c r="AB132" s="95">
        <f>'Draw Calc (Hidden)'!Y114</f>
        <v>0</v>
      </c>
      <c r="AC132" s="95">
        <f>'Draw Calc (Hidden)'!Z114</f>
        <v>0</v>
      </c>
      <c r="AD132" s="95">
        <f>'Draw Calc (Hidden)'!AA114</f>
        <v>0</v>
      </c>
      <c r="AE132" s="95">
        <f>'Draw Calc (Hidden)'!AB114</f>
        <v>0</v>
      </c>
      <c r="AF132" s="95">
        <f>'Draw Calc (Hidden)'!AC114</f>
        <v>0</v>
      </c>
      <c r="AG132" s="95">
        <f>'Draw Calc (Hidden)'!AD114</f>
        <v>0</v>
      </c>
      <c r="AH132" s="95">
        <f>'Draw Calc (Hidden)'!AE114</f>
        <v>0</v>
      </c>
      <c r="AI132" s="95">
        <f>'Draw Calc (Hidden)'!AF114</f>
        <v>0</v>
      </c>
      <c r="AJ132" s="95">
        <f>'Draw Calc (Hidden)'!AG114</f>
        <v>0</v>
      </c>
      <c r="AK132" s="95">
        <f>'Draw Calc (Hidden)'!AH114</f>
        <v>0</v>
      </c>
      <c r="AL132" s="95">
        <f>'Draw Calc (Hidden)'!AI114</f>
        <v>0</v>
      </c>
      <c r="AM132" s="95">
        <f>'Draw Calc (Hidden)'!AJ114</f>
        <v>0</v>
      </c>
      <c r="AN132" s="95">
        <f>'Draw Calc (Hidden)'!AK114</f>
        <v>0</v>
      </c>
      <c r="AO132" s="95">
        <f>'Draw Calc (Hidden)'!AL114</f>
        <v>0</v>
      </c>
    </row>
    <row r="133" spans="1:41" ht="15" customHeight="1" x14ac:dyDescent="0.2">
      <c r="A133" s="94" t="str">
        <f>'I_Budget Input Data'!B115</f>
        <v>3. HARD COSTS</v>
      </c>
      <c r="B133" s="94">
        <f>'I_Budget Input Data'!C115</f>
        <v>0</v>
      </c>
      <c r="C133" s="95">
        <f>'I_Budget Input Data'!D115</f>
        <v>0</v>
      </c>
      <c r="D133" s="95">
        <f t="shared" si="6"/>
        <v>0</v>
      </c>
      <c r="E133" s="95">
        <f t="shared" si="7"/>
        <v>0</v>
      </c>
      <c r="F133" s="95">
        <f>'Draw Calc (Hidden)'!C115</f>
        <v>0</v>
      </c>
      <c r="G133" s="95">
        <f>'Draw Calc (Hidden)'!D115</f>
        <v>0</v>
      </c>
      <c r="H133" s="95">
        <f>'Draw Calc (Hidden)'!E115</f>
        <v>0</v>
      </c>
      <c r="I133" s="95">
        <f>'Draw Calc (Hidden)'!F115</f>
        <v>0</v>
      </c>
      <c r="J133" s="95">
        <f>'Draw Calc (Hidden)'!G115</f>
        <v>0</v>
      </c>
      <c r="K133" s="95">
        <f>'Draw Calc (Hidden)'!H115</f>
        <v>0</v>
      </c>
      <c r="L133" s="95">
        <f>'Draw Calc (Hidden)'!I115</f>
        <v>0</v>
      </c>
      <c r="M133" s="95">
        <f>'Draw Calc (Hidden)'!J115</f>
        <v>0</v>
      </c>
      <c r="N133" s="95">
        <f>'Draw Calc (Hidden)'!K115</f>
        <v>0</v>
      </c>
      <c r="O133" s="95">
        <f>'Draw Calc (Hidden)'!L115</f>
        <v>0</v>
      </c>
      <c r="P133" s="95">
        <f>'Draw Calc (Hidden)'!M115</f>
        <v>0</v>
      </c>
      <c r="Q133" s="95">
        <f>'Draw Calc (Hidden)'!N115</f>
        <v>0</v>
      </c>
      <c r="R133" s="95">
        <f>'Draw Calc (Hidden)'!O115</f>
        <v>0</v>
      </c>
      <c r="S133" s="95">
        <f>'Draw Calc (Hidden)'!P115</f>
        <v>0</v>
      </c>
      <c r="T133" s="95">
        <f>'Draw Calc (Hidden)'!Q115</f>
        <v>0</v>
      </c>
      <c r="U133" s="95">
        <f>'Draw Calc (Hidden)'!R115</f>
        <v>0</v>
      </c>
      <c r="V133" s="95">
        <f>'Draw Calc (Hidden)'!S115</f>
        <v>0</v>
      </c>
      <c r="W133" s="95">
        <f>'Draw Calc (Hidden)'!T115</f>
        <v>0</v>
      </c>
      <c r="X133" s="95">
        <f>'Draw Calc (Hidden)'!U115</f>
        <v>0</v>
      </c>
      <c r="Y133" s="95">
        <f>'Draw Calc (Hidden)'!V115</f>
        <v>0</v>
      </c>
      <c r="Z133" s="95">
        <f>'Draw Calc (Hidden)'!W115</f>
        <v>0</v>
      </c>
      <c r="AA133" s="95">
        <f>'Draw Calc (Hidden)'!X115</f>
        <v>0</v>
      </c>
      <c r="AB133" s="95">
        <f>'Draw Calc (Hidden)'!Y115</f>
        <v>0</v>
      </c>
      <c r="AC133" s="95">
        <f>'Draw Calc (Hidden)'!Z115</f>
        <v>0</v>
      </c>
      <c r="AD133" s="95">
        <f>'Draw Calc (Hidden)'!AA115</f>
        <v>0</v>
      </c>
      <c r="AE133" s="95">
        <f>'Draw Calc (Hidden)'!AB115</f>
        <v>0</v>
      </c>
      <c r="AF133" s="95">
        <f>'Draw Calc (Hidden)'!AC115</f>
        <v>0</v>
      </c>
      <c r="AG133" s="95">
        <f>'Draw Calc (Hidden)'!AD115</f>
        <v>0</v>
      </c>
      <c r="AH133" s="95">
        <f>'Draw Calc (Hidden)'!AE115</f>
        <v>0</v>
      </c>
      <c r="AI133" s="95">
        <f>'Draw Calc (Hidden)'!AF115</f>
        <v>0</v>
      </c>
      <c r="AJ133" s="95">
        <f>'Draw Calc (Hidden)'!AG115</f>
        <v>0</v>
      </c>
      <c r="AK133" s="95">
        <f>'Draw Calc (Hidden)'!AH115</f>
        <v>0</v>
      </c>
      <c r="AL133" s="95">
        <f>'Draw Calc (Hidden)'!AI115</f>
        <v>0</v>
      </c>
      <c r="AM133" s="95">
        <f>'Draw Calc (Hidden)'!AJ115</f>
        <v>0</v>
      </c>
      <c r="AN133" s="95">
        <f>'Draw Calc (Hidden)'!AK115</f>
        <v>0</v>
      </c>
      <c r="AO133" s="95">
        <f>'Draw Calc (Hidden)'!AL115</f>
        <v>0</v>
      </c>
    </row>
    <row r="134" spans="1:41" ht="15" customHeight="1" x14ac:dyDescent="0.2">
      <c r="A134" s="94" t="str">
        <f>'I_Budget Input Data'!B116</f>
        <v>3. HARD COSTS</v>
      </c>
      <c r="B134" s="94" t="str">
        <f>'I_Budget Input Data'!C116</f>
        <v>Paint:Painting</v>
      </c>
      <c r="C134" s="95">
        <f>'I_Budget Input Data'!D116</f>
        <v>366000</v>
      </c>
      <c r="D134" s="95">
        <f t="shared" si="6"/>
        <v>371630.76923076919</v>
      </c>
      <c r="E134" s="95">
        <f t="shared" si="7"/>
        <v>-5630.7692307691905</v>
      </c>
      <c r="F134" s="95">
        <f>'Draw Calc (Hidden)'!C116</f>
        <v>22523.076923076922</v>
      </c>
      <c r="G134" s="95">
        <f>'Draw Calc (Hidden)'!D116</f>
        <v>22523.076923076922</v>
      </c>
      <c r="H134" s="95">
        <f>'Draw Calc (Hidden)'!E116</f>
        <v>22523.076923076922</v>
      </c>
      <c r="I134" s="95">
        <f>'Draw Calc (Hidden)'!F116</f>
        <v>22523.076923076922</v>
      </c>
      <c r="J134" s="95">
        <f>'Draw Calc (Hidden)'!G116</f>
        <v>22523.076923076922</v>
      </c>
      <c r="K134" s="95">
        <f>'Draw Calc (Hidden)'!H116</f>
        <v>22523.076923076922</v>
      </c>
      <c r="L134" s="95">
        <f>'Draw Calc (Hidden)'!I116</f>
        <v>33784.615384615383</v>
      </c>
      <c r="M134" s="95">
        <f>'Draw Calc (Hidden)'!J116</f>
        <v>33784.615384615383</v>
      </c>
      <c r="N134" s="95">
        <f>'Draw Calc (Hidden)'!K116</f>
        <v>33784.615384615383</v>
      </c>
      <c r="O134" s="95">
        <f>'Draw Calc (Hidden)'!L116</f>
        <v>33784.615384615383</v>
      </c>
      <c r="P134" s="95">
        <f>'Draw Calc (Hidden)'!M116</f>
        <v>33784.615384615383</v>
      </c>
      <c r="Q134" s="95">
        <f>'Draw Calc (Hidden)'!N116</f>
        <v>33784.615384615383</v>
      </c>
      <c r="R134" s="95">
        <f>'Draw Calc (Hidden)'!O116</f>
        <v>33784.615384615383</v>
      </c>
      <c r="S134" s="95">
        <f>'Draw Calc (Hidden)'!P116</f>
        <v>0</v>
      </c>
      <c r="T134" s="95">
        <f>'Draw Calc (Hidden)'!Q116</f>
        <v>0</v>
      </c>
      <c r="U134" s="95">
        <f>'Draw Calc (Hidden)'!R116</f>
        <v>0</v>
      </c>
      <c r="V134" s="95">
        <f>'Draw Calc (Hidden)'!S116</f>
        <v>0</v>
      </c>
      <c r="W134" s="95">
        <f>'Draw Calc (Hidden)'!T116</f>
        <v>0</v>
      </c>
      <c r="X134" s="95">
        <f>'Draw Calc (Hidden)'!U116</f>
        <v>0</v>
      </c>
      <c r="Y134" s="95">
        <f>'Draw Calc (Hidden)'!V116</f>
        <v>0</v>
      </c>
      <c r="Z134" s="95">
        <f>'Draw Calc (Hidden)'!W116</f>
        <v>0</v>
      </c>
      <c r="AA134" s="95">
        <f>'Draw Calc (Hidden)'!X116</f>
        <v>0</v>
      </c>
      <c r="AB134" s="95">
        <f>'Draw Calc (Hidden)'!Y116</f>
        <v>0</v>
      </c>
      <c r="AC134" s="95">
        <f>'Draw Calc (Hidden)'!Z116</f>
        <v>0</v>
      </c>
      <c r="AD134" s="95">
        <f>'Draw Calc (Hidden)'!AA116</f>
        <v>0</v>
      </c>
      <c r="AE134" s="95">
        <f>'Draw Calc (Hidden)'!AB116</f>
        <v>0</v>
      </c>
      <c r="AF134" s="95">
        <f>'Draw Calc (Hidden)'!AC116</f>
        <v>0</v>
      </c>
      <c r="AG134" s="95">
        <f>'Draw Calc (Hidden)'!AD116</f>
        <v>0</v>
      </c>
      <c r="AH134" s="95">
        <f>'Draw Calc (Hidden)'!AE116</f>
        <v>0</v>
      </c>
      <c r="AI134" s="95">
        <f>'Draw Calc (Hidden)'!AF116</f>
        <v>0</v>
      </c>
      <c r="AJ134" s="95">
        <f>'Draw Calc (Hidden)'!AG116</f>
        <v>0</v>
      </c>
      <c r="AK134" s="95">
        <f>'Draw Calc (Hidden)'!AH116</f>
        <v>0</v>
      </c>
      <c r="AL134" s="95">
        <f>'Draw Calc (Hidden)'!AI116</f>
        <v>0</v>
      </c>
      <c r="AM134" s="95">
        <f>'Draw Calc (Hidden)'!AJ116</f>
        <v>0</v>
      </c>
      <c r="AN134" s="95">
        <f>'Draw Calc (Hidden)'!AK116</f>
        <v>0</v>
      </c>
      <c r="AO134" s="95">
        <f>'Draw Calc (Hidden)'!AL116</f>
        <v>0</v>
      </c>
    </row>
    <row r="135" spans="1:41" ht="15" customHeight="1" x14ac:dyDescent="0.2">
      <c r="A135" s="94" t="str">
        <f>'I_Budget Input Data'!B117</f>
        <v>3. HARD COSTS</v>
      </c>
      <c r="B135" s="94">
        <f>'I_Budget Input Data'!C117</f>
        <v>0</v>
      </c>
      <c r="C135" s="95">
        <f>'I_Budget Input Data'!D117</f>
        <v>102000</v>
      </c>
      <c r="D135" s="95">
        <f t="shared" si="6"/>
        <v>101999.99999999999</v>
      </c>
      <c r="E135" s="95">
        <f t="shared" si="7"/>
        <v>0</v>
      </c>
      <c r="F135" s="95">
        <f>'Draw Calc (Hidden)'!C117</f>
        <v>7846.1538461538457</v>
      </c>
      <c r="G135" s="95">
        <f>'Draw Calc (Hidden)'!D117</f>
        <v>7846.1538461538457</v>
      </c>
      <c r="H135" s="95">
        <f>'Draw Calc (Hidden)'!E117</f>
        <v>7846.1538461538457</v>
      </c>
      <c r="I135" s="95">
        <f>'Draw Calc (Hidden)'!F117</f>
        <v>7846.1538461538457</v>
      </c>
      <c r="J135" s="95">
        <f>'Draw Calc (Hidden)'!G117</f>
        <v>7846.1538461538457</v>
      </c>
      <c r="K135" s="95">
        <f>'Draw Calc (Hidden)'!H117</f>
        <v>7846.1538461538457</v>
      </c>
      <c r="L135" s="95">
        <f>'Draw Calc (Hidden)'!I117</f>
        <v>7846.1538461538457</v>
      </c>
      <c r="M135" s="95">
        <f>'Draw Calc (Hidden)'!J117</f>
        <v>7846.1538461538457</v>
      </c>
      <c r="N135" s="95">
        <f>'Draw Calc (Hidden)'!K117</f>
        <v>7846.1538461538457</v>
      </c>
      <c r="O135" s="95">
        <f>'Draw Calc (Hidden)'!L117</f>
        <v>7846.1538461538457</v>
      </c>
      <c r="P135" s="95">
        <f>'Draw Calc (Hidden)'!M117</f>
        <v>7846.1538461538457</v>
      </c>
      <c r="Q135" s="95">
        <f>'Draw Calc (Hidden)'!N117</f>
        <v>7846.1538461538457</v>
      </c>
      <c r="R135" s="95">
        <f>'Draw Calc (Hidden)'!O117</f>
        <v>7846.1538461538457</v>
      </c>
      <c r="S135" s="95">
        <f>'Draw Calc (Hidden)'!P117</f>
        <v>0</v>
      </c>
      <c r="T135" s="95">
        <f>'Draw Calc (Hidden)'!Q117</f>
        <v>0</v>
      </c>
      <c r="U135" s="95">
        <f>'Draw Calc (Hidden)'!R117</f>
        <v>0</v>
      </c>
      <c r="V135" s="95">
        <f>'Draw Calc (Hidden)'!S117</f>
        <v>0</v>
      </c>
      <c r="W135" s="95">
        <f>'Draw Calc (Hidden)'!T117</f>
        <v>0</v>
      </c>
      <c r="X135" s="95">
        <f>'Draw Calc (Hidden)'!U117</f>
        <v>0</v>
      </c>
      <c r="Y135" s="95">
        <f>'Draw Calc (Hidden)'!V117</f>
        <v>0</v>
      </c>
      <c r="Z135" s="95">
        <f>'Draw Calc (Hidden)'!W117</f>
        <v>0</v>
      </c>
      <c r="AA135" s="95">
        <f>'Draw Calc (Hidden)'!X117</f>
        <v>0</v>
      </c>
      <c r="AB135" s="95">
        <f>'Draw Calc (Hidden)'!Y117</f>
        <v>0</v>
      </c>
      <c r="AC135" s="95">
        <f>'Draw Calc (Hidden)'!Z117</f>
        <v>0</v>
      </c>
      <c r="AD135" s="95">
        <f>'Draw Calc (Hidden)'!AA117</f>
        <v>0</v>
      </c>
      <c r="AE135" s="95">
        <f>'Draw Calc (Hidden)'!AB117</f>
        <v>0</v>
      </c>
      <c r="AF135" s="95">
        <f>'Draw Calc (Hidden)'!AC117</f>
        <v>0</v>
      </c>
      <c r="AG135" s="95">
        <f>'Draw Calc (Hidden)'!AD117</f>
        <v>0</v>
      </c>
      <c r="AH135" s="95">
        <f>'Draw Calc (Hidden)'!AE117</f>
        <v>0</v>
      </c>
      <c r="AI135" s="95">
        <f>'Draw Calc (Hidden)'!AF117</f>
        <v>0</v>
      </c>
      <c r="AJ135" s="95">
        <f>'Draw Calc (Hidden)'!AG117</f>
        <v>0</v>
      </c>
      <c r="AK135" s="95">
        <f>'Draw Calc (Hidden)'!AH117</f>
        <v>0</v>
      </c>
      <c r="AL135" s="95">
        <f>'Draw Calc (Hidden)'!AI117</f>
        <v>0</v>
      </c>
      <c r="AM135" s="95">
        <f>'Draw Calc (Hidden)'!AJ117</f>
        <v>0</v>
      </c>
      <c r="AN135" s="95">
        <f>'Draw Calc (Hidden)'!AK117</f>
        <v>0</v>
      </c>
      <c r="AO135" s="95">
        <f>'Draw Calc (Hidden)'!AL117</f>
        <v>0</v>
      </c>
    </row>
    <row r="136" spans="1:41" ht="15" customHeight="1" x14ac:dyDescent="0.2">
      <c r="A136" s="94" t="str">
        <f>'I_Budget Input Data'!B118</f>
        <v>3. HARD COSTS</v>
      </c>
      <c r="B136" s="94">
        <f>'I_Budget Input Data'!C118</f>
        <v>0</v>
      </c>
      <c r="C136" s="95">
        <f>'I_Budget Input Data'!D118</f>
        <v>0</v>
      </c>
      <c r="D136" s="95">
        <f t="shared" si="6"/>
        <v>0</v>
      </c>
      <c r="E136" s="95">
        <f t="shared" si="7"/>
        <v>0</v>
      </c>
      <c r="F136" s="95">
        <f>'Draw Calc (Hidden)'!C118</f>
        <v>0</v>
      </c>
      <c r="G136" s="95">
        <f>'Draw Calc (Hidden)'!D118</f>
        <v>0</v>
      </c>
      <c r="H136" s="95">
        <f>'Draw Calc (Hidden)'!E118</f>
        <v>0</v>
      </c>
      <c r="I136" s="95">
        <f>'Draw Calc (Hidden)'!F118</f>
        <v>0</v>
      </c>
      <c r="J136" s="95">
        <f>'Draw Calc (Hidden)'!G118</f>
        <v>0</v>
      </c>
      <c r="K136" s="95">
        <f>'Draw Calc (Hidden)'!H118</f>
        <v>0</v>
      </c>
      <c r="L136" s="95">
        <f>'Draw Calc (Hidden)'!I118</f>
        <v>0</v>
      </c>
      <c r="M136" s="95">
        <f>'Draw Calc (Hidden)'!J118</f>
        <v>0</v>
      </c>
      <c r="N136" s="95">
        <f>'Draw Calc (Hidden)'!K118</f>
        <v>0</v>
      </c>
      <c r="O136" s="95">
        <f>'Draw Calc (Hidden)'!L118</f>
        <v>0</v>
      </c>
      <c r="P136" s="95">
        <f>'Draw Calc (Hidden)'!M118</f>
        <v>0</v>
      </c>
      <c r="Q136" s="95">
        <f>'Draw Calc (Hidden)'!N118</f>
        <v>0</v>
      </c>
      <c r="R136" s="95">
        <f>'Draw Calc (Hidden)'!O118</f>
        <v>0</v>
      </c>
      <c r="S136" s="95">
        <f>'Draw Calc (Hidden)'!P118</f>
        <v>0</v>
      </c>
      <c r="T136" s="95">
        <f>'Draw Calc (Hidden)'!Q118</f>
        <v>0</v>
      </c>
      <c r="U136" s="95">
        <f>'Draw Calc (Hidden)'!R118</f>
        <v>0</v>
      </c>
      <c r="V136" s="95">
        <f>'Draw Calc (Hidden)'!S118</f>
        <v>0</v>
      </c>
      <c r="W136" s="95">
        <f>'Draw Calc (Hidden)'!T118</f>
        <v>0</v>
      </c>
      <c r="X136" s="95">
        <f>'Draw Calc (Hidden)'!U118</f>
        <v>0</v>
      </c>
      <c r="Y136" s="95">
        <f>'Draw Calc (Hidden)'!V118</f>
        <v>0</v>
      </c>
      <c r="Z136" s="95">
        <f>'Draw Calc (Hidden)'!W118</f>
        <v>0</v>
      </c>
      <c r="AA136" s="95">
        <f>'Draw Calc (Hidden)'!X118</f>
        <v>0</v>
      </c>
      <c r="AB136" s="95">
        <f>'Draw Calc (Hidden)'!Y118</f>
        <v>0</v>
      </c>
      <c r="AC136" s="95">
        <f>'Draw Calc (Hidden)'!Z118</f>
        <v>0</v>
      </c>
      <c r="AD136" s="95">
        <f>'Draw Calc (Hidden)'!AA118</f>
        <v>0</v>
      </c>
      <c r="AE136" s="95">
        <f>'Draw Calc (Hidden)'!AB118</f>
        <v>0</v>
      </c>
      <c r="AF136" s="95">
        <f>'Draw Calc (Hidden)'!AC118</f>
        <v>0</v>
      </c>
      <c r="AG136" s="95">
        <f>'Draw Calc (Hidden)'!AD118</f>
        <v>0</v>
      </c>
      <c r="AH136" s="95">
        <f>'Draw Calc (Hidden)'!AE118</f>
        <v>0</v>
      </c>
      <c r="AI136" s="95">
        <f>'Draw Calc (Hidden)'!AF118</f>
        <v>0</v>
      </c>
      <c r="AJ136" s="95">
        <f>'Draw Calc (Hidden)'!AG118</f>
        <v>0</v>
      </c>
      <c r="AK136" s="95">
        <f>'Draw Calc (Hidden)'!AH118</f>
        <v>0</v>
      </c>
      <c r="AL136" s="95">
        <f>'Draw Calc (Hidden)'!AI118</f>
        <v>0</v>
      </c>
      <c r="AM136" s="95">
        <f>'Draw Calc (Hidden)'!AJ118</f>
        <v>0</v>
      </c>
      <c r="AN136" s="95">
        <f>'Draw Calc (Hidden)'!AK118</f>
        <v>0</v>
      </c>
      <c r="AO136" s="95">
        <f>'Draw Calc (Hidden)'!AL118</f>
        <v>0</v>
      </c>
    </row>
    <row r="137" spans="1:41" ht="15" customHeight="1" x14ac:dyDescent="0.2">
      <c r="A137" s="94" t="str">
        <f>'I_Budget Input Data'!B119</f>
        <v>3. HARD COSTS</v>
      </c>
      <c r="B137" s="94" t="str">
        <f>'I_Budget Input Data'!C119</f>
        <v>Railings:Foot grilles</v>
      </c>
      <c r="C137" s="95">
        <f>'I_Budget Input Data'!D119</f>
        <v>0</v>
      </c>
      <c r="D137" s="95">
        <f t="shared" si="6"/>
        <v>0</v>
      </c>
      <c r="E137" s="95">
        <f t="shared" si="7"/>
        <v>0</v>
      </c>
      <c r="F137" s="95">
        <f>'Draw Calc (Hidden)'!C119</f>
        <v>0</v>
      </c>
      <c r="G137" s="95">
        <f>'Draw Calc (Hidden)'!D119</f>
        <v>0</v>
      </c>
      <c r="H137" s="95">
        <f>'Draw Calc (Hidden)'!E119</f>
        <v>0</v>
      </c>
      <c r="I137" s="95">
        <f>'Draw Calc (Hidden)'!F119</f>
        <v>0</v>
      </c>
      <c r="J137" s="95">
        <f>'Draw Calc (Hidden)'!G119</f>
        <v>0</v>
      </c>
      <c r="K137" s="95">
        <f>'Draw Calc (Hidden)'!H119</f>
        <v>0</v>
      </c>
      <c r="L137" s="95">
        <f>'Draw Calc (Hidden)'!I119</f>
        <v>0</v>
      </c>
      <c r="M137" s="95">
        <f>'Draw Calc (Hidden)'!J119</f>
        <v>0</v>
      </c>
      <c r="N137" s="95">
        <f>'Draw Calc (Hidden)'!K119</f>
        <v>0</v>
      </c>
      <c r="O137" s="95">
        <f>'Draw Calc (Hidden)'!L119</f>
        <v>0</v>
      </c>
      <c r="P137" s="95">
        <f>'Draw Calc (Hidden)'!M119</f>
        <v>0</v>
      </c>
      <c r="Q137" s="95">
        <f>'Draw Calc (Hidden)'!N119</f>
        <v>0</v>
      </c>
      <c r="R137" s="95">
        <f>'Draw Calc (Hidden)'!O119</f>
        <v>0</v>
      </c>
      <c r="S137" s="95">
        <f>'Draw Calc (Hidden)'!P119</f>
        <v>0</v>
      </c>
      <c r="T137" s="95">
        <f>'Draw Calc (Hidden)'!Q119</f>
        <v>0</v>
      </c>
      <c r="U137" s="95">
        <f>'Draw Calc (Hidden)'!R119</f>
        <v>0</v>
      </c>
      <c r="V137" s="95">
        <f>'Draw Calc (Hidden)'!S119</f>
        <v>0</v>
      </c>
      <c r="W137" s="95">
        <f>'Draw Calc (Hidden)'!T119</f>
        <v>0</v>
      </c>
      <c r="X137" s="95">
        <f>'Draw Calc (Hidden)'!U119</f>
        <v>0</v>
      </c>
      <c r="Y137" s="95">
        <f>'Draw Calc (Hidden)'!V119</f>
        <v>0</v>
      </c>
      <c r="Z137" s="95">
        <f>'Draw Calc (Hidden)'!W119</f>
        <v>0</v>
      </c>
      <c r="AA137" s="95">
        <f>'Draw Calc (Hidden)'!X119</f>
        <v>0</v>
      </c>
      <c r="AB137" s="95">
        <f>'Draw Calc (Hidden)'!Y119</f>
        <v>0</v>
      </c>
      <c r="AC137" s="95">
        <f>'Draw Calc (Hidden)'!Z119</f>
        <v>0</v>
      </c>
      <c r="AD137" s="95">
        <f>'Draw Calc (Hidden)'!AA119</f>
        <v>0</v>
      </c>
      <c r="AE137" s="95">
        <f>'Draw Calc (Hidden)'!AB119</f>
        <v>0</v>
      </c>
      <c r="AF137" s="95">
        <f>'Draw Calc (Hidden)'!AC119</f>
        <v>0</v>
      </c>
      <c r="AG137" s="95">
        <f>'Draw Calc (Hidden)'!AD119</f>
        <v>0</v>
      </c>
      <c r="AH137" s="95">
        <f>'Draw Calc (Hidden)'!AE119</f>
        <v>0</v>
      </c>
      <c r="AI137" s="95">
        <f>'Draw Calc (Hidden)'!AF119</f>
        <v>0</v>
      </c>
      <c r="AJ137" s="95">
        <f>'Draw Calc (Hidden)'!AG119</f>
        <v>0</v>
      </c>
      <c r="AK137" s="95">
        <f>'Draw Calc (Hidden)'!AH119</f>
        <v>0</v>
      </c>
      <c r="AL137" s="95">
        <f>'Draw Calc (Hidden)'!AI119</f>
        <v>0</v>
      </c>
      <c r="AM137" s="95">
        <f>'Draw Calc (Hidden)'!AJ119</f>
        <v>0</v>
      </c>
      <c r="AN137" s="95">
        <f>'Draw Calc (Hidden)'!AK119</f>
        <v>0</v>
      </c>
      <c r="AO137" s="95">
        <f>'Draw Calc (Hidden)'!AL119</f>
        <v>0</v>
      </c>
    </row>
    <row r="138" spans="1:41" ht="15" customHeight="1" x14ac:dyDescent="0.2">
      <c r="A138" s="94" t="str">
        <f>'I_Budget Input Data'!B120</f>
        <v>3. HARD COSTS</v>
      </c>
      <c r="B138" s="94" t="str">
        <f>'I_Budget Input Data'!C120</f>
        <v>Railings:Interior signage</v>
      </c>
      <c r="C138" s="95">
        <f>'I_Budget Input Data'!D120</f>
        <v>15300</v>
      </c>
      <c r="D138" s="95">
        <f t="shared" si="6"/>
        <v>15535.384615384613</v>
      </c>
      <c r="E138" s="95">
        <f t="shared" si="7"/>
        <v>-235.38461538461343</v>
      </c>
      <c r="F138" s="95">
        <f>'Draw Calc (Hidden)'!C120</f>
        <v>941.53846153846155</v>
      </c>
      <c r="G138" s="95">
        <f>'Draw Calc (Hidden)'!D120</f>
        <v>941.53846153846155</v>
      </c>
      <c r="H138" s="95">
        <f>'Draw Calc (Hidden)'!E120</f>
        <v>941.53846153846155</v>
      </c>
      <c r="I138" s="95">
        <f>'Draw Calc (Hidden)'!F120</f>
        <v>941.53846153846155</v>
      </c>
      <c r="J138" s="95">
        <f>'Draw Calc (Hidden)'!G120</f>
        <v>941.53846153846155</v>
      </c>
      <c r="K138" s="95">
        <f>'Draw Calc (Hidden)'!H120</f>
        <v>941.53846153846155</v>
      </c>
      <c r="L138" s="95">
        <f>'Draw Calc (Hidden)'!I120</f>
        <v>1412.3076923076924</v>
      </c>
      <c r="M138" s="95">
        <f>'Draw Calc (Hidden)'!J120</f>
        <v>1412.3076923076924</v>
      </c>
      <c r="N138" s="95">
        <f>'Draw Calc (Hidden)'!K120</f>
        <v>1412.3076923076924</v>
      </c>
      <c r="O138" s="95">
        <f>'Draw Calc (Hidden)'!L120</f>
        <v>1412.3076923076924</v>
      </c>
      <c r="P138" s="95">
        <f>'Draw Calc (Hidden)'!M120</f>
        <v>1412.3076923076924</v>
      </c>
      <c r="Q138" s="95">
        <f>'Draw Calc (Hidden)'!N120</f>
        <v>1412.3076923076924</v>
      </c>
      <c r="R138" s="95">
        <f>'Draw Calc (Hidden)'!O120</f>
        <v>1412.3076923076924</v>
      </c>
      <c r="S138" s="95">
        <f>'Draw Calc (Hidden)'!P120</f>
        <v>0</v>
      </c>
      <c r="T138" s="95">
        <f>'Draw Calc (Hidden)'!Q120</f>
        <v>0</v>
      </c>
      <c r="U138" s="95">
        <f>'Draw Calc (Hidden)'!R120</f>
        <v>0</v>
      </c>
      <c r="V138" s="95">
        <f>'Draw Calc (Hidden)'!S120</f>
        <v>0</v>
      </c>
      <c r="W138" s="95">
        <f>'Draw Calc (Hidden)'!T120</f>
        <v>0</v>
      </c>
      <c r="X138" s="95">
        <f>'Draw Calc (Hidden)'!U120</f>
        <v>0</v>
      </c>
      <c r="Y138" s="95">
        <f>'Draw Calc (Hidden)'!V120</f>
        <v>0</v>
      </c>
      <c r="Z138" s="95">
        <f>'Draw Calc (Hidden)'!W120</f>
        <v>0</v>
      </c>
      <c r="AA138" s="95">
        <f>'Draw Calc (Hidden)'!X120</f>
        <v>0</v>
      </c>
      <c r="AB138" s="95">
        <f>'Draw Calc (Hidden)'!Y120</f>
        <v>0</v>
      </c>
      <c r="AC138" s="95">
        <f>'Draw Calc (Hidden)'!Z120</f>
        <v>0</v>
      </c>
      <c r="AD138" s="95">
        <f>'Draw Calc (Hidden)'!AA120</f>
        <v>0</v>
      </c>
      <c r="AE138" s="95">
        <f>'Draw Calc (Hidden)'!AB120</f>
        <v>0</v>
      </c>
      <c r="AF138" s="95">
        <f>'Draw Calc (Hidden)'!AC120</f>
        <v>0</v>
      </c>
      <c r="AG138" s="95">
        <f>'Draw Calc (Hidden)'!AD120</f>
        <v>0</v>
      </c>
      <c r="AH138" s="95">
        <f>'Draw Calc (Hidden)'!AE120</f>
        <v>0</v>
      </c>
      <c r="AI138" s="95">
        <f>'Draw Calc (Hidden)'!AF120</f>
        <v>0</v>
      </c>
      <c r="AJ138" s="95">
        <f>'Draw Calc (Hidden)'!AG120</f>
        <v>0</v>
      </c>
      <c r="AK138" s="95">
        <f>'Draw Calc (Hidden)'!AH120</f>
        <v>0</v>
      </c>
      <c r="AL138" s="95">
        <f>'Draw Calc (Hidden)'!AI120</f>
        <v>0</v>
      </c>
      <c r="AM138" s="95">
        <f>'Draw Calc (Hidden)'!AJ120</f>
        <v>0</v>
      </c>
      <c r="AN138" s="95">
        <f>'Draw Calc (Hidden)'!AK120</f>
        <v>0</v>
      </c>
      <c r="AO138" s="95">
        <f>'Draw Calc (Hidden)'!AL120</f>
        <v>0</v>
      </c>
    </row>
    <row r="139" spans="1:41" ht="15" customHeight="1" x14ac:dyDescent="0.2">
      <c r="A139" s="94" t="str">
        <f>'I_Budget Input Data'!B121</f>
        <v>3. HARD COSTS</v>
      </c>
      <c r="B139" s="94" t="str">
        <f>'I_Budget Input Data'!C121</f>
        <v>Railings:WC acccessories</v>
      </c>
      <c r="C139" s="95">
        <f>'I_Budget Input Data'!D121</f>
        <v>25750</v>
      </c>
      <c r="D139" s="95">
        <f t="shared" si="6"/>
        <v>25750</v>
      </c>
      <c r="E139" s="95">
        <f t="shared" si="7"/>
        <v>0</v>
      </c>
      <c r="F139" s="95">
        <f>'Draw Calc (Hidden)'!C121</f>
        <v>1980.7692307692307</v>
      </c>
      <c r="G139" s="95">
        <f>'Draw Calc (Hidden)'!D121</f>
        <v>1980.7692307692307</v>
      </c>
      <c r="H139" s="95">
        <f>'Draw Calc (Hidden)'!E121</f>
        <v>1980.7692307692307</v>
      </c>
      <c r="I139" s="95">
        <f>'Draw Calc (Hidden)'!F121</f>
        <v>1980.7692307692307</v>
      </c>
      <c r="J139" s="95">
        <f>'Draw Calc (Hidden)'!G121</f>
        <v>1980.7692307692307</v>
      </c>
      <c r="K139" s="95">
        <f>'Draw Calc (Hidden)'!H121</f>
        <v>1980.7692307692307</v>
      </c>
      <c r="L139" s="95">
        <f>'Draw Calc (Hidden)'!I121</f>
        <v>1980.7692307692307</v>
      </c>
      <c r="M139" s="95">
        <f>'Draw Calc (Hidden)'!J121</f>
        <v>1980.7692307692307</v>
      </c>
      <c r="N139" s="95">
        <f>'Draw Calc (Hidden)'!K121</f>
        <v>1980.7692307692307</v>
      </c>
      <c r="O139" s="95">
        <f>'Draw Calc (Hidden)'!L121</f>
        <v>1980.7692307692307</v>
      </c>
      <c r="P139" s="95">
        <f>'Draw Calc (Hidden)'!M121</f>
        <v>1980.7692307692307</v>
      </c>
      <c r="Q139" s="95">
        <f>'Draw Calc (Hidden)'!N121</f>
        <v>1980.7692307692307</v>
      </c>
      <c r="R139" s="95">
        <f>'Draw Calc (Hidden)'!O121</f>
        <v>1980.7692307692307</v>
      </c>
      <c r="S139" s="95">
        <f>'Draw Calc (Hidden)'!P121</f>
        <v>0</v>
      </c>
      <c r="T139" s="95">
        <f>'Draw Calc (Hidden)'!Q121</f>
        <v>0</v>
      </c>
      <c r="U139" s="95">
        <f>'Draw Calc (Hidden)'!R121</f>
        <v>0</v>
      </c>
      <c r="V139" s="95">
        <f>'Draw Calc (Hidden)'!S121</f>
        <v>0</v>
      </c>
      <c r="W139" s="95">
        <f>'Draw Calc (Hidden)'!T121</f>
        <v>0</v>
      </c>
      <c r="X139" s="95">
        <f>'Draw Calc (Hidden)'!U121</f>
        <v>0</v>
      </c>
      <c r="Y139" s="95">
        <f>'Draw Calc (Hidden)'!V121</f>
        <v>0</v>
      </c>
      <c r="Z139" s="95">
        <f>'Draw Calc (Hidden)'!W121</f>
        <v>0</v>
      </c>
      <c r="AA139" s="95">
        <f>'Draw Calc (Hidden)'!X121</f>
        <v>0</v>
      </c>
      <c r="AB139" s="95">
        <f>'Draw Calc (Hidden)'!Y121</f>
        <v>0</v>
      </c>
      <c r="AC139" s="95">
        <f>'Draw Calc (Hidden)'!Z121</f>
        <v>0</v>
      </c>
      <c r="AD139" s="95">
        <f>'Draw Calc (Hidden)'!AA121</f>
        <v>0</v>
      </c>
      <c r="AE139" s="95">
        <f>'Draw Calc (Hidden)'!AB121</f>
        <v>0</v>
      </c>
      <c r="AF139" s="95">
        <f>'Draw Calc (Hidden)'!AC121</f>
        <v>0</v>
      </c>
      <c r="AG139" s="95">
        <f>'Draw Calc (Hidden)'!AD121</f>
        <v>0</v>
      </c>
      <c r="AH139" s="95">
        <f>'Draw Calc (Hidden)'!AE121</f>
        <v>0</v>
      </c>
      <c r="AI139" s="95">
        <f>'Draw Calc (Hidden)'!AF121</f>
        <v>0</v>
      </c>
      <c r="AJ139" s="95">
        <f>'Draw Calc (Hidden)'!AG121</f>
        <v>0</v>
      </c>
      <c r="AK139" s="95">
        <f>'Draw Calc (Hidden)'!AH121</f>
        <v>0</v>
      </c>
      <c r="AL139" s="95">
        <f>'Draw Calc (Hidden)'!AI121</f>
        <v>0</v>
      </c>
      <c r="AM139" s="95">
        <f>'Draw Calc (Hidden)'!AJ121</f>
        <v>0</v>
      </c>
      <c r="AN139" s="95">
        <f>'Draw Calc (Hidden)'!AK121</f>
        <v>0</v>
      </c>
      <c r="AO139" s="95">
        <f>'Draw Calc (Hidden)'!AL121</f>
        <v>0</v>
      </c>
    </row>
    <row r="140" spans="1:41" ht="15" customHeight="1" x14ac:dyDescent="0.2">
      <c r="A140" s="94" t="str">
        <f>'I_Budget Input Data'!B122</f>
        <v>3. HARD COSTS</v>
      </c>
      <c r="B140" s="94" t="str">
        <f>'I_Budget Input Data'!C122</f>
        <v>Plumbing:Plumbing (Rough S/I; Finish I/O)</v>
      </c>
      <c r="C140" s="95">
        <f>'I_Budget Input Data'!D122</f>
        <v>1643900</v>
      </c>
      <c r="D140" s="95">
        <f t="shared" si="6"/>
        <v>1618609.230769231</v>
      </c>
      <c r="E140" s="95">
        <f t="shared" si="7"/>
        <v>25290.769230769016</v>
      </c>
      <c r="F140" s="95">
        <f>'Draw Calc (Hidden)'!C122</f>
        <v>101163.07692307692</v>
      </c>
      <c r="G140" s="95">
        <f>'Draw Calc (Hidden)'!D122</f>
        <v>101163.07692307692</v>
      </c>
      <c r="H140" s="95">
        <f>'Draw Calc (Hidden)'!E122</f>
        <v>101163.07692307692</v>
      </c>
      <c r="I140" s="95">
        <f>'Draw Calc (Hidden)'!F122</f>
        <v>151744.61538461538</v>
      </c>
      <c r="J140" s="95">
        <f>'Draw Calc (Hidden)'!G122</f>
        <v>151744.61538461538</v>
      </c>
      <c r="K140" s="95">
        <f>'Draw Calc (Hidden)'!H122</f>
        <v>151744.61538461538</v>
      </c>
      <c r="L140" s="95">
        <f>'Draw Calc (Hidden)'!I122</f>
        <v>151744.61538461538</v>
      </c>
      <c r="M140" s="95">
        <f>'Draw Calc (Hidden)'!J122</f>
        <v>151744.61538461538</v>
      </c>
      <c r="N140" s="95">
        <f>'Draw Calc (Hidden)'!K122</f>
        <v>151744.61538461538</v>
      </c>
      <c r="O140" s="95">
        <f>'Draw Calc (Hidden)'!L122</f>
        <v>101163.07692307692</v>
      </c>
      <c r="P140" s="95">
        <f>'Draw Calc (Hidden)'!M122</f>
        <v>101163.07692307692</v>
      </c>
      <c r="Q140" s="95">
        <f>'Draw Calc (Hidden)'!N122</f>
        <v>101163.07692307692</v>
      </c>
      <c r="R140" s="95">
        <f>'Draw Calc (Hidden)'!O122</f>
        <v>101163.07692307692</v>
      </c>
      <c r="S140" s="95">
        <f>'Draw Calc (Hidden)'!P122</f>
        <v>0</v>
      </c>
      <c r="T140" s="95">
        <f>'Draw Calc (Hidden)'!Q122</f>
        <v>0</v>
      </c>
      <c r="U140" s="95">
        <f>'Draw Calc (Hidden)'!R122</f>
        <v>0</v>
      </c>
      <c r="V140" s="95">
        <f>'Draw Calc (Hidden)'!S122</f>
        <v>0</v>
      </c>
      <c r="W140" s="95">
        <f>'Draw Calc (Hidden)'!T122</f>
        <v>0</v>
      </c>
      <c r="X140" s="95">
        <f>'Draw Calc (Hidden)'!U122</f>
        <v>0</v>
      </c>
      <c r="Y140" s="95">
        <f>'Draw Calc (Hidden)'!V122</f>
        <v>0</v>
      </c>
      <c r="Z140" s="95">
        <f>'Draw Calc (Hidden)'!W122</f>
        <v>0</v>
      </c>
      <c r="AA140" s="95">
        <f>'Draw Calc (Hidden)'!X122</f>
        <v>0</v>
      </c>
      <c r="AB140" s="95">
        <f>'Draw Calc (Hidden)'!Y122</f>
        <v>0</v>
      </c>
      <c r="AC140" s="95">
        <f>'Draw Calc (Hidden)'!Z122</f>
        <v>0</v>
      </c>
      <c r="AD140" s="95">
        <f>'Draw Calc (Hidden)'!AA122</f>
        <v>0</v>
      </c>
      <c r="AE140" s="95">
        <f>'Draw Calc (Hidden)'!AB122</f>
        <v>0</v>
      </c>
      <c r="AF140" s="95">
        <f>'Draw Calc (Hidden)'!AC122</f>
        <v>0</v>
      </c>
      <c r="AG140" s="95">
        <f>'Draw Calc (Hidden)'!AD122</f>
        <v>0</v>
      </c>
      <c r="AH140" s="95">
        <f>'Draw Calc (Hidden)'!AE122</f>
        <v>0</v>
      </c>
      <c r="AI140" s="95">
        <f>'Draw Calc (Hidden)'!AF122</f>
        <v>0</v>
      </c>
      <c r="AJ140" s="95">
        <f>'Draw Calc (Hidden)'!AG122</f>
        <v>0</v>
      </c>
      <c r="AK140" s="95">
        <f>'Draw Calc (Hidden)'!AH122</f>
        <v>0</v>
      </c>
      <c r="AL140" s="95">
        <f>'Draw Calc (Hidden)'!AI122</f>
        <v>0</v>
      </c>
      <c r="AM140" s="95">
        <f>'Draw Calc (Hidden)'!AJ122</f>
        <v>0</v>
      </c>
      <c r="AN140" s="95">
        <f>'Draw Calc (Hidden)'!AK122</f>
        <v>0</v>
      </c>
      <c r="AO140" s="95">
        <f>'Draw Calc (Hidden)'!AL122</f>
        <v>0</v>
      </c>
    </row>
    <row r="141" spans="1:41" ht="15" customHeight="1" x14ac:dyDescent="0.2">
      <c r="A141" s="94" t="str">
        <f>'I_Budget Input Data'!B123</f>
        <v>3. HARD COSTS</v>
      </c>
      <c r="B141" s="94" t="str">
        <f>'I_Budget Input Data'!C123</f>
        <v>Plumbing:Plumbing finishes (S) - Toilet, Shower</v>
      </c>
      <c r="C141" s="95">
        <f>'I_Budget Input Data'!D123</f>
        <v>377966</v>
      </c>
      <c r="D141" s="95">
        <f t="shared" si="6"/>
        <v>372151.13846153842</v>
      </c>
      <c r="E141" s="95">
        <f t="shared" si="7"/>
        <v>5814.8615384615841</v>
      </c>
      <c r="F141" s="95">
        <f>'Draw Calc (Hidden)'!C123</f>
        <v>23259.446153846155</v>
      </c>
      <c r="G141" s="95">
        <f>'Draw Calc (Hidden)'!D123</f>
        <v>23259.446153846155</v>
      </c>
      <c r="H141" s="95">
        <f>'Draw Calc (Hidden)'!E123</f>
        <v>23259.446153846155</v>
      </c>
      <c r="I141" s="95">
        <f>'Draw Calc (Hidden)'!F123</f>
        <v>34889.169230769228</v>
      </c>
      <c r="J141" s="95">
        <f>'Draw Calc (Hidden)'!G123</f>
        <v>34889.169230769228</v>
      </c>
      <c r="K141" s="95">
        <f>'Draw Calc (Hidden)'!H123</f>
        <v>34889.169230769228</v>
      </c>
      <c r="L141" s="95">
        <f>'Draw Calc (Hidden)'!I123</f>
        <v>34889.169230769228</v>
      </c>
      <c r="M141" s="95">
        <f>'Draw Calc (Hidden)'!J123</f>
        <v>34889.169230769228</v>
      </c>
      <c r="N141" s="95">
        <f>'Draw Calc (Hidden)'!K123</f>
        <v>34889.169230769228</v>
      </c>
      <c r="O141" s="95">
        <f>'Draw Calc (Hidden)'!L123</f>
        <v>23259.446153846155</v>
      </c>
      <c r="P141" s="95">
        <f>'Draw Calc (Hidden)'!M123</f>
        <v>23259.446153846155</v>
      </c>
      <c r="Q141" s="95">
        <f>'Draw Calc (Hidden)'!N123</f>
        <v>23259.446153846155</v>
      </c>
      <c r="R141" s="95">
        <f>'Draw Calc (Hidden)'!O123</f>
        <v>23259.446153846155</v>
      </c>
      <c r="S141" s="95">
        <f>'Draw Calc (Hidden)'!P123</f>
        <v>0</v>
      </c>
      <c r="T141" s="95">
        <f>'Draw Calc (Hidden)'!Q123</f>
        <v>0</v>
      </c>
      <c r="U141" s="95">
        <f>'Draw Calc (Hidden)'!R123</f>
        <v>0</v>
      </c>
      <c r="V141" s="95">
        <f>'Draw Calc (Hidden)'!S123</f>
        <v>0</v>
      </c>
      <c r="W141" s="95">
        <f>'Draw Calc (Hidden)'!T123</f>
        <v>0</v>
      </c>
      <c r="X141" s="95">
        <f>'Draw Calc (Hidden)'!U123</f>
        <v>0</v>
      </c>
      <c r="Y141" s="95">
        <f>'Draw Calc (Hidden)'!V123</f>
        <v>0</v>
      </c>
      <c r="Z141" s="95">
        <f>'Draw Calc (Hidden)'!W123</f>
        <v>0</v>
      </c>
      <c r="AA141" s="95">
        <f>'Draw Calc (Hidden)'!X123</f>
        <v>0</v>
      </c>
      <c r="AB141" s="95">
        <f>'Draw Calc (Hidden)'!Y123</f>
        <v>0</v>
      </c>
      <c r="AC141" s="95">
        <f>'Draw Calc (Hidden)'!Z123</f>
        <v>0</v>
      </c>
      <c r="AD141" s="95">
        <f>'Draw Calc (Hidden)'!AA123</f>
        <v>0</v>
      </c>
      <c r="AE141" s="95">
        <f>'Draw Calc (Hidden)'!AB123</f>
        <v>0</v>
      </c>
      <c r="AF141" s="95">
        <f>'Draw Calc (Hidden)'!AC123</f>
        <v>0</v>
      </c>
      <c r="AG141" s="95">
        <f>'Draw Calc (Hidden)'!AD123</f>
        <v>0</v>
      </c>
      <c r="AH141" s="95">
        <f>'Draw Calc (Hidden)'!AE123</f>
        <v>0</v>
      </c>
      <c r="AI141" s="95">
        <f>'Draw Calc (Hidden)'!AF123</f>
        <v>0</v>
      </c>
      <c r="AJ141" s="95">
        <f>'Draw Calc (Hidden)'!AG123</f>
        <v>0</v>
      </c>
      <c r="AK141" s="95">
        <f>'Draw Calc (Hidden)'!AH123</f>
        <v>0</v>
      </c>
      <c r="AL141" s="95">
        <f>'Draw Calc (Hidden)'!AI123</f>
        <v>0</v>
      </c>
      <c r="AM141" s="95">
        <f>'Draw Calc (Hidden)'!AJ123</f>
        <v>0</v>
      </c>
      <c r="AN141" s="95">
        <f>'Draw Calc (Hidden)'!AK123</f>
        <v>0</v>
      </c>
      <c r="AO141" s="95">
        <f>'Draw Calc (Hidden)'!AL123</f>
        <v>0</v>
      </c>
    </row>
    <row r="142" spans="1:41" ht="15" customHeight="1" x14ac:dyDescent="0.2">
      <c r="A142" s="94" t="str">
        <f>'I_Budget Input Data'!B124</f>
        <v>3. HARD COSTS</v>
      </c>
      <c r="B142" s="94" t="str">
        <f>'I_Budget Input Data'!C124</f>
        <v>Fire protection:Extinguishers</v>
      </c>
      <c r="C142" s="95">
        <f>'I_Budget Input Data'!D124</f>
        <v>25500</v>
      </c>
      <c r="D142" s="95">
        <f t="shared" si="6"/>
        <v>25499.999999999996</v>
      </c>
      <c r="E142" s="95">
        <f t="shared" si="7"/>
        <v>0</v>
      </c>
      <c r="F142" s="95">
        <f>'Draw Calc (Hidden)'!C124</f>
        <v>1961.5384615384614</v>
      </c>
      <c r="G142" s="95">
        <f>'Draw Calc (Hidden)'!D124</f>
        <v>1961.5384615384614</v>
      </c>
      <c r="H142" s="95">
        <f>'Draw Calc (Hidden)'!E124</f>
        <v>1961.5384615384614</v>
      </c>
      <c r="I142" s="95">
        <f>'Draw Calc (Hidden)'!F124</f>
        <v>1961.5384615384614</v>
      </c>
      <c r="J142" s="95">
        <f>'Draw Calc (Hidden)'!G124</f>
        <v>1961.5384615384614</v>
      </c>
      <c r="K142" s="95">
        <f>'Draw Calc (Hidden)'!H124</f>
        <v>1961.5384615384614</v>
      </c>
      <c r="L142" s="95">
        <f>'Draw Calc (Hidden)'!I124</f>
        <v>1961.5384615384614</v>
      </c>
      <c r="M142" s="95">
        <f>'Draw Calc (Hidden)'!J124</f>
        <v>1961.5384615384614</v>
      </c>
      <c r="N142" s="95">
        <f>'Draw Calc (Hidden)'!K124</f>
        <v>1961.5384615384614</v>
      </c>
      <c r="O142" s="95">
        <f>'Draw Calc (Hidden)'!L124</f>
        <v>1961.5384615384614</v>
      </c>
      <c r="P142" s="95">
        <f>'Draw Calc (Hidden)'!M124</f>
        <v>1961.5384615384614</v>
      </c>
      <c r="Q142" s="95">
        <f>'Draw Calc (Hidden)'!N124</f>
        <v>1961.5384615384614</v>
      </c>
      <c r="R142" s="95">
        <f>'Draw Calc (Hidden)'!O124</f>
        <v>1961.5384615384614</v>
      </c>
      <c r="S142" s="95">
        <f>'Draw Calc (Hidden)'!P124</f>
        <v>0</v>
      </c>
      <c r="T142" s="95">
        <f>'Draw Calc (Hidden)'!Q124</f>
        <v>0</v>
      </c>
      <c r="U142" s="95">
        <f>'Draw Calc (Hidden)'!R124</f>
        <v>0</v>
      </c>
      <c r="V142" s="95">
        <f>'Draw Calc (Hidden)'!S124</f>
        <v>0</v>
      </c>
      <c r="W142" s="95">
        <f>'Draw Calc (Hidden)'!T124</f>
        <v>0</v>
      </c>
      <c r="X142" s="95">
        <f>'Draw Calc (Hidden)'!U124</f>
        <v>0</v>
      </c>
      <c r="Y142" s="95">
        <f>'Draw Calc (Hidden)'!V124</f>
        <v>0</v>
      </c>
      <c r="Z142" s="95">
        <f>'Draw Calc (Hidden)'!W124</f>
        <v>0</v>
      </c>
      <c r="AA142" s="95">
        <f>'Draw Calc (Hidden)'!X124</f>
        <v>0</v>
      </c>
      <c r="AB142" s="95">
        <f>'Draw Calc (Hidden)'!Y124</f>
        <v>0</v>
      </c>
      <c r="AC142" s="95">
        <f>'Draw Calc (Hidden)'!Z124</f>
        <v>0</v>
      </c>
      <c r="AD142" s="95">
        <f>'Draw Calc (Hidden)'!AA124</f>
        <v>0</v>
      </c>
      <c r="AE142" s="95">
        <f>'Draw Calc (Hidden)'!AB124</f>
        <v>0</v>
      </c>
      <c r="AF142" s="95">
        <f>'Draw Calc (Hidden)'!AC124</f>
        <v>0</v>
      </c>
      <c r="AG142" s="95">
        <f>'Draw Calc (Hidden)'!AD124</f>
        <v>0</v>
      </c>
      <c r="AH142" s="95">
        <f>'Draw Calc (Hidden)'!AE124</f>
        <v>0</v>
      </c>
      <c r="AI142" s="95">
        <f>'Draw Calc (Hidden)'!AF124</f>
        <v>0</v>
      </c>
      <c r="AJ142" s="95">
        <f>'Draw Calc (Hidden)'!AG124</f>
        <v>0</v>
      </c>
      <c r="AK142" s="95">
        <f>'Draw Calc (Hidden)'!AH124</f>
        <v>0</v>
      </c>
      <c r="AL142" s="95">
        <f>'Draw Calc (Hidden)'!AI124</f>
        <v>0</v>
      </c>
      <c r="AM142" s="95">
        <f>'Draw Calc (Hidden)'!AJ124</f>
        <v>0</v>
      </c>
      <c r="AN142" s="95">
        <f>'Draw Calc (Hidden)'!AK124</f>
        <v>0</v>
      </c>
      <c r="AO142" s="95">
        <f>'Draw Calc (Hidden)'!AL124</f>
        <v>0</v>
      </c>
    </row>
    <row r="143" spans="1:41" ht="15" customHeight="1" x14ac:dyDescent="0.2">
      <c r="A143" s="94" t="str">
        <f>'I_Budget Input Data'!B125</f>
        <v>3. HARD COSTS</v>
      </c>
      <c r="B143" s="94" t="str">
        <f>'I_Budget Input Data'!C125</f>
        <v>HVAC:HVAC</v>
      </c>
      <c r="C143" s="95">
        <f>'I_Budget Input Data'!D125</f>
        <v>790030</v>
      </c>
      <c r="D143" s="95">
        <f t="shared" si="6"/>
        <v>777875.69230769214</v>
      </c>
      <c r="E143" s="95">
        <f t="shared" si="7"/>
        <v>12154.307692307862</v>
      </c>
      <c r="F143" s="95">
        <f>'Draw Calc (Hidden)'!C125</f>
        <v>48617.230769230766</v>
      </c>
      <c r="G143" s="95">
        <f>'Draw Calc (Hidden)'!D125</f>
        <v>48617.230769230766</v>
      </c>
      <c r="H143" s="95">
        <f>'Draw Calc (Hidden)'!E125</f>
        <v>48617.230769230766</v>
      </c>
      <c r="I143" s="95">
        <f>'Draw Calc (Hidden)'!F125</f>
        <v>72925.846153846156</v>
      </c>
      <c r="J143" s="95">
        <f>'Draw Calc (Hidden)'!G125</f>
        <v>72925.846153846156</v>
      </c>
      <c r="K143" s="95">
        <f>'Draw Calc (Hidden)'!H125</f>
        <v>72925.846153846156</v>
      </c>
      <c r="L143" s="95">
        <f>'Draw Calc (Hidden)'!I125</f>
        <v>72925.846153846156</v>
      </c>
      <c r="M143" s="95">
        <f>'Draw Calc (Hidden)'!J125</f>
        <v>72925.846153846156</v>
      </c>
      <c r="N143" s="95">
        <f>'Draw Calc (Hidden)'!K125</f>
        <v>72925.846153846156</v>
      </c>
      <c r="O143" s="95">
        <f>'Draw Calc (Hidden)'!L125</f>
        <v>48617.230769230766</v>
      </c>
      <c r="P143" s="95">
        <f>'Draw Calc (Hidden)'!M125</f>
        <v>48617.230769230766</v>
      </c>
      <c r="Q143" s="95">
        <f>'Draw Calc (Hidden)'!N125</f>
        <v>48617.230769230766</v>
      </c>
      <c r="R143" s="95">
        <f>'Draw Calc (Hidden)'!O125</f>
        <v>48617.230769230766</v>
      </c>
      <c r="S143" s="95">
        <f>'Draw Calc (Hidden)'!P125</f>
        <v>0</v>
      </c>
      <c r="T143" s="95">
        <f>'Draw Calc (Hidden)'!Q125</f>
        <v>0</v>
      </c>
      <c r="U143" s="95">
        <f>'Draw Calc (Hidden)'!R125</f>
        <v>0</v>
      </c>
      <c r="V143" s="95">
        <f>'Draw Calc (Hidden)'!S125</f>
        <v>0</v>
      </c>
      <c r="W143" s="95">
        <f>'Draw Calc (Hidden)'!T125</f>
        <v>0</v>
      </c>
      <c r="X143" s="95">
        <f>'Draw Calc (Hidden)'!U125</f>
        <v>0</v>
      </c>
      <c r="Y143" s="95">
        <f>'Draw Calc (Hidden)'!V125</f>
        <v>0</v>
      </c>
      <c r="Z143" s="95">
        <f>'Draw Calc (Hidden)'!W125</f>
        <v>0</v>
      </c>
      <c r="AA143" s="95">
        <f>'Draw Calc (Hidden)'!X125</f>
        <v>0</v>
      </c>
      <c r="AB143" s="95">
        <f>'Draw Calc (Hidden)'!Y125</f>
        <v>0</v>
      </c>
      <c r="AC143" s="95">
        <f>'Draw Calc (Hidden)'!Z125</f>
        <v>0</v>
      </c>
      <c r="AD143" s="95">
        <f>'Draw Calc (Hidden)'!AA125</f>
        <v>0</v>
      </c>
      <c r="AE143" s="95">
        <f>'Draw Calc (Hidden)'!AB125</f>
        <v>0</v>
      </c>
      <c r="AF143" s="95">
        <f>'Draw Calc (Hidden)'!AC125</f>
        <v>0</v>
      </c>
      <c r="AG143" s="95">
        <f>'Draw Calc (Hidden)'!AD125</f>
        <v>0</v>
      </c>
      <c r="AH143" s="95">
        <f>'Draw Calc (Hidden)'!AE125</f>
        <v>0</v>
      </c>
      <c r="AI143" s="95">
        <f>'Draw Calc (Hidden)'!AF125</f>
        <v>0</v>
      </c>
      <c r="AJ143" s="95">
        <f>'Draw Calc (Hidden)'!AG125</f>
        <v>0</v>
      </c>
      <c r="AK143" s="95">
        <f>'Draw Calc (Hidden)'!AH125</f>
        <v>0</v>
      </c>
      <c r="AL143" s="95">
        <f>'Draw Calc (Hidden)'!AI125</f>
        <v>0</v>
      </c>
      <c r="AM143" s="95">
        <f>'Draw Calc (Hidden)'!AJ125</f>
        <v>0</v>
      </c>
      <c r="AN143" s="95">
        <f>'Draw Calc (Hidden)'!AK125</f>
        <v>0</v>
      </c>
      <c r="AO143" s="95">
        <f>'Draw Calc (Hidden)'!AL125</f>
        <v>0</v>
      </c>
    </row>
    <row r="144" spans="1:41" ht="15" customHeight="1" x14ac:dyDescent="0.2">
      <c r="A144" s="94" t="str">
        <f>'I_Budget Input Data'!B126</f>
        <v>3. HARD COSTS</v>
      </c>
      <c r="B144" s="94" t="str">
        <f>'I_Budget Input Data'!C126</f>
        <v>Electricity:Electricity</v>
      </c>
      <c r="C144" s="95">
        <f>'I_Budget Input Data'!D126</f>
        <v>1866337</v>
      </c>
      <c r="D144" s="95">
        <f t="shared" si="6"/>
        <v>1837624.1230769232</v>
      </c>
      <c r="E144" s="95">
        <f t="shared" si="7"/>
        <v>28712.876923076808</v>
      </c>
      <c r="F144" s="95">
        <f>'Draw Calc (Hidden)'!C126</f>
        <v>114851.5076923077</v>
      </c>
      <c r="G144" s="95">
        <f>'Draw Calc (Hidden)'!D126</f>
        <v>114851.5076923077</v>
      </c>
      <c r="H144" s="95">
        <f>'Draw Calc (Hidden)'!E126</f>
        <v>114851.5076923077</v>
      </c>
      <c r="I144" s="95">
        <f>'Draw Calc (Hidden)'!F126</f>
        <v>172277.26153846152</v>
      </c>
      <c r="J144" s="95">
        <f>'Draw Calc (Hidden)'!G126</f>
        <v>172277.26153846152</v>
      </c>
      <c r="K144" s="95">
        <f>'Draw Calc (Hidden)'!H126</f>
        <v>172277.26153846152</v>
      </c>
      <c r="L144" s="95">
        <f>'Draw Calc (Hidden)'!I126</f>
        <v>172277.26153846152</v>
      </c>
      <c r="M144" s="95">
        <f>'Draw Calc (Hidden)'!J126</f>
        <v>172277.26153846152</v>
      </c>
      <c r="N144" s="95">
        <f>'Draw Calc (Hidden)'!K126</f>
        <v>172277.26153846152</v>
      </c>
      <c r="O144" s="95">
        <f>'Draw Calc (Hidden)'!L126</f>
        <v>114851.5076923077</v>
      </c>
      <c r="P144" s="95">
        <f>'Draw Calc (Hidden)'!M126</f>
        <v>114851.5076923077</v>
      </c>
      <c r="Q144" s="95">
        <f>'Draw Calc (Hidden)'!N126</f>
        <v>114851.5076923077</v>
      </c>
      <c r="R144" s="95">
        <f>'Draw Calc (Hidden)'!O126</f>
        <v>114851.5076923077</v>
      </c>
      <c r="S144" s="95">
        <f>'Draw Calc (Hidden)'!P126</f>
        <v>0</v>
      </c>
      <c r="T144" s="95">
        <f>'Draw Calc (Hidden)'!Q126</f>
        <v>0</v>
      </c>
      <c r="U144" s="95">
        <f>'Draw Calc (Hidden)'!R126</f>
        <v>0</v>
      </c>
      <c r="V144" s="95">
        <f>'Draw Calc (Hidden)'!S126</f>
        <v>0</v>
      </c>
      <c r="W144" s="95">
        <f>'Draw Calc (Hidden)'!T126</f>
        <v>0</v>
      </c>
      <c r="X144" s="95">
        <f>'Draw Calc (Hidden)'!U126</f>
        <v>0</v>
      </c>
      <c r="Y144" s="95">
        <f>'Draw Calc (Hidden)'!V126</f>
        <v>0</v>
      </c>
      <c r="Z144" s="95">
        <f>'Draw Calc (Hidden)'!W126</f>
        <v>0</v>
      </c>
      <c r="AA144" s="95">
        <f>'Draw Calc (Hidden)'!X126</f>
        <v>0</v>
      </c>
      <c r="AB144" s="95">
        <f>'Draw Calc (Hidden)'!Y126</f>
        <v>0</v>
      </c>
      <c r="AC144" s="95">
        <f>'Draw Calc (Hidden)'!Z126</f>
        <v>0</v>
      </c>
      <c r="AD144" s="95">
        <f>'Draw Calc (Hidden)'!AA126</f>
        <v>0</v>
      </c>
      <c r="AE144" s="95">
        <f>'Draw Calc (Hidden)'!AB126</f>
        <v>0</v>
      </c>
      <c r="AF144" s="95">
        <f>'Draw Calc (Hidden)'!AC126</f>
        <v>0</v>
      </c>
      <c r="AG144" s="95">
        <f>'Draw Calc (Hidden)'!AD126</f>
        <v>0</v>
      </c>
      <c r="AH144" s="95">
        <f>'Draw Calc (Hidden)'!AE126</f>
        <v>0</v>
      </c>
      <c r="AI144" s="95">
        <f>'Draw Calc (Hidden)'!AF126</f>
        <v>0</v>
      </c>
      <c r="AJ144" s="95">
        <f>'Draw Calc (Hidden)'!AG126</f>
        <v>0</v>
      </c>
      <c r="AK144" s="95">
        <f>'Draw Calc (Hidden)'!AH126</f>
        <v>0</v>
      </c>
      <c r="AL144" s="95">
        <f>'Draw Calc (Hidden)'!AI126</f>
        <v>0</v>
      </c>
      <c r="AM144" s="95">
        <f>'Draw Calc (Hidden)'!AJ126</f>
        <v>0</v>
      </c>
      <c r="AN144" s="95">
        <f>'Draw Calc (Hidden)'!AK126</f>
        <v>0</v>
      </c>
      <c r="AO144" s="95">
        <f>'Draw Calc (Hidden)'!AL126</f>
        <v>0</v>
      </c>
    </row>
    <row r="145" spans="1:41" ht="15" customHeight="1" x14ac:dyDescent="0.2">
      <c r="A145" s="94" t="str">
        <f>'I_Budget Input Data'!B127</f>
        <v>3. HARD COSTS</v>
      </c>
      <c r="B145" s="94" t="str">
        <f>'I_Budget Input Data'!C127</f>
        <v>Electricity:Lighting allowance</v>
      </c>
      <c r="C145" s="95">
        <f>'I_Budget Input Data'!D127</f>
        <v>53300</v>
      </c>
      <c r="D145" s="95">
        <f t="shared" si="6"/>
        <v>52480</v>
      </c>
      <c r="E145" s="95">
        <f t="shared" si="7"/>
        <v>820</v>
      </c>
      <c r="F145" s="95">
        <f>'Draw Calc (Hidden)'!C127</f>
        <v>3280</v>
      </c>
      <c r="G145" s="95">
        <f>'Draw Calc (Hidden)'!D127</f>
        <v>3280</v>
      </c>
      <c r="H145" s="95">
        <f>'Draw Calc (Hidden)'!E127</f>
        <v>3280</v>
      </c>
      <c r="I145" s="95">
        <f>'Draw Calc (Hidden)'!F127</f>
        <v>4920</v>
      </c>
      <c r="J145" s="95">
        <f>'Draw Calc (Hidden)'!G127</f>
        <v>4920</v>
      </c>
      <c r="K145" s="95">
        <f>'Draw Calc (Hidden)'!H127</f>
        <v>4920</v>
      </c>
      <c r="L145" s="95">
        <f>'Draw Calc (Hidden)'!I127</f>
        <v>4920</v>
      </c>
      <c r="M145" s="95">
        <f>'Draw Calc (Hidden)'!J127</f>
        <v>4920</v>
      </c>
      <c r="N145" s="95">
        <f>'Draw Calc (Hidden)'!K127</f>
        <v>4920</v>
      </c>
      <c r="O145" s="95">
        <f>'Draw Calc (Hidden)'!L127</f>
        <v>3280</v>
      </c>
      <c r="P145" s="95">
        <f>'Draw Calc (Hidden)'!M127</f>
        <v>3280</v>
      </c>
      <c r="Q145" s="95">
        <f>'Draw Calc (Hidden)'!N127</f>
        <v>3280</v>
      </c>
      <c r="R145" s="95">
        <f>'Draw Calc (Hidden)'!O127</f>
        <v>3280</v>
      </c>
      <c r="S145" s="95">
        <f>'Draw Calc (Hidden)'!P127</f>
        <v>0</v>
      </c>
      <c r="T145" s="95">
        <f>'Draw Calc (Hidden)'!Q127</f>
        <v>0</v>
      </c>
      <c r="U145" s="95">
        <f>'Draw Calc (Hidden)'!R127</f>
        <v>0</v>
      </c>
      <c r="V145" s="95">
        <f>'Draw Calc (Hidden)'!S127</f>
        <v>0</v>
      </c>
      <c r="W145" s="95">
        <f>'Draw Calc (Hidden)'!T127</f>
        <v>0</v>
      </c>
      <c r="X145" s="95">
        <f>'Draw Calc (Hidden)'!U127</f>
        <v>0</v>
      </c>
      <c r="Y145" s="95">
        <f>'Draw Calc (Hidden)'!V127</f>
        <v>0</v>
      </c>
      <c r="Z145" s="95">
        <f>'Draw Calc (Hidden)'!W127</f>
        <v>0</v>
      </c>
      <c r="AA145" s="95">
        <f>'Draw Calc (Hidden)'!X127</f>
        <v>0</v>
      </c>
      <c r="AB145" s="95">
        <f>'Draw Calc (Hidden)'!Y127</f>
        <v>0</v>
      </c>
      <c r="AC145" s="95">
        <f>'Draw Calc (Hidden)'!Z127</f>
        <v>0</v>
      </c>
      <c r="AD145" s="95">
        <f>'Draw Calc (Hidden)'!AA127</f>
        <v>0</v>
      </c>
      <c r="AE145" s="95">
        <f>'Draw Calc (Hidden)'!AB127</f>
        <v>0</v>
      </c>
      <c r="AF145" s="95">
        <f>'Draw Calc (Hidden)'!AC127</f>
        <v>0</v>
      </c>
      <c r="AG145" s="95">
        <f>'Draw Calc (Hidden)'!AD127</f>
        <v>0</v>
      </c>
      <c r="AH145" s="95">
        <f>'Draw Calc (Hidden)'!AE127</f>
        <v>0</v>
      </c>
      <c r="AI145" s="95">
        <f>'Draw Calc (Hidden)'!AF127</f>
        <v>0</v>
      </c>
      <c r="AJ145" s="95">
        <f>'Draw Calc (Hidden)'!AG127</f>
        <v>0</v>
      </c>
      <c r="AK145" s="95">
        <f>'Draw Calc (Hidden)'!AH127</f>
        <v>0</v>
      </c>
      <c r="AL145" s="95">
        <f>'Draw Calc (Hidden)'!AI127</f>
        <v>0</v>
      </c>
      <c r="AM145" s="95">
        <f>'Draw Calc (Hidden)'!AJ127</f>
        <v>0</v>
      </c>
      <c r="AN145" s="95">
        <f>'Draw Calc (Hidden)'!AK127</f>
        <v>0</v>
      </c>
      <c r="AO145" s="95">
        <f>'Draw Calc (Hidden)'!AL127</f>
        <v>0</v>
      </c>
    </row>
    <row r="146" spans="1:41" ht="15" customHeight="1" x14ac:dyDescent="0.2">
      <c r="A146" s="94" t="str">
        <f>'I_Budget Input Data'!B128</f>
        <v>3. HARD COSTS</v>
      </c>
      <c r="B146" s="94" t="str">
        <f>'I_Budget Input Data'!C128</f>
        <v>Electricity:Transport &amp; Handling - Quebec</v>
      </c>
      <c r="C146" s="95">
        <f>'I_Budget Input Data'!D128</f>
        <v>0</v>
      </c>
      <c r="D146" s="95">
        <f t="shared" si="6"/>
        <v>0</v>
      </c>
      <c r="E146" s="95">
        <f t="shared" si="7"/>
        <v>0</v>
      </c>
      <c r="F146" s="95">
        <f>'Draw Calc (Hidden)'!C128</f>
        <v>0</v>
      </c>
      <c r="G146" s="95">
        <f>'Draw Calc (Hidden)'!D128</f>
        <v>0</v>
      </c>
      <c r="H146" s="95">
        <f>'Draw Calc (Hidden)'!E128</f>
        <v>0</v>
      </c>
      <c r="I146" s="95">
        <f>'Draw Calc (Hidden)'!F128</f>
        <v>0</v>
      </c>
      <c r="J146" s="95">
        <f>'Draw Calc (Hidden)'!G128</f>
        <v>0</v>
      </c>
      <c r="K146" s="95">
        <f>'Draw Calc (Hidden)'!H128</f>
        <v>0</v>
      </c>
      <c r="L146" s="95">
        <f>'Draw Calc (Hidden)'!I128</f>
        <v>0</v>
      </c>
      <c r="M146" s="95">
        <f>'Draw Calc (Hidden)'!J128</f>
        <v>0</v>
      </c>
      <c r="N146" s="95">
        <f>'Draw Calc (Hidden)'!K128</f>
        <v>0</v>
      </c>
      <c r="O146" s="95">
        <f>'Draw Calc (Hidden)'!L128</f>
        <v>0</v>
      </c>
      <c r="P146" s="95">
        <f>'Draw Calc (Hidden)'!M128</f>
        <v>0</v>
      </c>
      <c r="Q146" s="95">
        <f>'Draw Calc (Hidden)'!N128</f>
        <v>0</v>
      </c>
      <c r="R146" s="95">
        <f>'Draw Calc (Hidden)'!O128</f>
        <v>0</v>
      </c>
      <c r="S146" s="95">
        <f>'Draw Calc (Hidden)'!P128</f>
        <v>0</v>
      </c>
      <c r="T146" s="95">
        <f>'Draw Calc (Hidden)'!Q128</f>
        <v>0</v>
      </c>
      <c r="U146" s="95">
        <f>'Draw Calc (Hidden)'!R128</f>
        <v>0</v>
      </c>
      <c r="V146" s="95">
        <f>'Draw Calc (Hidden)'!S128</f>
        <v>0</v>
      </c>
      <c r="W146" s="95">
        <f>'Draw Calc (Hidden)'!T128</f>
        <v>0</v>
      </c>
      <c r="X146" s="95">
        <f>'Draw Calc (Hidden)'!U128</f>
        <v>0</v>
      </c>
      <c r="Y146" s="95">
        <f>'Draw Calc (Hidden)'!V128</f>
        <v>0</v>
      </c>
      <c r="Z146" s="95">
        <f>'Draw Calc (Hidden)'!W128</f>
        <v>0</v>
      </c>
      <c r="AA146" s="95">
        <f>'Draw Calc (Hidden)'!X128</f>
        <v>0</v>
      </c>
      <c r="AB146" s="95">
        <f>'Draw Calc (Hidden)'!Y128</f>
        <v>0</v>
      </c>
      <c r="AC146" s="95">
        <f>'Draw Calc (Hidden)'!Z128</f>
        <v>0</v>
      </c>
      <c r="AD146" s="95">
        <f>'Draw Calc (Hidden)'!AA128</f>
        <v>0</v>
      </c>
      <c r="AE146" s="95">
        <f>'Draw Calc (Hidden)'!AB128</f>
        <v>0</v>
      </c>
      <c r="AF146" s="95">
        <f>'Draw Calc (Hidden)'!AC128</f>
        <v>0</v>
      </c>
      <c r="AG146" s="95">
        <f>'Draw Calc (Hidden)'!AD128</f>
        <v>0</v>
      </c>
      <c r="AH146" s="95">
        <f>'Draw Calc (Hidden)'!AE128</f>
        <v>0</v>
      </c>
      <c r="AI146" s="95">
        <f>'Draw Calc (Hidden)'!AF128</f>
        <v>0</v>
      </c>
      <c r="AJ146" s="95">
        <f>'Draw Calc (Hidden)'!AG128</f>
        <v>0</v>
      </c>
      <c r="AK146" s="95">
        <f>'Draw Calc (Hidden)'!AH128</f>
        <v>0</v>
      </c>
      <c r="AL146" s="95">
        <f>'Draw Calc (Hidden)'!AI128</f>
        <v>0</v>
      </c>
      <c r="AM146" s="95">
        <f>'Draw Calc (Hidden)'!AJ128</f>
        <v>0</v>
      </c>
      <c r="AN146" s="95">
        <f>'Draw Calc (Hidden)'!AK128</f>
        <v>0</v>
      </c>
      <c r="AO146" s="95">
        <f>'Draw Calc (Hidden)'!AL128</f>
        <v>0</v>
      </c>
    </row>
    <row r="147" spans="1:41" ht="15" customHeight="1" x14ac:dyDescent="0.2">
      <c r="A147" s="94" t="str">
        <f>'I_Budget Input Data'!B129</f>
        <v>3. HARD COSTS</v>
      </c>
      <c r="B147" s="94" t="str">
        <f>'I_Budget Input Data'!C129</f>
        <v>Electricity:DEL Comptoirs (cuisines)</v>
      </c>
      <c r="C147" s="95">
        <f>'I_Budget Input Data'!D129</f>
        <v>0</v>
      </c>
      <c r="D147" s="95">
        <f t="shared" si="6"/>
        <v>0</v>
      </c>
      <c r="E147" s="95">
        <f t="shared" si="7"/>
        <v>0</v>
      </c>
      <c r="F147" s="95">
        <f>'Draw Calc (Hidden)'!C129</f>
        <v>0</v>
      </c>
      <c r="G147" s="95">
        <f>'Draw Calc (Hidden)'!D129</f>
        <v>0</v>
      </c>
      <c r="H147" s="95">
        <f>'Draw Calc (Hidden)'!E129</f>
        <v>0</v>
      </c>
      <c r="I147" s="95">
        <f>'Draw Calc (Hidden)'!F129</f>
        <v>0</v>
      </c>
      <c r="J147" s="95">
        <f>'Draw Calc (Hidden)'!G129</f>
        <v>0</v>
      </c>
      <c r="K147" s="95">
        <f>'Draw Calc (Hidden)'!H129</f>
        <v>0</v>
      </c>
      <c r="L147" s="95">
        <f>'Draw Calc (Hidden)'!I129</f>
        <v>0</v>
      </c>
      <c r="M147" s="95">
        <f>'Draw Calc (Hidden)'!J129</f>
        <v>0</v>
      </c>
      <c r="N147" s="95">
        <f>'Draw Calc (Hidden)'!K129</f>
        <v>0</v>
      </c>
      <c r="O147" s="95">
        <f>'Draw Calc (Hidden)'!L129</f>
        <v>0</v>
      </c>
      <c r="P147" s="95">
        <f>'Draw Calc (Hidden)'!M129</f>
        <v>0</v>
      </c>
      <c r="Q147" s="95">
        <f>'Draw Calc (Hidden)'!N129</f>
        <v>0</v>
      </c>
      <c r="R147" s="95">
        <f>'Draw Calc (Hidden)'!O129</f>
        <v>0</v>
      </c>
      <c r="S147" s="95">
        <f>'Draw Calc (Hidden)'!P129</f>
        <v>0</v>
      </c>
      <c r="T147" s="95">
        <f>'Draw Calc (Hidden)'!Q129</f>
        <v>0</v>
      </c>
      <c r="U147" s="95">
        <f>'Draw Calc (Hidden)'!R129</f>
        <v>0</v>
      </c>
      <c r="V147" s="95">
        <f>'Draw Calc (Hidden)'!S129</f>
        <v>0</v>
      </c>
      <c r="W147" s="95">
        <f>'Draw Calc (Hidden)'!T129</f>
        <v>0</v>
      </c>
      <c r="X147" s="95">
        <f>'Draw Calc (Hidden)'!U129</f>
        <v>0</v>
      </c>
      <c r="Y147" s="95">
        <f>'Draw Calc (Hidden)'!V129</f>
        <v>0</v>
      </c>
      <c r="Z147" s="95">
        <f>'Draw Calc (Hidden)'!W129</f>
        <v>0</v>
      </c>
      <c r="AA147" s="95">
        <f>'Draw Calc (Hidden)'!X129</f>
        <v>0</v>
      </c>
      <c r="AB147" s="95">
        <f>'Draw Calc (Hidden)'!Y129</f>
        <v>0</v>
      </c>
      <c r="AC147" s="95">
        <f>'Draw Calc (Hidden)'!Z129</f>
        <v>0</v>
      </c>
      <c r="AD147" s="95">
        <f>'Draw Calc (Hidden)'!AA129</f>
        <v>0</v>
      </c>
      <c r="AE147" s="95">
        <f>'Draw Calc (Hidden)'!AB129</f>
        <v>0</v>
      </c>
      <c r="AF147" s="95">
        <f>'Draw Calc (Hidden)'!AC129</f>
        <v>0</v>
      </c>
      <c r="AG147" s="95">
        <f>'Draw Calc (Hidden)'!AD129</f>
        <v>0</v>
      </c>
      <c r="AH147" s="95">
        <f>'Draw Calc (Hidden)'!AE129</f>
        <v>0</v>
      </c>
      <c r="AI147" s="95">
        <f>'Draw Calc (Hidden)'!AF129</f>
        <v>0</v>
      </c>
      <c r="AJ147" s="95">
        <f>'Draw Calc (Hidden)'!AG129</f>
        <v>0</v>
      </c>
      <c r="AK147" s="95">
        <f>'Draw Calc (Hidden)'!AH129</f>
        <v>0</v>
      </c>
      <c r="AL147" s="95">
        <f>'Draw Calc (Hidden)'!AI129</f>
        <v>0</v>
      </c>
      <c r="AM147" s="95">
        <f>'Draw Calc (Hidden)'!AJ129</f>
        <v>0</v>
      </c>
      <c r="AN147" s="95">
        <f>'Draw Calc (Hidden)'!AK129</f>
        <v>0</v>
      </c>
      <c r="AO147" s="95">
        <f>'Draw Calc (Hidden)'!AL129</f>
        <v>0</v>
      </c>
    </row>
    <row r="148" spans="1:41" ht="15" customHeight="1" x14ac:dyDescent="0.2">
      <c r="A148" s="94" t="str">
        <f>'I_Budget Input Data'!B130</f>
        <v>4. FF&amp;E</v>
      </c>
      <c r="B148" s="94" t="str">
        <f>'I_Budget Input Data'!C130</f>
        <v>Appliances</v>
      </c>
      <c r="C148" s="95">
        <f>'I_Budget Input Data'!D130</f>
        <v>403998</v>
      </c>
      <c r="D148" s="95">
        <f t="shared" si="6"/>
        <v>410213.35384615383</v>
      </c>
      <c r="E148" s="95">
        <f t="shared" si="7"/>
        <v>-6215.3538461538265</v>
      </c>
      <c r="F148" s="95">
        <f>'Draw Calc (Hidden)'!C130</f>
        <v>24861.415384615386</v>
      </c>
      <c r="G148" s="95">
        <f>'Draw Calc (Hidden)'!D130</f>
        <v>24861.415384615386</v>
      </c>
      <c r="H148" s="95">
        <f>'Draw Calc (Hidden)'!E130</f>
        <v>24861.415384615386</v>
      </c>
      <c r="I148" s="95">
        <f>'Draw Calc (Hidden)'!F130</f>
        <v>24861.415384615386</v>
      </c>
      <c r="J148" s="95">
        <f>'Draw Calc (Hidden)'!G130</f>
        <v>24861.415384615386</v>
      </c>
      <c r="K148" s="95">
        <f>'Draw Calc (Hidden)'!H130</f>
        <v>24861.415384615386</v>
      </c>
      <c r="L148" s="95">
        <f>'Draw Calc (Hidden)'!I130</f>
        <v>37292.123076923075</v>
      </c>
      <c r="M148" s="95">
        <f>'Draw Calc (Hidden)'!J130</f>
        <v>37292.123076923075</v>
      </c>
      <c r="N148" s="95">
        <f>'Draw Calc (Hidden)'!K130</f>
        <v>37292.123076923075</v>
      </c>
      <c r="O148" s="95">
        <f>'Draw Calc (Hidden)'!L130</f>
        <v>37292.123076923075</v>
      </c>
      <c r="P148" s="95">
        <f>'Draw Calc (Hidden)'!M130</f>
        <v>37292.123076923075</v>
      </c>
      <c r="Q148" s="95">
        <f>'Draw Calc (Hidden)'!N130</f>
        <v>37292.123076923075</v>
      </c>
      <c r="R148" s="95">
        <f>'Draw Calc (Hidden)'!O130</f>
        <v>37292.123076923075</v>
      </c>
      <c r="S148" s="95">
        <f>'Draw Calc (Hidden)'!P130</f>
        <v>0</v>
      </c>
      <c r="T148" s="95">
        <f>'Draw Calc (Hidden)'!Q130</f>
        <v>0</v>
      </c>
      <c r="U148" s="95">
        <f>'Draw Calc (Hidden)'!R130</f>
        <v>0</v>
      </c>
      <c r="V148" s="95">
        <f>'Draw Calc (Hidden)'!S130</f>
        <v>0</v>
      </c>
      <c r="W148" s="95">
        <f>'Draw Calc (Hidden)'!T130</f>
        <v>0</v>
      </c>
      <c r="X148" s="95">
        <f>'Draw Calc (Hidden)'!U130</f>
        <v>0</v>
      </c>
      <c r="Y148" s="95">
        <f>'Draw Calc (Hidden)'!V130</f>
        <v>0</v>
      </c>
      <c r="Z148" s="95">
        <f>'Draw Calc (Hidden)'!W130</f>
        <v>0</v>
      </c>
      <c r="AA148" s="95">
        <f>'Draw Calc (Hidden)'!X130</f>
        <v>0</v>
      </c>
      <c r="AB148" s="95">
        <f>'Draw Calc (Hidden)'!Y130</f>
        <v>0</v>
      </c>
      <c r="AC148" s="95">
        <f>'Draw Calc (Hidden)'!Z130</f>
        <v>0</v>
      </c>
      <c r="AD148" s="95">
        <f>'Draw Calc (Hidden)'!AA130</f>
        <v>0</v>
      </c>
      <c r="AE148" s="95">
        <f>'Draw Calc (Hidden)'!AB130</f>
        <v>0</v>
      </c>
      <c r="AF148" s="95">
        <f>'Draw Calc (Hidden)'!AC130</f>
        <v>0</v>
      </c>
      <c r="AG148" s="95">
        <f>'Draw Calc (Hidden)'!AD130</f>
        <v>0</v>
      </c>
      <c r="AH148" s="95">
        <f>'Draw Calc (Hidden)'!AE130</f>
        <v>0</v>
      </c>
      <c r="AI148" s="95">
        <f>'Draw Calc (Hidden)'!AF130</f>
        <v>0</v>
      </c>
      <c r="AJ148" s="95">
        <f>'Draw Calc (Hidden)'!AG130</f>
        <v>0</v>
      </c>
      <c r="AK148" s="95">
        <f>'Draw Calc (Hidden)'!AH130</f>
        <v>0</v>
      </c>
      <c r="AL148" s="95">
        <f>'Draw Calc (Hidden)'!AI130</f>
        <v>0</v>
      </c>
      <c r="AM148" s="95">
        <f>'Draw Calc (Hidden)'!AJ130</f>
        <v>0</v>
      </c>
      <c r="AN148" s="95">
        <f>'Draw Calc (Hidden)'!AK130</f>
        <v>0</v>
      </c>
      <c r="AO148" s="95">
        <f>'Draw Calc (Hidden)'!AL130</f>
        <v>0</v>
      </c>
    </row>
    <row r="149" spans="1:41" ht="15" customHeight="1" x14ac:dyDescent="0.2">
      <c r="A149" s="94" t="str">
        <f>'I_Budget Input Data'!B131</f>
        <v>4. FF&amp;E</v>
      </c>
      <c r="B149" s="94" t="str">
        <f>'I_Budget Input Data'!C131</f>
        <v>Casegoods</v>
      </c>
      <c r="C149" s="95">
        <f>'I_Budget Input Data'!D131</f>
        <v>963770</v>
      </c>
      <c r="D149" s="95">
        <f t="shared" si="6"/>
        <v>978597.23076923075</v>
      </c>
      <c r="E149" s="95">
        <f t="shared" si="7"/>
        <v>-14827.230769230751</v>
      </c>
      <c r="F149" s="95">
        <f>'Draw Calc (Hidden)'!C131</f>
        <v>59308.923076923078</v>
      </c>
      <c r="G149" s="95">
        <f>'Draw Calc (Hidden)'!D131</f>
        <v>59308.923076923078</v>
      </c>
      <c r="H149" s="95">
        <f>'Draw Calc (Hidden)'!E131</f>
        <v>59308.923076923078</v>
      </c>
      <c r="I149" s="95">
        <f>'Draw Calc (Hidden)'!F131</f>
        <v>59308.923076923078</v>
      </c>
      <c r="J149" s="95">
        <f>'Draw Calc (Hidden)'!G131</f>
        <v>59308.923076923078</v>
      </c>
      <c r="K149" s="95">
        <f>'Draw Calc (Hidden)'!H131</f>
        <v>59308.923076923078</v>
      </c>
      <c r="L149" s="95">
        <f>'Draw Calc (Hidden)'!I131</f>
        <v>88963.38461538461</v>
      </c>
      <c r="M149" s="95">
        <f>'Draw Calc (Hidden)'!J131</f>
        <v>88963.38461538461</v>
      </c>
      <c r="N149" s="95">
        <f>'Draw Calc (Hidden)'!K131</f>
        <v>88963.38461538461</v>
      </c>
      <c r="O149" s="95">
        <f>'Draw Calc (Hidden)'!L131</f>
        <v>88963.38461538461</v>
      </c>
      <c r="P149" s="95">
        <f>'Draw Calc (Hidden)'!M131</f>
        <v>88963.38461538461</v>
      </c>
      <c r="Q149" s="95">
        <f>'Draw Calc (Hidden)'!N131</f>
        <v>88963.38461538461</v>
      </c>
      <c r="R149" s="95">
        <f>'Draw Calc (Hidden)'!O131</f>
        <v>88963.38461538461</v>
      </c>
      <c r="S149" s="95">
        <f>'Draw Calc (Hidden)'!P131</f>
        <v>0</v>
      </c>
      <c r="T149" s="95">
        <f>'Draw Calc (Hidden)'!Q131</f>
        <v>0</v>
      </c>
      <c r="U149" s="95">
        <f>'Draw Calc (Hidden)'!R131</f>
        <v>0</v>
      </c>
      <c r="V149" s="95">
        <f>'Draw Calc (Hidden)'!S131</f>
        <v>0</v>
      </c>
      <c r="W149" s="95">
        <f>'Draw Calc (Hidden)'!T131</f>
        <v>0</v>
      </c>
      <c r="X149" s="95">
        <f>'Draw Calc (Hidden)'!U131</f>
        <v>0</v>
      </c>
      <c r="Y149" s="95">
        <f>'Draw Calc (Hidden)'!V131</f>
        <v>0</v>
      </c>
      <c r="Z149" s="95">
        <f>'Draw Calc (Hidden)'!W131</f>
        <v>0</v>
      </c>
      <c r="AA149" s="95">
        <f>'Draw Calc (Hidden)'!X131</f>
        <v>0</v>
      </c>
      <c r="AB149" s="95">
        <f>'Draw Calc (Hidden)'!Y131</f>
        <v>0</v>
      </c>
      <c r="AC149" s="95">
        <f>'Draw Calc (Hidden)'!Z131</f>
        <v>0</v>
      </c>
      <c r="AD149" s="95">
        <f>'Draw Calc (Hidden)'!AA131</f>
        <v>0</v>
      </c>
      <c r="AE149" s="95">
        <f>'Draw Calc (Hidden)'!AB131</f>
        <v>0</v>
      </c>
      <c r="AF149" s="95">
        <f>'Draw Calc (Hidden)'!AC131</f>
        <v>0</v>
      </c>
      <c r="AG149" s="95">
        <f>'Draw Calc (Hidden)'!AD131</f>
        <v>0</v>
      </c>
      <c r="AH149" s="95">
        <f>'Draw Calc (Hidden)'!AE131</f>
        <v>0</v>
      </c>
      <c r="AI149" s="95">
        <f>'Draw Calc (Hidden)'!AF131</f>
        <v>0</v>
      </c>
      <c r="AJ149" s="95">
        <f>'Draw Calc (Hidden)'!AG131</f>
        <v>0</v>
      </c>
      <c r="AK149" s="95">
        <f>'Draw Calc (Hidden)'!AH131</f>
        <v>0</v>
      </c>
      <c r="AL149" s="95">
        <f>'Draw Calc (Hidden)'!AI131</f>
        <v>0</v>
      </c>
      <c r="AM149" s="95">
        <f>'Draw Calc (Hidden)'!AJ131</f>
        <v>0</v>
      </c>
      <c r="AN149" s="95">
        <f>'Draw Calc (Hidden)'!AK131</f>
        <v>0</v>
      </c>
      <c r="AO149" s="95">
        <f>'Draw Calc (Hidden)'!AL131</f>
        <v>0</v>
      </c>
    </row>
    <row r="150" spans="1:41" ht="15" customHeight="1" x14ac:dyDescent="0.2">
      <c r="A150" s="94" t="str">
        <f>'I_Budget Input Data'!B132</f>
        <v>4. FF&amp;E</v>
      </c>
      <c r="B150" s="94" t="str">
        <f>'I_Budget Input Data'!C132</f>
        <v>Smallwares</v>
      </c>
      <c r="C150" s="95">
        <f>'I_Budget Input Data'!D132</f>
        <v>250000</v>
      </c>
      <c r="D150" s="95">
        <f t="shared" si="6"/>
        <v>253846.15384615381</v>
      </c>
      <c r="E150" s="95">
        <f t="shared" si="7"/>
        <v>-3846.1538461538148</v>
      </c>
      <c r="F150" s="95">
        <f>'Draw Calc (Hidden)'!C132</f>
        <v>15384.615384615385</v>
      </c>
      <c r="G150" s="95">
        <f>'Draw Calc (Hidden)'!D132</f>
        <v>15384.615384615385</v>
      </c>
      <c r="H150" s="95">
        <f>'Draw Calc (Hidden)'!E132</f>
        <v>15384.615384615385</v>
      </c>
      <c r="I150" s="95">
        <f>'Draw Calc (Hidden)'!F132</f>
        <v>15384.615384615385</v>
      </c>
      <c r="J150" s="95">
        <f>'Draw Calc (Hidden)'!G132</f>
        <v>15384.615384615385</v>
      </c>
      <c r="K150" s="95">
        <f>'Draw Calc (Hidden)'!H132</f>
        <v>15384.615384615385</v>
      </c>
      <c r="L150" s="95">
        <f>'Draw Calc (Hidden)'!I132</f>
        <v>23076.923076923078</v>
      </c>
      <c r="M150" s="95">
        <f>'Draw Calc (Hidden)'!J132</f>
        <v>23076.923076923078</v>
      </c>
      <c r="N150" s="95">
        <f>'Draw Calc (Hidden)'!K132</f>
        <v>23076.923076923078</v>
      </c>
      <c r="O150" s="95">
        <f>'Draw Calc (Hidden)'!L132</f>
        <v>23076.923076923078</v>
      </c>
      <c r="P150" s="95">
        <f>'Draw Calc (Hidden)'!M132</f>
        <v>23076.923076923078</v>
      </c>
      <c r="Q150" s="95">
        <f>'Draw Calc (Hidden)'!N132</f>
        <v>23076.923076923078</v>
      </c>
      <c r="R150" s="95">
        <f>'Draw Calc (Hidden)'!O132</f>
        <v>23076.923076923078</v>
      </c>
      <c r="S150" s="95">
        <f>'Draw Calc (Hidden)'!P132</f>
        <v>0</v>
      </c>
      <c r="T150" s="95">
        <f>'Draw Calc (Hidden)'!Q132</f>
        <v>0</v>
      </c>
      <c r="U150" s="95">
        <f>'Draw Calc (Hidden)'!R132</f>
        <v>0</v>
      </c>
      <c r="V150" s="95">
        <f>'Draw Calc (Hidden)'!S132</f>
        <v>0</v>
      </c>
      <c r="W150" s="95">
        <f>'Draw Calc (Hidden)'!T132</f>
        <v>0</v>
      </c>
      <c r="X150" s="95">
        <f>'Draw Calc (Hidden)'!U132</f>
        <v>0</v>
      </c>
      <c r="Y150" s="95">
        <f>'Draw Calc (Hidden)'!V132</f>
        <v>0</v>
      </c>
      <c r="Z150" s="95">
        <f>'Draw Calc (Hidden)'!W132</f>
        <v>0</v>
      </c>
      <c r="AA150" s="95">
        <f>'Draw Calc (Hidden)'!X132</f>
        <v>0</v>
      </c>
      <c r="AB150" s="95">
        <f>'Draw Calc (Hidden)'!Y132</f>
        <v>0</v>
      </c>
      <c r="AC150" s="95">
        <f>'Draw Calc (Hidden)'!Z132</f>
        <v>0</v>
      </c>
      <c r="AD150" s="95">
        <f>'Draw Calc (Hidden)'!AA132</f>
        <v>0</v>
      </c>
      <c r="AE150" s="95">
        <f>'Draw Calc (Hidden)'!AB132</f>
        <v>0</v>
      </c>
      <c r="AF150" s="95">
        <f>'Draw Calc (Hidden)'!AC132</f>
        <v>0</v>
      </c>
      <c r="AG150" s="95">
        <f>'Draw Calc (Hidden)'!AD132</f>
        <v>0</v>
      </c>
      <c r="AH150" s="95">
        <f>'Draw Calc (Hidden)'!AE132</f>
        <v>0</v>
      </c>
      <c r="AI150" s="95">
        <f>'Draw Calc (Hidden)'!AF132</f>
        <v>0</v>
      </c>
      <c r="AJ150" s="95">
        <f>'Draw Calc (Hidden)'!AG132</f>
        <v>0</v>
      </c>
      <c r="AK150" s="95">
        <f>'Draw Calc (Hidden)'!AH132</f>
        <v>0</v>
      </c>
      <c r="AL150" s="95">
        <f>'Draw Calc (Hidden)'!AI132</f>
        <v>0</v>
      </c>
      <c r="AM150" s="95">
        <f>'Draw Calc (Hidden)'!AJ132</f>
        <v>0</v>
      </c>
      <c r="AN150" s="95">
        <f>'Draw Calc (Hidden)'!AK132</f>
        <v>0</v>
      </c>
      <c r="AO150" s="95">
        <f>'Draw Calc (Hidden)'!AL132</f>
        <v>0</v>
      </c>
    </row>
    <row r="151" spans="1:41" ht="15" customHeight="1" x14ac:dyDescent="0.2">
      <c r="A151" s="94" t="str">
        <f>'I_Budget Input Data'!B133</f>
        <v>4. FF&amp;E</v>
      </c>
      <c r="B151" s="94" t="str">
        <f>'I_Budget Input Data'!C133</f>
        <v>Electronic Technology</v>
      </c>
      <c r="C151" s="95">
        <f>'I_Budget Input Data'!D133</f>
        <v>175000</v>
      </c>
      <c r="D151" s="95">
        <f t="shared" si="6"/>
        <v>177692.30769230769</v>
      </c>
      <c r="E151" s="95">
        <f t="shared" si="7"/>
        <v>-2692.3076923076878</v>
      </c>
      <c r="F151" s="95">
        <f>'Draw Calc (Hidden)'!C133</f>
        <v>10769.23076923077</v>
      </c>
      <c r="G151" s="95">
        <f>'Draw Calc (Hidden)'!D133</f>
        <v>10769.23076923077</v>
      </c>
      <c r="H151" s="95">
        <f>'Draw Calc (Hidden)'!E133</f>
        <v>10769.23076923077</v>
      </c>
      <c r="I151" s="95">
        <f>'Draw Calc (Hidden)'!F133</f>
        <v>10769.23076923077</v>
      </c>
      <c r="J151" s="95">
        <f>'Draw Calc (Hidden)'!G133</f>
        <v>10769.23076923077</v>
      </c>
      <c r="K151" s="95">
        <f>'Draw Calc (Hidden)'!H133</f>
        <v>10769.23076923077</v>
      </c>
      <c r="L151" s="95">
        <f>'Draw Calc (Hidden)'!I133</f>
        <v>16153.846153846154</v>
      </c>
      <c r="M151" s="95">
        <f>'Draw Calc (Hidden)'!J133</f>
        <v>16153.846153846154</v>
      </c>
      <c r="N151" s="95">
        <f>'Draw Calc (Hidden)'!K133</f>
        <v>16153.846153846154</v>
      </c>
      <c r="O151" s="95">
        <f>'Draw Calc (Hidden)'!L133</f>
        <v>16153.846153846154</v>
      </c>
      <c r="P151" s="95">
        <f>'Draw Calc (Hidden)'!M133</f>
        <v>16153.846153846154</v>
      </c>
      <c r="Q151" s="95">
        <f>'Draw Calc (Hidden)'!N133</f>
        <v>16153.846153846154</v>
      </c>
      <c r="R151" s="95">
        <f>'Draw Calc (Hidden)'!O133</f>
        <v>16153.846153846154</v>
      </c>
      <c r="S151" s="95">
        <f>'Draw Calc (Hidden)'!P133</f>
        <v>0</v>
      </c>
      <c r="T151" s="95">
        <f>'Draw Calc (Hidden)'!Q133</f>
        <v>0</v>
      </c>
      <c r="U151" s="95">
        <f>'Draw Calc (Hidden)'!R133</f>
        <v>0</v>
      </c>
      <c r="V151" s="95">
        <f>'Draw Calc (Hidden)'!S133</f>
        <v>0</v>
      </c>
      <c r="W151" s="95">
        <f>'Draw Calc (Hidden)'!T133</f>
        <v>0</v>
      </c>
      <c r="X151" s="95">
        <f>'Draw Calc (Hidden)'!U133</f>
        <v>0</v>
      </c>
      <c r="Y151" s="95">
        <f>'Draw Calc (Hidden)'!V133</f>
        <v>0</v>
      </c>
      <c r="Z151" s="95">
        <f>'Draw Calc (Hidden)'!W133</f>
        <v>0</v>
      </c>
      <c r="AA151" s="95">
        <f>'Draw Calc (Hidden)'!X133</f>
        <v>0</v>
      </c>
      <c r="AB151" s="95">
        <f>'Draw Calc (Hidden)'!Y133</f>
        <v>0</v>
      </c>
      <c r="AC151" s="95">
        <f>'Draw Calc (Hidden)'!Z133</f>
        <v>0</v>
      </c>
      <c r="AD151" s="95">
        <f>'Draw Calc (Hidden)'!AA133</f>
        <v>0</v>
      </c>
      <c r="AE151" s="95">
        <f>'Draw Calc (Hidden)'!AB133</f>
        <v>0</v>
      </c>
      <c r="AF151" s="95">
        <f>'Draw Calc (Hidden)'!AC133</f>
        <v>0</v>
      </c>
      <c r="AG151" s="95">
        <f>'Draw Calc (Hidden)'!AD133</f>
        <v>0</v>
      </c>
      <c r="AH151" s="95">
        <f>'Draw Calc (Hidden)'!AE133</f>
        <v>0</v>
      </c>
      <c r="AI151" s="95">
        <f>'Draw Calc (Hidden)'!AF133</f>
        <v>0</v>
      </c>
      <c r="AJ151" s="95">
        <f>'Draw Calc (Hidden)'!AG133</f>
        <v>0</v>
      </c>
      <c r="AK151" s="95">
        <f>'Draw Calc (Hidden)'!AH133</f>
        <v>0</v>
      </c>
      <c r="AL151" s="95">
        <f>'Draw Calc (Hidden)'!AI133</f>
        <v>0</v>
      </c>
      <c r="AM151" s="95">
        <f>'Draw Calc (Hidden)'!AJ133</f>
        <v>0</v>
      </c>
      <c r="AN151" s="95">
        <f>'Draw Calc (Hidden)'!AK133</f>
        <v>0</v>
      </c>
      <c r="AO151" s="95">
        <f>'Draw Calc (Hidden)'!AL133</f>
        <v>0</v>
      </c>
    </row>
    <row r="152" spans="1:41" ht="15" customHeight="1" x14ac:dyDescent="0.2">
      <c r="A152" s="94" t="str">
        <f>'I_Budget Input Data'!B134</f>
        <v>5. PROFESSIONAL FEES</v>
      </c>
      <c r="B152" s="94" t="str">
        <f>'I_Budget Input Data'!C134</f>
        <v>Accounting/bookkeeping</v>
      </c>
      <c r="C152" s="95">
        <f>'I_Budget Input Data'!D134</f>
        <v>49979</v>
      </c>
      <c r="D152" s="95">
        <f t="shared" ref="D152:D188" si="8">SUM(F152:AO152)</f>
        <v>49210.092307692299</v>
      </c>
      <c r="E152" s="95">
        <f t="shared" ref="E152:E183" si="9">C152-D152</f>
        <v>768.90769230770093</v>
      </c>
      <c r="F152" s="95">
        <f>'Draw Calc (Hidden)'!C134</f>
        <v>4613.4461538461537</v>
      </c>
      <c r="G152" s="95">
        <f>'Draw Calc (Hidden)'!D134</f>
        <v>4613.4461538461537</v>
      </c>
      <c r="H152" s="95">
        <f>'Draw Calc (Hidden)'!E134</f>
        <v>4613.4461538461537</v>
      </c>
      <c r="I152" s="95">
        <f>'Draw Calc (Hidden)'!F134</f>
        <v>4613.4461538461537</v>
      </c>
      <c r="J152" s="95">
        <f>'Draw Calc (Hidden)'!G134</f>
        <v>4613.4461538461537</v>
      </c>
      <c r="K152" s="95">
        <f>'Draw Calc (Hidden)'!H134</f>
        <v>4613.4461538461537</v>
      </c>
      <c r="L152" s="95">
        <f>'Draw Calc (Hidden)'!I134</f>
        <v>3075.6307692307696</v>
      </c>
      <c r="M152" s="95">
        <f>'Draw Calc (Hidden)'!J134</f>
        <v>3075.6307692307696</v>
      </c>
      <c r="N152" s="95">
        <f>'Draw Calc (Hidden)'!K134</f>
        <v>3075.6307692307696</v>
      </c>
      <c r="O152" s="95">
        <f>'Draw Calc (Hidden)'!L134</f>
        <v>3075.6307692307696</v>
      </c>
      <c r="P152" s="95">
        <f>'Draw Calc (Hidden)'!M134</f>
        <v>3075.6307692307696</v>
      </c>
      <c r="Q152" s="95">
        <f>'Draw Calc (Hidden)'!N134</f>
        <v>3075.6307692307696</v>
      </c>
      <c r="R152" s="95">
        <f>'Draw Calc (Hidden)'!O134</f>
        <v>3075.6307692307696</v>
      </c>
      <c r="S152" s="95">
        <f>'Draw Calc (Hidden)'!P134</f>
        <v>0</v>
      </c>
      <c r="T152" s="95">
        <f>'Draw Calc (Hidden)'!Q134</f>
        <v>0</v>
      </c>
      <c r="U152" s="95">
        <f>'Draw Calc (Hidden)'!R134</f>
        <v>0</v>
      </c>
      <c r="V152" s="95">
        <f>'Draw Calc (Hidden)'!S134</f>
        <v>0</v>
      </c>
      <c r="W152" s="95">
        <f>'Draw Calc (Hidden)'!T134</f>
        <v>0</v>
      </c>
      <c r="X152" s="95">
        <f>'Draw Calc (Hidden)'!U134</f>
        <v>0</v>
      </c>
      <c r="Y152" s="95">
        <f>'Draw Calc (Hidden)'!V134</f>
        <v>0</v>
      </c>
      <c r="Z152" s="95">
        <f>'Draw Calc (Hidden)'!W134</f>
        <v>0</v>
      </c>
      <c r="AA152" s="95">
        <f>'Draw Calc (Hidden)'!X134</f>
        <v>0</v>
      </c>
      <c r="AB152" s="95">
        <f>'Draw Calc (Hidden)'!Y134</f>
        <v>0</v>
      </c>
      <c r="AC152" s="95">
        <f>'Draw Calc (Hidden)'!Z134</f>
        <v>0</v>
      </c>
      <c r="AD152" s="95">
        <f>'Draw Calc (Hidden)'!AA134</f>
        <v>0</v>
      </c>
      <c r="AE152" s="95">
        <f>'Draw Calc (Hidden)'!AB134</f>
        <v>0</v>
      </c>
      <c r="AF152" s="95">
        <f>'Draw Calc (Hidden)'!AC134</f>
        <v>0</v>
      </c>
      <c r="AG152" s="95">
        <f>'Draw Calc (Hidden)'!AD134</f>
        <v>0</v>
      </c>
      <c r="AH152" s="95">
        <f>'Draw Calc (Hidden)'!AE134</f>
        <v>0</v>
      </c>
      <c r="AI152" s="95">
        <f>'Draw Calc (Hidden)'!AF134</f>
        <v>0</v>
      </c>
      <c r="AJ152" s="95">
        <f>'Draw Calc (Hidden)'!AG134</f>
        <v>0</v>
      </c>
      <c r="AK152" s="95">
        <f>'Draw Calc (Hidden)'!AH134</f>
        <v>0</v>
      </c>
      <c r="AL152" s="95">
        <f>'Draw Calc (Hidden)'!AI134</f>
        <v>0</v>
      </c>
      <c r="AM152" s="95">
        <f>'Draw Calc (Hidden)'!AJ134</f>
        <v>0</v>
      </c>
      <c r="AN152" s="95">
        <f>'Draw Calc (Hidden)'!AK134</f>
        <v>0</v>
      </c>
      <c r="AO152" s="95">
        <f>'Draw Calc (Hidden)'!AL134</f>
        <v>0</v>
      </c>
    </row>
    <row r="153" spans="1:41" ht="15" customHeight="1" x14ac:dyDescent="0.2">
      <c r="A153" s="94" t="str">
        <f>'I_Budget Input Data'!B135</f>
        <v>5. PROFESSIONAL FEES</v>
      </c>
      <c r="B153" s="94" t="str">
        <f>'I_Budget Input Data'!C135</f>
        <v>Acoustical</v>
      </c>
      <c r="C153" s="95">
        <f>'I_Budget Input Data'!D135</f>
        <v>6740</v>
      </c>
      <c r="D153" s="95">
        <f t="shared" si="8"/>
        <v>6636.3076923076906</v>
      </c>
      <c r="E153" s="95">
        <f t="shared" si="9"/>
        <v>103.69230769230944</v>
      </c>
      <c r="F153" s="95">
        <f>'Draw Calc (Hidden)'!C135</f>
        <v>622.15384615384619</v>
      </c>
      <c r="G153" s="95">
        <f>'Draw Calc (Hidden)'!D135</f>
        <v>622.15384615384619</v>
      </c>
      <c r="H153" s="95">
        <f>'Draw Calc (Hidden)'!E135</f>
        <v>622.15384615384619</v>
      </c>
      <c r="I153" s="95">
        <f>'Draw Calc (Hidden)'!F135</f>
        <v>622.15384615384619</v>
      </c>
      <c r="J153" s="95">
        <f>'Draw Calc (Hidden)'!G135</f>
        <v>622.15384615384619</v>
      </c>
      <c r="K153" s="95">
        <f>'Draw Calc (Hidden)'!H135</f>
        <v>622.15384615384619</v>
      </c>
      <c r="L153" s="95">
        <f>'Draw Calc (Hidden)'!I135</f>
        <v>414.76923076923077</v>
      </c>
      <c r="M153" s="95">
        <f>'Draw Calc (Hidden)'!J135</f>
        <v>414.76923076923077</v>
      </c>
      <c r="N153" s="95">
        <f>'Draw Calc (Hidden)'!K135</f>
        <v>414.76923076923077</v>
      </c>
      <c r="O153" s="95">
        <f>'Draw Calc (Hidden)'!L135</f>
        <v>414.76923076923077</v>
      </c>
      <c r="P153" s="95">
        <f>'Draw Calc (Hidden)'!M135</f>
        <v>414.76923076923077</v>
      </c>
      <c r="Q153" s="95">
        <f>'Draw Calc (Hidden)'!N135</f>
        <v>414.76923076923077</v>
      </c>
      <c r="R153" s="95">
        <f>'Draw Calc (Hidden)'!O135</f>
        <v>414.76923076923077</v>
      </c>
      <c r="S153" s="95">
        <f>'Draw Calc (Hidden)'!P135</f>
        <v>0</v>
      </c>
      <c r="T153" s="95">
        <f>'Draw Calc (Hidden)'!Q135</f>
        <v>0</v>
      </c>
      <c r="U153" s="95">
        <f>'Draw Calc (Hidden)'!R135</f>
        <v>0</v>
      </c>
      <c r="V153" s="95">
        <f>'Draw Calc (Hidden)'!S135</f>
        <v>0</v>
      </c>
      <c r="W153" s="95">
        <f>'Draw Calc (Hidden)'!T135</f>
        <v>0</v>
      </c>
      <c r="X153" s="95">
        <f>'Draw Calc (Hidden)'!U135</f>
        <v>0</v>
      </c>
      <c r="Y153" s="95">
        <f>'Draw Calc (Hidden)'!V135</f>
        <v>0</v>
      </c>
      <c r="Z153" s="95">
        <f>'Draw Calc (Hidden)'!W135</f>
        <v>0</v>
      </c>
      <c r="AA153" s="95">
        <f>'Draw Calc (Hidden)'!X135</f>
        <v>0</v>
      </c>
      <c r="AB153" s="95">
        <f>'Draw Calc (Hidden)'!Y135</f>
        <v>0</v>
      </c>
      <c r="AC153" s="95">
        <f>'Draw Calc (Hidden)'!Z135</f>
        <v>0</v>
      </c>
      <c r="AD153" s="95">
        <f>'Draw Calc (Hidden)'!AA135</f>
        <v>0</v>
      </c>
      <c r="AE153" s="95">
        <f>'Draw Calc (Hidden)'!AB135</f>
        <v>0</v>
      </c>
      <c r="AF153" s="95">
        <f>'Draw Calc (Hidden)'!AC135</f>
        <v>0</v>
      </c>
      <c r="AG153" s="95">
        <f>'Draw Calc (Hidden)'!AD135</f>
        <v>0</v>
      </c>
      <c r="AH153" s="95">
        <f>'Draw Calc (Hidden)'!AE135</f>
        <v>0</v>
      </c>
      <c r="AI153" s="95">
        <f>'Draw Calc (Hidden)'!AF135</f>
        <v>0</v>
      </c>
      <c r="AJ153" s="95">
        <f>'Draw Calc (Hidden)'!AG135</f>
        <v>0</v>
      </c>
      <c r="AK153" s="95">
        <f>'Draw Calc (Hidden)'!AH135</f>
        <v>0</v>
      </c>
      <c r="AL153" s="95">
        <f>'Draw Calc (Hidden)'!AI135</f>
        <v>0</v>
      </c>
      <c r="AM153" s="95">
        <f>'Draw Calc (Hidden)'!AJ135</f>
        <v>0</v>
      </c>
      <c r="AN153" s="95">
        <f>'Draw Calc (Hidden)'!AK135</f>
        <v>0</v>
      </c>
      <c r="AO153" s="95">
        <f>'Draw Calc (Hidden)'!AL135</f>
        <v>0</v>
      </c>
    </row>
    <row r="154" spans="1:41" ht="15" customHeight="1" x14ac:dyDescent="0.2">
      <c r="A154" s="94" t="str">
        <f>'I_Budget Input Data'!B136</f>
        <v>5. PROFESSIONAL FEES</v>
      </c>
      <c r="B154" s="94" t="str">
        <f>'I_Budget Input Data'!C136</f>
        <v>Appraisal/feasibility study</v>
      </c>
      <c r="C154" s="95">
        <f>'I_Budget Input Data'!D136</f>
        <v>67509</v>
      </c>
      <c r="D154" s="95">
        <f t="shared" si="8"/>
        <v>66470.400000000009</v>
      </c>
      <c r="E154" s="95">
        <f t="shared" si="9"/>
        <v>1038.5999999999913</v>
      </c>
      <c r="F154" s="95">
        <f>'Draw Calc (Hidden)'!C136</f>
        <v>6231.6</v>
      </c>
      <c r="G154" s="95">
        <f>'Draw Calc (Hidden)'!D136</f>
        <v>6231.6</v>
      </c>
      <c r="H154" s="95">
        <f>'Draw Calc (Hidden)'!E136</f>
        <v>6231.6</v>
      </c>
      <c r="I154" s="95">
        <f>'Draw Calc (Hidden)'!F136</f>
        <v>6231.6</v>
      </c>
      <c r="J154" s="95">
        <f>'Draw Calc (Hidden)'!G136</f>
        <v>6231.6</v>
      </c>
      <c r="K154" s="95">
        <f>'Draw Calc (Hidden)'!H136</f>
        <v>6231.6</v>
      </c>
      <c r="L154" s="95">
        <f>'Draw Calc (Hidden)'!I136</f>
        <v>4154.4000000000005</v>
      </c>
      <c r="M154" s="95">
        <f>'Draw Calc (Hidden)'!J136</f>
        <v>4154.4000000000005</v>
      </c>
      <c r="N154" s="95">
        <f>'Draw Calc (Hidden)'!K136</f>
        <v>4154.4000000000005</v>
      </c>
      <c r="O154" s="95">
        <f>'Draw Calc (Hidden)'!L136</f>
        <v>4154.4000000000005</v>
      </c>
      <c r="P154" s="95">
        <f>'Draw Calc (Hidden)'!M136</f>
        <v>4154.4000000000005</v>
      </c>
      <c r="Q154" s="95">
        <f>'Draw Calc (Hidden)'!N136</f>
        <v>4154.4000000000005</v>
      </c>
      <c r="R154" s="95">
        <f>'Draw Calc (Hidden)'!O136</f>
        <v>4154.4000000000005</v>
      </c>
      <c r="S154" s="95">
        <f>'Draw Calc (Hidden)'!P136</f>
        <v>0</v>
      </c>
      <c r="T154" s="95">
        <f>'Draw Calc (Hidden)'!Q136</f>
        <v>0</v>
      </c>
      <c r="U154" s="95">
        <f>'Draw Calc (Hidden)'!R136</f>
        <v>0</v>
      </c>
      <c r="V154" s="95">
        <f>'Draw Calc (Hidden)'!S136</f>
        <v>0</v>
      </c>
      <c r="W154" s="95">
        <f>'Draw Calc (Hidden)'!T136</f>
        <v>0</v>
      </c>
      <c r="X154" s="95">
        <f>'Draw Calc (Hidden)'!U136</f>
        <v>0</v>
      </c>
      <c r="Y154" s="95">
        <f>'Draw Calc (Hidden)'!V136</f>
        <v>0</v>
      </c>
      <c r="Z154" s="95">
        <f>'Draw Calc (Hidden)'!W136</f>
        <v>0</v>
      </c>
      <c r="AA154" s="95">
        <f>'Draw Calc (Hidden)'!X136</f>
        <v>0</v>
      </c>
      <c r="AB154" s="95">
        <f>'Draw Calc (Hidden)'!Y136</f>
        <v>0</v>
      </c>
      <c r="AC154" s="95">
        <f>'Draw Calc (Hidden)'!Z136</f>
        <v>0</v>
      </c>
      <c r="AD154" s="95">
        <f>'Draw Calc (Hidden)'!AA136</f>
        <v>0</v>
      </c>
      <c r="AE154" s="95">
        <f>'Draw Calc (Hidden)'!AB136</f>
        <v>0</v>
      </c>
      <c r="AF154" s="95">
        <f>'Draw Calc (Hidden)'!AC136</f>
        <v>0</v>
      </c>
      <c r="AG154" s="95">
        <f>'Draw Calc (Hidden)'!AD136</f>
        <v>0</v>
      </c>
      <c r="AH154" s="95">
        <f>'Draw Calc (Hidden)'!AE136</f>
        <v>0</v>
      </c>
      <c r="AI154" s="95">
        <f>'Draw Calc (Hidden)'!AF136</f>
        <v>0</v>
      </c>
      <c r="AJ154" s="95">
        <f>'Draw Calc (Hidden)'!AG136</f>
        <v>0</v>
      </c>
      <c r="AK154" s="95">
        <f>'Draw Calc (Hidden)'!AH136</f>
        <v>0</v>
      </c>
      <c r="AL154" s="95">
        <f>'Draw Calc (Hidden)'!AI136</f>
        <v>0</v>
      </c>
      <c r="AM154" s="95">
        <f>'Draw Calc (Hidden)'!AJ136</f>
        <v>0</v>
      </c>
      <c r="AN154" s="95">
        <f>'Draw Calc (Hidden)'!AK136</f>
        <v>0</v>
      </c>
      <c r="AO154" s="95">
        <f>'Draw Calc (Hidden)'!AL136</f>
        <v>0</v>
      </c>
    </row>
    <row r="155" spans="1:41" ht="15" customHeight="1" x14ac:dyDescent="0.2">
      <c r="A155" s="94" t="str">
        <f>'I_Budget Input Data'!B137</f>
        <v>5. PROFESSIONAL FEES</v>
      </c>
      <c r="B155" s="94" t="str">
        <f>'I_Budget Input Data'!C137</f>
        <v>Architect-design</v>
      </c>
      <c r="C155" s="95">
        <f>'I_Budget Input Data'!D137</f>
        <v>31063</v>
      </c>
      <c r="D155" s="95">
        <f t="shared" si="8"/>
        <v>30585.107692307683</v>
      </c>
      <c r="E155" s="95">
        <f t="shared" si="9"/>
        <v>477.89230769231654</v>
      </c>
      <c r="F155" s="95">
        <f>'Draw Calc (Hidden)'!C137</f>
        <v>2867.353846153846</v>
      </c>
      <c r="G155" s="95">
        <f>'Draw Calc (Hidden)'!D137</f>
        <v>2867.353846153846</v>
      </c>
      <c r="H155" s="95">
        <f>'Draw Calc (Hidden)'!E137</f>
        <v>2867.353846153846</v>
      </c>
      <c r="I155" s="95">
        <f>'Draw Calc (Hidden)'!F137</f>
        <v>2867.353846153846</v>
      </c>
      <c r="J155" s="95">
        <f>'Draw Calc (Hidden)'!G137</f>
        <v>2867.353846153846</v>
      </c>
      <c r="K155" s="95">
        <f>'Draw Calc (Hidden)'!H137</f>
        <v>2867.353846153846</v>
      </c>
      <c r="L155" s="95">
        <f>'Draw Calc (Hidden)'!I137</f>
        <v>1911.5692307692309</v>
      </c>
      <c r="M155" s="95">
        <f>'Draw Calc (Hidden)'!J137</f>
        <v>1911.5692307692309</v>
      </c>
      <c r="N155" s="95">
        <f>'Draw Calc (Hidden)'!K137</f>
        <v>1911.5692307692309</v>
      </c>
      <c r="O155" s="95">
        <f>'Draw Calc (Hidden)'!L137</f>
        <v>1911.5692307692309</v>
      </c>
      <c r="P155" s="95">
        <f>'Draw Calc (Hidden)'!M137</f>
        <v>1911.5692307692309</v>
      </c>
      <c r="Q155" s="95">
        <f>'Draw Calc (Hidden)'!N137</f>
        <v>1911.5692307692309</v>
      </c>
      <c r="R155" s="95">
        <f>'Draw Calc (Hidden)'!O137</f>
        <v>1911.5692307692309</v>
      </c>
      <c r="S155" s="95">
        <f>'Draw Calc (Hidden)'!P137</f>
        <v>0</v>
      </c>
      <c r="T155" s="95">
        <f>'Draw Calc (Hidden)'!Q137</f>
        <v>0</v>
      </c>
      <c r="U155" s="95">
        <f>'Draw Calc (Hidden)'!R137</f>
        <v>0</v>
      </c>
      <c r="V155" s="95">
        <f>'Draw Calc (Hidden)'!S137</f>
        <v>0</v>
      </c>
      <c r="W155" s="95">
        <f>'Draw Calc (Hidden)'!T137</f>
        <v>0</v>
      </c>
      <c r="X155" s="95">
        <f>'Draw Calc (Hidden)'!U137</f>
        <v>0</v>
      </c>
      <c r="Y155" s="95">
        <f>'Draw Calc (Hidden)'!V137</f>
        <v>0</v>
      </c>
      <c r="Z155" s="95">
        <f>'Draw Calc (Hidden)'!W137</f>
        <v>0</v>
      </c>
      <c r="AA155" s="95">
        <f>'Draw Calc (Hidden)'!X137</f>
        <v>0</v>
      </c>
      <c r="AB155" s="95">
        <f>'Draw Calc (Hidden)'!Y137</f>
        <v>0</v>
      </c>
      <c r="AC155" s="95">
        <f>'Draw Calc (Hidden)'!Z137</f>
        <v>0</v>
      </c>
      <c r="AD155" s="95">
        <f>'Draw Calc (Hidden)'!AA137</f>
        <v>0</v>
      </c>
      <c r="AE155" s="95">
        <f>'Draw Calc (Hidden)'!AB137</f>
        <v>0</v>
      </c>
      <c r="AF155" s="95">
        <f>'Draw Calc (Hidden)'!AC137</f>
        <v>0</v>
      </c>
      <c r="AG155" s="95">
        <f>'Draw Calc (Hidden)'!AD137</f>
        <v>0</v>
      </c>
      <c r="AH155" s="95">
        <f>'Draw Calc (Hidden)'!AE137</f>
        <v>0</v>
      </c>
      <c r="AI155" s="95">
        <f>'Draw Calc (Hidden)'!AF137</f>
        <v>0</v>
      </c>
      <c r="AJ155" s="95">
        <f>'Draw Calc (Hidden)'!AG137</f>
        <v>0</v>
      </c>
      <c r="AK155" s="95">
        <f>'Draw Calc (Hidden)'!AH137</f>
        <v>0</v>
      </c>
      <c r="AL155" s="95">
        <f>'Draw Calc (Hidden)'!AI137</f>
        <v>0</v>
      </c>
      <c r="AM155" s="95">
        <f>'Draw Calc (Hidden)'!AJ137</f>
        <v>0</v>
      </c>
      <c r="AN155" s="95">
        <f>'Draw Calc (Hidden)'!AK137</f>
        <v>0</v>
      </c>
      <c r="AO155" s="95">
        <f>'Draw Calc (Hidden)'!AL137</f>
        <v>0</v>
      </c>
    </row>
    <row r="156" spans="1:41" ht="15" customHeight="1" x14ac:dyDescent="0.2">
      <c r="A156" s="94" t="str">
        <f>'I_Budget Input Data'!B138</f>
        <v>5. PROFESSIONAL FEES</v>
      </c>
      <c r="B156" s="94" t="str">
        <f>'I_Budget Input Data'!C138</f>
        <v>Architecture</v>
      </c>
      <c r="C156" s="95">
        <f>'I_Budget Input Data'!D138</f>
        <v>594877</v>
      </c>
      <c r="D156" s="95">
        <f t="shared" si="8"/>
        <v>585725.0461538462</v>
      </c>
      <c r="E156" s="95">
        <f t="shared" si="9"/>
        <v>9151.9538461538032</v>
      </c>
      <c r="F156" s="95">
        <f>'Draw Calc (Hidden)'!C138</f>
        <v>54911.723076923081</v>
      </c>
      <c r="G156" s="95">
        <f>'Draw Calc (Hidden)'!D138</f>
        <v>54911.723076923081</v>
      </c>
      <c r="H156" s="95">
        <f>'Draw Calc (Hidden)'!E138</f>
        <v>54911.723076923081</v>
      </c>
      <c r="I156" s="95">
        <f>'Draw Calc (Hidden)'!F138</f>
        <v>54911.723076923081</v>
      </c>
      <c r="J156" s="95">
        <f>'Draw Calc (Hidden)'!G138</f>
        <v>54911.723076923081</v>
      </c>
      <c r="K156" s="95">
        <f>'Draw Calc (Hidden)'!H138</f>
        <v>54911.723076923081</v>
      </c>
      <c r="L156" s="95">
        <f>'Draw Calc (Hidden)'!I138</f>
        <v>36607.815384615387</v>
      </c>
      <c r="M156" s="95">
        <f>'Draw Calc (Hidden)'!J138</f>
        <v>36607.815384615387</v>
      </c>
      <c r="N156" s="95">
        <f>'Draw Calc (Hidden)'!K138</f>
        <v>36607.815384615387</v>
      </c>
      <c r="O156" s="95">
        <f>'Draw Calc (Hidden)'!L138</f>
        <v>36607.815384615387</v>
      </c>
      <c r="P156" s="95">
        <f>'Draw Calc (Hidden)'!M138</f>
        <v>36607.815384615387</v>
      </c>
      <c r="Q156" s="95">
        <f>'Draw Calc (Hidden)'!N138</f>
        <v>36607.815384615387</v>
      </c>
      <c r="R156" s="95">
        <f>'Draw Calc (Hidden)'!O138</f>
        <v>36607.815384615387</v>
      </c>
      <c r="S156" s="95">
        <f>'Draw Calc (Hidden)'!P138</f>
        <v>0</v>
      </c>
      <c r="T156" s="95">
        <f>'Draw Calc (Hidden)'!Q138</f>
        <v>0</v>
      </c>
      <c r="U156" s="95">
        <f>'Draw Calc (Hidden)'!R138</f>
        <v>0</v>
      </c>
      <c r="V156" s="95">
        <f>'Draw Calc (Hidden)'!S138</f>
        <v>0</v>
      </c>
      <c r="W156" s="95">
        <f>'Draw Calc (Hidden)'!T138</f>
        <v>0</v>
      </c>
      <c r="X156" s="95">
        <f>'Draw Calc (Hidden)'!U138</f>
        <v>0</v>
      </c>
      <c r="Y156" s="95">
        <f>'Draw Calc (Hidden)'!V138</f>
        <v>0</v>
      </c>
      <c r="Z156" s="95">
        <f>'Draw Calc (Hidden)'!W138</f>
        <v>0</v>
      </c>
      <c r="AA156" s="95">
        <f>'Draw Calc (Hidden)'!X138</f>
        <v>0</v>
      </c>
      <c r="AB156" s="95">
        <f>'Draw Calc (Hidden)'!Y138</f>
        <v>0</v>
      </c>
      <c r="AC156" s="95">
        <f>'Draw Calc (Hidden)'!Z138</f>
        <v>0</v>
      </c>
      <c r="AD156" s="95">
        <f>'Draw Calc (Hidden)'!AA138</f>
        <v>0</v>
      </c>
      <c r="AE156" s="95">
        <f>'Draw Calc (Hidden)'!AB138</f>
        <v>0</v>
      </c>
      <c r="AF156" s="95">
        <f>'Draw Calc (Hidden)'!AC138</f>
        <v>0</v>
      </c>
      <c r="AG156" s="95">
        <f>'Draw Calc (Hidden)'!AD138</f>
        <v>0</v>
      </c>
      <c r="AH156" s="95">
        <f>'Draw Calc (Hidden)'!AE138</f>
        <v>0</v>
      </c>
      <c r="AI156" s="95">
        <f>'Draw Calc (Hidden)'!AF138</f>
        <v>0</v>
      </c>
      <c r="AJ156" s="95">
        <f>'Draw Calc (Hidden)'!AG138</f>
        <v>0</v>
      </c>
      <c r="AK156" s="95">
        <f>'Draw Calc (Hidden)'!AH138</f>
        <v>0</v>
      </c>
      <c r="AL156" s="95">
        <f>'Draw Calc (Hidden)'!AI138</f>
        <v>0</v>
      </c>
      <c r="AM156" s="95">
        <f>'Draw Calc (Hidden)'!AJ138</f>
        <v>0</v>
      </c>
      <c r="AN156" s="95">
        <f>'Draw Calc (Hidden)'!AK138</f>
        <v>0</v>
      </c>
      <c r="AO156" s="95">
        <f>'Draw Calc (Hidden)'!AL138</f>
        <v>0</v>
      </c>
    </row>
    <row r="157" spans="1:41" ht="15" customHeight="1" x14ac:dyDescent="0.2">
      <c r="A157" s="94" t="str">
        <f>'I_Budget Input Data'!B139</f>
        <v>5. PROFESSIONAL FEES</v>
      </c>
      <c r="B157" s="94" t="str">
        <f>'I_Budget Input Data'!C139</f>
        <v>Development services fees</v>
      </c>
      <c r="C157" s="95">
        <f>'I_Budget Input Data'!D139</f>
        <v>1325000</v>
      </c>
      <c r="D157" s="95">
        <f t="shared" si="8"/>
        <v>1304615.3846153843</v>
      </c>
      <c r="E157" s="95">
        <f t="shared" si="9"/>
        <v>20384.615384615725</v>
      </c>
      <c r="F157" s="95">
        <f>'Draw Calc (Hidden)'!C139</f>
        <v>122307.69230769231</v>
      </c>
      <c r="G157" s="95">
        <f>'Draw Calc (Hidden)'!D139</f>
        <v>122307.69230769231</v>
      </c>
      <c r="H157" s="95">
        <f>'Draw Calc (Hidden)'!E139</f>
        <v>122307.69230769231</v>
      </c>
      <c r="I157" s="95">
        <f>'Draw Calc (Hidden)'!F139</f>
        <v>122307.69230769231</v>
      </c>
      <c r="J157" s="95">
        <f>'Draw Calc (Hidden)'!G139</f>
        <v>122307.69230769231</v>
      </c>
      <c r="K157" s="95">
        <f>'Draw Calc (Hidden)'!H139</f>
        <v>122307.69230769231</v>
      </c>
      <c r="L157" s="95">
        <f>'Draw Calc (Hidden)'!I139</f>
        <v>81538.461538461532</v>
      </c>
      <c r="M157" s="95">
        <f>'Draw Calc (Hidden)'!J139</f>
        <v>81538.461538461532</v>
      </c>
      <c r="N157" s="95">
        <f>'Draw Calc (Hidden)'!K139</f>
        <v>81538.461538461532</v>
      </c>
      <c r="O157" s="95">
        <f>'Draw Calc (Hidden)'!L139</f>
        <v>81538.461538461532</v>
      </c>
      <c r="P157" s="95">
        <f>'Draw Calc (Hidden)'!M139</f>
        <v>81538.461538461532</v>
      </c>
      <c r="Q157" s="95">
        <f>'Draw Calc (Hidden)'!N139</f>
        <v>81538.461538461532</v>
      </c>
      <c r="R157" s="95">
        <f>'Draw Calc (Hidden)'!O139</f>
        <v>81538.461538461532</v>
      </c>
      <c r="S157" s="95">
        <f>'Draw Calc (Hidden)'!P139</f>
        <v>0</v>
      </c>
      <c r="T157" s="95">
        <f>'Draw Calc (Hidden)'!Q139</f>
        <v>0</v>
      </c>
      <c r="U157" s="95">
        <f>'Draw Calc (Hidden)'!R139</f>
        <v>0</v>
      </c>
      <c r="V157" s="95">
        <f>'Draw Calc (Hidden)'!S139</f>
        <v>0</v>
      </c>
      <c r="W157" s="95">
        <f>'Draw Calc (Hidden)'!T139</f>
        <v>0</v>
      </c>
      <c r="X157" s="95">
        <f>'Draw Calc (Hidden)'!U139</f>
        <v>0</v>
      </c>
      <c r="Y157" s="95">
        <f>'Draw Calc (Hidden)'!V139</f>
        <v>0</v>
      </c>
      <c r="Z157" s="95">
        <f>'Draw Calc (Hidden)'!W139</f>
        <v>0</v>
      </c>
      <c r="AA157" s="95">
        <f>'Draw Calc (Hidden)'!X139</f>
        <v>0</v>
      </c>
      <c r="AB157" s="95">
        <f>'Draw Calc (Hidden)'!Y139</f>
        <v>0</v>
      </c>
      <c r="AC157" s="95">
        <f>'Draw Calc (Hidden)'!Z139</f>
        <v>0</v>
      </c>
      <c r="AD157" s="95">
        <f>'Draw Calc (Hidden)'!AA139</f>
        <v>0</v>
      </c>
      <c r="AE157" s="95">
        <f>'Draw Calc (Hidden)'!AB139</f>
        <v>0</v>
      </c>
      <c r="AF157" s="95">
        <f>'Draw Calc (Hidden)'!AC139</f>
        <v>0</v>
      </c>
      <c r="AG157" s="95">
        <f>'Draw Calc (Hidden)'!AD139</f>
        <v>0</v>
      </c>
      <c r="AH157" s="95">
        <f>'Draw Calc (Hidden)'!AE139</f>
        <v>0</v>
      </c>
      <c r="AI157" s="95">
        <f>'Draw Calc (Hidden)'!AF139</f>
        <v>0</v>
      </c>
      <c r="AJ157" s="95">
        <f>'Draw Calc (Hidden)'!AG139</f>
        <v>0</v>
      </c>
      <c r="AK157" s="95">
        <f>'Draw Calc (Hidden)'!AH139</f>
        <v>0</v>
      </c>
      <c r="AL157" s="95">
        <f>'Draw Calc (Hidden)'!AI139</f>
        <v>0</v>
      </c>
      <c r="AM157" s="95">
        <f>'Draw Calc (Hidden)'!AJ139</f>
        <v>0</v>
      </c>
      <c r="AN157" s="95">
        <f>'Draw Calc (Hidden)'!AK139</f>
        <v>0</v>
      </c>
      <c r="AO157" s="95">
        <f>'Draw Calc (Hidden)'!AL139</f>
        <v>0</v>
      </c>
    </row>
    <row r="158" spans="1:41" ht="15" customHeight="1" x14ac:dyDescent="0.2">
      <c r="A158" s="94" t="str">
        <f>'I_Budget Input Data'!B140</f>
        <v>5. PROFESSIONAL FEES</v>
      </c>
      <c r="B158" s="94" t="str">
        <f>'I_Budget Input Data'!C140</f>
        <v>Engineer - civil</v>
      </c>
      <c r="C158" s="95">
        <f>'I_Budget Input Data'!D140</f>
        <v>227656</v>
      </c>
      <c r="D158" s="95">
        <f t="shared" si="8"/>
        <v>224153.60000000003</v>
      </c>
      <c r="E158" s="95">
        <f t="shared" si="9"/>
        <v>3502.3999999999651</v>
      </c>
      <c r="F158" s="95">
        <f>'Draw Calc (Hidden)'!C140</f>
        <v>21014.400000000001</v>
      </c>
      <c r="G158" s="95">
        <f>'Draw Calc (Hidden)'!D140</f>
        <v>21014.400000000001</v>
      </c>
      <c r="H158" s="95">
        <f>'Draw Calc (Hidden)'!E140</f>
        <v>21014.400000000001</v>
      </c>
      <c r="I158" s="95">
        <f>'Draw Calc (Hidden)'!F140</f>
        <v>21014.400000000001</v>
      </c>
      <c r="J158" s="95">
        <f>'Draw Calc (Hidden)'!G140</f>
        <v>21014.400000000001</v>
      </c>
      <c r="K158" s="95">
        <f>'Draw Calc (Hidden)'!H140</f>
        <v>21014.400000000001</v>
      </c>
      <c r="L158" s="95">
        <f>'Draw Calc (Hidden)'!I140</f>
        <v>14009.600000000002</v>
      </c>
      <c r="M158" s="95">
        <f>'Draw Calc (Hidden)'!J140</f>
        <v>14009.600000000002</v>
      </c>
      <c r="N158" s="95">
        <f>'Draw Calc (Hidden)'!K140</f>
        <v>14009.600000000002</v>
      </c>
      <c r="O158" s="95">
        <f>'Draw Calc (Hidden)'!L140</f>
        <v>14009.600000000002</v>
      </c>
      <c r="P158" s="95">
        <f>'Draw Calc (Hidden)'!M140</f>
        <v>14009.600000000002</v>
      </c>
      <c r="Q158" s="95">
        <f>'Draw Calc (Hidden)'!N140</f>
        <v>14009.600000000002</v>
      </c>
      <c r="R158" s="95">
        <f>'Draw Calc (Hidden)'!O140</f>
        <v>14009.600000000002</v>
      </c>
      <c r="S158" s="95">
        <f>'Draw Calc (Hidden)'!P140</f>
        <v>0</v>
      </c>
      <c r="T158" s="95">
        <f>'Draw Calc (Hidden)'!Q140</f>
        <v>0</v>
      </c>
      <c r="U158" s="95">
        <f>'Draw Calc (Hidden)'!R140</f>
        <v>0</v>
      </c>
      <c r="V158" s="95">
        <f>'Draw Calc (Hidden)'!S140</f>
        <v>0</v>
      </c>
      <c r="W158" s="95">
        <f>'Draw Calc (Hidden)'!T140</f>
        <v>0</v>
      </c>
      <c r="X158" s="95">
        <f>'Draw Calc (Hidden)'!U140</f>
        <v>0</v>
      </c>
      <c r="Y158" s="95">
        <f>'Draw Calc (Hidden)'!V140</f>
        <v>0</v>
      </c>
      <c r="Z158" s="95">
        <f>'Draw Calc (Hidden)'!W140</f>
        <v>0</v>
      </c>
      <c r="AA158" s="95">
        <f>'Draw Calc (Hidden)'!X140</f>
        <v>0</v>
      </c>
      <c r="AB158" s="95">
        <f>'Draw Calc (Hidden)'!Y140</f>
        <v>0</v>
      </c>
      <c r="AC158" s="95">
        <f>'Draw Calc (Hidden)'!Z140</f>
        <v>0</v>
      </c>
      <c r="AD158" s="95">
        <f>'Draw Calc (Hidden)'!AA140</f>
        <v>0</v>
      </c>
      <c r="AE158" s="95">
        <f>'Draw Calc (Hidden)'!AB140</f>
        <v>0</v>
      </c>
      <c r="AF158" s="95">
        <f>'Draw Calc (Hidden)'!AC140</f>
        <v>0</v>
      </c>
      <c r="AG158" s="95">
        <f>'Draw Calc (Hidden)'!AD140</f>
        <v>0</v>
      </c>
      <c r="AH158" s="95">
        <f>'Draw Calc (Hidden)'!AE140</f>
        <v>0</v>
      </c>
      <c r="AI158" s="95">
        <f>'Draw Calc (Hidden)'!AF140</f>
        <v>0</v>
      </c>
      <c r="AJ158" s="95">
        <f>'Draw Calc (Hidden)'!AG140</f>
        <v>0</v>
      </c>
      <c r="AK158" s="95">
        <f>'Draw Calc (Hidden)'!AH140</f>
        <v>0</v>
      </c>
      <c r="AL158" s="95">
        <f>'Draw Calc (Hidden)'!AI140</f>
        <v>0</v>
      </c>
      <c r="AM158" s="95">
        <f>'Draw Calc (Hidden)'!AJ140</f>
        <v>0</v>
      </c>
      <c r="AN158" s="95">
        <f>'Draw Calc (Hidden)'!AK140</f>
        <v>0</v>
      </c>
      <c r="AO158" s="95">
        <f>'Draw Calc (Hidden)'!AL140</f>
        <v>0</v>
      </c>
    </row>
    <row r="159" spans="1:41" ht="15" customHeight="1" x14ac:dyDescent="0.2">
      <c r="A159" s="94" t="str">
        <f>'I_Budget Input Data'!B141</f>
        <v>5. PROFESSIONAL FEES</v>
      </c>
      <c r="B159" s="94" t="str">
        <f>'I_Budget Input Data'!C141</f>
        <v>Engineer - electrical</v>
      </c>
      <c r="C159" s="95">
        <f>'I_Budget Input Data'!D141</f>
        <v>0</v>
      </c>
      <c r="D159" s="95">
        <f t="shared" si="8"/>
        <v>0</v>
      </c>
      <c r="E159" s="95">
        <f t="shared" si="9"/>
        <v>0</v>
      </c>
      <c r="F159" s="95">
        <f>'Draw Calc (Hidden)'!C141</f>
        <v>0</v>
      </c>
      <c r="G159" s="95">
        <f>'Draw Calc (Hidden)'!D141</f>
        <v>0</v>
      </c>
      <c r="H159" s="95">
        <f>'Draw Calc (Hidden)'!E141</f>
        <v>0</v>
      </c>
      <c r="I159" s="95">
        <f>'Draw Calc (Hidden)'!F141</f>
        <v>0</v>
      </c>
      <c r="J159" s="95">
        <f>'Draw Calc (Hidden)'!G141</f>
        <v>0</v>
      </c>
      <c r="K159" s="95">
        <f>'Draw Calc (Hidden)'!H141</f>
        <v>0</v>
      </c>
      <c r="L159" s="95">
        <f>'Draw Calc (Hidden)'!I141</f>
        <v>0</v>
      </c>
      <c r="M159" s="95">
        <f>'Draw Calc (Hidden)'!J141</f>
        <v>0</v>
      </c>
      <c r="N159" s="95">
        <f>'Draw Calc (Hidden)'!K141</f>
        <v>0</v>
      </c>
      <c r="O159" s="95">
        <f>'Draw Calc (Hidden)'!L141</f>
        <v>0</v>
      </c>
      <c r="P159" s="95">
        <f>'Draw Calc (Hidden)'!M141</f>
        <v>0</v>
      </c>
      <c r="Q159" s="95">
        <f>'Draw Calc (Hidden)'!N141</f>
        <v>0</v>
      </c>
      <c r="R159" s="95">
        <f>'Draw Calc (Hidden)'!O141</f>
        <v>0</v>
      </c>
      <c r="S159" s="95">
        <f>'Draw Calc (Hidden)'!P141</f>
        <v>0</v>
      </c>
      <c r="T159" s="95">
        <f>'Draw Calc (Hidden)'!Q141</f>
        <v>0</v>
      </c>
      <c r="U159" s="95">
        <f>'Draw Calc (Hidden)'!R141</f>
        <v>0</v>
      </c>
      <c r="V159" s="95">
        <f>'Draw Calc (Hidden)'!S141</f>
        <v>0</v>
      </c>
      <c r="W159" s="95">
        <f>'Draw Calc (Hidden)'!T141</f>
        <v>0</v>
      </c>
      <c r="X159" s="95">
        <f>'Draw Calc (Hidden)'!U141</f>
        <v>0</v>
      </c>
      <c r="Y159" s="95">
        <f>'Draw Calc (Hidden)'!V141</f>
        <v>0</v>
      </c>
      <c r="Z159" s="95">
        <f>'Draw Calc (Hidden)'!W141</f>
        <v>0</v>
      </c>
      <c r="AA159" s="95">
        <f>'Draw Calc (Hidden)'!X141</f>
        <v>0</v>
      </c>
      <c r="AB159" s="95">
        <f>'Draw Calc (Hidden)'!Y141</f>
        <v>0</v>
      </c>
      <c r="AC159" s="95">
        <f>'Draw Calc (Hidden)'!Z141</f>
        <v>0</v>
      </c>
      <c r="AD159" s="95">
        <f>'Draw Calc (Hidden)'!AA141</f>
        <v>0</v>
      </c>
      <c r="AE159" s="95">
        <f>'Draw Calc (Hidden)'!AB141</f>
        <v>0</v>
      </c>
      <c r="AF159" s="95">
        <f>'Draw Calc (Hidden)'!AC141</f>
        <v>0</v>
      </c>
      <c r="AG159" s="95">
        <f>'Draw Calc (Hidden)'!AD141</f>
        <v>0</v>
      </c>
      <c r="AH159" s="95">
        <f>'Draw Calc (Hidden)'!AE141</f>
        <v>0</v>
      </c>
      <c r="AI159" s="95">
        <f>'Draw Calc (Hidden)'!AF141</f>
        <v>0</v>
      </c>
      <c r="AJ159" s="95">
        <f>'Draw Calc (Hidden)'!AG141</f>
        <v>0</v>
      </c>
      <c r="AK159" s="95">
        <f>'Draw Calc (Hidden)'!AH141</f>
        <v>0</v>
      </c>
      <c r="AL159" s="95">
        <f>'Draw Calc (Hidden)'!AI141</f>
        <v>0</v>
      </c>
      <c r="AM159" s="95">
        <f>'Draw Calc (Hidden)'!AJ141</f>
        <v>0</v>
      </c>
      <c r="AN159" s="95">
        <f>'Draw Calc (Hidden)'!AK141</f>
        <v>0</v>
      </c>
      <c r="AO159" s="95">
        <f>'Draw Calc (Hidden)'!AL141</f>
        <v>0</v>
      </c>
    </row>
    <row r="160" spans="1:41" ht="15" customHeight="1" x14ac:dyDescent="0.2">
      <c r="A160" s="94" t="str">
        <f>'I_Budget Input Data'!B142</f>
        <v>5. PROFESSIONAL FEES</v>
      </c>
      <c r="B160" s="94" t="str">
        <f>'I_Budget Input Data'!C142</f>
        <v>Engineer - geothermal</v>
      </c>
      <c r="C160" s="95">
        <f>'I_Budget Input Data'!D142</f>
        <v>0</v>
      </c>
      <c r="D160" s="95">
        <f t="shared" si="8"/>
        <v>0</v>
      </c>
      <c r="E160" s="95">
        <f t="shared" si="9"/>
        <v>0</v>
      </c>
      <c r="F160" s="95">
        <f>'Draw Calc (Hidden)'!C142</f>
        <v>0</v>
      </c>
      <c r="G160" s="95">
        <f>'Draw Calc (Hidden)'!D142</f>
        <v>0</v>
      </c>
      <c r="H160" s="95">
        <f>'Draw Calc (Hidden)'!E142</f>
        <v>0</v>
      </c>
      <c r="I160" s="95">
        <f>'Draw Calc (Hidden)'!F142</f>
        <v>0</v>
      </c>
      <c r="J160" s="95">
        <f>'Draw Calc (Hidden)'!G142</f>
        <v>0</v>
      </c>
      <c r="K160" s="95">
        <f>'Draw Calc (Hidden)'!H142</f>
        <v>0</v>
      </c>
      <c r="L160" s="95">
        <f>'Draw Calc (Hidden)'!I142</f>
        <v>0</v>
      </c>
      <c r="M160" s="95">
        <f>'Draw Calc (Hidden)'!J142</f>
        <v>0</v>
      </c>
      <c r="N160" s="95">
        <f>'Draw Calc (Hidden)'!K142</f>
        <v>0</v>
      </c>
      <c r="O160" s="95">
        <f>'Draw Calc (Hidden)'!L142</f>
        <v>0</v>
      </c>
      <c r="P160" s="95">
        <f>'Draw Calc (Hidden)'!M142</f>
        <v>0</v>
      </c>
      <c r="Q160" s="95">
        <f>'Draw Calc (Hidden)'!N142</f>
        <v>0</v>
      </c>
      <c r="R160" s="95">
        <f>'Draw Calc (Hidden)'!O142</f>
        <v>0</v>
      </c>
      <c r="S160" s="95">
        <f>'Draw Calc (Hidden)'!P142</f>
        <v>0</v>
      </c>
      <c r="T160" s="95">
        <f>'Draw Calc (Hidden)'!Q142</f>
        <v>0</v>
      </c>
      <c r="U160" s="95">
        <f>'Draw Calc (Hidden)'!R142</f>
        <v>0</v>
      </c>
      <c r="V160" s="95">
        <f>'Draw Calc (Hidden)'!S142</f>
        <v>0</v>
      </c>
      <c r="W160" s="95">
        <f>'Draw Calc (Hidden)'!T142</f>
        <v>0</v>
      </c>
      <c r="X160" s="95">
        <f>'Draw Calc (Hidden)'!U142</f>
        <v>0</v>
      </c>
      <c r="Y160" s="95">
        <f>'Draw Calc (Hidden)'!V142</f>
        <v>0</v>
      </c>
      <c r="Z160" s="95">
        <f>'Draw Calc (Hidden)'!W142</f>
        <v>0</v>
      </c>
      <c r="AA160" s="95">
        <f>'Draw Calc (Hidden)'!X142</f>
        <v>0</v>
      </c>
      <c r="AB160" s="95">
        <f>'Draw Calc (Hidden)'!Y142</f>
        <v>0</v>
      </c>
      <c r="AC160" s="95">
        <f>'Draw Calc (Hidden)'!Z142</f>
        <v>0</v>
      </c>
      <c r="AD160" s="95">
        <f>'Draw Calc (Hidden)'!AA142</f>
        <v>0</v>
      </c>
      <c r="AE160" s="95">
        <f>'Draw Calc (Hidden)'!AB142</f>
        <v>0</v>
      </c>
      <c r="AF160" s="95">
        <f>'Draw Calc (Hidden)'!AC142</f>
        <v>0</v>
      </c>
      <c r="AG160" s="95">
        <f>'Draw Calc (Hidden)'!AD142</f>
        <v>0</v>
      </c>
      <c r="AH160" s="95">
        <f>'Draw Calc (Hidden)'!AE142</f>
        <v>0</v>
      </c>
      <c r="AI160" s="95">
        <f>'Draw Calc (Hidden)'!AF142</f>
        <v>0</v>
      </c>
      <c r="AJ160" s="95">
        <f>'Draw Calc (Hidden)'!AG142</f>
        <v>0</v>
      </c>
      <c r="AK160" s="95">
        <f>'Draw Calc (Hidden)'!AH142</f>
        <v>0</v>
      </c>
      <c r="AL160" s="95">
        <f>'Draw Calc (Hidden)'!AI142</f>
        <v>0</v>
      </c>
      <c r="AM160" s="95">
        <f>'Draw Calc (Hidden)'!AJ142</f>
        <v>0</v>
      </c>
      <c r="AN160" s="95">
        <f>'Draw Calc (Hidden)'!AK142</f>
        <v>0</v>
      </c>
      <c r="AO160" s="95">
        <f>'Draw Calc (Hidden)'!AL142</f>
        <v>0</v>
      </c>
    </row>
    <row r="161" spans="1:41" ht="15" customHeight="1" x14ac:dyDescent="0.2">
      <c r="A161" s="94" t="str">
        <f>'I_Budget Input Data'!B143</f>
        <v>5. PROFESSIONAL FEES</v>
      </c>
      <c r="B161" s="94" t="str">
        <f>'I_Budget Input Data'!C143</f>
        <v>Engineer - mechanical</v>
      </c>
      <c r="C161" s="95">
        <f>'I_Budget Input Data'!D143</f>
        <v>89984</v>
      </c>
      <c r="D161" s="95">
        <f t="shared" si="8"/>
        <v>88599.630769230731</v>
      </c>
      <c r="E161" s="95">
        <f t="shared" si="9"/>
        <v>1384.3692307692691</v>
      </c>
      <c r="F161" s="95">
        <f>'Draw Calc (Hidden)'!C143</f>
        <v>8306.2153846153851</v>
      </c>
      <c r="G161" s="95">
        <f>'Draw Calc (Hidden)'!D143</f>
        <v>8306.2153846153851</v>
      </c>
      <c r="H161" s="95">
        <f>'Draw Calc (Hidden)'!E143</f>
        <v>8306.2153846153851</v>
      </c>
      <c r="I161" s="95">
        <f>'Draw Calc (Hidden)'!F143</f>
        <v>8306.2153846153851</v>
      </c>
      <c r="J161" s="95">
        <f>'Draw Calc (Hidden)'!G143</f>
        <v>8306.2153846153851</v>
      </c>
      <c r="K161" s="95">
        <f>'Draw Calc (Hidden)'!H143</f>
        <v>8306.2153846153851</v>
      </c>
      <c r="L161" s="95">
        <f>'Draw Calc (Hidden)'!I143</f>
        <v>5537.4769230769225</v>
      </c>
      <c r="M161" s="95">
        <f>'Draw Calc (Hidden)'!J143</f>
        <v>5537.4769230769225</v>
      </c>
      <c r="N161" s="95">
        <f>'Draw Calc (Hidden)'!K143</f>
        <v>5537.4769230769225</v>
      </c>
      <c r="O161" s="95">
        <f>'Draw Calc (Hidden)'!L143</f>
        <v>5537.4769230769225</v>
      </c>
      <c r="P161" s="95">
        <f>'Draw Calc (Hidden)'!M143</f>
        <v>5537.4769230769225</v>
      </c>
      <c r="Q161" s="95">
        <f>'Draw Calc (Hidden)'!N143</f>
        <v>5537.4769230769225</v>
      </c>
      <c r="R161" s="95">
        <f>'Draw Calc (Hidden)'!O143</f>
        <v>5537.4769230769225</v>
      </c>
      <c r="S161" s="95">
        <f>'Draw Calc (Hidden)'!P143</f>
        <v>0</v>
      </c>
      <c r="T161" s="95">
        <f>'Draw Calc (Hidden)'!Q143</f>
        <v>0</v>
      </c>
      <c r="U161" s="95">
        <f>'Draw Calc (Hidden)'!R143</f>
        <v>0</v>
      </c>
      <c r="V161" s="95">
        <f>'Draw Calc (Hidden)'!S143</f>
        <v>0</v>
      </c>
      <c r="W161" s="95">
        <f>'Draw Calc (Hidden)'!T143</f>
        <v>0</v>
      </c>
      <c r="X161" s="95">
        <f>'Draw Calc (Hidden)'!U143</f>
        <v>0</v>
      </c>
      <c r="Y161" s="95">
        <f>'Draw Calc (Hidden)'!V143</f>
        <v>0</v>
      </c>
      <c r="Z161" s="95">
        <f>'Draw Calc (Hidden)'!W143</f>
        <v>0</v>
      </c>
      <c r="AA161" s="95">
        <f>'Draw Calc (Hidden)'!X143</f>
        <v>0</v>
      </c>
      <c r="AB161" s="95">
        <f>'Draw Calc (Hidden)'!Y143</f>
        <v>0</v>
      </c>
      <c r="AC161" s="95">
        <f>'Draw Calc (Hidden)'!Z143</f>
        <v>0</v>
      </c>
      <c r="AD161" s="95">
        <f>'Draw Calc (Hidden)'!AA143</f>
        <v>0</v>
      </c>
      <c r="AE161" s="95">
        <f>'Draw Calc (Hidden)'!AB143</f>
        <v>0</v>
      </c>
      <c r="AF161" s="95">
        <f>'Draw Calc (Hidden)'!AC143</f>
        <v>0</v>
      </c>
      <c r="AG161" s="95">
        <f>'Draw Calc (Hidden)'!AD143</f>
        <v>0</v>
      </c>
      <c r="AH161" s="95">
        <f>'Draw Calc (Hidden)'!AE143</f>
        <v>0</v>
      </c>
      <c r="AI161" s="95">
        <f>'Draw Calc (Hidden)'!AF143</f>
        <v>0</v>
      </c>
      <c r="AJ161" s="95">
        <f>'Draw Calc (Hidden)'!AG143</f>
        <v>0</v>
      </c>
      <c r="AK161" s="95">
        <f>'Draw Calc (Hidden)'!AH143</f>
        <v>0</v>
      </c>
      <c r="AL161" s="95">
        <f>'Draw Calc (Hidden)'!AI143</f>
        <v>0</v>
      </c>
      <c r="AM161" s="95">
        <f>'Draw Calc (Hidden)'!AJ143</f>
        <v>0</v>
      </c>
      <c r="AN161" s="95">
        <f>'Draw Calc (Hidden)'!AK143</f>
        <v>0</v>
      </c>
      <c r="AO161" s="95">
        <f>'Draw Calc (Hidden)'!AL143</f>
        <v>0</v>
      </c>
    </row>
    <row r="162" spans="1:41" ht="15" customHeight="1" x14ac:dyDescent="0.2">
      <c r="A162" s="94" t="str">
        <f>'I_Budget Input Data'!B144</f>
        <v>5. PROFESSIONAL FEES</v>
      </c>
      <c r="B162" s="94" t="str">
        <f>'I_Budget Input Data'!C144</f>
        <v>Engineer - structural</v>
      </c>
      <c r="C162" s="95">
        <f>'I_Budget Input Data'!D144</f>
        <v>158013</v>
      </c>
      <c r="D162" s="95">
        <f t="shared" si="8"/>
        <v>155582.03076923077</v>
      </c>
      <c r="E162" s="95">
        <f t="shared" si="9"/>
        <v>2430.9692307692312</v>
      </c>
      <c r="F162" s="95">
        <f>'Draw Calc (Hidden)'!C144</f>
        <v>14585.815384615385</v>
      </c>
      <c r="G162" s="95">
        <f>'Draw Calc (Hidden)'!D144</f>
        <v>14585.815384615385</v>
      </c>
      <c r="H162" s="95">
        <f>'Draw Calc (Hidden)'!E144</f>
        <v>14585.815384615385</v>
      </c>
      <c r="I162" s="95">
        <f>'Draw Calc (Hidden)'!F144</f>
        <v>14585.815384615385</v>
      </c>
      <c r="J162" s="95">
        <f>'Draw Calc (Hidden)'!G144</f>
        <v>14585.815384615385</v>
      </c>
      <c r="K162" s="95">
        <f>'Draw Calc (Hidden)'!H144</f>
        <v>14585.815384615385</v>
      </c>
      <c r="L162" s="95">
        <f>'Draw Calc (Hidden)'!I144</f>
        <v>9723.876923076923</v>
      </c>
      <c r="M162" s="95">
        <f>'Draw Calc (Hidden)'!J144</f>
        <v>9723.876923076923</v>
      </c>
      <c r="N162" s="95">
        <f>'Draw Calc (Hidden)'!K144</f>
        <v>9723.876923076923</v>
      </c>
      <c r="O162" s="95">
        <f>'Draw Calc (Hidden)'!L144</f>
        <v>9723.876923076923</v>
      </c>
      <c r="P162" s="95">
        <f>'Draw Calc (Hidden)'!M144</f>
        <v>9723.876923076923</v>
      </c>
      <c r="Q162" s="95">
        <f>'Draw Calc (Hidden)'!N144</f>
        <v>9723.876923076923</v>
      </c>
      <c r="R162" s="95">
        <f>'Draw Calc (Hidden)'!O144</f>
        <v>9723.876923076923</v>
      </c>
      <c r="S162" s="95">
        <f>'Draw Calc (Hidden)'!P144</f>
        <v>0</v>
      </c>
      <c r="T162" s="95">
        <f>'Draw Calc (Hidden)'!Q144</f>
        <v>0</v>
      </c>
      <c r="U162" s="95">
        <f>'Draw Calc (Hidden)'!R144</f>
        <v>0</v>
      </c>
      <c r="V162" s="95">
        <f>'Draw Calc (Hidden)'!S144</f>
        <v>0</v>
      </c>
      <c r="W162" s="95">
        <f>'Draw Calc (Hidden)'!T144</f>
        <v>0</v>
      </c>
      <c r="X162" s="95">
        <f>'Draw Calc (Hidden)'!U144</f>
        <v>0</v>
      </c>
      <c r="Y162" s="95">
        <f>'Draw Calc (Hidden)'!V144</f>
        <v>0</v>
      </c>
      <c r="Z162" s="95">
        <f>'Draw Calc (Hidden)'!W144</f>
        <v>0</v>
      </c>
      <c r="AA162" s="95">
        <f>'Draw Calc (Hidden)'!X144</f>
        <v>0</v>
      </c>
      <c r="AB162" s="95">
        <f>'Draw Calc (Hidden)'!Y144</f>
        <v>0</v>
      </c>
      <c r="AC162" s="95">
        <f>'Draw Calc (Hidden)'!Z144</f>
        <v>0</v>
      </c>
      <c r="AD162" s="95">
        <f>'Draw Calc (Hidden)'!AA144</f>
        <v>0</v>
      </c>
      <c r="AE162" s="95">
        <f>'Draw Calc (Hidden)'!AB144</f>
        <v>0</v>
      </c>
      <c r="AF162" s="95">
        <f>'Draw Calc (Hidden)'!AC144</f>
        <v>0</v>
      </c>
      <c r="AG162" s="95">
        <f>'Draw Calc (Hidden)'!AD144</f>
        <v>0</v>
      </c>
      <c r="AH162" s="95">
        <f>'Draw Calc (Hidden)'!AE144</f>
        <v>0</v>
      </c>
      <c r="AI162" s="95">
        <f>'Draw Calc (Hidden)'!AF144</f>
        <v>0</v>
      </c>
      <c r="AJ162" s="95">
        <f>'Draw Calc (Hidden)'!AG144</f>
        <v>0</v>
      </c>
      <c r="AK162" s="95">
        <f>'Draw Calc (Hidden)'!AH144</f>
        <v>0</v>
      </c>
      <c r="AL162" s="95">
        <f>'Draw Calc (Hidden)'!AI144</f>
        <v>0</v>
      </c>
      <c r="AM162" s="95">
        <f>'Draw Calc (Hidden)'!AJ144</f>
        <v>0</v>
      </c>
      <c r="AN162" s="95">
        <f>'Draw Calc (Hidden)'!AK144</f>
        <v>0</v>
      </c>
      <c r="AO162" s="95">
        <f>'Draw Calc (Hidden)'!AL144</f>
        <v>0</v>
      </c>
    </row>
    <row r="163" spans="1:41" ht="15" customHeight="1" x14ac:dyDescent="0.2">
      <c r="A163" s="94" t="str">
        <f>'I_Budget Input Data'!B145</f>
        <v>5. PROFESSIONAL FEES</v>
      </c>
      <c r="B163" s="94" t="str">
        <f>'I_Budget Input Data'!C145</f>
        <v>Environmental - Phases I/II</v>
      </c>
      <c r="C163" s="95">
        <f>'I_Budget Input Data'!D145</f>
        <v>17708</v>
      </c>
      <c r="D163" s="95">
        <f t="shared" si="8"/>
        <v>17435.569230769233</v>
      </c>
      <c r="E163" s="95">
        <f t="shared" si="9"/>
        <v>272.4307692307666</v>
      </c>
      <c r="F163" s="95">
        <f>'Draw Calc (Hidden)'!C145</f>
        <v>1634.5846153846153</v>
      </c>
      <c r="G163" s="95">
        <f>'Draw Calc (Hidden)'!D145</f>
        <v>1634.5846153846153</v>
      </c>
      <c r="H163" s="95">
        <f>'Draw Calc (Hidden)'!E145</f>
        <v>1634.5846153846153</v>
      </c>
      <c r="I163" s="95">
        <f>'Draw Calc (Hidden)'!F145</f>
        <v>1634.5846153846153</v>
      </c>
      <c r="J163" s="95">
        <f>'Draw Calc (Hidden)'!G145</f>
        <v>1634.5846153846153</v>
      </c>
      <c r="K163" s="95">
        <f>'Draw Calc (Hidden)'!H145</f>
        <v>1634.5846153846153</v>
      </c>
      <c r="L163" s="95">
        <f>'Draw Calc (Hidden)'!I145</f>
        <v>1089.7230769230771</v>
      </c>
      <c r="M163" s="95">
        <f>'Draw Calc (Hidden)'!J145</f>
        <v>1089.7230769230771</v>
      </c>
      <c r="N163" s="95">
        <f>'Draw Calc (Hidden)'!K145</f>
        <v>1089.7230769230771</v>
      </c>
      <c r="O163" s="95">
        <f>'Draw Calc (Hidden)'!L145</f>
        <v>1089.7230769230771</v>
      </c>
      <c r="P163" s="95">
        <f>'Draw Calc (Hidden)'!M145</f>
        <v>1089.7230769230771</v>
      </c>
      <c r="Q163" s="95">
        <f>'Draw Calc (Hidden)'!N145</f>
        <v>1089.7230769230771</v>
      </c>
      <c r="R163" s="95">
        <f>'Draw Calc (Hidden)'!O145</f>
        <v>1089.7230769230771</v>
      </c>
      <c r="S163" s="95">
        <f>'Draw Calc (Hidden)'!P145</f>
        <v>0</v>
      </c>
      <c r="T163" s="95">
        <f>'Draw Calc (Hidden)'!Q145</f>
        <v>0</v>
      </c>
      <c r="U163" s="95">
        <f>'Draw Calc (Hidden)'!R145</f>
        <v>0</v>
      </c>
      <c r="V163" s="95">
        <f>'Draw Calc (Hidden)'!S145</f>
        <v>0</v>
      </c>
      <c r="W163" s="95">
        <f>'Draw Calc (Hidden)'!T145</f>
        <v>0</v>
      </c>
      <c r="X163" s="95">
        <f>'Draw Calc (Hidden)'!U145</f>
        <v>0</v>
      </c>
      <c r="Y163" s="95">
        <f>'Draw Calc (Hidden)'!V145</f>
        <v>0</v>
      </c>
      <c r="Z163" s="95">
        <f>'Draw Calc (Hidden)'!W145</f>
        <v>0</v>
      </c>
      <c r="AA163" s="95">
        <f>'Draw Calc (Hidden)'!X145</f>
        <v>0</v>
      </c>
      <c r="AB163" s="95">
        <f>'Draw Calc (Hidden)'!Y145</f>
        <v>0</v>
      </c>
      <c r="AC163" s="95">
        <f>'Draw Calc (Hidden)'!Z145</f>
        <v>0</v>
      </c>
      <c r="AD163" s="95">
        <f>'Draw Calc (Hidden)'!AA145</f>
        <v>0</v>
      </c>
      <c r="AE163" s="95">
        <f>'Draw Calc (Hidden)'!AB145</f>
        <v>0</v>
      </c>
      <c r="AF163" s="95">
        <f>'Draw Calc (Hidden)'!AC145</f>
        <v>0</v>
      </c>
      <c r="AG163" s="95">
        <f>'Draw Calc (Hidden)'!AD145</f>
        <v>0</v>
      </c>
      <c r="AH163" s="95">
        <f>'Draw Calc (Hidden)'!AE145</f>
        <v>0</v>
      </c>
      <c r="AI163" s="95">
        <f>'Draw Calc (Hidden)'!AF145</f>
        <v>0</v>
      </c>
      <c r="AJ163" s="95">
        <f>'Draw Calc (Hidden)'!AG145</f>
        <v>0</v>
      </c>
      <c r="AK163" s="95">
        <f>'Draw Calc (Hidden)'!AH145</f>
        <v>0</v>
      </c>
      <c r="AL163" s="95">
        <f>'Draw Calc (Hidden)'!AI145</f>
        <v>0</v>
      </c>
      <c r="AM163" s="95">
        <f>'Draw Calc (Hidden)'!AJ145</f>
        <v>0</v>
      </c>
      <c r="AN163" s="95">
        <f>'Draw Calc (Hidden)'!AK145</f>
        <v>0</v>
      </c>
      <c r="AO163" s="95">
        <f>'Draw Calc (Hidden)'!AL145</f>
        <v>0</v>
      </c>
    </row>
    <row r="164" spans="1:41" ht="15" customHeight="1" x14ac:dyDescent="0.2">
      <c r="A164" s="94" t="str">
        <f>'I_Budget Input Data'!B146</f>
        <v>5. PROFESSIONAL FEES</v>
      </c>
      <c r="B164" s="94" t="str">
        <f>'I_Budget Input Data'!C146</f>
        <v>Land survey, certificate of location</v>
      </c>
      <c r="C164" s="95">
        <f>'I_Budget Input Data'!D146</f>
        <v>5000</v>
      </c>
      <c r="D164" s="95">
        <f t="shared" si="8"/>
        <v>4923.0769230769229</v>
      </c>
      <c r="E164" s="95">
        <f t="shared" si="9"/>
        <v>76.923076923077133</v>
      </c>
      <c r="F164" s="95">
        <f>'Draw Calc (Hidden)'!C146</f>
        <v>461.53846153846155</v>
      </c>
      <c r="G164" s="95">
        <f>'Draw Calc (Hidden)'!D146</f>
        <v>461.53846153846155</v>
      </c>
      <c r="H164" s="95">
        <f>'Draw Calc (Hidden)'!E146</f>
        <v>461.53846153846155</v>
      </c>
      <c r="I164" s="95">
        <f>'Draw Calc (Hidden)'!F146</f>
        <v>461.53846153846155</v>
      </c>
      <c r="J164" s="95">
        <f>'Draw Calc (Hidden)'!G146</f>
        <v>461.53846153846155</v>
      </c>
      <c r="K164" s="95">
        <f>'Draw Calc (Hidden)'!H146</f>
        <v>461.53846153846155</v>
      </c>
      <c r="L164" s="95">
        <f>'Draw Calc (Hidden)'!I146</f>
        <v>307.69230769230768</v>
      </c>
      <c r="M164" s="95">
        <f>'Draw Calc (Hidden)'!J146</f>
        <v>307.69230769230768</v>
      </c>
      <c r="N164" s="95">
        <f>'Draw Calc (Hidden)'!K146</f>
        <v>307.69230769230768</v>
      </c>
      <c r="O164" s="95">
        <f>'Draw Calc (Hidden)'!L146</f>
        <v>307.69230769230768</v>
      </c>
      <c r="P164" s="95">
        <f>'Draw Calc (Hidden)'!M146</f>
        <v>307.69230769230768</v>
      </c>
      <c r="Q164" s="95">
        <f>'Draw Calc (Hidden)'!N146</f>
        <v>307.69230769230768</v>
      </c>
      <c r="R164" s="95">
        <f>'Draw Calc (Hidden)'!O146</f>
        <v>307.69230769230768</v>
      </c>
      <c r="S164" s="95">
        <f>'Draw Calc (Hidden)'!P146</f>
        <v>0</v>
      </c>
      <c r="T164" s="95">
        <f>'Draw Calc (Hidden)'!Q146</f>
        <v>0</v>
      </c>
      <c r="U164" s="95">
        <f>'Draw Calc (Hidden)'!R146</f>
        <v>0</v>
      </c>
      <c r="V164" s="95">
        <f>'Draw Calc (Hidden)'!S146</f>
        <v>0</v>
      </c>
      <c r="W164" s="95">
        <f>'Draw Calc (Hidden)'!T146</f>
        <v>0</v>
      </c>
      <c r="X164" s="95">
        <f>'Draw Calc (Hidden)'!U146</f>
        <v>0</v>
      </c>
      <c r="Y164" s="95">
        <f>'Draw Calc (Hidden)'!V146</f>
        <v>0</v>
      </c>
      <c r="Z164" s="95">
        <f>'Draw Calc (Hidden)'!W146</f>
        <v>0</v>
      </c>
      <c r="AA164" s="95">
        <f>'Draw Calc (Hidden)'!X146</f>
        <v>0</v>
      </c>
      <c r="AB164" s="95">
        <f>'Draw Calc (Hidden)'!Y146</f>
        <v>0</v>
      </c>
      <c r="AC164" s="95">
        <f>'Draw Calc (Hidden)'!Z146</f>
        <v>0</v>
      </c>
      <c r="AD164" s="95">
        <f>'Draw Calc (Hidden)'!AA146</f>
        <v>0</v>
      </c>
      <c r="AE164" s="95">
        <f>'Draw Calc (Hidden)'!AB146</f>
        <v>0</v>
      </c>
      <c r="AF164" s="95">
        <f>'Draw Calc (Hidden)'!AC146</f>
        <v>0</v>
      </c>
      <c r="AG164" s="95">
        <f>'Draw Calc (Hidden)'!AD146</f>
        <v>0</v>
      </c>
      <c r="AH164" s="95">
        <f>'Draw Calc (Hidden)'!AE146</f>
        <v>0</v>
      </c>
      <c r="AI164" s="95">
        <f>'Draw Calc (Hidden)'!AF146</f>
        <v>0</v>
      </c>
      <c r="AJ164" s="95">
        <f>'Draw Calc (Hidden)'!AG146</f>
        <v>0</v>
      </c>
      <c r="AK164" s="95">
        <f>'Draw Calc (Hidden)'!AH146</f>
        <v>0</v>
      </c>
      <c r="AL164" s="95">
        <f>'Draw Calc (Hidden)'!AI146</f>
        <v>0</v>
      </c>
      <c r="AM164" s="95">
        <f>'Draw Calc (Hidden)'!AJ146</f>
        <v>0</v>
      </c>
      <c r="AN164" s="95">
        <f>'Draw Calc (Hidden)'!AK146</f>
        <v>0</v>
      </c>
      <c r="AO164" s="95">
        <f>'Draw Calc (Hidden)'!AL146</f>
        <v>0</v>
      </c>
    </row>
    <row r="165" spans="1:41" ht="15" customHeight="1" x14ac:dyDescent="0.2">
      <c r="A165" s="94" t="str">
        <f>'I_Budget Input Data'!B147</f>
        <v>5. PROFESSIONAL FEES</v>
      </c>
      <c r="B165" s="94" t="str">
        <f>'I_Budget Input Data'!C147</f>
        <v>Landscape architect</v>
      </c>
      <c r="C165" s="95">
        <f>'I_Budget Input Data'!D147</f>
        <v>81864</v>
      </c>
      <c r="D165" s="95">
        <f t="shared" si="8"/>
        <v>80604.553846153867</v>
      </c>
      <c r="E165" s="95">
        <f t="shared" si="9"/>
        <v>1259.4461538461328</v>
      </c>
      <c r="F165" s="95">
        <f>'Draw Calc (Hidden)'!C147</f>
        <v>7556.6769230769232</v>
      </c>
      <c r="G165" s="95">
        <f>'Draw Calc (Hidden)'!D147</f>
        <v>7556.6769230769232</v>
      </c>
      <c r="H165" s="95">
        <f>'Draw Calc (Hidden)'!E147</f>
        <v>7556.6769230769232</v>
      </c>
      <c r="I165" s="95">
        <f>'Draw Calc (Hidden)'!F147</f>
        <v>7556.6769230769232</v>
      </c>
      <c r="J165" s="95">
        <f>'Draw Calc (Hidden)'!G147</f>
        <v>7556.6769230769232</v>
      </c>
      <c r="K165" s="95">
        <f>'Draw Calc (Hidden)'!H147</f>
        <v>7556.6769230769232</v>
      </c>
      <c r="L165" s="95">
        <f>'Draw Calc (Hidden)'!I147</f>
        <v>5037.7846153846158</v>
      </c>
      <c r="M165" s="95">
        <f>'Draw Calc (Hidden)'!J147</f>
        <v>5037.7846153846158</v>
      </c>
      <c r="N165" s="95">
        <f>'Draw Calc (Hidden)'!K147</f>
        <v>5037.7846153846158</v>
      </c>
      <c r="O165" s="95">
        <f>'Draw Calc (Hidden)'!L147</f>
        <v>5037.7846153846158</v>
      </c>
      <c r="P165" s="95">
        <f>'Draw Calc (Hidden)'!M147</f>
        <v>5037.7846153846158</v>
      </c>
      <c r="Q165" s="95">
        <f>'Draw Calc (Hidden)'!N147</f>
        <v>5037.7846153846158</v>
      </c>
      <c r="R165" s="95">
        <f>'Draw Calc (Hidden)'!O147</f>
        <v>5037.7846153846158</v>
      </c>
      <c r="S165" s="95">
        <f>'Draw Calc (Hidden)'!P147</f>
        <v>0</v>
      </c>
      <c r="T165" s="95">
        <f>'Draw Calc (Hidden)'!Q147</f>
        <v>0</v>
      </c>
      <c r="U165" s="95">
        <f>'Draw Calc (Hidden)'!R147</f>
        <v>0</v>
      </c>
      <c r="V165" s="95">
        <f>'Draw Calc (Hidden)'!S147</f>
        <v>0</v>
      </c>
      <c r="W165" s="95">
        <f>'Draw Calc (Hidden)'!T147</f>
        <v>0</v>
      </c>
      <c r="X165" s="95">
        <f>'Draw Calc (Hidden)'!U147</f>
        <v>0</v>
      </c>
      <c r="Y165" s="95">
        <f>'Draw Calc (Hidden)'!V147</f>
        <v>0</v>
      </c>
      <c r="Z165" s="95">
        <f>'Draw Calc (Hidden)'!W147</f>
        <v>0</v>
      </c>
      <c r="AA165" s="95">
        <f>'Draw Calc (Hidden)'!X147</f>
        <v>0</v>
      </c>
      <c r="AB165" s="95">
        <f>'Draw Calc (Hidden)'!Y147</f>
        <v>0</v>
      </c>
      <c r="AC165" s="95">
        <f>'Draw Calc (Hidden)'!Z147</f>
        <v>0</v>
      </c>
      <c r="AD165" s="95">
        <f>'Draw Calc (Hidden)'!AA147</f>
        <v>0</v>
      </c>
      <c r="AE165" s="95">
        <f>'Draw Calc (Hidden)'!AB147</f>
        <v>0</v>
      </c>
      <c r="AF165" s="95">
        <f>'Draw Calc (Hidden)'!AC147</f>
        <v>0</v>
      </c>
      <c r="AG165" s="95">
        <f>'Draw Calc (Hidden)'!AD147</f>
        <v>0</v>
      </c>
      <c r="AH165" s="95">
        <f>'Draw Calc (Hidden)'!AE147</f>
        <v>0</v>
      </c>
      <c r="AI165" s="95">
        <f>'Draw Calc (Hidden)'!AF147</f>
        <v>0</v>
      </c>
      <c r="AJ165" s="95">
        <f>'Draw Calc (Hidden)'!AG147</f>
        <v>0</v>
      </c>
      <c r="AK165" s="95">
        <f>'Draw Calc (Hidden)'!AH147</f>
        <v>0</v>
      </c>
      <c r="AL165" s="95">
        <f>'Draw Calc (Hidden)'!AI147</f>
        <v>0</v>
      </c>
      <c r="AM165" s="95">
        <f>'Draw Calc (Hidden)'!AJ147</f>
        <v>0</v>
      </c>
      <c r="AN165" s="95">
        <f>'Draw Calc (Hidden)'!AK147</f>
        <v>0</v>
      </c>
      <c r="AO165" s="95">
        <f>'Draw Calc (Hidden)'!AL147</f>
        <v>0</v>
      </c>
    </row>
    <row r="166" spans="1:41" ht="15" customHeight="1" x14ac:dyDescent="0.2">
      <c r="A166" s="94" t="str">
        <f>'I_Budget Input Data'!B148</f>
        <v>5. PROFESSIONAL FEES</v>
      </c>
      <c r="B166" s="94" t="str">
        <f>'I_Budget Input Data'!C148</f>
        <v>Legal</v>
      </c>
      <c r="C166" s="95">
        <f>'I_Budget Input Data'!D148</f>
        <v>64523</v>
      </c>
      <c r="D166" s="95">
        <f t="shared" si="8"/>
        <v>63530.338461538442</v>
      </c>
      <c r="E166" s="95">
        <f t="shared" si="9"/>
        <v>992.66153846155794</v>
      </c>
      <c r="F166" s="95">
        <f>'Draw Calc (Hidden)'!C148</f>
        <v>5955.9692307692303</v>
      </c>
      <c r="G166" s="95">
        <f>'Draw Calc (Hidden)'!D148</f>
        <v>5955.9692307692303</v>
      </c>
      <c r="H166" s="95">
        <f>'Draw Calc (Hidden)'!E148</f>
        <v>5955.9692307692303</v>
      </c>
      <c r="I166" s="95">
        <f>'Draw Calc (Hidden)'!F148</f>
        <v>5955.9692307692303</v>
      </c>
      <c r="J166" s="95">
        <f>'Draw Calc (Hidden)'!G148</f>
        <v>5955.9692307692303</v>
      </c>
      <c r="K166" s="95">
        <f>'Draw Calc (Hidden)'!H148</f>
        <v>5955.9692307692303</v>
      </c>
      <c r="L166" s="95">
        <f>'Draw Calc (Hidden)'!I148</f>
        <v>3970.646153846154</v>
      </c>
      <c r="M166" s="95">
        <f>'Draw Calc (Hidden)'!J148</f>
        <v>3970.646153846154</v>
      </c>
      <c r="N166" s="95">
        <f>'Draw Calc (Hidden)'!K148</f>
        <v>3970.646153846154</v>
      </c>
      <c r="O166" s="95">
        <f>'Draw Calc (Hidden)'!L148</f>
        <v>3970.646153846154</v>
      </c>
      <c r="P166" s="95">
        <f>'Draw Calc (Hidden)'!M148</f>
        <v>3970.646153846154</v>
      </c>
      <c r="Q166" s="95">
        <f>'Draw Calc (Hidden)'!N148</f>
        <v>3970.646153846154</v>
      </c>
      <c r="R166" s="95">
        <f>'Draw Calc (Hidden)'!O148</f>
        <v>3970.646153846154</v>
      </c>
      <c r="S166" s="95">
        <f>'Draw Calc (Hidden)'!P148</f>
        <v>0</v>
      </c>
      <c r="T166" s="95">
        <f>'Draw Calc (Hidden)'!Q148</f>
        <v>0</v>
      </c>
      <c r="U166" s="95">
        <f>'Draw Calc (Hidden)'!R148</f>
        <v>0</v>
      </c>
      <c r="V166" s="95">
        <f>'Draw Calc (Hidden)'!S148</f>
        <v>0</v>
      </c>
      <c r="W166" s="95">
        <f>'Draw Calc (Hidden)'!T148</f>
        <v>0</v>
      </c>
      <c r="X166" s="95">
        <f>'Draw Calc (Hidden)'!U148</f>
        <v>0</v>
      </c>
      <c r="Y166" s="95">
        <f>'Draw Calc (Hidden)'!V148</f>
        <v>0</v>
      </c>
      <c r="Z166" s="95">
        <f>'Draw Calc (Hidden)'!W148</f>
        <v>0</v>
      </c>
      <c r="AA166" s="95">
        <f>'Draw Calc (Hidden)'!X148</f>
        <v>0</v>
      </c>
      <c r="AB166" s="95">
        <f>'Draw Calc (Hidden)'!Y148</f>
        <v>0</v>
      </c>
      <c r="AC166" s="95">
        <f>'Draw Calc (Hidden)'!Z148</f>
        <v>0</v>
      </c>
      <c r="AD166" s="95">
        <f>'Draw Calc (Hidden)'!AA148</f>
        <v>0</v>
      </c>
      <c r="AE166" s="95">
        <f>'Draw Calc (Hidden)'!AB148</f>
        <v>0</v>
      </c>
      <c r="AF166" s="95">
        <f>'Draw Calc (Hidden)'!AC148</f>
        <v>0</v>
      </c>
      <c r="AG166" s="95">
        <f>'Draw Calc (Hidden)'!AD148</f>
        <v>0</v>
      </c>
      <c r="AH166" s="95">
        <f>'Draw Calc (Hidden)'!AE148</f>
        <v>0</v>
      </c>
      <c r="AI166" s="95">
        <f>'Draw Calc (Hidden)'!AF148</f>
        <v>0</v>
      </c>
      <c r="AJ166" s="95">
        <f>'Draw Calc (Hidden)'!AG148</f>
        <v>0</v>
      </c>
      <c r="AK166" s="95">
        <f>'Draw Calc (Hidden)'!AH148</f>
        <v>0</v>
      </c>
      <c r="AL166" s="95">
        <f>'Draw Calc (Hidden)'!AI148</f>
        <v>0</v>
      </c>
      <c r="AM166" s="95">
        <f>'Draw Calc (Hidden)'!AJ148</f>
        <v>0</v>
      </c>
      <c r="AN166" s="95">
        <f>'Draw Calc (Hidden)'!AK148</f>
        <v>0</v>
      </c>
      <c r="AO166" s="95">
        <f>'Draw Calc (Hidden)'!AL148</f>
        <v>0</v>
      </c>
    </row>
    <row r="167" spans="1:41" ht="15" customHeight="1" x14ac:dyDescent="0.2">
      <c r="A167" s="94" t="str">
        <f>'I_Budget Input Data'!B149</f>
        <v>5. PROFESSIONAL FEES</v>
      </c>
      <c r="B167" s="94" t="str">
        <f>'I_Budget Input Data'!C149</f>
        <v>Marketing/leasing</v>
      </c>
      <c r="C167" s="95">
        <f>'I_Budget Input Data'!D149</f>
        <v>297679</v>
      </c>
      <c r="D167" s="95">
        <f t="shared" si="8"/>
        <v>293099.32307692303</v>
      </c>
      <c r="E167" s="95">
        <f t="shared" si="9"/>
        <v>4579.6769230769714</v>
      </c>
      <c r="F167" s="95">
        <f>'Draw Calc (Hidden)'!C149</f>
        <v>27478.061538461538</v>
      </c>
      <c r="G167" s="95">
        <f>'Draw Calc (Hidden)'!D149</f>
        <v>27478.061538461538</v>
      </c>
      <c r="H167" s="95">
        <f>'Draw Calc (Hidden)'!E149</f>
        <v>27478.061538461538</v>
      </c>
      <c r="I167" s="95">
        <f>'Draw Calc (Hidden)'!F149</f>
        <v>27478.061538461538</v>
      </c>
      <c r="J167" s="95">
        <f>'Draw Calc (Hidden)'!G149</f>
        <v>27478.061538461538</v>
      </c>
      <c r="K167" s="95">
        <f>'Draw Calc (Hidden)'!H149</f>
        <v>27478.061538461538</v>
      </c>
      <c r="L167" s="95">
        <f>'Draw Calc (Hidden)'!I149</f>
        <v>18318.707692307693</v>
      </c>
      <c r="M167" s="95">
        <f>'Draw Calc (Hidden)'!J149</f>
        <v>18318.707692307693</v>
      </c>
      <c r="N167" s="95">
        <f>'Draw Calc (Hidden)'!K149</f>
        <v>18318.707692307693</v>
      </c>
      <c r="O167" s="95">
        <f>'Draw Calc (Hidden)'!L149</f>
        <v>18318.707692307693</v>
      </c>
      <c r="P167" s="95">
        <f>'Draw Calc (Hidden)'!M149</f>
        <v>18318.707692307693</v>
      </c>
      <c r="Q167" s="95">
        <f>'Draw Calc (Hidden)'!N149</f>
        <v>18318.707692307693</v>
      </c>
      <c r="R167" s="95">
        <f>'Draw Calc (Hidden)'!O149</f>
        <v>18318.707692307693</v>
      </c>
      <c r="S167" s="95">
        <f>'Draw Calc (Hidden)'!P149</f>
        <v>0</v>
      </c>
      <c r="T167" s="95">
        <f>'Draw Calc (Hidden)'!Q149</f>
        <v>0</v>
      </c>
      <c r="U167" s="95">
        <f>'Draw Calc (Hidden)'!R149</f>
        <v>0</v>
      </c>
      <c r="V167" s="95">
        <f>'Draw Calc (Hidden)'!S149</f>
        <v>0</v>
      </c>
      <c r="W167" s="95">
        <f>'Draw Calc (Hidden)'!T149</f>
        <v>0</v>
      </c>
      <c r="X167" s="95">
        <f>'Draw Calc (Hidden)'!U149</f>
        <v>0</v>
      </c>
      <c r="Y167" s="95">
        <f>'Draw Calc (Hidden)'!V149</f>
        <v>0</v>
      </c>
      <c r="Z167" s="95">
        <f>'Draw Calc (Hidden)'!W149</f>
        <v>0</v>
      </c>
      <c r="AA167" s="95">
        <f>'Draw Calc (Hidden)'!X149</f>
        <v>0</v>
      </c>
      <c r="AB167" s="95">
        <f>'Draw Calc (Hidden)'!Y149</f>
        <v>0</v>
      </c>
      <c r="AC167" s="95">
        <f>'Draw Calc (Hidden)'!Z149</f>
        <v>0</v>
      </c>
      <c r="AD167" s="95">
        <f>'Draw Calc (Hidden)'!AA149</f>
        <v>0</v>
      </c>
      <c r="AE167" s="95">
        <f>'Draw Calc (Hidden)'!AB149</f>
        <v>0</v>
      </c>
      <c r="AF167" s="95">
        <f>'Draw Calc (Hidden)'!AC149</f>
        <v>0</v>
      </c>
      <c r="AG167" s="95">
        <f>'Draw Calc (Hidden)'!AD149</f>
        <v>0</v>
      </c>
      <c r="AH167" s="95">
        <f>'Draw Calc (Hidden)'!AE149</f>
        <v>0</v>
      </c>
      <c r="AI167" s="95">
        <f>'Draw Calc (Hidden)'!AF149</f>
        <v>0</v>
      </c>
      <c r="AJ167" s="95">
        <f>'Draw Calc (Hidden)'!AG149</f>
        <v>0</v>
      </c>
      <c r="AK167" s="95">
        <f>'Draw Calc (Hidden)'!AH149</f>
        <v>0</v>
      </c>
      <c r="AL167" s="95">
        <f>'Draw Calc (Hidden)'!AI149</f>
        <v>0</v>
      </c>
      <c r="AM167" s="95">
        <f>'Draw Calc (Hidden)'!AJ149</f>
        <v>0</v>
      </c>
      <c r="AN167" s="95">
        <f>'Draw Calc (Hidden)'!AK149</f>
        <v>0</v>
      </c>
      <c r="AO167" s="95">
        <f>'Draw Calc (Hidden)'!AL149</f>
        <v>0</v>
      </c>
    </row>
    <row r="168" spans="1:41" ht="15" customHeight="1" x14ac:dyDescent="0.2">
      <c r="A168" s="94" t="str">
        <f>'I_Budget Input Data'!B150</f>
        <v>5. PROFESSIONAL FEES</v>
      </c>
      <c r="B168" s="94" t="str">
        <f>'I_Budget Input Data'!C150</f>
        <v>Quantity surveyor</v>
      </c>
      <c r="C168" s="95">
        <f>'I_Budget Input Data'!D150</f>
        <v>97080</v>
      </c>
      <c r="D168" s="95">
        <f t="shared" si="8"/>
        <v>95586.461538461517</v>
      </c>
      <c r="E168" s="95">
        <f t="shared" si="9"/>
        <v>1493.5384615384828</v>
      </c>
      <c r="F168" s="95">
        <f>'Draw Calc (Hidden)'!C150</f>
        <v>8961.2307692307695</v>
      </c>
      <c r="G168" s="95">
        <f>'Draw Calc (Hidden)'!D150</f>
        <v>8961.2307692307695</v>
      </c>
      <c r="H168" s="95">
        <f>'Draw Calc (Hidden)'!E150</f>
        <v>8961.2307692307695</v>
      </c>
      <c r="I168" s="95">
        <f>'Draw Calc (Hidden)'!F150</f>
        <v>8961.2307692307695</v>
      </c>
      <c r="J168" s="95">
        <f>'Draw Calc (Hidden)'!G150</f>
        <v>8961.2307692307695</v>
      </c>
      <c r="K168" s="95">
        <f>'Draw Calc (Hidden)'!H150</f>
        <v>8961.2307692307695</v>
      </c>
      <c r="L168" s="95">
        <f>'Draw Calc (Hidden)'!I150</f>
        <v>5974.1538461538457</v>
      </c>
      <c r="M168" s="95">
        <f>'Draw Calc (Hidden)'!J150</f>
        <v>5974.1538461538457</v>
      </c>
      <c r="N168" s="95">
        <f>'Draw Calc (Hidden)'!K150</f>
        <v>5974.1538461538457</v>
      </c>
      <c r="O168" s="95">
        <f>'Draw Calc (Hidden)'!L150</f>
        <v>5974.1538461538457</v>
      </c>
      <c r="P168" s="95">
        <f>'Draw Calc (Hidden)'!M150</f>
        <v>5974.1538461538457</v>
      </c>
      <c r="Q168" s="95">
        <f>'Draw Calc (Hidden)'!N150</f>
        <v>5974.1538461538457</v>
      </c>
      <c r="R168" s="95">
        <f>'Draw Calc (Hidden)'!O150</f>
        <v>5974.1538461538457</v>
      </c>
      <c r="S168" s="95">
        <f>'Draw Calc (Hidden)'!P150</f>
        <v>0</v>
      </c>
      <c r="T168" s="95">
        <f>'Draw Calc (Hidden)'!Q150</f>
        <v>0</v>
      </c>
      <c r="U168" s="95">
        <f>'Draw Calc (Hidden)'!R150</f>
        <v>0</v>
      </c>
      <c r="V168" s="95">
        <f>'Draw Calc (Hidden)'!S150</f>
        <v>0</v>
      </c>
      <c r="W168" s="95">
        <f>'Draw Calc (Hidden)'!T150</f>
        <v>0</v>
      </c>
      <c r="X168" s="95">
        <f>'Draw Calc (Hidden)'!U150</f>
        <v>0</v>
      </c>
      <c r="Y168" s="95">
        <f>'Draw Calc (Hidden)'!V150</f>
        <v>0</v>
      </c>
      <c r="Z168" s="95">
        <f>'Draw Calc (Hidden)'!W150</f>
        <v>0</v>
      </c>
      <c r="AA168" s="95">
        <f>'Draw Calc (Hidden)'!X150</f>
        <v>0</v>
      </c>
      <c r="AB168" s="95">
        <f>'Draw Calc (Hidden)'!Y150</f>
        <v>0</v>
      </c>
      <c r="AC168" s="95">
        <f>'Draw Calc (Hidden)'!Z150</f>
        <v>0</v>
      </c>
      <c r="AD168" s="95">
        <f>'Draw Calc (Hidden)'!AA150</f>
        <v>0</v>
      </c>
      <c r="AE168" s="95">
        <f>'Draw Calc (Hidden)'!AB150</f>
        <v>0</v>
      </c>
      <c r="AF168" s="95">
        <f>'Draw Calc (Hidden)'!AC150</f>
        <v>0</v>
      </c>
      <c r="AG168" s="95">
        <f>'Draw Calc (Hidden)'!AD150</f>
        <v>0</v>
      </c>
      <c r="AH168" s="95">
        <f>'Draw Calc (Hidden)'!AE150</f>
        <v>0</v>
      </c>
      <c r="AI168" s="95">
        <f>'Draw Calc (Hidden)'!AF150</f>
        <v>0</v>
      </c>
      <c r="AJ168" s="95">
        <f>'Draw Calc (Hidden)'!AG150</f>
        <v>0</v>
      </c>
      <c r="AK168" s="95">
        <f>'Draw Calc (Hidden)'!AH150</f>
        <v>0</v>
      </c>
      <c r="AL168" s="95">
        <f>'Draw Calc (Hidden)'!AI150</f>
        <v>0</v>
      </c>
      <c r="AM168" s="95">
        <f>'Draw Calc (Hidden)'!AJ150</f>
        <v>0</v>
      </c>
      <c r="AN168" s="95">
        <f>'Draw Calc (Hidden)'!AK150</f>
        <v>0</v>
      </c>
      <c r="AO168" s="95">
        <f>'Draw Calc (Hidden)'!AL150</f>
        <v>0</v>
      </c>
    </row>
    <row r="169" spans="1:41" ht="15" customHeight="1" x14ac:dyDescent="0.2">
      <c r="A169" s="94" t="str">
        <f>'I_Budget Input Data'!B151</f>
        <v>5. PROFESSIONAL FEES</v>
      </c>
      <c r="B169" s="94" t="str">
        <f>'I_Budget Input Data'!C151</f>
        <v>Soil/geotechnical/compaction</v>
      </c>
      <c r="C169" s="95">
        <f>'I_Budget Input Data'!D151</f>
        <v>93319</v>
      </c>
      <c r="D169" s="95">
        <f t="shared" si="8"/>
        <v>91883.323076923087</v>
      </c>
      <c r="E169" s="95">
        <f t="shared" si="9"/>
        <v>1435.6769230769132</v>
      </c>
      <c r="F169" s="95">
        <f>'Draw Calc (Hidden)'!C151</f>
        <v>8614.0615384615394</v>
      </c>
      <c r="G169" s="95">
        <f>'Draw Calc (Hidden)'!D151</f>
        <v>8614.0615384615394</v>
      </c>
      <c r="H169" s="95">
        <f>'Draw Calc (Hidden)'!E151</f>
        <v>8614.0615384615394</v>
      </c>
      <c r="I169" s="95">
        <f>'Draw Calc (Hidden)'!F151</f>
        <v>8614.0615384615394</v>
      </c>
      <c r="J169" s="95">
        <f>'Draw Calc (Hidden)'!G151</f>
        <v>8614.0615384615394</v>
      </c>
      <c r="K169" s="95">
        <f>'Draw Calc (Hidden)'!H151</f>
        <v>8614.0615384615394</v>
      </c>
      <c r="L169" s="95">
        <f>'Draw Calc (Hidden)'!I151</f>
        <v>5742.707692307692</v>
      </c>
      <c r="M169" s="95">
        <f>'Draw Calc (Hidden)'!J151</f>
        <v>5742.707692307692</v>
      </c>
      <c r="N169" s="95">
        <f>'Draw Calc (Hidden)'!K151</f>
        <v>5742.707692307692</v>
      </c>
      <c r="O169" s="95">
        <f>'Draw Calc (Hidden)'!L151</f>
        <v>5742.707692307692</v>
      </c>
      <c r="P169" s="95">
        <f>'Draw Calc (Hidden)'!M151</f>
        <v>5742.707692307692</v>
      </c>
      <c r="Q169" s="95">
        <f>'Draw Calc (Hidden)'!N151</f>
        <v>5742.707692307692</v>
      </c>
      <c r="R169" s="95">
        <f>'Draw Calc (Hidden)'!O151</f>
        <v>5742.707692307692</v>
      </c>
      <c r="S169" s="95">
        <f>'Draw Calc (Hidden)'!P151</f>
        <v>0</v>
      </c>
      <c r="T169" s="95">
        <f>'Draw Calc (Hidden)'!Q151</f>
        <v>0</v>
      </c>
      <c r="U169" s="95">
        <f>'Draw Calc (Hidden)'!R151</f>
        <v>0</v>
      </c>
      <c r="V169" s="95">
        <f>'Draw Calc (Hidden)'!S151</f>
        <v>0</v>
      </c>
      <c r="W169" s="95">
        <f>'Draw Calc (Hidden)'!T151</f>
        <v>0</v>
      </c>
      <c r="X169" s="95">
        <f>'Draw Calc (Hidden)'!U151</f>
        <v>0</v>
      </c>
      <c r="Y169" s="95">
        <f>'Draw Calc (Hidden)'!V151</f>
        <v>0</v>
      </c>
      <c r="Z169" s="95">
        <f>'Draw Calc (Hidden)'!W151</f>
        <v>0</v>
      </c>
      <c r="AA169" s="95">
        <f>'Draw Calc (Hidden)'!X151</f>
        <v>0</v>
      </c>
      <c r="AB169" s="95">
        <f>'Draw Calc (Hidden)'!Y151</f>
        <v>0</v>
      </c>
      <c r="AC169" s="95">
        <f>'Draw Calc (Hidden)'!Z151</f>
        <v>0</v>
      </c>
      <c r="AD169" s="95">
        <f>'Draw Calc (Hidden)'!AA151</f>
        <v>0</v>
      </c>
      <c r="AE169" s="95">
        <f>'Draw Calc (Hidden)'!AB151</f>
        <v>0</v>
      </c>
      <c r="AF169" s="95">
        <f>'Draw Calc (Hidden)'!AC151</f>
        <v>0</v>
      </c>
      <c r="AG169" s="95">
        <f>'Draw Calc (Hidden)'!AD151</f>
        <v>0</v>
      </c>
      <c r="AH169" s="95">
        <f>'Draw Calc (Hidden)'!AE151</f>
        <v>0</v>
      </c>
      <c r="AI169" s="95">
        <f>'Draw Calc (Hidden)'!AF151</f>
        <v>0</v>
      </c>
      <c r="AJ169" s="95">
        <f>'Draw Calc (Hidden)'!AG151</f>
        <v>0</v>
      </c>
      <c r="AK169" s="95">
        <f>'Draw Calc (Hidden)'!AH151</f>
        <v>0</v>
      </c>
      <c r="AL169" s="95">
        <f>'Draw Calc (Hidden)'!AI151</f>
        <v>0</v>
      </c>
      <c r="AM169" s="95">
        <f>'Draw Calc (Hidden)'!AJ151</f>
        <v>0</v>
      </c>
      <c r="AN169" s="95">
        <f>'Draw Calc (Hidden)'!AK151</f>
        <v>0</v>
      </c>
      <c r="AO169" s="95">
        <f>'Draw Calc (Hidden)'!AL151</f>
        <v>0</v>
      </c>
    </row>
    <row r="170" spans="1:41" ht="15" customHeight="1" x14ac:dyDescent="0.2">
      <c r="A170" s="94" t="str">
        <f>'I_Budget Input Data'!B152</f>
        <v>5. PROFESSIONAL FEES</v>
      </c>
      <c r="B170" s="94" t="str">
        <f>'I_Budget Input Data'!C152</f>
        <v>Urban planner</v>
      </c>
      <c r="C170" s="95">
        <f>'I_Budget Input Data'!D152</f>
        <v>56552</v>
      </c>
      <c r="D170" s="95">
        <f t="shared" si="8"/>
        <v>55681.969230769209</v>
      </c>
      <c r="E170" s="95">
        <f t="shared" si="9"/>
        <v>870.03076923079061</v>
      </c>
      <c r="F170" s="95">
        <f>'Draw Calc (Hidden)'!C152</f>
        <v>5220.1846153846145</v>
      </c>
      <c r="G170" s="95">
        <f>'Draw Calc (Hidden)'!D152</f>
        <v>5220.1846153846145</v>
      </c>
      <c r="H170" s="95">
        <f>'Draw Calc (Hidden)'!E152</f>
        <v>5220.1846153846145</v>
      </c>
      <c r="I170" s="95">
        <f>'Draw Calc (Hidden)'!F152</f>
        <v>5220.1846153846145</v>
      </c>
      <c r="J170" s="95">
        <f>'Draw Calc (Hidden)'!G152</f>
        <v>5220.1846153846145</v>
      </c>
      <c r="K170" s="95">
        <f>'Draw Calc (Hidden)'!H152</f>
        <v>5220.1846153846145</v>
      </c>
      <c r="L170" s="95">
        <f>'Draw Calc (Hidden)'!I152</f>
        <v>3480.1230769230774</v>
      </c>
      <c r="M170" s="95">
        <f>'Draw Calc (Hidden)'!J152</f>
        <v>3480.1230769230774</v>
      </c>
      <c r="N170" s="95">
        <f>'Draw Calc (Hidden)'!K152</f>
        <v>3480.1230769230774</v>
      </c>
      <c r="O170" s="95">
        <f>'Draw Calc (Hidden)'!L152</f>
        <v>3480.1230769230774</v>
      </c>
      <c r="P170" s="95">
        <f>'Draw Calc (Hidden)'!M152</f>
        <v>3480.1230769230774</v>
      </c>
      <c r="Q170" s="95">
        <f>'Draw Calc (Hidden)'!N152</f>
        <v>3480.1230769230774</v>
      </c>
      <c r="R170" s="95">
        <f>'Draw Calc (Hidden)'!O152</f>
        <v>3480.1230769230774</v>
      </c>
      <c r="S170" s="95">
        <f>'Draw Calc (Hidden)'!P152</f>
        <v>0</v>
      </c>
      <c r="T170" s="95">
        <f>'Draw Calc (Hidden)'!Q152</f>
        <v>0</v>
      </c>
      <c r="U170" s="95">
        <f>'Draw Calc (Hidden)'!R152</f>
        <v>0</v>
      </c>
      <c r="V170" s="95">
        <f>'Draw Calc (Hidden)'!S152</f>
        <v>0</v>
      </c>
      <c r="W170" s="95">
        <f>'Draw Calc (Hidden)'!T152</f>
        <v>0</v>
      </c>
      <c r="X170" s="95">
        <f>'Draw Calc (Hidden)'!U152</f>
        <v>0</v>
      </c>
      <c r="Y170" s="95">
        <f>'Draw Calc (Hidden)'!V152</f>
        <v>0</v>
      </c>
      <c r="Z170" s="95">
        <f>'Draw Calc (Hidden)'!W152</f>
        <v>0</v>
      </c>
      <c r="AA170" s="95">
        <f>'Draw Calc (Hidden)'!X152</f>
        <v>0</v>
      </c>
      <c r="AB170" s="95">
        <f>'Draw Calc (Hidden)'!Y152</f>
        <v>0</v>
      </c>
      <c r="AC170" s="95">
        <f>'Draw Calc (Hidden)'!Z152</f>
        <v>0</v>
      </c>
      <c r="AD170" s="95">
        <f>'Draw Calc (Hidden)'!AA152</f>
        <v>0</v>
      </c>
      <c r="AE170" s="95">
        <f>'Draw Calc (Hidden)'!AB152</f>
        <v>0</v>
      </c>
      <c r="AF170" s="95">
        <f>'Draw Calc (Hidden)'!AC152</f>
        <v>0</v>
      </c>
      <c r="AG170" s="95">
        <f>'Draw Calc (Hidden)'!AD152</f>
        <v>0</v>
      </c>
      <c r="AH170" s="95">
        <f>'Draw Calc (Hidden)'!AE152</f>
        <v>0</v>
      </c>
      <c r="AI170" s="95">
        <f>'Draw Calc (Hidden)'!AF152</f>
        <v>0</v>
      </c>
      <c r="AJ170" s="95">
        <f>'Draw Calc (Hidden)'!AG152</f>
        <v>0</v>
      </c>
      <c r="AK170" s="95">
        <f>'Draw Calc (Hidden)'!AH152</f>
        <v>0</v>
      </c>
      <c r="AL170" s="95">
        <f>'Draw Calc (Hidden)'!AI152</f>
        <v>0</v>
      </c>
      <c r="AM170" s="95">
        <f>'Draw Calc (Hidden)'!AJ152</f>
        <v>0</v>
      </c>
      <c r="AN170" s="95">
        <f>'Draw Calc (Hidden)'!AK152</f>
        <v>0</v>
      </c>
      <c r="AO170" s="95">
        <f>'Draw Calc (Hidden)'!AL152</f>
        <v>0</v>
      </c>
    </row>
    <row r="171" spans="1:41" ht="15" customHeight="1" x14ac:dyDescent="0.2">
      <c r="A171" s="94" t="str">
        <f>'I_Budget Input Data'!B153</f>
        <v>5. PROFESSIONAL FEES</v>
      </c>
      <c r="B171" s="94" t="str">
        <f>'I_Budget Input Data'!C153</f>
        <v>Water tests</v>
      </c>
      <c r="C171" s="95">
        <f>'I_Budget Input Data'!D153</f>
        <v>4000</v>
      </c>
      <c r="D171" s="95">
        <f t="shared" si="8"/>
        <v>3938.4615384615386</v>
      </c>
      <c r="E171" s="95">
        <f t="shared" si="9"/>
        <v>61.538461538461434</v>
      </c>
      <c r="F171" s="95">
        <f>'Draw Calc (Hidden)'!C153</f>
        <v>369.23076923076923</v>
      </c>
      <c r="G171" s="95">
        <f>'Draw Calc (Hidden)'!D153</f>
        <v>369.23076923076923</v>
      </c>
      <c r="H171" s="95">
        <f>'Draw Calc (Hidden)'!E153</f>
        <v>369.23076923076923</v>
      </c>
      <c r="I171" s="95">
        <f>'Draw Calc (Hidden)'!F153</f>
        <v>369.23076923076923</v>
      </c>
      <c r="J171" s="95">
        <f>'Draw Calc (Hidden)'!G153</f>
        <v>369.23076923076923</v>
      </c>
      <c r="K171" s="95">
        <f>'Draw Calc (Hidden)'!H153</f>
        <v>369.23076923076923</v>
      </c>
      <c r="L171" s="95">
        <f>'Draw Calc (Hidden)'!I153</f>
        <v>246.15384615384616</v>
      </c>
      <c r="M171" s="95">
        <f>'Draw Calc (Hidden)'!J153</f>
        <v>246.15384615384616</v>
      </c>
      <c r="N171" s="95">
        <f>'Draw Calc (Hidden)'!K153</f>
        <v>246.15384615384616</v>
      </c>
      <c r="O171" s="95">
        <f>'Draw Calc (Hidden)'!L153</f>
        <v>246.15384615384616</v>
      </c>
      <c r="P171" s="95">
        <f>'Draw Calc (Hidden)'!M153</f>
        <v>246.15384615384616</v>
      </c>
      <c r="Q171" s="95">
        <f>'Draw Calc (Hidden)'!N153</f>
        <v>246.15384615384616</v>
      </c>
      <c r="R171" s="95">
        <f>'Draw Calc (Hidden)'!O153</f>
        <v>246.15384615384616</v>
      </c>
      <c r="S171" s="95">
        <f>'Draw Calc (Hidden)'!P153</f>
        <v>0</v>
      </c>
      <c r="T171" s="95">
        <f>'Draw Calc (Hidden)'!Q153</f>
        <v>0</v>
      </c>
      <c r="U171" s="95">
        <f>'Draw Calc (Hidden)'!R153</f>
        <v>0</v>
      </c>
      <c r="V171" s="95">
        <f>'Draw Calc (Hidden)'!S153</f>
        <v>0</v>
      </c>
      <c r="W171" s="95">
        <f>'Draw Calc (Hidden)'!T153</f>
        <v>0</v>
      </c>
      <c r="X171" s="95">
        <f>'Draw Calc (Hidden)'!U153</f>
        <v>0</v>
      </c>
      <c r="Y171" s="95">
        <f>'Draw Calc (Hidden)'!V153</f>
        <v>0</v>
      </c>
      <c r="Z171" s="95">
        <f>'Draw Calc (Hidden)'!W153</f>
        <v>0</v>
      </c>
      <c r="AA171" s="95">
        <f>'Draw Calc (Hidden)'!X153</f>
        <v>0</v>
      </c>
      <c r="AB171" s="95">
        <f>'Draw Calc (Hidden)'!Y153</f>
        <v>0</v>
      </c>
      <c r="AC171" s="95">
        <f>'Draw Calc (Hidden)'!Z153</f>
        <v>0</v>
      </c>
      <c r="AD171" s="95">
        <f>'Draw Calc (Hidden)'!AA153</f>
        <v>0</v>
      </c>
      <c r="AE171" s="95">
        <f>'Draw Calc (Hidden)'!AB153</f>
        <v>0</v>
      </c>
      <c r="AF171" s="95">
        <f>'Draw Calc (Hidden)'!AC153</f>
        <v>0</v>
      </c>
      <c r="AG171" s="95">
        <f>'Draw Calc (Hidden)'!AD153</f>
        <v>0</v>
      </c>
      <c r="AH171" s="95">
        <f>'Draw Calc (Hidden)'!AE153</f>
        <v>0</v>
      </c>
      <c r="AI171" s="95">
        <f>'Draw Calc (Hidden)'!AF153</f>
        <v>0</v>
      </c>
      <c r="AJ171" s="95">
        <f>'Draw Calc (Hidden)'!AG153</f>
        <v>0</v>
      </c>
      <c r="AK171" s="95">
        <f>'Draw Calc (Hidden)'!AH153</f>
        <v>0</v>
      </c>
      <c r="AL171" s="95">
        <f>'Draw Calc (Hidden)'!AI153</f>
        <v>0</v>
      </c>
      <c r="AM171" s="95">
        <f>'Draw Calc (Hidden)'!AJ153</f>
        <v>0</v>
      </c>
      <c r="AN171" s="95">
        <f>'Draw Calc (Hidden)'!AK153</f>
        <v>0</v>
      </c>
      <c r="AO171" s="95">
        <f>'Draw Calc (Hidden)'!AL153</f>
        <v>0</v>
      </c>
    </row>
    <row r="172" spans="1:41" ht="15" customHeight="1" x14ac:dyDescent="0.2">
      <c r="A172" s="94" t="str">
        <f>'I_Budget Input Data'!B154</f>
        <v>5. PROFESSIONAL FEES</v>
      </c>
      <c r="B172" s="94" t="str">
        <f>'I_Budget Input Data'!C154</f>
        <v>Declaration of co-ownership/shared services</v>
      </c>
      <c r="C172" s="95">
        <f>'I_Budget Input Data'!D154</f>
        <v>15000</v>
      </c>
      <c r="D172" s="95">
        <f t="shared" si="8"/>
        <v>14769.230769230773</v>
      </c>
      <c r="E172" s="95">
        <f t="shared" si="9"/>
        <v>230.76923076922685</v>
      </c>
      <c r="F172" s="95">
        <f>'Draw Calc (Hidden)'!C154</f>
        <v>1384.6153846153845</v>
      </c>
      <c r="G172" s="95">
        <f>'Draw Calc (Hidden)'!D154</f>
        <v>1384.6153846153845</v>
      </c>
      <c r="H172" s="95">
        <f>'Draw Calc (Hidden)'!E154</f>
        <v>1384.6153846153845</v>
      </c>
      <c r="I172" s="95">
        <f>'Draw Calc (Hidden)'!F154</f>
        <v>1384.6153846153845</v>
      </c>
      <c r="J172" s="95">
        <f>'Draw Calc (Hidden)'!G154</f>
        <v>1384.6153846153845</v>
      </c>
      <c r="K172" s="95">
        <f>'Draw Calc (Hidden)'!H154</f>
        <v>1384.6153846153845</v>
      </c>
      <c r="L172" s="95">
        <f>'Draw Calc (Hidden)'!I154</f>
        <v>923.07692307692309</v>
      </c>
      <c r="M172" s="95">
        <f>'Draw Calc (Hidden)'!J154</f>
        <v>923.07692307692309</v>
      </c>
      <c r="N172" s="95">
        <f>'Draw Calc (Hidden)'!K154</f>
        <v>923.07692307692309</v>
      </c>
      <c r="O172" s="95">
        <f>'Draw Calc (Hidden)'!L154</f>
        <v>923.07692307692309</v>
      </c>
      <c r="P172" s="95">
        <f>'Draw Calc (Hidden)'!M154</f>
        <v>923.07692307692309</v>
      </c>
      <c r="Q172" s="95">
        <f>'Draw Calc (Hidden)'!N154</f>
        <v>923.07692307692309</v>
      </c>
      <c r="R172" s="95">
        <f>'Draw Calc (Hidden)'!O154</f>
        <v>923.07692307692309</v>
      </c>
      <c r="S172" s="95">
        <f>'Draw Calc (Hidden)'!P154</f>
        <v>0</v>
      </c>
      <c r="T172" s="95">
        <f>'Draw Calc (Hidden)'!Q154</f>
        <v>0</v>
      </c>
      <c r="U172" s="95">
        <f>'Draw Calc (Hidden)'!R154</f>
        <v>0</v>
      </c>
      <c r="V172" s="95">
        <f>'Draw Calc (Hidden)'!S154</f>
        <v>0</v>
      </c>
      <c r="W172" s="95">
        <f>'Draw Calc (Hidden)'!T154</f>
        <v>0</v>
      </c>
      <c r="X172" s="95">
        <f>'Draw Calc (Hidden)'!U154</f>
        <v>0</v>
      </c>
      <c r="Y172" s="95">
        <f>'Draw Calc (Hidden)'!V154</f>
        <v>0</v>
      </c>
      <c r="Z172" s="95">
        <f>'Draw Calc (Hidden)'!W154</f>
        <v>0</v>
      </c>
      <c r="AA172" s="95">
        <f>'Draw Calc (Hidden)'!X154</f>
        <v>0</v>
      </c>
      <c r="AB172" s="95">
        <f>'Draw Calc (Hidden)'!Y154</f>
        <v>0</v>
      </c>
      <c r="AC172" s="95">
        <f>'Draw Calc (Hidden)'!Z154</f>
        <v>0</v>
      </c>
      <c r="AD172" s="95">
        <f>'Draw Calc (Hidden)'!AA154</f>
        <v>0</v>
      </c>
      <c r="AE172" s="95">
        <f>'Draw Calc (Hidden)'!AB154</f>
        <v>0</v>
      </c>
      <c r="AF172" s="95">
        <f>'Draw Calc (Hidden)'!AC154</f>
        <v>0</v>
      </c>
      <c r="AG172" s="95">
        <f>'Draw Calc (Hidden)'!AD154</f>
        <v>0</v>
      </c>
      <c r="AH172" s="95">
        <f>'Draw Calc (Hidden)'!AE154</f>
        <v>0</v>
      </c>
      <c r="AI172" s="95">
        <f>'Draw Calc (Hidden)'!AF154</f>
        <v>0</v>
      </c>
      <c r="AJ172" s="95">
        <f>'Draw Calc (Hidden)'!AG154</f>
        <v>0</v>
      </c>
      <c r="AK172" s="95">
        <f>'Draw Calc (Hidden)'!AH154</f>
        <v>0</v>
      </c>
      <c r="AL172" s="95">
        <f>'Draw Calc (Hidden)'!AI154</f>
        <v>0</v>
      </c>
      <c r="AM172" s="95">
        <f>'Draw Calc (Hidden)'!AJ154</f>
        <v>0</v>
      </c>
      <c r="AN172" s="95">
        <f>'Draw Calc (Hidden)'!AK154</f>
        <v>0</v>
      </c>
      <c r="AO172" s="95">
        <f>'Draw Calc (Hidden)'!AL154</f>
        <v>0</v>
      </c>
    </row>
    <row r="173" spans="1:41" ht="15" customHeight="1" x14ac:dyDescent="0.2">
      <c r="A173" s="94" t="str">
        <f>'I_Budget Input Data'!B155</f>
        <v>6. FINANCE AND ADMINISTRATION</v>
      </c>
      <c r="B173" s="94" t="str">
        <f>'I_Budget Input Data'!C155</f>
        <v>Carrying costs land</v>
      </c>
      <c r="C173" s="95">
        <f>'I_Budget Input Data'!D155</f>
        <v>240000</v>
      </c>
      <c r="D173" s="95">
        <f t="shared" si="8"/>
        <v>240000.00000000006</v>
      </c>
      <c r="E173" s="95">
        <f t="shared" si="9"/>
        <v>0</v>
      </c>
      <c r="F173" s="95">
        <f>'Draw Calc (Hidden)'!C155</f>
        <v>18461.538461538461</v>
      </c>
      <c r="G173" s="95">
        <f>'Draw Calc (Hidden)'!D155</f>
        <v>18461.538461538461</v>
      </c>
      <c r="H173" s="95">
        <f>'Draw Calc (Hidden)'!E155</f>
        <v>18461.538461538461</v>
      </c>
      <c r="I173" s="95">
        <f>'Draw Calc (Hidden)'!F155</f>
        <v>18461.538461538461</v>
      </c>
      <c r="J173" s="95">
        <f>'Draw Calc (Hidden)'!G155</f>
        <v>18461.538461538461</v>
      </c>
      <c r="K173" s="95">
        <f>'Draw Calc (Hidden)'!H155</f>
        <v>18461.538461538461</v>
      </c>
      <c r="L173" s="95">
        <f>'Draw Calc (Hidden)'!I155</f>
        <v>18461.538461538461</v>
      </c>
      <c r="M173" s="95">
        <f>'Draw Calc (Hidden)'!J155</f>
        <v>18461.538461538461</v>
      </c>
      <c r="N173" s="95">
        <f>'Draw Calc (Hidden)'!K155</f>
        <v>18461.538461538461</v>
      </c>
      <c r="O173" s="95">
        <f>'Draw Calc (Hidden)'!L155</f>
        <v>18461.538461538461</v>
      </c>
      <c r="P173" s="95">
        <f>'Draw Calc (Hidden)'!M155</f>
        <v>18461.538461538461</v>
      </c>
      <c r="Q173" s="95">
        <f>'Draw Calc (Hidden)'!N155</f>
        <v>18461.538461538461</v>
      </c>
      <c r="R173" s="95">
        <f>'Draw Calc (Hidden)'!O155</f>
        <v>18461.538461538461</v>
      </c>
      <c r="S173" s="95">
        <f>'Draw Calc (Hidden)'!P155</f>
        <v>0</v>
      </c>
      <c r="T173" s="95">
        <f>'Draw Calc (Hidden)'!Q155</f>
        <v>0</v>
      </c>
      <c r="U173" s="95">
        <f>'Draw Calc (Hidden)'!R155</f>
        <v>0</v>
      </c>
      <c r="V173" s="95">
        <f>'Draw Calc (Hidden)'!S155</f>
        <v>0</v>
      </c>
      <c r="W173" s="95">
        <f>'Draw Calc (Hidden)'!T155</f>
        <v>0</v>
      </c>
      <c r="X173" s="95">
        <f>'Draw Calc (Hidden)'!U155</f>
        <v>0</v>
      </c>
      <c r="Y173" s="95">
        <f>'Draw Calc (Hidden)'!V155</f>
        <v>0</v>
      </c>
      <c r="Z173" s="95">
        <f>'Draw Calc (Hidden)'!W155</f>
        <v>0</v>
      </c>
      <c r="AA173" s="95">
        <f>'Draw Calc (Hidden)'!X155</f>
        <v>0</v>
      </c>
      <c r="AB173" s="95">
        <f>'Draw Calc (Hidden)'!Y155</f>
        <v>0</v>
      </c>
      <c r="AC173" s="95">
        <f>'Draw Calc (Hidden)'!Z155</f>
        <v>0</v>
      </c>
      <c r="AD173" s="95">
        <f>'Draw Calc (Hidden)'!AA155</f>
        <v>0</v>
      </c>
      <c r="AE173" s="95">
        <f>'Draw Calc (Hidden)'!AB155</f>
        <v>0</v>
      </c>
      <c r="AF173" s="95">
        <f>'Draw Calc (Hidden)'!AC155</f>
        <v>0</v>
      </c>
      <c r="AG173" s="95">
        <f>'Draw Calc (Hidden)'!AD155</f>
        <v>0</v>
      </c>
      <c r="AH173" s="95">
        <f>'Draw Calc (Hidden)'!AE155</f>
        <v>0</v>
      </c>
      <c r="AI173" s="95">
        <f>'Draw Calc (Hidden)'!AF155</f>
        <v>0</v>
      </c>
      <c r="AJ173" s="95">
        <f>'Draw Calc (Hidden)'!AG155</f>
        <v>0</v>
      </c>
      <c r="AK173" s="95">
        <f>'Draw Calc (Hidden)'!AH155</f>
        <v>0</v>
      </c>
      <c r="AL173" s="95">
        <f>'Draw Calc (Hidden)'!AI155</f>
        <v>0</v>
      </c>
      <c r="AM173" s="95">
        <f>'Draw Calc (Hidden)'!AJ155</f>
        <v>0</v>
      </c>
      <c r="AN173" s="95">
        <f>'Draw Calc (Hidden)'!AK155</f>
        <v>0</v>
      </c>
      <c r="AO173" s="95">
        <f>'Draw Calc (Hidden)'!AL155</f>
        <v>0</v>
      </c>
    </row>
    <row r="174" spans="1:41" ht="15" customHeight="1" x14ac:dyDescent="0.2">
      <c r="A174" s="94" t="str">
        <f>'I_Budget Input Data'!B156</f>
        <v>6. FINANCE AND ADMINISTRATION</v>
      </c>
      <c r="B174" s="94" t="str">
        <f>'I_Budget Input Data'!C156</f>
        <v>Construction interest</v>
      </c>
      <c r="C174" s="95">
        <f>'I_Budget Input Data'!D156</f>
        <v>1592483</v>
      </c>
      <c r="D174" s="95">
        <f t="shared" si="8"/>
        <v>1592482.9999999995</v>
      </c>
      <c r="E174" s="95">
        <f t="shared" si="9"/>
        <v>0</v>
      </c>
      <c r="F174" s="95">
        <f>'Draw Calc (Hidden)'!C156</f>
        <v>122498.69230769231</v>
      </c>
      <c r="G174" s="95">
        <f>'Draw Calc (Hidden)'!D156</f>
        <v>122498.69230769231</v>
      </c>
      <c r="H174" s="95">
        <f>'Draw Calc (Hidden)'!E156</f>
        <v>122498.69230769231</v>
      </c>
      <c r="I174" s="95">
        <f>'Draw Calc (Hidden)'!F156</f>
        <v>122498.69230769231</v>
      </c>
      <c r="J174" s="95">
        <f>'Draw Calc (Hidden)'!G156</f>
        <v>122498.69230769231</v>
      </c>
      <c r="K174" s="95">
        <f>'Draw Calc (Hidden)'!H156</f>
        <v>122498.69230769231</v>
      </c>
      <c r="L174" s="95">
        <f>'Draw Calc (Hidden)'!I156</f>
        <v>122498.69230769231</v>
      </c>
      <c r="M174" s="95">
        <f>'Draw Calc (Hidden)'!J156</f>
        <v>122498.69230769231</v>
      </c>
      <c r="N174" s="95">
        <f>'Draw Calc (Hidden)'!K156</f>
        <v>122498.69230769231</v>
      </c>
      <c r="O174" s="95">
        <f>'Draw Calc (Hidden)'!L156</f>
        <v>122498.69230769231</v>
      </c>
      <c r="P174" s="95">
        <f>'Draw Calc (Hidden)'!M156</f>
        <v>122498.69230769231</v>
      </c>
      <c r="Q174" s="95">
        <f>'Draw Calc (Hidden)'!N156</f>
        <v>122498.69230769231</v>
      </c>
      <c r="R174" s="95">
        <f>'Draw Calc (Hidden)'!O156</f>
        <v>122498.69230769231</v>
      </c>
      <c r="S174" s="95">
        <f>'Draw Calc (Hidden)'!P156</f>
        <v>0</v>
      </c>
      <c r="T174" s="95">
        <f>'Draw Calc (Hidden)'!Q156</f>
        <v>0</v>
      </c>
      <c r="U174" s="95">
        <f>'Draw Calc (Hidden)'!R156</f>
        <v>0</v>
      </c>
      <c r="V174" s="95">
        <f>'Draw Calc (Hidden)'!S156</f>
        <v>0</v>
      </c>
      <c r="W174" s="95">
        <f>'Draw Calc (Hidden)'!T156</f>
        <v>0</v>
      </c>
      <c r="X174" s="95">
        <f>'Draw Calc (Hidden)'!U156</f>
        <v>0</v>
      </c>
      <c r="Y174" s="95">
        <f>'Draw Calc (Hidden)'!V156</f>
        <v>0</v>
      </c>
      <c r="Z174" s="95">
        <f>'Draw Calc (Hidden)'!W156</f>
        <v>0</v>
      </c>
      <c r="AA174" s="95">
        <f>'Draw Calc (Hidden)'!X156</f>
        <v>0</v>
      </c>
      <c r="AB174" s="95">
        <f>'Draw Calc (Hidden)'!Y156</f>
        <v>0</v>
      </c>
      <c r="AC174" s="95">
        <f>'Draw Calc (Hidden)'!Z156</f>
        <v>0</v>
      </c>
      <c r="AD174" s="95">
        <f>'Draw Calc (Hidden)'!AA156</f>
        <v>0</v>
      </c>
      <c r="AE174" s="95">
        <f>'Draw Calc (Hidden)'!AB156</f>
        <v>0</v>
      </c>
      <c r="AF174" s="95">
        <f>'Draw Calc (Hidden)'!AC156</f>
        <v>0</v>
      </c>
      <c r="AG174" s="95">
        <f>'Draw Calc (Hidden)'!AD156</f>
        <v>0</v>
      </c>
      <c r="AH174" s="95">
        <f>'Draw Calc (Hidden)'!AE156</f>
        <v>0</v>
      </c>
      <c r="AI174" s="95">
        <f>'Draw Calc (Hidden)'!AF156</f>
        <v>0</v>
      </c>
      <c r="AJ174" s="95">
        <f>'Draw Calc (Hidden)'!AG156</f>
        <v>0</v>
      </c>
      <c r="AK174" s="95">
        <f>'Draw Calc (Hidden)'!AH156</f>
        <v>0</v>
      </c>
      <c r="AL174" s="95">
        <f>'Draw Calc (Hidden)'!AI156</f>
        <v>0</v>
      </c>
      <c r="AM174" s="95">
        <f>'Draw Calc (Hidden)'!AJ156</f>
        <v>0</v>
      </c>
      <c r="AN174" s="95">
        <f>'Draw Calc (Hidden)'!AK156</f>
        <v>0</v>
      </c>
      <c r="AO174" s="95">
        <f>'Draw Calc (Hidden)'!AL156</f>
        <v>0</v>
      </c>
    </row>
    <row r="175" spans="1:41" ht="15" customHeight="1" x14ac:dyDescent="0.2">
      <c r="A175" s="94" t="str">
        <f>'I_Budget Input Data'!B157</f>
        <v>6. FINANCE AND ADMINISTRATION</v>
      </c>
      <c r="B175" s="94" t="str">
        <f>'I_Budget Input Data'!C157</f>
        <v>Disbursements</v>
      </c>
      <c r="C175" s="95">
        <f>'I_Budget Input Data'!D157</f>
        <v>10220</v>
      </c>
      <c r="D175" s="95">
        <f t="shared" si="8"/>
        <v>10219.999999999998</v>
      </c>
      <c r="E175" s="95">
        <f t="shared" si="9"/>
        <v>0</v>
      </c>
      <c r="F175" s="95">
        <f>'Draw Calc (Hidden)'!C157</f>
        <v>786.15384615384619</v>
      </c>
      <c r="G175" s="95">
        <f>'Draw Calc (Hidden)'!D157</f>
        <v>786.15384615384619</v>
      </c>
      <c r="H175" s="95">
        <f>'Draw Calc (Hidden)'!E157</f>
        <v>786.15384615384619</v>
      </c>
      <c r="I175" s="95">
        <f>'Draw Calc (Hidden)'!F157</f>
        <v>786.15384615384619</v>
      </c>
      <c r="J175" s="95">
        <f>'Draw Calc (Hidden)'!G157</f>
        <v>786.15384615384619</v>
      </c>
      <c r="K175" s="95">
        <f>'Draw Calc (Hidden)'!H157</f>
        <v>786.15384615384619</v>
      </c>
      <c r="L175" s="95">
        <f>'Draw Calc (Hidden)'!I157</f>
        <v>786.15384615384619</v>
      </c>
      <c r="M175" s="95">
        <f>'Draw Calc (Hidden)'!J157</f>
        <v>786.15384615384619</v>
      </c>
      <c r="N175" s="95">
        <f>'Draw Calc (Hidden)'!K157</f>
        <v>786.15384615384619</v>
      </c>
      <c r="O175" s="95">
        <f>'Draw Calc (Hidden)'!L157</f>
        <v>786.15384615384619</v>
      </c>
      <c r="P175" s="95">
        <f>'Draw Calc (Hidden)'!M157</f>
        <v>786.15384615384619</v>
      </c>
      <c r="Q175" s="95">
        <f>'Draw Calc (Hidden)'!N157</f>
        <v>786.15384615384619</v>
      </c>
      <c r="R175" s="95">
        <f>'Draw Calc (Hidden)'!O157</f>
        <v>786.15384615384619</v>
      </c>
      <c r="S175" s="95">
        <f>'Draw Calc (Hidden)'!P157</f>
        <v>0</v>
      </c>
      <c r="T175" s="95">
        <f>'Draw Calc (Hidden)'!Q157</f>
        <v>0</v>
      </c>
      <c r="U175" s="95">
        <f>'Draw Calc (Hidden)'!R157</f>
        <v>0</v>
      </c>
      <c r="V175" s="95">
        <f>'Draw Calc (Hidden)'!S157</f>
        <v>0</v>
      </c>
      <c r="W175" s="95">
        <f>'Draw Calc (Hidden)'!T157</f>
        <v>0</v>
      </c>
      <c r="X175" s="95">
        <f>'Draw Calc (Hidden)'!U157</f>
        <v>0</v>
      </c>
      <c r="Y175" s="95">
        <f>'Draw Calc (Hidden)'!V157</f>
        <v>0</v>
      </c>
      <c r="Z175" s="95">
        <f>'Draw Calc (Hidden)'!W157</f>
        <v>0</v>
      </c>
      <c r="AA175" s="95">
        <f>'Draw Calc (Hidden)'!X157</f>
        <v>0</v>
      </c>
      <c r="AB175" s="95">
        <f>'Draw Calc (Hidden)'!Y157</f>
        <v>0</v>
      </c>
      <c r="AC175" s="95">
        <f>'Draw Calc (Hidden)'!Z157</f>
        <v>0</v>
      </c>
      <c r="AD175" s="95">
        <f>'Draw Calc (Hidden)'!AA157</f>
        <v>0</v>
      </c>
      <c r="AE175" s="95">
        <f>'Draw Calc (Hidden)'!AB157</f>
        <v>0</v>
      </c>
      <c r="AF175" s="95">
        <f>'Draw Calc (Hidden)'!AC157</f>
        <v>0</v>
      </c>
      <c r="AG175" s="95">
        <f>'Draw Calc (Hidden)'!AD157</f>
        <v>0</v>
      </c>
      <c r="AH175" s="95">
        <f>'Draw Calc (Hidden)'!AE157</f>
        <v>0</v>
      </c>
      <c r="AI175" s="95">
        <f>'Draw Calc (Hidden)'!AF157</f>
        <v>0</v>
      </c>
      <c r="AJ175" s="95">
        <f>'Draw Calc (Hidden)'!AG157</f>
        <v>0</v>
      </c>
      <c r="AK175" s="95">
        <f>'Draw Calc (Hidden)'!AH157</f>
        <v>0</v>
      </c>
      <c r="AL175" s="95">
        <f>'Draw Calc (Hidden)'!AI157</f>
        <v>0</v>
      </c>
      <c r="AM175" s="95">
        <f>'Draw Calc (Hidden)'!AJ157</f>
        <v>0</v>
      </c>
      <c r="AN175" s="95">
        <f>'Draw Calc (Hidden)'!AK157</f>
        <v>0</v>
      </c>
      <c r="AO175" s="95">
        <f>'Draw Calc (Hidden)'!AL157</f>
        <v>0</v>
      </c>
    </row>
    <row r="176" spans="1:41" ht="15" customHeight="1" x14ac:dyDescent="0.2">
      <c r="A176" s="94" t="str">
        <f>'I_Budget Input Data'!B158</f>
        <v>6. FINANCE AND ADMINISTRATION</v>
      </c>
      <c r="B176" s="94" t="str">
        <f>'I_Budget Input Data'!C158</f>
        <v>Insurance</v>
      </c>
      <c r="C176" s="95">
        <f>'I_Budget Input Data'!D158</f>
        <v>44753</v>
      </c>
      <c r="D176" s="95">
        <f t="shared" si="8"/>
        <v>44753</v>
      </c>
      <c r="E176" s="95">
        <f t="shared" si="9"/>
        <v>0</v>
      </c>
      <c r="F176" s="95">
        <f>'Draw Calc (Hidden)'!C158</f>
        <v>3442.5384615384614</v>
      </c>
      <c r="G176" s="95">
        <f>'Draw Calc (Hidden)'!D158</f>
        <v>3442.5384615384614</v>
      </c>
      <c r="H176" s="95">
        <f>'Draw Calc (Hidden)'!E158</f>
        <v>3442.5384615384614</v>
      </c>
      <c r="I176" s="95">
        <f>'Draw Calc (Hidden)'!F158</f>
        <v>3442.5384615384614</v>
      </c>
      <c r="J176" s="95">
        <f>'Draw Calc (Hidden)'!G158</f>
        <v>3442.5384615384614</v>
      </c>
      <c r="K176" s="95">
        <f>'Draw Calc (Hidden)'!H158</f>
        <v>3442.5384615384614</v>
      </c>
      <c r="L176" s="95">
        <f>'Draw Calc (Hidden)'!I158</f>
        <v>3442.5384615384614</v>
      </c>
      <c r="M176" s="95">
        <f>'Draw Calc (Hidden)'!J158</f>
        <v>3442.5384615384614</v>
      </c>
      <c r="N176" s="95">
        <f>'Draw Calc (Hidden)'!K158</f>
        <v>3442.5384615384614</v>
      </c>
      <c r="O176" s="95">
        <f>'Draw Calc (Hidden)'!L158</f>
        <v>3442.5384615384614</v>
      </c>
      <c r="P176" s="95">
        <f>'Draw Calc (Hidden)'!M158</f>
        <v>3442.5384615384614</v>
      </c>
      <c r="Q176" s="95">
        <f>'Draw Calc (Hidden)'!N158</f>
        <v>3442.5384615384614</v>
      </c>
      <c r="R176" s="95">
        <f>'Draw Calc (Hidden)'!O158</f>
        <v>3442.5384615384614</v>
      </c>
      <c r="S176" s="95">
        <f>'Draw Calc (Hidden)'!P158</f>
        <v>0</v>
      </c>
      <c r="T176" s="95">
        <f>'Draw Calc (Hidden)'!Q158</f>
        <v>0</v>
      </c>
      <c r="U176" s="95">
        <f>'Draw Calc (Hidden)'!R158</f>
        <v>0</v>
      </c>
      <c r="V176" s="95">
        <f>'Draw Calc (Hidden)'!S158</f>
        <v>0</v>
      </c>
      <c r="W176" s="95">
        <f>'Draw Calc (Hidden)'!T158</f>
        <v>0</v>
      </c>
      <c r="X176" s="95">
        <f>'Draw Calc (Hidden)'!U158</f>
        <v>0</v>
      </c>
      <c r="Y176" s="95">
        <f>'Draw Calc (Hidden)'!V158</f>
        <v>0</v>
      </c>
      <c r="Z176" s="95">
        <f>'Draw Calc (Hidden)'!W158</f>
        <v>0</v>
      </c>
      <c r="AA176" s="95">
        <f>'Draw Calc (Hidden)'!X158</f>
        <v>0</v>
      </c>
      <c r="AB176" s="95">
        <f>'Draw Calc (Hidden)'!Y158</f>
        <v>0</v>
      </c>
      <c r="AC176" s="95">
        <f>'Draw Calc (Hidden)'!Z158</f>
        <v>0</v>
      </c>
      <c r="AD176" s="95">
        <f>'Draw Calc (Hidden)'!AA158</f>
        <v>0</v>
      </c>
      <c r="AE176" s="95">
        <f>'Draw Calc (Hidden)'!AB158</f>
        <v>0</v>
      </c>
      <c r="AF176" s="95">
        <f>'Draw Calc (Hidden)'!AC158</f>
        <v>0</v>
      </c>
      <c r="AG176" s="95">
        <f>'Draw Calc (Hidden)'!AD158</f>
        <v>0</v>
      </c>
      <c r="AH176" s="95">
        <f>'Draw Calc (Hidden)'!AE158</f>
        <v>0</v>
      </c>
      <c r="AI176" s="95">
        <f>'Draw Calc (Hidden)'!AF158</f>
        <v>0</v>
      </c>
      <c r="AJ176" s="95">
        <f>'Draw Calc (Hidden)'!AG158</f>
        <v>0</v>
      </c>
      <c r="AK176" s="95">
        <f>'Draw Calc (Hidden)'!AH158</f>
        <v>0</v>
      </c>
      <c r="AL176" s="95">
        <f>'Draw Calc (Hidden)'!AI158</f>
        <v>0</v>
      </c>
      <c r="AM176" s="95">
        <f>'Draw Calc (Hidden)'!AJ158</f>
        <v>0</v>
      </c>
      <c r="AN176" s="95">
        <f>'Draw Calc (Hidden)'!AK158</f>
        <v>0</v>
      </c>
      <c r="AO176" s="95">
        <f>'Draw Calc (Hidden)'!AL158</f>
        <v>0</v>
      </c>
    </row>
    <row r="177" spans="1:41" ht="15" customHeight="1" x14ac:dyDescent="0.2">
      <c r="A177" s="94" t="str">
        <f>'I_Budget Input Data'!B159</f>
        <v>6. FINANCE AND ADMINISTRATION</v>
      </c>
      <c r="B177" s="94" t="str">
        <f>'I_Budget Input Data'!C159</f>
        <v>Legal fees</v>
      </c>
      <c r="C177" s="95">
        <f>'I_Budget Input Data'!D159</f>
        <v>125339</v>
      </c>
      <c r="D177" s="95">
        <f t="shared" si="8"/>
        <v>125338.99999999997</v>
      </c>
      <c r="E177" s="95">
        <f t="shared" si="9"/>
        <v>0</v>
      </c>
      <c r="F177" s="95">
        <f>'Draw Calc (Hidden)'!C159</f>
        <v>9641.461538461539</v>
      </c>
      <c r="G177" s="95">
        <f>'Draw Calc (Hidden)'!D159</f>
        <v>9641.461538461539</v>
      </c>
      <c r="H177" s="95">
        <f>'Draw Calc (Hidden)'!E159</f>
        <v>9641.461538461539</v>
      </c>
      <c r="I177" s="95">
        <f>'Draw Calc (Hidden)'!F159</f>
        <v>9641.461538461539</v>
      </c>
      <c r="J177" s="95">
        <f>'Draw Calc (Hidden)'!G159</f>
        <v>9641.461538461539</v>
      </c>
      <c r="K177" s="95">
        <f>'Draw Calc (Hidden)'!H159</f>
        <v>9641.461538461539</v>
      </c>
      <c r="L177" s="95">
        <f>'Draw Calc (Hidden)'!I159</f>
        <v>9641.461538461539</v>
      </c>
      <c r="M177" s="95">
        <f>'Draw Calc (Hidden)'!J159</f>
        <v>9641.461538461539</v>
      </c>
      <c r="N177" s="95">
        <f>'Draw Calc (Hidden)'!K159</f>
        <v>9641.461538461539</v>
      </c>
      <c r="O177" s="95">
        <f>'Draw Calc (Hidden)'!L159</f>
        <v>9641.461538461539</v>
      </c>
      <c r="P177" s="95">
        <f>'Draw Calc (Hidden)'!M159</f>
        <v>9641.461538461539</v>
      </c>
      <c r="Q177" s="95">
        <f>'Draw Calc (Hidden)'!N159</f>
        <v>9641.461538461539</v>
      </c>
      <c r="R177" s="95">
        <f>'Draw Calc (Hidden)'!O159</f>
        <v>9641.461538461539</v>
      </c>
      <c r="S177" s="95">
        <f>'Draw Calc (Hidden)'!P159</f>
        <v>0</v>
      </c>
      <c r="T177" s="95">
        <f>'Draw Calc (Hidden)'!Q159</f>
        <v>0</v>
      </c>
      <c r="U177" s="95">
        <f>'Draw Calc (Hidden)'!R159</f>
        <v>0</v>
      </c>
      <c r="V177" s="95">
        <f>'Draw Calc (Hidden)'!S159</f>
        <v>0</v>
      </c>
      <c r="W177" s="95">
        <f>'Draw Calc (Hidden)'!T159</f>
        <v>0</v>
      </c>
      <c r="X177" s="95">
        <f>'Draw Calc (Hidden)'!U159</f>
        <v>0</v>
      </c>
      <c r="Y177" s="95">
        <f>'Draw Calc (Hidden)'!V159</f>
        <v>0</v>
      </c>
      <c r="Z177" s="95">
        <f>'Draw Calc (Hidden)'!W159</f>
        <v>0</v>
      </c>
      <c r="AA177" s="95">
        <f>'Draw Calc (Hidden)'!X159</f>
        <v>0</v>
      </c>
      <c r="AB177" s="95">
        <f>'Draw Calc (Hidden)'!Y159</f>
        <v>0</v>
      </c>
      <c r="AC177" s="95">
        <f>'Draw Calc (Hidden)'!Z159</f>
        <v>0</v>
      </c>
      <c r="AD177" s="95">
        <f>'Draw Calc (Hidden)'!AA159</f>
        <v>0</v>
      </c>
      <c r="AE177" s="95">
        <f>'Draw Calc (Hidden)'!AB159</f>
        <v>0</v>
      </c>
      <c r="AF177" s="95">
        <f>'Draw Calc (Hidden)'!AC159</f>
        <v>0</v>
      </c>
      <c r="AG177" s="95">
        <f>'Draw Calc (Hidden)'!AD159</f>
        <v>0</v>
      </c>
      <c r="AH177" s="95">
        <f>'Draw Calc (Hidden)'!AE159</f>
        <v>0</v>
      </c>
      <c r="AI177" s="95">
        <f>'Draw Calc (Hidden)'!AF159</f>
        <v>0</v>
      </c>
      <c r="AJ177" s="95">
        <f>'Draw Calc (Hidden)'!AG159</f>
        <v>0</v>
      </c>
      <c r="AK177" s="95">
        <f>'Draw Calc (Hidden)'!AH159</f>
        <v>0</v>
      </c>
      <c r="AL177" s="95">
        <f>'Draw Calc (Hidden)'!AI159</f>
        <v>0</v>
      </c>
      <c r="AM177" s="95">
        <f>'Draw Calc (Hidden)'!AJ159</f>
        <v>0</v>
      </c>
      <c r="AN177" s="95">
        <f>'Draw Calc (Hidden)'!AK159</f>
        <v>0</v>
      </c>
      <c r="AO177" s="95">
        <f>'Draw Calc (Hidden)'!AL159</f>
        <v>0</v>
      </c>
    </row>
    <row r="178" spans="1:41" ht="15" customHeight="1" x14ac:dyDescent="0.2">
      <c r="A178" s="94" t="str">
        <f>'I_Budget Input Data'!B160</f>
        <v>6. FINANCE AND ADMINISTRATION</v>
      </c>
      <c r="B178" s="94" t="str">
        <f>'I_Budget Input Data'!C160</f>
        <v>Lender fees</v>
      </c>
      <c r="C178" s="95">
        <f>'I_Budget Input Data'!D160</f>
        <v>112290</v>
      </c>
      <c r="D178" s="95">
        <f t="shared" si="8"/>
        <v>112290.00000000004</v>
      </c>
      <c r="E178" s="95">
        <f t="shared" si="9"/>
        <v>0</v>
      </c>
      <c r="F178" s="95">
        <f>'Draw Calc (Hidden)'!C160</f>
        <v>8637.6923076923085</v>
      </c>
      <c r="G178" s="95">
        <f>'Draw Calc (Hidden)'!D160</f>
        <v>8637.6923076923085</v>
      </c>
      <c r="H178" s="95">
        <f>'Draw Calc (Hidden)'!E160</f>
        <v>8637.6923076923085</v>
      </c>
      <c r="I178" s="95">
        <f>'Draw Calc (Hidden)'!F160</f>
        <v>8637.6923076923085</v>
      </c>
      <c r="J178" s="95">
        <f>'Draw Calc (Hidden)'!G160</f>
        <v>8637.6923076923085</v>
      </c>
      <c r="K178" s="95">
        <f>'Draw Calc (Hidden)'!H160</f>
        <v>8637.6923076923085</v>
      </c>
      <c r="L178" s="95">
        <f>'Draw Calc (Hidden)'!I160</f>
        <v>8637.6923076923085</v>
      </c>
      <c r="M178" s="95">
        <f>'Draw Calc (Hidden)'!J160</f>
        <v>8637.6923076923085</v>
      </c>
      <c r="N178" s="95">
        <f>'Draw Calc (Hidden)'!K160</f>
        <v>8637.6923076923085</v>
      </c>
      <c r="O178" s="95">
        <f>'Draw Calc (Hidden)'!L160</f>
        <v>8637.6923076923085</v>
      </c>
      <c r="P178" s="95">
        <f>'Draw Calc (Hidden)'!M160</f>
        <v>8637.6923076923085</v>
      </c>
      <c r="Q178" s="95">
        <f>'Draw Calc (Hidden)'!N160</f>
        <v>8637.6923076923085</v>
      </c>
      <c r="R178" s="95">
        <f>'Draw Calc (Hidden)'!O160</f>
        <v>8637.6923076923085</v>
      </c>
      <c r="S178" s="95">
        <f>'Draw Calc (Hidden)'!P160</f>
        <v>0</v>
      </c>
      <c r="T178" s="95">
        <f>'Draw Calc (Hidden)'!Q160</f>
        <v>0</v>
      </c>
      <c r="U178" s="95">
        <f>'Draw Calc (Hidden)'!R160</f>
        <v>0</v>
      </c>
      <c r="V178" s="95">
        <f>'Draw Calc (Hidden)'!S160</f>
        <v>0</v>
      </c>
      <c r="W178" s="95">
        <f>'Draw Calc (Hidden)'!T160</f>
        <v>0</v>
      </c>
      <c r="X178" s="95">
        <f>'Draw Calc (Hidden)'!U160</f>
        <v>0</v>
      </c>
      <c r="Y178" s="95">
        <f>'Draw Calc (Hidden)'!V160</f>
        <v>0</v>
      </c>
      <c r="Z178" s="95">
        <f>'Draw Calc (Hidden)'!W160</f>
        <v>0</v>
      </c>
      <c r="AA178" s="95">
        <f>'Draw Calc (Hidden)'!X160</f>
        <v>0</v>
      </c>
      <c r="AB178" s="95">
        <f>'Draw Calc (Hidden)'!Y160</f>
        <v>0</v>
      </c>
      <c r="AC178" s="95">
        <f>'Draw Calc (Hidden)'!Z160</f>
        <v>0</v>
      </c>
      <c r="AD178" s="95">
        <f>'Draw Calc (Hidden)'!AA160</f>
        <v>0</v>
      </c>
      <c r="AE178" s="95">
        <f>'Draw Calc (Hidden)'!AB160</f>
        <v>0</v>
      </c>
      <c r="AF178" s="95">
        <f>'Draw Calc (Hidden)'!AC160</f>
        <v>0</v>
      </c>
      <c r="AG178" s="95">
        <f>'Draw Calc (Hidden)'!AD160</f>
        <v>0</v>
      </c>
      <c r="AH178" s="95">
        <f>'Draw Calc (Hidden)'!AE160</f>
        <v>0</v>
      </c>
      <c r="AI178" s="95">
        <f>'Draw Calc (Hidden)'!AF160</f>
        <v>0</v>
      </c>
      <c r="AJ178" s="95">
        <f>'Draw Calc (Hidden)'!AG160</f>
        <v>0</v>
      </c>
      <c r="AK178" s="95">
        <f>'Draw Calc (Hidden)'!AH160</f>
        <v>0</v>
      </c>
      <c r="AL178" s="95">
        <f>'Draw Calc (Hidden)'!AI160</f>
        <v>0</v>
      </c>
      <c r="AM178" s="95">
        <f>'Draw Calc (Hidden)'!AJ160</f>
        <v>0</v>
      </c>
      <c r="AN178" s="95">
        <f>'Draw Calc (Hidden)'!AK160</f>
        <v>0</v>
      </c>
      <c r="AO178" s="95">
        <f>'Draw Calc (Hidden)'!AL160</f>
        <v>0</v>
      </c>
    </row>
    <row r="179" spans="1:41" ht="15" customHeight="1" x14ac:dyDescent="0.2">
      <c r="A179" s="94" t="str">
        <f>'I_Budget Input Data'!B161</f>
        <v>6. FINANCE AND ADMINISTRATION</v>
      </c>
      <c r="B179" s="94" t="str">
        <f>'I_Budget Input Data'!C161</f>
        <v>CMHC Insurance Premium</v>
      </c>
      <c r="C179" s="95">
        <f>'I_Budget Input Data'!D161</f>
        <v>452241</v>
      </c>
      <c r="D179" s="95">
        <f t="shared" si="8"/>
        <v>452241.00000000017</v>
      </c>
      <c r="E179" s="95">
        <f t="shared" si="9"/>
        <v>0</v>
      </c>
      <c r="F179" s="95">
        <f>'Draw Calc (Hidden)'!C161</f>
        <v>34787.769230769234</v>
      </c>
      <c r="G179" s="95">
        <f>'Draw Calc (Hidden)'!D161</f>
        <v>34787.769230769234</v>
      </c>
      <c r="H179" s="95">
        <f>'Draw Calc (Hidden)'!E161</f>
        <v>34787.769230769234</v>
      </c>
      <c r="I179" s="95">
        <f>'Draw Calc (Hidden)'!F161</f>
        <v>34787.769230769234</v>
      </c>
      <c r="J179" s="95">
        <f>'Draw Calc (Hidden)'!G161</f>
        <v>34787.769230769234</v>
      </c>
      <c r="K179" s="95">
        <f>'Draw Calc (Hidden)'!H161</f>
        <v>34787.769230769234</v>
      </c>
      <c r="L179" s="95">
        <f>'Draw Calc (Hidden)'!I161</f>
        <v>34787.769230769234</v>
      </c>
      <c r="M179" s="95">
        <f>'Draw Calc (Hidden)'!J161</f>
        <v>34787.769230769234</v>
      </c>
      <c r="N179" s="95">
        <f>'Draw Calc (Hidden)'!K161</f>
        <v>34787.769230769234</v>
      </c>
      <c r="O179" s="95">
        <f>'Draw Calc (Hidden)'!L161</f>
        <v>34787.769230769234</v>
      </c>
      <c r="P179" s="95">
        <f>'Draw Calc (Hidden)'!M161</f>
        <v>34787.769230769234</v>
      </c>
      <c r="Q179" s="95">
        <f>'Draw Calc (Hidden)'!N161</f>
        <v>34787.769230769234</v>
      </c>
      <c r="R179" s="95">
        <f>'Draw Calc (Hidden)'!O161</f>
        <v>34787.769230769234</v>
      </c>
      <c r="S179" s="95">
        <f>'Draw Calc (Hidden)'!P161</f>
        <v>0</v>
      </c>
      <c r="T179" s="95">
        <f>'Draw Calc (Hidden)'!Q161</f>
        <v>0</v>
      </c>
      <c r="U179" s="95">
        <f>'Draw Calc (Hidden)'!R161</f>
        <v>0</v>
      </c>
      <c r="V179" s="95">
        <f>'Draw Calc (Hidden)'!S161</f>
        <v>0</v>
      </c>
      <c r="W179" s="95">
        <f>'Draw Calc (Hidden)'!T161</f>
        <v>0</v>
      </c>
      <c r="X179" s="95">
        <f>'Draw Calc (Hidden)'!U161</f>
        <v>0</v>
      </c>
      <c r="Y179" s="95">
        <f>'Draw Calc (Hidden)'!V161</f>
        <v>0</v>
      </c>
      <c r="Z179" s="95">
        <f>'Draw Calc (Hidden)'!W161</f>
        <v>0</v>
      </c>
      <c r="AA179" s="95">
        <f>'Draw Calc (Hidden)'!X161</f>
        <v>0</v>
      </c>
      <c r="AB179" s="95">
        <f>'Draw Calc (Hidden)'!Y161</f>
        <v>0</v>
      </c>
      <c r="AC179" s="95">
        <f>'Draw Calc (Hidden)'!Z161</f>
        <v>0</v>
      </c>
      <c r="AD179" s="95">
        <f>'Draw Calc (Hidden)'!AA161</f>
        <v>0</v>
      </c>
      <c r="AE179" s="95">
        <f>'Draw Calc (Hidden)'!AB161</f>
        <v>0</v>
      </c>
      <c r="AF179" s="95">
        <f>'Draw Calc (Hidden)'!AC161</f>
        <v>0</v>
      </c>
      <c r="AG179" s="95">
        <f>'Draw Calc (Hidden)'!AD161</f>
        <v>0</v>
      </c>
      <c r="AH179" s="95">
        <f>'Draw Calc (Hidden)'!AE161</f>
        <v>0</v>
      </c>
      <c r="AI179" s="95">
        <f>'Draw Calc (Hidden)'!AF161</f>
        <v>0</v>
      </c>
      <c r="AJ179" s="95">
        <f>'Draw Calc (Hidden)'!AG161</f>
        <v>0</v>
      </c>
      <c r="AK179" s="95">
        <f>'Draw Calc (Hidden)'!AH161</f>
        <v>0</v>
      </c>
      <c r="AL179" s="95">
        <f>'Draw Calc (Hidden)'!AI161</f>
        <v>0</v>
      </c>
      <c r="AM179" s="95">
        <f>'Draw Calc (Hidden)'!AJ161</f>
        <v>0</v>
      </c>
      <c r="AN179" s="95">
        <f>'Draw Calc (Hidden)'!AK161</f>
        <v>0</v>
      </c>
      <c r="AO179" s="95">
        <f>'Draw Calc (Hidden)'!AL161</f>
        <v>0</v>
      </c>
    </row>
    <row r="180" spans="1:41" ht="15" customHeight="1" x14ac:dyDescent="0.2">
      <c r="A180" s="94" t="str">
        <f>'I_Budget Input Data'!B162</f>
        <v>6. FINANCE AND ADMINISTRATION</v>
      </c>
      <c r="B180" s="94" t="str">
        <f>'I_Budget Input Data'!C162</f>
        <v>Mortage broker</v>
      </c>
      <c r="C180" s="95">
        <f>'I_Budget Input Data'!D162</f>
        <v>247344</v>
      </c>
      <c r="D180" s="95">
        <f t="shared" si="8"/>
        <v>247343.99999999994</v>
      </c>
      <c r="E180" s="95">
        <f t="shared" si="9"/>
        <v>0</v>
      </c>
      <c r="F180" s="95">
        <f>'Draw Calc (Hidden)'!C162</f>
        <v>19026.461538461539</v>
      </c>
      <c r="G180" s="95">
        <f>'Draw Calc (Hidden)'!D162</f>
        <v>19026.461538461539</v>
      </c>
      <c r="H180" s="95">
        <f>'Draw Calc (Hidden)'!E162</f>
        <v>19026.461538461539</v>
      </c>
      <c r="I180" s="95">
        <f>'Draw Calc (Hidden)'!F162</f>
        <v>19026.461538461539</v>
      </c>
      <c r="J180" s="95">
        <f>'Draw Calc (Hidden)'!G162</f>
        <v>19026.461538461539</v>
      </c>
      <c r="K180" s="95">
        <f>'Draw Calc (Hidden)'!H162</f>
        <v>19026.461538461539</v>
      </c>
      <c r="L180" s="95">
        <f>'Draw Calc (Hidden)'!I162</f>
        <v>19026.461538461539</v>
      </c>
      <c r="M180" s="95">
        <f>'Draw Calc (Hidden)'!J162</f>
        <v>19026.461538461539</v>
      </c>
      <c r="N180" s="95">
        <f>'Draw Calc (Hidden)'!K162</f>
        <v>19026.461538461539</v>
      </c>
      <c r="O180" s="95">
        <f>'Draw Calc (Hidden)'!L162</f>
        <v>19026.461538461539</v>
      </c>
      <c r="P180" s="95">
        <f>'Draw Calc (Hidden)'!M162</f>
        <v>19026.461538461539</v>
      </c>
      <c r="Q180" s="95">
        <f>'Draw Calc (Hidden)'!N162</f>
        <v>19026.461538461539</v>
      </c>
      <c r="R180" s="95">
        <f>'Draw Calc (Hidden)'!O162</f>
        <v>19026.461538461539</v>
      </c>
      <c r="S180" s="95">
        <f>'Draw Calc (Hidden)'!P162</f>
        <v>0</v>
      </c>
      <c r="T180" s="95">
        <f>'Draw Calc (Hidden)'!Q162</f>
        <v>0</v>
      </c>
      <c r="U180" s="95">
        <f>'Draw Calc (Hidden)'!R162</f>
        <v>0</v>
      </c>
      <c r="V180" s="95">
        <f>'Draw Calc (Hidden)'!S162</f>
        <v>0</v>
      </c>
      <c r="W180" s="95">
        <f>'Draw Calc (Hidden)'!T162</f>
        <v>0</v>
      </c>
      <c r="X180" s="95">
        <f>'Draw Calc (Hidden)'!U162</f>
        <v>0</v>
      </c>
      <c r="Y180" s="95">
        <f>'Draw Calc (Hidden)'!V162</f>
        <v>0</v>
      </c>
      <c r="Z180" s="95">
        <f>'Draw Calc (Hidden)'!W162</f>
        <v>0</v>
      </c>
      <c r="AA180" s="95">
        <f>'Draw Calc (Hidden)'!X162</f>
        <v>0</v>
      </c>
      <c r="AB180" s="95">
        <f>'Draw Calc (Hidden)'!Y162</f>
        <v>0</v>
      </c>
      <c r="AC180" s="95">
        <f>'Draw Calc (Hidden)'!Z162</f>
        <v>0</v>
      </c>
      <c r="AD180" s="95">
        <f>'Draw Calc (Hidden)'!AA162</f>
        <v>0</v>
      </c>
      <c r="AE180" s="95">
        <f>'Draw Calc (Hidden)'!AB162</f>
        <v>0</v>
      </c>
      <c r="AF180" s="95">
        <f>'Draw Calc (Hidden)'!AC162</f>
        <v>0</v>
      </c>
      <c r="AG180" s="95">
        <f>'Draw Calc (Hidden)'!AD162</f>
        <v>0</v>
      </c>
      <c r="AH180" s="95">
        <f>'Draw Calc (Hidden)'!AE162</f>
        <v>0</v>
      </c>
      <c r="AI180" s="95">
        <f>'Draw Calc (Hidden)'!AF162</f>
        <v>0</v>
      </c>
      <c r="AJ180" s="95">
        <f>'Draw Calc (Hidden)'!AG162</f>
        <v>0</v>
      </c>
      <c r="AK180" s="95">
        <f>'Draw Calc (Hidden)'!AH162</f>
        <v>0</v>
      </c>
      <c r="AL180" s="95">
        <f>'Draw Calc (Hidden)'!AI162</f>
        <v>0</v>
      </c>
      <c r="AM180" s="95">
        <f>'Draw Calc (Hidden)'!AJ162</f>
        <v>0</v>
      </c>
      <c r="AN180" s="95">
        <f>'Draw Calc (Hidden)'!AK162</f>
        <v>0</v>
      </c>
      <c r="AO180" s="95">
        <f>'Draw Calc (Hidden)'!AL162</f>
        <v>0</v>
      </c>
    </row>
    <row r="181" spans="1:41" ht="15" customHeight="1" x14ac:dyDescent="0.2">
      <c r="A181" s="94" t="str">
        <f>'I_Budget Input Data'!B163</f>
        <v>6. FINANCE AND ADMINISTRATION</v>
      </c>
      <c r="B181" s="94" t="str">
        <f>'I_Budget Input Data'!C163</f>
        <v>Permits</v>
      </c>
      <c r="C181" s="95">
        <f>'I_Budget Input Data'!D163</f>
        <v>168546</v>
      </c>
      <c r="D181" s="95">
        <f t="shared" si="8"/>
        <v>168546.00000000003</v>
      </c>
      <c r="E181" s="95">
        <f t="shared" si="9"/>
        <v>0</v>
      </c>
      <c r="F181" s="95">
        <f>'Draw Calc (Hidden)'!C163</f>
        <v>12965.076923076924</v>
      </c>
      <c r="G181" s="95">
        <f>'Draw Calc (Hidden)'!D163</f>
        <v>12965.076923076924</v>
      </c>
      <c r="H181" s="95">
        <f>'Draw Calc (Hidden)'!E163</f>
        <v>12965.076923076924</v>
      </c>
      <c r="I181" s="95">
        <f>'Draw Calc (Hidden)'!F163</f>
        <v>12965.076923076924</v>
      </c>
      <c r="J181" s="95">
        <f>'Draw Calc (Hidden)'!G163</f>
        <v>12965.076923076924</v>
      </c>
      <c r="K181" s="95">
        <f>'Draw Calc (Hidden)'!H163</f>
        <v>12965.076923076924</v>
      </c>
      <c r="L181" s="95">
        <f>'Draw Calc (Hidden)'!I163</f>
        <v>12965.076923076924</v>
      </c>
      <c r="M181" s="95">
        <f>'Draw Calc (Hidden)'!J163</f>
        <v>12965.076923076924</v>
      </c>
      <c r="N181" s="95">
        <f>'Draw Calc (Hidden)'!K163</f>
        <v>12965.076923076924</v>
      </c>
      <c r="O181" s="95">
        <f>'Draw Calc (Hidden)'!L163</f>
        <v>12965.076923076924</v>
      </c>
      <c r="P181" s="95">
        <f>'Draw Calc (Hidden)'!M163</f>
        <v>12965.076923076924</v>
      </c>
      <c r="Q181" s="95">
        <f>'Draw Calc (Hidden)'!N163</f>
        <v>12965.076923076924</v>
      </c>
      <c r="R181" s="95">
        <f>'Draw Calc (Hidden)'!O163</f>
        <v>12965.076923076924</v>
      </c>
      <c r="S181" s="95">
        <f>'Draw Calc (Hidden)'!P163</f>
        <v>0</v>
      </c>
      <c r="T181" s="95">
        <f>'Draw Calc (Hidden)'!Q163</f>
        <v>0</v>
      </c>
      <c r="U181" s="95">
        <f>'Draw Calc (Hidden)'!R163</f>
        <v>0</v>
      </c>
      <c r="V181" s="95">
        <f>'Draw Calc (Hidden)'!S163</f>
        <v>0</v>
      </c>
      <c r="W181" s="95">
        <f>'Draw Calc (Hidden)'!T163</f>
        <v>0</v>
      </c>
      <c r="X181" s="95">
        <f>'Draw Calc (Hidden)'!U163</f>
        <v>0</v>
      </c>
      <c r="Y181" s="95">
        <f>'Draw Calc (Hidden)'!V163</f>
        <v>0</v>
      </c>
      <c r="Z181" s="95">
        <f>'Draw Calc (Hidden)'!W163</f>
        <v>0</v>
      </c>
      <c r="AA181" s="95">
        <f>'Draw Calc (Hidden)'!X163</f>
        <v>0</v>
      </c>
      <c r="AB181" s="95">
        <f>'Draw Calc (Hidden)'!Y163</f>
        <v>0</v>
      </c>
      <c r="AC181" s="95">
        <f>'Draw Calc (Hidden)'!Z163</f>
        <v>0</v>
      </c>
      <c r="AD181" s="95">
        <f>'Draw Calc (Hidden)'!AA163</f>
        <v>0</v>
      </c>
      <c r="AE181" s="95">
        <f>'Draw Calc (Hidden)'!AB163</f>
        <v>0</v>
      </c>
      <c r="AF181" s="95">
        <f>'Draw Calc (Hidden)'!AC163</f>
        <v>0</v>
      </c>
      <c r="AG181" s="95">
        <f>'Draw Calc (Hidden)'!AD163</f>
        <v>0</v>
      </c>
      <c r="AH181" s="95">
        <f>'Draw Calc (Hidden)'!AE163</f>
        <v>0</v>
      </c>
      <c r="AI181" s="95">
        <f>'Draw Calc (Hidden)'!AF163</f>
        <v>0</v>
      </c>
      <c r="AJ181" s="95">
        <f>'Draw Calc (Hidden)'!AG163</f>
        <v>0</v>
      </c>
      <c r="AK181" s="95">
        <f>'Draw Calc (Hidden)'!AH163</f>
        <v>0</v>
      </c>
      <c r="AL181" s="95">
        <f>'Draw Calc (Hidden)'!AI163</f>
        <v>0</v>
      </c>
      <c r="AM181" s="95">
        <f>'Draw Calc (Hidden)'!AJ163</f>
        <v>0</v>
      </c>
      <c r="AN181" s="95">
        <f>'Draw Calc (Hidden)'!AK163</f>
        <v>0</v>
      </c>
      <c r="AO181" s="95">
        <f>'Draw Calc (Hidden)'!AL163</f>
        <v>0</v>
      </c>
    </row>
    <row r="182" spans="1:41" ht="15" customHeight="1" x14ac:dyDescent="0.2">
      <c r="A182" s="94" t="str">
        <f>'I_Budget Input Data'!B164</f>
        <v>6. FINANCE AND ADMINISTRATION</v>
      </c>
      <c r="B182" s="94" t="str">
        <f>'I_Budget Input Data'!C164</f>
        <v>Pre Construction Carrying costs</v>
      </c>
      <c r="C182" s="95">
        <f>'I_Budget Input Data'!D164</f>
        <v>273134</v>
      </c>
      <c r="D182" s="95">
        <f t="shared" si="8"/>
        <v>273134</v>
      </c>
      <c r="E182" s="95">
        <f t="shared" si="9"/>
        <v>0</v>
      </c>
      <c r="F182" s="95">
        <f>'Draw Calc (Hidden)'!C164</f>
        <v>21010.307692307691</v>
      </c>
      <c r="G182" s="95">
        <f>'Draw Calc (Hidden)'!D164</f>
        <v>21010.307692307691</v>
      </c>
      <c r="H182" s="95">
        <f>'Draw Calc (Hidden)'!E164</f>
        <v>21010.307692307691</v>
      </c>
      <c r="I182" s="95">
        <f>'Draw Calc (Hidden)'!F164</f>
        <v>21010.307692307691</v>
      </c>
      <c r="J182" s="95">
        <f>'Draw Calc (Hidden)'!G164</f>
        <v>21010.307692307691</v>
      </c>
      <c r="K182" s="95">
        <f>'Draw Calc (Hidden)'!H164</f>
        <v>21010.307692307691</v>
      </c>
      <c r="L182" s="95">
        <f>'Draw Calc (Hidden)'!I164</f>
        <v>21010.307692307691</v>
      </c>
      <c r="M182" s="95">
        <f>'Draw Calc (Hidden)'!J164</f>
        <v>21010.307692307691</v>
      </c>
      <c r="N182" s="95">
        <f>'Draw Calc (Hidden)'!K164</f>
        <v>21010.307692307691</v>
      </c>
      <c r="O182" s="95">
        <f>'Draw Calc (Hidden)'!L164</f>
        <v>21010.307692307691</v>
      </c>
      <c r="P182" s="95">
        <f>'Draw Calc (Hidden)'!M164</f>
        <v>21010.307692307691</v>
      </c>
      <c r="Q182" s="95">
        <f>'Draw Calc (Hidden)'!N164</f>
        <v>21010.307692307691</v>
      </c>
      <c r="R182" s="95">
        <f>'Draw Calc (Hidden)'!O164</f>
        <v>21010.307692307691</v>
      </c>
      <c r="S182" s="95">
        <f>'Draw Calc (Hidden)'!P164</f>
        <v>0</v>
      </c>
      <c r="T182" s="95">
        <f>'Draw Calc (Hidden)'!Q164</f>
        <v>0</v>
      </c>
      <c r="U182" s="95">
        <f>'Draw Calc (Hidden)'!R164</f>
        <v>0</v>
      </c>
      <c r="V182" s="95">
        <f>'Draw Calc (Hidden)'!S164</f>
        <v>0</v>
      </c>
      <c r="W182" s="95">
        <f>'Draw Calc (Hidden)'!T164</f>
        <v>0</v>
      </c>
      <c r="X182" s="95">
        <f>'Draw Calc (Hidden)'!U164</f>
        <v>0</v>
      </c>
      <c r="Y182" s="95">
        <f>'Draw Calc (Hidden)'!V164</f>
        <v>0</v>
      </c>
      <c r="Z182" s="95">
        <f>'Draw Calc (Hidden)'!W164</f>
        <v>0</v>
      </c>
      <c r="AA182" s="95">
        <f>'Draw Calc (Hidden)'!X164</f>
        <v>0</v>
      </c>
      <c r="AB182" s="95">
        <f>'Draw Calc (Hidden)'!Y164</f>
        <v>0</v>
      </c>
      <c r="AC182" s="95">
        <f>'Draw Calc (Hidden)'!Z164</f>
        <v>0</v>
      </c>
      <c r="AD182" s="95">
        <f>'Draw Calc (Hidden)'!AA164</f>
        <v>0</v>
      </c>
      <c r="AE182" s="95">
        <f>'Draw Calc (Hidden)'!AB164</f>
        <v>0</v>
      </c>
      <c r="AF182" s="95">
        <f>'Draw Calc (Hidden)'!AC164</f>
        <v>0</v>
      </c>
      <c r="AG182" s="95">
        <f>'Draw Calc (Hidden)'!AD164</f>
        <v>0</v>
      </c>
      <c r="AH182" s="95">
        <f>'Draw Calc (Hidden)'!AE164</f>
        <v>0</v>
      </c>
      <c r="AI182" s="95">
        <f>'Draw Calc (Hidden)'!AF164</f>
        <v>0</v>
      </c>
      <c r="AJ182" s="95">
        <f>'Draw Calc (Hidden)'!AG164</f>
        <v>0</v>
      </c>
      <c r="AK182" s="95">
        <f>'Draw Calc (Hidden)'!AH164</f>
        <v>0</v>
      </c>
      <c r="AL182" s="95">
        <f>'Draw Calc (Hidden)'!AI164</f>
        <v>0</v>
      </c>
      <c r="AM182" s="95">
        <f>'Draw Calc (Hidden)'!AJ164</f>
        <v>0</v>
      </c>
      <c r="AN182" s="95">
        <f>'Draw Calc (Hidden)'!AK164</f>
        <v>0</v>
      </c>
      <c r="AO182" s="95">
        <f>'Draw Calc (Hidden)'!AL164</f>
        <v>0</v>
      </c>
    </row>
    <row r="183" spans="1:41" ht="15" customHeight="1" x14ac:dyDescent="0.2">
      <c r="A183" s="94" t="str">
        <f>'I_Budget Input Data'!B165</f>
        <v>6. FINANCE AND ADMINISTRATION</v>
      </c>
      <c r="B183" s="94" t="str">
        <f>'I_Budget Input Data'!C165</f>
        <v>Taxes</v>
      </c>
      <c r="C183" s="95">
        <f>'I_Budget Input Data'!D165</f>
        <v>10000</v>
      </c>
      <c r="D183" s="95">
        <f t="shared" si="8"/>
        <v>10000.000000000002</v>
      </c>
      <c r="E183" s="95">
        <f t="shared" si="9"/>
        <v>0</v>
      </c>
      <c r="F183" s="95">
        <f>'Draw Calc (Hidden)'!C165</f>
        <v>769.23076923076928</v>
      </c>
      <c r="G183" s="95">
        <f>'Draw Calc (Hidden)'!D165</f>
        <v>769.23076923076928</v>
      </c>
      <c r="H183" s="95">
        <f>'Draw Calc (Hidden)'!E165</f>
        <v>769.23076923076928</v>
      </c>
      <c r="I183" s="95">
        <f>'Draw Calc (Hidden)'!F165</f>
        <v>769.23076923076928</v>
      </c>
      <c r="J183" s="95">
        <f>'Draw Calc (Hidden)'!G165</f>
        <v>769.23076923076928</v>
      </c>
      <c r="K183" s="95">
        <f>'Draw Calc (Hidden)'!H165</f>
        <v>769.23076923076928</v>
      </c>
      <c r="L183" s="95">
        <f>'Draw Calc (Hidden)'!I165</f>
        <v>769.23076923076928</v>
      </c>
      <c r="M183" s="95">
        <f>'Draw Calc (Hidden)'!J165</f>
        <v>769.23076923076928</v>
      </c>
      <c r="N183" s="95">
        <f>'Draw Calc (Hidden)'!K165</f>
        <v>769.23076923076928</v>
      </c>
      <c r="O183" s="95">
        <f>'Draw Calc (Hidden)'!L165</f>
        <v>769.23076923076928</v>
      </c>
      <c r="P183" s="95">
        <f>'Draw Calc (Hidden)'!M165</f>
        <v>769.23076923076928</v>
      </c>
      <c r="Q183" s="95">
        <f>'Draw Calc (Hidden)'!N165</f>
        <v>769.23076923076928</v>
      </c>
      <c r="R183" s="95">
        <f>'Draw Calc (Hidden)'!O165</f>
        <v>769.23076923076928</v>
      </c>
      <c r="S183" s="95">
        <f>'Draw Calc (Hidden)'!P165</f>
        <v>0</v>
      </c>
      <c r="T183" s="95">
        <f>'Draw Calc (Hidden)'!Q165</f>
        <v>0</v>
      </c>
      <c r="U183" s="95">
        <f>'Draw Calc (Hidden)'!R165</f>
        <v>0</v>
      </c>
      <c r="V183" s="95">
        <f>'Draw Calc (Hidden)'!S165</f>
        <v>0</v>
      </c>
      <c r="W183" s="95">
        <f>'Draw Calc (Hidden)'!T165</f>
        <v>0</v>
      </c>
      <c r="X183" s="95">
        <f>'Draw Calc (Hidden)'!U165</f>
        <v>0</v>
      </c>
      <c r="Y183" s="95">
        <f>'Draw Calc (Hidden)'!V165</f>
        <v>0</v>
      </c>
      <c r="Z183" s="95">
        <f>'Draw Calc (Hidden)'!W165</f>
        <v>0</v>
      </c>
      <c r="AA183" s="95">
        <f>'Draw Calc (Hidden)'!X165</f>
        <v>0</v>
      </c>
      <c r="AB183" s="95">
        <f>'Draw Calc (Hidden)'!Y165</f>
        <v>0</v>
      </c>
      <c r="AC183" s="95">
        <f>'Draw Calc (Hidden)'!Z165</f>
        <v>0</v>
      </c>
      <c r="AD183" s="95">
        <f>'Draw Calc (Hidden)'!AA165</f>
        <v>0</v>
      </c>
      <c r="AE183" s="95">
        <f>'Draw Calc (Hidden)'!AB165</f>
        <v>0</v>
      </c>
      <c r="AF183" s="95">
        <f>'Draw Calc (Hidden)'!AC165</f>
        <v>0</v>
      </c>
      <c r="AG183" s="95">
        <f>'Draw Calc (Hidden)'!AD165</f>
        <v>0</v>
      </c>
      <c r="AH183" s="95">
        <f>'Draw Calc (Hidden)'!AE165</f>
        <v>0</v>
      </c>
      <c r="AI183" s="95">
        <f>'Draw Calc (Hidden)'!AF165</f>
        <v>0</v>
      </c>
      <c r="AJ183" s="95">
        <f>'Draw Calc (Hidden)'!AG165</f>
        <v>0</v>
      </c>
      <c r="AK183" s="95">
        <f>'Draw Calc (Hidden)'!AH165</f>
        <v>0</v>
      </c>
      <c r="AL183" s="95">
        <f>'Draw Calc (Hidden)'!AI165</f>
        <v>0</v>
      </c>
      <c r="AM183" s="95">
        <f>'Draw Calc (Hidden)'!AJ165</f>
        <v>0</v>
      </c>
      <c r="AN183" s="95">
        <f>'Draw Calc (Hidden)'!AK165</f>
        <v>0</v>
      </c>
      <c r="AO183" s="95">
        <f>'Draw Calc (Hidden)'!AL165</f>
        <v>0</v>
      </c>
    </row>
    <row r="184" spans="1:41" ht="15" customHeight="1" x14ac:dyDescent="0.2">
      <c r="A184" s="94" t="str">
        <f>'I_Budget Input Data'!B166</f>
        <v>7. TAX ASSESSMENT</v>
      </c>
      <c r="B184" s="94" t="str">
        <f>'I_Budget Input Data'!C166</f>
        <v>Self assesement taxes</v>
      </c>
      <c r="C184" s="95">
        <f>'I_Budget Input Data'!D166</f>
        <v>2087617</v>
      </c>
      <c r="D184" s="95">
        <f t="shared" si="8"/>
        <v>2087617</v>
      </c>
      <c r="E184" s="95">
        <f t="shared" ref="E184:E215" si="10">C184-D184</f>
        <v>0</v>
      </c>
      <c r="F184" s="95">
        <f>'Draw Calc (Hidden)'!C166</f>
        <v>0</v>
      </c>
      <c r="G184" s="95">
        <f>'Draw Calc (Hidden)'!D166</f>
        <v>0</v>
      </c>
      <c r="H184" s="95">
        <f>'Draw Calc (Hidden)'!E166</f>
        <v>0</v>
      </c>
      <c r="I184" s="95">
        <f>'Draw Calc (Hidden)'!F166</f>
        <v>0</v>
      </c>
      <c r="J184" s="95">
        <f>'Draw Calc (Hidden)'!G166</f>
        <v>0</v>
      </c>
      <c r="K184" s="95">
        <f>'Draw Calc (Hidden)'!H166</f>
        <v>0</v>
      </c>
      <c r="L184" s="95">
        <f>'Draw Calc (Hidden)'!I166</f>
        <v>0</v>
      </c>
      <c r="M184" s="95">
        <f>'Draw Calc (Hidden)'!J166</f>
        <v>0</v>
      </c>
      <c r="N184" s="95">
        <f>'Draw Calc (Hidden)'!K166</f>
        <v>0</v>
      </c>
      <c r="O184" s="95">
        <f>'Draw Calc (Hidden)'!L166</f>
        <v>0</v>
      </c>
      <c r="P184" s="95">
        <f>'Draw Calc (Hidden)'!M166</f>
        <v>0</v>
      </c>
      <c r="Q184" s="95">
        <f>'Draw Calc (Hidden)'!N166</f>
        <v>0</v>
      </c>
      <c r="R184" s="95">
        <f>'Draw Calc (Hidden)'!O166</f>
        <v>2087617</v>
      </c>
      <c r="S184" s="95">
        <f>'Draw Calc (Hidden)'!P166</f>
        <v>0</v>
      </c>
      <c r="T184" s="95">
        <f>'Draw Calc (Hidden)'!Q166</f>
        <v>0</v>
      </c>
      <c r="U184" s="95">
        <f>'Draw Calc (Hidden)'!R166</f>
        <v>0</v>
      </c>
      <c r="V184" s="95">
        <f>'Draw Calc (Hidden)'!S166</f>
        <v>0</v>
      </c>
      <c r="W184" s="95">
        <f>'Draw Calc (Hidden)'!T166</f>
        <v>0</v>
      </c>
      <c r="X184" s="95">
        <f>'Draw Calc (Hidden)'!U166</f>
        <v>0</v>
      </c>
      <c r="Y184" s="95">
        <f>'Draw Calc (Hidden)'!V166</f>
        <v>0</v>
      </c>
      <c r="Z184" s="95">
        <f>'Draw Calc (Hidden)'!W166</f>
        <v>0</v>
      </c>
      <c r="AA184" s="95">
        <f>'Draw Calc (Hidden)'!X166</f>
        <v>0</v>
      </c>
      <c r="AB184" s="95">
        <f>'Draw Calc (Hidden)'!Y166</f>
        <v>0</v>
      </c>
      <c r="AC184" s="95">
        <f>'Draw Calc (Hidden)'!Z166</f>
        <v>0</v>
      </c>
      <c r="AD184" s="95">
        <f>'Draw Calc (Hidden)'!AA166</f>
        <v>0</v>
      </c>
      <c r="AE184" s="95">
        <f>'Draw Calc (Hidden)'!AB166</f>
        <v>0</v>
      </c>
      <c r="AF184" s="95">
        <f>'Draw Calc (Hidden)'!AC166</f>
        <v>0</v>
      </c>
      <c r="AG184" s="95">
        <f>'Draw Calc (Hidden)'!AD166</f>
        <v>0</v>
      </c>
      <c r="AH184" s="95">
        <f>'Draw Calc (Hidden)'!AE166</f>
        <v>0</v>
      </c>
      <c r="AI184" s="95">
        <f>'Draw Calc (Hidden)'!AF166</f>
        <v>0</v>
      </c>
      <c r="AJ184" s="95">
        <f>'Draw Calc (Hidden)'!AG166</f>
        <v>0</v>
      </c>
      <c r="AK184" s="95">
        <f>'Draw Calc (Hidden)'!AH166</f>
        <v>0</v>
      </c>
      <c r="AL184" s="95">
        <f>'Draw Calc (Hidden)'!AI166</f>
        <v>0</v>
      </c>
      <c r="AM184" s="95">
        <f>'Draw Calc (Hidden)'!AJ166</f>
        <v>0</v>
      </c>
      <c r="AN184" s="95">
        <f>'Draw Calc (Hidden)'!AK166</f>
        <v>0</v>
      </c>
      <c r="AO184" s="95">
        <f>'Draw Calc (Hidden)'!AL166</f>
        <v>0</v>
      </c>
    </row>
    <row r="185" spans="1:41" ht="15" customHeight="1" x14ac:dyDescent="0.2">
      <c r="A185" s="94" t="str">
        <f>'I_Budget Input Data'!B167</f>
        <v>8. CONTINGENCY ALLOWANCE</v>
      </c>
      <c r="B185" s="94" t="str">
        <f>'I_Budget Input Data'!C167</f>
        <v>Contingency</v>
      </c>
      <c r="C185" s="95">
        <f>'I_Budget Input Data'!D167</f>
        <v>500000</v>
      </c>
      <c r="D185" s="95">
        <f t="shared" si="8"/>
        <v>499999.99999999988</v>
      </c>
      <c r="E185" s="95">
        <f t="shared" si="10"/>
        <v>0</v>
      </c>
      <c r="F185" s="95">
        <f>'Draw Calc (Hidden)'!C167</f>
        <v>38461.538461538461</v>
      </c>
      <c r="G185" s="95">
        <f>'Draw Calc (Hidden)'!D167</f>
        <v>38461.538461538461</v>
      </c>
      <c r="H185" s="95">
        <f>'Draw Calc (Hidden)'!E167</f>
        <v>38461.538461538461</v>
      </c>
      <c r="I185" s="95">
        <f>'Draw Calc (Hidden)'!F167</f>
        <v>38461.538461538461</v>
      </c>
      <c r="J185" s="95">
        <f>'Draw Calc (Hidden)'!G167</f>
        <v>38461.538461538461</v>
      </c>
      <c r="K185" s="95">
        <f>'Draw Calc (Hidden)'!H167</f>
        <v>38461.538461538461</v>
      </c>
      <c r="L185" s="95">
        <f>'Draw Calc (Hidden)'!I167</f>
        <v>38461.538461538461</v>
      </c>
      <c r="M185" s="95">
        <f>'Draw Calc (Hidden)'!J167</f>
        <v>38461.538461538461</v>
      </c>
      <c r="N185" s="95">
        <f>'Draw Calc (Hidden)'!K167</f>
        <v>38461.538461538461</v>
      </c>
      <c r="O185" s="95">
        <f>'Draw Calc (Hidden)'!L167</f>
        <v>38461.538461538461</v>
      </c>
      <c r="P185" s="95">
        <f>'Draw Calc (Hidden)'!M167</f>
        <v>38461.538461538461</v>
      </c>
      <c r="Q185" s="95">
        <f>'Draw Calc (Hidden)'!N167</f>
        <v>38461.538461538461</v>
      </c>
      <c r="R185" s="95">
        <f>'Draw Calc (Hidden)'!O167</f>
        <v>38461.538461538461</v>
      </c>
      <c r="S185" s="95">
        <f>'Draw Calc (Hidden)'!P167</f>
        <v>0</v>
      </c>
      <c r="T185" s="95">
        <f>'Draw Calc (Hidden)'!Q167</f>
        <v>0</v>
      </c>
      <c r="U185" s="95">
        <f>'Draw Calc (Hidden)'!R167</f>
        <v>0</v>
      </c>
      <c r="V185" s="95">
        <f>'Draw Calc (Hidden)'!S167</f>
        <v>0</v>
      </c>
      <c r="W185" s="95">
        <f>'Draw Calc (Hidden)'!T167</f>
        <v>0</v>
      </c>
      <c r="X185" s="95">
        <f>'Draw Calc (Hidden)'!U167</f>
        <v>0</v>
      </c>
      <c r="Y185" s="95">
        <f>'Draw Calc (Hidden)'!V167</f>
        <v>0</v>
      </c>
      <c r="Z185" s="95">
        <f>'Draw Calc (Hidden)'!W167</f>
        <v>0</v>
      </c>
      <c r="AA185" s="95">
        <f>'Draw Calc (Hidden)'!X167</f>
        <v>0</v>
      </c>
      <c r="AB185" s="95">
        <f>'Draw Calc (Hidden)'!Y167</f>
        <v>0</v>
      </c>
      <c r="AC185" s="95">
        <f>'Draw Calc (Hidden)'!Z167</f>
        <v>0</v>
      </c>
      <c r="AD185" s="95">
        <f>'Draw Calc (Hidden)'!AA167</f>
        <v>0</v>
      </c>
      <c r="AE185" s="95">
        <f>'Draw Calc (Hidden)'!AB167</f>
        <v>0</v>
      </c>
      <c r="AF185" s="95">
        <f>'Draw Calc (Hidden)'!AC167</f>
        <v>0</v>
      </c>
      <c r="AG185" s="95">
        <f>'Draw Calc (Hidden)'!AD167</f>
        <v>0</v>
      </c>
      <c r="AH185" s="95">
        <f>'Draw Calc (Hidden)'!AE167</f>
        <v>0</v>
      </c>
      <c r="AI185" s="95">
        <f>'Draw Calc (Hidden)'!AF167</f>
        <v>0</v>
      </c>
      <c r="AJ185" s="95">
        <f>'Draw Calc (Hidden)'!AG167</f>
        <v>0</v>
      </c>
      <c r="AK185" s="95">
        <f>'Draw Calc (Hidden)'!AH167</f>
        <v>0</v>
      </c>
      <c r="AL185" s="95">
        <f>'Draw Calc (Hidden)'!AI167</f>
        <v>0</v>
      </c>
      <c r="AM185" s="95">
        <f>'Draw Calc (Hidden)'!AJ167</f>
        <v>0</v>
      </c>
      <c r="AN185" s="95">
        <f>'Draw Calc (Hidden)'!AK167</f>
        <v>0</v>
      </c>
      <c r="AO185" s="95">
        <f>'Draw Calc (Hidden)'!AL167</f>
        <v>0</v>
      </c>
    </row>
    <row r="186" spans="1:41" ht="15" customHeight="1" x14ac:dyDescent="0.2">
      <c r="A186" s="94" t="str">
        <f>'I_Budget Input Data'!B168</f>
        <v>8. CONTINGENCY ALLOWANCE</v>
      </c>
      <c r="B186" s="94" t="str">
        <f>'I_Budget Input Data'!C168</f>
        <v>Contingency Buy Down</v>
      </c>
      <c r="C186" s="95">
        <f>'I_Budget Input Data'!D168</f>
        <v>0</v>
      </c>
      <c r="D186" s="95">
        <f t="shared" si="8"/>
        <v>0</v>
      </c>
      <c r="E186" s="95">
        <f t="shared" si="10"/>
        <v>0</v>
      </c>
      <c r="F186" s="95">
        <f>'Draw Calc (Hidden)'!C168</f>
        <v>0</v>
      </c>
      <c r="G186" s="95">
        <f>'Draw Calc (Hidden)'!D168</f>
        <v>0</v>
      </c>
      <c r="H186" s="95">
        <f>'Draw Calc (Hidden)'!E168</f>
        <v>0</v>
      </c>
      <c r="I186" s="95">
        <f>'Draw Calc (Hidden)'!F168</f>
        <v>0</v>
      </c>
      <c r="J186" s="95">
        <f>'Draw Calc (Hidden)'!G168</f>
        <v>0</v>
      </c>
      <c r="K186" s="95">
        <f>'Draw Calc (Hidden)'!H168</f>
        <v>0</v>
      </c>
      <c r="L186" s="95">
        <f>'Draw Calc (Hidden)'!I168</f>
        <v>0</v>
      </c>
      <c r="M186" s="95">
        <f>'Draw Calc (Hidden)'!J168</f>
        <v>0</v>
      </c>
      <c r="N186" s="95">
        <f>'Draw Calc (Hidden)'!K168</f>
        <v>0</v>
      </c>
      <c r="O186" s="95">
        <f>'Draw Calc (Hidden)'!L168</f>
        <v>0</v>
      </c>
      <c r="P186" s="95">
        <f>'Draw Calc (Hidden)'!M168</f>
        <v>0</v>
      </c>
      <c r="Q186" s="95">
        <f>'Draw Calc (Hidden)'!N168</f>
        <v>0</v>
      </c>
      <c r="R186" s="95">
        <f>'Draw Calc (Hidden)'!O168</f>
        <v>0</v>
      </c>
      <c r="S186" s="95">
        <f>'Draw Calc (Hidden)'!P168</f>
        <v>0</v>
      </c>
      <c r="T186" s="95">
        <f>'Draw Calc (Hidden)'!Q168</f>
        <v>0</v>
      </c>
      <c r="U186" s="95">
        <f>'Draw Calc (Hidden)'!R168</f>
        <v>0</v>
      </c>
      <c r="V186" s="95">
        <f>'Draw Calc (Hidden)'!S168</f>
        <v>0</v>
      </c>
      <c r="W186" s="95">
        <f>'Draw Calc (Hidden)'!T168</f>
        <v>0</v>
      </c>
      <c r="X186" s="95">
        <f>'Draw Calc (Hidden)'!U168</f>
        <v>0</v>
      </c>
      <c r="Y186" s="95">
        <f>'Draw Calc (Hidden)'!V168</f>
        <v>0</v>
      </c>
      <c r="Z186" s="95">
        <f>'Draw Calc (Hidden)'!W168</f>
        <v>0</v>
      </c>
      <c r="AA186" s="95">
        <f>'Draw Calc (Hidden)'!X168</f>
        <v>0</v>
      </c>
      <c r="AB186" s="95">
        <f>'Draw Calc (Hidden)'!Y168</f>
        <v>0</v>
      </c>
      <c r="AC186" s="95">
        <f>'Draw Calc (Hidden)'!Z168</f>
        <v>0</v>
      </c>
      <c r="AD186" s="95">
        <f>'Draw Calc (Hidden)'!AA168</f>
        <v>0</v>
      </c>
      <c r="AE186" s="95">
        <f>'Draw Calc (Hidden)'!AB168</f>
        <v>0</v>
      </c>
      <c r="AF186" s="95">
        <f>'Draw Calc (Hidden)'!AC168</f>
        <v>0</v>
      </c>
      <c r="AG186" s="95">
        <f>'Draw Calc (Hidden)'!AD168</f>
        <v>0</v>
      </c>
      <c r="AH186" s="95">
        <f>'Draw Calc (Hidden)'!AE168</f>
        <v>0</v>
      </c>
      <c r="AI186" s="95">
        <f>'Draw Calc (Hidden)'!AF168</f>
        <v>0</v>
      </c>
      <c r="AJ186" s="95">
        <f>'Draw Calc (Hidden)'!AG168</f>
        <v>0</v>
      </c>
      <c r="AK186" s="95">
        <f>'Draw Calc (Hidden)'!AH168</f>
        <v>0</v>
      </c>
      <c r="AL186" s="95">
        <f>'Draw Calc (Hidden)'!AI168</f>
        <v>0</v>
      </c>
      <c r="AM186" s="95">
        <f>'Draw Calc (Hidden)'!AJ168</f>
        <v>0</v>
      </c>
      <c r="AN186" s="95">
        <f>'Draw Calc (Hidden)'!AK168</f>
        <v>0</v>
      </c>
      <c r="AO186" s="95">
        <f>'Draw Calc (Hidden)'!AL168</f>
        <v>0</v>
      </c>
    </row>
    <row r="187" spans="1:41" ht="15" customHeight="1" x14ac:dyDescent="0.2">
      <c r="A187" s="94" t="str">
        <f>'I_Budget Input Data'!B169</f>
        <v>8. CONTINGENCY ALLOWANCE</v>
      </c>
      <c r="B187" s="94" t="str">
        <f>'I_Budget Input Data'!C169</f>
        <v>Contingency Non-Classified</v>
      </c>
      <c r="C187" s="95">
        <f>'I_Budget Input Data'!D169</f>
        <v>0</v>
      </c>
      <c r="D187" s="95">
        <f t="shared" si="8"/>
        <v>0</v>
      </c>
      <c r="E187" s="95">
        <f t="shared" si="10"/>
        <v>0</v>
      </c>
      <c r="F187" s="95">
        <f>'Draw Calc (Hidden)'!C169</f>
        <v>0</v>
      </c>
      <c r="G187" s="95">
        <f>'Draw Calc (Hidden)'!D169</f>
        <v>0</v>
      </c>
      <c r="H187" s="95">
        <f>'Draw Calc (Hidden)'!E169</f>
        <v>0</v>
      </c>
      <c r="I187" s="95">
        <f>'Draw Calc (Hidden)'!F169</f>
        <v>0</v>
      </c>
      <c r="J187" s="95">
        <f>'Draw Calc (Hidden)'!G169</f>
        <v>0</v>
      </c>
      <c r="K187" s="95">
        <f>'Draw Calc (Hidden)'!H169</f>
        <v>0</v>
      </c>
      <c r="L187" s="95">
        <f>'Draw Calc (Hidden)'!I169</f>
        <v>0</v>
      </c>
      <c r="M187" s="95">
        <f>'Draw Calc (Hidden)'!J169</f>
        <v>0</v>
      </c>
      <c r="N187" s="95">
        <f>'Draw Calc (Hidden)'!K169</f>
        <v>0</v>
      </c>
      <c r="O187" s="95">
        <f>'Draw Calc (Hidden)'!L169</f>
        <v>0</v>
      </c>
      <c r="P187" s="95">
        <f>'Draw Calc (Hidden)'!M169</f>
        <v>0</v>
      </c>
      <c r="Q187" s="95">
        <f>'Draw Calc (Hidden)'!N169</f>
        <v>0</v>
      </c>
      <c r="R187" s="95">
        <f>'Draw Calc (Hidden)'!O169</f>
        <v>0</v>
      </c>
      <c r="S187" s="95">
        <f>'Draw Calc (Hidden)'!P169</f>
        <v>0</v>
      </c>
      <c r="T187" s="95">
        <f>'Draw Calc (Hidden)'!Q169</f>
        <v>0</v>
      </c>
      <c r="U187" s="95">
        <f>'Draw Calc (Hidden)'!R169</f>
        <v>0</v>
      </c>
      <c r="V187" s="95">
        <f>'Draw Calc (Hidden)'!S169</f>
        <v>0</v>
      </c>
      <c r="W187" s="95">
        <f>'Draw Calc (Hidden)'!T169</f>
        <v>0</v>
      </c>
      <c r="X187" s="95">
        <f>'Draw Calc (Hidden)'!U169</f>
        <v>0</v>
      </c>
      <c r="Y187" s="95">
        <f>'Draw Calc (Hidden)'!V169</f>
        <v>0</v>
      </c>
      <c r="Z187" s="95">
        <f>'Draw Calc (Hidden)'!W169</f>
        <v>0</v>
      </c>
      <c r="AA187" s="95">
        <f>'Draw Calc (Hidden)'!X169</f>
        <v>0</v>
      </c>
      <c r="AB187" s="95">
        <f>'Draw Calc (Hidden)'!Y169</f>
        <v>0</v>
      </c>
      <c r="AC187" s="95">
        <f>'Draw Calc (Hidden)'!Z169</f>
        <v>0</v>
      </c>
      <c r="AD187" s="95">
        <f>'Draw Calc (Hidden)'!AA169</f>
        <v>0</v>
      </c>
      <c r="AE187" s="95">
        <f>'Draw Calc (Hidden)'!AB169</f>
        <v>0</v>
      </c>
      <c r="AF187" s="95">
        <f>'Draw Calc (Hidden)'!AC169</f>
        <v>0</v>
      </c>
      <c r="AG187" s="95">
        <f>'Draw Calc (Hidden)'!AD169</f>
        <v>0</v>
      </c>
      <c r="AH187" s="95">
        <f>'Draw Calc (Hidden)'!AE169</f>
        <v>0</v>
      </c>
      <c r="AI187" s="95">
        <f>'Draw Calc (Hidden)'!AF169</f>
        <v>0</v>
      </c>
      <c r="AJ187" s="95">
        <f>'Draw Calc (Hidden)'!AG169</f>
        <v>0</v>
      </c>
      <c r="AK187" s="95">
        <f>'Draw Calc (Hidden)'!AH169</f>
        <v>0</v>
      </c>
      <c r="AL187" s="95">
        <f>'Draw Calc (Hidden)'!AI169</f>
        <v>0</v>
      </c>
      <c r="AM187" s="95">
        <f>'Draw Calc (Hidden)'!AJ169</f>
        <v>0</v>
      </c>
      <c r="AN187" s="95">
        <f>'Draw Calc (Hidden)'!AK169</f>
        <v>0</v>
      </c>
      <c r="AO187" s="95">
        <f>'Draw Calc (Hidden)'!AL169</f>
        <v>0</v>
      </c>
    </row>
    <row r="188" spans="1:41" ht="15" customHeight="1" x14ac:dyDescent="0.2">
      <c r="A188" s="94" t="str">
        <f>'I_Budget Input Data'!B170</f>
        <v>HOLDBACKS</v>
      </c>
      <c r="B188" s="94">
        <f>'I_Budget Input Data'!C170</f>
        <v>0</v>
      </c>
      <c r="C188" s="95">
        <f>'I_Budget Input Data'!D170</f>
        <v>0</v>
      </c>
      <c r="D188" s="95">
        <f t="shared" si="8"/>
        <v>0</v>
      </c>
      <c r="E188" s="95">
        <f t="shared" si="10"/>
        <v>0</v>
      </c>
      <c r="F188" s="95">
        <f>'Draw Calc (Hidden)'!C170</f>
        <v>0</v>
      </c>
      <c r="G188" s="95">
        <f>'Draw Calc (Hidden)'!D170</f>
        <v>0</v>
      </c>
      <c r="H188" s="95">
        <f>'Draw Calc (Hidden)'!E170</f>
        <v>0</v>
      </c>
      <c r="I188" s="95">
        <f>'Draw Calc (Hidden)'!F170</f>
        <v>0</v>
      </c>
      <c r="J188" s="95">
        <f>'Draw Calc (Hidden)'!G170</f>
        <v>0</v>
      </c>
      <c r="K188" s="95">
        <f>'Draw Calc (Hidden)'!H170</f>
        <v>0</v>
      </c>
      <c r="L188" s="95">
        <f>'Draw Calc (Hidden)'!I170</f>
        <v>0</v>
      </c>
      <c r="M188" s="95">
        <f>'Draw Calc (Hidden)'!J170</f>
        <v>0</v>
      </c>
      <c r="N188" s="95">
        <f>'Draw Calc (Hidden)'!K170</f>
        <v>0</v>
      </c>
      <c r="O188" s="95">
        <f>'Draw Calc (Hidden)'!L170</f>
        <v>0</v>
      </c>
      <c r="P188" s="95">
        <f>'Draw Calc (Hidden)'!M170</f>
        <v>0</v>
      </c>
      <c r="Q188" s="95">
        <f>'Draw Calc (Hidden)'!N170</f>
        <v>0</v>
      </c>
      <c r="R188" s="95">
        <f>'Draw Calc (Hidden)'!O170</f>
        <v>0</v>
      </c>
      <c r="S188" s="95">
        <f>'Draw Calc (Hidden)'!P170</f>
        <v>0</v>
      </c>
      <c r="T188" s="95">
        <f>'Draw Calc (Hidden)'!Q170</f>
        <v>0</v>
      </c>
      <c r="U188" s="95">
        <f>'Draw Calc (Hidden)'!R170</f>
        <v>0</v>
      </c>
      <c r="V188" s="95">
        <f>'Draw Calc (Hidden)'!S170</f>
        <v>0</v>
      </c>
      <c r="W188" s="95">
        <f>'Draw Calc (Hidden)'!T170</f>
        <v>0</v>
      </c>
      <c r="X188" s="95">
        <f>'Draw Calc (Hidden)'!U170</f>
        <v>0</v>
      </c>
      <c r="Y188" s="95">
        <f>'Draw Calc (Hidden)'!V170</f>
        <v>0</v>
      </c>
      <c r="Z188" s="95">
        <f>'Draw Calc (Hidden)'!W170</f>
        <v>0</v>
      </c>
      <c r="AA188" s="95">
        <f>'Draw Calc (Hidden)'!X170</f>
        <v>0</v>
      </c>
      <c r="AB188" s="95">
        <f>'Draw Calc (Hidden)'!Y170</f>
        <v>0</v>
      </c>
      <c r="AC188" s="95">
        <f>'Draw Calc (Hidden)'!Z170</f>
        <v>0</v>
      </c>
      <c r="AD188" s="95">
        <f>'Draw Calc (Hidden)'!AA170</f>
        <v>0</v>
      </c>
      <c r="AE188" s="95">
        <f>'Draw Calc (Hidden)'!AB170</f>
        <v>0</v>
      </c>
      <c r="AF188" s="95">
        <f>'Draw Calc (Hidden)'!AC170</f>
        <v>0</v>
      </c>
      <c r="AG188" s="95">
        <f>'Draw Calc (Hidden)'!AD170</f>
        <v>0</v>
      </c>
      <c r="AH188" s="95">
        <f>'Draw Calc (Hidden)'!AE170</f>
        <v>0</v>
      </c>
      <c r="AI188" s="95">
        <f>'Draw Calc (Hidden)'!AF170</f>
        <v>0</v>
      </c>
      <c r="AJ188" s="95">
        <f>'Draw Calc (Hidden)'!AG170</f>
        <v>0</v>
      </c>
      <c r="AK188" s="95">
        <f>'Draw Calc (Hidden)'!AH170</f>
        <v>0</v>
      </c>
      <c r="AL188" s="95">
        <f>'Draw Calc (Hidden)'!AI170</f>
        <v>0</v>
      </c>
      <c r="AM188" s="95">
        <f>'Draw Calc (Hidden)'!AJ170</f>
        <v>0</v>
      </c>
      <c r="AN188" s="95">
        <f>'Draw Calc (Hidden)'!AK170</f>
        <v>0</v>
      </c>
      <c r="AO188" s="95">
        <f>'Draw Calc (Hidden)'!AL170</f>
        <v>0</v>
      </c>
    </row>
    <row r="189" spans="1:41" ht="15" customHeight="1" x14ac:dyDescent="0.2">
      <c r="A189" s="99"/>
      <c r="B189" s="99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</row>
    <row r="190" spans="1:41" ht="15" customHeight="1" x14ac:dyDescent="0.2">
      <c r="A190" s="101" t="s">
        <v>417</v>
      </c>
      <c r="B190" s="101" t="s">
        <v>491</v>
      </c>
      <c r="C190" s="102">
        <f t="shared" ref="C190:AO190" si="11">SUM(C24:C188)</f>
        <v>43565725</v>
      </c>
      <c r="D190" s="102">
        <f t="shared" si="11"/>
        <v>43343780.246153854</v>
      </c>
      <c r="E190" s="102">
        <f t="shared" si="11"/>
        <v>221944.75384615426</v>
      </c>
      <c r="F190" s="102">
        <f t="shared" si="11"/>
        <v>4759939.0000000009</v>
      </c>
      <c r="G190" s="102">
        <f t="shared" si="11"/>
        <v>3034771.0000000023</v>
      </c>
      <c r="H190" s="102">
        <f t="shared" si="11"/>
        <v>3034771.0000000023</v>
      </c>
      <c r="I190" s="102">
        <f t="shared" si="11"/>
        <v>3279863.2153846174</v>
      </c>
      <c r="J190" s="102">
        <f t="shared" si="11"/>
        <v>3279863.2153846174</v>
      </c>
      <c r="K190" s="102">
        <f t="shared" si="11"/>
        <v>3279863.2153846174</v>
      </c>
      <c r="L190" s="102">
        <f t="shared" si="11"/>
        <v>3081065.9230769239</v>
      </c>
      <c r="M190" s="102">
        <f t="shared" si="11"/>
        <v>3081065.9230769239</v>
      </c>
      <c r="N190" s="102">
        <f t="shared" si="11"/>
        <v>3081065.9230769239</v>
      </c>
      <c r="O190" s="102">
        <f t="shared" si="11"/>
        <v>2835973.7076923093</v>
      </c>
      <c r="P190" s="102">
        <f t="shared" si="11"/>
        <v>2835973.7076923093</v>
      </c>
      <c r="Q190" s="102">
        <f t="shared" si="11"/>
        <v>2835973.7076923093</v>
      </c>
      <c r="R190" s="102">
        <f t="shared" si="11"/>
        <v>4923590.7076923084</v>
      </c>
      <c r="S190" s="102">
        <f t="shared" si="11"/>
        <v>0</v>
      </c>
      <c r="T190" s="102">
        <f t="shared" si="11"/>
        <v>0</v>
      </c>
      <c r="U190" s="102">
        <f t="shared" si="11"/>
        <v>0</v>
      </c>
      <c r="V190" s="102">
        <f t="shared" si="11"/>
        <v>0</v>
      </c>
      <c r="W190" s="102">
        <f t="shared" si="11"/>
        <v>0</v>
      </c>
      <c r="X190" s="102">
        <f t="shared" si="11"/>
        <v>0</v>
      </c>
      <c r="Y190" s="102">
        <f t="shared" si="11"/>
        <v>0</v>
      </c>
      <c r="Z190" s="102">
        <f t="shared" si="11"/>
        <v>0</v>
      </c>
      <c r="AA190" s="102">
        <f t="shared" si="11"/>
        <v>0</v>
      </c>
      <c r="AB190" s="102">
        <f t="shared" si="11"/>
        <v>0</v>
      </c>
      <c r="AC190" s="102">
        <f t="shared" si="11"/>
        <v>0</v>
      </c>
      <c r="AD190" s="102">
        <f t="shared" si="11"/>
        <v>0</v>
      </c>
      <c r="AE190" s="102">
        <f t="shared" si="11"/>
        <v>0</v>
      </c>
      <c r="AF190" s="102">
        <f t="shared" si="11"/>
        <v>0</v>
      </c>
      <c r="AG190" s="102">
        <f t="shared" si="11"/>
        <v>0</v>
      </c>
      <c r="AH190" s="102">
        <f t="shared" si="11"/>
        <v>0</v>
      </c>
      <c r="AI190" s="102">
        <f t="shared" si="11"/>
        <v>0</v>
      </c>
      <c r="AJ190" s="102">
        <f t="shared" si="11"/>
        <v>0</v>
      </c>
      <c r="AK190" s="102">
        <f t="shared" si="11"/>
        <v>0</v>
      </c>
      <c r="AL190" s="102">
        <f t="shared" si="11"/>
        <v>0</v>
      </c>
      <c r="AM190" s="102">
        <f t="shared" si="11"/>
        <v>0</v>
      </c>
      <c r="AN190" s="102">
        <f t="shared" si="11"/>
        <v>0</v>
      </c>
      <c r="AO190" s="102">
        <f t="shared" si="11"/>
        <v>0</v>
      </c>
    </row>
    <row r="191" spans="1:41" ht="15.75" customHeight="1" x14ac:dyDescent="0.2"/>
    <row r="192" spans="1:41" ht="15.75" customHeight="1" x14ac:dyDescent="0.2"/>
    <row r="193" spans="1:41" ht="15.75" customHeight="1" x14ac:dyDescent="0.2">
      <c r="A193" s="3" t="s">
        <v>492</v>
      </c>
      <c r="B193" s="3"/>
      <c r="C193" s="3"/>
      <c r="D193" s="3"/>
      <c r="E193" s="3"/>
    </row>
    <row r="194" spans="1:41" ht="15" customHeight="1" x14ac:dyDescent="0.2">
      <c r="A194" s="2" t="s">
        <v>493</v>
      </c>
      <c r="B194" s="2"/>
      <c r="C194" s="2"/>
      <c r="D194" s="2"/>
      <c r="E194" s="2"/>
    </row>
    <row r="195" spans="1:41" ht="15.75" customHeight="1" x14ac:dyDescent="0.2"/>
    <row r="196" spans="1:41" ht="15" customHeight="1" x14ac:dyDescent="0.2">
      <c r="A196" s="103" t="s">
        <v>494</v>
      </c>
      <c r="B196" s="103" t="s">
        <v>495</v>
      </c>
      <c r="C196" s="103" t="s">
        <v>496</v>
      </c>
      <c r="D196" s="103" t="s">
        <v>497</v>
      </c>
      <c r="E196" s="104"/>
      <c r="F196" s="104">
        <f>'Time Axis'!B4</f>
        <v>45747</v>
      </c>
      <c r="G196" s="104">
        <f>'Time Axis'!B5</f>
        <v>45777</v>
      </c>
      <c r="H196" s="104">
        <f>'Time Axis'!B6</f>
        <v>45808</v>
      </c>
      <c r="I196" s="104">
        <f>'Time Axis'!B7</f>
        <v>45838</v>
      </c>
      <c r="J196" s="104">
        <f>'Time Axis'!B8</f>
        <v>45869</v>
      </c>
      <c r="K196" s="104">
        <f>'Time Axis'!B9</f>
        <v>45900</v>
      </c>
      <c r="L196" s="104">
        <f>'Time Axis'!B10</f>
        <v>45930</v>
      </c>
      <c r="M196" s="104">
        <f>'Time Axis'!B11</f>
        <v>45961</v>
      </c>
      <c r="N196" s="104">
        <f>'Time Axis'!B12</f>
        <v>45991</v>
      </c>
      <c r="O196" s="104">
        <f>'Time Axis'!B13</f>
        <v>46022</v>
      </c>
      <c r="P196" s="104">
        <f>'Time Axis'!B14</f>
        <v>46053</v>
      </c>
      <c r="Q196" s="104">
        <f>'Time Axis'!B15</f>
        <v>46081</v>
      </c>
      <c r="R196" s="104">
        <f>'Time Axis'!B16</f>
        <v>46112</v>
      </c>
      <c r="S196" s="104">
        <f>'Time Axis'!B17</f>
        <v>46142</v>
      </c>
      <c r="T196" s="104">
        <f>'Time Axis'!B18</f>
        <v>46173</v>
      </c>
      <c r="U196" s="104">
        <f>'Time Axis'!B19</f>
        <v>46203</v>
      </c>
      <c r="V196" s="104">
        <f>'Time Axis'!B20</f>
        <v>46234</v>
      </c>
      <c r="W196" s="104">
        <f>'Time Axis'!B21</f>
        <v>46265</v>
      </c>
      <c r="X196" s="104">
        <f>'Time Axis'!B22</f>
        <v>46295</v>
      </c>
      <c r="Y196" s="104">
        <f>'Time Axis'!B23</f>
        <v>46326</v>
      </c>
      <c r="Z196" s="104">
        <f>'Time Axis'!B24</f>
        <v>46356</v>
      </c>
      <c r="AA196" s="104">
        <f>'Time Axis'!B25</f>
        <v>46387</v>
      </c>
      <c r="AB196" s="104">
        <f>'Time Axis'!B26</f>
        <v>46418</v>
      </c>
      <c r="AC196" s="104">
        <f>'Time Axis'!B27</f>
        <v>46446</v>
      </c>
      <c r="AD196" s="104">
        <f>'Time Axis'!B28</f>
        <v>46477</v>
      </c>
      <c r="AE196" s="104">
        <f>'Time Axis'!B29</f>
        <v>46507</v>
      </c>
      <c r="AF196" s="104">
        <f>'Time Axis'!B30</f>
        <v>46538</v>
      </c>
      <c r="AG196" s="104">
        <f>'Time Axis'!B31</f>
        <v>46568</v>
      </c>
      <c r="AH196" s="104">
        <f>'Time Axis'!B32</f>
        <v>46599</v>
      </c>
      <c r="AI196" s="104">
        <f>'Time Axis'!B33</f>
        <v>46630</v>
      </c>
      <c r="AJ196" s="104">
        <f>'Time Axis'!B34</f>
        <v>46660</v>
      </c>
      <c r="AK196" s="104">
        <f>'Time Axis'!B35</f>
        <v>46691</v>
      </c>
      <c r="AL196" s="104">
        <f>'Time Axis'!B36</f>
        <v>46721</v>
      </c>
      <c r="AM196" s="104">
        <f>'Time Axis'!B37</f>
        <v>46752</v>
      </c>
      <c r="AN196" s="104">
        <f>'Time Axis'!B38</f>
        <v>46783</v>
      </c>
      <c r="AO196" s="104">
        <f>'Time Axis'!B39</f>
        <v>46812</v>
      </c>
    </row>
    <row r="197" spans="1:41" ht="15" customHeight="1" x14ac:dyDescent="0.2">
      <c r="A197" s="105" t="s">
        <v>498</v>
      </c>
      <c r="B197" s="106" t="s">
        <v>499</v>
      </c>
      <c r="C197" s="106" t="s">
        <v>500</v>
      </c>
      <c r="D197" s="107">
        <f>F197</f>
        <v>0</v>
      </c>
      <c r="E197" s="107"/>
      <c r="F197" s="107">
        <v>0</v>
      </c>
      <c r="G197" s="107">
        <f t="shared" ref="G197:AO197" si="12">F213</f>
        <v>5177402.8725000015</v>
      </c>
      <c r="H197" s="107">
        <f t="shared" si="12"/>
        <v>2142631.8724999991</v>
      </c>
      <c r="I197" s="107">
        <f t="shared" si="12"/>
        <v>100000</v>
      </c>
      <c r="J197" s="107">
        <f t="shared" si="12"/>
        <v>100000</v>
      </c>
      <c r="K197" s="107">
        <f t="shared" si="12"/>
        <v>100000</v>
      </c>
      <c r="L197" s="107">
        <f t="shared" si="12"/>
        <v>100000</v>
      </c>
      <c r="M197" s="107">
        <f t="shared" si="12"/>
        <v>100000</v>
      </c>
      <c r="N197" s="107">
        <f t="shared" si="12"/>
        <v>100000</v>
      </c>
      <c r="O197" s="107">
        <f t="shared" si="12"/>
        <v>100000</v>
      </c>
      <c r="P197" s="107">
        <f t="shared" si="12"/>
        <v>100000</v>
      </c>
      <c r="Q197" s="107">
        <f t="shared" si="12"/>
        <v>100000</v>
      </c>
      <c r="R197" s="107">
        <f t="shared" si="12"/>
        <v>100000</v>
      </c>
      <c r="S197" s="107">
        <f t="shared" si="12"/>
        <v>100000</v>
      </c>
      <c r="T197" s="107">
        <f t="shared" si="12"/>
        <v>100000</v>
      </c>
      <c r="U197" s="107">
        <f t="shared" si="12"/>
        <v>100000</v>
      </c>
      <c r="V197" s="107">
        <f t="shared" si="12"/>
        <v>100000</v>
      </c>
      <c r="W197" s="107">
        <f t="shared" si="12"/>
        <v>100000</v>
      </c>
      <c r="X197" s="107">
        <f t="shared" si="12"/>
        <v>100000</v>
      </c>
      <c r="Y197" s="107">
        <f t="shared" si="12"/>
        <v>100000</v>
      </c>
      <c r="Z197" s="107">
        <f t="shared" si="12"/>
        <v>100000</v>
      </c>
      <c r="AA197" s="107">
        <f t="shared" si="12"/>
        <v>100000</v>
      </c>
      <c r="AB197" s="107">
        <f t="shared" si="12"/>
        <v>100000</v>
      </c>
      <c r="AC197" s="107">
        <f t="shared" si="12"/>
        <v>100000</v>
      </c>
      <c r="AD197" s="107">
        <f t="shared" si="12"/>
        <v>100000</v>
      </c>
      <c r="AE197" s="107">
        <f t="shared" si="12"/>
        <v>100000</v>
      </c>
      <c r="AF197" s="107">
        <f t="shared" si="12"/>
        <v>100000</v>
      </c>
      <c r="AG197" s="107">
        <f t="shared" si="12"/>
        <v>100000</v>
      </c>
      <c r="AH197" s="107">
        <f t="shared" si="12"/>
        <v>100000</v>
      </c>
      <c r="AI197" s="107">
        <f t="shared" si="12"/>
        <v>100000</v>
      </c>
      <c r="AJ197" s="107">
        <f t="shared" si="12"/>
        <v>100000</v>
      </c>
      <c r="AK197" s="107">
        <f t="shared" si="12"/>
        <v>100000</v>
      </c>
      <c r="AL197" s="107">
        <f t="shared" si="12"/>
        <v>100000</v>
      </c>
      <c r="AM197" s="107">
        <f t="shared" si="12"/>
        <v>100000</v>
      </c>
      <c r="AN197" s="107">
        <f t="shared" si="12"/>
        <v>100000</v>
      </c>
      <c r="AO197" s="107">
        <f t="shared" si="12"/>
        <v>100000</v>
      </c>
    </row>
    <row r="198" spans="1:41" ht="15" customHeight="1" x14ac:dyDescent="0.2">
      <c r="A198" s="108" t="s">
        <v>501</v>
      </c>
      <c r="B198" s="108" t="s">
        <v>502</v>
      </c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</row>
    <row r="199" spans="1:41" ht="15" customHeight="1" x14ac:dyDescent="0.2">
      <c r="A199" s="106" t="s">
        <v>503</v>
      </c>
      <c r="B199" s="109" t="s">
        <v>504</v>
      </c>
      <c r="C199" s="106" t="s">
        <v>505</v>
      </c>
      <c r="D199" s="110">
        <f>IFERROR('Sources &amp; Uses - Construction'!B6,0)</f>
        <v>15</v>
      </c>
      <c r="E199" s="24"/>
      <c r="F199" s="24">
        <f>D199</f>
        <v>15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4">
        <v>0</v>
      </c>
      <c r="AN199" s="24">
        <v>0</v>
      </c>
      <c r="AO199" s="24">
        <v>0</v>
      </c>
    </row>
    <row r="200" spans="1:41" ht="15" customHeight="1" x14ac:dyDescent="0.2">
      <c r="A200" s="106" t="s">
        <v>506</v>
      </c>
      <c r="B200" s="109" t="s">
        <v>507</v>
      </c>
      <c r="C200" s="106" t="s">
        <v>505</v>
      </c>
      <c r="D200" s="110">
        <f>IFERROR('Sources &amp; Uses - Construction'!B7,0)</f>
        <v>2800015</v>
      </c>
      <c r="E200" s="24"/>
      <c r="F200" s="24">
        <f>D200</f>
        <v>2800015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4">
        <v>0</v>
      </c>
      <c r="AN200" s="24">
        <v>0</v>
      </c>
      <c r="AO200" s="24">
        <v>0</v>
      </c>
    </row>
    <row r="201" spans="1:41" ht="15" customHeight="1" x14ac:dyDescent="0.2">
      <c r="A201" s="106" t="s">
        <v>508</v>
      </c>
      <c r="B201" s="109" t="s">
        <v>507</v>
      </c>
      <c r="C201" s="106" t="s">
        <v>505</v>
      </c>
      <c r="D201" s="110">
        <f>IFERROR('Sources &amp; Uses - Construction'!B8,0)</f>
        <v>0</v>
      </c>
      <c r="E201" s="24"/>
      <c r="F201" s="24">
        <f>D201</f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</row>
    <row r="202" spans="1:41" ht="15" customHeight="1" x14ac:dyDescent="0.2">
      <c r="A202" s="106" t="s">
        <v>509</v>
      </c>
      <c r="B202" s="109" t="s">
        <v>507</v>
      </c>
      <c r="C202" s="106" t="s">
        <v>505</v>
      </c>
      <c r="D202" s="110">
        <f>IFERROR('Sources &amp; Uses - Construction'!B9,0)</f>
        <v>0</v>
      </c>
      <c r="E202" s="24"/>
      <c r="F202" s="24">
        <f>D202</f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4">
        <v>0</v>
      </c>
      <c r="AN202" s="24">
        <v>0</v>
      </c>
      <c r="AO202" s="24">
        <v>0</v>
      </c>
    </row>
    <row r="203" spans="1:41" ht="15" customHeight="1" x14ac:dyDescent="0.2">
      <c r="A203" s="106" t="s">
        <v>510</v>
      </c>
      <c r="B203" s="109" t="s">
        <v>511</v>
      </c>
      <c r="C203" s="106" t="s">
        <v>505</v>
      </c>
      <c r="D203" s="110">
        <f>IFERROR('Sources &amp; Uses - Construction'!B11,0)</f>
        <v>7137311.8725000024</v>
      </c>
      <c r="E203" s="24"/>
      <c r="F203" s="24">
        <f>D203</f>
        <v>7137311.8725000024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>
        <v>0</v>
      </c>
      <c r="AO203" s="24">
        <v>0</v>
      </c>
    </row>
    <row r="204" spans="1:41" ht="15" customHeight="1" x14ac:dyDescent="0.2">
      <c r="A204" s="111" t="s">
        <v>512</v>
      </c>
      <c r="B204" s="112" t="s">
        <v>513</v>
      </c>
      <c r="C204" s="106" t="s">
        <v>514</v>
      </c>
      <c r="D204" s="113">
        <f>SUM(F204:AN204)</f>
        <v>33506438.373653866</v>
      </c>
      <c r="E204" s="113"/>
      <c r="F204" s="113">
        <f>MIN(MAX(0,'I_Inputs &amp; Assumptions'!$B$54-(F197+(F199+F200+F201+F202+F203)-F211)),MAX(0,E218))</f>
        <v>0</v>
      </c>
      <c r="G204" s="113">
        <f>MIN(MAX(0,'I_Inputs &amp; Assumptions'!$B$54-(G197+(G199+G200+G201+G202+G203)-G211)),MAX(0,F218))</f>
        <v>0</v>
      </c>
      <c r="H204" s="113">
        <f>MIN(MAX(0,'I_Inputs &amp; Assumptions'!$B$54-(H197+(H199+H200+H201+H202+H203)-H211)),MAX(0,G218))</f>
        <v>992139.1275000032</v>
      </c>
      <c r="I204" s="113">
        <f>MIN(MAX(0,'I_Inputs &amp; Assumptions'!$B$54-(I197+(I199+I200+I201+I202+I203)-I211)),MAX(0,H218))</f>
        <v>3279863.2153846174</v>
      </c>
      <c r="J204" s="113">
        <f>MIN(MAX(0,'I_Inputs &amp; Assumptions'!$B$54-(J197+(J199+J200+J201+J202+J203)-J211)),MAX(0,I218))</f>
        <v>3279863.2153846174</v>
      </c>
      <c r="K204" s="113">
        <f>MIN(MAX(0,'I_Inputs &amp; Assumptions'!$B$54-(K197+(K199+K200+K201+K202+K203)-K211)),MAX(0,J218))</f>
        <v>3279863.2153846174</v>
      </c>
      <c r="L204" s="113">
        <f>MIN(MAX(0,'I_Inputs &amp; Assumptions'!$B$54-(L197+(L199+L200+L201+L202+L203)-L211)),MAX(0,K218))</f>
        <v>3081065.9230769239</v>
      </c>
      <c r="M204" s="113">
        <f>MIN(MAX(0,'I_Inputs &amp; Assumptions'!$B$54-(M197+(M199+M200+M201+M202+M203)-M211)),MAX(0,L218))</f>
        <v>3081065.9230769239</v>
      </c>
      <c r="N204" s="113">
        <f>MIN(MAX(0,'I_Inputs &amp; Assumptions'!$B$54-(N197+(N199+N200+N201+N202+N203)-N211)),MAX(0,M218))</f>
        <v>3081065.9230769239</v>
      </c>
      <c r="O204" s="113">
        <f>MIN(MAX(0,'I_Inputs &amp; Assumptions'!$B$54-(O197+(O199+O200+O201+O202+O203)-O211)),MAX(0,N218))</f>
        <v>2835973.7076923093</v>
      </c>
      <c r="P204" s="113">
        <f>MIN(MAX(0,'I_Inputs &amp; Assumptions'!$B$54-(P197+(P199+P200+P201+P202+P203)-P211)),MAX(0,O218))</f>
        <v>2835973.7076923093</v>
      </c>
      <c r="Q204" s="113">
        <f>MIN(MAX(0,'I_Inputs &amp; Assumptions'!$B$54-(Q197+(Q199+Q200+Q201+Q202+Q203)-Q211)),MAX(0,P218))</f>
        <v>2835973.7076923093</v>
      </c>
      <c r="R204" s="113">
        <f>MIN(MAX(0,'I_Inputs &amp; Assumptions'!$B$54-(R197+(R199+R200+R201+R202+R203)-R211)),MAX(0,Q218))</f>
        <v>4923590.7076923084</v>
      </c>
      <c r="S204" s="113">
        <f>MIN(MAX(0,'I_Inputs &amp; Assumptions'!$B$54-(S197+(S199+S200+S201+S202+S203)-S211)),MAX(0,R218))</f>
        <v>0</v>
      </c>
      <c r="T204" s="113">
        <f>MIN(MAX(0,'I_Inputs &amp; Assumptions'!$B$54-(T197+(T199+T200+T201+T202+T203)-T211)),MAX(0,S218))</f>
        <v>0</v>
      </c>
      <c r="U204" s="113">
        <f>MIN(MAX(0,'I_Inputs &amp; Assumptions'!$B$54-(U197+(U199+U200+U201+U202+U203)-U211)),MAX(0,T218))</f>
        <v>0</v>
      </c>
      <c r="V204" s="113">
        <f>MIN(MAX(0,'I_Inputs &amp; Assumptions'!$B$54-(V197+(V199+V200+V201+V202+V203)-V211)),MAX(0,U218))</f>
        <v>0</v>
      </c>
      <c r="W204" s="113">
        <f>MIN(MAX(0,'I_Inputs &amp; Assumptions'!$B$54-(W197+(W199+W200+W201+W202+W203)-W211)),MAX(0,V218))</f>
        <v>0</v>
      </c>
      <c r="X204" s="113">
        <f>MIN(MAX(0,'I_Inputs &amp; Assumptions'!$B$54-(X197+(X199+X200+X201+X202+X203)-X211)),MAX(0,W218))</f>
        <v>0</v>
      </c>
      <c r="Y204" s="113">
        <f>MIN(MAX(0,'I_Inputs &amp; Assumptions'!$B$54-(Y197+(Y199+Y200+Y201+Y202+Y203)-Y211)),MAX(0,X218))</f>
        <v>0</v>
      </c>
      <c r="Z204" s="113">
        <f>MIN(MAX(0,'I_Inputs &amp; Assumptions'!$B$54-(Z197+(Z199+Z200+Z201+Z202+Z203)-Z211)),MAX(0,Y218))</f>
        <v>0</v>
      </c>
      <c r="AA204" s="113">
        <f>MIN(MAX(0,'I_Inputs &amp; Assumptions'!$B$54-(AA197+(AA199+AA200+AA201+AA202+AA203)-AA211)),MAX(0,Z218))</f>
        <v>0</v>
      </c>
      <c r="AB204" s="113">
        <f>MIN(MAX(0,'I_Inputs &amp; Assumptions'!$B$54-(AB197+(AB199+AB200+AB201+AB202+AB203)-AB211)),MAX(0,AA218))</f>
        <v>0</v>
      </c>
      <c r="AC204" s="113">
        <f>MIN(MAX(0,'I_Inputs &amp; Assumptions'!$B$54-(AC197+(AC199+AC200+AC201+AC202+AC203)-AC211)),MAX(0,AB218))</f>
        <v>0</v>
      </c>
      <c r="AD204" s="113">
        <f>MIN(MAX(0,'I_Inputs &amp; Assumptions'!$B$54-(AD197+(AD199+AD200+AD201+AD202+AD203)-AD211)),MAX(0,AC218))</f>
        <v>0</v>
      </c>
      <c r="AE204" s="113">
        <f>MIN(MAX(0,'I_Inputs &amp; Assumptions'!$B$54-(AE197+(AE199+AE200+AE201+AE202+AE203)-AE211)),MAX(0,AD218))</f>
        <v>0</v>
      </c>
      <c r="AF204" s="113">
        <f>MIN(MAX(0,'I_Inputs &amp; Assumptions'!$B$54-(AF197+(AF199+AF200+AF201+AF202+AF203)-AF211)),MAX(0,AE218))</f>
        <v>0</v>
      </c>
      <c r="AG204" s="113">
        <f>MIN(MAX(0,'I_Inputs &amp; Assumptions'!$B$54-(AG197+(AG199+AG200+AG201+AG202+AG203)-AG211)),MAX(0,AF218))</f>
        <v>0</v>
      </c>
      <c r="AH204" s="113">
        <f>MIN(MAX(0,'I_Inputs &amp; Assumptions'!$B$54-(AH197+(AH199+AH200+AH201+AH202+AH203)-AH211)),MAX(0,AG218))</f>
        <v>0</v>
      </c>
      <c r="AI204" s="113">
        <f>MIN(MAX(0,'I_Inputs &amp; Assumptions'!$B$54-(AI197+(AI199+AI200+AI201+AI202+AI203)-AI211)),MAX(0,AH218))</f>
        <v>0</v>
      </c>
      <c r="AJ204" s="113">
        <f>MIN(MAX(0,'I_Inputs &amp; Assumptions'!$B$54-(AJ197+(AJ199+AJ200+AJ201+AJ202+AJ203)-AJ211)),MAX(0,AI218))</f>
        <v>0</v>
      </c>
      <c r="AK204" s="113">
        <f>MIN(MAX(0,'I_Inputs &amp; Assumptions'!$B$54-(AK197+(AK199+AK200+AK201+AK202+AK203)-AK211)),MAX(0,AJ218))</f>
        <v>0</v>
      </c>
      <c r="AL204" s="113">
        <f>MIN(MAX(0,'I_Inputs &amp; Assumptions'!$B$54-(AL197+(AL199+AL200+AL201+AL202+AL203)-AL211)),MAX(0,AK218))</f>
        <v>0</v>
      </c>
      <c r="AM204" s="113">
        <f>MIN(MAX(0,'I_Inputs &amp; Assumptions'!$B$54-(AM197+(AM199+AM200+AM201+AM202+AM203)-AM211)),MAX(0,AL218))</f>
        <v>0</v>
      </c>
      <c r="AN204" s="113">
        <f>MIN(MAX(0,'I_Inputs &amp; Assumptions'!$B$54-(AN197+(AN199+AN200+AN201+AN202+AN203)-AN211)),MAX(0,AM218))</f>
        <v>0</v>
      </c>
      <c r="AO204" s="113">
        <f>MIN(MAX(0,'I_Inputs &amp; Assumptions'!$B$54-(AO197+(AO199+AO200+AO201+AO202+AO203)-AO211)),MAX(0,AN218))</f>
        <v>0</v>
      </c>
    </row>
    <row r="205" spans="1:41" ht="15" customHeight="1" x14ac:dyDescent="0.2">
      <c r="A205" s="114" t="s">
        <v>515</v>
      </c>
      <c r="B205" s="115" t="s">
        <v>516</v>
      </c>
      <c r="C205" s="106" t="s">
        <v>514</v>
      </c>
      <c r="D205" s="116">
        <f>SUM(F205:AN205)</f>
        <v>0</v>
      </c>
      <c r="E205" s="117"/>
      <c r="F205" s="116">
        <f>MIN(MAX(0,100000-(F197+F199+F200+F201+F202+F203+F204-F211)),MAX(0,1000000-0))</f>
        <v>0</v>
      </c>
      <c r="G205" s="116">
        <f t="shared" ref="G205:AO205" si="13">MIN(MAX(0,100000-(G197+G199+G200+G201+G202+G203+G204-G211)),MAX(0,1000000-F215))</f>
        <v>0</v>
      </c>
      <c r="H205" s="116">
        <f t="shared" si="13"/>
        <v>0</v>
      </c>
      <c r="I205" s="116">
        <f t="shared" si="13"/>
        <v>0</v>
      </c>
      <c r="J205" s="116">
        <f t="shared" si="13"/>
        <v>0</v>
      </c>
      <c r="K205" s="116">
        <f t="shared" si="13"/>
        <v>0</v>
      </c>
      <c r="L205" s="116">
        <f t="shared" si="13"/>
        <v>0</v>
      </c>
      <c r="M205" s="116">
        <f t="shared" si="13"/>
        <v>0</v>
      </c>
      <c r="N205" s="116">
        <f t="shared" si="13"/>
        <v>0</v>
      </c>
      <c r="O205" s="116">
        <f t="shared" si="13"/>
        <v>0</v>
      </c>
      <c r="P205" s="116">
        <f t="shared" si="13"/>
        <v>0</v>
      </c>
      <c r="Q205" s="116">
        <f t="shared" si="13"/>
        <v>0</v>
      </c>
      <c r="R205" s="116">
        <f t="shared" si="13"/>
        <v>0</v>
      </c>
      <c r="S205" s="116">
        <f t="shared" si="13"/>
        <v>0</v>
      </c>
      <c r="T205" s="116">
        <f t="shared" si="13"/>
        <v>0</v>
      </c>
      <c r="U205" s="116">
        <f t="shared" si="13"/>
        <v>0</v>
      </c>
      <c r="V205" s="116">
        <f t="shared" si="13"/>
        <v>0</v>
      </c>
      <c r="W205" s="116">
        <f t="shared" si="13"/>
        <v>0</v>
      </c>
      <c r="X205" s="116">
        <f t="shared" si="13"/>
        <v>0</v>
      </c>
      <c r="Y205" s="116">
        <f t="shared" si="13"/>
        <v>0</v>
      </c>
      <c r="Z205" s="116">
        <f t="shared" si="13"/>
        <v>0</v>
      </c>
      <c r="AA205" s="116">
        <f t="shared" si="13"/>
        <v>0</v>
      </c>
      <c r="AB205" s="116">
        <f t="shared" si="13"/>
        <v>0</v>
      </c>
      <c r="AC205" s="116">
        <f t="shared" si="13"/>
        <v>0</v>
      </c>
      <c r="AD205" s="116">
        <f t="shared" si="13"/>
        <v>0</v>
      </c>
      <c r="AE205" s="116">
        <f t="shared" si="13"/>
        <v>0</v>
      </c>
      <c r="AF205" s="116">
        <f t="shared" si="13"/>
        <v>0</v>
      </c>
      <c r="AG205" s="116">
        <f t="shared" si="13"/>
        <v>0</v>
      </c>
      <c r="AH205" s="116">
        <f t="shared" si="13"/>
        <v>0</v>
      </c>
      <c r="AI205" s="116">
        <f t="shared" si="13"/>
        <v>0</v>
      </c>
      <c r="AJ205" s="116">
        <f t="shared" si="13"/>
        <v>0</v>
      </c>
      <c r="AK205" s="116">
        <f t="shared" si="13"/>
        <v>0</v>
      </c>
      <c r="AL205" s="116">
        <f t="shared" si="13"/>
        <v>0</v>
      </c>
      <c r="AM205" s="116">
        <f t="shared" si="13"/>
        <v>0</v>
      </c>
      <c r="AN205" s="116">
        <f t="shared" si="13"/>
        <v>0</v>
      </c>
      <c r="AO205" s="116">
        <f t="shared" si="13"/>
        <v>0</v>
      </c>
    </row>
    <row r="206" spans="1:41" ht="15" customHeight="1" x14ac:dyDescent="0.2">
      <c r="A206" s="118" t="s">
        <v>517</v>
      </c>
      <c r="B206" s="119" t="s">
        <v>518</v>
      </c>
      <c r="D206" s="120">
        <f>SUM(D199:D205)</f>
        <v>43443780.246153869</v>
      </c>
      <c r="E206" s="120"/>
      <c r="F206" s="120">
        <f t="shared" ref="F206:AO206" si="14">SUM(F199:F205)</f>
        <v>9937341.8725000024</v>
      </c>
      <c r="G206" s="120">
        <f t="shared" si="14"/>
        <v>0</v>
      </c>
      <c r="H206" s="120">
        <f t="shared" si="14"/>
        <v>992139.1275000032</v>
      </c>
      <c r="I206" s="120">
        <f t="shared" si="14"/>
        <v>3279863.2153846174</v>
      </c>
      <c r="J206" s="120">
        <f t="shared" si="14"/>
        <v>3279863.2153846174</v>
      </c>
      <c r="K206" s="120">
        <f t="shared" si="14"/>
        <v>3279863.2153846174</v>
      </c>
      <c r="L206" s="120">
        <f t="shared" si="14"/>
        <v>3081065.9230769239</v>
      </c>
      <c r="M206" s="120">
        <f t="shared" si="14"/>
        <v>3081065.9230769239</v>
      </c>
      <c r="N206" s="120">
        <f t="shared" si="14"/>
        <v>3081065.9230769239</v>
      </c>
      <c r="O206" s="120">
        <f t="shared" si="14"/>
        <v>2835973.7076923093</v>
      </c>
      <c r="P206" s="120">
        <f t="shared" si="14"/>
        <v>2835973.7076923093</v>
      </c>
      <c r="Q206" s="120">
        <f t="shared" si="14"/>
        <v>2835973.7076923093</v>
      </c>
      <c r="R206" s="120">
        <f t="shared" si="14"/>
        <v>4923590.7076923084</v>
      </c>
      <c r="S206" s="120">
        <f t="shared" si="14"/>
        <v>0</v>
      </c>
      <c r="T206" s="120">
        <f t="shared" si="14"/>
        <v>0</v>
      </c>
      <c r="U206" s="120">
        <f t="shared" si="14"/>
        <v>0</v>
      </c>
      <c r="V206" s="120">
        <f t="shared" si="14"/>
        <v>0</v>
      </c>
      <c r="W206" s="120">
        <f t="shared" si="14"/>
        <v>0</v>
      </c>
      <c r="X206" s="120">
        <f t="shared" si="14"/>
        <v>0</v>
      </c>
      <c r="Y206" s="120">
        <f t="shared" si="14"/>
        <v>0</v>
      </c>
      <c r="Z206" s="120">
        <f t="shared" si="14"/>
        <v>0</v>
      </c>
      <c r="AA206" s="120">
        <f t="shared" si="14"/>
        <v>0</v>
      </c>
      <c r="AB206" s="120">
        <f t="shared" si="14"/>
        <v>0</v>
      </c>
      <c r="AC206" s="120">
        <f t="shared" si="14"/>
        <v>0</v>
      </c>
      <c r="AD206" s="120">
        <f t="shared" si="14"/>
        <v>0</v>
      </c>
      <c r="AE206" s="120">
        <f t="shared" si="14"/>
        <v>0</v>
      </c>
      <c r="AF206" s="120">
        <f t="shared" si="14"/>
        <v>0</v>
      </c>
      <c r="AG206" s="120">
        <f t="shared" si="14"/>
        <v>0</v>
      </c>
      <c r="AH206" s="120">
        <f t="shared" si="14"/>
        <v>0</v>
      </c>
      <c r="AI206" s="120">
        <f t="shared" si="14"/>
        <v>0</v>
      </c>
      <c r="AJ206" s="120">
        <f t="shared" si="14"/>
        <v>0</v>
      </c>
      <c r="AK206" s="120">
        <f t="shared" si="14"/>
        <v>0</v>
      </c>
      <c r="AL206" s="120">
        <f t="shared" si="14"/>
        <v>0</v>
      </c>
      <c r="AM206" s="120">
        <f t="shared" si="14"/>
        <v>0</v>
      </c>
      <c r="AN206" s="120">
        <f t="shared" si="14"/>
        <v>0</v>
      </c>
      <c r="AO206" s="120">
        <f t="shared" si="14"/>
        <v>0</v>
      </c>
    </row>
    <row r="207" spans="1:41" ht="15" customHeight="1" x14ac:dyDescent="0.2">
      <c r="A207" s="108" t="s">
        <v>519</v>
      </c>
      <c r="B207" s="108" t="s">
        <v>520</v>
      </c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</row>
    <row r="208" spans="1:41" ht="15" customHeight="1" x14ac:dyDescent="0.2">
      <c r="A208" s="106" t="s">
        <v>521</v>
      </c>
      <c r="B208" s="109" t="s">
        <v>522</v>
      </c>
      <c r="C208" s="106" t="s">
        <v>514</v>
      </c>
      <c r="D208" s="110">
        <f>SUM(F208:AN208)</f>
        <v>43343780.246153869</v>
      </c>
      <c r="E208" s="110"/>
      <c r="F208" s="110">
        <f t="shared" ref="F208:AO208" si="15">F190</f>
        <v>4759939.0000000009</v>
      </c>
      <c r="G208" s="110">
        <f t="shared" si="15"/>
        <v>3034771.0000000023</v>
      </c>
      <c r="H208" s="110">
        <f t="shared" si="15"/>
        <v>3034771.0000000023</v>
      </c>
      <c r="I208" s="110">
        <f t="shared" si="15"/>
        <v>3279863.2153846174</v>
      </c>
      <c r="J208" s="110">
        <f t="shared" si="15"/>
        <v>3279863.2153846174</v>
      </c>
      <c r="K208" s="110">
        <f t="shared" si="15"/>
        <v>3279863.2153846174</v>
      </c>
      <c r="L208" s="110">
        <f t="shared" si="15"/>
        <v>3081065.9230769239</v>
      </c>
      <c r="M208" s="110">
        <f t="shared" si="15"/>
        <v>3081065.9230769239</v>
      </c>
      <c r="N208" s="110">
        <f t="shared" si="15"/>
        <v>3081065.9230769239</v>
      </c>
      <c r="O208" s="110">
        <f t="shared" si="15"/>
        <v>2835973.7076923093</v>
      </c>
      <c r="P208" s="110">
        <f t="shared" si="15"/>
        <v>2835973.7076923093</v>
      </c>
      <c r="Q208" s="110">
        <f t="shared" si="15"/>
        <v>2835973.7076923093</v>
      </c>
      <c r="R208" s="110">
        <f t="shared" si="15"/>
        <v>4923590.7076923084</v>
      </c>
      <c r="S208" s="110">
        <f t="shared" si="15"/>
        <v>0</v>
      </c>
      <c r="T208" s="110">
        <f t="shared" si="15"/>
        <v>0</v>
      </c>
      <c r="U208" s="110">
        <f t="shared" si="15"/>
        <v>0</v>
      </c>
      <c r="V208" s="110">
        <f t="shared" si="15"/>
        <v>0</v>
      </c>
      <c r="W208" s="110">
        <f t="shared" si="15"/>
        <v>0</v>
      </c>
      <c r="X208" s="110">
        <f t="shared" si="15"/>
        <v>0</v>
      </c>
      <c r="Y208" s="110">
        <f t="shared" si="15"/>
        <v>0</v>
      </c>
      <c r="Z208" s="110">
        <f t="shared" si="15"/>
        <v>0</v>
      </c>
      <c r="AA208" s="110">
        <f t="shared" si="15"/>
        <v>0</v>
      </c>
      <c r="AB208" s="110">
        <f t="shared" si="15"/>
        <v>0</v>
      </c>
      <c r="AC208" s="110">
        <f t="shared" si="15"/>
        <v>0</v>
      </c>
      <c r="AD208" s="110">
        <f t="shared" si="15"/>
        <v>0</v>
      </c>
      <c r="AE208" s="110">
        <f t="shared" si="15"/>
        <v>0</v>
      </c>
      <c r="AF208" s="110">
        <f t="shared" si="15"/>
        <v>0</v>
      </c>
      <c r="AG208" s="110">
        <f t="shared" si="15"/>
        <v>0</v>
      </c>
      <c r="AH208" s="110">
        <f t="shared" si="15"/>
        <v>0</v>
      </c>
      <c r="AI208" s="110">
        <f t="shared" si="15"/>
        <v>0</v>
      </c>
      <c r="AJ208" s="110">
        <f t="shared" si="15"/>
        <v>0</v>
      </c>
      <c r="AK208" s="110">
        <f t="shared" si="15"/>
        <v>0</v>
      </c>
      <c r="AL208" s="110">
        <f t="shared" si="15"/>
        <v>0</v>
      </c>
      <c r="AM208" s="110">
        <f t="shared" si="15"/>
        <v>0</v>
      </c>
      <c r="AN208" s="110">
        <f t="shared" si="15"/>
        <v>0</v>
      </c>
      <c r="AO208" s="110">
        <f t="shared" si="15"/>
        <v>0</v>
      </c>
    </row>
    <row r="209" spans="1:41" ht="15" customHeight="1" x14ac:dyDescent="0.2">
      <c r="A209" s="106" t="s">
        <v>523</v>
      </c>
      <c r="B209" s="109" t="s">
        <v>524</v>
      </c>
      <c r="C209" s="106" t="s">
        <v>505</v>
      </c>
      <c r="D209" s="110">
        <f>SUM(F209:AN209)</f>
        <v>0</v>
      </c>
      <c r="E209" s="24"/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  <c r="AN209" s="24">
        <v>0</v>
      </c>
      <c r="AO209" s="24">
        <v>0</v>
      </c>
    </row>
    <row r="210" spans="1:41" ht="15" customHeight="1" x14ac:dyDescent="0.2">
      <c r="A210" s="106" t="s">
        <v>525</v>
      </c>
      <c r="B210" s="109" t="s">
        <v>526</v>
      </c>
      <c r="C210" s="106" t="s">
        <v>505</v>
      </c>
      <c r="D210" s="110">
        <f>SUM(F210:AN210)</f>
        <v>0</v>
      </c>
      <c r="E210" s="24"/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4">
        <v>0</v>
      </c>
      <c r="AN210" s="24">
        <v>0</v>
      </c>
      <c r="AO210" s="24">
        <v>0</v>
      </c>
    </row>
    <row r="211" spans="1:41" ht="15" customHeight="1" x14ac:dyDescent="0.2">
      <c r="A211" s="118" t="s">
        <v>527</v>
      </c>
      <c r="B211" s="119" t="s">
        <v>528</v>
      </c>
      <c r="D211" s="120">
        <f>SUM(D208:D210)</f>
        <v>43343780.246153869</v>
      </c>
      <c r="E211" s="120"/>
      <c r="F211" s="120">
        <f t="shared" ref="F211:AO211" si="16">SUM(F208:F210)</f>
        <v>4759939.0000000009</v>
      </c>
      <c r="G211" s="120">
        <f t="shared" si="16"/>
        <v>3034771.0000000023</v>
      </c>
      <c r="H211" s="120">
        <f t="shared" si="16"/>
        <v>3034771.0000000023</v>
      </c>
      <c r="I211" s="120">
        <f t="shared" si="16"/>
        <v>3279863.2153846174</v>
      </c>
      <c r="J211" s="120">
        <f t="shared" si="16"/>
        <v>3279863.2153846174</v>
      </c>
      <c r="K211" s="120">
        <f t="shared" si="16"/>
        <v>3279863.2153846174</v>
      </c>
      <c r="L211" s="120">
        <f t="shared" si="16"/>
        <v>3081065.9230769239</v>
      </c>
      <c r="M211" s="120">
        <f t="shared" si="16"/>
        <v>3081065.9230769239</v>
      </c>
      <c r="N211" s="120">
        <f t="shared" si="16"/>
        <v>3081065.9230769239</v>
      </c>
      <c r="O211" s="120">
        <f t="shared" si="16"/>
        <v>2835973.7076923093</v>
      </c>
      <c r="P211" s="120">
        <f t="shared" si="16"/>
        <v>2835973.7076923093</v>
      </c>
      <c r="Q211" s="120">
        <f t="shared" si="16"/>
        <v>2835973.7076923093</v>
      </c>
      <c r="R211" s="120">
        <f t="shared" si="16"/>
        <v>4923590.7076923084</v>
      </c>
      <c r="S211" s="120">
        <f t="shared" si="16"/>
        <v>0</v>
      </c>
      <c r="T211" s="120">
        <f t="shared" si="16"/>
        <v>0</v>
      </c>
      <c r="U211" s="120">
        <f t="shared" si="16"/>
        <v>0</v>
      </c>
      <c r="V211" s="120">
        <f t="shared" si="16"/>
        <v>0</v>
      </c>
      <c r="W211" s="120">
        <f t="shared" si="16"/>
        <v>0</v>
      </c>
      <c r="X211" s="120">
        <f t="shared" si="16"/>
        <v>0</v>
      </c>
      <c r="Y211" s="120">
        <f t="shared" si="16"/>
        <v>0</v>
      </c>
      <c r="Z211" s="120">
        <f t="shared" si="16"/>
        <v>0</v>
      </c>
      <c r="AA211" s="120">
        <f t="shared" si="16"/>
        <v>0</v>
      </c>
      <c r="AB211" s="120">
        <f t="shared" si="16"/>
        <v>0</v>
      </c>
      <c r="AC211" s="120">
        <f t="shared" si="16"/>
        <v>0</v>
      </c>
      <c r="AD211" s="120">
        <f t="shared" si="16"/>
        <v>0</v>
      </c>
      <c r="AE211" s="120">
        <f t="shared" si="16"/>
        <v>0</v>
      </c>
      <c r="AF211" s="120">
        <f t="shared" si="16"/>
        <v>0</v>
      </c>
      <c r="AG211" s="120">
        <f t="shared" si="16"/>
        <v>0</v>
      </c>
      <c r="AH211" s="120">
        <f t="shared" si="16"/>
        <v>0</v>
      </c>
      <c r="AI211" s="120">
        <f t="shared" si="16"/>
        <v>0</v>
      </c>
      <c r="AJ211" s="120">
        <f t="shared" si="16"/>
        <v>0</v>
      </c>
      <c r="AK211" s="120">
        <f t="shared" si="16"/>
        <v>0</v>
      </c>
      <c r="AL211" s="120">
        <f t="shared" si="16"/>
        <v>0</v>
      </c>
      <c r="AM211" s="120">
        <f t="shared" si="16"/>
        <v>0</v>
      </c>
      <c r="AN211" s="120">
        <f t="shared" si="16"/>
        <v>0</v>
      </c>
      <c r="AO211" s="120">
        <f t="shared" si="16"/>
        <v>0</v>
      </c>
    </row>
    <row r="212" spans="1:41" ht="15" customHeight="1" x14ac:dyDescent="0.2">
      <c r="A212" s="74" t="s">
        <v>529</v>
      </c>
      <c r="B212" s="109" t="s">
        <v>530</v>
      </c>
      <c r="D212" s="121">
        <f>D206-D211</f>
        <v>100000</v>
      </c>
      <c r="E212" s="121"/>
      <c r="F212" s="121">
        <f t="shared" ref="F212:AO212" si="17">F206-F211</f>
        <v>5177402.8725000015</v>
      </c>
      <c r="G212" s="121">
        <f t="shared" si="17"/>
        <v>-3034771.0000000023</v>
      </c>
      <c r="H212" s="121">
        <f t="shared" si="17"/>
        <v>-2042631.8724999991</v>
      </c>
      <c r="I212" s="121">
        <f t="shared" si="17"/>
        <v>0</v>
      </c>
      <c r="J212" s="121">
        <f t="shared" si="17"/>
        <v>0</v>
      </c>
      <c r="K212" s="121">
        <f t="shared" si="17"/>
        <v>0</v>
      </c>
      <c r="L212" s="121">
        <f t="shared" si="17"/>
        <v>0</v>
      </c>
      <c r="M212" s="121">
        <f t="shared" si="17"/>
        <v>0</v>
      </c>
      <c r="N212" s="121">
        <f t="shared" si="17"/>
        <v>0</v>
      </c>
      <c r="O212" s="121">
        <f t="shared" si="17"/>
        <v>0</v>
      </c>
      <c r="P212" s="121">
        <f t="shared" si="17"/>
        <v>0</v>
      </c>
      <c r="Q212" s="121">
        <f t="shared" si="17"/>
        <v>0</v>
      </c>
      <c r="R212" s="121">
        <f t="shared" si="17"/>
        <v>0</v>
      </c>
      <c r="S212" s="121">
        <f t="shared" si="17"/>
        <v>0</v>
      </c>
      <c r="T212" s="121">
        <f t="shared" si="17"/>
        <v>0</v>
      </c>
      <c r="U212" s="121">
        <f t="shared" si="17"/>
        <v>0</v>
      </c>
      <c r="V212" s="121">
        <f t="shared" si="17"/>
        <v>0</v>
      </c>
      <c r="W212" s="121">
        <f t="shared" si="17"/>
        <v>0</v>
      </c>
      <c r="X212" s="121">
        <f t="shared" si="17"/>
        <v>0</v>
      </c>
      <c r="Y212" s="121">
        <f t="shared" si="17"/>
        <v>0</v>
      </c>
      <c r="Z212" s="121">
        <f t="shared" si="17"/>
        <v>0</v>
      </c>
      <c r="AA212" s="121">
        <f t="shared" si="17"/>
        <v>0</v>
      </c>
      <c r="AB212" s="121">
        <f t="shared" si="17"/>
        <v>0</v>
      </c>
      <c r="AC212" s="121">
        <f t="shared" si="17"/>
        <v>0</v>
      </c>
      <c r="AD212" s="121">
        <f t="shared" si="17"/>
        <v>0</v>
      </c>
      <c r="AE212" s="121">
        <f t="shared" si="17"/>
        <v>0</v>
      </c>
      <c r="AF212" s="121">
        <f t="shared" si="17"/>
        <v>0</v>
      </c>
      <c r="AG212" s="121">
        <f t="shared" si="17"/>
        <v>0</v>
      </c>
      <c r="AH212" s="121">
        <f t="shared" si="17"/>
        <v>0</v>
      </c>
      <c r="AI212" s="121">
        <f t="shared" si="17"/>
        <v>0</v>
      </c>
      <c r="AJ212" s="121">
        <f t="shared" si="17"/>
        <v>0</v>
      </c>
      <c r="AK212" s="121">
        <f t="shared" si="17"/>
        <v>0</v>
      </c>
      <c r="AL212" s="121">
        <f t="shared" si="17"/>
        <v>0</v>
      </c>
      <c r="AM212" s="121">
        <f t="shared" si="17"/>
        <v>0</v>
      </c>
      <c r="AN212" s="121">
        <f t="shared" si="17"/>
        <v>0</v>
      </c>
      <c r="AO212" s="121">
        <f t="shared" si="17"/>
        <v>0</v>
      </c>
    </row>
    <row r="213" spans="1:41" ht="15" customHeight="1" x14ac:dyDescent="0.2">
      <c r="A213" s="122" t="s">
        <v>531</v>
      </c>
      <c r="B213" s="109" t="s">
        <v>532</v>
      </c>
      <c r="D213" s="107">
        <f>AN213</f>
        <v>100000</v>
      </c>
      <c r="E213" s="107"/>
      <c r="F213" s="107">
        <f t="shared" ref="F213:AO213" si="18">F197+F212</f>
        <v>5177402.8725000015</v>
      </c>
      <c r="G213" s="107">
        <f t="shared" si="18"/>
        <v>2142631.8724999991</v>
      </c>
      <c r="H213" s="107">
        <f t="shared" si="18"/>
        <v>100000</v>
      </c>
      <c r="I213" s="107">
        <f t="shared" si="18"/>
        <v>100000</v>
      </c>
      <c r="J213" s="107">
        <f t="shared" si="18"/>
        <v>100000</v>
      </c>
      <c r="K213" s="107">
        <f t="shared" si="18"/>
        <v>100000</v>
      </c>
      <c r="L213" s="107">
        <f t="shared" si="18"/>
        <v>100000</v>
      </c>
      <c r="M213" s="107">
        <f t="shared" si="18"/>
        <v>100000</v>
      </c>
      <c r="N213" s="107">
        <f t="shared" si="18"/>
        <v>100000</v>
      </c>
      <c r="O213" s="107">
        <f t="shared" si="18"/>
        <v>100000</v>
      </c>
      <c r="P213" s="107">
        <f t="shared" si="18"/>
        <v>100000</v>
      </c>
      <c r="Q213" s="107">
        <f t="shared" si="18"/>
        <v>100000</v>
      </c>
      <c r="R213" s="107">
        <f t="shared" si="18"/>
        <v>100000</v>
      </c>
      <c r="S213" s="107">
        <f t="shared" si="18"/>
        <v>100000</v>
      </c>
      <c r="T213" s="107">
        <f t="shared" si="18"/>
        <v>100000</v>
      </c>
      <c r="U213" s="107">
        <f t="shared" si="18"/>
        <v>100000</v>
      </c>
      <c r="V213" s="107">
        <f t="shared" si="18"/>
        <v>100000</v>
      </c>
      <c r="W213" s="107">
        <f t="shared" si="18"/>
        <v>100000</v>
      </c>
      <c r="X213" s="107">
        <f t="shared" si="18"/>
        <v>100000</v>
      </c>
      <c r="Y213" s="107">
        <f t="shared" si="18"/>
        <v>100000</v>
      </c>
      <c r="Z213" s="107">
        <f t="shared" si="18"/>
        <v>100000</v>
      </c>
      <c r="AA213" s="107">
        <f t="shared" si="18"/>
        <v>100000</v>
      </c>
      <c r="AB213" s="107">
        <f t="shared" si="18"/>
        <v>100000</v>
      </c>
      <c r="AC213" s="107">
        <f t="shared" si="18"/>
        <v>100000</v>
      </c>
      <c r="AD213" s="107">
        <f t="shared" si="18"/>
        <v>100000</v>
      </c>
      <c r="AE213" s="107">
        <f t="shared" si="18"/>
        <v>100000</v>
      </c>
      <c r="AF213" s="107">
        <f t="shared" si="18"/>
        <v>100000</v>
      </c>
      <c r="AG213" s="107">
        <f t="shared" si="18"/>
        <v>100000</v>
      </c>
      <c r="AH213" s="107">
        <f t="shared" si="18"/>
        <v>100000</v>
      </c>
      <c r="AI213" s="107">
        <f t="shared" si="18"/>
        <v>100000</v>
      </c>
      <c r="AJ213" s="107">
        <f t="shared" si="18"/>
        <v>100000</v>
      </c>
      <c r="AK213" s="107">
        <f t="shared" si="18"/>
        <v>100000</v>
      </c>
      <c r="AL213" s="107">
        <f t="shared" si="18"/>
        <v>100000</v>
      </c>
      <c r="AM213" s="107">
        <f t="shared" si="18"/>
        <v>100000</v>
      </c>
      <c r="AN213" s="107">
        <f t="shared" si="18"/>
        <v>100000</v>
      </c>
      <c r="AO213" s="107">
        <f t="shared" si="18"/>
        <v>100000</v>
      </c>
    </row>
    <row r="214" spans="1:41" ht="15" customHeight="1" x14ac:dyDescent="0.2">
      <c r="A214" s="123" t="s">
        <v>533</v>
      </c>
      <c r="B214" s="112" t="s">
        <v>534</v>
      </c>
      <c r="C214" s="106" t="s">
        <v>535</v>
      </c>
      <c r="D214" s="112" t="s">
        <v>536</v>
      </c>
      <c r="E214" s="124"/>
      <c r="F214" s="124">
        <f t="shared" ref="F214:AO214" si="19">F213-100000</f>
        <v>5077402.8725000015</v>
      </c>
      <c r="G214" s="124">
        <f t="shared" si="19"/>
        <v>2042631.8724999991</v>
      </c>
      <c r="H214" s="124">
        <f t="shared" si="19"/>
        <v>0</v>
      </c>
      <c r="I214" s="124">
        <f t="shared" si="19"/>
        <v>0</v>
      </c>
      <c r="J214" s="124">
        <f t="shared" si="19"/>
        <v>0</v>
      </c>
      <c r="K214" s="124">
        <f t="shared" si="19"/>
        <v>0</v>
      </c>
      <c r="L214" s="124">
        <f t="shared" si="19"/>
        <v>0</v>
      </c>
      <c r="M214" s="124">
        <f t="shared" si="19"/>
        <v>0</v>
      </c>
      <c r="N214" s="124">
        <f t="shared" si="19"/>
        <v>0</v>
      </c>
      <c r="O214" s="124">
        <f t="shared" si="19"/>
        <v>0</v>
      </c>
      <c r="P214" s="124">
        <f t="shared" si="19"/>
        <v>0</v>
      </c>
      <c r="Q214" s="124">
        <f t="shared" si="19"/>
        <v>0</v>
      </c>
      <c r="R214" s="124">
        <f t="shared" si="19"/>
        <v>0</v>
      </c>
      <c r="S214" s="124">
        <f t="shared" si="19"/>
        <v>0</v>
      </c>
      <c r="T214" s="124">
        <f t="shared" si="19"/>
        <v>0</v>
      </c>
      <c r="U214" s="124">
        <f t="shared" si="19"/>
        <v>0</v>
      </c>
      <c r="V214" s="124">
        <f t="shared" si="19"/>
        <v>0</v>
      </c>
      <c r="W214" s="124">
        <f t="shared" si="19"/>
        <v>0</v>
      </c>
      <c r="X214" s="124">
        <f t="shared" si="19"/>
        <v>0</v>
      </c>
      <c r="Y214" s="124">
        <f t="shared" si="19"/>
        <v>0</v>
      </c>
      <c r="Z214" s="124">
        <f t="shared" si="19"/>
        <v>0</v>
      </c>
      <c r="AA214" s="124">
        <f t="shared" si="19"/>
        <v>0</v>
      </c>
      <c r="AB214" s="124">
        <f t="shared" si="19"/>
        <v>0</v>
      </c>
      <c r="AC214" s="124">
        <f t="shared" si="19"/>
        <v>0</v>
      </c>
      <c r="AD214" s="124">
        <f t="shared" si="19"/>
        <v>0</v>
      </c>
      <c r="AE214" s="124">
        <f t="shared" si="19"/>
        <v>0</v>
      </c>
      <c r="AF214" s="124">
        <f t="shared" si="19"/>
        <v>0</v>
      </c>
      <c r="AG214" s="124">
        <f t="shared" si="19"/>
        <v>0</v>
      </c>
      <c r="AH214" s="124">
        <f t="shared" si="19"/>
        <v>0</v>
      </c>
      <c r="AI214" s="124">
        <f t="shared" si="19"/>
        <v>0</v>
      </c>
      <c r="AJ214" s="124">
        <f t="shared" si="19"/>
        <v>0</v>
      </c>
      <c r="AK214" s="124">
        <f t="shared" si="19"/>
        <v>0</v>
      </c>
      <c r="AL214" s="124">
        <f t="shared" si="19"/>
        <v>0</v>
      </c>
      <c r="AM214" s="124">
        <f t="shared" si="19"/>
        <v>0</v>
      </c>
      <c r="AN214" s="124">
        <f t="shared" si="19"/>
        <v>0</v>
      </c>
      <c r="AO214" s="124">
        <f t="shared" si="19"/>
        <v>0</v>
      </c>
    </row>
    <row r="215" spans="1:41" ht="15" customHeight="1" x14ac:dyDescent="0.2">
      <c r="A215" s="125" t="s">
        <v>537</v>
      </c>
      <c r="B215" s="115" t="s">
        <v>538</v>
      </c>
      <c r="C215" s="106" t="s">
        <v>535</v>
      </c>
      <c r="D215" s="110">
        <f>AN215</f>
        <v>0</v>
      </c>
      <c r="E215" s="126"/>
      <c r="F215" s="127">
        <f>F205-F210</f>
        <v>0</v>
      </c>
      <c r="G215" s="127">
        <f t="shared" ref="G215:AO215" si="20">F215+G205-G210</f>
        <v>0</v>
      </c>
      <c r="H215" s="127">
        <f t="shared" si="20"/>
        <v>0</v>
      </c>
      <c r="I215" s="127">
        <f t="shared" si="20"/>
        <v>0</v>
      </c>
      <c r="J215" s="127">
        <f t="shared" si="20"/>
        <v>0</v>
      </c>
      <c r="K215" s="127">
        <f t="shared" si="20"/>
        <v>0</v>
      </c>
      <c r="L215" s="127">
        <f t="shared" si="20"/>
        <v>0</v>
      </c>
      <c r="M215" s="127">
        <f t="shared" si="20"/>
        <v>0</v>
      </c>
      <c r="N215" s="127">
        <f t="shared" si="20"/>
        <v>0</v>
      </c>
      <c r="O215" s="127">
        <f t="shared" si="20"/>
        <v>0</v>
      </c>
      <c r="P215" s="127">
        <f t="shared" si="20"/>
        <v>0</v>
      </c>
      <c r="Q215" s="127">
        <f t="shared" si="20"/>
        <v>0</v>
      </c>
      <c r="R215" s="127">
        <f t="shared" si="20"/>
        <v>0</v>
      </c>
      <c r="S215" s="127">
        <f t="shared" si="20"/>
        <v>0</v>
      </c>
      <c r="T215" s="127">
        <f t="shared" si="20"/>
        <v>0</v>
      </c>
      <c r="U215" s="127">
        <f t="shared" si="20"/>
        <v>0</v>
      </c>
      <c r="V215" s="127">
        <f t="shared" si="20"/>
        <v>0</v>
      </c>
      <c r="W215" s="127">
        <f t="shared" si="20"/>
        <v>0</v>
      </c>
      <c r="X215" s="127">
        <f t="shared" si="20"/>
        <v>0</v>
      </c>
      <c r="Y215" s="127">
        <f t="shared" si="20"/>
        <v>0</v>
      </c>
      <c r="Z215" s="127">
        <f t="shared" si="20"/>
        <v>0</v>
      </c>
      <c r="AA215" s="127">
        <f t="shared" si="20"/>
        <v>0</v>
      </c>
      <c r="AB215" s="127">
        <f t="shared" si="20"/>
        <v>0</v>
      </c>
      <c r="AC215" s="127">
        <f t="shared" si="20"/>
        <v>0</v>
      </c>
      <c r="AD215" s="127">
        <f t="shared" si="20"/>
        <v>0</v>
      </c>
      <c r="AE215" s="127">
        <f t="shared" si="20"/>
        <v>0</v>
      </c>
      <c r="AF215" s="127">
        <f t="shared" si="20"/>
        <v>0</v>
      </c>
      <c r="AG215" s="127">
        <f t="shared" si="20"/>
        <v>0</v>
      </c>
      <c r="AH215" s="127">
        <f t="shared" si="20"/>
        <v>0</v>
      </c>
      <c r="AI215" s="127">
        <f t="shared" si="20"/>
        <v>0</v>
      </c>
      <c r="AJ215" s="127">
        <f t="shared" si="20"/>
        <v>0</v>
      </c>
      <c r="AK215" s="127">
        <f t="shared" si="20"/>
        <v>0</v>
      </c>
      <c r="AL215" s="127">
        <f t="shared" si="20"/>
        <v>0</v>
      </c>
      <c r="AM215" s="127">
        <f t="shared" si="20"/>
        <v>0</v>
      </c>
      <c r="AN215" s="127">
        <f t="shared" si="20"/>
        <v>0</v>
      </c>
      <c r="AO215" s="127">
        <f t="shared" si="20"/>
        <v>0</v>
      </c>
    </row>
    <row r="216" spans="1:41" ht="15" customHeight="1" x14ac:dyDescent="0.2">
      <c r="A216" t="s">
        <v>539</v>
      </c>
      <c r="B216" t="s">
        <v>540</v>
      </c>
      <c r="C216" t="s">
        <v>535</v>
      </c>
      <c r="D216" s="128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</row>
    <row r="217" spans="1:41" ht="15" customHeight="1" x14ac:dyDescent="0.2"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</row>
    <row r="218" spans="1:41" ht="15" customHeight="1" x14ac:dyDescent="0.2">
      <c r="B218" t="s">
        <v>541</v>
      </c>
      <c r="F218" s="91">
        <f>MAX(0,'Sources &amp; Uses - Construction'!$B$13-SUM($F204:F204))</f>
        <v>33628383.127499998</v>
      </c>
      <c r="G218" s="91">
        <f>MAX(0,'Sources &amp; Uses - Construction'!$B$13-SUM($F204:G204))</f>
        <v>33628383.127499998</v>
      </c>
      <c r="H218" s="91">
        <f>MAX(0,'Sources &amp; Uses - Construction'!$B$13-SUM($F204:H204))</f>
        <v>32636243.999999993</v>
      </c>
      <c r="I218" s="91">
        <f>MAX(0,'Sources &amp; Uses - Construction'!$B$13-SUM($F204:I204))</f>
        <v>29356380.784615375</v>
      </c>
      <c r="J218" s="91">
        <f>MAX(0,'Sources &amp; Uses - Construction'!$B$13-SUM($F204:J204))</f>
        <v>26076517.569230758</v>
      </c>
      <c r="K218" s="91">
        <f>MAX(0,'Sources &amp; Uses - Construction'!$B$13-SUM($F204:K204))</f>
        <v>22796654.35384614</v>
      </c>
      <c r="L218" s="91">
        <f>MAX(0,'Sources &amp; Uses - Construction'!$B$13-SUM($F204:L204))</f>
        <v>19715588.43076922</v>
      </c>
      <c r="M218" s="91">
        <f>MAX(0,'Sources &amp; Uses - Construction'!$B$13-SUM($F204:M204))</f>
        <v>16634522.507692292</v>
      </c>
      <c r="N218" s="91">
        <f>MAX(0,'Sources &amp; Uses - Construction'!$B$13-SUM($F204:N204))</f>
        <v>13553456.584615368</v>
      </c>
      <c r="O218" s="91">
        <f>MAX(0,'Sources &amp; Uses - Construction'!$B$13-SUM($F204:O204))</f>
        <v>10717482.876923058</v>
      </c>
      <c r="P218" s="91">
        <f>MAX(0,'Sources &amp; Uses - Construction'!$B$13-SUM($F204:P204))</f>
        <v>7881509.169230748</v>
      </c>
      <c r="Q218" s="91">
        <f>MAX(0,'Sources &amp; Uses - Construction'!$B$13-SUM($F204:Q204))</f>
        <v>5045535.4615384378</v>
      </c>
      <c r="R218" s="91">
        <f>MAX(0,'Sources &amp; Uses - Construction'!$B$13-SUM($F204:R204))</f>
        <v>121944.75384613127</v>
      </c>
      <c r="S218" s="91">
        <f>MAX(0,'Sources &amp; Uses - Construction'!$B$13-SUM($F204:S204))</f>
        <v>121944.75384613127</v>
      </c>
      <c r="T218" s="91">
        <f>MAX(0,'Sources &amp; Uses - Construction'!$B$13-SUM($F204:T204))</f>
        <v>121944.75384613127</v>
      </c>
      <c r="U218" s="91">
        <f>MAX(0,'Sources &amp; Uses - Construction'!$B$13-SUM($F204:U204))</f>
        <v>121944.75384613127</v>
      </c>
      <c r="V218" s="91">
        <f>MAX(0,'Sources &amp; Uses - Construction'!$B$13-SUM($F204:V204))</f>
        <v>121944.75384613127</v>
      </c>
      <c r="W218" s="91">
        <f>MAX(0,'Sources &amp; Uses - Construction'!$B$13-SUM($F204:W204))</f>
        <v>121944.75384613127</v>
      </c>
      <c r="X218" s="91">
        <f>MAX(0,'Sources &amp; Uses - Construction'!$B$13-SUM($F204:X204))</f>
        <v>121944.75384613127</v>
      </c>
      <c r="Y218" s="91">
        <f>MAX(0,'Sources &amp; Uses - Construction'!$B$13-SUM($F204:Y204))</f>
        <v>121944.75384613127</v>
      </c>
      <c r="Z218" s="91">
        <f>MAX(0,'Sources &amp; Uses - Construction'!$B$13-SUM($F204:Z204))</f>
        <v>121944.75384613127</v>
      </c>
      <c r="AA218" s="91">
        <f>MAX(0,'Sources &amp; Uses - Construction'!$B$13-SUM($F204:AA204))</f>
        <v>121944.75384613127</v>
      </c>
      <c r="AB218" s="91">
        <f>MAX(0,'Sources &amp; Uses - Construction'!$B$13-SUM($F204:AA204))</f>
        <v>121944.75384613127</v>
      </c>
      <c r="AC218" s="91">
        <f>MAX(0,'Sources &amp; Uses - Construction'!$B$13-SUM($F204:AB204))</f>
        <v>121944.75384613127</v>
      </c>
      <c r="AD218" s="91">
        <f>MAX(0,'Sources &amp; Uses - Construction'!$B$13-SUM($F204:AC204))</f>
        <v>121944.75384613127</v>
      </c>
      <c r="AE218" s="91">
        <f>MAX(0,'Sources &amp; Uses - Construction'!$B$13-SUM($F204:AD204))</f>
        <v>121944.75384613127</v>
      </c>
      <c r="AF218" s="91">
        <f>MAX(0,'Sources &amp; Uses - Construction'!$B$13-SUM($F204:AE204))</f>
        <v>121944.75384613127</v>
      </c>
      <c r="AG218" s="91">
        <f>MAX(0,'Sources &amp; Uses - Construction'!$B$13-SUM($F204:AF204))</f>
        <v>121944.75384613127</v>
      </c>
      <c r="AH218" s="91">
        <f>MAX(0,'Sources &amp; Uses - Construction'!$B$13-SUM($F204:AG204))</f>
        <v>121944.75384613127</v>
      </c>
      <c r="AI218" s="91">
        <f>MAX(0,'Sources &amp; Uses - Construction'!$B$13-SUM($F204:AH204))</f>
        <v>121944.75384613127</v>
      </c>
      <c r="AJ218" s="91">
        <f>MAX(0,'Sources &amp; Uses - Construction'!$B$13-SUM($F204:AI204))</f>
        <v>121944.75384613127</v>
      </c>
      <c r="AK218" s="91">
        <f>MAX(0,'Sources &amp; Uses - Construction'!$B$13-SUM($F204:AJ204))</f>
        <v>121944.75384613127</v>
      </c>
      <c r="AL218" s="91">
        <f>MAX(0,'Sources &amp; Uses - Construction'!$B$13-SUM($F204:AK204))</f>
        <v>121944.75384613127</v>
      </c>
      <c r="AM218" s="91">
        <f>MAX(0,'Sources &amp; Uses - Construction'!$B$13-SUM($F204:AL204))</f>
        <v>121944.75384613127</v>
      </c>
      <c r="AN218" s="91">
        <f>MAX(0,'Sources &amp; Uses - Construction'!$B$13-SUM($F204:AM204))</f>
        <v>121944.75384613127</v>
      </c>
      <c r="AO218" s="91">
        <f>MAX(0,'Sources &amp; Uses - Construction'!$B$13-SUM($F204:AN204))</f>
        <v>121944.75384613127</v>
      </c>
    </row>
    <row r="219" spans="1:41" ht="15.75" customHeight="1" x14ac:dyDescent="0.2"/>
    <row r="220" spans="1:41" ht="15" customHeight="1" x14ac:dyDescent="0.2">
      <c r="A220" s="1" t="s">
        <v>542</v>
      </c>
      <c r="B220" s="1"/>
      <c r="C220" s="1"/>
      <c r="D220" s="1"/>
    </row>
    <row r="221" spans="1:41" ht="15" customHeight="1" x14ac:dyDescent="0.2">
      <c r="A221" s="2" t="s">
        <v>543</v>
      </c>
      <c r="B221" s="2"/>
      <c r="C221" s="2"/>
      <c r="D221" s="2"/>
    </row>
    <row r="222" spans="1:41" ht="15.75" customHeight="1" x14ac:dyDescent="0.2"/>
    <row r="223" spans="1:41" ht="15" customHeight="1" x14ac:dyDescent="0.2">
      <c r="A223" s="103" t="s">
        <v>544</v>
      </c>
      <c r="B223" s="103" t="s">
        <v>545</v>
      </c>
      <c r="C223" s="103" t="s">
        <v>546</v>
      </c>
      <c r="D223" s="103" t="s">
        <v>547</v>
      </c>
    </row>
    <row r="224" spans="1:41" ht="15" customHeight="1" x14ac:dyDescent="0.2">
      <c r="A224" s="130" t="s">
        <v>548</v>
      </c>
      <c r="B224" s="131" t="s">
        <v>549</v>
      </c>
      <c r="C224" s="110">
        <f>MIN(F213:AN213)-100000</f>
        <v>0</v>
      </c>
      <c r="D224" s="130" t="str">
        <f>IF(C224&gt;=0,"✓ PASS","✗ FAIL")</f>
        <v>✓ PASS</v>
      </c>
    </row>
    <row r="225" spans="1:4" ht="15" customHeight="1" x14ac:dyDescent="0.2">
      <c r="A225" s="130" t="s">
        <v>550</v>
      </c>
      <c r="B225" s="131" t="s">
        <v>551</v>
      </c>
      <c r="C225" s="110">
        <f>D204-IFERROR('Sources &amp; Uses - Construction'!B13,0)</f>
        <v>-121944.75384613127</v>
      </c>
      <c r="D225" s="130" t="str">
        <f>IF(C225&lt;=0,"✓ PASS","✗ FAIL")</f>
        <v>✓ PASS</v>
      </c>
    </row>
    <row r="226" spans="1:4" ht="15" customHeight="1" x14ac:dyDescent="0.2">
      <c r="A226" s="130" t="s">
        <v>552</v>
      </c>
      <c r="B226" s="131" t="s">
        <v>553</v>
      </c>
      <c r="C226" s="110">
        <f>MAX(F215:AN215)-1000000</f>
        <v>-1000000</v>
      </c>
      <c r="D226" s="130" t="str">
        <f>IF(C226&lt;=0,"✓ PASS","✗ FAIL")</f>
        <v>✓ PASS</v>
      </c>
    </row>
    <row r="227" spans="1:4" ht="15" customHeight="1" x14ac:dyDescent="0.2">
      <c r="A227" s="130" t="s">
        <v>554</v>
      </c>
      <c r="B227" s="131" t="s">
        <v>555</v>
      </c>
      <c r="C227" s="110">
        <f>(D199+D200+D201+D202+D203+D204)-IFERROR('Sources &amp; Uses - Construction'!B16,0)</f>
        <v>-121944.75384613127</v>
      </c>
      <c r="D227" s="130" t="str">
        <f>IF(ABS(C227)&lt;1,"✓ PASS","✗ FAIL")</f>
        <v>✗ FAIL</v>
      </c>
    </row>
    <row r="228" spans="1:4" ht="15.75" customHeight="1" x14ac:dyDescent="0.2"/>
    <row r="229" spans="1:4" ht="15" customHeight="1" x14ac:dyDescent="0.2">
      <c r="A229" s="132" t="s">
        <v>556</v>
      </c>
      <c r="B229" s="133" t="s">
        <v>557</v>
      </c>
      <c r="C229" s="134">
        <f>COUNTIF(D224:D228,"✓ PASS")</f>
        <v>3</v>
      </c>
      <c r="D229" s="135" t="str">
        <f>IF(C229=4,"✓✓ MODEL VALID ✓✓","⚠ ISSUES DETECTED ⚠")</f>
        <v>⚠ ISSUES DETECTED ⚠</v>
      </c>
    </row>
    <row r="230" spans="1:4" ht="15.75" customHeight="1" x14ac:dyDescent="0.2"/>
    <row r="231" spans="1:4" ht="15.75" customHeight="1" x14ac:dyDescent="0.2"/>
    <row r="232" spans="1:4" ht="15" customHeight="1" x14ac:dyDescent="0.2">
      <c r="A232" s="1" t="s">
        <v>558</v>
      </c>
      <c r="B232" s="1"/>
      <c r="C232" s="1"/>
      <c r="D232" s="1"/>
    </row>
    <row r="233" spans="1:4" ht="15" customHeight="1" x14ac:dyDescent="0.2">
      <c r="A233" s="2" t="s">
        <v>559</v>
      </c>
      <c r="B233" s="2"/>
      <c r="C233" s="2"/>
      <c r="D233" s="2"/>
    </row>
    <row r="234" spans="1:4" ht="15.75" customHeight="1" x14ac:dyDescent="0.2"/>
    <row r="235" spans="1:4" ht="15" customHeight="1" x14ac:dyDescent="0.2">
      <c r="A235" s="103" t="s">
        <v>560</v>
      </c>
      <c r="B235" s="103" t="s">
        <v>561</v>
      </c>
      <c r="C235" s="103" t="s">
        <v>562</v>
      </c>
      <c r="D235" s="103" t="s">
        <v>563</v>
      </c>
    </row>
    <row r="236" spans="1:4" ht="15" customHeight="1" x14ac:dyDescent="0.2">
      <c r="A236" s="39" t="s">
        <v>564</v>
      </c>
      <c r="B236" s="110">
        <f t="shared" ref="B236:B242" si="21">D199</f>
        <v>15</v>
      </c>
      <c r="C236" s="110">
        <f>IFERROR('Sources &amp; Uses - Construction'!B6,0)</f>
        <v>15</v>
      </c>
      <c r="D236" s="136">
        <f t="shared" ref="D236:D241" si="22">B236-C236</f>
        <v>0</v>
      </c>
    </row>
    <row r="237" spans="1:4" ht="15" customHeight="1" x14ac:dyDescent="0.2">
      <c r="A237" s="39" t="s">
        <v>565</v>
      </c>
      <c r="B237" s="110">
        <f t="shared" si="21"/>
        <v>2800015</v>
      </c>
      <c r="C237" s="110">
        <f>IFERROR('Sources &amp; Uses - Construction'!B7,0)</f>
        <v>2800015</v>
      </c>
      <c r="D237" s="136">
        <f t="shared" si="22"/>
        <v>0</v>
      </c>
    </row>
    <row r="238" spans="1:4" ht="15" customHeight="1" x14ac:dyDescent="0.2">
      <c r="A238" s="39" t="s">
        <v>418</v>
      </c>
      <c r="B238" s="110">
        <f t="shared" si="21"/>
        <v>0</v>
      </c>
      <c r="C238" s="110">
        <f>IFERROR('Sources &amp; Uses - Construction'!B8,0)</f>
        <v>0</v>
      </c>
      <c r="D238" s="136">
        <f t="shared" si="22"/>
        <v>0</v>
      </c>
    </row>
    <row r="239" spans="1:4" ht="15" customHeight="1" x14ac:dyDescent="0.2">
      <c r="A239" s="39" t="s">
        <v>441</v>
      </c>
      <c r="B239" s="110">
        <f t="shared" si="21"/>
        <v>0</v>
      </c>
      <c r="C239" s="110">
        <f>IFERROR('Sources &amp; Uses - Construction'!B9,0)</f>
        <v>0</v>
      </c>
      <c r="D239" s="136">
        <f t="shared" si="22"/>
        <v>0</v>
      </c>
    </row>
    <row r="240" spans="1:4" ht="15" customHeight="1" x14ac:dyDescent="0.2">
      <c r="A240" s="39" t="s">
        <v>566</v>
      </c>
      <c r="B240" s="110">
        <f t="shared" si="21"/>
        <v>7137311.8725000024</v>
      </c>
      <c r="C240" s="110">
        <f>IFERROR('Sources &amp; Uses - Construction'!B11,0)</f>
        <v>7137311.8725000024</v>
      </c>
      <c r="D240" s="136">
        <f t="shared" si="22"/>
        <v>0</v>
      </c>
    </row>
    <row r="241" spans="1:4" ht="15" customHeight="1" x14ac:dyDescent="0.2">
      <c r="A241" s="39" t="s">
        <v>567</v>
      </c>
      <c r="B241" s="110">
        <f t="shared" si="21"/>
        <v>33506438.373653866</v>
      </c>
      <c r="C241" s="110">
        <f>IFERROR('Sources &amp; Uses - Construction'!B13,0)</f>
        <v>33628383.127499998</v>
      </c>
      <c r="D241" s="136">
        <f t="shared" si="22"/>
        <v>-121944.75384613127</v>
      </c>
    </row>
    <row r="242" spans="1:4" ht="15" customHeight="1" x14ac:dyDescent="0.2">
      <c r="A242" s="39" t="s">
        <v>568</v>
      </c>
      <c r="B242" s="110">
        <f t="shared" si="21"/>
        <v>0</v>
      </c>
      <c r="C242" s="137" t="s">
        <v>569</v>
      </c>
      <c r="D242" s="138" t="s">
        <v>569</v>
      </c>
    </row>
    <row r="243" spans="1:4" ht="15" customHeight="1" x14ac:dyDescent="0.2">
      <c r="A243" s="135" t="s">
        <v>570</v>
      </c>
      <c r="B243" s="139">
        <f>B236+B237+B238+B239+B240+B241</f>
        <v>43443780.246153869</v>
      </c>
      <c r="C243" s="139">
        <f>IFERROR('Sources &amp; Uses - Construction'!B16,0)</f>
        <v>43565725</v>
      </c>
      <c r="D243" s="140">
        <f>B243-C243</f>
        <v>-121944.75384613127</v>
      </c>
    </row>
    <row r="244" spans="1:4" ht="15" customHeight="1" x14ac:dyDescent="0.2">
      <c r="A244" s="130" t="s">
        <v>547</v>
      </c>
      <c r="D244" s="130" t="str">
        <f>IF(ABS(D243)&lt;1,"✓ RECONCILED","✗ NOT RECONCILED")</f>
        <v>✗ NOT RECONCILED</v>
      </c>
    </row>
    <row r="245" spans="1:4" ht="15.75" customHeight="1" x14ac:dyDescent="0.2"/>
    <row r="246" spans="1:4" ht="15.75" customHeight="1" x14ac:dyDescent="0.2"/>
    <row r="247" spans="1:4" ht="15.75" customHeight="1" x14ac:dyDescent="0.2"/>
    <row r="248" spans="1:4" ht="15.75" customHeight="1" x14ac:dyDescent="0.2"/>
    <row r="249" spans="1:4" ht="15.75" customHeight="1" x14ac:dyDescent="0.2"/>
    <row r="250" spans="1:4" ht="15.75" customHeight="1" x14ac:dyDescent="0.2"/>
    <row r="251" spans="1:4" ht="15.75" customHeight="1" x14ac:dyDescent="0.2"/>
    <row r="252" spans="1:4" ht="15.75" customHeight="1" x14ac:dyDescent="0.2"/>
    <row r="253" spans="1:4" ht="15.75" customHeight="1" x14ac:dyDescent="0.2"/>
    <row r="254" spans="1:4" ht="15.75" customHeight="1" x14ac:dyDescent="0.2"/>
    <row r="255" spans="1:4" ht="15.75" customHeight="1" x14ac:dyDescent="0.2"/>
    <row r="256" spans="1: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3:D233"/>
    <mergeCell ref="A193:E193"/>
    <mergeCell ref="A194:E194"/>
    <mergeCell ref="A220:D220"/>
    <mergeCell ref="A221:D221"/>
    <mergeCell ref="A232:D2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zoomScaleNormal="100" zoomScalePageLayoutView="60" workbookViewId="0">
      <selection activeCell="B17" sqref="B17"/>
    </sheetView>
  </sheetViews>
  <sheetFormatPr baseColWidth="10" defaultColWidth="14.5" defaultRowHeight="15" customHeight="1" x14ac:dyDescent="0.2"/>
  <cols>
    <col min="1" max="1" width="45" customWidth="1"/>
    <col min="2" max="2" width="18" customWidth="1"/>
    <col min="3" max="3" width="35" customWidth="1"/>
    <col min="4" max="26" width="8.83203125" customWidth="1"/>
  </cols>
  <sheetData>
    <row r="1" spans="1:3" ht="18.75" customHeight="1" x14ac:dyDescent="0.25">
      <c r="A1" s="5" t="s">
        <v>571</v>
      </c>
    </row>
    <row r="2" spans="1:3" ht="15" customHeight="1" x14ac:dyDescent="0.2">
      <c r="A2" s="36" t="s">
        <v>572</v>
      </c>
    </row>
    <row r="4" spans="1:3" ht="15" customHeight="1" x14ac:dyDescent="0.2">
      <c r="A4" s="129" t="s">
        <v>573</v>
      </c>
      <c r="B4" s="129" t="s">
        <v>574</v>
      </c>
    </row>
    <row r="5" spans="1:3" ht="15" customHeight="1" x14ac:dyDescent="0.2">
      <c r="A5" s="36" t="s">
        <v>575</v>
      </c>
    </row>
    <row r="6" spans="1:3" ht="15" customHeight="1" x14ac:dyDescent="0.2">
      <c r="A6" s="141" t="s">
        <v>576</v>
      </c>
      <c r="B6" s="142">
        <f>'i_Cap Table'!C15</f>
        <v>15</v>
      </c>
      <c r="C6" s="143" t="s">
        <v>577</v>
      </c>
    </row>
    <row r="7" spans="1:3" ht="15" customHeight="1" x14ac:dyDescent="0.2">
      <c r="A7" s="144" t="s">
        <v>578</v>
      </c>
      <c r="B7" s="145">
        <f>'i_Cap Table'!E34</f>
        <v>2800015</v>
      </c>
      <c r="C7" s="143" t="s">
        <v>579</v>
      </c>
    </row>
    <row r="8" spans="1:3" ht="15" customHeight="1" x14ac:dyDescent="0.2">
      <c r="A8" s="146" t="s">
        <v>580</v>
      </c>
      <c r="B8" s="147">
        <f>'I_Preferred Equity'!C17</f>
        <v>0</v>
      </c>
      <c r="C8" s="143" t="s">
        <v>581</v>
      </c>
    </row>
    <row r="9" spans="1:3" ht="15" customHeight="1" x14ac:dyDescent="0.2">
      <c r="A9" s="148" t="s">
        <v>582</v>
      </c>
      <c r="B9" s="120">
        <f>'I_Mezzanine Debt'!C17</f>
        <v>0</v>
      </c>
      <c r="C9" s="143" t="s">
        <v>583</v>
      </c>
    </row>
    <row r="10" spans="1:3" ht="15" customHeight="1" x14ac:dyDescent="0.2">
      <c r="A10" s="118"/>
      <c r="B10" s="86"/>
      <c r="C10" s="149"/>
    </row>
    <row r="11" spans="1:3" ht="15" customHeight="1" x14ac:dyDescent="0.2">
      <c r="A11" s="150" t="s">
        <v>584</v>
      </c>
      <c r="B11" s="151">
        <f>B32-B13-SUM(B5:B9)</f>
        <v>7137311.8725000024</v>
      </c>
      <c r="C11" s="152" t="s">
        <v>585</v>
      </c>
    </row>
    <row r="13" spans="1:3" ht="15.75" customHeight="1" x14ac:dyDescent="0.2">
      <c r="A13" s="153" t="s">
        <v>586</v>
      </c>
      <c r="B13" s="154">
        <f>'Senior Construction Financing'!B9</f>
        <v>33628383.127499998</v>
      </c>
      <c r="C13" s="152" t="s">
        <v>587</v>
      </c>
    </row>
    <row r="14" spans="1:3" ht="15" customHeight="1" x14ac:dyDescent="0.2">
      <c r="A14" s="155"/>
      <c r="B14" s="110"/>
      <c r="C14" s="143"/>
    </row>
    <row r="16" spans="1:3" ht="15.75" customHeight="1" x14ac:dyDescent="0.2">
      <c r="A16" s="156" t="s">
        <v>570</v>
      </c>
      <c r="B16" s="157">
        <f>SUM(B6:B14)-B10</f>
        <v>43565725</v>
      </c>
    </row>
    <row r="19" spans="1:3" ht="15" customHeight="1" x14ac:dyDescent="0.2">
      <c r="A19" s="129" t="s">
        <v>588</v>
      </c>
      <c r="B19" s="129" t="s">
        <v>574</v>
      </c>
    </row>
    <row r="20" spans="1:3" ht="15" customHeight="1" x14ac:dyDescent="0.2">
      <c r="A20" s="155" t="s">
        <v>131</v>
      </c>
      <c r="B20" s="110">
        <f>SUMIF('I_Budget Input Data'!$B:$B,"1. LAND",'I_Budget Input Data'!$D:$D)</f>
        <v>1725168</v>
      </c>
    </row>
    <row r="21" spans="1:3" ht="15" customHeight="1" x14ac:dyDescent="0.2">
      <c r="A21" s="155" t="s">
        <v>136</v>
      </c>
      <c r="B21" s="110">
        <f>SUMIF('I_Budget Input Data'!$B:$B,"2. SITE SERVICING + LANDSCAPE",'I_Budget Input Data'!$D:$D)</f>
        <v>5168121</v>
      </c>
    </row>
    <row r="22" spans="1:3" ht="15" customHeight="1" x14ac:dyDescent="0.2">
      <c r="A22" s="155" t="s">
        <v>146</v>
      </c>
      <c r="B22" s="110">
        <f>SUMIF('I_Budget Input Data'!$B:$B,"3. HARD COSTS",'I_Budget Input Data'!$D:$D)</f>
        <v>25732155</v>
      </c>
    </row>
    <row r="23" spans="1:3" ht="15" customHeight="1" x14ac:dyDescent="0.2">
      <c r="A23" s="155" t="s">
        <v>243</v>
      </c>
      <c r="B23" s="110">
        <f>SUMIF('I_Budget Input Data'!$B:$B,"4. FF&amp;E",'I_Budget Input Data'!$D:$D)</f>
        <v>1792768</v>
      </c>
    </row>
    <row r="24" spans="1:3" ht="15" customHeight="1" x14ac:dyDescent="0.2">
      <c r="A24" s="155" t="s">
        <v>248</v>
      </c>
      <c r="B24" s="110">
        <f>SUMIF('I_Budget Input Data'!$B:$B,"5. PROFESSIONAL FEES",'I_Budget Input Data'!$D:$D)</f>
        <v>3283546</v>
      </c>
    </row>
    <row r="25" spans="1:3" ht="15" customHeight="1" x14ac:dyDescent="0.2">
      <c r="A25" s="155" t="s">
        <v>270</v>
      </c>
      <c r="B25" s="110">
        <f>SUMIF('I_Budget Input Data'!$B:$B,"6. FINANCE AND ADMINISTRATION",'I_Budget Input Data'!$D:$D)</f>
        <v>3276350</v>
      </c>
    </row>
    <row r="26" spans="1:3" ht="15" customHeight="1" x14ac:dyDescent="0.2">
      <c r="A26" s="155" t="s">
        <v>281</v>
      </c>
      <c r="B26" s="110">
        <f>SUMIF('I_Budget Input Data'!$B:$B,"7. TAX ASSESSMENT",'I_Budget Input Data'!$D:$D)</f>
        <v>2087617</v>
      </c>
    </row>
    <row r="27" spans="1:3" ht="15" customHeight="1" x14ac:dyDescent="0.2">
      <c r="A27" s="155" t="s">
        <v>284</v>
      </c>
      <c r="B27" s="110">
        <f>SUMIF('I_Budget Input Data'!$B:$B,"8. CONTINGENCY ALLOWANCE",'I_Budget Input Data'!$D:$D)</f>
        <v>500000</v>
      </c>
    </row>
    <row r="28" spans="1:3" ht="15" customHeight="1" x14ac:dyDescent="0.2">
      <c r="A28" s="155" t="s">
        <v>589</v>
      </c>
      <c r="B28" s="110">
        <f>IFERROR('Senior Construction Financing'!B56, 0)</f>
        <v>0</v>
      </c>
    </row>
    <row r="29" spans="1:3" ht="15" customHeight="1" x14ac:dyDescent="0.2">
      <c r="A29" s="155" t="s">
        <v>590</v>
      </c>
      <c r="B29" s="110">
        <v>0</v>
      </c>
      <c r="C29" s="143" t="s">
        <v>591</v>
      </c>
    </row>
    <row r="30" spans="1:3" ht="15.75" customHeight="1" x14ac:dyDescent="0.2">
      <c r="A30" s="155"/>
      <c r="B30" s="110"/>
    </row>
    <row r="31" spans="1:3" ht="15.75" customHeight="1" x14ac:dyDescent="0.2"/>
    <row r="32" spans="1:3" ht="15.75" customHeight="1" x14ac:dyDescent="0.2">
      <c r="A32" s="156" t="s">
        <v>592</v>
      </c>
      <c r="B32" s="157">
        <f>SUM(B19:B29)</f>
        <v>43565725</v>
      </c>
    </row>
    <row r="33" spans="1:2" ht="15.75" customHeight="1" x14ac:dyDescent="0.2"/>
    <row r="34" spans="1:2" ht="15.75" customHeight="1" x14ac:dyDescent="0.2"/>
    <row r="35" spans="1:2" ht="15" customHeight="1" x14ac:dyDescent="0.2">
      <c r="A35" s="132" t="s">
        <v>593</v>
      </c>
    </row>
    <row r="36" spans="1:2" ht="15" customHeight="1" x14ac:dyDescent="0.2">
      <c r="A36" s="155" t="s">
        <v>594</v>
      </c>
      <c r="B36" s="110">
        <f>B16</f>
        <v>43565725</v>
      </c>
    </row>
    <row r="37" spans="1:2" ht="15" customHeight="1" x14ac:dyDescent="0.2">
      <c r="A37" s="155" t="s">
        <v>595</v>
      </c>
      <c r="B37" s="110">
        <f>B32</f>
        <v>43565725</v>
      </c>
    </row>
    <row r="38" spans="1:2" ht="15" customHeight="1" x14ac:dyDescent="0.2">
      <c r="A38" s="130" t="s">
        <v>596</v>
      </c>
      <c r="B38" s="158">
        <f>B36-B37</f>
        <v>0</v>
      </c>
    </row>
    <row r="39" spans="1:2" ht="15" customHeight="1" x14ac:dyDescent="0.2">
      <c r="A39" s="130" t="s">
        <v>547</v>
      </c>
      <c r="B39" s="130" t="str">
        <f>IF(ABS(B38)&lt;1,"✓ BALANCED","✗ NOT BALANCED")</f>
        <v>✓ BALANCED</v>
      </c>
    </row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zoomScaleNormal="100" zoomScalePageLayoutView="60" workbookViewId="0">
      <selection activeCell="E20" sqref="E20"/>
    </sheetView>
  </sheetViews>
  <sheetFormatPr baseColWidth="10" defaultColWidth="14.5" defaultRowHeight="15" customHeight="1" x14ac:dyDescent="0.2"/>
  <cols>
    <col min="1" max="1" width="46.5" customWidth="1"/>
    <col min="2" max="2" width="11.1640625" customWidth="1"/>
    <col min="3" max="14" width="12" customWidth="1"/>
    <col min="15" max="26" width="8.83203125" customWidth="1"/>
  </cols>
  <sheetData>
    <row r="1" spans="1:14" ht="18.75" customHeight="1" x14ac:dyDescent="0.25">
      <c r="A1" s="5" t="s">
        <v>597</v>
      </c>
    </row>
    <row r="2" spans="1:14" ht="15" customHeight="1" x14ac:dyDescent="0.2">
      <c r="A2" s="36" t="s">
        <v>598</v>
      </c>
    </row>
    <row r="4" spans="1:14" ht="15" customHeight="1" x14ac:dyDescent="0.2">
      <c r="A4" s="23" t="s">
        <v>599</v>
      </c>
    </row>
    <row r="5" spans="1:14" ht="15" customHeight="1" x14ac:dyDescent="0.2">
      <c r="A5" s="14" t="s">
        <v>600</v>
      </c>
      <c r="B5" s="159">
        <f>'I_Inputs &amp; Assumptions'!B36</f>
        <v>0.77190000000000003</v>
      </c>
    </row>
    <row r="6" spans="1:14" ht="15" customHeight="1" x14ac:dyDescent="0.2">
      <c r="A6" s="14" t="s">
        <v>601</v>
      </c>
      <c r="B6" s="160">
        <f>'I_Inputs &amp; Assumptions'!B37</f>
        <v>4.9500000000000002E-2</v>
      </c>
    </row>
    <row r="7" spans="1:14" ht="15" customHeight="1" x14ac:dyDescent="0.2">
      <c r="A7" s="14" t="s">
        <v>602</v>
      </c>
      <c r="B7" s="160">
        <f>'I_Inputs &amp; Assumptions'!B38</f>
        <v>1E-3</v>
      </c>
    </row>
    <row r="8" spans="1:14" ht="15" customHeight="1" x14ac:dyDescent="0.2">
      <c r="A8" s="14" t="s">
        <v>603</v>
      </c>
      <c r="B8" s="161">
        <f>'Construction Budget &amp; Draws'!C190</f>
        <v>43565725</v>
      </c>
    </row>
    <row r="9" spans="1:14" ht="15" customHeight="1" x14ac:dyDescent="0.2">
      <c r="A9" s="14" t="s">
        <v>604</v>
      </c>
      <c r="B9" s="91">
        <f>B8*B5</f>
        <v>33628383.127499998</v>
      </c>
    </row>
    <row r="12" spans="1:14" ht="15" customHeight="1" x14ac:dyDescent="0.2">
      <c r="A12" s="23" t="s">
        <v>605</v>
      </c>
    </row>
    <row r="13" spans="1:14" ht="25.5" customHeight="1" x14ac:dyDescent="0.2">
      <c r="A13" s="93" t="s">
        <v>606</v>
      </c>
      <c r="B13" s="93" t="s">
        <v>607</v>
      </c>
      <c r="C13" s="93" t="s">
        <v>608</v>
      </c>
      <c r="D13" s="93" t="s">
        <v>609</v>
      </c>
      <c r="E13" s="93" t="s">
        <v>610</v>
      </c>
      <c r="F13" s="93" t="s">
        <v>611</v>
      </c>
      <c r="G13" s="93" t="s">
        <v>612</v>
      </c>
      <c r="H13" s="93" t="s">
        <v>613</v>
      </c>
      <c r="I13" s="93" t="s">
        <v>614</v>
      </c>
      <c r="J13" s="93" t="s">
        <v>44</v>
      </c>
      <c r="K13" s="93" t="s">
        <v>615</v>
      </c>
      <c r="L13" s="93" t="s">
        <v>616</v>
      </c>
      <c r="M13" s="93" t="s">
        <v>617</v>
      </c>
      <c r="N13" s="93" t="s">
        <v>618</v>
      </c>
    </row>
    <row r="14" spans="1:14" ht="15" customHeight="1" x14ac:dyDescent="0.2">
      <c r="A14" s="162">
        <v>1</v>
      </c>
      <c r="B14" s="163">
        <f>'Time Axis'!B4</f>
        <v>45747</v>
      </c>
      <c r="C14" s="162" t="str">
        <f>'Time Axis'!C4</f>
        <v>Construction</v>
      </c>
      <c r="D14" s="164">
        <v>0</v>
      </c>
      <c r="E14" s="164">
        <f>'Construction Budget &amp; Draws'!F$190</f>
        <v>4759939.0000000009</v>
      </c>
      <c r="F14" s="164">
        <f t="shared" ref="F14:F49" si="0">-E14*0.1</f>
        <v>-475993.90000000014</v>
      </c>
      <c r="G14" s="164">
        <f t="shared" ref="G14:G49" si="1">E14+F14</f>
        <v>4283945.1000000006</v>
      </c>
      <c r="H14" s="91">
        <f t="array" ref="H14:H49">TRANSPOSE('Construction Budget &amp; Draws'!F204:AO204)</f>
        <v>0</v>
      </c>
      <c r="I14" s="164">
        <f t="shared" ref="I14:I49" si="2">IF(C14="Construction",(D14)*$B$6/12,0)</f>
        <v>0</v>
      </c>
      <c r="J14" s="164">
        <f>$B$9*$B$7</f>
        <v>33628.383127499997</v>
      </c>
      <c r="K14" s="164"/>
      <c r="L14" s="164"/>
      <c r="M14" s="164"/>
      <c r="N14" s="164" t="e">
        <f>#REF!+M14-G14</f>
        <v>#REF!</v>
      </c>
    </row>
    <row r="15" spans="1:14" ht="15" customHeight="1" x14ac:dyDescent="0.2">
      <c r="A15" s="162">
        <v>2</v>
      </c>
      <c r="B15" s="163">
        <f>'Time Axis'!B5</f>
        <v>45777</v>
      </c>
      <c r="C15" s="162" t="str">
        <f>'Time Axis'!C5</f>
        <v>Construction</v>
      </c>
      <c r="D15" s="164">
        <f t="shared" ref="D15:D49" si="3">K14</f>
        <v>0</v>
      </c>
      <c r="E15" s="164">
        <f>'Construction Budget &amp; Draws'!G$190</f>
        <v>3034771.0000000023</v>
      </c>
      <c r="F15" s="164">
        <f t="shared" si="0"/>
        <v>-303477.10000000027</v>
      </c>
      <c r="G15" s="164">
        <f t="shared" si="1"/>
        <v>2731293.9000000022</v>
      </c>
      <c r="H15" s="164">
        <v>0</v>
      </c>
      <c r="I15" s="164">
        <f t="shared" si="2"/>
        <v>0</v>
      </c>
      <c r="J15" s="164">
        <v>0</v>
      </c>
      <c r="K15" s="164"/>
      <c r="L15" s="164"/>
      <c r="M15" s="164"/>
      <c r="N15" s="164">
        <f t="shared" ref="N15:N49" si="4">H15+M15-G15</f>
        <v>-2731293.9000000022</v>
      </c>
    </row>
    <row r="16" spans="1:14" ht="15" customHeight="1" x14ac:dyDescent="0.2">
      <c r="A16" s="162">
        <v>3</v>
      </c>
      <c r="B16" s="163">
        <f>'Time Axis'!B6</f>
        <v>45808</v>
      </c>
      <c r="C16" s="162" t="str">
        <f>'Time Axis'!C6</f>
        <v>Construction</v>
      </c>
      <c r="D16" s="164">
        <f t="shared" si="3"/>
        <v>0</v>
      </c>
      <c r="E16" s="164">
        <f>'Construction Budget &amp; Draws'!H$190</f>
        <v>3034771.0000000023</v>
      </c>
      <c r="F16" s="164">
        <f t="shared" si="0"/>
        <v>-303477.10000000027</v>
      </c>
      <c r="G16" s="164">
        <f t="shared" si="1"/>
        <v>2731293.9000000022</v>
      </c>
      <c r="H16" s="164">
        <v>992139.1275000032</v>
      </c>
      <c r="I16" s="164">
        <f t="shared" si="2"/>
        <v>0</v>
      </c>
      <c r="J16" s="164">
        <v>0</v>
      </c>
      <c r="K16" s="164"/>
      <c r="L16" s="164"/>
      <c r="M16" s="164"/>
      <c r="N16" s="164">
        <f t="shared" si="4"/>
        <v>-1739154.772499999</v>
      </c>
    </row>
    <row r="17" spans="1:14" ht="15" customHeight="1" x14ac:dyDescent="0.2">
      <c r="A17" s="162">
        <v>4</v>
      </c>
      <c r="B17" s="163">
        <f>'Time Axis'!B7</f>
        <v>45838</v>
      </c>
      <c r="C17" s="162" t="str">
        <f>'Time Axis'!C7</f>
        <v>Construction</v>
      </c>
      <c r="D17" s="164">
        <f t="shared" si="3"/>
        <v>0</v>
      </c>
      <c r="E17" s="164">
        <f>'Construction Budget &amp; Draws'!I$190</f>
        <v>3279863.2153846174</v>
      </c>
      <c r="F17" s="164">
        <f t="shared" si="0"/>
        <v>-327986.32153846178</v>
      </c>
      <c r="G17" s="164">
        <f t="shared" si="1"/>
        <v>2951876.8938461556</v>
      </c>
      <c r="H17" s="164">
        <v>3279863.2153846174</v>
      </c>
      <c r="I17" s="164">
        <f t="shared" si="2"/>
        <v>0</v>
      </c>
      <c r="J17" s="164">
        <v>0</v>
      </c>
      <c r="K17" s="164"/>
      <c r="L17" s="164"/>
      <c r="M17" s="164"/>
      <c r="N17" s="164">
        <f t="shared" si="4"/>
        <v>327986.32153846184</v>
      </c>
    </row>
    <row r="18" spans="1:14" ht="15" customHeight="1" x14ac:dyDescent="0.2">
      <c r="A18" s="162">
        <v>5</v>
      </c>
      <c r="B18" s="163">
        <f>'Time Axis'!B8</f>
        <v>45869</v>
      </c>
      <c r="C18" s="162" t="str">
        <f>'Time Axis'!C8</f>
        <v>Construction</v>
      </c>
      <c r="D18" s="164">
        <f t="shared" si="3"/>
        <v>0</v>
      </c>
      <c r="E18" s="164">
        <f>'Construction Budget &amp; Draws'!J$190</f>
        <v>3279863.2153846174</v>
      </c>
      <c r="F18" s="164">
        <f t="shared" si="0"/>
        <v>-327986.32153846178</v>
      </c>
      <c r="G18" s="164">
        <f t="shared" si="1"/>
        <v>2951876.8938461556</v>
      </c>
      <c r="H18" s="164">
        <v>3279863.2153846174</v>
      </c>
      <c r="I18" s="164">
        <f t="shared" si="2"/>
        <v>0</v>
      </c>
      <c r="J18" s="164">
        <v>0</v>
      </c>
      <c r="K18" s="164"/>
      <c r="L18" s="164"/>
      <c r="M18" s="164"/>
      <c r="N18" s="164">
        <f t="shared" si="4"/>
        <v>327986.32153846184</v>
      </c>
    </row>
    <row r="19" spans="1:14" ht="15" customHeight="1" x14ac:dyDescent="0.2">
      <c r="A19" s="162">
        <v>6</v>
      </c>
      <c r="B19" s="163">
        <f>'Time Axis'!B9</f>
        <v>45900</v>
      </c>
      <c r="C19" s="162" t="str">
        <f>'Time Axis'!C9</f>
        <v>Construction</v>
      </c>
      <c r="D19" s="164">
        <f t="shared" si="3"/>
        <v>0</v>
      </c>
      <c r="E19" s="164">
        <f>'Construction Budget &amp; Draws'!K$190</f>
        <v>3279863.2153846174</v>
      </c>
      <c r="F19" s="164">
        <f t="shared" si="0"/>
        <v>-327986.32153846178</v>
      </c>
      <c r="G19" s="164">
        <f t="shared" si="1"/>
        <v>2951876.8938461556</v>
      </c>
      <c r="H19" s="164">
        <v>3279863.2153846174</v>
      </c>
      <c r="I19" s="164">
        <f t="shared" si="2"/>
        <v>0</v>
      </c>
      <c r="J19" s="164">
        <v>0</v>
      </c>
      <c r="K19" s="164"/>
      <c r="L19" s="164"/>
      <c r="M19" s="164"/>
      <c r="N19" s="164">
        <f t="shared" si="4"/>
        <v>327986.32153846184</v>
      </c>
    </row>
    <row r="20" spans="1:14" ht="15" customHeight="1" x14ac:dyDescent="0.2">
      <c r="A20" s="162">
        <v>7</v>
      </c>
      <c r="B20" s="163">
        <f>'Time Axis'!B10</f>
        <v>45930</v>
      </c>
      <c r="C20" s="162" t="str">
        <f>'Time Axis'!C10</f>
        <v>Construction</v>
      </c>
      <c r="D20" s="164">
        <f t="shared" si="3"/>
        <v>0</v>
      </c>
      <c r="E20" s="164">
        <f>'Construction Budget &amp; Draws'!L$190</f>
        <v>3081065.9230769239</v>
      </c>
      <c r="F20" s="164">
        <f t="shared" si="0"/>
        <v>-308106.59230769239</v>
      </c>
      <c r="G20" s="164">
        <f t="shared" si="1"/>
        <v>2772959.3307692315</v>
      </c>
      <c r="H20" s="164">
        <v>3081065.9230769239</v>
      </c>
      <c r="I20" s="164">
        <f t="shared" si="2"/>
        <v>0</v>
      </c>
      <c r="J20" s="164">
        <v>0</v>
      </c>
      <c r="K20" s="164"/>
      <c r="L20" s="164"/>
      <c r="M20" s="164"/>
      <c r="N20" s="164">
        <f t="shared" si="4"/>
        <v>308106.59230769239</v>
      </c>
    </row>
    <row r="21" spans="1:14" ht="15" customHeight="1" x14ac:dyDescent="0.2">
      <c r="A21" s="162">
        <v>8</v>
      </c>
      <c r="B21" s="163">
        <f>'Time Axis'!B11</f>
        <v>45961</v>
      </c>
      <c r="C21" s="162" t="str">
        <f>'Time Axis'!C11</f>
        <v>Construction</v>
      </c>
      <c r="D21" s="164">
        <f t="shared" si="3"/>
        <v>0</v>
      </c>
      <c r="E21" s="164">
        <f>'Construction Budget &amp; Draws'!M$190</f>
        <v>3081065.9230769239</v>
      </c>
      <c r="F21" s="164">
        <f t="shared" si="0"/>
        <v>-308106.59230769239</v>
      </c>
      <c r="G21" s="164">
        <f t="shared" si="1"/>
        <v>2772959.3307692315</v>
      </c>
      <c r="H21" s="164">
        <v>3081065.9230769239</v>
      </c>
      <c r="I21" s="164">
        <f t="shared" si="2"/>
        <v>0</v>
      </c>
      <c r="J21" s="164">
        <v>0</v>
      </c>
      <c r="K21" s="164"/>
      <c r="L21" s="164"/>
      <c r="M21" s="164"/>
      <c r="N21" s="164">
        <f t="shared" si="4"/>
        <v>308106.59230769239</v>
      </c>
    </row>
    <row r="22" spans="1:14" ht="15" customHeight="1" x14ac:dyDescent="0.2">
      <c r="A22" s="162">
        <v>9</v>
      </c>
      <c r="B22" s="163">
        <f>'Time Axis'!B12</f>
        <v>45991</v>
      </c>
      <c r="C22" s="162" t="str">
        <f>'Time Axis'!C12</f>
        <v>Construction</v>
      </c>
      <c r="D22" s="164">
        <f t="shared" si="3"/>
        <v>0</v>
      </c>
      <c r="E22" s="164">
        <f>'Construction Budget &amp; Draws'!N$190</f>
        <v>3081065.9230769239</v>
      </c>
      <c r="F22" s="164">
        <f t="shared" si="0"/>
        <v>-308106.59230769239</v>
      </c>
      <c r="G22" s="164">
        <f t="shared" si="1"/>
        <v>2772959.3307692315</v>
      </c>
      <c r="H22" s="164">
        <v>3081065.9230769239</v>
      </c>
      <c r="I22" s="164">
        <f t="shared" si="2"/>
        <v>0</v>
      </c>
      <c r="J22" s="164">
        <v>0</v>
      </c>
      <c r="K22" s="164"/>
      <c r="L22" s="164"/>
      <c r="M22" s="164"/>
      <c r="N22" s="164">
        <f t="shared" si="4"/>
        <v>308106.59230769239</v>
      </c>
    </row>
    <row r="23" spans="1:14" ht="15" customHeight="1" x14ac:dyDescent="0.2">
      <c r="A23" s="162">
        <v>10</v>
      </c>
      <c r="B23" s="163">
        <f>'Time Axis'!B13</f>
        <v>46022</v>
      </c>
      <c r="C23" s="162" t="str">
        <f>'Time Axis'!C13</f>
        <v>Construction</v>
      </c>
      <c r="D23" s="164">
        <f t="shared" si="3"/>
        <v>0</v>
      </c>
      <c r="E23" s="164">
        <f>'Construction Budget &amp; Draws'!O$190</f>
        <v>2835973.7076923093</v>
      </c>
      <c r="F23" s="164">
        <f t="shared" si="0"/>
        <v>-283597.37076923094</v>
      </c>
      <c r="G23" s="164">
        <f t="shared" si="1"/>
        <v>2552376.3369230782</v>
      </c>
      <c r="H23" s="164">
        <v>2835973.7076923093</v>
      </c>
      <c r="I23" s="164">
        <f t="shared" si="2"/>
        <v>0</v>
      </c>
      <c r="J23" s="164">
        <v>0</v>
      </c>
      <c r="K23" s="164"/>
      <c r="L23" s="164"/>
      <c r="M23" s="164"/>
      <c r="N23" s="164">
        <f t="shared" si="4"/>
        <v>283597.37076923111</v>
      </c>
    </row>
    <row r="24" spans="1:14" ht="15" customHeight="1" x14ac:dyDescent="0.2">
      <c r="A24" s="162">
        <v>11</v>
      </c>
      <c r="B24" s="163">
        <f>'Time Axis'!B14</f>
        <v>46053</v>
      </c>
      <c r="C24" s="162" t="str">
        <f>'Time Axis'!C14</f>
        <v>Construction</v>
      </c>
      <c r="D24" s="164">
        <f t="shared" si="3"/>
        <v>0</v>
      </c>
      <c r="E24" s="164">
        <f>'Construction Budget &amp; Draws'!P$190</f>
        <v>2835973.7076923093</v>
      </c>
      <c r="F24" s="164">
        <f t="shared" si="0"/>
        <v>-283597.37076923094</v>
      </c>
      <c r="G24" s="164">
        <f t="shared" si="1"/>
        <v>2552376.3369230782</v>
      </c>
      <c r="H24" s="164">
        <v>2835973.7076923093</v>
      </c>
      <c r="I24" s="164">
        <f t="shared" si="2"/>
        <v>0</v>
      </c>
      <c r="J24" s="164">
        <v>0</v>
      </c>
      <c r="K24" s="164"/>
      <c r="L24" s="164"/>
      <c r="M24" s="164"/>
      <c r="N24" s="164">
        <f t="shared" si="4"/>
        <v>283597.37076923111</v>
      </c>
    </row>
    <row r="25" spans="1:14" ht="15" customHeight="1" x14ac:dyDescent="0.2">
      <c r="A25" s="162">
        <v>12</v>
      </c>
      <c r="B25" s="163">
        <f>'Time Axis'!B15</f>
        <v>46081</v>
      </c>
      <c r="C25" s="162" t="str">
        <f>'Time Axis'!C15</f>
        <v>Construction</v>
      </c>
      <c r="D25" s="164">
        <f t="shared" si="3"/>
        <v>0</v>
      </c>
      <c r="E25" s="164">
        <f>'Construction Budget &amp; Draws'!Q$190</f>
        <v>2835973.7076923093</v>
      </c>
      <c r="F25" s="164">
        <f t="shared" si="0"/>
        <v>-283597.37076923094</v>
      </c>
      <c r="G25" s="164">
        <f t="shared" si="1"/>
        <v>2552376.3369230782</v>
      </c>
      <c r="H25" s="164">
        <v>2835973.7076923093</v>
      </c>
      <c r="I25" s="164">
        <f t="shared" si="2"/>
        <v>0</v>
      </c>
      <c r="J25" s="164">
        <v>0</v>
      </c>
      <c r="K25" s="164"/>
      <c r="L25" s="164"/>
      <c r="M25" s="164"/>
      <c r="N25" s="164">
        <f t="shared" si="4"/>
        <v>283597.37076923111</v>
      </c>
    </row>
    <row r="26" spans="1:14" ht="15" customHeight="1" x14ac:dyDescent="0.2">
      <c r="A26" s="162">
        <v>13</v>
      </c>
      <c r="B26" s="163">
        <f>'Time Axis'!B16</f>
        <v>46112</v>
      </c>
      <c r="C26" s="162" t="str">
        <f>'Time Axis'!C16</f>
        <v>Construction</v>
      </c>
      <c r="D26" s="164">
        <f t="shared" si="3"/>
        <v>0</v>
      </c>
      <c r="E26" s="164">
        <f>'Construction Budget &amp; Draws'!R$190</f>
        <v>4923590.7076923084</v>
      </c>
      <c r="F26" s="164">
        <f t="shared" si="0"/>
        <v>-492359.07076923084</v>
      </c>
      <c r="G26" s="164">
        <f t="shared" si="1"/>
        <v>4431231.6369230775</v>
      </c>
      <c r="H26" s="164">
        <v>4923590.7076923084</v>
      </c>
      <c r="I26" s="164">
        <f t="shared" si="2"/>
        <v>0</v>
      </c>
      <c r="J26" s="164">
        <v>0</v>
      </c>
      <c r="K26" s="164"/>
      <c r="L26" s="164"/>
      <c r="M26" s="164"/>
      <c r="N26" s="164">
        <f t="shared" si="4"/>
        <v>492359.07076923084</v>
      </c>
    </row>
    <row r="27" spans="1:14" ht="15" customHeight="1" x14ac:dyDescent="0.2">
      <c r="A27" s="162">
        <v>14</v>
      </c>
      <c r="B27" s="163">
        <f>'Time Axis'!B17</f>
        <v>46142</v>
      </c>
      <c r="C27" s="162" t="str">
        <f>'Time Axis'!C17</f>
        <v>Lease-Up</v>
      </c>
      <c r="D27" s="164">
        <f t="shared" si="3"/>
        <v>0</v>
      </c>
      <c r="E27" s="164">
        <f>'Construction Budget &amp; Draws'!S$190</f>
        <v>0</v>
      </c>
      <c r="F27" s="164">
        <f t="shared" si="0"/>
        <v>0</v>
      </c>
      <c r="G27" s="164">
        <f t="shared" si="1"/>
        <v>0</v>
      </c>
      <c r="H27" s="164">
        <v>0</v>
      </c>
      <c r="I27" s="164">
        <f t="shared" si="2"/>
        <v>0</v>
      </c>
      <c r="J27" s="164">
        <v>0</v>
      </c>
      <c r="K27" s="164"/>
      <c r="L27" s="164"/>
      <c r="M27" s="164"/>
      <c r="N27" s="164">
        <f t="shared" si="4"/>
        <v>0</v>
      </c>
    </row>
    <row r="28" spans="1:14" ht="15" customHeight="1" x14ac:dyDescent="0.2">
      <c r="A28" s="162">
        <v>15</v>
      </c>
      <c r="B28" s="163">
        <f>'Time Axis'!B18</f>
        <v>46173</v>
      </c>
      <c r="C28" s="162" t="str">
        <f>'Time Axis'!C18</f>
        <v>Stabilized</v>
      </c>
      <c r="D28" s="164">
        <f t="shared" si="3"/>
        <v>0</v>
      </c>
      <c r="E28" s="164">
        <f>'Construction Budget &amp; Draws'!T$190</f>
        <v>0</v>
      </c>
      <c r="F28" s="164">
        <f t="shared" si="0"/>
        <v>0</v>
      </c>
      <c r="G28" s="164">
        <f t="shared" si="1"/>
        <v>0</v>
      </c>
      <c r="H28" s="164">
        <v>0</v>
      </c>
      <c r="I28" s="164">
        <f t="shared" si="2"/>
        <v>0</v>
      </c>
      <c r="J28" s="164">
        <v>0</v>
      </c>
      <c r="K28" s="164"/>
      <c r="L28" s="164"/>
      <c r="M28" s="164"/>
      <c r="N28" s="164">
        <f t="shared" si="4"/>
        <v>0</v>
      </c>
    </row>
    <row r="29" spans="1:14" ht="15" customHeight="1" x14ac:dyDescent="0.2">
      <c r="A29" s="162">
        <v>16</v>
      </c>
      <c r="B29" s="163">
        <f>'Time Axis'!B19</f>
        <v>46203</v>
      </c>
      <c r="C29" s="162" t="str">
        <f>'Time Axis'!C19</f>
        <v>Stabilized</v>
      </c>
      <c r="D29" s="164">
        <f t="shared" si="3"/>
        <v>0</v>
      </c>
      <c r="E29" s="164">
        <f>'Construction Budget &amp; Draws'!U$190</f>
        <v>0</v>
      </c>
      <c r="F29" s="164">
        <f t="shared" si="0"/>
        <v>0</v>
      </c>
      <c r="G29" s="164">
        <f t="shared" si="1"/>
        <v>0</v>
      </c>
      <c r="H29" s="164">
        <v>0</v>
      </c>
      <c r="I29" s="164">
        <f t="shared" si="2"/>
        <v>0</v>
      </c>
      <c r="J29" s="164">
        <v>0</v>
      </c>
      <c r="K29" s="164"/>
      <c r="L29" s="164"/>
      <c r="M29" s="164"/>
      <c r="N29" s="164">
        <f t="shared" si="4"/>
        <v>0</v>
      </c>
    </row>
    <row r="30" spans="1:14" ht="15" customHeight="1" x14ac:dyDescent="0.2">
      <c r="A30" s="162">
        <v>17</v>
      </c>
      <c r="B30" s="163">
        <f>'Time Axis'!B20</f>
        <v>46234</v>
      </c>
      <c r="C30" s="162" t="str">
        <f>'Time Axis'!C20</f>
        <v>Stabilized</v>
      </c>
      <c r="D30" s="164">
        <f t="shared" si="3"/>
        <v>0</v>
      </c>
      <c r="E30" s="164">
        <f>'Construction Budget &amp; Draws'!V$190</f>
        <v>0</v>
      </c>
      <c r="F30" s="164">
        <f t="shared" si="0"/>
        <v>0</v>
      </c>
      <c r="G30" s="164">
        <f t="shared" si="1"/>
        <v>0</v>
      </c>
      <c r="H30" s="164">
        <v>0</v>
      </c>
      <c r="I30" s="164">
        <f t="shared" si="2"/>
        <v>0</v>
      </c>
      <c r="J30" s="164">
        <v>0</v>
      </c>
      <c r="K30" s="164"/>
      <c r="L30" s="164"/>
      <c r="M30" s="164"/>
      <c r="N30" s="164">
        <f t="shared" si="4"/>
        <v>0</v>
      </c>
    </row>
    <row r="31" spans="1:14" ht="15" customHeight="1" x14ac:dyDescent="0.2">
      <c r="A31" s="162">
        <v>18</v>
      </c>
      <c r="B31" s="163">
        <f>'Time Axis'!B21</f>
        <v>46265</v>
      </c>
      <c r="C31" s="162" t="str">
        <f>'Time Axis'!C21</f>
        <v>Stabilized</v>
      </c>
      <c r="D31" s="164">
        <f t="shared" si="3"/>
        <v>0</v>
      </c>
      <c r="E31" s="164">
        <f>'Construction Budget &amp; Draws'!W$190</f>
        <v>0</v>
      </c>
      <c r="F31" s="164">
        <f t="shared" si="0"/>
        <v>0</v>
      </c>
      <c r="G31" s="164">
        <f t="shared" si="1"/>
        <v>0</v>
      </c>
      <c r="H31" s="164">
        <v>0</v>
      </c>
      <c r="I31" s="164">
        <f t="shared" si="2"/>
        <v>0</v>
      </c>
      <c r="J31" s="164">
        <v>0</v>
      </c>
      <c r="K31" s="164"/>
      <c r="L31" s="164"/>
      <c r="M31" s="164"/>
      <c r="N31" s="164">
        <f t="shared" si="4"/>
        <v>0</v>
      </c>
    </row>
    <row r="32" spans="1:14" ht="15" customHeight="1" x14ac:dyDescent="0.2">
      <c r="A32" s="162">
        <v>19</v>
      </c>
      <c r="B32" s="163">
        <f>'Time Axis'!B22</f>
        <v>46295</v>
      </c>
      <c r="C32" s="162" t="str">
        <f>'Time Axis'!C22</f>
        <v>Stabilized</v>
      </c>
      <c r="D32" s="164">
        <f t="shared" si="3"/>
        <v>0</v>
      </c>
      <c r="E32" s="164">
        <f>'Construction Budget &amp; Draws'!X$190</f>
        <v>0</v>
      </c>
      <c r="F32" s="164">
        <f t="shared" si="0"/>
        <v>0</v>
      </c>
      <c r="G32" s="164">
        <f t="shared" si="1"/>
        <v>0</v>
      </c>
      <c r="H32" s="164">
        <v>0</v>
      </c>
      <c r="I32" s="164">
        <f t="shared" si="2"/>
        <v>0</v>
      </c>
      <c r="J32" s="164">
        <v>0</v>
      </c>
      <c r="K32" s="164"/>
      <c r="L32" s="164"/>
      <c r="M32" s="164"/>
      <c r="N32" s="164">
        <f t="shared" si="4"/>
        <v>0</v>
      </c>
    </row>
    <row r="33" spans="1:14" ht="15" customHeight="1" x14ac:dyDescent="0.2">
      <c r="A33" s="162">
        <v>20</v>
      </c>
      <c r="B33" s="163">
        <f>'Time Axis'!B23</f>
        <v>46326</v>
      </c>
      <c r="C33" s="162" t="str">
        <f>'Time Axis'!C23</f>
        <v>Stabilized</v>
      </c>
      <c r="D33" s="164">
        <f t="shared" si="3"/>
        <v>0</v>
      </c>
      <c r="E33" s="164">
        <f>'Construction Budget &amp; Draws'!Y$190</f>
        <v>0</v>
      </c>
      <c r="F33" s="164">
        <f t="shared" si="0"/>
        <v>0</v>
      </c>
      <c r="G33" s="164">
        <f t="shared" si="1"/>
        <v>0</v>
      </c>
      <c r="H33" s="164">
        <v>0</v>
      </c>
      <c r="I33" s="164">
        <f t="shared" si="2"/>
        <v>0</v>
      </c>
      <c r="J33" s="164">
        <v>0</v>
      </c>
      <c r="K33" s="164"/>
      <c r="L33" s="164"/>
      <c r="M33" s="164"/>
      <c r="N33" s="164">
        <f t="shared" si="4"/>
        <v>0</v>
      </c>
    </row>
    <row r="34" spans="1:14" ht="15" customHeight="1" x14ac:dyDescent="0.2">
      <c r="A34" s="162">
        <v>21</v>
      </c>
      <c r="B34" s="163">
        <f>'Time Axis'!B24</f>
        <v>46356</v>
      </c>
      <c r="C34" s="162" t="str">
        <f>'Time Axis'!C24</f>
        <v>Stabilized</v>
      </c>
      <c r="D34" s="164">
        <f t="shared" si="3"/>
        <v>0</v>
      </c>
      <c r="E34" s="164">
        <f>'Construction Budget &amp; Draws'!Z$190</f>
        <v>0</v>
      </c>
      <c r="F34" s="164">
        <f t="shared" si="0"/>
        <v>0</v>
      </c>
      <c r="G34" s="164">
        <f t="shared" si="1"/>
        <v>0</v>
      </c>
      <c r="H34" s="164">
        <v>0</v>
      </c>
      <c r="I34" s="164">
        <f t="shared" si="2"/>
        <v>0</v>
      </c>
      <c r="J34" s="164">
        <v>0</v>
      </c>
      <c r="K34" s="164"/>
      <c r="L34" s="164"/>
      <c r="M34" s="164"/>
      <c r="N34" s="164">
        <f t="shared" si="4"/>
        <v>0</v>
      </c>
    </row>
    <row r="35" spans="1:14" ht="15" customHeight="1" x14ac:dyDescent="0.2">
      <c r="A35" s="162">
        <v>22</v>
      </c>
      <c r="B35" s="163">
        <f>'Time Axis'!B25</f>
        <v>46387</v>
      </c>
      <c r="C35" s="162" t="str">
        <f>'Time Axis'!C25</f>
        <v>Stabilized</v>
      </c>
      <c r="D35" s="164">
        <f t="shared" si="3"/>
        <v>0</v>
      </c>
      <c r="E35" s="164">
        <f>'Construction Budget &amp; Draws'!AA$190</f>
        <v>0</v>
      </c>
      <c r="F35" s="164">
        <f t="shared" si="0"/>
        <v>0</v>
      </c>
      <c r="G35" s="164">
        <f t="shared" si="1"/>
        <v>0</v>
      </c>
      <c r="H35" s="164">
        <v>0</v>
      </c>
      <c r="I35" s="164">
        <f t="shared" si="2"/>
        <v>0</v>
      </c>
      <c r="J35" s="164">
        <v>0</v>
      </c>
      <c r="K35" s="164"/>
      <c r="L35" s="164"/>
      <c r="M35" s="164"/>
      <c r="N35" s="164">
        <f t="shared" si="4"/>
        <v>0</v>
      </c>
    </row>
    <row r="36" spans="1:14" ht="15" customHeight="1" x14ac:dyDescent="0.2">
      <c r="A36" s="162">
        <v>23</v>
      </c>
      <c r="B36" s="163">
        <f>'Time Axis'!B26</f>
        <v>46418</v>
      </c>
      <c r="C36" s="162" t="str">
        <f>'Time Axis'!C26</f>
        <v>Stabilized</v>
      </c>
      <c r="D36" s="164">
        <f t="shared" si="3"/>
        <v>0</v>
      </c>
      <c r="E36" s="164">
        <f>'Construction Budget &amp; Draws'!AB$190</f>
        <v>0</v>
      </c>
      <c r="F36" s="164">
        <f t="shared" si="0"/>
        <v>0</v>
      </c>
      <c r="G36" s="164">
        <f t="shared" si="1"/>
        <v>0</v>
      </c>
      <c r="H36" s="164">
        <v>0</v>
      </c>
      <c r="I36" s="164">
        <f t="shared" si="2"/>
        <v>0</v>
      </c>
      <c r="J36" s="164">
        <v>0</v>
      </c>
      <c r="K36" s="164"/>
      <c r="L36" s="164"/>
      <c r="M36" s="164"/>
      <c r="N36" s="164">
        <f t="shared" si="4"/>
        <v>0</v>
      </c>
    </row>
    <row r="37" spans="1:14" ht="15" customHeight="1" x14ac:dyDescent="0.2">
      <c r="A37" s="162">
        <v>24</v>
      </c>
      <c r="B37" s="163">
        <f>'Time Axis'!B27</f>
        <v>46446</v>
      </c>
      <c r="C37" s="162" t="str">
        <f>'Time Axis'!C27</f>
        <v>Stabilized</v>
      </c>
      <c r="D37" s="164">
        <f t="shared" si="3"/>
        <v>0</v>
      </c>
      <c r="E37" s="164">
        <f>'Construction Budget &amp; Draws'!AC$190</f>
        <v>0</v>
      </c>
      <c r="F37" s="164">
        <f t="shared" si="0"/>
        <v>0</v>
      </c>
      <c r="G37" s="164">
        <f t="shared" si="1"/>
        <v>0</v>
      </c>
      <c r="H37" s="164">
        <v>0</v>
      </c>
      <c r="I37" s="164">
        <f t="shared" si="2"/>
        <v>0</v>
      </c>
      <c r="J37" s="164">
        <v>0</v>
      </c>
      <c r="K37" s="164"/>
      <c r="L37" s="164"/>
      <c r="M37" s="164"/>
      <c r="N37" s="164">
        <f t="shared" si="4"/>
        <v>0</v>
      </c>
    </row>
    <row r="38" spans="1:14" ht="15" customHeight="1" x14ac:dyDescent="0.2">
      <c r="A38" s="162">
        <v>25</v>
      </c>
      <c r="B38" s="163">
        <f>'Time Axis'!B28</f>
        <v>46477</v>
      </c>
      <c r="C38" s="162" t="str">
        <f>'Time Axis'!C28</f>
        <v>Stabilized</v>
      </c>
      <c r="D38" s="164">
        <f t="shared" si="3"/>
        <v>0</v>
      </c>
      <c r="E38" s="164">
        <f>'Construction Budget &amp; Draws'!AD$190</f>
        <v>0</v>
      </c>
      <c r="F38" s="164">
        <f t="shared" si="0"/>
        <v>0</v>
      </c>
      <c r="G38" s="164">
        <f t="shared" si="1"/>
        <v>0</v>
      </c>
      <c r="H38" s="164">
        <v>0</v>
      </c>
      <c r="I38" s="164">
        <f t="shared" si="2"/>
        <v>0</v>
      </c>
      <c r="J38" s="164">
        <v>0</v>
      </c>
      <c r="K38" s="164"/>
      <c r="L38" s="164"/>
      <c r="M38" s="164"/>
      <c r="N38" s="164">
        <f t="shared" si="4"/>
        <v>0</v>
      </c>
    </row>
    <row r="39" spans="1:14" ht="15" customHeight="1" x14ac:dyDescent="0.2">
      <c r="A39" s="162">
        <v>26</v>
      </c>
      <c r="B39" s="163">
        <f>'Time Axis'!B29</f>
        <v>46507</v>
      </c>
      <c r="C39" s="162" t="str">
        <f>'Time Axis'!C29</f>
        <v>Stabilized</v>
      </c>
      <c r="D39" s="164">
        <f t="shared" si="3"/>
        <v>0</v>
      </c>
      <c r="E39" s="164">
        <f>'Construction Budget &amp; Draws'!AE$190</f>
        <v>0</v>
      </c>
      <c r="F39" s="164">
        <f t="shared" si="0"/>
        <v>0</v>
      </c>
      <c r="G39" s="164">
        <f t="shared" si="1"/>
        <v>0</v>
      </c>
      <c r="H39" s="164">
        <v>0</v>
      </c>
      <c r="I39" s="164">
        <f t="shared" si="2"/>
        <v>0</v>
      </c>
      <c r="J39" s="164">
        <v>0</v>
      </c>
      <c r="K39" s="164"/>
      <c r="L39" s="164"/>
      <c r="M39" s="164"/>
      <c r="N39" s="164">
        <f t="shared" si="4"/>
        <v>0</v>
      </c>
    </row>
    <row r="40" spans="1:14" ht="15" customHeight="1" x14ac:dyDescent="0.2">
      <c r="A40" s="162">
        <v>27</v>
      </c>
      <c r="B40" s="163">
        <f>'Time Axis'!B30</f>
        <v>46538</v>
      </c>
      <c r="C40" s="162" t="str">
        <f>'Time Axis'!C30</f>
        <v>Stabilized</v>
      </c>
      <c r="D40" s="164">
        <f t="shared" si="3"/>
        <v>0</v>
      </c>
      <c r="E40" s="164">
        <f>'Construction Budget &amp; Draws'!AF$190</f>
        <v>0</v>
      </c>
      <c r="F40" s="164">
        <f t="shared" si="0"/>
        <v>0</v>
      </c>
      <c r="G40" s="164">
        <f t="shared" si="1"/>
        <v>0</v>
      </c>
      <c r="H40" s="164">
        <v>0</v>
      </c>
      <c r="I40" s="164">
        <f t="shared" si="2"/>
        <v>0</v>
      </c>
      <c r="J40" s="164">
        <v>0</v>
      </c>
      <c r="K40" s="164"/>
      <c r="L40" s="164"/>
      <c r="M40" s="164"/>
      <c r="N40" s="164">
        <f t="shared" si="4"/>
        <v>0</v>
      </c>
    </row>
    <row r="41" spans="1:14" ht="15" customHeight="1" x14ac:dyDescent="0.2">
      <c r="A41" s="162">
        <v>28</v>
      </c>
      <c r="B41" s="163">
        <f>'Time Axis'!B31</f>
        <v>46568</v>
      </c>
      <c r="C41" s="162" t="str">
        <f>'Time Axis'!C31</f>
        <v>Stabilized</v>
      </c>
      <c r="D41" s="164">
        <f t="shared" si="3"/>
        <v>0</v>
      </c>
      <c r="E41" s="164">
        <f>'Construction Budget &amp; Draws'!AG$190</f>
        <v>0</v>
      </c>
      <c r="F41" s="164">
        <f t="shared" si="0"/>
        <v>0</v>
      </c>
      <c r="G41" s="164">
        <f t="shared" si="1"/>
        <v>0</v>
      </c>
      <c r="H41" s="164">
        <v>0</v>
      </c>
      <c r="I41" s="164">
        <f t="shared" si="2"/>
        <v>0</v>
      </c>
      <c r="J41" s="164">
        <v>0</v>
      </c>
      <c r="K41" s="164"/>
      <c r="L41" s="164"/>
      <c r="M41" s="164"/>
      <c r="N41" s="164">
        <f t="shared" si="4"/>
        <v>0</v>
      </c>
    </row>
    <row r="42" spans="1:14" ht="15" customHeight="1" x14ac:dyDescent="0.2">
      <c r="A42" s="162">
        <v>29</v>
      </c>
      <c r="B42" s="163">
        <f>'Time Axis'!B32</f>
        <v>46599</v>
      </c>
      <c r="C42" s="162" t="str">
        <f>'Time Axis'!C32</f>
        <v>Stabilized</v>
      </c>
      <c r="D42" s="164">
        <f t="shared" si="3"/>
        <v>0</v>
      </c>
      <c r="E42" s="164">
        <f>'Construction Budget &amp; Draws'!AH$190</f>
        <v>0</v>
      </c>
      <c r="F42" s="164">
        <f t="shared" si="0"/>
        <v>0</v>
      </c>
      <c r="G42" s="164">
        <f t="shared" si="1"/>
        <v>0</v>
      </c>
      <c r="H42" s="164">
        <v>0</v>
      </c>
      <c r="I42" s="164">
        <f t="shared" si="2"/>
        <v>0</v>
      </c>
      <c r="J42" s="164">
        <v>0</v>
      </c>
      <c r="K42" s="164"/>
      <c r="L42" s="164"/>
      <c r="M42" s="164"/>
      <c r="N42" s="164">
        <f t="shared" si="4"/>
        <v>0</v>
      </c>
    </row>
    <row r="43" spans="1:14" ht="15" customHeight="1" x14ac:dyDescent="0.2">
      <c r="A43" s="162">
        <v>30</v>
      </c>
      <c r="B43" s="163">
        <f>'Time Axis'!B33</f>
        <v>46630</v>
      </c>
      <c r="C43" s="162" t="str">
        <f>'Time Axis'!C33</f>
        <v>Stabilized</v>
      </c>
      <c r="D43" s="164">
        <f t="shared" si="3"/>
        <v>0</v>
      </c>
      <c r="E43" s="164">
        <f>'Construction Budget &amp; Draws'!AI$190</f>
        <v>0</v>
      </c>
      <c r="F43" s="164">
        <f t="shared" si="0"/>
        <v>0</v>
      </c>
      <c r="G43" s="164">
        <f t="shared" si="1"/>
        <v>0</v>
      </c>
      <c r="H43" s="164">
        <v>0</v>
      </c>
      <c r="I43" s="164">
        <f t="shared" si="2"/>
        <v>0</v>
      </c>
      <c r="J43" s="164">
        <v>0</v>
      </c>
      <c r="K43" s="164"/>
      <c r="L43" s="164"/>
      <c r="M43" s="164"/>
      <c r="N43" s="164">
        <f t="shared" si="4"/>
        <v>0</v>
      </c>
    </row>
    <row r="44" spans="1:14" ht="15" customHeight="1" x14ac:dyDescent="0.2">
      <c r="A44" s="162">
        <v>31</v>
      </c>
      <c r="B44" s="163">
        <f>'Time Axis'!B34</f>
        <v>46660</v>
      </c>
      <c r="C44" s="162" t="str">
        <f>'Time Axis'!C34</f>
        <v>Stabilized</v>
      </c>
      <c r="D44" s="164">
        <f t="shared" si="3"/>
        <v>0</v>
      </c>
      <c r="E44" s="164">
        <f>'Construction Budget &amp; Draws'!AJ$190</f>
        <v>0</v>
      </c>
      <c r="F44" s="164">
        <f t="shared" si="0"/>
        <v>0</v>
      </c>
      <c r="G44" s="164">
        <f t="shared" si="1"/>
        <v>0</v>
      </c>
      <c r="H44" s="164">
        <v>0</v>
      </c>
      <c r="I44" s="164">
        <f t="shared" si="2"/>
        <v>0</v>
      </c>
      <c r="J44" s="164">
        <v>0</v>
      </c>
      <c r="K44" s="164"/>
      <c r="L44" s="164"/>
      <c r="M44" s="164"/>
      <c r="N44" s="164">
        <f t="shared" si="4"/>
        <v>0</v>
      </c>
    </row>
    <row r="45" spans="1:14" ht="15" customHeight="1" x14ac:dyDescent="0.2">
      <c r="A45" s="162">
        <v>32</v>
      </c>
      <c r="B45" s="163">
        <f>'Time Axis'!B35</f>
        <v>46691</v>
      </c>
      <c r="C45" s="162" t="str">
        <f>'Time Axis'!C35</f>
        <v>Stabilized</v>
      </c>
      <c r="D45" s="164">
        <f t="shared" si="3"/>
        <v>0</v>
      </c>
      <c r="E45" s="164">
        <f>'Construction Budget &amp; Draws'!AK$190</f>
        <v>0</v>
      </c>
      <c r="F45" s="164">
        <f t="shared" si="0"/>
        <v>0</v>
      </c>
      <c r="G45" s="164">
        <f t="shared" si="1"/>
        <v>0</v>
      </c>
      <c r="H45" s="164">
        <v>0</v>
      </c>
      <c r="I45" s="164">
        <f t="shared" si="2"/>
        <v>0</v>
      </c>
      <c r="J45" s="164">
        <v>0</v>
      </c>
      <c r="K45" s="164"/>
      <c r="L45" s="164"/>
      <c r="M45" s="164"/>
      <c r="N45" s="164">
        <f t="shared" si="4"/>
        <v>0</v>
      </c>
    </row>
    <row r="46" spans="1:14" ht="15" customHeight="1" x14ac:dyDescent="0.2">
      <c r="A46" s="162">
        <v>33</v>
      </c>
      <c r="B46" s="163">
        <f>'Time Axis'!B36</f>
        <v>46721</v>
      </c>
      <c r="C46" s="162" t="str">
        <f>'Time Axis'!C36</f>
        <v>Stabilized</v>
      </c>
      <c r="D46" s="164">
        <f t="shared" si="3"/>
        <v>0</v>
      </c>
      <c r="E46" s="164">
        <f>'Construction Budget &amp; Draws'!AL$190</f>
        <v>0</v>
      </c>
      <c r="F46" s="164">
        <f t="shared" si="0"/>
        <v>0</v>
      </c>
      <c r="G46" s="164">
        <f t="shared" si="1"/>
        <v>0</v>
      </c>
      <c r="H46" s="164">
        <v>0</v>
      </c>
      <c r="I46" s="164">
        <f t="shared" si="2"/>
        <v>0</v>
      </c>
      <c r="J46" s="164">
        <v>0</v>
      </c>
      <c r="K46" s="164"/>
      <c r="L46" s="164"/>
      <c r="M46" s="164"/>
      <c r="N46" s="164">
        <f t="shared" si="4"/>
        <v>0</v>
      </c>
    </row>
    <row r="47" spans="1:14" ht="15" customHeight="1" x14ac:dyDescent="0.2">
      <c r="A47" s="162">
        <v>34</v>
      </c>
      <c r="B47" s="163">
        <f>'Time Axis'!B37</f>
        <v>46752</v>
      </c>
      <c r="C47" s="162" t="str">
        <f>'Time Axis'!C37</f>
        <v>Stabilized</v>
      </c>
      <c r="D47" s="164">
        <f t="shared" si="3"/>
        <v>0</v>
      </c>
      <c r="E47" s="164">
        <f>'Construction Budget &amp; Draws'!AM$190</f>
        <v>0</v>
      </c>
      <c r="F47" s="164">
        <f t="shared" si="0"/>
        <v>0</v>
      </c>
      <c r="G47" s="164">
        <f t="shared" si="1"/>
        <v>0</v>
      </c>
      <c r="H47" s="164">
        <v>0</v>
      </c>
      <c r="I47" s="164">
        <f t="shared" si="2"/>
        <v>0</v>
      </c>
      <c r="J47" s="164">
        <v>0</v>
      </c>
      <c r="K47" s="164"/>
      <c r="L47" s="164"/>
      <c r="M47" s="164"/>
      <c r="N47" s="164">
        <f t="shared" si="4"/>
        <v>0</v>
      </c>
    </row>
    <row r="48" spans="1:14" ht="15" customHeight="1" x14ac:dyDescent="0.2">
      <c r="A48" s="162">
        <v>35</v>
      </c>
      <c r="B48" s="163">
        <f>'Time Axis'!B38</f>
        <v>46783</v>
      </c>
      <c r="C48" s="162" t="str">
        <f>'Time Axis'!C38</f>
        <v>Stabilized</v>
      </c>
      <c r="D48" s="164">
        <f t="shared" si="3"/>
        <v>0</v>
      </c>
      <c r="E48" s="164">
        <f>'Construction Budget &amp; Draws'!AN$190</f>
        <v>0</v>
      </c>
      <c r="F48" s="164">
        <f t="shared" si="0"/>
        <v>0</v>
      </c>
      <c r="G48" s="164">
        <f t="shared" si="1"/>
        <v>0</v>
      </c>
      <c r="H48" s="164">
        <v>0</v>
      </c>
      <c r="I48" s="164">
        <f t="shared" si="2"/>
        <v>0</v>
      </c>
      <c r="J48" s="164">
        <v>0</v>
      </c>
      <c r="K48" s="164"/>
      <c r="L48" s="164"/>
      <c r="M48" s="164"/>
      <c r="N48" s="164">
        <f t="shared" si="4"/>
        <v>0</v>
      </c>
    </row>
    <row r="49" spans="1:14" ht="15" customHeight="1" x14ac:dyDescent="0.2">
      <c r="A49" s="162">
        <v>36</v>
      </c>
      <c r="B49" s="163">
        <f>'Time Axis'!B39</f>
        <v>46812</v>
      </c>
      <c r="C49" s="162" t="str">
        <f>'Time Axis'!C39</f>
        <v>Stabilized</v>
      </c>
      <c r="D49" s="164">
        <f t="shared" si="3"/>
        <v>0</v>
      </c>
      <c r="E49" s="164">
        <f>'Construction Budget &amp; Draws'!AO$190</f>
        <v>0</v>
      </c>
      <c r="F49" s="164">
        <f t="shared" si="0"/>
        <v>0</v>
      </c>
      <c r="G49" s="164">
        <f t="shared" si="1"/>
        <v>0</v>
      </c>
      <c r="H49" s="164">
        <v>0</v>
      </c>
      <c r="I49" s="164">
        <f t="shared" si="2"/>
        <v>0</v>
      </c>
      <c r="J49" s="164">
        <v>0</v>
      </c>
      <c r="K49" s="164"/>
      <c r="L49" s="164"/>
      <c r="M49" s="164"/>
      <c r="N49" s="164">
        <f t="shared" si="4"/>
        <v>0</v>
      </c>
    </row>
    <row r="50" spans="1:14" ht="15.75" customHeight="1" x14ac:dyDescent="0.2"/>
    <row r="51" spans="1:14" ht="15.75" customHeight="1" x14ac:dyDescent="0.2"/>
    <row r="52" spans="1:14" ht="15" customHeight="1" x14ac:dyDescent="0.2">
      <c r="A52" s="23" t="s">
        <v>619</v>
      </c>
      <c r="B52" s="91">
        <f>SUM(E14:E49)</f>
        <v>43343780.246153869</v>
      </c>
    </row>
    <row r="53" spans="1:14" ht="15" customHeight="1" x14ac:dyDescent="0.2">
      <c r="A53" s="14" t="s">
        <v>620</v>
      </c>
      <c r="B53" s="91">
        <f>SUM(E14:E49)</f>
        <v>43343780.246153869</v>
      </c>
    </row>
    <row r="54" spans="1:14" ht="15" customHeight="1" x14ac:dyDescent="0.2">
      <c r="A54" s="14" t="s">
        <v>621</v>
      </c>
      <c r="B54" s="91">
        <f>SUM(F14:F49)</f>
        <v>-4334378.0246153884</v>
      </c>
    </row>
    <row r="55" spans="1:14" ht="15" customHeight="1" x14ac:dyDescent="0.2">
      <c r="A55" s="14" t="s">
        <v>622</v>
      </c>
      <c r="B55" s="91">
        <f>SUM(H14:H49)</f>
        <v>33506438.373653866</v>
      </c>
    </row>
    <row r="56" spans="1:14" ht="15" customHeight="1" x14ac:dyDescent="0.2">
      <c r="A56" s="14" t="s">
        <v>623</v>
      </c>
      <c r="B56" s="91">
        <f>L49</f>
        <v>0</v>
      </c>
    </row>
    <row r="57" spans="1:14" ht="15" customHeight="1" x14ac:dyDescent="0.2">
      <c r="A57" s="14" t="s">
        <v>624</v>
      </c>
      <c r="B57" s="91">
        <f>'i_Cap Table'!E34</f>
        <v>2800015</v>
      </c>
    </row>
    <row r="58" spans="1:14" ht="15" customHeight="1" x14ac:dyDescent="0.2">
      <c r="A58" s="13" t="s">
        <v>625</v>
      </c>
      <c r="B58" s="165">
        <f>K49</f>
        <v>0</v>
      </c>
    </row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zoomScaleNormal="100" zoomScalePageLayoutView="60" workbookViewId="0"/>
  </sheetViews>
  <sheetFormatPr baseColWidth="10" defaultColWidth="14.5" defaultRowHeight="15" customHeight="1" x14ac:dyDescent="0.2"/>
  <cols>
    <col min="1" max="38" width="8.83203125" customWidth="1"/>
  </cols>
  <sheetData>
    <row r="1" spans="1:38" ht="15" customHeight="1" x14ac:dyDescent="0.2">
      <c r="A1" t="s">
        <v>626</v>
      </c>
    </row>
    <row r="2" spans="1:38" ht="15" customHeight="1" x14ac:dyDescent="0.2">
      <c r="A2" t="s">
        <v>627</v>
      </c>
    </row>
    <row r="4" spans="1:38" ht="15" customHeight="1" x14ac:dyDescent="0.2">
      <c r="A4" t="s">
        <v>124</v>
      </c>
      <c r="B4" t="s">
        <v>125</v>
      </c>
      <c r="C4" t="s">
        <v>628</v>
      </c>
      <c r="D4" t="s">
        <v>629</v>
      </c>
      <c r="E4" t="s">
        <v>630</v>
      </c>
      <c r="F4" t="s">
        <v>631</v>
      </c>
      <c r="G4" t="s">
        <v>632</v>
      </c>
      <c r="H4" t="s">
        <v>633</v>
      </c>
      <c r="I4" t="s">
        <v>634</v>
      </c>
      <c r="J4" t="s">
        <v>635</v>
      </c>
      <c r="K4" t="s">
        <v>636</v>
      </c>
      <c r="L4" t="s">
        <v>637</v>
      </c>
      <c r="M4" t="s">
        <v>638</v>
      </c>
      <c r="N4" t="s">
        <v>639</v>
      </c>
      <c r="O4" t="s">
        <v>640</v>
      </c>
      <c r="P4" t="s">
        <v>641</v>
      </c>
      <c r="Q4" t="s">
        <v>642</v>
      </c>
      <c r="R4" t="s">
        <v>643</v>
      </c>
      <c r="S4" t="s">
        <v>644</v>
      </c>
      <c r="T4" t="s">
        <v>645</v>
      </c>
      <c r="U4" t="s">
        <v>646</v>
      </c>
      <c r="V4" t="s">
        <v>647</v>
      </c>
      <c r="W4" t="s">
        <v>648</v>
      </c>
      <c r="X4" t="s">
        <v>649</v>
      </c>
      <c r="Y4" t="s">
        <v>650</v>
      </c>
      <c r="Z4" t="s">
        <v>651</v>
      </c>
      <c r="AA4" t="s">
        <v>652</v>
      </c>
      <c r="AB4" t="s">
        <v>653</v>
      </c>
      <c r="AC4" t="s">
        <v>654</v>
      </c>
      <c r="AD4" t="s">
        <v>655</v>
      </c>
      <c r="AE4" t="s">
        <v>656</v>
      </c>
      <c r="AF4" t="s">
        <v>657</v>
      </c>
      <c r="AG4" t="s">
        <v>658</v>
      </c>
      <c r="AH4" t="s">
        <v>659</v>
      </c>
      <c r="AI4" t="s">
        <v>660</v>
      </c>
      <c r="AJ4" t="s">
        <v>661</v>
      </c>
      <c r="AK4" t="s">
        <v>662</v>
      </c>
      <c r="AL4" t="s">
        <v>663</v>
      </c>
    </row>
    <row r="5" spans="1:38" ht="15" customHeight="1" x14ac:dyDescent="0.2">
      <c r="C5" s="91">
        <v>0</v>
      </c>
      <c r="D5" s="91">
        <v>0</v>
      </c>
      <c r="E5" s="91">
        <v>0</v>
      </c>
      <c r="F5" s="91">
        <v>0</v>
      </c>
      <c r="G5" s="91">
        <v>0</v>
      </c>
      <c r="H5" s="91">
        <v>0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0</v>
      </c>
      <c r="W5" s="91">
        <v>0</v>
      </c>
      <c r="X5" s="91">
        <v>0</v>
      </c>
      <c r="Y5" s="91">
        <v>0</v>
      </c>
      <c r="Z5" s="91">
        <v>0</v>
      </c>
      <c r="AA5" s="91">
        <v>0</v>
      </c>
      <c r="AB5" s="91">
        <v>0</v>
      </c>
      <c r="AC5" s="91">
        <v>0</v>
      </c>
      <c r="AD5" s="91">
        <v>0</v>
      </c>
      <c r="AE5" s="91">
        <v>0</v>
      </c>
      <c r="AF5" s="91">
        <v>0</v>
      </c>
      <c r="AG5" s="91">
        <v>0</v>
      </c>
      <c r="AH5" s="91">
        <v>0</v>
      </c>
      <c r="AI5" s="91">
        <v>0</v>
      </c>
      <c r="AJ5" s="91">
        <v>0</v>
      </c>
      <c r="AK5" s="91">
        <v>0</v>
      </c>
      <c r="AL5" s="91">
        <v>0</v>
      </c>
    </row>
    <row r="6" spans="1:38" ht="15" customHeight="1" x14ac:dyDescent="0.2">
      <c r="A6" t="s">
        <v>131</v>
      </c>
      <c r="B6" t="s">
        <v>132</v>
      </c>
      <c r="C6" s="91">
        <f>IF(1&lt;='I_Inputs &amp; Assumptions'!$B$8,IF('I_Budget Input Data'!$E$6="Upfront",IF(1=1,'I_Budget Input Data'!$D$6,0),IF('I_Budget Input Data'!$E$6="Equal",'I_Budget Input Data'!$D$6/'I_Inputs &amp; Assumptions'!$B$8,IF('I_Budget Input Data'!$E$6="Front-loaded",IF(1&lt;='I_Inputs &amp; Assumptions'!$B$8/2,'I_Budget Input Data'!$D$6*0.6/('I_Inputs &amp; Assumptions'!$B$8/2),'I_Budget Input Data'!$D$6*0.4/('I_Inputs &amp; Assumptions'!$B$8/2)),IF('I_Budget Input Data'!$E$6="Back-loaded",IF(1&lt;='I_Inputs &amp; Assumptions'!$B$8/2,'I_Budget Input Data'!$D$6*0.4/('I_Inputs &amp; Assumptions'!$B$8/2),'I_Budget Input Data'!$D$6*0.6/('I_Inputs &amp; Assumptions'!$B$8/2)),IF('I_Budget Input Data'!$E$6="Mid-weighted",IF(1&lt;='I_Inputs &amp; Assumptions'!$B$8/4,'I_Budget Input Data'!$D$6*0.2/('I_Inputs &amp; Assumptions'!$B$8/4),IF(1&lt;='I_Inputs &amp; Assumptions'!$B$8*0.75,'I_Budget Input Data'!$D$6*0.6/('I_Inputs &amp; Assumptions'!$B$8/2),'I_Budget Input Data'!$D$6*0.2/('I_Inputs &amp; Assumptions'!$B$8/4))),IF('I_Budget Input Data'!$E$6="At Completion",IF(1='I_Inputs &amp; Assumptions'!$B$8,'I_Budget Input Data'!$D$6,0),'I_Budget Input Data'!$D$6/'I_Inputs &amp; Assumptions'!$B$8)))))),0)</f>
        <v>1600000</v>
      </c>
      <c r="D6" s="91">
        <f>IF(2&lt;='I_Inputs &amp; Assumptions'!$B$8,IF('I_Budget Input Data'!$E$6="Upfront",IF(2=1,'I_Budget Input Data'!$D$6,0),IF('I_Budget Input Data'!$E$6="Equal",'I_Budget Input Data'!$D$6/'I_Inputs &amp; Assumptions'!$B$8,IF('I_Budget Input Data'!$E$6="Front-loaded",IF(2&lt;='I_Inputs &amp; Assumptions'!$B$8/2,'I_Budget Input Data'!$D$6*0.6/('I_Inputs &amp; Assumptions'!$B$8/2),'I_Budget Input Data'!$D$6*0.4/('I_Inputs &amp; Assumptions'!$B$8/2)),IF('I_Budget Input Data'!$E$6="Back-loaded",IF(2&lt;='I_Inputs &amp; Assumptions'!$B$8/2,'I_Budget Input Data'!$D$6*0.4/('I_Inputs &amp; Assumptions'!$B$8/2),'I_Budget Input Data'!$D$6*0.6/('I_Inputs &amp; Assumptions'!$B$8/2)),IF('I_Budget Input Data'!$E$6="Mid-weighted",IF(2&lt;='I_Inputs &amp; Assumptions'!$B$8/4,'I_Budget Input Data'!$D$6*0.2/('I_Inputs &amp; Assumptions'!$B$8/4),IF(2&lt;='I_Inputs &amp; Assumptions'!$B$8*0.75,'I_Budget Input Data'!$D$6*0.6/('I_Inputs &amp; Assumptions'!$B$8/2),'I_Budget Input Data'!$D$6*0.2/('I_Inputs &amp; Assumptions'!$B$8/4))),IF('I_Budget Input Data'!$E$6="At Completion",IF(2='I_Inputs &amp; Assumptions'!$B$8,'I_Budget Input Data'!$D$6,0),'I_Budget Input Data'!$D$6/'I_Inputs &amp; Assumptions'!$B$8)))))),0)</f>
        <v>0</v>
      </c>
      <c r="E6" s="91">
        <f>IF(3&lt;='I_Inputs &amp; Assumptions'!$B$8,IF('I_Budget Input Data'!$E$6="Upfront",IF(3=1,'I_Budget Input Data'!$D$6,0),IF('I_Budget Input Data'!$E$6="Equal",'I_Budget Input Data'!$D$6/'I_Inputs &amp; Assumptions'!$B$8,IF('I_Budget Input Data'!$E$6="Front-loaded",IF(3&lt;='I_Inputs &amp; Assumptions'!$B$8/2,'I_Budget Input Data'!$D$6*0.6/('I_Inputs &amp; Assumptions'!$B$8/2),'I_Budget Input Data'!$D$6*0.4/('I_Inputs &amp; Assumptions'!$B$8/2)),IF('I_Budget Input Data'!$E$6="Back-loaded",IF(3&lt;='I_Inputs &amp; Assumptions'!$B$8/2,'I_Budget Input Data'!$D$6*0.4/('I_Inputs &amp; Assumptions'!$B$8/2),'I_Budget Input Data'!$D$6*0.6/('I_Inputs &amp; Assumptions'!$B$8/2)),IF('I_Budget Input Data'!$E$6="Mid-weighted",IF(3&lt;='I_Inputs &amp; Assumptions'!$B$8/4,'I_Budget Input Data'!$D$6*0.2/('I_Inputs &amp; Assumptions'!$B$8/4),IF(3&lt;='I_Inputs &amp; Assumptions'!$B$8*0.75,'I_Budget Input Data'!$D$6*0.6/('I_Inputs &amp; Assumptions'!$B$8/2),'I_Budget Input Data'!$D$6*0.2/('I_Inputs &amp; Assumptions'!$B$8/4))),IF('I_Budget Input Data'!$E$6="At Completion",IF(3='I_Inputs &amp; Assumptions'!$B$8,'I_Budget Input Data'!$D$6,0),'I_Budget Input Data'!$D$6/'I_Inputs &amp; Assumptions'!$B$8)))))),0)</f>
        <v>0</v>
      </c>
      <c r="F6" s="91">
        <f>IF(4&lt;='I_Inputs &amp; Assumptions'!$B$8,IF('I_Budget Input Data'!$E$6="Upfront",IF(4=1,'I_Budget Input Data'!$D$6,0),IF('I_Budget Input Data'!$E$6="Equal",'I_Budget Input Data'!$D$6/'I_Inputs &amp; Assumptions'!$B$8,IF('I_Budget Input Data'!$E$6="Front-loaded",IF(4&lt;='I_Inputs &amp; Assumptions'!$B$8/2,'I_Budget Input Data'!$D$6*0.6/('I_Inputs &amp; Assumptions'!$B$8/2),'I_Budget Input Data'!$D$6*0.4/('I_Inputs &amp; Assumptions'!$B$8/2)),IF('I_Budget Input Data'!$E$6="Back-loaded",IF(4&lt;='I_Inputs &amp; Assumptions'!$B$8/2,'I_Budget Input Data'!$D$6*0.4/('I_Inputs &amp; Assumptions'!$B$8/2),'I_Budget Input Data'!$D$6*0.6/('I_Inputs &amp; Assumptions'!$B$8/2)),IF('I_Budget Input Data'!$E$6="Mid-weighted",IF(4&lt;='I_Inputs &amp; Assumptions'!$B$8/4,'I_Budget Input Data'!$D$6*0.2/('I_Inputs &amp; Assumptions'!$B$8/4),IF(4&lt;='I_Inputs &amp; Assumptions'!$B$8*0.75,'I_Budget Input Data'!$D$6*0.6/('I_Inputs &amp; Assumptions'!$B$8/2),'I_Budget Input Data'!$D$6*0.2/('I_Inputs &amp; Assumptions'!$B$8/4))),IF('I_Budget Input Data'!$E$6="At Completion",IF(4='I_Inputs &amp; Assumptions'!$B$8,'I_Budget Input Data'!$D$6,0),'I_Budget Input Data'!$D$6/'I_Inputs &amp; Assumptions'!$B$8)))))),0)</f>
        <v>0</v>
      </c>
      <c r="G6" s="91">
        <f>IF(5&lt;='I_Inputs &amp; Assumptions'!$B$8,IF('I_Budget Input Data'!$E$6="Upfront",IF(5=1,'I_Budget Input Data'!$D$6,0),IF('I_Budget Input Data'!$E$6="Equal",'I_Budget Input Data'!$D$6/'I_Inputs &amp; Assumptions'!$B$8,IF('I_Budget Input Data'!$E$6="Front-loaded",IF(5&lt;='I_Inputs &amp; Assumptions'!$B$8/2,'I_Budget Input Data'!$D$6*0.6/('I_Inputs &amp; Assumptions'!$B$8/2),'I_Budget Input Data'!$D$6*0.4/('I_Inputs &amp; Assumptions'!$B$8/2)),IF('I_Budget Input Data'!$E$6="Back-loaded",IF(5&lt;='I_Inputs &amp; Assumptions'!$B$8/2,'I_Budget Input Data'!$D$6*0.4/('I_Inputs &amp; Assumptions'!$B$8/2),'I_Budget Input Data'!$D$6*0.6/('I_Inputs &amp; Assumptions'!$B$8/2)),IF('I_Budget Input Data'!$E$6="Mid-weighted",IF(5&lt;='I_Inputs &amp; Assumptions'!$B$8/4,'I_Budget Input Data'!$D$6*0.2/('I_Inputs &amp; Assumptions'!$B$8/4),IF(5&lt;='I_Inputs &amp; Assumptions'!$B$8*0.75,'I_Budget Input Data'!$D$6*0.6/('I_Inputs &amp; Assumptions'!$B$8/2),'I_Budget Input Data'!$D$6*0.2/('I_Inputs &amp; Assumptions'!$B$8/4))),IF('I_Budget Input Data'!$E$6="At Completion",IF(5='I_Inputs &amp; Assumptions'!$B$8,'I_Budget Input Data'!$D$6,0),'I_Budget Input Data'!$D$6/'I_Inputs &amp; Assumptions'!$B$8)))))),0)</f>
        <v>0</v>
      </c>
      <c r="H6" s="91">
        <f>IF(6&lt;='I_Inputs &amp; Assumptions'!$B$8,IF('I_Budget Input Data'!$E$6="Upfront",IF(6=1,'I_Budget Input Data'!$D$6,0),IF('I_Budget Input Data'!$E$6="Equal",'I_Budget Input Data'!$D$6/'I_Inputs &amp; Assumptions'!$B$8,IF('I_Budget Input Data'!$E$6="Front-loaded",IF(6&lt;='I_Inputs &amp; Assumptions'!$B$8/2,'I_Budget Input Data'!$D$6*0.6/('I_Inputs &amp; Assumptions'!$B$8/2),'I_Budget Input Data'!$D$6*0.4/('I_Inputs &amp; Assumptions'!$B$8/2)),IF('I_Budget Input Data'!$E$6="Back-loaded",IF(6&lt;='I_Inputs &amp; Assumptions'!$B$8/2,'I_Budget Input Data'!$D$6*0.4/('I_Inputs &amp; Assumptions'!$B$8/2),'I_Budget Input Data'!$D$6*0.6/('I_Inputs &amp; Assumptions'!$B$8/2)),IF('I_Budget Input Data'!$E$6="Mid-weighted",IF(6&lt;='I_Inputs &amp; Assumptions'!$B$8/4,'I_Budget Input Data'!$D$6*0.2/('I_Inputs &amp; Assumptions'!$B$8/4),IF(6&lt;='I_Inputs &amp; Assumptions'!$B$8*0.75,'I_Budget Input Data'!$D$6*0.6/('I_Inputs &amp; Assumptions'!$B$8/2),'I_Budget Input Data'!$D$6*0.2/('I_Inputs &amp; Assumptions'!$B$8/4))),IF('I_Budget Input Data'!$E$6="At Completion",IF(6='I_Inputs &amp; Assumptions'!$B$8,'I_Budget Input Data'!$D$6,0),'I_Budget Input Data'!$D$6/'I_Inputs &amp; Assumptions'!$B$8)))))),0)</f>
        <v>0</v>
      </c>
      <c r="I6" s="91">
        <f>IF(7&lt;='I_Inputs &amp; Assumptions'!$B$8,IF('I_Budget Input Data'!$E$6="Upfront",IF(7=1,'I_Budget Input Data'!$D$6,0),IF('I_Budget Input Data'!$E$6="Equal",'I_Budget Input Data'!$D$6/'I_Inputs &amp; Assumptions'!$B$8,IF('I_Budget Input Data'!$E$6="Front-loaded",IF(7&lt;='I_Inputs &amp; Assumptions'!$B$8/2,'I_Budget Input Data'!$D$6*0.6/('I_Inputs &amp; Assumptions'!$B$8/2),'I_Budget Input Data'!$D$6*0.4/('I_Inputs &amp; Assumptions'!$B$8/2)),IF('I_Budget Input Data'!$E$6="Back-loaded",IF(7&lt;='I_Inputs &amp; Assumptions'!$B$8/2,'I_Budget Input Data'!$D$6*0.4/('I_Inputs &amp; Assumptions'!$B$8/2),'I_Budget Input Data'!$D$6*0.6/('I_Inputs &amp; Assumptions'!$B$8/2)),IF('I_Budget Input Data'!$E$6="Mid-weighted",IF(7&lt;='I_Inputs &amp; Assumptions'!$B$8/4,'I_Budget Input Data'!$D$6*0.2/('I_Inputs &amp; Assumptions'!$B$8/4),IF(7&lt;='I_Inputs &amp; Assumptions'!$B$8*0.75,'I_Budget Input Data'!$D$6*0.6/('I_Inputs &amp; Assumptions'!$B$8/2),'I_Budget Input Data'!$D$6*0.2/('I_Inputs &amp; Assumptions'!$B$8/4))),IF('I_Budget Input Data'!$E$6="At Completion",IF(7='I_Inputs &amp; Assumptions'!$B$8,'I_Budget Input Data'!$D$6,0),'I_Budget Input Data'!$D$6/'I_Inputs &amp; Assumptions'!$B$8)))))),0)</f>
        <v>0</v>
      </c>
      <c r="J6" s="91">
        <f>IF(8&lt;='I_Inputs &amp; Assumptions'!$B$8,IF('I_Budget Input Data'!$E$6="Upfront",IF(8=1,'I_Budget Input Data'!$D$6,0),IF('I_Budget Input Data'!$E$6="Equal",'I_Budget Input Data'!$D$6/'I_Inputs &amp; Assumptions'!$B$8,IF('I_Budget Input Data'!$E$6="Front-loaded",IF(8&lt;='I_Inputs &amp; Assumptions'!$B$8/2,'I_Budget Input Data'!$D$6*0.6/('I_Inputs &amp; Assumptions'!$B$8/2),'I_Budget Input Data'!$D$6*0.4/('I_Inputs &amp; Assumptions'!$B$8/2)),IF('I_Budget Input Data'!$E$6="Back-loaded",IF(8&lt;='I_Inputs &amp; Assumptions'!$B$8/2,'I_Budget Input Data'!$D$6*0.4/('I_Inputs &amp; Assumptions'!$B$8/2),'I_Budget Input Data'!$D$6*0.6/('I_Inputs &amp; Assumptions'!$B$8/2)),IF('I_Budget Input Data'!$E$6="Mid-weighted",IF(8&lt;='I_Inputs &amp; Assumptions'!$B$8/4,'I_Budget Input Data'!$D$6*0.2/('I_Inputs &amp; Assumptions'!$B$8/4),IF(8&lt;='I_Inputs &amp; Assumptions'!$B$8*0.75,'I_Budget Input Data'!$D$6*0.6/('I_Inputs &amp; Assumptions'!$B$8/2),'I_Budget Input Data'!$D$6*0.2/('I_Inputs &amp; Assumptions'!$B$8/4))),IF('I_Budget Input Data'!$E$6="At Completion",IF(8='I_Inputs &amp; Assumptions'!$B$8,'I_Budget Input Data'!$D$6,0),'I_Budget Input Data'!$D$6/'I_Inputs &amp; Assumptions'!$B$8)))))),0)</f>
        <v>0</v>
      </c>
      <c r="K6" s="91">
        <f>IF(9&lt;='I_Inputs &amp; Assumptions'!$B$8,IF('I_Budget Input Data'!$E$6="Upfront",IF(9=1,'I_Budget Input Data'!$D$6,0),IF('I_Budget Input Data'!$E$6="Equal",'I_Budget Input Data'!$D$6/'I_Inputs &amp; Assumptions'!$B$8,IF('I_Budget Input Data'!$E$6="Front-loaded",IF(9&lt;='I_Inputs &amp; Assumptions'!$B$8/2,'I_Budget Input Data'!$D$6*0.6/('I_Inputs &amp; Assumptions'!$B$8/2),'I_Budget Input Data'!$D$6*0.4/('I_Inputs &amp; Assumptions'!$B$8/2)),IF('I_Budget Input Data'!$E$6="Back-loaded",IF(9&lt;='I_Inputs &amp; Assumptions'!$B$8/2,'I_Budget Input Data'!$D$6*0.4/('I_Inputs &amp; Assumptions'!$B$8/2),'I_Budget Input Data'!$D$6*0.6/('I_Inputs &amp; Assumptions'!$B$8/2)),IF('I_Budget Input Data'!$E$6="Mid-weighted",IF(9&lt;='I_Inputs &amp; Assumptions'!$B$8/4,'I_Budget Input Data'!$D$6*0.2/('I_Inputs &amp; Assumptions'!$B$8/4),IF(9&lt;='I_Inputs &amp; Assumptions'!$B$8*0.75,'I_Budget Input Data'!$D$6*0.6/('I_Inputs &amp; Assumptions'!$B$8/2),'I_Budget Input Data'!$D$6*0.2/('I_Inputs &amp; Assumptions'!$B$8/4))),IF('I_Budget Input Data'!$E$6="At Completion",IF(9='I_Inputs &amp; Assumptions'!$B$8,'I_Budget Input Data'!$D$6,0),'I_Budget Input Data'!$D$6/'I_Inputs &amp; Assumptions'!$B$8)))))),0)</f>
        <v>0</v>
      </c>
      <c r="L6" s="91">
        <f>IF(10&lt;='I_Inputs &amp; Assumptions'!$B$8,IF('I_Budget Input Data'!$E$6="Upfront",IF(10=1,'I_Budget Input Data'!$D$6,0),IF('I_Budget Input Data'!$E$6="Equal",'I_Budget Input Data'!$D$6/'I_Inputs &amp; Assumptions'!$B$8,IF('I_Budget Input Data'!$E$6="Front-loaded",IF(10&lt;='I_Inputs &amp; Assumptions'!$B$8/2,'I_Budget Input Data'!$D$6*0.6/('I_Inputs &amp; Assumptions'!$B$8/2),'I_Budget Input Data'!$D$6*0.4/('I_Inputs &amp; Assumptions'!$B$8/2)),IF('I_Budget Input Data'!$E$6="Back-loaded",IF(10&lt;='I_Inputs &amp; Assumptions'!$B$8/2,'I_Budget Input Data'!$D$6*0.4/('I_Inputs &amp; Assumptions'!$B$8/2),'I_Budget Input Data'!$D$6*0.6/('I_Inputs &amp; Assumptions'!$B$8/2)),IF('I_Budget Input Data'!$E$6="Mid-weighted",IF(10&lt;='I_Inputs &amp; Assumptions'!$B$8/4,'I_Budget Input Data'!$D$6*0.2/('I_Inputs &amp; Assumptions'!$B$8/4),IF(10&lt;='I_Inputs &amp; Assumptions'!$B$8*0.75,'I_Budget Input Data'!$D$6*0.6/('I_Inputs &amp; Assumptions'!$B$8/2),'I_Budget Input Data'!$D$6*0.2/('I_Inputs &amp; Assumptions'!$B$8/4))),IF('I_Budget Input Data'!$E$6="At Completion",IF(10='I_Inputs &amp; Assumptions'!$B$8,'I_Budget Input Data'!$D$6,0),'I_Budget Input Data'!$D$6/'I_Inputs &amp; Assumptions'!$B$8)))))),0)</f>
        <v>0</v>
      </c>
      <c r="M6" s="91">
        <f>IF(11&lt;='I_Inputs &amp; Assumptions'!$B$8,IF('I_Budget Input Data'!$E$6="Upfront",IF(11=1,'I_Budget Input Data'!$D$6,0),IF('I_Budget Input Data'!$E$6="Equal",'I_Budget Input Data'!$D$6/'I_Inputs &amp; Assumptions'!$B$8,IF('I_Budget Input Data'!$E$6="Front-loaded",IF(11&lt;='I_Inputs &amp; Assumptions'!$B$8/2,'I_Budget Input Data'!$D$6*0.6/('I_Inputs &amp; Assumptions'!$B$8/2),'I_Budget Input Data'!$D$6*0.4/('I_Inputs &amp; Assumptions'!$B$8/2)),IF('I_Budget Input Data'!$E$6="Back-loaded",IF(11&lt;='I_Inputs &amp; Assumptions'!$B$8/2,'I_Budget Input Data'!$D$6*0.4/('I_Inputs &amp; Assumptions'!$B$8/2),'I_Budget Input Data'!$D$6*0.6/('I_Inputs &amp; Assumptions'!$B$8/2)),IF('I_Budget Input Data'!$E$6="Mid-weighted",IF(11&lt;='I_Inputs &amp; Assumptions'!$B$8/4,'I_Budget Input Data'!$D$6*0.2/('I_Inputs &amp; Assumptions'!$B$8/4),IF(11&lt;='I_Inputs &amp; Assumptions'!$B$8*0.75,'I_Budget Input Data'!$D$6*0.6/('I_Inputs &amp; Assumptions'!$B$8/2),'I_Budget Input Data'!$D$6*0.2/('I_Inputs &amp; Assumptions'!$B$8/4))),IF('I_Budget Input Data'!$E$6="At Completion",IF(11='I_Inputs &amp; Assumptions'!$B$8,'I_Budget Input Data'!$D$6,0),'I_Budget Input Data'!$D$6/'I_Inputs &amp; Assumptions'!$B$8)))))),0)</f>
        <v>0</v>
      </c>
      <c r="N6" s="91">
        <f>IF(12&lt;='I_Inputs &amp; Assumptions'!$B$8,IF('I_Budget Input Data'!$E$6="Upfront",IF(12=1,'I_Budget Input Data'!$D$6,0),IF('I_Budget Input Data'!$E$6="Equal",'I_Budget Input Data'!$D$6/'I_Inputs &amp; Assumptions'!$B$8,IF('I_Budget Input Data'!$E$6="Front-loaded",IF(12&lt;='I_Inputs &amp; Assumptions'!$B$8/2,'I_Budget Input Data'!$D$6*0.6/('I_Inputs &amp; Assumptions'!$B$8/2),'I_Budget Input Data'!$D$6*0.4/('I_Inputs &amp; Assumptions'!$B$8/2)),IF('I_Budget Input Data'!$E$6="Back-loaded",IF(12&lt;='I_Inputs &amp; Assumptions'!$B$8/2,'I_Budget Input Data'!$D$6*0.4/('I_Inputs &amp; Assumptions'!$B$8/2),'I_Budget Input Data'!$D$6*0.6/('I_Inputs &amp; Assumptions'!$B$8/2)),IF('I_Budget Input Data'!$E$6="Mid-weighted",IF(12&lt;='I_Inputs &amp; Assumptions'!$B$8/4,'I_Budget Input Data'!$D$6*0.2/('I_Inputs &amp; Assumptions'!$B$8/4),IF(12&lt;='I_Inputs &amp; Assumptions'!$B$8*0.75,'I_Budget Input Data'!$D$6*0.6/('I_Inputs &amp; Assumptions'!$B$8/2),'I_Budget Input Data'!$D$6*0.2/('I_Inputs &amp; Assumptions'!$B$8/4))),IF('I_Budget Input Data'!$E$6="At Completion",IF(12='I_Inputs &amp; Assumptions'!$B$8,'I_Budget Input Data'!$D$6,0),'I_Budget Input Data'!$D$6/'I_Inputs &amp; Assumptions'!$B$8)))))),0)</f>
        <v>0</v>
      </c>
      <c r="O6" s="91">
        <f>IF(13&lt;='I_Inputs &amp; Assumptions'!$B$8,IF('I_Budget Input Data'!$E$6="Upfront",IF(13=1,'I_Budget Input Data'!$D$6,0),IF('I_Budget Input Data'!$E$6="Equal",'I_Budget Input Data'!$D$6/'I_Inputs &amp; Assumptions'!$B$8,IF('I_Budget Input Data'!$E$6="Front-loaded",IF(13&lt;='I_Inputs &amp; Assumptions'!$B$8/2,'I_Budget Input Data'!$D$6*0.6/('I_Inputs &amp; Assumptions'!$B$8/2),'I_Budget Input Data'!$D$6*0.4/('I_Inputs &amp; Assumptions'!$B$8/2)),IF('I_Budget Input Data'!$E$6="Back-loaded",IF(13&lt;='I_Inputs &amp; Assumptions'!$B$8/2,'I_Budget Input Data'!$D$6*0.4/('I_Inputs &amp; Assumptions'!$B$8/2),'I_Budget Input Data'!$D$6*0.6/('I_Inputs &amp; Assumptions'!$B$8/2)),IF('I_Budget Input Data'!$E$6="Mid-weighted",IF(13&lt;='I_Inputs &amp; Assumptions'!$B$8/4,'I_Budget Input Data'!$D$6*0.2/('I_Inputs &amp; Assumptions'!$B$8/4),IF(13&lt;='I_Inputs &amp; Assumptions'!$B$8*0.75,'I_Budget Input Data'!$D$6*0.6/('I_Inputs &amp; Assumptions'!$B$8/2),'I_Budget Input Data'!$D$6*0.2/('I_Inputs &amp; Assumptions'!$B$8/4))),IF('I_Budget Input Data'!$E$6="At Completion",IF(13='I_Inputs &amp; Assumptions'!$B$8,'I_Budget Input Data'!$D$6,0),'I_Budget Input Data'!$D$6/'I_Inputs &amp; Assumptions'!$B$8)))))),0)</f>
        <v>0</v>
      </c>
      <c r="P6" s="91">
        <f>IF(14&lt;='I_Inputs &amp; Assumptions'!$B$8,IF('I_Budget Input Data'!$E$6="Upfront",IF(14=1,'I_Budget Input Data'!$D$6,0),IF('I_Budget Input Data'!$E$6="Equal",'I_Budget Input Data'!$D$6/'I_Inputs &amp; Assumptions'!$B$8,IF('I_Budget Input Data'!$E$6="Front-loaded",IF(14&lt;='I_Inputs &amp; Assumptions'!$B$8/2,'I_Budget Input Data'!$D$6*0.6/('I_Inputs &amp; Assumptions'!$B$8/2),'I_Budget Input Data'!$D$6*0.4/('I_Inputs &amp; Assumptions'!$B$8/2)),IF('I_Budget Input Data'!$E$6="Back-loaded",IF(14&lt;='I_Inputs &amp; Assumptions'!$B$8/2,'I_Budget Input Data'!$D$6*0.4/('I_Inputs &amp; Assumptions'!$B$8/2),'I_Budget Input Data'!$D$6*0.6/('I_Inputs &amp; Assumptions'!$B$8/2)),IF('I_Budget Input Data'!$E$6="Mid-weighted",IF(14&lt;='I_Inputs &amp; Assumptions'!$B$8/4,'I_Budget Input Data'!$D$6*0.2/('I_Inputs &amp; Assumptions'!$B$8/4),IF(14&lt;='I_Inputs &amp; Assumptions'!$B$8*0.75,'I_Budget Input Data'!$D$6*0.6/('I_Inputs &amp; Assumptions'!$B$8/2),'I_Budget Input Data'!$D$6*0.2/('I_Inputs &amp; Assumptions'!$B$8/4))),IF('I_Budget Input Data'!$E$6="At Completion",IF(14='I_Inputs &amp; Assumptions'!$B$8,'I_Budget Input Data'!$D$6,0),'I_Budget Input Data'!$D$6/'I_Inputs &amp; Assumptions'!$B$8)))))),0)</f>
        <v>0</v>
      </c>
      <c r="Q6" s="91">
        <f>IF(15&lt;='I_Inputs &amp; Assumptions'!$B$8,IF('I_Budget Input Data'!$E$6="Upfront",IF(15=1,'I_Budget Input Data'!$D$6,0),IF('I_Budget Input Data'!$E$6="Equal",'I_Budget Input Data'!$D$6/'I_Inputs &amp; Assumptions'!$B$8,IF('I_Budget Input Data'!$E$6="Front-loaded",IF(15&lt;='I_Inputs &amp; Assumptions'!$B$8/2,'I_Budget Input Data'!$D$6*0.6/('I_Inputs &amp; Assumptions'!$B$8/2),'I_Budget Input Data'!$D$6*0.4/('I_Inputs &amp; Assumptions'!$B$8/2)),IF('I_Budget Input Data'!$E$6="Back-loaded",IF(15&lt;='I_Inputs &amp; Assumptions'!$B$8/2,'I_Budget Input Data'!$D$6*0.4/('I_Inputs &amp; Assumptions'!$B$8/2),'I_Budget Input Data'!$D$6*0.6/('I_Inputs &amp; Assumptions'!$B$8/2)),IF('I_Budget Input Data'!$E$6="Mid-weighted",IF(15&lt;='I_Inputs &amp; Assumptions'!$B$8/4,'I_Budget Input Data'!$D$6*0.2/('I_Inputs &amp; Assumptions'!$B$8/4),IF(15&lt;='I_Inputs &amp; Assumptions'!$B$8*0.75,'I_Budget Input Data'!$D$6*0.6/('I_Inputs &amp; Assumptions'!$B$8/2),'I_Budget Input Data'!$D$6*0.2/('I_Inputs &amp; Assumptions'!$B$8/4))),IF('I_Budget Input Data'!$E$6="At Completion",IF(15='I_Inputs &amp; Assumptions'!$B$8,'I_Budget Input Data'!$D$6,0),'I_Budget Input Data'!$D$6/'I_Inputs &amp; Assumptions'!$B$8)))))),0)</f>
        <v>0</v>
      </c>
      <c r="R6" s="91">
        <f>IF(16&lt;='I_Inputs &amp; Assumptions'!$B$8,IF('I_Budget Input Data'!$E$6="Upfront",IF(16=1,'I_Budget Input Data'!$D$6,0),IF('I_Budget Input Data'!$E$6="Equal",'I_Budget Input Data'!$D$6/'I_Inputs &amp; Assumptions'!$B$8,IF('I_Budget Input Data'!$E$6="Front-loaded",IF(16&lt;='I_Inputs &amp; Assumptions'!$B$8/2,'I_Budget Input Data'!$D$6*0.6/('I_Inputs &amp; Assumptions'!$B$8/2),'I_Budget Input Data'!$D$6*0.4/('I_Inputs &amp; Assumptions'!$B$8/2)),IF('I_Budget Input Data'!$E$6="Back-loaded",IF(16&lt;='I_Inputs &amp; Assumptions'!$B$8/2,'I_Budget Input Data'!$D$6*0.4/('I_Inputs &amp; Assumptions'!$B$8/2),'I_Budget Input Data'!$D$6*0.6/('I_Inputs &amp; Assumptions'!$B$8/2)),IF('I_Budget Input Data'!$E$6="Mid-weighted",IF(16&lt;='I_Inputs &amp; Assumptions'!$B$8/4,'I_Budget Input Data'!$D$6*0.2/('I_Inputs &amp; Assumptions'!$B$8/4),IF(16&lt;='I_Inputs &amp; Assumptions'!$B$8*0.75,'I_Budget Input Data'!$D$6*0.6/('I_Inputs &amp; Assumptions'!$B$8/2),'I_Budget Input Data'!$D$6*0.2/('I_Inputs &amp; Assumptions'!$B$8/4))),IF('I_Budget Input Data'!$E$6="At Completion",IF(16='I_Inputs &amp; Assumptions'!$B$8,'I_Budget Input Data'!$D$6,0),'I_Budget Input Data'!$D$6/'I_Inputs &amp; Assumptions'!$B$8)))))),0)</f>
        <v>0</v>
      </c>
      <c r="S6" s="91">
        <f>IF(17&lt;='I_Inputs &amp; Assumptions'!$B$8,IF('I_Budget Input Data'!$E$6="Upfront",IF(17=1,'I_Budget Input Data'!$D$6,0),IF('I_Budget Input Data'!$E$6="Equal",'I_Budget Input Data'!$D$6/'I_Inputs &amp; Assumptions'!$B$8,IF('I_Budget Input Data'!$E$6="Front-loaded",IF(17&lt;='I_Inputs &amp; Assumptions'!$B$8/2,'I_Budget Input Data'!$D$6*0.6/('I_Inputs &amp; Assumptions'!$B$8/2),'I_Budget Input Data'!$D$6*0.4/('I_Inputs &amp; Assumptions'!$B$8/2)),IF('I_Budget Input Data'!$E$6="Back-loaded",IF(17&lt;='I_Inputs &amp; Assumptions'!$B$8/2,'I_Budget Input Data'!$D$6*0.4/('I_Inputs &amp; Assumptions'!$B$8/2),'I_Budget Input Data'!$D$6*0.6/('I_Inputs &amp; Assumptions'!$B$8/2)),IF('I_Budget Input Data'!$E$6="Mid-weighted",IF(17&lt;='I_Inputs &amp; Assumptions'!$B$8/4,'I_Budget Input Data'!$D$6*0.2/('I_Inputs &amp; Assumptions'!$B$8/4),IF(17&lt;='I_Inputs &amp; Assumptions'!$B$8*0.75,'I_Budget Input Data'!$D$6*0.6/('I_Inputs &amp; Assumptions'!$B$8/2),'I_Budget Input Data'!$D$6*0.2/('I_Inputs &amp; Assumptions'!$B$8/4))),IF('I_Budget Input Data'!$E$6="At Completion",IF(17='I_Inputs &amp; Assumptions'!$B$8,'I_Budget Input Data'!$D$6,0),'I_Budget Input Data'!$D$6/'I_Inputs &amp; Assumptions'!$B$8)))))),0)</f>
        <v>0</v>
      </c>
      <c r="T6" s="91">
        <f>IF(18&lt;='I_Inputs &amp; Assumptions'!$B$8,IF('I_Budget Input Data'!$E$6="Upfront",IF(18=1,'I_Budget Input Data'!$D$6,0),IF('I_Budget Input Data'!$E$6="Equal",'I_Budget Input Data'!$D$6/'I_Inputs &amp; Assumptions'!$B$8,IF('I_Budget Input Data'!$E$6="Front-loaded",IF(18&lt;='I_Inputs &amp; Assumptions'!$B$8/2,'I_Budget Input Data'!$D$6*0.6/('I_Inputs &amp; Assumptions'!$B$8/2),'I_Budget Input Data'!$D$6*0.4/('I_Inputs &amp; Assumptions'!$B$8/2)),IF('I_Budget Input Data'!$E$6="Back-loaded",IF(18&lt;='I_Inputs &amp; Assumptions'!$B$8/2,'I_Budget Input Data'!$D$6*0.4/('I_Inputs &amp; Assumptions'!$B$8/2),'I_Budget Input Data'!$D$6*0.6/('I_Inputs &amp; Assumptions'!$B$8/2)),IF('I_Budget Input Data'!$E$6="Mid-weighted",IF(18&lt;='I_Inputs &amp; Assumptions'!$B$8/4,'I_Budget Input Data'!$D$6*0.2/('I_Inputs &amp; Assumptions'!$B$8/4),IF(18&lt;='I_Inputs &amp; Assumptions'!$B$8*0.75,'I_Budget Input Data'!$D$6*0.6/('I_Inputs &amp; Assumptions'!$B$8/2),'I_Budget Input Data'!$D$6*0.2/('I_Inputs &amp; Assumptions'!$B$8/4))),IF('I_Budget Input Data'!$E$6="At Completion",IF(18='I_Inputs &amp; Assumptions'!$B$8,'I_Budget Input Data'!$D$6,0),'I_Budget Input Data'!$D$6/'I_Inputs &amp; Assumptions'!$B$8)))))),0)</f>
        <v>0</v>
      </c>
      <c r="U6" s="91">
        <f>IF(19&lt;='I_Inputs &amp; Assumptions'!$B$8,IF('I_Budget Input Data'!$E$6="Upfront",IF(19=1,'I_Budget Input Data'!$D$6,0),IF('I_Budget Input Data'!$E$6="Equal",'I_Budget Input Data'!$D$6/'I_Inputs &amp; Assumptions'!$B$8,IF('I_Budget Input Data'!$E$6="Front-loaded",IF(19&lt;='I_Inputs &amp; Assumptions'!$B$8/2,'I_Budget Input Data'!$D$6*0.6/('I_Inputs &amp; Assumptions'!$B$8/2),'I_Budget Input Data'!$D$6*0.4/('I_Inputs &amp; Assumptions'!$B$8/2)),IF('I_Budget Input Data'!$E$6="Back-loaded",IF(19&lt;='I_Inputs &amp; Assumptions'!$B$8/2,'I_Budget Input Data'!$D$6*0.4/('I_Inputs &amp; Assumptions'!$B$8/2),'I_Budget Input Data'!$D$6*0.6/('I_Inputs &amp; Assumptions'!$B$8/2)),IF('I_Budget Input Data'!$E$6="Mid-weighted",IF(19&lt;='I_Inputs &amp; Assumptions'!$B$8/4,'I_Budget Input Data'!$D$6*0.2/('I_Inputs &amp; Assumptions'!$B$8/4),IF(19&lt;='I_Inputs &amp; Assumptions'!$B$8*0.75,'I_Budget Input Data'!$D$6*0.6/('I_Inputs &amp; Assumptions'!$B$8/2),'I_Budget Input Data'!$D$6*0.2/('I_Inputs &amp; Assumptions'!$B$8/4))),IF('I_Budget Input Data'!$E$6="At Completion",IF(19='I_Inputs &amp; Assumptions'!$B$8,'I_Budget Input Data'!$D$6,0),'I_Budget Input Data'!$D$6/'I_Inputs &amp; Assumptions'!$B$8)))))),0)</f>
        <v>0</v>
      </c>
      <c r="V6" s="91">
        <f>IF(20&lt;='I_Inputs &amp; Assumptions'!$B$8,IF('I_Budget Input Data'!$E$6="Upfront",IF(20=1,'I_Budget Input Data'!$D$6,0),IF('I_Budget Input Data'!$E$6="Equal",'I_Budget Input Data'!$D$6/'I_Inputs &amp; Assumptions'!$B$8,IF('I_Budget Input Data'!$E$6="Front-loaded",IF(20&lt;='I_Inputs &amp; Assumptions'!$B$8/2,'I_Budget Input Data'!$D$6*0.6/('I_Inputs &amp; Assumptions'!$B$8/2),'I_Budget Input Data'!$D$6*0.4/('I_Inputs &amp; Assumptions'!$B$8/2)),IF('I_Budget Input Data'!$E$6="Back-loaded",IF(20&lt;='I_Inputs &amp; Assumptions'!$B$8/2,'I_Budget Input Data'!$D$6*0.4/('I_Inputs &amp; Assumptions'!$B$8/2),'I_Budget Input Data'!$D$6*0.6/('I_Inputs &amp; Assumptions'!$B$8/2)),IF('I_Budget Input Data'!$E$6="Mid-weighted",IF(20&lt;='I_Inputs &amp; Assumptions'!$B$8/4,'I_Budget Input Data'!$D$6*0.2/('I_Inputs &amp; Assumptions'!$B$8/4),IF(20&lt;='I_Inputs &amp; Assumptions'!$B$8*0.75,'I_Budget Input Data'!$D$6*0.6/('I_Inputs &amp; Assumptions'!$B$8/2),'I_Budget Input Data'!$D$6*0.2/('I_Inputs &amp; Assumptions'!$B$8/4))),IF('I_Budget Input Data'!$E$6="At Completion",IF(20='I_Inputs &amp; Assumptions'!$B$8,'I_Budget Input Data'!$D$6,0),'I_Budget Input Data'!$D$6/'I_Inputs &amp; Assumptions'!$B$8)))))),0)</f>
        <v>0</v>
      </c>
      <c r="W6" s="91">
        <f>IF(21&lt;='I_Inputs &amp; Assumptions'!$B$8,IF('I_Budget Input Data'!$E$6="Upfront",IF(21=1,'I_Budget Input Data'!$D$6,0),IF('I_Budget Input Data'!$E$6="Equal",'I_Budget Input Data'!$D$6/'I_Inputs &amp; Assumptions'!$B$8,IF('I_Budget Input Data'!$E$6="Front-loaded",IF(21&lt;='I_Inputs &amp; Assumptions'!$B$8/2,'I_Budget Input Data'!$D$6*0.6/('I_Inputs &amp; Assumptions'!$B$8/2),'I_Budget Input Data'!$D$6*0.4/('I_Inputs &amp; Assumptions'!$B$8/2)),IF('I_Budget Input Data'!$E$6="Back-loaded",IF(21&lt;='I_Inputs &amp; Assumptions'!$B$8/2,'I_Budget Input Data'!$D$6*0.4/('I_Inputs &amp; Assumptions'!$B$8/2),'I_Budget Input Data'!$D$6*0.6/('I_Inputs &amp; Assumptions'!$B$8/2)),IF('I_Budget Input Data'!$E$6="Mid-weighted",IF(21&lt;='I_Inputs &amp; Assumptions'!$B$8/4,'I_Budget Input Data'!$D$6*0.2/('I_Inputs &amp; Assumptions'!$B$8/4),IF(21&lt;='I_Inputs &amp; Assumptions'!$B$8*0.75,'I_Budget Input Data'!$D$6*0.6/('I_Inputs &amp; Assumptions'!$B$8/2),'I_Budget Input Data'!$D$6*0.2/('I_Inputs &amp; Assumptions'!$B$8/4))),IF('I_Budget Input Data'!$E$6="At Completion",IF(21='I_Inputs &amp; Assumptions'!$B$8,'I_Budget Input Data'!$D$6,0),'I_Budget Input Data'!$D$6/'I_Inputs &amp; Assumptions'!$B$8)))))),0)</f>
        <v>0</v>
      </c>
      <c r="X6" s="91">
        <f>IF(22&lt;='I_Inputs &amp; Assumptions'!$B$8,IF('I_Budget Input Data'!$E$6="Upfront",IF(22=1,'I_Budget Input Data'!$D$6,0),IF('I_Budget Input Data'!$E$6="Equal",'I_Budget Input Data'!$D$6/'I_Inputs &amp; Assumptions'!$B$8,IF('I_Budget Input Data'!$E$6="Front-loaded",IF(22&lt;='I_Inputs &amp; Assumptions'!$B$8/2,'I_Budget Input Data'!$D$6*0.6/('I_Inputs &amp; Assumptions'!$B$8/2),'I_Budget Input Data'!$D$6*0.4/('I_Inputs &amp; Assumptions'!$B$8/2)),IF('I_Budget Input Data'!$E$6="Back-loaded",IF(22&lt;='I_Inputs &amp; Assumptions'!$B$8/2,'I_Budget Input Data'!$D$6*0.4/('I_Inputs &amp; Assumptions'!$B$8/2),'I_Budget Input Data'!$D$6*0.6/('I_Inputs &amp; Assumptions'!$B$8/2)),IF('I_Budget Input Data'!$E$6="Mid-weighted",IF(22&lt;='I_Inputs &amp; Assumptions'!$B$8/4,'I_Budget Input Data'!$D$6*0.2/('I_Inputs &amp; Assumptions'!$B$8/4),IF(22&lt;='I_Inputs &amp; Assumptions'!$B$8*0.75,'I_Budget Input Data'!$D$6*0.6/('I_Inputs &amp; Assumptions'!$B$8/2),'I_Budget Input Data'!$D$6*0.2/('I_Inputs &amp; Assumptions'!$B$8/4))),IF('I_Budget Input Data'!$E$6="At Completion",IF(22='I_Inputs &amp; Assumptions'!$B$8,'I_Budget Input Data'!$D$6,0),'I_Budget Input Data'!$D$6/'I_Inputs &amp; Assumptions'!$B$8)))))),0)</f>
        <v>0</v>
      </c>
      <c r="Y6" s="91">
        <f>IF(23&lt;='I_Inputs &amp; Assumptions'!$B$8,IF('I_Budget Input Data'!$E$6="Upfront",IF(23=1,'I_Budget Input Data'!$D$6,0),IF('I_Budget Input Data'!$E$6="Equal",'I_Budget Input Data'!$D$6/'I_Inputs &amp; Assumptions'!$B$8,IF('I_Budget Input Data'!$E$6="Front-loaded",IF(23&lt;='I_Inputs &amp; Assumptions'!$B$8/2,'I_Budget Input Data'!$D$6*0.6/('I_Inputs &amp; Assumptions'!$B$8/2),'I_Budget Input Data'!$D$6*0.4/('I_Inputs &amp; Assumptions'!$B$8/2)),IF('I_Budget Input Data'!$E$6="Back-loaded",IF(23&lt;='I_Inputs &amp; Assumptions'!$B$8/2,'I_Budget Input Data'!$D$6*0.4/('I_Inputs &amp; Assumptions'!$B$8/2),'I_Budget Input Data'!$D$6*0.6/('I_Inputs &amp; Assumptions'!$B$8/2)),IF('I_Budget Input Data'!$E$6="Mid-weighted",IF(23&lt;='I_Inputs &amp; Assumptions'!$B$8/4,'I_Budget Input Data'!$D$6*0.2/('I_Inputs &amp; Assumptions'!$B$8/4),IF(23&lt;='I_Inputs &amp; Assumptions'!$B$8*0.75,'I_Budget Input Data'!$D$6*0.6/('I_Inputs &amp; Assumptions'!$B$8/2),'I_Budget Input Data'!$D$6*0.2/('I_Inputs &amp; Assumptions'!$B$8/4))),IF('I_Budget Input Data'!$E$6="At Completion",IF(23='I_Inputs &amp; Assumptions'!$B$8,'I_Budget Input Data'!$D$6,0),'I_Budget Input Data'!$D$6/'I_Inputs &amp; Assumptions'!$B$8)))))),0)</f>
        <v>0</v>
      </c>
      <c r="Z6" s="91">
        <f>IF(24&lt;='I_Inputs &amp; Assumptions'!$B$8,IF('I_Budget Input Data'!$E$6="Upfront",IF(24=1,'I_Budget Input Data'!$D$6,0),IF('I_Budget Input Data'!$E$6="Equal",'I_Budget Input Data'!$D$6/'I_Inputs &amp; Assumptions'!$B$8,IF('I_Budget Input Data'!$E$6="Front-loaded",IF(24&lt;='I_Inputs &amp; Assumptions'!$B$8/2,'I_Budget Input Data'!$D$6*0.6/('I_Inputs &amp; Assumptions'!$B$8/2),'I_Budget Input Data'!$D$6*0.4/('I_Inputs &amp; Assumptions'!$B$8/2)),IF('I_Budget Input Data'!$E$6="Back-loaded",IF(24&lt;='I_Inputs &amp; Assumptions'!$B$8/2,'I_Budget Input Data'!$D$6*0.4/('I_Inputs &amp; Assumptions'!$B$8/2),'I_Budget Input Data'!$D$6*0.6/('I_Inputs &amp; Assumptions'!$B$8/2)),IF('I_Budget Input Data'!$E$6="Mid-weighted",IF(24&lt;='I_Inputs &amp; Assumptions'!$B$8/4,'I_Budget Input Data'!$D$6*0.2/('I_Inputs &amp; Assumptions'!$B$8/4),IF(24&lt;='I_Inputs &amp; Assumptions'!$B$8*0.75,'I_Budget Input Data'!$D$6*0.6/('I_Inputs &amp; Assumptions'!$B$8/2),'I_Budget Input Data'!$D$6*0.2/('I_Inputs &amp; Assumptions'!$B$8/4))),IF('I_Budget Input Data'!$E$6="At Completion",IF(24='I_Inputs &amp; Assumptions'!$B$8,'I_Budget Input Data'!$D$6,0),'I_Budget Input Data'!$D$6/'I_Inputs &amp; Assumptions'!$B$8)))))),0)</f>
        <v>0</v>
      </c>
      <c r="AA6" s="91">
        <f>IF(25&lt;='I_Inputs &amp; Assumptions'!$B$8,IF('I_Budget Input Data'!$E$6="Upfront",IF(25=1,'I_Budget Input Data'!$D$6,0),IF('I_Budget Input Data'!$E$6="Equal",'I_Budget Input Data'!$D$6/'I_Inputs &amp; Assumptions'!$B$8,IF('I_Budget Input Data'!$E$6="Front-loaded",IF(25&lt;='I_Inputs &amp; Assumptions'!$B$8/2,'I_Budget Input Data'!$D$6*0.6/('I_Inputs &amp; Assumptions'!$B$8/2),'I_Budget Input Data'!$D$6*0.4/('I_Inputs &amp; Assumptions'!$B$8/2)),IF('I_Budget Input Data'!$E$6="Back-loaded",IF(25&lt;='I_Inputs &amp; Assumptions'!$B$8/2,'I_Budget Input Data'!$D$6*0.4/('I_Inputs &amp; Assumptions'!$B$8/2),'I_Budget Input Data'!$D$6*0.6/('I_Inputs &amp; Assumptions'!$B$8/2)),IF('I_Budget Input Data'!$E$6="Mid-weighted",IF(25&lt;='I_Inputs &amp; Assumptions'!$B$8/4,'I_Budget Input Data'!$D$6*0.2/('I_Inputs &amp; Assumptions'!$B$8/4),IF(25&lt;='I_Inputs &amp; Assumptions'!$B$8*0.75,'I_Budget Input Data'!$D$6*0.6/('I_Inputs &amp; Assumptions'!$B$8/2),'I_Budget Input Data'!$D$6*0.2/('I_Inputs &amp; Assumptions'!$B$8/4))),IF('I_Budget Input Data'!$E$6="At Completion",IF(25='I_Inputs &amp; Assumptions'!$B$8,'I_Budget Input Data'!$D$6,0),'I_Budget Input Data'!$D$6/'I_Inputs &amp; Assumptions'!$B$8)))))),0)</f>
        <v>0</v>
      </c>
      <c r="AB6" s="91">
        <f>IF(26&lt;='I_Inputs &amp; Assumptions'!$B$8,IF('I_Budget Input Data'!$E$6="Upfront",IF(26=1,'I_Budget Input Data'!$D$6,0),IF('I_Budget Input Data'!$E$6="Equal",'I_Budget Input Data'!$D$6/'I_Inputs &amp; Assumptions'!$B$8,IF('I_Budget Input Data'!$E$6="Front-loaded",IF(26&lt;='I_Inputs &amp; Assumptions'!$B$8/2,'I_Budget Input Data'!$D$6*0.6/('I_Inputs &amp; Assumptions'!$B$8/2),'I_Budget Input Data'!$D$6*0.4/('I_Inputs &amp; Assumptions'!$B$8/2)),IF('I_Budget Input Data'!$E$6="Back-loaded",IF(26&lt;='I_Inputs &amp; Assumptions'!$B$8/2,'I_Budget Input Data'!$D$6*0.4/('I_Inputs &amp; Assumptions'!$B$8/2),'I_Budget Input Data'!$D$6*0.6/('I_Inputs &amp; Assumptions'!$B$8/2)),IF('I_Budget Input Data'!$E$6="Mid-weighted",IF(26&lt;='I_Inputs &amp; Assumptions'!$B$8/4,'I_Budget Input Data'!$D$6*0.2/('I_Inputs &amp; Assumptions'!$B$8/4),IF(26&lt;='I_Inputs &amp; Assumptions'!$B$8*0.75,'I_Budget Input Data'!$D$6*0.6/('I_Inputs &amp; Assumptions'!$B$8/2),'I_Budget Input Data'!$D$6*0.2/('I_Inputs &amp; Assumptions'!$B$8/4))),IF('I_Budget Input Data'!$E$6="At Completion",IF(26='I_Inputs &amp; Assumptions'!$B$8,'I_Budget Input Data'!$D$6,0),'I_Budget Input Data'!$D$6/'I_Inputs &amp; Assumptions'!$B$8)))))),0)</f>
        <v>0</v>
      </c>
      <c r="AC6" s="91">
        <f>IF(27&lt;='I_Inputs &amp; Assumptions'!$B$8,IF('I_Budget Input Data'!$E$6="Upfront",IF(27=1,'I_Budget Input Data'!$D$6,0),IF('I_Budget Input Data'!$E$6="Equal",'I_Budget Input Data'!$D$6/'I_Inputs &amp; Assumptions'!$B$8,IF('I_Budget Input Data'!$E$6="Front-loaded",IF(27&lt;='I_Inputs &amp; Assumptions'!$B$8/2,'I_Budget Input Data'!$D$6*0.6/('I_Inputs &amp; Assumptions'!$B$8/2),'I_Budget Input Data'!$D$6*0.4/('I_Inputs &amp; Assumptions'!$B$8/2)),IF('I_Budget Input Data'!$E$6="Back-loaded",IF(27&lt;='I_Inputs &amp; Assumptions'!$B$8/2,'I_Budget Input Data'!$D$6*0.4/('I_Inputs &amp; Assumptions'!$B$8/2),'I_Budget Input Data'!$D$6*0.6/('I_Inputs &amp; Assumptions'!$B$8/2)),IF('I_Budget Input Data'!$E$6="Mid-weighted",IF(27&lt;='I_Inputs &amp; Assumptions'!$B$8/4,'I_Budget Input Data'!$D$6*0.2/('I_Inputs &amp; Assumptions'!$B$8/4),IF(27&lt;='I_Inputs &amp; Assumptions'!$B$8*0.75,'I_Budget Input Data'!$D$6*0.6/('I_Inputs &amp; Assumptions'!$B$8/2),'I_Budget Input Data'!$D$6*0.2/('I_Inputs &amp; Assumptions'!$B$8/4))),IF('I_Budget Input Data'!$E$6="At Completion",IF(27='I_Inputs &amp; Assumptions'!$B$8,'I_Budget Input Data'!$D$6,0),'I_Budget Input Data'!$D$6/'I_Inputs &amp; Assumptions'!$B$8)))))),0)</f>
        <v>0</v>
      </c>
      <c r="AD6" s="91">
        <f>IF(28&lt;='I_Inputs &amp; Assumptions'!$B$8,IF('I_Budget Input Data'!$E$6="Upfront",IF(28=1,'I_Budget Input Data'!$D$6,0),IF('I_Budget Input Data'!$E$6="Equal",'I_Budget Input Data'!$D$6/'I_Inputs &amp; Assumptions'!$B$8,IF('I_Budget Input Data'!$E$6="Front-loaded",IF(28&lt;='I_Inputs &amp; Assumptions'!$B$8/2,'I_Budget Input Data'!$D$6*0.6/('I_Inputs &amp; Assumptions'!$B$8/2),'I_Budget Input Data'!$D$6*0.4/('I_Inputs &amp; Assumptions'!$B$8/2)),IF('I_Budget Input Data'!$E$6="Back-loaded",IF(28&lt;='I_Inputs &amp; Assumptions'!$B$8/2,'I_Budget Input Data'!$D$6*0.4/('I_Inputs &amp; Assumptions'!$B$8/2),'I_Budget Input Data'!$D$6*0.6/('I_Inputs &amp; Assumptions'!$B$8/2)),IF('I_Budget Input Data'!$E$6="Mid-weighted",IF(28&lt;='I_Inputs &amp; Assumptions'!$B$8/4,'I_Budget Input Data'!$D$6*0.2/('I_Inputs &amp; Assumptions'!$B$8/4),IF(28&lt;='I_Inputs &amp; Assumptions'!$B$8*0.75,'I_Budget Input Data'!$D$6*0.6/('I_Inputs &amp; Assumptions'!$B$8/2),'I_Budget Input Data'!$D$6*0.2/('I_Inputs &amp; Assumptions'!$B$8/4))),IF('I_Budget Input Data'!$E$6="At Completion",IF(28='I_Inputs &amp; Assumptions'!$B$8,'I_Budget Input Data'!$D$6,0),'I_Budget Input Data'!$D$6/'I_Inputs &amp; Assumptions'!$B$8)))))),0)</f>
        <v>0</v>
      </c>
      <c r="AE6" s="91">
        <f>IF(29&lt;='I_Inputs &amp; Assumptions'!$B$8,IF('I_Budget Input Data'!$E$6="Upfront",IF(29=1,'I_Budget Input Data'!$D$6,0),IF('I_Budget Input Data'!$E$6="Equal",'I_Budget Input Data'!$D$6/'I_Inputs &amp; Assumptions'!$B$8,IF('I_Budget Input Data'!$E$6="Front-loaded",IF(29&lt;='I_Inputs &amp; Assumptions'!$B$8/2,'I_Budget Input Data'!$D$6*0.6/('I_Inputs &amp; Assumptions'!$B$8/2),'I_Budget Input Data'!$D$6*0.4/('I_Inputs &amp; Assumptions'!$B$8/2)),IF('I_Budget Input Data'!$E$6="Back-loaded",IF(29&lt;='I_Inputs &amp; Assumptions'!$B$8/2,'I_Budget Input Data'!$D$6*0.4/('I_Inputs &amp; Assumptions'!$B$8/2),'I_Budget Input Data'!$D$6*0.6/('I_Inputs &amp; Assumptions'!$B$8/2)),IF('I_Budget Input Data'!$E$6="Mid-weighted",IF(29&lt;='I_Inputs &amp; Assumptions'!$B$8/4,'I_Budget Input Data'!$D$6*0.2/('I_Inputs &amp; Assumptions'!$B$8/4),IF(29&lt;='I_Inputs &amp; Assumptions'!$B$8*0.75,'I_Budget Input Data'!$D$6*0.6/('I_Inputs &amp; Assumptions'!$B$8/2),'I_Budget Input Data'!$D$6*0.2/('I_Inputs &amp; Assumptions'!$B$8/4))),IF('I_Budget Input Data'!$E$6="At Completion",IF(29='I_Inputs &amp; Assumptions'!$B$8,'I_Budget Input Data'!$D$6,0),'I_Budget Input Data'!$D$6/'I_Inputs &amp; Assumptions'!$B$8)))))),0)</f>
        <v>0</v>
      </c>
      <c r="AF6" s="91">
        <f>IF(30&lt;='I_Inputs &amp; Assumptions'!$B$8,IF('I_Budget Input Data'!$E$6="Upfront",IF(30=1,'I_Budget Input Data'!$D$6,0),IF('I_Budget Input Data'!$E$6="Equal",'I_Budget Input Data'!$D$6/'I_Inputs &amp; Assumptions'!$B$8,IF('I_Budget Input Data'!$E$6="Front-loaded",IF(30&lt;='I_Inputs &amp; Assumptions'!$B$8/2,'I_Budget Input Data'!$D$6*0.6/('I_Inputs &amp; Assumptions'!$B$8/2),'I_Budget Input Data'!$D$6*0.4/('I_Inputs &amp; Assumptions'!$B$8/2)),IF('I_Budget Input Data'!$E$6="Back-loaded",IF(30&lt;='I_Inputs &amp; Assumptions'!$B$8/2,'I_Budget Input Data'!$D$6*0.4/('I_Inputs &amp; Assumptions'!$B$8/2),'I_Budget Input Data'!$D$6*0.6/('I_Inputs &amp; Assumptions'!$B$8/2)),IF('I_Budget Input Data'!$E$6="Mid-weighted",IF(30&lt;='I_Inputs &amp; Assumptions'!$B$8/4,'I_Budget Input Data'!$D$6*0.2/('I_Inputs &amp; Assumptions'!$B$8/4),IF(30&lt;='I_Inputs &amp; Assumptions'!$B$8*0.75,'I_Budget Input Data'!$D$6*0.6/('I_Inputs &amp; Assumptions'!$B$8/2),'I_Budget Input Data'!$D$6*0.2/('I_Inputs &amp; Assumptions'!$B$8/4))),IF('I_Budget Input Data'!$E$6="At Completion",IF(30='I_Inputs &amp; Assumptions'!$B$8,'I_Budget Input Data'!$D$6,0),'I_Budget Input Data'!$D$6/'I_Inputs &amp; Assumptions'!$B$8)))))),0)</f>
        <v>0</v>
      </c>
      <c r="AG6" s="91">
        <f>IF(31&lt;='I_Inputs &amp; Assumptions'!$B$8,IF('I_Budget Input Data'!$E$6="Upfront",IF(31=1,'I_Budget Input Data'!$D$6,0),IF('I_Budget Input Data'!$E$6="Equal",'I_Budget Input Data'!$D$6/'I_Inputs &amp; Assumptions'!$B$8,IF('I_Budget Input Data'!$E$6="Front-loaded",IF(31&lt;='I_Inputs &amp; Assumptions'!$B$8/2,'I_Budget Input Data'!$D$6*0.6/('I_Inputs &amp; Assumptions'!$B$8/2),'I_Budget Input Data'!$D$6*0.4/('I_Inputs &amp; Assumptions'!$B$8/2)),IF('I_Budget Input Data'!$E$6="Back-loaded",IF(31&lt;='I_Inputs &amp; Assumptions'!$B$8/2,'I_Budget Input Data'!$D$6*0.4/('I_Inputs &amp; Assumptions'!$B$8/2),'I_Budget Input Data'!$D$6*0.6/('I_Inputs &amp; Assumptions'!$B$8/2)),IF('I_Budget Input Data'!$E$6="Mid-weighted",IF(31&lt;='I_Inputs &amp; Assumptions'!$B$8/4,'I_Budget Input Data'!$D$6*0.2/('I_Inputs &amp; Assumptions'!$B$8/4),IF(31&lt;='I_Inputs &amp; Assumptions'!$B$8*0.75,'I_Budget Input Data'!$D$6*0.6/('I_Inputs &amp; Assumptions'!$B$8/2),'I_Budget Input Data'!$D$6*0.2/('I_Inputs &amp; Assumptions'!$B$8/4))),IF('I_Budget Input Data'!$E$6="At Completion",IF(31='I_Inputs &amp; Assumptions'!$B$8,'I_Budget Input Data'!$D$6,0),'I_Budget Input Data'!$D$6/'I_Inputs &amp; Assumptions'!$B$8)))))),0)</f>
        <v>0</v>
      </c>
      <c r="AH6" s="91">
        <f>IF(32&lt;='I_Inputs &amp; Assumptions'!$B$8,IF('I_Budget Input Data'!$E$6="Upfront",IF(32=1,'I_Budget Input Data'!$D$6,0),IF('I_Budget Input Data'!$E$6="Equal",'I_Budget Input Data'!$D$6/'I_Inputs &amp; Assumptions'!$B$8,IF('I_Budget Input Data'!$E$6="Front-loaded",IF(32&lt;='I_Inputs &amp; Assumptions'!$B$8/2,'I_Budget Input Data'!$D$6*0.6/('I_Inputs &amp; Assumptions'!$B$8/2),'I_Budget Input Data'!$D$6*0.4/('I_Inputs &amp; Assumptions'!$B$8/2)),IF('I_Budget Input Data'!$E$6="Back-loaded",IF(32&lt;='I_Inputs &amp; Assumptions'!$B$8/2,'I_Budget Input Data'!$D$6*0.4/('I_Inputs &amp; Assumptions'!$B$8/2),'I_Budget Input Data'!$D$6*0.6/('I_Inputs &amp; Assumptions'!$B$8/2)),IF('I_Budget Input Data'!$E$6="Mid-weighted",IF(32&lt;='I_Inputs &amp; Assumptions'!$B$8/4,'I_Budget Input Data'!$D$6*0.2/('I_Inputs &amp; Assumptions'!$B$8/4),IF(32&lt;='I_Inputs &amp; Assumptions'!$B$8*0.75,'I_Budget Input Data'!$D$6*0.6/('I_Inputs &amp; Assumptions'!$B$8/2),'I_Budget Input Data'!$D$6*0.2/('I_Inputs &amp; Assumptions'!$B$8/4))),IF('I_Budget Input Data'!$E$6="At Completion",IF(32='I_Inputs &amp; Assumptions'!$B$8,'I_Budget Input Data'!$D$6,0),'I_Budget Input Data'!$D$6/'I_Inputs &amp; Assumptions'!$B$8)))))),0)</f>
        <v>0</v>
      </c>
      <c r="AI6" s="91">
        <f>IF(33&lt;='I_Inputs &amp; Assumptions'!$B$8,IF('I_Budget Input Data'!$E$6="Upfront",IF(33=1,'I_Budget Input Data'!$D$6,0),IF('I_Budget Input Data'!$E$6="Equal",'I_Budget Input Data'!$D$6/'I_Inputs &amp; Assumptions'!$B$8,IF('I_Budget Input Data'!$E$6="Front-loaded",IF(33&lt;='I_Inputs &amp; Assumptions'!$B$8/2,'I_Budget Input Data'!$D$6*0.6/('I_Inputs &amp; Assumptions'!$B$8/2),'I_Budget Input Data'!$D$6*0.4/('I_Inputs &amp; Assumptions'!$B$8/2)),IF('I_Budget Input Data'!$E$6="Back-loaded",IF(33&lt;='I_Inputs &amp; Assumptions'!$B$8/2,'I_Budget Input Data'!$D$6*0.4/('I_Inputs &amp; Assumptions'!$B$8/2),'I_Budget Input Data'!$D$6*0.6/('I_Inputs &amp; Assumptions'!$B$8/2)),IF('I_Budget Input Data'!$E$6="Mid-weighted",IF(33&lt;='I_Inputs &amp; Assumptions'!$B$8/4,'I_Budget Input Data'!$D$6*0.2/('I_Inputs &amp; Assumptions'!$B$8/4),IF(33&lt;='I_Inputs &amp; Assumptions'!$B$8*0.75,'I_Budget Input Data'!$D$6*0.6/('I_Inputs &amp; Assumptions'!$B$8/2),'I_Budget Input Data'!$D$6*0.2/('I_Inputs &amp; Assumptions'!$B$8/4))),IF('I_Budget Input Data'!$E$6="At Completion",IF(33='I_Inputs &amp; Assumptions'!$B$8,'I_Budget Input Data'!$D$6,0),'I_Budget Input Data'!$D$6/'I_Inputs &amp; Assumptions'!$B$8)))))),0)</f>
        <v>0</v>
      </c>
      <c r="AJ6" s="91">
        <f>IF(34&lt;='I_Inputs &amp; Assumptions'!$B$8,IF('I_Budget Input Data'!$E$6="Upfront",IF(34=1,'I_Budget Input Data'!$D$6,0),IF('I_Budget Input Data'!$E$6="Equal",'I_Budget Input Data'!$D$6/'I_Inputs &amp; Assumptions'!$B$8,IF('I_Budget Input Data'!$E$6="Front-loaded",IF(34&lt;='I_Inputs &amp; Assumptions'!$B$8/2,'I_Budget Input Data'!$D$6*0.6/('I_Inputs &amp; Assumptions'!$B$8/2),'I_Budget Input Data'!$D$6*0.4/('I_Inputs &amp; Assumptions'!$B$8/2)),IF('I_Budget Input Data'!$E$6="Back-loaded",IF(34&lt;='I_Inputs &amp; Assumptions'!$B$8/2,'I_Budget Input Data'!$D$6*0.4/('I_Inputs &amp; Assumptions'!$B$8/2),'I_Budget Input Data'!$D$6*0.6/('I_Inputs &amp; Assumptions'!$B$8/2)),IF('I_Budget Input Data'!$E$6="Mid-weighted",IF(34&lt;='I_Inputs &amp; Assumptions'!$B$8/4,'I_Budget Input Data'!$D$6*0.2/('I_Inputs &amp; Assumptions'!$B$8/4),IF(34&lt;='I_Inputs &amp; Assumptions'!$B$8*0.75,'I_Budget Input Data'!$D$6*0.6/('I_Inputs &amp; Assumptions'!$B$8/2),'I_Budget Input Data'!$D$6*0.2/('I_Inputs &amp; Assumptions'!$B$8/4))),IF('I_Budget Input Data'!$E$6="At Completion",IF(34='I_Inputs &amp; Assumptions'!$B$8,'I_Budget Input Data'!$D$6,0),'I_Budget Input Data'!$D$6/'I_Inputs &amp; Assumptions'!$B$8)))))),0)</f>
        <v>0</v>
      </c>
      <c r="AK6" s="91">
        <f>IF(35&lt;='I_Inputs &amp; Assumptions'!$B$8,IF('I_Budget Input Data'!$E$6="Upfront",IF(35=1,'I_Budget Input Data'!$D$6,0),IF('I_Budget Input Data'!$E$6="Equal",'I_Budget Input Data'!$D$6/'I_Inputs &amp; Assumptions'!$B$8,IF('I_Budget Input Data'!$E$6="Front-loaded",IF(35&lt;='I_Inputs &amp; Assumptions'!$B$8/2,'I_Budget Input Data'!$D$6*0.6/('I_Inputs &amp; Assumptions'!$B$8/2),'I_Budget Input Data'!$D$6*0.4/('I_Inputs &amp; Assumptions'!$B$8/2)),IF('I_Budget Input Data'!$E$6="Back-loaded",IF(35&lt;='I_Inputs &amp; Assumptions'!$B$8/2,'I_Budget Input Data'!$D$6*0.4/('I_Inputs &amp; Assumptions'!$B$8/2),'I_Budget Input Data'!$D$6*0.6/('I_Inputs &amp; Assumptions'!$B$8/2)),IF('I_Budget Input Data'!$E$6="Mid-weighted",IF(35&lt;='I_Inputs &amp; Assumptions'!$B$8/4,'I_Budget Input Data'!$D$6*0.2/('I_Inputs &amp; Assumptions'!$B$8/4),IF(35&lt;='I_Inputs &amp; Assumptions'!$B$8*0.75,'I_Budget Input Data'!$D$6*0.6/('I_Inputs &amp; Assumptions'!$B$8/2),'I_Budget Input Data'!$D$6*0.2/('I_Inputs &amp; Assumptions'!$B$8/4))),IF('I_Budget Input Data'!$E$6="At Completion",IF(35='I_Inputs &amp; Assumptions'!$B$8,'I_Budget Input Data'!$D$6,0),'I_Budget Input Data'!$D$6/'I_Inputs &amp; Assumptions'!$B$8)))))),0)</f>
        <v>0</v>
      </c>
      <c r="AL6" s="91">
        <f>IF(36&lt;='I_Inputs &amp; Assumptions'!$B$8,IF('I_Budget Input Data'!$E$6="Upfront",IF(36=1,'I_Budget Input Data'!$D$6,0),IF('I_Budget Input Data'!$E$6="Equal",'I_Budget Input Data'!$D$6/'I_Inputs &amp; Assumptions'!$B$8,IF('I_Budget Input Data'!$E$6="Front-loaded",IF(36&lt;='I_Inputs &amp; Assumptions'!$B$8/2,'I_Budget Input Data'!$D$6*0.6/('I_Inputs &amp; Assumptions'!$B$8/2),'I_Budget Input Data'!$D$6*0.4/('I_Inputs &amp; Assumptions'!$B$8/2)),IF('I_Budget Input Data'!$E$6="Back-loaded",IF(36&lt;='I_Inputs &amp; Assumptions'!$B$8/2,'I_Budget Input Data'!$D$6*0.4/('I_Inputs &amp; Assumptions'!$B$8/2),'I_Budget Input Data'!$D$6*0.6/('I_Inputs &amp; Assumptions'!$B$8/2)),IF('I_Budget Input Data'!$E$6="Mid-weighted",IF(36&lt;='I_Inputs &amp; Assumptions'!$B$8/4,'I_Budget Input Data'!$D$6*0.2/('I_Inputs &amp; Assumptions'!$B$8/4),IF(36&lt;='I_Inputs &amp; Assumptions'!$B$8*0.75,'I_Budget Input Data'!$D$6*0.6/('I_Inputs &amp; Assumptions'!$B$8/2),'I_Budget Input Data'!$D$6*0.2/('I_Inputs &amp; Assumptions'!$B$8/4))),IF('I_Budget Input Data'!$E$6="At Completion",IF(36='I_Inputs &amp; Assumptions'!$B$8,'I_Budget Input Data'!$D$6,0),'I_Budget Input Data'!$D$6/'I_Inputs &amp; Assumptions'!$B$8)))))),0)</f>
        <v>0</v>
      </c>
    </row>
    <row r="7" spans="1:38" ht="15" customHeight="1" x14ac:dyDescent="0.2">
      <c r="A7" t="s">
        <v>131</v>
      </c>
      <c r="B7" t="s">
        <v>134</v>
      </c>
      <c r="C7" s="91">
        <f>IF(1&lt;='I_Inputs &amp; Assumptions'!$B$8,IF('I_Budget Input Data'!$E$7="Upfront",IF(1=1,'I_Budget Input Data'!$D$7,0),IF('I_Budget Input Data'!$E$7="Equal",'I_Budget Input Data'!$D$7/'I_Inputs &amp; Assumptions'!$B$8,IF('I_Budget Input Data'!$E$7="Front-loaded",IF(1&lt;='I_Inputs &amp; Assumptions'!$B$8/2,'I_Budget Input Data'!$D$7*0.6/('I_Inputs &amp; Assumptions'!$B$8/2),'I_Budget Input Data'!$D$7*0.4/('I_Inputs &amp; Assumptions'!$B$8/2)),IF('I_Budget Input Data'!$E$7="Back-loaded",IF(1&lt;='I_Inputs &amp; Assumptions'!$B$8/2,'I_Budget Input Data'!$D$7*0.4/('I_Inputs &amp; Assumptions'!$B$8/2),'I_Budget Input Data'!$D$7*0.6/('I_Inputs &amp; Assumptions'!$B$8/2)),IF('I_Budget Input Data'!$E$7="Mid-weighted",IF(1&lt;='I_Inputs &amp; Assumptions'!$B$8/4,'I_Budget Input Data'!$D$7*0.2/('I_Inputs &amp; Assumptions'!$B$8/4),IF(1&lt;='I_Inputs &amp; Assumptions'!$B$8*0.75,'I_Budget Input Data'!$D$7*0.6/('I_Inputs &amp; Assumptions'!$B$8/2),'I_Budget Input Data'!$D$7*0.2/('I_Inputs &amp; Assumptions'!$B$8/4))),IF('I_Budget Input Data'!$E$7="At Completion",IF(1='I_Inputs &amp; Assumptions'!$B$8,'I_Budget Input Data'!$D$7,0),'I_Budget Input Data'!$D$7/'I_Inputs &amp; Assumptions'!$B$8)))))),0)</f>
        <v>19808</v>
      </c>
      <c r="D7" s="91">
        <f>IF(2&lt;='I_Inputs &amp; Assumptions'!$B$8,IF('I_Budget Input Data'!$E$7="Upfront",IF(2=1,'I_Budget Input Data'!$D$7,0),IF('I_Budget Input Data'!$E$7="Equal",'I_Budget Input Data'!$D$7/'I_Inputs &amp; Assumptions'!$B$8,IF('I_Budget Input Data'!$E$7="Front-loaded",IF(2&lt;='I_Inputs &amp; Assumptions'!$B$8/2,'I_Budget Input Data'!$D$7*0.6/('I_Inputs &amp; Assumptions'!$B$8/2),'I_Budget Input Data'!$D$7*0.4/('I_Inputs &amp; Assumptions'!$B$8/2)),IF('I_Budget Input Data'!$E$7="Back-loaded",IF(2&lt;='I_Inputs &amp; Assumptions'!$B$8/2,'I_Budget Input Data'!$D$7*0.4/('I_Inputs &amp; Assumptions'!$B$8/2),'I_Budget Input Data'!$D$7*0.6/('I_Inputs &amp; Assumptions'!$B$8/2)),IF('I_Budget Input Data'!$E$7="Mid-weighted",IF(2&lt;='I_Inputs &amp; Assumptions'!$B$8/4,'I_Budget Input Data'!$D$7*0.2/('I_Inputs &amp; Assumptions'!$B$8/4),IF(2&lt;='I_Inputs &amp; Assumptions'!$B$8*0.75,'I_Budget Input Data'!$D$7*0.6/('I_Inputs &amp; Assumptions'!$B$8/2),'I_Budget Input Data'!$D$7*0.2/('I_Inputs &amp; Assumptions'!$B$8/4))),IF('I_Budget Input Data'!$E$7="At Completion",IF(2='I_Inputs &amp; Assumptions'!$B$8,'I_Budget Input Data'!$D$7,0),'I_Budget Input Data'!$D$7/'I_Inputs &amp; Assumptions'!$B$8)))))),0)</f>
        <v>0</v>
      </c>
      <c r="E7" s="91">
        <f>IF(3&lt;='I_Inputs &amp; Assumptions'!$B$8,IF('I_Budget Input Data'!$E$7="Upfront",IF(3=1,'I_Budget Input Data'!$D$7,0),IF('I_Budget Input Data'!$E$7="Equal",'I_Budget Input Data'!$D$7/'I_Inputs &amp; Assumptions'!$B$8,IF('I_Budget Input Data'!$E$7="Front-loaded",IF(3&lt;='I_Inputs &amp; Assumptions'!$B$8/2,'I_Budget Input Data'!$D$7*0.6/('I_Inputs &amp; Assumptions'!$B$8/2),'I_Budget Input Data'!$D$7*0.4/('I_Inputs &amp; Assumptions'!$B$8/2)),IF('I_Budget Input Data'!$E$7="Back-loaded",IF(3&lt;='I_Inputs &amp; Assumptions'!$B$8/2,'I_Budget Input Data'!$D$7*0.4/('I_Inputs &amp; Assumptions'!$B$8/2),'I_Budget Input Data'!$D$7*0.6/('I_Inputs &amp; Assumptions'!$B$8/2)),IF('I_Budget Input Data'!$E$7="Mid-weighted",IF(3&lt;='I_Inputs &amp; Assumptions'!$B$8/4,'I_Budget Input Data'!$D$7*0.2/('I_Inputs &amp; Assumptions'!$B$8/4),IF(3&lt;='I_Inputs &amp; Assumptions'!$B$8*0.75,'I_Budget Input Data'!$D$7*0.6/('I_Inputs &amp; Assumptions'!$B$8/2),'I_Budget Input Data'!$D$7*0.2/('I_Inputs &amp; Assumptions'!$B$8/4))),IF('I_Budget Input Data'!$E$7="At Completion",IF(3='I_Inputs &amp; Assumptions'!$B$8,'I_Budget Input Data'!$D$7,0),'I_Budget Input Data'!$D$7/'I_Inputs &amp; Assumptions'!$B$8)))))),0)</f>
        <v>0</v>
      </c>
      <c r="F7" s="91">
        <f>IF(4&lt;='I_Inputs &amp; Assumptions'!$B$8,IF('I_Budget Input Data'!$E$7="Upfront",IF(4=1,'I_Budget Input Data'!$D$7,0),IF('I_Budget Input Data'!$E$7="Equal",'I_Budget Input Data'!$D$7/'I_Inputs &amp; Assumptions'!$B$8,IF('I_Budget Input Data'!$E$7="Front-loaded",IF(4&lt;='I_Inputs &amp; Assumptions'!$B$8/2,'I_Budget Input Data'!$D$7*0.6/('I_Inputs &amp; Assumptions'!$B$8/2),'I_Budget Input Data'!$D$7*0.4/('I_Inputs &amp; Assumptions'!$B$8/2)),IF('I_Budget Input Data'!$E$7="Back-loaded",IF(4&lt;='I_Inputs &amp; Assumptions'!$B$8/2,'I_Budget Input Data'!$D$7*0.4/('I_Inputs &amp; Assumptions'!$B$8/2),'I_Budget Input Data'!$D$7*0.6/('I_Inputs &amp; Assumptions'!$B$8/2)),IF('I_Budget Input Data'!$E$7="Mid-weighted",IF(4&lt;='I_Inputs &amp; Assumptions'!$B$8/4,'I_Budget Input Data'!$D$7*0.2/('I_Inputs &amp; Assumptions'!$B$8/4),IF(4&lt;='I_Inputs &amp; Assumptions'!$B$8*0.75,'I_Budget Input Data'!$D$7*0.6/('I_Inputs &amp; Assumptions'!$B$8/2),'I_Budget Input Data'!$D$7*0.2/('I_Inputs &amp; Assumptions'!$B$8/4))),IF('I_Budget Input Data'!$E$7="At Completion",IF(4='I_Inputs &amp; Assumptions'!$B$8,'I_Budget Input Data'!$D$7,0),'I_Budget Input Data'!$D$7/'I_Inputs &amp; Assumptions'!$B$8)))))),0)</f>
        <v>0</v>
      </c>
      <c r="G7" s="91">
        <f>IF(5&lt;='I_Inputs &amp; Assumptions'!$B$8,IF('I_Budget Input Data'!$E$7="Upfront",IF(5=1,'I_Budget Input Data'!$D$7,0),IF('I_Budget Input Data'!$E$7="Equal",'I_Budget Input Data'!$D$7/'I_Inputs &amp; Assumptions'!$B$8,IF('I_Budget Input Data'!$E$7="Front-loaded",IF(5&lt;='I_Inputs &amp; Assumptions'!$B$8/2,'I_Budget Input Data'!$D$7*0.6/('I_Inputs &amp; Assumptions'!$B$8/2),'I_Budget Input Data'!$D$7*0.4/('I_Inputs &amp; Assumptions'!$B$8/2)),IF('I_Budget Input Data'!$E$7="Back-loaded",IF(5&lt;='I_Inputs &amp; Assumptions'!$B$8/2,'I_Budget Input Data'!$D$7*0.4/('I_Inputs &amp; Assumptions'!$B$8/2),'I_Budget Input Data'!$D$7*0.6/('I_Inputs &amp; Assumptions'!$B$8/2)),IF('I_Budget Input Data'!$E$7="Mid-weighted",IF(5&lt;='I_Inputs &amp; Assumptions'!$B$8/4,'I_Budget Input Data'!$D$7*0.2/('I_Inputs &amp; Assumptions'!$B$8/4),IF(5&lt;='I_Inputs &amp; Assumptions'!$B$8*0.75,'I_Budget Input Data'!$D$7*0.6/('I_Inputs &amp; Assumptions'!$B$8/2),'I_Budget Input Data'!$D$7*0.2/('I_Inputs &amp; Assumptions'!$B$8/4))),IF('I_Budget Input Data'!$E$7="At Completion",IF(5='I_Inputs &amp; Assumptions'!$B$8,'I_Budget Input Data'!$D$7,0),'I_Budget Input Data'!$D$7/'I_Inputs &amp; Assumptions'!$B$8)))))),0)</f>
        <v>0</v>
      </c>
      <c r="H7" s="91">
        <f>IF(6&lt;='I_Inputs &amp; Assumptions'!$B$8,IF('I_Budget Input Data'!$E$7="Upfront",IF(6=1,'I_Budget Input Data'!$D$7,0),IF('I_Budget Input Data'!$E$7="Equal",'I_Budget Input Data'!$D$7/'I_Inputs &amp; Assumptions'!$B$8,IF('I_Budget Input Data'!$E$7="Front-loaded",IF(6&lt;='I_Inputs &amp; Assumptions'!$B$8/2,'I_Budget Input Data'!$D$7*0.6/('I_Inputs &amp; Assumptions'!$B$8/2),'I_Budget Input Data'!$D$7*0.4/('I_Inputs &amp; Assumptions'!$B$8/2)),IF('I_Budget Input Data'!$E$7="Back-loaded",IF(6&lt;='I_Inputs &amp; Assumptions'!$B$8/2,'I_Budget Input Data'!$D$7*0.4/('I_Inputs &amp; Assumptions'!$B$8/2),'I_Budget Input Data'!$D$7*0.6/('I_Inputs &amp; Assumptions'!$B$8/2)),IF('I_Budget Input Data'!$E$7="Mid-weighted",IF(6&lt;='I_Inputs &amp; Assumptions'!$B$8/4,'I_Budget Input Data'!$D$7*0.2/('I_Inputs &amp; Assumptions'!$B$8/4),IF(6&lt;='I_Inputs &amp; Assumptions'!$B$8*0.75,'I_Budget Input Data'!$D$7*0.6/('I_Inputs &amp; Assumptions'!$B$8/2),'I_Budget Input Data'!$D$7*0.2/('I_Inputs &amp; Assumptions'!$B$8/4))),IF('I_Budget Input Data'!$E$7="At Completion",IF(6='I_Inputs &amp; Assumptions'!$B$8,'I_Budget Input Data'!$D$7,0),'I_Budget Input Data'!$D$7/'I_Inputs &amp; Assumptions'!$B$8)))))),0)</f>
        <v>0</v>
      </c>
      <c r="I7" s="91">
        <f>IF(7&lt;='I_Inputs &amp; Assumptions'!$B$8,IF('I_Budget Input Data'!$E$7="Upfront",IF(7=1,'I_Budget Input Data'!$D$7,0),IF('I_Budget Input Data'!$E$7="Equal",'I_Budget Input Data'!$D$7/'I_Inputs &amp; Assumptions'!$B$8,IF('I_Budget Input Data'!$E$7="Front-loaded",IF(7&lt;='I_Inputs &amp; Assumptions'!$B$8/2,'I_Budget Input Data'!$D$7*0.6/('I_Inputs &amp; Assumptions'!$B$8/2),'I_Budget Input Data'!$D$7*0.4/('I_Inputs &amp; Assumptions'!$B$8/2)),IF('I_Budget Input Data'!$E$7="Back-loaded",IF(7&lt;='I_Inputs &amp; Assumptions'!$B$8/2,'I_Budget Input Data'!$D$7*0.4/('I_Inputs &amp; Assumptions'!$B$8/2),'I_Budget Input Data'!$D$7*0.6/('I_Inputs &amp; Assumptions'!$B$8/2)),IF('I_Budget Input Data'!$E$7="Mid-weighted",IF(7&lt;='I_Inputs &amp; Assumptions'!$B$8/4,'I_Budget Input Data'!$D$7*0.2/('I_Inputs &amp; Assumptions'!$B$8/4),IF(7&lt;='I_Inputs &amp; Assumptions'!$B$8*0.75,'I_Budget Input Data'!$D$7*0.6/('I_Inputs &amp; Assumptions'!$B$8/2),'I_Budget Input Data'!$D$7*0.2/('I_Inputs &amp; Assumptions'!$B$8/4))),IF('I_Budget Input Data'!$E$7="At Completion",IF(7='I_Inputs &amp; Assumptions'!$B$8,'I_Budget Input Data'!$D$7,0),'I_Budget Input Data'!$D$7/'I_Inputs &amp; Assumptions'!$B$8)))))),0)</f>
        <v>0</v>
      </c>
      <c r="J7" s="91">
        <f>IF(8&lt;='I_Inputs &amp; Assumptions'!$B$8,IF('I_Budget Input Data'!$E$7="Upfront",IF(8=1,'I_Budget Input Data'!$D$7,0),IF('I_Budget Input Data'!$E$7="Equal",'I_Budget Input Data'!$D$7/'I_Inputs &amp; Assumptions'!$B$8,IF('I_Budget Input Data'!$E$7="Front-loaded",IF(8&lt;='I_Inputs &amp; Assumptions'!$B$8/2,'I_Budget Input Data'!$D$7*0.6/('I_Inputs &amp; Assumptions'!$B$8/2),'I_Budget Input Data'!$D$7*0.4/('I_Inputs &amp; Assumptions'!$B$8/2)),IF('I_Budget Input Data'!$E$7="Back-loaded",IF(8&lt;='I_Inputs &amp; Assumptions'!$B$8/2,'I_Budget Input Data'!$D$7*0.4/('I_Inputs &amp; Assumptions'!$B$8/2),'I_Budget Input Data'!$D$7*0.6/('I_Inputs &amp; Assumptions'!$B$8/2)),IF('I_Budget Input Data'!$E$7="Mid-weighted",IF(8&lt;='I_Inputs &amp; Assumptions'!$B$8/4,'I_Budget Input Data'!$D$7*0.2/('I_Inputs &amp; Assumptions'!$B$8/4),IF(8&lt;='I_Inputs &amp; Assumptions'!$B$8*0.75,'I_Budget Input Data'!$D$7*0.6/('I_Inputs &amp; Assumptions'!$B$8/2),'I_Budget Input Data'!$D$7*0.2/('I_Inputs &amp; Assumptions'!$B$8/4))),IF('I_Budget Input Data'!$E$7="At Completion",IF(8='I_Inputs &amp; Assumptions'!$B$8,'I_Budget Input Data'!$D$7,0),'I_Budget Input Data'!$D$7/'I_Inputs &amp; Assumptions'!$B$8)))))),0)</f>
        <v>0</v>
      </c>
      <c r="K7" s="91">
        <f>IF(9&lt;='I_Inputs &amp; Assumptions'!$B$8,IF('I_Budget Input Data'!$E$7="Upfront",IF(9=1,'I_Budget Input Data'!$D$7,0),IF('I_Budget Input Data'!$E$7="Equal",'I_Budget Input Data'!$D$7/'I_Inputs &amp; Assumptions'!$B$8,IF('I_Budget Input Data'!$E$7="Front-loaded",IF(9&lt;='I_Inputs &amp; Assumptions'!$B$8/2,'I_Budget Input Data'!$D$7*0.6/('I_Inputs &amp; Assumptions'!$B$8/2),'I_Budget Input Data'!$D$7*0.4/('I_Inputs &amp; Assumptions'!$B$8/2)),IF('I_Budget Input Data'!$E$7="Back-loaded",IF(9&lt;='I_Inputs &amp; Assumptions'!$B$8/2,'I_Budget Input Data'!$D$7*0.4/('I_Inputs &amp; Assumptions'!$B$8/2),'I_Budget Input Data'!$D$7*0.6/('I_Inputs &amp; Assumptions'!$B$8/2)),IF('I_Budget Input Data'!$E$7="Mid-weighted",IF(9&lt;='I_Inputs &amp; Assumptions'!$B$8/4,'I_Budget Input Data'!$D$7*0.2/('I_Inputs &amp; Assumptions'!$B$8/4),IF(9&lt;='I_Inputs &amp; Assumptions'!$B$8*0.75,'I_Budget Input Data'!$D$7*0.6/('I_Inputs &amp; Assumptions'!$B$8/2),'I_Budget Input Data'!$D$7*0.2/('I_Inputs &amp; Assumptions'!$B$8/4))),IF('I_Budget Input Data'!$E$7="At Completion",IF(9='I_Inputs &amp; Assumptions'!$B$8,'I_Budget Input Data'!$D$7,0),'I_Budget Input Data'!$D$7/'I_Inputs &amp; Assumptions'!$B$8)))))),0)</f>
        <v>0</v>
      </c>
      <c r="L7" s="91">
        <f>IF(10&lt;='I_Inputs &amp; Assumptions'!$B$8,IF('I_Budget Input Data'!$E$7="Upfront",IF(10=1,'I_Budget Input Data'!$D$7,0),IF('I_Budget Input Data'!$E$7="Equal",'I_Budget Input Data'!$D$7/'I_Inputs &amp; Assumptions'!$B$8,IF('I_Budget Input Data'!$E$7="Front-loaded",IF(10&lt;='I_Inputs &amp; Assumptions'!$B$8/2,'I_Budget Input Data'!$D$7*0.6/('I_Inputs &amp; Assumptions'!$B$8/2),'I_Budget Input Data'!$D$7*0.4/('I_Inputs &amp; Assumptions'!$B$8/2)),IF('I_Budget Input Data'!$E$7="Back-loaded",IF(10&lt;='I_Inputs &amp; Assumptions'!$B$8/2,'I_Budget Input Data'!$D$7*0.4/('I_Inputs &amp; Assumptions'!$B$8/2),'I_Budget Input Data'!$D$7*0.6/('I_Inputs &amp; Assumptions'!$B$8/2)),IF('I_Budget Input Data'!$E$7="Mid-weighted",IF(10&lt;='I_Inputs &amp; Assumptions'!$B$8/4,'I_Budget Input Data'!$D$7*0.2/('I_Inputs &amp; Assumptions'!$B$8/4),IF(10&lt;='I_Inputs &amp; Assumptions'!$B$8*0.75,'I_Budget Input Data'!$D$7*0.6/('I_Inputs &amp; Assumptions'!$B$8/2),'I_Budget Input Data'!$D$7*0.2/('I_Inputs &amp; Assumptions'!$B$8/4))),IF('I_Budget Input Data'!$E$7="At Completion",IF(10='I_Inputs &amp; Assumptions'!$B$8,'I_Budget Input Data'!$D$7,0),'I_Budget Input Data'!$D$7/'I_Inputs &amp; Assumptions'!$B$8)))))),0)</f>
        <v>0</v>
      </c>
      <c r="M7" s="91">
        <f>IF(11&lt;='I_Inputs &amp; Assumptions'!$B$8,IF('I_Budget Input Data'!$E$7="Upfront",IF(11=1,'I_Budget Input Data'!$D$7,0),IF('I_Budget Input Data'!$E$7="Equal",'I_Budget Input Data'!$D$7/'I_Inputs &amp; Assumptions'!$B$8,IF('I_Budget Input Data'!$E$7="Front-loaded",IF(11&lt;='I_Inputs &amp; Assumptions'!$B$8/2,'I_Budget Input Data'!$D$7*0.6/('I_Inputs &amp; Assumptions'!$B$8/2),'I_Budget Input Data'!$D$7*0.4/('I_Inputs &amp; Assumptions'!$B$8/2)),IF('I_Budget Input Data'!$E$7="Back-loaded",IF(11&lt;='I_Inputs &amp; Assumptions'!$B$8/2,'I_Budget Input Data'!$D$7*0.4/('I_Inputs &amp; Assumptions'!$B$8/2),'I_Budget Input Data'!$D$7*0.6/('I_Inputs &amp; Assumptions'!$B$8/2)),IF('I_Budget Input Data'!$E$7="Mid-weighted",IF(11&lt;='I_Inputs &amp; Assumptions'!$B$8/4,'I_Budget Input Data'!$D$7*0.2/('I_Inputs &amp; Assumptions'!$B$8/4),IF(11&lt;='I_Inputs &amp; Assumptions'!$B$8*0.75,'I_Budget Input Data'!$D$7*0.6/('I_Inputs &amp; Assumptions'!$B$8/2),'I_Budget Input Data'!$D$7*0.2/('I_Inputs &amp; Assumptions'!$B$8/4))),IF('I_Budget Input Data'!$E$7="At Completion",IF(11='I_Inputs &amp; Assumptions'!$B$8,'I_Budget Input Data'!$D$7,0),'I_Budget Input Data'!$D$7/'I_Inputs &amp; Assumptions'!$B$8)))))),0)</f>
        <v>0</v>
      </c>
      <c r="N7" s="91">
        <f>IF(12&lt;='I_Inputs &amp; Assumptions'!$B$8,IF('I_Budget Input Data'!$E$7="Upfront",IF(12=1,'I_Budget Input Data'!$D$7,0),IF('I_Budget Input Data'!$E$7="Equal",'I_Budget Input Data'!$D$7/'I_Inputs &amp; Assumptions'!$B$8,IF('I_Budget Input Data'!$E$7="Front-loaded",IF(12&lt;='I_Inputs &amp; Assumptions'!$B$8/2,'I_Budget Input Data'!$D$7*0.6/('I_Inputs &amp; Assumptions'!$B$8/2),'I_Budget Input Data'!$D$7*0.4/('I_Inputs &amp; Assumptions'!$B$8/2)),IF('I_Budget Input Data'!$E$7="Back-loaded",IF(12&lt;='I_Inputs &amp; Assumptions'!$B$8/2,'I_Budget Input Data'!$D$7*0.4/('I_Inputs &amp; Assumptions'!$B$8/2),'I_Budget Input Data'!$D$7*0.6/('I_Inputs &amp; Assumptions'!$B$8/2)),IF('I_Budget Input Data'!$E$7="Mid-weighted",IF(12&lt;='I_Inputs &amp; Assumptions'!$B$8/4,'I_Budget Input Data'!$D$7*0.2/('I_Inputs &amp; Assumptions'!$B$8/4),IF(12&lt;='I_Inputs &amp; Assumptions'!$B$8*0.75,'I_Budget Input Data'!$D$7*0.6/('I_Inputs &amp; Assumptions'!$B$8/2),'I_Budget Input Data'!$D$7*0.2/('I_Inputs &amp; Assumptions'!$B$8/4))),IF('I_Budget Input Data'!$E$7="At Completion",IF(12='I_Inputs &amp; Assumptions'!$B$8,'I_Budget Input Data'!$D$7,0),'I_Budget Input Data'!$D$7/'I_Inputs &amp; Assumptions'!$B$8)))))),0)</f>
        <v>0</v>
      </c>
      <c r="O7" s="91">
        <f>IF(13&lt;='I_Inputs &amp; Assumptions'!$B$8,IF('I_Budget Input Data'!$E$7="Upfront",IF(13=1,'I_Budget Input Data'!$D$7,0),IF('I_Budget Input Data'!$E$7="Equal",'I_Budget Input Data'!$D$7/'I_Inputs &amp; Assumptions'!$B$8,IF('I_Budget Input Data'!$E$7="Front-loaded",IF(13&lt;='I_Inputs &amp; Assumptions'!$B$8/2,'I_Budget Input Data'!$D$7*0.6/('I_Inputs &amp; Assumptions'!$B$8/2),'I_Budget Input Data'!$D$7*0.4/('I_Inputs &amp; Assumptions'!$B$8/2)),IF('I_Budget Input Data'!$E$7="Back-loaded",IF(13&lt;='I_Inputs &amp; Assumptions'!$B$8/2,'I_Budget Input Data'!$D$7*0.4/('I_Inputs &amp; Assumptions'!$B$8/2),'I_Budget Input Data'!$D$7*0.6/('I_Inputs &amp; Assumptions'!$B$8/2)),IF('I_Budget Input Data'!$E$7="Mid-weighted",IF(13&lt;='I_Inputs &amp; Assumptions'!$B$8/4,'I_Budget Input Data'!$D$7*0.2/('I_Inputs &amp; Assumptions'!$B$8/4),IF(13&lt;='I_Inputs &amp; Assumptions'!$B$8*0.75,'I_Budget Input Data'!$D$7*0.6/('I_Inputs &amp; Assumptions'!$B$8/2),'I_Budget Input Data'!$D$7*0.2/('I_Inputs &amp; Assumptions'!$B$8/4))),IF('I_Budget Input Data'!$E$7="At Completion",IF(13='I_Inputs &amp; Assumptions'!$B$8,'I_Budget Input Data'!$D$7,0),'I_Budget Input Data'!$D$7/'I_Inputs &amp; Assumptions'!$B$8)))))),0)</f>
        <v>0</v>
      </c>
      <c r="P7" s="91">
        <f>IF(14&lt;='I_Inputs &amp; Assumptions'!$B$8,IF('I_Budget Input Data'!$E$7="Upfront",IF(14=1,'I_Budget Input Data'!$D$7,0),IF('I_Budget Input Data'!$E$7="Equal",'I_Budget Input Data'!$D$7/'I_Inputs &amp; Assumptions'!$B$8,IF('I_Budget Input Data'!$E$7="Front-loaded",IF(14&lt;='I_Inputs &amp; Assumptions'!$B$8/2,'I_Budget Input Data'!$D$7*0.6/('I_Inputs &amp; Assumptions'!$B$8/2),'I_Budget Input Data'!$D$7*0.4/('I_Inputs &amp; Assumptions'!$B$8/2)),IF('I_Budget Input Data'!$E$7="Back-loaded",IF(14&lt;='I_Inputs &amp; Assumptions'!$B$8/2,'I_Budget Input Data'!$D$7*0.4/('I_Inputs &amp; Assumptions'!$B$8/2),'I_Budget Input Data'!$D$7*0.6/('I_Inputs &amp; Assumptions'!$B$8/2)),IF('I_Budget Input Data'!$E$7="Mid-weighted",IF(14&lt;='I_Inputs &amp; Assumptions'!$B$8/4,'I_Budget Input Data'!$D$7*0.2/('I_Inputs &amp; Assumptions'!$B$8/4),IF(14&lt;='I_Inputs &amp; Assumptions'!$B$8*0.75,'I_Budget Input Data'!$D$7*0.6/('I_Inputs &amp; Assumptions'!$B$8/2),'I_Budget Input Data'!$D$7*0.2/('I_Inputs &amp; Assumptions'!$B$8/4))),IF('I_Budget Input Data'!$E$7="At Completion",IF(14='I_Inputs &amp; Assumptions'!$B$8,'I_Budget Input Data'!$D$7,0),'I_Budget Input Data'!$D$7/'I_Inputs &amp; Assumptions'!$B$8)))))),0)</f>
        <v>0</v>
      </c>
      <c r="Q7" s="91">
        <f>IF(15&lt;='I_Inputs &amp; Assumptions'!$B$8,IF('I_Budget Input Data'!$E$7="Upfront",IF(15=1,'I_Budget Input Data'!$D$7,0),IF('I_Budget Input Data'!$E$7="Equal",'I_Budget Input Data'!$D$7/'I_Inputs &amp; Assumptions'!$B$8,IF('I_Budget Input Data'!$E$7="Front-loaded",IF(15&lt;='I_Inputs &amp; Assumptions'!$B$8/2,'I_Budget Input Data'!$D$7*0.6/('I_Inputs &amp; Assumptions'!$B$8/2),'I_Budget Input Data'!$D$7*0.4/('I_Inputs &amp; Assumptions'!$B$8/2)),IF('I_Budget Input Data'!$E$7="Back-loaded",IF(15&lt;='I_Inputs &amp; Assumptions'!$B$8/2,'I_Budget Input Data'!$D$7*0.4/('I_Inputs &amp; Assumptions'!$B$8/2),'I_Budget Input Data'!$D$7*0.6/('I_Inputs &amp; Assumptions'!$B$8/2)),IF('I_Budget Input Data'!$E$7="Mid-weighted",IF(15&lt;='I_Inputs &amp; Assumptions'!$B$8/4,'I_Budget Input Data'!$D$7*0.2/('I_Inputs &amp; Assumptions'!$B$8/4),IF(15&lt;='I_Inputs &amp; Assumptions'!$B$8*0.75,'I_Budget Input Data'!$D$7*0.6/('I_Inputs &amp; Assumptions'!$B$8/2),'I_Budget Input Data'!$D$7*0.2/('I_Inputs &amp; Assumptions'!$B$8/4))),IF('I_Budget Input Data'!$E$7="At Completion",IF(15='I_Inputs &amp; Assumptions'!$B$8,'I_Budget Input Data'!$D$7,0),'I_Budget Input Data'!$D$7/'I_Inputs &amp; Assumptions'!$B$8)))))),0)</f>
        <v>0</v>
      </c>
      <c r="R7" s="91">
        <f>IF(16&lt;='I_Inputs &amp; Assumptions'!$B$8,IF('I_Budget Input Data'!$E$7="Upfront",IF(16=1,'I_Budget Input Data'!$D$7,0),IF('I_Budget Input Data'!$E$7="Equal",'I_Budget Input Data'!$D$7/'I_Inputs &amp; Assumptions'!$B$8,IF('I_Budget Input Data'!$E$7="Front-loaded",IF(16&lt;='I_Inputs &amp; Assumptions'!$B$8/2,'I_Budget Input Data'!$D$7*0.6/('I_Inputs &amp; Assumptions'!$B$8/2),'I_Budget Input Data'!$D$7*0.4/('I_Inputs &amp; Assumptions'!$B$8/2)),IF('I_Budget Input Data'!$E$7="Back-loaded",IF(16&lt;='I_Inputs &amp; Assumptions'!$B$8/2,'I_Budget Input Data'!$D$7*0.4/('I_Inputs &amp; Assumptions'!$B$8/2),'I_Budget Input Data'!$D$7*0.6/('I_Inputs &amp; Assumptions'!$B$8/2)),IF('I_Budget Input Data'!$E$7="Mid-weighted",IF(16&lt;='I_Inputs &amp; Assumptions'!$B$8/4,'I_Budget Input Data'!$D$7*0.2/('I_Inputs &amp; Assumptions'!$B$8/4),IF(16&lt;='I_Inputs &amp; Assumptions'!$B$8*0.75,'I_Budget Input Data'!$D$7*0.6/('I_Inputs &amp; Assumptions'!$B$8/2),'I_Budget Input Data'!$D$7*0.2/('I_Inputs &amp; Assumptions'!$B$8/4))),IF('I_Budget Input Data'!$E$7="At Completion",IF(16='I_Inputs &amp; Assumptions'!$B$8,'I_Budget Input Data'!$D$7,0),'I_Budget Input Data'!$D$7/'I_Inputs &amp; Assumptions'!$B$8)))))),0)</f>
        <v>0</v>
      </c>
      <c r="S7" s="91">
        <f>IF(17&lt;='I_Inputs &amp; Assumptions'!$B$8,IF('I_Budget Input Data'!$E$7="Upfront",IF(17=1,'I_Budget Input Data'!$D$7,0),IF('I_Budget Input Data'!$E$7="Equal",'I_Budget Input Data'!$D$7/'I_Inputs &amp; Assumptions'!$B$8,IF('I_Budget Input Data'!$E$7="Front-loaded",IF(17&lt;='I_Inputs &amp; Assumptions'!$B$8/2,'I_Budget Input Data'!$D$7*0.6/('I_Inputs &amp; Assumptions'!$B$8/2),'I_Budget Input Data'!$D$7*0.4/('I_Inputs &amp; Assumptions'!$B$8/2)),IF('I_Budget Input Data'!$E$7="Back-loaded",IF(17&lt;='I_Inputs &amp; Assumptions'!$B$8/2,'I_Budget Input Data'!$D$7*0.4/('I_Inputs &amp; Assumptions'!$B$8/2),'I_Budget Input Data'!$D$7*0.6/('I_Inputs &amp; Assumptions'!$B$8/2)),IF('I_Budget Input Data'!$E$7="Mid-weighted",IF(17&lt;='I_Inputs &amp; Assumptions'!$B$8/4,'I_Budget Input Data'!$D$7*0.2/('I_Inputs &amp; Assumptions'!$B$8/4),IF(17&lt;='I_Inputs &amp; Assumptions'!$B$8*0.75,'I_Budget Input Data'!$D$7*0.6/('I_Inputs &amp; Assumptions'!$B$8/2),'I_Budget Input Data'!$D$7*0.2/('I_Inputs &amp; Assumptions'!$B$8/4))),IF('I_Budget Input Data'!$E$7="At Completion",IF(17='I_Inputs &amp; Assumptions'!$B$8,'I_Budget Input Data'!$D$7,0),'I_Budget Input Data'!$D$7/'I_Inputs &amp; Assumptions'!$B$8)))))),0)</f>
        <v>0</v>
      </c>
      <c r="T7" s="91">
        <f>IF(18&lt;='I_Inputs &amp; Assumptions'!$B$8,IF('I_Budget Input Data'!$E$7="Upfront",IF(18=1,'I_Budget Input Data'!$D$7,0),IF('I_Budget Input Data'!$E$7="Equal",'I_Budget Input Data'!$D$7/'I_Inputs &amp; Assumptions'!$B$8,IF('I_Budget Input Data'!$E$7="Front-loaded",IF(18&lt;='I_Inputs &amp; Assumptions'!$B$8/2,'I_Budget Input Data'!$D$7*0.6/('I_Inputs &amp; Assumptions'!$B$8/2),'I_Budget Input Data'!$D$7*0.4/('I_Inputs &amp; Assumptions'!$B$8/2)),IF('I_Budget Input Data'!$E$7="Back-loaded",IF(18&lt;='I_Inputs &amp; Assumptions'!$B$8/2,'I_Budget Input Data'!$D$7*0.4/('I_Inputs &amp; Assumptions'!$B$8/2),'I_Budget Input Data'!$D$7*0.6/('I_Inputs &amp; Assumptions'!$B$8/2)),IF('I_Budget Input Data'!$E$7="Mid-weighted",IF(18&lt;='I_Inputs &amp; Assumptions'!$B$8/4,'I_Budget Input Data'!$D$7*0.2/('I_Inputs &amp; Assumptions'!$B$8/4),IF(18&lt;='I_Inputs &amp; Assumptions'!$B$8*0.75,'I_Budget Input Data'!$D$7*0.6/('I_Inputs &amp; Assumptions'!$B$8/2),'I_Budget Input Data'!$D$7*0.2/('I_Inputs &amp; Assumptions'!$B$8/4))),IF('I_Budget Input Data'!$E$7="At Completion",IF(18='I_Inputs &amp; Assumptions'!$B$8,'I_Budget Input Data'!$D$7,0),'I_Budget Input Data'!$D$7/'I_Inputs &amp; Assumptions'!$B$8)))))),0)</f>
        <v>0</v>
      </c>
      <c r="U7" s="91">
        <f>IF(19&lt;='I_Inputs &amp; Assumptions'!$B$8,IF('I_Budget Input Data'!$E$7="Upfront",IF(19=1,'I_Budget Input Data'!$D$7,0),IF('I_Budget Input Data'!$E$7="Equal",'I_Budget Input Data'!$D$7/'I_Inputs &amp; Assumptions'!$B$8,IF('I_Budget Input Data'!$E$7="Front-loaded",IF(19&lt;='I_Inputs &amp; Assumptions'!$B$8/2,'I_Budget Input Data'!$D$7*0.6/('I_Inputs &amp; Assumptions'!$B$8/2),'I_Budget Input Data'!$D$7*0.4/('I_Inputs &amp; Assumptions'!$B$8/2)),IF('I_Budget Input Data'!$E$7="Back-loaded",IF(19&lt;='I_Inputs &amp; Assumptions'!$B$8/2,'I_Budget Input Data'!$D$7*0.4/('I_Inputs &amp; Assumptions'!$B$8/2),'I_Budget Input Data'!$D$7*0.6/('I_Inputs &amp; Assumptions'!$B$8/2)),IF('I_Budget Input Data'!$E$7="Mid-weighted",IF(19&lt;='I_Inputs &amp; Assumptions'!$B$8/4,'I_Budget Input Data'!$D$7*0.2/('I_Inputs &amp; Assumptions'!$B$8/4),IF(19&lt;='I_Inputs &amp; Assumptions'!$B$8*0.75,'I_Budget Input Data'!$D$7*0.6/('I_Inputs &amp; Assumptions'!$B$8/2),'I_Budget Input Data'!$D$7*0.2/('I_Inputs &amp; Assumptions'!$B$8/4))),IF('I_Budget Input Data'!$E$7="At Completion",IF(19='I_Inputs &amp; Assumptions'!$B$8,'I_Budget Input Data'!$D$7,0),'I_Budget Input Data'!$D$7/'I_Inputs &amp; Assumptions'!$B$8)))))),0)</f>
        <v>0</v>
      </c>
      <c r="V7" s="91">
        <f>IF(20&lt;='I_Inputs &amp; Assumptions'!$B$8,IF('I_Budget Input Data'!$E$7="Upfront",IF(20=1,'I_Budget Input Data'!$D$7,0),IF('I_Budget Input Data'!$E$7="Equal",'I_Budget Input Data'!$D$7/'I_Inputs &amp; Assumptions'!$B$8,IF('I_Budget Input Data'!$E$7="Front-loaded",IF(20&lt;='I_Inputs &amp; Assumptions'!$B$8/2,'I_Budget Input Data'!$D$7*0.6/('I_Inputs &amp; Assumptions'!$B$8/2),'I_Budget Input Data'!$D$7*0.4/('I_Inputs &amp; Assumptions'!$B$8/2)),IF('I_Budget Input Data'!$E$7="Back-loaded",IF(20&lt;='I_Inputs &amp; Assumptions'!$B$8/2,'I_Budget Input Data'!$D$7*0.4/('I_Inputs &amp; Assumptions'!$B$8/2),'I_Budget Input Data'!$D$7*0.6/('I_Inputs &amp; Assumptions'!$B$8/2)),IF('I_Budget Input Data'!$E$7="Mid-weighted",IF(20&lt;='I_Inputs &amp; Assumptions'!$B$8/4,'I_Budget Input Data'!$D$7*0.2/('I_Inputs &amp; Assumptions'!$B$8/4),IF(20&lt;='I_Inputs &amp; Assumptions'!$B$8*0.75,'I_Budget Input Data'!$D$7*0.6/('I_Inputs &amp; Assumptions'!$B$8/2),'I_Budget Input Data'!$D$7*0.2/('I_Inputs &amp; Assumptions'!$B$8/4))),IF('I_Budget Input Data'!$E$7="At Completion",IF(20='I_Inputs &amp; Assumptions'!$B$8,'I_Budget Input Data'!$D$7,0),'I_Budget Input Data'!$D$7/'I_Inputs &amp; Assumptions'!$B$8)))))),0)</f>
        <v>0</v>
      </c>
      <c r="W7" s="91">
        <f>IF(21&lt;='I_Inputs &amp; Assumptions'!$B$8,IF('I_Budget Input Data'!$E$7="Upfront",IF(21=1,'I_Budget Input Data'!$D$7,0),IF('I_Budget Input Data'!$E$7="Equal",'I_Budget Input Data'!$D$7/'I_Inputs &amp; Assumptions'!$B$8,IF('I_Budget Input Data'!$E$7="Front-loaded",IF(21&lt;='I_Inputs &amp; Assumptions'!$B$8/2,'I_Budget Input Data'!$D$7*0.6/('I_Inputs &amp; Assumptions'!$B$8/2),'I_Budget Input Data'!$D$7*0.4/('I_Inputs &amp; Assumptions'!$B$8/2)),IF('I_Budget Input Data'!$E$7="Back-loaded",IF(21&lt;='I_Inputs &amp; Assumptions'!$B$8/2,'I_Budget Input Data'!$D$7*0.4/('I_Inputs &amp; Assumptions'!$B$8/2),'I_Budget Input Data'!$D$7*0.6/('I_Inputs &amp; Assumptions'!$B$8/2)),IF('I_Budget Input Data'!$E$7="Mid-weighted",IF(21&lt;='I_Inputs &amp; Assumptions'!$B$8/4,'I_Budget Input Data'!$D$7*0.2/('I_Inputs &amp; Assumptions'!$B$8/4),IF(21&lt;='I_Inputs &amp; Assumptions'!$B$8*0.75,'I_Budget Input Data'!$D$7*0.6/('I_Inputs &amp; Assumptions'!$B$8/2),'I_Budget Input Data'!$D$7*0.2/('I_Inputs &amp; Assumptions'!$B$8/4))),IF('I_Budget Input Data'!$E$7="At Completion",IF(21='I_Inputs &amp; Assumptions'!$B$8,'I_Budget Input Data'!$D$7,0),'I_Budget Input Data'!$D$7/'I_Inputs &amp; Assumptions'!$B$8)))))),0)</f>
        <v>0</v>
      </c>
      <c r="X7" s="91">
        <f>IF(22&lt;='I_Inputs &amp; Assumptions'!$B$8,IF('I_Budget Input Data'!$E$7="Upfront",IF(22=1,'I_Budget Input Data'!$D$7,0),IF('I_Budget Input Data'!$E$7="Equal",'I_Budget Input Data'!$D$7/'I_Inputs &amp; Assumptions'!$B$8,IF('I_Budget Input Data'!$E$7="Front-loaded",IF(22&lt;='I_Inputs &amp; Assumptions'!$B$8/2,'I_Budget Input Data'!$D$7*0.6/('I_Inputs &amp; Assumptions'!$B$8/2),'I_Budget Input Data'!$D$7*0.4/('I_Inputs &amp; Assumptions'!$B$8/2)),IF('I_Budget Input Data'!$E$7="Back-loaded",IF(22&lt;='I_Inputs &amp; Assumptions'!$B$8/2,'I_Budget Input Data'!$D$7*0.4/('I_Inputs &amp; Assumptions'!$B$8/2),'I_Budget Input Data'!$D$7*0.6/('I_Inputs &amp; Assumptions'!$B$8/2)),IF('I_Budget Input Data'!$E$7="Mid-weighted",IF(22&lt;='I_Inputs &amp; Assumptions'!$B$8/4,'I_Budget Input Data'!$D$7*0.2/('I_Inputs &amp; Assumptions'!$B$8/4),IF(22&lt;='I_Inputs &amp; Assumptions'!$B$8*0.75,'I_Budget Input Data'!$D$7*0.6/('I_Inputs &amp; Assumptions'!$B$8/2),'I_Budget Input Data'!$D$7*0.2/('I_Inputs &amp; Assumptions'!$B$8/4))),IF('I_Budget Input Data'!$E$7="At Completion",IF(22='I_Inputs &amp; Assumptions'!$B$8,'I_Budget Input Data'!$D$7,0),'I_Budget Input Data'!$D$7/'I_Inputs &amp; Assumptions'!$B$8)))))),0)</f>
        <v>0</v>
      </c>
      <c r="Y7" s="91">
        <f>IF(23&lt;='I_Inputs &amp; Assumptions'!$B$8,IF('I_Budget Input Data'!$E$7="Upfront",IF(23=1,'I_Budget Input Data'!$D$7,0),IF('I_Budget Input Data'!$E$7="Equal",'I_Budget Input Data'!$D$7/'I_Inputs &amp; Assumptions'!$B$8,IF('I_Budget Input Data'!$E$7="Front-loaded",IF(23&lt;='I_Inputs &amp; Assumptions'!$B$8/2,'I_Budget Input Data'!$D$7*0.6/('I_Inputs &amp; Assumptions'!$B$8/2),'I_Budget Input Data'!$D$7*0.4/('I_Inputs &amp; Assumptions'!$B$8/2)),IF('I_Budget Input Data'!$E$7="Back-loaded",IF(23&lt;='I_Inputs &amp; Assumptions'!$B$8/2,'I_Budget Input Data'!$D$7*0.4/('I_Inputs &amp; Assumptions'!$B$8/2),'I_Budget Input Data'!$D$7*0.6/('I_Inputs &amp; Assumptions'!$B$8/2)),IF('I_Budget Input Data'!$E$7="Mid-weighted",IF(23&lt;='I_Inputs &amp; Assumptions'!$B$8/4,'I_Budget Input Data'!$D$7*0.2/('I_Inputs &amp; Assumptions'!$B$8/4),IF(23&lt;='I_Inputs &amp; Assumptions'!$B$8*0.75,'I_Budget Input Data'!$D$7*0.6/('I_Inputs &amp; Assumptions'!$B$8/2),'I_Budget Input Data'!$D$7*0.2/('I_Inputs &amp; Assumptions'!$B$8/4))),IF('I_Budget Input Data'!$E$7="At Completion",IF(23='I_Inputs &amp; Assumptions'!$B$8,'I_Budget Input Data'!$D$7,0),'I_Budget Input Data'!$D$7/'I_Inputs &amp; Assumptions'!$B$8)))))),0)</f>
        <v>0</v>
      </c>
      <c r="Z7" s="91">
        <f>IF(24&lt;='I_Inputs &amp; Assumptions'!$B$8,IF('I_Budget Input Data'!$E$7="Upfront",IF(24=1,'I_Budget Input Data'!$D$7,0),IF('I_Budget Input Data'!$E$7="Equal",'I_Budget Input Data'!$D$7/'I_Inputs &amp; Assumptions'!$B$8,IF('I_Budget Input Data'!$E$7="Front-loaded",IF(24&lt;='I_Inputs &amp; Assumptions'!$B$8/2,'I_Budget Input Data'!$D$7*0.6/('I_Inputs &amp; Assumptions'!$B$8/2),'I_Budget Input Data'!$D$7*0.4/('I_Inputs &amp; Assumptions'!$B$8/2)),IF('I_Budget Input Data'!$E$7="Back-loaded",IF(24&lt;='I_Inputs &amp; Assumptions'!$B$8/2,'I_Budget Input Data'!$D$7*0.4/('I_Inputs &amp; Assumptions'!$B$8/2),'I_Budget Input Data'!$D$7*0.6/('I_Inputs &amp; Assumptions'!$B$8/2)),IF('I_Budget Input Data'!$E$7="Mid-weighted",IF(24&lt;='I_Inputs &amp; Assumptions'!$B$8/4,'I_Budget Input Data'!$D$7*0.2/('I_Inputs &amp; Assumptions'!$B$8/4),IF(24&lt;='I_Inputs &amp; Assumptions'!$B$8*0.75,'I_Budget Input Data'!$D$7*0.6/('I_Inputs &amp; Assumptions'!$B$8/2),'I_Budget Input Data'!$D$7*0.2/('I_Inputs &amp; Assumptions'!$B$8/4))),IF('I_Budget Input Data'!$E$7="At Completion",IF(24='I_Inputs &amp; Assumptions'!$B$8,'I_Budget Input Data'!$D$7,0),'I_Budget Input Data'!$D$7/'I_Inputs &amp; Assumptions'!$B$8)))))),0)</f>
        <v>0</v>
      </c>
      <c r="AA7" s="91">
        <f>IF(25&lt;='I_Inputs &amp; Assumptions'!$B$8,IF('I_Budget Input Data'!$E$7="Upfront",IF(25=1,'I_Budget Input Data'!$D$7,0),IF('I_Budget Input Data'!$E$7="Equal",'I_Budget Input Data'!$D$7/'I_Inputs &amp; Assumptions'!$B$8,IF('I_Budget Input Data'!$E$7="Front-loaded",IF(25&lt;='I_Inputs &amp; Assumptions'!$B$8/2,'I_Budget Input Data'!$D$7*0.6/('I_Inputs &amp; Assumptions'!$B$8/2),'I_Budget Input Data'!$D$7*0.4/('I_Inputs &amp; Assumptions'!$B$8/2)),IF('I_Budget Input Data'!$E$7="Back-loaded",IF(25&lt;='I_Inputs &amp; Assumptions'!$B$8/2,'I_Budget Input Data'!$D$7*0.4/('I_Inputs &amp; Assumptions'!$B$8/2),'I_Budget Input Data'!$D$7*0.6/('I_Inputs &amp; Assumptions'!$B$8/2)),IF('I_Budget Input Data'!$E$7="Mid-weighted",IF(25&lt;='I_Inputs &amp; Assumptions'!$B$8/4,'I_Budget Input Data'!$D$7*0.2/('I_Inputs &amp; Assumptions'!$B$8/4),IF(25&lt;='I_Inputs &amp; Assumptions'!$B$8*0.75,'I_Budget Input Data'!$D$7*0.6/('I_Inputs &amp; Assumptions'!$B$8/2),'I_Budget Input Data'!$D$7*0.2/('I_Inputs &amp; Assumptions'!$B$8/4))),IF('I_Budget Input Data'!$E$7="At Completion",IF(25='I_Inputs &amp; Assumptions'!$B$8,'I_Budget Input Data'!$D$7,0),'I_Budget Input Data'!$D$7/'I_Inputs &amp; Assumptions'!$B$8)))))),0)</f>
        <v>0</v>
      </c>
      <c r="AB7" s="91">
        <f>IF(26&lt;='I_Inputs &amp; Assumptions'!$B$8,IF('I_Budget Input Data'!$E$7="Upfront",IF(26=1,'I_Budget Input Data'!$D$7,0),IF('I_Budget Input Data'!$E$7="Equal",'I_Budget Input Data'!$D$7/'I_Inputs &amp; Assumptions'!$B$8,IF('I_Budget Input Data'!$E$7="Front-loaded",IF(26&lt;='I_Inputs &amp; Assumptions'!$B$8/2,'I_Budget Input Data'!$D$7*0.6/('I_Inputs &amp; Assumptions'!$B$8/2),'I_Budget Input Data'!$D$7*0.4/('I_Inputs &amp; Assumptions'!$B$8/2)),IF('I_Budget Input Data'!$E$7="Back-loaded",IF(26&lt;='I_Inputs &amp; Assumptions'!$B$8/2,'I_Budget Input Data'!$D$7*0.4/('I_Inputs &amp; Assumptions'!$B$8/2),'I_Budget Input Data'!$D$7*0.6/('I_Inputs &amp; Assumptions'!$B$8/2)),IF('I_Budget Input Data'!$E$7="Mid-weighted",IF(26&lt;='I_Inputs &amp; Assumptions'!$B$8/4,'I_Budget Input Data'!$D$7*0.2/('I_Inputs &amp; Assumptions'!$B$8/4),IF(26&lt;='I_Inputs &amp; Assumptions'!$B$8*0.75,'I_Budget Input Data'!$D$7*0.6/('I_Inputs &amp; Assumptions'!$B$8/2),'I_Budget Input Data'!$D$7*0.2/('I_Inputs &amp; Assumptions'!$B$8/4))),IF('I_Budget Input Data'!$E$7="At Completion",IF(26='I_Inputs &amp; Assumptions'!$B$8,'I_Budget Input Data'!$D$7,0),'I_Budget Input Data'!$D$7/'I_Inputs &amp; Assumptions'!$B$8)))))),0)</f>
        <v>0</v>
      </c>
      <c r="AC7" s="91">
        <f>IF(27&lt;='I_Inputs &amp; Assumptions'!$B$8,IF('I_Budget Input Data'!$E$7="Upfront",IF(27=1,'I_Budget Input Data'!$D$7,0),IF('I_Budget Input Data'!$E$7="Equal",'I_Budget Input Data'!$D$7/'I_Inputs &amp; Assumptions'!$B$8,IF('I_Budget Input Data'!$E$7="Front-loaded",IF(27&lt;='I_Inputs &amp; Assumptions'!$B$8/2,'I_Budget Input Data'!$D$7*0.6/('I_Inputs &amp; Assumptions'!$B$8/2),'I_Budget Input Data'!$D$7*0.4/('I_Inputs &amp; Assumptions'!$B$8/2)),IF('I_Budget Input Data'!$E$7="Back-loaded",IF(27&lt;='I_Inputs &amp; Assumptions'!$B$8/2,'I_Budget Input Data'!$D$7*0.4/('I_Inputs &amp; Assumptions'!$B$8/2),'I_Budget Input Data'!$D$7*0.6/('I_Inputs &amp; Assumptions'!$B$8/2)),IF('I_Budget Input Data'!$E$7="Mid-weighted",IF(27&lt;='I_Inputs &amp; Assumptions'!$B$8/4,'I_Budget Input Data'!$D$7*0.2/('I_Inputs &amp; Assumptions'!$B$8/4),IF(27&lt;='I_Inputs &amp; Assumptions'!$B$8*0.75,'I_Budget Input Data'!$D$7*0.6/('I_Inputs &amp; Assumptions'!$B$8/2),'I_Budget Input Data'!$D$7*0.2/('I_Inputs &amp; Assumptions'!$B$8/4))),IF('I_Budget Input Data'!$E$7="At Completion",IF(27='I_Inputs &amp; Assumptions'!$B$8,'I_Budget Input Data'!$D$7,0),'I_Budget Input Data'!$D$7/'I_Inputs &amp; Assumptions'!$B$8)))))),0)</f>
        <v>0</v>
      </c>
      <c r="AD7" s="91">
        <f>IF(28&lt;='I_Inputs &amp; Assumptions'!$B$8,IF('I_Budget Input Data'!$E$7="Upfront",IF(28=1,'I_Budget Input Data'!$D$7,0),IF('I_Budget Input Data'!$E$7="Equal",'I_Budget Input Data'!$D$7/'I_Inputs &amp; Assumptions'!$B$8,IF('I_Budget Input Data'!$E$7="Front-loaded",IF(28&lt;='I_Inputs &amp; Assumptions'!$B$8/2,'I_Budget Input Data'!$D$7*0.6/('I_Inputs &amp; Assumptions'!$B$8/2),'I_Budget Input Data'!$D$7*0.4/('I_Inputs &amp; Assumptions'!$B$8/2)),IF('I_Budget Input Data'!$E$7="Back-loaded",IF(28&lt;='I_Inputs &amp; Assumptions'!$B$8/2,'I_Budget Input Data'!$D$7*0.4/('I_Inputs &amp; Assumptions'!$B$8/2),'I_Budget Input Data'!$D$7*0.6/('I_Inputs &amp; Assumptions'!$B$8/2)),IF('I_Budget Input Data'!$E$7="Mid-weighted",IF(28&lt;='I_Inputs &amp; Assumptions'!$B$8/4,'I_Budget Input Data'!$D$7*0.2/('I_Inputs &amp; Assumptions'!$B$8/4),IF(28&lt;='I_Inputs &amp; Assumptions'!$B$8*0.75,'I_Budget Input Data'!$D$7*0.6/('I_Inputs &amp; Assumptions'!$B$8/2),'I_Budget Input Data'!$D$7*0.2/('I_Inputs &amp; Assumptions'!$B$8/4))),IF('I_Budget Input Data'!$E$7="At Completion",IF(28='I_Inputs &amp; Assumptions'!$B$8,'I_Budget Input Data'!$D$7,0),'I_Budget Input Data'!$D$7/'I_Inputs &amp; Assumptions'!$B$8)))))),0)</f>
        <v>0</v>
      </c>
      <c r="AE7" s="91">
        <f>IF(29&lt;='I_Inputs &amp; Assumptions'!$B$8,IF('I_Budget Input Data'!$E$7="Upfront",IF(29=1,'I_Budget Input Data'!$D$7,0),IF('I_Budget Input Data'!$E$7="Equal",'I_Budget Input Data'!$D$7/'I_Inputs &amp; Assumptions'!$B$8,IF('I_Budget Input Data'!$E$7="Front-loaded",IF(29&lt;='I_Inputs &amp; Assumptions'!$B$8/2,'I_Budget Input Data'!$D$7*0.6/('I_Inputs &amp; Assumptions'!$B$8/2),'I_Budget Input Data'!$D$7*0.4/('I_Inputs &amp; Assumptions'!$B$8/2)),IF('I_Budget Input Data'!$E$7="Back-loaded",IF(29&lt;='I_Inputs &amp; Assumptions'!$B$8/2,'I_Budget Input Data'!$D$7*0.4/('I_Inputs &amp; Assumptions'!$B$8/2),'I_Budget Input Data'!$D$7*0.6/('I_Inputs &amp; Assumptions'!$B$8/2)),IF('I_Budget Input Data'!$E$7="Mid-weighted",IF(29&lt;='I_Inputs &amp; Assumptions'!$B$8/4,'I_Budget Input Data'!$D$7*0.2/('I_Inputs &amp; Assumptions'!$B$8/4),IF(29&lt;='I_Inputs &amp; Assumptions'!$B$8*0.75,'I_Budget Input Data'!$D$7*0.6/('I_Inputs &amp; Assumptions'!$B$8/2),'I_Budget Input Data'!$D$7*0.2/('I_Inputs &amp; Assumptions'!$B$8/4))),IF('I_Budget Input Data'!$E$7="At Completion",IF(29='I_Inputs &amp; Assumptions'!$B$8,'I_Budget Input Data'!$D$7,0),'I_Budget Input Data'!$D$7/'I_Inputs &amp; Assumptions'!$B$8)))))),0)</f>
        <v>0</v>
      </c>
      <c r="AF7" s="91">
        <f>IF(30&lt;='I_Inputs &amp; Assumptions'!$B$8,IF('I_Budget Input Data'!$E$7="Upfront",IF(30=1,'I_Budget Input Data'!$D$7,0),IF('I_Budget Input Data'!$E$7="Equal",'I_Budget Input Data'!$D$7/'I_Inputs &amp; Assumptions'!$B$8,IF('I_Budget Input Data'!$E$7="Front-loaded",IF(30&lt;='I_Inputs &amp; Assumptions'!$B$8/2,'I_Budget Input Data'!$D$7*0.6/('I_Inputs &amp; Assumptions'!$B$8/2),'I_Budget Input Data'!$D$7*0.4/('I_Inputs &amp; Assumptions'!$B$8/2)),IF('I_Budget Input Data'!$E$7="Back-loaded",IF(30&lt;='I_Inputs &amp; Assumptions'!$B$8/2,'I_Budget Input Data'!$D$7*0.4/('I_Inputs &amp; Assumptions'!$B$8/2),'I_Budget Input Data'!$D$7*0.6/('I_Inputs &amp; Assumptions'!$B$8/2)),IF('I_Budget Input Data'!$E$7="Mid-weighted",IF(30&lt;='I_Inputs &amp; Assumptions'!$B$8/4,'I_Budget Input Data'!$D$7*0.2/('I_Inputs &amp; Assumptions'!$B$8/4),IF(30&lt;='I_Inputs &amp; Assumptions'!$B$8*0.75,'I_Budget Input Data'!$D$7*0.6/('I_Inputs &amp; Assumptions'!$B$8/2),'I_Budget Input Data'!$D$7*0.2/('I_Inputs &amp; Assumptions'!$B$8/4))),IF('I_Budget Input Data'!$E$7="At Completion",IF(30='I_Inputs &amp; Assumptions'!$B$8,'I_Budget Input Data'!$D$7,0),'I_Budget Input Data'!$D$7/'I_Inputs &amp; Assumptions'!$B$8)))))),0)</f>
        <v>0</v>
      </c>
      <c r="AG7" s="91">
        <f>IF(31&lt;='I_Inputs &amp; Assumptions'!$B$8,IF('I_Budget Input Data'!$E$7="Upfront",IF(31=1,'I_Budget Input Data'!$D$7,0),IF('I_Budget Input Data'!$E$7="Equal",'I_Budget Input Data'!$D$7/'I_Inputs &amp; Assumptions'!$B$8,IF('I_Budget Input Data'!$E$7="Front-loaded",IF(31&lt;='I_Inputs &amp; Assumptions'!$B$8/2,'I_Budget Input Data'!$D$7*0.6/('I_Inputs &amp; Assumptions'!$B$8/2),'I_Budget Input Data'!$D$7*0.4/('I_Inputs &amp; Assumptions'!$B$8/2)),IF('I_Budget Input Data'!$E$7="Back-loaded",IF(31&lt;='I_Inputs &amp; Assumptions'!$B$8/2,'I_Budget Input Data'!$D$7*0.4/('I_Inputs &amp; Assumptions'!$B$8/2),'I_Budget Input Data'!$D$7*0.6/('I_Inputs &amp; Assumptions'!$B$8/2)),IF('I_Budget Input Data'!$E$7="Mid-weighted",IF(31&lt;='I_Inputs &amp; Assumptions'!$B$8/4,'I_Budget Input Data'!$D$7*0.2/('I_Inputs &amp; Assumptions'!$B$8/4),IF(31&lt;='I_Inputs &amp; Assumptions'!$B$8*0.75,'I_Budget Input Data'!$D$7*0.6/('I_Inputs &amp; Assumptions'!$B$8/2),'I_Budget Input Data'!$D$7*0.2/('I_Inputs &amp; Assumptions'!$B$8/4))),IF('I_Budget Input Data'!$E$7="At Completion",IF(31='I_Inputs &amp; Assumptions'!$B$8,'I_Budget Input Data'!$D$7,0),'I_Budget Input Data'!$D$7/'I_Inputs &amp; Assumptions'!$B$8)))))),0)</f>
        <v>0</v>
      </c>
      <c r="AH7" s="91">
        <f>IF(32&lt;='I_Inputs &amp; Assumptions'!$B$8,IF('I_Budget Input Data'!$E$7="Upfront",IF(32=1,'I_Budget Input Data'!$D$7,0),IF('I_Budget Input Data'!$E$7="Equal",'I_Budget Input Data'!$D$7/'I_Inputs &amp; Assumptions'!$B$8,IF('I_Budget Input Data'!$E$7="Front-loaded",IF(32&lt;='I_Inputs &amp; Assumptions'!$B$8/2,'I_Budget Input Data'!$D$7*0.6/('I_Inputs &amp; Assumptions'!$B$8/2),'I_Budget Input Data'!$D$7*0.4/('I_Inputs &amp; Assumptions'!$B$8/2)),IF('I_Budget Input Data'!$E$7="Back-loaded",IF(32&lt;='I_Inputs &amp; Assumptions'!$B$8/2,'I_Budget Input Data'!$D$7*0.4/('I_Inputs &amp; Assumptions'!$B$8/2),'I_Budget Input Data'!$D$7*0.6/('I_Inputs &amp; Assumptions'!$B$8/2)),IF('I_Budget Input Data'!$E$7="Mid-weighted",IF(32&lt;='I_Inputs &amp; Assumptions'!$B$8/4,'I_Budget Input Data'!$D$7*0.2/('I_Inputs &amp; Assumptions'!$B$8/4),IF(32&lt;='I_Inputs &amp; Assumptions'!$B$8*0.75,'I_Budget Input Data'!$D$7*0.6/('I_Inputs &amp; Assumptions'!$B$8/2),'I_Budget Input Data'!$D$7*0.2/('I_Inputs &amp; Assumptions'!$B$8/4))),IF('I_Budget Input Data'!$E$7="At Completion",IF(32='I_Inputs &amp; Assumptions'!$B$8,'I_Budget Input Data'!$D$7,0),'I_Budget Input Data'!$D$7/'I_Inputs &amp; Assumptions'!$B$8)))))),0)</f>
        <v>0</v>
      </c>
      <c r="AI7" s="91">
        <f>IF(33&lt;='I_Inputs &amp; Assumptions'!$B$8,IF('I_Budget Input Data'!$E$7="Upfront",IF(33=1,'I_Budget Input Data'!$D$7,0),IF('I_Budget Input Data'!$E$7="Equal",'I_Budget Input Data'!$D$7/'I_Inputs &amp; Assumptions'!$B$8,IF('I_Budget Input Data'!$E$7="Front-loaded",IF(33&lt;='I_Inputs &amp; Assumptions'!$B$8/2,'I_Budget Input Data'!$D$7*0.6/('I_Inputs &amp; Assumptions'!$B$8/2),'I_Budget Input Data'!$D$7*0.4/('I_Inputs &amp; Assumptions'!$B$8/2)),IF('I_Budget Input Data'!$E$7="Back-loaded",IF(33&lt;='I_Inputs &amp; Assumptions'!$B$8/2,'I_Budget Input Data'!$D$7*0.4/('I_Inputs &amp; Assumptions'!$B$8/2),'I_Budget Input Data'!$D$7*0.6/('I_Inputs &amp; Assumptions'!$B$8/2)),IF('I_Budget Input Data'!$E$7="Mid-weighted",IF(33&lt;='I_Inputs &amp; Assumptions'!$B$8/4,'I_Budget Input Data'!$D$7*0.2/('I_Inputs &amp; Assumptions'!$B$8/4),IF(33&lt;='I_Inputs &amp; Assumptions'!$B$8*0.75,'I_Budget Input Data'!$D$7*0.6/('I_Inputs &amp; Assumptions'!$B$8/2),'I_Budget Input Data'!$D$7*0.2/('I_Inputs &amp; Assumptions'!$B$8/4))),IF('I_Budget Input Data'!$E$7="At Completion",IF(33='I_Inputs &amp; Assumptions'!$B$8,'I_Budget Input Data'!$D$7,0),'I_Budget Input Data'!$D$7/'I_Inputs &amp; Assumptions'!$B$8)))))),0)</f>
        <v>0</v>
      </c>
      <c r="AJ7" s="91">
        <f>IF(34&lt;='I_Inputs &amp; Assumptions'!$B$8,IF('I_Budget Input Data'!$E$7="Upfront",IF(34=1,'I_Budget Input Data'!$D$7,0),IF('I_Budget Input Data'!$E$7="Equal",'I_Budget Input Data'!$D$7/'I_Inputs &amp; Assumptions'!$B$8,IF('I_Budget Input Data'!$E$7="Front-loaded",IF(34&lt;='I_Inputs &amp; Assumptions'!$B$8/2,'I_Budget Input Data'!$D$7*0.6/('I_Inputs &amp; Assumptions'!$B$8/2),'I_Budget Input Data'!$D$7*0.4/('I_Inputs &amp; Assumptions'!$B$8/2)),IF('I_Budget Input Data'!$E$7="Back-loaded",IF(34&lt;='I_Inputs &amp; Assumptions'!$B$8/2,'I_Budget Input Data'!$D$7*0.4/('I_Inputs &amp; Assumptions'!$B$8/2),'I_Budget Input Data'!$D$7*0.6/('I_Inputs &amp; Assumptions'!$B$8/2)),IF('I_Budget Input Data'!$E$7="Mid-weighted",IF(34&lt;='I_Inputs &amp; Assumptions'!$B$8/4,'I_Budget Input Data'!$D$7*0.2/('I_Inputs &amp; Assumptions'!$B$8/4),IF(34&lt;='I_Inputs &amp; Assumptions'!$B$8*0.75,'I_Budget Input Data'!$D$7*0.6/('I_Inputs &amp; Assumptions'!$B$8/2),'I_Budget Input Data'!$D$7*0.2/('I_Inputs &amp; Assumptions'!$B$8/4))),IF('I_Budget Input Data'!$E$7="At Completion",IF(34='I_Inputs &amp; Assumptions'!$B$8,'I_Budget Input Data'!$D$7,0),'I_Budget Input Data'!$D$7/'I_Inputs &amp; Assumptions'!$B$8)))))),0)</f>
        <v>0</v>
      </c>
      <c r="AK7" s="91">
        <f>IF(35&lt;='I_Inputs &amp; Assumptions'!$B$8,IF('I_Budget Input Data'!$E$7="Upfront",IF(35=1,'I_Budget Input Data'!$D$7,0),IF('I_Budget Input Data'!$E$7="Equal",'I_Budget Input Data'!$D$7/'I_Inputs &amp; Assumptions'!$B$8,IF('I_Budget Input Data'!$E$7="Front-loaded",IF(35&lt;='I_Inputs &amp; Assumptions'!$B$8/2,'I_Budget Input Data'!$D$7*0.6/('I_Inputs &amp; Assumptions'!$B$8/2),'I_Budget Input Data'!$D$7*0.4/('I_Inputs &amp; Assumptions'!$B$8/2)),IF('I_Budget Input Data'!$E$7="Back-loaded",IF(35&lt;='I_Inputs &amp; Assumptions'!$B$8/2,'I_Budget Input Data'!$D$7*0.4/('I_Inputs &amp; Assumptions'!$B$8/2),'I_Budget Input Data'!$D$7*0.6/('I_Inputs &amp; Assumptions'!$B$8/2)),IF('I_Budget Input Data'!$E$7="Mid-weighted",IF(35&lt;='I_Inputs &amp; Assumptions'!$B$8/4,'I_Budget Input Data'!$D$7*0.2/('I_Inputs &amp; Assumptions'!$B$8/4),IF(35&lt;='I_Inputs &amp; Assumptions'!$B$8*0.75,'I_Budget Input Data'!$D$7*0.6/('I_Inputs &amp; Assumptions'!$B$8/2),'I_Budget Input Data'!$D$7*0.2/('I_Inputs &amp; Assumptions'!$B$8/4))),IF('I_Budget Input Data'!$E$7="At Completion",IF(35='I_Inputs &amp; Assumptions'!$B$8,'I_Budget Input Data'!$D$7,0),'I_Budget Input Data'!$D$7/'I_Inputs &amp; Assumptions'!$B$8)))))),0)</f>
        <v>0</v>
      </c>
      <c r="AL7" s="91">
        <f>IF(36&lt;='I_Inputs &amp; Assumptions'!$B$8,IF('I_Budget Input Data'!$E$7="Upfront",IF(36=1,'I_Budget Input Data'!$D$7,0),IF('I_Budget Input Data'!$E$7="Equal",'I_Budget Input Data'!$D$7/'I_Inputs &amp; Assumptions'!$B$8,IF('I_Budget Input Data'!$E$7="Front-loaded",IF(36&lt;='I_Inputs &amp; Assumptions'!$B$8/2,'I_Budget Input Data'!$D$7*0.6/('I_Inputs &amp; Assumptions'!$B$8/2),'I_Budget Input Data'!$D$7*0.4/('I_Inputs &amp; Assumptions'!$B$8/2)),IF('I_Budget Input Data'!$E$7="Back-loaded",IF(36&lt;='I_Inputs &amp; Assumptions'!$B$8/2,'I_Budget Input Data'!$D$7*0.4/('I_Inputs &amp; Assumptions'!$B$8/2),'I_Budget Input Data'!$D$7*0.6/('I_Inputs &amp; Assumptions'!$B$8/2)),IF('I_Budget Input Data'!$E$7="Mid-weighted",IF(36&lt;='I_Inputs &amp; Assumptions'!$B$8/4,'I_Budget Input Data'!$D$7*0.2/('I_Inputs &amp; Assumptions'!$B$8/4),IF(36&lt;='I_Inputs &amp; Assumptions'!$B$8*0.75,'I_Budget Input Data'!$D$7*0.6/('I_Inputs &amp; Assumptions'!$B$8/2),'I_Budget Input Data'!$D$7*0.2/('I_Inputs &amp; Assumptions'!$B$8/4))),IF('I_Budget Input Data'!$E$7="At Completion",IF(36='I_Inputs &amp; Assumptions'!$B$8,'I_Budget Input Data'!$D$7,0),'I_Budget Input Data'!$D$7/'I_Inputs &amp; Assumptions'!$B$8)))))),0)</f>
        <v>0</v>
      </c>
    </row>
    <row r="8" spans="1:38" ht="15" customHeight="1" x14ac:dyDescent="0.2">
      <c r="A8" t="s">
        <v>131</v>
      </c>
      <c r="B8" t="s">
        <v>135</v>
      </c>
      <c r="C8" s="91">
        <f>IF(1&lt;='I_Inputs &amp; Assumptions'!$B$8,IF('I_Budget Input Data'!$E$8="Upfront",IF(1=1,'I_Budget Input Data'!$D$8,0),IF('I_Budget Input Data'!$E$8="Equal",'I_Budget Input Data'!$D$8/'I_Inputs &amp; Assumptions'!$B$8,IF('I_Budget Input Data'!$E$8="Front-loaded",IF(1&lt;='I_Inputs &amp; Assumptions'!$B$8/2,'I_Budget Input Data'!$D$8*0.6/('I_Inputs &amp; Assumptions'!$B$8/2),'I_Budget Input Data'!$D$8*0.4/('I_Inputs &amp; Assumptions'!$B$8/2)),IF('I_Budget Input Data'!$E$8="Back-loaded",IF(1&lt;='I_Inputs &amp; Assumptions'!$B$8/2,'I_Budget Input Data'!$D$8*0.4/('I_Inputs &amp; Assumptions'!$B$8/2),'I_Budget Input Data'!$D$8*0.6/('I_Inputs &amp; Assumptions'!$B$8/2)),IF('I_Budget Input Data'!$E$8="Mid-weighted",IF(1&lt;='I_Inputs &amp; Assumptions'!$B$8/4,'I_Budget Input Data'!$D$8*0.2/('I_Inputs &amp; Assumptions'!$B$8/4),IF(1&lt;='I_Inputs &amp; Assumptions'!$B$8*0.75,'I_Budget Input Data'!$D$8*0.6/('I_Inputs &amp; Assumptions'!$B$8/2),'I_Budget Input Data'!$D$8*0.2/('I_Inputs &amp; Assumptions'!$B$8/4))),IF('I_Budget Input Data'!$E$8="At Completion",IF(1='I_Inputs &amp; Assumptions'!$B$8,'I_Budget Input Data'!$D$8,0),'I_Budget Input Data'!$D$8/'I_Inputs &amp; Assumptions'!$B$8)))))),0)</f>
        <v>105360</v>
      </c>
      <c r="D8" s="91">
        <f>IF(2&lt;='I_Inputs &amp; Assumptions'!$B$8,IF('I_Budget Input Data'!$E$8="Upfront",IF(2=1,'I_Budget Input Data'!$D$8,0),IF('I_Budget Input Data'!$E$8="Equal",'I_Budget Input Data'!$D$8/'I_Inputs &amp; Assumptions'!$B$8,IF('I_Budget Input Data'!$E$8="Front-loaded",IF(2&lt;='I_Inputs &amp; Assumptions'!$B$8/2,'I_Budget Input Data'!$D$8*0.6/('I_Inputs &amp; Assumptions'!$B$8/2),'I_Budget Input Data'!$D$8*0.4/('I_Inputs &amp; Assumptions'!$B$8/2)),IF('I_Budget Input Data'!$E$8="Back-loaded",IF(2&lt;='I_Inputs &amp; Assumptions'!$B$8/2,'I_Budget Input Data'!$D$8*0.4/('I_Inputs &amp; Assumptions'!$B$8/2),'I_Budget Input Data'!$D$8*0.6/('I_Inputs &amp; Assumptions'!$B$8/2)),IF('I_Budget Input Data'!$E$8="Mid-weighted",IF(2&lt;='I_Inputs &amp; Assumptions'!$B$8/4,'I_Budget Input Data'!$D$8*0.2/('I_Inputs &amp; Assumptions'!$B$8/4),IF(2&lt;='I_Inputs &amp; Assumptions'!$B$8*0.75,'I_Budget Input Data'!$D$8*0.6/('I_Inputs &amp; Assumptions'!$B$8/2),'I_Budget Input Data'!$D$8*0.2/('I_Inputs &amp; Assumptions'!$B$8/4))),IF('I_Budget Input Data'!$E$8="At Completion",IF(2='I_Inputs &amp; Assumptions'!$B$8,'I_Budget Input Data'!$D$8,0),'I_Budget Input Data'!$D$8/'I_Inputs &amp; Assumptions'!$B$8)))))),0)</f>
        <v>0</v>
      </c>
      <c r="E8" s="91">
        <f>IF(3&lt;='I_Inputs &amp; Assumptions'!$B$8,IF('I_Budget Input Data'!$E$8="Upfront",IF(3=1,'I_Budget Input Data'!$D$8,0),IF('I_Budget Input Data'!$E$8="Equal",'I_Budget Input Data'!$D$8/'I_Inputs &amp; Assumptions'!$B$8,IF('I_Budget Input Data'!$E$8="Front-loaded",IF(3&lt;='I_Inputs &amp; Assumptions'!$B$8/2,'I_Budget Input Data'!$D$8*0.6/('I_Inputs &amp; Assumptions'!$B$8/2),'I_Budget Input Data'!$D$8*0.4/('I_Inputs &amp; Assumptions'!$B$8/2)),IF('I_Budget Input Data'!$E$8="Back-loaded",IF(3&lt;='I_Inputs &amp; Assumptions'!$B$8/2,'I_Budget Input Data'!$D$8*0.4/('I_Inputs &amp; Assumptions'!$B$8/2),'I_Budget Input Data'!$D$8*0.6/('I_Inputs &amp; Assumptions'!$B$8/2)),IF('I_Budget Input Data'!$E$8="Mid-weighted",IF(3&lt;='I_Inputs &amp; Assumptions'!$B$8/4,'I_Budget Input Data'!$D$8*0.2/('I_Inputs &amp; Assumptions'!$B$8/4),IF(3&lt;='I_Inputs &amp; Assumptions'!$B$8*0.75,'I_Budget Input Data'!$D$8*0.6/('I_Inputs &amp; Assumptions'!$B$8/2),'I_Budget Input Data'!$D$8*0.2/('I_Inputs &amp; Assumptions'!$B$8/4))),IF('I_Budget Input Data'!$E$8="At Completion",IF(3='I_Inputs &amp; Assumptions'!$B$8,'I_Budget Input Data'!$D$8,0),'I_Budget Input Data'!$D$8/'I_Inputs &amp; Assumptions'!$B$8)))))),0)</f>
        <v>0</v>
      </c>
      <c r="F8" s="91">
        <f>IF(4&lt;='I_Inputs &amp; Assumptions'!$B$8,IF('I_Budget Input Data'!$E$8="Upfront",IF(4=1,'I_Budget Input Data'!$D$8,0),IF('I_Budget Input Data'!$E$8="Equal",'I_Budget Input Data'!$D$8/'I_Inputs &amp; Assumptions'!$B$8,IF('I_Budget Input Data'!$E$8="Front-loaded",IF(4&lt;='I_Inputs &amp; Assumptions'!$B$8/2,'I_Budget Input Data'!$D$8*0.6/('I_Inputs &amp; Assumptions'!$B$8/2),'I_Budget Input Data'!$D$8*0.4/('I_Inputs &amp; Assumptions'!$B$8/2)),IF('I_Budget Input Data'!$E$8="Back-loaded",IF(4&lt;='I_Inputs &amp; Assumptions'!$B$8/2,'I_Budget Input Data'!$D$8*0.4/('I_Inputs &amp; Assumptions'!$B$8/2),'I_Budget Input Data'!$D$8*0.6/('I_Inputs &amp; Assumptions'!$B$8/2)),IF('I_Budget Input Data'!$E$8="Mid-weighted",IF(4&lt;='I_Inputs &amp; Assumptions'!$B$8/4,'I_Budget Input Data'!$D$8*0.2/('I_Inputs &amp; Assumptions'!$B$8/4),IF(4&lt;='I_Inputs &amp; Assumptions'!$B$8*0.75,'I_Budget Input Data'!$D$8*0.6/('I_Inputs &amp; Assumptions'!$B$8/2),'I_Budget Input Data'!$D$8*0.2/('I_Inputs &amp; Assumptions'!$B$8/4))),IF('I_Budget Input Data'!$E$8="At Completion",IF(4='I_Inputs &amp; Assumptions'!$B$8,'I_Budget Input Data'!$D$8,0),'I_Budget Input Data'!$D$8/'I_Inputs &amp; Assumptions'!$B$8)))))),0)</f>
        <v>0</v>
      </c>
      <c r="G8" s="91">
        <f>IF(5&lt;='I_Inputs &amp; Assumptions'!$B$8,IF('I_Budget Input Data'!$E$8="Upfront",IF(5=1,'I_Budget Input Data'!$D$8,0),IF('I_Budget Input Data'!$E$8="Equal",'I_Budget Input Data'!$D$8/'I_Inputs &amp; Assumptions'!$B$8,IF('I_Budget Input Data'!$E$8="Front-loaded",IF(5&lt;='I_Inputs &amp; Assumptions'!$B$8/2,'I_Budget Input Data'!$D$8*0.6/('I_Inputs &amp; Assumptions'!$B$8/2),'I_Budget Input Data'!$D$8*0.4/('I_Inputs &amp; Assumptions'!$B$8/2)),IF('I_Budget Input Data'!$E$8="Back-loaded",IF(5&lt;='I_Inputs &amp; Assumptions'!$B$8/2,'I_Budget Input Data'!$D$8*0.4/('I_Inputs &amp; Assumptions'!$B$8/2),'I_Budget Input Data'!$D$8*0.6/('I_Inputs &amp; Assumptions'!$B$8/2)),IF('I_Budget Input Data'!$E$8="Mid-weighted",IF(5&lt;='I_Inputs &amp; Assumptions'!$B$8/4,'I_Budget Input Data'!$D$8*0.2/('I_Inputs &amp; Assumptions'!$B$8/4),IF(5&lt;='I_Inputs &amp; Assumptions'!$B$8*0.75,'I_Budget Input Data'!$D$8*0.6/('I_Inputs &amp; Assumptions'!$B$8/2),'I_Budget Input Data'!$D$8*0.2/('I_Inputs &amp; Assumptions'!$B$8/4))),IF('I_Budget Input Data'!$E$8="At Completion",IF(5='I_Inputs &amp; Assumptions'!$B$8,'I_Budget Input Data'!$D$8,0),'I_Budget Input Data'!$D$8/'I_Inputs &amp; Assumptions'!$B$8)))))),0)</f>
        <v>0</v>
      </c>
      <c r="H8" s="91">
        <f>IF(6&lt;='I_Inputs &amp; Assumptions'!$B$8,IF('I_Budget Input Data'!$E$8="Upfront",IF(6=1,'I_Budget Input Data'!$D$8,0),IF('I_Budget Input Data'!$E$8="Equal",'I_Budget Input Data'!$D$8/'I_Inputs &amp; Assumptions'!$B$8,IF('I_Budget Input Data'!$E$8="Front-loaded",IF(6&lt;='I_Inputs &amp; Assumptions'!$B$8/2,'I_Budget Input Data'!$D$8*0.6/('I_Inputs &amp; Assumptions'!$B$8/2),'I_Budget Input Data'!$D$8*0.4/('I_Inputs &amp; Assumptions'!$B$8/2)),IF('I_Budget Input Data'!$E$8="Back-loaded",IF(6&lt;='I_Inputs &amp; Assumptions'!$B$8/2,'I_Budget Input Data'!$D$8*0.4/('I_Inputs &amp; Assumptions'!$B$8/2),'I_Budget Input Data'!$D$8*0.6/('I_Inputs &amp; Assumptions'!$B$8/2)),IF('I_Budget Input Data'!$E$8="Mid-weighted",IF(6&lt;='I_Inputs &amp; Assumptions'!$B$8/4,'I_Budget Input Data'!$D$8*0.2/('I_Inputs &amp; Assumptions'!$B$8/4),IF(6&lt;='I_Inputs &amp; Assumptions'!$B$8*0.75,'I_Budget Input Data'!$D$8*0.6/('I_Inputs &amp; Assumptions'!$B$8/2),'I_Budget Input Data'!$D$8*0.2/('I_Inputs &amp; Assumptions'!$B$8/4))),IF('I_Budget Input Data'!$E$8="At Completion",IF(6='I_Inputs &amp; Assumptions'!$B$8,'I_Budget Input Data'!$D$8,0),'I_Budget Input Data'!$D$8/'I_Inputs &amp; Assumptions'!$B$8)))))),0)</f>
        <v>0</v>
      </c>
      <c r="I8" s="91">
        <f>IF(7&lt;='I_Inputs &amp; Assumptions'!$B$8,IF('I_Budget Input Data'!$E$8="Upfront",IF(7=1,'I_Budget Input Data'!$D$8,0),IF('I_Budget Input Data'!$E$8="Equal",'I_Budget Input Data'!$D$8/'I_Inputs &amp; Assumptions'!$B$8,IF('I_Budget Input Data'!$E$8="Front-loaded",IF(7&lt;='I_Inputs &amp; Assumptions'!$B$8/2,'I_Budget Input Data'!$D$8*0.6/('I_Inputs &amp; Assumptions'!$B$8/2),'I_Budget Input Data'!$D$8*0.4/('I_Inputs &amp; Assumptions'!$B$8/2)),IF('I_Budget Input Data'!$E$8="Back-loaded",IF(7&lt;='I_Inputs &amp; Assumptions'!$B$8/2,'I_Budget Input Data'!$D$8*0.4/('I_Inputs &amp; Assumptions'!$B$8/2),'I_Budget Input Data'!$D$8*0.6/('I_Inputs &amp; Assumptions'!$B$8/2)),IF('I_Budget Input Data'!$E$8="Mid-weighted",IF(7&lt;='I_Inputs &amp; Assumptions'!$B$8/4,'I_Budget Input Data'!$D$8*0.2/('I_Inputs &amp; Assumptions'!$B$8/4),IF(7&lt;='I_Inputs &amp; Assumptions'!$B$8*0.75,'I_Budget Input Data'!$D$8*0.6/('I_Inputs &amp; Assumptions'!$B$8/2),'I_Budget Input Data'!$D$8*0.2/('I_Inputs &amp; Assumptions'!$B$8/4))),IF('I_Budget Input Data'!$E$8="At Completion",IF(7='I_Inputs &amp; Assumptions'!$B$8,'I_Budget Input Data'!$D$8,0),'I_Budget Input Data'!$D$8/'I_Inputs &amp; Assumptions'!$B$8)))))),0)</f>
        <v>0</v>
      </c>
      <c r="J8" s="91">
        <f>IF(8&lt;='I_Inputs &amp; Assumptions'!$B$8,IF('I_Budget Input Data'!$E$8="Upfront",IF(8=1,'I_Budget Input Data'!$D$8,0),IF('I_Budget Input Data'!$E$8="Equal",'I_Budget Input Data'!$D$8/'I_Inputs &amp; Assumptions'!$B$8,IF('I_Budget Input Data'!$E$8="Front-loaded",IF(8&lt;='I_Inputs &amp; Assumptions'!$B$8/2,'I_Budget Input Data'!$D$8*0.6/('I_Inputs &amp; Assumptions'!$B$8/2),'I_Budget Input Data'!$D$8*0.4/('I_Inputs &amp; Assumptions'!$B$8/2)),IF('I_Budget Input Data'!$E$8="Back-loaded",IF(8&lt;='I_Inputs &amp; Assumptions'!$B$8/2,'I_Budget Input Data'!$D$8*0.4/('I_Inputs &amp; Assumptions'!$B$8/2),'I_Budget Input Data'!$D$8*0.6/('I_Inputs &amp; Assumptions'!$B$8/2)),IF('I_Budget Input Data'!$E$8="Mid-weighted",IF(8&lt;='I_Inputs &amp; Assumptions'!$B$8/4,'I_Budget Input Data'!$D$8*0.2/('I_Inputs &amp; Assumptions'!$B$8/4),IF(8&lt;='I_Inputs &amp; Assumptions'!$B$8*0.75,'I_Budget Input Data'!$D$8*0.6/('I_Inputs &amp; Assumptions'!$B$8/2),'I_Budget Input Data'!$D$8*0.2/('I_Inputs &amp; Assumptions'!$B$8/4))),IF('I_Budget Input Data'!$E$8="At Completion",IF(8='I_Inputs &amp; Assumptions'!$B$8,'I_Budget Input Data'!$D$8,0),'I_Budget Input Data'!$D$8/'I_Inputs &amp; Assumptions'!$B$8)))))),0)</f>
        <v>0</v>
      </c>
      <c r="K8" s="91">
        <f>IF(9&lt;='I_Inputs &amp; Assumptions'!$B$8,IF('I_Budget Input Data'!$E$8="Upfront",IF(9=1,'I_Budget Input Data'!$D$8,0),IF('I_Budget Input Data'!$E$8="Equal",'I_Budget Input Data'!$D$8/'I_Inputs &amp; Assumptions'!$B$8,IF('I_Budget Input Data'!$E$8="Front-loaded",IF(9&lt;='I_Inputs &amp; Assumptions'!$B$8/2,'I_Budget Input Data'!$D$8*0.6/('I_Inputs &amp; Assumptions'!$B$8/2),'I_Budget Input Data'!$D$8*0.4/('I_Inputs &amp; Assumptions'!$B$8/2)),IF('I_Budget Input Data'!$E$8="Back-loaded",IF(9&lt;='I_Inputs &amp; Assumptions'!$B$8/2,'I_Budget Input Data'!$D$8*0.4/('I_Inputs &amp; Assumptions'!$B$8/2),'I_Budget Input Data'!$D$8*0.6/('I_Inputs &amp; Assumptions'!$B$8/2)),IF('I_Budget Input Data'!$E$8="Mid-weighted",IF(9&lt;='I_Inputs &amp; Assumptions'!$B$8/4,'I_Budget Input Data'!$D$8*0.2/('I_Inputs &amp; Assumptions'!$B$8/4),IF(9&lt;='I_Inputs &amp; Assumptions'!$B$8*0.75,'I_Budget Input Data'!$D$8*0.6/('I_Inputs &amp; Assumptions'!$B$8/2),'I_Budget Input Data'!$D$8*0.2/('I_Inputs &amp; Assumptions'!$B$8/4))),IF('I_Budget Input Data'!$E$8="At Completion",IF(9='I_Inputs &amp; Assumptions'!$B$8,'I_Budget Input Data'!$D$8,0),'I_Budget Input Data'!$D$8/'I_Inputs &amp; Assumptions'!$B$8)))))),0)</f>
        <v>0</v>
      </c>
      <c r="L8" s="91">
        <f>IF(10&lt;='I_Inputs &amp; Assumptions'!$B$8,IF('I_Budget Input Data'!$E$8="Upfront",IF(10=1,'I_Budget Input Data'!$D$8,0),IF('I_Budget Input Data'!$E$8="Equal",'I_Budget Input Data'!$D$8/'I_Inputs &amp; Assumptions'!$B$8,IF('I_Budget Input Data'!$E$8="Front-loaded",IF(10&lt;='I_Inputs &amp; Assumptions'!$B$8/2,'I_Budget Input Data'!$D$8*0.6/('I_Inputs &amp; Assumptions'!$B$8/2),'I_Budget Input Data'!$D$8*0.4/('I_Inputs &amp; Assumptions'!$B$8/2)),IF('I_Budget Input Data'!$E$8="Back-loaded",IF(10&lt;='I_Inputs &amp; Assumptions'!$B$8/2,'I_Budget Input Data'!$D$8*0.4/('I_Inputs &amp; Assumptions'!$B$8/2),'I_Budget Input Data'!$D$8*0.6/('I_Inputs &amp; Assumptions'!$B$8/2)),IF('I_Budget Input Data'!$E$8="Mid-weighted",IF(10&lt;='I_Inputs &amp; Assumptions'!$B$8/4,'I_Budget Input Data'!$D$8*0.2/('I_Inputs &amp; Assumptions'!$B$8/4),IF(10&lt;='I_Inputs &amp; Assumptions'!$B$8*0.75,'I_Budget Input Data'!$D$8*0.6/('I_Inputs &amp; Assumptions'!$B$8/2),'I_Budget Input Data'!$D$8*0.2/('I_Inputs &amp; Assumptions'!$B$8/4))),IF('I_Budget Input Data'!$E$8="At Completion",IF(10='I_Inputs &amp; Assumptions'!$B$8,'I_Budget Input Data'!$D$8,0),'I_Budget Input Data'!$D$8/'I_Inputs &amp; Assumptions'!$B$8)))))),0)</f>
        <v>0</v>
      </c>
      <c r="M8" s="91">
        <f>IF(11&lt;='I_Inputs &amp; Assumptions'!$B$8,IF('I_Budget Input Data'!$E$8="Upfront",IF(11=1,'I_Budget Input Data'!$D$8,0),IF('I_Budget Input Data'!$E$8="Equal",'I_Budget Input Data'!$D$8/'I_Inputs &amp; Assumptions'!$B$8,IF('I_Budget Input Data'!$E$8="Front-loaded",IF(11&lt;='I_Inputs &amp; Assumptions'!$B$8/2,'I_Budget Input Data'!$D$8*0.6/('I_Inputs &amp; Assumptions'!$B$8/2),'I_Budget Input Data'!$D$8*0.4/('I_Inputs &amp; Assumptions'!$B$8/2)),IF('I_Budget Input Data'!$E$8="Back-loaded",IF(11&lt;='I_Inputs &amp; Assumptions'!$B$8/2,'I_Budget Input Data'!$D$8*0.4/('I_Inputs &amp; Assumptions'!$B$8/2),'I_Budget Input Data'!$D$8*0.6/('I_Inputs &amp; Assumptions'!$B$8/2)),IF('I_Budget Input Data'!$E$8="Mid-weighted",IF(11&lt;='I_Inputs &amp; Assumptions'!$B$8/4,'I_Budget Input Data'!$D$8*0.2/('I_Inputs &amp; Assumptions'!$B$8/4),IF(11&lt;='I_Inputs &amp; Assumptions'!$B$8*0.75,'I_Budget Input Data'!$D$8*0.6/('I_Inputs &amp; Assumptions'!$B$8/2),'I_Budget Input Data'!$D$8*0.2/('I_Inputs &amp; Assumptions'!$B$8/4))),IF('I_Budget Input Data'!$E$8="At Completion",IF(11='I_Inputs &amp; Assumptions'!$B$8,'I_Budget Input Data'!$D$8,0),'I_Budget Input Data'!$D$8/'I_Inputs &amp; Assumptions'!$B$8)))))),0)</f>
        <v>0</v>
      </c>
      <c r="N8" s="91">
        <f>IF(12&lt;='I_Inputs &amp; Assumptions'!$B$8,IF('I_Budget Input Data'!$E$8="Upfront",IF(12=1,'I_Budget Input Data'!$D$8,0),IF('I_Budget Input Data'!$E$8="Equal",'I_Budget Input Data'!$D$8/'I_Inputs &amp; Assumptions'!$B$8,IF('I_Budget Input Data'!$E$8="Front-loaded",IF(12&lt;='I_Inputs &amp; Assumptions'!$B$8/2,'I_Budget Input Data'!$D$8*0.6/('I_Inputs &amp; Assumptions'!$B$8/2),'I_Budget Input Data'!$D$8*0.4/('I_Inputs &amp; Assumptions'!$B$8/2)),IF('I_Budget Input Data'!$E$8="Back-loaded",IF(12&lt;='I_Inputs &amp; Assumptions'!$B$8/2,'I_Budget Input Data'!$D$8*0.4/('I_Inputs &amp; Assumptions'!$B$8/2),'I_Budget Input Data'!$D$8*0.6/('I_Inputs &amp; Assumptions'!$B$8/2)),IF('I_Budget Input Data'!$E$8="Mid-weighted",IF(12&lt;='I_Inputs &amp; Assumptions'!$B$8/4,'I_Budget Input Data'!$D$8*0.2/('I_Inputs &amp; Assumptions'!$B$8/4),IF(12&lt;='I_Inputs &amp; Assumptions'!$B$8*0.75,'I_Budget Input Data'!$D$8*0.6/('I_Inputs &amp; Assumptions'!$B$8/2),'I_Budget Input Data'!$D$8*0.2/('I_Inputs &amp; Assumptions'!$B$8/4))),IF('I_Budget Input Data'!$E$8="At Completion",IF(12='I_Inputs &amp; Assumptions'!$B$8,'I_Budget Input Data'!$D$8,0),'I_Budget Input Data'!$D$8/'I_Inputs &amp; Assumptions'!$B$8)))))),0)</f>
        <v>0</v>
      </c>
      <c r="O8" s="91">
        <f>IF(13&lt;='I_Inputs &amp; Assumptions'!$B$8,IF('I_Budget Input Data'!$E$8="Upfront",IF(13=1,'I_Budget Input Data'!$D$8,0),IF('I_Budget Input Data'!$E$8="Equal",'I_Budget Input Data'!$D$8/'I_Inputs &amp; Assumptions'!$B$8,IF('I_Budget Input Data'!$E$8="Front-loaded",IF(13&lt;='I_Inputs &amp; Assumptions'!$B$8/2,'I_Budget Input Data'!$D$8*0.6/('I_Inputs &amp; Assumptions'!$B$8/2),'I_Budget Input Data'!$D$8*0.4/('I_Inputs &amp; Assumptions'!$B$8/2)),IF('I_Budget Input Data'!$E$8="Back-loaded",IF(13&lt;='I_Inputs &amp; Assumptions'!$B$8/2,'I_Budget Input Data'!$D$8*0.4/('I_Inputs &amp; Assumptions'!$B$8/2),'I_Budget Input Data'!$D$8*0.6/('I_Inputs &amp; Assumptions'!$B$8/2)),IF('I_Budget Input Data'!$E$8="Mid-weighted",IF(13&lt;='I_Inputs &amp; Assumptions'!$B$8/4,'I_Budget Input Data'!$D$8*0.2/('I_Inputs &amp; Assumptions'!$B$8/4),IF(13&lt;='I_Inputs &amp; Assumptions'!$B$8*0.75,'I_Budget Input Data'!$D$8*0.6/('I_Inputs &amp; Assumptions'!$B$8/2),'I_Budget Input Data'!$D$8*0.2/('I_Inputs &amp; Assumptions'!$B$8/4))),IF('I_Budget Input Data'!$E$8="At Completion",IF(13='I_Inputs &amp; Assumptions'!$B$8,'I_Budget Input Data'!$D$8,0),'I_Budget Input Data'!$D$8/'I_Inputs &amp; Assumptions'!$B$8)))))),0)</f>
        <v>0</v>
      </c>
      <c r="P8" s="91">
        <f>IF(14&lt;='I_Inputs &amp; Assumptions'!$B$8,IF('I_Budget Input Data'!$E$8="Upfront",IF(14=1,'I_Budget Input Data'!$D$8,0),IF('I_Budget Input Data'!$E$8="Equal",'I_Budget Input Data'!$D$8/'I_Inputs &amp; Assumptions'!$B$8,IF('I_Budget Input Data'!$E$8="Front-loaded",IF(14&lt;='I_Inputs &amp; Assumptions'!$B$8/2,'I_Budget Input Data'!$D$8*0.6/('I_Inputs &amp; Assumptions'!$B$8/2),'I_Budget Input Data'!$D$8*0.4/('I_Inputs &amp; Assumptions'!$B$8/2)),IF('I_Budget Input Data'!$E$8="Back-loaded",IF(14&lt;='I_Inputs &amp; Assumptions'!$B$8/2,'I_Budget Input Data'!$D$8*0.4/('I_Inputs &amp; Assumptions'!$B$8/2),'I_Budget Input Data'!$D$8*0.6/('I_Inputs &amp; Assumptions'!$B$8/2)),IF('I_Budget Input Data'!$E$8="Mid-weighted",IF(14&lt;='I_Inputs &amp; Assumptions'!$B$8/4,'I_Budget Input Data'!$D$8*0.2/('I_Inputs &amp; Assumptions'!$B$8/4),IF(14&lt;='I_Inputs &amp; Assumptions'!$B$8*0.75,'I_Budget Input Data'!$D$8*0.6/('I_Inputs &amp; Assumptions'!$B$8/2),'I_Budget Input Data'!$D$8*0.2/('I_Inputs &amp; Assumptions'!$B$8/4))),IF('I_Budget Input Data'!$E$8="At Completion",IF(14='I_Inputs &amp; Assumptions'!$B$8,'I_Budget Input Data'!$D$8,0),'I_Budget Input Data'!$D$8/'I_Inputs &amp; Assumptions'!$B$8)))))),0)</f>
        <v>0</v>
      </c>
      <c r="Q8" s="91">
        <f>IF(15&lt;='I_Inputs &amp; Assumptions'!$B$8,IF('I_Budget Input Data'!$E$8="Upfront",IF(15=1,'I_Budget Input Data'!$D$8,0),IF('I_Budget Input Data'!$E$8="Equal",'I_Budget Input Data'!$D$8/'I_Inputs &amp; Assumptions'!$B$8,IF('I_Budget Input Data'!$E$8="Front-loaded",IF(15&lt;='I_Inputs &amp; Assumptions'!$B$8/2,'I_Budget Input Data'!$D$8*0.6/('I_Inputs &amp; Assumptions'!$B$8/2),'I_Budget Input Data'!$D$8*0.4/('I_Inputs &amp; Assumptions'!$B$8/2)),IF('I_Budget Input Data'!$E$8="Back-loaded",IF(15&lt;='I_Inputs &amp; Assumptions'!$B$8/2,'I_Budget Input Data'!$D$8*0.4/('I_Inputs &amp; Assumptions'!$B$8/2),'I_Budget Input Data'!$D$8*0.6/('I_Inputs &amp; Assumptions'!$B$8/2)),IF('I_Budget Input Data'!$E$8="Mid-weighted",IF(15&lt;='I_Inputs &amp; Assumptions'!$B$8/4,'I_Budget Input Data'!$D$8*0.2/('I_Inputs &amp; Assumptions'!$B$8/4),IF(15&lt;='I_Inputs &amp; Assumptions'!$B$8*0.75,'I_Budget Input Data'!$D$8*0.6/('I_Inputs &amp; Assumptions'!$B$8/2),'I_Budget Input Data'!$D$8*0.2/('I_Inputs &amp; Assumptions'!$B$8/4))),IF('I_Budget Input Data'!$E$8="At Completion",IF(15='I_Inputs &amp; Assumptions'!$B$8,'I_Budget Input Data'!$D$8,0),'I_Budget Input Data'!$D$8/'I_Inputs &amp; Assumptions'!$B$8)))))),0)</f>
        <v>0</v>
      </c>
      <c r="R8" s="91">
        <f>IF(16&lt;='I_Inputs &amp; Assumptions'!$B$8,IF('I_Budget Input Data'!$E$8="Upfront",IF(16=1,'I_Budget Input Data'!$D$8,0),IF('I_Budget Input Data'!$E$8="Equal",'I_Budget Input Data'!$D$8/'I_Inputs &amp; Assumptions'!$B$8,IF('I_Budget Input Data'!$E$8="Front-loaded",IF(16&lt;='I_Inputs &amp; Assumptions'!$B$8/2,'I_Budget Input Data'!$D$8*0.6/('I_Inputs &amp; Assumptions'!$B$8/2),'I_Budget Input Data'!$D$8*0.4/('I_Inputs &amp; Assumptions'!$B$8/2)),IF('I_Budget Input Data'!$E$8="Back-loaded",IF(16&lt;='I_Inputs &amp; Assumptions'!$B$8/2,'I_Budget Input Data'!$D$8*0.4/('I_Inputs &amp; Assumptions'!$B$8/2),'I_Budget Input Data'!$D$8*0.6/('I_Inputs &amp; Assumptions'!$B$8/2)),IF('I_Budget Input Data'!$E$8="Mid-weighted",IF(16&lt;='I_Inputs &amp; Assumptions'!$B$8/4,'I_Budget Input Data'!$D$8*0.2/('I_Inputs &amp; Assumptions'!$B$8/4),IF(16&lt;='I_Inputs &amp; Assumptions'!$B$8*0.75,'I_Budget Input Data'!$D$8*0.6/('I_Inputs &amp; Assumptions'!$B$8/2),'I_Budget Input Data'!$D$8*0.2/('I_Inputs &amp; Assumptions'!$B$8/4))),IF('I_Budget Input Data'!$E$8="At Completion",IF(16='I_Inputs &amp; Assumptions'!$B$8,'I_Budget Input Data'!$D$8,0),'I_Budget Input Data'!$D$8/'I_Inputs &amp; Assumptions'!$B$8)))))),0)</f>
        <v>0</v>
      </c>
      <c r="S8" s="91">
        <f>IF(17&lt;='I_Inputs &amp; Assumptions'!$B$8,IF('I_Budget Input Data'!$E$8="Upfront",IF(17=1,'I_Budget Input Data'!$D$8,0),IF('I_Budget Input Data'!$E$8="Equal",'I_Budget Input Data'!$D$8/'I_Inputs &amp; Assumptions'!$B$8,IF('I_Budget Input Data'!$E$8="Front-loaded",IF(17&lt;='I_Inputs &amp; Assumptions'!$B$8/2,'I_Budget Input Data'!$D$8*0.6/('I_Inputs &amp; Assumptions'!$B$8/2),'I_Budget Input Data'!$D$8*0.4/('I_Inputs &amp; Assumptions'!$B$8/2)),IF('I_Budget Input Data'!$E$8="Back-loaded",IF(17&lt;='I_Inputs &amp; Assumptions'!$B$8/2,'I_Budget Input Data'!$D$8*0.4/('I_Inputs &amp; Assumptions'!$B$8/2),'I_Budget Input Data'!$D$8*0.6/('I_Inputs &amp; Assumptions'!$B$8/2)),IF('I_Budget Input Data'!$E$8="Mid-weighted",IF(17&lt;='I_Inputs &amp; Assumptions'!$B$8/4,'I_Budget Input Data'!$D$8*0.2/('I_Inputs &amp; Assumptions'!$B$8/4),IF(17&lt;='I_Inputs &amp; Assumptions'!$B$8*0.75,'I_Budget Input Data'!$D$8*0.6/('I_Inputs &amp; Assumptions'!$B$8/2),'I_Budget Input Data'!$D$8*0.2/('I_Inputs &amp; Assumptions'!$B$8/4))),IF('I_Budget Input Data'!$E$8="At Completion",IF(17='I_Inputs &amp; Assumptions'!$B$8,'I_Budget Input Data'!$D$8,0),'I_Budget Input Data'!$D$8/'I_Inputs &amp; Assumptions'!$B$8)))))),0)</f>
        <v>0</v>
      </c>
      <c r="T8" s="91">
        <f>IF(18&lt;='I_Inputs &amp; Assumptions'!$B$8,IF('I_Budget Input Data'!$E$8="Upfront",IF(18=1,'I_Budget Input Data'!$D$8,0),IF('I_Budget Input Data'!$E$8="Equal",'I_Budget Input Data'!$D$8/'I_Inputs &amp; Assumptions'!$B$8,IF('I_Budget Input Data'!$E$8="Front-loaded",IF(18&lt;='I_Inputs &amp; Assumptions'!$B$8/2,'I_Budget Input Data'!$D$8*0.6/('I_Inputs &amp; Assumptions'!$B$8/2),'I_Budget Input Data'!$D$8*0.4/('I_Inputs &amp; Assumptions'!$B$8/2)),IF('I_Budget Input Data'!$E$8="Back-loaded",IF(18&lt;='I_Inputs &amp; Assumptions'!$B$8/2,'I_Budget Input Data'!$D$8*0.4/('I_Inputs &amp; Assumptions'!$B$8/2),'I_Budget Input Data'!$D$8*0.6/('I_Inputs &amp; Assumptions'!$B$8/2)),IF('I_Budget Input Data'!$E$8="Mid-weighted",IF(18&lt;='I_Inputs &amp; Assumptions'!$B$8/4,'I_Budget Input Data'!$D$8*0.2/('I_Inputs &amp; Assumptions'!$B$8/4),IF(18&lt;='I_Inputs &amp; Assumptions'!$B$8*0.75,'I_Budget Input Data'!$D$8*0.6/('I_Inputs &amp; Assumptions'!$B$8/2),'I_Budget Input Data'!$D$8*0.2/('I_Inputs &amp; Assumptions'!$B$8/4))),IF('I_Budget Input Data'!$E$8="At Completion",IF(18='I_Inputs &amp; Assumptions'!$B$8,'I_Budget Input Data'!$D$8,0),'I_Budget Input Data'!$D$8/'I_Inputs &amp; Assumptions'!$B$8)))))),0)</f>
        <v>0</v>
      </c>
      <c r="U8" s="91">
        <f>IF(19&lt;='I_Inputs &amp; Assumptions'!$B$8,IF('I_Budget Input Data'!$E$8="Upfront",IF(19=1,'I_Budget Input Data'!$D$8,0),IF('I_Budget Input Data'!$E$8="Equal",'I_Budget Input Data'!$D$8/'I_Inputs &amp; Assumptions'!$B$8,IF('I_Budget Input Data'!$E$8="Front-loaded",IF(19&lt;='I_Inputs &amp; Assumptions'!$B$8/2,'I_Budget Input Data'!$D$8*0.6/('I_Inputs &amp; Assumptions'!$B$8/2),'I_Budget Input Data'!$D$8*0.4/('I_Inputs &amp; Assumptions'!$B$8/2)),IF('I_Budget Input Data'!$E$8="Back-loaded",IF(19&lt;='I_Inputs &amp; Assumptions'!$B$8/2,'I_Budget Input Data'!$D$8*0.4/('I_Inputs &amp; Assumptions'!$B$8/2),'I_Budget Input Data'!$D$8*0.6/('I_Inputs &amp; Assumptions'!$B$8/2)),IF('I_Budget Input Data'!$E$8="Mid-weighted",IF(19&lt;='I_Inputs &amp; Assumptions'!$B$8/4,'I_Budget Input Data'!$D$8*0.2/('I_Inputs &amp; Assumptions'!$B$8/4),IF(19&lt;='I_Inputs &amp; Assumptions'!$B$8*0.75,'I_Budget Input Data'!$D$8*0.6/('I_Inputs &amp; Assumptions'!$B$8/2),'I_Budget Input Data'!$D$8*0.2/('I_Inputs &amp; Assumptions'!$B$8/4))),IF('I_Budget Input Data'!$E$8="At Completion",IF(19='I_Inputs &amp; Assumptions'!$B$8,'I_Budget Input Data'!$D$8,0),'I_Budget Input Data'!$D$8/'I_Inputs &amp; Assumptions'!$B$8)))))),0)</f>
        <v>0</v>
      </c>
      <c r="V8" s="91">
        <f>IF(20&lt;='I_Inputs &amp; Assumptions'!$B$8,IF('I_Budget Input Data'!$E$8="Upfront",IF(20=1,'I_Budget Input Data'!$D$8,0),IF('I_Budget Input Data'!$E$8="Equal",'I_Budget Input Data'!$D$8/'I_Inputs &amp; Assumptions'!$B$8,IF('I_Budget Input Data'!$E$8="Front-loaded",IF(20&lt;='I_Inputs &amp; Assumptions'!$B$8/2,'I_Budget Input Data'!$D$8*0.6/('I_Inputs &amp; Assumptions'!$B$8/2),'I_Budget Input Data'!$D$8*0.4/('I_Inputs &amp; Assumptions'!$B$8/2)),IF('I_Budget Input Data'!$E$8="Back-loaded",IF(20&lt;='I_Inputs &amp; Assumptions'!$B$8/2,'I_Budget Input Data'!$D$8*0.4/('I_Inputs &amp; Assumptions'!$B$8/2),'I_Budget Input Data'!$D$8*0.6/('I_Inputs &amp; Assumptions'!$B$8/2)),IF('I_Budget Input Data'!$E$8="Mid-weighted",IF(20&lt;='I_Inputs &amp; Assumptions'!$B$8/4,'I_Budget Input Data'!$D$8*0.2/('I_Inputs &amp; Assumptions'!$B$8/4),IF(20&lt;='I_Inputs &amp; Assumptions'!$B$8*0.75,'I_Budget Input Data'!$D$8*0.6/('I_Inputs &amp; Assumptions'!$B$8/2),'I_Budget Input Data'!$D$8*0.2/('I_Inputs &amp; Assumptions'!$B$8/4))),IF('I_Budget Input Data'!$E$8="At Completion",IF(20='I_Inputs &amp; Assumptions'!$B$8,'I_Budget Input Data'!$D$8,0),'I_Budget Input Data'!$D$8/'I_Inputs &amp; Assumptions'!$B$8)))))),0)</f>
        <v>0</v>
      </c>
      <c r="W8" s="91">
        <f>IF(21&lt;='I_Inputs &amp; Assumptions'!$B$8,IF('I_Budget Input Data'!$E$8="Upfront",IF(21=1,'I_Budget Input Data'!$D$8,0),IF('I_Budget Input Data'!$E$8="Equal",'I_Budget Input Data'!$D$8/'I_Inputs &amp; Assumptions'!$B$8,IF('I_Budget Input Data'!$E$8="Front-loaded",IF(21&lt;='I_Inputs &amp; Assumptions'!$B$8/2,'I_Budget Input Data'!$D$8*0.6/('I_Inputs &amp; Assumptions'!$B$8/2),'I_Budget Input Data'!$D$8*0.4/('I_Inputs &amp; Assumptions'!$B$8/2)),IF('I_Budget Input Data'!$E$8="Back-loaded",IF(21&lt;='I_Inputs &amp; Assumptions'!$B$8/2,'I_Budget Input Data'!$D$8*0.4/('I_Inputs &amp; Assumptions'!$B$8/2),'I_Budget Input Data'!$D$8*0.6/('I_Inputs &amp; Assumptions'!$B$8/2)),IF('I_Budget Input Data'!$E$8="Mid-weighted",IF(21&lt;='I_Inputs &amp; Assumptions'!$B$8/4,'I_Budget Input Data'!$D$8*0.2/('I_Inputs &amp; Assumptions'!$B$8/4),IF(21&lt;='I_Inputs &amp; Assumptions'!$B$8*0.75,'I_Budget Input Data'!$D$8*0.6/('I_Inputs &amp; Assumptions'!$B$8/2),'I_Budget Input Data'!$D$8*0.2/('I_Inputs &amp; Assumptions'!$B$8/4))),IF('I_Budget Input Data'!$E$8="At Completion",IF(21='I_Inputs &amp; Assumptions'!$B$8,'I_Budget Input Data'!$D$8,0),'I_Budget Input Data'!$D$8/'I_Inputs &amp; Assumptions'!$B$8)))))),0)</f>
        <v>0</v>
      </c>
      <c r="X8" s="91">
        <f>IF(22&lt;='I_Inputs &amp; Assumptions'!$B$8,IF('I_Budget Input Data'!$E$8="Upfront",IF(22=1,'I_Budget Input Data'!$D$8,0),IF('I_Budget Input Data'!$E$8="Equal",'I_Budget Input Data'!$D$8/'I_Inputs &amp; Assumptions'!$B$8,IF('I_Budget Input Data'!$E$8="Front-loaded",IF(22&lt;='I_Inputs &amp; Assumptions'!$B$8/2,'I_Budget Input Data'!$D$8*0.6/('I_Inputs &amp; Assumptions'!$B$8/2),'I_Budget Input Data'!$D$8*0.4/('I_Inputs &amp; Assumptions'!$B$8/2)),IF('I_Budget Input Data'!$E$8="Back-loaded",IF(22&lt;='I_Inputs &amp; Assumptions'!$B$8/2,'I_Budget Input Data'!$D$8*0.4/('I_Inputs &amp; Assumptions'!$B$8/2),'I_Budget Input Data'!$D$8*0.6/('I_Inputs &amp; Assumptions'!$B$8/2)),IF('I_Budget Input Data'!$E$8="Mid-weighted",IF(22&lt;='I_Inputs &amp; Assumptions'!$B$8/4,'I_Budget Input Data'!$D$8*0.2/('I_Inputs &amp; Assumptions'!$B$8/4),IF(22&lt;='I_Inputs &amp; Assumptions'!$B$8*0.75,'I_Budget Input Data'!$D$8*0.6/('I_Inputs &amp; Assumptions'!$B$8/2),'I_Budget Input Data'!$D$8*0.2/('I_Inputs &amp; Assumptions'!$B$8/4))),IF('I_Budget Input Data'!$E$8="At Completion",IF(22='I_Inputs &amp; Assumptions'!$B$8,'I_Budget Input Data'!$D$8,0),'I_Budget Input Data'!$D$8/'I_Inputs &amp; Assumptions'!$B$8)))))),0)</f>
        <v>0</v>
      </c>
      <c r="Y8" s="91">
        <f>IF(23&lt;='I_Inputs &amp; Assumptions'!$B$8,IF('I_Budget Input Data'!$E$8="Upfront",IF(23=1,'I_Budget Input Data'!$D$8,0),IF('I_Budget Input Data'!$E$8="Equal",'I_Budget Input Data'!$D$8/'I_Inputs &amp; Assumptions'!$B$8,IF('I_Budget Input Data'!$E$8="Front-loaded",IF(23&lt;='I_Inputs &amp; Assumptions'!$B$8/2,'I_Budget Input Data'!$D$8*0.6/('I_Inputs &amp; Assumptions'!$B$8/2),'I_Budget Input Data'!$D$8*0.4/('I_Inputs &amp; Assumptions'!$B$8/2)),IF('I_Budget Input Data'!$E$8="Back-loaded",IF(23&lt;='I_Inputs &amp; Assumptions'!$B$8/2,'I_Budget Input Data'!$D$8*0.4/('I_Inputs &amp; Assumptions'!$B$8/2),'I_Budget Input Data'!$D$8*0.6/('I_Inputs &amp; Assumptions'!$B$8/2)),IF('I_Budget Input Data'!$E$8="Mid-weighted",IF(23&lt;='I_Inputs &amp; Assumptions'!$B$8/4,'I_Budget Input Data'!$D$8*0.2/('I_Inputs &amp; Assumptions'!$B$8/4),IF(23&lt;='I_Inputs &amp; Assumptions'!$B$8*0.75,'I_Budget Input Data'!$D$8*0.6/('I_Inputs &amp; Assumptions'!$B$8/2),'I_Budget Input Data'!$D$8*0.2/('I_Inputs &amp; Assumptions'!$B$8/4))),IF('I_Budget Input Data'!$E$8="At Completion",IF(23='I_Inputs &amp; Assumptions'!$B$8,'I_Budget Input Data'!$D$8,0),'I_Budget Input Data'!$D$8/'I_Inputs &amp; Assumptions'!$B$8)))))),0)</f>
        <v>0</v>
      </c>
      <c r="Z8" s="91">
        <f>IF(24&lt;='I_Inputs &amp; Assumptions'!$B$8,IF('I_Budget Input Data'!$E$8="Upfront",IF(24=1,'I_Budget Input Data'!$D$8,0),IF('I_Budget Input Data'!$E$8="Equal",'I_Budget Input Data'!$D$8/'I_Inputs &amp; Assumptions'!$B$8,IF('I_Budget Input Data'!$E$8="Front-loaded",IF(24&lt;='I_Inputs &amp; Assumptions'!$B$8/2,'I_Budget Input Data'!$D$8*0.6/('I_Inputs &amp; Assumptions'!$B$8/2),'I_Budget Input Data'!$D$8*0.4/('I_Inputs &amp; Assumptions'!$B$8/2)),IF('I_Budget Input Data'!$E$8="Back-loaded",IF(24&lt;='I_Inputs &amp; Assumptions'!$B$8/2,'I_Budget Input Data'!$D$8*0.4/('I_Inputs &amp; Assumptions'!$B$8/2),'I_Budget Input Data'!$D$8*0.6/('I_Inputs &amp; Assumptions'!$B$8/2)),IF('I_Budget Input Data'!$E$8="Mid-weighted",IF(24&lt;='I_Inputs &amp; Assumptions'!$B$8/4,'I_Budget Input Data'!$D$8*0.2/('I_Inputs &amp; Assumptions'!$B$8/4),IF(24&lt;='I_Inputs &amp; Assumptions'!$B$8*0.75,'I_Budget Input Data'!$D$8*0.6/('I_Inputs &amp; Assumptions'!$B$8/2),'I_Budget Input Data'!$D$8*0.2/('I_Inputs &amp; Assumptions'!$B$8/4))),IF('I_Budget Input Data'!$E$8="At Completion",IF(24='I_Inputs &amp; Assumptions'!$B$8,'I_Budget Input Data'!$D$8,0),'I_Budget Input Data'!$D$8/'I_Inputs &amp; Assumptions'!$B$8)))))),0)</f>
        <v>0</v>
      </c>
      <c r="AA8" s="91">
        <f>IF(25&lt;='I_Inputs &amp; Assumptions'!$B$8,IF('I_Budget Input Data'!$E$8="Upfront",IF(25=1,'I_Budget Input Data'!$D$8,0),IF('I_Budget Input Data'!$E$8="Equal",'I_Budget Input Data'!$D$8/'I_Inputs &amp; Assumptions'!$B$8,IF('I_Budget Input Data'!$E$8="Front-loaded",IF(25&lt;='I_Inputs &amp; Assumptions'!$B$8/2,'I_Budget Input Data'!$D$8*0.6/('I_Inputs &amp; Assumptions'!$B$8/2),'I_Budget Input Data'!$D$8*0.4/('I_Inputs &amp; Assumptions'!$B$8/2)),IF('I_Budget Input Data'!$E$8="Back-loaded",IF(25&lt;='I_Inputs &amp; Assumptions'!$B$8/2,'I_Budget Input Data'!$D$8*0.4/('I_Inputs &amp; Assumptions'!$B$8/2),'I_Budget Input Data'!$D$8*0.6/('I_Inputs &amp; Assumptions'!$B$8/2)),IF('I_Budget Input Data'!$E$8="Mid-weighted",IF(25&lt;='I_Inputs &amp; Assumptions'!$B$8/4,'I_Budget Input Data'!$D$8*0.2/('I_Inputs &amp; Assumptions'!$B$8/4),IF(25&lt;='I_Inputs &amp; Assumptions'!$B$8*0.75,'I_Budget Input Data'!$D$8*0.6/('I_Inputs &amp; Assumptions'!$B$8/2),'I_Budget Input Data'!$D$8*0.2/('I_Inputs &amp; Assumptions'!$B$8/4))),IF('I_Budget Input Data'!$E$8="At Completion",IF(25='I_Inputs &amp; Assumptions'!$B$8,'I_Budget Input Data'!$D$8,0),'I_Budget Input Data'!$D$8/'I_Inputs &amp; Assumptions'!$B$8)))))),0)</f>
        <v>0</v>
      </c>
      <c r="AB8" s="91">
        <f>IF(26&lt;='I_Inputs &amp; Assumptions'!$B$8,IF('I_Budget Input Data'!$E$8="Upfront",IF(26=1,'I_Budget Input Data'!$D$8,0),IF('I_Budget Input Data'!$E$8="Equal",'I_Budget Input Data'!$D$8/'I_Inputs &amp; Assumptions'!$B$8,IF('I_Budget Input Data'!$E$8="Front-loaded",IF(26&lt;='I_Inputs &amp; Assumptions'!$B$8/2,'I_Budget Input Data'!$D$8*0.6/('I_Inputs &amp; Assumptions'!$B$8/2),'I_Budget Input Data'!$D$8*0.4/('I_Inputs &amp; Assumptions'!$B$8/2)),IF('I_Budget Input Data'!$E$8="Back-loaded",IF(26&lt;='I_Inputs &amp; Assumptions'!$B$8/2,'I_Budget Input Data'!$D$8*0.4/('I_Inputs &amp; Assumptions'!$B$8/2),'I_Budget Input Data'!$D$8*0.6/('I_Inputs &amp; Assumptions'!$B$8/2)),IF('I_Budget Input Data'!$E$8="Mid-weighted",IF(26&lt;='I_Inputs &amp; Assumptions'!$B$8/4,'I_Budget Input Data'!$D$8*0.2/('I_Inputs &amp; Assumptions'!$B$8/4),IF(26&lt;='I_Inputs &amp; Assumptions'!$B$8*0.75,'I_Budget Input Data'!$D$8*0.6/('I_Inputs &amp; Assumptions'!$B$8/2),'I_Budget Input Data'!$D$8*0.2/('I_Inputs &amp; Assumptions'!$B$8/4))),IF('I_Budget Input Data'!$E$8="At Completion",IF(26='I_Inputs &amp; Assumptions'!$B$8,'I_Budget Input Data'!$D$8,0),'I_Budget Input Data'!$D$8/'I_Inputs &amp; Assumptions'!$B$8)))))),0)</f>
        <v>0</v>
      </c>
      <c r="AC8" s="91">
        <f>IF(27&lt;='I_Inputs &amp; Assumptions'!$B$8,IF('I_Budget Input Data'!$E$8="Upfront",IF(27=1,'I_Budget Input Data'!$D$8,0),IF('I_Budget Input Data'!$E$8="Equal",'I_Budget Input Data'!$D$8/'I_Inputs &amp; Assumptions'!$B$8,IF('I_Budget Input Data'!$E$8="Front-loaded",IF(27&lt;='I_Inputs &amp; Assumptions'!$B$8/2,'I_Budget Input Data'!$D$8*0.6/('I_Inputs &amp; Assumptions'!$B$8/2),'I_Budget Input Data'!$D$8*0.4/('I_Inputs &amp; Assumptions'!$B$8/2)),IF('I_Budget Input Data'!$E$8="Back-loaded",IF(27&lt;='I_Inputs &amp; Assumptions'!$B$8/2,'I_Budget Input Data'!$D$8*0.4/('I_Inputs &amp; Assumptions'!$B$8/2),'I_Budget Input Data'!$D$8*0.6/('I_Inputs &amp; Assumptions'!$B$8/2)),IF('I_Budget Input Data'!$E$8="Mid-weighted",IF(27&lt;='I_Inputs &amp; Assumptions'!$B$8/4,'I_Budget Input Data'!$D$8*0.2/('I_Inputs &amp; Assumptions'!$B$8/4),IF(27&lt;='I_Inputs &amp; Assumptions'!$B$8*0.75,'I_Budget Input Data'!$D$8*0.6/('I_Inputs &amp; Assumptions'!$B$8/2),'I_Budget Input Data'!$D$8*0.2/('I_Inputs &amp; Assumptions'!$B$8/4))),IF('I_Budget Input Data'!$E$8="At Completion",IF(27='I_Inputs &amp; Assumptions'!$B$8,'I_Budget Input Data'!$D$8,0),'I_Budget Input Data'!$D$8/'I_Inputs &amp; Assumptions'!$B$8)))))),0)</f>
        <v>0</v>
      </c>
      <c r="AD8" s="91">
        <f>IF(28&lt;='I_Inputs &amp; Assumptions'!$B$8,IF('I_Budget Input Data'!$E$8="Upfront",IF(28=1,'I_Budget Input Data'!$D$8,0),IF('I_Budget Input Data'!$E$8="Equal",'I_Budget Input Data'!$D$8/'I_Inputs &amp; Assumptions'!$B$8,IF('I_Budget Input Data'!$E$8="Front-loaded",IF(28&lt;='I_Inputs &amp; Assumptions'!$B$8/2,'I_Budget Input Data'!$D$8*0.6/('I_Inputs &amp; Assumptions'!$B$8/2),'I_Budget Input Data'!$D$8*0.4/('I_Inputs &amp; Assumptions'!$B$8/2)),IF('I_Budget Input Data'!$E$8="Back-loaded",IF(28&lt;='I_Inputs &amp; Assumptions'!$B$8/2,'I_Budget Input Data'!$D$8*0.4/('I_Inputs &amp; Assumptions'!$B$8/2),'I_Budget Input Data'!$D$8*0.6/('I_Inputs &amp; Assumptions'!$B$8/2)),IF('I_Budget Input Data'!$E$8="Mid-weighted",IF(28&lt;='I_Inputs &amp; Assumptions'!$B$8/4,'I_Budget Input Data'!$D$8*0.2/('I_Inputs &amp; Assumptions'!$B$8/4),IF(28&lt;='I_Inputs &amp; Assumptions'!$B$8*0.75,'I_Budget Input Data'!$D$8*0.6/('I_Inputs &amp; Assumptions'!$B$8/2),'I_Budget Input Data'!$D$8*0.2/('I_Inputs &amp; Assumptions'!$B$8/4))),IF('I_Budget Input Data'!$E$8="At Completion",IF(28='I_Inputs &amp; Assumptions'!$B$8,'I_Budget Input Data'!$D$8,0),'I_Budget Input Data'!$D$8/'I_Inputs &amp; Assumptions'!$B$8)))))),0)</f>
        <v>0</v>
      </c>
      <c r="AE8" s="91">
        <f>IF(29&lt;='I_Inputs &amp; Assumptions'!$B$8,IF('I_Budget Input Data'!$E$8="Upfront",IF(29=1,'I_Budget Input Data'!$D$8,0),IF('I_Budget Input Data'!$E$8="Equal",'I_Budget Input Data'!$D$8/'I_Inputs &amp; Assumptions'!$B$8,IF('I_Budget Input Data'!$E$8="Front-loaded",IF(29&lt;='I_Inputs &amp; Assumptions'!$B$8/2,'I_Budget Input Data'!$D$8*0.6/('I_Inputs &amp; Assumptions'!$B$8/2),'I_Budget Input Data'!$D$8*0.4/('I_Inputs &amp; Assumptions'!$B$8/2)),IF('I_Budget Input Data'!$E$8="Back-loaded",IF(29&lt;='I_Inputs &amp; Assumptions'!$B$8/2,'I_Budget Input Data'!$D$8*0.4/('I_Inputs &amp; Assumptions'!$B$8/2),'I_Budget Input Data'!$D$8*0.6/('I_Inputs &amp; Assumptions'!$B$8/2)),IF('I_Budget Input Data'!$E$8="Mid-weighted",IF(29&lt;='I_Inputs &amp; Assumptions'!$B$8/4,'I_Budget Input Data'!$D$8*0.2/('I_Inputs &amp; Assumptions'!$B$8/4),IF(29&lt;='I_Inputs &amp; Assumptions'!$B$8*0.75,'I_Budget Input Data'!$D$8*0.6/('I_Inputs &amp; Assumptions'!$B$8/2),'I_Budget Input Data'!$D$8*0.2/('I_Inputs &amp; Assumptions'!$B$8/4))),IF('I_Budget Input Data'!$E$8="At Completion",IF(29='I_Inputs &amp; Assumptions'!$B$8,'I_Budget Input Data'!$D$8,0),'I_Budget Input Data'!$D$8/'I_Inputs &amp; Assumptions'!$B$8)))))),0)</f>
        <v>0</v>
      </c>
      <c r="AF8" s="91">
        <f>IF(30&lt;='I_Inputs &amp; Assumptions'!$B$8,IF('I_Budget Input Data'!$E$8="Upfront",IF(30=1,'I_Budget Input Data'!$D$8,0),IF('I_Budget Input Data'!$E$8="Equal",'I_Budget Input Data'!$D$8/'I_Inputs &amp; Assumptions'!$B$8,IF('I_Budget Input Data'!$E$8="Front-loaded",IF(30&lt;='I_Inputs &amp; Assumptions'!$B$8/2,'I_Budget Input Data'!$D$8*0.6/('I_Inputs &amp; Assumptions'!$B$8/2),'I_Budget Input Data'!$D$8*0.4/('I_Inputs &amp; Assumptions'!$B$8/2)),IF('I_Budget Input Data'!$E$8="Back-loaded",IF(30&lt;='I_Inputs &amp; Assumptions'!$B$8/2,'I_Budget Input Data'!$D$8*0.4/('I_Inputs &amp; Assumptions'!$B$8/2),'I_Budget Input Data'!$D$8*0.6/('I_Inputs &amp; Assumptions'!$B$8/2)),IF('I_Budget Input Data'!$E$8="Mid-weighted",IF(30&lt;='I_Inputs &amp; Assumptions'!$B$8/4,'I_Budget Input Data'!$D$8*0.2/('I_Inputs &amp; Assumptions'!$B$8/4),IF(30&lt;='I_Inputs &amp; Assumptions'!$B$8*0.75,'I_Budget Input Data'!$D$8*0.6/('I_Inputs &amp; Assumptions'!$B$8/2),'I_Budget Input Data'!$D$8*0.2/('I_Inputs &amp; Assumptions'!$B$8/4))),IF('I_Budget Input Data'!$E$8="At Completion",IF(30='I_Inputs &amp; Assumptions'!$B$8,'I_Budget Input Data'!$D$8,0),'I_Budget Input Data'!$D$8/'I_Inputs &amp; Assumptions'!$B$8)))))),0)</f>
        <v>0</v>
      </c>
      <c r="AG8" s="91">
        <f>IF(31&lt;='I_Inputs &amp; Assumptions'!$B$8,IF('I_Budget Input Data'!$E$8="Upfront",IF(31=1,'I_Budget Input Data'!$D$8,0),IF('I_Budget Input Data'!$E$8="Equal",'I_Budget Input Data'!$D$8/'I_Inputs &amp; Assumptions'!$B$8,IF('I_Budget Input Data'!$E$8="Front-loaded",IF(31&lt;='I_Inputs &amp; Assumptions'!$B$8/2,'I_Budget Input Data'!$D$8*0.6/('I_Inputs &amp; Assumptions'!$B$8/2),'I_Budget Input Data'!$D$8*0.4/('I_Inputs &amp; Assumptions'!$B$8/2)),IF('I_Budget Input Data'!$E$8="Back-loaded",IF(31&lt;='I_Inputs &amp; Assumptions'!$B$8/2,'I_Budget Input Data'!$D$8*0.4/('I_Inputs &amp; Assumptions'!$B$8/2),'I_Budget Input Data'!$D$8*0.6/('I_Inputs &amp; Assumptions'!$B$8/2)),IF('I_Budget Input Data'!$E$8="Mid-weighted",IF(31&lt;='I_Inputs &amp; Assumptions'!$B$8/4,'I_Budget Input Data'!$D$8*0.2/('I_Inputs &amp; Assumptions'!$B$8/4),IF(31&lt;='I_Inputs &amp; Assumptions'!$B$8*0.75,'I_Budget Input Data'!$D$8*0.6/('I_Inputs &amp; Assumptions'!$B$8/2),'I_Budget Input Data'!$D$8*0.2/('I_Inputs &amp; Assumptions'!$B$8/4))),IF('I_Budget Input Data'!$E$8="At Completion",IF(31='I_Inputs &amp; Assumptions'!$B$8,'I_Budget Input Data'!$D$8,0),'I_Budget Input Data'!$D$8/'I_Inputs &amp; Assumptions'!$B$8)))))),0)</f>
        <v>0</v>
      </c>
      <c r="AH8" s="91">
        <f>IF(32&lt;='I_Inputs &amp; Assumptions'!$B$8,IF('I_Budget Input Data'!$E$8="Upfront",IF(32=1,'I_Budget Input Data'!$D$8,0),IF('I_Budget Input Data'!$E$8="Equal",'I_Budget Input Data'!$D$8/'I_Inputs &amp; Assumptions'!$B$8,IF('I_Budget Input Data'!$E$8="Front-loaded",IF(32&lt;='I_Inputs &amp; Assumptions'!$B$8/2,'I_Budget Input Data'!$D$8*0.6/('I_Inputs &amp; Assumptions'!$B$8/2),'I_Budget Input Data'!$D$8*0.4/('I_Inputs &amp; Assumptions'!$B$8/2)),IF('I_Budget Input Data'!$E$8="Back-loaded",IF(32&lt;='I_Inputs &amp; Assumptions'!$B$8/2,'I_Budget Input Data'!$D$8*0.4/('I_Inputs &amp; Assumptions'!$B$8/2),'I_Budget Input Data'!$D$8*0.6/('I_Inputs &amp; Assumptions'!$B$8/2)),IF('I_Budget Input Data'!$E$8="Mid-weighted",IF(32&lt;='I_Inputs &amp; Assumptions'!$B$8/4,'I_Budget Input Data'!$D$8*0.2/('I_Inputs &amp; Assumptions'!$B$8/4),IF(32&lt;='I_Inputs &amp; Assumptions'!$B$8*0.75,'I_Budget Input Data'!$D$8*0.6/('I_Inputs &amp; Assumptions'!$B$8/2),'I_Budget Input Data'!$D$8*0.2/('I_Inputs &amp; Assumptions'!$B$8/4))),IF('I_Budget Input Data'!$E$8="At Completion",IF(32='I_Inputs &amp; Assumptions'!$B$8,'I_Budget Input Data'!$D$8,0),'I_Budget Input Data'!$D$8/'I_Inputs &amp; Assumptions'!$B$8)))))),0)</f>
        <v>0</v>
      </c>
      <c r="AI8" s="91">
        <f>IF(33&lt;='I_Inputs &amp; Assumptions'!$B$8,IF('I_Budget Input Data'!$E$8="Upfront",IF(33=1,'I_Budget Input Data'!$D$8,0),IF('I_Budget Input Data'!$E$8="Equal",'I_Budget Input Data'!$D$8/'I_Inputs &amp; Assumptions'!$B$8,IF('I_Budget Input Data'!$E$8="Front-loaded",IF(33&lt;='I_Inputs &amp; Assumptions'!$B$8/2,'I_Budget Input Data'!$D$8*0.6/('I_Inputs &amp; Assumptions'!$B$8/2),'I_Budget Input Data'!$D$8*0.4/('I_Inputs &amp; Assumptions'!$B$8/2)),IF('I_Budget Input Data'!$E$8="Back-loaded",IF(33&lt;='I_Inputs &amp; Assumptions'!$B$8/2,'I_Budget Input Data'!$D$8*0.4/('I_Inputs &amp; Assumptions'!$B$8/2),'I_Budget Input Data'!$D$8*0.6/('I_Inputs &amp; Assumptions'!$B$8/2)),IF('I_Budget Input Data'!$E$8="Mid-weighted",IF(33&lt;='I_Inputs &amp; Assumptions'!$B$8/4,'I_Budget Input Data'!$D$8*0.2/('I_Inputs &amp; Assumptions'!$B$8/4),IF(33&lt;='I_Inputs &amp; Assumptions'!$B$8*0.75,'I_Budget Input Data'!$D$8*0.6/('I_Inputs &amp; Assumptions'!$B$8/2),'I_Budget Input Data'!$D$8*0.2/('I_Inputs &amp; Assumptions'!$B$8/4))),IF('I_Budget Input Data'!$E$8="At Completion",IF(33='I_Inputs &amp; Assumptions'!$B$8,'I_Budget Input Data'!$D$8,0),'I_Budget Input Data'!$D$8/'I_Inputs &amp; Assumptions'!$B$8)))))),0)</f>
        <v>0</v>
      </c>
      <c r="AJ8" s="91">
        <f>IF(34&lt;='I_Inputs &amp; Assumptions'!$B$8,IF('I_Budget Input Data'!$E$8="Upfront",IF(34=1,'I_Budget Input Data'!$D$8,0),IF('I_Budget Input Data'!$E$8="Equal",'I_Budget Input Data'!$D$8/'I_Inputs &amp; Assumptions'!$B$8,IF('I_Budget Input Data'!$E$8="Front-loaded",IF(34&lt;='I_Inputs &amp; Assumptions'!$B$8/2,'I_Budget Input Data'!$D$8*0.6/('I_Inputs &amp; Assumptions'!$B$8/2),'I_Budget Input Data'!$D$8*0.4/('I_Inputs &amp; Assumptions'!$B$8/2)),IF('I_Budget Input Data'!$E$8="Back-loaded",IF(34&lt;='I_Inputs &amp; Assumptions'!$B$8/2,'I_Budget Input Data'!$D$8*0.4/('I_Inputs &amp; Assumptions'!$B$8/2),'I_Budget Input Data'!$D$8*0.6/('I_Inputs &amp; Assumptions'!$B$8/2)),IF('I_Budget Input Data'!$E$8="Mid-weighted",IF(34&lt;='I_Inputs &amp; Assumptions'!$B$8/4,'I_Budget Input Data'!$D$8*0.2/('I_Inputs &amp; Assumptions'!$B$8/4),IF(34&lt;='I_Inputs &amp; Assumptions'!$B$8*0.75,'I_Budget Input Data'!$D$8*0.6/('I_Inputs &amp; Assumptions'!$B$8/2),'I_Budget Input Data'!$D$8*0.2/('I_Inputs &amp; Assumptions'!$B$8/4))),IF('I_Budget Input Data'!$E$8="At Completion",IF(34='I_Inputs &amp; Assumptions'!$B$8,'I_Budget Input Data'!$D$8,0),'I_Budget Input Data'!$D$8/'I_Inputs &amp; Assumptions'!$B$8)))))),0)</f>
        <v>0</v>
      </c>
      <c r="AK8" s="91">
        <f>IF(35&lt;='I_Inputs &amp; Assumptions'!$B$8,IF('I_Budget Input Data'!$E$8="Upfront",IF(35=1,'I_Budget Input Data'!$D$8,0),IF('I_Budget Input Data'!$E$8="Equal",'I_Budget Input Data'!$D$8/'I_Inputs &amp; Assumptions'!$B$8,IF('I_Budget Input Data'!$E$8="Front-loaded",IF(35&lt;='I_Inputs &amp; Assumptions'!$B$8/2,'I_Budget Input Data'!$D$8*0.6/('I_Inputs &amp; Assumptions'!$B$8/2),'I_Budget Input Data'!$D$8*0.4/('I_Inputs &amp; Assumptions'!$B$8/2)),IF('I_Budget Input Data'!$E$8="Back-loaded",IF(35&lt;='I_Inputs &amp; Assumptions'!$B$8/2,'I_Budget Input Data'!$D$8*0.4/('I_Inputs &amp; Assumptions'!$B$8/2),'I_Budget Input Data'!$D$8*0.6/('I_Inputs &amp; Assumptions'!$B$8/2)),IF('I_Budget Input Data'!$E$8="Mid-weighted",IF(35&lt;='I_Inputs &amp; Assumptions'!$B$8/4,'I_Budget Input Data'!$D$8*0.2/('I_Inputs &amp; Assumptions'!$B$8/4),IF(35&lt;='I_Inputs &amp; Assumptions'!$B$8*0.75,'I_Budget Input Data'!$D$8*0.6/('I_Inputs &amp; Assumptions'!$B$8/2),'I_Budget Input Data'!$D$8*0.2/('I_Inputs &amp; Assumptions'!$B$8/4))),IF('I_Budget Input Data'!$E$8="At Completion",IF(35='I_Inputs &amp; Assumptions'!$B$8,'I_Budget Input Data'!$D$8,0),'I_Budget Input Data'!$D$8/'I_Inputs &amp; Assumptions'!$B$8)))))),0)</f>
        <v>0</v>
      </c>
      <c r="AL8" s="91">
        <f>IF(36&lt;='I_Inputs &amp; Assumptions'!$B$8,IF('I_Budget Input Data'!$E$8="Upfront",IF(36=1,'I_Budget Input Data'!$D$8,0),IF('I_Budget Input Data'!$E$8="Equal",'I_Budget Input Data'!$D$8/'I_Inputs &amp; Assumptions'!$B$8,IF('I_Budget Input Data'!$E$8="Front-loaded",IF(36&lt;='I_Inputs &amp; Assumptions'!$B$8/2,'I_Budget Input Data'!$D$8*0.6/('I_Inputs &amp; Assumptions'!$B$8/2),'I_Budget Input Data'!$D$8*0.4/('I_Inputs &amp; Assumptions'!$B$8/2)),IF('I_Budget Input Data'!$E$8="Back-loaded",IF(36&lt;='I_Inputs &amp; Assumptions'!$B$8/2,'I_Budget Input Data'!$D$8*0.4/('I_Inputs &amp; Assumptions'!$B$8/2),'I_Budget Input Data'!$D$8*0.6/('I_Inputs &amp; Assumptions'!$B$8/2)),IF('I_Budget Input Data'!$E$8="Mid-weighted",IF(36&lt;='I_Inputs &amp; Assumptions'!$B$8/4,'I_Budget Input Data'!$D$8*0.2/('I_Inputs &amp; Assumptions'!$B$8/4),IF(36&lt;='I_Inputs &amp; Assumptions'!$B$8*0.75,'I_Budget Input Data'!$D$8*0.6/('I_Inputs &amp; Assumptions'!$B$8/2),'I_Budget Input Data'!$D$8*0.2/('I_Inputs &amp; Assumptions'!$B$8/4))),IF('I_Budget Input Data'!$E$8="At Completion",IF(36='I_Inputs &amp; Assumptions'!$B$8,'I_Budget Input Data'!$D$8,0),'I_Budget Input Data'!$D$8/'I_Inputs &amp; Assumptions'!$B$8)))))),0)</f>
        <v>0</v>
      </c>
    </row>
    <row r="9" spans="1:38" ht="15" customHeight="1" x14ac:dyDescent="0.2">
      <c r="A9" t="s">
        <v>136</v>
      </c>
      <c r="B9" t="s">
        <v>137</v>
      </c>
      <c r="C9" s="91">
        <f>IF(1&lt;='I_Inputs &amp; Assumptions'!$B$8,IF('I_Budget Input Data'!$E$9="Upfront",IF(1=1,'I_Budget Input Data'!$D$9,0),IF('I_Budget Input Data'!$E$9="Equal",'I_Budget Input Data'!$D$9/'I_Inputs &amp; Assumptions'!$B$8,IF('I_Budget Input Data'!$E$9="Front-loaded",IF(1&lt;='I_Inputs &amp; Assumptions'!$B$8/2,'I_Budget Input Data'!$D$9*0.6/('I_Inputs &amp; Assumptions'!$B$8/2),'I_Budget Input Data'!$D$9*0.4/('I_Inputs &amp; Assumptions'!$B$8/2)),IF('I_Budget Input Data'!$E$9="Back-loaded",IF(1&lt;='I_Inputs &amp; Assumptions'!$B$8/2,'I_Budget Input Data'!$D$9*0.4/('I_Inputs &amp; Assumptions'!$B$8/2),'I_Budget Input Data'!$D$9*0.6/('I_Inputs &amp; Assumptions'!$B$8/2)),IF('I_Budget Input Data'!$E$9="Mid-weighted",IF(1&lt;='I_Inputs &amp; Assumptions'!$B$8/4,'I_Budget Input Data'!$D$9*0.2/('I_Inputs &amp; Assumptions'!$B$8/4),IF(1&lt;='I_Inputs &amp; Assumptions'!$B$8*0.75,'I_Budget Input Data'!$D$9*0.6/('I_Inputs &amp; Assumptions'!$B$8/2),'I_Budget Input Data'!$D$9*0.2/('I_Inputs &amp; Assumptions'!$B$8/4))),IF('I_Budget Input Data'!$E$9="At Completion",IF(1='I_Inputs &amp; Assumptions'!$B$8,'I_Budget Input Data'!$D$9,0),'I_Budget Input Data'!$D$9/'I_Inputs &amp; Assumptions'!$B$8)))))),0)</f>
        <v>44244.923076923078</v>
      </c>
      <c r="D9" s="91">
        <f>IF(2&lt;='I_Inputs &amp; Assumptions'!$B$8,IF('I_Budget Input Data'!$E$9="Upfront",IF(2=1,'I_Budget Input Data'!$D$9,0),IF('I_Budget Input Data'!$E$9="Equal",'I_Budget Input Data'!$D$9/'I_Inputs &amp; Assumptions'!$B$8,IF('I_Budget Input Data'!$E$9="Front-loaded",IF(2&lt;='I_Inputs &amp; Assumptions'!$B$8/2,'I_Budget Input Data'!$D$9*0.6/('I_Inputs &amp; Assumptions'!$B$8/2),'I_Budget Input Data'!$D$9*0.4/('I_Inputs &amp; Assumptions'!$B$8/2)),IF('I_Budget Input Data'!$E$9="Back-loaded",IF(2&lt;='I_Inputs &amp; Assumptions'!$B$8/2,'I_Budget Input Data'!$D$9*0.4/('I_Inputs &amp; Assumptions'!$B$8/2),'I_Budget Input Data'!$D$9*0.6/('I_Inputs &amp; Assumptions'!$B$8/2)),IF('I_Budget Input Data'!$E$9="Mid-weighted",IF(2&lt;='I_Inputs &amp; Assumptions'!$B$8/4,'I_Budget Input Data'!$D$9*0.2/('I_Inputs &amp; Assumptions'!$B$8/4),IF(2&lt;='I_Inputs &amp; Assumptions'!$B$8*0.75,'I_Budget Input Data'!$D$9*0.6/('I_Inputs &amp; Assumptions'!$B$8/2),'I_Budget Input Data'!$D$9*0.2/('I_Inputs &amp; Assumptions'!$B$8/4))),IF('I_Budget Input Data'!$E$9="At Completion",IF(2='I_Inputs &amp; Assumptions'!$B$8,'I_Budget Input Data'!$D$9,0),'I_Budget Input Data'!$D$9/'I_Inputs &amp; Assumptions'!$B$8)))))),0)</f>
        <v>44244.923076923078</v>
      </c>
      <c r="E9" s="91">
        <f>IF(3&lt;='I_Inputs &amp; Assumptions'!$B$8,IF('I_Budget Input Data'!$E$9="Upfront",IF(3=1,'I_Budget Input Data'!$D$9,0),IF('I_Budget Input Data'!$E$9="Equal",'I_Budget Input Data'!$D$9/'I_Inputs &amp; Assumptions'!$B$8,IF('I_Budget Input Data'!$E$9="Front-loaded",IF(3&lt;='I_Inputs &amp; Assumptions'!$B$8/2,'I_Budget Input Data'!$D$9*0.6/('I_Inputs &amp; Assumptions'!$B$8/2),'I_Budget Input Data'!$D$9*0.4/('I_Inputs &amp; Assumptions'!$B$8/2)),IF('I_Budget Input Data'!$E$9="Back-loaded",IF(3&lt;='I_Inputs &amp; Assumptions'!$B$8/2,'I_Budget Input Data'!$D$9*0.4/('I_Inputs &amp; Assumptions'!$B$8/2),'I_Budget Input Data'!$D$9*0.6/('I_Inputs &amp; Assumptions'!$B$8/2)),IF('I_Budget Input Data'!$E$9="Mid-weighted",IF(3&lt;='I_Inputs &amp; Assumptions'!$B$8/4,'I_Budget Input Data'!$D$9*0.2/('I_Inputs &amp; Assumptions'!$B$8/4),IF(3&lt;='I_Inputs &amp; Assumptions'!$B$8*0.75,'I_Budget Input Data'!$D$9*0.6/('I_Inputs &amp; Assumptions'!$B$8/2),'I_Budget Input Data'!$D$9*0.2/('I_Inputs &amp; Assumptions'!$B$8/4))),IF('I_Budget Input Data'!$E$9="At Completion",IF(3='I_Inputs &amp; Assumptions'!$B$8,'I_Budget Input Data'!$D$9,0),'I_Budget Input Data'!$D$9/'I_Inputs &amp; Assumptions'!$B$8)))))),0)</f>
        <v>44244.923076923078</v>
      </c>
      <c r="F9" s="91">
        <f>IF(4&lt;='I_Inputs &amp; Assumptions'!$B$8,IF('I_Budget Input Data'!$E$9="Upfront",IF(4=1,'I_Budget Input Data'!$D$9,0),IF('I_Budget Input Data'!$E$9="Equal",'I_Budget Input Data'!$D$9/'I_Inputs &amp; Assumptions'!$B$8,IF('I_Budget Input Data'!$E$9="Front-loaded",IF(4&lt;='I_Inputs &amp; Assumptions'!$B$8/2,'I_Budget Input Data'!$D$9*0.6/('I_Inputs &amp; Assumptions'!$B$8/2),'I_Budget Input Data'!$D$9*0.4/('I_Inputs &amp; Assumptions'!$B$8/2)),IF('I_Budget Input Data'!$E$9="Back-loaded",IF(4&lt;='I_Inputs &amp; Assumptions'!$B$8/2,'I_Budget Input Data'!$D$9*0.4/('I_Inputs &amp; Assumptions'!$B$8/2),'I_Budget Input Data'!$D$9*0.6/('I_Inputs &amp; Assumptions'!$B$8/2)),IF('I_Budget Input Data'!$E$9="Mid-weighted",IF(4&lt;='I_Inputs &amp; Assumptions'!$B$8/4,'I_Budget Input Data'!$D$9*0.2/('I_Inputs &amp; Assumptions'!$B$8/4),IF(4&lt;='I_Inputs &amp; Assumptions'!$B$8*0.75,'I_Budget Input Data'!$D$9*0.6/('I_Inputs &amp; Assumptions'!$B$8/2),'I_Budget Input Data'!$D$9*0.2/('I_Inputs &amp; Assumptions'!$B$8/4))),IF('I_Budget Input Data'!$E$9="At Completion",IF(4='I_Inputs &amp; Assumptions'!$B$8,'I_Budget Input Data'!$D$9,0),'I_Budget Input Data'!$D$9/'I_Inputs &amp; Assumptions'!$B$8)))))),0)</f>
        <v>44244.923076923078</v>
      </c>
      <c r="G9" s="91">
        <f>IF(5&lt;='I_Inputs &amp; Assumptions'!$B$8,IF('I_Budget Input Data'!$E$9="Upfront",IF(5=1,'I_Budget Input Data'!$D$9,0),IF('I_Budget Input Data'!$E$9="Equal",'I_Budget Input Data'!$D$9/'I_Inputs &amp; Assumptions'!$B$8,IF('I_Budget Input Data'!$E$9="Front-loaded",IF(5&lt;='I_Inputs &amp; Assumptions'!$B$8/2,'I_Budget Input Data'!$D$9*0.6/('I_Inputs &amp; Assumptions'!$B$8/2),'I_Budget Input Data'!$D$9*0.4/('I_Inputs &amp; Assumptions'!$B$8/2)),IF('I_Budget Input Data'!$E$9="Back-loaded",IF(5&lt;='I_Inputs &amp; Assumptions'!$B$8/2,'I_Budget Input Data'!$D$9*0.4/('I_Inputs &amp; Assumptions'!$B$8/2),'I_Budget Input Data'!$D$9*0.6/('I_Inputs &amp; Assumptions'!$B$8/2)),IF('I_Budget Input Data'!$E$9="Mid-weighted",IF(5&lt;='I_Inputs &amp; Assumptions'!$B$8/4,'I_Budget Input Data'!$D$9*0.2/('I_Inputs &amp; Assumptions'!$B$8/4),IF(5&lt;='I_Inputs &amp; Assumptions'!$B$8*0.75,'I_Budget Input Data'!$D$9*0.6/('I_Inputs &amp; Assumptions'!$B$8/2),'I_Budget Input Data'!$D$9*0.2/('I_Inputs &amp; Assumptions'!$B$8/4))),IF('I_Budget Input Data'!$E$9="At Completion",IF(5='I_Inputs &amp; Assumptions'!$B$8,'I_Budget Input Data'!$D$9,0),'I_Budget Input Data'!$D$9/'I_Inputs &amp; Assumptions'!$B$8)))))),0)</f>
        <v>44244.923076923078</v>
      </c>
      <c r="H9" s="91">
        <f>IF(6&lt;='I_Inputs &amp; Assumptions'!$B$8,IF('I_Budget Input Data'!$E$9="Upfront",IF(6=1,'I_Budget Input Data'!$D$9,0),IF('I_Budget Input Data'!$E$9="Equal",'I_Budget Input Data'!$D$9/'I_Inputs &amp; Assumptions'!$B$8,IF('I_Budget Input Data'!$E$9="Front-loaded",IF(6&lt;='I_Inputs &amp; Assumptions'!$B$8/2,'I_Budget Input Data'!$D$9*0.6/('I_Inputs &amp; Assumptions'!$B$8/2),'I_Budget Input Data'!$D$9*0.4/('I_Inputs &amp; Assumptions'!$B$8/2)),IF('I_Budget Input Data'!$E$9="Back-loaded",IF(6&lt;='I_Inputs &amp; Assumptions'!$B$8/2,'I_Budget Input Data'!$D$9*0.4/('I_Inputs &amp; Assumptions'!$B$8/2),'I_Budget Input Data'!$D$9*0.6/('I_Inputs &amp; Assumptions'!$B$8/2)),IF('I_Budget Input Data'!$E$9="Mid-weighted",IF(6&lt;='I_Inputs &amp; Assumptions'!$B$8/4,'I_Budget Input Data'!$D$9*0.2/('I_Inputs &amp; Assumptions'!$B$8/4),IF(6&lt;='I_Inputs &amp; Assumptions'!$B$8*0.75,'I_Budget Input Data'!$D$9*0.6/('I_Inputs &amp; Assumptions'!$B$8/2),'I_Budget Input Data'!$D$9*0.2/('I_Inputs &amp; Assumptions'!$B$8/4))),IF('I_Budget Input Data'!$E$9="At Completion",IF(6='I_Inputs &amp; Assumptions'!$B$8,'I_Budget Input Data'!$D$9,0),'I_Budget Input Data'!$D$9/'I_Inputs &amp; Assumptions'!$B$8)))))),0)</f>
        <v>44244.923076923078</v>
      </c>
      <c r="I9" s="91">
        <f>IF(7&lt;='I_Inputs &amp; Assumptions'!$B$8,IF('I_Budget Input Data'!$E$9="Upfront",IF(7=1,'I_Budget Input Data'!$D$9,0),IF('I_Budget Input Data'!$E$9="Equal",'I_Budget Input Data'!$D$9/'I_Inputs &amp; Assumptions'!$B$8,IF('I_Budget Input Data'!$E$9="Front-loaded",IF(7&lt;='I_Inputs &amp; Assumptions'!$B$8/2,'I_Budget Input Data'!$D$9*0.6/('I_Inputs &amp; Assumptions'!$B$8/2),'I_Budget Input Data'!$D$9*0.4/('I_Inputs &amp; Assumptions'!$B$8/2)),IF('I_Budget Input Data'!$E$9="Back-loaded",IF(7&lt;='I_Inputs &amp; Assumptions'!$B$8/2,'I_Budget Input Data'!$D$9*0.4/('I_Inputs &amp; Assumptions'!$B$8/2),'I_Budget Input Data'!$D$9*0.6/('I_Inputs &amp; Assumptions'!$B$8/2)),IF('I_Budget Input Data'!$E$9="Mid-weighted",IF(7&lt;='I_Inputs &amp; Assumptions'!$B$8/4,'I_Budget Input Data'!$D$9*0.2/('I_Inputs &amp; Assumptions'!$B$8/4),IF(7&lt;='I_Inputs &amp; Assumptions'!$B$8*0.75,'I_Budget Input Data'!$D$9*0.6/('I_Inputs &amp; Assumptions'!$B$8/2),'I_Budget Input Data'!$D$9*0.2/('I_Inputs &amp; Assumptions'!$B$8/4))),IF('I_Budget Input Data'!$E$9="At Completion",IF(7='I_Inputs &amp; Assumptions'!$B$8,'I_Budget Input Data'!$D$9,0),'I_Budget Input Data'!$D$9/'I_Inputs &amp; Assumptions'!$B$8)))))),0)</f>
        <v>29496.615384615383</v>
      </c>
      <c r="J9" s="91">
        <f>IF(8&lt;='I_Inputs &amp; Assumptions'!$B$8,IF('I_Budget Input Data'!$E$9="Upfront",IF(8=1,'I_Budget Input Data'!$D$9,0),IF('I_Budget Input Data'!$E$9="Equal",'I_Budget Input Data'!$D$9/'I_Inputs &amp; Assumptions'!$B$8,IF('I_Budget Input Data'!$E$9="Front-loaded",IF(8&lt;='I_Inputs &amp; Assumptions'!$B$8/2,'I_Budget Input Data'!$D$9*0.6/('I_Inputs &amp; Assumptions'!$B$8/2),'I_Budget Input Data'!$D$9*0.4/('I_Inputs &amp; Assumptions'!$B$8/2)),IF('I_Budget Input Data'!$E$9="Back-loaded",IF(8&lt;='I_Inputs &amp; Assumptions'!$B$8/2,'I_Budget Input Data'!$D$9*0.4/('I_Inputs &amp; Assumptions'!$B$8/2),'I_Budget Input Data'!$D$9*0.6/('I_Inputs &amp; Assumptions'!$B$8/2)),IF('I_Budget Input Data'!$E$9="Mid-weighted",IF(8&lt;='I_Inputs &amp; Assumptions'!$B$8/4,'I_Budget Input Data'!$D$9*0.2/('I_Inputs &amp; Assumptions'!$B$8/4),IF(8&lt;='I_Inputs &amp; Assumptions'!$B$8*0.75,'I_Budget Input Data'!$D$9*0.6/('I_Inputs &amp; Assumptions'!$B$8/2),'I_Budget Input Data'!$D$9*0.2/('I_Inputs &amp; Assumptions'!$B$8/4))),IF('I_Budget Input Data'!$E$9="At Completion",IF(8='I_Inputs &amp; Assumptions'!$B$8,'I_Budget Input Data'!$D$9,0),'I_Budget Input Data'!$D$9/'I_Inputs &amp; Assumptions'!$B$8)))))),0)</f>
        <v>29496.615384615383</v>
      </c>
      <c r="K9" s="91">
        <f>IF(9&lt;='I_Inputs &amp; Assumptions'!$B$8,IF('I_Budget Input Data'!$E$9="Upfront",IF(9=1,'I_Budget Input Data'!$D$9,0),IF('I_Budget Input Data'!$E$9="Equal",'I_Budget Input Data'!$D$9/'I_Inputs &amp; Assumptions'!$B$8,IF('I_Budget Input Data'!$E$9="Front-loaded",IF(9&lt;='I_Inputs &amp; Assumptions'!$B$8/2,'I_Budget Input Data'!$D$9*0.6/('I_Inputs &amp; Assumptions'!$B$8/2),'I_Budget Input Data'!$D$9*0.4/('I_Inputs &amp; Assumptions'!$B$8/2)),IF('I_Budget Input Data'!$E$9="Back-loaded",IF(9&lt;='I_Inputs &amp; Assumptions'!$B$8/2,'I_Budget Input Data'!$D$9*0.4/('I_Inputs &amp; Assumptions'!$B$8/2),'I_Budget Input Data'!$D$9*0.6/('I_Inputs &amp; Assumptions'!$B$8/2)),IF('I_Budget Input Data'!$E$9="Mid-weighted",IF(9&lt;='I_Inputs &amp; Assumptions'!$B$8/4,'I_Budget Input Data'!$D$9*0.2/('I_Inputs &amp; Assumptions'!$B$8/4),IF(9&lt;='I_Inputs &amp; Assumptions'!$B$8*0.75,'I_Budget Input Data'!$D$9*0.6/('I_Inputs &amp; Assumptions'!$B$8/2),'I_Budget Input Data'!$D$9*0.2/('I_Inputs &amp; Assumptions'!$B$8/4))),IF('I_Budget Input Data'!$E$9="At Completion",IF(9='I_Inputs &amp; Assumptions'!$B$8,'I_Budget Input Data'!$D$9,0),'I_Budget Input Data'!$D$9/'I_Inputs &amp; Assumptions'!$B$8)))))),0)</f>
        <v>29496.615384615383</v>
      </c>
      <c r="L9" s="91">
        <f>IF(10&lt;='I_Inputs &amp; Assumptions'!$B$8,IF('I_Budget Input Data'!$E$9="Upfront",IF(10=1,'I_Budget Input Data'!$D$9,0),IF('I_Budget Input Data'!$E$9="Equal",'I_Budget Input Data'!$D$9/'I_Inputs &amp; Assumptions'!$B$8,IF('I_Budget Input Data'!$E$9="Front-loaded",IF(10&lt;='I_Inputs &amp; Assumptions'!$B$8/2,'I_Budget Input Data'!$D$9*0.6/('I_Inputs &amp; Assumptions'!$B$8/2),'I_Budget Input Data'!$D$9*0.4/('I_Inputs &amp; Assumptions'!$B$8/2)),IF('I_Budget Input Data'!$E$9="Back-loaded",IF(10&lt;='I_Inputs &amp; Assumptions'!$B$8/2,'I_Budget Input Data'!$D$9*0.4/('I_Inputs &amp; Assumptions'!$B$8/2),'I_Budget Input Data'!$D$9*0.6/('I_Inputs &amp; Assumptions'!$B$8/2)),IF('I_Budget Input Data'!$E$9="Mid-weighted",IF(10&lt;='I_Inputs &amp; Assumptions'!$B$8/4,'I_Budget Input Data'!$D$9*0.2/('I_Inputs &amp; Assumptions'!$B$8/4),IF(10&lt;='I_Inputs &amp; Assumptions'!$B$8*0.75,'I_Budget Input Data'!$D$9*0.6/('I_Inputs &amp; Assumptions'!$B$8/2),'I_Budget Input Data'!$D$9*0.2/('I_Inputs &amp; Assumptions'!$B$8/4))),IF('I_Budget Input Data'!$E$9="At Completion",IF(10='I_Inputs &amp; Assumptions'!$B$8,'I_Budget Input Data'!$D$9,0),'I_Budget Input Data'!$D$9/'I_Inputs &amp; Assumptions'!$B$8)))))),0)</f>
        <v>29496.615384615383</v>
      </c>
      <c r="M9" s="91">
        <f>IF(11&lt;='I_Inputs &amp; Assumptions'!$B$8,IF('I_Budget Input Data'!$E$9="Upfront",IF(11=1,'I_Budget Input Data'!$D$9,0),IF('I_Budget Input Data'!$E$9="Equal",'I_Budget Input Data'!$D$9/'I_Inputs &amp; Assumptions'!$B$8,IF('I_Budget Input Data'!$E$9="Front-loaded",IF(11&lt;='I_Inputs &amp; Assumptions'!$B$8/2,'I_Budget Input Data'!$D$9*0.6/('I_Inputs &amp; Assumptions'!$B$8/2),'I_Budget Input Data'!$D$9*0.4/('I_Inputs &amp; Assumptions'!$B$8/2)),IF('I_Budget Input Data'!$E$9="Back-loaded",IF(11&lt;='I_Inputs &amp; Assumptions'!$B$8/2,'I_Budget Input Data'!$D$9*0.4/('I_Inputs &amp; Assumptions'!$B$8/2),'I_Budget Input Data'!$D$9*0.6/('I_Inputs &amp; Assumptions'!$B$8/2)),IF('I_Budget Input Data'!$E$9="Mid-weighted",IF(11&lt;='I_Inputs &amp; Assumptions'!$B$8/4,'I_Budget Input Data'!$D$9*0.2/('I_Inputs &amp; Assumptions'!$B$8/4),IF(11&lt;='I_Inputs &amp; Assumptions'!$B$8*0.75,'I_Budget Input Data'!$D$9*0.6/('I_Inputs &amp; Assumptions'!$B$8/2),'I_Budget Input Data'!$D$9*0.2/('I_Inputs &amp; Assumptions'!$B$8/4))),IF('I_Budget Input Data'!$E$9="At Completion",IF(11='I_Inputs &amp; Assumptions'!$B$8,'I_Budget Input Data'!$D$9,0),'I_Budget Input Data'!$D$9/'I_Inputs &amp; Assumptions'!$B$8)))))),0)</f>
        <v>29496.615384615383</v>
      </c>
      <c r="N9" s="91">
        <f>IF(12&lt;='I_Inputs &amp; Assumptions'!$B$8,IF('I_Budget Input Data'!$E$9="Upfront",IF(12=1,'I_Budget Input Data'!$D$9,0),IF('I_Budget Input Data'!$E$9="Equal",'I_Budget Input Data'!$D$9/'I_Inputs &amp; Assumptions'!$B$8,IF('I_Budget Input Data'!$E$9="Front-loaded",IF(12&lt;='I_Inputs &amp; Assumptions'!$B$8/2,'I_Budget Input Data'!$D$9*0.6/('I_Inputs &amp; Assumptions'!$B$8/2),'I_Budget Input Data'!$D$9*0.4/('I_Inputs &amp; Assumptions'!$B$8/2)),IF('I_Budget Input Data'!$E$9="Back-loaded",IF(12&lt;='I_Inputs &amp; Assumptions'!$B$8/2,'I_Budget Input Data'!$D$9*0.4/('I_Inputs &amp; Assumptions'!$B$8/2),'I_Budget Input Data'!$D$9*0.6/('I_Inputs &amp; Assumptions'!$B$8/2)),IF('I_Budget Input Data'!$E$9="Mid-weighted",IF(12&lt;='I_Inputs &amp; Assumptions'!$B$8/4,'I_Budget Input Data'!$D$9*0.2/('I_Inputs &amp; Assumptions'!$B$8/4),IF(12&lt;='I_Inputs &amp; Assumptions'!$B$8*0.75,'I_Budget Input Data'!$D$9*0.6/('I_Inputs &amp; Assumptions'!$B$8/2),'I_Budget Input Data'!$D$9*0.2/('I_Inputs &amp; Assumptions'!$B$8/4))),IF('I_Budget Input Data'!$E$9="At Completion",IF(12='I_Inputs &amp; Assumptions'!$B$8,'I_Budget Input Data'!$D$9,0),'I_Budget Input Data'!$D$9/'I_Inputs &amp; Assumptions'!$B$8)))))),0)</f>
        <v>29496.615384615383</v>
      </c>
      <c r="O9" s="91">
        <f>IF(13&lt;='I_Inputs &amp; Assumptions'!$B$8,IF('I_Budget Input Data'!$E$9="Upfront",IF(13=1,'I_Budget Input Data'!$D$9,0),IF('I_Budget Input Data'!$E$9="Equal",'I_Budget Input Data'!$D$9/'I_Inputs &amp; Assumptions'!$B$8,IF('I_Budget Input Data'!$E$9="Front-loaded",IF(13&lt;='I_Inputs &amp; Assumptions'!$B$8/2,'I_Budget Input Data'!$D$9*0.6/('I_Inputs &amp; Assumptions'!$B$8/2),'I_Budget Input Data'!$D$9*0.4/('I_Inputs &amp; Assumptions'!$B$8/2)),IF('I_Budget Input Data'!$E$9="Back-loaded",IF(13&lt;='I_Inputs &amp; Assumptions'!$B$8/2,'I_Budget Input Data'!$D$9*0.4/('I_Inputs &amp; Assumptions'!$B$8/2),'I_Budget Input Data'!$D$9*0.6/('I_Inputs &amp; Assumptions'!$B$8/2)),IF('I_Budget Input Data'!$E$9="Mid-weighted",IF(13&lt;='I_Inputs &amp; Assumptions'!$B$8/4,'I_Budget Input Data'!$D$9*0.2/('I_Inputs &amp; Assumptions'!$B$8/4),IF(13&lt;='I_Inputs &amp; Assumptions'!$B$8*0.75,'I_Budget Input Data'!$D$9*0.6/('I_Inputs &amp; Assumptions'!$B$8/2),'I_Budget Input Data'!$D$9*0.2/('I_Inputs &amp; Assumptions'!$B$8/4))),IF('I_Budget Input Data'!$E$9="At Completion",IF(13='I_Inputs &amp; Assumptions'!$B$8,'I_Budget Input Data'!$D$9,0),'I_Budget Input Data'!$D$9/'I_Inputs &amp; Assumptions'!$B$8)))))),0)</f>
        <v>29496.615384615383</v>
      </c>
      <c r="P9" s="91">
        <f>IF(14&lt;='I_Inputs &amp; Assumptions'!$B$8,IF('I_Budget Input Data'!$E$9="Upfront",IF(14=1,'I_Budget Input Data'!$D$9,0),IF('I_Budget Input Data'!$E$9="Equal",'I_Budget Input Data'!$D$9/'I_Inputs &amp; Assumptions'!$B$8,IF('I_Budget Input Data'!$E$9="Front-loaded",IF(14&lt;='I_Inputs &amp; Assumptions'!$B$8/2,'I_Budget Input Data'!$D$9*0.6/('I_Inputs &amp; Assumptions'!$B$8/2),'I_Budget Input Data'!$D$9*0.4/('I_Inputs &amp; Assumptions'!$B$8/2)),IF('I_Budget Input Data'!$E$9="Back-loaded",IF(14&lt;='I_Inputs &amp; Assumptions'!$B$8/2,'I_Budget Input Data'!$D$9*0.4/('I_Inputs &amp; Assumptions'!$B$8/2),'I_Budget Input Data'!$D$9*0.6/('I_Inputs &amp; Assumptions'!$B$8/2)),IF('I_Budget Input Data'!$E$9="Mid-weighted",IF(14&lt;='I_Inputs &amp; Assumptions'!$B$8/4,'I_Budget Input Data'!$D$9*0.2/('I_Inputs &amp; Assumptions'!$B$8/4),IF(14&lt;='I_Inputs &amp; Assumptions'!$B$8*0.75,'I_Budget Input Data'!$D$9*0.6/('I_Inputs &amp; Assumptions'!$B$8/2),'I_Budget Input Data'!$D$9*0.2/('I_Inputs &amp; Assumptions'!$B$8/4))),IF('I_Budget Input Data'!$E$9="At Completion",IF(14='I_Inputs &amp; Assumptions'!$B$8,'I_Budget Input Data'!$D$9,0),'I_Budget Input Data'!$D$9/'I_Inputs &amp; Assumptions'!$B$8)))))),0)</f>
        <v>0</v>
      </c>
      <c r="Q9" s="91">
        <f>IF(15&lt;='I_Inputs &amp; Assumptions'!$B$8,IF('I_Budget Input Data'!$E$9="Upfront",IF(15=1,'I_Budget Input Data'!$D$9,0),IF('I_Budget Input Data'!$E$9="Equal",'I_Budget Input Data'!$D$9/'I_Inputs &amp; Assumptions'!$B$8,IF('I_Budget Input Data'!$E$9="Front-loaded",IF(15&lt;='I_Inputs &amp; Assumptions'!$B$8/2,'I_Budget Input Data'!$D$9*0.6/('I_Inputs &amp; Assumptions'!$B$8/2),'I_Budget Input Data'!$D$9*0.4/('I_Inputs &amp; Assumptions'!$B$8/2)),IF('I_Budget Input Data'!$E$9="Back-loaded",IF(15&lt;='I_Inputs &amp; Assumptions'!$B$8/2,'I_Budget Input Data'!$D$9*0.4/('I_Inputs &amp; Assumptions'!$B$8/2),'I_Budget Input Data'!$D$9*0.6/('I_Inputs &amp; Assumptions'!$B$8/2)),IF('I_Budget Input Data'!$E$9="Mid-weighted",IF(15&lt;='I_Inputs &amp; Assumptions'!$B$8/4,'I_Budget Input Data'!$D$9*0.2/('I_Inputs &amp; Assumptions'!$B$8/4),IF(15&lt;='I_Inputs &amp; Assumptions'!$B$8*0.75,'I_Budget Input Data'!$D$9*0.6/('I_Inputs &amp; Assumptions'!$B$8/2),'I_Budget Input Data'!$D$9*0.2/('I_Inputs &amp; Assumptions'!$B$8/4))),IF('I_Budget Input Data'!$E$9="At Completion",IF(15='I_Inputs &amp; Assumptions'!$B$8,'I_Budget Input Data'!$D$9,0),'I_Budget Input Data'!$D$9/'I_Inputs &amp; Assumptions'!$B$8)))))),0)</f>
        <v>0</v>
      </c>
      <c r="R9" s="91">
        <f>IF(16&lt;='I_Inputs &amp; Assumptions'!$B$8,IF('I_Budget Input Data'!$E$9="Upfront",IF(16=1,'I_Budget Input Data'!$D$9,0),IF('I_Budget Input Data'!$E$9="Equal",'I_Budget Input Data'!$D$9/'I_Inputs &amp; Assumptions'!$B$8,IF('I_Budget Input Data'!$E$9="Front-loaded",IF(16&lt;='I_Inputs &amp; Assumptions'!$B$8/2,'I_Budget Input Data'!$D$9*0.6/('I_Inputs &amp; Assumptions'!$B$8/2),'I_Budget Input Data'!$D$9*0.4/('I_Inputs &amp; Assumptions'!$B$8/2)),IF('I_Budget Input Data'!$E$9="Back-loaded",IF(16&lt;='I_Inputs &amp; Assumptions'!$B$8/2,'I_Budget Input Data'!$D$9*0.4/('I_Inputs &amp; Assumptions'!$B$8/2),'I_Budget Input Data'!$D$9*0.6/('I_Inputs &amp; Assumptions'!$B$8/2)),IF('I_Budget Input Data'!$E$9="Mid-weighted",IF(16&lt;='I_Inputs &amp; Assumptions'!$B$8/4,'I_Budget Input Data'!$D$9*0.2/('I_Inputs &amp; Assumptions'!$B$8/4),IF(16&lt;='I_Inputs &amp; Assumptions'!$B$8*0.75,'I_Budget Input Data'!$D$9*0.6/('I_Inputs &amp; Assumptions'!$B$8/2),'I_Budget Input Data'!$D$9*0.2/('I_Inputs &amp; Assumptions'!$B$8/4))),IF('I_Budget Input Data'!$E$9="At Completion",IF(16='I_Inputs &amp; Assumptions'!$B$8,'I_Budget Input Data'!$D$9,0),'I_Budget Input Data'!$D$9/'I_Inputs &amp; Assumptions'!$B$8)))))),0)</f>
        <v>0</v>
      </c>
      <c r="S9" s="91">
        <f>IF(17&lt;='I_Inputs &amp; Assumptions'!$B$8,IF('I_Budget Input Data'!$E$9="Upfront",IF(17=1,'I_Budget Input Data'!$D$9,0),IF('I_Budget Input Data'!$E$9="Equal",'I_Budget Input Data'!$D$9/'I_Inputs &amp; Assumptions'!$B$8,IF('I_Budget Input Data'!$E$9="Front-loaded",IF(17&lt;='I_Inputs &amp; Assumptions'!$B$8/2,'I_Budget Input Data'!$D$9*0.6/('I_Inputs &amp; Assumptions'!$B$8/2),'I_Budget Input Data'!$D$9*0.4/('I_Inputs &amp; Assumptions'!$B$8/2)),IF('I_Budget Input Data'!$E$9="Back-loaded",IF(17&lt;='I_Inputs &amp; Assumptions'!$B$8/2,'I_Budget Input Data'!$D$9*0.4/('I_Inputs &amp; Assumptions'!$B$8/2),'I_Budget Input Data'!$D$9*0.6/('I_Inputs &amp; Assumptions'!$B$8/2)),IF('I_Budget Input Data'!$E$9="Mid-weighted",IF(17&lt;='I_Inputs &amp; Assumptions'!$B$8/4,'I_Budget Input Data'!$D$9*0.2/('I_Inputs &amp; Assumptions'!$B$8/4),IF(17&lt;='I_Inputs &amp; Assumptions'!$B$8*0.75,'I_Budget Input Data'!$D$9*0.6/('I_Inputs &amp; Assumptions'!$B$8/2),'I_Budget Input Data'!$D$9*0.2/('I_Inputs &amp; Assumptions'!$B$8/4))),IF('I_Budget Input Data'!$E$9="At Completion",IF(17='I_Inputs &amp; Assumptions'!$B$8,'I_Budget Input Data'!$D$9,0),'I_Budget Input Data'!$D$9/'I_Inputs &amp; Assumptions'!$B$8)))))),0)</f>
        <v>0</v>
      </c>
      <c r="T9" s="91">
        <f>IF(18&lt;='I_Inputs &amp; Assumptions'!$B$8,IF('I_Budget Input Data'!$E$9="Upfront",IF(18=1,'I_Budget Input Data'!$D$9,0),IF('I_Budget Input Data'!$E$9="Equal",'I_Budget Input Data'!$D$9/'I_Inputs &amp; Assumptions'!$B$8,IF('I_Budget Input Data'!$E$9="Front-loaded",IF(18&lt;='I_Inputs &amp; Assumptions'!$B$8/2,'I_Budget Input Data'!$D$9*0.6/('I_Inputs &amp; Assumptions'!$B$8/2),'I_Budget Input Data'!$D$9*0.4/('I_Inputs &amp; Assumptions'!$B$8/2)),IF('I_Budget Input Data'!$E$9="Back-loaded",IF(18&lt;='I_Inputs &amp; Assumptions'!$B$8/2,'I_Budget Input Data'!$D$9*0.4/('I_Inputs &amp; Assumptions'!$B$8/2),'I_Budget Input Data'!$D$9*0.6/('I_Inputs &amp; Assumptions'!$B$8/2)),IF('I_Budget Input Data'!$E$9="Mid-weighted",IF(18&lt;='I_Inputs &amp; Assumptions'!$B$8/4,'I_Budget Input Data'!$D$9*0.2/('I_Inputs &amp; Assumptions'!$B$8/4),IF(18&lt;='I_Inputs &amp; Assumptions'!$B$8*0.75,'I_Budget Input Data'!$D$9*0.6/('I_Inputs &amp; Assumptions'!$B$8/2),'I_Budget Input Data'!$D$9*0.2/('I_Inputs &amp; Assumptions'!$B$8/4))),IF('I_Budget Input Data'!$E$9="At Completion",IF(18='I_Inputs &amp; Assumptions'!$B$8,'I_Budget Input Data'!$D$9,0),'I_Budget Input Data'!$D$9/'I_Inputs &amp; Assumptions'!$B$8)))))),0)</f>
        <v>0</v>
      </c>
      <c r="U9" s="91">
        <f>IF(19&lt;='I_Inputs &amp; Assumptions'!$B$8,IF('I_Budget Input Data'!$E$9="Upfront",IF(19=1,'I_Budget Input Data'!$D$9,0),IF('I_Budget Input Data'!$E$9="Equal",'I_Budget Input Data'!$D$9/'I_Inputs &amp; Assumptions'!$B$8,IF('I_Budget Input Data'!$E$9="Front-loaded",IF(19&lt;='I_Inputs &amp; Assumptions'!$B$8/2,'I_Budget Input Data'!$D$9*0.6/('I_Inputs &amp; Assumptions'!$B$8/2),'I_Budget Input Data'!$D$9*0.4/('I_Inputs &amp; Assumptions'!$B$8/2)),IF('I_Budget Input Data'!$E$9="Back-loaded",IF(19&lt;='I_Inputs &amp; Assumptions'!$B$8/2,'I_Budget Input Data'!$D$9*0.4/('I_Inputs &amp; Assumptions'!$B$8/2),'I_Budget Input Data'!$D$9*0.6/('I_Inputs &amp; Assumptions'!$B$8/2)),IF('I_Budget Input Data'!$E$9="Mid-weighted",IF(19&lt;='I_Inputs &amp; Assumptions'!$B$8/4,'I_Budget Input Data'!$D$9*0.2/('I_Inputs &amp; Assumptions'!$B$8/4),IF(19&lt;='I_Inputs &amp; Assumptions'!$B$8*0.75,'I_Budget Input Data'!$D$9*0.6/('I_Inputs &amp; Assumptions'!$B$8/2),'I_Budget Input Data'!$D$9*0.2/('I_Inputs &amp; Assumptions'!$B$8/4))),IF('I_Budget Input Data'!$E$9="At Completion",IF(19='I_Inputs &amp; Assumptions'!$B$8,'I_Budget Input Data'!$D$9,0),'I_Budget Input Data'!$D$9/'I_Inputs &amp; Assumptions'!$B$8)))))),0)</f>
        <v>0</v>
      </c>
      <c r="V9" s="91">
        <f>IF(20&lt;='I_Inputs &amp; Assumptions'!$B$8,IF('I_Budget Input Data'!$E$9="Upfront",IF(20=1,'I_Budget Input Data'!$D$9,0),IF('I_Budget Input Data'!$E$9="Equal",'I_Budget Input Data'!$D$9/'I_Inputs &amp; Assumptions'!$B$8,IF('I_Budget Input Data'!$E$9="Front-loaded",IF(20&lt;='I_Inputs &amp; Assumptions'!$B$8/2,'I_Budget Input Data'!$D$9*0.6/('I_Inputs &amp; Assumptions'!$B$8/2),'I_Budget Input Data'!$D$9*0.4/('I_Inputs &amp; Assumptions'!$B$8/2)),IF('I_Budget Input Data'!$E$9="Back-loaded",IF(20&lt;='I_Inputs &amp; Assumptions'!$B$8/2,'I_Budget Input Data'!$D$9*0.4/('I_Inputs &amp; Assumptions'!$B$8/2),'I_Budget Input Data'!$D$9*0.6/('I_Inputs &amp; Assumptions'!$B$8/2)),IF('I_Budget Input Data'!$E$9="Mid-weighted",IF(20&lt;='I_Inputs &amp; Assumptions'!$B$8/4,'I_Budget Input Data'!$D$9*0.2/('I_Inputs &amp; Assumptions'!$B$8/4),IF(20&lt;='I_Inputs &amp; Assumptions'!$B$8*0.75,'I_Budget Input Data'!$D$9*0.6/('I_Inputs &amp; Assumptions'!$B$8/2),'I_Budget Input Data'!$D$9*0.2/('I_Inputs &amp; Assumptions'!$B$8/4))),IF('I_Budget Input Data'!$E$9="At Completion",IF(20='I_Inputs &amp; Assumptions'!$B$8,'I_Budget Input Data'!$D$9,0),'I_Budget Input Data'!$D$9/'I_Inputs &amp; Assumptions'!$B$8)))))),0)</f>
        <v>0</v>
      </c>
      <c r="W9" s="91">
        <f>IF(21&lt;='I_Inputs &amp; Assumptions'!$B$8,IF('I_Budget Input Data'!$E$9="Upfront",IF(21=1,'I_Budget Input Data'!$D$9,0),IF('I_Budget Input Data'!$E$9="Equal",'I_Budget Input Data'!$D$9/'I_Inputs &amp; Assumptions'!$B$8,IF('I_Budget Input Data'!$E$9="Front-loaded",IF(21&lt;='I_Inputs &amp; Assumptions'!$B$8/2,'I_Budget Input Data'!$D$9*0.6/('I_Inputs &amp; Assumptions'!$B$8/2),'I_Budget Input Data'!$D$9*0.4/('I_Inputs &amp; Assumptions'!$B$8/2)),IF('I_Budget Input Data'!$E$9="Back-loaded",IF(21&lt;='I_Inputs &amp; Assumptions'!$B$8/2,'I_Budget Input Data'!$D$9*0.4/('I_Inputs &amp; Assumptions'!$B$8/2),'I_Budget Input Data'!$D$9*0.6/('I_Inputs &amp; Assumptions'!$B$8/2)),IF('I_Budget Input Data'!$E$9="Mid-weighted",IF(21&lt;='I_Inputs &amp; Assumptions'!$B$8/4,'I_Budget Input Data'!$D$9*0.2/('I_Inputs &amp; Assumptions'!$B$8/4),IF(21&lt;='I_Inputs &amp; Assumptions'!$B$8*0.75,'I_Budget Input Data'!$D$9*0.6/('I_Inputs &amp; Assumptions'!$B$8/2),'I_Budget Input Data'!$D$9*0.2/('I_Inputs &amp; Assumptions'!$B$8/4))),IF('I_Budget Input Data'!$E$9="At Completion",IF(21='I_Inputs &amp; Assumptions'!$B$8,'I_Budget Input Data'!$D$9,0),'I_Budget Input Data'!$D$9/'I_Inputs &amp; Assumptions'!$B$8)))))),0)</f>
        <v>0</v>
      </c>
      <c r="X9" s="91">
        <f>IF(22&lt;='I_Inputs &amp; Assumptions'!$B$8,IF('I_Budget Input Data'!$E$9="Upfront",IF(22=1,'I_Budget Input Data'!$D$9,0),IF('I_Budget Input Data'!$E$9="Equal",'I_Budget Input Data'!$D$9/'I_Inputs &amp; Assumptions'!$B$8,IF('I_Budget Input Data'!$E$9="Front-loaded",IF(22&lt;='I_Inputs &amp; Assumptions'!$B$8/2,'I_Budget Input Data'!$D$9*0.6/('I_Inputs &amp; Assumptions'!$B$8/2),'I_Budget Input Data'!$D$9*0.4/('I_Inputs &amp; Assumptions'!$B$8/2)),IF('I_Budget Input Data'!$E$9="Back-loaded",IF(22&lt;='I_Inputs &amp; Assumptions'!$B$8/2,'I_Budget Input Data'!$D$9*0.4/('I_Inputs &amp; Assumptions'!$B$8/2),'I_Budget Input Data'!$D$9*0.6/('I_Inputs &amp; Assumptions'!$B$8/2)),IF('I_Budget Input Data'!$E$9="Mid-weighted",IF(22&lt;='I_Inputs &amp; Assumptions'!$B$8/4,'I_Budget Input Data'!$D$9*0.2/('I_Inputs &amp; Assumptions'!$B$8/4),IF(22&lt;='I_Inputs &amp; Assumptions'!$B$8*0.75,'I_Budget Input Data'!$D$9*0.6/('I_Inputs &amp; Assumptions'!$B$8/2),'I_Budget Input Data'!$D$9*0.2/('I_Inputs &amp; Assumptions'!$B$8/4))),IF('I_Budget Input Data'!$E$9="At Completion",IF(22='I_Inputs &amp; Assumptions'!$B$8,'I_Budget Input Data'!$D$9,0),'I_Budget Input Data'!$D$9/'I_Inputs &amp; Assumptions'!$B$8)))))),0)</f>
        <v>0</v>
      </c>
      <c r="Y9" s="91">
        <f>IF(23&lt;='I_Inputs &amp; Assumptions'!$B$8,IF('I_Budget Input Data'!$E$9="Upfront",IF(23=1,'I_Budget Input Data'!$D$9,0),IF('I_Budget Input Data'!$E$9="Equal",'I_Budget Input Data'!$D$9/'I_Inputs &amp; Assumptions'!$B$8,IF('I_Budget Input Data'!$E$9="Front-loaded",IF(23&lt;='I_Inputs &amp; Assumptions'!$B$8/2,'I_Budget Input Data'!$D$9*0.6/('I_Inputs &amp; Assumptions'!$B$8/2),'I_Budget Input Data'!$D$9*0.4/('I_Inputs &amp; Assumptions'!$B$8/2)),IF('I_Budget Input Data'!$E$9="Back-loaded",IF(23&lt;='I_Inputs &amp; Assumptions'!$B$8/2,'I_Budget Input Data'!$D$9*0.4/('I_Inputs &amp; Assumptions'!$B$8/2),'I_Budget Input Data'!$D$9*0.6/('I_Inputs &amp; Assumptions'!$B$8/2)),IF('I_Budget Input Data'!$E$9="Mid-weighted",IF(23&lt;='I_Inputs &amp; Assumptions'!$B$8/4,'I_Budget Input Data'!$D$9*0.2/('I_Inputs &amp; Assumptions'!$B$8/4),IF(23&lt;='I_Inputs &amp; Assumptions'!$B$8*0.75,'I_Budget Input Data'!$D$9*0.6/('I_Inputs &amp; Assumptions'!$B$8/2),'I_Budget Input Data'!$D$9*0.2/('I_Inputs &amp; Assumptions'!$B$8/4))),IF('I_Budget Input Data'!$E$9="At Completion",IF(23='I_Inputs &amp; Assumptions'!$B$8,'I_Budget Input Data'!$D$9,0),'I_Budget Input Data'!$D$9/'I_Inputs &amp; Assumptions'!$B$8)))))),0)</f>
        <v>0</v>
      </c>
      <c r="Z9" s="91">
        <f>IF(24&lt;='I_Inputs &amp; Assumptions'!$B$8,IF('I_Budget Input Data'!$E$9="Upfront",IF(24=1,'I_Budget Input Data'!$D$9,0),IF('I_Budget Input Data'!$E$9="Equal",'I_Budget Input Data'!$D$9/'I_Inputs &amp; Assumptions'!$B$8,IF('I_Budget Input Data'!$E$9="Front-loaded",IF(24&lt;='I_Inputs &amp; Assumptions'!$B$8/2,'I_Budget Input Data'!$D$9*0.6/('I_Inputs &amp; Assumptions'!$B$8/2),'I_Budget Input Data'!$D$9*0.4/('I_Inputs &amp; Assumptions'!$B$8/2)),IF('I_Budget Input Data'!$E$9="Back-loaded",IF(24&lt;='I_Inputs &amp; Assumptions'!$B$8/2,'I_Budget Input Data'!$D$9*0.4/('I_Inputs &amp; Assumptions'!$B$8/2),'I_Budget Input Data'!$D$9*0.6/('I_Inputs &amp; Assumptions'!$B$8/2)),IF('I_Budget Input Data'!$E$9="Mid-weighted",IF(24&lt;='I_Inputs &amp; Assumptions'!$B$8/4,'I_Budget Input Data'!$D$9*0.2/('I_Inputs &amp; Assumptions'!$B$8/4),IF(24&lt;='I_Inputs &amp; Assumptions'!$B$8*0.75,'I_Budget Input Data'!$D$9*0.6/('I_Inputs &amp; Assumptions'!$B$8/2),'I_Budget Input Data'!$D$9*0.2/('I_Inputs &amp; Assumptions'!$B$8/4))),IF('I_Budget Input Data'!$E$9="At Completion",IF(24='I_Inputs &amp; Assumptions'!$B$8,'I_Budget Input Data'!$D$9,0),'I_Budget Input Data'!$D$9/'I_Inputs &amp; Assumptions'!$B$8)))))),0)</f>
        <v>0</v>
      </c>
      <c r="AA9" s="91">
        <f>IF(25&lt;='I_Inputs &amp; Assumptions'!$B$8,IF('I_Budget Input Data'!$E$9="Upfront",IF(25=1,'I_Budget Input Data'!$D$9,0),IF('I_Budget Input Data'!$E$9="Equal",'I_Budget Input Data'!$D$9/'I_Inputs &amp; Assumptions'!$B$8,IF('I_Budget Input Data'!$E$9="Front-loaded",IF(25&lt;='I_Inputs &amp; Assumptions'!$B$8/2,'I_Budget Input Data'!$D$9*0.6/('I_Inputs &amp; Assumptions'!$B$8/2),'I_Budget Input Data'!$D$9*0.4/('I_Inputs &amp; Assumptions'!$B$8/2)),IF('I_Budget Input Data'!$E$9="Back-loaded",IF(25&lt;='I_Inputs &amp; Assumptions'!$B$8/2,'I_Budget Input Data'!$D$9*0.4/('I_Inputs &amp; Assumptions'!$B$8/2),'I_Budget Input Data'!$D$9*0.6/('I_Inputs &amp; Assumptions'!$B$8/2)),IF('I_Budget Input Data'!$E$9="Mid-weighted",IF(25&lt;='I_Inputs &amp; Assumptions'!$B$8/4,'I_Budget Input Data'!$D$9*0.2/('I_Inputs &amp; Assumptions'!$B$8/4),IF(25&lt;='I_Inputs &amp; Assumptions'!$B$8*0.75,'I_Budget Input Data'!$D$9*0.6/('I_Inputs &amp; Assumptions'!$B$8/2),'I_Budget Input Data'!$D$9*0.2/('I_Inputs &amp; Assumptions'!$B$8/4))),IF('I_Budget Input Data'!$E$9="At Completion",IF(25='I_Inputs &amp; Assumptions'!$B$8,'I_Budget Input Data'!$D$9,0),'I_Budget Input Data'!$D$9/'I_Inputs &amp; Assumptions'!$B$8)))))),0)</f>
        <v>0</v>
      </c>
      <c r="AB9" s="91">
        <f>IF(26&lt;='I_Inputs &amp; Assumptions'!$B$8,IF('I_Budget Input Data'!$E$9="Upfront",IF(26=1,'I_Budget Input Data'!$D$9,0),IF('I_Budget Input Data'!$E$9="Equal",'I_Budget Input Data'!$D$9/'I_Inputs &amp; Assumptions'!$B$8,IF('I_Budget Input Data'!$E$9="Front-loaded",IF(26&lt;='I_Inputs &amp; Assumptions'!$B$8/2,'I_Budget Input Data'!$D$9*0.6/('I_Inputs &amp; Assumptions'!$B$8/2),'I_Budget Input Data'!$D$9*0.4/('I_Inputs &amp; Assumptions'!$B$8/2)),IF('I_Budget Input Data'!$E$9="Back-loaded",IF(26&lt;='I_Inputs &amp; Assumptions'!$B$8/2,'I_Budget Input Data'!$D$9*0.4/('I_Inputs &amp; Assumptions'!$B$8/2),'I_Budget Input Data'!$D$9*0.6/('I_Inputs &amp; Assumptions'!$B$8/2)),IF('I_Budget Input Data'!$E$9="Mid-weighted",IF(26&lt;='I_Inputs &amp; Assumptions'!$B$8/4,'I_Budget Input Data'!$D$9*0.2/('I_Inputs &amp; Assumptions'!$B$8/4),IF(26&lt;='I_Inputs &amp; Assumptions'!$B$8*0.75,'I_Budget Input Data'!$D$9*0.6/('I_Inputs &amp; Assumptions'!$B$8/2),'I_Budget Input Data'!$D$9*0.2/('I_Inputs &amp; Assumptions'!$B$8/4))),IF('I_Budget Input Data'!$E$9="At Completion",IF(26='I_Inputs &amp; Assumptions'!$B$8,'I_Budget Input Data'!$D$9,0),'I_Budget Input Data'!$D$9/'I_Inputs &amp; Assumptions'!$B$8)))))),0)</f>
        <v>0</v>
      </c>
      <c r="AC9" s="91">
        <f>IF(27&lt;='I_Inputs &amp; Assumptions'!$B$8,IF('I_Budget Input Data'!$E$9="Upfront",IF(27=1,'I_Budget Input Data'!$D$9,0),IF('I_Budget Input Data'!$E$9="Equal",'I_Budget Input Data'!$D$9/'I_Inputs &amp; Assumptions'!$B$8,IF('I_Budget Input Data'!$E$9="Front-loaded",IF(27&lt;='I_Inputs &amp; Assumptions'!$B$8/2,'I_Budget Input Data'!$D$9*0.6/('I_Inputs &amp; Assumptions'!$B$8/2),'I_Budget Input Data'!$D$9*0.4/('I_Inputs &amp; Assumptions'!$B$8/2)),IF('I_Budget Input Data'!$E$9="Back-loaded",IF(27&lt;='I_Inputs &amp; Assumptions'!$B$8/2,'I_Budget Input Data'!$D$9*0.4/('I_Inputs &amp; Assumptions'!$B$8/2),'I_Budget Input Data'!$D$9*0.6/('I_Inputs &amp; Assumptions'!$B$8/2)),IF('I_Budget Input Data'!$E$9="Mid-weighted",IF(27&lt;='I_Inputs &amp; Assumptions'!$B$8/4,'I_Budget Input Data'!$D$9*0.2/('I_Inputs &amp; Assumptions'!$B$8/4),IF(27&lt;='I_Inputs &amp; Assumptions'!$B$8*0.75,'I_Budget Input Data'!$D$9*0.6/('I_Inputs &amp; Assumptions'!$B$8/2),'I_Budget Input Data'!$D$9*0.2/('I_Inputs &amp; Assumptions'!$B$8/4))),IF('I_Budget Input Data'!$E$9="At Completion",IF(27='I_Inputs &amp; Assumptions'!$B$8,'I_Budget Input Data'!$D$9,0),'I_Budget Input Data'!$D$9/'I_Inputs &amp; Assumptions'!$B$8)))))),0)</f>
        <v>0</v>
      </c>
      <c r="AD9" s="91">
        <f>IF(28&lt;='I_Inputs &amp; Assumptions'!$B$8,IF('I_Budget Input Data'!$E$9="Upfront",IF(28=1,'I_Budget Input Data'!$D$9,0),IF('I_Budget Input Data'!$E$9="Equal",'I_Budget Input Data'!$D$9/'I_Inputs &amp; Assumptions'!$B$8,IF('I_Budget Input Data'!$E$9="Front-loaded",IF(28&lt;='I_Inputs &amp; Assumptions'!$B$8/2,'I_Budget Input Data'!$D$9*0.6/('I_Inputs &amp; Assumptions'!$B$8/2),'I_Budget Input Data'!$D$9*0.4/('I_Inputs &amp; Assumptions'!$B$8/2)),IF('I_Budget Input Data'!$E$9="Back-loaded",IF(28&lt;='I_Inputs &amp; Assumptions'!$B$8/2,'I_Budget Input Data'!$D$9*0.4/('I_Inputs &amp; Assumptions'!$B$8/2),'I_Budget Input Data'!$D$9*0.6/('I_Inputs &amp; Assumptions'!$B$8/2)),IF('I_Budget Input Data'!$E$9="Mid-weighted",IF(28&lt;='I_Inputs &amp; Assumptions'!$B$8/4,'I_Budget Input Data'!$D$9*0.2/('I_Inputs &amp; Assumptions'!$B$8/4),IF(28&lt;='I_Inputs &amp; Assumptions'!$B$8*0.75,'I_Budget Input Data'!$D$9*0.6/('I_Inputs &amp; Assumptions'!$B$8/2),'I_Budget Input Data'!$D$9*0.2/('I_Inputs &amp; Assumptions'!$B$8/4))),IF('I_Budget Input Data'!$E$9="At Completion",IF(28='I_Inputs &amp; Assumptions'!$B$8,'I_Budget Input Data'!$D$9,0),'I_Budget Input Data'!$D$9/'I_Inputs &amp; Assumptions'!$B$8)))))),0)</f>
        <v>0</v>
      </c>
      <c r="AE9" s="91">
        <f>IF(29&lt;='I_Inputs &amp; Assumptions'!$B$8,IF('I_Budget Input Data'!$E$9="Upfront",IF(29=1,'I_Budget Input Data'!$D$9,0),IF('I_Budget Input Data'!$E$9="Equal",'I_Budget Input Data'!$D$9/'I_Inputs &amp; Assumptions'!$B$8,IF('I_Budget Input Data'!$E$9="Front-loaded",IF(29&lt;='I_Inputs &amp; Assumptions'!$B$8/2,'I_Budget Input Data'!$D$9*0.6/('I_Inputs &amp; Assumptions'!$B$8/2),'I_Budget Input Data'!$D$9*0.4/('I_Inputs &amp; Assumptions'!$B$8/2)),IF('I_Budget Input Data'!$E$9="Back-loaded",IF(29&lt;='I_Inputs &amp; Assumptions'!$B$8/2,'I_Budget Input Data'!$D$9*0.4/('I_Inputs &amp; Assumptions'!$B$8/2),'I_Budget Input Data'!$D$9*0.6/('I_Inputs &amp; Assumptions'!$B$8/2)),IF('I_Budget Input Data'!$E$9="Mid-weighted",IF(29&lt;='I_Inputs &amp; Assumptions'!$B$8/4,'I_Budget Input Data'!$D$9*0.2/('I_Inputs &amp; Assumptions'!$B$8/4),IF(29&lt;='I_Inputs &amp; Assumptions'!$B$8*0.75,'I_Budget Input Data'!$D$9*0.6/('I_Inputs &amp; Assumptions'!$B$8/2),'I_Budget Input Data'!$D$9*0.2/('I_Inputs &amp; Assumptions'!$B$8/4))),IF('I_Budget Input Data'!$E$9="At Completion",IF(29='I_Inputs &amp; Assumptions'!$B$8,'I_Budget Input Data'!$D$9,0),'I_Budget Input Data'!$D$9/'I_Inputs &amp; Assumptions'!$B$8)))))),0)</f>
        <v>0</v>
      </c>
      <c r="AF9" s="91">
        <f>IF(30&lt;='I_Inputs &amp; Assumptions'!$B$8,IF('I_Budget Input Data'!$E$9="Upfront",IF(30=1,'I_Budget Input Data'!$D$9,0),IF('I_Budget Input Data'!$E$9="Equal",'I_Budget Input Data'!$D$9/'I_Inputs &amp; Assumptions'!$B$8,IF('I_Budget Input Data'!$E$9="Front-loaded",IF(30&lt;='I_Inputs &amp; Assumptions'!$B$8/2,'I_Budget Input Data'!$D$9*0.6/('I_Inputs &amp; Assumptions'!$B$8/2),'I_Budget Input Data'!$D$9*0.4/('I_Inputs &amp; Assumptions'!$B$8/2)),IF('I_Budget Input Data'!$E$9="Back-loaded",IF(30&lt;='I_Inputs &amp; Assumptions'!$B$8/2,'I_Budget Input Data'!$D$9*0.4/('I_Inputs &amp; Assumptions'!$B$8/2),'I_Budget Input Data'!$D$9*0.6/('I_Inputs &amp; Assumptions'!$B$8/2)),IF('I_Budget Input Data'!$E$9="Mid-weighted",IF(30&lt;='I_Inputs &amp; Assumptions'!$B$8/4,'I_Budget Input Data'!$D$9*0.2/('I_Inputs &amp; Assumptions'!$B$8/4),IF(30&lt;='I_Inputs &amp; Assumptions'!$B$8*0.75,'I_Budget Input Data'!$D$9*0.6/('I_Inputs &amp; Assumptions'!$B$8/2),'I_Budget Input Data'!$D$9*0.2/('I_Inputs &amp; Assumptions'!$B$8/4))),IF('I_Budget Input Data'!$E$9="At Completion",IF(30='I_Inputs &amp; Assumptions'!$B$8,'I_Budget Input Data'!$D$9,0),'I_Budget Input Data'!$D$9/'I_Inputs &amp; Assumptions'!$B$8)))))),0)</f>
        <v>0</v>
      </c>
      <c r="AG9" s="91">
        <f>IF(31&lt;='I_Inputs &amp; Assumptions'!$B$8,IF('I_Budget Input Data'!$E$9="Upfront",IF(31=1,'I_Budget Input Data'!$D$9,0),IF('I_Budget Input Data'!$E$9="Equal",'I_Budget Input Data'!$D$9/'I_Inputs &amp; Assumptions'!$B$8,IF('I_Budget Input Data'!$E$9="Front-loaded",IF(31&lt;='I_Inputs &amp; Assumptions'!$B$8/2,'I_Budget Input Data'!$D$9*0.6/('I_Inputs &amp; Assumptions'!$B$8/2),'I_Budget Input Data'!$D$9*0.4/('I_Inputs &amp; Assumptions'!$B$8/2)),IF('I_Budget Input Data'!$E$9="Back-loaded",IF(31&lt;='I_Inputs &amp; Assumptions'!$B$8/2,'I_Budget Input Data'!$D$9*0.4/('I_Inputs &amp; Assumptions'!$B$8/2),'I_Budget Input Data'!$D$9*0.6/('I_Inputs &amp; Assumptions'!$B$8/2)),IF('I_Budget Input Data'!$E$9="Mid-weighted",IF(31&lt;='I_Inputs &amp; Assumptions'!$B$8/4,'I_Budget Input Data'!$D$9*0.2/('I_Inputs &amp; Assumptions'!$B$8/4),IF(31&lt;='I_Inputs &amp; Assumptions'!$B$8*0.75,'I_Budget Input Data'!$D$9*0.6/('I_Inputs &amp; Assumptions'!$B$8/2),'I_Budget Input Data'!$D$9*0.2/('I_Inputs &amp; Assumptions'!$B$8/4))),IF('I_Budget Input Data'!$E$9="At Completion",IF(31='I_Inputs &amp; Assumptions'!$B$8,'I_Budget Input Data'!$D$9,0),'I_Budget Input Data'!$D$9/'I_Inputs &amp; Assumptions'!$B$8)))))),0)</f>
        <v>0</v>
      </c>
      <c r="AH9" s="91">
        <f>IF(32&lt;='I_Inputs &amp; Assumptions'!$B$8,IF('I_Budget Input Data'!$E$9="Upfront",IF(32=1,'I_Budget Input Data'!$D$9,0),IF('I_Budget Input Data'!$E$9="Equal",'I_Budget Input Data'!$D$9/'I_Inputs &amp; Assumptions'!$B$8,IF('I_Budget Input Data'!$E$9="Front-loaded",IF(32&lt;='I_Inputs &amp; Assumptions'!$B$8/2,'I_Budget Input Data'!$D$9*0.6/('I_Inputs &amp; Assumptions'!$B$8/2),'I_Budget Input Data'!$D$9*0.4/('I_Inputs &amp; Assumptions'!$B$8/2)),IF('I_Budget Input Data'!$E$9="Back-loaded",IF(32&lt;='I_Inputs &amp; Assumptions'!$B$8/2,'I_Budget Input Data'!$D$9*0.4/('I_Inputs &amp; Assumptions'!$B$8/2),'I_Budget Input Data'!$D$9*0.6/('I_Inputs &amp; Assumptions'!$B$8/2)),IF('I_Budget Input Data'!$E$9="Mid-weighted",IF(32&lt;='I_Inputs &amp; Assumptions'!$B$8/4,'I_Budget Input Data'!$D$9*0.2/('I_Inputs &amp; Assumptions'!$B$8/4),IF(32&lt;='I_Inputs &amp; Assumptions'!$B$8*0.75,'I_Budget Input Data'!$D$9*0.6/('I_Inputs &amp; Assumptions'!$B$8/2),'I_Budget Input Data'!$D$9*0.2/('I_Inputs &amp; Assumptions'!$B$8/4))),IF('I_Budget Input Data'!$E$9="At Completion",IF(32='I_Inputs &amp; Assumptions'!$B$8,'I_Budget Input Data'!$D$9,0),'I_Budget Input Data'!$D$9/'I_Inputs &amp; Assumptions'!$B$8)))))),0)</f>
        <v>0</v>
      </c>
      <c r="AI9" s="91">
        <f>IF(33&lt;='I_Inputs &amp; Assumptions'!$B$8,IF('I_Budget Input Data'!$E$9="Upfront",IF(33=1,'I_Budget Input Data'!$D$9,0),IF('I_Budget Input Data'!$E$9="Equal",'I_Budget Input Data'!$D$9/'I_Inputs &amp; Assumptions'!$B$8,IF('I_Budget Input Data'!$E$9="Front-loaded",IF(33&lt;='I_Inputs &amp; Assumptions'!$B$8/2,'I_Budget Input Data'!$D$9*0.6/('I_Inputs &amp; Assumptions'!$B$8/2),'I_Budget Input Data'!$D$9*0.4/('I_Inputs &amp; Assumptions'!$B$8/2)),IF('I_Budget Input Data'!$E$9="Back-loaded",IF(33&lt;='I_Inputs &amp; Assumptions'!$B$8/2,'I_Budget Input Data'!$D$9*0.4/('I_Inputs &amp; Assumptions'!$B$8/2),'I_Budget Input Data'!$D$9*0.6/('I_Inputs &amp; Assumptions'!$B$8/2)),IF('I_Budget Input Data'!$E$9="Mid-weighted",IF(33&lt;='I_Inputs &amp; Assumptions'!$B$8/4,'I_Budget Input Data'!$D$9*0.2/('I_Inputs &amp; Assumptions'!$B$8/4),IF(33&lt;='I_Inputs &amp; Assumptions'!$B$8*0.75,'I_Budget Input Data'!$D$9*0.6/('I_Inputs &amp; Assumptions'!$B$8/2),'I_Budget Input Data'!$D$9*0.2/('I_Inputs &amp; Assumptions'!$B$8/4))),IF('I_Budget Input Data'!$E$9="At Completion",IF(33='I_Inputs &amp; Assumptions'!$B$8,'I_Budget Input Data'!$D$9,0),'I_Budget Input Data'!$D$9/'I_Inputs &amp; Assumptions'!$B$8)))))),0)</f>
        <v>0</v>
      </c>
      <c r="AJ9" s="91">
        <f>IF(34&lt;='I_Inputs &amp; Assumptions'!$B$8,IF('I_Budget Input Data'!$E$9="Upfront",IF(34=1,'I_Budget Input Data'!$D$9,0),IF('I_Budget Input Data'!$E$9="Equal",'I_Budget Input Data'!$D$9/'I_Inputs &amp; Assumptions'!$B$8,IF('I_Budget Input Data'!$E$9="Front-loaded",IF(34&lt;='I_Inputs &amp; Assumptions'!$B$8/2,'I_Budget Input Data'!$D$9*0.6/('I_Inputs &amp; Assumptions'!$B$8/2),'I_Budget Input Data'!$D$9*0.4/('I_Inputs &amp; Assumptions'!$B$8/2)),IF('I_Budget Input Data'!$E$9="Back-loaded",IF(34&lt;='I_Inputs &amp; Assumptions'!$B$8/2,'I_Budget Input Data'!$D$9*0.4/('I_Inputs &amp; Assumptions'!$B$8/2),'I_Budget Input Data'!$D$9*0.6/('I_Inputs &amp; Assumptions'!$B$8/2)),IF('I_Budget Input Data'!$E$9="Mid-weighted",IF(34&lt;='I_Inputs &amp; Assumptions'!$B$8/4,'I_Budget Input Data'!$D$9*0.2/('I_Inputs &amp; Assumptions'!$B$8/4),IF(34&lt;='I_Inputs &amp; Assumptions'!$B$8*0.75,'I_Budget Input Data'!$D$9*0.6/('I_Inputs &amp; Assumptions'!$B$8/2),'I_Budget Input Data'!$D$9*0.2/('I_Inputs &amp; Assumptions'!$B$8/4))),IF('I_Budget Input Data'!$E$9="At Completion",IF(34='I_Inputs &amp; Assumptions'!$B$8,'I_Budget Input Data'!$D$9,0),'I_Budget Input Data'!$D$9/'I_Inputs &amp; Assumptions'!$B$8)))))),0)</f>
        <v>0</v>
      </c>
      <c r="AK9" s="91">
        <f>IF(35&lt;='I_Inputs &amp; Assumptions'!$B$8,IF('I_Budget Input Data'!$E$9="Upfront",IF(35=1,'I_Budget Input Data'!$D$9,0),IF('I_Budget Input Data'!$E$9="Equal",'I_Budget Input Data'!$D$9/'I_Inputs &amp; Assumptions'!$B$8,IF('I_Budget Input Data'!$E$9="Front-loaded",IF(35&lt;='I_Inputs &amp; Assumptions'!$B$8/2,'I_Budget Input Data'!$D$9*0.6/('I_Inputs &amp; Assumptions'!$B$8/2),'I_Budget Input Data'!$D$9*0.4/('I_Inputs &amp; Assumptions'!$B$8/2)),IF('I_Budget Input Data'!$E$9="Back-loaded",IF(35&lt;='I_Inputs &amp; Assumptions'!$B$8/2,'I_Budget Input Data'!$D$9*0.4/('I_Inputs &amp; Assumptions'!$B$8/2),'I_Budget Input Data'!$D$9*0.6/('I_Inputs &amp; Assumptions'!$B$8/2)),IF('I_Budget Input Data'!$E$9="Mid-weighted",IF(35&lt;='I_Inputs &amp; Assumptions'!$B$8/4,'I_Budget Input Data'!$D$9*0.2/('I_Inputs &amp; Assumptions'!$B$8/4),IF(35&lt;='I_Inputs &amp; Assumptions'!$B$8*0.75,'I_Budget Input Data'!$D$9*0.6/('I_Inputs &amp; Assumptions'!$B$8/2),'I_Budget Input Data'!$D$9*0.2/('I_Inputs &amp; Assumptions'!$B$8/4))),IF('I_Budget Input Data'!$E$9="At Completion",IF(35='I_Inputs &amp; Assumptions'!$B$8,'I_Budget Input Data'!$D$9,0),'I_Budget Input Data'!$D$9/'I_Inputs &amp; Assumptions'!$B$8)))))),0)</f>
        <v>0</v>
      </c>
      <c r="AL9" s="91">
        <f>IF(36&lt;='I_Inputs &amp; Assumptions'!$B$8,IF('I_Budget Input Data'!$E$9="Upfront",IF(36=1,'I_Budget Input Data'!$D$9,0),IF('I_Budget Input Data'!$E$9="Equal",'I_Budget Input Data'!$D$9/'I_Inputs &amp; Assumptions'!$B$8,IF('I_Budget Input Data'!$E$9="Front-loaded",IF(36&lt;='I_Inputs &amp; Assumptions'!$B$8/2,'I_Budget Input Data'!$D$9*0.6/('I_Inputs &amp; Assumptions'!$B$8/2),'I_Budget Input Data'!$D$9*0.4/('I_Inputs &amp; Assumptions'!$B$8/2)),IF('I_Budget Input Data'!$E$9="Back-loaded",IF(36&lt;='I_Inputs &amp; Assumptions'!$B$8/2,'I_Budget Input Data'!$D$9*0.4/('I_Inputs &amp; Assumptions'!$B$8/2),'I_Budget Input Data'!$D$9*0.6/('I_Inputs &amp; Assumptions'!$B$8/2)),IF('I_Budget Input Data'!$E$9="Mid-weighted",IF(36&lt;='I_Inputs &amp; Assumptions'!$B$8/4,'I_Budget Input Data'!$D$9*0.2/('I_Inputs &amp; Assumptions'!$B$8/4),IF(36&lt;='I_Inputs &amp; Assumptions'!$B$8*0.75,'I_Budget Input Data'!$D$9*0.6/('I_Inputs &amp; Assumptions'!$B$8/2),'I_Budget Input Data'!$D$9*0.2/('I_Inputs &amp; Assumptions'!$B$8/4))),IF('I_Budget Input Data'!$E$9="At Completion",IF(36='I_Inputs &amp; Assumptions'!$B$8,'I_Budget Input Data'!$D$9,0),'I_Budget Input Data'!$D$9/'I_Inputs &amp; Assumptions'!$B$8)))))),0)</f>
        <v>0</v>
      </c>
    </row>
    <row r="10" spans="1:38" ht="15" customHeight="1" x14ac:dyDescent="0.2">
      <c r="A10" t="s">
        <v>136</v>
      </c>
      <c r="B10" t="s">
        <v>138</v>
      </c>
      <c r="C10" s="91">
        <f>IF(1&lt;='I_Inputs &amp; Assumptions'!$B$8,IF('I_Budget Input Data'!$E$10="Upfront",IF(1=1,'I_Budget Input Data'!$D$10,0),IF('I_Budget Input Data'!$E$10="Equal",'I_Budget Input Data'!$D$10/'I_Inputs &amp; Assumptions'!$B$8,IF('I_Budget Input Data'!$E$10="Front-loaded",IF(1&lt;='I_Inputs &amp; Assumptions'!$B$8/2,'I_Budget Input Data'!$D$10*0.6/('I_Inputs &amp; Assumptions'!$B$8/2),'I_Budget Input Data'!$D$10*0.4/('I_Inputs &amp; Assumptions'!$B$8/2)),IF('I_Budget Input Data'!$E$10="Back-loaded",IF(1&lt;='I_Inputs &amp; Assumptions'!$B$8/2,'I_Budget Input Data'!$D$10*0.4/('I_Inputs &amp; Assumptions'!$B$8/2),'I_Budget Input Data'!$D$10*0.6/('I_Inputs &amp; Assumptions'!$B$8/2)),IF('I_Budget Input Data'!$E$10="Mid-weighted",IF(1&lt;='I_Inputs &amp; Assumptions'!$B$8/4,'I_Budget Input Data'!$D$10*0.2/('I_Inputs &amp; Assumptions'!$B$8/4),IF(1&lt;='I_Inputs &amp; Assumptions'!$B$8*0.75,'I_Budget Input Data'!$D$10*0.6/('I_Inputs &amp; Assumptions'!$B$8/2),'I_Budget Input Data'!$D$10*0.2/('I_Inputs &amp; Assumptions'!$B$8/4))),IF('I_Budget Input Data'!$E$10="At Completion",IF(1='I_Inputs &amp; Assumptions'!$B$8,'I_Budget Input Data'!$D$10,0),'I_Budget Input Data'!$D$10/'I_Inputs &amp; Assumptions'!$B$8)))))),0)</f>
        <v>1006.1538461538462</v>
      </c>
      <c r="D10" s="91">
        <f>IF(2&lt;='I_Inputs &amp; Assumptions'!$B$8,IF('I_Budget Input Data'!$E$10="Upfront",IF(2=1,'I_Budget Input Data'!$D$10,0),IF('I_Budget Input Data'!$E$10="Equal",'I_Budget Input Data'!$D$10/'I_Inputs &amp; Assumptions'!$B$8,IF('I_Budget Input Data'!$E$10="Front-loaded",IF(2&lt;='I_Inputs &amp; Assumptions'!$B$8/2,'I_Budget Input Data'!$D$10*0.6/('I_Inputs &amp; Assumptions'!$B$8/2),'I_Budget Input Data'!$D$10*0.4/('I_Inputs &amp; Assumptions'!$B$8/2)),IF('I_Budget Input Data'!$E$10="Back-loaded",IF(2&lt;='I_Inputs &amp; Assumptions'!$B$8/2,'I_Budget Input Data'!$D$10*0.4/('I_Inputs &amp; Assumptions'!$B$8/2),'I_Budget Input Data'!$D$10*0.6/('I_Inputs &amp; Assumptions'!$B$8/2)),IF('I_Budget Input Data'!$E$10="Mid-weighted",IF(2&lt;='I_Inputs &amp; Assumptions'!$B$8/4,'I_Budget Input Data'!$D$10*0.2/('I_Inputs &amp; Assumptions'!$B$8/4),IF(2&lt;='I_Inputs &amp; Assumptions'!$B$8*0.75,'I_Budget Input Data'!$D$10*0.6/('I_Inputs &amp; Assumptions'!$B$8/2),'I_Budget Input Data'!$D$10*0.2/('I_Inputs &amp; Assumptions'!$B$8/4))),IF('I_Budget Input Data'!$E$10="At Completion",IF(2='I_Inputs &amp; Assumptions'!$B$8,'I_Budget Input Data'!$D$10,0),'I_Budget Input Data'!$D$10/'I_Inputs &amp; Assumptions'!$B$8)))))),0)</f>
        <v>1006.1538461538462</v>
      </c>
      <c r="E10" s="91">
        <f>IF(3&lt;='I_Inputs &amp; Assumptions'!$B$8,IF('I_Budget Input Data'!$E$10="Upfront",IF(3=1,'I_Budget Input Data'!$D$10,0),IF('I_Budget Input Data'!$E$10="Equal",'I_Budget Input Data'!$D$10/'I_Inputs &amp; Assumptions'!$B$8,IF('I_Budget Input Data'!$E$10="Front-loaded",IF(3&lt;='I_Inputs &amp; Assumptions'!$B$8/2,'I_Budget Input Data'!$D$10*0.6/('I_Inputs &amp; Assumptions'!$B$8/2),'I_Budget Input Data'!$D$10*0.4/('I_Inputs &amp; Assumptions'!$B$8/2)),IF('I_Budget Input Data'!$E$10="Back-loaded",IF(3&lt;='I_Inputs &amp; Assumptions'!$B$8/2,'I_Budget Input Data'!$D$10*0.4/('I_Inputs &amp; Assumptions'!$B$8/2),'I_Budget Input Data'!$D$10*0.6/('I_Inputs &amp; Assumptions'!$B$8/2)),IF('I_Budget Input Data'!$E$10="Mid-weighted",IF(3&lt;='I_Inputs &amp; Assumptions'!$B$8/4,'I_Budget Input Data'!$D$10*0.2/('I_Inputs &amp; Assumptions'!$B$8/4),IF(3&lt;='I_Inputs &amp; Assumptions'!$B$8*0.75,'I_Budget Input Data'!$D$10*0.6/('I_Inputs &amp; Assumptions'!$B$8/2),'I_Budget Input Data'!$D$10*0.2/('I_Inputs &amp; Assumptions'!$B$8/4))),IF('I_Budget Input Data'!$E$10="At Completion",IF(3='I_Inputs &amp; Assumptions'!$B$8,'I_Budget Input Data'!$D$10,0),'I_Budget Input Data'!$D$10/'I_Inputs &amp; Assumptions'!$B$8)))))),0)</f>
        <v>1006.1538461538462</v>
      </c>
      <c r="F10" s="91">
        <f>IF(4&lt;='I_Inputs &amp; Assumptions'!$B$8,IF('I_Budget Input Data'!$E$10="Upfront",IF(4=1,'I_Budget Input Data'!$D$10,0),IF('I_Budget Input Data'!$E$10="Equal",'I_Budget Input Data'!$D$10/'I_Inputs &amp; Assumptions'!$B$8,IF('I_Budget Input Data'!$E$10="Front-loaded",IF(4&lt;='I_Inputs &amp; Assumptions'!$B$8/2,'I_Budget Input Data'!$D$10*0.6/('I_Inputs &amp; Assumptions'!$B$8/2),'I_Budget Input Data'!$D$10*0.4/('I_Inputs &amp; Assumptions'!$B$8/2)),IF('I_Budget Input Data'!$E$10="Back-loaded",IF(4&lt;='I_Inputs &amp; Assumptions'!$B$8/2,'I_Budget Input Data'!$D$10*0.4/('I_Inputs &amp; Assumptions'!$B$8/2),'I_Budget Input Data'!$D$10*0.6/('I_Inputs &amp; Assumptions'!$B$8/2)),IF('I_Budget Input Data'!$E$10="Mid-weighted",IF(4&lt;='I_Inputs &amp; Assumptions'!$B$8/4,'I_Budget Input Data'!$D$10*0.2/('I_Inputs &amp; Assumptions'!$B$8/4),IF(4&lt;='I_Inputs &amp; Assumptions'!$B$8*0.75,'I_Budget Input Data'!$D$10*0.6/('I_Inputs &amp; Assumptions'!$B$8/2),'I_Budget Input Data'!$D$10*0.2/('I_Inputs &amp; Assumptions'!$B$8/4))),IF('I_Budget Input Data'!$E$10="At Completion",IF(4='I_Inputs &amp; Assumptions'!$B$8,'I_Budget Input Data'!$D$10,0),'I_Budget Input Data'!$D$10/'I_Inputs &amp; Assumptions'!$B$8)))))),0)</f>
        <v>1006.1538461538462</v>
      </c>
      <c r="G10" s="91">
        <f>IF(5&lt;='I_Inputs &amp; Assumptions'!$B$8,IF('I_Budget Input Data'!$E$10="Upfront",IF(5=1,'I_Budget Input Data'!$D$10,0),IF('I_Budget Input Data'!$E$10="Equal",'I_Budget Input Data'!$D$10/'I_Inputs &amp; Assumptions'!$B$8,IF('I_Budget Input Data'!$E$10="Front-loaded",IF(5&lt;='I_Inputs &amp; Assumptions'!$B$8/2,'I_Budget Input Data'!$D$10*0.6/('I_Inputs &amp; Assumptions'!$B$8/2),'I_Budget Input Data'!$D$10*0.4/('I_Inputs &amp; Assumptions'!$B$8/2)),IF('I_Budget Input Data'!$E$10="Back-loaded",IF(5&lt;='I_Inputs &amp; Assumptions'!$B$8/2,'I_Budget Input Data'!$D$10*0.4/('I_Inputs &amp; Assumptions'!$B$8/2),'I_Budget Input Data'!$D$10*0.6/('I_Inputs &amp; Assumptions'!$B$8/2)),IF('I_Budget Input Data'!$E$10="Mid-weighted",IF(5&lt;='I_Inputs &amp; Assumptions'!$B$8/4,'I_Budget Input Data'!$D$10*0.2/('I_Inputs &amp; Assumptions'!$B$8/4),IF(5&lt;='I_Inputs &amp; Assumptions'!$B$8*0.75,'I_Budget Input Data'!$D$10*0.6/('I_Inputs &amp; Assumptions'!$B$8/2),'I_Budget Input Data'!$D$10*0.2/('I_Inputs &amp; Assumptions'!$B$8/4))),IF('I_Budget Input Data'!$E$10="At Completion",IF(5='I_Inputs &amp; Assumptions'!$B$8,'I_Budget Input Data'!$D$10,0),'I_Budget Input Data'!$D$10/'I_Inputs &amp; Assumptions'!$B$8)))))),0)</f>
        <v>1006.1538461538462</v>
      </c>
      <c r="H10" s="91">
        <f>IF(6&lt;='I_Inputs &amp; Assumptions'!$B$8,IF('I_Budget Input Data'!$E$10="Upfront",IF(6=1,'I_Budget Input Data'!$D$10,0),IF('I_Budget Input Data'!$E$10="Equal",'I_Budget Input Data'!$D$10/'I_Inputs &amp; Assumptions'!$B$8,IF('I_Budget Input Data'!$E$10="Front-loaded",IF(6&lt;='I_Inputs &amp; Assumptions'!$B$8/2,'I_Budget Input Data'!$D$10*0.6/('I_Inputs &amp; Assumptions'!$B$8/2),'I_Budget Input Data'!$D$10*0.4/('I_Inputs &amp; Assumptions'!$B$8/2)),IF('I_Budget Input Data'!$E$10="Back-loaded",IF(6&lt;='I_Inputs &amp; Assumptions'!$B$8/2,'I_Budget Input Data'!$D$10*0.4/('I_Inputs &amp; Assumptions'!$B$8/2),'I_Budget Input Data'!$D$10*0.6/('I_Inputs &amp; Assumptions'!$B$8/2)),IF('I_Budget Input Data'!$E$10="Mid-weighted",IF(6&lt;='I_Inputs &amp; Assumptions'!$B$8/4,'I_Budget Input Data'!$D$10*0.2/('I_Inputs &amp; Assumptions'!$B$8/4),IF(6&lt;='I_Inputs &amp; Assumptions'!$B$8*0.75,'I_Budget Input Data'!$D$10*0.6/('I_Inputs &amp; Assumptions'!$B$8/2),'I_Budget Input Data'!$D$10*0.2/('I_Inputs &amp; Assumptions'!$B$8/4))),IF('I_Budget Input Data'!$E$10="At Completion",IF(6='I_Inputs &amp; Assumptions'!$B$8,'I_Budget Input Data'!$D$10,0),'I_Budget Input Data'!$D$10/'I_Inputs &amp; Assumptions'!$B$8)))))),0)</f>
        <v>1006.1538461538462</v>
      </c>
      <c r="I10" s="91">
        <f>IF(7&lt;='I_Inputs &amp; Assumptions'!$B$8,IF('I_Budget Input Data'!$E$10="Upfront",IF(7=1,'I_Budget Input Data'!$D$10,0),IF('I_Budget Input Data'!$E$10="Equal",'I_Budget Input Data'!$D$10/'I_Inputs &amp; Assumptions'!$B$8,IF('I_Budget Input Data'!$E$10="Front-loaded",IF(7&lt;='I_Inputs &amp; Assumptions'!$B$8/2,'I_Budget Input Data'!$D$10*0.6/('I_Inputs &amp; Assumptions'!$B$8/2),'I_Budget Input Data'!$D$10*0.4/('I_Inputs &amp; Assumptions'!$B$8/2)),IF('I_Budget Input Data'!$E$10="Back-loaded",IF(7&lt;='I_Inputs &amp; Assumptions'!$B$8/2,'I_Budget Input Data'!$D$10*0.4/('I_Inputs &amp; Assumptions'!$B$8/2),'I_Budget Input Data'!$D$10*0.6/('I_Inputs &amp; Assumptions'!$B$8/2)),IF('I_Budget Input Data'!$E$10="Mid-weighted",IF(7&lt;='I_Inputs &amp; Assumptions'!$B$8/4,'I_Budget Input Data'!$D$10*0.2/('I_Inputs &amp; Assumptions'!$B$8/4),IF(7&lt;='I_Inputs &amp; Assumptions'!$B$8*0.75,'I_Budget Input Data'!$D$10*0.6/('I_Inputs &amp; Assumptions'!$B$8/2),'I_Budget Input Data'!$D$10*0.2/('I_Inputs &amp; Assumptions'!$B$8/4))),IF('I_Budget Input Data'!$E$10="At Completion",IF(7='I_Inputs &amp; Assumptions'!$B$8,'I_Budget Input Data'!$D$10,0),'I_Budget Input Data'!$D$10/'I_Inputs &amp; Assumptions'!$B$8)))))),0)</f>
        <v>670.76923076923072</v>
      </c>
      <c r="J10" s="91">
        <f>IF(8&lt;='I_Inputs &amp; Assumptions'!$B$8,IF('I_Budget Input Data'!$E$10="Upfront",IF(8=1,'I_Budget Input Data'!$D$10,0),IF('I_Budget Input Data'!$E$10="Equal",'I_Budget Input Data'!$D$10/'I_Inputs &amp; Assumptions'!$B$8,IF('I_Budget Input Data'!$E$10="Front-loaded",IF(8&lt;='I_Inputs &amp; Assumptions'!$B$8/2,'I_Budget Input Data'!$D$10*0.6/('I_Inputs &amp; Assumptions'!$B$8/2),'I_Budget Input Data'!$D$10*0.4/('I_Inputs &amp; Assumptions'!$B$8/2)),IF('I_Budget Input Data'!$E$10="Back-loaded",IF(8&lt;='I_Inputs &amp; Assumptions'!$B$8/2,'I_Budget Input Data'!$D$10*0.4/('I_Inputs &amp; Assumptions'!$B$8/2),'I_Budget Input Data'!$D$10*0.6/('I_Inputs &amp; Assumptions'!$B$8/2)),IF('I_Budget Input Data'!$E$10="Mid-weighted",IF(8&lt;='I_Inputs &amp; Assumptions'!$B$8/4,'I_Budget Input Data'!$D$10*0.2/('I_Inputs &amp; Assumptions'!$B$8/4),IF(8&lt;='I_Inputs &amp; Assumptions'!$B$8*0.75,'I_Budget Input Data'!$D$10*0.6/('I_Inputs &amp; Assumptions'!$B$8/2),'I_Budget Input Data'!$D$10*0.2/('I_Inputs &amp; Assumptions'!$B$8/4))),IF('I_Budget Input Data'!$E$10="At Completion",IF(8='I_Inputs &amp; Assumptions'!$B$8,'I_Budget Input Data'!$D$10,0),'I_Budget Input Data'!$D$10/'I_Inputs &amp; Assumptions'!$B$8)))))),0)</f>
        <v>670.76923076923072</v>
      </c>
      <c r="K10" s="91">
        <f>IF(9&lt;='I_Inputs &amp; Assumptions'!$B$8,IF('I_Budget Input Data'!$E$10="Upfront",IF(9=1,'I_Budget Input Data'!$D$10,0),IF('I_Budget Input Data'!$E$10="Equal",'I_Budget Input Data'!$D$10/'I_Inputs &amp; Assumptions'!$B$8,IF('I_Budget Input Data'!$E$10="Front-loaded",IF(9&lt;='I_Inputs &amp; Assumptions'!$B$8/2,'I_Budget Input Data'!$D$10*0.6/('I_Inputs &amp; Assumptions'!$B$8/2),'I_Budget Input Data'!$D$10*0.4/('I_Inputs &amp; Assumptions'!$B$8/2)),IF('I_Budget Input Data'!$E$10="Back-loaded",IF(9&lt;='I_Inputs &amp; Assumptions'!$B$8/2,'I_Budget Input Data'!$D$10*0.4/('I_Inputs &amp; Assumptions'!$B$8/2),'I_Budget Input Data'!$D$10*0.6/('I_Inputs &amp; Assumptions'!$B$8/2)),IF('I_Budget Input Data'!$E$10="Mid-weighted",IF(9&lt;='I_Inputs &amp; Assumptions'!$B$8/4,'I_Budget Input Data'!$D$10*0.2/('I_Inputs &amp; Assumptions'!$B$8/4),IF(9&lt;='I_Inputs &amp; Assumptions'!$B$8*0.75,'I_Budget Input Data'!$D$10*0.6/('I_Inputs &amp; Assumptions'!$B$8/2),'I_Budget Input Data'!$D$10*0.2/('I_Inputs &amp; Assumptions'!$B$8/4))),IF('I_Budget Input Data'!$E$10="At Completion",IF(9='I_Inputs &amp; Assumptions'!$B$8,'I_Budget Input Data'!$D$10,0),'I_Budget Input Data'!$D$10/'I_Inputs &amp; Assumptions'!$B$8)))))),0)</f>
        <v>670.76923076923072</v>
      </c>
      <c r="L10" s="91">
        <f>IF(10&lt;='I_Inputs &amp; Assumptions'!$B$8,IF('I_Budget Input Data'!$E$10="Upfront",IF(10=1,'I_Budget Input Data'!$D$10,0),IF('I_Budget Input Data'!$E$10="Equal",'I_Budget Input Data'!$D$10/'I_Inputs &amp; Assumptions'!$B$8,IF('I_Budget Input Data'!$E$10="Front-loaded",IF(10&lt;='I_Inputs &amp; Assumptions'!$B$8/2,'I_Budget Input Data'!$D$10*0.6/('I_Inputs &amp; Assumptions'!$B$8/2),'I_Budget Input Data'!$D$10*0.4/('I_Inputs &amp; Assumptions'!$B$8/2)),IF('I_Budget Input Data'!$E$10="Back-loaded",IF(10&lt;='I_Inputs &amp; Assumptions'!$B$8/2,'I_Budget Input Data'!$D$10*0.4/('I_Inputs &amp; Assumptions'!$B$8/2),'I_Budget Input Data'!$D$10*0.6/('I_Inputs &amp; Assumptions'!$B$8/2)),IF('I_Budget Input Data'!$E$10="Mid-weighted",IF(10&lt;='I_Inputs &amp; Assumptions'!$B$8/4,'I_Budget Input Data'!$D$10*0.2/('I_Inputs &amp; Assumptions'!$B$8/4),IF(10&lt;='I_Inputs &amp; Assumptions'!$B$8*0.75,'I_Budget Input Data'!$D$10*0.6/('I_Inputs &amp; Assumptions'!$B$8/2),'I_Budget Input Data'!$D$10*0.2/('I_Inputs &amp; Assumptions'!$B$8/4))),IF('I_Budget Input Data'!$E$10="At Completion",IF(10='I_Inputs &amp; Assumptions'!$B$8,'I_Budget Input Data'!$D$10,0),'I_Budget Input Data'!$D$10/'I_Inputs &amp; Assumptions'!$B$8)))))),0)</f>
        <v>670.76923076923072</v>
      </c>
      <c r="M10" s="91">
        <f>IF(11&lt;='I_Inputs &amp; Assumptions'!$B$8,IF('I_Budget Input Data'!$E$10="Upfront",IF(11=1,'I_Budget Input Data'!$D$10,0),IF('I_Budget Input Data'!$E$10="Equal",'I_Budget Input Data'!$D$10/'I_Inputs &amp; Assumptions'!$B$8,IF('I_Budget Input Data'!$E$10="Front-loaded",IF(11&lt;='I_Inputs &amp; Assumptions'!$B$8/2,'I_Budget Input Data'!$D$10*0.6/('I_Inputs &amp; Assumptions'!$B$8/2),'I_Budget Input Data'!$D$10*0.4/('I_Inputs &amp; Assumptions'!$B$8/2)),IF('I_Budget Input Data'!$E$10="Back-loaded",IF(11&lt;='I_Inputs &amp; Assumptions'!$B$8/2,'I_Budget Input Data'!$D$10*0.4/('I_Inputs &amp; Assumptions'!$B$8/2),'I_Budget Input Data'!$D$10*0.6/('I_Inputs &amp; Assumptions'!$B$8/2)),IF('I_Budget Input Data'!$E$10="Mid-weighted",IF(11&lt;='I_Inputs &amp; Assumptions'!$B$8/4,'I_Budget Input Data'!$D$10*0.2/('I_Inputs &amp; Assumptions'!$B$8/4),IF(11&lt;='I_Inputs &amp; Assumptions'!$B$8*0.75,'I_Budget Input Data'!$D$10*0.6/('I_Inputs &amp; Assumptions'!$B$8/2),'I_Budget Input Data'!$D$10*0.2/('I_Inputs &amp; Assumptions'!$B$8/4))),IF('I_Budget Input Data'!$E$10="At Completion",IF(11='I_Inputs &amp; Assumptions'!$B$8,'I_Budget Input Data'!$D$10,0),'I_Budget Input Data'!$D$10/'I_Inputs &amp; Assumptions'!$B$8)))))),0)</f>
        <v>670.76923076923072</v>
      </c>
      <c r="N10" s="91">
        <f>IF(12&lt;='I_Inputs &amp; Assumptions'!$B$8,IF('I_Budget Input Data'!$E$10="Upfront",IF(12=1,'I_Budget Input Data'!$D$10,0),IF('I_Budget Input Data'!$E$10="Equal",'I_Budget Input Data'!$D$10/'I_Inputs &amp; Assumptions'!$B$8,IF('I_Budget Input Data'!$E$10="Front-loaded",IF(12&lt;='I_Inputs &amp; Assumptions'!$B$8/2,'I_Budget Input Data'!$D$10*0.6/('I_Inputs &amp; Assumptions'!$B$8/2),'I_Budget Input Data'!$D$10*0.4/('I_Inputs &amp; Assumptions'!$B$8/2)),IF('I_Budget Input Data'!$E$10="Back-loaded",IF(12&lt;='I_Inputs &amp; Assumptions'!$B$8/2,'I_Budget Input Data'!$D$10*0.4/('I_Inputs &amp; Assumptions'!$B$8/2),'I_Budget Input Data'!$D$10*0.6/('I_Inputs &amp; Assumptions'!$B$8/2)),IF('I_Budget Input Data'!$E$10="Mid-weighted",IF(12&lt;='I_Inputs &amp; Assumptions'!$B$8/4,'I_Budget Input Data'!$D$10*0.2/('I_Inputs &amp; Assumptions'!$B$8/4),IF(12&lt;='I_Inputs &amp; Assumptions'!$B$8*0.75,'I_Budget Input Data'!$D$10*0.6/('I_Inputs &amp; Assumptions'!$B$8/2),'I_Budget Input Data'!$D$10*0.2/('I_Inputs &amp; Assumptions'!$B$8/4))),IF('I_Budget Input Data'!$E$10="At Completion",IF(12='I_Inputs &amp; Assumptions'!$B$8,'I_Budget Input Data'!$D$10,0),'I_Budget Input Data'!$D$10/'I_Inputs &amp; Assumptions'!$B$8)))))),0)</f>
        <v>670.76923076923072</v>
      </c>
      <c r="O10" s="91">
        <f>IF(13&lt;='I_Inputs &amp; Assumptions'!$B$8,IF('I_Budget Input Data'!$E$10="Upfront",IF(13=1,'I_Budget Input Data'!$D$10,0),IF('I_Budget Input Data'!$E$10="Equal",'I_Budget Input Data'!$D$10/'I_Inputs &amp; Assumptions'!$B$8,IF('I_Budget Input Data'!$E$10="Front-loaded",IF(13&lt;='I_Inputs &amp; Assumptions'!$B$8/2,'I_Budget Input Data'!$D$10*0.6/('I_Inputs &amp; Assumptions'!$B$8/2),'I_Budget Input Data'!$D$10*0.4/('I_Inputs &amp; Assumptions'!$B$8/2)),IF('I_Budget Input Data'!$E$10="Back-loaded",IF(13&lt;='I_Inputs &amp; Assumptions'!$B$8/2,'I_Budget Input Data'!$D$10*0.4/('I_Inputs &amp; Assumptions'!$B$8/2),'I_Budget Input Data'!$D$10*0.6/('I_Inputs &amp; Assumptions'!$B$8/2)),IF('I_Budget Input Data'!$E$10="Mid-weighted",IF(13&lt;='I_Inputs &amp; Assumptions'!$B$8/4,'I_Budget Input Data'!$D$10*0.2/('I_Inputs &amp; Assumptions'!$B$8/4),IF(13&lt;='I_Inputs &amp; Assumptions'!$B$8*0.75,'I_Budget Input Data'!$D$10*0.6/('I_Inputs &amp; Assumptions'!$B$8/2),'I_Budget Input Data'!$D$10*0.2/('I_Inputs &amp; Assumptions'!$B$8/4))),IF('I_Budget Input Data'!$E$10="At Completion",IF(13='I_Inputs &amp; Assumptions'!$B$8,'I_Budget Input Data'!$D$10,0),'I_Budget Input Data'!$D$10/'I_Inputs &amp; Assumptions'!$B$8)))))),0)</f>
        <v>670.76923076923072</v>
      </c>
      <c r="P10" s="91">
        <f>IF(14&lt;='I_Inputs &amp; Assumptions'!$B$8,IF('I_Budget Input Data'!$E$10="Upfront",IF(14=1,'I_Budget Input Data'!$D$10,0),IF('I_Budget Input Data'!$E$10="Equal",'I_Budget Input Data'!$D$10/'I_Inputs &amp; Assumptions'!$B$8,IF('I_Budget Input Data'!$E$10="Front-loaded",IF(14&lt;='I_Inputs &amp; Assumptions'!$B$8/2,'I_Budget Input Data'!$D$10*0.6/('I_Inputs &amp; Assumptions'!$B$8/2),'I_Budget Input Data'!$D$10*0.4/('I_Inputs &amp; Assumptions'!$B$8/2)),IF('I_Budget Input Data'!$E$10="Back-loaded",IF(14&lt;='I_Inputs &amp; Assumptions'!$B$8/2,'I_Budget Input Data'!$D$10*0.4/('I_Inputs &amp; Assumptions'!$B$8/2),'I_Budget Input Data'!$D$10*0.6/('I_Inputs &amp; Assumptions'!$B$8/2)),IF('I_Budget Input Data'!$E$10="Mid-weighted",IF(14&lt;='I_Inputs &amp; Assumptions'!$B$8/4,'I_Budget Input Data'!$D$10*0.2/('I_Inputs &amp; Assumptions'!$B$8/4),IF(14&lt;='I_Inputs &amp; Assumptions'!$B$8*0.75,'I_Budget Input Data'!$D$10*0.6/('I_Inputs &amp; Assumptions'!$B$8/2),'I_Budget Input Data'!$D$10*0.2/('I_Inputs &amp; Assumptions'!$B$8/4))),IF('I_Budget Input Data'!$E$10="At Completion",IF(14='I_Inputs &amp; Assumptions'!$B$8,'I_Budget Input Data'!$D$10,0),'I_Budget Input Data'!$D$10/'I_Inputs &amp; Assumptions'!$B$8)))))),0)</f>
        <v>0</v>
      </c>
      <c r="Q10" s="91">
        <f>IF(15&lt;='I_Inputs &amp; Assumptions'!$B$8,IF('I_Budget Input Data'!$E$10="Upfront",IF(15=1,'I_Budget Input Data'!$D$10,0),IF('I_Budget Input Data'!$E$10="Equal",'I_Budget Input Data'!$D$10/'I_Inputs &amp; Assumptions'!$B$8,IF('I_Budget Input Data'!$E$10="Front-loaded",IF(15&lt;='I_Inputs &amp; Assumptions'!$B$8/2,'I_Budget Input Data'!$D$10*0.6/('I_Inputs &amp; Assumptions'!$B$8/2),'I_Budget Input Data'!$D$10*0.4/('I_Inputs &amp; Assumptions'!$B$8/2)),IF('I_Budget Input Data'!$E$10="Back-loaded",IF(15&lt;='I_Inputs &amp; Assumptions'!$B$8/2,'I_Budget Input Data'!$D$10*0.4/('I_Inputs &amp; Assumptions'!$B$8/2),'I_Budget Input Data'!$D$10*0.6/('I_Inputs &amp; Assumptions'!$B$8/2)),IF('I_Budget Input Data'!$E$10="Mid-weighted",IF(15&lt;='I_Inputs &amp; Assumptions'!$B$8/4,'I_Budget Input Data'!$D$10*0.2/('I_Inputs &amp; Assumptions'!$B$8/4),IF(15&lt;='I_Inputs &amp; Assumptions'!$B$8*0.75,'I_Budget Input Data'!$D$10*0.6/('I_Inputs &amp; Assumptions'!$B$8/2),'I_Budget Input Data'!$D$10*0.2/('I_Inputs &amp; Assumptions'!$B$8/4))),IF('I_Budget Input Data'!$E$10="At Completion",IF(15='I_Inputs &amp; Assumptions'!$B$8,'I_Budget Input Data'!$D$10,0),'I_Budget Input Data'!$D$10/'I_Inputs &amp; Assumptions'!$B$8)))))),0)</f>
        <v>0</v>
      </c>
      <c r="R10" s="91">
        <f>IF(16&lt;='I_Inputs &amp; Assumptions'!$B$8,IF('I_Budget Input Data'!$E$10="Upfront",IF(16=1,'I_Budget Input Data'!$D$10,0),IF('I_Budget Input Data'!$E$10="Equal",'I_Budget Input Data'!$D$10/'I_Inputs &amp; Assumptions'!$B$8,IF('I_Budget Input Data'!$E$10="Front-loaded",IF(16&lt;='I_Inputs &amp; Assumptions'!$B$8/2,'I_Budget Input Data'!$D$10*0.6/('I_Inputs &amp; Assumptions'!$B$8/2),'I_Budget Input Data'!$D$10*0.4/('I_Inputs &amp; Assumptions'!$B$8/2)),IF('I_Budget Input Data'!$E$10="Back-loaded",IF(16&lt;='I_Inputs &amp; Assumptions'!$B$8/2,'I_Budget Input Data'!$D$10*0.4/('I_Inputs &amp; Assumptions'!$B$8/2),'I_Budget Input Data'!$D$10*0.6/('I_Inputs &amp; Assumptions'!$B$8/2)),IF('I_Budget Input Data'!$E$10="Mid-weighted",IF(16&lt;='I_Inputs &amp; Assumptions'!$B$8/4,'I_Budget Input Data'!$D$10*0.2/('I_Inputs &amp; Assumptions'!$B$8/4),IF(16&lt;='I_Inputs &amp; Assumptions'!$B$8*0.75,'I_Budget Input Data'!$D$10*0.6/('I_Inputs &amp; Assumptions'!$B$8/2),'I_Budget Input Data'!$D$10*0.2/('I_Inputs &amp; Assumptions'!$B$8/4))),IF('I_Budget Input Data'!$E$10="At Completion",IF(16='I_Inputs &amp; Assumptions'!$B$8,'I_Budget Input Data'!$D$10,0),'I_Budget Input Data'!$D$10/'I_Inputs &amp; Assumptions'!$B$8)))))),0)</f>
        <v>0</v>
      </c>
      <c r="S10" s="91">
        <f>IF(17&lt;='I_Inputs &amp; Assumptions'!$B$8,IF('I_Budget Input Data'!$E$10="Upfront",IF(17=1,'I_Budget Input Data'!$D$10,0),IF('I_Budget Input Data'!$E$10="Equal",'I_Budget Input Data'!$D$10/'I_Inputs &amp; Assumptions'!$B$8,IF('I_Budget Input Data'!$E$10="Front-loaded",IF(17&lt;='I_Inputs &amp; Assumptions'!$B$8/2,'I_Budget Input Data'!$D$10*0.6/('I_Inputs &amp; Assumptions'!$B$8/2),'I_Budget Input Data'!$D$10*0.4/('I_Inputs &amp; Assumptions'!$B$8/2)),IF('I_Budget Input Data'!$E$10="Back-loaded",IF(17&lt;='I_Inputs &amp; Assumptions'!$B$8/2,'I_Budget Input Data'!$D$10*0.4/('I_Inputs &amp; Assumptions'!$B$8/2),'I_Budget Input Data'!$D$10*0.6/('I_Inputs &amp; Assumptions'!$B$8/2)),IF('I_Budget Input Data'!$E$10="Mid-weighted",IF(17&lt;='I_Inputs &amp; Assumptions'!$B$8/4,'I_Budget Input Data'!$D$10*0.2/('I_Inputs &amp; Assumptions'!$B$8/4),IF(17&lt;='I_Inputs &amp; Assumptions'!$B$8*0.75,'I_Budget Input Data'!$D$10*0.6/('I_Inputs &amp; Assumptions'!$B$8/2),'I_Budget Input Data'!$D$10*0.2/('I_Inputs &amp; Assumptions'!$B$8/4))),IF('I_Budget Input Data'!$E$10="At Completion",IF(17='I_Inputs &amp; Assumptions'!$B$8,'I_Budget Input Data'!$D$10,0),'I_Budget Input Data'!$D$10/'I_Inputs &amp; Assumptions'!$B$8)))))),0)</f>
        <v>0</v>
      </c>
      <c r="T10" s="91">
        <f>IF(18&lt;='I_Inputs &amp; Assumptions'!$B$8,IF('I_Budget Input Data'!$E$10="Upfront",IF(18=1,'I_Budget Input Data'!$D$10,0),IF('I_Budget Input Data'!$E$10="Equal",'I_Budget Input Data'!$D$10/'I_Inputs &amp; Assumptions'!$B$8,IF('I_Budget Input Data'!$E$10="Front-loaded",IF(18&lt;='I_Inputs &amp; Assumptions'!$B$8/2,'I_Budget Input Data'!$D$10*0.6/('I_Inputs &amp; Assumptions'!$B$8/2),'I_Budget Input Data'!$D$10*0.4/('I_Inputs &amp; Assumptions'!$B$8/2)),IF('I_Budget Input Data'!$E$10="Back-loaded",IF(18&lt;='I_Inputs &amp; Assumptions'!$B$8/2,'I_Budget Input Data'!$D$10*0.4/('I_Inputs &amp; Assumptions'!$B$8/2),'I_Budget Input Data'!$D$10*0.6/('I_Inputs &amp; Assumptions'!$B$8/2)),IF('I_Budget Input Data'!$E$10="Mid-weighted",IF(18&lt;='I_Inputs &amp; Assumptions'!$B$8/4,'I_Budget Input Data'!$D$10*0.2/('I_Inputs &amp; Assumptions'!$B$8/4),IF(18&lt;='I_Inputs &amp; Assumptions'!$B$8*0.75,'I_Budget Input Data'!$D$10*0.6/('I_Inputs &amp; Assumptions'!$B$8/2),'I_Budget Input Data'!$D$10*0.2/('I_Inputs &amp; Assumptions'!$B$8/4))),IF('I_Budget Input Data'!$E$10="At Completion",IF(18='I_Inputs &amp; Assumptions'!$B$8,'I_Budget Input Data'!$D$10,0),'I_Budget Input Data'!$D$10/'I_Inputs &amp; Assumptions'!$B$8)))))),0)</f>
        <v>0</v>
      </c>
      <c r="U10" s="91">
        <f>IF(19&lt;='I_Inputs &amp; Assumptions'!$B$8,IF('I_Budget Input Data'!$E$10="Upfront",IF(19=1,'I_Budget Input Data'!$D$10,0),IF('I_Budget Input Data'!$E$10="Equal",'I_Budget Input Data'!$D$10/'I_Inputs &amp; Assumptions'!$B$8,IF('I_Budget Input Data'!$E$10="Front-loaded",IF(19&lt;='I_Inputs &amp; Assumptions'!$B$8/2,'I_Budget Input Data'!$D$10*0.6/('I_Inputs &amp; Assumptions'!$B$8/2),'I_Budget Input Data'!$D$10*0.4/('I_Inputs &amp; Assumptions'!$B$8/2)),IF('I_Budget Input Data'!$E$10="Back-loaded",IF(19&lt;='I_Inputs &amp; Assumptions'!$B$8/2,'I_Budget Input Data'!$D$10*0.4/('I_Inputs &amp; Assumptions'!$B$8/2),'I_Budget Input Data'!$D$10*0.6/('I_Inputs &amp; Assumptions'!$B$8/2)),IF('I_Budget Input Data'!$E$10="Mid-weighted",IF(19&lt;='I_Inputs &amp; Assumptions'!$B$8/4,'I_Budget Input Data'!$D$10*0.2/('I_Inputs &amp; Assumptions'!$B$8/4),IF(19&lt;='I_Inputs &amp; Assumptions'!$B$8*0.75,'I_Budget Input Data'!$D$10*0.6/('I_Inputs &amp; Assumptions'!$B$8/2),'I_Budget Input Data'!$D$10*0.2/('I_Inputs &amp; Assumptions'!$B$8/4))),IF('I_Budget Input Data'!$E$10="At Completion",IF(19='I_Inputs &amp; Assumptions'!$B$8,'I_Budget Input Data'!$D$10,0),'I_Budget Input Data'!$D$10/'I_Inputs &amp; Assumptions'!$B$8)))))),0)</f>
        <v>0</v>
      </c>
      <c r="V10" s="91">
        <f>IF(20&lt;='I_Inputs &amp; Assumptions'!$B$8,IF('I_Budget Input Data'!$E$10="Upfront",IF(20=1,'I_Budget Input Data'!$D$10,0),IF('I_Budget Input Data'!$E$10="Equal",'I_Budget Input Data'!$D$10/'I_Inputs &amp; Assumptions'!$B$8,IF('I_Budget Input Data'!$E$10="Front-loaded",IF(20&lt;='I_Inputs &amp; Assumptions'!$B$8/2,'I_Budget Input Data'!$D$10*0.6/('I_Inputs &amp; Assumptions'!$B$8/2),'I_Budget Input Data'!$D$10*0.4/('I_Inputs &amp; Assumptions'!$B$8/2)),IF('I_Budget Input Data'!$E$10="Back-loaded",IF(20&lt;='I_Inputs &amp; Assumptions'!$B$8/2,'I_Budget Input Data'!$D$10*0.4/('I_Inputs &amp; Assumptions'!$B$8/2),'I_Budget Input Data'!$D$10*0.6/('I_Inputs &amp; Assumptions'!$B$8/2)),IF('I_Budget Input Data'!$E$10="Mid-weighted",IF(20&lt;='I_Inputs &amp; Assumptions'!$B$8/4,'I_Budget Input Data'!$D$10*0.2/('I_Inputs &amp; Assumptions'!$B$8/4),IF(20&lt;='I_Inputs &amp; Assumptions'!$B$8*0.75,'I_Budget Input Data'!$D$10*0.6/('I_Inputs &amp; Assumptions'!$B$8/2),'I_Budget Input Data'!$D$10*0.2/('I_Inputs &amp; Assumptions'!$B$8/4))),IF('I_Budget Input Data'!$E$10="At Completion",IF(20='I_Inputs &amp; Assumptions'!$B$8,'I_Budget Input Data'!$D$10,0),'I_Budget Input Data'!$D$10/'I_Inputs &amp; Assumptions'!$B$8)))))),0)</f>
        <v>0</v>
      </c>
      <c r="W10" s="91">
        <f>IF(21&lt;='I_Inputs &amp; Assumptions'!$B$8,IF('I_Budget Input Data'!$E$10="Upfront",IF(21=1,'I_Budget Input Data'!$D$10,0),IF('I_Budget Input Data'!$E$10="Equal",'I_Budget Input Data'!$D$10/'I_Inputs &amp; Assumptions'!$B$8,IF('I_Budget Input Data'!$E$10="Front-loaded",IF(21&lt;='I_Inputs &amp; Assumptions'!$B$8/2,'I_Budget Input Data'!$D$10*0.6/('I_Inputs &amp; Assumptions'!$B$8/2),'I_Budget Input Data'!$D$10*0.4/('I_Inputs &amp; Assumptions'!$B$8/2)),IF('I_Budget Input Data'!$E$10="Back-loaded",IF(21&lt;='I_Inputs &amp; Assumptions'!$B$8/2,'I_Budget Input Data'!$D$10*0.4/('I_Inputs &amp; Assumptions'!$B$8/2),'I_Budget Input Data'!$D$10*0.6/('I_Inputs &amp; Assumptions'!$B$8/2)),IF('I_Budget Input Data'!$E$10="Mid-weighted",IF(21&lt;='I_Inputs &amp; Assumptions'!$B$8/4,'I_Budget Input Data'!$D$10*0.2/('I_Inputs &amp; Assumptions'!$B$8/4),IF(21&lt;='I_Inputs &amp; Assumptions'!$B$8*0.75,'I_Budget Input Data'!$D$10*0.6/('I_Inputs &amp; Assumptions'!$B$8/2),'I_Budget Input Data'!$D$10*0.2/('I_Inputs &amp; Assumptions'!$B$8/4))),IF('I_Budget Input Data'!$E$10="At Completion",IF(21='I_Inputs &amp; Assumptions'!$B$8,'I_Budget Input Data'!$D$10,0),'I_Budget Input Data'!$D$10/'I_Inputs &amp; Assumptions'!$B$8)))))),0)</f>
        <v>0</v>
      </c>
      <c r="X10" s="91">
        <f>IF(22&lt;='I_Inputs &amp; Assumptions'!$B$8,IF('I_Budget Input Data'!$E$10="Upfront",IF(22=1,'I_Budget Input Data'!$D$10,0),IF('I_Budget Input Data'!$E$10="Equal",'I_Budget Input Data'!$D$10/'I_Inputs &amp; Assumptions'!$B$8,IF('I_Budget Input Data'!$E$10="Front-loaded",IF(22&lt;='I_Inputs &amp; Assumptions'!$B$8/2,'I_Budget Input Data'!$D$10*0.6/('I_Inputs &amp; Assumptions'!$B$8/2),'I_Budget Input Data'!$D$10*0.4/('I_Inputs &amp; Assumptions'!$B$8/2)),IF('I_Budget Input Data'!$E$10="Back-loaded",IF(22&lt;='I_Inputs &amp; Assumptions'!$B$8/2,'I_Budget Input Data'!$D$10*0.4/('I_Inputs &amp; Assumptions'!$B$8/2),'I_Budget Input Data'!$D$10*0.6/('I_Inputs &amp; Assumptions'!$B$8/2)),IF('I_Budget Input Data'!$E$10="Mid-weighted",IF(22&lt;='I_Inputs &amp; Assumptions'!$B$8/4,'I_Budget Input Data'!$D$10*0.2/('I_Inputs &amp; Assumptions'!$B$8/4),IF(22&lt;='I_Inputs &amp; Assumptions'!$B$8*0.75,'I_Budget Input Data'!$D$10*0.6/('I_Inputs &amp; Assumptions'!$B$8/2),'I_Budget Input Data'!$D$10*0.2/('I_Inputs &amp; Assumptions'!$B$8/4))),IF('I_Budget Input Data'!$E$10="At Completion",IF(22='I_Inputs &amp; Assumptions'!$B$8,'I_Budget Input Data'!$D$10,0),'I_Budget Input Data'!$D$10/'I_Inputs &amp; Assumptions'!$B$8)))))),0)</f>
        <v>0</v>
      </c>
      <c r="Y10" s="91">
        <f>IF(23&lt;='I_Inputs &amp; Assumptions'!$B$8,IF('I_Budget Input Data'!$E$10="Upfront",IF(23=1,'I_Budget Input Data'!$D$10,0),IF('I_Budget Input Data'!$E$10="Equal",'I_Budget Input Data'!$D$10/'I_Inputs &amp; Assumptions'!$B$8,IF('I_Budget Input Data'!$E$10="Front-loaded",IF(23&lt;='I_Inputs &amp; Assumptions'!$B$8/2,'I_Budget Input Data'!$D$10*0.6/('I_Inputs &amp; Assumptions'!$B$8/2),'I_Budget Input Data'!$D$10*0.4/('I_Inputs &amp; Assumptions'!$B$8/2)),IF('I_Budget Input Data'!$E$10="Back-loaded",IF(23&lt;='I_Inputs &amp; Assumptions'!$B$8/2,'I_Budget Input Data'!$D$10*0.4/('I_Inputs &amp; Assumptions'!$B$8/2),'I_Budget Input Data'!$D$10*0.6/('I_Inputs &amp; Assumptions'!$B$8/2)),IF('I_Budget Input Data'!$E$10="Mid-weighted",IF(23&lt;='I_Inputs &amp; Assumptions'!$B$8/4,'I_Budget Input Data'!$D$10*0.2/('I_Inputs &amp; Assumptions'!$B$8/4),IF(23&lt;='I_Inputs &amp; Assumptions'!$B$8*0.75,'I_Budget Input Data'!$D$10*0.6/('I_Inputs &amp; Assumptions'!$B$8/2),'I_Budget Input Data'!$D$10*0.2/('I_Inputs &amp; Assumptions'!$B$8/4))),IF('I_Budget Input Data'!$E$10="At Completion",IF(23='I_Inputs &amp; Assumptions'!$B$8,'I_Budget Input Data'!$D$10,0),'I_Budget Input Data'!$D$10/'I_Inputs &amp; Assumptions'!$B$8)))))),0)</f>
        <v>0</v>
      </c>
      <c r="Z10" s="91">
        <f>IF(24&lt;='I_Inputs &amp; Assumptions'!$B$8,IF('I_Budget Input Data'!$E$10="Upfront",IF(24=1,'I_Budget Input Data'!$D$10,0),IF('I_Budget Input Data'!$E$10="Equal",'I_Budget Input Data'!$D$10/'I_Inputs &amp; Assumptions'!$B$8,IF('I_Budget Input Data'!$E$10="Front-loaded",IF(24&lt;='I_Inputs &amp; Assumptions'!$B$8/2,'I_Budget Input Data'!$D$10*0.6/('I_Inputs &amp; Assumptions'!$B$8/2),'I_Budget Input Data'!$D$10*0.4/('I_Inputs &amp; Assumptions'!$B$8/2)),IF('I_Budget Input Data'!$E$10="Back-loaded",IF(24&lt;='I_Inputs &amp; Assumptions'!$B$8/2,'I_Budget Input Data'!$D$10*0.4/('I_Inputs &amp; Assumptions'!$B$8/2),'I_Budget Input Data'!$D$10*0.6/('I_Inputs &amp; Assumptions'!$B$8/2)),IF('I_Budget Input Data'!$E$10="Mid-weighted",IF(24&lt;='I_Inputs &amp; Assumptions'!$B$8/4,'I_Budget Input Data'!$D$10*0.2/('I_Inputs &amp; Assumptions'!$B$8/4),IF(24&lt;='I_Inputs &amp; Assumptions'!$B$8*0.75,'I_Budget Input Data'!$D$10*0.6/('I_Inputs &amp; Assumptions'!$B$8/2),'I_Budget Input Data'!$D$10*0.2/('I_Inputs &amp; Assumptions'!$B$8/4))),IF('I_Budget Input Data'!$E$10="At Completion",IF(24='I_Inputs &amp; Assumptions'!$B$8,'I_Budget Input Data'!$D$10,0),'I_Budget Input Data'!$D$10/'I_Inputs &amp; Assumptions'!$B$8)))))),0)</f>
        <v>0</v>
      </c>
      <c r="AA10" s="91">
        <f>IF(25&lt;='I_Inputs &amp; Assumptions'!$B$8,IF('I_Budget Input Data'!$E$10="Upfront",IF(25=1,'I_Budget Input Data'!$D$10,0),IF('I_Budget Input Data'!$E$10="Equal",'I_Budget Input Data'!$D$10/'I_Inputs &amp; Assumptions'!$B$8,IF('I_Budget Input Data'!$E$10="Front-loaded",IF(25&lt;='I_Inputs &amp; Assumptions'!$B$8/2,'I_Budget Input Data'!$D$10*0.6/('I_Inputs &amp; Assumptions'!$B$8/2),'I_Budget Input Data'!$D$10*0.4/('I_Inputs &amp; Assumptions'!$B$8/2)),IF('I_Budget Input Data'!$E$10="Back-loaded",IF(25&lt;='I_Inputs &amp; Assumptions'!$B$8/2,'I_Budget Input Data'!$D$10*0.4/('I_Inputs &amp; Assumptions'!$B$8/2),'I_Budget Input Data'!$D$10*0.6/('I_Inputs &amp; Assumptions'!$B$8/2)),IF('I_Budget Input Data'!$E$10="Mid-weighted",IF(25&lt;='I_Inputs &amp; Assumptions'!$B$8/4,'I_Budget Input Data'!$D$10*0.2/('I_Inputs &amp; Assumptions'!$B$8/4),IF(25&lt;='I_Inputs &amp; Assumptions'!$B$8*0.75,'I_Budget Input Data'!$D$10*0.6/('I_Inputs &amp; Assumptions'!$B$8/2),'I_Budget Input Data'!$D$10*0.2/('I_Inputs &amp; Assumptions'!$B$8/4))),IF('I_Budget Input Data'!$E$10="At Completion",IF(25='I_Inputs &amp; Assumptions'!$B$8,'I_Budget Input Data'!$D$10,0),'I_Budget Input Data'!$D$10/'I_Inputs &amp; Assumptions'!$B$8)))))),0)</f>
        <v>0</v>
      </c>
      <c r="AB10" s="91">
        <f>IF(26&lt;='I_Inputs &amp; Assumptions'!$B$8,IF('I_Budget Input Data'!$E$10="Upfront",IF(26=1,'I_Budget Input Data'!$D$10,0),IF('I_Budget Input Data'!$E$10="Equal",'I_Budget Input Data'!$D$10/'I_Inputs &amp; Assumptions'!$B$8,IF('I_Budget Input Data'!$E$10="Front-loaded",IF(26&lt;='I_Inputs &amp; Assumptions'!$B$8/2,'I_Budget Input Data'!$D$10*0.6/('I_Inputs &amp; Assumptions'!$B$8/2),'I_Budget Input Data'!$D$10*0.4/('I_Inputs &amp; Assumptions'!$B$8/2)),IF('I_Budget Input Data'!$E$10="Back-loaded",IF(26&lt;='I_Inputs &amp; Assumptions'!$B$8/2,'I_Budget Input Data'!$D$10*0.4/('I_Inputs &amp; Assumptions'!$B$8/2),'I_Budget Input Data'!$D$10*0.6/('I_Inputs &amp; Assumptions'!$B$8/2)),IF('I_Budget Input Data'!$E$10="Mid-weighted",IF(26&lt;='I_Inputs &amp; Assumptions'!$B$8/4,'I_Budget Input Data'!$D$10*0.2/('I_Inputs &amp; Assumptions'!$B$8/4),IF(26&lt;='I_Inputs &amp; Assumptions'!$B$8*0.75,'I_Budget Input Data'!$D$10*0.6/('I_Inputs &amp; Assumptions'!$B$8/2),'I_Budget Input Data'!$D$10*0.2/('I_Inputs &amp; Assumptions'!$B$8/4))),IF('I_Budget Input Data'!$E$10="At Completion",IF(26='I_Inputs &amp; Assumptions'!$B$8,'I_Budget Input Data'!$D$10,0),'I_Budget Input Data'!$D$10/'I_Inputs &amp; Assumptions'!$B$8)))))),0)</f>
        <v>0</v>
      </c>
      <c r="AC10" s="91">
        <f>IF(27&lt;='I_Inputs &amp; Assumptions'!$B$8,IF('I_Budget Input Data'!$E$10="Upfront",IF(27=1,'I_Budget Input Data'!$D$10,0),IF('I_Budget Input Data'!$E$10="Equal",'I_Budget Input Data'!$D$10/'I_Inputs &amp; Assumptions'!$B$8,IF('I_Budget Input Data'!$E$10="Front-loaded",IF(27&lt;='I_Inputs &amp; Assumptions'!$B$8/2,'I_Budget Input Data'!$D$10*0.6/('I_Inputs &amp; Assumptions'!$B$8/2),'I_Budget Input Data'!$D$10*0.4/('I_Inputs &amp; Assumptions'!$B$8/2)),IF('I_Budget Input Data'!$E$10="Back-loaded",IF(27&lt;='I_Inputs &amp; Assumptions'!$B$8/2,'I_Budget Input Data'!$D$10*0.4/('I_Inputs &amp; Assumptions'!$B$8/2),'I_Budget Input Data'!$D$10*0.6/('I_Inputs &amp; Assumptions'!$B$8/2)),IF('I_Budget Input Data'!$E$10="Mid-weighted",IF(27&lt;='I_Inputs &amp; Assumptions'!$B$8/4,'I_Budget Input Data'!$D$10*0.2/('I_Inputs &amp; Assumptions'!$B$8/4),IF(27&lt;='I_Inputs &amp; Assumptions'!$B$8*0.75,'I_Budget Input Data'!$D$10*0.6/('I_Inputs &amp; Assumptions'!$B$8/2),'I_Budget Input Data'!$D$10*0.2/('I_Inputs &amp; Assumptions'!$B$8/4))),IF('I_Budget Input Data'!$E$10="At Completion",IF(27='I_Inputs &amp; Assumptions'!$B$8,'I_Budget Input Data'!$D$10,0),'I_Budget Input Data'!$D$10/'I_Inputs &amp; Assumptions'!$B$8)))))),0)</f>
        <v>0</v>
      </c>
      <c r="AD10" s="91">
        <f>IF(28&lt;='I_Inputs &amp; Assumptions'!$B$8,IF('I_Budget Input Data'!$E$10="Upfront",IF(28=1,'I_Budget Input Data'!$D$10,0),IF('I_Budget Input Data'!$E$10="Equal",'I_Budget Input Data'!$D$10/'I_Inputs &amp; Assumptions'!$B$8,IF('I_Budget Input Data'!$E$10="Front-loaded",IF(28&lt;='I_Inputs &amp; Assumptions'!$B$8/2,'I_Budget Input Data'!$D$10*0.6/('I_Inputs &amp; Assumptions'!$B$8/2),'I_Budget Input Data'!$D$10*0.4/('I_Inputs &amp; Assumptions'!$B$8/2)),IF('I_Budget Input Data'!$E$10="Back-loaded",IF(28&lt;='I_Inputs &amp; Assumptions'!$B$8/2,'I_Budget Input Data'!$D$10*0.4/('I_Inputs &amp; Assumptions'!$B$8/2),'I_Budget Input Data'!$D$10*0.6/('I_Inputs &amp; Assumptions'!$B$8/2)),IF('I_Budget Input Data'!$E$10="Mid-weighted",IF(28&lt;='I_Inputs &amp; Assumptions'!$B$8/4,'I_Budget Input Data'!$D$10*0.2/('I_Inputs &amp; Assumptions'!$B$8/4),IF(28&lt;='I_Inputs &amp; Assumptions'!$B$8*0.75,'I_Budget Input Data'!$D$10*0.6/('I_Inputs &amp; Assumptions'!$B$8/2),'I_Budget Input Data'!$D$10*0.2/('I_Inputs &amp; Assumptions'!$B$8/4))),IF('I_Budget Input Data'!$E$10="At Completion",IF(28='I_Inputs &amp; Assumptions'!$B$8,'I_Budget Input Data'!$D$10,0),'I_Budget Input Data'!$D$10/'I_Inputs &amp; Assumptions'!$B$8)))))),0)</f>
        <v>0</v>
      </c>
      <c r="AE10" s="91">
        <f>IF(29&lt;='I_Inputs &amp; Assumptions'!$B$8,IF('I_Budget Input Data'!$E$10="Upfront",IF(29=1,'I_Budget Input Data'!$D$10,0),IF('I_Budget Input Data'!$E$10="Equal",'I_Budget Input Data'!$D$10/'I_Inputs &amp; Assumptions'!$B$8,IF('I_Budget Input Data'!$E$10="Front-loaded",IF(29&lt;='I_Inputs &amp; Assumptions'!$B$8/2,'I_Budget Input Data'!$D$10*0.6/('I_Inputs &amp; Assumptions'!$B$8/2),'I_Budget Input Data'!$D$10*0.4/('I_Inputs &amp; Assumptions'!$B$8/2)),IF('I_Budget Input Data'!$E$10="Back-loaded",IF(29&lt;='I_Inputs &amp; Assumptions'!$B$8/2,'I_Budget Input Data'!$D$10*0.4/('I_Inputs &amp; Assumptions'!$B$8/2),'I_Budget Input Data'!$D$10*0.6/('I_Inputs &amp; Assumptions'!$B$8/2)),IF('I_Budget Input Data'!$E$10="Mid-weighted",IF(29&lt;='I_Inputs &amp; Assumptions'!$B$8/4,'I_Budget Input Data'!$D$10*0.2/('I_Inputs &amp; Assumptions'!$B$8/4),IF(29&lt;='I_Inputs &amp; Assumptions'!$B$8*0.75,'I_Budget Input Data'!$D$10*0.6/('I_Inputs &amp; Assumptions'!$B$8/2),'I_Budget Input Data'!$D$10*0.2/('I_Inputs &amp; Assumptions'!$B$8/4))),IF('I_Budget Input Data'!$E$10="At Completion",IF(29='I_Inputs &amp; Assumptions'!$B$8,'I_Budget Input Data'!$D$10,0),'I_Budget Input Data'!$D$10/'I_Inputs &amp; Assumptions'!$B$8)))))),0)</f>
        <v>0</v>
      </c>
      <c r="AF10" s="91">
        <f>IF(30&lt;='I_Inputs &amp; Assumptions'!$B$8,IF('I_Budget Input Data'!$E$10="Upfront",IF(30=1,'I_Budget Input Data'!$D$10,0),IF('I_Budget Input Data'!$E$10="Equal",'I_Budget Input Data'!$D$10/'I_Inputs &amp; Assumptions'!$B$8,IF('I_Budget Input Data'!$E$10="Front-loaded",IF(30&lt;='I_Inputs &amp; Assumptions'!$B$8/2,'I_Budget Input Data'!$D$10*0.6/('I_Inputs &amp; Assumptions'!$B$8/2),'I_Budget Input Data'!$D$10*0.4/('I_Inputs &amp; Assumptions'!$B$8/2)),IF('I_Budget Input Data'!$E$10="Back-loaded",IF(30&lt;='I_Inputs &amp; Assumptions'!$B$8/2,'I_Budget Input Data'!$D$10*0.4/('I_Inputs &amp; Assumptions'!$B$8/2),'I_Budget Input Data'!$D$10*0.6/('I_Inputs &amp; Assumptions'!$B$8/2)),IF('I_Budget Input Data'!$E$10="Mid-weighted",IF(30&lt;='I_Inputs &amp; Assumptions'!$B$8/4,'I_Budget Input Data'!$D$10*0.2/('I_Inputs &amp; Assumptions'!$B$8/4),IF(30&lt;='I_Inputs &amp; Assumptions'!$B$8*0.75,'I_Budget Input Data'!$D$10*0.6/('I_Inputs &amp; Assumptions'!$B$8/2),'I_Budget Input Data'!$D$10*0.2/('I_Inputs &amp; Assumptions'!$B$8/4))),IF('I_Budget Input Data'!$E$10="At Completion",IF(30='I_Inputs &amp; Assumptions'!$B$8,'I_Budget Input Data'!$D$10,0),'I_Budget Input Data'!$D$10/'I_Inputs &amp; Assumptions'!$B$8)))))),0)</f>
        <v>0</v>
      </c>
      <c r="AG10" s="91">
        <f>IF(31&lt;='I_Inputs &amp; Assumptions'!$B$8,IF('I_Budget Input Data'!$E$10="Upfront",IF(31=1,'I_Budget Input Data'!$D$10,0),IF('I_Budget Input Data'!$E$10="Equal",'I_Budget Input Data'!$D$10/'I_Inputs &amp; Assumptions'!$B$8,IF('I_Budget Input Data'!$E$10="Front-loaded",IF(31&lt;='I_Inputs &amp; Assumptions'!$B$8/2,'I_Budget Input Data'!$D$10*0.6/('I_Inputs &amp; Assumptions'!$B$8/2),'I_Budget Input Data'!$D$10*0.4/('I_Inputs &amp; Assumptions'!$B$8/2)),IF('I_Budget Input Data'!$E$10="Back-loaded",IF(31&lt;='I_Inputs &amp; Assumptions'!$B$8/2,'I_Budget Input Data'!$D$10*0.4/('I_Inputs &amp; Assumptions'!$B$8/2),'I_Budget Input Data'!$D$10*0.6/('I_Inputs &amp; Assumptions'!$B$8/2)),IF('I_Budget Input Data'!$E$10="Mid-weighted",IF(31&lt;='I_Inputs &amp; Assumptions'!$B$8/4,'I_Budget Input Data'!$D$10*0.2/('I_Inputs &amp; Assumptions'!$B$8/4),IF(31&lt;='I_Inputs &amp; Assumptions'!$B$8*0.75,'I_Budget Input Data'!$D$10*0.6/('I_Inputs &amp; Assumptions'!$B$8/2),'I_Budget Input Data'!$D$10*0.2/('I_Inputs &amp; Assumptions'!$B$8/4))),IF('I_Budget Input Data'!$E$10="At Completion",IF(31='I_Inputs &amp; Assumptions'!$B$8,'I_Budget Input Data'!$D$10,0),'I_Budget Input Data'!$D$10/'I_Inputs &amp; Assumptions'!$B$8)))))),0)</f>
        <v>0</v>
      </c>
      <c r="AH10" s="91">
        <f>IF(32&lt;='I_Inputs &amp; Assumptions'!$B$8,IF('I_Budget Input Data'!$E$10="Upfront",IF(32=1,'I_Budget Input Data'!$D$10,0),IF('I_Budget Input Data'!$E$10="Equal",'I_Budget Input Data'!$D$10/'I_Inputs &amp; Assumptions'!$B$8,IF('I_Budget Input Data'!$E$10="Front-loaded",IF(32&lt;='I_Inputs &amp; Assumptions'!$B$8/2,'I_Budget Input Data'!$D$10*0.6/('I_Inputs &amp; Assumptions'!$B$8/2),'I_Budget Input Data'!$D$10*0.4/('I_Inputs &amp; Assumptions'!$B$8/2)),IF('I_Budget Input Data'!$E$10="Back-loaded",IF(32&lt;='I_Inputs &amp; Assumptions'!$B$8/2,'I_Budget Input Data'!$D$10*0.4/('I_Inputs &amp; Assumptions'!$B$8/2),'I_Budget Input Data'!$D$10*0.6/('I_Inputs &amp; Assumptions'!$B$8/2)),IF('I_Budget Input Data'!$E$10="Mid-weighted",IF(32&lt;='I_Inputs &amp; Assumptions'!$B$8/4,'I_Budget Input Data'!$D$10*0.2/('I_Inputs &amp; Assumptions'!$B$8/4),IF(32&lt;='I_Inputs &amp; Assumptions'!$B$8*0.75,'I_Budget Input Data'!$D$10*0.6/('I_Inputs &amp; Assumptions'!$B$8/2),'I_Budget Input Data'!$D$10*0.2/('I_Inputs &amp; Assumptions'!$B$8/4))),IF('I_Budget Input Data'!$E$10="At Completion",IF(32='I_Inputs &amp; Assumptions'!$B$8,'I_Budget Input Data'!$D$10,0),'I_Budget Input Data'!$D$10/'I_Inputs &amp; Assumptions'!$B$8)))))),0)</f>
        <v>0</v>
      </c>
      <c r="AI10" s="91">
        <f>IF(33&lt;='I_Inputs &amp; Assumptions'!$B$8,IF('I_Budget Input Data'!$E$10="Upfront",IF(33=1,'I_Budget Input Data'!$D$10,0),IF('I_Budget Input Data'!$E$10="Equal",'I_Budget Input Data'!$D$10/'I_Inputs &amp; Assumptions'!$B$8,IF('I_Budget Input Data'!$E$10="Front-loaded",IF(33&lt;='I_Inputs &amp; Assumptions'!$B$8/2,'I_Budget Input Data'!$D$10*0.6/('I_Inputs &amp; Assumptions'!$B$8/2),'I_Budget Input Data'!$D$10*0.4/('I_Inputs &amp; Assumptions'!$B$8/2)),IF('I_Budget Input Data'!$E$10="Back-loaded",IF(33&lt;='I_Inputs &amp; Assumptions'!$B$8/2,'I_Budget Input Data'!$D$10*0.4/('I_Inputs &amp; Assumptions'!$B$8/2),'I_Budget Input Data'!$D$10*0.6/('I_Inputs &amp; Assumptions'!$B$8/2)),IF('I_Budget Input Data'!$E$10="Mid-weighted",IF(33&lt;='I_Inputs &amp; Assumptions'!$B$8/4,'I_Budget Input Data'!$D$10*0.2/('I_Inputs &amp; Assumptions'!$B$8/4),IF(33&lt;='I_Inputs &amp; Assumptions'!$B$8*0.75,'I_Budget Input Data'!$D$10*0.6/('I_Inputs &amp; Assumptions'!$B$8/2),'I_Budget Input Data'!$D$10*0.2/('I_Inputs &amp; Assumptions'!$B$8/4))),IF('I_Budget Input Data'!$E$10="At Completion",IF(33='I_Inputs &amp; Assumptions'!$B$8,'I_Budget Input Data'!$D$10,0),'I_Budget Input Data'!$D$10/'I_Inputs &amp; Assumptions'!$B$8)))))),0)</f>
        <v>0</v>
      </c>
      <c r="AJ10" s="91">
        <f>IF(34&lt;='I_Inputs &amp; Assumptions'!$B$8,IF('I_Budget Input Data'!$E$10="Upfront",IF(34=1,'I_Budget Input Data'!$D$10,0),IF('I_Budget Input Data'!$E$10="Equal",'I_Budget Input Data'!$D$10/'I_Inputs &amp; Assumptions'!$B$8,IF('I_Budget Input Data'!$E$10="Front-loaded",IF(34&lt;='I_Inputs &amp; Assumptions'!$B$8/2,'I_Budget Input Data'!$D$10*0.6/('I_Inputs &amp; Assumptions'!$B$8/2),'I_Budget Input Data'!$D$10*0.4/('I_Inputs &amp; Assumptions'!$B$8/2)),IF('I_Budget Input Data'!$E$10="Back-loaded",IF(34&lt;='I_Inputs &amp; Assumptions'!$B$8/2,'I_Budget Input Data'!$D$10*0.4/('I_Inputs &amp; Assumptions'!$B$8/2),'I_Budget Input Data'!$D$10*0.6/('I_Inputs &amp; Assumptions'!$B$8/2)),IF('I_Budget Input Data'!$E$10="Mid-weighted",IF(34&lt;='I_Inputs &amp; Assumptions'!$B$8/4,'I_Budget Input Data'!$D$10*0.2/('I_Inputs &amp; Assumptions'!$B$8/4),IF(34&lt;='I_Inputs &amp; Assumptions'!$B$8*0.75,'I_Budget Input Data'!$D$10*0.6/('I_Inputs &amp; Assumptions'!$B$8/2),'I_Budget Input Data'!$D$10*0.2/('I_Inputs &amp; Assumptions'!$B$8/4))),IF('I_Budget Input Data'!$E$10="At Completion",IF(34='I_Inputs &amp; Assumptions'!$B$8,'I_Budget Input Data'!$D$10,0),'I_Budget Input Data'!$D$10/'I_Inputs &amp; Assumptions'!$B$8)))))),0)</f>
        <v>0</v>
      </c>
      <c r="AK10" s="91">
        <f>IF(35&lt;='I_Inputs &amp; Assumptions'!$B$8,IF('I_Budget Input Data'!$E$10="Upfront",IF(35=1,'I_Budget Input Data'!$D$10,0),IF('I_Budget Input Data'!$E$10="Equal",'I_Budget Input Data'!$D$10/'I_Inputs &amp; Assumptions'!$B$8,IF('I_Budget Input Data'!$E$10="Front-loaded",IF(35&lt;='I_Inputs &amp; Assumptions'!$B$8/2,'I_Budget Input Data'!$D$10*0.6/('I_Inputs &amp; Assumptions'!$B$8/2),'I_Budget Input Data'!$D$10*0.4/('I_Inputs &amp; Assumptions'!$B$8/2)),IF('I_Budget Input Data'!$E$10="Back-loaded",IF(35&lt;='I_Inputs &amp; Assumptions'!$B$8/2,'I_Budget Input Data'!$D$10*0.4/('I_Inputs &amp; Assumptions'!$B$8/2),'I_Budget Input Data'!$D$10*0.6/('I_Inputs &amp; Assumptions'!$B$8/2)),IF('I_Budget Input Data'!$E$10="Mid-weighted",IF(35&lt;='I_Inputs &amp; Assumptions'!$B$8/4,'I_Budget Input Data'!$D$10*0.2/('I_Inputs &amp; Assumptions'!$B$8/4),IF(35&lt;='I_Inputs &amp; Assumptions'!$B$8*0.75,'I_Budget Input Data'!$D$10*0.6/('I_Inputs &amp; Assumptions'!$B$8/2),'I_Budget Input Data'!$D$10*0.2/('I_Inputs &amp; Assumptions'!$B$8/4))),IF('I_Budget Input Data'!$E$10="At Completion",IF(35='I_Inputs &amp; Assumptions'!$B$8,'I_Budget Input Data'!$D$10,0),'I_Budget Input Data'!$D$10/'I_Inputs &amp; Assumptions'!$B$8)))))),0)</f>
        <v>0</v>
      </c>
      <c r="AL10" s="91">
        <f>IF(36&lt;='I_Inputs &amp; Assumptions'!$B$8,IF('I_Budget Input Data'!$E$10="Upfront",IF(36=1,'I_Budget Input Data'!$D$10,0),IF('I_Budget Input Data'!$E$10="Equal",'I_Budget Input Data'!$D$10/'I_Inputs &amp; Assumptions'!$B$8,IF('I_Budget Input Data'!$E$10="Front-loaded",IF(36&lt;='I_Inputs &amp; Assumptions'!$B$8/2,'I_Budget Input Data'!$D$10*0.6/('I_Inputs &amp; Assumptions'!$B$8/2),'I_Budget Input Data'!$D$10*0.4/('I_Inputs &amp; Assumptions'!$B$8/2)),IF('I_Budget Input Data'!$E$10="Back-loaded",IF(36&lt;='I_Inputs &amp; Assumptions'!$B$8/2,'I_Budget Input Data'!$D$10*0.4/('I_Inputs &amp; Assumptions'!$B$8/2),'I_Budget Input Data'!$D$10*0.6/('I_Inputs &amp; Assumptions'!$B$8/2)),IF('I_Budget Input Data'!$E$10="Mid-weighted",IF(36&lt;='I_Inputs &amp; Assumptions'!$B$8/4,'I_Budget Input Data'!$D$10*0.2/('I_Inputs &amp; Assumptions'!$B$8/4),IF(36&lt;='I_Inputs &amp; Assumptions'!$B$8*0.75,'I_Budget Input Data'!$D$10*0.6/('I_Inputs &amp; Assumptions'!$B$8/2),'I_Budget Input Data'!$D$10*0.2/('I_Inputs &amp; Assumptions'!$B$8/4))),IF('I_Budget Input Data'!$E$10="At Completion",IF(36='I_Inputs &amp; Assumptions'!$B$8,'I_Budget Input Data'!$D$10,0),'I_Budget Input Data'!$D$10/'I_Inputs &amp; Assumptions'!$B$8)))))),0)</f>
        <v>0</v>
      </c>
    </row>
    <row r="11" spans="1:38" ht="15" customHeight="1" x14ac:dyDescent="0.2">
      <c r="A11" t="s">
        <v>136</v>
      </c>
      <c r="B11" t="s">
        <v>139</v>
      </c>
      <c r="C11" s="91">
        <f>IF(1&lt;='I_Inputs &amp; Assumptions'!$B$8,IF('I_Budget Input Data'!$E$11="Upfront",IF(1=1,'I_Budget Input Data'!$D$11,0),IF('I_Budget Input Data'!$E$11="Equal",'I_Budget Input Data'!$D$11/'I_Inputs &amp; Assumptions'!$B$8,IF('I_Budget Input Data'!$E$11="Front-loaded",IF(1&lt;='I_Inputs &amp; Assumptions'!$B$8/2,'I_Budget Input Data'!$D$11*0.6/('I_Inputs &amp; Assumptions'!$B$8/2),'I_Budget Input Data'!$D$11*0.4/('I_Inputs &amp; Assumptions'!$B$8/2)),IF('I_Budget Input Data'!$E$11="Back-loaded",IF(1&lt;='I_Inputs &amp; Assumptions'!$B$8/2,'I_Budget Input Data'!$D$11*0.4/('I_Inputs &amp; Assumptions'!$B$8/2),'I_Budget Input Data'!$D$11*0.6/('I_Inputs &amp; Assumptions'!$B$8/2)),IF('I_Budget Input Data'!$E$11="Mid-weighted",IF(1&lt;='I_Inputs &amp; Assumptions'!$B$8/4,'I_Budget Input Data'!$D$11*0.2/('I_Inputs &amp; Assumptions'!$B$8/4),IF(1&lt;='I_Inputs &amp; Assumptions'!$B$8*0.75,'I_Budget Input Data'!$D$11*0.6/('I_Inputs &amp; Assumptions'!$B$8/2),'I_Budget Input Data'!$D$11*0.2/('I_Inputs &amp; Assumptions'!$B$8/4))),IF('I_Budget Input Data'!$E$11="At Completion",IF(1='I_Inputs &amp; Assumptions'!$B$8,'I_Budget Input Data'!$D$11,0),'I_Budget Input Data'!$D$11/'I_Inputs &amp; Assumptions'!$B$8)))))),0)</f>
        <v>179701.38461538462</v>
      </c>
      <c r="D11" s="91">
        <f>IF(2&lt;='I_Inputs &amp; Assumptions'!$B$8,IF('I_Budget Input Data'!$E$11="Upfront",IF(2=1,'I_Budget Input Data'!$D$11,0),IF('I_Budget Input Data'!$E$11="Equal",'I_Budget Input Data'!$D$11/'I_Inputs &amp; Assumptions'!$B$8,IF('I_Budget Input Data'!$E$11="Front-loaded",IF(2&lt;='I_Inputs &amp; Assumptions'!$B$8/2,'I_Budget Input Data'!$D$11*0.6/('I_Inputs &amp; Assumptions'!$B$8/2),'I_Budget Input Data'!$D$11*0.4/('I_Inputs &amp; Assumptions'!$B$8/2)),IF('I_Budget Input Data'!$E$11="Back-loaded",IF(2&lt;='I_Inputs &amp; Assumptions'!$B$8/2,'I_Budget Input Data'!$D$11*0.4/('I_Inputs &amp; Assumptions'!$B$8/2),'I_Budget Input Data'!$D$11*0.6/('I_Inputs &amp; Assumptions'!$B$8/2)),IF('I_Budget Input Data'!$E$11="Mid-weighted",IF(2&lt;='I_Inputs &amp; Assumptions'!$B$8/4,'I_Budget Input Data'!$D$11*0.2/('I_Inputs &amp; Assumptions'!$B$8/4),IF(2&lt;='I_Inputs &amp; Assumptions'!$B$8*0.75,'I_Budget Input Data'!$D$11*0.6/('I_Inputs &amp; Assumptions'!$B$8/2),'I_Budget Input Data'!$D$11*0.2/('I_Inputs &amp; Assumptions'!$B$8/4))),IF('I_Budget Input Data'!$E$11="At Completion",IF(2='I_Inputs &amp; Assumptions'!$B$8,'I_Budget Input Data'!$D$11,0),'I_Budget Input Data'!$D$11/'I_Inputs &amp; Assumptions'!$B$8)))))),0)</f>
        <v>179701.38461538462</v>
      </c>
      <c r="E11" s="91">
        <f>IF(3&lt;='I_Inputs &amp; Assumptions'!$B$8,IF('I_Budget Input Data'!$E$11="Upfront",IF(3=1,'I_Budget Input Data'!$D$11,0),IF('I_Budget Input Data'!$E$11="Equal",'I_Budget Input Data'!$D$11/'I_Inputs &amp; Assumptions'!$B$8,IF('I_Budget Input Data'!$E$11="Front-loaded",IF(3&lt;='I_Inputs &amp; Assumptions'!$B$8/2,'I_Budget Input Data'!$D$11*0.6/('I_Inputs &amp; Assumptions'!$B$8/2),'I_Budget Input Data'!$D$11*0.4/('I_Inputs &amp; Assumptions'!$B$8/2)),IF('I_Budget Input Data'!$E$11="Back-loaded",IF(3&lt;='I_Inputs &amp; Assumptions'!$B$8/2,'I_Budget Input Data'!$D$11*0.4/('I_Inputs &amp; Assumptions'!$B$8/2),'I_Budget Input Data'!$D$11*0.6/('I_Inputs &amp; Assumptions'!$B$8/2)),IF('I_Budget Input Data'!$E$11="Mid-weighted",IF(3&lt;='I_Inputs &amp; Assumptions'!$B$8/4,'I_Budget Input Data'!$D$11*0.2/('I_Inputs &amp; Assumptions'!$B$8/4),IF(3&lt;='I_Inputs &amp; Assumptions'!$B$8*0.75,'I_Budget Input Data'!$D$11*0.6/('I_Inputs &amp; Assumptions'!$B$8/2),'I_Budget Input Data'!$D$11*0.2/('I_Inputs &amp; Assumptions'!$B$8/4))),IF('I_Budget Input Data'!$E$11="At Completion",IF(3='I_Inputs &amp; Assumptions'!$B$8,'I_Budget Input Data'!$D$11,0),'I_Budget Input Data'!$D$11/'I_Inputs &amp; Assumptions'!$B$8)))))),0)</f>
        <v>179701.38461538462</v>
      </c>
      <c r="F11" s="91">
        <f>IF(4&lt;='I_Inputs &amp; Assumptions'!$B$8,IF('I_Budget Input Data'!$E$11="Upfront",IF(4=1,'I_Budget Input Data'!$D$11,0),IF('I_Budget Input Data'!$E$11="Equal",'I_Budget Input Data'!$D$11/'I_Inputs &amp; Assumptions'!$B$8,IF('I_Budget Input Data'!$E$11="Front-loaded",IF(4&lt;='I_Inputs &amp; Assumptions'!$B$8/2,'I_Budget Input Data'!$D$11*0.6/('I_Inputs &amp; Assumptions'!$B$8/2),'I_Budget Input Data'!$D$11*0.4/('I_Inputs &amp; Assumptions'!$B$8/2)),IF('I_Budget Input Data'!$E$11="Back-loaded",IF(4&lt;='I_Inputs &amp; Assumptions'!$B$8/2,'I_Budget Input Data'!$D$11*0.4/('I_Inputs &amp; Assumptions'!$B$8/2),'I_Budget Input Data'!$D$11*0.6/('I_Inputs &amp; Assumptions'!$B$8/2)),IF('I_Budget Input Data'!$E$11="Mid-weighted",IF(4&lt;='I_Inputs &amp; Assumptions'!$B$8/4,'I_Budget Input Data'!$D$11*0.2/('I_Inputs &amp; Assumptions'!$B$8/4),IF(4&lt;='I_Inputs &amp; Assumptions'!$B$8*0.75,'I_Budget Input Data'!$D$11*0.6/('I_Inputs &amp; Assumptions'!$B$8/2),'I_Budget Input Data'!$D$11*0.2/('I_Inputs &amp; Assumptions'!$B$8/4))),IF('I_Budget Input Data'!$E$11="At Completion",IF(4='I_Inputs &amp; Assumptions'!$B$8,'I_Budget Input Data'!$D$11,0),'I_Budget Input Data'!$D$11/'I_Inputs &amp; Assumptions'!$B$8)))))),0)</f>
        <v>179701.38461538462</v>
      </c>
      <c r="G11" s="91">
        <f>IF(5&lt;='I_Inputs &amp; Assumptions'!$B$8,IF('I_Budget Input Data'!$E$11="Upfront",IF(5=1,'I_Budget Input Data'!$D$11,0),IF('I_Budget Input Data'!$E$11="Equal",'I_Budget Input Data'!$D$11/'I_Inputs &amp; Assumptions'!$B$8,IF('I_Budget Input Data'!$E$11="Front-loaded",IF(5&lt;='I_Inputs &amp; Assumptions'!$B$8/2,'I_Budget Input Data'!$D$11*0.6/('I_Inputs &amp; Assumptions'!$B$8/2),'I_Budget Input Data'!$D$11*0.4/('I_Inputs &amp; Assumptions'!$B$8/2)),IF('I_Budget Input Data'!$E$11="Back-loaded",IF(5&lt;='I_Inputs &amp; Assumptions'!$B$8/2,'I_Budget Input Data'!$D$11*0.4/('I_Inputs &amp; Assumptions'!$B$8/2),'I_Budget Input Data'!$D$11*0.6/('I_Inputs &amp; Assumptions'!$B$8/2)),IF('I_Budget Input Data'!$E$11="Mid-weighted",IF(5&lt;='I_Inputs &amp; Assumptions'!$B$8/4,'I_Budget Input Data'!$D$11*0.2/('I_Inputs &amp; Assumptions'!$B$8/4),IF(5&lt;='I_Inputs &amp; Assumptions'!$B$8*0.75,'I_Budget Input Data'!$D$11*0.6/('I_Inputs &amp; Assumptions'!$B$8/2),'I_Budget Input Data'!$D$11*0.2/('I_Inputs &amp; Assumptions'!$B$8/4))),IF('I_Budget Input Data'!$E$11="At Completion",IF(5='I_Inputs &amp; Assumptions'!$B$8,'I_Budget Input Data'!$D$11,0),'I_Budget Input Data'!$D$11/'I_Inputs &amp; Assumptions'!$B$8)))))),0)</f>
        <v>179701.38461538462</v>
      </c>
      <c r="H11" s="91">
        <f>IF(6&lt;='I_Inputs &amp; Assumptions'!$B$8,IF('I_Budget Input Data'!$E$11="Upfront",IF(6=1,'I_Budget Input Data'!$D$11,0),IF('I_Budget Input Data'!$E$11="Equal",'I_Budget Input Data'!$D$11/'I_Inputs &amp; Assumptions'!$B$8,IF('I_Budget Input Data'!$E$11="Front-loaded",IF(6&lt;='I_Inputs &amp; Assumptions'!$B$8/2,'I_Budget Input Data'!$D$11*0.6/('I_Inputs &amp; Assumptions'!$B$8/2),'I_Budget Input Data'!$D$11*0.4/('I_Inputs &amp; Assumptions'!$B$8/2)),IF('I_Budget Input Data'!$E$11="Back-loaded",IF(6&lt;='I_Inputs &amp; Assumptions'!$B$8/2,'I_Budget Input Data'!$D$11*0.4/('I_Inputs &amp; Assumptions'!$B$8/2),'I_Budget Input Data'!$D$11*0.6/('I_Inputs &amp; Assumptions'!$B$8/2)),IF('I_Budget Input Data'!$E$11="Mid-weighted",IF(6&lt;='I_Inputs &amp; Assumptions'!$B$8/4,'I_Budget Input Data'!$D$11*0.2/('I_Inputs &amp; Assumptions'!$B$8/4),IF(6&lt;='I_Inputs &amp; Assumptions'!$B$8*0.75,'I_Budget Input Data'!$D$11*0.6/('I_Inputs &amp; Assumptions'!$B$8/2),'I_Budget Input Data'!$D$11*0.2/('I_Inputs &amp; Assumptions'!$B$8/4))),IF('I_Budget Input Data'!$E$11="At Completion",IF(6='I_Inputs &amp; Assumptions'!$B$8,'I_Budget Input Data'!$D$11,0),'I_Budget Input Data'!$D$11/'I_Inputs &amp; Assumptions'!$B$8)))))),0)</f>
        <v>179701.38461538462</v>
      </c>
      <c r="I11" s="91">
        <f>IF(7&lt;='I_Inputs &amp; Assumptions'!$B$8,IF('I_Budget Input Data'!$E$11="Upfront",IF(7=1,'I_Budget Input Data'!$D$11,0),IF('I_Budget Input Data'!$E$11="Equal",'I_Budget Input Data'!$D$11/'I_Inputs &amp; Assumptions'!$B$8,IF('I_Budget Input Data'!$E$11="Front-loaded",IF(7&lt;='I_Inputs &amp; Assumptions'!$B$8/2,'I_Budget Input Data'!$D$11*0.6/('I_Inputs &amp; Assumptions'!$B$8/2),'I_Budget Input Data'!$D$11*0.4/('I_Inputs &amp; Assumptions'!$B$8/2)),IF('I_Budget Input Data'!$E$11="Back-loaded",IF(7&lt;='I_Inputs &amp; Assumptions'!$B$8/2,'I_Budget Input Data'!$D$11*0.4/('I_Inputs &amp; Assumptions'!$B$8/2),'I_Budget Input Data'!$D$11*0.6/('I_Inputs &amp; Assumptions'!$B$8/2)),IF('I_Budget Input Data'!$E$11="Mid-weighted",IF(7&lt;='I_Inputs &amp; Assumptions'!$B$8/4,'I_Budget Input Data'!$D$11*0.2/('I_Inputs &amp; Assumptions'!$B$8/4),IF(7&lt;='I_Inputs &amp; Assumptions'!$B$8*0.75,'I_Budget Input Data'!$D$11*0.6/('I_Inputs &amp; Assumptions'!$B$8/2),'I_Budget Input Data'!$D$11*0.2/('I_Inputs &amp; Assumptions'!$B$8/4))),IF('I_Budget Input Data'!$E$11="At Completion",IF(7='I_Inputs &amp; Assumptions'!$B$8,'I_Budget Input Data'!$D$11,0),'I_Budget Input Data'!$D$11/'I_Inputs &amp; Assumptions'!$B$8)))))),0)</f>
        <v>119800.92307692308</v>
      </c>
      <c r="J11" s="91">
        <f>IF(8&lt;='I_Inputs &amp; Assumptions'!$B$8,IF('I_Budget Input Data'!$E$11="Upfront",IF(8=1,'I_Budget Input Data'!$D$11,0),IF('I_Budget Input Data'!$E$11="Equal",'I_Budget Input Data'!$D$11/'I_Inputs &amp; Assumptions'!$B$8,IF('I_Budget Input Data'!$E$11="Front-loaded",IF(8&lt;='I_Inputs &amp; Assumptions'!$B$8/2,'I_Budget Input Data'!$D$11*0.6/('I_Inputs &amp; Assumptions'!$B$8/2),'I_Budget Input Data'!$D$11*0.4/('I_Inputs &amp; Assumptions'!$B$8/2)),IF('I_Budget Input Data'!$E$11="Back-loaded",IF(8&lt;='I_Inputs &amp; Assumptions'!$B$8/2,'I_Budget Input Data'!$D$11*0.4/('I_Inputs &amp; Assumptions'!$B$8/2),'I_Budget Input Data'!$D$11*0.6/('I_Inputs &amp; Assumptions'!$B$8/2)),IF('I_Budget Input Data'!$E$11="Mid-weighted",IF(8&lt;='I_Inputs &amp; Assumptions'!$B$8/4,'I_Budget Input Data'!$D$11*0.2/('I_Inputs &amp; Assumptions'!$B$8/4),IF(8&lt;='I_Inputs &amp; Assumptions'!$B$8*0.75,'I_Budget Input Data'!$D$11*0.6/('I_Inputs &amp; Assumptions'!$B$8/2),'I_Budget Input Data'!$D$11*0.2/('I_Inputs &amp; Assumptions'!$B$8/4))),IF('I_Budget Input Data'!$E$11="At Completion",IF(8='I_Inputs &amp; Assumptions'!$B$8,'I_Budget Input Data'!$D$11,0),'I_Budget Input Data'!$D$11/'I_Inputs &amp; Assumptions'!$B$8)))))),0)</f>
        <v>119800.92307692308</v>
      </c>
      <c r="K11" s="91">
        <f>IF(9&lt;='I_Inputs &amp; Assumptions'!$B$8,IF('I_Budget Input Data'!$E$11="Upfront",IF(9=1,'I_Budget Input Data'!$D$11,0),IF('I_Budget Input Data'!$E$11="Equal",'I_Budget Input Data'!$D$11/'I_Inputs &amp; Assumptions'!$B$8,IF('I_Budget Input Data'!$E$11="Front-loaded",IF(9&lt;='I_Inputs &amp; Assumptions'!$B$8/2,'I_Budget Input Data'!$D$11*0.6/('I_Inputs &amp; Assumptions'!$B$8/2),'I_Budget Input Data'!$D$11*0.4/('I_Inputs &amp; Assumptions'!$B$8/2)),IF('I_Budget Input Data'!$E$11="Back-loaded",IF(9&lt;='I_Inputs &amp; Assumptions'!$B$8/2,'I_Budget Input Data'!$D$11*0.4/('I_Inputs &amp; Assumptions'!$B$8/2),'I_Budget Input Data'!$D$11*0.6/('I_Inputs &amp; Assumptions'!$B$8/2)),IF('I_Budget Input Data'!$E$11="Mid-weighted",IF(9&lt;='I_Inputs &amp; Assumptions'!$B$8/4,'I_Budget Input Data'!$D$11*0.2/('I_Inputs &amp; Assumptions'!$B$8/4),IF(9&lt;='I_Inputs &amp; Assumptions'!$B$8*0.75,'I_Budget Input Data'!$D$11*0.6/('I_Inputs &amp; Assumptions'!$B$8/2),'I_Budget Input Data'!$D$11*0.2/('I_Inputs &amp; Assumptions'!$B$8/4))),IF('I_Budget Input Data'!$E$11="At Completion",IF(9='I_Inputs &amp; Assumptions'!$B$8,'I_Budget Input Data'!$D$11,0),'I_Budget Input Data'!$D$11/'I_Inputs &amp; Assumptions'!$B$8)))))),0)</f>
        <v>119800.92307692308</v>
      </c>
      <c r="L11" s="91">
        <f>IF(10&lt;='I_Inputs &amp; Assumptions'!$B$8,IF('I_Budget Input Data'!$E$11="Upfront",IF(10=1,'I_Budget Input Data'!$D$11,0),IF('I_Budget Input Data'!$E$11="Equal",'I_Budget Input Data'!$D$11/'I_Inputs &amp; Assumptions'!$B$8,IF('I_Budget Input Data'!$E$11="Front-loaded",IF(10&lt;='I_Inputs &amp; Assumptions'!$B$8/2,'I_Budget Input Data'!$D$11*0.6/('I_Inputs &amp; Assumptions'!$B$8/2),'I_Budget Input Data'!$D$11*0.4/('I_Inputs &amp; Assumptions'!$B$8/2)),IF('I_Budget Input Data'!$E$11="Back-loaded",IF(10&lt;='I_Inputs &amp; Assumptions'!$B$8/2,'I_Budget Input Data'!$D$11*0.4/('I_Inputs &amp; Assumptions'!$B$8/2),'I_Budget Input Data'!$D$11*0.6/('I_Inputs &amp; Assumptions'!$B$8/2)),IF('I_Budget Input Data'!$E$11="Mid-weighted",IF(10&lt;='I_Inputs &amp; Assumptions'!$B$8/4,'I_Budget Input Data'!$D$11*0.2/('I_Inputs &amp; Assumptions'!$B$8/4),IF(10&lt;='I_Inputs &amp; Assumptions'!$B$8*0.75,'I_Budget Input Data'!$D$11*0.6/('I_Inputs &amp; Assumptions'!$B$8/2),'I_Budget Input Data'!$D$11*0.2/('I_Inputs &amp; Assumptions'!$B$8/4))),IF('I_Budget Input Data'!$E$11="At Completion",IF(10='I_Inputs &amp; Assumptions'!$B$8,'I_Budget Input Data'!$D$11,0),'I_Budget Input Data'!$D$11/'I_Inputs &amp; Assumptions'!$B$8)))))),0)</f>
        <v>119800.92307692308</v>
      </c>
      <c r="M11" s="91">
        <f>IF(11&lt;='I_Inputs &amp; Assumptions'!$B$8,IF('I_Budget Input Data'!$E$11="Upfront",IF(11=1,'I_Budget Input Data'!$D$11,0),IF('I_Budget Input Data'!$E$11="Equal",'I_Budget Input Data'!$D$11/'I_Inputs &amp; Assumptions'!$B$8,IF('I_Budget Input Data'!$E$11="Front-loaded",IF(11&lt;='I_Inputs &amp; Assumptions'!$B$8/2,'I_Budget Input Data'!$D$11*0.6/('I_Inputs &amp; Assumptions'!$B$8/2),'I_Budget Input Data'!$D$11*0.4/('I_Inputs &amp; Assumptions'!$B$8/2)),IF('I_Budget Input Data'!$E$11="Back-loaded",IF(11&lt;='I_Inputs &amp; Assumptions'!$B$8/2,'I_Budget Input Data'!$D$11*0.4/('I_Inputs &amp; Assumptions'!$B$8/2),'I_Budget Input Data'!$D$11*0.6/('I_Inputs &amp; Assumptions'!$B$8/2)),IF('I_Budget Input Data'!$E$11="Mid-weighted",IF(11&lt;='I_Inputs &amp; Assumptions'!$B$8/4,'I_Budget Input Data'!$D$11*0.2/('I_Inputs &amp; Assumptions'!$B$8/4),IF(11&lt;='I_Inputs &amp; Assumptions'!$B$8*0.75,'I_Budget Input Data'!$D$11*0.6/('I_Inputs &amp; Assumptions'!$B$8/2),'I_Budget Input Data'!$D$11*0.2/('I_Inputs &amp; Assumptions'!$B$8/4))),IF('I_Budget Input Data'!$E$11="At Completion",IF(11='I_Inputs &amp; Assumptions'!$B$8,'I_Budget Input Data'!$D$11,0),'I_Budget Input Data'!$D$11/'I_Inputs &amp; Assumptions'!$B$8)))))),0)</f>
        <v>119800.92307692308</v>
      </c>
      <c r="N11" s="91">
        <f>IF(12&lt;='I_Inputs &amp; Assumptions'!$B$8,IF('I_Budget Input Data'!$E$11="Upfront",IF(12=1,'I_Budget Input Data'!$D$11,0),IF('I_Budget Input Data'!$E$11="Equal",'I_Budget Input Data'!$D$11/'I_Inputs &amp; Assumptions'!$B$8,IF('I_Budget Input Data'!$E$11="Front-loaded",IF(12&lt;='I_Inputs &amp; Assumptions'!$B$8/2,'I_Budget Input Data'!$D$11*0.6/('I_Inputs &amp; Assumptions'!$B$8/2),'I_Budget Input Data'!$D$11*0.4/('I_Inputs &amp; Assumptions'!$B$8/2)),IF('I_Budget Input Data'!$E$11="Back-loaded",IF(12&lt;='I_Inputs &amp; Assumptions'!$B$8/2,'I_Budget Input Data'!$D$11*0.4/('I_Inputs &amp; Assumptions'!$B$8/2),'I_Budget Input Data'!$D$11*0.6/('I_Inputs &amp; Assumptions'!$B$8/2)),IF('I_Budget Input Data'!$E$11="Mid-weighted",IF(12&lt;='I_Inputs &amp; Assumptions'!$B$8/4,'I_Budget Input Data'!$D$11*0.2/('I_Inputs &amp; Assumptions'!$B$8/4),IF(12&lt;='I_Inputs &amp; Assumptions'!$B$8*0.75,'I_Budget Input Data'!$D$11*0.6/('I_Inputs &amp; Assumptions'!$B$8/2),'I_Budget Input Data'!$D$11*0.2/('I_Inputs &amp; Assumptions'!$B$8/4))),IF('I_Budget Input Data'!$E$11="At Completion",IF(12='I_Inputs &amp; Assumptions'!$B$8,'I_Budget Input Data'!$D$11,0),'I_Budget Input Data'!$D$11/'I_Inputs &amp; Assumptions'!$B$8)))))),0)</f>
        <v>119800.92307692308</v>
      </c>
      <c r="O11" s="91">
        <f>IF(13&lt;='I_Inputs &amp; Assumptions'!$B$8,IF('I_Budget Input Data'!$E$11="Upfront",IF(13=1,'I_Budget Input Data'!$D$11,0),IF('I_Budget Input Data'!$E$11="Equal",'I_Budget Input Data'!$D$11/'I_Inputs &amp; Assumptions'!$B$8,IF('I_Budget Input Data'!$E$11="Front-loaded",IF(13&lt;='I_Inputs &amp; Assumptions'!$B$8/2,'I_Budget Input Data'!$D$11*0.6/('I_Inputs &amp; Assumptions'!$B$8/2),'I_Budget Input Data'!$D$11*0.4/('I_Inputs &amp; Assumptions'!$B$8/2)),IF('I_Budget Input Data'!$E$11="Back-loaded",IF(13&lt;='I_Inputs &amp; Assumptions'!$B$8/2,'I_Budget Input Data'!$D$11*0.4/('I_Inputs &amp; Assumptions'!$B$8/2),'I_Budget Input Data'!$D$11*0.6/('I_Inputs &amp; Assumptions'!$B$8/2)),IF('I_Budget Input Data'!$E$11="Mid-weighted",IF(13&lt;='I_Inputs &amp; Assumptions'!$B$8/4,'I_Budget Input Data'!$D$11*0.2/('I_Inputs &amp; Assumptions'!$B$8/4),IF(13&lt;='I_Inputs &amp; Assumptions'!$B$8*0.75,'I_Budget Input Data'!$D$11*0.6/('I_Inputs &amp; Assumptions'!$B$8/2),'I_Budget Input Data'!$D$11*0.2/('I_Inputs &amp; Assumptions'!$B$8/4))),IF('I_Budget Input Data'!$E$11="At Completion",IF(13='I_Inputs &amp; Assumptions'!$B$8,'I_Budget Input Data'!$D$11,0),'I_Budget Input Data'!$D$11/'I_Inputs &amp; Assumptions'!$B$8)))))),0)</f>
        <v>119800.92307692308</v>
      </c>
      <c r="P11" s="91">
        <f>IF(14&lt;='I_Inputs &amp; Assumptions'!$B$8,IF('I_Budget Input Data'!$E$11="Upfront",IF(14=1,'I_Budget Input Data'!$D$11,0),IF('I_Budget Input Data'!$E$11="Equal",'I_Budget Input Data'!$D$11/'I_Inputs &amp; Assumptions'!$B$8,IF('I_Budget Input Data'!$E$11="Front-loaded",IF(14&lt;='I_Inputs &amp; Assumptions'!$B$8/2,'I_Budget Input Data'!$D$11*0.6/('I_Inputs &amp; Assumptions'!$B$8/2),'I_Budget Input Data'!$D$11*0.4/('I_Inputs &amp; Assumptions'!$B$8/2)),IF('I_Budget Input Data'!$E$11="Back-loaded",IF(14&lt;='I_Inputs &amp; Assumptions'!$B$8/2,'I_Budget Input Data'!$D$11*0.4/('I_Inputs &amp; Assumptions'!$B$8/2),'I_Budget Input Data'!$D$11*0.6/('I_Inputs &amp; Assumptions'!$B$8/2)),IF('I_Budget Input Data'!$E$11="Mid-weighted",IF(14&lt;='I_Inputs &amp; Assumptions'!$B$8/4,'I_Budget Input Data'!$D$11*0.2/('I_Inputs &amp; Assumptions'!$B$8/4),IF(14&lt;='I_Inputs &amp; Assumptions'!$B$8*0.75,'I_Budget Input Data'!$D$11*0.6/('I_Inputs &amp; Assumptions'!$B$8/2),'I_Budget Input Data'!$D$11*0.2/('I_Inputs &amp; Assumptions'!$B$8/4))),IF('I_Budget Input Data'!$E$11="At Completion",IF(14='I_Inputs &amp; Assumptions'!$B$8,'I_Budget Input Data'!$D$11,0),'I_Budget Input Data'!$D$11/'I_Inputs &amp; Assumptions'!$B$8)))))),0)</f>
        <v>0</v>
      </c>
      <c r="Q11" s="91">
        <f>IF(15&lt;='I_Inputs &amp; Assumptions'!$B$8,IF('I_Budget Input Data'!$E$11="Upfront",IF(15=1,'I_Budget Input Data'!$D$11,0),IF('I_Budget Input Data'!$E$11="Equal",'I_Budget Input Data'!$D$11/'I_Inputs &amp; Assumptions'!$B$8,IF('I_Budget Input Data'!$E$11="Front-loaded",IF(15&lt;='I_Inputs &amp; Assumptions'!$B$8/2,'I_Budget Input Data'!$D$11*0.6/('I_Inputs &amp; Assumptions'!$B$8/2),'I_Budget Input Data'!$D$11*0.4/('I_Inputs &amp; Assumptions'!$B$8/2)),IF('I_Budget Input Data'!$E$11="Back-loaded",IF(15&lt;='I_Inputs &amp; Assumptions'!$B$8/2,'I_Budget Input Data'!$D$11*0.4/('I_Inputs &amp; Assumptions'!$B$8/2),'I_Budget Input Data'!$D$11*0.6/('I_Inputs &amp; Assumptions'!$B$8/2)),IF('I_Budget Input Data'!$E$11="Mid-weighted",IF(15&lt;='I_Inputs &amp; Assumptions'!$B$8/4,'I_Budget Input Data'!$D$11*0.2/('I_Inputs &amp; Assumptions'!$B$8/4),IF(15&lt;='I_Inputs &amp; Assumptions'!$B$8*0.75,'I_Budget Input Data'!$D$11*0.6/('I_Inputs &amp; Assumptions'!$B$8/2),'I_Budget Input Data'!$D$11*0.2/('I_Inputs &amp; Assumptions'!$B$8/4))),IF('I_Budget Input Data'!$E$11="At Completion",IF(15='I_Inputs &amp; Assumptions'!$B$8,'I_Budget Input Data'!$D$11,0),'I_Budget Input Data'!$D$11/'I_Inputs &amp; Assumptions'!$B$8)))))),0)</f>
        <v>0</v>
      </c>
      <c r="R11" s="91">
        <f>IF(16&lt;='I_Inputs &amp; Assumptions'!$B$8,IF('I_Budget Input Data'!$E$11="Upfront",IF(16=1,'I_Budget Input Data'!$D$11,0),IF('I_Budget Input Data'!$E$11="Equal",'I_Budget Input Data'!$D$11/'I_Inputs &amp; Assumptions'!$B$8,IF('I_Budget Input Data'!$E$11="Front-loaded",IF(16&lt;='I_Inputs &amp; Assumptions'!$B$8/2,'I_Budget Input Data'!$D$11*0.6/('I_Inputs &amp; Assumptions'!$B$8/2),'I_Budget Input Data'!$D$11*0.4/('I_Inputs &amp; Assumptions'!$B$8/2)),IF('I_Budget Input Data'!$E$11="Back-loaded",IF(16&lt;='I_Inputs &amp; Assumptions'!$B$8/2,'I_Budget Input Data'!$D$11*0.4/('I_Inputs &amp; Assumptions'!$B$8/2),'I_Budget Input Data'!$D$11*0.6/('I_Inputs &amp; Assumptions'!$B$8/2)),IF('I_Budget Input Data'!$E$11="Mid-weighted",IF(16&lt;='I_Inputs &amp; Assumptions'!$B$8/4,'I_Budget Input Data'!$D$11*0.2/('I_Inputs &amp; Assumptions'!$B$8/4),IF(16&lt;='I_Inputs &amp; Assumptions'!$B$8*0.75,'I_Budget Input Data'!$D$11*0.6/('I_Inputs &amp; Assumptions'!$B$8/2),'I_Budget Input Data'!$D$11*0.2/('I_Inputs &amp; Assumptions'!$B$8/4))),IF('I_Budget Input Data'!$E$11="At Completion",IF(16='I_Inputs &amp; Assumptions'!$B$8,'I_Budget Input Data'!$D$11,0),'I_Budget Input Data'!$D$11/'I_Inputs &amp; Assumptions'!$B$8)))))),0)</f>
        <v>0</v>
      </c>
      <c r="S11" s="91">
        <f>IF(17&lt;='I_Inputs &amp; Assumptions'!$B$8,IF('I_Budget Input Data'!$E$11="Upfront",IF(17=1,'I_Budget Input Data'!$D$11,0),IF('I_Budget Input Data'!$E$11="Equal",'I_Budget Input Data'!$D$11/'I_Inputs &amp; Assumptions'!$B$8,IF('I_Budget Input Data'!$E$11="Front-loaded",IF(17&lt;='I_Inputs &amp; Assumptions'!$B$8/2,'I_Budget Input Data'!$D$11*0.6/('I_Inputs &amp; Assumptions'!$B$8/2),'I_Budget Input Data'!$D$11*0.4/('I_Inputs &amp; Assumptions'!$B$8/2)),IF('I_Budget Input Data'!$E$11="Back-loaded",IF(17&lt;='I_Inputs &amp; Assumptions'!$B$8/2,'I_Budget Input Data'!$D$11*0.4/('I_Inputs &amp; Assumptions'!$B$8/2),'I_Budget Input Data'!$D$11*0.6/('I_Inputs &amp; Assumptions'!$B$8/2)),IF('I_Budget Input Data'!$E$11="Mid-weighted",IF(17&lt;='I_Inputs &amp; Assumptions'!$B$8/4,'I_Budget Input Data'!$D$11*0.2/('I_Inputs &amp; Assumptions'!$B$8/4),IF(17&lt;='I_Inputs &amp; Assumptions'!$B$8*0.75,'I_Budget Input Data'!$D$11*0.6/('I_Inputs &amp; Assumptions'!$B$8/2),'I_Budget Input Data'!$D$11*0.2/('I_Inputs &amp; Assumptions'!$B$8/4))),IF('I_Budget Input Data'!$E$11="At Completion",IF(17='I_Inputs &amp; Assumptions'!$B$8,'I_Budget Input Data'!$D$11,0),'I_Budget Input Data'!$D$11/'I_Inputs &amp; Assumptions'!$B$8)))))),0)</f>
        <v>0</v>
      </c>
      <c r="T11" s="91">
        <f>IF(18&lt;='I_Inputs &amp; Assumptions'!$B$8,IF('I_Budget Input Data'!$E$11="Upfront",IF(18=1,'I_Budget Input Data'!$D$11,0),IF('I_Budget Input Data'!$E$11="Equal",'I_Budget Input Data'!$D$11/'I_Inputs &amp; Assumptions'!$B$8,IF('I_Budget Input Data'!$E$11="Front-loaded",IF(18&lt;='I_Inputs &amp; Assumptions'!$B$8/2,'I_Budget Input Data'!$D$11*0.6/('I_Inputs &amp; Assumptions'!$B$8/2),'I_Budget Input Data'!$D$11*0.4/('I_Inputs &amp; Assumptions'!$B$8/2)),IF('I_Budget Input Data'!$E$11="Back-loaded",IF(18&lt;='I_Inputs &amp; Assumptions'!$B$8/2,'I_Budget Input Data'!$D$11*0.4/('I_Inputs &amp; Assumptions'!$B$8/2),'I_Budget Input Data'!$D$11*0.6/('I_Inputs &amp; Assumptions'!$B$8/2)),IF('I_Budget Input Data'!$E$11="Mid-weighted",IF(18&lt;='I_Inputs &amp; Assumptions'!$B$8/4,'I_Budget Input Data'!$D$11*0.2/('I_Inputs &amp; Assumptions'!$B$8/4),IF(18&lt;='I_Inputs &amp; Assumptions'!$B$8*0.75,'I_Budget Input Data'!$D$11*0.6/('I_Inputs &amp; Assumptions'!$B$8/2),'I_Budget Input Data'!$D$11*0.2/('I_Inputs &amp; Assumptions'!$B$8/4))),IF('I_Budget Input Data'!$E$11="At Completion",IF(18='I_Inputs &amp; Assumptions'!$B$8,'I_Budget Input Data'!$D$11,0),'I_Budget Input Data'!$D$11/'I_Inputs &amp; Assumptions'!$B$8)))))),0)</f>
        <v>0</v>
      </c>
      <c r="U11" s="91">
        <f>IF(19&lt;='I_Inputs &amp; Assumptions'!$B$8,IF('I_Budget Input Data'!$E$11="Upfront",IF(19=1,'I_Budget Input Data'!$D$11,0),IF('I_Budget Input Data'!$E$11="Equal",'I_Budget Input Data'!$D$11/'I_Inputs &amp; Assumptions'!$B$8,IF('I_Budget Input Data'!$E$11="Front-loaded",IF(19&lt;='I_Inputs &amp; Assumptions'!$B$8/2,'I_Budget Input Data'!$D$11*0.6/('I_Inputs &amp; Assumptions'!$B$8/2),'I_Budget Input Data'!$D$11*0.4/('I_Inputs &amp; Assumptions'!$B$8/2)),IF('I_Budget Input Data'!$E$11="Back-loaded",IF(19&lt;='I_Inputs &amp; Assumptions'!$B$8/2,'I_Budget Input Data'!$D$11*0.4/('I_Inputs &amp; Assumptions'!$B$8/2),'I_Budget Input Data'!$D$11*0.6/('I_Inputs &amp; Assumptions'!$B$8/2)),IF('I_Budget Input Data'!$E$11="Mid-weighted",IF(19&lt;='I_Inputs &amp; Assumptions'!$B$8/4,'I_Budget Input Data'!$D$11*0.2/('I_Inputs &amp; Assumptions'!$B$8/4),IF(19&lt;='I_Inputs &amp; Assumptions'!$B$8*0.75,'I_Budget Input Data'!$D$11*0.6/('I_Inputs &amp; Assumptions'!$B$8/2),'I_Budget Input Data'!$D$11*0.2/('I_Inputs &amp; Assumptions'!$B$8/4))),IF('I_Budget Input Data'!$E$11="At Completion",IF(19='I_Inputs &amp; Assumptions'!$B$8,'I_Budget Input Data'!$D$11,0),'I_Budget Input Data'!$D$11/'I_Inputs &amp; Assumptions'!$B$8)))))),0)</f>
        <v>0</v>
      </c>
      <c r="V11" s="91">
        <f>IF(20&lt;='I_Inputs &amp; Assumptions'!$B$8,IF('I_Budget Input Data'!$E$11="Upfront",IF(20=1,'I_Budget Input Data'!$D$11,0),IF('I_Budget Input Data'!$E$11="Equal",'I_Budget Input Data'!$D$11/'I_Inputs &amp; Assumptions'!$B$8,IF('I_Budget Input Data'!$E$11="Front-loaded",IF(20&lt;='I_Inputs &amp; Assumptions'!$B$8/2,'I_Budget Input Data'!$D$11*0.6/('I_Inputs &amp; Assumptions'!$B$8/2),'I_Budget Input Data'!$D$11*0.4/('I_Inputs &amp; Assumptions'!$B$8/2)),IF('I_Budget Input Data'!$E$11="Back-loaded",IF(20&lt;='I_Inputs &amp; Assumptions'!$B$8/2,'I_Budget Input Data'!$D$11*0.4/('I_Inputs &amp; Assumptions'!$B$8/2),'I_Budget Input Data'!$D$11*0.6/('I_Inputs &amp; Assumptions'!$B$8/2)),IF('I_Budget Input Data'!$E$11="Mid-weighted",IF(20&lt;='I_Inputs &amp; Assumptions'!$B$8/4,'I_Budget Input Data'!$D$11*0.2/('I_Inputs &amp; Assumptions'!$B$8/4),IF(20&lt;='I_Inputs &amp; Assumptions'!$B$8*0.75,'I_Budget Input Data'!$D$11*0.6/('I_Inputs &amp; Assumptions'!$B$8/2),'I_Budget Input Data'!$D$11*0.2/('I_Inputs &amp; Assumptions'!$B$8/4))),IF('I_Budget Input Data'!$E$11="At Completion",IF(20='I_Inputs &amp; Assumptions'!$B$8,'I_Budget Input Data'!$D$11,0),'I_Budget Input Data'!$D$11/'I_Inputs &amp; Assumptions'!$B$8)))))),0)</f>
        <v>0</v>
      </c>
      <c r="W11" s="91">
        <f>IF(21&lt;='I_Inputs &amp; Assumptions'!$B$8,IF('I_Budget Input Data'!$E$11="Upfront",IF(21=1,'I_Budget Input Data'!$D$11,0),IF('I_Budget Input Data'!$E$11="Equal",'I_Budget Input Data'!$D$11/'I_Inputs &amp; Assumptions'!$B$8,IF('I_Budget Input Data'!$E$11="Front-loaded",IF(21&lt;='I_Inputs &amp; Assumptions'!$B$8/2,'I_Budget Input Data'!$D$11*0.6/('I_Inputs &amp; Assumptions'!$B$8/2),'I_Budget Input Data'!$D$11*0.4/('I_Inputs &amp; Assumptions'!$B$8/2)),IF('I_Budget Input Data'!$E$11="Back-loaded",IF(21&lt;='I_Inputs &amp; Assumptions'!$B$8/2,'I_Budget Input Data'!$D$11*0.4/('I_Inputs &amp; Assumptions'!$B$8/2),'I_Budget Input Data'!$D$11*0.6/('I_Inputs &amp; Assumptions'!$B$8/2)),IF('I_Budget Input Data'!$E$11="Mid-weighted",IF(21&lt;='I_Inputs &amp; Assumptions'!$B$8/4,'I_Budget Input Data'!$D$11*0.2/('I_Inputs &amp; Assumptions'!$B$8/4),IF(21&lt;='I_Inputs &amp; Assumptions'!$B$8*0.75,'I_Budget Input Data'!$D$11*0.6/('I_Inputs &amp; Assumptions'!$B$8/2),'I_Budget Input Data'!$D$11*0.2/('I_Inputs &amp; Assumptions'!$B$8/4))),IF('I_Budget Input Data'!$E$11="At Completion",IF(21='I_Inputs &amp; Assumptions'!$B$8,'I_Budget Input Data'!$D$11,0),'I_Budget Input Data'!$D$11/'I_Inputs &amp; Assumptions'!$B$8)))))),0)</f>
        <v>0</v>
      </c>
      <c r="X11" s="91">
        <f>IF(22&lt;='I_Inputs &amp; Assumptions'!$B$8,IF('I_Budget Input Data'!$E$11="Upfront",IF(22=1,'I_Budget Input Data'!$D$11,0),IF('I_Budget Input Data'!$E$11="Equal",'I_Budget Input Data'!$D$11/'I_Inputs &amp; Assumptions'!$B$8,IF('I_Budget Input Data'!$E$11="Front-loaded",IF(22&lt;='I_Inputs &amp; Assumptions'!$B$8/2,'I_Budget Input Data'!$D$11*0.6/('I_Inputs &amp; Assumptions'!$B$8/2),'I_Budget Input Data'!$D$11*0.4/('I_Inputs &amp; Assumptions'!$B$8/2)),IF('I_Budget Input Data'!$E$11="Back-loaded",IF(22&lt;='I_Inputs &amp; Assumptions'!$B$8/2,'I_Budget Input Data'!$D$11*0.4/('I_Inputs &amp; Assumptions'!$B$8/2),'I_Budget Input Data'!$D$11*0.6/('I_Inputs &amp; Assumptions'!$B$8/2)),IF('I_Budget Input Data'!$E$11="Mid-weighted",IF(22&lt;='I_Inputs &amp; Assumptions'!$B$8/4,'I_Budget Input Data'!$D$11*0.2/('I_Inputs &amp; Assumptions'!$B$8/4),IF(22&lt;='I_Inputs &amp; Assumptions'!$B$8*0.75,'I_Budget Input Data'!$D$11*0.6/('I_Inputs &amp; Assumptions'!$B$8/2),'I_Budget Input Data'!$D$11*0.2/('I_Inputs &amp; Assumptions'!$B$8/4))),IF('I_Budget Input Data'!$E$11="At Completion",IF(22='I_Inputs &amp; Assumptions'!$B$8,'I_Budget Input Data'!$D$11,0),'I_Budget Input Data'!$D$11/'I_Inputs &amp; Assumptions'!$B$8)))))),0)</f>
        <v>0</v>
      </c>
      <c r="Y11" s="91">
        <f>IF(23&lt;='I_Inputs &amp; Assumptions'!$B$8,IF('I_Budget Input Data'!$E$11="Upfront",IF(23=1,'I_Budget Input Data'!$D$11,0),IF('I_Budget Input Data'!$E$11="Equal",'I_Budget Input Data'!$D$11/'I_Inputs &amp; Assumptions'!$B$8,IF('I_Budget Input Data'!$E$11="Front-loaded",IF(23&lt;='I_Inputs &amp; Assumptions'!$B$8/2,'I_Budget Input Data'!$D$11*0.6/('I_Inputs &amp; Assumptions'!$B$8/2),'I_Budget Input Data'!$D$11*0.4/('I_Inputs &amp; Assumptions'!$B$8/2)),IF('I_Budget Input Data'!$E$11="Back-loaded",IF(23&lt;='I_Inputs &amp; Assumptions'!$B$8/2,'I_Budget Input Data'!$D$11*0.4/('I_Inputs &amp; Assumptions'!$B$8/2),'I_Budget Input Data'!$D$11*0.6/('I_Inputs &amp; Assumptions'!$B$8/2)),IF('I_Budget Input Data'!$E$11="Mid-weighted",IF(23&lt;='I_Inputs &amp; Assumptions'!$B$8/4,'I_Budget Input Data'!$D$11*0.2/('I_Inputs &amp; Assumptions'!$B$8/4),IF(23&lt;='I_Inputs &amp; Assumptions'!$B$8*0.75,'I_Budget Input Data'!$D$11*0.6/('I_Inputs &amp; Assumptions'!$B$8/2),'I_Budget Input Data'!$D$11*0.2/('I_Inputs &amp; Assumptions'!$B$8/4))),IF('I_Budget Input Data'!$E$11="At Completion",IF(23='I_Inputs &amp; Assumptions'!$B$8,'I_Budget Input Data'!$D$11,0),'I_Budget Input Data'!$D$11/'I_Inputs &amp; Assumptions'!$B$8)))))),0)</f>
        <v>0</v>
      </c>
      <c r="Z11" s="91">
        <f>IF(24&lt;='I_Inputs &amp; Assumptions'!$B$8,IF('I_Budget Input Data'!$E$11="Upfront",IF(24=1,'I_Budget Input Data'!$D$11,0),IF('I_Budget Input Data'!$E$11="Equal",'I_Budget Input Data'!$D$11/'I_Inputs &amp; Assumptions'!$B$8,IF('I_Budget Input Data'!$E$11="Front-loaded",IF(24&lt;='I_Inputs &amp; Assumptions'!$B$8/2,'I_Budget Input Data'!$D$11*0.6/('I_Inputs &amp; Assumptions'!$B$8/2),'I_Budget Input Data'!$D$11*0.4/('I_Inputs &amp; Assumptions'!$B$8/2)),IF('I_Budget Input Data'!$E$11="Back-loaded",IF(24&lt;='I_Inputs &amp; Assumptions'!$B$8/2,'I_Budget Input Data'!$D$11*0.4/('I_Inputs &amp; Assumptions'!$B$8/2),'I_Budget Input Data'!$D$11*0.6/('I_Inputs &amp; Assumptions'!$B$8/2)),IF('I_Budget Input Data'!$E$11="Mid-weighted",IF(24&lt;='I_Inputs &amp; Assumptions'!$B$8/4,'I_Budget Input Data'!$D$11*0.2/('I_Inputs &amp; Assumptions'!$B$8/4),IF(24&lt;='I_Inputs &amp; Assumptions'!$B$8*0.75,'I_Budget Input Data'!$D$11*0.6/('I_Inputs &amp; Assumptions'!$B$8/2),'I_Budget Input Data'!$D$11*0.2/('I_Inputs &amp; Assumptions'!$B$8/4))),IF('I_Budget Input Data'!$E$11="At Completion",IF(24='I_Inputs &amp; Assumptions'!$B$8,'I_Budget Input Data'!$D$11,0),'I_Budget Input Data'!$D$11/'I_Inputs &amp; Assumptions'!$B$8)))))),0)</f>
        <v>0</v>
      </c>
      <c r="AA11" s="91">
        <f>IF(25&lt;='I_Inputs &amp; Assumptions'!$B$8,IF('I_Budget Input Data'!$E$11="Upfront",IF(25=1,'I_Budget Input Data'!$D$11,0),IF('I_Budget Input Data'!$E$11="Equal",'I_Budget Input Data'!$D$11/'I_Inputs &amp; Assumptions'!$B$8,IF('I_Budget Input Data'!$E$11="Front-loaded",IF(25&lt;='I_Inputs &amp; Assumptions'!$B$8/2,'I_Budget Input Data'!$D$11*0.6/('I_Inputs &amp; Assumptions'!$B$8/2),'I_Budget Input Data'!$D$11*0.4/('I_Inputs &amp; Assumptions'!$B$8/2)),IF('I_Budget Input Data'!$E$11="Back-loaded",IF(25&lt;='I_Inputs &amp; Assumptions'!$B$8/2,'I_Budget Input Data'!$D$11*0.4/('I_Inputs &amp; Assumptions'!$B$8/2),'I_Budget Input Data'!$D$11*0.6/('I_Inputs &amp; Assumptions'!$B$8/2)),IF('I_Budget Input Data'!$E$11="Mid-weighted",IF(25&lt;='I_Inputs &amp; Assumptions'!$B$8/4,'I_Budget Input Data'!$D$11*0.2/('I_Inputs &amp; Assumptions'!$B$8/4),IF(25&lt;='I_Inputs &amp; Assumptions'!$B$8*0.75,'I_Budget Input Data'!$D$11*0.6/('I_Inputs &amp; Assumptions'!$B$8/2),'I_Budget Input Data'!$D$11*0.2/('I_Inputs &amp; Assumptions'!$B$8/4))),IF('I_Budget Input Data'!$E$11="At Completion",IF(25='I_Inputs &amp; Assumptions'!$B$8,'I_Budget Input Data'!$D$11,0),'I_Budget Input Data'!$D$11/'I_Inputs &amp; Assumptions'!$B$8)))))),0)</f>
        <v>0</v>
      </c>
      <c r="AB11" s="91">
        <f>IF(26&lt;='I_Inputs &amp; Assumptions'!$B$8,IF('I_Budget Input Data'!$E$11="Upfront",IF(26=1,'I_Budget Input Data'!$D$11,0),IF('I_Budget Input Data'!$E$11="Equal",'I_Budget Input Data'!$D$11/'I_Inputs &amp; Assumptions'!$B$8,IF('I_Budget Input Data'!$E$11="Front-loaded",IF(26&lt;='I_Inputs &amp; Assumptions'!$B$8/2,'I_Budget Input Data'!$D$11*0.6/('I_Inputs &amp; Assumptions'!$B$8/2),'I_Budget Input Data'!$D$11*0.4/('I_Inputs &amp; Assumptions'!$B$8/2)),IF('I_Budget Input Data'!$E$11="Back-loaded",IF(26&lt;='I_Inputs &amp; Assumptions'!$B$8/2,'I_Budget Input Data'!$D$11*0.4/('I_Inputs &amp; Assumptions'!$B$8/2),'I_Budget Input Data'!$D$11*0.6/('I_Inputs &amp; Assumptions'!$B$8/2)),IF('I_Budget Input Data'!$E$11="Mid-weighted",IF(26&lt;='I_Inputs &amp; Assumptions'!$B$8/4,'I_Budget Input Data'!$D$11*0.2/('I_Inputs &amp; Assumptions'!$B$8/4),IF(26&lt;='I_Inputs &amp; Assumptions'!$B$8*0.75,'I_Budget Input Data'!$D$11*0.6/('I_Inputs &amp; Assumptions'!$B$8/2),'I_Budget Input Data'!$D$11*0.2/('I_Inputs &amp; Assumptions'!$B$8/4))),IF('I_Budget Input Data'!$E$11="At Completion",IF(26='I_Inputs &amp; Assumptions'!$B$8,'I_Budget Input Data'!$D$11,0),'I_Budget Input Data'!$D$11/'I_Inputs &amp; Assumptions'!$B$8)))))),0)</f>
        <v>0</v>
      </c>
      <c r="AC11" s="91">
        <f>IF(27&lt;='I_Inputs &amp; Assumptions'!$B$8,IF('I_Budget Input Data'!$E$11="Upfront",IF(27=1,'I_Budget Input Data'!$D$11,0),IF('I_Budget Input Data'!$E$11="Equal",'I_Budget Input Data'!$D$11/'I_Inputs &amp; Assumptions'!$B$8,IF('I_Budget Input Data'!$E$11="Front-loaded",IF(27&lt;='I_Inputs &amp; Assumptions'!$B$8/2,'I_Budget Input Data'!$D$11*0.6/('I_Inputs &amp; Assumptions'!$B$8/2),'I_Budget Input Data'!$D$11*0.4/('I_Inputs &amp; Assumptions'!$B$8/2)),IF('I_Budget Input Data'!$E$11="Back-loaded",IF(27&lt;='I_Inputs &amp; Assumptions'!$B$8/2,'I_Budget Input Data'!$D$11*0.4/('I_Inputs &amp; Assumptions'!$B$8/2),'I_Budget Input Data'!$D$11*0.6/('I_Inputs &amp; Assumptions'!$B$8/2)),IF('I_Budget Input Data'!$E$11="Mid-weighted",IF(27&lt;='I_Inputs &amp; Assumptions'!$B$8/4,'I_Budget Input Data'!$D$11*0.2/('I_Inputs &amp; Assumptions'!$B$8/4),IF(27&lt;='I_Inputs &amp; Assumptions'!$B$8*0.75,'I_Budget Input Data'!$D$11*0.6/('I_Inputs &amp; Assumptions'!$B$8/2),'I_Budget Input Data'!$D$11*0.2/('I_Inputs &amp; Assumptions'!$B$8/4))),IF('I_Budget Input Data'!$E$11="At Completion",IF(27='I_Inputs &amp; Assumptions'!$B$8,'I_Budget Input Data'!$D$11,0),'I_Budget Input Data'!$D$11/'I_Inputs &amp; Assumptions'!$B$8)))))),0)</f>
        <v>0</v>
      </c>
      <c r="AD11" s="91">
        <f>IF(28&lt;='I_Inputs &amp; Assumptions'!$B$8,IF('I_Budget Input Data'!$E$11="Upfront",IF(28=1,'I_Budget Input Data'!$D$11,0),IF('I_Budget Input Data'!$E$11="Equal",'I_Budget Input Data'!$D$11/'I_Inputs &amp; Assumptions'!$B$8,IF('I_Budget Input Data'!$E$11="Front-loaded",IF(28&lt;='I_Inputs &amp; Assumptions'!$B$8/2,'I_Budget Input Data'!$D$11*0.6/('I_Inputs &amp; Assumptions'!$B$8/2),'I_Budget Input Data'!$D$11*0.4/('I_Inputs &amp; Assumptions'!$B$8/2)),IF('I_Budget Input Data'!$E$11="Back-loaded",IF(28&lt;='I_Inputs &amp; Assumptions'!$B$8/2,'I_Budget Input Data'!$D$11*0.4/('I_Inputs &amp; Assumptions'!$B$8/2),'I_Budget Input Data'!$D$11*0.6/('I_Inputs &amp; Assumptions'!$B$8/2)),IF('I_Budget Input Data'!$E$11="Mid-weighted",IF(28&lt;='I_Inputs &amp; Assumptions'!$B$8/4,'I_Budget Input Data'!$D$11*0.2/('I_Inputs &amp; Assumptions'!$B$8/4),IF(28&lt;='I_Inputs &amp; Assumptions'!$B$8*0.75,'I_Budget Input Data'!$D$11*0.6/('I_Inputs &amp; Assumptions'!$B$8/2),'I_Budget Input Data'!$D$11*0.2/('I_Inputs &amp; Assumptions'!$B$8/4))),IF('I_Budget Input Data'!$E$11="At Completion",IF(28='I_Inputs &amp; Assumptions'!$B$8,'I_Budget Input Data'!$D$11,0),'I_Budget Input Data'!$D$11/'I_Inputs &amp; Assumptions'!$B$8)))))),0)</f>
        <v>0</v>
      </c>
      <c r="AE11" s="91">
        <f>IF(29&lt;='I_Inputs &amp; Assumptions'!$B$8,IF('I_Budget Input Data'!$E$11="Upfront",IF(29=1,'I_Budget Input Data'!$D$11,0),IF('I_Budget Input Data'!$E$11="Equal",'I_Budget Input Data'!$D$11/'I_Inputs &amp; Assumptions'!$B$8,IF('I_Budget Input Data'!$E$11="Front-loaded",IF(29&lt;='I_Inputs &amp; Assumptions'!$B$8/2,'I_Budget Input Data'!$D$11*0.6/('I_Inputs &amp; Assumptions'!$B$8/2),'I_Budget Input Data'!$D$11*0.4/('I_Inputs &amp; Assumptions'!$B$8/2)),IF('I_Budget Input Data'!$E$11="Back-loaded",IF(29&lt;='I_Inputs &amp; Assumptions'!$B$8/2,'I_Budget Input Data'!$D$11*0.4/('I_Inputs &amp; Assumptions'!$B$8/2),'I_Budget Input Data'!$D$11*0.6/('I_Inputs &amp; Assumptions'!$B$8/2)),IF('I_Budget Input Data'!$E$11="Mid-weighted",IF(29&lt;='I_Inputs &amp; Assumptions'!$B$8/4,'I_Budget Input Data'!$D$11*0.2/('I_Inputs &amp; Assumptions'!$B$8/4),IF(29&lt;='I_Inputs &amp; Assumptions'!$B$8*0.75,'I_Budget Input Data'!$D$11*0.6/('I_Inputs &amp; Assumptions'!$B$8/2),'I_Budget Input Data'!$D$11*0.2/('I_Inputs &amp; Assumptions'!$B$8/4))),IF('I_Budget Input Data'!$E$11="At Completion",IF(29='I_Inputs &amp; Assumptions'!$B$8,'I_Budget Input Data'!$D$11,0),'I_Budget Input Data'!$D$11/'I_Inputs &amp; Assumptions'!$B$8)))))),0)</f>
        <v>0</v>
      </c>
      <c r="AF11" s="91">
        <f>IF(30&lt;='I_Inputs &amp; Assumptions'!$B$8,IF('I_Budget Input Data'!$E$11="Upfront",IF(30=1,'I_Budget Input Data'!$D$11,0),IF('I_Budget Input Data'!$E$11="Equal",'I_Budget Input Data'!$D$11/'I_Inputs &amp; Assumptions'!$B$8,IF('I_Budget Input Data'!$E$11="Front-loaded",IF(30&lt;='I_Inputs &amp; Assumptions'!$B$8/2,'I_Budget Input Data'!$D$11*0.6/('I_Inputs &amp; Assumptions'!$B$8/2),'I_Budget Input Data'!$D$11*0.4/('I_Inputs &amp; Assumptions'!$B$8/2)),IF('I_Budget Input Data'!$E$11="Back-loaded",IF(30&lt;='I_Inputs &amp; Assumptions'!$B$8/2,'I_Budget Input Data'!$D$11*0.4/('I_Inputs &amp; Assumptions'!$B$8/2),'I_Budget Input Data'!$D$11*0.6/('I_Inputs &amp; Assumptions'!$B$8/2)),IF('I_Budget Input Data'!$E$11="Mid-weighted",IF(30&lt;='I_Inputs &amp; Assumptions'!$B$8/4,'I_Budget Input Data'!$D$11*0.2/('I_Inputs &amp; Assumptions'!$B$8/4),IF(30&lt;='I_Inputs &amp; Assumptions'!$B$8*0.75,'I_Budget Input Data'!$D$11*0.6/('I_Inputs &amp; Assumptions'!$B$8/2),'I_Budget Input Data'!$D$11*0.2/('I_Inputs &amp; Assumptions'!$B$8/4))),IF('I_Budget Input Data'!$E$11="At Completion",IF(30='I_Inputs &amp; Assumptions'!$B$8,'I_Budget Input Data'!$D$11,0),'I_Budget Input Data'!$D$11/'I_Inputs &amp; Assumptions'!$B$8)))))),0)</f>
        <v>0</v>
      </c>
      <c r="AG11" s="91">
        <f>IF(31&lt;='I_Inputs &amp; Assumptions'!$B$8,IF('I_Budget Input Data'!$E$11="Upfront",IF(31=1,'I_Budget Input Data'!$D$11,0),IF('I_Budget Input Data'!$E$11="Equal",'I_Budget Input Data'!$D$11/'I_Inputs &amp; Assumptions'!$B$8,IF('I_Budget Input Data'!$E$11="Front-loaded",IF(31&lt;='I_Inputs &amp; Assumptions'!$B$8/2,'I_Budget Input Data'!$D$11*0.6/('I_Inputs &amp; Assumptions'!$B$8/2),'I_Budget Input Data'!$D$11*0.4/('I_Inputs &amp; Assumptions'!$B$8/2)),IF('I_Budget Input Data'!$E$11="Back-loaded",IF(31&lt;='I_Inputs &amp; Assumptions'!$B$8/2,'I_Budget Input Data'!$D$11*0.4/('I_Inputs &amp; Assumptions'!$B$8/2),'I_Budget Input Data'!$D$11*0.6/('I_Inputs &amp; Assumptions'!$B$8/2)),IF('I_Budget Input Data'!$E$11="Mid-weighted",IF(31&lt;='I_Inputs &amp; Assumptions'!$B$8/4,'I_Budget Input Data'!$D$11*0.2/('I_Inputs &amp; Assumptions'!$B$8/4),IF(31&lt;='I_Inputs &amp; Assumptions'!$B$8*0.75,'I_Budget Input Data'!$D$11*0.6/('I_Inputs &amp; Assumptions'!$B$8/2),'I_Budget Input Data'!$D$11*0.2/('I_Inputs &amp; Assumptions'!$B$8/4))),IF('I_Budget Input Data'!$E$11="At Completion",IF(31='I_Inputs &amp; Assumptions'!$B$8,'I_Budget Input Data'!$D$11,0),'I_Budget Input Data'!$D$11/'I_Inputs &amp; Assumptions'!$B$8)))))),0)</f>
        <v>0</v>
      </c>
      <c r="AH11" s="91">
        <f>IF(32&lt;='I_Inputs &amp; Assumptions'!$B$8,IF('I_Budget Input Data'!$E$11="Upfront",IF(32=1,'I_Budget Input Data'!$D$11,0),IF('I_Budget Input Data'!$E$11="Equal",'I_Budget Input Data'!$D$11/'I_Inputs &amp; Assumptions'!$B$8,IF('I_Budget Input Data'!$E$11="Front-loaded",IF(32&lt;='I_Inputs &amp; Assumptions'!$B$8/2,'I_Budget Input Data'!$D$11*0.6/('I_Inputs &amp; Assumptions'!$B$8/2),'I_Budget Input Data'!$D$11*0.4/('I_Inputs &amp; Assumptions'!$B$8/2)),IF('I_Budget Input Data'!$E$11="Back-loaded",IF(32&lt;='I_Inputs &amp; Assumptions'!$B$8/2,'I_Budget Input Data'!$D$11*0.4/('I_Inputs &amp; Assumptions'!$B$8/2),'I_Budget Input Data'!$D$11*0.6/('I_Inputs &amp; Assumptions'!$B$8/2)),IF('I_Budget Input Data'!$E$11="Mid-weighted",IF(32&lt;='I_Inputs &amp; Assumptions'!$B$8/4,'I_Budget Input Data'!$D$11*0.2/('I_Inputs &amp; Assumptions'!$B$8/4),IF(32&lt;='I_Inputs &amp; Assumptions'!$B$8*0.75,'I_Budget Input Data'!$D$11*0.6/('I_Inputs &amp; Assumptions'!$B$8/2),'I_Budget Input Data'!$D$11*0.2/('I_Inputs &amp; Assumptions'!$B$8/4))),IF('I_Budget Input Data'!$E$11="At Completion",IF(32='I_Inputs &amp; Assumptions'!$B$8,'I_Budget Input Data'!$D$11,0),'I_Budget Input Data'!$D$11/'I_Inputs &amp; Assumptions'!$B$8)))))),0)</f>
        <v>0</v>
      </c>
      <c r="AI11" s="91">
        <f>IF(33&lt;='I_Inputs &amp; Assumptions'!$B$8,IF('I_Budget Input Data'!$E$11="Upfront",IF(33=1,'I_Budget Input Data'!$D$11,0),IF('I_Budget Input Data'!$E$11="Equal",'I_Budget Input Data'!$D$11/'I_Inputs &amp; Assumptions'!$B$8,IF('I_Budget Input Data'!$E$11="Front-loaded",IF(33&lt;='I_Inputs &amp; Assumptions'!$B$8/2,'I_Budget Input Data'!$D$11*0.6/('I_Inputs &amp; Assumptions'!$B$8/2),'I_Budget Input Data'!$D$11*0.4/('I_Inputs &amp; Assumptions'!$B$8/2)),IF('I_Budget Input Data'!$E$11="Back-loaded",IF(33&lt;='I_Inputs &amp; Assumptions'!$B$8/2,'I_Budget Input Data'!$D$11*0.4/('I_Inputs &amp; Assumptions'!$B$8/2),'I_Budget Input Data'!$D$11*0.6/('I_Inputs &amp; Assumptions'!$B$8/2)),IF('I_Budget Input Data'!$E$11="Mid-weighted",IF(33&lt;='I_Inputs &amp; Assumptions'!$B$8/4,'I_Budget Input Data'!$D$11*0.2/('I_Inputs &amp; Assumptions'!$B$8/4),IF(33&lt;='I_Inputs &amp; Assumptions'!$B$8*0.75,'I_Budget Input Data'!$D$11*0.6/('I_Inputs &amp; Assumptions'!$B$8/2),'I_Budget Input Data'!$D$11*0.2/('I_Inputs &amp; Assumptions'!$B$8/4))),IF('I_Budget Input Data'!$E$11="At Completion",IF(33='I_Inputs &amp; Assumptions'!$B$8,'I_Budget Input Data'!$D$11,0),'I_Budget Input Data'!$D$11/'I_Inputs &amp; Assumptions'!$B$8)))))),0)</f>
        <v>0</v>
      </c>
      <c r="AJ11" s="91">
        <f>IF(34&lt;='I_Inputs &amp; Assumptions'!$B$8,IF('I_Budget Input Data'!$E$11="Upfront",IF(34=1,'I_Budget Input Data'!$D$11,0),IF('I_Budget Input Data'!$E$11="Equal",'I_Budget Input Data'!$D$11/'I_Inputs &amp; Assumptions'!$B$8,IF('I_Budget Input Data'!$E$11="Front-loaded",IF(34&lt;='I_Inputs &amp; Assumptions'!$B$8/2,'I_Budget Input Data'!$D$11*0.6/('I_Inputs &amp; Assumptions'!$B$8/2),'I_Budget Input Data'!$D$11*0.4/('I_Inputs &amp; Assumptions'!$B$8/2)),IF('I_Budget Input Data'!$E$11="Back-loaded",IF(34&lt;='I_Inputs &amp; Assumptions'!$B$8/2,'I_Budget Input Data'!$D$11*0.4/('I_Inputs &amp; Assumptions'!$B$8/2),'I_Budget Input Data'!$D$11*0.6/('I_Inputs &amp; Assumptions'!$B$8/2)),IF('I_Budget Input Data'!$E$11="Mid-weighted",IF(34&lt;='I_Inputs &amp; Assumptions'!$B$8/4,'I_Budget Input Data'!$D$11*0.2/('I_Inputs &amp; Assumptions'!$B$8/4),IF(34&lt;='I_Inputs &amp; Assumptions'!$B$8*0.75,'I_Budget Input Data'!$D$11*0.6/('I_Inputs &amp; Assumptions'!$B$8/2),'I_Budget Input Data'!$D$11*0.2/('I_Inputs &amp; Assumptions'!$B$8/4))),IF('I_Budget Input Data'!$E$11="At Completion",IF(34='I_Inputs &amp; Assumptions'!$B$8,'I_Budget Input Data'!$D$11,0),'I_Budget Input Data'!$D$11/'I_Inputs &amp; Assumptions'!$B$8)))))),0)</f>
        <v>0</v>
      </c>
      <c r="AK11" s="91">
        <f>IF(35&lt;='I_Inputs &amp; Assumptions'!$B$8,IF('I_Budget Input Data'!$E$11="Upfront",IF(35=1,'I_Budget Input Data'!$D$11,0),IF('I_Budget Input Data'!$E$11="Equal",'I_Budget Input Data'!$D$11/'I_Inputs &amp; Assumptions'!$B$8,IF('I_Budget Input Data'!$E$11="Front-loaded",IF(35&lt;='I_Inputs &amp; Assumptions'!$B$8/2,'I_Budget Input Data'!$D$11*0.6/('I_Inputs &amp; Assumptions'!$B$8/2),'I_Budget Input Data'!$D$11*0.4/('I_Inputs &amp; Assumptions'!$B$8/2)),IF('I_Budget Input Data'!$E$11="Back-loaded",IF(35&lt;='I_Inputs &amp; Assumptions'!$B$8/2,'I_Budget Input Data'!$D$11*0.4/('I_Inputs &amp; Assumptions'!$B$8/2),'I_Budget Input Data'!$D$11*0.6/('I_Inputs &amp; Assumptions'!$B$8/2)),IF('I_Budget Input Data'!$E$11="Mid-weighted",IF(35&lt;='I_Inputs &amp; Assumptions'!$B$8/4,'I_Budget Input Data'!$D$11*0.2/('I_Inputs &amp; Assumptions'!$B$8/4),IF(35&lt;='I_Inputs &amp; Assumptions'!$B$8*0.75,'I_Budget Input Data'!$D$11*0.6/('I_Inputs &amp; Assumptions'!$B$8/2),'I_Budget Input Data'!$D$11*0.2/('I_Inputs &amp; Assumptions'!$B$8/4))),IF('I_Budget Input Data'!$E$11="At Completion",IF(35='I_Inputs &amp; Assumptions'!$B$8,'I_Budget Input Data'!$D$11,0),'I_Budget Input Data'!$D$11/'I_Inputs &amp; Assumptions'!$B$8)))))),0)</f>
        <v>0</v>
      </c>
      <c r="AL11" s="91">
        <f>IF(36&lt;='I_Inputs &amp; Assumptions'!$B$8,IF('I_Budget Input Data'!$E$11="Upfront",IF(36=1,'I_Budget Input Data'!$D$11,0),IF('I_Budget Input Data'!$E$11="Equal",'I_Budget Input Data'!$D$11/'I_Inputs &amp; Assumptions'!$B$8,IF('I_Budget Input Data'!$E$11="Front-loaded",IF(36&lt;='I_Inputs &amp; Assumptions'!$B$8/2,'I_Budget Input Data'!$D$11*0.6/('I_Inputs &amp; Assumptions'!$B$8/2),'I_Budget Input Data'!$D$11*0.4/('I_Inputs &amp; Assumptions'!$B$8/2)),IF('I_Budget Input Data'!$E$11="Back-loaded",IF(36&lt;='I_Inputs &amp; Assumptions'!$B$8/2,'I_Budget Input Data'!$D$11*0.4/('I_Inputs &amp; Assumptions'!$B$8/2),'I_Budget Input Data'!$D$11*0.6/('I_Inputs &amp; Assumptions'!$B$8/2)),IF('I_Budget Input Data'!$E$11="Mid-weighted",IF(36&lt;='I_Inputs &amp; Assumptions'!$B$8/4,'I_Budget Input Data'!$D$11*0.2/('I_Inputs &amp; Assumptions'!$B$8/4),IF(36&lt;='I_Inputs &amp; Assumptions'!$B$8*0.75,'I_Budget Input Data'!$D$11*0.6/('I_Inputs &amp; Assumptions'!$B$8/2),'I_Budget Input Data'!$D$11*0.2/('I_Inputs &amp; Assumptions'!$B$8/4))),IF('I_Budget Input Data'!$E$11="At Completion",IF(36='I_Inputs &amp; Assumptions'!$B$8,'I_Budget Input Data'!$D$11,0),'I_Budget Input Data'!$D$11/'I_Inputs &amp; Assumptions'!$B$8)))))),0)</f>
        <v>0</v>
      </c>
    </row>
    <row r="12" spans="1:38" ht="15" customHeight="1" x14ac:dyDescent="0.2">
      <c r="A12" t="s">
        <v>136</v>
      </c>
      <c r="B12" t="s">
        <v>139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1">
        <v>0</v>
      </c>
      <c r="AB12" s="91">
        <v>0</v>
      </c>
      <c r="AC12" s="91">
        <v>0</v>
      </c>
      <c r="AD12" s="91">
        <v>0</v>
      </c>
      <c r="AE12" s="91">
        <v>0</v>
      </c>
      <c r="AF12" s="91">
        <v>0</v>
      </c>
      <c r="AG12" s="91">
        <v>0</v>
      </c>
      <c r="AH12" s="91">
        <v>0</v>
      </c>
      <c r="AI12" s="91">
        <v>0</v>
      </c>
      <c r="AJ12" s="91">
        <v>0</v>
      </c>
      <c r="AK12" s="91">
        <v>0</v>
      </c>
      <c r="AL12" s="91">
        <v>0</v>
      </c>
    </row>
    <row r="13" spans="1:38" ht="15" customHeight="1" x14ac:dyDescent="0.2">
      <c r="A13" t="s">
        <v>136</v>
      </c>
      <c r="B13" t="s">
        <v>140</v>
      </c>
      <c r="C13" s="91">
        <f>IF(1&lt;='I_Inputs &amp; Assumptions'!$B$8,IF('I_Budget Input Data'!$E$13="Upfront",IF(1=1,'I_Budget Input Data'!$D$13,0),IF('I_Budget Input Data'!$E$13="Equal",'I_Budget Input Data'!$D$13/'I_Inputs &amp; Assumptions'!$B$8,IF('I_Budget Input Data'!$E$13="Front-loaded",IF(1&lt;='I_Inputs &amp; Assumptions'!$B$8/2,'I_Budget Input Data'!$D$13*0.6/('I_Inputs &amp; Assumptions'!$B$8/2),'I_Budget Input Data'!$D$13*0.4/('I_Inputs &amp; Assumptions'!$B$8/2)),IF('I_Budget Input Data'!$E$13="Back-loaded",IF(1&lt;='I_Inputs &amp; Assumptions'!$B$8/2,'I_Budget Input Data'!$D$13*0.4/('I_Inputs &amp; Assumptions'!$B$8/2),'I_Budget Input Data'!$D$13*0.6/('I_Inputs &amp; Assumptions'!$B$8/2)),IF('I_Budget Input Data'!$E$13="Mid-weighted",IF(1&lt;='I_Inputs &amp; Assumptions'!$B$8/4,'I_Budget Input Data'!$D$13*0.2/('I_Inputs &amp; Assumptions'!$B$8/4),IF(1&lt;='I_Inputs &amp; Assumptions'!$B$8*0.75,'I_Budget Input Data'!$D$13*0.6/('I_Inputs &amp; Assumptions'!$B$8/2),'I_Budget Input Data'!$D$13*0.2/('I_Inputs &amp; Assumptions'!$B$8/4))),IF('I_Budget Input Data'!$E$13="At Completion",IF(1='I_Inputs &amp; Assumptions'!$B$8,'I_Budget Input Data'!$D$13,0),'I_Budget Input Data'!$D$13/'I_Inputs &amp; Assumptions'!$B$8)))))),0)</f>
        <v>13210.43076923077</v>
      </c>
      <c r="D13" s="91">
        <f>IF(2&lt;='I_Inputs &amp; Assumptions'!$B$8,IF('I_Budget Input Data'!$E$13="Upfront",IF(2=1,'I_Budget Input Data'!$D$13,0),IF('I_Budget Input Data'!$E$13="Equal",'I_Budget Input Data'!$D$13/'I_Inputs &amp; Assumptions'!$B$8,IF('I_Budget Input Data'!$E$13="Front-loaded",IF(2&lt;='I_Inputs &amp; Assumptions'!$B$8/2,'I_Budget Input Data'!$D$13*0.6/('I_Inputs &amp; Assumptions'!$B$8/2),'I_Budget Input Data'!$D$13*0.4/('I_Inputs &amp; Assumptions'!$B$8/2)),IF('I_Budget Input Data'!$E$13="Back-loaded",IF(2&lt;='I_Inputs &amp; Assumptions'!$B$8/2,'I_Budget Input Data'!$D$13*0.4/('I_Inputs &amp; Assumptions'!$B$8/2),'I_Budget Input Data'!$D$13*0.6/('I_Inputs &amp; Assumptions'!$B$8/2)),IF('I_Budget Input Data'!$E$13="Mid-weighted",IF(2&lt;='I_Inputs &amp; Assumptions'!$B$8/4,'I_Budget Input Data'!$D$13*0.2/('I_Inputs &amp; Assumptions'!$B$8/4),IF(2&lt;='I_Inputs &amp; Assumptions'!$B$8*0.75,'I_Budget Input Data'!$D$13*0.6/('I_Inputs &amp; Assumptions'!$B$8/2),'I_Budget Input Data'!$D$13*0.2/('I_Inputs &amp; Assumptions'!$B$8/4))),IF('I_Budget Input Data'!$E$13="At Completion",IF(2='I_Inputs &amp; Assumptions'!$B$8,'I_Budget Input Data'!$D$13,0),'I_Budget Input Data'!$D$13/'I_Inputs &amp; Assumptions'!$B$8)))))),0)</f>
        <v>13210.43076923077</v>
      </c>
      <c r="E13" s="91">
        <f>IF(3&lt;='I_Inputs &amp; Assumptions'!$B$8,IF('I_Budget Input Data'!$E$13="Upfront",IF(3=1,'I_Budget Input Data'!$D$13,0),IF('I_Budget Input Data'!$E$13="Equal",'I_Budget Input Data'!$D$13/'I_Inputs &amp; Assumptions'!$B$8,IF('I_Budget Input Data'!$E$13="Front-loaded",IF(3&lt;='I_Inputs &amp; Assumptions'!$B$8/2,'I_Budget Input Data'!$D$13*0.6/('I_Inputs &amp; Assumptions'!$B$8/2),'I_Budget Input Data'!$D$13*0.4/('I_Inputs &amp; Assumptions'!$B$8/2)),IF('I_Budget Input Data'!$E$13="Back-loaded",IF(3&lt;='I_Inputs &amp; Assumptions'!$B$8/2,'I_Budget Input Data'!$D$13*0.4/('I_Inputs &amp; Assumptions'!$B$8/2),'I_Budget Input Data'!$D$13*0.6/('I_Inputs &amp; Assumptions'!$B$8/2)),IF('I_Budget Input Data'!$E$13="Mid-weighted",IF(3&lt;='I_Inputs &amp; Assumptions'!$B$8/4,'I_Budget Input Data'!$D$13*0.2/('I_Inputs &amp; Assumptions'!$B$8/4),IF(3&lt;='I_Inputs &amp; Assumptions'!$B$8*0.75,'I_Budget Input Data'!$D$13*0.6/('I_Inputs &amp; Assumptions'!$B$8/2),'I_Budget Input Data'!$D$13*0.2/('I_Inputs &amp; Assumptions'!$B$8/4))),IF('I_Budget Input Data'!$E$13="At Completion",IF(3='I_Inputs &amp; Assumptions'!$B$8,'I_Budget Input Data'!$D$13,0),'I_Budget Input Data'!$D$13/'I_Inputs &amp; Assumptions'!$B$8)))))),0)</f>
        <v>13210.43076923077</v>
      </c>
      <c r="F13" s="91">
        <f>IF(4&lt;='I_Inputs &amp; Assumptions'!$B$8,IF('I_Budget Input Data'!$E$13="Upfront",IF(4=1,'I_Budget Input Data'!$D$13,0),IF('I_Budget Input Data'!$E$13="Equal",'I_Budget Input Data'!$D$13/'I_Inputs &amp; Assumptions'!$B$8,IF('I_Budget Input Data'!$E$13="Front-loaded",IF(4&lt;='I_Inputs &amp; Assumptions'!$B$8/2,'I_Budget Input Data'!$D$13*0.6/('I_Inputs &amp; Assumptions'!$B$8/2),'I_Budget Input Data'!$D$13*0.4/('I_Inputs &amp; Assumptions'!$B$8/2)),IF('I_Budget Input Data'!$E$13="Back-loaded",IF(4&lt;='I_Inputs &amp; Assumptions'!$B$8/2,'I_Budget Input Data'!$D$13*0.4/('I_Inputs &amp; Assumptions'!$B$8/2),'I_Budget Input Data'!$D$13*0.6/('I_Inputs &amp; Assumptions'!$B$8/2)),IF('I_Budget Input Data'!$E$13="Mid-weighted",IF(4&lt;='I_Inputs &amp; Assumptions'!$B$8/4,'I_Budget Input Data'!$D$13*0.2/('I_Inputs &amp; Assumptions'!$B$8/4),IF(4&lt;='I_Inputs &amp; Assumptions'!$B$8*0.75,'I_Budget Input Data'!$D$13*0.6/('I_Inputs &amp; Assumptions'!$B$8/2),'I_Budget Input Data'!$D$13*0.2/('I_Inputs &amp; Assumptions'!$B$8/4))),IF('I_Budget Input Data'!$E$13="At Completion",IF(4='I_Inputs &amp; Assumptions'!$B$8,'I_Budget Input Data'!$D$13,0),'I_Budget Input Data'!$D$13/'I_Inputs &amp; Assumptions'!$B$8)))))),0)</f>
        <v>13210.43076923077</v>
      </c>
      <c r="G13" s="91">
        <f>IF(5&lt;='I_Inputs &amp; Assumptions'!$B$8,IF('I_Budget Input Data'!$E$13="Upfront",IF(5=1,'I_Budget Input Data'!$D$13,0),IF('I_Budget Input Data'!$E$13="Equal",'I_Budget Input Data'!$D$13/'I_Inputs &amp; Assumptions'!$B$8,IF('I_Budget Input Data'!$E$13="Front-loaded",IF(5&lt;='I_Inputs &amp; Assumptions'!$B$8/2,'I_Budget Input Data'!$D$13*0.6/('I_Inputs &amp; Assumptions'!$B$8/2),'I_Budget Input Data'!$D$13*0.4/('I_Inputs &amp; Assumptions'!$B$8/2)),IF('I_Budget Input Data'!$E$13="Back-loaded",IF(5&lt;='I_Inputs &amp; Assumptions'!$B$8/2,'I_Budget Input Data'!$D$13*0.4/('I_Inputs &amp; Assumptions'!$B$8/2),'I_Budget Input Data'!$D$13*0.6/('I_Inputs &amp; Assumptions'!$B$8/2)),IF('I_Budget Input Data'!$E$13="Mid-weighted",IF(5&lt;='I_Inputs &amp; Assumptions'!$B$8/4,'I_Budget Input Data'!$D$13*0.2/('I_Inputs &amp; Assumptions'!$B$8/4),IF(5&lt;='I_Inputs &amp; Assumptions'!$B$8*0.75,'I_Budget Input Data'!$D$13*0.6/('I_Inputs &amp; Assumptions'!$B$8/2),'I_Budget Input Data'!$D$13*0.2/('I_Inputs &amp; Assumptions'!$B$8/4))),IF('I_Budget Input Data'!$E$13="At Completion",IF(5='I_Inputs &amp; Assumptions'!$B$8,'I_Budget Input Data'!$D$13,0),'I_Budget Input Data'!$D$13/'I_Inputs &amp; Assumptions'!$B$8)))))),0)</f>
        <v>13210.43076923077</v>
      </c>
      <c r="H13" s="91">
        <f>IF(6&lt;='I_Inputs &amp; Assumptions'!$B$8,IF('I_Budget Input Data'!$E$13="Upfront",IF(6=1,'I_Budget Input Data'!$D$13,0),IF('I_Budget Input Data'!$E$13="Equal",'I_Budget Input Data'!$D$13/'I_Inputs &amp; Assumptions'!$B$8,IF('I_Budget Input Data'!$E$13="Front-loaded",IF(6&lt;='I_Inputs &amp; Assumptions'!$B$8/2,'I_Budget Input Data'!$D$13*0.6/('I_Inputs &amp; Assumptions'!$B$8/2),'I_Budget Input Data'!$D$13*0.4/('I_Inputs &amp; Assumptions'!$B$8/2)),IF('I_Budget Input Data'!$E$13="Back-loaded",IF(6&lt;='I_Inputs &amp; Assumptions'!$B$8/2,'I_Budget Input Data'!$D$13*0.4/('I_Inputs &amp; Assumptions'!$B$8/2),'I_Budget Input Data'!$D$13*0.6/('I_Inputs &amp; Assumptions'!$B$8/2)),IF('I_Budget Input Data'!$E$13="Mid-weighted",IF(6&lt;='I_Inputs &amp; Assumptions'!$B$8/4,'I_Budget Input Data'!$D$13*0.2/('I_Inputs &amp; Assumptions'!$B$8/4),IF(6&lt;='I_Inputs &amp; Assumptions'!$B$8*0.75,'I_Budget Input Data'!$D$13*0.6/('I_Inputs &amp; Assumptions'!$B$8/2),'I_Budget Input Data'!$D$13*0.2/('I_Inputs &amp; Assumptions'!$B$8/4))),IF('I_Budget Input Data'!$E$13="At Completion",IF(6='I_Inputs &amp; Assumptions'!$B$8,'I_Budget Input Data'!$D$13,0),'I_Budget Input Data'!$D$13/'I_Inputs &amp; Assumptions'!$B$8)))))),0)</f>
        <v>13210.43076923077</v>
      </c>
      <c r="I13" s="91">
        <f>IF(7&lt;='I_Inputs &amp; Assumptions'!$B$8,IF('I_Budget Input Data'!$E$13="Upfront",IF(7=1,'I_Budget Input Data'!$D$13,0),IF('I_Budget Input Data'!$E$13="Equal",'I_Budget Input Data'!$D$13/'I_Inputs &amp; Assumptions'!$B$8,IF('I_Budget Input Data'!$E$13="Front-loaded",IF(7&lt;='I_Inputs &amp; Assumptions'!$B$8/2,'I_Budget Input Data'!$D$13*0.6/('I_Inputs &amp; Assumptions'!$B$8/2),'I_Budget Input Data'!$D$13*0.4/('I_Inputs &amp; Assumptions'!$B$8/2)),IF('I_Budget Input Data'!$E$13="Back-loaded",IF(7&lt;='I_Inputs &amp; Assumptions'!$B$8/2,'I_Budget Input Data'!$D$13*0.4/('I_Inputs &amp; Assumptions'!$B$8/2),'I_Budget Input Data'!$D$13*0.6/('I_Inputs &amp; Assumptions'!$B$8/2)),IF('I_Budget Input Data'!$E$13="Mid-weighted",IF(7&lt;='I_Inputs &amp; Assumptions'!$B$8/4,'I_Budget Input Data'!$D$13*0.2/('I_Inputs &amp; Assumptions'!$B$8/4),IF(7&lt;='I_Inputs &amp; Assumptions'!$B$8*0.75,'I_Budget Input Data'!$D$13*0.6/('I_Inputs &amp; Assumptions'!$B$8/2),'I_Budget Input Data'!$D$13*0.2/('I_Inputs &amp; Assumptions'!$B$8/4))),IF('I_Budget Input Data'!$E$13="At Completion",IF(7='I_Inputs &amp; Assumptions'!$B$8,'I_Budget Input Data'!$D$13,0),'I_Budget Input Data'!$D$13/'I_Inputs &amp; Assumptions'!$B$8)))))),0)</f>
        <v>8806.9538461538468</v>
      </c>
      <c r="J13" s="91">
        <f>IF(8&lt;='I_Inputs &amp; Assumptions'!$B$8,IF('I_Budget Input Data'!$E$13="Upfront",IF(8=1,'I_Budget Input Data'!$D$13,0),IF('I_Budget Input Data'!$E$13="Equal",'I_Budget Input Data'!$D$13/'I_Inputs &amp; Assumptions'!$B$8,IF('I_Budget Input Data'!$E$13="Front-loaded",IF(8&lt;='I_Inputs &amp; Assumptions'!$B$8/2,'I_Budget Input Data'!$D$13*0.6/('I_Inputs &amp; Assumptions'!$B$8/2),'I_Budget Input Data'!$D$13*0.4/('I_Inputs &amp; Assumptions'!$B$8/2)),IF('I_Budget Input Data'!$E$13="Back-loaded",IF(8&lt;='I_Inputs &amp; Assumptions'!$B$8/2,'I_Budget Input Data'!$D$13*0.4/('I_Inputs &amp; Assumptions'!$B$8/2),'I_Budget Input Data'!$D$13*0.6/('I_Inputs &amp; Assumptions'!$B$8/2)),IF('I_Budget Input Data'!$E$13="Mid-weighted",IF(8&lt;='I_Inputs &amp; Assumptions'!$B$8/4,'I_Budget Input Data'!$D$13*0.2/('I_Inputs &amp; Assumptions'!$B$8/4),IF(8&lt;='I_Inputs &amp; Assumptions'!$B$8*0.75,'I_Budget Input Data'!$D$13*0.6/('I_Inputs &amp; Assumptions'!$B$8/2),'I_Budget Input Data'!$D$13*0.2/('I_Inputs &amp; Assumptions'!$B$8/4))),IF('I_Budget Input Data'!$E$13="At Completion",IF(8='I_Inputs &amp; Assumptions'!$B$8,'I_Budget Input Data'!$D$13,0),'I_Budget Input Data'!$D$13/'I_Inputs &amp; Assumptions'!$B$8)))))),0)</f>
        <v>8806.9538461538468</v>
      </c>
      <c r="K13" s="91">
        <f>IF(9&lt;='I_Inputs &amp; Assumptions'!$B$8,IF('I_Budget Input Data'!$E$13="Upfront",IF(9=1,'I_Budget Input Data'!$D$13,0),IF('I_Budget Input Data'!$E$13="Equal",'I_Budget Input Data'!$D$13/'I_Inputs &amp; Assumptions'!$B$8,IF('I_Budget Input Data'!$E$13="Front-loaded",IF(9&lt;='I_Inputs &amp; Assumptions'!$B$8/2,'I_Budget Input Data'!$D$13*0.6/('I_Inputs &amp; Assumptions'!$B$8/2),'I_Budget Input Data'!$D$13*0.4/('I_Inputs &amp; Assumptions'!$B$8/2)),IF('I_Budget Input Data'!$E$13="Back-loaded",IF(9&lt;='I_Inputs &amp; Assumptions'!$B$8/2,'I_Budget Input Data'!$D$13*0.4/('I_Inputs &amp; Assumptions'!$B$8/2),'I_Budget Input Data'!$D$13*0.6/('I_Inputs &amp; Assumptions'!$B$8/2)),IF('I_Budget Input Data'!$E$13="Mid-weighted",IF(9&lt;='I_Inputs &amp; Assumptions'!$B$8/4,'I_Budget Input Data'!$D$13*0.2/('I_Inputs &amp; Assumptions'!$B$8/4),IF(9&lt;='I_Inputs &amp; Assumptions'!$B$8*0.75,'I_Budget Input Data'!$D$13*0.6/('I_Inputs &amp; Assumptions'!$B$8/2),'I_Budget Input Data'!$D$13*0.2/('I_Inputs &amp; Assumptions'!$B$8/4))),IF('I_Budget Input Data'!$E$13="At Completion",IF(9='I_Inputs &amp; Assumptions'!$B$8,'I_Budget Input Data'!$D$13,0),'I_Budget Input Data'!$D$13/'I_Inputs &amp; Assumptions'!$B$8)))))),0)</f>
        <v>8806.9538461538468</v>
      </c>
      <c r="L13" s="91">
        <f>IF(10&lt;='I_Inputs &amp; Assumptions'!$B$8,IF('I_Budget Input Data'!$E$13="Upfront",IF(10=1,'I_Budget Input Data'!$D$13,0),IF('I_Budget Input Data'!$E$13="Equal",'I_Budget Input Data'!$D$13/'I_Inputs &amp; Assumptions'!$B$8,IF('I_Budget Input Data'!$E$13="Front-loaded",IF(10&lt;='I_Inputs &amp; Assumptions'!$B$8/2,'I_Budget Input Data'!$D$13*0.6/('I_Inputs &amp; Assumptions'!$B$8/2),'I_Budget Input Data'!$D$13*0.4/('I_Inputs &amp; Assumptions'!$B$8/2)),IF('I_Budget Input Data'!$E$13="Back-loaded",IF(10&lt;='I_Inputs &amp; Assumptions'!$B$8/2,'I_Budget Input Data'!$D$13*0.4/('I_Inputs &amp; Assumptions'!$B$8/2),'I_Budget Input Data'!$D$13*0.6/('I_Inputs &amp; Assumptions'!$B$8/2)),IF('I_Budget Input Data'!$E$13="Mid-weighted",IF(10&lt;='I_Inputs &amp; Assumptions'!$B$8/4,'I_Budget Input Data'!$D$13*0.2/('I_Inputs &amp; Assumptions'!$B$8/4),IF(10&lt;='I_Inputs &amp; Assumptions'!$B$8*0.75,'I_Budget Input Data'!$D$13*0.6/('I_Inputs &amp; Assumptions'!$B$8/2),'I_Budget Input Data'!$D$13*0.2/('I_Inputs &amp; Assumptions'!$B$8/4))),IF('I_Budget Input Data'!$E$13="At Completion",IF(10='I_Inputs &amp; Assumptions'!$B$8,'I_Budget Input Data'!$D$13,0),'I_Budget Input Data'!$D$13/'I_Inputs &amp; Assumptions'!$B$8)))))),0)</f>
        <v>8806.9538461538468</v>
      </c>
      <c r="M13" s="91">
        <f>IF(11&lt;='I_Inputs &amp; Assumptions'!$B$8,IF('I_Budget Input Data'!$E$13="Upfront",IF(11=1,'I_Budget Input Data'!$D$13,0),IF('I_Budget Input Data'!$E$13="Equal",'I_Budget Input Data'!$D$13/'I_Inputs &amp; Assumptions'!$B$8,IF('I_Budget Input Data'!$E$13="Front-loaded",IF(11&lt;='I_Inputs &amp; Assumptions'!$B$8/2,'I_Budget Input Data'!$D$13*0.6/('I_Inputs &amp; Assumptions'!$B$8/2),'I_Budget Input Data'!$D$13*0.4/('I_Inputs &amp; Assumptions'!$B$8/2)),IF('I_Budget Input Data'!$E$13="Back-loaded",IF(11&lt;='I_Inputs &amp; Assumptions'!$B$8/2,'I_Budget Input Data'!$D$13*0.4/('I_Inputs &amp; Assumptions'!$B$8/2),'I_Budget Input Data'!$D$13*0.6/('I_Inputs &amp; Assumptions'!$B$8/2)),IF('I_Budget Input Data'!$E$13="Mid-weighted",IF(11&lt;='I_Inputs &amp; Assumptions'!$B$8/4,'I_Budget Input Data'!$D$13*0.2/('I_Inputs &amp; Assumptions'!$B$8/4),IF(11&lt;='I_Inputs &amp; Assumptions'!$B$8*0.75,'I_Budget Input Data'!$D$13*0.6/('I_Inputs &amp; Assumptions'!$B$8/2),'I_Budget Input Data'!$D$13*0.2/('I_Inputs &amp; Assumptions'!$B$8/4))),IF('I_Budget Input Data'!$E$13="At Completion",IF(11='I_Inputs &amp; Assumptions'!$B$8,'I_Budget Input Data'!$D$13,0),'I_Budget Input Data'!$D$13/'I_Inputs &amp; Assumptions'!$B$8)))))),0)</f>
        <v>8806.9538461538468</v>
      </c>
      <c r="N13" s="91">
        <f>IF(12&lt;='I_Inputs &amp; Assumptions'!$B$8,IF('I_Budget Input Data'!$E$13="Upfront",IF(12=1,'I_Budget Input Data'!$D$13,0),IF('I_Budget Input Data'!$E$13="Equal",'I_Budget Input Data'!$D$13/'I_Inputs &amp; Assumptions'!$B$8,IF('I_Budget Input Data'!$E$13="Front-loaded",IF(12&lt;='I_Inputs &amp; Assumptions'!$B$8/2,'I_Budget Input Data'!$D$13*0.6/('I_Inputs &amp; Assumptions'!$B$8/2),'I_Budget Input Data'!$D$13*0.4/('I_Inputs &amp; Assumptions'!$B$8/2)),IF('I_Budget Input Data'!$E$13="Back-loaded",IF(12&lt;='I_Inputs &amp; Assumptions'!$B$8/2,'I_Budget Input Data'!$D$13*0.4/('I_Inputs &amp; Assumptions'!$B$8/2),'I_Budget Input Data'!$D$13*0.6/('I_Inputs &amp; Assumptions'!$B$8/2)),IF('I_Budget Input Data'!$E$13="Mid-weighted",IF(12&lt;='I_Inputs &amp; Assumptions'!$B$8/4,'I_Budget Input Data'!$D$13*0.2/('I_Inputs &amp; Assumptions'!$B$8/4),IF(12&lt;='I_Inputs &amp; Assumptions'!$B$8*0.75,'I_Budget Input Data'!$D$13*0.6/('I_Inputs &amp; Assumptions'!$B$8/2),'I_Budget Input Data'!$D$13*0.2/('I_Inputs &amp; Assumptions'!$B$8/4))),IF('I_Budget Input Data'!$E$13="At Completion",IF(12='I_Inputs &amp; Assumptions'!$B$8,'I_Budget Input Data'!$D$13,0),'I_Budget Input Data'!$D$13/'I_Inputs &amp; Assumptions'!$B$8)))))),0)</f>
        <v>8806.9538461538468</v>
      </c>
      <c r="O13" s="91">
        <f>IF(13&lt;='I_Inputs &amp; Assumptions'!$B$8,IF('I_Budget Input Data'!$E$13="Upfront",IF(13=1,'I_Budget Input Data'!$D$13,0),IF('I_Budget Input Data'!$E$13="Equal",'I_Budget Input Data'!$D$13/'I_Inputs &amp; Assumptions'!$B$8,IF('I_Budget Input Data'!$E$13="Front-loaded",IF(13&lt;='I_Inputs &amp; Assumptions'!$B$8/2,'I_Budget Input Data'!$D$13*0.6/('I_Inputs &amp; Assumptions'!$B$8/2),'I_Budget Input Data'!$D$13*0.4/('I_Inputs &amp; Assumptions'!$B$8/2)),IF('I_Budget Input Data'!$E$13="Back-loaded",IF(13&lt;='I_Inputs &amp; Assumptions'!$B$8/2,'I_Budget Input Data'!$D$13*0.4/('I_Inputs &amp; Assumptions'!$B$8/2),'I_Budget Input Data'!$D$13*0.6/('I_Inputs &amp; Assumptions'!$B$8/2)),IF('I_Budget Input Data'!$E$13="Mid-weighted",IF(13&lt;='I_Inputs &amp; Assumptions'!$B$8/4,'I_Budget Input Data'!$D$13*0.2/('I_Inputs &amp; Assumptions'!$B$8/4),IF(13&lt;='I_Inputs &amp; Assumptions'!$B$8*0.75,'I_Budget Input Data'!$D$13*0.6/('I_Inputs &amp; Assumptions'!$B$8/2),'I_Budget Input Data'!$D$13*0.2/('I_Inputs &amp; Assumptions'!$B$8/4))),IF('I_Budget Input Data'!$E$13="At Completion",IF(13='I_Inputs &amp; Assumptions'!$B$8,'I_Budget Input Data'!$D$13,0),'I_Budget Input Data'!$D$13/'I_Inputs &amp; Assumptions'!$B$8)))))),0)</f>
        <v>8806.9538461538468</v>
      </c>
      <c r="P13" s="91">
        <f>IF(14&lt;='I_Inputs &amp; Assumptions'!$B$8,IF('I_Budget Input Data'!$E$13="Upfront",IF(14=1,'I_Budget Input Data'!$D$13,0),IF('I_Budget Input Data'!$E$13="Equal",'I_Budget Input Data'!$D$13/'I_Inputs &amp; Assumptions'!$B$8,IF('I_Budget Input Data'!$E$13="Front-loaded",IF(14&lt;='I_Inputs &amp; Assumptions'!$B$8/2,'I_Budget Input Data'!$D$13*0.6/('I_Inputs &amp; Assumptions'!$B$8/2),'I_Budget Input Data'!$D$13*0.4/('I_Inputs &amp; Assumptions'!$B$8/2)),IF('I_Budget Input Data'!$E$13="Back-loaded",IF(14&lt;='I_Inputs &amp; Assumptions'!$B$8/2,'I_Budget Input Data'!$D$13*0.4/('I_Inputs &amp; Assumptions'!$B$8/2),'I_Budget Input Data'!$D$13*0.6/('I_Inputs &amp; Assumptions'!$B$8/2)),IF('I_Budget Input Data'!$E$13="Mid-weighted",IF(14&lt;='I_Inputs &amp; Assumptions'!$B$8/4,'I_Budget Input Data'!$D$13*0.2/('I_Inputs &amp; Assumptions'!$B$8/4),IF(14&lt;='I_Inputs &amp; Assumptions'!$B$8*0.75,'I_Budget Input Data'!$D$13*0.6/('I_Inputs &amp; Assumptions'!$B$8/2),'I_Budget Input Data'!$D$13*0.2/('I_Inputs &amp; Assumptions'!$B$8/4))),IF('I_Budget Input Data'!$E$13="At Completion",IF(14='I_Inputs &amp; Assumptions'!$B$8,'I_Budget Input Data'!$D$13,0),'I_Budget Input Data'!$D$13/'I_Inputs &amp; Assumptions'!$B$8)))))),0)</f>
        <v>0</v>
      </c>
      <c r="Q13" s="91">
        <f>IF(15&lt;='I_Inputs &amp; Assumptions'!$B$8,IF('I_Budget Input Data'!$E$13="Upfront",IF(15=1,'I_Budget Input Data'!$D$13,0),IF('I_Budget Input Data'!$E$13="Equal",'I_Budget Input Data'!$D$13/'I_Inputs &amp; Assumptions'!$B$8,IF('I_Budget Input Data'!$E$13="Front-loaded",IF(15&lt;='I_Inputs &amp; Assumptions'!$B$8/2,'I_Budget Input Data'!$D$13*0.6/('I_Inputs &amp; Assumptions'!$B$8/2),'I_Budget Input Data'!$D$13*0.4/('I_Inputs &amp; Assumptions'!$B$8/2)),IF('I_Budget Input Data'!$E$13="Back-loaded",IF(15&lt;='I_Inputs &amp; Assumptions'!$B$8/2,'I_Budget Input Data'!$D$13*0.4/('I_Inputs &amp; Assumptions'!$B$8/2),'I_Budget Input Data'!$D$13*0.6/('I_Inputs &amp; Assumptions'!$B$8/2)),IF('I_Budget Input Data'!$E$13="Mid-weighted",IF(15&lt;='I_Inputs &amp; Assumptions'!$B$8/4,'I_Budget Input Data'!$D$13*0.2/('I_Inputs &amp; Assumptions'!$B$8/4),IF(15&lt;='I_Inputs &amp; Assumptions'!$B$8*0.75,'I_Budget Input Data'!$D$13*0.6/('I_Inputs &amp; Assumptions'!$B$8/2),'I_Budget Input Data'!$D$13*0.2/('I_Inputs &amp; Assumptions'!$B$8/4))),IF('I_Budget Input Data'!$E$13="At Completion",IF(15='I_Inputs &amp; Assumptions'!$B$8,'I_Budget Input Data'!$D$13,0),'I_Budget Input Data'!$D$13/'I_Inputs &amp; Assumptions'!$B$8)))))),0)</f>
        <v>0</v>
      </c>
      <c r="R13" s="91">
        <f>IF(16&lt;='I_Inputs &amp; Assumptions'!$B$8,IF('I_Budget Input Data'!$E$13="Upfront",IF(16=1,'I_Budget Input Data'!$D$13,0),IF('I_Budget Input Data'!$E$13="Equal",'I_Budget Input Data'!$D$13/'I_Inputs &amp; Assumptions'!$B$8,IF('I_Budget Input Data'!$E$13="Front-loaded",IF(16&lt;='I_Inputs &amp; Assumptions'!$B$8/2,'I_Budget Input Data'!$D$13*0.6/('I_Inputs &amp; Assumptions'!$B$8/2),'I_Budget Input Data'!$D$13*0.4/('I_Inputs &amp; Assumptions'!$B$8/2)),IF('I_Budget Input Data'!$E$13="Back-loaded",IF(16&lt;='I_Inputs &amp; Assumptions'!$B$8/2,'I_Budget Input Data'!$D$13*0.4/('I_Inputs &amp; Assumptions'!$B$8/2),'I_Budget Input Data'!$D$13*0.6/('I_Inputs &amp; Assumptions'!$B$8/2)),IF('I_Budget Input Data'!$E$13="Mid-weighted",IF(16&lt;='I_Inputs &amp; Assumptions'!$B$8/4,'I_Budget Input Data'!$D$13*0.2/('I_Inputs &amp; Assumptions'!$B$8/4),IF(16&lt;='I_Inputs &amp; Assumptions'!$B$8*0.75,'I_Budget Input Data'!$D$13*0.6/('I_Inputs &amp; Assumptions'!$B$8/2),'I_Budget Input Data'!$D$13*0.2/('I_Inputs &amp; Assumptions'!$B$8/4))),IF('I_Budget Input Data'!$E$13="At Completion",IF(16='I_Inputs &amp; Assumptions'!$B$8,'I_Budget Input Data'!$D$13,0),'I_Budget Input Data'!$D$13/'I_Inputs &amp; Assumptions'!$B$8)))))),0)</f>
        <v>0</v>
      </c>
      <c r="S13" s="91">
        <f>IF(17&lt;='I_Inputs &amp; Assumptions'!$B$8,IF('I_Budget Input Data'!$E$13="Upfront",IF(17=1,'I_Budget Input Data'!$D$13,0),IF('I_Budget Input Data'!$E$13="Equal",'I_Budget Input Data'!$D$13/'I_Inputs &amp; Assumptions'!$B$8,IF('I_Budget Input Data'!$E$13="Front-loaded",IF(17&lt;='I_Inputs &amp; Assumptions'!$B$8/2,'I_Budget Input Data'!$D$13*0.6/('I_Inputs &amp; Assumptions'!$B$8/2),'I_Budget Input Data'!$D$13*0.4/('I_Inputs &amp; Assumptions'!$B$8/2)),IF('I_Budget Input Data'!$E$13="Back-loaded",IF(17&lt;='I_Inputs &amp; Assumptions'!$B$8/2,'I_Budget Input Data'!$D$13*0.4/('I_Inputs &amp; Assumptions'!$B$8/2),'I_Budget Input Data'!$D$13*0.6/('I_Inputs &amp; Assumptions'!$B$8/2)),IF('I_Budget Input Data'!$E$13="Mid-weighted",IF(17&lt;='I_Inputs &amp; Assumptions'!$B$8/4,'I_Budget Input Data'!$D$13*0.2/('I_Inputs &amp; Assumptions'!$B$8/4),IF(17&lt;='I_Inputs &amp; Assumptions'!$B$8*0.75,'I_Budget Input Data'!$D$13*0.6/('I_Inputs &amp; Assumptions'!$B$8/2),'I_Budget Input Data'!$D$13*0.2/('I_Inputs &amp; Assumptions'!$B$8/4))),IF('I_Budget Input Data'!$E$13="At Completion",IF(17='I_Inputs &amp; Assumptions'!$B$8,'I_Budget Input Data'!$D$13,0),'I_Budget Input Data'!$D$13/'I_Inputs &amp; Assumptions'!$B$8)))))),0)</f>
        <v>0</v>
      </c>
      <c r="T13" s="91">
        <f>IF(18&lt;='I_Inputs &amp; Assumptions'!$B$8,IF('I_Budget Input Data'!$E$13="Upfront",IF(18=1,'I_Budget Input Data'!$D$13,0),IF('I_Budget Input Data'!$E$13="Equal",'I_Budget Input Data'!$D$13/'I_Inputs &amp; Assumptions'!$B$8,IF('I_Budget Input Data'!$E$13="Front-loaded",IF(18&lt;='I_Inputs &amp; Assumptions'!$B$8/2,'I_Budget Input Data'!$D$13*0.6/('I_Inputs &amp; Assumptions'!$B$8/2),'I_Budget Input Data'!$D$13*0.4/('I_Inputs &amp; Assumptions'!$B$8/2)),IF('I_Budget Input Data'!$E$13="Back-loaded",IF(18&lt;='I_Inputs &amp; Assumptions'!$B$8/2,'I_Budget Input Data'!$D$13*0.4/('I_Inputs &amp; Assumptions'!$B$8/2),'I_Budget Input Data'!$D$13*0.6/('I_Inputs &amp; Assumptions'!$B$8/2)),IF('I_Budget Input Data'!$E$13="Mid-weighted",IF(18&lt;='I_Inputs &amp; Assumptions'!$B$8/4,'I_Budget Input Data'!$D$13*0.2/('I_Inputs &amp; Assumptions'!$B$8/4),IF(18&lt;='I_Inputs &amp; Assumptions'!$B$8*0.75,'I_Budget Input Data'!$D$13*0.6/('I_Inputs &amp; Assumptions'!$B$8/2),'I_Budget Input Data'!$D$13*0.2/('I_Inputs &amp; Assumptions'!$B$8/4))),IF('I_Budget Input Data'!$E$13="At Completion",IF(18='I_Inputs &amp; Assumptions'!$B$8,'I_Budget Input Data'!$D$13,0),'I_Budget Input Data'!$D$13/'I_Inputs &amp; Assumptions'!$B$8)))))),0)</f>
        <v>0</v>
      </c>
      <c r="U13" s="91">
        <f>IF(19&lt;='I_Inputs &amp; Assumptions'!$B$8,IF('I_Budget Input Data'!$E$13="Upfront",IF(19=1,'I_Budget Input Data'!$D$13,0),IF('I_Budget Input Data'!$E$13="Equal",'I_Budget Input Data'!$D$13/'I_Inputs &amp; Assumptions'!$B$8,IF('I_Budget Input Data'!$E$13="Front-loaded",IF(19&lt;='I_Inputs &amp; Assumptions'!$B$8/2,'I_Budget Input Data'!$D$13*0.6/('I_Inputs &amp; Assumptions'!$B$8/2),'I_Budget Input Data'!$D$13*0.4/('I_Inputs &amp; Assumptions'!$B$8/2)),IF('I_Budget Input Data'!$E$13="Back-loaded",IF(19&lt;='I_Inputs &amp; Assumptions'!$B$8/2,'I_Budget Input Data'!$D$13*0.4/('I_Inputs &amp; Assumptions'!$B$8/2),'I_Budget Input Data'!$D$13*0.6/('I_Inputs &amp; Assumptions'!$B$8/2)),IF('I_Budget Input Data'!$E$13="Mid-weighted",IF(19&lt;='I_Inputs &amp; Assumptions'!$B$8/4,'I_Budget Input Data'!$D$13*0.2/('I_Inputs &amp; Assumptions'!$B$8/4),IF(19&lt;='I_Inputs &amp; Assumptions'!$B$8*0.75,'I_Budget Input Data'!$D$13*0.6/('I_Inputs &amp; Assumptions'!$B$8/2),'I_Budget Input Data'!$D$13*0.2/('I_Inputs &amp; Assumptions'!$B$8/4))),IF('I_Budget Input Data'!$E$13="At Completion",IF(19='I_Inputs &amp; Assumptions'!$B$8,'I_Budget Input Data'!$D$13,0),'I_Budget Input Data'!$D$13/'I_Inputs &amp; Assumptions'!$B$8)))))),0)</f>
        <v>0</v>
      </c>
      <c r="V13" s="91">
        <f>IF(20&lt;='I_Inputs &amp; Assumptions'!$B$8,IF('I_Budget Input Data'!$E$13="Upfront",IF(20=1,'I_Budget Input Data'!$D$13,0),IF('I_Budget Input Data'!$E$13="Equal",'I_Budget Input Data'!$D$13/'I_Inputs &amp; Assumptions'!$B$8,IF('I_Budget Input Data'!$E$13="Front-loaded",IF(20&lt;='I_Inputs &amp; Assumptions'!$B$8/2,'I_Budget Input Data'!$D$13*0.6/('I_Inputs &amp; Assumptions'!$B$8/2),'I_Budget Input Data'!$D$13*0.4/('I_Inputs &amp; Assumptions'!$B$8/2)),IF('I_Budget Input Data'!$E$13="Back-loaded",IF(20&lt;='I_Inputs &amp; Assumptions'!$B$8/2,'I_Budget Input Data'!$D$13*0.4/('I_Inputs &amp; Assumptions'!$B$8/2),'I_Budget Input Data'!$D$13*0.6/('I_Inputs &amp; Assumptions'!$B$8/2)),IF('I_Budget Input Data'!$E$13="Mid-weighted",IF(20&lt;='I_Inputs &amp; Assumptions'!$B$8/4,'I_Budget Input Data'!$D$13*0.2/('I_Inputs &amp; Assumptions'!$B$8/4),IF(20&lt;='I_Inputs &amp; Assumptions'!$B$8*0.75,'I_Budget Input Data'!$D$13*0.6/('I_Inputs &amp; Assumptions'!$B$8/2),'I_Budget Input Data'!$D$13*0.2/('I_Inputs &amp; Assumptions'!$B$8/4))),IF('I_Budget Input Data'!$E$13="At Completion",IF(20='I_Inputs &amp; Assumptions'!$B$8,'I_Budget Input Data'!$D$13,0),'I_Budget Input Data'!$D$13/'I_Inputs &amp; Assumptions'!$B$8)))))),0)</f>
        <v>0</v>
      </c>
      <c r="W13" s="91">
        <f>IF(21&lt;='I_Inputs &amp; Assumptions'!$B$8,IF('I_Budget Input Data'!$E$13="Upfront",IF(21=1,'I_Budget Input Data'!$D$13,0),IF('I_Budget Input Data'!$E$13="Equal",'I_Budget Input Data'!$D$13/'I_Inputs &amp; Assumptions'!$B$8,IF('I_Budget Input Data'!$E$13="Front-loaded",IF(21&lt;='I_Inputs &amp; Assumptions'!$B$8/2,'I_Budget Input Data'!$D$13*0.6/('I_Inputs &amp; Assumptions'!$B$8/2),'I_Budget Input Data'!$D$13*0.4/('I_Inputs &amp; Assumptions'!$B$8/2)),IF('I_Budget Input Data'!$E$13="Back-loaded",IF(21&lt;='I_Inputs &amp; Assumptions'!$B$8/2,'I_Budget Input Data'!$D$13*0.4/('I_Inputs &amp; Assumptions'!$B$8/2),'I_Budget Input Data'!$D$13*0.6/('I_Inputs &amp; Assumptions'!$B$8/2)),IF('I_Budget Input Data'!$E$13="Mid-weighted",IF(21&lt;='I_Inputs &amp; Assumptions'!$B$8/4,'I_Budget Input Data'!$D$13*0.2/('I_Inputs &amp; Assumptions'!$B$8/4),IF(21&lt;='I_Inputs &amp; Assumptions'!$B$8*0.75,'I_Budget Input Data'!$D$13*0.6/('I_Inputs &amp; Assumptions'!$B$8/2),'I_Budget Input Data'!$D$13*0.2/('I_Inputs &amp; Assumptions'!$B$8/4))),IF('I_Budget Input Data'!$E$13="At Completion",IF(21='I_Inputs &amp; Assumptions'!$B$8,'I_Budget Input Data'!$D$13,0),'I_Budget Input Data'!$D$13/'I_Inputs &amp; Assumptions'!$B$8)))))),0)</f>
        <v>0</v>
      </c>
      <c r="X13" s="91">
        <f>IF(22&lt;='I_Inputs &amp; Assumptions'!$B$8,IF('I_Budget Input Data'!$E$13="Upfront",IF(22=1,'I_Budget Input Data'!$D$13,0),IF('I_Budget Input Data'!$E$13="Equal",'I_Budget Input Data'!$D$13/'I_Inputs &amp; Assumptions'!$B$8,IF('I_Budget Input Data'!$E$13="Front-loaded",IF(22&lt;='I_Inputs &amp; Assumptions'!$B$8/2,'I_Budget Input Data'!$D$13*0.6/('I_Inputs &amp; Assumptions'!$B$8/2),'I_Budget Input Data'!$D$13*0.4/('I_Inputs &amp; Assumptions'!$B$8/2)),IF('I_Budget Input Data'!$E$13="Back-loaded",IF(22&lt;='I_Inputs &amp; Assumptions'!$B$8/2,'I_Budget Input Data'!$D$13*0.4/('I_Inputs &amp; Assumptions'!$B$8/2),'I_Budget Input Data'!$D$13*0.6/('I_Inputs &amp; Assumptions'!$B$8/2)),IF('I_Budget Input Data'!$E$13="Mid-weighted",IF(22&lt;='I_Inputs &amp; Assumptions'!$B$8/4,'I_Budget Input Data'!$D$13*0.2/('I_Inputs &amp; Assumptions'!$B$8/4),IF(22&lt;='I_Inputs &amp; Assumptions'!$B$8*0.75,'I_Budget Input Data'!$D$13*0.6/('I_Inputs &amp; Assumptions'!$B$8/2),'I_Budget Input Data'!$D$13*0.2/('I_Inputs &amp; Assumptions'!$B$8/4))),IF('I_Budget Input Data'!$E$13="At Completion",IF(22='I_Inputs &amp; Assumptions'!$B$8,'I_Budget Input Data'!$D$13,0),'I_Budget Input Data'!$D$13/'I_Inputs &amp; Assumptions'!$B$8)))))),0)</f>
        <v>0</v>
      </c>
      <c r="Y13" s="91">
        <f>IF(23&lt;='I_Inputs &amp; Assumptions'!$B$8,IF('I_Budget Input Data'!$E$13="Upfront",IF(23=1,'I_Budget Input Data'!$D$13,0),IF('I_Budget Input Data'!$E$13="Equal",'I_Budget Input Data'!$D$13/'I_Inputs &amp; Assumptions'!$B$8,IF('I_Budget Input Data'!$E$13="Front-loaded",IF(23&lt;='I_Inputs &amp; Assumptions'!$B$8/2,'I_Budget Input Data'!$D$13*0.6/('I_Inputs &amp; Assumptions'!$B$8/2),'I_Budget Input Data'!$D$13*0.4/('I_Inputs &amp; Assumptions'!$B$8/2)),IF('I_Budget Input Data'!$E$13="Back-loaded",IF(23&lt;='I_Inputs &amp; Assumptions'!$B$8/2,'I_Budget Input Data'!$D$13*0.4/('I_Inputs &amp; Assumptions'!$B$8/2),'I_Budget Input Data'!$D$13*0.6/('I_Inputs &amp; Assumptions'!$B$8/2)),IF('I_Budget Input Data'!$E$13="Mid-weighted",IF(23&lt;='I_Inputs &amp; Assumptions'!$B$8/4,'I_Budget Input Data'!$D$13*0.2/('I_Inputs &amp; Assumptions'!$B$8/4),IF(23&lt;='I_Inputs &amp; Assumptions'!$B$8*0.75,'I_Budget Input Data'!$D$13*0.6/('I_Inputs &amp; Assumptions'!$B$8/2),'I_Budget Input Data'!$D$13*0.2/('I_Inputs &amp; Assumptions'!$B$8/4))),IF('I_Budget Input Data'!$E$13="At Completion",IF(23='I_Inputs &amp; Assumptions'!$B$8,'I_Budget Input Data'!$D$13,0),'I_Budget Input Data'!$D$13/'I_Inputs &amp; Assumptions'!$B$8)))))),0)</f>
        <v>0</v>
      </c>
      <c r="Z13" s="91">
        <f>IF(24&lt;='I_Inputs &amp; Assumptions'!$B$8,IF('I_Budget Input Data'!$E$13="Upfront",IF(24=1,'I_Budget Input Data'!$D$13,0),IF('I_Budget Input Data'!$E$13="Equal",'I_Budget Input Data'!$D$13/'I_Inputs &amp; Assumptions'!$B$8,IF('I_Budget Input Data'!$E$13="Front-loaded",IF(24&lt;='I_Inputs &amp; Assumptions'!$B$8/2,'I_Budget Input Data'!$D$13*0.6/('I_Inputs &amp; Assumptions'!$B$8/2),'I_Budget Input Data'!$D$13*0.4/('I_Inputs &amp; Assumptions'!$B$8/2)),IF('I_Budget Input Data'!$E$13="Back-loaded",IF(24&lt;='I_Inputs &amp; Assumptions'!$B$8/2,'I_Budget Input Data'!$D$13*0.4/('I_Inputs &amp; Assumptions'!$B$8/2),'I_Budget Input Data'!$D$13*0.6/('I_Inputs &amp; Assumptions'!$B$8/2)),IF('I_Budget Input Data'!$E$13="Mid-weighted",IF(24&lt;='I_Inputs &amp; Assumptions'!$B$8/4,'I_Budget Input Data'!$D$13*0.2/('I_Inputs &amp; Assumptions'!$B$8/4),IF(24&lt;='I_Inputs &amp; Assumptions'!$B$8*0.75,'I_Budget Input Data'!$D$13*0.6/('I_Inputs &amp; Assumptions'!$B$8/2),'I_Budget Input Data'!$D$13*0.2/('I_Inputs &amp; Assumptions'!$B$8/4))),IF('I_Budget Input Data'!$E$13="At Completion",IF(24='I_Inputs &amp; Assumptions'!$B$8,'I_Budget Input Data'!$D$13,0),'I_Budget Input Data'!$D$13/'I_Inputs &amp; Assumptions'!$B$8)))))),0)</f>
        <v>0</v>
      </c>
      <c r="AA13" s="91">
        <f>IF(25&lt;='I_Inputs &amp; Assumptions'!$B$8,IF('I_Budget Input Data'!$E$13="Upfront",IF(25=1,'I_Budget Input Data'!$D$13,0),IF('I_Budget Input Data'!$E$13="Equal",'I_Budget Input Data'!$D$13/'I_Inputs &amp; Assumptions'!$B$8,IF('I_Budget Input Data'!$E$13="Front-loaded",IF(25&lt;='I_Inputs &amp; Assumptions'!$B$8/2,'I_Budget Input Data'!$D$13*0.6/('I_Inputs &amp; Assumptions'!$B$8/2),'I_Budget Input Data'!$D$13*0.4/('I_Inputs &amp; Assumptions'!$B$8/2)),IF('I_Budget Input Data'!$E$13="Back-loaded",IF(25&lt;='I_Inputs &amp; Assumptions'!$B$8/2,'I_Budget Input Data'!$D$13*0.4/('I_Inputs &amp; Assumptions'!$B$8/2),'I_Budget Input Data'!$D$13*0.6/('I_Inputs &amp; Assumptions'!$B$8/2)),IF('I_Budget Input Data'!$E$13="Mid-weighted",IF(25&lt;='I_Inputs &amp; Assumptions'!$B$8/4,'I_Budget Input Data'!$D$13*0.2/('I_Inputs &amp; Assumptions'!$B$8/4),IF(25&lt;='I_Inputs &amp; Assumptions'!$B$8*0.75,'I_Budget Input Data'!$D$13*0.6/('I_Inputs &amp; Assumptions'!$B$8/2),'I_Budget Input Data'!$D$13*0.2/('I_Inputs &amp; Assumptions'!$B$8/4))),IF('I_Budget Input Data'!$E$13="At Completion",IF(25='I_Inputs &amp; Assumptions'!$B$8,'I_Budget Input Data'!$D$13,0),'I_Budget Input Data'!$D$13/'I_Inputs &amp; Assumptions'!$B$8)))))),0)</f>
        <v>0</v>
      </c>
      <c r="AB13" s="91">
        <f>IF(26&lt;='I_Inputs &amp; Assumptions'!$B$8,IF('I_Budget Input Data'!$E$13="Upfront",IF(26=1,'I_Budget Input Data'!$D$13,0),IF('I_Budget Input Data'!$E$13="Equal",'I_Budget Input Data'!$D$13/'I_Inputs &amp; Assumptions'!$B$8,IF('I_Budget Input Data'!$E$13="Front-loaded",IF(26&lt;='I_Inputs &amp; Assumptions'!$B$8/2,'I_Budget Input Data'!$D$13*0.6/('I_Inputs &amp; Assumptions'!$B$8/2),'I_Budget Input Data'!$D$13*0.4/('I_Inputs &amp; Assumptions'!$B$8/2)),IF('I_Budget Input Data'!$E$13="Back-loaded",IF(26&lt;='I_Inputs &amp; Assumptions'!$B$8/2,'I_Budget Input Data'!$D$13*0.4/('I_Inputs &amp; Assumptions'!$B$8/2),'I_Budget Input Data'!$D$13*0.6/('I_Inputs &amp; Assumptions'!$B$8/2)),IF('I_Budget Input Data'!$E$13="Mid-weighted",IF(26&lt;='I_Inputs &amp; Assumptions'!$B$8/4,'I_Budget Input Data'!$D$13*0.2/('I_Inputs &amp; Assumptions'!$B$8/4),IF(26&lt;='I_Inputs &amp; Assumptions'!$B$8*0.75,'I_Budget Input Data'!$D$13*0.6/('I_Inputs &amp; Assumptions'!$B$8/2),'I_Budget Input Data'!$D$13*0.2/('I_Inputs &amp; Assumptions'!$B$8/4))),IF('I_Budget Input Data'!$E$13="At Completion",IF(26='I_Inputs &amp; Assumptions'!$B$8,'I_Budget Input Data'!$D$13,0),'I_Budget Input Data'!$D$13/'I_Inputs &amp; Assumptions'!$B$8)))))),0)</f>
        <v>0</v>
      </c>
      <c r="AC13" s="91">
        <f>IF(27&lt;='I_Inputs &amp; Assumptions'!$B$8,IF('I_Budget Input Data'!$E$13="Upfront",IF(27=1,'I_Budget Input Data'!$D$13,0),IF('I_Budget Input Data'!$E$13="Equal",'I_Budget Input Data'!$D$13/'I_Inputs &amp; Assumptions'!$B$8,IF('I_Budget Input Data'!$E$13="Front-loaded",IF(27&lt;='I_Inputs &amp; Assumptions'!$B$8/2,'I_Budget Input Data'!$D$13*0.6/('I_Inputs &amp; Assumptions'!$B$8/2),'I_Budget Input Data'!$D$13*0.4/('I_Inputs &amp; Assumptions'!$B$8/2)),IF('I_Budget Input Data'!$E$13="Back-loaded",IF(27&lt;='I_Inputs &amp; Assumptions'!$B$8/2,'I_Budget Input Data'!$D$13*0.4/('I_Inputs &amp; Assumptions'!$B$8/2),'I_Budget Input Data'!$D$13*0.6/('I_Inputs &amp; Assumptions'!$B$8/2)),IF('I_Budget Input Data'!$E$13="Mid-weighted",IF(27&lt;='I_Inputs &amp; Assumptions'!$B$8/4,'I_Budget Input Data'!$D$13*0.2/('I_Inputs &amp; Assumptions'!$B$8/4),IF(27&lt;='I_Inputs &amp; Assumptions'!$B$8*0.75,'I_Budget Input Data'!$D$13*0.6/('I_Inputs &amp; Assumptions'!$B$8/2),'I_Budget Input Data'!$D$13*0.2/('I_Inputs &amp; Assumptions'!$B$8/4))),IF('I_Budget Input Data'!$E$13="At Completion",IF(27='I_Inputs &amp; Assumptions'!$B$8,'I_Budget Input Data'!$D$13,0),'I_Budget Input Data'!$D$13/'I_Inputs &amp; Assumptions'!$B$8)))))),0)</f>
        <v>0</v>
      </c>
      <c r="AD13" s="91">
        <f>IF(28&lt;='I_Inputs &amp; Assumptions'!$B$8,IF('I_Budget Input Data'!$E$13="Upfront",IF(28=1,'I_Budget Input Data'!$D$13,0),IF('I_Budget Input Data'!$E$13="Equal",'I_Budget Input Data'!$D$13/'I_Inputs &amp; Assumptions'!$B$8,IF('I_Budget Input Data'!$E$13="Front-loaded",IF(28&lt;='I_Inputs &amp; Assumptions'!$B$8/2,'I_Budget Input Data'!$D$13*0.6/('I_Inputs &amp; Assumptions'!$B$8/2),'I_Budget Input Data'!$D$13*0.4/('I_Inputs &amp; Assumptions'!$B$8/2)),IF('I_Budget Input Data'!$E$13="Back-loaded",IF(28&lt;='I_Inputs &amp; Assumptions'!$B$8/2,'I_Budget Input Data'!$D$13*0.4/('I_Inputs &amp; Assumptions'!$B$8/2),'I_Budget Input Data'!$D$13*0.6/('I_Inputs &amp; Assumptions'!$B$8/2)),IF('I_Budget Input Data'!$E$13="Mid-weighted",IF(28&lt;='I_Inputs &amp; Assumptions'!$B$8/4,'I_Budget Input Data'!$D$13*0.2/('I_Inputs &amp; Assumptions'!$B$8/4),IF(28&lt;='I_Inputs &amp; Assumptions'!$B$8*0.75,'I_Budget Input Data'!$D$13*0.6/('I_Inputs &amp; Assumptions'!$B$8/2),'I_Budget Input Data'!$D$13*0.2/('I_Inputs &amp; Assumptions'!$B$8/4))),IF('I_Budget Input Data'!$E$13="At Completion",IF(28='I_Inputs &amp; Assumptions'!$B$8,'I_Budget Input Data'!$D$13,0),'I_Budget Input Data'!$D$13/'I_Inputs &amp; Assumptions'!$B$8)))))),0)</f>
        <v>0</v>
      </c>
      <c r="AE13" s="91">
        <f>IF(29&lt;='I_Inputs &amp; Assumptions'!$B$8,IF('I_Budget Input Data'!$E$13="Upfront",IF(29=1,'I_Budget Input Data'!$D$13,0),IF('I_Budget Input Data'!$E$13="Equal",'I_Budget Input Data'!$D$13/'I_Inputs &amp; Assumptions'!$B$8,IF('I_Budget Input Data'!$E$13="Front-loaded",IF(29&lt;='I_Inputs &amp; Assumptions'!$B$8/2,'I_Budget Input Data'!$D$13*0.6/('I_Inputs &amp; Assumptions'!$B$8/2),'I_Budget Input Data'!$D$13*0.4/('I_Inputs &amp; Assumptions'!$B$8/2)),IF('I_Budget Input Data'!$E$13="Back-loaded",IF(29&lt;='I_Inputs &amp; Assumptions'!$B$8/2,'I_Budget Input Data'!$D$13*0.4/('I_Inputs &amp; Assumptions'!$B$8/2),'I_Budget Input Data'!$D$13*0.6/('I_Inputs &amp; Assumptions'!$B$8/2)),IF('I_Budget Input Data'!$E$13="Mid-weighted",IF(29&lt;='I_Inputs &amp; Assumptions'!$B$8/4,'I_Budget Input Data'!$D$13*0.2/('I_Inputs &amp; Assumptions'!$B$8/4),IF(29&lt;='I_Inputs &amp; Assumptions'!$B$8*0.75,'I_Budget Input Data'!$D$13*0.6/('I_Inputs &amp; Assumptions'!$B$8/2),'I_Budget Input Data'!$D$13*0.2/('I_Inputs &amp; Assumptions'!$B$8/4))),IF('I_Budget Input Data'!$E$13="At Completion",IF(29='I_Inputs &amp; Assumptions'!$B$8,'I_Budget Input Data'!$D$13,0),'I_Budget Input Data'!$D$13/'I_Inputs &amp; Assumptions'!$B$8)))))),0)</f>
        <v>0</v>
      </c>
      <c r="AF13" s="91">
        <f>IF(30&lt;='I_Inputs &amp; Assumptions'!$B$8,IF('I_Budget Input Data'!$E$13="Upfront",IF(30=1,'I_Budget Input Data'!$D$13,0),IF('I_Budget Input Data'!$E$13="Equal",'I_Budget Input Data'!$D$13/'I_Inputs &amp; Assumptions'!$B$8,IF('I_Budget Input Data'!$E$13="Front-loaded",IF(30&lt;='I_Inputs &amp; Assumptions'!$B$8/2,'I_Budget Input Data'!$D$13*0.6/('I_Inputs &amp; Assumptions'!$B$8/2),'I_Budget Input Data'!$D$13*0.4/('I_Inputs &amp; Assumptions'!$B$8/2)),IF('I_Budget Input Data'!$E$13="Back-loaded",IF(30&lt;='I_Inputs &amp; Assumptions'!$B$8/2,'I_Budget Input Data'!$D$13*0.4/('I_Inputs &amp; Assumptions'!$B$8/2),'I_Budget Input Data'!$D$13*0.6/('I_Inputs &amp; Assumptions'!$B$8/2)),IF('I_Budget Input Data'!$E$13="Mid-weighted",IF(30&lt;='I_Inputs &amp; Assumptions'!$B$8/4,'I_Budget Input Data'!$D$13*0.2/('I_Inputs &amp; Assumptions'!$B$8/4),IF(30&lt;='I_Inputs &amp; Assumptions'!$B$8*0.75,'I_Budget Input Data'!$D$13*0.6/('I_Inputs &amp; Assumptions'!$B$8/2),'I_Budget Input Data'!$D$13*0.2/('I_Inputs &amp; Assumptions'!$B$8/4))),IF('I_Budget Input Data'!$E$13="At Completion",IF(30='I_Inputs &amp; Assumptions'!$B$8,'I_Budget Input Data'!$D$13,0),'I_Budget Input Data'!$D$13/'I_Inputs &amp; Assumptions'!$B$8)))))),0)</f>
        <v>0</v>
      </c>
      <c r="AG13" s="91">
        <f>IF(31&lt;='I_Inputs &amp; Assumptions'!$B$8,IF('I_Budget Input Data'!$E$13="Upfront",IF(31=1,'I_Budget Input Data'!$D$13,0),IF('I_Budget Input Data'!$E$13="Equal",'I_Budget Input Data'!$D$13/'I_Inputs &amp; Assumptions'!$B$8,IF('I_Budget Input Data'!$E$13="Front-loaded",IF(31&lt;='I_Inputs &amp; Assumptions'!$B$8/2,'I_Budget Input Data'!$D$13*0.6/('I_Inputs &amp; Assumptions'!$B$8/2),'I_Budget Input Data'!$D$13*0.4/('I_Inputs &amp; Assumptions'!$B$8/2)),IF('I_Budget Input Data'!$E$13="Back-loaded",IF(31&lt;='I_Inputs &amp; Assumptions'!$B$8/2,'I_Budget Input Data'!$D$13*0.4/('I_Inputs &amp; Assumptions'!$B$8/2),'I_Budget Input Data'!$D$13*0.6/('I_Inputs &amp; Assumptions'!$B$8/2)),IF('I_Budget Input Data'!$E$13="Mid-weighted",IF(31&lt;='I_Inputs &amp; Assumptions'!$B$8/4,'I_Budget Input Data'!$D$13*0.2/('I_Inputs &amp; Assumptions'!$B$8/4),IF(31&lt;='I_Inputs &amp; Assumptions'!$B$8*0.75,'I_Budget Input Data'!$D$13*0.6/('I_Inputs &amp; Assumptions'!$B$8/2),'I_Budget Input Data'!$D$13*0.2/('I_Inputs &amp; Assumptions'!$B$8/4))),IF('I_Budget Input Data'!$E$13="At Completion",IF(31='I_Inputs &amp; Assumptions'!$B$8,'I_Budget Input Data'!$D$13,0),'I_Budget Input Data'!$D$13/'I_Inputs &amp; Assumptions'!$B$8)))))),0)</f>
        <v>0</v>
      </c>
      <c r="AH13" s="91">
        <f>IF(32&lt;='I_Inputs &amp; Assumptions'!$B$8,IF('I_Budget Input Data'!$E$13="Upfront",IF(32=1,'I_Budget Input Data'!$D$13,0),IF('I_Budget Input Data'!$E$13="Equal",'I_Budget Input Data'!$D$13/'I_Inputs &amp; Assumptions'!$B$8,IF('I_Budget Input Data'!$E$13="Front-loaded",IF(32&lt;='I_Inputs &amp; Assumptions'!$B$8/2,'I_Budget Input Data'!$D$13*0.6/('I_Inputs &amp; Assumptions'!$B$8/2),'I_Budget Input Data'!$D$13*0.4/('I_Inputs &amp; Assumptions'!$B$8/2)),IF('I_Budget Input Data'!$E$13="Back-loaded",IF(32&lt;='I_Inputs &amp; Assumptions'!$B$8/2,'I_Budget Input Data'!$D$13*0.4/('I_Inputs &amp; Assumptions'!$B$8/2),'I_Budget Input Data'!$D$13*0.6/('I_Inputs &amp; Assumptions'!$B$8/2)),IF('I_Budget Input Data'!$E$13="Mid-weighted",IF(32&lt;='I_Inputs &amp; Assumptions'!$B$8/4,'I_Budget Input Data'!$D$13*0.2/('I_Inputs &amp; Assumptions'!$B$8/4),IF(32&lt;='I_Inputs &amp; Assumptions'!$B$8*0.75,'I_Budget Input Data'!$D$13*0.6/('I_Inputs &amp; Assumptions'!$B$8/2),'I_Budget Input Data'!$D$13*0.2/('I_Inputs &amp; Assumptions'!$B$8/4))),IF('I_Budget Input Data'!$E$13="At Completion",IF(32='I_Inputs &amp; Assumptions'!$B$8,'I_Budget Input Data'!$D$13,0),'I_Budget Input Data'!$D$13/'I_Inputs &amp; Assumptions'!$B$8)))))),0)</f>
        <v>0</v>
      </c>
      <c r="AI13" s="91">
        <f>IF(33&lt;='I_Inputs &amp; Assumptions'!$B$8,IF('I_Budget Input Data'!$E$13="Upfront",IF(33=1,'I_Budget Input Data'!$D$13,0),IF('I_Budget Input Data'!$E$13="Equal",'I_Budget Input Data'!$D$13/'I_Inputs &amp; Assumptions'!$B$8,IF('I_Budget Input Data'!$E$13="Front-loaded",IF(33&lt;='I_Inputs &amp; Assumptions'!$B$8/2,'I_Budget Input Data'!$D$13*0.6/('I_Inputs &amp; Assumptions'!$B$8/2),'I_Budget Input Data'!$D$13*0.4/('I_Inputs &amp; Assumptions'!$B$8/2)),IF('I_Budget Input Data'!$E$13="Back-loaded",IF(33&lt;='I_Inputs &amp; Assumptions'!$B$8/2,'I_Budget Input Data'!$D$13*0.4/('I_Inputs &amp; Assumptions'!$B$8/2),'I_Budget Input Data'!$D$13*0.6/('I_Inputs &amp; Assumptions'!$B$8/2)),IF('I_Budget Input Data'!$E$13="Mid-weighted",IF(33&lt;='I_Inputs &amp; Assumptions'!$B$8/4,'I_Budget Input Data'!$D$13*0.2/('I_Inputs &amp; Assumptions'!$B$8/4),IF(33&lt;='I_Inputs &amp; Assumptions'!$B$8*0.75,'I_Budget Input Data'!$D$13*0.6/('I_Inputs &amp; Assumptions'!$B$8/2),'I_Budget Input Data'!$D$13*0.2/('I_Inputs &amp; Assumptions'!$B$8/4))),IF('I_Budget Input Data'!$E$13="At Completion",IF(33='I_Inputs &amp; Assumptions'!$B$8,'I_Budget Input Data'!$D$13,0),'I_Budget Input Data'!$D$13/'I_Inputs &amp; Assumptions'!$B$8)))))),0)</f>
        <v>0</v>
      </c>
      <c r="AJ13" s="91">
        <f>IF(34&lt;='I_Inputs &amp; Assumptions'!$B$8,IF('I_Budget Input Data'!$E$13="Upfront",IF(34=1,'I_Budget Input Data'!$D$13,0),IF('I_Budget Input Data'!$E$13="Equal",'I_Budget Input Data'!$D$13/'I_Inputs &amp; Assumptions'!$B$8,IF('I_Budget Input Data'!$E$13="Front-loaded",IF(34&lt;='I_Inputs &amp; Assumptions'!$B$8/2,'I_Budget Input Data'!$D$13*0.6/('I_Inputs &amp; Assumptions'!$B$8/2),'I_Budget Input Data'!$D$13*0.4/('I_Inputs &amp; Assumptions'!$B$8/2)),IF('I_Budget Input Data'!$E$13="Back-loaded",IF(34&lt;='I_Inputs &amp; Assumptions'!$B$8/2,'I_Budget Input Data'!$D$13*0.4/('I_Inputs &amp; Assumptions'!$B$8/2),'I_Budget Input Data'!$D$13*0.6/('I_Inputs &amp; Assumptions'!$B$8/2)),IF('I_Budget Input Data'!$E$13="Mid-weighted",IF(34&lt;='I_Inputs &amp; Assumptions'!$B$8/4,'I_Budget Input Data'!$D$13*0.2/('I_Inputs &amp; Assumptions'!$B$8/4),IF(34&lt;='I_Inputs &amp; Assumptions'!$B$8*0.75,'I_Budget Input Data'!$D$13*0.6/('I_Inputs &amp; Assumptions'!$B$8/2),'I_Budget Input Data'!$D$13*0.2/('I_Inputs &amp; Assumptions'!$B$8/4))),IF('I_Budget Input Data'!$E$13="At Completion",IF(34='I_Inputs &amp; Assumptions'!$B$8,'I_Budget Input Data'!$D$13,0),'I_Budget Input Data'!$D$13/'I_Inputs &amp; Assumptions'!$B$8)))))),0)</f>
        <v>0</v>
      </c>
      <c r="AK13" s="91">
        <f>IF(35&lt;='I_Inputs &amp; Assumptions'!$B$8,IF('I_Budget Input Data'!$E$13="Upfront",IF(35=1,'I_Budget Input Data'!$D$13,0),IF('I_Budget Input Data'!$E$13="Equal",'I_Budget Input Data'!$D$13/'I_Inputs &amp; Assumptions'!$B$8,IF('I_Budget Input Data'!$E$13="Front-loaded",IF(35&lt;='I_Inputs &amp; Assumptions'!$B$8/2,'I_Budget Input Data'!$D$13*0.6/('I_Inputs &amp; Assumptions'!$B$8/2),'I_Budget Input Data'!$D$13*0.4/('I_Inputs &amp; Assumptions'!$B$8/2)),IF('I_Budget Input Data'!$E$13="Back-loaded",IF(35&lt;='I_Inputs &amp; Assumptions'!$B$8/2,'I_Budget Input Data'!$D$13*0.4/('I_Inputs &amp; Assumptions'!$B$8/2),'I_Budget Input Data'!$D$13*0.6/('I_Inputs &amp; Assumptions'!$B$8/2)),IF('I_Budget Input Data'!$E$13="Mid-weighted",IF(35&lt;='I_Inputs &amp; Assumptions'!$B$8/4,'I_Budget Input Data'!$D$13*0.2/('I_Inputs &amp; Assumptions'!$B$8/4),IF(35&lt;='I_Inputs &amp; Assumptions'!$B$8*0.75,'I_Budget Input Data'!$D$13*0.6/('I_Inputs &amp; Assumptions'!$B$8/2),'I_Budget Input Data'!$D$13*0.2/('I_Inputs &amp; Assumptions'!$B$8/4))),IF('I_Budget Input Data'!$E$13="At Completion",IF(35='I_Inputs &amp; Assumptions'!$B$8,'I_Budget Input Data'!$D$13,0),'I_Budget Input Data'!$D$13/'I_Inputs &amp; Assumptions'!$B$8)))))),0)</f>
        <v>0</v>
      </c>
      <c r="AL13" s="91">
        <f>IF(36&lt;='I_Inputs &amp; Assumptions'!$B$8,IF('I_Budget Input Data'!$E$13="Upfront",IF(36=1,'I_Budget Input Data'!$D$13,0),IF('I_Budget Input Data'!$E$13="Equal",'I_Budget Input Data'!$D$13/'I_Inputs &amp; Assumptions'!$B$8,IF('I_Budget Input Data'!$E$13="Front-loaded",IF(36&lt;='I_Inputs &amp; Assumptions'!$B$8/2,'I_Budget Input Data'!$D$13*0.6/('I_Inputs &amp; Assumptions'!$B$8/2),'I_Budget Input Data'!$D$13*0.4/('I_Inputs &amp; Assumptions'!$B$8/2)),IF('I_Budget Input Data'!$E$13="Back-loaded",IF(36&lt;='I_Inputs &amp; Assumptions'!$B$8/2,'I_Budget Input Data'!$D$13*0.4/('I_Inputs &amp; Assumptions'!$B$8/2),'I_Budget Input Data'!$D$13*0.6/('I_Inputs &amp; Assumptions'!$B$8/2)),IF('I_Budget Input Data'!$E$13="Mid-weighted",IF(36&lt;='I_Inputs &amp; Assumptions'!$B$8/4,'I_Budget Input Data'!$D$13*0.2/('I_Inputs &amp; Assumptions'!$B$8/4),IF(36&lt;='I_Inputs &amp; Assumptions'!$B$8*0.75,'I_Budget Input Data'!$D$13*0.6/('I_Inputs &amp; Assumptions'!$B$8/2),'I_Budget Input Data'!$D$13*0.2/('I_Inputs &amp; Assumptions'!$B$8/4))),IF('I_Budget Input Data'!$E$13="At Completion",IF(36='I_Inputs &amp; Assumptions'!$B$8,'I_Budget Input Data'!$D$13,0),'I_Budget Input Data'!$D$13/'I_Inputs &amp; Assumptions'!$B$8)))))),0)</f>
        <v>0</v>
      </c>
    </row>
    <row r="14" spans="1:38" ht="15" customHeight="1" x14ac:dyDescent="0.2">
      <c r="A14" t="s">
        <v>136</v>
      </c>
      <c r="B14" t="s">
        <v>140</v>
      </c>
      <c r="C14" s="91">
        <f>IF(1&lt;='I_Inputs &amp; Assumptions'!$B$8,IF('I_Budget Input Data'!$E$14="Upfront",IF(1=1,'I_Budget Input Data'!$D$14,0),IF('I_Budget Input Data'!$E$14="Equal",'I_Budget Input Data'!$D$14/'I_Inputs &amp; Assumptions'!$B$8,IF('I_Budget Input Data'!$E$14="Front-loaded",IF(1&lt;='I_Inputs &amp; Assumptions'!$B$8/2,'I_Budget Input Data'!$D$14*0.6/('I_Inputs &amp; Assumptions'!$B$8/2),'I_Budget Input Data'!$D$14*0.4/('I_Inputs &amp; Assumptions'!$B$8/2)),IF('I_Budget Input Data'!$E$14="Back-loaded",IF(1&lt;='I_Inputs &amp; Assumptions'!$B$8/2,'I_Budget Input Data'!$D$14*0.4/('I_Inputs &amp; Assumptions'!$B$8/2),'I_Budget Input Data'!$D$14*0.6/('I_Inputs &amp; Assumptions'!$B$8/2)),IF('I_Budget Input Data'!$E$14="Mid-weighted",IF(1&lt;='I_Inputs &amp; Assumptions'!$B$8/4,'I_Budget Input Data'!$D$14*0.2/('I_Inputs &amp; Assumptions'!$B$8/4),IF(1&lt;='I_Inputs &amp; Assumptions'!$B$8*0.75,'I_Budget Input Data'!$D$14*0.6/('I_Inputs &amp; Assumptions'!$B$8/2),'I_Budget Input Data'!$D$14*0.2/('I_Inputs &amp; Assumptions'!$B$8/4))),IF('I_Budget Input Data'!$E$14="At Completion",IF(1='I_Inputs &amp; Assumptions'!$B$8,'I_Budget Input Data'!$D$14,0),'I_Budget Input Data'!$D$14/'I_Inputs &amp; Assumptions'!$B$8)))))),0)</f>
        <v>2814.7384615384613</v>
      </c>
      <c r="D14" s="91">
        <f>IF(2&lt;='I_Inputs &amp; Assumptions'!$B$8,IF('I_Budget Input Data'!$E$14="Upfront",IF(2=1,'I_Budget Input Data'!$D$14,0),IF('I_Budget Input Data'!$E$14="Equal",'I_Budget Input Data'!$D$14/'I_Inputs &amp; Assumptions'!$B$8,IF('I_Budget Input Data'!$E$14="Front-loaded",IF(2&lt;='I_Inputs &amp; Assumptions'!$B$8/2,'I_Budget Input Data'!$D$14*0.6/('I_Inputs &amp; Assumptions'!$B$8/2),'I_Budget Input Data'!$D$14*0.4/('I_Inputs &amp; Assumptions'!$B$8/2)),IF('I_Budget Input Data'!$E$14="Back-loaded",IF(2&lt;='I_Inputs &amp; Assumptions'!$B$8/2,'I_Budget Input Data'!$D$14*0.4/('I_Inputs &amp; Assumptions'!$B$8/2),'I_Budget Input Data'!$D$14*0.6/('I_Inputs &amp; Assumptions'!$B$8/2)),IF('I_Budget Input Data'!$E$14="Mid-weighted",IF(2&lt;='I_Inputs &amp; Assumptions'!$B$8/4,'I_Budget Input Data'!$D$14*0.2/('I_Inputs &amp; Assumptions'!$B$8/4),IF(2&lt;='I_Inputs &amp; Assumptions'!$B$8*0.75,'I_Budget Input Data'!$D$14*0.6/('I_Inputs &amp; Assumptions'!$B$8/2),'I_Budget Input Data'!$D$14*0.2/('I_Inputs &amp; Assumptions'!$B$8/4))),IF('I_Budget Input Data'!$E$14="At Completion",IF(2='I_Inputs &amp; Assumptions'!$B$8,'I_Budget Input Data'!$D$14,0),'I_Budget Input Data'!$D$14/'I_Inputs &amp; Assumptions'!$B$8)))))),0)</f>
        <v>2814.7384615384613</v>
      </c>
      <c r="E14" s="91">
        <f>IF(3&lt;='I_Inputs &amp; Assumptions'!$B$8,IF('I_Budget Input Data'!$E$14="Upfront",IF(3=1,'I_Budget Input Data'!$D$14,0),IF('I_Budget Input Data'!$E$14="Equal",'I_Budget Input Data'!$D$14/'I_Inputs &amp; Assumptions'!$B$8,IF('I_Budget Input Data'!$E$14="Front-loaded",IF(3&lt;='I_Inputs &amp; Assumptions'!$B$8/2,'I_Budget Input Data'!$D$14*0.6/('I_Inputs &amp; Assumptions'!$B$8/2),'I_Budget Input Data'!$D$14*0.4/('I_Inputs &amp; Assumptions'!$B$8/2)),IF('I_Budget Input Data'!$E$14="Back-loaded",IF(3&lt;='I_Inputs &amp; Assumptions'!$B$8/2,'I_Budget Input Data'!$D$14*0.4/('I_Inputs &amp; Assumptions'!$B$8/2),'I_Budget Input Data'!$D$14*0.6/('I_Inputs &amp; Assumptions'!$B$8/2)),IF('I_Budget Input Data'!$E$14="Mid-weighted",IF(3&lt;='I_Inputs &amp; Assumptions'!$B$8/4,'I_Budget Input Data'!$D$14*0.2/('I_Inputs &amp; Assumptions'!$B$8/4),IF(3&lt;='I_Inputs &amp; Assumptions'!$B$8*0.75,'I_Budget Input Data'!$D$14*0.6/('I_Inputs &amp; Assumptions'!$B$8/2),'I_Budget Input Data'!$D$14*0.2/('I_Inputs &amp; Assumptions'!$B$8/4))),IF('I_Budget Input Data'!$E$14="At Completion",IF(3='I_Inputs &amp; Assumptions'!$B$8,'I_Budget Input Data'!$D$14,0),'I_Budget Input Data'!$D$14/'I_Inputs &amp; Assumptions'!$B$8)))))),0)</f>
        <v>2814.7384615384613</v>
      </c>
      <c r="F14" s="91">
        <f>IF(4&lt;='I_Inputs &amp; Assumptions'!$B$8,IF('I_Budget Input Data'!$E$14="Upfront",IF(4=1,'I_Budget Input Data'!$D$14,0),IF('I_Budget Input Data'!$E$14="Equal",'I_Budget Input Data'!$D$14/'I_Inputs &amp; Assumptions'!$B$8,IF('I_Budget Input Data'!$E$14="Front-loaded",IF(4&lt;='I_Inputs &amp; Assumptions'!$B$8/2,'I_Budget Input Data'!$D$14*0.6/('I_Inputs &amp; Assumptions'!$B$8/2),'I_Budget Input Data'!$D$14*0.4/('I_Inputs &amp; Assumptions'!$B$8/2)),IF('I_Budget Input Data'!$E$14="Back-loaded",IF(4&lt;='I_Inputs &amp; Assumptions'!$B$8/2,'I_Budget Input Data'!$D$14*0.4/('I_Inputs &amp; Assumptions'!$B$8/2),'I_Budget Input Data'!$D$14*0.6/('I_Inputs &amp; Assumptions'!$B$8/2)),IF('I_Budget Input Data'!$E$14="Mid-weighted",IF(4&lt;='I_Inputs &amp; Assumptions'!$B$8/4,'I_Budget Input Data'!$D$14*0.2/('I_Inputs &amp; Assumptions'!$B$8/4),IF(4&lt;='I_Inputs &amp; Assumptions'!$B$8*0.75,'I_Budget Input Data'!$D$14*0.6/('I_Inputs &amp; Assumptions'!$B$8/2),'I_Budget Input Data'!$D$14*0.2/('I_Inputs &amp; Assumptions'!$B$8/4))),IF('I_Budget Input Data'!$E$14="At Completion",IF(4='I_Inputs &amp; Assumptions'!$B$8,'I_Budget Input Data'!$D$14,0),'I_Budget Input Data'!$D$14/'I_Inputs &amp; Assumptions'!$B$8)))))),0)</f>
        <v>2814.7384615384613</v>
      </c>
      <c r="G14" s="91">
        <f>IF(5&lt;='I_Inputs &amp; Assumptions'!$B$8,IF('I_Budget Input Data'!$E$14="Upfront",IF(5=1,'I_Budget Input Data'!$D$14,0),IF('I_Budget Input Data'!$E$14="Equal",'I_Budget Input Data'!$D$14/'I_Inputs &amp; Assumptions'!$B$8,IF('I_Budget Input Data'!$E$14="Front-loaded",IF(5&lt;='I_Inputs &amp; Assumptions'!$B$8/2,'I_Budget Input Data'!$D$14*0.6/('I_Inputs &amp; Assumptions'!$B$8/2),'I_Budget Input Data'!$D$14*0.4/('I_Inputs &amp; Assumptions'!$B$8/2)),IF('I_Budget Input Data'!$E$14="Back-loaded",IF(5&lt;='I_Inputs &amp; Assumptions'!$B$8/2,'I_Budget Input Data'!$D$14*0.4/('I_Inputs &amp; Assumptions'!$B$8/2),'I_Budget Input Data'!$D$14*0.6/('I_Inputs &amp; Assumptions'!$B$8/2)),IF('I_Budget Input Data'!$E$14="Mid-weighted",IF(5&lt;='I_Inputs &amp; Assumptions'!$B$8/4,'I_Budget Input Data'!$D$14*0.2/('I_Inputs &amp; Assumptions'!$B$8/4),IF(5&lt;='I_Inputs &amp; Assumptions'!$B$8*0.75,'I_Budget Input Data'!$D$14*0.6/('I_Inputs &amp; Assumptions'!$B$8/2),'I_Budget Input Data'!$D$14*0.2/('I_Inputs &amp; Assumptions'!$B$8/4))),IF('I_Budget Input Data'!$E$14="At Completion",IF(5='I_Inputs &amp; Assumptions'!$B$8,'I_Budget Input Data'!$D$14,0),'I_Budget Input Data'!$D$14/'I_Inputs &amp; Assumptions'!$B$8)))))),0)</f>
        <v>2814.7384615384613</v>
      </c>
      <c r="H14" s="91">
        <f>IF(6&lt;='I_Inputs &amp; Assumptions'!$B$8,IF('I_Budget Input Data'!$E$14="Upfront",IF(6=1,'I_Budget Input Data'!$D$14,0),IF('I_Budget Input Data'!$E$14="Equal",'I_Budget Input Data'!$D$14/'I_Inputs &amp; Assumptions'!$B$8,IF('I_Budget Input Data'!$E$14="Front-loaded",IF(6&lt;='I_Inputs &amp; Assumptions'!$B$8/2,'I_Budget Input Data'!$D$14*0.6/('I_Inputs &amp; Assumptions'!$B$8/2),'I_Budget Input Data'!$D$14*0.4/('I_Inputs &amp; Assumptions'!$B$8/2)),IF('I_Budget Input Data'!$E$14="Back-loaded",IF(6&lt;='I_Inputs &amp; Assumptions'!$B$8/2,'I_Budget Input Data'!$D$14*0.4/('I_Inputs &amp; Assumptions'!$B$8/2),'I_Budget Input Data'!$D$14*0.6/('I_Inputs &amp; Assumptions'!$B$8/2)),IF('I_Budget Input Data'!$E$14="Mid-weighted",IF(6&lt;='I_Inputs &amp; Assumptions'!$B$8/4,'I_Budget Input Data'!$D$14*0.2/('I_Inputs &amp; Assumptions'!$B$8/4),IF(6&lt;='I_Inputs &amp; Assumptions'!$B$8*0.75,'I_Budget Input Data'!$D$14*0.6/('I_Inputs &amp; Assumptions'!$B$8/2),'I_Budget Input Data'!$D$14*0.2/('I_Inputs &amp; Assumptions'!$B$8/4))),IF('I_Budget Input Data'!$E$14="At Completion",IF(6='I_Inputs &amp; Assumptions'!$B$8,'I_Budget Input Data'!$D$14,0),'I_Budget Input Data'!$D$14/'I_Inputs &amp; Assumptions'!$B$8)))))),0)</f>
        <v>2814.7384615384613</v>
      </c>
      <c r="I14" s="91">
        <f>IF(7&lt;='I_Inputs &amp; Assumptions'!$B$8,IF('I_Budget Input Data'!$E$14="Upfront",IF(7=1,'I_Budget Input Data'!$D$14,0),IF('I_Budget Input Data'!$E$14="Equal",'I_Budget Input Data'!$D$14/'I_Inputs &amp; Assumptions'!$B$8,IF('I_Budget Input Data'!$E$14="Front-loaded",IF(7&lt;='I_Inputs &amp; Assumptions'!$B$8/2,'I_Budget Input Data'!$D$14*0.6/('I_Inputs &amp; Assumptions'!$B$8/2),'I_Budget Input Data'!$D$14*0.4/('I_Inputs &amp; Assumptions'!$B$8/2)),IF('I_Budget Input Data'!$E$14="Back-loaded",IF(7&lt;='I_Inputs &amp; Assumptions'!$B$8/2,'I_Budget Input Data'!$D$14*0.4/('I_Inputs &amp; Assumptions'!$B$8/2),'I_Budget Input Data'!$D$14*0.6/('I_Inputs &amp; Assumptions'!$B$8/2)),IF('I_Budget Input Data'!$E$14="Mid-weighted",IF(7&lt;='I_Inputs &amp; Assumptions'!$B$8/4,'I_Budget Input Data'!$D$14*0.2/('I_Inputs &amp; Assumptions'!$B$8/4),IF(7&lt;='I_Inputs &amp; Assumptions'!$B$8*0.75,'I_Budget Input Data'!$D$14*0.6/('I_Inputs &amp; Assumptions'!$B$8/2),'I_Budget Input Data'!$D$14*0.2/('I_Inputs &amp; Assumptions'!$B$8/4))),IF('I_Budget Input Data'!$E$14="At Completion",IF(7='I_Inputs &amp; Assumptions'!$B$8,'I_Budget Input Data'!$D$14,0),'I_Budget Input Data'!$D$14/'I_Inputs &amp; Assumptions'!$B$8)))))),0)</f>
        <v>1876.4923076923078</v>
      </c>
      <c r="J14" s="91">
        <f>IF(8&lt;='I_Inputs &amp; Assumptions'!$B$8,IF('I_Budget Input Data'!$E$14="Upfront",IF(8=1,'I_Budget Input Data'!$D$14,0),IF('I_Budget Input Data'!$E$14="Equal",'I_Budget Input Data'!$D$14/'I_Inputs &amp; Assumptions'!$B$8,IF('I_Budget Input Data'!$E$14="Front-loaded",IF(8&lt;='I_Inputs &amp; Assumptions'!$B$8/2,'I_Budget Input Data'!$D$14*0.6/('I_Inputs &amp; Assumptions'!$B$8/2),'I_Budget Input Data'!$D$14*0.4/('I_Inputs &amp; Assumptions'!$B$8/2)),IF('I_Budget Input Data'!$E$14="Back-loaded",IF(8&lt;='I_Inputs &amp; Assumptions'!$B$8/2,'I_Budget Input Data'!$D$14*0.4/('I_Inputs &amp; Assumptions'!$B$8/2),'I_Budget Input Data'!$D$14*0.6/('I_Inputs &amp; Assumptions'!$B$8/2)),IF('I_Budget Input Data'!$E$14="Mid-weighted",IF(8&lt;='I_Inputs &amp; Assumptions'!$B$8/4,'I_Budget Input Data'!$D$14*0.2/('I_Inputs &amp; Assumptions'!$B$8/4),IF(8&lt;='I_Inputs &amp; Assumptions'!$B$8*0.75,'I_Budget Input Data'!$D$14*0.6/('I_Inputs &amp; Assumptions'!$B$8/2),'I_Budget Input Data'!$D$14*0.2/('I_Inputs &amp; Assumptions'!$B$8/4))),IF('I_Budget Input Data'!$E$14="At Completion",IF(8='I_Inputs &amp; Assumptions'!$B$8,'I_Budget Input Data'!$D$14,0),'I_Budget Input Data'!$D$14/'I_Inputs &amp; Assumptions'!$B$8)))))),0)</f>
        <v>1876.4923076923078</v>
      </c>
      <c r="K14" s="91">
        <f>IF(9&lt;='I_Inputs &amp; Assumptions'!$B$8,IF('I_Budget Input Data'!$E$14="Upfront",IF(9=1,'I_Budget Input Data'!$D$14,0),IF('I_Budget Input Data'!$E$14="Equal",'I_Budget Input Data'!$D$14/'I_Inputs &amp; Assumptions'!$B$8,IF('I_Budget Input Data'!$E$14="Front-loaded",IF(9&lt;='I_Inputs &amp; Assumptions'!$B$8/2,'I_Budget Input Data'!$D$14*0.6/('I_Inputs &amp; Assumptions'!$B$8/2),'I_Budget Input Data'!$D$14*0.4/('I_Inputs &amp; Assumptions'!$B$8/2)),IF('I_Budget Input Data'!$E$14="Back-loaded",IF(9&lt;='I_Inputs &amp; Assumptions'!$B$8/2,'I_Budget Input Data'!$D$14*0.4/('I_Inputs &amp; Assumptions'!$B$8/2),'I_Budget Input Data'!$D$14*0.6/('I_Inputs &amp; Assumptions'!$B$8/2)),IF('I_Budget Input Data'!$E$14="Mid-weighted",IF(9&lt;='I_Inputs &amp; Assumptions'!$B$8/4,'I_Budget Input Data'!$D$14*0.2/('I_Inputs &amp; Assumptions'!$B$8/4),IF(9&lt;='I_Inputs &amp; Assumptions'!$B$8*0.75,'I_Budget Input Data'!$D$14*0.6/('I_Inputs &amp; Assumptions'!$B$8/2),'I_Budget Input Data'!$D$14*0.2/('I_Inputs &amp; Assumptions'!$B$8/4))),IF('I_Budget Input Data'!$E$14="At Completion",IF(9='I_Inputs &amp; Assumptions'!$B$8,'I_Budget Input Data'!$D$14,0),'I_Budget Input Data'!$D$14/'I_Inputs &amp; Assumptions'!$B$8)))))),0)</f>
        <v>1876.4923076923078</v>
      </c>
      <c r="L14" s="91">
        <f>IF(10&lt;='I_Inputs &amp; Assumptions'!$B$8,IF('I_Budget Input Data'!$E$14="Upfront",IF(10=1,'I_Budget Input Data'!$D$14,0),IF('I_Budget Input Data'!$E$14="Equal",'I_Budget Input Data'!$D$14/'I_Inputs &amp; Assumptions'!$B$8,IF('I_Budget Input Data'!$E$14="Front-loaded",IF(10&lt;='I_Inputs &amp; Assumptions'!$B$8/2,'I_Budget Input Data'!$D$14*0.6/('I_Inputs &amp; Assumptions'!$B$8/2),'I_Budget Input Data'!$D$14*0.4/('I_Inputs &amp; Assumptions'!$B$8/2)),IF('I_Budget Input Data'!$E$14="Back-loaded",IF(10&lt;='I_Inputs &amp; Assumptions'!$B$8/2,'I_Budget Input Data'!$D$14*0.4/('I_Inputs &amp; Assumptions'!$B$8/2),'I_Budget Input Data'!$D$14*0.6/('I_Inputs &amp; Assumptions'!$B$8/2)),IF('I_Budget Input Data'!$E$14="Mid-weighted",IF(10&lt;='I_Inputs &amp; Assumptions'!$B$8/4,'I_Budget Input Data'!$D$14*0.2/('I_Inputs &amp; Assumptions'!$B$8/4),IF(10&lt;='I_Inputs &amp; Assumptions'!$B$8*0.75,'I_Budget Input Data'!$D$14*0.6/('I_Inputs &amp; Assumptions'!$B$8/2),'I_Budget Input Data'!$D$14*0.2/('I_Inputs &amp; Assumptions'!$B$8/4))),IF('I_Budget Input Data'!$E$14="At Completion",IF(10='I_Inputs &amp; Assumptions'!$B$8,'I_Budget Input Data'!$D$14,0),'I_Budget Input Data'!$D$14/'I_Inputs &amp; Assumptions'!$B$8)))))),0)</f>
        <v>1876.4923076923078</v>
      </c>
      <c r="M14" s="91">
        <f>IF(11&lt;='I_Inputs &amp; Assumptions'!$B$8,IF('I_Budget Input Data'!$E$14="Upfront",IF(11=1,'I_Budget Input Data'!$D$14,0),IF('I_Budget Input Data'!$E$14="Equal",'I_Budget Input Data'!$D$14/'I_Inputs &amp; Assumptions'!$B$8,IF('I_Budget Input Data'!$E$14="Front-loaded",IF(11&lt;='I_Inputs &amp; Assumptions'!$B$8/2,'I_Budget Input Data'!$D$14*0.6/('I_Inputs &amp; Assumptions'!$B$8/2),'I_Budget Input Data'!$D$14*0.4/('I_Inputs &amp; Assumptions'!$B$8/2)),IF('I_Budget Input Data'!$E$14="Back-loaded",IF(11&lt;='I_Inputs &amp; Assumptions'!$B$8/2,'I_Budget Input Data'!$D$14*0.4/('I_Inputs &amp; Assumptions'!$B$8/2),'I_Budget Input Data'!$D$14*0.6/('I_Inputs &amp; Assumptions'!$B$8/2)),IF('I_Budget Input Data'!$E$14="Mid-weighted",IF(11&lt;='I_Inputs &amp; Assumptions'!$B$8/4,'I_Budget Input Data'!$D$14*0.2/('I_Inputs &amp; Assumptions'!$B$8/4),IF(11&lt;='I_Inputs &amp; Assumptions'!$B$8*0.75,'I_Budget Input Data'!$D$14*0.6/('I_Inputs &amp; Assumptions'!$B$8/2),'I_Budget Input Data'!$D$14*0.2/('I_Inputs &amp; Assumptions'!$B$8/4))),IF('I_Budget Input Data'!$E$14="At Completion",IF(11='I_Inputs &amp; Assumptions'!$B$8,'I_Budget Input Data'!$D$14,0),'I_Budget Input Data'!$D$14/'I_Inputs &amp; Assumptions'!$B$8)))))),0)</f>
        <v>1876.4923076923078</v>
      </c>
      <c r="N14" s="91">
        <f>IF(12&lt;='I_Inputs &amp; Assumptions'!$B$8,IF('I_Budget Input Data'!$E$14="Upfront",IF(12=1,'I_Budget Input Data'!$D$14,0),IF('I_Budget Input Data'!$E$14="Equal",'I_Budget Input Data'!$D$14/'I_Inputs &amp; Assumptions'!$B$8,IF('I_Budget Input Data'!$E$14="Front-loaded",IF(12&lt;='I_Inputs &amp; Assumptions'!$B$8/2,'I_Budget Input Data'!$D$14*0.6/('I_Inputs &amp; Assumptions'!$B$8/2),'I_Budget Input Data'!$D$14*0.4/('I_Inputs &amp; Assumptions'!$B$8/2)),IF('I_Budget Input Data'!$E$14="Back-loaded",IF(12&lt;='I_Inputs &amp; Assumptions'!$B$8/2,'I_Budget Input Data'!$D$14*0.4/('I_Inputs &amp; Assumptions'!$B$8/2),'I_Budget Input Data'!$D$14*0.6/('I_Inputs &amp; Assumptions'!$B$8/2)),IF('I_Budget Input Data'!$E$14="Mid-weighted",IF(12&lt;='I_Inputs &amp; Assumptions'!$B$8/4,'I_Budget Input Data'!$D$14*0.2/('I_Inputs &amp; Assumptions'!$B$8/4),IF(12&lt;='I_Inputs &amp; Assumptions'!$B$8*0.75,'I_Budget Input Data'!$D$14*0.6/('I_Inputs &amp; Assumptions'!$B$8/2),'I_Budget Input Data'!$D$14*0.2/('I_Inputs &amp; Assumptions'!$B$8/4))),IF('I_Budget Input Data'!$E$14="At Completion",IF(12='I_Inputs &amp; Assumptions'!$B$8,'I_Budget Input Data'!$D$14,0),'I_Budget Input Data'!$D$14/'I_Inputs &amp; Assumptions'!$B$8)))))),0)</f>
        <v>1876.4923076923078</v>
      </c>
      <c r="O14" s="91">
        <f>IF(13&lt;='I_Inputs &amp; Assumptions'!$B$8,IF('I_Budget Input Data'!$E$14="Upfront",IF(13=1,'I_Budget Input Data'!$D$14,0),IF('I_Budget Input Data'!$E$14="Equal",'I_Budget Input Data'!$D$14/'I_Inputs &amp; Assumptions'!$B$8,IF('I_Budget Input Data'!$E$14="Front-loaded",IF(13&lt;='I_Inputs &amp; Assumptions'!$B$8/2,'I_Budget Input Data'!$D$14*0.6/('I_Inputs &amp; Assumptions'!$B$8/2),'I_Budget Input Data'!$D$14*0.4/('I_Inputs &amp; Assumptions'!$B$8/2)),IF('I_Budget Input Data'!$E$14="Back-loaded",IF(13&lt;='I_Inputs &amp; Assumptions'!$B$8/2,'I_Budget Input Data'!$D$14*0.4/('I_Inputs &amp; Assumptions'!$B$8/2),'I_Budget Input Data'!$D$14*0.6/('I_Inputs &amp; Assumptions'!$B$8/2)),IF('I_Budget Input Data'!$E$14="Mid-weighted",IF(13&lt;='I_Inputs &amp; Assumptions'!$B$8/4,'I_Budget Input Data'!$D$14*0.2/('I_Inputs &amp; Assumptions'!$B$8/4),IF(13&lt;='I_Inputs &amp; Assumptions'!$B$8*0.75,'I_Budget Input Data'!$D$14*0.6/('I_Inputs &amp; Assumptions'!$B$8/2),'I_Budget Input Data'!$D$14*0.2/('I_Inputs &amp; Assumptions'!$B$8/4))),IF('I_Budget Input Data'!$E$14="At Completion",IF(13='I_Inputs &amp; Assumptions'!$B$8,'I_Budget Input Data'!$D$14,0),'I_Budget Input Data'!$D$14/'I_Inputs &amp; Assumptions'!$B$8)))))),0)</f>
        <v>1876.4923076923078</v>
      </c>
      <c r="P14" s="91">
        <f>IF(14&lt;='I_Inputs &amp; Assumptions'!$B$8,IF('I_Budget Input Data'!$E$14="Upfront",IF(14=1,'I_Budget Input Data'!$D$14,0),IF('I_Budget Input Data'!$E$14="Equal",'I_Budget Input Data'!$D$14/'I_Inputs &amp; Assumptions'!$B$8,IF('I_Budget Input Data'!$E$14="Front-loaded",IF(14&lt;='I_Inputs &amp; Assumptions'!$B$8/2,'I_Budget Input Data'!$D$14*0.6/('I_Inputs &amp; Assumptions'!$B$8/2),'I_Budget Input Data'!$D$14*0.4/('I_Inputs &amp; Assumptions'!$B$8/2)),IF('I_Budget Input Data'!$E$14="Back-loaded",IF(14&lt;='I_Inputs &amp; Assumptions'!$B$8/2,'I_Budget Input Data'!$D$14*0.4/('I_Inputs &amp; Assumptions'!$B$8/2),'I_Budget Input Data'!$D$14*0.6/('I_Inputs &amp; Assumptions'!$B$8/2)),IF('I_Budget Input Data'!$E$14="Mid-weighted",IF(14&lt;='I_Inputs &amp; Assumptions'!$B$8/4,'I_Budget Input Data'!$D$14*0.2/('I_Inputs &amp; Assumptions'!$B$8/4),IF(14&lt;='I_Inputs &amp; Assumptions'!$B$8*0.75,'I_Budget Input Data'!$D$14*0.6/('I_Inputs &amp; Assumptions'!$B$8/2),'I_Budget Input Data'!$D$14*0.2/('I_Inputs &amp; Assumptions'!$B$8/4))),IF('I_Budget Input Data'!$E$14="At Completion",IF(14='I_Inputs &amp; Assumptions'!$B$8,'I_Budget Input Data'!$D$14,0),'I_Budget Input Data'!$D$14/'I_Inputs &amp; Assumptions'!$B$8)))))),0)</f>
        <v>0</v>
      </c>
      <c r="Q14" s="91">
        <f>IF(15&lt;='I_Inputs &amp; Assumptions'!$B$8,IF('I_Budget Input Data'!$E$14="Upfront",IF(15=1,'I_Budget Input Data'!$D$14,0),IF('I_Budget Input Data'!$E$14="Equal",'I_Budget Input Data'!$D$14/'I_Inputs &amp; Assumptions'!$B$8,IF('I_Budget Input Data'!$E$14="Front-loaded",IF(15&lt;='I_Inputs &amp; Assumptions'!$B$8/2,'I_Budget Input Data'!$D$14*0.6/('I_Inputs &amp; Assumptions'!$B$8/2),'I_Budget Input Data'!$D$14*0.4/('I_Inputs &amp; Assumptions'!$B$8/2)),IF('I_Budget Input Data'!$E$14="Back-loaded",IF(15&lt;='I_Inputs &amp; Assumptions'!$B$8/2,'I_Budget Input Data'!$D$14*0.4/('I_Inputs &amp; Assumptions'!$B$8/2),'I_Budget Input Data'!$D$14*0.6/('I_Inputs &amp; Assumptions'!$B$8/2)),IF('I_Budget Input Data'!$E$14="Mid-weighted",IF(15&lt;='I_Inputs &amp; Assumptions'!$B$8/4,'I_Budget Input Data'!$D$14*0.2/('I_Inputs &amp; Assumptions'!$B$8/4),IF(15&lt;='I_Inputs &amp; Assumptions'!$B$8*0.75,'I_Budget Input Data'!$D$14*0.6/('I_Inputs &amp; Assumptions'!$B$8/2),'I_Budget Input Data'!$D$14*0.2/('I_Inputs &amp; Assumptions'!$B$8/4))),IF('I_Budget Input Data'!$E$14="At Completion",IF(15='I_Inputs &amp; Assumptions'!$B$8,'I_Budget Input Data'!$D$14,0),'I_Budget Input Data'!$D$14/'I_Inputs &amp; Assumptions'!$B$8)))))),0)</f>
        <v>0</v>
      </c>
      <c r="R14" s="91">
        <f>IF(16&lt;='I_Inputs &amp; Assumptions'!$B$8,IF('I_Budget Input Data'!$E$14="Upfront",IF(16=1,'I_Budget Input Data'!$D$14,0),IF('I_Budget Input Data'!$E$14="Equal",'I_Budget Input Data'!$D$14/'I_Inputs &amp; Assumptions'!$B$8,IF('I_Budget Input Data'!$E$14="Front-loaded",IF(16&lt;='I_Inputs &amp; Assumptions'!$B$8/2,'I_Budget Input Data'!$D$14*0.6/('I_Inputs &amp; Assumptions'!$B$8/2),'I_Budget Input Data'!$D$14*0.4/('I_Inputs &amp; Assumptions'!$B$8/2)),IF('I_Budget Input Data'!$E$14="Back-loaded",IF(16&lt;='I_Inputs &amp; Assumptions'!$B$8/2,'I_Budget Input Data'!$D$14*0.4/('I_Inputs &amp; Assumptions'!$B$8/2),'I_Budget Input Data'!$D$14*0.6/('I_Inputs &amp; Assumptions'!$B$8/2)),IF('I_Budget Input Data'!$E$14="Mid-weighted",IF(16&lt;='I_Inputs &amp; Assumptions'!$B$8/4,'I_Budget Input Data'!$D$14*0.2/('I_Inputs &amp; Assumptions'!$B$8/4),IF(16&lt;='I_Inputs &amp; Assumptions'!$B$8*0.75,'I_Budget Input Data'!$D$14*0.6/('I_Inputs &amp; Assumptions'!$B$8/2),'I_Budget Input Data'!$D$14*0.2/('I_Inputs &amp; Assumptions'!$B$8/4))),IF('I_Budget Input Data'!$E$14="At Completion",IF(16='I_Inputs &amp; Assumptions'!$B$8,'I_Budget Input Data'!$D$14,0),'I_Budget Input Data'!$D$14/'I_Inputs &amp; Assumptions'!$B$8)))))),0)</f>
        <v>0</v>
      </c>
      <c r="S14" s="91">
        <f>IF(17&lt;='I_Inputs &amp; Assumptions'!$B$8,IF('I_Budget Input Data'!$E$14="Upfront",IF(17=1,'I_Budget Input Data'!$D$14,0),IF('I_Budget Input Data'!$E$14="Equal",'I_Budget Input Data'!$D$14/'I_Inputs &amp; Assumptions'!$B$8,IF('I_Budget Input Data'!$E$14="Front-loaded",IF(17&lt;='I_Inputs &amp; Assumptions'!$B$8/2,'I_Budget Input Data'!$D$14*0.6/('I_Inputs &amp; Assumptions'!$B$8/2),'I_Budget Input Data'!$D$14*0.4/('I_Inputs &amp; Assumptions'!$B$8/2)),IF('I_Budget Input Data'!$E$14="Back-loaded",IF(17&lt;='I_Inputs &amp; Assumptions'!$B$8/2,'I_Budget Input Data'!$D$14*0.4/('I_Inputs &amp; Assumptions'!$B$8/2),'I_Budget Input Data'!$D$14*0.6/('I_Inputs &amp; Assumptions'!$B$8/2)),IF('I_Budget Input Data'!$E$14="Mid-weighted",IF(17&lt;='I_Inputs &amp; Assumptions'!$B$8/4,'I_Budget Input Data'!$D$14*0.2/('I_Inputs &amp; Assumptions'!$B$8/4),IF(17&lt;='I_Inputs &amp; Assumptions'!$B$8*0.75,'I_Budget Input Data'!$D$14*0.6/('I_Inputs &amp; Assumptions'!$B$8/2),'I_Budget Input Data'!$D$14*0.2/('I_Inputs &amp; Assumptions'!$B$8/4))),IF('I_Budget Input Data'!$E$14="At Completion",IF(17='I_Inputs &amp; Assumptions'!$B$8,'I_Budget Input Data'!$D$14,0),'I_Budget Input Data'!$D$14/'I_Inputs &amp; Assumptions'!$B$8)))))),0)</f>
        <v>0</v>
      </c>
      <c r="T14" s="91">
        <f>IF(18&lt;='I_Inputs &amp; Assumptions'!$B$8,IF('I_Budget Input Data'!$E$14="Upfront",IF(18=1,'I_Budget Input Data'!$D$14,0),IF('I_Budget Input Data'!$E$14="Equal",'I_Budget Input Data'!$D$14/'I_Inputs &amp; Assumptions'!$B$8,IF('I_Budget Input Data'!$E$14="Front-loaded",IF(18&lt;='I_Inputs &amp; Assumptions'!$B$8/2,'I_Budget Input Data'!$D$14*0.6/('I_Inputs &amp; Assumptions'!$B$8/2),'I_Budget Input Data'!$D$14*0.4/('I_Inputs &amp; Assumptions'!$B$8/2)),IF('I_Budget Input Data'!$E$14="Back-loaded",IF(18&lt;='I_Inputs &amp; Assumptions'!$B$8/2,'I_Budget Input Data'!$D$14*0.4/('I_Inputs &amp; Assumptions'!$B$8/2),'I_Budget Input Data'!$D$14*0.6/('I_Inputs &amp; Assumptions'!$B$8/2)),IF('I_Budget Input Data'!$E$14="Mid-weighted",IF(18&lt;='I_Inputs &amp; Assumptions'!$B$8/4,'I_Budget Input Data'!$D$14*0.2/('I_Inputs &amp; Assumptions'!$B$8/4),IF(18&lt;='I_Inputs &amp; Assumptions'!$B$8*0.75,'I_Budget Input Data'!$D$14*0.6/('I_Inputs &amp; Assumptions'!$B$8/2),'I_Budget Input Data'!$D$14*0.2/('I_Inputs &amp; Assumptions'!$B$8/4))),IF('I_Budget Input Data'!$E$14="At Completion",IF(18='I_Inputs &amp; Assumptions'!$B$8,'I_Budget Input Data'!$D$14,0),'I_Budget Input Data'!$D$14/'I_Inputs &amp; Assumptions'!$B$8)))))),0)</f>
        <v>0</v>
      </c>
      <c r="U14" s="91">
        <f>IF(19&lt;='I_Inputs &amp; Assumptions'!$B$8,IF('I_Budget Input Data'!$E$14="Upfront",IF(19=1,'I_Budget Input Data'!$D$14,0),IF('I_Budget Input Data'!$E$14="Equal",'I_Budget Input Data'!$D$14/'I_Inputs &amp; Assumptions'!$B$8,IF('I_Budget Input Data'!$E$14="Front-loaded",IF(19&lt;='I_Inputs &amp; Assumptions'!$B$8/2,'I_Budget Input Data'!$D$14*0.6/('I_Inputs &amp; Assumptions'!$B$8/2),'I_Budget Input Data'!$D$14*0.4/('I_Inputs &amp; Assumptions'!$B$8/2)),IF('I_Budget Input Data'!$E$14="Back-loaded",IF(19&lt;='I_Inputs &amp; Assumptions'!$B$8/2,'I_Budget Input Data'!$D$14*0.4/('I_Inputs &amp; Assumptions'!$B$8/2),'I_Budget Input Data'!$D$14*0.6/('I_Inputs &amp; Assumptions'!$B$8/2)),IF('I_Budget Input Data'!$E$14="Mid-weighted",IF(19&lt;='I_Inputs &amp; Assumptions'!$B$8/4,'I_Budget Input Data'!$D$14*0.2/('I_Inputs &amp; Assumptions'!$B$8/4),IF(19&lt;='I_Inputs &amp; Assumptions'!$B$8*0.75,'I_Budget Input Data'!$D$14*0.6/('I_Inputs &amp; Assumptions'!$B$8/2),'I_Budget Input Data'!$D$14*0.2/('I_Inputs &amp; Assumptions'!$B$8/4))),IF('I_Budget Input Data'!$E$14="At Completion",IF(19='I_Inputs &amp; Assumptions'!$B$8,'I_Budget Input Data'!$D$14,0),'I_Budget Input Data'!$D$14/'I_Inputs &amp; Assumptions'!$B$8)))))),0)</f>
        <v>0</v>
      </c>
      <c r="V14" s="91">
        <f>IF(20&lt;='I_Inputs &amp; Assumptions'!$B$8,IF('I_Budget Input Data'!$E$14="Upfront",IF(20=1,'I_Budget Input Data'!$D$14,0),IF('I_Budget Input Data'!$E$14="Equal",'I_Budget Input Data'!$D$14/'I_Inputs &amp; Assumptions'!$B$8,IF('I_Budget Input Data'!$E$14="Front-loaded",IF(20&lt;='I_Inputs &amp; Assumptions'!$B$8/2,'I_Budget Input Data'!$D$14*0.6/('I_Inputs &amp; Assumptions'!$B$8/2),'I_Budget Input Data'!$D$14*0.4/('I_Inputs &amp; Assumptions'!$B$8/2)),IF('I_Budget Input Data'!$E$14="Back-loaded",IF(20&lt;='I_Inputs &amp; Assumptions'!$B$8/2,'I_Budget Input Data'!$D$14*0.4/('I_Inputs &amp; Assumptions'!$B$8/2),'I_Budget Input Data'!$D$14*0.6/('I_Inputs &amp; Assumptions'!$B$8/2)),IF('I_Budget Input Data'!$E$14="Mid-weighted",IF(20&lt;='I_Inputs &amp; Assumptions'!$B$8/4,'I_Budget Input Data'!$D$14*0.2/('I_Inputs &amp; Assumptions'!$B$8/4),IF(20&lt;='I_Inputs &amp; Assumptions'!$B$8*0.75,'I_Budget Input Data'!$D$14*0.6/('I_Inputs &amp; Assumptions'!$B$8/2),'I_Budget Input Data'!$D$14*0.2/('I_Inputs &amp; Assumptions'!$B$8/4))),IF('I_Budget Input Data'!$E$14="At Completion",IF(20='I_Inputs &amp; Assumptions'!$B$8,'I_Budget Input Data'!$D$14,0),'I_Budget Input Data'!$D$14/'I_Inputs &amp; Assumptions'!$B$8)))))),0)</f>
        <v>0</v>
      </c>
      <c r="W14" s="91">
        <f>IF(21&lt;='I_Inputs &amp; Assumptions'!$B$8,IF('I_Budget Input Data'!$E$14="Upfront",IF(21=1,'I_Budget Input Data'!$D$14,0),IF('I_Budget Input Data'!$E$14="Equal",'I_Budget Input Data'!$D$14/'I_Inputs &amp; Assumptions'!$B$8,IF('I_Budget Input Data'!$E$14="Front-loaded",IF(21&lt;='I_Inputs &amp; Assumptions'!$B$8/2,'I_Budget Input Data'!$D$14*0.6/('I_Inputs &amp; Assumptions'!$B$8/2),'I_Budget Input Data'!$D$14*0.4/('I_Inputs &amp; Assumptions'!$B$8/2)),IF('I_Budget Input Data'!$E$14="Back-loaded",IF(21&lt;='I_Inputs &amp; Assumptions'!$B$8/2,'I_Budget Input Data'!$D$14*0.4/('I_Inputs &amp; Assumptions'!$B$8/2),'I_Budget Input Data'!$D$14*0.6/('I_Inputs &amp; Assumptions'!$B$8/2)),IF('I_Budget Input Data'!$E$14="Mid-weighted",IF(21&lt;='I_Inputs &amp; Assumptions'!$B$8/4,'I_Budget Input Data'!$D$14*0.2/('I_Inputs &amp; Assumptions'!$B$8/4),IF(21&lt;='I_Inputs &amp; Assumptions'!$B$8*0.75,'I_Budget Input Data'!$D$14*0.6/('I_Inputs &amp; Assumptions'!$B$8/2),'I_Budget Input Data'!$D$14*0.2/('I_Inputs &amp; Assumptions'!$B$8/4))),IF('I_Budget Input Data'!$E$14="At Completion",IF(21='I_Inputs &amp; Assumptions'!$B$8,'I_Budget Input Data'!$D$14,0),'I_Budget Input Data'!$D$14/'I_Inputs &amp; Assumptions'!$B$8)))))),0)</f>
        <v>0</v>
      </c>
      <c r="X14" s="91">
        <f>IF(22&lt;='I_Inputs &amp; Assumptions'!$B$8,IF('I_Budget Input Data'!$E$14="Upfront",IF(22=1,'I_Budget Input Data'!$D$14,0),IF('I_Budget Input Data'!$E$14="Equal",'I_Budget Input Data'!$D$14/'I_Inputs &amp; Assumptions'!$B$8,IF('I_Budget Input Data'!$E$14="Front-loaded",IF(22&lt;='I_Inputs &amp; Assumptions'!$B$8/2,'I_Budget Input Data'!$D$14*0.6/('I_Inputs &amp; Assumptions'!$B$8/2),'I_Budget Input Data'!$D$14*0.4/('I_Inputs &amp; Assumptions'!$B$8/2)),IF('I_Budget Input Data'!$E$14="Back-loaded",IF(22&lt;='I_Inputs &amp; Assumptions'!$B$8/2,'I_Budget Input Data'!$D$14*0.4/('I_Inputs &amp; Assumptions'!$B$8/2),'I_Budget Input Data'!$D$14*0.6/('I_Inputs &amp; Assumptions'!$B$8/2)),IF('I_Budget Input Data'!$E$14="Mid-weighted",IF(22&lt;='I_Inputs &amp; Assumptions'!$B$8/4,'I_Budget Input Data'!$D$14*0.2/('I_Inputs &amp; Assumptions'!$B$8/4),IF(22&lt;='I_Inputs &amp; Assumptions'!$B$8*0.75,'I_Budget Input Data'!$D$14*0.6/('I_Inputs &amp; Assumptions'!$B$8/2),'I_Budget Input Data'!$D$14*0.2/('I_Inputs &amp; Assumptions'!$B$8/4))),IF('I_Budget Input Data'!$E$14="At Completion",IF(22='I_Inputs &amp; Assumptions'!$B$8,'I_Budget Input Data'!$D$14,0),'I_Budget Input Data'!$D$14/'I_Inputs &amp; Assumptions'!$B$8)))))),0)</f>
        <v>0</v>
      </c>
      <c r="Y14" s="91">
        <f>IF(23&lt;='I_Inputs &amp; Assumptions'!$B$8,IF('I_Budget Input Data'!$E$14="Upfront",IF(23=1,'I_Budget Input Data'!$D$14,0),IF('I_Budget Input Data'!$E$14="Equal",'I_Budget Input Data'!$D$14/'I_Inputs &amp; Assumptions'!$B$8,IF('I_Budget Input Data'!$E$14="Front-loaded",IF(23&lt;='I_Inputs &amp; Assumptions'!$B$8/2,'I_Budget Input Data'!$D$14*0.6/('I_Inputs &amp; Assumptions'!$B$8/2),'I_Budget Input Data'!$D$14*0.4/('I_Inputs &amp; Assumptions'!$B$8/2)),IF('I_Budget Input Data'!$E$14="Back-loaded",IF(23&lt;='I_Inputs &amp; Assumptions'!$B$8/2,'I_Budget Input Data'!$D$14*0.4/('I_Inputs &amp; Assumptions'!$B$8/2),'I_Budget Input Data'!$D$14*0.6/('I_Inputs &amp; Assumptions'!$B$8/2)),IF('I_Budget Input Data'!$E$14="Mid-weighted",IF(23&lt;='I_Inputs &amp; Assumptions'!$B$8/4,'I_Budget Input Data'!$D$14*0.2/('I_Inputs &amp; Assumptions'!$B$8/4),IF(23&lt;='I_Inputs &amp; Assumptions'!$B$8*0.75,'I_Budget Input Data'!$D$14*0.6/('I_Inputs &amp; Assumptions'!$B$8/2),'I_Budget Input Data'!$D$14*0.2/('I_Inputs &amp; Assumptions'!$B$8/4))),IF('I_Budget Input Data'!$E$14="At Completion",IF(23='I_Inputs &amp; Assumptions'!$B$8,'I_Budget Input Data'!$D$14,0),'I_Budget Input Data'!$D$14/'I_Inputs &amp; Assumptions'!$B$8)))))),0)</f>
        <v>0</v>
      </c>
      <c r="Z14" s="91">
        <f>IF(24&lt;='I_Inputs &amp; Assumptions'!$B$8,IF('I_Budget Input Data'!$E$14="Upfront",IF(24=1,'I_Budget Input Data'!$D$14,0),IF('I_Budget Input Data'!$E$14="Equal",'I_Budget Input Data'!$D$14/'I_Inputs &amp; Assumptions'!$B$8,IF('I_Budget Input Data'!$E$14="Front-loaded",IF(24&lt;='I_Inputs &amp; Assumptions'!$B$8/2,'I_Budget Input Data'!$D$14*0.6/('I_Inputs &amp; Assumptions'!$B$8/2),'I_Budget Input Data'!$D$14*0.4/('I_Inputs &amp; Assumptions'!$B$8/2)),IF('I_Budget Input Data'!$E$14="Back-loaded",IF(24&lt;='I_Inputs &amp; Assumptions'!$B$8/2,'I_Budget Input Data'!$D$14*0.4/('I_Inputs &amp; Assumptions'!$B$8/2),'I_Budget Input Data'!$D$14*0.6/('I_Inputs &amp; Assumptions'!$B$8/2)),IF('I_Budget Input Data'!$E$14="Mid-weighted",IF(24&lt;='I_Inputs &amp; Assumptions'!$B$8/4,'I_Budget Input Data'!$D$14*0.2/('I_Inputs &amp; Assumptions'!$B$8/4),IF(24&lt;='I_Inputs &amp; Assumptions'!$B$8*0.75,'I_Budget Input Data'!$D$14*0.6/('I_Inputs &amp; Assumptions'!$B$8/2),'I_Budget Input Data'!$D$14*0.2/('I_Inputs &amp; Assumptions'!$B$8/4))),IF('I_Budget Input Data'!$E$14="At Completion",IF(24='I_Inputs &amp; Assumptions'!$B$8,'I_Budget Input Data'!$D$14,0),'I_Budget Input Data'!$D$14/'I_Inputs &amp; Assumptions'!$B$8)))))),0)</f>
        <v>0</v>
      </c>
      <c r="AA14" s="91">
        <f>IF(25&lt;='I_Inputs &amp; Assumptions'!$B$8,IF('I_Budget Input Data'!$E$14="Upfront",IF(25=1,'I_Budget Input Data'!$D$14,0),IF('I_Budget Input Data'!$E$14="Equal",'I_Budget Input Data'!$D$14/'I_Inputs &amp; Assumptions'!$B$8,IF('I_Budget Input Data'!$E$14="Front-loaded",IF(25&lt;='I_Inputs &amp; Assumptions'!$B$8/2,'I_Budget Input Data'!$D$14*0.6/('I_Inputs &amp; Assumptions'!$B$8/2),'I_Budget Input Data'!$D$14*0.4/('I_Inputs &amp; Assumptions'!$B$8/2)),IF('I_Budget Input Data'!$E$14="Back-loaded",IF(25&lt;='I_Inputs &amp; Assumptions'!$B$8/2,'I_Budget Input Data'!$D$14*0.4/('I_Inputs &amp; Assumptions'!$B$8/2),'I_Budget Input Data'!$D$14*0.6/('I_Inputs &amp; Assumptions'!$B$8/2)),IF('I_Budget Input Data'!$E$14="Mid-weighted",IF(25&lt;='I_Inputs &amp; Assumptions'!$B$8/4,'I_Budget Input Data'!$D$14*0.2/('I_Inputs &amp; Assumptions'!$B$8/4),IF(25&lt;='I_Inputs &amp; Assumptions'!$B$8*0.75,'I_Budget Input Data'!$D$14*0.6/('I_Inputs &amp; Assumptions'!$B$8/2),'I_Budget Input Data'!$D$14*0.2/('I_Inputs &amp; Assumptions'!$B$8/4))),IF('I_Budget Input Data'!$E$14="At Completion",IF(25='I_Inputs &amp; Assumptions'!$B$8,'I_Budget Input Data'!$D$14,0),'I_Budget Input Data'!$D$14/'I_Inputs &amp; Assumptions'!$B$8)))))),0)</f>
        <v>0</v>
      </c>
      <c r="AB14" s="91">
        <f>IF(26&lt;='I_Inputs &amp; Assumptions'!$B$8,IF('I_Budget Input Data'!$E$14="Upfront",IF(26=1,'I_Budget Input Data'!$D$14,0),IF('I_Budget Input Data'!$E$14="Equal",'I_Budget Input Data'!$D$14/'I_Inputs &amp; Assumptions'!$B$8,IF('I_Budget Input Data'!$E$14="Front-loaded",IF(26&lt;='I_Inputs &amp; Assumptions'!$B$8/2,'I_Budget Input Data'!$D$14*0.6/('I_Inputs &amp; Assumptions'!$B$8/2),'I_Budget Input Data'!$D$14*0.4/('I_Inputs &amp; Assumptions'!$B$8/2)),IF('I_Budget Input Data'!$E$14="Back-loaded",IF(26&lt;='I_Inputs &amp; Assumptions'!$B$8/2,'I_Budget Input Data'!$D$14*0.4/('I_Inputs &amp; Assumptions'!$B$8/2),'I_Budget Input Data'!$D$14*0.6/('I_Inputs &amp; Assumptions'!$B$8/2)),IF('I_Budget Input Data'!$E$14="Mid-weighted",IF(26&lt;='I_Inputs &amp; Assumptions'!$B$8/4,'I_Budget Input Data'!$D$14*0.2/('I_Inputs &amp; Assumptions'!$B$8/4),IF(26&lt;='I_Inputs &amp; Assumptions'!$B$8*0.75,'I_Budget Input Data'!$D$14*0.6/('I_Inputs &amp; Assumptions'!$B$8/2),'I_Budget Input Data'!$D$14*0.2/('I_Inputs &amp; Assumptions'!$B$8/4))),IF('I_Budget Input Data'!$E$14="At Completion",IF(26='I_Inputs &amp; Assumptions'!$B$8,'I_Budget Input Data'!$D$14,0),'I_Budget Input Data'!$D$14/'I_Inputs &amp; Assumptions'!$B$8)))))),0)</f>
        <v>0</v>
      </c>
      <c r="AC14" s="91">
        <f>IF(27&lt;='I_Inputs &amp; Assumptions'!$B$8,IF('I_Budget Input Data'!$E$14="Upfront",IF(27=1,'I_Budget Input Data'!$D$14,0),IF('I_Budget Input Data'!$E$14="Equal",'I_Budget Input Data'!$D$14/'I_Inputs &amp; Assumptions'!$B$8,IF('I_Budget Input Data'!$E$14="Front-loaded",IF(27&lt;='I_Inputs &amp; Assumptions'!$B$8/2,'I_Budget Input Data'!$D$14*0.6/('I_Inputs &amp; Assumptions'!$B$8/2),'I_Budget Input Data'!$D$14*0.4/('I_Inputs &amp; Assumptions'!$B$8/2)),IF('I_Budget Input Data'!$E$14="Back-loaded",IF(27&lt;='I_Inputs &amp; Assumptions'!$B$8/2,'I_Budget Input Data'!$D$14*0.4/('I_Inputs &amp; Assumptions'!$B$8/2),'I_Budget Input Data'!$D$14*0.6/('I_Inputs &amp; Assumptions'!$B$8/2)),IF('I_Budget Input Data'!$E$14="Mid-weighted",IF(27&lt;='I_Inputs &amp; Assumptions'!$B$8/4,'I_Budget Input Data'!$D$14*0.2/('I_Inputs &amp; Assumptions'!$B$8/4),IF(27&lt;='I_Inputs &amp; Assumptions'!$B$8*0.75,'I_Budget Input Data'!$D$14*0.6/('I_Inputs &amp; Assumptions'!$B$8/2),'I_Budget Input Data'!$D$14*0.2/('I_Inputs &amp; Assumptions'!$B$8/4))),IF('I_Budget Input Data'!$E$14="At Completion",IF(27='I_Inputs &amp; Assumptions'!$B$8,'I_Budget Input Data'!$D$14,0),'I_Budget Input Data'!$D$14/'I_Inputs &amp; Assumptions'!$B$8)))))),0)</f>
        <v>0</v>
      </c>
      <c r="AD14" s="91">
        <f>IF(28&lt;='I_Inputs &amp; Assumptions'!$B$8,IF('I_Budget Input Data'!$E$14="Upfront",IF(28=1,'I_Budget Input Data'!$D$14,0),IF('I_Budget Input Data'!$E$14="Equal",'I_Budget Input Data'!$D$14/'I_Inputs &amp; Assumptions'!$B$8,IF('I_Budget Input Data'!$E$14="Front-loaded",IF(28&lt;='I_Inputs &amp; Assumptions'!$B$8/2,'I_Budget Input Data'!$D$14*0.6/('I_Inputs &amp; Assumptions'!$B$8/2),'I_Budget Input Data'!$D$14*0.4/('I_Inputs &amp; Assumptions'!$B$8/2)),IF('I_Budget Input Data'!$E$14="Back-loaded",IF(28&lt;='I_Inputs &amp; Assumptions'!$B$8/2,'I_Budget Input Data'!$D$14*0.4/('I_Inputs &amp; Assumptions'!$B$8/2),'I_Budget Input Data'!$D$14*0.6/('I_Inputs &amp; Assumptions'!$B$8/2)),IF('I_Budget Input Data'!$E$14="Mid-weighted",IF(28&lt;='I_Inputs &amp; Assumptions'!$B$8/4,'I_Budget Input Data'!$D$14*0.2/('I_Inputs &amp; Assumptions'!$B$8/4),IF(28&lt;='I_Inputs &amp; Assumptions'!$B$8*0.75,'I_Budget Input Data'!$D$14*0.6/('I_Inputs &amp; Assumptions'!$B$8/2),'I_Budget Input Data'!$D$14*0.2/('I_Inputs &amp; Assumptions'!$B$8/4))),IF('I_Budget Input Data'!$E$14="At Completion",IF(28='I_Inputs &amp; Assumptions'!$B$8,'I_Budget Input Data'!$D$14,0),'I_Budget Input Data'!$D$14/'I_Inputs &amp; Assumptions'!$B$8)))))),0)</f>
        <v>0</v>
      </c>
      <c r="AE14" s="91">
        <f>IF(29&lt;='I_Inputs &amp; Assumptions'!$B$8,IF('I_Budget Input Data'!$E$14="Upfront",IF(29=1,'I_Budget Input Data'!$D$14,0),IF('I_Budget Input Data'!$E$14="Equal",'I_Budget Input Data'!$D$14/'I_Inputs &amp; Assumptions'!$B$8,IF('I_Budget Input Data'!$E$14="Front-loaded",IF(29&lt;='I_Inputs &amp; Assumptions'!$B$8/2,'I_Budget Input Data'!$D$14*0.6/('I_Inputs &amp; Assumptions'!$B$8/2),'I_Budget Input Data'!$D$14*0.4/('I_Inputs &amp; Assumptions'!$B$8/2)),IF('I_Budget Input Data'!$E$14="Back-loaded",IF(29&lt;='I_Inputs &amp; Assumptions'!$B$8/2,'I_Budget Input Data'!$D$14*0.4/('I_Inputs &amp; Assumptions'!$B$8/2),'I_Budget Input Data'!$D$14*0.6/('I_Inputs &amp; Assumptions'!$B$8/2)),IF('I_Budget Input Data'!$E$14="Mid-weighted",IF(29&lt;='I_Inputs &amp; Assumptions'!$B$8/4,'I_Budget Input Data'!$D$14*0.2/('I_Inputs &amp; Assumptions'!$B$8/4),IF(29&lt;='I_Inputs &amp; Assumptions'!$B$8*0.75,'I_Budget Input Data'!$D$14*0.6/('I_Inputs &amp; Assumptions'!$B$8/2),'I_Budget Input Data'!$D$14*0.2/('I_Inputs &amp; Assumptions'!$B$8/4))),IF('I_Budget Input Data'!$E$14="At Completion",IF(29='I_Inputs &amp; Assumptions'!$B$8,'I_Budget Input Data'!$D$14,0),'I_Budget Input Data'!$D$14/'I_Inputs &amp; Assumptions'!$B$8)))))),0)</f>
        <v>0</v>
      </c>
      <c r="AF14" s="91">
        <f>IF(30&lt;='I_Inputs &amp; Assumptions'!$B$8,IF('I_Budget Input Data'!$E$14="Upfront",IF(30=1,'I_Budget Input Data'!$D$14,0),IF('I_Budget Input Data'!$E$14="Equal",'I_Budget Input Data'!$D$14/'I_Inputs &amp; Assumptions'!$B$8,IF('I_Budget Input Data'!$E$14="Front-loaded",IF(30&lt;='I_Inputs &amp; Assumptions'!$B$8/2,'I_Budget Input Data'!$D$14*0.6/('I_Inputs &amp; Assumptions'!$B$8/2),'I_Budget Input Data'!$D$14*0.4/('I_Inputs &amp; Assumptions'!$B$8/2)),IF('I_Budget Input Data'!$E$14="Back-loaded",IF(30&lt;='I_Inputs &amp; Assumptions'!$B$8/2,'I_Budget Input Data'!$D$14*0.4/('I_Inputs &amp; Assumptions'!$B$8/2),'I_Budget Input Data'!$D$14*0.6/('I_Inputs &amp; Assumptions'!$B$8/2)),IF('I_Budget Input Data'!$E$14="Mid-weighted",IF(30&lt;='I_Inputs &amp; Assumptions'!$B$8/4,'I_Budget Input Data'!$D$14*0.2/('I_Inputs &amp; Assumptions'!$B$8/4),IF(30&lt;='I_Inputs &amp; Assumptions'!$B$8*0.75,'I_Budget Input Data'!$D$14*0.6/('I_Inputs &amp; Assumptions'!$B$8/2),'I_Budget Input Data'!$D$14*0.2/('I_Inputs &amp; Assumptions'!$B$8/4))),IF('I_Budget Input Data'!$E$14="At Completion",IF(30='I_Inputs &amp; Assumptions'!$B$8,'I_Budget Input Data'!$D$14,0),'I_Budget Input Data'!$D$14/'I_Inputs &amp; Assumptions'!$B$8)))))),0)</f>
        <v>0</v>
      </c>
      <c r="AG14" s="91">
        <f>IF(31&lt;='I_Inputs &amp; Assumptions'!$B$8,IF('I_Budget Input Data'!$E$14="Upfront",IF(31=1,'I_Budget Input Data'!$D$14,0),IF('I_Budget Input Data'!$E$14="Equal",'I_Budget Input Data'!$D$14/'I_Inputs &amp; Assumptions'!$B$8,IF('I_Budget Input Data'!$E$14="Front-loaded",IF(31&lt;='I_Inputs &amp; Assumptions'!$B$8/2,'I_Budget Input Data'!$D$14*0.6/('I_Inputs &amp; Assumptions'!$B$8/2),'I_Budget Input Data'!$D$14*0.4/('I_Inputs &amp; Assumptions'!$B$8/2)),IF('I_Budget Input Data'!$E$14="Back-loaded",IF(31&lt;='I_Inputs &amp; Assumptions'!$B$8/2,'I_Budget Input Data'!$D$14*0.4/('I_Inputs &amp; Assumptions'!$B$8/2),'I_Budget Input Data'!$D$14*0.6/('I_Inputs &amp; Assumptions'!$B$8/2)),IF('I_Budget Input Data'!$E$14="Mid-weighted",IF(31&lt;='I_Inputs &amp; Assumptions'!$B$8/4,'I_Budget Input Data'!$D$14*0.2/('I_Inputs &amp; Assumptions'!$B$8/4),IF(31&lt;='I_Inputs &amp; Assumptions'!$B$8*0.75,'I_Budget Input Data'!$D$14*0.6/('I_Inputs &amp; Assumptions'!$B$8/2),'I_Budget Input Data'!$D$14*0.2/('I_Inputs &amp; Assumptions'!$B$8/4))),IF('I_Budget Input Data'!$E$14="At Completion",IF(31='I_Inputs &amp; Assumptions'!$B$8,'I_Budget Input Data'!$D$14,0),'I_Budget Input Data'!$D$14/'I_Inputs &amp; Assumptions'!$B$8)))))),0)</f>
        <v>0</v>
      </c>
      <c r="AH14" s="91">
        <f>IF(32&lt;='I_Inputs &amp; Assumptions'!$B$8,IF('I_Budget Input Data'!$E$14="Upfront",IF(32=1,'I_Budget Input Data'!$D$14,0),IF('I_Budget Input Data'!$E$14="Equal",'I_Budget Input Data'!$D$14/'I_Inputs &amp; Assumptions'!$B$8,IF('I_Budget Input Data'!$E$14="Front-loaded",IF(32&lt;='I_Inputs &amp; Assumptions'!$B$8/2,'I_Budget Input Data'!$D$14*0.6/('I_Inputs &amp; Assumptions'!$B$8/2),'I_Budget Input Data'!$D$14*0.4/('I_Inputs &amp; Assumptions'!$B$8/2)),IF('I_Budget Input Data'!$E$14="Back-loaded",IF(32&lt;='I_Inputs &amp; Assumptions'!$B$8/2,'I_Budget Input Data'!$D$14*0.4/('I_Inputs &amp; Assumptions'!$B$8/2),'I_Budget Input Data'!$D$14*0.6/('I_Inputs &amp; Assumptions'!$B$8/2)),IF('I_Budget Input Data'!$E$14="Mid-weighted",IF(32&lt;='I_Inputs &amp; Assumptions'!$B$8/4,'I_Budget Input Data'!$D$14*0.2/('I_Inputs &amp; Assumptions'!$B$8/4),IF(32&lt;='I_Inputs &amp; Assumptions'!$B$8*0.75,'I_Budget Input Data'!$D$14*0.6/('I_Inputs &amp; Assumptions'!$B$8/2),'I_Budget Input Data'!$D$14*0.2/('I_Inputs &amp; Assumptions'!$B$8/4))),IF('I_Budget Input Data'!$E$14="At Completion",IF(32='I_Inputs &amp; Assumptions'!$B$8,'I_Budget Input Data'!$D$14,0),'I_Budget Input Data'!$D$14/'I_Inputs &amp; Assumptions'!$B$8)))))),0)</f>
        <v>0</v>
      </c>
      <c r="AI14" s="91">
        <f>IF(33&lt;='I_Inputs &amp; Assumptions'!$B$8,IF('I_Budget Input Data'!$E$14="Upfront",IF(33=1,'I_Budget Input Data'!$D$14,0),IF('I_Budget Input Data'!$E$14="Equal",'I_Budget Input Data'!$D$14/'I_Inputs &amp; Assumptions'!$B$8,IF('I_Budget Input Data'!$E$14="Front-loaded",IF(33&lt;='I_Inputs &amp; Assumptions'!$B$8/2,'I_Budget Input Data'!$D$14*0.6/('I_Inputs &amp; Assumptions'!$B$8/2),'I_Budget Input Data'!$D$14*0.4/('I_Inputs &amp; Assumptions'!$B$8/2)),IF('I_Budget Input Data'!$E$14="Back-loaded",IF(33&lt;='I_Inputs &amp; Assumptions'!$B$8/2,'I_Budget Input Data'!$D$14*0.4/('I_Inputs &amp; Assumptions'!$B$8/2),'I_Budget Input Data'!$D$14*0.6/('I_Inputs &amp; Assumptions'!$B$8/2)),IF('I_Budget Input Data'!$E$14="Mid-weighted",IF(33&lt;='I_Inputs &amp; Assumptions'!$B$8/4,'I_Budget Input Data'!$D$14*0.2/('I_Inputs &amp; Assumptions'!$B$8/4),IF(33&lt;='I_Inputs &amp; Assumptions'!$B$8*0.75,'I_Budget Input Data'!$D$14*0.6/('I_Inputs &amp; Assumptions'!$B$8/2),'I_Budget Input Data'!$D$14*0.2/('I_Inputs &amp; Assumptions'!$B$8/4))),IF('I_Budget Input Data'!$E$14="At Completion",IF(33='I_Inputs &amp; Assumptions'!$B$8,'I_Budget Input Data'!$D$14,0),'I_Budget Input Data'!$D$14/'I_Inputs &amp; Assumptions'!$B$8)))))),0)</f>
        <v>0</v>
      </c>
      <c r="AJ14" s="91">
        <f>IF(34&lt;='I_Inputs &amp; Assumptions'!$B$8,IF('I_Budget Input Data'!$E$14="Upfront",IF(34=1,'I_Budget Input Data'!$D$14,0),IF('I_Budget Input Data'!$E$14="Equal",'I_Budget Input Data'!$D$14/'I_Inputs &amp; Assumptions'!$B$8,IF('I_Budget Input Data'!$E$14="Front-loaded",IF(34&lt;='I_Inputs &amp; Assumptions'!$B$8/2,'I_Budget Input Data'!$D$14*0.6/('I_Inputs &amp; Assumptions'!$B$8/2),'I_Budget Input Data'!$D$14*0.4/('I_Inputs &amp; Assumptions'!$B$8/2)),IF('I_Budget Input Data'!$E$14="Back-loaded",IF(34&lt;='I_Inputs &amp; Assumptions'!$B$8/2,'I_Budget Input Data'!$D$14*0.4/('I_Inputs &amp; Assumptions'!$B$8/2),'I_Budget Input Data'!$D$14*0.6/('I_Inputs &amp; Assumptions'!$B$8/2)),IF('I_Budget Input Data'!$E$14="Mid-weighted",IF(34&lt;='I_Inputs &amp; Assumptions'!$B$8/4,'I_Budget Input Data'!$D$14*0.2/('I_Inputs &amp; Assumptions'!$B$8/4),IF(34&lt;='I_Inputs &amp; Assumptions'!$B$8*0.75,'I_Budget Input Data'!$D$14*0.6/('I_Inputs &amp; Assumptions'!$B$8/2),'I_Budget Input Data'!$D$14*0.2/('I_Inputs &amp; Assumptions'!$B$8/4))),IF('I_Budget Input Data'!$E$14="At Completion",IF(34='I_Inputs &amp; Assumptions'!$B$8,'I_Budget Input Data'!$D$14,0),'I_Budget Input Data'!$D$14/'I_Inputs &amp; Assumptions'!$B$8)))))),0)</f>
        <v>0</v>
      </c>
      <c r="AK14" s="91">
        <f>IF(35&lt;='I_Inputs &amp; Assumptions'!$B$8,IF('I_Budget Input Data'!$E$14="Upfront",IF(35=1,'I_Budget Input Data'!$D$14,0),IF('I_Budget Input Data'!$E$14="Equal",'I_Budget Input Data'!$D$14/'I_Inputs &amp; Assumptions'!$B$8,IF('I_Budget Input Data'!$E$14="Front-loaded",IF(35&lt;='I_Inputs &amp; Assumptions'!$B$8/2,'I_Budget Input Data'!$D$14*0.6/('I_Inputs &amp; Assumptions'!$B$8/2),'I_Budget Input Data'!$D$14*0.4/('I_Inputs &amp; Assumptions'!$B$8/2)),IF('I_Budget Input Data'!$E$14="Back-loaded",IF(35&lt;='I_Inputs &amp; Assumptions'!$B$8/2,'I_Budget Input Data'!$D$14*0.4/('I_Inputs &amp; Assumptions'!$B$8/2),'I_Budget Input Data'!$D$14*0.6/('I_Inputs &amp; Assumptions'!$B$8/2)),IF('I_Budget Input Data'!$E$14="Mid-weighted",IF(35&lt;='I_Inputs &amp; Assumptions'!$B$8/4,'I_Budget Input Data'!$D$14*0.2/('I_Inputs &amp; Assumptions'!$B$8/4),IF(35&lt;='I_Inputs &amp; Assumptions'!$B$8*0.75,'I_Budget Input Data'!$D$14*0.6/('I_Inputs &amp; Assumptions'!$B$8/2),'I_Budget Input Data'!$D$14*0.2/('I_Inputs &amp; Assumptions'!$B$8/4))),IF('I_Budget Input Data'!$E$14="At Completion",IF(35='I_Inputs &amp; Assumptions'!$B$8,'I_Budget Input Data'!$D$14,0),'I_Budget Input Data'!$D$14/'I_Inputs &amp; Assumptions'!$B$8)))))),0)</f>
        <v>0</v>
      </c>
      <c r="AL14" s="91">
        <f>IF(36&lt;='I_Inputs &amp; Assumptions'!$B$8,IF('I_Budget Input Data'!$E$14="Upfront",IF(36=1,'I_Budget Input Data'!$D$14,0),IF('I_Budget Input Data'!$E$14="Equal",'I_Budget Input Data'!$D$14/'I_Inputs &amp; Assumptions'!$B$8,IF('I_Budget Input Data'!$E$14="Front-loaded",IF(36&lt;='I_Inputs &amp; Assumptions'!$B$8/2,'I_Budget Input Data'!$D$14*0.6/('I_Inputs &amp; Assumptions'!$B$8/2),'I_Budget Input Data'!$D$14*0.4/('I_Inputs &amp; Assumptions'!$B$8/2)),IF('I_Budget Input Data'!$E$14="Back-loaded",IF(36&lt;='I_Inputs &amp; Assumptions'!$B$8/2,'I_Budget Input Data'!$D$14*0.4/('I_Inputs &amp; Assumptions'!$B$8/2),'I_Budget Input Data'!$D$14*0.6/('I_Inputs &amp; Assumptions'!$B$8/2)),IF('I_Budget Input Data'!$E$14="Mid-weighted",IF(36&lt;='I_Inputs &amp; Assumptions'!$B$8/4,'I_Budget Input Data'!$D$14*0.2/('I_Inputs &amp; Assumptions'!$B$8/4),IF(36&lt;='I_Inputs &amp; Assumptions'!$B$8*0.75,'I_Budget Input Data'!$D$14*0.6/('I_Inputs &amp; Assumptions'!$B$8/2),'I_Budget Input Data'!$D$14*0.2/('I_Inputs &amp; Assumptions'!$B$8/4))),IF('I_Budget Input Data'!$E$14="At Completion",IF(36='I_Inputs &amp; Assumptions'!$B$8,'I_Budget Input Data'!$D$14,0),'I_Budget Input Data'!$D$14/'I_Inputs &amp; Assumptions'!$B$8)))))),0)</f>
        <v>0</v>
      </c>
    </row>
    <row r="15" spans="1:38" ht="15" customHeight="1" x14ac:dyDescent="0.2">
      <c r="A15" t="s">
        <v>136</v>
      </c>
      <c r="B15" t="s">
        <v>141</v>
      </c>
      <c r="C15" s="91">
        <f>IF(1&lt;='I_Inputs &amp; Assumptions'!$B$8,IF('I_Budget Input Data'!$E$15="Upfront",IF(1=1,'I_Budget Input Data'!$D$15,0),IF('I_Budget Input Data'!$E$15="Equal",'I_Budget Input Data'!$D$15/'I_Inputs &amp; Assumptions'!$B$8,IF('I_Budget Input Data'!$E$15="Front-loaded",IF(1&lt;='I_Inputs &amp; Assumptions'!$B$8/2,'I_Budget Input Data'!$D$15*0.6/('I_Inputs &amp; Assumptions'!$B$8/2),'I_Budget Input Data'!$D$15*0.4/('I_Inputs &amp; Assumptions'!$B$8/2)),IF('I_Budget Input Data'!$E$15="Back-loaded",IF(1&lt;='I_Inputs &amp; Assumptions'!$B$8/2,'I_Budget Input Data'!$D$15*0.4/('I_Inputs &amp; Assumptions'!$B$8/2),'I_Budget Input Data'!$D$15*0.6/('I_Inputs &amp; Assumptions'!$B$8/2)),IF('I_Budget Input Data'!$E$15="Mid-weighted",IF(1&lt;='I_Inputs &amp; Assumptions'!$B$8/4,'I_Budget Input Data'!$D$15*0.2/('I_Inputs &amp; Assumptions'!$B$8/4),IF(1&lt;='I_Inputs &amp; Assumptions'!$B$8*0.75,'I_Budget Input Data'!$D$15*0.6/('I_Inputs &amp; Assumptions'!$B$8/2),'I_Budget Input Data'!$D$15*0.2/('I_Inputs &amp; Assumptions'!$B$8/4))),IF('I_Budget Input Data'!$E$15="At Completion",IF(1='I_Inputs &amp; Assumptions'!$B$8,'I_Budget Input Data'!$D$15,0),'I_Budget Input Data'!$D$15/'I_Inputs &amp; Assumptions'!$B$8)))))),0)</f>
        <v>34642.615384615383</v>
      </c>
      <c r="D15" s="91">
        <f>IF(2&lt;='I_Inputs &amp; Assumptions'!$B$8,IF('I_Budget Input Data'!$E$15="Upfront",IF(2=1,'I_Budget Input Data'!$D$15,0),IF('I_Budget Input Data'!$E$15="Equal",'I_Budget Input Data'!$D$15/'I_Inputs &amp; Assumptions'!$B$8,IF('I_Budget Input Data'!$E$15="Front-loaded",IF(2&lt;='I_Inputs &amp; Assumptions'!$B$8/2,'I_Budget Input Data'!$D$15*0.6/('I_Inputs &amp; Assumptions'!$B$8/2),'I_Budget Input Data'!$D$15*0.4/('I_Inputs &amp; Assumptions'!$B$8/2)),IF('I_Budget Input Data'!$E$15="Back-loaded",IF(2&lt;='I_Inputs &amp; Assumptions'!$B$8/2,'I_Budget Input Data'!$D$15*0.4/('I_Inputs &amp; Assumptions'!$B$8/2),'I_Budget Input Data'!$D$15*0.6/('I_Inputs &amp; Assumptions'!$B$8/2)),IF('I_Budget Input Data'!$E$15="Mid-weighted",IF(2&lt;='I_Inputs &amp; Assumptions'!$B$8/4,'I_Budget Input Data'!$D$15*0.2/('I_Inputs &amp; Assumptions'!$B$8/4),IF(2&lt;='I_Inputs &amp; Assumptions'!$B$8*0.75,'I_Budget Input Data'!$D$15*0.6/('I_Inputs &amp; Assumptions'!$B$8/2),'I_Budget Input Data'!$D$15*0.2/('I_Inputs &amp; Assumptions'!$B$8/4))),IF('I_Budget Input Data'!$E$15="At Completion",IF(2='I_Inputs &amp; Assumptions'!$B$8,'I_Budget Input Data'!$D$15,0),'I_Budget Input Data'!$D$15/'I_Inputs &amp; Assumptions'!$B$8)))))),0)</f>
        <v>34642.615384615383</v>
      </c>
      <c r="E15" s="91">
        <f>IF(3&lt;='I_Inputs &amp; Assumptions'!$B$8,IF('I_Budget Input Data'!$E$15="Upfront",IF(3=1,'I_Budget Input Data'!$D$15,0),IF('I_Budget Input Data'!$E$15="Equal",'I_Budget Input Data'!$D$15/'I_Inputs &amp; Assumptions'!$B$8,IF('I_Budget Input Data'!$E$15="Front-loaded",IF(3&lt;='I_Inputs &amp; Assumptions'!$B$8/2,'I_Budget Input Data'!$D$15*0.6/('I_Inputs &amp; Assumptions'!$B$8/2),'I_Budget Input Data'!$D$15*0.4/('I_Inputs &amp; Assumptions'!$B$8/2)),IF('I_Budget Input Data'!$E$15="Back-loaded",IF(3&lt;='I_Inputs &amp; Assumptions'!$B$8/2,'I_Budget Input Data'!$D$15*0.4/('I_Inputs &amp; Assumptions'!$B$8/2),'I_Budget Input Data'!$D$15*0.6/('I_Inputs &amp; Assumptions'!$B$8/2)),IF('I_Budget Input Data'!$E$15="Mid-weighted",IF(3&lt;='I_Inputs &amp; Assumptions'!$B$8/4,'I_Budget Input Data'!$D$15*0.2/('I_Inputs &amp; Assumptions'!$B$8/4),IF(3&lt;='I_Inputs &amp; Assumptions'!$B$8*0.75,'I_Budget Input Data'!$D$15*0.6/('I_Inputs &amp; Assumptions'!$B$8/2),'I_Budget Input Data'!$D$15*0.2/('I_Inputs &amp; Assumptions'!$B$8/4))),IF('I_Budget Input Data'!$E$15="At Completion",IF(3='I_Inputs &amp; Assumptions'!$B$8,'I_Budget Input Data'!$D$15,0),'I_Budget Input Data'!$D$15/'I_Inputs &amp; Assumptions'!$B$8)))))),0)</f>
        <v>34642.615384615383</v>
      </c>
      <c r="F15" s="91">
        <f>IF(4&lt;='I_Inputs &amp; Assumptions'!$B$8,IF('I_Budget Input Data'!$E$15="Upfront",IF(4=1,'I_Budget Input Data'!$D$15,0),IF('I_Budget Input Data'!$E$15="Equal",'I_Budget Input Data'!$D$15/'I_Inputs &amp; Assumptions'!$B$8,IF('I_Budget Input Data'!$E$15="Front-loaded",IF(4&lt;='I_Inputs &amp; Assumptions'!$B$8/2,'I_Budget Input Data'!$D$15*0.6/('I_Inputs &amp; Assumptions'!$B$8/2),'I_Budget Input Data'!$D$15*0.4/('I_Inputs &amp; Assumptions'!$B$8/2)),IF('I_Budget Input Data'!$E$15="Back-loaded",IF(4&lt;='I_Inputs &amp; Assumptions'!$B$8/2,'I_Budget Input Data'!$D$15*0.4/('I_Inputs &amp; Assumptions'!$B$8/2),'I_Budget Input Data'!$D$15*0.6/('I_Inputs &amp; Assumptions'!$B$8/2)),IF('I_Budget Input Data'!$E$15="Mid-weighted",IF(4&lt;='I_Inputs &amp; Assumptions'!$B$8/4,'I_Budget Input Data'!$D$15*0.2/('I_Inputs &amp; Assumptions'!$B$8/4),IF(4&lt;='I_Inputs &amp; Assumptions'!$B$8*0.75,'I_Budget Input Data'!$D$15*0.6/('I_Inputs &amp; Assumptions'!$B$8/2),'I_Budget Input Data'!$D$15*0.2/('I_Inputs &amp; Assumptions'!$B$8/4))),IF('I_Budget Input Data'!$E$15="At Completion",IF(4='I_Inputs &amp; Assumptions'!$B$8,'I_Budget Input Data'!$D$15,0),'I_Budget Input Data'!$D$15/'I_Inputs &amp; Assumptions'!$B$8)))))),0)</f>
        <v>34642.615384615383</v>
      </c>
      <c r="G15" s="91">
        <f>IF(5&lt;='I_Inputs &amp; Assumptions'!$B$8,IF('I_Budget Input Data'!$E$15="Upfront",IF(5=1,'I_Budget Input Data'!$D$15,0),IF('I_Budget Input Data'!$E$15="Equal",'I_Budget Input Data'!$D$15/'I_Inputs &amp; Assumptions'!$B$8,IF('I_Budget Input Data'!$E$15="Front-loaded",IF(5&lt;='I_Inputs &amp; Assumptions'!$B$8/2,'I_Budget Input Data'!$D$15*0.6/('I_Inputs &amp; Assumptions'!$B$8/2),'I_Budget Input Data'!$D$15*0.4/('I_Inputs &amp; Assumptions'!$B$8/2)),IF('I_Budget Input Data'!$E$15="Back-loaded",IF(5&lt;='I_Inputs &amp; Assumptions'!$B$8/2,'I_Budget Input Data'!$D$15*0.4/('I_Inputs &amp; Assumptions'!$B$8/2),'I_Budget Input Data'!$D$15*0.6/('I_Inputs &amp; Assumptions'!$B$8/2)),IF('I_Budget Input Data'!$E$15="Mid-weighted",IF(5&lt;='I_Inputs &amp; Assumptions'!$B$8/4,'I_Budget Input Data'!$D$15*0.2/('I_Inputs &amp; Assumptions'!$B$8/4),IF(5&lt;='I_Inputs &amp; Assumptions'!$B$8*0.75,'I_Budget Input Data'!$D$15*0.6/('I_Inputs &amp; Assumptions'!$B$8/2),'I_Budget Input Data'!$D$15*0.2/('I_Inputs &amp; Assumptions'!$B$8/4))),IF('I_Budget Input Data'!$E$15="At Completion",IF(5='I_Inputs &amp; Assumptions'!$B$8,'I_Budget Input Data'!$D$15,0),'I_Budget Input Data'!$D$15/'I_Inputs &amp; Assumptions'!$B$8)))))),0)</f>
        <v>34642.615384615383</v>
      </c>
      <c r="H15" s="91">
        <f>IF(6&lt;='I_Inputs &amp; Assumptions'!$B$8,IF('I_Budget Input Data'!$E$15="Upfront",IF(6=1,'I_Budget Input Data'!$D$15,0),IF('I_Budget Input Data'!$E$15="Equal",'I_Budget Input Data'!$D$15/'I_Inputs &amp; Assumptions'!$B$8,IF('I_Budget Input Data'!$E$15="Front-loaded",IF(6&lt;='I_Inputs &amp; Assumptions'!$B$8/2,'I_Budget Input Data'!$D$15*0.6/('I_Inputs &amp; Assumptions'!$B$8/2),'I_Budget Input Data'!$D$15*0.4/('I_Inputs &amp; Assumptions'!$B$8/2)),IF('I_Budget Input Data'!$E$15="Back-loaded",IF(6&lt;='I_Inputs &amp; Assumptions'!$B$8/2,'I_Budget Input Data'!$D$15*0.4/('I_Inputs &amp; Assumptions'!$B$8/2),'I_Budget Input Data'!$D$15*0.6/('I_Inputs &amp; Assumptions'!$B$8/2)),IF('I_Budget Input Data'!$E$15="Mid-weighted",IF(6&lt;='I_Inputs &amp; Assumptions'!$B$8/4,'I_Budget Input Data'!$D$15*0.2/('I_Inputs &amp; Assumptions'!$B$8/4),IF(6&lt;='I_Inputs &amp; Assumptions'!$B$8*0.75,'I_Budget Input Data'!$D$15*0.6/('I_Inputs &amp; Assumptions'!$B$8/2),'I_Budget Input Data'!$D$15*0.2/('I_Inputs &amp; Assumptions'!$B$8/4))),IF('I_Budget Input Data'!$E$15="At Completion",IF(6='I_Inputs &amp; Assumptions'!$B$8,'I_Budget Input Data'!$D$15,0),'I_Budget Input Data'!$D$15/'I_Inputs &amp; Assumptions'!$B$8)))))),0)</f>
        <v>34642.615384615383</v>
      </c>
      <c r="I15" s="91">
        <f>IF(7&lt;='I_Inputs &amp; Assumptions'!$B$8,IF('I_Budget Input Data'!$E$15="Upfront",IF(7=1,'I_Budget Input Data'!$D$15,0),IF('I_Budget Input Data'!$E$15="Equal",'I_Budget Input Data'!$D$15/'I_Inputs &amp; Assumptions'!$B$8,IF('I_Budget Input Data'!$E$15="Front-loaded",IF(7&lt;='I_Inputs &amp; Assumptions'!$B$8/2,'I_Budget Input Data'!$D$15*0.6/('I_Inputs &amp; Assumptions'!$B$8/2),'I_Budget Input Data'!$D$15*0.4/('I_Inputs &amp; Assumptions'!$B$8/2)),IF('I_Budget Input Data'!$E$15="Back-loaded",IF(7&lt;='I_Inputs &amp; Assumptions'!$B$8/2,'I_Budget Input Data'!$D$15*0.4/('I_Inputs &amp; Assumptions'!$B$8/2),'I_Budget Input Data'!$D$15*0.6/('I_Inputs &amp; Assumptions'!$B$8/2)),IF('I_Budget Input Data'!$E$15="Mid-weighted",IF(7&lt;='I_Inputs &amp; Assumptions'!$B$8/4,'I_Budget Input Data'!$D$15*0.2/('I_Inputs &amp; Assumptions'!$B$8/4),IF(7&lt;='I_Inputs &amp; Assumptions'!$B$8*0.75,'I_Budget Input Data'!$D$15*0.6/('I_Inputs &amp; Assumptions'!$B$8/2),'I_Budget Input Data'!$D$15*0.2/('I_Inputs &amp; Assumptions'!$B$8/4))),IF('I_Budget Input Data'!$E$15="At Completion",IF(7='I_Inputs &amp; Assumptions'!$B$8,'I_Budget Input Data'!$D$15,0),'I_Budget Input Data'!$D$15/'I_Inputs &amp; Assumptions'!$B$8)))))),0)</f>
        <v>23095.076923076922</v>
      </c>
      <c r="J15" s="91">
        <f>IF(8&lt;='I_Inputs &amp; Assumptions'!$B$8,IF('I_Budget Input Data'!$E$15="Upfront",IF(8=1,'I_Budget Input Data'!$D$15,0),IF('I_Budget Input Data'!$E$15="Equal",'I_Budget Input Data'!$D$15/'I_Inputs &amp; Assumptions'!$B$8,IF('I_Budget Input Data'!$E$15="Front-loaded",IF(8&lt;='I_Inputs &amp; Assumptions'!$B$8/2,'I_Budget Input Data'!$D$15*0.6/('I_Inputs &amp; Assumptions'!$B$8/2),'I_Budget Input Data'!$D$15*0.4/('I_Inputs &amp; Assumptions'!$B$8/2)),IF('I_Budget Input Data'!$E$15="Back-loaded",IF(8&lt;='I_Inputs &amp; Assumptions'!$B$8/2,'I_Budget Input Data'!$D$15*0.4/('I_Inputs &amp; Assumptions'!$B$8/2),'I_Budget Input Data'!$D$15*0.6/('I_Inputs &amp; Assumptions'!$B$8/2)),IF('I_Budget Input Data'!$E$15="Mid-weighted",IF(8&lt;='I_Inputs &amp; Assumptions'!$B$8/4,'I_Budget Input Data'!$D$15*0.2/('I_Inputs &amp; Assumptions'!$B$8/4),IF(8&lt;='I_Inputs &amp; Assumptions'!$B$8*0.75,'I_Budget Input Data'!$D$15*0.6/('I_Inputs &amp; Assumptions'!$B$8/2),'I_Budget Input Data'!$D$15*0.2/('I_Inputs &amp; Assumptions'!$B$8/4))),IF('I_Budget Input Data'!$E$15="At Completion",IF(8='I_Inputs &amp; Assumptions'!$B$8,'I_Budget Input Data'!$D$15,0),'I_Budget Input Data'!$D$15/'I_Inputs &amp; Assumptions'!$B$8)))))),0)</f>
        <v>23095.076923076922</v>
      </c>
      <c r="K15" s="91">
        <f>IF(9&lt;='I_Inputs &amp; Assumptions'!$B$8,IF('I_Budget Input Data'!$E$15="Upfront",IF(9=1,'I_Budget Input Data'!$D$15,0),IF('I_Budget Input Data'!$E$15="Equal",'I_Budget Input Data'!$D$15/'I_Inputs &amp; Assumptions'!$B$8,IF('I_Budget Input Data'!$E$15="Front-loaded",IF(9&lt;='I_Inputs &amp; Assumptions'!$B$8/2,'I_Budget Input Data'!$D$15*0.6/('I_Inputs &amp; Assumptions'!$B$8/2),'I_Budget Input Data'!$D$15*0.4/('I_Inputs &amp; Assumptions'!$B$8/2)),IF('I_Budget Input Data'!$E$15="Back-loaded",IF(9&lt;='I_Inputs &amp; Assumptions'!$B$8/2,'I_Budget Input Data'!$D$15*0.4/('I_Inputs &amp; Assumptions'!$B$8/2),'I_Budget Input Data'!$D$15*0.6/('I_Inputs &amp; Assumptions'!$B$8/2)),IF('I_Budget Input Data'!$E$15="Mid-weighted",IF(9&lt;='I_Inputs &amp; Assumptions'!$B$8/4,'I_Budget Input Data'!$D$15*0.2/('I_Inputs &amp; Assumptions'!$B$8/4),IF(9&lt;='I_Inputs &amp; Assumptions'!$B$8*0.75,'I_Budget Input Data'!$D$15*0.6/('I_Inputs &amp; Assumptions'!$B$8/2),'I_Budget Input Data'!$D$15*0.2/('I_Inputs &amp; Assumptions'!$B$8/4))),IF('I_Budget Input Data'!$E$15="At Completion",IF(9='I_Inputs &amp; Assumptions'!$B$8,'I_Budget Input Data'!$D$15,0),'I_Budget Input Data'!$D$15/'I_Inputs &amp; Assumptions'!$B$8)))))),0)</f>
        <v>23095.076923076922</v>
      </c>
      <c r="L15" s="91">
        <f>IF(10&lt;='I_Inputs &amp; Assumptions'!$B$8,IF('I_Budget Input Data'!$E$15="Upfront",IF(10=1,'I_Budget Input Data'!$D$15,0),IF('I_Budget Input Data'!$E$15="Equal",'I_Budget Input Data'!$D$15/'I_Inputs &amp; Assumptions'!$B$8,IF('I_Budget Input Data'!$E$15="Front-loaded",IF(10&lt;='I_Inputs &amp; Assumptions'!$B$8/2,'I_Budget Input Data'!$D$15*0.6/('I_Inputs &amp; Assumptions'!$B$8/2),'I_Budget Input Data'!$D$15*0.4/('I_Inputs &amp; Assumptions'!$B$8/2)),IF('I_Budget Input Data'!$E$15="Back-loaded",IF(10&lt;='I_Inputs &amp; Assumptions'!$B$8/2,'I_Budget Input Data'!$D$15*0.4/('I_Inputs &amp; Assumptions'!$B$8/2),'I_Budget Input Data'!$D$15*0.6/('I_Inputs &amp; Assumptions'!$B$8/2)),IF('I_Budget Input Data'!$E$15="Mid-weighted",IF(10&lt;='I_Inputs &amp; Assumptions'!$B$8/4,'I_Budget Input Data'!$D$15*0.2/('I_Inputs &amp; Assumptions'!$B$8/4),IF(10&lt;='I_Inputs &amp; Assumptions'!$B$8*0.75,'I_Budget Input Data'!$D$15*0.6/('I_Inputs &amp; Assumptions'!$B$8/2),'I_Budget Input Data'!$D$15*0.2/('I_Inputs &amp; Assumptions'!$B$8/4))),IF('I_Budget Input Data'!$E$15="At Completion",IF(10='I_Inputs &amp; Assumptions'!$B$8,'I_Budget Input Data'!$D$15,0),'I_Budget Input Data'!$D$15/'I_Inputs &amp; Assumptions'!$B$8)))))),0)</f>
        <v>23095.076923076922</v>
      </c>
      <c r="M15" s="91">
        <f>IF(11&lt;='I_Inputs &amp; Assumptions'!$B$8,IF('I_Budget Input Data'!$E$15="Upfront",IF(11=1,'I_Budget Input Data'!$D$15,0),IF('I_Budget Input Data'!$E$15="Equal",'I_Budget Input Data'!$D$15/'I_Inputs &amp; Assumptions'!$B$8,IF('I_Budget Input Data'!$E$15="Front-loaded",IF(11&lt;='I_Inputs &amp; Assumptions'!$B$8/2,'I_Budget Input Data'!$D$15*0.6/('I_Inputs &amp; Assumptions'!$B$8/2),'I_Budget Input Data'!$D$15*0.4/('I_Inputs &amp; Assumptions'!$B$8/2)),IF('I_Budget Input Data'!$E$15="Back-loaded",IF(11&lt;='I_Inputs &amp; Assumptions'!$B$8/2,'I_Budget Input Data'!$D$15*0.4/('I_Inputs &amp; Assumptions'!$B$8/2),'I_Budget Input Data'!$D$15*0.6/('I_Inputs &amp; Assumptions'!$B$8/2)),IF('I_Budget Input Data'!$E$15="Mid-weighted",IF(11&lt;='I_Inputs &amp; Assumptions'!$B$8/4,'I_Budget Input Data'!$D$15*0.2/('I_Inputs &amp; Assumptions'!$B$8/4),IF(11&lt;='I_Inputs &amp; Assumptions'!$B$8*0.75,'I_Budget Input Data'!$D$15*0.6/('I_Inputs &amp; Assumptions'!$B$8/2),'I_Budget Input Data'!$D$15*0.2/('I_Inputs &amp; Assumptions'!$B$8/4))),IF('I_Budget Input Data'!$E$15="At Completion",IF(11='I_Inputs &amp; Assumptions'!$B$8,'I_Budget Input Data'!$D$15,0),'I_Budget Input Data'!$D$15/'I_Inputs &amp; Assumptions'!$B$8)))))),0)</f>
        <v>23095.076923076922</v>
      </c>
      <c r="N15" s="91">
        <f>IF(12&lt;='I_Inputs &amp; Assumptions'!$B$8,IF('I_Budget Input Data'!$E$15="Upfront",IF(12=1,'I_Budget Input Data'!$D$15,0),IF('I_Budget Input Data'!$E$15="Equal",'I_Budget Input Data'!$D$15/'I_Inputs &amp; Assumptions'!$B$8,IF('I_Budget Input Data'!$E$15="Front-loaded",IF(12&lt;='I_Inputs &amp; Assumptions'!$B$8/2,'I_Budget Input Data'!$D$15*0.6/('I_Inputs &amp; Assumptions'!$B$8/2),'I_Budget Input Data'!$D$15*0.4/('I_Inputs &amp; Assumptions'!$B$8/2)),IF('I_Budget Input Data'!$E$15="Back-loaded",IF(12&lt;='I_Inputs &amp; Assumptions'!$B$8/2,'I_Budget Input Data'!$D$15*0.4/('I_Inputs &amp; Assumptions'!$B$8/2),'I_Budget Input Data'!$D$15*0.6/('I_Inputs &amp; Assumptions'!$B$8/2)),IF('I_Budget Input Data'!$E$15="Mid-weighted",IF(12&lt;='I_Inputs &amp; Assumptions'!$B$8/4,'I_Budget Input Data'!$D$15*0.2/('I_Inputs &amp; Assumptions'!$B$8/4),IF(12&lt;='I_Inputs &amp; Assumptions'!$B$8*0.75,'I_Budget Input Data'!$D$15*0.6/('I_Inputs &amp; Assumptions'!$B$8/2),'I_Budget Input Data'!$D$15*0.2/('I_Inputs &amp; Assumptions'!$B$8/4))),IF('I_Budget Input Data'!$E$15="At Completion",IF(12='I_Inputs &amp; Assumptions'!$B$8,'I_Budget Input Data'!$D$15,0),'I_Budget Input Data'!$D$15/'I_Inputs &amp; Assumptions'!$B$8)))))),0)</f>
        <v>23095.076923076922</v>
      </c>
      <c r="O15" s="91">
        <f>IF(13&lt;='I_Inputs &amp; Assumptions'!$B$8,IF('I_Budget Input Data'!$E$15="Upfront",IF(13=1,'I_Budget Input Data'!$D$15,0),IF('I_Budget Input Data'!$E$15="Equal",'I_Budget Input Data'!$D$15/'I_Inputs &amp; Assumptions'!$B$8,IF('I_Budget Input Data'!$E$15="Front-loaded",IF(13&lt;='I_Inputs &amp; Assumptions'!$B$8/2,'I_Budget Input Data'!$D$15*0.6/('I_Inputs &amp; Assumptions'!$B$8/2),'I_Budget Input Data'!$D$15*0.4/('I_Inputs &amp; Assumptions'!$B$8/2)),IF('I_Budget Input Data'!$E$15="Back-loaded",IF(13&lt;='I_Inputs &amp; Assumptions'!$B$8/2,'I_Budget Input Data'!$D$15*0.4/('I_Inputs &amp; Assumptions'!$B$8/2),'I_Budget Input Data'!$D$15*0.6/('I_Inputs &amp; Assumptions'!$B$8/2)),IF('I_Budget Input Data'!$E$15="Mid-weighted",IF(13&lt;='I_Inputs &amp; Assumptions'!$B$8/4,'I_Budget Input Data'!$D$15*0.2/('I_Inputs &amp; Assumptions'!$B$8/4),IF(13&lt;='I_Inputs &amp; Assumptions'!$B$8*0.75,'I_Budget Input Data'!$D$15*0.6/('I_Inputs &amp; Assumptions'!$B$8/2),'I_Budget Input Data'!$D$15*0.2/('I_Inputs &amp; Assumptions'!$B$8/4))),IF('I_Budget Input Data'!$E$15="At Completion",IF(13='I_Inputs &amp; Assumptions'!$B$8,'I_Budget Input Data'!$D$15,0),'I_Budget Input Data'!$D$15/'I_Inputs &amp; Assumptions'!$B$8)))))),0)</f>
        <v>23095.076923076922</v>
      </c>
      <c r="P15" s="91">
        <f>IF(14&lt;='I_Inputs &amp; Assumptions'!$B$8,IF('I_Budget Input Data'!$E$15="Upfront",IF(14=1,'I_Budget Input Data'!$D$15,0),IF('I_Budget Input Data'!$E$15="Equal",'I_Budget Input Data'!$D$15/'I_Inputs &amp; Assumptions'!$B$8,IF('I_Budget Input Data'!$E$15="Front-loaded",IF(14&lt;='I_Inputs &amp; Assumptions'!$B$8/2,'I_Budget Input Data'!$D$15*0.6/('I_Inputs &amp; Assumptions'!$B$8/2),'I_Budget Input Data'!$D$15*0.4/('I_Inputs &amp; Assumptions'!$B$8/2)),IF('I_Budget Input Data'!$E$15="Back-loaded",IF(14&lt;='I_Inputs &amp; Assumptions'!$B$8/2,'I_Budget Input Data'!$D$15*0.4/('I_Inputs &amp; Assumptions'!$B$8/2),'I_Budget Input Data'!$D$15*0.6/('I_Inputs &amp; Assumptions'!$B$8/2)),IF('I_Budget Input Data'!$E$15="Mid-weighted",IF(14&lt;='I_Inputs &amp; Assumptions'!$B$8/4,'I_Budget Input Data'!$D$15*0.2/('I_Inputs &amp; Assumptions'!$B$8/4),IF(14&lt;='I_Inputs &amp; Assumptions'!$B$8*0.75,'I_Budget Input Data'!$D$15*0.6/('I_Inputs &amp; Assumptions'!$B$8/2),'I_Budget Input Data'!$D$15*0.2/('I_Inputs &amp; Assumptions'!$B$8/4))),IF('I_Budget Input Data'!$E$15="At Completion",IF(14='I_Inputs &amp; Assumptions'!$B$8,'I_Budget Input Data'!$D$15,0),'I_Budget Input Data'!$D$15/'I_Inputs &amp; Assumptions'!$B$8)))))),0)</f>
        <v>0</v>
      </c>
      <c r="Q15" s="91">
        <f>IF(15&lt;='I_Inputs &amp; Assumptions'!$B$8,IF('I_Budget Input Data'!$E$15="Upfront",IF(15=1,'I_Budget Input Data'!$D$15,0),IF('I_Budget Input Data'!$E$15="Equal",'I_Budget Input Data'!$D$15/'I_Inputs &amp; Assumptions'!$B$8,IF('I_Budget Input Data'!$E$15="Front-loaded",IF(15&lt;='I_Inputs &amp; Assumptions'!$B$8/2,'I_Budget Input Data'!$D$15*0.6/('I_Inputs &amp; Assumptions'!$B$8/2),'I_Budget Input Data'!$D$15*0.4/('I_Inputs &amp; Assumptions'!$B$8/2)),IF('I_Budget Input Data'!$E$15="Back-loaded",IF(15&lt;='I_Inputs &amp; Assumptions'!$B$8/2,'I_Budget Input Data'!$D$15*0.4/('I_Inputs &amp; Assumptions'!$B$8/2),'I_Budget Input Data'!$D$15*0.6/('I_Inputs &amp; Assumptions'!$B$8/2)),IF('I_Budget Input Data'!$E$15="Mid-weighted",IF(15&lt;='I_Inputs &amp; Assumptions'!$B$8/4,'I_Budget Input Data'!$D$15*0.2/('I_Inputs &amp; Assumptions'!$B$8/4),IF(15&lt;='I_Inputs &amp; Assumptions'!$B$8*0.75,'I_Budget Input Data'!$D$15*0.6/('I_Inputs &amp; Assumptions'!$B$8/2),'I_Budget Input Data'!$D$15*0.2/('I_Inputs &amp; Assumptions'!$B$8/4))),IF('I_Budget Input Data'!$E$15="At Completion",IF(15='I_Inputs &amp; Assumptions'!$B$8,'I_Budget Input Data'!$D$15,0),'I_Budget Input Data'!$D$15/'I_Inputs &amp; Assumptions'!$B$8)))))),0)</f>
        <v>0</v>
      </c>
      <c r="R15" s="91">
        <f>IF(16&lt;='I_Inputs &amp; Assumptions'!$B$8,IF('I_Budget Input Data'!$E$15="Upfront",IF(16=1,'I_Budget Input Data'!$D$15,0),IF('I_Budget Input Data'!$E$15="Equal",'I_Budget Input Data'!$D$15/'I_Inputs &amp; Assumptions'!$B$8,IF('I_Budget Input Data'!$E$15="Front-loaded",IF(16&lt;='I_Inputs &amp; Assumptions'!$B$8/2,'I_Budget Input Data'!$D$15*0.6/('I_Inputs &amp; Assumptions'!$B$8/2),'I_Budget Input Data'!$D$15*0.4/('I_Inputs &amp; Assumptions'!$B$8/2)),IF('I_Budget Input Data'!$E$15="Back-loaded",IF(16&lt;='I_Inputs &amp; Assumptions'!$B$8/2,'I_Budget Input Data'!$D$15*0.4/('I_Inputs &amp; Assumptions'!$B$8/2),'I_Budget Input Data'!$D$15*0.6/('I_Inputs &amp; Assumptions'!$B$8/2)),IF('I_Budget Input Data'!$E$15="Mid-weighted",IF(16&lt;='I_Inputs &amp; Assumptions'!$B$8/4,'I_Budget Input Data'!$D$15*0.2/('I_Inputs &amp; Assumptions'!$B$8/4),IF(16&lt;='I_Inputs &amp; Assumptions'!$B$8*0.75,'I_Budget Input Data'!$D$15*0.6/('I_Inputs &amp; Assumptions'!$B$8/2),'I_Budget Input Data'!$D$15*0.2/('I_Inputs &amp; Assumptions'!$B$8/4))),IF('I_Budget Input Data'!$E$15="At Completion",IF(16='I_Inputs &amp; Assumptions'!$B$8,'I_Budget Input Data'!$D$15,0),'I_Budget Input Data'!$D$15/'I_Inputs &amp; Assumptions'!$B$8)))))),0)</f>
        <v>0</v>
      </c>
      <c r="S15" s="91">
        <f>IF(17&lt;='I_Inputs &amp; Assumptions'!$B$8,IF('I_Budget Input Data'!$E$15="Upfront",IF(17=1,'I_Budget Input Data'!$D$15,0),IF('I_Budget Input Data'!$E$15="Equal",'I_Budget Input Data'!$D$15/'I_Inputs &amp; Assumptions'!$B$8,IF('I_Budget Input Data'!$E$15="Front-loaded",IF(17&lt;='I_Inputs &amp; Assumptions'!$B$8/2,'I_Budget Input Data'!$D$15*0.6/('I_Inputs &amp; Assumptions'!$B$8/2),'I_Budget Input Data'!$D$15*0.4/('I_Inputs &amp; Assumptions'!$B$8/2)),IF('I_Budget Input Data'!$E$15="Back-loaded",IF(17&lt;='I_Inputs &amp; Assumptions'!$B$8/2,'I_Budget Input Data'!$D$15*0.4/('I_Inputs &amp; Assumptions'!$B$8/2),'I_Budget Input Data'!$D$15*0.6/('I_Inputs &amp; Assumptions'!$B$8/2)),IF('I_Budget Input Data'!$E$15="Mid-weighted",IF(17&lt;='I_Inputs &amp; Assumptions'!$B$8/4,'I_Budget Input Data'!$D$15*0.2/('I_Inputs &amp; Assumptions'!$B$8/4),IF(17&lt;='I_Inputs &amp; Assumptions'!$B$8*0.75,'I_Budget Input Data'!$D$15*0.6/('I_Inputs &amp; Assumptions'!$B$8/2),'I_Budget Input Data'!$D$15*0.2/('I_Inputs &amp; Assumptions'!$B$8/4))),IF('I_Budget Input Data'!$E$15="At Completion",IF(17='I_Inputs &amp; Assumptions'!$B$8,'I_Budget Input Data'!$D$15,0),'I_Budget Input Data'!$D$15/'I_Inputs &amp; Assumptions'!$B$8)))))),0)</f>
        <v>0</v>
      </c>
      <c r="T15" s="91">
        <f>IF(18&lt;='I_Inputs &amp; Assumptions'!$B$8,IF('I_Budget Input Data'!$E$15="Upfront",IF(18=1,'I_Budget Input Data'!$D$15,0),IF('I_Budget Input Data'!$E$15="Equal",'I_Budget Input Data'!$D$15/'I_Inputs &amp; Assumptions'!$B$8,IF('I_Budget Input Data'!$E$15="Front-loaded",IF(18&lt;='I_Inputs &amp; Assumptions'!$B$8/2,'I_Budget Input Data'!$D$15*0.6/('I_Inputs &amp; Assumptions'!$B$8/2),'I_Budget Input Data'!$D$15*0.4/('I_Inputs &amp; Assumptions'!$B$8/2)),IF('I_Budget Input Data'!$E$15="Back-loaded",IF(18&lt;='I_Inputs &amp; Assumptions'!$B$8/2,'I_Budget Input Data'!$D$15*0.4/('I_Inputs &amp; Assumptions'!$B$8/2),'I_Budget Input Data'!$D$15*0.6/('I_Inputs &amp; Assumptions'!$B$8/2)),IF('I_Budget Input Data'!$E$15="Mid-weighted",IF(18&lt;='I_Inputs &amp; Assumptions'!$B$8/4,'I_Budget Input Data'!$D$15*0.2/('I_Inputs &amp; Assumptions'!$B$8/4),IF(18&lt;='I_Inputs &amp; Assumptions'!$B$8*0.75,'I_Budget Input Data'!$D$15*0.6/('I_Inputs &amp; Assumptions'!$B$8/2),'I_Budget Input Data'!$D$15*0.2/('I_Inputs &amp; Assumptions'!$B$8/4))),IF('I_Budget Input Data'!$E$15="At Completion",IF(18='I_Inputs &amp; Assumptions'!$B$8,'I_Budget Input Data'!$D$15,0),'I_Budget Input Data'!$D$15/'I_Inputs &amp; Assumptions'!$B$8)))))),0)</f>
        <v>0</v>
      </c>
      <c r="U15" s="91">
        <f>IF(19&lt;='I_Inputs &amp; Assumptions'!$B$8,IF('I_Budget Input Data'!$E$15="Upfront",IF(19=1,'I_Budget Input Data'!$D$15,0),IF('I_Budget Input Data'!$E$15="Equal",'I_Budget Input Data'!$D$15/'I_Inputs &amp; Assumptions'!$B$8,IF('I_Budget Input Data'!$E$15="Front-loaded",IF(19&lt;='I_Inputs &amp; Assumptions'!$B$8/2,'I_Budget Input Data'!$D$15*0.6/('I_Inputs &amp; Assumptions'!$B$8/2),'I_Budget Input Data'!$D$15*0.4/('I_Inputs &amp; Assumptions'!$B$8/2)),IF('I_Budget Input Data'!$E$15="Back-loaded",IF(19&lt;='I_Inputs &amp; Assumptions'!$B$8/2,'I_Budget Input Data'!$D$15*0.4/('I_Inputs &amp; Assumptions'!$B$8/2),'I_Budget Input Data'!$D$15*0.6/('I_Inputs &amp; Assumptions'!$B$8/2)),IF('I_Budget Input Data'!$E$15="Mid-weighted",IF(19&lt;='I_Inputs &amp; Assumptions'!$B$8/4,'I_Budget Input Data'!$D$15*0.2/('I_Inputs &amp; Assumptions'!$B$8/4),IF(19&lt;='I_Inputs &amp; Assumptions'!$B$8*0.75,'I_Budget Input Data'!$D$15*0.6/('I_Inputs &amp; Assumptions'!$B$8/2),'I_Budget Input Data'!$D$15*0.2/('I_Inputs &amp; Assumptions'!$B$8/4))),IF('I_Budget Input Data'!$E$15="At Completion",IF(19='I_Inputs &amp; Assumptions'!$B$8,'I_Budget Input Data'!$D$15,0),'I_Budget Input Data'!$D$15/'I_Inputs &amp; Assumptions'!$B$8)))))),0)</f>
        <v>0</v>
      </c>
      <c r="V15" s="91">
        <f>IF(20&lt;='I_Inputs &amp; Assumptions'!$B$8,IF('I_Budget Input Data'!$E$15="Upfront",IF(20=1,'I_Budget Input Data'!$D$15,0),IF('I_Budget Input Data'!$E$15="Equal",'I_Budget Input Data'!$D$15/'I_Inputs &amp; Assumptions'!$B$8,IF('I_Budget Input Data'!$E$15="Front-loaded",IF(20&lt;='I_Inputs &amp; Assumptions'!$B$8/2,'I_Budget Input Data'!$D$15*0.6/('I_Inputs &amp; Assumptions'!$B$8/2),'I_Budget Input Data'!$D$15*0.4/('I_Inputs &amp; Assumptions'!$B$8/2)),IF('I_Budget Input Data'!$E$15="Back-loaded",IF(20&lt;='I_Inputs &amp; Assumptions'!$B$8/2,'I_Budget Input Data'!$D$15*0.4/('I_Inputs &amp; Assumptions'!$B$8/2),'I_Budget Input Data'!$D$15*0.6/('I_Inputs &amp; Assumptions'!$B$8/2)),IF('I_Budget Input Data'!$E$15="Mid-weighted",IF(20&lt;='I_Inputs &amp; Assumptions'!$B$8/4,'I_Budget Input Data'!$D$15*0.2/('I_Inputs &amp; Assumptions'!$B$8/4),IF(20&lt;='I_Inputs &amp; Assumptions'!$B$8*0.75,'I_Budget Input Data'!$D$15*0.6/('I_Inputs &amp; Assumptions'!$B$8/2),'I_Budget Input Data'!$D$15*0.2/('I_Inputs &amp; Assumptions'!$B$8/4))),IF('I_Budget Input Data'!$E$15="At Completion",IF(20='I_Inputs &amp; Assumptions'!$B$8,'I_Budget Input Data'!$D$15,0),'I_Budget Input Data'!$D$15/'I_Inputs &amp; Assumptions'!$B$8)))))),0)</f>
        <v>0</v>
      </c>
      <c r="W15" s="91">
        <f>IF(21&lt;='I_Inputs &amp; Assumptions'!$B$8,IF('I_Budget Input Data'!$E$15="Upfront",IF(21=1,'I_Budget Input Data'!$D$15,0),IF('I_Budget Input Data'!$E$15="Equal",'I_Budget Input Data'!$D$15/'I_Inputs &amp; Assumptions'!$B$8,IF('I_Budget Input Data'!$E$15="Front-loaded",IF(21&lt;='I_Inputs &amp; Assumptions'!$B$8/2,'I_Budget Input Data'!$D$15*0.6/('I_Inputs &amp; Assumptions'!$B$8/2),'I_Budget Input Data'!$D$15*0.4/('I_Inputs &amp; Assumptions'!$B$8/2)),IF('I_Budget Input Data'!$E$15="Back-loaded",IF(21&lt;='I_Inputs &amp; Assumptions'!$B$8/2,'I_Budget Input Data'!$D$15*0.4/('I_Inputs &amp; Assumptions'!$B$8/2),'I_Budget Input Data'!$D$15*0.6/('I_Inputs &amp; Assumptions'!$B$8/2)),IF('I_Budget Input Data'!$E$15="Mid-weighted",IF(21&lt;='I_Inputs &amp; Assumptions'!$B$8/4,'I_Budget Input Data'!$D$15*0.2/('I_Inputs &amp; Assumptions'!$B$8/4),IF(21&lt;='I_Inputs &amp; Assumptions'!$B$8*0.75,'I_Budget Input Data'!$D$15*0.6/('I_Inputs &amp; Assumptions'!$B$8/2),'I_Budget Input Data'!$D$15*0.2/('I_Inputs &amp; Assumptions'!$B$8/4))),IF('I_Budget Input Data'!$E$15="At Completion",IF(21='I_Inputs &amp; Assumptions'!$B$8,'I_Budget Input Data'!$D$15,0),'I_Budget Input Data'!$D$15/'I_Inputs &amp; Assumptions'!$B$8)))))),0)</f>
        <v>0</v>
      </c>
      <c r="X15" s="91">
        <f>IF(22&lt;='I_Inputs &amp; Assumptions'!$B$8,IF('I_Budget Input Data'!$E$15="Upfront",IF(22=1,'I_Budget Input Data'!$D$15,0),IF('I_Budget Input Data'!$E$15="Equal",'I_Budget Input Data'!$D$15/'I_Inputs &amp; Assumptions'!$B$8,IF('I_Budget Input Data'!$E$15="Front-loaded",IF(22&lt;='I_Inputs &amp; Assumptions'!$B$8/2,'I_Budget Input Data'!$D$15*0.6/('I_Inputs &amp; Assumptions'!$B$8/2),'I_Budget Input Data'!$D$15*0.4/('I_Inputs &amp; Assumptions'!$B$8/2)),IF('I_Budget Input Data'!$E$15="Back-loaded",IF(22&lt;='I_Inputs &amp; Assumptions'!$B$8/2,'I_Budget Input Data'!$D$15*0.4/('I_Inputs &amp; Assumptions'!$B$8/2),'I_Budget Input Data'!$D$15*0.6/('I_Inputs &amp; Assumptions'!$B$8/2)),IF('I_Budget Input Data'!$E$15="Mid-weighted",IF(22&lt;='I_Inputs &amp; Assumptions'!$B$8/4,'I_Budget Input Data'!$D$15*0.2/('I_Inputs &amp; Assumptions'!$B$8/4),IF(22&lt;='I_Inputs &amp; Assumptions'!$B$8*0.75,'I_Budget Input Data'!$D$15*0.6/('I_Inputs &amp; Assumptions'!$B$8/2),'I_Budget Input Data'!$D$15*0.2/('I_Inputs &amp; Assumptions'!$B$8/4))),IF('I_Budget Input Data'!$E$15="At Completion",IF(22='I_Inputs &amp; Assumptions'!$B$8,'I_Budget Input Data'!$D$15,0),'I_Budget Input Data'!$D$15/'I_Inputs &amp; Assumptions'!$B$8)))))),0)</f>
        <v>0</v>
      </c>
      <c r="Y15" s="91">
        <f>IF(23&lt;='I_Inputs &amp; Assumptions'!$B$8,IF('I_Budget Input Data'!$E$15="Upfront",IF(23=1,'I_Budget Input Data'!$D$15,0),IF('I_Budget Input Data'!$E$15="Equal",'I_Budget Input Data'!$D$15/'I_Inputs &amp; Assumptions'!$B$8,IF('I_Budget Input Data'!$E$15="Front-loaded",IF(23&lt;='I_Inputs &amp; Assumptions'!$B$8/2,'I_Budget Input Data'!$D$15*0.6/('I_Inputs &amp; Assumptions'!$B$8/2),'I_Budget Input Data'!$D$15*0.4/('I_Inputs &amp; Assumptions'!$B$8/2)),IF('I_Budget Input Data'!$E$15="Back-loaded",IF(23&lt;='I_Inputs &amp; Assumptions'!$B$8/2,'I_Budget Input Data'!$D$15*0.4/('I_Inputs &amp; Assumptions'!$B$8/2),'I_Budget Input Data'!$D$15*0.6/('I_Inputs &amp; Assumptions'!$B$8/2)),IF('I_Budget Input Data'!$E$15="Mid-weighted",IF(23&lt;='I_Inputs &amp; Assumptions'!$B$8/4,'I_Budget Input Data'!$D$15*0.2/('I_Inputs &amp; Assumptions'!$B$8/4),IF(23&lt;='I_Inputs &amp; Assumptions'!$B$8*0.75,'I_Budget Input Data'!$D$15*0.6/('I_Inputs &amp; Assumptions'!$B$8/2),'I_Budget Input Data'!$D$15*0.2/('I_Inputs &amp; Assumptions'!$B$8/4))),IF('I_Budget Input Data'!$E$15="At Completion",IF(23='I_Inputs &amp; Assumptions'!$B$8,'I_Budget Input Data'!$D$15,0),'I_Budget Input Data'!$D$15/'I_Inputs &amp; Assumptions'!$B$8)))))),0)</f>
        <v>0</v>
      </c>
      <c r="Z15" s="91">
        <f>IF(24&lt;='I_Inputs &amp; Assumptions'!$B$8,IF('I_Budget Input Data'!$E$15="Upfront",IF(24=1,'I_Budget Input Data'!$D$15,0),IF('I_Budget Input Data'!$E$15="Equal",'I_Budget Input Data'!$D$15/'I_Inputs &amp; Assumptions'!$B$8,IF('I_Budget Input Data'!$E$15="Front-loaded",IF(24&lt;='I_Inputs &amp; Assumptions'!$B$8/2,'I_Budget Input Data'!$D$15*0.6/('I_Inputs &amp; Assumptions'!$B$8/2),'I_Budget Input Data'!$D$15*0.4/('I_Inputs &amp; Assumptions'!$B$8/2)),IF('I_Budget Input Data'!$E$15="Back-loaded",IF(24&lt;='I_Inputs &amp; Assumptions'!$B$8/2,'I_Budget Input Data'!$D$15*0.4/('I_Inputs &amp; Assumptions'!$B$8/2),'I_Budget Input Data'!$D$15*0.6/('I_Inputs &amp; Assumptions'!$B$8/2)),IF('I_Budget Input Data'!$E$15="Mid-weighted",IF(24&lt;='I_Inputs &amp; Assumptions'!$B$8/4,'I_Budget Input Data'!$D$15*0.2/('I_Inputs &amp; Assumptions'!$B$8/4),IF(24&lt;='I_Inputs &amp; Assumptions'!$B$8*0.75,'I_Budget Input Data'!$D$15*0.6/('I_Inputs &amp; Assumptions'!$B$8/2),'I_Budget Input Data'!$D$15*0.2/('I_Inputs &amp; Assumptions'!$B$8/4))),IF('I_Budget Input Data'!$E$15="At Completion",IF(24='I_Inputs &amp; Assumptions'!$B$8,'I_Budget Input Data'!$D$15,0),'I_Budget Input Data'!$D$15/'I_Inputs &amp; Assumptions'!$B$8)))))),0)</f>
        <v>0</v>
      </c>
      <c r="AA15" s="91">
        <f>IF(25&lt;='I_Inputs &amp; Assumptions'!$B$8,IF('I_Budget Input Data'!$E$15="Upfront",IF(25=1,'I_Budget Input Data'!$D$15,0),IF('I_Budget Input Data'!$E$15="Equal",'I_Budget Input Data'!$D$15/'I_Inputs &amp; Assumptions'!$B$8,IF('I_Budget Input Data'!$E$15="Front-loaded",IF(25&lt;='I_Inputs &amp; Assumptions'!$B$8/2,'I_Budget Input Data'!$D$15*0.6/('I_Inputs &amp; Assumptions'!$B$8/2),'I_Budget Input Data'!$D$15*0.4/('I_Inputs &amp; Assumptions'!$B$8/2)),IF('I_Budget Input Data'!$E$15="Back-loaded",IF(25&lt;='I_Inputs &amp; Assumptions'!$B$8/2,'I_Budget Input Data'!$D$15*0.4/('I_Inputs &amp; Assumptions'!$B$8/2),'I_Budget Input Data'!$D$15*0.6/('I_Inputs &amp; Assumptions'!$B$8/2)),IF('I_Budget Input Data'!$E$15="Mid-weighted",IF(25&lt;='I_Inputs &amp; Assumptions'!$B$8/4,'I_Budget Input Data'!$D$15*0.2/('I_Inputs &amp; Assumptions'!$B$8/4),IF(25&lt;='I_Inputs &amp; Assumptions'!$B$8*0.75,'I_Budget Input Data'!$D$15*0.6/('I_Inputs &amp; Assumptions'!$B$8/2),'I_Budget Input Data'!$D$15*0.2/('I_Inputs &amp; Assumptions'!$B$8/4))),IF('I_Budget Input Data'!$E$15="At Completion",IF(25='I_Inputs &amp; Assumptions'!$B$8,'I_Budget Input Data'!$D$15,0),'I_Budget Input Data'!$D$15/'I_Inputs &amp; Assumptions'!$B$8)))))),0)</f>
        <v>0</v>
      </c>
      <c r="AB15" s="91">
        <f>IF(26&lt;='I_Inputs &amp; Assumptions'!$B$8,IF('I_Budget Input Data'!$E$15="Upfront",IF(26=1,'I_Budget Input Data'!$D$15,0),IF('I_Budget Input Data'!$E$15="Equal",'I_Budget Input Data'!$D$15/'I_Inputs &amp; Assumptions'!$B$8,IF('I_Budget Input Data'!$E$15="Front-loaded",IF(26&lt;='I_Inputs &amp; Assumptions'!$B$8/2,'I_Budget Input Data'!$D$15*0.6/('I_Inputs &amp; Assumptions'!$B$8/2),'I_Budget Input Data'!$D$15*0.4/('I_Inputs &amp; Assumptions'!$B$8/2)),IF('I_Budget Input Data'!$E$15="Back-loaded",IF(26&lt;='I_Inputs &amp; Assumptions'!$B$8/2,'I_Budget Input Data'!$D$15*0.4/('I_Inputs &amp; Assumptions'!$B$8/2),'I_Budget Input Data'!$D$15*0.6/('I_Inputs &amp; Assumptions'!$B$8/2)),IF('I_Budget Input Data'!$E$15="Mid-weighted",IF(26&lt;='I_Inputs &amp; Assumptions'!$B$8/4,'I_Budget Input Data'!$D$15*0.2/('I_Inputs &amp; Assumptions'!$B$8/4),IF(26&lt;='I_Inputs &amp; Assumptions'!$B$8*0.75,'I_Budget Input Data'!$D$15*0.6/('I_Inputs &amp; Assumptions'!$B$8/2),'I_Budget Input Data'!$D$15*0.2/('I_Inputs &amp; Assumptions'!$B$8/4))),IF('I_Budget Input Data'!$E$15="At Completion",IF(26='I_Inputs &amp; Assumptions'!$B$8,'I_Budget Input Data'!$D$15,0),'I_Budget Input Data'!$D$15/'I_Inputs &amp; Assumptions'!$B$8)))))),0)</f>
        <v>0</v>
      </c>
      <c r="AC15" s="91">
        <f>IF(27&lt;='I_Inputs &amp; Assumptions'!$B$8,IF('I_Budget Input Data'!$E$15="Upfront",IF(27=1,'I_Budget Input Data'!$D$15,0),IF('I_Budget Input Data'!$E$15="Equal",'I_Budget Input Data'!$D$15/'I_Inputs &amp; Assumptions'!$B$8,IF('I_Budget Input Data'!$E$15="Front-loaded",IF(27&lt;='I_Inputs &amp; Assumptions'!$B$8/2,'I_Budget Input Data'!$D$15*0.6/('I_Inputs &amp; Assumptions'!$B$8/2),'I_Budget Input Data'!$D$15*0.4/('I_Inputs &amp; Assumptions'!$B$8/2)),IF('I_Budget Input Data'!$E$15="Back-loaded",IF(27&lt;='I_Inputs &amp; Assumptions'!$B$8/2,'I_Budget Input Data'!$D$15*0.4/('I_Inputs &amp; Assumptions'!$B$8/2),'I_Budget Input Data'!$D$15*0.6/('I_Inputs &amp; Assumptions'!$B$8/2)),IF('I_Budget Input Data'!$E$15="Mid-weighted",IF(27&lt;='I_Inputs &amp; Assumptions'!$B$8/4,'I_Budget Input Data'!$D$15*0.2/('I_Inputs &amp; Assumptions'!$B$8/4),IF(27&lt;='I_Inputs &amp; Assumptions'!$B$8*0.75,'I_Budget Input Data'!$D$15*0.6/('I_Inputs &amp; Assumptions'!$B$8/2),'I_Budget Input Data'!$D$15*0.2/('I_Inputs &amp; Assumptions'!$B$8/4))),IF('I_Budget Input Data'!$E$15="At Completion",IF(27='I_Inputs &amp; Assumptions'!$B$8,'I_Budget Input Data'!$D$15,0),'I_Budget Input Data'!$D$15/'I_Inputs &amp; Assumptions'!$B$8)))))),0)</f>
        <v>0</v>
      </c>
      <c r="AD15" s="91">
        <f>IF(28&lt;='I_Inputs &amp; Assumptions'!$B$8,IF('I_Budget Input Data'!$E$15="Upfront",IF(28=1,'I_Budget Input Data'!$D$15,0),IF('I_Budget Input Data'!$E$15="Equal",'I_Budget Input Data'!$D$15/'I_Inputs &amp; Assumptions'!$B$8,IF('I_Budget Input Data'!$E$15="Front-loaded",IF(28&lt;='I_Inputs &amp; Assumptions'!$B$8/2,'I_Budget Input Data'!$D$15*0.6/('I_Inputs &amp; Assumptions'!$B$8/2),'I_Budget Input Data'!$D$15*0.4/('I_Inputs &amp; Assumptions'!$B$8/2)),IF('I_Budget Input Data'!$E$15="Back-loaded",IF(28&lt;='I_Inputs &amp; Assumptions'!$B$8/2,'I_Budget Input Data'!$D$15*0.4/('I_Inputs &amp; Assumptions'!$B$8/2),'I_Budget Input Data'!$D$15*0.6/('I_Inputs &amp; Assumptions'!$B$8/2)),IF('I_Budget Input Data'!$E$15="Mid-weighted",IF(28&lt;='I_Inputs &amp; Assumptions'!$B$8/4,'I_Budget Input Data'!$D$15*0.2/('I_Inputs &amp; Assumptions'!$B$8/4),IF(28&lt;='I_Inputs &amp; Assumptions'!$B$8*0.75,'I_Budget Input Data'!$D$15*0.6/('I_Inputs &amp; Assumptions'!$B$8/2),'I_Budget Input Data'!$D$15*0.2/('I_Inputs &amp; Assumptions'!$B$8/4))),IF('I_Budget Input Data'!$E$15="At Completion",IF(28='I_Inputs &amp; Assumptions'!$B$8,'I_Budget Input Data'!$D$15,0),'I_Budget Input Data'!$D$15/'I_Inputs &amp; Assumptions'!$B$8)))))),0)</f>
        <v>0</v>
      </c>
      <c r="AE15" s="91">
        <f>IF(29&lt;='I_Inputs &amp; Assumptions'!$B$8,IF('I_Budget Input Data'!$E$15="Upfront",IF(29=1,'I_Budget Input Data'!$D$15,0),IF('I_Budget Input Data'!$E$15="Equal",'I_Budget Input Data'!$D$15/'I_Inputs &amp; Assumptions'!$B$8,IF('I_Budget Input Data'!$E$15="Front-loaded",IF(29&lt;='I_Inputs &amp; Assumptions'!$B$8/2,'I_Budget Input Data'!$D$15*0.6/('I_Inputs &amp; Assumptions'!$B$8/2),'I_Budget Input Data'!$D$15*0.4/('I_Inputs &amp; Assumptions'!$B$8/2)),IF('I_Budget Input Data'!$E$15="Back-loaded",IF(29&lt;='I_Inputs &amp; Assumptions'!$B$8/2,'I_Budget Input Data'!$D$15*0.4/('I_Inputs &amp; Assumptions'!$B$8/2),'I_Budget Input Data'!$D$15*0.6/('I_Inputs &amp; Assumptions'!$B$8/2)),IF('I_Budget Input Data'!$E$15="Mid-weighted",IF(29&lt;='I_Inputs &amp; Assumptions'!$B$8/4,'I_Budget Input Data'!$D$15*0.2/('I_Inputs &amp; Assumptions'!$B$8/4),IF(29&lt;='I_Inputs &amp; Assumptions'!$B$8*0.75,'I_Budget Input Data'!$D$15*0.6/('I_Inputs &amp; Assumptions'!$B$8/2),'I_Budget Input Data'!$D$15*0.2/('I_Inputs &amp; Assumptions'!$B$8/4))),IF('I_Budget Input Data'!$E$15="At Completion",IF(29='I_Inputs &amp; Assumptions'!$B$8,'I_Budget Input Data'!$D$15,0),'I_Budget Input Data'!$D$15/'I_Inputs &amp; Assumptions'!$B$8)))))),0)</f>
        <v>0</v>
      </c>
      <c r="AF15" s="91">
        <f>IF(30&lt;='I_Inputs &amp; Assumptions'!$B$8,IF('I_Budget Input Data'!$E$15="Upfront",IF(30=1,'I_Budget Input Data'!$D$15,0),IF('I_Budget Input Data'!$E$15="Equal",'I_Budget Input Data'!$D$15/'I_Inputs &amp; Assumptions'!$B$8,IF('I_Budget Input Data'!$E$15="Front-loaded",IF(30&lt;='I_Inputs &amp; Assumptions'!$B$8/2,'I_Budget Input Data'!$D$15*0.6/('I_Inputs &amp; Assumptions'!$B$8/2),'I_Budget Input Data'!$D$15*0.4/('I_Inputs &amp; Assumptions'!$B$8/2)),IF('I_Budget Input Data'!$E$15="Back-loaded",IF(30&lt;='I_Inputs &amp; Assumptions'!$B$8/2,'I_Budget Input Data'!$D$15*0.4/('I_Inputs &amp; Assumptions'!$B$8/2),'I_Budget Input Data'!$D$15*0.6/('I_Inputs &amp; Assumptions'!$B$8/2)),IF('I_Budget Input Data'!$E$15="Mid-weighted",IF(30&lt;='I_Inputs &amp; Assumptions'!$B$8/4,'I_Budget Input Data'!$D$15*0.2/('I_Inputs &amp; Assumptions'!$B$8/4),IF(30&lt;='I_Inputs &amp; Assumptions'!$B$8*0.75,'I_Budget Input Data'!$D$15*0.6/('I_Inputs &amp; Assumptions'!$B$8/2),'I_Budget Input Data'!$D$15*0.2/('I_Inputs &amp; Assumptions'!$B$8/4))),IF('I_Budget Input Data'!$E$15="At Completion",IF(30='I_Inputs &amp; Assumptions'!$B$8,'I_Budget Input Data'!$D$15,0),'I_Budget Input Data'!$D$15/'I_Inputs &amp; Assumptions'!$B$8)))))),0)</f>
        <v>0</v>
      </c>
      <c r="AG15" s="91">
        <f>IF(31&lt;='I_Inputs &amp; Assumptions'!$B$8,IF('I_Budget Input Data'!$E$15="Upfront",IF(31=1,'I_Budget Input Data'!$D$15,0),IF('I_Budget Input Data'!$E$15="Equal",'I_Budget Input Data'!$D$15/'I_Inputs &amp; Assumptions'!$B$8,IF('I_Budget Input Data'!$E$15="Front-loaded",IF(31&lt;='I_Inputs &amp; Assumptions'!$B$8/2,'I_Budget Input Data'!$D$15*0.6/('I_Inputs &amp; Assumptions'!$B$8/2),'I_Budget Input Data'!$D$15*0.4/('I_Inputs &amp; Assumptions'!$B$8/2)),IF('I_Budget Input Data'!$E$15="Back-loaded",IF(31&lt;='I_Inputs &amp; Assumptions'!$B$8/2,'I_Budget Input Data'!$D$15*0.4/('I_Inputs &amp; Assumptions'!$B$8/2),'I_Budget Input Data'!$D$15*0.6/('I_Inputs &amp; Assumptions'!$B$8/2)),IF('I_Budget Input Data'!$E$15="Mid-weighted",IF(31&lt;='I_Inputs &amp; Assumptions'!$B$8/4,'I_Budget Input Data'!$D$15*0.2/('I_Inputs &amp; Assumptions'!$B$8/4),IF(31&lt;='I_Inputs &amp; Assumptions'!$B$8*0.75,'I_Budget Input Data'!$D$15*0.6/('I_Inputs &amp; Assumptions'!$B$8/2),'I_Budget Input Data'!$D$15*0.2/('I_Inputs &amp; Assumptions'!$B$8/4))),IF('I_Budget Input Data'!$E$15="At Completion",IF(31='I_Inputs &amp; Assumptions'!$B$8,'I_Budget Input Data'!$D$15,0),'I_Budget Input Data'!$D$15/'I_Inputs &amp; Assumptions'!$B$8)))))),0)</f>
        <v>0</v>
      </c>
      <c r="AH15" s="91">
        <f>IF(32&lt;='I_Inputs &amp; Assumptions'!$B$8,IF('I_Budget Input Data'!$E$15="Upfront",IF(32=1,'I_Budget Input Data'!$D$15,0),IF('I_Budget Input Data'!$E$15="Equal",'I_Budget Input Data'!$D$15/'I_Inputs &amp; Assumptions'!$B$8,IF('I_Budget Input Data'!$E$15="Front-loaded",IF(32&lt;='I_Inputs &amp; Assumptions'!$B$8/2,'I_Budget Input Data'!$D$15*0.6/('I_Inputs &amp; Assumptions'!$B$8/2),'I_Budget Input Data'!$D$15*0.4/('I_Inputs &amp; Assumptions'!$B$8/2)),IF('I_Budget Input Data'!$E$15="Back-loaded",IF(32&lt;='I_Inputs &amp; Assumptions'!$B$8/2,'I_Budget Input Data'!$D$15*0.4/('I_Inputs &amp; Assumptions'!$B$8/2),'I_Budget Input Data'!$D$15*0.6/('I_Inputs &amp; Assumptions'!$B$8/2)),IF('I_Budget Input Data'!$E$15="Mid-weighted",IF(32&lt;='I_Inputs &amp; Assumptions'!$B$8/4,'I_Budget Input Data'!$D$15*0.2/('I_Inputs &amp; Assumptions'!$B$8/4),IF(32&lt;='I_Inputs &amp; Assumptions'!$B$8*0.75,'I_Budget Input Data'!$D$15*0.6/('I_Inputs &amp; Assumptions'!$B$8/2),'I_Budget Input Data'!$D$15*0.2/('I_Inputs &amp; Assumptions'!$B$8/4))),IF('I_Budget Input Data'!$E$15="At Completion",IF(32='I_Inputs &amp; Assumptions'!$B$8,'I_Budget Input Data'!$D$15,0),'I_Budget Input Data'!$D$15/'I_Inputs &amp; Assumptions'!$B$8)))))),0)</f>
        <v>0</v>
      </c>
      <c r="AI15" s="91">
        <f>IF(33&lt;='I_Inputs &amp; Assumptions'!$B$8,IF('I_Budget Input Data'!$E$15="Upfront",IF(33=1,'I_Budget Input Data'!$D$15,0),IF('I_Budget Input Data'!$E$15="Equal",'I_Budget Input Data'!$D$15/'I_Inputs &amp; Assumptions'!$B$8,IF('I_Budget Input Data'!$E$15="Front-loaded",IF(33&lt;='I_Inputs &amp; Assumptions'!$B$8/2,'I_Budget Input Data'!$D$15*0.6/('I_Inputs &amp; Assumptions'!$B$8/2),'I_Budget Input Data'!$D$15*0.4/('I_Inputs &amp; Assumptions'!$B$8/2)),IF('I_Budget Input Data'!$E$15="Back-loaded",IF(33&lt;='I_Inputs &amp; Assumptions'!$B$8/2,'I_Budget Input Data'!$D$15*0.4/('I_Inputs &amp; Assumptions'!$B$8/2),'I_Budget Input Data'!$D$15*0.6/('I_Inputs &amp; Assumptions'!$B$8/2)),IF('I_Budget Input Data'!$E$15="Mid-weighted",IF(33&lt;='I_Inputs &amp; Assumptions'!$B$8/4,'I_Budget Input Data'!$D$15*0.2/('I_Inputs &amp; Assumptions'!$B$8/4),IF(33&lt;='I_Inputs &amp; Assumptions'!$B$8*0.75,'I_Budget Input Data'!$D$15*0.6/('I_Inputs &amp; Assumptions'!$B$8/2),'I_Budget Input Data'!$D$15*0.2/('I_Inputs &amp; Assumptions'!$B$8/4))),IF('I_Budget Input Data'!$E$15="At Completion",IF(33='I_Inputs &amp; Assumptions'!$B$8,'I_Budget Input Data'!$D$15,0),'I_Budget Input Data'!$D$15/'I_Inputs &amp; Assumptions'!$B$8)))))),0)</f>
        <v>0</v>
      </c>
      <c r="AJ15" s="91">
        <f>IF(34&lt;='I_Inputs &amp; Assumptions'!$B$8,IF('I_Budget Input Data'!$E$15="Upfront",IF(34=1,'I_Budget Input Data'!$D$15,0),IF('I_Budget Input Data'!$E$15="Equal",'I_Budget Input Data'!$D$15/'I_Inputs &amp; Assumptions'!$B$8,IF('I_Budget Input Data'!$E$15="Front-loaded",IF(34&lt;='I_Inputs &amp; Assumptions'!$B$8/2,'I_Budget Input Data'!$D$15*0.6/('I_Inputs &amp; Assumptions'!$B$8/2),'I_Budget Input Data'!$D$15*0.4/('I_Inputs &amp; Assumptions'!$B$8/2)),IF('I_Budget Input Data'!$E$15="Back-loaded",IF(34&lt;='I_Inputs &amp; Assumptions'!$B$8/2,'I_Budget Input Data'!$D$15*0.4/('I_Inputs &amp; Assumptions'!$B$8/2),'I_Budget Input Data'!$D$15*0.6/('I_Inputs &amp; Assumptions'!$B$8/2)),IF('I_Budget Input Data'!$E$15="Mid-weighted",IF(34&lt;='I_Inputs &amp; Assumptions'!$B$8/4,'I_Budget Input Data'!$D$15*0.2/('I_Inputs &amp; Assumptions'!$B$8/4),IF(34&lt;='I_Inputs &amp; Assumptions'!$B$8*0.75,'I_Budget Input Data'!$D$15*0.6/('I_Inputs &amp; Assumptions'!$B$8/2),'I_Budget Input Data'!$D$15*0.2/('I_Inputs &amp; Assumptions'!$B$8/4))),IF('I_Budget Input Data'!$E$15="At Completion",IF(34='I_Inputs &amp; Assumptions'!$B$8,'I_Budget Input Data'!$D$15,0),'I_Budget Input Data'!$D$15/'I_Inputs &amp; Assumptions'!$B$8)))))),0)</f>
        <v>0</v>
      </c>
      <c r="AK15" s="91">
        <f>IF(35&lt;='I_Inputs &amp; Assumptions'!$B$8,IF('I_Budget Input Data'!$E$15="Upfront",IF(35=1,'I_Budget Input Data'!$D$15,0),IF('I_Budget Input Data'!$E$15="Equal",'I_Budget Input Data'!$D$15/'I_Inputs &amp; Assumptions'!$B$8,IF('I_Budget Input Data'!$E$15="Front-loaded",IF(35&lt;='I_Inputs &amp; Assumptions'!$B$8/2,'I_Budget Input Data'!$D$15*0.6/('I_Inputs &amp; Assumptions'!$B$8/2),'I_Budget Input Data'!$D$15*0.4/('I_Inputs &amp; Assumptions'!$B$8/2)),IF('I_Budget Input Data'!$E$15="Back-loaded",IF(35&lt;='I_Inputs &amp; Assumptions'!$B$8/2,'I_Budget Input Data'!$D$15*0.4/('I_Inputs &amp; Assumptions'!$B$8/2),'I_Budget Input Data'!$D$15*0.6/('I_Inputs &amp; Assumptions'!$B$8/2)),IF('I_Budget Input Data'!$E$15="Mid-weighted",IF(35&lt;='I_Inputs &amp; Assumptions'!$B$8/4,'I_Budget Input Data'!$D$15*0.2/('I_Inputs &amp; Assumptions'!$B$8/4),IF(35&lt;='I_Inputs &amp; Assumptions'!$B$8*0.75,'I_Budget Input Data'!$D$15*0.6/('I_Inputs &amp; Assumptions'!$B$8/2),'I_Budget Input Data'!$D$15*0.2/('I_Inputs &amp; Assumptions'!$B$8/4))),IF('I_Budget Input Data'!$E$15="At Completion",IF(35='I_Inputs &amp; Assumptions'!$B$8,'I_Budget Input Data'!$D$15,0),'I_Budget Input Data'!$D$15/'I_Inputs &amp; Assumptions'!$B$8)))))),0)</f>
        <v>0</v>
      </c>
      <c r="AL15" s="91">
        <f>IF(36&lt;='I_Inputs &amp; Assumptions'!$B$8,IF('I_Budget Input Data'!$E$15="Upfront",IF(36=1,'I_Budget Input Data'!$D$15,0),IF('I_Budget Input Data'!$E$15="Equal",'I_Budget Input Data'!$D$15/'I_Inputs &amp; Assumptions'!$B$8,IF('I_Budget Input Data'!$E$15="Front-loaded",IF(36&lt;='I_Inputs &amp; Assumptions'!$B$8/2,'I_Budget Input Data'!$D$15*0.6/('I_Inputs &amp; Assumptions'!$B$8/2),'I_Budget Input Data'!$D$15*0.4/('I_Inputs &amp; Assumptions'!$B$8/2)),IF('I_Budget Input Data'!$E$15="Back-loaded",IF(36&lt;='I_Inputs &amp; Assumptions'!$B$8/2,'I_Budget Input Data'!$D$15*0.4/('I_Inputs &amp; Assumptions'!$B$8/2),'I_Budget Input Data'!$D$15*0.6/('I_Inputs &amp; Assumptions'!$B$8/2)),IF('I_Budget Input Data'!$E$15="Mid-weighted",IF(36&lt;='I_Inputs &amp; Assumptions'!$B$8/4,'I_Budget Input Data'!$D$15*0.2/('I_Inputs &amp; Assumptions'!$B$8/4),IF(36&lt;='I_Inputs &amp; Assumptions'!$B$8*0.75,'I_Budget Input Data'!$D$15*0.6/('I_Inputs &amp; Assumptions'!$B$8/2),'I_Budget Input Data'!$D$15*0.2/('I_Inputs &amp; Assumptions'!$B$8/4))),IF('I_Budget Input Data'!$E$15="At Completion",IF(36='I_Inputs &amp; Assumptions'!$B$8,'I_Budget Input Data'!$D$15,0),'I_Budget Input Data'!$D$15/'I_Inputs &amp; Assumptions'!$B$8)))))),0)</f>
        <v>0</v>
      </c>
    </row>
    <row r="16" spans="1:38" ht="15" customHeight="1" x14ac:dyDescent="0.2">
      <c r="A16" t="s">
        <v>136</v>
      </c>
      <c r="C16" s="91">
        <f>IF(1&lt;='I_Inputs &amp; Assumptions'!$B$8,IF('I_Budget Input Data'!$E$16="Upfront",IF(1=1,'I_Budget Input Data'!$D$16,0),IF('I_Budget Input Data'!$E$16="Equal",'I_Budget Input Data'!$D$16/'I_Inputs &amp; Assumptions'!$B$8,IF('I_Budget Input Data'!$E$16="Front-loaded",IF(1&lt;='I_Inputs &amp; Assumptions'!$B$8/2,'I_Budget Input Data'!$D$16*0.6/('I_Inputs &amp; Assumptions'!$B$8/2),'I_Budget Input Data'!$D$16*0.4/('I_Inputs &amp; Assumptions'!$B$8/2)),IF('I_Budget Input Data'!$E$16="Back-loaded",IF(1&lt;='I_Inputs &amp; Assumptions'!$B$8/2,'I_Budget Input Data'!$D$16*0.4/('I_Inputs &amp; Assumptions'!$B$8/2),'I_Budget Input Data'!$D$16*0.6/('I_Inputs &amp; Assumptions'!$B$8/2)),IF('I_Budget Input Data'!$E$16="Mid-weighted",IF(1&lt;='I_Inputs &amp; Assumptions'!$B$8/4,'I_Budget Input Data'!$D$16*0.2/('I_Inputs &amp; Assumptions'!$B$8/4),IF(1&lt;='I_Inputs &amp; Assumptions'!$B$8*0.75,'I_Budget Input Data'!$D$16*0.6/('I_Inputs &amp; Assumptions'!$B$8/2),'I_Budget Input Data'!$D$16*0.2/('I_Inputs &amp; Assumptions'!$B$8/4))),IF('I_Budget Input Data'!$E$16="At Completion",IF(1='I_Inputs &amp; Assumptions'!$B$8,'I_Budget Input Data'!$D$16,0),'I_Budget Input Data'!$D$16/'I_Inputs &amp; Assumptions'!$B$8)))))),0)</f>
        <v>15282.738461538462</v>
      </c>
      <c r="D16" s="91">
        <f>IF(2&lt;='I_Inputs &amp; Assumptions'!$B$8,IF('I_Budget Input Data'!$E$16="Upfront",IF(2=1,'I_Budget Input Data'!$D$16,0),IF('I_Budget Input Data'!$E$16="Equal",'I_Budget Input Data'!$D$16/'I_Inputs &amp; Assumptions'!$B$8,IF('I_Budget Input Data'!$E$16="Front-loaded",IF(2&lt;='I_Inputs &amp; Assumptions'!$B$8/2,'I_Budget Input Data'!$D$16*0.6/('I_Inputs &amp; Assumptions'!$B$8/2),'I_Budget Input Data'!$D$16*0.4/('I_Inputs &amp; Assumptions'!$B$8/2)),IF('I_Budget Input Data'!$E$16="Back-loaded",IF(2&lt;='I_Inputs &amp; Assumptions'!$B$8/2,'I_Budget Input Data'!$D$16*0.4/('I_Inputs &amp; Assumptions'!$B$8/2),'I_Budget Input Data'!$D$16*0.6/('I_Inputs &amp; Assumptions'!$B$8/2)),IF('I_Budget Input Data'!$E$16="Mid-weighted",IF(2&lt;='I_Inputs &amp; Assumptions'!$B$8/4,'I_Budget Input Data'!$D$16*0.2/('I_Inputs &amp; Assumptions'!$B$8/4),IF(2&lt;='I_Inputs &amp; Assumptions'!$B$8*0.75,'I_Budget Input Data'!$D$16*0.6/('I_Inputs &amp; Assumptions'!$B$8/2),'I_Budget Input Data'!$D$16*0.2/('I_Inputs &amp; Assumptions'!$B$8/4))),IF('I_Budget Input Data'!$E$16="At Completion",IF(2='I_Inputs &amp; Assumptions'!$B$8,'I_Budget Input Data'!$D$16,0),'I_Budget Input Data'!$D$16/'I_Inputs &amp; Assumptions'!$B$8)))))),0)</f>
        <v>15282.738461538462</v>
      </c>
      <c r="E16" s="91">
        <f>IF(3&lt;='I_Inputs &amp; Assumptions'!$B$8,IF('I_Budget Input Data'!$E$16="Upfront",IF(3=1,'I_Budget Input Data'!$D$16,0),IF('I_Budget Input Data'!$E$16="Equal",'I_Budget Input Data'!$D$16/'I_Inputs &amp; Assumptions'!$B$8,IF('I_Budget Input Data'!$E$16="Front-loaded",IF(3&lt;='I_Inputs &amp; Assumptions'!$B$8/2,'I_Budget Input Data'!$D$16*0.6/('I_Inputs &amp; Assumptions'!$B$8/2),'I_Budget Input Data'!$D$16*0.4/('I_Inputs &amp; Assumptions'!$B$8/2)),IF('I_Budget Input Data'!$E$16="Back-loaded",IF(3&lt;='I_Inputs &amp; Assumptions'!$B$8/2,'I_Budget Input Data'!$D$16*0.4/('I_Inputs &amp; Assumptions'!$B$8/2),'I_Budget Input Data'!$D$16*0.6/('I_Inputs &amp; Assumptions'!$B$8/2)),IF('I_Budget Input Data'!$E$16="Mid-weighted",IF(3&lt;='I_Inputs &amp; Assumptions'!$B$8/4,'I_Budget Input Data'!$D$16*0.2/('I_Inputs &amp; Assumptions'!$B$8/4),IF(3&lt;='I_Inputs &amp; Assumptions'!$B$8*0.75,'I_Budget Input Data'!$D$16*0.6/('I_Inputs &amp; Assumptions'!$B$8/2),'I_Budget Input Data'!$D$16*0.2/('I_Inputs &amp; Assumptions'!$B$8/4))),IF('I_Budget Input Data'!$E$16="At Completion",IF(3='I_Inputs &amp; Assumptions'!$B$8,'I_Budget Input Data'!$D$16,0),'I_Budget Input Data'!$D$16/'I_Inputs &amp; Assumptions'!$B$8)))))),0)</f>
        <v>15282.738461538462</v>
      </c>
      <c r="F16" s="91">
        <f>IF(4&lt;='I_Inputs &amp; Assumptions'!$B$8,IF('I_Budget Input Data'!$E$16="Upfront",IF(4=1,'I_Budget Input Data'!$D$16,0),IF('I_Budget Input Data'!$E$16="Equal",'I_Budget Input Data'!$D$16/'I_Inputs &amp; Assumptions'!$B$8,IF('I_Budget Input Data'!$E$16="Front-loaded",IF(4&lt;='I_Inputs &amp; Assumptions'!$B$8/2,'I_Budget Input Data'!$D$16*0.6/('I_Inputs &amp; Assumptions'!$B$8/2),'I_Budget Input Data'!$D$16*0.4/('I_Inputs &amp; Assumptions'!$B$8/2)),IF('I_Budget Input Data'!$E$16="Back-loaded",IF(4&lt;='I_Inputs &amp; Assumptions'!$B$8/2,'I_Budget Input Data'!$D$16*0.4/('I_Inputs &amp; Assumptions'!$B$8/2),'I_Budget Input Data'!$D$16*0.6/('I_Inputs &amp; Assumptions'!$B$8/2)),IF('I_Budget Input Data'!$E$16="Mid-weighted",IF(4&lt;='I_Inputs &amp; Assumptions'!$B$8/4,'I_Budget Input Data'!$D$16*0.2/('I_Inputs &amp; Assumptions'!$B$8/4),IF(4&lt;='I_Inputs &amp; Assumptions'!$B$8*0.75,'I_Budget Input Data'!$D$16*0.6/('I_Inputs &amp; Assumptions'!$B$8/2),'I_Budget Input Data'!$D$16*0.2/('I_Inputs &amp; Assumptions'!$B$8/4))),IF('I_Budget Input Data'!$E$16="At Completion",IF(4='I_Inputs &amp; Assumptions'!$B$8,'I_Budget Input Data'!$D$16,0),'I_Budget Input Data'!$D$16/'I_Inputs &amp; Assumptions'!$B$8)))))),0)</f>
        <v>15282.738461538462</v>
      </c>
      <c r="G16" s="91">
        <f>IF(5&lt;='I_Inputs &amp; Assumptions'!$B$8,IF('I_Budget Input Data'!$E$16="Upfront",IF(5=1,'I_Budget Input Data'!$D$16,0),IF('I_Budget Input Data'!$E$16="Equal",'I_Budget Input Data'!$D$16/'I_Inputs &amp; Assumptions'!$B$8,IF('I_Budget Input Data'!$E$16="Front-loaded",IF(5&lt;='I_Inputs &amp; Assumptions'!$B$8/2,'I_Budget Input Data'!$D$16*0.6/('I_Inputs &amp; Assumptions'!$B$8/2),'I_Budget Input Data'!$D$16*0.4/('I_Inputs &amp; Assumptions'!$B$8/2)),IF('I_Budget Input Data'!$E$16="Back-loaded",IF(5&lt;='I_Inputs &amp; Assumptions'!$B$8/2,'I_Budget Input Data'!$D$16*0.4/('I_Inputs &amp; Assumptions'!$B$8/2),'I_Budget Input Data'!$D$16*0.6/('I_Inputs &amp; Assumptions'!$B$8/2)),IF('I_Budget Input Data'!$E$16="Mid-weighted",IF(5&lt;='I_Inputs &amp; Assumptions'!$B$8/4,'I_Budget Input Data'!$D$16*0.2/('I_Inputs &amp; Assumptions'!$B$8/4),IF(5&lt;='I_Inputs &amp; Assumptions'!$B$8*0.75,'I_Budget Input Data'!$D$16*0.6/('I_Inputs &amp; Assumptions'!$B$8/2),'I_Budget Input Data'!$D$16*0.2/('I_Inputs &amp; Assumptions'!$B$8/4))),IF('I_Budget Input Data'!$E$16="At Completion",IF(5='I_Inputs &amp; Assumptions'!$B$8,'I_Budget Input Data'!$D$16,0),'I_Budget Input Data'!$D$16/'I_Inputs &amp; Assumptions'!$B$8)))))),0)</f>
        <v>15282.738461538462</v>
      </c>
      <c r="H16" s="91">
        <f>IF(6&lt;='I_Inputs &amp; Assumptions'!$B$8,IF('I_Budget Input Data'!$E$16="Upfront",IF(6=1,'I_Budget Input Data'!$D$16,0),IF('I_Budget Input Data'!$E$16="Equal",'I_Budget Input Data'!$D$16/'I_Inputs &amp; Assumptions'!$B$8,IF('I_Budget Input Data'!$E$16="Front-loaded",IF(6&lt;='I_Inputs &amp; Assumptions'!$B$8/2,'I_Budget Input Data'!$D$16*0.6/('I_Inputs &amp; Assumptions'!$B$8/2),'I_Budget Input Data'!$D$16*0.4/('I_Inputs &amp; Assumptions'!$B$8/2)),IF('I_Budget Input Data'!$E$16="Back-loaded",IF(6&lt;='I_Inputs &amp; Assumptions'!$B$8/2,'I_Budget Input Data'!$D$16*0.4/('I_Inputs &amp; Assumptions'!$B$8/2),'I_Budget Input Data'!$D$16*0.6/('I_Inputs &amp; Assumptions'!$B$8/2)),IF('I_Budget Input Data'!$E$16="Mid-weighted",IF(6&lt;='I_Inputs &amp; Assumptions'!$B$8/4,'I_Budget Input Data'!$D$16*0.2/('I_Inputs &amp; Assumptions'!$B$8/4),IF(6&lt;='I_Inputs &amp; Assumptions'!$B$8*0.75,'I_Budget Input Data'!$D$16*0.6/('I_Inputs &amp; Assumptions'!$B$8/2),'I_Budget Input Data'!$D$16*0.2/('I_Inputs &amp; Assumptions'!$B$8/4))),IF('I_Budget Input Data'!$E$16="At Completion",IF(6='I_Inputs &amp; Assumptions'!$B$8,'I_Budget Input Data'!$D$16,0),'I_Budget Input Data'!$D$16/'I_Inputs &amp; Assumptions'!$B$8)))))),0)</f>
        <v>15282.738461538462</v>
      </c>
      <c r="I16" s="91">
        <f>IF(7&lt;='I_Inputs &amp; Assumptions'!$B$8,IF('I_Budget Input Data'!$E$16="Upfront",IF(7=1,'I_Budget Input Data'!$D$16,0),IF('I_Budget Input Data'!$E$16="Equal",'I_Budget Input Data'!$D$16/'I_Inputs &amp; Assumptions'!$B$8,IF('I_Budget Input Data'!$E$16="Front-loaded",IF(7&lt;='I_Inputs &amp; Assumptions'!$B$8/2,'I_Budget Input Data'!$D$16*0.6/('I_Inputs &amp; Assumptions'!$B$8/2),'I_Budget Input Data'!$D$16*0.4/('I_Inputs &amp; Assumptions'!$B$8/2)),IF('I_Budget Input Data'!$E$16="Back-loaded",IF(7&lt;='I_Inputs &amp; Assumptions'!$B$8/2,'I_Budget Input Data'!$D$16*0.4/('I_Inputs &amp; Assumptions'!$B$8/2),'I_Budget Input Data'!$D$16*0.6/('I_Inputs &amp; Assumptions'!$B$8/2)),IF('I_Budget Input Data'!$E$16="Mid-weighted",IF(7&lt;='I_Inputs &amp; Assumptions'!$B$8/4,'I_Budget Input Data'!$D$16*0.2/('I_Inputs &amp; Assumptions'!$B$8/4),IF(7&lt;='I_Inputs &amp; Assumptions'!$B$8*0.75,'I_Budget Input Data'!$D$16*0.6/('I_Inputs &amp; Assumptions'!$B$8/2),'I_Budget Input Data'!$D$16*0.2/('I_Inputs &amp; Assumptions'!$B$8/4))),IF('I_Budget Input Data'!$E$16="At Completion",IF(7='I_Inputs &amp; Assumptions'!$B$8,'I_Budget Input Data'!$D$16,0),'I_Budget Input Data'!$D$16/'I_Inputs &amp; Assumptions'!$B$8)))))),0)</f>
        <v>10188.492307692308</v>
      </c>
      <c r="J16" s="91">
        <f>IF(8&lt;='I_Inputs &amp; Assumptions'!$B$8,IF('I_Budget Input Data'!$E$16="Upfront",IF(8=1,'I_Budget Input Data'!$D$16,0),IF('I_Budget Input Data'!$E$16="Equal",'I_Budget Input Data'!$D$16/'I_Inputs &amp; Assumptions'!$B$8,IF('I_Budget Input Data'!$E$16="Front-loaded",IF(8&lt;='I_Inputs &amp; Assumptions'!$B$8/2,'I_Budget Input Data'!$D$16*0.6/('I_Inputs &amp; Assumptions'!$B$8/2),'I_Budget Input Data'!$D$16*0.4/('I_Inputs &amp; Assumptions'!$B$8/2)),IF('I_Budget Input Data'!$E$16="Back-loaded",IF(8&lt;='I_Inputs &amp; Assumptions'!$B$8/2,'I_Budget Input Data'!$D$16*0.4/('I_Inputs &amp; Assumptions'!$B$8/2),'I_Budget Input Data'!$D$16*0.6/('I_Inputs &amp; Assumptions'!$B$8/2)),IF('I_Budget Input Data'!$E$16="Mid-weighted",IF(8&lt;='I_Inputs &amp; Assumptions'!$B$8/4,'I_Budget Input Data'!$D$16*0.2/('I_Inputs &amp; Assumptions'!$B$8/4),IF(8&lt;='I_Inputs &amp; Assumptions'!$B$8*0.75,'I_Budget Input Data'!$D$16*0.6/('I_Inputs &amp; Assumptions'!$B$8/2),'I_Budget Input Data'!$D$16*0.2/('I_Inputs &amp; Assumptions'!$B$8/4))),IF('I_Budget Input Data'!$E$16="At Completion",IF(8='I_Inputs &amp; Assumptions'!$B$8,'I_Budget Input Data'!$D$16,0),'I_Budget Input Data'!$D$16/'I_Inputs &amp; Assumptions'!$B$8)))))),0)</f>
        <v>10188.492307692308</v>
      </c>
      <c r="K16" s="91">
        <f>IF(9&lt;='I_Inputs &amp; Assumptions'!$B$8,IF('I_Budget Input Data'!$E$16="Upfront",IF(9=1,'I_Budget Input Data'!$D$16,0),IF('I_Budget Input Data'!$E$16="Equal",'I_Budget Input Data'!$D$16/'I_Inputs &amp; Assumptions'!$B$8,IF('I_Budget Input Data'!$E$16="Front-loaded",IF(9&lt;='I_Inputs &amp; Assumptions'!$B$8/2,'I_Budget Input Data'!$D$16*0.6/('I_Inputs &amp; Assumptions'!$B$8/2),'I_Budget Input Data'!$D$16*0.4/('I_Inputs &amp; Assumptions'!$B$8/2)),IF('I_Budget Input Data'!$E$16="Back-loaded",IF(9&lt;='I_Inputs &amp; Assumptions'!$B$8/2,'I_Budget Input Data'!$D$16*0.4/('I_Inputs &amp; Assumptions'!$B$8/2),'I_Budget Input Data'!$D$16*0.6/('I_Inputs &amp; Assumptions'!$B$8/2)),IF('I_Budget Input Data'!$E$16="Mid-weighted",IF(9&lt;='I_Inputs &amp; Assumptions'!$B$8/4,'I_Budget Input Data'!$D$16*0.2/('I_Inputs &amp; Assumptions'!$B$8/4),IF(9&lt;='I_Inputs &amp; Assumptions'!$B$8*0.75,'I_Budget Input Data'!$D$16*0.6/('I_Inputs &amp; Assumptions'!$B$8/2),'I_Budget Input Data'!$D$16*0.2/('I_Inputs &amp; Assumptions'!$B$8/4))),IF('I_Budget Input Data'!$E$16="At Completion",IF(9='I_Inputs &amp; Assumptions'!$B$8,'I_Budget Input Data'!$D$16,0),'I_Budget Input Data'!$D$16/'I_Inputs &amp; Assumptions'!$B$8)))))),0)</f>
        <v>10188.492307692308</v>
      </c>
      <c r="L16" s="91">
        <f>IF(10&lt;='I_Inputs &amp; Assumptions'!$B$8,IF('I_Budget Input Data'!$E$16="Upfront",IF(10=1,'I_Budget Input Data'!$D$16,0),IF('I_Budget Input Data'!$E$16="Equal",'I_Budget Input Data'!$D$16/'I_Inputs &amp; Assumptions'!$B$8,IF('I_Budget Input Data'!$E$16="Front-loaded",IF(10&lt;='I_Inputs &amp; Assumptions'!$B$8/2,'I_Budget Input Data'!$D$16*0.6/('I_Inputs &amp; Assumptions'!$B$8/2),'I_Budget Input Data'!$D$16*0.4/('I_Inputs &amp; Assumptions'!$B$8/2)),IF('I_Budget Input Data'!$E$16="Back-loaded",IF(10&lt;='I_Inputs &amp; Assumptions'!$B$8/2,'I_Budget Input Data'!$D$16*0.4/('I_Inputs &amp; Assumptions'!$B$8/2),'I_Budget Input Data'!$D$16*0.6/('I_Inputs &amp; Assumptions'!$B$8/2)),IF('I_Budget Input Data'!$E$16="Mid-weighted",IF(10&lt;='I_Inputs &amp; Assumptions'!$B$8/4,'I_Budget Input Data'!$D$16*0.2/('I_Inputs &amp; Assumptions'!$B$8/4),IF(10&lt;='I_Inputs &amp; Assumptions'!$B$8*0.75,'I_Budget Input Data'!$D$16*0.6/('I_Inputs &amp; Assumptions'!$B$8/2),'I_Budget Input Data'!$D$16*0.2/('I_Inputs &amp; Assumptions'!$B$8/4))),IF('I_Budget Input Data'!$E$16="At Completion",IF(10='I_Inputs &amp; Assumptions'!$B$8,'I_Budget Input Data'!$D$16,0),'I_Budget Input Data'!$D$16/'I_Inputs &amp; Assumptions'!$B$8)))))),0)</f>
        <v>10188.492307692308</v>
      </c>
      <c r="M16" s="91">
        <f>IF(11&lt;='I_Inputs &amp; Assumptions'!$B$8,IF('I_Budget Input Data'!$E$16="Upfront",IF(11=1,'I_Budget Input Data'!$D$16,0),IF('I_Budget Input Data'!$E$16="Equal",'I_Budget Input Data'!$D$16/'I_Inputs &amp; Assumptions'!$B$8,IF('I_Budget Input Data'!$E$16="Front-loaded",IF(11&lt;='I_Inputs &amp; Assumptions'!$B$8/2,'I_Budget Input Data'!$D$16*0.6/('I_Inputs &amp; Assumptions'!$B$8/2),'I_Budget Input Data'!$D$16*0.4/('I_Inputs &amp; Assumptions'!$B$8/2)),IF('I_Budget Input Data'!$E$16="Back-loaded",IF(11&lt;='I_Inputs &amp; Assumptions'!$B$8/2,'I_Budget Input Data'!$D$16*0.4/('I_Inputs &amp; Assumptions'!$B$8/2),'I_Budget Input Data'!$D$16*0.6/('I_Inputs &amp; Assumptions'!$B$8/2)),IF('I_Budget Input Data'!$E$16="Mid-weighted",IF(11&lt;='I_Inputs &amp; Assumptions'!$B$8/4,'I_Budget Input Data'!$D$16*0.2/('I_Inputs &amp; Assumptions'!$B$8/4),IF(11&lt;='I_Inputs &amp; Assumptions'!$B$8*0.75,'I_Budget Input Data'!$D$16*0.6/('I_Inputs &amp; Assumptions'!$B$8/2),'I_Budget Input Data'!$D$16*0.2/('I_Inputs &amp; Assumptions'!$B$8/4))),IF('I_Budget Input Data'!$E$16="At Completion",IF(11='I_Inputs &amp; Assumptions'!$B$8,'I_Budget Input Data'!$D$16,0),'I_Budget Input Data'!$D$16/'I_Inputs &amp; Assumptions'!$B$8)))))),0)</f>
        <v>10188.492307692308</v>
      </c>
      <c r="N16" s="91">
        <f>IF(12&lt;='I_Inputs &amp; Assumptions'!$B$8,IF('I_Budget Input Data'!$E$16="Upfront",IF(12=1,'I_Budget Input Data'!$D$16,0),IF('I_Budget Input Data'!$E$16="Equal",'I_Budget Input Data'!$D$16/'I_Inputs &amp; Assumptions'!$B$8,IF('I_Budget Input Data'!$E$16="Front-loaded",IF(12&lt;='I_Inputs &amp; Assumptions'!$B$8/2,'I_Budget Input Data'!$D$16*0.6/('I_Inputs &amp; Assumptions'!$B$8/2),'I_Budget Input Data'!$D$16*0.4/('I_Inputs &amp; Assumptions'!$B$8/2)),IF('I_Budget Input Data'!$E$16="Back-loaded",IF(12&lt;='I_Inputs &amp; Assumptions'!$B$8/2,'I_Budget Input Data'!$D$16*0.4/('I_Inputs &amp; Assumptions'!$B$8/2),'I_Budget Input Data'!$D$16*0.6/('I_Inputs &amp; Assumptions'!$B$8/2)),IF('I_Budget Input Data'!$E$16="Mid-weighted",IF(12&lt;='I_Inputs &amp; Assumptions'!$B$8/4,'I_Budget Input Data'!$D$16*0.2/('I_Inputs &amp; Assumptions'!$B$8/4),IF(12&lt;='I_Inputs &amp; Assumptions'!$B$8*0.75,'I_Budget Input Data'!$D$16*0.6/('I_Inputs &amp; Assumptions'!$B$8/2),'I_Budget Input Data'!$D$16*0.2/('I_Inputs &amp; Assumptions'!$B$8/4))),IF('I_Budget Input Data'!$E$16="At Completion",IF(12='I_Inputs &amp; Assumptions'!$B$8,'I_Budget Input Data'!$D$16,0),'I_Budget Input Data'!$D$16/'I_Inputs &amp; Assumptions'!$B$8)))))),0)</f>
        <v>10188.492307692308</v>
      </c>
      <c r="O16" s="91">
        <f>IF(13&lt;='I_Inputs &amp; Assumptions'!$B$8,IF('I_Budget Input Data'!$E$16="Upfront",IF(13=1,'I_Budget Input Data'!$D$16,0),IF('I_Budget Input Data'!$E$16="Equal",'I_Budget Input Data'!$D$16/'I_Inputs &amp; Assumptions'!$B$8,IF('I_Budget Input Data'!$E$16="Front-loaded",IF(13&lt;='I_Inputs &amp; Assumptions'!$B$8/2,'I_Budget Input Data'!$D$16*0.6/('I_Inputs &amp; Assumptions'!$B$8/2),'I_Budget Input Data'!$D$16*0.4/('I_Inputs &amp; Assumptions'!$B$8/2)),IF('I_Budget Input Data'!$E$16="Back-loaded",IF(13&lt;='I_Inputs &amp; Assumptions'!$B$8/2,'I_Budget Input Data'!$D$16*0.4/('I_Inputs &amp; Assumptions'!$B$8/2),'I_Budget Input Data'!$D$16*0.6/('I_Inputs &amp; Assumptions'!$B$8/2)),IF('I_Budget Input Data'!$E$16="Mid-weighted",IF(13&lt;='I_Inputs &amp; Assumptions'!$B$8/4,'I_Budget Input Data'!$D$16*0.2/('I_Inputs &amp; Assumptions'!$B$8/4),IF(13&lt;='I_Inputs &amp; Assumptions'!$B$8*0.75,'I_Budget Input Data'!$D$16*0.6/('I_Inputs &amp; Assumptions'!$B$8/2),'I_Budget Input Data'!$D$16*0.2/('I_Inputs &amp; Assumptions'!$B$8/4))),IF('I_Budget Input Data'!$E$16="At Completion",IF(13='I_Inputs &amp; Assumptions'!$B$8,'I_Budget Input Data'!$D$16,0),'I_Budget Input Data'!$D$16/'I_Inputs &amp; Assumptions'!$B$8)))))),0)</f>
        <v>10188.492307692308</v>
      </c>
      <c r="P16" s="91">
        <f>IF(14&lt;='I_Inputs &amp; Assumptions'!$B$8,IF('I_Budget Input Data'!$E$16="Upfront",IF(14=1,'I_Budget Input Data'!$D$16,0),IF('I_Budget Input Data'!$E$16="Equal",'I_Budget Input Data'!$D$16/'I_Inputs &amp; Assumptions'!$B$8,IF('I_Budget Input Data'!$E$16="Front-loaded",IF(14&lt;='I_Inputs &amp; Assumptions'!$B$8/2,'I_Budget Input Data'!$D$16*0.6/('I_Inputs &amp; Assumptions'!$B$8/2),'I_Budget Input Data'!$D$16*0.4/('I_Inputs &amp; Assumptions'!$B$8/2)),IF('I_Budget Input Data'!$E$16="Back-loaded",IF(14&lt;='I_Inputs &amp; Assumptions'!$B$8/2,'I_Budget Input Data'!$D$16*0.4/('I_Inputs &amp; Assumptions'!$B$8/2),'I_Budget Input Data'!$D$16*0.6/('I_Inputs &amp; Assumptions'!$B$8/2)),IF('I_Budget Input Data'!$E$16="Mid-weighted",IF(14&lt;='I_Inputs &amp; Assumptions'!$B$8/4,'I_Budget Input Data'!$D$16*0.2/('I_Inputs &amp; Assumptions'!$B$8/4),IF(14&lt;='I_Inputs &amp; Assumptions'!$B$8*0.75,'I_Budget Input Data'!$D$16*0.6/('I_Inputs &amp; Assumptions'!$B$8/2),'I_Budget Input Data'!$D$16*0.2/('I_Inputs &amp; Assumptions'!$B$8/4))),IF('I_Budget Input Data'!$E$16="At Completion",IF(14='I_Inputs &amp; Assumptions'!$B$8,'I_Budget Input Data'!$D$16,0),'I_Budget Input Data'!$D$16/'I_Inputs &amp; Assumptions'!$B$8)))))),0)</f>
        <v>0</v>
      </c>
      <c r="Q16" s="91">
        <f>IF(15&lt;='I_Inputs &amp; Assumptions'!$B$8,IF('I_Budget Input Data'!$E$16="Upfront",IF(15=1,'I_Budget Input Data'!$D$16,0),IF('I_Budget Input Data'!$E$16="Equal",'I_Budget Input Data'!$D$16/'I_Inputs &amp; Assumptions'!$B$8,IF('I_Budget Input Data'!$E$16="Front-loaded",IF(15&lt;='I_Inputs &amp; Assumptions'!$B$8/2,'I_Budget Input Data'!$D$16*0.6/('I_Inputs &amp; Assumptions'!$B$8/2),'I_Budget Input Data'!$D$16*0.4/('I_Inputs &amp; Assumptions'!$B$8/2)),IF('I_Budget Input Data'!$E$16="Back-loaded",IF(15&lt;='I_Inputs &amp; Assumptions'!$B$8/2,'I_Budget Input Data'!$D$16*0.4/('I_Inputs &amp; Assumptions'!$B$8/2),'I_Budget Input Data'!$D$16*0.6/('I_Inputs &amp; Assumptions'!$B$8/2)),IF('I_Budget Input Data'!$E$16="Mid-weighted",IF(15&lt;='I_Inputs &amp; Assumptions'!$B$8/4,'I_Budget Input Data'!$D$16*0.2/('I_Inputs &amp; Assumptions'!$B$8/4),IF(15&lt;='I_Inputs &amp; Assumptions'!$B$8*0.75,'I_Budget Input Data'!$D$16*0.6/('I_Inputs &amp; Assumptions'!$B$8/2),'I_Budget Input Data'!$D$16*0.2/('I_Inputs &amp; Assumptions'!$B$8/4))),IF('I_Budget Input Data'!$E$16="At Completion",IF(15='I_Inputs &amp; Assumptions'!$B$8,'I_Budget Input Data'!$D$16,0),'I_Budget Input Data'!$D$16/'I_Inputs &amp; Assumptions'!$B$8)))))),0)</f>
        <v>0</v>
      </c>
      <c r="R16" s="91">
        <f>IF(16&lt;='I_Inputs &amp; Assumptions'!$B$8,IF('I_Budget Input Data'!$E$16="Upfront",IF(16=1,'I_Budget Input Data'!$D$16,0),IF('I_Budget Input Data'!$E$16="Equal",'I_Budget Input Data'!$D$16/'I_Inputs &amp; Assumptions'!$B$8,IF('I_Budget Input Data'!$E$16="Front-loaded",IF(16&lt;='I_Inputs &amp; Assumptions'!$B$8/2,'I_Budget Input Data'!$D$16*0.6/('I_Inputs &amp; Assumptions'!$B$8/2),'I_Budget Input Data'!$D$16*0.4/('I_Inputs &amp; Assumptions'!$B$8/2)),IF('I_Budget Input Data'!$E$16="Back-loaded",IF(16&lt;='I_Inputs &amp; Assumptions'!$B$8/2,'I_Budget Input Data'!$D$16*0.4/('I_Inputs &amp; Assumptions'!$B$8/2),'I_Budget Input Data'!$D$16*0.6/('I_Inputs &amp; Assumptions'!$B$8/2)),IF('I_Budget Input Data'!$E$16="Mid-weighted",IF(16&lt;='I_Inputs &amp; Assumptions'!$B$8/4,'I_Budget Input Data'!$D$16*0.2/('I_Inputs &amp; Assumptions'!$B$8/4),IF(16&lt;='I_Inputs &amp; Assumptions'!$B$8*0.75,'I_Budget Input Data'!$D$16*0.6/('I_Inputs &amp; Assumptions'!$B$8/2),'I_Budget Input Data'!$D$16*0.2/('I_Inputs &amp; Assumptions'!$B$8/4))),IF('I_Budget Input Data'!$E$16="At Completion",IF(16='I_Inputs &amp; Assumptions'!$B$8,'I_Budget Input Data'!$D$16,0),'I_Budget Input Data'!$D$16/'I_Inputs &amp; Assumptions'!$B$8)))))),0)</f>
        <v>0</v>
      </c>
      <c r="S16" s="91">
        <f>IF(17&lt;='I_Inputs &amp; Assumptions'!$B$8,IF('I_Budget Input Data'!$E$16="Upfront",IF(17=1,'I_Budget Input Data'!$D$16,0),IF('I_Budget Input Data'!$E$16="Equal",'I_Budget Input Data'!$D$16/'I_Inputs &amp; Assumptions'!$B$8,IF('I_Budget Input Data'!$E$16="Front-loaded",IF(17&lt;='I_Inputs &amp; Assumptions'!$B$8/2,'I_Budget Input Data'!$D$16*0.6/('I_Inputs &amp; Assumptions'!$B$8/2),'I_Budget Input Data'!$D$16*0.4/('I_Inputs &amp; Assumptions'!$B$8/2)),IF('I_Budget Input Data'!$E$16="Back-loaded",IF(17&lt;='I_Inputs &amp; Assumptions'!$B$8/2,'I_Budget Input Data'!$D$16*0.4/('I_Inputs &amp; Assumptions'!$B$8/2),'I_Budget Input Data'!$D$16*0.6/('I_Inputs &amp; Assumptions'!$B$8/2)),IF('I_Budget Input Data'!$E$16="Mid-weighted",IF(17&lt;='I_Inputs &amp; Assumptions'!$B$8/4,'I_Budget Input Data'!$D$16*0.2/('I_Inputs &amp; Assumptions'!$B$8/4),IF(17&lt;='I_Inputs &amp; Assumptions'!$B$8*0.75,'I_Budget Input Data'!$D$16*0.6/('I_Inputs &amp; Assumptions'!$B$8/2),'I_Budget Input Data'!$D$16*0.2/('I_Inputs &amp; Assumptions'!$B$8/4))),IF('I_Budget Input Data'!$E$16="At Completion",IF(17='I_Inputs &amp; Assumptions'!$B$8,'I_Budget Input Data'!$D$16,0),'I_Budget Input Data'!$D$16/'I_Inputs &amp; Assumptions'!$B$8)))))),0)</f>
        <v>0</v>
      </c>
      <c r="T16" s="91">
        <f>IF(18&lt;='I_Inputs &amp; Assumptions'!$B$8,IF('I_Budget Input Data'!$E$16="Upfront",IF(18=1,'I_Budget Input Data'!$D$16,0),IF('I_Budget Input Data'!$E$16="Equal",'I_Budget Input Data'!$D$16/'I_Inputs &amp; Assumptions'!$B$8,IF('I_Budget Input Data'!$E$16="Front-loaded",IF(18&lt;='I_Inputs &amp; Assumptions'!$B$8/2,'I_Budget Input Data'!$D$16*0.6/('I_Inputs &amp; Assumptions'!$B$8/2),'I_Budget Input Data'!$D$16*0.4/('I_Inputs &amp; Assumptions'!$B$8/2)),IF('I_Budget Input Data'!$E$16="Back-loaded",IF(18&lt;='I_Inputs &amp; Assumptions'!$B$8/2,'I_Budget Input Data'!$D$16*0.4/('I_Inputs &amp; Assumptions'!$B$8/2),'I_Budget Input Data'!$D$16*0.6/('I_Inputs &amp; Assumptions'!$B$8/2)),IF('I_Budget Input Data'!$E$16="Mid-weighted",IF(18&lt;='I_Inputs &amp; Assumptions'!$B$8/4,'I_Budget Input Data'!$D$16*0.2/('I_Inputs &amp; Assumptions'!$B$8/4),IF(18&lt;='I_Inputs &amp; Assumptions'!$B$8*0.75,'I_Budget Input Data'!$D$16*0.6/('I_Inputs &amp; Assumptions'!$B$8/2),'I_Budget Input Data'!$D$16*0.2/('I_Inputs &amp; Assumptions'!$B$8/4))),IF('I_Budget Input Data'!$E$16="At Completion",IF(18='I_Inputs &amp; Assumptions'!$B$8,'I_Budget Input Data'!$D$16,0),'I_Budget Input Data'!$D$16/'I_Inputs &amp; Assumptions'!$B$8)))))),0)</f>
        <v>0</v>
      </c>
      <c r="U16" s="91">
        <f>IF(19&lt;='I_Inputs &amp; Assumptions'!$B$8,IF('I_Budget Input Data'!$E$16="Upfront",IF(19=1,'I_Budget Input Data'!$D$16,0),IF('I_Budget Input Data'!$E$16="Equal",'I_Budget Input Data'!$D$16/'I_Inputs &amp; Assumptions'!$B$8,IF('I_Budget Input Data'!$E$16="Front-loaded",IF(19&lt;='I_Inputs &amp; Assumptions'!$B$8/2,'I_Budget Input Data'!$D$16*0.6/('I_Inputs &amp; Assumptions'!$B$8/2),'I_Budget Input Data'!$D$16*0.4/('I_Inputs &amp; Assumptions'!$B$8/2)),IF('I_Budget Input Data'!$E$16="Back-loaded",IF(19&lt;='I_Inputs &amp; Assumptions'!$B$8/2,'I_Budget Input Data'!$D$16*0.4/('I_Inputs &amp; Assumptions'!$B$8/2),'I_Budget Input Data'!$D$16*0.6/('I_Inputs &amp; Assumptions'!$B$8/2)),IF('I_Budget Input Data'!$E$16="Mid-weighted",IF(19&lt;='I_Inputs &amp; Assumptions'!$B$8/4,'I_Budget Input Data'!$D$16*0.2/('I_Inputs &amp; Assumptions'!$B$8/4),IF(19&lt;='I_Inputs &amp; Assumptions'!$B$8*0.75,'I_Budget Input Data'!$D$16*0.6/('I_Inputs &amp; Assumptions'!$B$8/2),'I_Budget Input Data'!$D$16*0.2/('I_Inputs &amp; Assumptions'!$B$8/4))),IF('I_Budget Input Data'!$E$16="At Completion",IF(19='I_Inputs &amp; Assumptions'!$B$8,'I_Budget Input Data'!$D$16,0),'I_Budget Input Data'!$D$16/'I_Inputs &amp; Assumptions'!$B$8)))))),0)</f>
        <v>0</v>
      </c>
      <c r="V16" s="91">
        <f>IF(20&lt;='I_Inputs &amp; Assumptions'!$B$8,IF('I_Budget Input Data'!$E$16="Upfront",IF(20=1,'I_Budget Input Data'!$D$16,0),IF('I_Budget Input Data'!$E$16="Equal",'I_Budget Input Data'!$D$16/'I_Inputs &amp; Assumptions'!$B$8,IF('I_Budget Input Data'!$E$16="Front-loaded",IF(20&lt;='I_Inputs &amp; Assumptions'!$B$8/2,'I_Budget Input Data'!$D$16*0.6/('I_Inputs &amp; Assumptions'!$B$8/2),'I_Budget Input Data'!$D$16*0.4/('I_Inputs &amp; Assumptions'!$B$8/2)),IF('I_Budget Input Data'!$E$16="Back-loaded",IF(20&lt;='I_Inputs &amp; Assumptions'!$B$8/2,'I_Budget Input Data'!$D$16*0.4/('I_Inputs &amp; Assumptions'!$B$8/2),'I_Budget Input Data'!$D$16*0.6/('I_Inputs &amp; Assumptions'!$B$8/2)),IF('I_Budget Input Data'!$E$16="Mid-weighted",IF(20&lt;='I_Inputs &amp; Assumptions'!$B$8/4,'I_Budget Input Data'!$D$16*0.2/('I_Inputs &amp; Assumptions'!$B$8/4),IF(20&lt;='I_Inputs &amp; Assumptions'!$B$8*0.75,'I_Budget Input Data'!$D$16*0.6/('I_Inputs &amp; Assumptions'!$B$8/2),'I_Budget Input Data'!$D$16*0.2/('I_Inputs &amp; Assumptions'!$B$8/4))),IF('I_Budget Input Data'!$E$16="At Completion",IF(20='I_Inputs &amp; Assumptions'!$B$8,'I_Budget Input Data'!$D$16,0),'I_Budget Input Data'!$D$16/'I_Inputs &amp; Assumptions'!$B$8)))))),0)</f>
        <v>0</v>
      </c>
      <c r="W16" s="91">
        <f>IF(21&lt;='I_Inputs &amp; Assumptions'!$B$8,IF('I_Budget Input Data'!$E$16="Upfront",IF(21=1,'I_Budget Input Data'!$D$16,0),IF('I_Budget Input Data'!$E$16="Equal",'I_Budget Input Data'!$D$16/'I_Inputs &amp; Assumptions'!$B$8,IF('I_Budget Input Data'!$E$16="Front-loaded",IF(21&lt;='I_Inputs &amp; Assumptions'!$B$8/2,'I_Budget Input Data'!$D$16*0.6/('I_Inputs &amp; Assumptions'!$B$8/2),'I_Budget Input Data'!$D$16*0.4/('I_Inputs &amp; Assumptions'!$B$8/2)),IF('I_Budget Input Data'!$E$16="Back-loaded",IF(21&lt;='I_Inputs &amp; Assumptions'!$B$8/2,'I_Budget Input Data'!$D$16*0.4/('I_Inputs &amp; Assumptions'!$B$8/2),'I_Budget Input Data'!$D$16*0.6/('I_Inputs &amp; Assumptions'!$B$8/2)),IF('I_Budget Input Data'!$E$16="Mid-weighted",IF(21&lt;='I_Inputs &amp; Assumptions'!$B$8/4,'I_Budget Input Data'!$D$16*0.2/('I_Inputs &amp; Assumptions'!$B$8/4),IF(21&lt;='I_Inputs &amp; Assumptions'!$B$8*0.75,'I_Budget Input Data'!$D$16*0.6/('I_Inputs &amp; Assumptions'!$B$8/2),'I_Budget Input Data'!$D$16*0.2/('I_Inputs &amp; Assumptions'!$B$8/4))),IF('I_Budget Input Data'!$E$16="At Completion",IF(21='I_Inputs &amp; Assumptions'!$B$8,'I_Budget Input Data'!$D$16,0),'I_Budget Input Data'!$D$16/'I_Inputs &amp; Assumptions'!$B$8)))))),0)</f>
        <v>0</v>
      </c>
      <c r="X16" s="91">
        <f>IF(22&lt;='I_Inputs &amp; Assumptions'!$B$8,IF('I_Budget Input Data'!$E$16="Upfront",IF(22=1,'I_Budget Input Data'!$D$16,0),IF('I_Budget Input Data'!$E$16="Equal",'I_Budget Input Data'!$D$16/'I_Inputs &amp; Assumptions'!$B$8,IF('I_Budget Input Data'!$E$16="Front-loaded",IF(22&lt;='I_Inputs &amp; Assumptions'!$B$8/2,'I_Budget Input Data'!$D$16*0.6/('I_Inputs &amp; Assumptions'!$B$8/2),'I_Budget Input Data'!$D$16*0.4/('I_Inputs &amp; Assumptions'!$B$8/2)),IF('I_Budget Input Data'!$E$16="Back-loaded",IF(22&lt;='I_Inputs &amp; Assumptions'!$B$8/2,'I_Budget Input Data'!$D$16*0.4/('I_Inputs &amp; Assumptions'!$B$8/2),'I_Budget Input Data'!$D$16*0.6/('I_Inputs &amp; Assumptions'!$B$8/2)),IF('I_Budget Input Data'!$E$16="Mid-weighted",IF(22&lt;='I_Inputs &amp; Assumptions'!$B$8/4,'I_Budget Input Data'!$D$16*0.2/('I_Inputs &amp; Assumptions'!$B$8/4),IF(22&lt;='I_Inputs &amp; Assumptions'!$B$8*0.75,'I_Budget Input Data'!$D$16*0.6/('I_Inputs &amp; Assumptions'!$B$8/2),'I_Budget Input Data'!$D$16*0.2/('I_Inputs &amp; Assumptions'!$B$8/4))),IF('I_Budget Input Data'!$E$16="At Completion",IF(22='I_Inputs &amp; Assumptions'!$B$8,'I_Budget Input Data'!$D$16,0),'I_Budget Input Data'!$D$16/'I_Inputs &amp; Assumptions'!$B$8)))))),0)</f>
        <v>0</v>
      </c>
      <c r="Y16" s="91">
        <f>IF(23&lt;='I_Inputs &amp; Assumptions'!$B$8,IF('I_Budget Input Data'!$E$16="Upfront",IF(23=1,'I_Budget Input Data'!$D$16,0),IF('I_Budget Input Data'!$E$16="Equal",'I_Budget Input Data'!$D$16/'I_Inputs &amp; Assumptions'!$B$8,IF('I_Budget Input Data'!$E$16="Front-loaded",IF(23&lt;='I_Inputs &amp; Assumptions'!$B$8/2,'I_Budget Input Data'!$D$16*0.6/('I_Inputs &amp; Assumptions'!$B$8/2),'I_Budget Input Data'!$D$16*0.4/('I_Inputs &amp; Assumptions'!$B$8/2)),IF('I_Budget Input Data'!$E$16="Back-loaded",IF(23&lt;='I_Inputs &amp; Assumptions'!$B$8/2,'I_Budget Input Data'!$D$16*0.4/('I_Inputs &amp; Assumptions'!$B$8/2),'I_Budget Input Data'!$D$16*0.6/('I_Inputs &amp; Assumptions'!$B$8/2)),IF('I_Budget Input Data'!$E$16="Mid-weighted",IF(23&lt;='I_Inputs &amp; Assumptions'!$B$8/4,'I_Budget Input Data'!$D$16*0.2/('I_Inputs &amp; Assumptions'!$B$8/4),IF(23&lt;='I_Inputs &amp; Assumptions'!$B$8*0.75,'I_Budget Input Data'!$D$16*0.6/('I_Inputs &amp; Assumptions'!$B$8/2),'I_Budget Input Data'!$D$16*0.2/('I_Inputs &amp; Assumptions'!$B$8/4))),IF('I_Budget Input Data'!$E$16="At Completion",IF(23='I_Inputs &amp; Assumptions'!$B$8,'I_Budget Input Data'!$D$16,0),'I_Budget Input Data'!$D$16/'I_Inputs &amp; Assumptions'!$B$8)))))),0)</f>
        <v>0</v>
      </c>
      <c r="Z16" s="91">
        <f>IF(24&lt;='I_Inputs &amp; Assumptions'!$B$8,IF('I_Budget Input Data'!$E$16="Upfront",IF(24=1,'I_Budget Input Data'!$D$16,0),IF('I_Budget Input Data'!$E$16="Equal",'I_Budget Input Data'!$D$16/'I_Inputs &amp; Assumptions'!$B$8,IF('I_Budget Input Data'!$E$16="Front-loaded",IF(24&lt;='I_Inputs &amp; Assumptions'!$B$8/2,'I_Budget Input Data'!$D$16*0.6/('I_Inputs &amp; Assumptions'!$B$8/2),'I_Budget Input Data'!$D$16*0.4/('I_Inputs &amp; Assumptions'!$B$8/2)),IF('I_Budget Input Data'!$E$16="Back-loaded",IF(24&lt;='I_Inputs &amp; Assumptions'!$B$8/2,'I_Budget Input Data'!$D$16*0.4/('I_Inputs &amp; Assumptions'!$B$8/2),'I_Budget Input Data'!$D$16*0.6/('I_Inputs &amp; Assumptions'!$B$8/2)),IF('I_Budget Input Data'!$E$16="Mid-weighted",IF(24&lt;='I_Inputs &amp; Assumptions'!$B$8/4,'I_Budget Input Data'!$D$16*0.2/('I_Inputs &amp; Assumptions'!$B$8/4),IF(24&lt;='I_Inputs &amp; Assumptions'!$B$8*0.75,'I_Budget Input Data'!$D$16*0.6/('I_Inputs &amp; Assumptions'!$B$8/2),'I_Budget Input Data'!$D$16*0.2/('I_Inputs &amp; Assumptions'!$B$8/4))),IF('I_Budget Input Data'!$E$16="At Completion",IF(24='I_Inputs &amp; Assumptions'!$B$8,'I_Budget Input Data'!$D$16,0),'I_Budget Input Data'!$D$16/'I_Inputs &amp; Assumptions'!$B$8)))))),0)</f>
        <v>0</v>
      </c>
      <c r="AA16" s="91">
        <f>IF(25&lt;='I_Inputs &amp; Assumptions'!$B$8,IF('I_Budget Input Data'!$E$16="Upfront",IF(25=1,'I_Budget Input Data'!$D$16,0),IF('I_Budget Input Data'!$E$16="Equal",'I_Budget Input Data'!$D$16/'I_Inputs &amp; Assumptions'!$B$8,IF('I_Budget Input Data'!$E$16="Front-loaded",IF(25&lt;='I_Inputs &amp; Assumptions'!$B$8/2,'I_Budget Input Data'!$D$16*0.6/('I_Inputs &amp; Assumptions'!$B$8/2),'I_Budget Input Data'!$D$16*0.4/('I_Inputs &amp; Assumptions'!$B$8/2)),IF('I_Budget Input Data'!$E$16="Back-loaded",IF(25&lt;='I_Inputs &amp; Assumptions'!$B$8/2,'I_Budget Input Data'!$D$16*0.4/('I_Inputs &amp; Assumptions'!$B$8/2),'I_Budget Input Data'!$D$16*0.6/('I_Inputs &amp; Assumptions'!$B$8/2)),IF('I_Budget Input Data'!$E$16="Mid-weighted",IF(25&lt;='I_Inputs &amp; Assumptions'!$B$8/4,'I_Budget Input Data'!$D$16*0.2/('I_Inputs &amp; Assumptions'!$B$8/4),IF(25&lt;='I_Inputs &amp; Assumptions'!$B$8*0.75,'I_Budget Input Data'!$D$16*0.6/('I_Inputs &amp; Assumptions'!$B$8/2),'I_Budget Input Data'!$D$16*0.2/('I_Inputs &amp; Assumptions'!$B$8/4))),IF('I_Budget Input Data'!$E$16="At Completion",IF(25='I_Inputs &amp; Assumptions'!$B$8,'I_Budget Input Data'!$D$16,0),'I_Budget Input Data'!$D$16/'I_Inputs &amp; Assumptions'!$B$8)))))),0)</f>
        <v>0</v>
      </c>
      <c r="AB16" s="91">
        <f>IF(26&lt;='I_Inputs &amp; Assumptions'!$B$8,IF('I_Budget Input Data'!$E$16="Upfront",IF(26=1,'I_Budget Input Data'!$D$16,0),IF('I_Budget Input Data'!$E$16="Equal",'I_Budget Input Data'!$D$16/'I_Inputs &amp; Assumptions'!$B$8,IF('I_Budget Input Data'!$E$16="Front-loaded",IF(26&lt;='I_Inputs &amp; Assumptions'!$B$8/2,'I_Budget Input Data'!$D$16*0.6/('I_Inputs &amp; Assumptions'!$B$8/2),'I_Budget Input Data'!$D$16*0.4/('I_Inputs &amp; Assumptions'!$B$8/2)),IF('I_Budget Input Data'!$E$16="Back-loaded",IF(26&lt;='I_Inputs &amp; Assumptions'!$B$8/2,'I_Budget Input Data'!$D$16*0.4/('I_Inputs &amp; Assumptions'!$B$8/2),'I_Budget Input Data'!$D$16*0.6/('I_Inputs &amp; Assumptions'!$B$8/2)),IF('I_Budget Input Data'!$E$16="Mid-weighted",IF(26&lt;='I_Inputs &amp; Assumptions'!$B$8/4,'I_Budget Input Data'!$D$16*0.2/('I_Inputs &amp; Assumptions'!$B$8/4),IF(26&lt;='I_Inputs &amp; Assumptions'!$B$8*0.75,'I_Budget Input Data'!$D$16*0.6/('I_Inputs &amp; Assumptions'!$B$8/2),'I_Budget Input Data'!$D$16*0.2/('I_Inputs &amp; Assumptions'!$B$8/4))),IF('I_Budget Input Data'!$E$16="At Completion",IF(26='I_Inputs &amp; Assumptions'!$B$8,'I_Budget Input Data'!$D$16,0),'I_Budget Input Data'!$D$16/'I_Inputs &amp; Assumptions'!$B$8)))))),0)</f>
        <v>0</v>
      </c>
      <c r="AC16" s="91">
        <f>IF(27&lt;='I_Inputs &amp; Assumptions'!$B$8,IF('I_Budget Input Data'!$E$16="Upfront",IF(27=1,'I_Budget Input Data'!$D$16,0),IF('I_Budget Input Data'!$E$16="Equal",'I_Budget Input Data'!$D$16/'I_Inputs &amp; Assumptions'!$B$8,IF('I_Budget Input Data'!$E$16="Front-loaded",IF(27&lt;='I_Inputs &amp; Assumptions'!$B$8/2,'I_Budget Input Data'!$D$16*0.6/('I_Inputs &amp; Assumptions'!$B$8/2),'I_Budget Input Data'!$D$16*0.4/('I_Inputs &amp; Assumptions'!$B$8/2)),IF('I_Budget Input Data'!$E$16="Back-loaded",IF(27&lt;='I_Inputs &amp; Assumptions'!$B$8/2,'I_Budget Input Data'!$D$16*0.4/('I_Inputs &amp; Assumptions'!$B$8/2),'I_Budget Input Data'!$D$16*0.6/('I_Inputs &amp; Assumptions'!$B$8/2)),IF('I_Budget Input Data'!$E$16="Mid-weighted",IF(27&lt;='I_Inputs &amp; Assumptions'!$B$8/4,'I_Budget Input Data'!$D$16*0.2/('I_Inputs &amp; Assumptions'!$B$8/4),IF(27&lt;='I_Inputs &amp; Assumptions'!$B$8*0.75,'I_Budget Input Data'!$D$16*0.6/('I_Inputs &amp; Assumptions'!$B$8/2),'I_Budget Input Data'!$D$16*0.2/('I_Inputs &amp; Assumptions'!$B$8/4))),IF('I_Budget Input Data'!$E$16="At Completion",IF(27='I_Inputs &amp; Assumptions'!$B$8,'I_Budget Input Data'!$D$16,0),'I_Budget Input Data'!$D$16/'I_Inputs &amp; Assumptions'!$B$8)))))),0)</f>
        <v>0</v>
      </c>
      <c r="AD16" s="91">
        <f>IF(28&lt;='I_Inputs &amp; Assumptions'!$B$8,IF('I_Budget Input Data'!$E$16="Upfront",IF(28=1,'I_Budget Input Data'!$D$16,0),IF('I_Budget Input Data'!$E$16="Equal",'I_Budget Input Data'!$D$16/'I_Inputs &amp; Assumptions'!$B$8,IF('I_Budget Input Data'!$E$16="Front-loaded",IF(28&lt;='I_Inputs &amp; Assumptions'!$B$8/2,'I_Budget Input Data'!$D$16*0.6/('I_Inputs &amp; Assumptions'!$B$8/2),'I_Budget Input Data'!$D$16*0.4/('I_Inputs &amp; Assumptions'!$B$8/2)),IF('I_Budget Input Data'!$E$16="Back-loaded",IF(28&lt;='I_Inputs &amp; Assumptions'!$B$8/2,'I_Budget Input Data'!$D$16*0.4/('I_Inputs &amp; Assumptions'!$B$8/2),'I_Budget Input Data'!$D$16*0.6/('I_Inputs &amp; Assumptions'!$B$8/2)),IF('I_Budget Input Data'!$E$16="Mid-weighted",IF(28&lt;='I_Inputs &amp; Assumptions'!$B$8/4,'I_Budget Input Data'!$D$16*0.2/('I_Inputs &amp; Assumptions'!$B$8/4),IF(28&lt;='I_Inputs &amp; Assumptions'!$B$8*0.75,'I_Budget Input Data'!$D$16*0.6/('I_Inputs &amp; Assumptions'!$B$8/2),'I_Budget Input Data'!$D$16*0.2/('I_Inputs &amp; Assumptions'!$B$8/4))),IF('I_Budget Input Data'!$E$16="At Completion",IF(28='I_Inputs &amp; Assumptions'!$B$8,'I_Budget Input Data'!$D$16,0),'I_Budget Input Data'!$D$16/'I_Inputs &amp; Assumptions'!$B$8)))))),0)</f>
        <v>0</v>
      </c>
      <c r="AE16" s="91">
        <f>IF(29&lt;='I_Inputs &amp; Assumptions'!$B$8,IF('I_Budget Input Data'!$E$16="Upfront",IF(29=1,'I_Budget Input Data'!$D$16,0),IF('I_Budget Input Data'!$E$16="Equal",'I_Budget Input Data'!$D$16/'I_Inputs &amp; Assumptions'!$B$8,IF('I_Budget Input Data'!$E$16="Front-loaded",IF(29&lt;='I_Inputs &amp; Assumptions'!$B$8/2,'I_Budget Input Data'!$D$16*0.6/('I_Inputs &amp; Assumptions'!$B$8/2),'I_Budget Input Data'!$D$16*0.4/('I_Inputs &amp; Assumptions'!$B$8/2)),IF('I_Budget Input Data'!$E$16="Back-loaded",IF(29&lt;='I_Inputs &amp; Assumptions'!$B$8/2,'I_Budget Input Data'!$D$16*0.4/('I_Inputs &amp; Assumptions'!$B$8/2),'I_Budget Input Data'!$D$16*0.6/('I_Inputs &amp; Assumptions'!$B$8/2)),IF('I_Budget Input Data'!$E$16="Mid-weighted",IF(29&lt;='I_Inputs &amp; Assumptions'!$B$8/4,'I_Budget Input Data'!$D$16*0.2/('I_Inputs &amp; Assumptions'!$B$8/4),IF(29&lt;='I_Inputs &amp; Assumptions'!$B$8*0.75,'I_Budget Input Data'!$D$16*0.6/('I_Inputs &amp; Assumptions'!$B$8/2),'I_Budget Input Data'!$D$16*0.2/('I_Inputs &amp; Assumptions'!$B$8/4))),IF('I_Budget Input Data'!$E$16="At Completion",IF(29='I_Inputs &amp; Assumptions'!$B$8,'I_Budget Input Data'!$D$16,0),'I_Budget Input Data'!$D$16/'I_Inputs &amp; Assumptions'!$B$8)))))),0)</f>
        <v>0</v>
      </c>
      <c r="AF16" s="91">
        <f>IF(30&lt;='I_Inputs &amp; Assumptions'!$B$8,IF('I_Budget Input Data'!$E$16="Upfront",IF(30=1,'I_Budget Input Data'!$D$16,0),IF('I_Budget Input Data'!$E$16="Equal",'I_Budget Input Data'!$D$16/'I_Inputs &amp; Assumptions'!$B$8,IF('I_Budget Input Data'!$E$16="Front-loaded",IF(30&lt;='I_Inputs &amp; Assumptions'!$B$8/2,'I_Budget Input Data'!$D$16*0.6/('I_Inputs &amp; Assumptions'!$B$8/2),'I_Budget Input Data'!$D$16*0.4/('I_Inputs &amp; Assumptions'!$B$8/2)),IF('I_Budget Input Data'!$E$16="Back-loaded",IF(30&lt;='I_Inputs &amp; Assumptions'!$B$8/2,'I_Budget Input Data'!$D$16*0.4/('I_Inputs &amp; Assumptions'!$B$8/2),'I_Budget Input Data'!$D$16*0.6/('I_Inputs &amp; Assumptions'!$B$8/2)),IF('I_Budget Input Data'!$E$16="Mid-weighted",IF(30&lt;='I_Inputs &amp; Assumptions'!$B$8/4,'I_Budget Input Data'!$D$16*0.2/('I_Inputs &amp; Assumptions'!$B$8/4),IF(30&lt;='I_Inputs &amp; Assumptions'!$B$8*0.75,'I_Budget Input Data'!$D$16*0.6/('I_Inputs &amp; Assumptions'!$B$8/2),'I_Budget Input Data'!$D$16*0.2/('I_Inputs &amp; Assumptions'!$B$8/4))),IF('I_Budget Input Data'!$E$16="At Completion",IF(30='I_Inputs &amp; Assumptions'!$B$8,'I_Budget Input Data'!$D$16,0),'I_Budget Input Data'!$D$16/'I_Inputs &amp; Assumptions'!$B$8)))))),0)</f>
        <v>0</v>
      </c>
      <c r="AG16" s="91">
        <f>IF(31&lt;='I_Inputs &amp; Assumptions'!$B$8,IF('I_Budget Input Data'!$E$16="Upfront",IF(31=1,'I_Budget Input Data'!$D$16,0),IF('I_Budget Input Data'!$E$16="Equal",'I_Budget Input Data'!$D$16/'I_Inputs &amp; Assumptions'!$B$8,IF('I_Budget Input Data'!$E$16="Front-loaded",IF(31&lt;='I_Inputs &amp; Assumptions'!$B$8/2,'I_Budget Input Data'!$D$16*0.6/('I_Inputs &amp; Assumptions'!$B$8/2),'I_Budget Input Data'!$D$16*0.4/('I_Inputs &amp; Assumptions'!$B$8/2)),IF('I_Budget Input Data'!$E$16="Back-loaded",IF(31&lt;='I_Inputs &amp; Assumptions'!$B$8/2,'I_Budget Input Data'!$D$16*0.4/('I_Inputs &amp; Assumptions'!$B$8/2),'I_Budget Input Data'!$D$16*0.6/('I_Inputs &amp; Assumptions'!$B$8/2)),IF('I_Budget Input Data'!$E$16="Mid-weighted",IF(31&lt;='I_Inputs &amp; Assumptions'!$B$8/4,'I_Budget Input Data'!$D$16*0.2/('I_Inputs &amp; Assumptions'!$B$8/4),IF(31&lt;='I_Inputs &amp; Assumptions'!$B$8*0.75,'I_Budget Input Data'!$D$16*0.6/('I_Inputs &amp; Assumptions'!$B$8/2),'I_Budget Input Data'!$D$16*0.2/('I_Inputs &amp; Assumptions'!$B$8/4))),IF('I_Budget Input Data'!$E$16="At Completion",IF(31='I_Inputs &amp; Assumptions'!$B$8,'I_Budget Input Data'!$D$16,0),'I_Budget Input Data'!$D$16/'I_Inputs &amp; Assumptions'!$B$8)))))),0)</f>
        <v>0</v>
      </c>
      <c r="AH16" s="91">
        <f>IF(32&lt;='I_Inputs &amp; Assumptions'!$B$8,IF('I_Budget Input Data'!$E$16="Upfront",IF(32=1,'I_Budget Input Data'!$D$16,0),IF('I_Budget Input Data'!$E$16="Equal",'I_Budget Input Data'!$D$16/'I_Inputs &amp; Assumptions'!$B$8,IF('I_Budget Input Data'!$E$16="Front-loaded",IF(32&lt;='I_Inputs &amp; Assumptions'!$B$8/2,'I_Budget Input Data'!$D$16*0.6/('I_Inputs &amp; Assumptions'!$B$8/2),'I_Budget Input Data'!$D$16*0.4/('I_Inputs &amp; Assumptions'!$B$8/2)),IF('I_Budget Input Data'!$E$16="Back-loaded",IF(32&lt;='I_Inputs &amp; Assumptions'!$B$8/2,'I_Budget Input Data'!$D$16*0.4/('I_Inputs &amp; Assumptions'!$B$8/2),'I_Budget Input Data'!$D$16*0.6/('I_Inputs &amp; Assumptions'!$B$8/2)),IF('I_Budget Input Data'!$E$16="Mid-weighted",IF(32&lt;='I_Inputs &amp; Assumptions'!$B$8/4,'I_Budget Input Data'!$D$16*0.2/('I_Inputs &amp; Assumptions'!$B$8/4),IF(32&lt;='I_Inputs &amp; Assumptions'!$B$8*0.75,'I_Budget Input Data'!$D$16*0.6/('I_Inputs &amp; Assumptions'!$B$8/2),'I_Budget Input Data'!$D$16*0.2/('I_Inputs &amp; Assumptions'!$B$8/4))),IF('I_Budget Input Data'!$E$16="At Completion",IF(32='I_Inputs &amp; Assumptions'!$B$8,'I_Budget Input Data'!$D$16,0),'I_Budget Input Data'!$D$16/'I_Inputs &amp; Assumptions'!$B$8)))))),0)</f>
        <v>0</v>
      </c>
      <c r="AI16" s="91">
        <f>IF(33&lt;='I_Inputs &amp; Assumptions'!$B$8,IF('I_Budget Input Data'!$E$16="Upfront",IF(33=1,'I_Budget Input Data'!$D$16,0),IF('I_Budget Input Data'!$E$16="Equal",'I_Budget Input Data'!$D$16/'I_Inputs &amp; Assumptions'!$B$8,IF('I_Budget Input Data'!$E$16="Front-loaded",IF(33&lt;='I_Inputs &amp; Assumptions'!$B$8/2,'I_Budget Input Data'!$D$16*0.6/('I_Inputs &amp; Assumptions'!$B$8/2),'I_Budget Input Data'!$D$16*0.4/('I_Inputs &amp; Assumptions'!$B$8/2)),IF('I_Budget Input Data'!$E$16="Back-loaded",IF(33&lt;='I_Inputs &amp; Assumptions'!$B$8/2,'I_Budget Input Data'!$D$16*0.4/('I_Inputs &amp; Assumptions'!$B$8/2),'I_Budget Input Data'!$D$16*0.6/('I_Inputs &amp; Assumptions'!$B$8/2)),IF('I_Budget Input Data'!$E$16="Mid-weighted",IF(33&lt;='I_Inputs &amp; Assumptions'!$B$8/4,'I_Budget Input Data'!$D$16*0.2/('I_Inputs &amp; Assumptions'!$B$8/4),IF(33&lt;='I_Inputs &amp; Assumptions'!$B$8*0.75,'I_Budget Input Data'!$D$16*0.6/('I_Inputs &amp; Assumptions'!$B$8/2),'I_Budget Input Data'!$D$16*0.2/('I_Inputs &amp; Assumptions'!$B$8/4))),IF('I_Budget Input Data'!$E$16="At Completion",IF(33='I_Inputs &amp; Assumptions'!$B$8,'I_Budget Input Data'!$D$16,0),'I_Budget Input Data'!$D$16/'I_Inputs &amp; Assumptions'!$B$8)))))),0)</f>
        <v>0</v>
      </c>
      <c r="AJ16" s="91">
        <f>IF(34&lt;='I_Inputs &amp; Assumptions'!$B$8,IF('I_Budget Input Data'!$E$16="Upfront",IF(34=1,'I_Budget Input Data'!$D$16,0),IF('I_Budget Input Data'!$E$16="Equal",'I_Budget Input Data'!$D$16/'I_Inputs &amp; Assumptions'!$B$8,IF('I_Budget Input Data'!$E$16="Front-loaded",IF(34&lt;='I_Inputs &amp; Assumptions'!$B$8/2,'I_Budget Input Data'!$D$16*0.6/('I_Inputs &amp; Assumptions'!$B$8/2),'I_Budget Input Data'!$D$16*0.4/('I_Inputs &amp; Assumptions'!$B$8/2)),IF('I_Budget Input Data'!$E$16="Back-loaded",IF(34&lt;='I_Inputs &amp; Assumptions'!$B$8/2,'I_Budget Input Data'!$D$16*0.4/('I_Inputs &amp; Assumptions'!$B$8/2),'I_Budget Input Data'!$D$16*0.6/('I_Inputs &amp; Assumptions'!$B$8/2)),IF('I_Budget Input Data'!$E$16="Mid-weighted",IF(34&lt;='I_Inputs &amp; Assumptions'!$B$8/4,'I_Budget Input Data'!$D$16*0.2/('I_Inputs &amp; Assumptions'!$B$8/4),IF(34&lt;='I_Inputs &amp; Assumptions'!$B$8*0.75,'I_Budget Input Data'!$D$16*0.6/('I_Inputs &amp; Assumptions'!$B$8/2),'I_Budget Input Data'!$D$16*0.2/('I_Inputs &amp; Assumptions'!$B$8/4))),IF('I_Budget Input Data'!$E$16="At Completion",IF(34='I_Inputs &amp; Assumptions'!$B$8,'I_Budget Input Data'!$D$16,0),'I_Budget Input Data'!$D$16/'I_Inputs &amp; Assumptions'!$B$8)))))),0)</f>
        <v>0</v>
      </c>
      <c r="AK16" s="91">
        <f>IF(35&lt;='I_Inputs &amp; Assumptions'!$B$8,IF('I_Budget Input Data'!$E$16="Upfront",IF(35=1,'I_Budget Input Data'!$D$16,0),IF('I_Budget Input Data'!$E$16="Equal",'I_Budget Input Data'!$D$16/'I_Inputs &amp; Assumptions'!$B$8,IF('I_Budget Input Data'!$E$16="Front-loaded",IF(35&lt;='I_Inputs &amp; Assumptions'!$B$8/2,'I_Budget Input Data'!$D$16*0.6/('I_Inputs &amp; Assumptions'!$B$8/2),'I_Budget Input Data'!$D$16*0.4/('I_Inputs &amp; Assumptions'!$B$8/2)),IF('I_Budget Input Data'!$E$16="Back-loaded",IF(35&lt;='I_Inputs &amp; Assumptions'!$B$8/2,'I_Budget Input Data'!$D$16*0.4/('I_Inputs &amp; Assumptions'!$B$8/2),'I_Budget Input Data'!$D$16*0.6/('I_Inputs &amp; Assumptions'!$B$8/2)),IF('I_Budget Input Data'!$E$16="Mid-weighted",IF(35&lt;='I_Inputs &amp; Assumptions'!$B$8/4,'I_Budget Input Data'!$D$16*0.2/('I_Inputs &amp; Assumptions'!$B$8/4),IF(35&lt;='I_Inputs &amp; Assumptions'!$B$8*0.75,'I_Budget Input Data'!$D$16*0.6/('I_Inputs &amp; Assumptions'!$B$8/2),'I_Budget Input Data'!$D$16*0.2/('I_Inputs &amp; Assumptions'!$B$8/4))),IF('I_Budget Input Data'!$E$16="At Completion",IF(35='I_Inputs &amp; Assumptions'!$B$8,'I_Budget Input Data'!$D$16,0),'I_Budget Input Data'!$D$16/'I_Inputs &amp; Assumptions'!$B$8)))))),0)</f>
        <v>0</v>
      </c>
      <c r="AL16" s="91">
        <f>IF(36&lt;='I_Inputs &amp; Assumptions'!$B$8,IF('I_Budget Input Data'!$E$16="Upfront",IF(36=1,'I_Budget Input Data'!$D$16,0),IF('I_Budget Input Data'!$E$16="Equal",'I_Budget Input Data'!$D$16/'I_Inputs &amp; Assumptions'!$B$8,IF('I_Budget Input Data'!$E$16="Front-loaded",IF(36&lt;='I_Inputs &amp; Assumptions'!$B$8/2,'I_Budget Input Data'!$D$16*0.6/('I_Inputs &amp; Assumptions'!$B$8/2),'I_Budget Input Data'!$D$16*0.4/('I_Inputs &amp; Assumptions'!$B$8/2)),IF('I_Budget Input Data'!$E$16="Back-loaded",IF(36&lt;='I_Inputs &amp; Assumptions'!$B$8/2,'I_Budget Input Data'!$D$16*0.4/('I_Inputs &amp; Assumptions'!$B$8/2),'I_Budget Input Data'!$D$16*0.6/('I_Inputs &amp; Assumptions'!$B$8/2)),IF('I_Budget Input Data'!$E$16="Mid-weighted",IF(36&lt;='I_Inputs &amp; Assumptions'!$B$8/4,'I_Budget Input Data'!$D$16*0.2/('I_Inputs &amp; Assumptions'!$B$8/4),IF(36&lt;='I_Inputs &amp; Assumptions'!$B$8*0.75,'I_Budget Input Data'!$D$16*0.6/('I_Inputs &amp; Assumptions'!$B$8/2),'I_Budget Input Data'!$D$16*0.2/('I_Inputs &amp; Assumptions'!$B$8/4))),IF('I_Budget Input Data'!$E$16="At Completion",IF(36='I_Inputs &amp; Assumptions'!$B$8,'I_Budget Input Data'!$D$16,0),'I_Budget Input Data'!$D$16/'I_Inputs &amp; Assumptions'!$B$8)))))),0)</f>
        <v>0</v>
      </c>
    </row>
    <row r="17" spans="1:38" ht="15" customHeight="1" x14ac:dyDescent="0.2">
      <c r="A17" t="s">
        <v>136</v>
      </c>
      <c r="B17" t="s">
        <v>142</v>
      </c>
      <c r="C17" s="91">
        <f>IF(1&lt;='I_Inputs &amp; Assumptions'!$B$8,IF('I_Budget Input Data'!$E$17="Upfront",IF(1=1,'I_Budget Input Data'!$D$17,0),IF('I_Budget Input Data'!$E$17="Equal",'I_Budget Input Data'!$D$17/'I_Inputs &amp; Assumptions'!$B$8,IF('I_Budget Input Data'!$E$17="Front-loaded",IF(1&lt;='I_Inputs &amp; Assumptions'!$B$8/2,'I_Budget Input Data'!$D$17*0.6/('I_Inputs &amp; Assumptions'!$B$8/2),'I_Budget Input Data'!$D$17*0.4/('I_Inputs &amp; Assumptions'!$B$8/2)),IF('I_Budget Input Data'!$E$17="Back-loaded",IF(1&lt;='I_Inputs &amp; Assumptions'!$B$8/2,'I_Budget Input Data'!$D$17*0.4/('I_Inputs &amp; Assumptions'!$B$8/2),'I_Budget Input Data'!$D$17*0.6/('I_Inputs &amp; Assumptions'!$B$8/2)),IF('I_Budget Input Data'!$E$17="Mid-weighted",IF(1&lt;='I_Inputs &amp; Assumptions'!$B$8/4,'I_Budget Input Data'!$D$17*0.2/('I_Inputs &amp; Assumptions'!$B$8/4),IF(1&lt;='I_Inputs &amp; Assumptions'!$B$8*0.75,'I_Budget Input Data'!$D$17*0.6/('I_Inputs &amp; Assumptions'!$B$8/2),'I_Budget Input Data'!$D$17*0.2/('I_Inputs &amp; Assumptions'!$B$8/4))),IF('I_Budget Input Data'!$E$17="At Completion",IF(1='I_Inputs &amp; Assumptions'!$B$8,'I_Budget Input Data'!$D$17,0),'I_Budget Input Data'!$D$17/'I_Inputs &amp; Assumptions'!$B$8)))))),0)</f>
        <v>43908.18461538462</v>
      </c>
      <c r="D17" s="91">
        <f>IF(2&lt;='I_Inputs &amp; Assumptions'!$B$8,IF('I_Budget Input Data'!$E$17="Upfront",IF(2=1,'I_Budget Input Data'!$D$17,0),IF('I_Budget Input Data'!$E$17="Equal",'I_Budget Input Data'!$D$17/'I_Inputs &amp; Assumptions'!$B$8,IF('I_Budget Input Data'!$E$17="Front-loaded",IF(2&lt;='I_Inputs &amp; Assumptions'!$B$8/2,'I_Budget Input Data'!$D$17*0.6/('I_Inputs &amp; Assumptions'!$B$8/2),'I_Budget Input Data'!$D$17*0.4/('I_Inputs &amp; Assumptions'!$B$8/2)),IF('I_Budget Input Data'!$E$17="Back-loaded",IF(2&lt;='I_Inputs &amp; Assumptions'!$B$8/2,'I_Budget Input Data'!$D$17*0.4/('I_Inputs &amp; Assumptions'!$B$8/2),'I_Budget Input Data'!$D$17*0.6/('I_Inputs &amp; Assumptions'!$B$8/2)),IF('I_Budget Input Data'!$E$17="Mid-weighted",IF(2&lt;='I_Inputs &amp; Assumptions'!$B$8/4,'I_Budget Input Data'!$D$17*0.2/('I_Inputs &amp; Assumptions'!$B$8/4),IF(2&lt;='I_Inputs &amp; Assumptions'!$B$8*0.75,'I_Budget Input Data'!$D$17*0.6/('I_Inputs &amp; Assumptions'!$B$8/2),'I_Budget Input Data'!$D$17*0.2/('I_Inputs &amp; Assumptions'!$B$8/4))),IF('I_Budget Input Data'!$E$17="At Completion",IF(2='I_Inputs &amp; Assumptions'!$B$8,'I_Budget Input Data'!$D$17,0),'I_Budget Input Data'!$D$17/'I_Inputs &amp; Assumptions'!$B$8)))))),0)</f>
        <v>43908.18461538462</v>
      </c>
      <c r="E17" s="91">
        <f>IF(3&lt;='I_Inputs &amp; Assumptions'!$B$8,IF('I_Budget Input Data'!$E$17="Upfront",IF(3=1,'I_Budget Input Data'!$D$17,0),IF('I_Budget Input Data'!$E$17="Equal",'I_Budget Input Data'!$D$17/'I_Inputs &amp; Assumptions'!$B$8,IF('I_Budget Input Data'!$E$17="Front-loaded",IF(3&lt;='I_Inputs &amp; Assumptions'!$B$8/2,'I_Budget Input Data'!$D$17*0.6/('I_Inputs &amp; Assumptions'!$B$8/2),'I_Budget Input Data'!$D$17*0.4/('I_Inputs &amp; Assumptions'!$B$8/2)),IF('I_Budget Input Data'!$E$17="Back-loaded",IF(3&lt;='I_Inputs &amp; Assumptions'!$B$8/2,'I_Budget Input Data'!$D$17*0.4/('I_Inputs &amp; Assumptions'!$B$8/2),'I_Budget Input Data'!$D$17*0.6/('I_Inputs &amp; Assumptions'!$B$8/2)),IF('I_Budget Input Data'!$E$17="Mid-weighted",IF(3&lt;='I_Inputs &amp; Assumptions'!$B$8/4,'I_Budget Input Data'!$D$17*0.2/('I_Inputs &amp; Assumptions'!$B$8/4),IF(3&lt;='I_Inputs &amp; Assumptions'!$B$8*0.75,'I_Budget Input Data'!$D$17*0.6/('I_Inputs &amp; Assumptions'!$B$8/2),'I_Budget Input Data'!$D$17*0.2/('I_Inputs &amp; Assumptions'!$B$8/4))),IF('I_Budget Input Data'!$E$17="At Completion",IF(3='I_Inputs &amp; Assumptions'!$B$8,'I_Budget Input Data'!$D$17,0),'I_Budget Input Data'!$D$17/'I_Inputs &amp; Assumptions'!$B$8)))))),0)</f>
        <v>43908.18461538462</v>
      </c>
      <c r="F17" s="91">
        <f>IF(4&lt;='I_Inputs &amp; Assumptions'!$B$8,IF('I_Budget Input Data'!$E$17="Upfront",IF(4=1,'I_Budget Input Data'!$D$17,0),IF('I_Budget Input Data'!$E$17="Equal",'I_Budget Input Data'!$D$17/'I_Inputs &amp; Assumptions'!$B$8,IF('I_Budget Input Data'!$E$17="Front-loaded",IF(4&lt;='I_Inputs &amp; Assumptions'!$B$8/2,'I_Budget Input Data'!$D$17*0.6/('I_Inputs &amp; Assumptions'!$B$8/2),'I_Budget Input Data'!$D$17*0.4/('I_Inputs &amp; Assumptions'!$B$8/2)),IF('I_Budget Input Data'!$E$17="Back-loaded",IF(4&lt;='I_Inputs &amp; Assumptions'!$B$8/2,'I_Budget Input Data'!$D$17*0.4/('I_Inputs &amp; Assumptions'!$B$8/2),'I_Budget Input Data'!$D$17*0.6/('I_Inputs &amp; Assumptions'!$B$8/2)),IF('I_Budget Input Data'!$E$17="Mid-weighted",IF(4&lt;='I_Inputs &amp; Assumptions'!$B$8/4,'I_Budget Input Data'!$D$17*0.2/('I_Inputs &amp; Assumptions'!$B$8/4),IF(4&lt;='I_Inputs &amp; Assumptions'!$B$8*0.75,'I_Budget Input Data'!$D$17*0.6/('I_Inputs &amp; Assumptions'!$B$8/2),'I_Budget Input Data'!$D$17*0.2/('I_Inputs &amp; Assumptions'!$B$8/4))),IF('I_Budget Input Data'!$E$17="At Completion",IF(4='I_Inputs &amp; Assumptions'!$B$8,'I_Budget Input Data'!$D$17,0),'I_Budget Input Data'!$D$17/'I_Inputs &amp; Assumptions'!$B$8)))))),0)</f>
        <v>43908.18461538462</v>
      </c>
      <c r="G17" s="91">
        <f>IF(5&lt;='I_Inputs &amp; Assumptions'!$B$8,IF('I_Budget Input Data'!$E$17="Upfront",IF(5=1,'I_Budget Input Data'!$D$17,0),IF('I_Budget Input Data'!$E$17="Equal",'I_Budget Input Data'!$D$17/'I_Inputs &amp; Assumptions'!$B$8,IF('I_Budget Input Data'!$E$17="Front-loaded",IF(5&lt;='I_Inputs &amp; Assumptions'!$B$8/2,'I_Budget Input Data'!$D$17*0.6/('I_Inputs &amp; Assumptions'!$B$8/2),'I_Budget Input Data'!$D$17*0.4/('I_Inputs &amp; Assumptions'!$B$8/2)),IF('I_Budget Input Data'!$E$17="Back-loaded",IF(5&lt;='I_Inputs &amp; Assumptions'!$B$8/2,'I_Budget Input Data'!$D$17*0.4/('I_Inputs &amp; Assumptions'!$B$8/2),'I_Budget Input Data'!$D$17*0.6/('I_Inputs &amp; Assumptions'!$B$8/2)),IF('I_Budget Input Data'!$E$17="Mid-weighted",IF(5&lt;='I_Inputs &amp; Assumptions'!$B$8/4,'I_Budget Input Data'!$D$17*0.2/('I_Inputs &amp; Assumptions'!$B$8/4),IF(5&lt;='I_Inputs &amp; Assumptions'!$B$8*0.75,'I_Budget Input Data'!$D$17*0.6/('I_Inputs &amp; Assumptions'!$B$8/2),'I_Budget Input Data'!$D$17*0.2/('I_Inputs &amp; Assumptions'!$B$8/4))),IF('I_Budget Input Data'!$E$17="At Completion",IF(5='I_Inputs &amp; Assumptions'!$B$8,'I_Budget Input Data'!$D$17,0),'I_Budget Input Data'!$D$17/'I_Inputs &amp; Assumptions'!$B$8)))))),0)</f>
        <v>43908.18461538462</v>
      </c>
      <c r="H17" s="91">
        <f>IF(6&lt;='I_Inputs &amp; Assumptions'!$B$8,IF('I_Budget Input Data'!$E$17="Upfront",IF(6=1,'I_Budget Input Data'!$D$17,0),IF('I_Budget Input Data'!$E$17="Equal",'I_Budget Input Data'!$D$17/'I_Inputs &amp; Assumptions'!$B$8,IF('I_Budget Input Data'!$E$17="Front-loaded",IF(6&lt;='I_Inputs &amp; Assumptions'!$B$8/2,'I_Budget Input Data'!$D$17*0.6/('I_Inputs &amp; Assumptions'!$B$8/2),'I_Budget Input Data'!$D$17*0.4/('I_Inputs &amp; Assumptions'!$B$8/2)),IF('I_Budget Input Data'!$E$17="Back-loaded",IF(6&lt;='I_Inputs &amp; Assumptions'!$B$8/2,'I_Budget Input Data'!$D$17*0.4/('I_Inputs &amp; Assumptions'!$B$8/2),'I_Budget Input Data'!$D$17*0.6/('I_Inputs &amp; Assumptions'!$B$8/2)),IF('I_Budget Input Data'!$E$17="Mid-weighted",IF(6&lt;='I_Inputs &amp; Assumptions'!$B$8/4,'I_Budget Input Data'!$D$17*0.2/('I_Inputs &amp; Assumptions'!$B$8/4),IF(6&lt;='I_Inputs &amp; Assumptions'!$B$8*0.75,'I_Budget Input Data'!$D$17*0.6/('I_Inputs &amp; Assumptions'!$B$8/2),'I_Budget Input Data'!$D$17*0.2/('I_Inputs &amp; Assumptions'!$B$8/4))),IF('I_Budget Input Data'!$E$17="At Completion",IF(6='I_Inputs &amp; Assumptions'!$B$8,'I_Budget Input Data'!$D$17,0),'I_Budget Input Data'!$D$17/'I_Inputs &amp; Assumptions'!$B$8)))))),0)</f>
        <v>43908.18461538462</v>
      </c>
      <c r="I17" s="91">
        <f>IF(7&lt;='I_Inputs &amp; Assumptions'!$B$8,IF('I_Budget Input Data'!$E$17="Upfront",IF(7=1,'I_Budget Input Data'!$D$17,0),IF('I_Budget Input Data'!$E$17="Equal",'I_Budget Input Data'!$D$17/'I_Inputs &amp; Assumptions'!$B$8,IF('I_Budget Input Data'!$E$17="Front-loaded",IF(7&lt;='I_Inputs &amp; Assumptions'!$B$8/2,'I_Budget Input Data'!$D$17*0.6/('I_Inputs &amp; Assumptions'!$B$8/2),'I_Budget Input Data'!$D$17*0.4/('I_Inputs &amp; Assumptions'!$B$8/2)),IF('I_Budget Input Data'!$E$17="Back-loaded",IF(7&lt;='I_Inputs &amp; Assumptions'!$B$8/2,'I_Budget Input Data'!$D$17*0.4/('I_Inputs &amp; Assumptions'!$B$8/2),'I_Budget Input Data'!$D$17*0.6/('I_Inputs &amp; Assumptions'!$B$8/2)),IF('I_Budget Input Data'!$E$17="Mid-weighted",IF(7&lt;='I_Inputs &amp; Assumptions'!$B$8/4,'I_Budget Input Data'!$D$17*0.2/('I_Inputs &amp; Assumptions'!$B$8/4),IF(7&lt;='I_Inputs &amp; Assumptions'!$B$8*0.75,'I_Budget Input Data'!$D$17*0.6/('I_Inputs &amp; Assumptions'!$B$8/2),'I_Budget Input Data'!$D$17*0.2/('I_Inputs &amp; Assumptions'!$B$8/4))),IF('I_Budget Input Data'!$E$17="At Completion",IF(7='I_Inputs &amp; Assumptions'!$B$8,'I_Budget Input Data'!$D$17,0),'I_Budget Input Data'!$D$17/'I_Inputs &amp; Assumptions'!$B$8)))))),0)</f>
        <v>29272.123076923079</v>
      </c>
      <c r="J17" s="91">
        <f>IF(8&lt;='I_Inputs &amp; Assumptions'!$B$8,IF('I_Budget Input Data'!$E$17="Upfront",IF(8=1,'I_Budget Input Data'!$D$17,0),IF('I_Budget Input Data'!$E$17="Equal",'I_Budget Input Data'!$D$17/'I_Inputs &amp; Assumptions'!$B$8,IF('I_Budget Input Data'!$E$17="Front-loaded",IF(8&lt;='I_Inputs &amp; Assumptions'!$B$8/2,'I_Budget Input Data'!$D$17*0.6/('I_Inputs &amp; Assumptions'!$B$8/2),'I_Budget Input Data'!$D$17*0.4/('I_Inputs &amp; Assumptions'!$B$8/2)),IF('I_Budget Input Data'!$E$17="Back-loaded",IF(8&lt;='I_Inputs &amp; Assumptions'!$B$8/2,'I_Budget Input Data'!$D$17*0.4/('I_Inputs &amp; Assumptions'!$B$8/2),'I_Budget Input Data'!$D$17*0.6/('I_Inputs &amp; Assumptions'!$B$8/2)),IF('I_Budget Input Data'!$E$17="Mid-weighted",IF(8&lt;='I_Inputs &amp; Assumptions'!$B$8/4,'I_Budget Input Data'!$D$17*0.2/('I_Inputs &amp; Assumptions'!$B$8/4),IF(8&lt;='I_Inputs &amp; Assumptions'!$B$8*0.75,'I_Budget Input Data'!$D$17*0.6/('I_Inputs &amp; Assumptions'!$B$8/2),'I_Budget Input Data'!$D$17*0.2/('I_Inputs &amp; Assumptions'!$B$8/4))),IF('I_Budget Input Data'!$E$17="At Completion",IF(8='I_Inputs &amp; Assumptions'!$B$8,'I_Budget Input Data'!$D$17,0),'I_Budget Input Data'!$D$17/'I_Inputs &amp; Assumptions'!$B$8)))))),0)</f>
        <v>29272.123076923079</v>
      </c>
      <c r="K17" s="91">
        <f>IF(9&lt;='I_Inputs &amp; Assumptions'!$B$8,IF('I_Budget Input Data'!$E$17="Upfront",IF(9=1,'I_Budget Input Data'!$D$17,0),IF('I_Budget Input Data'!$E$17="Equal",'I_Budget Input Data'!$D$17/'I_Inputs &amp; Assumptions'!$B$8,IF('I_Budget Input Data'!$E$17="Front-loaded",IF(9&lt;='I_Inputs &amp; Assumptions'!$B$8/2,'I_Budget Input Data'!$D$17*0.6/('I_Inputs &amp; Assumptions'!$B$8/2),'I_Budget Input Data'!$D$17*0.4/('I_Inputs &amp; Assumptions'!$B$8/2)),IF('I_Budget Input Data'!$E$17="Back-loaded",IF(9&lt;='I_Inputs &amp; Assumptions'!$B$8/2,'I_Budget Input Data'!$D$17*0.4/('I_Inputs &amp; Assumptions'!$B$8/2),'I_Budget Input Data'!$D$17*0.6/('I_Inputs &amp; Assumptions'!$B$8/2)),IF('I_Budget Input Data'!$E$17="Mid-weighted",IF(9&lt;='I_Inputs &amp; Assumptions'!$B$8/4,'I_Budget Input Data'!$D$17*0.2/('I_Inputs &amp; Assumptions'!$B$8/4),IF(9&lt;='I_Inputs &amp; Assumptions'!$B$8*0.75,'I_Budget Input Data'!$D$17*0.6/('I_Inputs &amp; Assumptions'!$B$8/2),'I_Budget Input Data'!$D$17*0.2/('I_Inputs &amp; Assumptions'!$B$8/4))),IF('I_Budget Input Data'!$E$17="At Completion",IF(9='I_Inputs &amp; Assumptions'!$B$8,'I_Budget Input Data'!$D$17,0),'I_Budget Input Data'!$D$17/'I_Inputs &amp; Assumptions'!$B$8)))))),0)</f>
        <v>29272.123076923079</v>
      </c>
      <c r="L17" s="91">
        <f>IF(10&lt;='I_Inputs &amp; Assumptions'!$B$8,IF('I_Budget Input Data'!$E$17="Upfront",IF(10=1,'I_Budget Input Data'!$D$17,0),IF('I_Budget Input Data'!$E$17="Equal",'I_Budget Input Data'!$D$17/'I_Inputs &amp; Assumptions'!$B$8,IF('I_Budget Input Data'!$E$17="Front-loaded",IF(10&lt;='I_Inputs &amp; Assumptions'!$B$8/2,'I_Budget Input Data'!$D$17*0.6/('I_Inputs &amp; Assumptions'!$B$8/2),'I_Budget Input Data'!$D$17*0.4/('I_Inputs &amp; Assumptions'!$B$8/2)),IF('I_Budget Input Data'!$E$17="Back-loaded",IF(10&lt;='I_Inputs &amp; Assumptions'!$B$8/2,'I_Budget Input Data'!$D$17*0.4/('I_Inputs &amp; Assumptions'!$B$8/2),'I_Budget Input Data'!$D$17*0.6/('I_Inputs &amp; Assumptions'!$B$8/2)),IF('I_Budget Input Data'!$E$17="Mid-weighted",IF(10&lt;='I_Inputs &amp; Assumptions'!$B$8/4,'I_Budget Input Data'!$D$17*0.2/('I_Inputs &amp; Assumptions'!$B$8/4),IF(10&lt;='I_Inputs &amp; Assumptions'!$B$8*0.75,'I_Budget Input Data'!$D$17*0.6/('I_Inputs &amp; Assumptions'!$B$8/2),'I_Budget Input Data'!$D$17*0.2/('I_Inputs &amp; Assumptions'!$B$8/4))),IF('I_Budget Input Data'!$E$17="At Completion",IF(10='I_Inputs &amp; Assumptions'!$B$8,'I_Budget Input Data'!$D$17,0),'I_Budget Input Data'!$D$17/'I_Inputs &amp; Assumptions'!$B$8)))))),0)</f>
        <v>29272.123076923079</v>
      </c>
      <c r="M17" s="91">
        <f>IF(11&lt;='I_Inputs &amp; Assumptions'!$B$8,IF('I_Budget Input Data'!$E$17="Upfront",IF(11=1,'I_Budget Input Data'!$D$17,0),IF('I_Budget Input Data'!$E$17="Equal",'I_Budget Input Data'!$D$17/'I_Inputs &amp; Assumptions'!$B$8,IF('I_Budget Input Data'!$E$17="Front-loaded",IF(11&lt;='I_Inputs &amp; Assumptions'!$B$8/2,'I_Budget Input Data'!$D$17*0.6/('I_Inputs &amp; Assumptions'!$B$8/2),'I_Budget Input Data'!$D$17*0.4/('I_Inputs &amp; Assumptions'!$B$8/2)),IF('I_Budget Input Data'!$E$17="Back-loaded",IF(11&lt;='I_Inputs &amp; Assumptions'!$B$8/2,'I_Budget Input Data'!$D$17*0.4/('I_Inputs &amp; Assumptions'!$B$8/2),'I_Budget Input Data'!$D$17*0.6/('I_Inputs &amp; Assumptions'!$B$8/2)),IF('I_Budget Input Data'!$E$17="Mid-weighted",IF(11&lt;='I_Inputs &amp; Assumptions'!$B$8/4,'I_Budget Input Data'!$D$17*0.2/('I_Inputs &amp; Assumptions'!$B$8/4),IF(11&lt;='I_Inputs &amp; Assumptions'!$B$8*0.75,'I_Budget Input Data'!$D$17*0.6/('I_Inputs &amp; Assumptions'!$B$8/2),'I_Budget Input Data'!$D$17*0.2/('I_Inputs &amp; Assumptions'!$B$8/4))),IF('I_Budget Input Data'!$E$17="At Completion",IF(11='I_Inputs &amp; Assumptions'!$B$8,'I_Budget Input Data'!$D$17,0),'I_Budget Input Data'!$D$17/'I_Inputs &amp; Assumptions'!$B$8)))))),0)</f>
        <v>29272.123076923079</v>
      </c>
      <c r="N17" s="91">
        <f>IF(12&lt;='I_Inputs &amp; Assumptions'!$B$8,IF('I_Budget Input Data'!$E$17="Upfront",IF(12=1,'I_Budget Input Data'!$D$17,0),IF('I_Budget Input Data'!$E$17="Equal",'I_Budget Input Data'!$D$17/'I_Inputs &amp; Assumptions'!$B$8,IF('I_Budget Input Data'!$E$17="Front-loaded",IF(12&lt;='I_Inputs &amp; Assumptions'!$B$8/2,'I_Budget Input Data'!$D$17*0.6/('I_Inputs &amp; Assumptions'!$B$8/2),'I_Budget Input Data'!$D$17*0.4/('I_Inputs &amp; Assumptions'!$B$8/2)),IF('I_Budget Input Data'!$E$17="Back-loaded",IF(12&lt;='I_Inputs &amp; Assumptions'!$B$8/2,'I_Budget Input Data'!$D$17*0.4/('I_Inputs &amp; Assumptions'!$B$8/2),'I_Budget Input Data'!$D$17*0.6/('I_Inputs &amp; Assumptions'!$B$8/2)),IF('I_Budget Input Data'!$E$17="Mid-weighted",IF(12&lt;='I_Inputs &amp; Assumptions'!$B$8/4,'I_Budget Input Data'!$D$17*0.2/('I_Inputs &amp; Assumptions'!$B$8/4),IF(12&lt;='I_Inputs &amp; Assumptions'!$B$8*0.75,'I_Budget Input Data'!$D$17*0.6/('I_Inputs &amp; Assumptions'!$B$8/2),'I_Budget Input Data'!$D$17*0.2/('I_Inputs &amp; Assumptions'!$B$8/4))),IF('I_Budget Input Data'!$E$17="At Completion",IF(12='I_Inputs &amp; Assumptions'!$B$8,'I_Budget Input Data'!$D$17,0),'I_Budget Input Data'!$D$17/'I_Inputs &amp; Assumptions'!$B$8)))))),0)</f>
        <v>29272.123076923079</v>
      </c>
      <c r="O17" s="91">
        <f>IF(13&lt;='I_Inputs &amp; Assumptions'!$B$8,IF('I_Budget Input Data'!$E$17="Upfront",IF(13=1,'I_Budget Input Data'!$D$17,0),IF('I_Budget Input Data'!$E$17="Equal",'I_Budget Input Data'!$D$17/'I_Inputs &amp; Assumptions'!$B$8,IF('I_Budget Input Data'!$E$17="Front-loaded",IF(13&lt;='I_Inputs &amp; Assumptions'!$B$8/2,'I_Budget Input Data'!$D$17*0.6/('I_Inputs &amp; Assumptions'!$B$8/2),'I_Budget Input Data'!$D$17*0.4/('I_Inputs &amp; Assumptions'!$B$8/2)),IF('I_Budget Input Data'!$E$17="Back-loaded",IF(13&lt;='I_Inputs &amp; Assumptions'!$B$8/2,'I_Budget Input Data'!$D$17*0.4/('I_Inputs &amp; Assumptions'!$B$8/2),'I_Budget Input Data'!$D$17*0.6/('I_Inputs &amp; Assumptions'!$B$8/2)),IF('I_Budget Input Data'!$E$17="Mid-weighted",IF(13&lt;='I_Inputs &amp; Assumptions'!$B$8/4,'I_Budget Input Data'!$D$17*0.2/('I_Inputs &amp; Assumptions'!$B$8/4),IF(13&lt;='I_Inputs &amp; Assumptions'!$B$8*0.75,'I_Budget Input Data'!$D$17*0.6/('I_Inputs &amp; Assumptions'!$B$8/2),'I_Budget Input Data'!$D$17*0.2/('I_Inputs &amp; Assumptions'!$B$8/4))),IF('I_Budget Input Data'!$E$17="At Completion",IF(13='I_Inputs &amp; Assumptions'!$B$8,'I_Budget Input Data'!$D$17,0),'I_Budget Input Data'!$D$17/'I_Inputs &amp; Assumptions'!$B$8)))))),0)</f>
        <v>29272.123076923079</v>
      </c>
      <c r="P17" s="91">
        <f>IF(14&lt;='I_Inputs &amp; Assumptions'!$B$8,IF('I_Budget Input Data'!$E$17="Upfront",IF(14=1,'I_Budget Input Data'!$D$17,0),IF('I_Budget Input Data'!$E$17="Equal",'I_Budget Input Data'!$D$17/'I_Inputs &amp; Assumptions'!$B$8,IF('I_Budget Input Data'!$E$17="Front-loaded",IF(14&lt;='I_Inputs &amp; Assumptions'!$B$8/2,'I_Budget Input Data'!$D$17*0.6/('I_Inputs &amp; Assumptions'!$B$8/2),'I_Budget Input Data'!$D$17*0.4/('I_Inputs &amp; Assumptions'!$B$8/2)),IF('I_Budget Input Data'!$E$17="Back-loaded",IF(14&lt;='I_Inputs &amp; Assumptions'!$B$8/2,'I_Budget Input Data'!$D$17*0.4/('I_Inputs &amp; Assumptions'!$B$8/2),'I_Budget Input Data'!$D$17*0.6/('I_Inputs &amp; Assumptions'!$B$8/2)),IF('I_Budget Input Data'!$E$17="Mid-weighted",IF(14&lt;='I_Inputs &amp; Assumptions'!$B$8/4,'I_Budget Input Data'!$D$17*0.2/('I_Inputs &amp; Assumptions'!$B$8/4),IF(14&lt;='I_Inputs &amp; Assumptions'!$B$8*0.75,'I_Budget Input Data'!$D$17*0.6/('I_Inputs &amp; Assumptions'!$B$8/2),'I_Budget Input Data'!$D$17*0.2/('I_Inputs &amp; Assumptions'!$B$8/4))),IF('I_Budget Input Data'!$E$17="At Completion",IF(14='I_Inputs &amp; Assumptions'!$B$8,'I_Budget Input Data'!$D$17,0),'I_Budget Input Data'!$D$17/'I_Inputs &amp; Assumptions'!$B$8)))))),0)</f>
        <v>0</v>
      </c>
      <c r="Q17" s="91">
        <f>IF(15&lt;='I_Inputs &amp; Assumptions'!$B$8,IF('I_Budget Input Data'!$E$17="Upfront",IF(15=1,'I_Budget Input Data'!$D$17,0),IF('I_Budget Input Data'!$E$17="Equal",'I_Budget Input Data'!$D$17/'I_Inputs &amp; Assumptions'!$B$8,IF('I_Budget Input Data'!$E$17="Front-loaded",IF(15&lt;='I_Inputs &amp; Assumptions'!$B$8/2,'I_Budget Input Data'!$D$17*0.6/('I_Inputs &amp; Assumptions'!$B$8/2),'I_Budget Input Data'!$D$17*0.4/('I_Inputs &amp; Assumptions'!$B$8/2)),IF('I_Budget Input Data'!$E$17="Back-loaded",IF(15&lt;='I_Inputs &amp; Assumptions'!$B$8/2,'I_Budget Input Data'!$D$17*0.4/('I_Inputs &amp; Assumptions'!$B$8/2),'I_Budget Input Data'!$D$17*0.6/('I_Inputs &amp; Assumptions'!$B$8/2)),IF('I_Budget Input Data'!$E$17="Mid-weighted",IF(15&lt;='I_Inputs &amp; Assumptions'!$B$8/4,'I_Budget Input Data'!$D$17*0.2/('I_Inputs &amp; Assumptions'!$B$8/4),IF(15&lt;='I_Inputs &amp; Assumptions'!$B$8*0.75,'I_Budget Input Data'!$D$17*0.6/('I_Inputs &amp; Assumptions'!$B$8/2),'I_Budget Input Data'!$D$17*0.2/('I_Inputs &amp; Assumptions'!$B$8/4))),IF('I_Budget Input Data'!$E$17="At Completion",IF(15='I_Inputs &amp; Assumptions'!$B$8,'I_Budget Input Data'!$D$17,0),'I_Budget Input Data'!$D$17/'I_Inputs &amp; Assumptions'!$B$8)))))),0)</f>
        <v>0</v>
      </c>
      <c r="R17" s="91">
        <f>IF(16&lt;='I_Inputs &amp; Assumptions'!$B$8,IF('I_Budget Input Data'!$E$17="Upfront",IF(16=1,'I_Budget Input Data'!$D$17,0),IF('I_Budget Input Data'!$E$17="Equal",'I_Budget Input Data'!$D$17/'I_Inputs &amp; Assumptions'!$B$8,IF('I_Budget Input Data'!$E$17="Front-loaded",IF(16&lt;='I_Inputs &amp; Assumptions'!$B$8/2,'I_Budget Input Data'!$D$17*0.6/('I_Inputs &amp; Assumptions'!$B$8/2),'I_Budget Input Data'!$D$17*0.4/('I_Inputs &amp; Assumptions'!$B$8/2)),IF('I_Budget Input Data'!$E$17="Back-loaded",IF(16&lt;='I_Inputs &amp; Assumptions'!$B$8/2,'I_Budget Input Data'!$D$17*0.4/('I_Inputs &amp; Assumptions'!$B$8/2),'I_Budget Input Data'!$D$17*0.6/('I_Inputs &amp; Assumptions'!$B$8/2)),IF('I_Budget Input Data'!$E$17="Mid-weighted",IF(16&lt;='I_Inputs &amp; Assumptions'!$B$8/4,'I_Budget Input Data'!$D$17*0.2/('I_Inputs &amp; Assumptions'!$B$8/4),IF(16&lt;='I_Inputs &amp; Assumptions'!$B$8*0.75,'I_Budget Input Data'!$D$17*0.6/('I_Inputs &amp; Assumptions'!$B$8/2),'I_Budget Input Data'!$D$17*0.2/('I_Inputs &amp; Assumptions'!$B$8/4))),IF('I_Budget Input Data'!$E$17="At Completion",IF(16='I_Inputs &amp; Assumptions'!$B$8,'I_Budget Input Data'!$D$17,0),'I_Budget Input Data'!$D$17/'I_Inputs &amp; Assumptions'!$B$8)))))),0)</f>
        <v>0</v>
      </c>
      <c r="S17" s="91">
        <f>IF(17&lt;='I_Inputs &amp; Assumptions'!$B$8,IF('I_Budget Input Data'!$E$17="Upfront",IF(17=1,'I_Budget Input Data'!$D$17,0),IF('I_Budget Input Data'!$E$17="Equal",'I_Budget Input Data'!$D$17/'I_Inputs &amp; Assumptions'!$B$8,IF('I_Budget Input Data'!$E$17="Front-loaded",IF(17&lt;='I_Inputs &amp; Assumptions'!$B$8/2,'I_Budget Input Data'!$D$17*0.6/('I_Inputs &amp; Assumptions'!$B$8/2),'I_Budget Input Data'!$D$17*0.4/('I_Inputs &amp; Assumptions'!$B$8/2)),IF('I_Budget Input Data'!$E$17="Back-loaded",IF(17&lt;='I_Inputs &amp; Assumptions'!$B$8/2,'I_Budget Input Data'!$D$17*0.4/('I_Inputs &amp; Assumptions'!$B$8/2),'I_Budget Input Data'!$D$17*0.6/('I_Inputs &amp; Assumptions'!$B$8/2)),IF('I_Budget Input Data'!$E$17="Mid-weighted",IF(17&lt;='I_Inputs &amp; Assumptions'!$B$8/4,'I_Budget Input Data'!$D$17*0.2/('I_Inputs &amp; Assumptions'!$B$8/4),IF(17&lt;='I_Inputs &amp; Assumptions'!$B$8*0.75,'I_Budget Input Data'!$D$17*0.6/('I_Inputs &amp; Assumptions'!$B$8/2),'I_Budget Input Data'!$D$17*0.2/('I_Inputs &amp; Assumptions'!$B$8/4))),IF('I_Budget Input Data'!$E$17="At Completion",IF(17='I_Inputs &amp; Assumptions'!$B$8,'I_Budget Input Data'!$D$17,0),'I_Budget Input Data'!$D$17/'I_Inputs &amp; Assumptions'!$B$8)))))),0)</f>
        <v>0</v>
      </c>
      <c r="T17" s="91">
        <f>IF(18&lt;='I_Inputs &amp; Assumptions'!$B$8,IF('I_Budget Input Data'!$E$17="Upfront",IF(18=1,'I_Budget Input Data'!$D$17,0),IF('I_Budget Input Data'!$E$17="Equal",'I_Budget Input Data'!$D$17/'I_Inputs &amp; Assumptions'!$B$8,IF('I_Budget Input Data'!$E$17="Front-loaded",IF(18&lt;='I_Inputs &amp; Assumptions'!$B$8/2,'I_Budget Input Data'!$D$17*0.6/('I_Inputs &amp; Assumptions'!$B$8/2),'I_Budget Input Data'!$D$17*0.4/('I_Inputs &amp; Assumptions'!$B$8/2)),IF('I_Budget Input Data'!$E$17="Back-loaded",IF(18&lt;='I_Inputs &amp; Assumptions'!$B$8/2,'I_Budget Input Data'!$D$17*0.4/('I_Inputs &amp; Assumptions'!$B$8/2),'I_Budget Input Data'!$D$17*0.6/('I_Inputs &amp; Assumptions'!$B$8/2)),IF('I_Budget Input Data'!$E$17="Mid-weighted",IF(18&lt;='I_Inputs &amp; Assumptions'!$B$8/4,'I_Budget Input Data'!$D$17*0.2/('I_Inputs &amp; Assumptions'!$B$8/4),IF(18&lt;='I_Inputs &amp; Assumptions'!$B$8*0.75,'I_Budget Input Data'!$D$17*0.6/('I_Inputs &amp; Assumptions'!$B$8/2),'I_Budget Input Data'!$D$17*0.2/('I_Inputs &amp; Assumptions'!$B$8/4))),IF('I_Budget Input Data'!$E$17="At Completion",IF(18='I_Inputs &amp; Assumptions'!$B$8,'I_Budget Input Data'!$D$17,0),'I_Budget Input Data'!$D$17/'I_Inputs &amp; Assumptions'!$B$8)))))),0)</f>
        <v>0</v>
      </c>
      <c r="U17" s="91">
        <f>IF(19&lt;='I_Inputs &amp; Assumptions'!$B$8,IF('I_Budget Input Data'!$E$17="Upfront",IF(19=1,'I_Budget Input Data'!$D$17,0),IF('I_Budget Input Data'!$E$17="Equal",'I_Budget Input Data'!$D$17/'I_Inputs &amp; Assumptions'!$B$8,IF('I_Budget Input Data'!$E$17="Front-loaded",IF(19&lt;='I_Inputs &amp; Assumptions'!$B$8/2,'I_Budget Input Data'!$D$17*0.6/('I_Inputs &amp; Assumptions'!$B$8/2),'I_Budget Input Data'!$D$17*0.4/('I_Inputs &amp; Assumptions'!$B$8/2)),IF('I_Budget Input Data'!$E$17="Back-loaded",IF(19&lt;='I_Inputs &amp; Assumptions'!$B$8/2,'I_Budget Input Data'!$D$17*0.4/('I_Inputs &amp; Assumptions'!$B$8/2),'I_Budget Input Data'!$D$17*0.6/('I_Inputs &amp; Assumptions'!$B$8/2)),IF('I_Budget Input Data'!$E$17="Mid-weighted",IF(19&lt;='I_Inputs &amp; Assumptions'!$B$8/4,'I_Budget Input Data'!$D$17*0.2/('I_Inputs &amp; Assumptions'!$B$8/4),IF(19&lt;='I_Inputs &amp; Assumptions'!$B$8*0.75,'I_Budget Input Data'!$D$17*0.6/('I_Inputs &amp; Assumptions'!$B$8/2),'I_Budget Input Data'!$D$17*0.2/('I_Inputs &amp; Assumptions'!$B$8/4))),IF('I_Budget Input Data'!$E$17="At Completion",IF(19='I_Inputs &amp; Assumptions'!$B$8,'I_Budget Input Data'!$D$17,0),'I_Budget Input Data'!$D$17/'I_Inputs &amp; Assumptions'!$B$8)))))),0)</f>
        <v>0</v>
      </c>
      <c r="V17" s="91">
        <f>IF(20&lt;='I_Inputs &amp; Assumptions'!$B$8,IF('I_Budget Input Data'!$E$17="Upfront",IF(20=1,'I_Budget Input Data'!$D$17,0),IF('I_Budget Input Data'!$E$17="Equal",'I_Budget Input Data'!$D$17/'I_Inputs &amp; Assumptions'!$B$8,IF('I_Budget Input Data'!$E$17="Front-loaded",IF(20&lt;='I_Inputs &amp; Assumptions'!$B$8/2,'I_Budget Input Data'!$D$17*0.6/('I_Inputs &amp; Assumptions'!$B$8/2),'I_Budget Input Data'!$D$17*0.4/('I_Inputs &amp; Assumptions'!$B$8/2)),IF('I_Budget Input Data'!$E$17="Back-loaded",IF(20&lt;='I_Inputs &amp; Assumptions'!$B$8/2,'I_Budget Input Data'!$D$17*0.4/('I_Inputs &amp; Assumptions'!$B$8/2),'I_Budget Input Data'!$D$17*0.6/('I_Inputs &amp; Assumptions'!$B$8/2)),IF('I_Budget Input Data'!$E$17="Mid-weighted",IF(20&lt;='I_Inputs &amp; Assumptions'!$B$8/4,'I_Budget Input Data'!$D$17*0.2/('I_Inputs &amp; Assumptions'!$B$8/4),IF(20&lt;='I_Inputs &amp; Assumptions'!$B$8*0.75,'I_Budget Input Data'!$D$17*0.6/('I_Inputs &amp; Assumptions'!$B$8/2),'I_Budget Input Data'!$D$17*0.2/('I_Inputs &amp; Assumptions'!$B$8/4))),IF('I_Budget Input Data'!$E$17="At Completion",IF(20='I_Inputs &amp; Assumptions'!$B$8,'I_Budget Input Data'!$D$17,0),'I_Budget Input Data'!$D$17/'I_Inputs &amp; Assumptions'!$B$8)))))),0)</f>
        <v>0</v>
      </c>
      <c r="W17" s="91">
        <f>IF(21&lt;='I_Inputs &amp; Assumptions'!$B$8,IF('I_Budget Input Data'!$E$17="Upfront",IF(21=1,'I_Budget Input Data'!$D$17,0),IF('I_Budget Input Data'!$E$17="Equal",'I_Budget Input Data'!$D$17/'I_Inputs &amp; Assumptions'!$B$8,IF('I_Budget Input Data'!$E$17="Front-loaded",IF(21&lt;='I_Inputs &amp; Assumptions'!$B$8/2,'I_Budget Input Data'!$D$17*0.6/('I_Inputs &amp; Assumptions'!$B$8/2),'I_Budget Input Data'!$D$17*0.4/('I_Inputs &amp; Assumptions'!$B$8/2)),IF('I_Budget Input Data'!$E$17="Back-loaded",IF(21&lt;='I_Inputs &amp; Assumptions'!$B$8/2,'I_Budget Input Data'!$D$17*0.4/('I_Inputs &amp; Assumptions'!$B$8/2),'I_Budget Input Data'!$D$17*0.6/('I_Inputs &amp; Assumptions'!$B$8/2)),IF('I_Budget Input Data'!$E$17="Mid-weighted",IF(21&lt;='I_Inputs &amp; Assumptions'!$B$8/4,'I_Budget Input Data'!$D$17*0.2/('I_Inputs &amp; Assumptions'!$B$8/4),IF(21&lt;='I_Inputs &amp; Assumptions'!$B$8*0.75,'I_Budget Input Data'!$D$17*0.6/('I_Inputs &amp; Assumptions'!$B$8/2),'I_Budget Input Data'!$D$17*0.2/('I_Inputs &amp; Assumptions'!$B$8/4))),IF('I_Budget Input Data'!$E$17="At Completion",IF(21='I_Inputs &amp; Assumptions'!$B$8,'I_Budget Input Data'!$D$17,0),'I_Budget Input Data'!$D$17/'I_Inputs &amp; Assumptions'!$B$8)))))),0)</f>
        <v>0</v>
      </c>
      <c r="X17" s="91">
        <f>IF(22&lt;='I_Inputs &amp; Assumptions'!$B$8,IF('I_Budget Input Data'!$E$17="Upfront",IF(22=1,'I_Budget Input Data'!$D$17,0),IF('I_Budget Input Data'!$E$17="Equal",'I_Budget Input Data'!$D$17/'I_Inputs &amp; Assumptions'!$B$8,IF('I_Budget Input Data'!$E$17="Front-loaded",IF(22&lt;='I_Inputs &amp; Assumptions'!$B$8/2,'I_Budget Input Data'!$D$17*0.6/('I_Inputs &amp; Assumptions'!$B$8/2),'I_Budget Input Data'!$D$17*0.4/('I_Inputs &amp; Assumptions'!$B$8/2)),IF('I_Budget Input Data'!$E$17="Back-loaded",IF(22&lt;='I_Inputs &amp; Assumptions'!$B$8/2,'I_Budget Input Data'!$D$17*0.4/('I_Inputs &amp; Assumptions'!$B$8/2),'I_Budget Input Data'!$D$17*0.6/('I_Inputs &amp; Assumptions'!$B$8/2)),IF('I_Budget Input Data'!$E$17="Mid-weighted",IF(22&lt;='I_Inputs &amp; Assumptions'!$B$8/4,'I_Budget Input Data'!$D$17*0.2/('I_Inputs &amp; Assumptions'!$B$8/4),IF(22&lt;='I_Inputs &amp; Assumptions'!$B$8*0.75,'I_Budget Input Data'!$D$17*0.6/('I_Inputs &amp; Assumptions'!$B$8/2),'I_Budget Input Data'!$D$17*0.2/('I_Inputs &amp; Assumptions'!$B$8/4))),IF('I_Budget Input Data'!$E$17="At Completion",IF(22='I_Inputs &amp; Assumptions'!$B$8,'I_Budget Input Data'!$D$17,0),'I_Budget Input Data'!$D$17/'I_Inputs &amp; Assumptions'!$B$8)))))),0)</f>
        <v>0</v>
      </c>
      <c r="Y17" s="91">
        <f>IF(23&lt;='I_Inputs &amp; Assumptions'!$B$8,IF('I_Budget Input Data'!$E$17="Upfront",IF(23=1,'I_Budget Input Data'!$D$17,0),IF('I_Budget Input Data'!$E$17="Equal",'I_Budget Input Data'!$D$17/'I_Inputs &amp; Assumptions'!$B$8,IF('I_Budget Input Data'!$E$17="Front-loaded",IF(23&lt;='I_Inputs &amp; Assumptions'!$B$8/2,'I_Budget Input Data'!$D$17*0.6/('I_Inputs &amp; Assumptions'!$B$8/2),'I_Budget Input Data'!$D$17*0.4/('I_Inputs &amp; Assumptions'!$B$8/2)),IF('I_Budget Input Data'!$E$17="Back-loaded",IF(23&lt;='I_Inputs &amp; Assumptions'!$B$8/2,'I_Budget Input Data'!$D$17*0.4/('I_Inputs &amp; Assumptions'!$B$8/2),'I_Budget Input Data'!$D$17*0.6/('I_Inputs &amp; Assumptions'!$B$8/2)),IF('I_Budget Input Data'!$E$17="Mid-weighted",IF(23&lt;='I_Inputs &amp; Assumptions'!$B$8/4,'I_Budget Input Data'!$D$17*0.2/('I_Inputs &amp; Assumptions'!$B$8/4),IF(23&lt;='I_Inputs &amp; Assumptions'!$B$8*0.75,'I_Budget Input Data'!$D$17*0.6/('I_Inputs &amp; Assumptions'!$B$8/2),'I_Budget Input Data'!$D$17*0.2/('I_Inputs &amp; Assumptions'!$B$8/4))),IF('I_Budget Input Data'!$E$17="At Completion",IF(23='I_Inputs &amp; Assumptions'!$B$8,'I_Budget Input Data'!$D$17,0),'I_Budget Input Data'!$D$17/'I_Inputs &amp; Assumptions'!$B$8)))))),0)</f>
        <v>0</v>
      </c>
      <c r="Z17" s="91">
        <f>IF(24&lt;='I_Inputs &amp; Assumptions'!$B$8,IF('I_Budget Input Data'!$E$17="Upfront",IF(24=1,'I_Budget Input Data'!$D$17,0),IF('I_Budget Input Data'!$E$17="Equal",'I_Budget Input Data'!$D$17/'I_Inputs &amp; Assumptions'!$B$8,IF('I_Budget Input Data'!$E$17="Front-loaded",IF(24&lt;='I_Inputs &amp; Assumptions'!$B$8/2,'I_Budget Input Data'!$D$17*0.6/('I_Inputs &amp; Assumptions'!$B$8/2),'I_Budget Input Data'!$D$17*0.4/('I_Inputs &amp; Assumptions'!$B$8/2)),IF('I_Budget Input Data'!$E$17="Back-loaded",IF(24&lt;='I_Inputs &amp; Assumptions'!$B$8/2,'I_Budget Input Data'!$D$17*0.4/('I_Inputs &amp; Assumptions'!$B$8/2),'I_Budget Input Data'!$D$17*0.6/('I_Inputs &amp; Assumptions'!$B$8/2)),IF('I_Budget Input Data'!$E$17="Mid-weighted",IF(24&lt;='I_Inputs &amp; Assumptions'!$B$8/4,'I_Budget Input Data'!$D$17*0.2/('I_Inputs &amp; Assumptions'!$B$8/4),IF(24&lt;='I_Inputs &amp; Assumptions'!$B$8*0.75,'I_Budget Input Data'!$D$17*0.6/('I_Inputs &amp; Assumptions'!$B$8/2),'I_Budget Input Data'!$D$17*0.2/('I_Inputs &amp; Assumptions'!$B$8/4))),IF('I_Budget Input Data'!$E$17="At Completion",IF(24='I_Inputs &amp; Assumptions'!$B$8,'I_Budget Input Data'!$D$17,0),'I_Budget Input Data'!$D$17/'I_Inputs &amp; Assumptions'!$B$8)))))),0)</f>
        <v>0</v>
      </c>
      <c r="AA17" s="91">
        <f>IF(25&lt;='I_Inputs &amp; Assumptions'!$B$8,IF('I_Budget Input Data'!$E$17="Upfront",IF(25=1,'I_Budget Input Data'!$D$17,0),IF('I_Budget Input Data'!$E$17="Equal",'I_Budget Input Data'!$D$17/'I_Inputs &amp; Assumptions'!$B$8,IF('I_Budget Input Data'!$E$17="Front-loaded",IF(25&lt;='I_Inputs &amp; Assumptions'!$B$8/2,'I_Budget Input Data'!$D$17*0.6/('I_Inputs &amp; Assumptions'!$B$8/2),'I_Budget Input Data'!$D$17*0.4/('I_Inputs &amp; Assumptions'!$B$8/2)),IF('I_Budget Input Data'!$E$17="Back-loaded",IF(25&lt;='I_Inputs &amp; Assumptions'!$B$8/2,'I_Budget Input Data'!$D$17*0.4/('I_Inputs &amp; Assumptions'!$B$8/2),'I_Budget Input Data'!$D$17*0.6/('I_Inputs &amp; Assumptions'!$B$8/2)),IF('I_Budget Input Data'!$E$17="Mid-weighted",IF(25&lt;='I_Inputs &amp; Assumptions'!$B$8/4,'I_Budget Input Data'!$D$17*0.2/('I_Inputs &amp; Assumptions'!$B$8/4),IF(25&lt;='I_Inputs &amp; Assumptions'!$B$8*0.75,'I_Budget Input Data'!$D$17*0.6/('I_Inputs &amp; Assumptions'!$B$8/2),'I_Budget Input Data'!$D$17*0.2/('I_Inputs &amp; Assumptions'!$B$8/4))),IF('I_Budget Input Data'!$E$17="At Completion",IF(25='I_Inputs &amp; Assumptions'!$B$8,'I_Budget Input Data'!$D$17,0),'I_Budget Input Data'!$D$17/'I_Inputs &amp; Assumptions'!$B$8)))))),0)</f>
        <v>0</v>
      </c>
      <c r="AB17" s="91">
        <f>IF(26&lt;='I_Inputs &amp; Assumptions'!$B$8,IF('I_Budget Input Data'!$E$17="Upfront",IF(26=1,'I_Budget Input Data'!$D$17,0),IF('I_Budget Input Data'!$E$17="Equal",'I_Budget Input Data'!$D$17/'I_Inputs &amp; Assumptions'!$B$8,IF('I_Budget Input Data'!$E$17="Front-loaded",IF(26&lt;='I_Inputs &amp; Assumptions'!$B$8/2,'I_Budget Input Data'!$D$17*0.6/('I_Inputs &amp; Assumptions'!$B$8/2),'I_Budget Input Data'!$D$17*0.4/('I_Inputs &amp; Assumptions'!$B$8/2)),IF('I_Budget Input Data'!$E$17="Back-loaded",IF(26&lt;='I_Inputs &amp; Assumptions'!$B$8/2,'I_Budget Input Data'!$D$17*0.4/('I_Inputs &amp; Assumptions'!$B$8/2),'I_Budget Input Data'!$D$17*0.6/('I_Inputs &amp; Assumptions'!$B$8/2)),IF('I_Budget Input Data'!$E$17="Mid-weighted",IF(26&lt;='I_Inputs &amp; Assumptions'!$B$8/4,'I_Budget Input Data'!$D$17*0.2/('I_Inputs &amp; Assumptions'!$B$8/4),IF(26&lt;='I_Inputs &amp; Assumptions'!$B$8*0.75,'I_Budget Input Data'!$D$17*0.6/('I_Inputs &amp; Assumptions'!$B$8/2),'I_Budget Input Data'!$D$17*0.2/('I_Inputs &amp; Assumptions'!$B$8/4))),IF('I_Budget Input Data'!$E$17="At Completion",IF(26='I_Inputs &amp; Assumptions'!$B$8,'I_Budget Input Data'!$D$17,0),'I_Budget Input Data'!$D$17/'I_Inputs &amp; Assumptions'!$B$8)))))),0)</f>
        <v>0</v>
      </c>
      <c r="AC17" s="91">
        <f>IF(27&lt;='I_Inputs &amp; Assumptions'!$B$8,IF('I_Budget Input Data'!$E$17="Upfront",IF(27=1,'I_Budget Input Data'!$D$17,0),IF('I_Budget Input Data'!$E$17="Equal",'I_Budget Input Data'!$D$17/'I_Inputs &amp; Assumptions'!$B$8,IF('I_Budget Input Data'!$E$17="Front-loaded",IF(27&lt;='I_Inputs &amp; Assumptions'!$B$8/2,'I_Budget Input Data'!$D$17*0.6/('I_Inputs &amp; Assumptions'!$B$8/2),'I_Budget Input Data'!$D$17*0.4/('I_Inputs &amp; Assumptions'!$B$8/2)),IF('I_Budget Input Data'!$E$17="Back-loaded",IF(27&lt;='I_Inputs &amp; Assumptions'!$B$8/2,'I_Budget Input Data'!$D$17*0.4/('I_Inputs &amp; Assumptions'!$B$8/2),'I_Budget Input Data'!$D$17*0.6/('I_Inputs &amp; Assumptions'!$B$8/2)),IF('I_Budget Input Data'!$E$17="Mid-weighted",IF(27&lt;='I_Inputs &amp; Assumptions'!$B$8/4,'I_Budget Input Data'!$D$17*0.2/('I_Inputs &amp; Assumptions'!$B$8/4),IF(27&lt;='I_Inputs &amp; Assumptions'!$B$8*0.75,'I_Budget Input Data'!$D$17*0.6/('I_Inputs &amp; Assumptions'!$B$8/2),'I_Budget Input Data'!$D$17*0.2/('I_Inputs &amp; Assumptions'!$B$8/4))),IF('I_Budget Input Data'!$E$17="At Completion",IF(27='I_Inputs &amp; Assumptions'!$B$8,'I_Budget Input Data'!$D$17,0),'I_Budget Input Data'!$D$17/'I_Inputs &amp; Assumptions'!$B$8)))))),0)</f>
        <v>0</v>
      </c>
      <c r="AD17" s="91">
        <f>IF(28&lt;='I_Inputs &amp; Assumptions'!$B$8,IF('I_Budget Input Data'!$E$17="Upfront",IF(28=1,'I_Budget Input Data'!$D$17,0),IF('I_Budget Input Data'!$E$17="Equal",'I_Budget Input Data'!$D$17/'I_Inputs &amp; Assumptions'!$B$8,IF('I_Budget Input Data'!$E$17="Front-loaded",IF(28&lt;='I_Inputs &amp; Assumptions'!$B$8/2,'I_Budget Input Data'!$D$17*0.6/('I_Inputs &amp; Assumptions'!$B$8/2),'I_Budget Input Data'!$D$17*0.4/('I_Inputs &amp; Assumptions'!$B$8/2)),IF('I_Budget Input Data'!$E$17="Back-loaded",IF(28&lt;='I_Inputs &amp; Assumptions'!$B$8/2,'I_Budget Input Data'!$D$17*0.4/('I_Inputs &amp; Assumptions'!$B$8/2),'I_Budget Input Data'!$D$17*0.6/('I_Inputs &amp; Assumptions'!$B$8/2)),IF('I_Budget Input Data'!$E$17="Mid-weighted",IF(28&lt;='I_Inputs &amp; Assumptions'!$B$8/4,'I_Budget Input Data'!$D$17*0.2/('I_Inputs &amp; Assumptions'!$B$8/4),IF(28&lt;='I_Inputs &amp; Assumptions'!$B$8*0.75,'I_Budget Input Data'!$D$17*0.6/('I_Inputs &amp; Assumptions'!$B$8/2),'I_Budget Input Data'!$D$17*0.2/('I_Inputs &amp; Assumptions'!$B$8/4))),IF('I_Budget Input Data'!$E$17="At Completion",IF(28='I_Inputs &amp; Assumptions'!$B$8,'I_Budget Input Data'!$D$17,0),'I_Budget Input Data'!$D$17/'I_Inputs &amp; Assumptions'!$B$8)))))),0)</f>
        <v>0</v>
      </c>
      <c r="AE17" s="91">
        <f>IF(29&lt;='I_Inputs &amp; Assumptions'!$B$8,IF('I_Budget Input Data'!$E$17="Upfront",IF(29=1,'I_Budget Input Data'!$D$17,0),IF('I_Budget Input Data'!$E$17="Equal",'I_Budget Input Data'!$D$17/'I_Inputs &amp; Assumptions'!$B$8,IF('I_Budget Input Data'!$E$17="Front-loaded",IF(29&lt;='I_Inputs &amp; Assumptions'!$B$8/2,'I_Budget Input Data'!$D$17*0.6/('I_Inputs &amp; Assumptions'!$B$8/2),'I_Budget Input Data'!$D$17*0.4/('I_Inputs &amp; Assumptions'!$B$8/2)),IF('I_Budget Input Data'!$E$17="Back-loaded",IF(29&lt;='I_Inputs &amp; Assumptions'!$B$8/2,'I_Budget Input Data'!$D$17*0.4/('I_Inputs &amp; Assumptions'!$B$8/2),'I_Budget Input Data'!$D$17*0.6/('I_Inputs &amp; Assumptions'!$B$8/2)),IF('I_Budget Input Data'!$E$17="Mid-weighted",IF(29&lt;='I_Inputs &amp; Assumptions'!$B$8/4,'I_Budget Input Data'!$D$17*0.2/('I_Inputs &amp; Assumptions'!$B$8/4),IF(29&lt;='I_Inputs &amp; Assumptions'!$B$8*0.75,'I_Budget Input Data'!$D$17*0.6/('I_Inputs &amp; Assumptions'!$B$8/2),'I_Budget Input Data'!$D$17*0.2/('I_Inputs &amp; Assumptions'!$B$8/4))),IF('I_Budget Input Data'!$E$17="At Completion",IF(29='I_Inputs &amp; Assumptions'!$B$8,'I_Budget Input Data'!$D$17,0),'I_Budget Input Data'!$D$17/'I_Inputs &amp; Assumptions'!$B$8)))))),0)</f>
        <v>0</v>
      </c>
      <c r="AF17" s="91">
        <f>IF(30&lt;='I_Inputs &amp; Assumptions'!$B$8,IF('I_Budget Input Data'!$E$17="Upfront",IF(30=1,'I_Budget Input Data'!$D$17,0),IF('I_Budget Input Data'!$E$17="Equal",'I_Budget Input Data'!$D$17/'I_Inputs &amp; Assumptions'!$B$8,IF('I_Budget Input Data'!$E$17="Front-loaded",IF(30&lt;='I_Inputs &amp; Assumptions'!$B$8/2,'I_Budget Input Data'!$D$17*0.6/('I_Inputs &amp; Assumptions'!$B$8/2),'I_Budget Input Data'!$D$17*0.4/('I_Inputs &amp; Assumptions'!$B$8/2)),IF('I_Budget Input Data'!$E$17="Back-loaded",IF(30&lt;='I_Inputs &amp; Assumptions'!$B$8/2,'I_Budget Input Data'!$D$17*0.4/('I_Inputs &amp; Assumptions'!$B$8/2),'I_Budget Input Data'!$D$17*0.6/('I_Inputs &amp; Assumptions'!$B$8/2)),IF('I_Budget Input Data'!$E$17="Mid-weighted",IF(30&lt;='I_Inputs &amp; Assumptions'!$B$8/4,'I_Budget Input Data'!$D$17*0.2/('I_Inputs &amp; Assumptions'!$B$8/4),IF(30&lt;='I_Inputs &amp; Assumptions'!$B$8*0.75,'I_Budget Input Data'!$D$17*0.6/('I_Inputs &amp; Assumptions'!$B$8/2),'I_Budget Input Data'!$D$17*0.2/('I_Inputs &amp; Assumptions'!$B$8/4))),IF('I_Budget Input Data'!$E$17="At Completion",IF(30='I_Inputs &amp; Assumptions'!$B$8,'I_Budget Input Data'!$D$17,0),'I_Budget Input Data'!$D$17/'I_Inputs &amp; Assumptions'!$B$8)))))),0)</f>
        <v>0</v>
      </c>
      <c r="AG17" s="91">
        <f>IF(31&lt;='I_Inputs &amp; Assumptions'!$B$8,IF('I_Budget Input Data'!$E$17="Upfront",IF(31=1,'I_Budget Input Data'!$D$17,0),IF('I_Budget Input Data'!$E$17="Equal",'I_Budget Input Data'!$D$17/'I_Inputs &amp; Assumptions'!$B$8,IF('I_Budget Input Data'!$E$17="Front-loaded",IF(31&lt;='I_Inputs &amp; Assumptions'!$B$8/2,'I_Budget Input Data'!$D$17*0.6/('I_Inputs &amp; Assumptions'!$B$8/2),'I_Budget Input Data'!$D$17*0.4/('I_Inputs &amp; Assumptions'!$B$8/2)),IF('I_Budget Input Data'!$E$17="Back-loaded",IF(31&lt;='I_Inputs &amp; Assumptions'!$B$8/2,'I_Budget Input Data'!$D$17*0.4/('I_Inputs &amp; Assumptions'!$B$8/2),'I_Budget Input Data'!$D$17*0.6/('I_Inputs &amp; Assumptions'!$B$8/2)),IF('I_Budget Input Data'!$E$17="Mid-weighted",IF(31&lt;='I_Inputs &amp; Assumptions'!$B$8/4,'I_Budget Input Data'!$D$17*0.2/('I_Inputs &amp; Assumptions'!$B$8/4),IF(31&lt;='I_Inputs &amp; Assumptions'!$B$8*0.75,'I_Budget Input Data'!$D$17*0.6/('I_Inputs &amp; Assumptions'!$B$8/2),'I_Budget Input Data'!$D$17*0.2/('I_Inputs &amp; Assumptions'!$B$8/4))),IF('I_Budget Input Data'!$E$17="At Completion",IF(31='I_Inputs &amp; Assumptions'!$B$8,'I_Budget Input Data'!$D$17,0),'I_Budget Input Data'!$D$17/'I_Inputs &amp; Assumptions'!$B$8)))))),0)</f>
        <v>0</v>
      </c>
      <c r="AH17" s="91">
        <f>IF(32&lt;='I_Inputs &amp; Assumptions'!$B$8,IF('I_Budget Input Data'!$E$17="Upfront",IF(32=1,'I_Budget Input Data'!$D$17,0),IF('I_Budget Input Data'!$E$17="Equal",'I_Budget Input Data'!$D$17/'I_Inputs &amp; Assumptions'!$B$8,IF('I_Budget Input Data'!$E$17="Front-loaded",IF(32&lt;='I_Inputs &amp; Assumptions'!$B$8/2,'I_Budget Input Data'!$D$17*0.6/('I_Inputs &amp; Assumptions'!$B$8/2),'I_Budget Input Data'!$D$17*0.4/('I_Inputs &amp; Assumptions'!$B$8/2)),IF('I_Budget Input Data'!$E$17="Back-loaded",IF(32&lt;='I_Inputs &amp; Assumptions'!$B$8/2,'I_Budget Input Data'!$D$17*0.4/('I_Inputs &amp; Assumptions'!$B$8/2),'I_Budget Input Data'!$D$17*0.6/('I_Inputs &amp; Assumptions'!$B$8/2)),IF('I_Budget Input Data'!$E$17="Mid-weighted",IF(32&lt;='I_Inputs &amp; Assumptions'!$B$8/4,'I_Budget Input Data'!$D$17*0.2/('I_Inputs &amp; Assumptions'!$B$8/4),IF(32&lt;='I_Inputs &amp; Assumptions'!$B$8*0.75,'I_Budget Input Data'!$D$17*0.6/('I_Inputs &amp; Assumptions'!$B$8/2),'I_Budget Input Data'!$D$17*0.2/('I_Inputs &amp; Assumptions'!$B$8/4))),IF('I_Budget Input Data'!$E$17="At Completion",IF(32='I_Inputs &amp; Assumptions'!$B$8,'I_Budget Input Data'!$D$17,0),'I_Budget Input Data'!$D$17/'I_Inputs &amp; Assumptions'!$B$8)))))),0)</f>
        <v>0</v>
      </c>
      <c r="AI17" s="91">
        <f>IF(33&lt;='I_Inputs &amp; Assumptions'!$B$8,IF('I_Budget Input Data'!$E$17="Upfront",IF(33=1,'I_Budget Input Data'!$D$17,0),IF('I_Budget Input Data'!$E$17="Equal",'I_Budget Input Data'!$D$17/'I_Inputs &amp; Assumptions'!$B$8,IF('I_Budget Input Data'!$E$17="Front-loaded",IF(33&lt;='I_Inputs &amp; Assumptions'!$B$8/2,'I_Budget Input Data'!$D$17*0.6/('I_Inputs &amp; Assumptions'!$B$8/2),'I_Budget Input Data'!$D$17*0.4/('I_Inputs &amp; Assumptions'!$B$8/2)),IF('I_Budget Input Data'!$E$17="Back-loaded",IF(33&lt;='I_Inputs &amp; Assumptions'!$B$8/2,'I_Budget Input Data'!$D$17*0.4/('I_Inputs &amp; Assumptions'!$B$8/2),'I_Budget Input Data'!$D$17*0.6/('I_Inputs &amp; Assumptions'!$B$8/2)),IF('I_Budget Input Data'!$E$17="Mid-weighted",IF(33&lt;='I_Inputs &amp; Assumptions'!$B$8/4,'I_Budget Input Data'!$D$17*0.2/('I_Inputs &amp; Assumptions'!$B$8/4),IF(33&lt;='I_Inputs &amp; Assumptions'!$B$8*0.75,'I_Budget Input Data'!$D$17*0.6/('I_Inputs &amp; Assumptions'!$B$8/2),'I_Budget Input Data'!$D$17*0.2/('I_Inputs &amp; Assumptions'!$B$8/4))),IF('I_Budget Input Data'!$E$17="At Completion",IF(33='I_Inputs &amp; Assumptions'!$B$8,'I_Budget Input Data'!$D$17,0),'I_Budget Input Data'!$D$17/'I_Inputs &amp; Assumptions'!$B$8)))))),0)</f>
        <v>0</v>
      </c>
      <c r="AJ17" s="91">
        <f>IF(34&lt;='I_Inputs &amp; Assumptions'!$B$8,IF('I_Budget Input Data'!$E$17="Upfront",IF(34=1,'I_Budget Input Data'!$D$17,0),IF('I_Budget Input Data'!$E$17="Equal",'I_Budget Input Data'!$D$17/'I_Inputs &amp; Assumptions'!$B$8,IF('I_Budget Input Data'!$E$17="Front-loaded",IF(34&lt;='I_Inputs &amp; Assumptions'!$B$8/2,'I_Budget Input Data'!$D$17*0.6/('I_Inputs &amp; Assumptions'!$B$8/2),'I_Budget Input Data'!$D$17*0.4/('I_Inputs &amp; Assumptions'!$B$8/2)),IF('I_Budget Input Data'!$E$17="Back-loaded",IF(34&lt;='I_Inputs &amp; Assumptions'!$B$8/2,'I_Budget Input Data'!$D$17*0.4/('I_Inputs &amp; Assumptions'!$B$8/2),'I_Budget Input Data'!$D$17*0.6/('I_Inputs &amp; Assumptions'!$B$8/2)),IF('I_Budget Input Data'!$E$17="Mid-weighted",IF(34&lt;='I_Inputs &amp; Assumptions'!$B$8/4,'I_Budget Input Data'!$D$17*0.2/('I_Inputs &amp; Assumptions'!$B$8/4),IF(34&lt;='I_Inputs &amp; Assumptions'!$B$8*0.75,'I_Budget Input Data'!$D$17*0.6/('I_Inputs &amp; Assumptions'!$B$8/2),'I_Budget Input Data'!$D$17*0.2/('I_Inputs &amp; Assumptions'!$B$8/4))),IF('I_Budget Input Data'!$E$17="At Completion",IF(34='I_Inputs &amp; Assumptions'!$B$8,'I_Budget Input Data'!$D$17,0),'I_Budget Input Data'!$D$17/'I_Inputs &amp; Assumptions'!$B$8)))))),0)</f>
        <v>0</v>
      </c>
      <c r="AK17" s="91">
        <f>IF(35&lt;='I_Inputs &amp; Assumptions'!$B$8,IF('I_Budget Input Data'!$E$17="Upfront",IF(35=1,'I_Budget Input Data'!$D$17,0),IF('I_Budget Input Data'!$E$17="Equal",'I_Budget Input Data'!$D$17/'I_Inputs &amp; Assumptions'!$B$8,IF('I_Budget Input Data'!$E$17="Front-loaded",IF(35&lt;='I_Inputs &amp; Assumptions'!$B$8/2,'I_Budget Input Data'!$D$17*0.6/('I_Inputs &amp; Assumptions'!$B$8/2),'I_Budget Input Data'!$D$17*0.4/('I_Inputs &amp; Assumptions'!$B$8/2)),IF('I_Budget Input Data'!$E$17="Back-loaded",IF(35&lt;='I_Inputs &amp; Assumptions'!$B$8/2,'I_Budget Input Data'!$D$17*0.4/('I_Inputs &amp; Assumptions'!$B$8/2),'I_Budget Input Data'!$D$17*0.6/('I_Inputs &amp; Assumptions'!$B$8/2)),IF('I_Budget Input Data'!$E$17="Mid-weighted",IF(35&lt;='I_Inputs &amp; Assumptions'!$B$8/4,'I_Budget Input Data'!$D$17*0.2/('I_Inputs &amp; Assumptions'!$B$8/4),IF(35&lt;='I_Inputs &amp; Assumptions'!$B$8*0.75,'I_Budget Input Data'!$D$17*0.6/('I_Inputs &amp; Assumptions'!$B$8/2),'I_Budget Input Data'!$D$17*0.2/('I_Inputs &amp; Assumptions'!$B$8/4))),IF('I_Budget Input Data'!$E$17="At Completion",IF(35='I_Inputs &amp; Assumptions'!$B$8,'I_Budget Input Data'!$D$17,0),'I_Budget Input Data'!$D$17/'I_Inputs &amp; Assumptions'!$B$8)))))),0)</f>
        <v>0</v>
      </c>
      <c r="AL17" s="91">
        <f>IF(36&lt;='I_Inputs &amp; Assumptions'!$B$8,IF('I_Budget Input Data'!$E$17="Upfront",IF(36=1,'I_Budget Input Data'!$D$17,0),IF('I_Budget Input Data'!$E$17="Equal",'I_Budget Input Data'!$D$17/'I_Inputs &amp; Assumptions'!$B$8,IF('I_Budget Input Data'!$E$17="Front-loaded",IF(36&lt;='I_Inputs &amp; Assumptions'!$B$8/2,'I_Budget Input Data'!$D$17*0.6/('I_Inputs &amp; Assumptions'!$B$8/2),'I_Budget Input Data'!$D$17*0.4/('I_Inputs &amp; Assumptions'!$B$8/2)),IF('I_Budget Input Data'!$E$17="Back-loaded",IF(36&lt;='I_Inputs &amp; Assumptions'!$B$8/2,'I_Budget Input Data'!$D$17*0.4/('I_Inputs &amp; Assumptions'!$B$8/2),'I_Budget Input Data'!$D$17*0.6/('I_Inputs &amp; Assumptions'!$B$8/2)),IF('I_Budget Input Data'!$E$17="Mid-weighted",IF(36&lt;='I_Inputs &amp; Assumptions'!$B$8/4,'I_Budget Input Data'!$D$17*0.2/('I_Inputs &amp; Assumptions'!$B$8/4),IF(36&lt;='I_Inputs &amp; Assumptions'!$B$8*0.75,'I_Budget Input Data'!$D$17*0.6/('I_Inputs &amp; Assumptions'!$B$8/2),'I_Budget Input Data'!$D$17*0.2/('I_Inputs &amp; Assumptions'!$B$8/4))),IF('I_Budget Input Data'!$E$17="At Completion",IF(36='I_Inputs &amp; Assumptions'!$B$8,'I_Budget Input Data'!$D$17,0),'I_Budget Input Data'!$D$17/'I_Inputs &amp; Assumptions'!$B$8)))))),0)</f>
        <v>0</v>
      </c>
    </row>
    <row r="18" spans="1:38" ht="15" customHeight="1" x14ac:dyDescent="0.2">
      <c r="A18" t="s">
        <v>136</v>
      </c>
      <c r="B18" t="s">
        <v>142</v>
      </c>
      <c r="C18" s="91">
        <f>IF(1&lt;='I_Inputs &amp; Assumptions'!$B$8,IF('I_Budget Input Data'!$E$18="Upfront",IF(1=1,'I_Budget Input Data'!$D$18,0),IF('I_Budget Input Data'!$E$18="Equal",'I_Budget Input Data'!$D$18/'I_Inputs &amp; Assumptions'!$B$8,IF('I_Budget Input Data'!$E$18="Front-loaded",IF(1&lt;='I_Inputs &amp; Assumptions'!$B$8/2,'I_Budget Input Data'!$D$18*0.6/('I_Inputs &amp; Assumptions'!$B$8/2),'I_Budget Input Data'!$D$18*0.4/('I_Inputs &amp; Assumptions'!$B$8/2)),IF('I_Budget Input Data'!$E$18="Back-loaded",IF(1&lt;='I_Inputs &amp; Assumptions'!$B$8/2,'I_Budget Input Data'!$D$18*0.4/('I_Inputs &amp; Assumptions'!$B$8/2),'I_Budget Input Data'!$D$18*0.6/('I_Inputs &amp; Assumptions'!$B$8/2)),IF('I_Budget Input Data'!$E$18="Mid-weighted",IF(1&lt;='I_Inputs &amp; Assumptions'!$B$8/4,'I_Budget Input Data'!$D$18*0.2/('I_Inputs &amp; Assumptions'!$B$8/4),IF(1&lt;='I_Inputs &amp; Assumptions'!$B$8*0.75,'I_Budget Input Data'!$D$18*0.6/('I_Inputs &amp; Assumptions'!$B$8/2),'I_Budget Input Data'!$D$18*0.2/('I_Inputs &amp; Assumptions'!$B$8/4))),IF('I_Budget Input Data'!$E$18="At Completion",IF(1='I_Inputs &amp; Assumptions'!$B$8,'I_Budget Input Data'!$D$18,0),'I_Budget Input Data'!$D$18/'I_Inputs &amp; Assumptions'!$B$8)))))),0)</f>
        <v>2132.3076923076924</v>
      </c>
      <c r="D18" s="91">
        <f>IF(2&lt;='I_Inputs &amp; Assumptions'!$B$8,IF('I_Budget Input Data'!$E$18="Upfront",IF(2=1,'I_Budget Input Data'!$D$18,0),IF('I_Budget Input Data'!$E$18="Equal",'I_Budget Input Data'!$D$18/'I_Inputs &amp; Assumptions'!$B$8,IF('I_Budget Input Data'!$E$18="Front-loaded",IF(2&lt;='I_Inputs &amp; Assumptions'!$B$8/2,'I_Budget Input Data'!$D$18*0.6/('I_Inputs &amp; Assumptions'!$B$8/2),'I_Budget Input Data'!$D$18*0.4/('I_Inputs &amp; Assumptions'!$B$8/2)),IF('I_Budget Input Data'!$E$18="Back-loaded",IF(2&lt;='I_Inputs &amp; Assumptions'!$B$8/2,'I_Budget Input Data'!$D$18*0.4/('I_Inputs &amp; Assumptions'!$B$8/2),'I_Budget Input Data'!$D$18*0.6/('I_Inputs &amp; Assumptions'!$B$8/2)),IF('I_Budget Input Data'!$E$18="Mid-weighted",IF(2&lt;='I_Inputs &amp; Assumptions'!$B$8/4,'I_Budget Input Data'!$D$18*0.2/('I_Inputs &amp; Assumptions'!$B$8/4),IF(2&lt;='I_Inputs &amp; Assumptions'!$B$8*0.75,'I_Budget Input Data'!$D$18*0.6/('I_Inputs &amp; Assumptions'!$B$8/2),'I_Budget Input Data'!$D$18*0.2/('I_Inputs &amp; Assumptions'!$B$8/4))),IF('I_Budget Input Data'!$E$18="At Completion",IF(2='I_Inputs &amp; Assumptions'!$B$8,'I_Budget Input Data'!$D$18,0),'I_Budget Input Data'!$D$18/'I_Inputs &amp; Assumptions'!$B$8)))))),0)</f>
        <v>2132.3076923076924</v>
      </c>
      <c r="E18" s="91">
        <f>IF(3&lt;='I_Inputs &amp; Assumptions'!$B$8,IF('I_Budget Input Data'!$E$18="Upfront",IF(3=1,'I_Budget Input Data'!$D$18,0),IF('I_Budget Input Data'!$E$18="Equal",'I_Budget Input Data'!$D$18/'I_Inputs &amp; Assumptions'!$B$8,IF('I_Budget Input Data'!$E$18="Front-loaded",IF(3&lt;='I_Inputs &amp; Assumptions'!$B$8/2,'I_Budget Input Data'!$D$18*0.6/('I_Inputs &amp; Assumptions'!$B$8/2),'I_Budget Input Data'!$D$18*0.4/('I_Inputs &amp; Assumptions'!$B$8/2)),IF('I_Budget Input Data'!$E$18="Back-loaded",IF(3&lt;='I_Inputs &amp; Assumptions'!$B$8/2,'I_Budget Input Data'!$D$18*0.4/('I_Inputs &amp; Assumptions'!$B$8/2),'I_Budget Input Data'!$D$18*0.6/('I_Inputs &amp; Assumptions'!$B$8/2)),IF('I_Budget Input Data'!$E$18="Mid-weighted",IF(3&lt;='I_Inputs &amp; Assumptions'!$B$8/4,'I_Budget Input Data'!$D$18*0.2/('I_Inputs &amp; Assumptions'!$B$8/4),IF(3&lt;='I_Inputs &amp; Assumptions'!$B$8*0.75,'I_Budget Input Data'!$D$18*0.6/('I_Inputs &amp; Assumptions'!$B$8/2),'I_Budget Input Data'!$D$18*0.2/('I_Inputs &amp; Assumptions'!$B$8/4))),IF('I_Budget Input Data'!$E$18="At Completion",IF(3='I_Inputs &amp; Assumptions'!$B$8,'I_Budget Input Data'!$D$18,0),'I_Budget Input Data'!$D$18/'I_Inputs &amp; Assumptions'!$B$8)))))),0)</f>
        <v>2132.3076923076924</v>
      </c>
      <c r="F18" s="91">
        <f>IF(4&lt;='I_Inputs &amp; Assumptions'!$B$8,IF('I_Budget Input Data'!$E$18="Upfront",IF(4=1,'I_Budget Input Data'!$D$18,0),IF('I_Budget Input Data'!$E$18="Equal",'I_Budget Input Data'!$D$18/'I_Inputs &amp; Assumptions'!$B$8,IF('I_Budget Input Data'!$E$18="Front-loaded",IF(4&lt;='I_Inputs &amp; Assumptions'!$B$8/2,'I_Budget Input Data'!$D$18*0.6/('I_Inputs &amp; Assumptions'!$B$8/2),'I_Budget Input Data'!$D$18*0.4/('I_Inputs &amp; Assumptions'!$B$8/2)),IF('I_Budget Input Data'!$E$18="Back-loaded",IF(4&lt;='I_Inputs &amp; Assumptions'!$B$8/2,'I_Budget Input Data'!$D$18*0.4/('I_Inputs &amp; Assumptions'!$B$8/2),'I_Budget Input Data'!$D$18*0.6/('I_Inputs &amp; Assumptions'!$B$8/2)),IF('I_Budget Input Data'!$E$18="Mid-weighted",IF(4&lt;='I_Inputs &amp; Assumptions'!$B$8/4,'I_Budget Input Data'!$D$18*0.2/('I_Inputs &amp; Assumptions'!$B$8/4),IF(4&lt;='I_Inputs &amp; Assumptions'!$B$8*0.75,'I_Budget Input Data'!$D$18*0.6/('I_Inputs &amp; Assumptions'!$B$8/2),'I_Budget Input Data'!$D$18*0.2/('I_Inputs &amp; Assumptions'!$B$8/4))),IF('I_Budget Input Data'!$E$18="At Completion",IF(4='I_Inputs &amp; Assumptions'!$B$8,'I_Budget Input Data'!$D$18,0),'I_Budget Input Data'!$D$18/'I_Inputs &amp; Assumptions'!$B$8)))))),0)</f>
        <v>2132.3076923076924</v>
      </c>
      <c r="G18" s="91">
        <f>IF(5&lt;='I_Inputs &amp; Assumptions'!$B$8,IF('I_Budget Input Data'!$E$18="Upfront",IF(5=1,'I_Budget Input Data'!$D$18,0),IF('I_Budget Input Data'!$E$18="Equal",'I_Budget Input Data'!$D$18/'I_Inputs &amp; Assumptions'!$B$8,IF('I_Budget Input Data'!$E$18="Front-loaded",IF(5&lt;='I_Inputs &amp; Assumptions'!$B$8/2,'I_Budget Input Data'!$D$18*0.6/('I_Inputs &amp; Assumptions'!$B$8/2),'I_Budget Input Data'!$D$18*0.4/('I_Inputs &amp; Assumptions'!$B$8/2)),IF('I_Budget Input Data'!$E$18="Back-loaded",IF(5&lt;='I_Inputs &amp; Assumptions'!$B$8/2,'I_Budget Input Data'!$D$18*0.4/('I_Inputs &amp; Assumptions'!$B$8/2),'I_Budget Input Data'!$D$18*0.6/('I_Inputs &amp; Assumptions'!$B$8/2)),IF('I_Budget Input Data'!$E$18="Mid-weighted",IF(5&lt;='I_Inputs &amp; Assumptions'!$B$8/4,'I_Budget Input Data'!$D$18*0.2/('I_Inputs &amp; Assumptions'!$B$8/4),IF(5&lt;='I_Inputs &amp; Assumptions'!$B$8*0.75,'I_Budget Input Data'!$D$18*0.6/('I_Inputs &amp; Assumptions'!$B$8/2),'I_Budget Input Data'!$D$18*0.2/('I_Inputs &amp; Assumptions'!$B$8/4))),IF('I_Budget Input Data'!$E$18="At Completion",IF(5='I_Inputs &amp; Assumptions'!$B$8,'I_Budget Input Data'!$D$18,0),'I_Budget Input Data'!$D$18/'I_Inputs &amp; Assumptions'!$B$8)))))),0)</f>
        <v>2132.3076923076924</v>
      </c>
      <c r="H18" s="91">
        <f>IF(6&lt;='I_Inputs &amp; Assumptions'!$B$8,IF('I_Budget Input Data'!$E$18="Upfront",IF(6=1,'I_Budget Input Data'!$D$18,0),IF('I_Budget Input Data'!$E$18="Equal",'I_Budget Input Data'!$D$18/'I_Inputs &amp; Assumptions'!$B$8,IF('I_Budget Input Data'!$E$18="Front-loaded",IF(6&lt;='I_Inputs &amp; Assumptions'!$B$8/2,'I_Budget Input Data'!$D$18*0.6/('I_Inputs &amp; Assumptions'!$B$8/2),'I_Budget Input Data'!$D$18*0.4/('I_Inputs &amp; Assumptions'!$B$8/2)),IF('I_Budget Input Data'!$E$18="Back-loaded",IF(6&lt;='I_Inputs &amp; Assumptions'!$B$8/2,'I_Budget Input Data'!$D$18*0.4/('I_Inputs &amp; Assumptions'!$B$8/2),'I_Budget Input Data'!$D$18*0.6/('I_Inputs &amp; Assumptions'!$B$8/2)),IF('I_Budget Input Data'!$E$18="Mid-weighted",IF(6&lt;='I_Inputs &amp; Assumptions'!$B$8/4,'I_Budget Input Data'!$D$18*0.2/('I_Inputs &amp; Assumptions'!$B$8/4),IF(6&lt;='I_Inputs &amp; Assumptions'!$B$8*0.75,'I_Budget Input Data'!$D$18*0.6/('I_Inputs &amp; Assumptions'!$B$8/2),'I_Budget Input Data'!$D$18*0.2/('I_Inputs &amp; Assumptions'!$B$8/4))),IF('I_Budget Input Data'!$E$18="At Completion",IF(6='I_Inputs &amp; Assumptions'!$B$8,'I_Budget Input Data'!$D$18,0),'I_Budget Input Data'!$D$18/'I_Inputs &amp; Assumptions'!$B$8)))))),0)</f>
        <v>2132.3076923076924</v>
      </c>
      <c r="I18" s="91">
        <f>IF(7&lt;='I_Inputs &amp; Assumptions'!$B$8,IF('I_Budget Input Data'!$E$18="Upfront",IF(7=1,'I_Budget Input Data'!$D$18,0),IF('I_Budget Input Data'!$E$18="Equal",'I_Budget Input Data'!$D$18/'I_Inputs &amp; Assumptions'!$B$8,IF('I_Budget Input Data'!$E$18="Front-loaded",IF(7&lt;='I_Inputs &amp; Assumptions'!$B$8/2,'I_Budget Input Data'!$D$18*0.6/('I_Inputs &amp; Assumptions'!$B$8/2),'I_Budget Input Data'!$D$18*0.4/('I_Inputs &amp; Assumptions'!$B$8/2)),IF('I_Budget Input Data'!$E$18="Back-loaded",IF(7&lt;='I_Inputs &amp; Assumptions'!$B$8/2,'I_Budget Input Data'!$D$18*0.4/('I_Inputs &amp; Assumptions'!$B$8/2),'I_Budget Input Data'!$D$18*0.6/('I_Inputs &amp; Assumptions'!$B$8/2)),IF('I_Budget Input Data'!$E$18="Mid-weighted",IF(7&lt;='I_Inputs &amp; Assumptions'!$B$8/4,'I_Budget Input Data'!$D$18*0.2/('I_Inputs &amp; Assumptions'!$B$8/4),IF(7&lt;='I_Inputs &amp; Assumptions'!$B$8*0.75,'I_Budget Input Data'!$D$18*0.6/('I_Inputs &amp; Assumptions'!$B$8/2),'I_Budget Input Data'!$D$18*0.2/('I_Inputs &amp; Assumptions'!$B$8/4))),IF('I_Budget Input Data'!$E$18="At Completion",IF(7='I_Inputs &amp; Assumptions'!$B$8,'I_Budget Input Data'!$D$18,0),'I_Budget Input Data'!$D$18/'I_Inputs &amp; Assumptions'!$B$8)))))),0)</f>
        <v>1421.5384615384614</v>
      </c>
      <c r="J18" s="91">
        <f>IF(8&lt;='I_Inputs &amp; Assumptions'!$B$8,IF('I_Budget Input Data'!$E$18="Upfront",IF(8=1,'I_Budget Input Data'!$D$18,0),IF('I_Budget Input Data'!$E$18="Equal",'I_Budget Input Data'!$D$18/'I_Inputs &amp; Assumptions'!$B$8,IF('I_Budget Input Data'!$E$18="Front-loaded",IF(8&lt;='I_Inputs &amp; Assumptions'!$B$8/2,'I_Budget Input Data'!$D$18*0.6/('I_Inputs &amp; Assumptions'!$B$8/2),'I_Budget Input Data'!$D$18*0.4/('I_Inputs &amp; Assumptions'!$B$8/2)),IF('I_Budget Input Data'!$E$18="Back-loaded",IF(8&lt;='I_Inputs &amp; Assumptions'!$B$8/2,'I_Budget Input Data'!$D$18*0.4/('I_Inputs &amp; Assumptions'!$B$8/2),'I_Budget Input Data'!$D$18*0.6/('I_Inputs &amp; Assumptions'!$B$8/2)),IF('I_Budget Input Data'!$E$18="Mid-weighted",IF(8&lt;='I_Inputs &amp; Assumptions'!$B$8/4,'I_Budget Input Data'!$D$18*0.2/('I_Inputs &amp; Assumptions'!$B$8/4),IF(8&lt;='I_Inputs &amp; Assumptions'!$B$8*0.75,'I_Budget Input Data'!$D$18*0.6/('I_Inputs &amp; Assumptions'!$B$8/2),'I_Budget Input Data'!$D$18*0.2/('I_Inputs &amp; Assumptions'!$B$8/4))),IF('I_Budget Input Data'!$E$18="At Completion",IF(8='I_Inputs &amp; Assumptions'!$B$8,'I_Budget Input Data'!$D$18,0),'I_Budget Input Data'!$D$18/'I_Inputs &amp; Assumptions'!$B$8)))))),0)</f>
        <v>1421.5384615384614</v>
      </c>
      <c r="K18" s="91">
        <f>IF(9&lt;='I_Inputs &amp; Assumptions'!$B$8,IF('I_Budget Input Data'!$E$18="Upfront",IF(9=1,'I_Budget Input Data'!$D$18,0),IF('I_Budget Input Data'!$E$18="Equal",'I_Budget Input Data'!$D$18/'I_Inputs &amp; Assumptions'!$B$8,IF('I_Budget Input Data'!$E$18="Front-loaded",IF(9&lt;='I_Inputs &amp; Assumptions'!$B$8/2,'I_Budget Input Data'!$D$18*0.6/('I_Inputs &amp; Assumptions'!$B$8/2),'I_Budget Input Data'!$D$18*0.4/('I_Inputs &amp; Assumptions'!$B$8/2)),IF('I_Budget Input Data'!$E$18="Back-loaded",IF(9&lt;='I_Inputs &amp; Assumptions'!$B$8/2,'I_Budget Input Data'!$D$18*0.4/('I_Inputs &amp; Assumptions'!$B$8/2),'I_Budget Input Data'!$D$18*0.6/('I_Inputs &amp; Assumptions'!$B$8/2)),IF('I_Budget Input Data'!$E$18="Mid-weighted",IF(9&lt;='I_Inputs &amp; Assumptions'!$B$8/4,'I_Budget Input Data'!$D$18*0.2/('I_Inputs &amp; Assumptions'!$B$8/4),IF(9&lt;='I_Inputs &amp; Assumptions'!$B$8*0.75,'I_Budget Input Data'!$D$18*0.6/('I_Inputs &amp; Assumptions'!$B$8/2),'I_Budget Input Data'!$D$18*0.2/('I_Inputs &amp; Assumptions'!$B$8/4))),IF('I_Budget Input Data'!$E$18="At Completion",IF(9='I_Inputs &amp; Assumptions'!$B$8,'I_Budget Input Data'!$D$18,0),'I_Budget Input Data'!$D$18/'I_Inputs &amp; Assumptions'!$B$8)))))),0)</f>
        <v>1421.5384615384614</v>
      </c>
      <c r="L18" s="91">
        <f>IF(10&lt;='I_Inputs &amp; Assumptions'!$B$8,IF('I_Budget Input Data'!$E$18="Upfront",IF(10=1,'I_Budget Input Data'!$D$18,0),IF('I_Budget Input Data'!$E$18="Equal",'I_Budget Input Data'!$D$18/'I_Inputs &amp; Assumptions'!$B$8,IF('I_Budget Input Data'!$E$18="Front-loaded",IF(10&lt;='I_Inputs &amp; Assumptions'!$B$8/2,'I_Budget Input Data'!$D$18*0.6/('I_Inputs &amp; Assumptions'!$B$8/2),'I_Budget Input Data'!$D$18*0.4/('I_Inputs &amp; Assumptions'!$B$8/2)),IF('I_Budget Input Data'!$E$18="Back-loaded",IF(10&lt;='I_Inputs &amp; Assumptions'!$B$8/2,'I_Budget Input Data'!$D$18*0.4/('I_Inputs &amp; Assumptions'!$B$8/2),'I_Budget Input Data'!$D$18*0.6/('I_Inputs &amp; Assumptions'!$B$8/2)),IF('I_Budget Input Data'!$E$18="Mid-weighted",IF(10&lt;='I_Inputs &amp; Assumptions'!$B$8/4,'I_Budget Input Data'!$D$18*0.2/('I_Inputs &amp; Assumptions'!$B$8/4),IF(10&lt;='I_Inputs &amp; Assumptions'!$B$8*0.75,'I_Budget Input Data'!$D$18*0.6/('I_Inputs &amp; Assumptions'!$B$8/2),'I_Budget Input Data'!$D$18*0.2/('I_Inputs &amp; Assumptions'!$B$8/4))),IF('I_Budget Input Data'!$E$18="At Completion",IF(10='I_Inputs &amp; Assumptions'!$B$8,'I_Budget Input Data'!$D$18,0),'I_Budget Input Data'!$D$18/'I_Inputs &amp; Assumptions'!$B$8)))))),0)</f>
        <v>1421.5384615384614</v>
      </c>
      <c r="M18" s="91">
        <f>IF(11&lt;='I_Inputs &amp; Assumptions'!$B$8,IF('I_Budget Input Data'!$E$18="Upfront",IF(11=1,'I_Budget Input Data'!$D$18,0),IF('I_Budget Input Data'!$E$18="Equal",'I_Budget Input Data'!$D$18/'I_Inputs &amp; Assumptions'!$B$8,IF('I_Budget Input Data'!$E$18="Front-loaded",IF(11&lt;='I_Inputs &amp; Assumptions'!$B$8/2,'I_Budget Input Data'!$D$18*0.6/('I_Inputs &amp; Assumptions'!$B$8/2),'I_Budget Input Data'!$D$18*0.4/('I_Inputs &amp; Assumptions'!$B$8/2)),IF('I_Budget Input Data'!$E$18="Back-loaded",IF(11&lt;='I_Inputs &amp; Assumptions'!$B$8/2,'I_Budget Input Data'!$D$18*0.4/('I_Inputs &amp; Assumptions'!$B$8/2),'I_Budget Input Data'!$D$18*0.6/('I_Inputs &amp; Assumptions'!$B$8/2)),IF('I_Budget Input Data'!$E$18="Mid-weighted",IF(11&lt;='I_Inputs &amp; Assumptions'!$B$8/4,'I_Budget Input Data'!$D$18*0.2/('I_Inputs &amp; Assumptions'!$B$8/4),IF(11&lt;='I_Inputs &amp; Assumptions'!$B$8*0.75,'I_Budget Input Data'!$D$18*0.6/('I_Inputs &amp; Assumptions'!$B$8/2),'I_Budget Input Data'!$D$18*0.2/('I_Inputs &amp; Assumptions'!$B$8/4))),IF('I_Budget Input Data'!$E$18="At Completion",IF(11='I_Inputs &amp; Assumptions'!$B$8,'I_Budget Input Data'!$D$18,0),'I_Budget Input Data'!$D$18/'I_Inputs &amp; Assumptions'!$B$8)))))),0)</f>
        <v>1421.5384615384614</v>
      </c>
      <c r="N18" s="91">
        <f>IF(12&lt;='I_Inputs &amp; Assumptions'!$B$8,IF('I_Budget Input Data'!$E$18="Upfront",IF(12=1,'I_Budget Input Data'!$D$18,0),IF('I_Budget Input Data'!$E$18="Equal",'I_Budget Input Data'!$D$18/'I_Inputs &amp; Assumptions'!$B$8,IF('I_Budget Input Data'!$E$18="Front-loaded",IF(12&lt;='I_Inputs &amp; Assumptions'!$B$8/2,'I_Budget Input Data'!$D$18*0.6/('I_Inputs &amp; Assumptions'!$B$8/2),'I_Budget Input Data'!$D$18*0.4/('I_Inputs &amp; Assumptions'!$B$8/2)),IF('I_Budget Input Data'!$E$18="Back-loaded",IF(12&lt;='I_Inputs &amp; Assumptions'!$B$8/2,'I_Budget Input Data'!$D$18*0.4/('I_Inputs &amp; Assumptions'!$B$8/2),'I_Budget Input Data'!$D$18*0.6/('I_Inputs &amp; Assumptions'!$B$8/2)),IF('I_Budget Input Data'!$E$18="Mid-weighted",IF(12&lt;='I_Inputs &amp; Assumptions'!$B$8/4,'I_Budget Input Data'!$D$18*0.2/('I_Inputs &amp; Assumptions'!$B$8/4),IF(12&lt;='I_Inputs &amp; Assumptions'!$B$8*0.75,'I_Budget Input Data'!$D$18*0.6/('I_Inputs &amp; Assumptions'!$B$8/2),'I_Budget Input Data'!$D$18*0.2/('I_Inputs &amp; Assumptions'!$B$8/4))),IF('I_Budget Input Data'!$E$18="At Completion",IF(12='I_Inputs &amp; Assumptions'!$B$8,'I_Budget Input Data'!$D$18,0),'I_Budget Input Data'!$D$18/'I_Inputs &amp; Assumptions'!$B$8)))))),0)</f>
        <v>1421.5384615384614</v>
      </c>
      <c r="O18" s="91">
        <f>IF(13&lt;='I_Inputs &amp; Assumptions'!$B$8,IF('I_Budget Input Data'!$E$18="Upfront",IF(13=1,'I_Budget Input Data'!$D$18,0),IF('I_Budget Input Data'!$E$18="Equal",'I_Budget Input Data'!$D$18/'I_Inputs &amp; Assumptions'!$B$8,IF('I_Budget Input Data'!$E$18="Front-loaded",IF(13&lt;='I_Inputs &amp; Assumptions'!$B$8/2,'I_Budget Input Data'!$D$18*0.6/('I_Inputs &amp; Assumptions'!$B$8/2),'I_Budget Input Data'!$D$18*0.4/('I_Inputs &amp; Assumptions'!$B$8/2)),IF('I_Budget Input Data'!$E$18="Back-loaded",IF(13&lt;='I_Inputs &amp; Assumptions'!$B$8/2,'I_Budget Input Data'!$D$18*0.4/('I_Inputs &amp; Assumptions'!$B$8/2),'I_Budget Input Data'!$D$18*0.6/('I_Inputs &amp; Assumptions'!$B$8/2)),IF('I_Budget Input Data'!$E$18="Mid-weighted",IF(13&lt;='I_Inputs &amp; Assumptions'!$B$8/4,'I_Budget Input Data'!$D$18*0.2/('I_Inputs &amp; Assumptions'!$B$8/4),IF(13&lt;='I_Inputs &amp; Assumptions'!$B$8*0.75,'I_Budget Input Data'!$D$18*0.6/('I_Inputs &amp; Assumptions'!$B$8/2),'I_Budget Input Data'!$D$18*0.2/('I_Inputs &amp; Assumptions'!$B$8/4))),IF('I_Budget Input Data'!$E$18="At Completion",IF(13='I_Inputs &amp; Assumptions'!$B$8,'I_Budget Input Data'!$D$18,0),'I_Budget Input Data'!$D$18/'I_Inputs &amp; Assumptions'!$B$8)))))),0)</f>
        <v>1421.5384615384614</v>
      </c>
      <c r="P18" s="91">
        <f>IF(14&lt;='I_Inputs &amp; Assumptions'!$B$8,IF('I_Budget Input Data'!$E$18="Upfront",IF(14=1,'I_Budget Input Data'!$D$18,0),IF('I_Budget Input Data'!$E$18="Equal",'I_Budget Input Data'!$D$18/'I_Inputs &amp; Assumptions'!$B$8,IF('I_Budget Input Data'!$E$18="Front-loaded",IF(14&lt;='I_Inputs &amp; Assumptions'!$B$8/2,'I_Budget Input Data'!$D$18*0.6/('I_Inputs &amp; Assumptions'!$B$8/2),'I_Budget Input Data'!$D$18*0.4/('I_Inputs &amp; Assumptions'!$B$8/2)),IF('I_Budget Input Data'!$E$18="Back-loaded",IF(14&lt;='I_Inputs &amp; Assumptions'!$B$8/2,'I_Budget Input Data'!$D$18*0.4/('I_Inputs &amp; Assumptions'!$B$8/2),'I_Budget Input Data'!$D$18*0.6/('I_Inputs &amp; Assumptions'!$B$8/2)),IF('I_Budget Input Data'!$E$18="Mid-weighted",IF(14&lt;='I_Inputs &amp; Assumptions'!$B$8/4,'I_Budget Input Data'!$D$18*0.2/('I_Inputs &amp; Assumptions'!$B$8/4),IF(14&lt;='I_Inputs &amp; Assumptions'!$B$8*0.75,'I_Budget Input Data'!$D$18*0.6/('I_Inputs &amp; Assumptions'!$B$8/2),'I_Budget Input Data'!$D$18*0.2/('I_Inputs &amp; Assumptions'!$B$8/4))),IF('I_Budget Input Data'!$E$18="At Completion",IF(14='I_Inputs &amp; Assumptions'!$B$8,'I_Budget Input Data'!$D$18,0),'I_Budget Input Data'!$D$18/'I_Inputs &amp; Assumptions'!$B$8)))))),0)</f>
        <v>0</v>
      </c>
      <c r="Q18" s="91">
        <f>IF(15&lt;='I_Inputs &amp; Assumptions'!$B$8,IF('I_Budget Input Data'!$E$18="Upfront",IF(15=1,'I_Budget Input Data'!$D$18,0),IF('I_Budget Input Data'!$E$18="Equal",'I_Budget Input Data'!$D$18/'I_Inputs &amp; Assumptions'!$B$8,IF('I_Budget Input Data'!$E$18="Front-loaded",IF(15&lt;='I_Inputs &amp; Assumptions'!$B$8/2,'I_Budget Input Data'!$D$18*0.6/('I_Inputs &amp; Assumptions'!$B$8/2),'I_Budget Input Data'!$D$18*0.4/('I_Inputs &amp; Assumptions'!$B$8/2)),IF('I_Budget Input Data'!$E$18="Back-loaded",IF(15&lt;='I_Inputs &amp; Assumptions'!$B$8/2,'I_Budget Input Data'!$D$18*0.4/('I_Inputs &amp; Assumptions'!$B$8/2),'I_Budget Input Data'!$D$18*0.6/('I_Inputs &amp; Assumptions'!$B$8/2)),IF('I_Budget Input Data'!$E$18="Mid-weighted",IF(15&lt;='I_Inputs &amp; Assumptions'!$B$8/4,'I_Budget Input Data'!$D$18*0.2/('I_Inputs &amp; Assumptions'!$B$8/4),IF(15&lt;='I_Inputs &amp; Assumptions'!$B$8*0.75,'I_Budget Input Data'!$D$18*0.6/('I_Inputs &amp; Assumptions'!$B$8/2),'I_Budget Input Data'!$D$18*0.2/('I_Inputs &amp; Assumptions'!$B$8/4))),IF('I_Budget Input Data'!$E$18="At Completion",IF(15='I_Inputs &amp; Assumptions'!$B$8,'I_Budget Input Data'!$D$18,0),'I_Budget Input Data'!$D$18/'I_Inputs &amp; Assumptions'!$B$8)))))),0)</f>
        <v>0</v>
      </c>
      <c r="R18" s="91">
        <f>IF(16&lt;='I_Inputs &amp; Assumptions'!$B$8,IF('I_Budget Input Data'!$E$18="Upfront",IF(16=1,'I_Budget Input Data'!$D$18,0),IF('I_Budget Input Data'!$E$18="Equal",'I_Budget Input Data'!$D$18/'I_Inputs &amp; Assumptions'!$B$8,IF('I_Budget Input Data'!$E$18="Front-loaded",IF(16&lt;='I_Inputs &amp; Assumptions'!$B$8/2,'I_Budget Input Data'!$D$18*0.6/('I_Inputs &amp; Assumptions'!$B$8/2),'I_Budget Input Data'!$D$18*0.4/('I_Inputs &amp; Assumptions'!$B$8/2)),IF('I_Budget Input Data'!$E$18="Back-loaded",IF(16&lt;='I_Inputs &amp; Assumptions'!$B$8/2,'I_Budget Input Data'!$D$18*0.4/('I_Inputs &amp; Assumptions'!$B$8/2),'I_Budget Input Data'!$D$18*0.6/('I_Inputs &amp; Assumptions'!$B$8/2)),IF('I_Budget Input Data'!$E$18="Mid-weighted",IF(16&lt;='I_Inputs &amp; Assumptions'!$B$8/4,'I_Budget Input Data'!$D$18*0.2/('I_Inputs &amp; Assumptions'!$B$8/4),IF(16&lt;='I_Inputs &amp; Assumptions'!$B$8*0.75,'I_Budget Input Data'!$D$18*0.6/('I_Inputs &amp; Assumptions'!$B$8/2),'I_Budget Input Data'!$D$18*0.2/('I_Inputs &amp; Assumptions'!$B$8/4))),IF('I_Budget Input Data'!$E$18="At Completion",IF(16='I_Inputs &amp; Assumptions'!$B$8,'I_Budget Input Data'!$D$18,0),'I_Budget Input Data'!$D$18/'I_Inputs &amp; Assumptions'!$B$8)))))),0)</f>
        <v>0</v>
      </c>
      <c r="S18" s="91">
        <f>IF(17&lt;='I_Inputs &amp; Assumptions'!$B$8,IF('I_Budget Input Data'!$E$18="Upfront",IF(17=1,'I_Budget Input Data'!$D$18,0),IF('I_Budget Input Data'!$E$18="Equal",'I_Budget Input Data'!$D$18/'I_Inputs &amp; Assumptions'!$B$8,IF('I_Budget Input Data'!$E$18="Front-loaded",IF(17&lt;='I_Inputs &amp; Assumptions'!$B$8/2,'I_Budget Input Data'!$D$18*0.6/('I_Inputs &amp; Assumptions'!$B$8/2),'I_Budget Input Data'!$D$18*0.4/('I_Inputs &amp; Assumptions'!$B$8/2)),IF('I_Budget Input Data'!$E$18="Back-loaded",IF(17&lt;='I_Inputs &amp; Assumptions'!$B$8/2,'I_Budget Input Data'!$D$18*0.4/('I_Inputs &amp; Assumptions'!$B$8/2),'I_Budget Input Data'!$D$18*0.6/('I_Inputs &amp; Assumptions'!$B$8/2)),IF('I_Budget Input Data'!$E$18="Mid-weighted",IF(17&lt;='I_Inputs &amp; Assumptions'!$B$8/4,'I_Budget Input Data'!$D$18*0.2/('I_Inputs &amp; Assumptions'!$B$8/4),IF(17&lt;='I_Inputs &amp; Assumptions'!$B$8*0.75,'I_Budget Input Data'!$D$18*0.6/('I_Inputs &amp; Assumptions'!$B$8/2),'I_Budget Input Data'!$D$18*0.2/('I_Inputs &amp; Assumptions'!$B$8/4))),IF('I_Budget Input Data'!$E$18="At Completion",IF(17='I_Inputs &amp; Assumptions'!$B$8,'I_Budget Input Data'!$D$18,0),'I_Budget Input Data'!$D$18/'I_Inputs &amp; Assumptions'!$B$8)))))),0)</f>
        <v>0</v>
      </c>
      <c r="T18" s="91">
        <f>IF(18&lt;='I_Inputs &amp; Assumptions'!$B$8,IF('I_Budget Input Data'!$E$18="Upfront",IF(18=1,'I_Budget Input Data'!$D$18,0),IF('I_Budget Input Data'!$E$18="Equal",'I_Budget Input Data'!$D$18/'I_Inputs &amp; Assumptions'!$B$8,IF('I_Budget Input Data'!$E$18="Front-loaded",IF(18&lt;='I_Inputs &amp; Assumptions'!$B$8/2,'I_Budget Input Data'!$D$18*0.6/('I_Inputs &amp; Assumptions'!$B$8/2),'I_Budget Input Data'!$D$18*0.4/('I_Inputs &amp; Assumptions'!$B$8/2)),IF('I_Budget Input Data'!$E$18="Back-loaded",IF(18&lt;='I_Inputs &amp; Assumptions'!$B$8/2,'I_Budget Input Data'!$D$18*0.4/('I_Inputs &amp; Assumptions'!$B$8/2),'I_Budget Input Data'!$D$18*0.6/('I_Inputs &amp; Assumptions'!$B$8/2)),IF('I_Budget Input Data'!$E$18="Mid-weighted",IF(18&lt;='I_Inputs &amp; Assumptions'!$B$8/4,'I_Budget Input Data'!$D$18*0.2/('I_Inputs &amp; Assumptions'!$B$8/4),IF(18&lt;='I_Inputs &amp; Assumptions'!$B$8*0.75,'I_Budget Input Data'!$D$18*0.6/('I_Inputs &amp; Assumptions'!$B$8/2),'I_Budget Input Data'!$D$18*0.2/('I_Inputs &amp; Assumptions'!$B$8/4))),IF('I_Budget Input Data'!$E$18="At Completion",IF(18='I_Inputs &amp; Assumptions'!$B$8,'I_Budget Input Data'!$D$18,0),'I_Budget Input Data'!$D$18/'I_Inputs &amp; Assumptions'!$B$8)))))),0)</f>
        <v>0</v>
      </c>
      <c r="U18" s="91">
        <f>IF(19&lt;='I_Inputs &amp; Assumptions'!$B$8,IF('I_Budget Input Data'!$E$18="Upfront",IF(19=1,'I_Budget Input Data'!$D$18,0),IF('I_Budget Input Data'!$E$18="Equal",'I_Budget Input Data'!$D$18/'I_Inputs &amp; Assumptions'!$B$8,IF('I_Budget Input Data'!$E$18="Front-loaded",IF(19&lt;='I_Inputs &amp; Assumptions'!$B$8/2,'I_Budget Input Data'!$D$18*0.6/('I_Inputs &amp; Assumptions'!$B$8/2),'I_Budget Input Data'!$D$18*0.4/('I_Inputs &amp; Assumptions'!$B$8/2)),IF('I_Budget Input Data'!$E$18="Back-loaded",IF(19&lt;='I_Inputs &amp; Assumptions'!$B$8/2,'I_Budget Input Data'!$D$18*0.4/('I_Inputs &amp; Assumptions'!$B$8/2),'I_Budget Input Data'!$D$18*0.6/('I_Inputs &amp; Assumptions'!$B$8/2)),IF('I_Budget Input Data'!$E$18="Mid-weighted",IF(19&lt;='I_Inputs &amp; Assumptions'!$B$8/4,'I_Budget Input Data'!$D$18*0.2/('I_Inputs &amp; Assumptions'!$B$8/4),IF(19&lt;='I_Inputs &amp; Assumptions'!$B$8*0.75,'I_Budget Input Data'!$D$18*0.6/('I_Inputs &amp; Assumptions'!$B$8/2),'I_Budget Input Data'!$D$18*0.2/('I_Inputs &amp; Assumptions'!$B$8/4))),IF('I_Budget Input Data'!$E$18="At Completion",IF(19='I_Inputs &amp; Assumptions'!$B$8,'I_Budget Input Data'!$D$18,0),'I_Budget Input Data'!$D$18/'I_Inputs &amp; Assumptions'!$B$8)))))),0)</f>
        <v>0</v>
      </c>
      <c r="V18" s="91">
        <f>IF(20&lt;='I_Inputs &amp; Assumptions'!$B$8,IF('I_Budget Input Data'!$E$18="Upfront",IF(20=1,'I_Budget Input Data'!$D$18,0),IF('I_Budget Input Data'!$E$18="Equal",'I_Budget Input Data'!$D$18/'I_Inputs &amp; Assumptions'!$B$8,IF('I_Budget Input Data'!$E$18="Front-loaded",IF(20&lt;='I_Inputs &amp; Assumptions'!$B$8/2,'I_Budget Input Data'!$D$18*0.6/('I_Inputs &amp; Assumptions'!$B$8/2),'I_Budget Input Data'!$D$18*0.4/('I_Inputs &amp; Assumptions'!$B$8/2)),IF('I_Budget Input Data'!$E$18="Back-loaded",IF(20&lt;='I_Inputs &amp; Assumptions'!$B$8/2,'I_Budget Input Data'!$D$18*0.4/('I_Inputs &amp; Assumptions'!$B$8/2),'I_Budget Input Data'!$D$18*0.6/('I_Inputs &amp; Assumptions'!$B$8/2)),IF('I_Budget Input Data'!$E$18="Mid-weighted",IF(20&lt;='I_Inputs &amp; Assumptions'!$B$8/4,'I_Budget Input Data'!$D$18*0.2/('I_Inputs &amp; Assumptions'!$B$8/4),IF(20&lt;='I_Inputs &amp; Assumptions'!$B$8*0.75,'I_Budget Input Data'!$D$18*0.6/('I_Inputs &amp; Assumptions'!$B$8/2),'I_Budget Input Data'!$D$18*0.2/('I_Inputs &amp; Assumptions'!$B$8/4))),IF('I_Budget Input Data'!$E$18="At Completion",IF(20='I_Inputs &amp; Assumptions'!$B$8,'I_Budget Input Data'!$D$18,0),'I_Budget Input Data'!$D$18/'I_Inputs &amp; Assumptions'!$B$8)))))),0)</f>
        <v>0</v>
      </c>
      <c r="W18" s="91">
        <f>IF(21&lt;='I_Inputs &amp; Assumptions'!$B$8,IF('I_Budget Input Data'!$E$18="Upfront",IF(21=1,'I_Budget Input Data'!$D$18,0),IF('I_Budget Input Data'!$E$18="Equal",'I_Budget Input Data'!$D$18/'I_Inputs &amp; Assumptions'!$B$8,IF('I_Budget Input Data'!$E$18="Front-loaded",IF(21&lt;='I_Inputs &amp; Assumptions'!$B$8/2,'I_Budget Input Data'!$D$18*0.6/('I_Inputs &amp; Assumptions'!$B$8/2),'I_Budget Input Data'!$D$18*0.4/('I_Inputs &amp; Assumptions'!$B$8/2)),IF('I_Budget Input Data'!$E$18="Back-loaded",IF(21&lt;='I_Inputs &amp; Assumptions'!$B$8/2,'I_Budget Input Data'!$D$18*0.4/('I_Inputs &amp; Assumptions'!$B$8/2),'I_Budget Input Data'!$D$18*0.6/('I_Inputs &amp; Assumptions'!$B$8/2)),IF('I_Budget Input Data'!$E$18="Mid-weighted",IF(21&lt;='I_Inputs &amp; Assumptions'!$B$8/4,'I_Budget Input Data'!$D$18*0.2/('I_Inputs &amp; Assumptions'!$B$8/4),IF(21&lt;='I_Inputs &amp; Assumptions'!$B$8*0.75,'I_Budget Input Data'!$D$18*0.6/('I_Inputs &amp; Assumptions'!$B$8/2),'I_Budget Input Data'!$D$18*0.2/('I_Inputs &amp; Assumptions'!$B$8/4))),IF('I_Budget Input Data'!$E$18="At Completion",IF(21='I_Inputs &amp; Assumptions'!$B$8,'I_Budget Input Data'!$D$18,0),'I_Budget Input Data'!$D$18/'I_Inputs &amp; Assumptions'!$B$8)))))),0)</f>
        <v>0</v>
      </c>
      <c r="X18" s="91">
        <f>IF(22&lt;='I_Inputs &amp; Assumptions'!$B$8,IF('I_Budget Input Data'!$E$18="Upfront",IF(22=1,'I_Budget Input Data'!$D$18,0),IF('I_Budget Input Data'!$E$18="Equal",'I_Budget Input Data'!$D$18/'I_Inputs &amp; Assumptions'!$B$8,IF('I_Budget Input Data'!$E$18="Front-loaded",IF(22&lt;='I_Inputs &amp; Assumptions'!$B$8/2,'I_Budget Input Data'!$D$18*0.6/('I_Inputs &amp; Assumptions'!$B$8/2),'I_Budget Input Data'!$D$18*0.4/('I_Inputs &amp; Assumptions'!$B$8/2)),IF('I_Budget Input Data'!$E$18="Back-loaded",IF(22&lt;='I_Inputs &amp; Assumptions'!$B$8/2,'I_Budget Input Data'!$D$18*0.4/('I_Inputs &amp; Assumptions'!$B$8/2),'I_Budget Input Data'!$D$18*0.6/('I_Inputs &amp; Assumptions'!$B$8/2)),IF('I_Budget Input Data'!$E$18="Mid-weighted",IF(22&lt;='I_Inputs &amp; Assumptions'!$B$8/4,'I_Budget Input Data'!$D$18*0.2/('I_Inputs &amp; Assumptions'!$B$8/4),IF(22&lt;='I_Inputs &amp; Assumptions'!$B$8*0.75,'I_Budget Input Data'!$D$18*0.6/('I_Inputs &amp; Assumptions'!$B$8/2),'I_Budget Input Data'!$D$18*0.2/('I_Inputs &amp; Assumptions'!$B$8/4))),IF('I_Budget Input Data'!$E$18="At Completion",IF(22='I_Inputs &amp; Assumptions'!$B$8,'I_Budget Input Data'!$D$18,0),'I_Budget Input Data'!$D$18/'I_Inputs &amp; Assumptions'!$B$8)))))),0)</f>
        <v>0</v>
      </c>
      <c r="Y18" s="91">
        <f>IF(23&lt;='I_Inputs &amp; Assumptions'!$B$8,IF('I_Budget Input Data'!$E$18="Upfront",IF(23=1,'I_Budget Input Data'!$D$18,0),IF('I_Budget Input Data'!$E$18="Equal",'I_Budget Input Data'!$D$18/'I_Inputs &amp; Assumptions'!$B$8,IF('I_Budget Input Data'!$E$18="Front-loaded",IF(23&lt;='I_Inputs &amp; Assumptions'!$B$8/2,'I_Budget Input Data'!$D$18*0.6/('I_Inputs &amp; Assumptions'!$B$8/2),'I_Budget Input Data'!$D$18*0.4/('I_Inputs &amp; Assumptions'!$B$8/2)),IF('I_Budget Input Data'!$E$18="Back-loaded",IF(23&lt;='I_Inputs &amp; Assumptions'!$B$8/2,'I_Budget Input Data'!$D$18*0.4/('I_Inputs &amp; Assumptions'!$B$8/2),'I_Budget Input Data'!$D$18*0.6/('I_Inputs &amp; Assumptions'!$B$8/2)),IF('I_Budget Input Data'!$E$18="Mid-weighted",IF(23&lt;='I_Inputs &amp; Assumptions'!$B$8/4,'I_Budget Input Data'!$D$18*0.2/('I_Inputs &amp; Assumptions'!$B$8/4),IF(23&lt;='I_Inputs &amp; Assumptions'!$B$8*0.75,'I_Budget Input Data'!$D$18*0.6/('I_Inputs &amp; Assumptions'!$B$8/2),'I_Budget Input Data'!$D$18*0.2/('I_Inputs &amp; Assumptions'!$B$8/4))),IF('I_Budget Input Data'!$E$18="At Completion",IF(23='I_Inputs &amp; Assumptions'!$B$8,'I_Budget Input Data'!$D$18,0),'I_Budget Input Data'!$D$18/'I_Inputs &amp; Assumptions'!$B$8)))))),0)</f>
        <v>0</v>
      </c>
      <c r="Z18" s="91">
        <f>IF(24&lt;='I_Inputs &amp; Assumptions'!$B$8,IF('I_Budget Input Data'!$E$18="Upfront",IF(24=1,'I_Budget Input Data'!$D$18,0),IF('I_Budget Input Data'!$E$18="Equal",'I_Budget Input Data'!$D$18/'I_Inputs &amp; Assumptions'!$B$8,IF('I_Budget Input Data'!$E$18="Front-loaded",IF(24&lt;='I_Inputs &amp; Assumptions'!$B$8/2,'I_Budget Input Data'!$D$18*0.6/('I_Inputs &amp; Assumptions'!$B$8/2),'I_Budget Input Data'!$D$18*0.4/('I_Inputs &amp; Assumptions'!$B$8/2)),IF('I_Budget Input Data'!$E$18="Back-loaded",IF(24&lt;='I_Inputs &amp; Assumptions'!$B$8/2,'I_Budget Input Data'!$D$18*0.4/('I_Inputs &amp; Assumptions'!$B$8/2),'I_Budget Input Data'!$D$18*0.6/('I_Inputs &amp; Assumptions'!$B$8/2)),IF('I_Budget Input Data'!$E$18="Mid-weighted",IF(24&lt;='I_Inputs &amp; Assumptions'!$B$8/4,'I_Budget Input Data'!$D$18*0.2/('I_Inputs &amp; Assumptions'!$B$8/4),IF(24&lt;='I_Inputs &amp; Assumptions'!$B$8*0.75,'I_Budget Input Data'!$D$18*0.6/('I_Inputs &amp; Assumptions'!$B$8/2),'I_Budget Input Data'!$D$18*0.2/('I_Inputs &amp; Assumptions'!$B$8/4))),IF('I_Budget Input Data'!$E$18="At Completion",IF(24='I_Inputs &amp; Assumptions'!$B$8,'I_Budget Input Data'!$D$18,0),'I_Budget Input Data'!$D$18/'I_Inputs &amp; Assumptions'!$B$8)))))),0)</f>
        <v>0</v>
      </c>
      <c r="AA18" s="91">
        <f>IF(25&lt;='I_Inputs &amp; Assumptions'!$B$8,IF('I_Budget Input Data'!$E$18="Upfront",IF(25=1,'I_Budget Input Data'!$D$18,0),IF('I_Budget Input Data'!$E$18="Equal",'I_Budget Input Data'!$D$18/'I_Inputs &amp; Assumptions'!$B$8,IF('I_Budget Input Data'!$E$18="Front-loaded",IF(25&lt;='I_Inputs &amp; Assumptions'!$B$8/2,'I_Budget Input Data'!$D$18*0.6/('I_Inputs &amp; Assumptions'!$B$8/2),'I_Budget Input Data'!$D$18*0.4/('I_Inputs &amp; Assumptions'!$B$8/2)),IF('I_Budget Input Data'!$E$18="Back-loaded",IF(25&lt;='I_Inputs &amp; Assumptions'!$B$8/2,'I_Budget Input Data'!$D$18*0.4/('I_Inputs &amp; Assumptions'!$B$8/2),'I_Budget Input Data'!$D$18*0.6/('I_Inputs &amp; Assumptions'!$B$8/2)),IF('I_Budget Input Data'!$E$18="Mid-weighted",IF(25&lt;='I_Inputs &amp; Assumptions'!$B$8/4,'I_Budget Input Data'!$D$18*0.2/('I_Inputs &amp; Assumptions'!$B$8/4),IF(25&lt;='I_Inputs &amp; Assumptions'!$B$8*0.75,'I_Budget Input Data'!$D$18*0.6/('I_Inputs &amp; Assumptions'!$B$8/2),'I_Budget Input Data'!$D$18*0.2/('I_Inputs &amp; Assumptions'!$B$8/4))),IF('I_Budget Input Data'!$E$18="At Completion",IF(25='I_Inputs &amp; Assumptions'!$B$8,'I_Budget Input Data'!$D$18,0),'I_Budget Input Data'!$D$18/'I_Inputs &amp; Assumptions'!$B$8)))))),0)</f>
        <v>0</v>
      </c>
      <c r="AB18" s="91">
        <f>IF(26&lt;='I_Inputs &amp; Assumptions'!$B$8,IF('I_Budget Input Data'!$E$18="Upfront",IF(26=1,'I_Budget Input Data'!$D$18,0),IF('I_Budget Input Data'!$E$18="Equal",'I_Budget Input Data'!$D$18/'I_Inputs &amp; Assumptions'!$B$8,IF('I_Budget Input Data'!$E$18="Front-loaded",IF(26&lt;='I_Inputs &amp; Assumptions'!$B$8/2,'I_Budget Input Data'!$D$18*0.6/('I_Inputs &amp; Assumptions'!$B$8/2),'I_Budget Input Data'!$D$18*0.4/('I_Inputs &amp; Assumptions'!$B$8/2)),IF('I_Budget Input Data'!$E$18="Back-loaded",IF(26&lt;='I_Inputs &amp; Assumptions'!$B$8/2,'I_Budget Input Data'!$D$18*0.4/('I_Inputs &amp; Assumptions'!$B$8/2),'I_Budget Input Data'!$D$18*0.6/('I_Inputs &amp; Assumptions'!$B$8/2)),IF('I_Budget Input Data'!$E$18="Mid-weighted",IF(26&lt;='I_Inputs &amp; Assumptions'!$B$8/4,'I_Budget Input Data'!$D$18*0.2/('I_Inputs &amp; Assumptions'!$B$8/4),IF(26&lt;='I_Inputs &amp; Assumptions'!$B$8*0.75,'I_Budget Input Data'!$D$18*0.6/('I_Inputs &amp; Assumptions'!$B$8/2),'I_Budget Input Data'!$D$18*0.2/('I_Inputs &amp; Assumptions'!$B$8/4))),IF('I_Budget Input Data'!$E$18="At Completion",IF(26='I_Inputs &amp; Assumptions'!$B$8,'I_Budget Input Data'!$D$18,0),'I_Budget Input Data'!$D$18/'I_Inputs &amp; Assumptions'!$B$8)))))),0)</f>
        <v>0</v>
      </c>
      <c r="AC18" s="91">
        <f>IF(27&lt;='I_Inputs &amp; Assumptions'!$B$8,IF('I_Budget Input Data'!$E$18="Upfront",IF(27=1,'I_Budget Input Data'!$D$18,0),IF('I_Budget Input Data'!$E$18="Equal",'I_Budget Input Data'!$D$18/'I_Inputs &amp; Assumptions'!$B$8,IF('I_Budget Input Data'!$E$18="Front-loaded",IF(27&lt;='I_Inputs &amp; Assumptions'!$B$8/2,'I_Budget Input Data'!$D$18*0.6/('I_Inputs &amp; Assumptions'!$B$8/2),'I_Budget Input Data'!$D$18*0.4/('I_Inputs &amp; Assumptions'!$B$8/2)),IF('I_Budget Input Data'!$E$18="Back-loaded",IF(27&lt;='I_Inputs &amp; Assumptions'!$B$8/2,'I_Budget Input Data'!$D$18*0.4/('I_Inputs &amp; Assumptions'!$B$8/2),'I_Budget Input Data'!$D$18*0.6/('I_Inputs &amp; Assumptions'!$B$8/2)),IF('I_Budget Input Data'!$E$18="Mid-weighted",IF(27&lt;='I_Inputs &amp; Assumptions'!$B$8/4,'I_Budget Input Data'!$D$18*0.2/('I_Inputs &amp; Assumptions'!$B$8/4),IF(27&lt;='I_Inputs &amp; Assumptions'!$B$8*0.75,'I_Budget Input Data'!$D$18*0.6/('I_Inputs &amp; Assumptions'!$B$8/2),'I_Budget Input Data'!$D$18*0.2/('I_Inputs &amp; Assumptions'!$B$8/4))),IF('I_Budget Input Data'!$E$18="At Completion",IF(27='I_Inputs &amp; Assumptions'!$B$8,'I_Budget Input Data'!$D$18,0),'I_Budget Input Data'!$D$18/'I_Inputs &amp; Assumptions'!$B$8)))))),0)</f>
        <v>0</v>
      </c>
      <c r="AD18" s="91">
        <f>IF(28&lt;='I_Inputs &amp; Assumptions'!$B$8,IF('I_Budget Input Data'!$E$18="Upfront",IF(28=1,'I_Budget Input Data'!$D$18,0),IF('I_Budget Input Data'!$E$18="Equal",'I_Budget Input Data'!$D$18/'I_Inputs &amp; Assumptions'!$B$8,IF('I_Budget Input Data'!$E$18="Front-loaded",IF(28&lt;='I_Inputs &amp; Assumptions'!$B$8/2,'I_Budget Input Data'!$D$18*0.6/('I_Inputs &amp; Assumptions'!$B$8/2),'I_Budget Input Data'!$D$18*0.4/('I_Inputs &amp; Assumptions'!$B$8/2)),IF('I_Budget Input Data'!$E$18="Back-loaded",IF(28&lt;='I_Inputs &amp; Assumptions'!$B$8/2,'I_Budget Input Data'!$D$18*0.4/('I_Inputs &amp; Assumptions'!$B$8/2),'I_Budget Input Data'!$D$18*0.6/('I_Inputs &amp; Assumptions'!$B$8/2)),IF('I_Budget Input Data'!$E$18="Mid-weighted",IF(28&lt;='I_Inputs &amp; Assumptions'!$B$8/4,'I_Budget Input Data'!$D$18*0.2/('I_Inputs &amp; Assumptions'!$B$8/4),IF(28&lt;='I_Inputs &amp; Assumptions'!$B$8*0.75,'I_Budget Input Data'!$D$18*0.6/('I_Inputs &amp; Assumptions'!$B$8/2),'I_Budget Input Data'!$D$18*0.2/('I_Inputs &amp; Assumptions'!$B$8/4))),IF('I_Budget Input Data'!$E$18="At Completion",IF(28='I_Inputs &amp; Assumptions'!$B$8,'I_Budget Input Data'!$D$18,0),'I_Budget Input Data'!$D$18/'I_Inputs &amp; Assumptions'!$B$8)))))),0)</f>
        <v>0</v>
      </c>
      <c r="AE18" s="91">
        <f>IF(29&lt;='I_Inputs &amp; Assumptions'!$B$8,IF('I_Budget Input Data'!$E$18="Upfront",IF(29=1,'I_Budget Input Data'!$D$18,0),IF('I_Budget Input Data'!$E$18="Equal",'I_Budget Input Data'!$D$18/'I_Inputs &amp; Assumptions'!$B$8,IF('I_Budget Input Data'!$E$18="Front-loaded",IF(29&lt;='I_Inputs &amp; Assumptions'!$B$8/2,'I_Budget Input Data'!$D$18*0.6/('I_Inputs &amp; Assumptions'!$B$8/2),'I_Budget Input Data'!$D$18*0.4/('I_Inputs &amp; Assumptions'!$B$8/2)),IF('I_Budget Input Data'!$E$18="Back-loaded",IF(29&lt;='I_Inputs &amp; Assumptions'!$B$8/2,'I_Budget Input Data'!$D$18*0.4/('I_Inputs &amp; Assumptions'!$B$8/2),'I_Budget Input Data'!$D$18*0.6/('I_Inputs &amp; Assumptions'!$B$8/2)),IF('I_Budget Input Data'!$E$18="Mid-weighted",IF(29&lt;='I_Inputs &amp; Assumptions'!$B$8/4,'I_Budget Input Data'!$D$18*0.2/('I_Inputs &amp; Assumptions'!$B$8/4),IF(29&lt;='I_Inputs &amp; Assumptions'!$B$8*0.75,'I_Budget Input Data'!$D$18*0.6/('I_Inputs &amp; Assumptions'!$B$8/2),'I_Budget Input Data'!$D$18*0.2/('I_Inputs &amp; Assumptions'!$B$8/4))),IF('I_Budget Input Data'!$E$18="At Completion",IF(29='I_Inputs &amp; Assumptions'!$B$8,'I_Budget Input Data'!$D$18,0),'I_Budget Input Data'!$D$18/'I_Inputs &amp; Assumptions'!$B$8)))))),0)</f>
        <v>0</v>
      </c>
      <c r="AF18" s="91">
        <f>IF(30&lt;='I_Inputs &amp; Assumptions'!$B$8,IF('I_Budget Input Data'!$E$18="Upfront",IF(30=1,'I_Budget Input Data'!$D$18,0),IF('I_Budget Input Data'!$E$18="Equal",'I_Budget Input Data'!$D$18/'I_Inputs &amp; Assumptions'!$B$8,IF('I_Budget Input Data'!$E$18="Front-loaded",IF(30&lt;='I_Inputs &amp; Assumptions'!$B$8/2,'I_Budget Input Data'!$D$18*0.6/('I_Inputs &amp; Assumptions'!$B$8/2),'I_Budget Input Data'!$D$18*0.4/('I_Inputs &amp; Assumptions'!$B$8/2)),IF('I_Budget Input Data'!$E$18="Back-loaded",IF(30&lt;='I_Inputs &amp; Assumptions'!$B$8/2,'I_Budget Input Data'!$D$18*0.4/('I_Inputs &amp; Assumptions'!$B$8/2),'I_Budget Input Data'!$D$18*0.6/('I_Inputs &amp; Assumptions'!$B$8/2)),IF('I_Budget Input Data'!$E$18="Mid-weighted",IF(30&lt;='I_Inputs &amp; Assumptions'!$B$8/4,'I_Budget Input Data'!$D$18*0.2/('I_Inputs &amp; Assumptions'!$B$8/4),IF(30&lt;='I_Inputs &amp; Assumptions'!$B$8*0.75,'I_Budget Input Data'!$D$18*0.6/('I_Inputs &amp; Assumptions'!$B$8/2),'I_Budget Input Data'!$D$18*0.2/('I_Inputs &amp; Assumptions'!$B$8/4))),IF('I_Budget Input Data'!$E$18="At Completion",IF(30='I_Inputs &amp; Assumptions'!$B$8,'I_Budget Input Data'!$D$18,0),'I_Budget Input Data'!$D$18/'I_Inputs &amp; Assumptions'!$B$8)))))),0)</f>
        <v>0</v>
      </c>
      <c r="AG18" s="91">
        <f>IF(31&lt;='I_Inputs &amp; Assumptions'!$B$8,IF('I_Budget Input Data'!$E$18="Upfront",IF(31=1,'I_Budget Input Data'!$D$18,0),IF('I_Budget Input Data'!$E$18="Equal",'I_Budget Input Data'!$D$18/'I_Inputs &amp; Assumptions'!$B$8,IF('I_Budget Input Data'!$E$18="Front-loaded",IF(31&lt;='I_Inputs &amp; Assumptions'!$B$8/2,'I_Budget Input Data'!$D$18*0.6/('I_Inputs &amp; Assumptions'!$B$8/2),'I_Budget Input Data'!$D$18*0.4/('I_Inputs &amp; Assumptions'!$B$8/2)),IF('I_Budget Input Data'!$E$18="Back-loaded",IF(31&lt;='I_Inputs &amp; Assumptions'!$B$8/2,'I_Budget Input Data'!$D$18*0.4/('I_Inputs &amp; Assumptions'!$B$8/2),'I_Budget Input Data'!$D$18*0.6/('I_Inputs &amp; Assumptions'!$B$8/2)),IF('I_Budget Input Data'!$E$18="Mid-weighted",IF(31&lt;='I_Inputs &amp; Assumptions'!$B$8/4,'I_Budget Input Data'!$D$18*0.2/('I_Inputs &amp; Assumptions'!$B$8/4),IF(31&lt;='I_Inputs &amp; Assumptions'!$B$8*0.75,'I_Budget Input Data'!$D$18*0.6/('I_Inputs &amp; Assumptions'!$B$8/2),'I_Budget Input Data'!$D$18*0.2/('I_Inputs &amp; Assumptions'!$B$8/4))),IF('I_Budget Input Data'!$E$18="At Completion",IF(31='I_Inputs &amp; Assumptions'!$B$8,'I_Budget Input Data'!$D$18,0),'I_Budget Input Data'!$D$18/'I_Inputs &amp; Assumptions'!$B$8)))))),0)</f>
        <v>0</v>
      </c>
      <c r="AH18" s="91">
        <f>IF(32&lt;='I_Inputs &amp; Assumptions'!$B$8,IF('I_Budget Input Data'!$E$18="Upfront",IF(32=1,'I_Budget Input Data'!$D$18,0),IF('I_Budget Input Data'!$E$18="Equal",'I_Budget Input Data'!$D$18/'I_Inputs &amp; Assumptions'!$B$8,IF('I_Budget Input Data'!$E$18="Front-loaded",IF(32&lt;='I_Inputs &amp; Assumptions'!$B$8/2,'I_Budget Input Data'!$D$18*0.6/('I_Inputs &amp; Assumptions'!$B$8/2),'I_Budget Input Data'!$D$18*0.4/('I_Inputs &amp; Assumptions'!$B$8/2)),IF('I_Budget Input Data'!$E$18="Back-loaded",IF(32&lt;='I_Inputs &amp; Assumptions'!$B$8/2,'I_Budget Input Data'!$D$18*0.4/('I_Inputs &amp; Assumptions'!$B$8/2),'I_Budget Input Data'!$D$18*0.6/('I_Inputs &amp; Assumptions'!$B$8/2)),IF('I_Budget Input Data'!$E$18="Mid-weighted",IF(32&lt;='I_Inputs &amp; Assumptions'!$B$8/4,'I_Budget Input Data'!$D$18*0.2/('I_Inputs &amp; Assumptions'!$B$8/4),IF(32&lt;='I_Inputs &amp; Assumptions'!$B$8*0.75,'I_Budget Input Data'!$D$18*0.6/('I_Inputs &amp; Assumptions'!$B$8/2),'I_Budget Input Data'!$D$18*0.2/('I_Inputs &amp; Assumptions'!$B$8/4))),IF('I_Budget Input Data'!$E$18="At Completion",IF(32='I_Inputs &amp; Assumptions'!$B$8,'I_Budget Input Data'!$D$18,0),'I_Budget Input Data'!$D$18/'I_Inputs &amp; Assumptions'!$B$8)))))),0)</f>
        <v>0</v>
      </c>
      <c r="AI18" s="91">
        <f>IF(33&lt;='I_Inputs &amp; Assumptions'!$B$8,IF('I_Budget Input Data'!$E$18="Upfront",IF(33=1,'I_Budget Input Data'!$D$18,0),IF('I_Budget Input Data'!$E$18="Equal",'I_Budget Input Data'!$D$18/'I_Inputs &amp; Assumptions'!$B$8,IF('I_Budget Input Data'!$E$18="Front-loaded",IF(33&lt;='I_Inputs &amp; Assumptions'!$B$8/2,'I_Budget Input Data'!$D$18*0.6/('I_Inputs &amp; Assumptions'!$B$8/2),'I_Budget Input Data'!$D$18*0.4/('I_Inputs &amp; Assumptions'!$B$8/2)),IF('I_Budget Input Data'!$E$18="Back-loaded",IF(33&lt;='I_Inputs &amp; Assumptions'!$B$8/2,'I_Budget Input Data'!$D$18*0.4/('I_Inputs &amp; Assumptions'!$B$8/2),'I_Budget Input Data'!$D$18*0.6/('I_Inputs &amp; Assumptions'!$B$8/2)),IF('I_Budget Input Data'!$E$18="Mid-weighted",IF(33&lt;='I_Inputs &amp; Assumptions'!$B$8/4,'I_Budget Input Data'!$D$18*0.2/('I_Inputs &amp; Assumptions'!$B$8/4),IF(33&lt;='I_Inputs &amp; Assumptions'!$B$8*0.75,'I_Budget Input Data'!$D$18*0.6/('I_Inputs &amp; Assumptions'!$B$8/2),'I_Budget Input Data'!$D$18*0.2/('I_Inputs &amp; Assumptions'!$B$8/4))),IF('I_Budget Input Data'!$E$18="At Completion",IF(33='I_Inputs &amp; Assumptions'!$B$8,'I_Budget Input Data'!$D$18,0),'I_Budget Input Data'!$D$18/'I_Inputs &amp; Assumptions'!$B$8)))))),0)</f>
        <v>0</v>
      </c>
      <c r="AJ18" s="91">
        <f>IF(34&lt;='I_Inputs &amp; Assumptions'!$B$8,IF('I_Budget Input Data'!$E$18="Upfront",IF(34=1,'I_Budget Input Data'!$D$18,0),IF('I_Budget Input Data'!$E$18="Equal",'I_Budget Input Data'!$D$18/'I_Inputs &amp; Assumptions'!$B$8,IF('I_Budget Input Data'!$E$18="Front-loaded",IF(34&lt;='I_Inputs &amp; Assumptions'!$B$8/2,'I_Budget Input Data'!$D$18*0.6/('I_Inputs &amp; Assumptions'!$B$8/2),'I_Budget Input Data'!$D$18*0.4/('I_Inputs &amp; Assumptions'!$B$8/2)),IF('I_Budget Input Data'!$E$18="Back-loaded",IF(34&lt;='I_Inputs &amp; Assumptions'!$B$8/2,'I_Budget Input Data'!$D$18*0.4/('I_Inputs &amp; Assumptions'!$B$8/2),'I_Budget Input Data'!$D$18*0.6/('I_Inputs &amp; Assumptions'!$B$8/2)),IF('I_Budget Input Data'!$E$18="Mid-weighted",IF(34&lt;='I_Inputs &amp; Assumptions'!$B$8/4,'I_Budget Input Data'!$D$18*0.2/('I_Inputs &amp; Assumptions'!$B$8/4),IF(34&lt;='I_Inputs &amp; Assumptions'!$B$8*0.75,'I_Budget Input Data'!$D$18*0.6/('I_Inputs &amp; Assumptions'!$B$8/2),'I_Budget Input Data'!$D$18*0.2/('I_Inputs &amp; Assumptions'!$B$8/4))),IF('I_Budget Input Data'!$E$18="At Completion",IF(34='I_Inputs &amp; Assumptions'!$B$8,'I_Budget Input Data'!$D$18,0),'I_Budget Input Data'!$D$18/'I_Inputs &amp; Assumptions'!$B$8)))))),0)</f>
        <v>0</v>
      </c>
      <c r="AK18" s="91">
        <f>IF(35&lt;='I_Inputs &amp; Assumptions'!$B$8,IF('I_Budget Input Data'!$E$18="Upfront",IF(35=1,'I_Budget Input Data'!$D$18,0),IF('I_Budget Input Data'!$E$18="Equal",'I_Budget Input Data'!$D$18/'I_Inputs &amp; Assumptions'!$B$8,IF('I_Budget Input Data'!$E$18="Front-loaded",IF(35&lt;='I_Inputs &amp; Assumptions'!$B$8/2,'I_Budget Input Data'!$D$18*0.6/('I_Inputs &amp; Assumptions'!$B$8/2),'I_Budget Input Data'!$D$18*0.4/('I_Inputs &amp; Assumptions'!$B$8/2)),IF('I_Budget Input Data'!$E$18="Back-loaded",IF(35&lt;='I_Inputs &amp; Assumptions'!$B$8/2,'I_Budget Input Data'!$D$18*0.4/('I_Inputs &amp; Assumptions'!$B$8/2),'I_Budget Input Data'!$D$18*0.6/('I_Inputs &amp; Assumptions'!$B$8/2)),IF('I_Budget Input Data'!$E$18="Mid-weighted",IF(35&lt;='I_Inputs &amp; Assumptions'!$B$8/4,'I_Budget Input Data'!$D$18*0.2/('I_Inputs &amp; Assumptions'!$B$8/4),IF(35&lt;='I_Inputs &amp; Assumptions'!$B$8*0.75,'I_Budget Input Data'!$D$18*0.6/('I_Inputs &amp; Assumptions'!$B$8/2),'I_Budget Input Data'!$D$18*0.2/('I_Inputs &amp; Assumptions'!$B$8/4))),IF('I_Budget Input Data'!$E$18="At Completion",IF(35='I_Inputs &amp; Assumptions'!$B$8,'I_Budget Input Data'!$D$18,0),'I_Budget Input Data'!$D$18/'I_Inputs &amp; Assumptions'!$B$8)))))),0)</f>
        <v>0</v>
      </c>
      <c r="AL18" s="91">
        <f>IF(36&lt;='I_Inputs &amp; Assumptions'!$B$8,IF('I_Budget Input Data'!$E$18="Upfront",IF(36=1,'I_Budget Input Data'!$D$18,0),IF('I_Budget Input Data'!$E$18="Equal",'I_Budget Input Data'!$D$18/'I_Inputs &amp; Assumptions'!$B$8,IF('I_Budget Input Data'!$E$18="Front-loaded",IF(36&lt;='I_Inputs &amp; Assumptions'!$B$8/2,'I_Budget Input Data'!$D$18*0.6/('I_Inputs &amp; Assumptions'!$B$8/2),'I_Budget Input Data'!$D$18*0.4/('I_Inputs &amp; Assumptions'!$B$8/2)),IF('I_Budget Input Data'!$E$18="Back-loaded",IF(36&lt;='I_Inputs &amp; Assumptions'!$B$8/2,'I_Budget Input Data'!$D$18*0.4/('I_Inputs &amp; Assumptions'!$B$8/2),'I_Budget Input Data'!$D$18*0.6/('I_Inputs &amp; Assumptions'!$B$8/2)),IF('I_Budget Input Data'!$E$18="Mid-weighted",IF(36&lt;='I_Inputs &amp; Assumptions'!$B$8/4,'I_Budget Input Data'!$D$18*0.2/('I_Inputs &amp; Assumptions'!$B$8/4),IF(36&lt;='I_Inputs &amp; Assumptions'!$B$8*0.75,'I_Budget Input Data'!$D$18*0.6/('I_Inputs &amp; Assumptions'!$B$8/2),'I_Budget Input Data'!$D$18*0.2/('I_Inputs &amp; Assumptions'!$B$8/4))),IF('I_Budget Input Data'!$E$18="At Completion",IF(36='I_Inputs &amp; Assumptions'!$B$8,'I_Budget Input Data'!$D$18,0),'I_Budget Input Data'!$D$18/'I_Inputs &amp; Assumptions'!$B$8)))))),0)</f>
        <v>0</v>
      </c>
    </row>
    <row r="19" spans="1:38" ht="15" customHeight="1" x14ac:dyDescent="0.2">
      <c r="A19" t="s">
        <v>136</v>
      </c>
      <c r="B19" t="s">
        <v>142</v>
      </c>
      <c r="C19" s="91">
        <f>IF(1&lt;='I_Inputs &amp; Assumptions'!$B$8,IF('I_Budget Input Data'!$E$19="Upfront",IF(1=1,'I_Budget Input Data'!$D$19,0),IF('I_Budget Input Data'!$E$19="Equal",'I_Budget Input Data'!$D$19/'I_Inputs &amp; Assumptions'!$B$8,IF('I_Budget Input Data'!$E$19="Front-loaded",IF(1&lt;='I_Inputs &amp; Assumptions'!$B$8/2,'I_Budget Input Data'!$D$19*0.6/('I_Inputs &amp; Assumptions'!$B$8/2),'I_Budget Input Data'!$D$19*0.4/('I_Inputs &amp; Assumptions'!$B$8/2)),IF('I_Budget Input Data'!$E$19="Back-loaded",IF(1&lt;='I_Inputs &amp; Assumptions'!$B$8/2,'I_Budget Input Data'!$D$19*0.4/('I_Inputs &amp; Assumptions'!$B$8/2),'I_Budget Input Data'!$D$19*0.6/('I_Inputs &amp; Assumptions'!$B$8/2)),IF('I_Budget Input Data'!$E$19="Mid-weighted",IF(1&lt;='I_Inputs &amp; Assumptions'!$B$8/4,'I_Budget Input Data'!$D$19*0.2/('I_Inputs &amp; Assumptions'!$B$8/4),IF(1&lt;='I_Inputs &amp; Assumptions'!$B$8*0.75,'I_Budget Input Data'!$D$19*0.6/('I_Inputs &amp; Assumptions'!$B$8/2),'I_Budget Input Data'!$D$19*0.2/('I_Inputs &amp; Assumptions'!$B$8/4))),IF('I_Budget Input Data'!$E$19="At Completion",IF(1='I_Inputs &amp; Assumptions'!$B$8,'I_Budget Input Data'!$D$19,0),'I_Budget Input Data'!$D$19/'I_Inputs &amp; Assumptions'!$B$8)))))),0)</f>
        <v>212.30769230769232</v>
      </c>
      <c r="D19" s="91">
        <f>IF(2&lt;='I_Inputs &amp; Assumptions'!$B$8,IF('I_Budget Input Data'!$E$19="Upfront",IF(2=1,'I_Budget Input Data'!$D$19,0),IF('I_Budget Input Data'!$E$19="Equal",'I_Budget Input Data'!$D$19/'I_Inputs &amp; Assumptions'!$B$8,IF('I_Budget Input Data'!$E$19="Front-loaded",IF(2&lt;='I_Inputs &amp; Assumptions'!$B$8/2,'I_Budget Input Data'!$D$19*0.6/('I_Inputs &amp; Assumptions'!$B$8/2),'I_Budget Input Data'!$D$19*0.4/('I_Inputs &amp; Assumptions'!$B$8/2)),IF('I_Budget Input Data'!$E$19="Back-loaded",IF(2&lt;='I_Inputs &amp; Assumptions'!$B$8/2,'I_Budget Input Data'!$D$19*0.4/('I_Inputs &amp; Assumptions'!$B$8/2),'I_Budget Input Data'!$D$19*0.6/('I_Inputs &amp; Assumptions'!$B$8/2)),IF('I_Budget Input Data'!$E$19="Mid-weighted",IF(2&lt;='I_Inputs &amp; Assumptions'!$B$8/4,'I_Budget Input Data'!$D$19*0.2/('I_Inputs &amp; Assumptions'!$B$8/4),IF(2&lt;='I_Inputs &amp; Assumptions'!$B$8*0.75,'I_Budget Input Data'!$D$19*0.6/('I_Inputs &amp; Assumptions'!$B$8/2),'I_Budget Input Data'!$D$19*0.2/('I_Inputs &amp; Assumptions'!$B$8/4))),IF('I_Budget Input Data'!$E$19="At Completion",IF(2='I_Inputs &amp; Assumptions'!$B$8,'I_Budget Input Data'!$D$19,0),'I_Budget Input Data'!$D$19/'I_Inputs &amp; Assumptions'!$B$8)))))),0)</f>
        <v>212.30769230769232</v>
      </c>
      <c r="E19" s="91">
        <f>IF(3&lt;='I_Inputs &amp; Assumptions'!$B$8,IF('I_Budget Input Data'!$E$19="Upfront",IF(3=1,'I_Budget Input Data'!$D$19,0),IF('I_Budget Input Data'!$E$19="Equal",'I_Budget Input Data'!$D$19/'I_Inputs &amp; Assumptions'!$B$8,IF('I_Budget Input Data'!$E$19="Front-loaded",IF(3&lt;='I_Inputs &amp; Assumptions'!$B$8/2,'I_Budget Input Data'!$D$19*0.6/('I_Inputs &amp; Assumptions'!$B$8/2),'I_Budget Input Data'!$D$19*0.4/('I_Inputs &amp; Assumptions'!$B$8/2)),IF('I_Budget Input Data'!$E$19="Back-loaded",IF(3&lt;='I_Inputs &amp; Assumptions'!$B$8/2,'I_Budget Input Data'!$D$19*0.4/('I_Inputs &amp; Assumptions'!$B$8/2),'I_Budget Input Data'!$D$19*0.6/('I_Inputs &amp; Assumptions'!$B$8/2)),IF('I_Budget Input Data'!$E$19="Mid-weighted",IF(3&lt;='I_Inputs &amp; Assumptions'!$B$8/4,'I_Budget Input Data'!$D$19*0.2/('I_Inputs &amp; Assumptions'!$B$8/4),IF(3&lt;='I_Inputs &amp; Assumptions'!$B$8*0.75,'I_Budget Input Data'!$D$19*0.6/('I_Inputs &amp; Assumptions'!$B$8/2),'I_Budget Input Data'!$D$19*0.2/('I_Inputs &amp; Assumptions'!$B$8/4))),IF('I_Budget Input Data'!$E$19="At Completion",IF(3='I_Inputs &amp; Assumptions'!$B$8,'I_Budget Input Data'!$D$19,0),'I_Budget Input Data'!$D$19/'I_Inputs &amp; Assumptions'!$B$8)))))),0)</f>
        <v>212.30769230769232</v>
      </c>
      <c r="F19" s="91">
        <f>IF(4&lt;='I_Inputs &amp; Assumptions'!$B$8,IF('I_Budget Input Data'!$E$19="Upfront",IF(4=1,'I_Budget Input Data'!$D$19,0),IF('I_Budget Input Data'!$E$19="Equal",'I_Budget Input Data'!$D$19/'I_Inputs &amp; Assumptions'!$B$8,IF('I_Budget Input Data'!$E$19="Front-loaded",IF(4&lt;='I_Inputs &amp; Assumptions'!$B$8/2,'I_Budget Input Data'!$D$19*0.6/('I_Inputs &amp; Assumptions'!$B$8/2),'I_Budget Input Data'!$D$19*0.4/('I_Inputs &amp; Assumptions'!$B$8/2)),IF('I_Budget Input Data'!$E$19="Back-loaded",IF(4&lt;='I_Inputs &amp; Assumptions'!$B$8/2,'I_Budget Input Data'!$D$19*0.4/('I_Inputs &amp; Assumptions'!$B$8/2),'I_Budget Input Data'!$D$19*0.6/('I_Inputs &amp; Assumptions'!$B$8/2)),IF('I_Budget Input Data'!$E$19="Mid-weighted",IF(4&lt;='I_Inputs &amp; Assumptions'!$B$8/4,'I_Budget Input Data'!$D$19*0.2/('I_Inputs &amp; Assumptions'!$B$8/4),IF(4&lt;='I_Inputs &amp; Assumptions'!$B$8*0.75,'I_Budget Input Data'!$D$19*0.6/('I_Inputs &amp; Assumptions'!$B$8/2),'I_Budget Input Data'!$D$19*0.2/('I_Inputs &amp; Assumptions'!$B$8/4))),IF('I_Budget Input Data'!$E$19="At Completion",IF(4='I_Inputs &amp; Assumptions'!$B$8,'I_Budget Input Data'!$D$19,0),'I_Budget Input Data'!$D$19/'I_Inputs &amp; Assumptions'!$B$8)))))),0)</f>
        <v>212.30769230769232</v>
      </c>
      <c r="G19" s="91">
        <f>IF(5&lt;='I_Inputs &amp; Assumptions'!$B$8,IF('I_Budget Input Data'!$E$19="Upfront",IF(5=1,'I_Budget Input Data'!$D$19,0),IF('I_Budget Input Data'!$E$19="Equal",'I_Budget Input Data'!$D$19/'I_Inputs &amp; Assumptions'!$B$8,IF('I_Budget Input Data'!$E$19="Front-loaded",IF(5&lt;='I_Inputs &amp; Assumptions'!$B$8/2,'I_Budget Input Data'!$D$19*0.6/('I_Inputs &amp; Assumptions'!$B$8/2),'I_Budget Input Data'!$D$19*0.4/('I_Inputs &amp; Assumptions'!$B$8/2)),IF('I_Budget Input Data'!$E$19="Back-loaded",IF(5&lt;='I_Inputs &amp; Assumptions'!$B$8/2,'I_Budget Input Data'!$D$19*0.4/('I_Inputs &amp; Assumptions'!$B$8/2),'I_Budget Input Data'!$D$19*0.6/('I_Inputs &amp; Assumptions'!$B$8/2)),IF('I_Budget Input Data'!$E$19="Mid-weighted",IF(5&lt;='I_Inputs &amp; Assumptions'!$B$8/4,'I_Budget Input Data'!$D$19*0.2/('I_Inputs &amp; Assumptions'!$B$8/4),IF(5&lt;='I_Inputs &amp; Assumptions'!$B$8*0.75,'I_Budget Input Data'!$D$19*0.6/('I_Inputs &amp; Assumptions'!$B$8/2),'I_Budget Input Data'!$D$19*0.2/('I_Inputs &amp; Assumptions'!$B$8/4))),IF('I_Budget Input Data'!$E$19="At Completion",IF(5='I_Inputs &amp; Assumptions'!$B$8,'I_Budget Input Data'!$D$19,0),'I_Budget Input Data'!$D$19/'I_Inputs &amp; Assumptions'!$B$8)))))),0)</f>
        <v>212.30769230769232</v>
      </c>
      <c r="H19" s="91">
        <f>IF(6&lt;='I_Inputs &amp; Assumptions'!$B$8,IF('I_Budget Input Data'!$E$19="Upfront",IF(6=1,'I_Budget Input Data'!$D$19,0),IF('I_Budget Input Data'!$E$19="Equal",'I_Budget Input Data'!$D$19/'I_Inputs &amp; Assumptions'!$B$8,IF('I_Budget Input Data'!$E$19="Front-loaded",IF(6&lt;='I_Inputs &amp; Assumptions'!$B$8/2,'I_Budget Input Data'!$D$19*0.6/('I_Inputs &amp; Assumptions'!$B$8/2),'I_Budget Input Data'!$D$19*0.4/('I_Inputs &amp; Assumptions'!$B$8/2)),IF('I_Budget Input Data'!$E$19="Back-loaded",IF(6&lt;='I_Inputs &amp; Assumptions'!$B$8/2,'I_Budget Input Data'!$D$19*0.4/('I_Inputs &amp; Assumptions'!$B$8/2),'I_Budget Input Data'!$D$19*0.6/('I_Inputs &amp; Assumptions'!$B$8/2)),IF('I_Budget Input Data'!$E$19="Mid-weighted",IF(6&lt;='I_Inputs &amp; Assumptions'!$B$8/4,'I_Budget Input Data'!$D$19*0.2/('I_Inputs &amp; Assumptions'!$B$8/4),IF(6&lt;='I_Inputs &amp; Assumptions'!$B$8*0.75,'I_Budget Input Data'!$D$19*0.6/('I_Inputs &amp; Assumptions'!$B$8/2),'I_Budget Input Data'!$D$19*0.2/('I_Inputs &amp; Assumptions'!$B$8/4))),IF('I_Budget Input Data'!$E$19="At Completion",IF(6='I_Inputs &amp; Assumptions'!$B$8,'I_Budget Input Data'!$D$19,0),'I_Budget Input Data'!$D$19/'I_Inputs &amp; Assumptions'!$B$8)))))),0)</f>
        <v>212.30769230769232</v>
      </c>
      <c r="I19" s="91">
        <f>IF(7&lt;='I_Inputs &amp; Assumptions'!$B$8,IF('I_Budget Input Data'!$E$19="Upfront",IF(7=1,'I_Budget Input Data'!$D$19,0),IF('I_Budget Input Data'!$E$19="Equal",'I_Budget Input Data'!$D$19/'I_Inputs &amp; Assumptions'!$B$8,IF('I_Budget Input Data'!$E$19="Front-loaded",IF(7&lt;='I_Inputs &amp; Assumptions'!$B$8/2,'I_Budget Input Data'!$D$19*0.6/('I_Inputs &amp; Assumptions'!$B$8/2),'I_Budget Input Data'!$D$19*0.4/('I_Inputs &amp; Assumptions'!$B$8/2)),IF('I_Budget Input Data'!$E$19="Back-loaded",IF(7&lt;='I_Inputs &amp; Assumptions'!$B$8/2,'I_Budget Input Data'!$D$19*0.4/('I_Inputs &amp; Assumptions'!$B$8/2),'I_Budget Input Data'!$D$19*0.6/('I_Inputs &amp; Assumptions'!$B$8/2)),IF('I_Budget Input Data'!$E$19="Mid-weighted",IF(7&lt;='I_Inputs &amp; Assumptions'!$B$8/4,'I_Budget Input Data'!$D$19*0.2/('I_Inputs &amp; Assumptions'!$B$8/4),IF(7&lt;='I_Inputs &amp; Assumptions'!$B$8*0.75,'I_Budget Input Data'!$D$19*0.6/('I_Inputs &amp; Assumptions'!$B$8/2),'I_Budget Input Data'!$D$19*0.2/('I_Inputs &amp; Assumptions'!$B$8/4))),IF('I_Budget Input Data'!$E$19="At Completion",IF(7='I_Inputs &amp; Assumptions'!$B$8,'I_Budget Input Data'!$D$19,0),'I_Budget Input Data'!$D$19/'I_Inputs &amp; Assumptions'!$B$8)))))),0)</f>
        <v>141.53846153846155</v>
      </c>
      <c r="J19" s="91">
        <f>IF(8&lt;='I_Inputs &amp; Assumptions'!$B$8,IF('I_Budget Input Data'!$E$19="Upfront",IF(8=1,'I_Budget Input Data'!$D$19,0),IF('I_Budget Input Data'!$E$19="Equal",'I_Budget Input Data'!$D$19/'I_Inputs &amp; Assumptions'!$B$8,IF('I_Budget Input Data'!$E$19="Front-loaded",IF(8&lt;='I_Inputs &amp; Assumptions'!$B$8/2,'I_Budget Input Data'!$D$19*0.6/('I_Inputs &amp; Assumptions'!$B$8/2),'I_Budget Input Data'!$D$19*0.4/('I_Inputs &amp; Assumptions'!$B$8/2)),IF('I_Budget Input Data'!$E$19="Back-loaded",IF(8&lt;='I_Inputs &amp; Assumptions'!$B$8/2,'I_Budget Input Data'!$D$19*0.4/('I_Inputs &amp; Assumptions'!$B$8/2),'I_Budget Input Data'!$D$19*0.6/('I_Inputs &amp; Assumptions'!$B$8/2)),IF('I_Budget Input Data'!$E$19="Mid-weighted",IF(8&lt;='I_Inputs &amp; Assumptions'!$B$8/4,'I_Budget Input Data'!$D$19*0.2/('I_Inputs &amp; Assumptions'!$B$8/4),IF(8&lt;='I_Inputs &amp; Assumptions'!$B$8*0.75,'I_Budget Input Data'!$D$19*0.6/('I_Inputs &amp; Assumptions'!$B$8/2),'I_Budget Input Data'!$D$19*0.2/('I_Inputs &amp; Assumptions'!$B$8/4))),IF('I_Budget Input Data'!$E$19="At Completion",IF(8='I_Inputs &amp; Assumptions'!$B$8,'I_Budget Input Data'!$D$19,0),'I_Budget Input Data'!$D$19/'I_Inputs &amp; Assumptions'!$B$8)))))),0)</f>
        <v>141.53846153846155</v>
      </c>
      <c r="K19" s="91">
        <f>IF(9&lt;='I_Inputs &amp; Assumptions'!$B$8,IF('I_Budget Input Data'!$E$19="Upfront",IF(9=1,'I_Budget Input Data'!$D$19,0),IF('I_Budget Input Data'!$E$19="Equal",'I_Budget Input Data'!$D$19/'I_Inputs &amp; Assumptions'!$B$8,IF('I_Budget Input Data'!$E$19="Front-loaded",IF(9&lt;='I_Inputs &amp; Assumptions'!$B$8/2,'I_Budget Input Data'!$D$19*0.6/('I_Inputs &amp; Assumptions'!$B$8/2),'I_Budget Input Data'!$D$19*0.4/('I_Inputs &amp; Assumptions'!$B$8/2)),IF('I_Budget Input Data'!$E$19="Back-loaded",IF(9&lt;='I_Inputs &amp; Assumptions'!$B$8/2,'I_Budget Input Data'!$D$19*0.4/('I_Inputs &amp; Assumptions'!$B$8/2),'I_Budget Input Data'!$D$19*0.6/('I_Inputs &amp; Assumptions'!$B$8/2)),IF('I_Budget Input Data'!$E$19="Mid-weighted",IF(9&lt;='I_Inputs &amp; Assumptions'!$B$8/4,'I_Budget Input Data'!$D$19*0.2/('I_Inputs &amp; Assumptions'!$B$8/4),IF(9&lt;='I_Inputs &amp; Assumptions'!$B$8*0.75,'I_Budget Input Data'!$D$19*0.6/('I_Inputs &amp; Assumptions'!$B$8/2),'I_Budget Input Data'!$D$19*0.2/('I_Inputs &amp; Assumptions'!$B$8/4))),IF('I_Budget Input Data'!$E$19="At Completion",IF(9='I_Inputs &amp; Assumptions'!$B$8,'I_Budget Input Data'!$D$19,0),'I_Budget Input Data'!$D$19/'I_Inputs &amp; Assumptions'!$B$8)))))),0)</f>
        <v>141.53846153846155</v>
      </c>
      <c r="L19" s="91">
        <f>IF(10&lt;='I_Inputs &amp; Assumptions'!$B$8,IF('I_Budget Input Data'!$E$19="Upfront",IF(10=1,'I_Budget Input Data'!$D$19,0),IF('I_Budget Input Data'!$E$19="Equal",'I_Budget Input Data'!$D$19/'I_Inputs &amp; Assumptions'!$B$8,IF('I_Budget Input Data'!$E$19="Front-loaded",IF(10&lt;='I_Inputs &amp; Assumptions'!$B$8/2,'I_Budget Input Data'!$D$19*0.6/('I_Inputs &amp; Assumptions'!$B$8/2),'I_Budget Input Data'!$D$19*0.4/('I_Inputs &amp; Assumptions'!$B$8/2)),IF('I_Budget Input Data'!$E$19="Back-loaded",IF(10&lt;='I_Inputs &amp; Assumptions'!$B$8/2,'I_Budget Input Data'!$D$19*0.4/('I_Inputs &amp; Assumptions'!$B$8/2),'I_Budget Input Data'!$D$19*0.6/('I_Inputs &amp; Assumptions'!$B$8/2)),IF('I_Budget Input Data'!$E$19="Mid-weighted",IF(10&lt;='I_Inputs &amp; Assumptions'!$B$8/4,'I_Budget Input Data'!$D$19*0.2/('I_Inputs &amp; Assumptions'!$B$8/4),IF(10&lt;='I_Inputs &amp; Assumptions'!$B$8*0.75,'I_Budget Input Data'!$D$19*0.6/('I_Inputs &amp; Assumptions'!$B$8/2),'I_Budget Input Data'!$D$19*0.2/('I_Inputs &amp; Assumptions'!$B$8/4))),IF('I_Budget Input Data'!$E$19="At Completion",IF(10='I_Inputs &amp; Assumptions'!$B$8,'I_Budget Input Data'!$D$19,0),'I_Budget Input Data'!$D$19/'I_Inputs &amp; Assumptions'!$B$8)))))),0)</f>
        <v>141.53846153846155</v>
      </c>
      <c r="M19" s="91">
        <f>IF(11&lt;='I_Inputs &amp; Assumptions'!$B$8,IF('I_Budget Input Data'!$E$19="Upfront",IF(11=1,'I_Budget Input Data'!$D$19,0),IF('I_Budget Input Data'!$E$19="Equal",'I_Budget Input Data'!$D$19/'I_Inputs &amp; Assumptions'!$B$8,IF('I_Budget Input Data'!$E$19="Front-loaded",IF(11&lt;='I_Inputs &amp; Assumptions'!$B$8/2,'I_Budget Input Data'!$D$19*0.6/('I_Inputs &amp; Assumptions'!$B$8/2),'I_Budget Input Data'!$D$19*0.4/('I_Inputs &amp; Assumptions'!$B$8/2)),IF('I_Budget Input Data'!$E$19="Back-loaded",IF(11&lt;='I_Inputs &amp; Assumptions'!$B$8/2,'I_Budget Input Data'!$D$19*0.4/('I_Inputs &amp; Assumptions'!$B$8/2),'I_Budget Input Data'!$D$19*0.6/('I_Inputs &amp; Assumptions'!$B$8/2)),IF('I_Budget Input Data'!$E$19="Mid-weighted",IF(11&lt;='I_Inputs &amp; Assumptions'!$B$8/4,'I_Budget Input Data'!$D$19*0.2/('I_Inputs &amp; Assumptions'!$B$8/4),IF(11&lt;='I_Inputs &amp; Assumptions'!$B$8*0.75,'I_Budget Input Data'!$D$19*0.6/('I_Inputs &amp; Assumptions'!$B$8/2),'I_Budget Input Data'!$D$19*0.2/('I_Inputs &amp; Assumptions'!$B$8/4))),IF('I_Budget Input Data'!$E$19="At Completion",IF(11='I_Inputs &amp; Assumptions'!$B$8,'I_Budget Input Data'!$D$19,0),'I_Budget Input Data'!$D$19/'I_Inputs &amp; Assumptions'!$B$8)))))),0)</f>
        <v>141.53846153846155</v>
      </c>
      <c r="N19" s="91">
        <f>IF(12&lt;='I_Inputs &amp; Assumptions'!$B$8,IF('I_Budget Input Data'!$E$19="Upfront",IF(12=1,'I_Budget Input Data'!$D$19,0),IF('I_Budget Input Data'!$E$19="Equal",'I_Budget Input Data'!$D$19/'I_Inputs &amp; Assumptions'!$B$8,IF('I_Budget Input Data'!$E$19="Front-loaded",IF(12&lt;='I_Inputs &amp; Assumptions'!$B$8/2,'I_Budget Input Data'!$D$19*0.6/('I_Inputs &amp; Assumptions'!$B$8/2),'I_Budget Input Data'!$D$19*0.4/('I_Inputs &amp; Assumptions'!$B$8/2)),IF('I_Budget Input Data'!$E$19="Back-loaded",IF(12&lt;='I_Inputs &amp; Assumptions'!$B$8/2,'I_Budget Input Data'!$D$19*0.4/('I_Inputs &amp; Assumptions'!$B$8/2),'I_Budget Input Data'!$D$19*0.6/('I_Inputs &amp; Assumptions'!$B$8/2)),IF('I_Budget Input Data'!$E$19="Mid-weighted",IF(12&lt;='I_Inputs &amp; Assumptions'!$B$8/4,'I_Budget Input Data'!$D$19*0.2/('I_Inputs &amp; Assumptions'!$B$8/4),IF(12&lt;='I_Inputs &amp; Assumptions'!$B$8*0.75,'I_Budget Input Data'!$D$19*0.6/('I_Inputs &amp; Assumptions'!$B$8/2),'I_Budget Input Data'!$D$19*0.2/('I_Inputs &amp; Assumptions'!$B$8/4))),IF('I_Budget Input Data'!$E$19="At Completion",IF(12='I_Inputs &amp; Assumptions'!$B$8,'I_Budget Input Data'!$D$19,0),'I_Budget Input Data'!$D$19/'I_Inputs &amp; Assumptions'!$B$8)))))),0)</f>
        <v>141.53846153846155</v>
      </c>
      <c r="O19" s="91">
        <f>IF(13&lt;='I_Inputs &amp; Assumptions'!$B$8,IF('I_Budget Input Data'!$E$19="Upfront",IF(13=1,'I_Budget Input Data'!$D$19,0),IF('I_Budget Input Data'!$E$19="Equal",'I_Budget Input Data'!$D$19/'I_Inputs &amp; Assumptions'!$B$8,IF('I_Budget Input Data'!$E$19="Front-loaded",IF(13&lt;='I_Inputs &amp; Assumptions'!$B$8/2,'I_Budget Input Data'!$D$19*0.6/('I_Inputs &amp; Assumptions'!$B$8/2),'I_Budget Input Data'!$D$19*0.4/('I_Inputs &amp; Assumptions'!$B$8/2)),IF('I_Budget Input Data'!$E$19="Back-loaded",IF(13&lt;='I_Inputs &amp; Assumptions'!$B$8/2,'I_Budget Input Data'!$D$19*0.4/('I_Inputs &amp; Assumptions'!$B$8/2),'I_Budget Input Data'!$D$19*0.6/('I_Inputs &amp; Assumptions'!$B$8/2)),IF('I_Budget Input Data'!$E$19="Mid-weighted",IF(13&lt;='I_Inputs &amp; Assumptions'!$B$8/4,'I_Budget Input Data'!$D$19*0.2/('I_Inputs &amp; Assumptions'!$B$8/4),IF(13&lt;='I_Inputs &amp; Assumptions'!$B$8*0.75,'I_Budget Input Data'!$D$19*0.6/('I_Inputs &amp; Assumptions'!$B$8/2),'I_Budget Input Data'!$D$19*0.2/('I_Inputs &amp; Assumptions'!$B$8/4))),IF('I_Budget Input Data'!$E$19="At Completion",IF(13='I_Inputs &amp; Assumptions'!$B$8,'I_Budget Input Data'!$D$19,0),'I_Budget Input Data'!$D$19/'I_Inputs &amp; Assumptions'!$B$8)))))),0)</f>
        <v>141.53846153846155</v>
      </c>
      <c r="P19" s="91">
        <f>IF(14&lt;='I_Inputs &amp; Assumptions'!$B$8,IF('I_Budget Input Data'!$E$19="Upfront",IF(14=1,'I_Budget Input Data'!$D$19,0),IF('I_Budget Input Data'!$E$19="Equal",'I_Budget Input Data'!$D$19/'I_Inputs &amp; Assumptions'!$B$8,IF('I_Budget Input Data'!$E$19="Front-loaded",IF(14&lt;='I_Inputs &amp; Assumptions'!$B$8/2,'I_Budget Input Data'!$D$19*0.6/('I_Inputs &amp; Assumptions'!$B$8/2),'I_Budget Input Data'!$D$19*0.4/('I_Inputs &amp; Assumptions'!$B$8/2)),IF('I_Budget Input Data'!$E$19="Back-loaded",IF(14&lt;='I_Inputs &amp; Assumptions'!$B$8/2,'I_Budget Input Data'!$D$19*0.4/('I_Inputs &amp; Assumptions'!$B$8/2),'I_Budget Input Data'!$D$19*0.6/('I_Inputs &amp; Assumptions'!$B$8/2)),IF('I_Budget Input Data'!$E$19="Mid-weighted",IF(14&lt;='I_Inputs &amp; Assumptions'!$B$8/4,'I_Budget Input Data'!$D$19*0.2/('I_Inputs &amp; Assumptions'!$B$8/4),IF(14&lt;='I_Inputs &amp; Assumptions'!$B$8*0.75,'I_Budget Input Data'!$D$19*0.6/('I_Inputs &amp; Assumptions'!$B$8/2),'I_Budget Input Data'!$D$19*0.2/('I_Inputs &amp; Assumptions'!$B$8/4))),IF('I_Budget Input Data'!$E$19="At Completion",IF(14='I_Inputs &amp; Assumptions'!$B$8,'I_Budget Input Data'!$D$19,0),'I_Budget Input Data'!$D$19/'I_Inputs &amp; Assumptions'!$B$8)))))),0)</f>
        <v>0</v>
      </c>
      <c r="Q19" s="91">
        <f>IF(15&lt;='I_Inputs &amp; Assumptions'!$B$8,IF('I_Budget Input Data'!$E$19="Upfront",IF(15=1,'I_Budget Input Data'!$D$19,0),IF('I_Budget Input Data'!$E$19="Equal",'I_Budget Input Data'!$D$19/'I_Inputs &amp; Assumptions'!$B$8,IF('I_Budget Input Data'!$E$19="Front-loaded",IF(15&lt;='I_Inputs &amp; Assumptions'!$B$8/2,'I_Budget Input Data'!$D$19*0.6/('I_Inputs &amp; Assumptions'!$B$8/2),'I_Budget Input Data'!$D$19*0.4/('I_Inputs &amp; Assumptions'!$B$8/2)),IF('I_Budget Input Data'!$E$19="Back-loaded",IF(15&lt;='I_Inputs &amp; Assumptions'!$B$8/2,'I_Budget Input Data'!$D$19*0.4/('I_Inputs &amp; Assumptions'!$B$8/2),'I_Budget Input Data'!$D$19*0.6/('I_Inputs &amp; Assumptions'!$B$8/2)),IF('I_Budget Input Data'!$E$19="Mid-weighted",IF(15&lt;='I_Inputs &amp; Assumptions'!$B$8/4,'I_Budget Input Data'!$D$19*0.2/('I_Inputs &amp; Assumptions'!$B$8/4),IF(15&lt;='I_Inputs &amp; Assumptions'!$B$8*0.75,'I_Budget Input Data'!$D$19*0.6/('I_Inputs &amp; Assumptions'!$B$8/2),'I_Budget Input Data'!$D$19*0.2/('I_Inputs &amp; Assumptions'!$B$8/4))),IF('I_Budget Input Data'!$E$19="At Completion",IF(15='I_Inputs &amp; Assumptions'!$B$8,'I_Budget Input Data'!$D$19,0),'I_Budget Input Data'!$D$19/'I_Inputs &amp; Assumptions'!$B$8)))))),0)</f>
        <v>0</v>
      </c>
      <c r="R19" s="91">
        <f>IF(16&lt;='I_Inputs &amp; Assumptions'!$B$8,IF('I_Budget Input Data'!$E$19="Upfront",IF(16=1,'I_Budget Input Data'!$D$19,0),IF('I_Budget Input Data'!$E$19="Equal",'I_Budget Input Data'!$D$19/'I_Inputs &amp; Assumptions'!$B$8,IF('I_Budget Input Data'!$E$19="Front-loaded",IF(16&lt;='I_Inputs &amp; Assumptions'!$B$8/2,'I_Budget Input Data'!$D$19*0.6/('I_Inputs &amp; Assumptions'!$B$8/2),'I_Budget Input Data'!$D$19*0.4/('I_Inputs &amp; Assumptions'!$B$8/2)),IF('I_Budget Input Data'!$E$19="Back-loaded",IF(16&lt;='I_Inputs &amp; Assumptions'!$B$8/2,'I_Budget Input Data'!$D$19*0.4/('I_Inputs &amp; Assumptions'!$B$8/2),'I_Budget Input Data'!$D$19*0.6/('I_Inputs &amp; Assumptions'!$B$8/2)),IF('I_Budget Input Data'!$E$19="Mid-weighted",IF(16&lt;='I_Inputs &amp; Assumptions'!$B$8/4,'I_Budget Input Data'!$D$19*0.2/('I_Inputs &amp; Assumptions'!$B$8/4),IF(16&lt;='I_Inputs &amp; Assumptions'!$B$8*0.75,'I_Budget Input Data'!$D$19*0.6/('I_Inputs &amp; Assumptions'!$B$8/2),'I_Budget Input Data'!$D$19*0.2/('I_Inputs &amp; Assumptions'!$B$8/4))),IF('I_Budget Input Data'!$E$19="At Completion",IF(16='I_Inputs &amp; Assumptions'!$B$8,'I_Budget Input Data'!$D$19,0),'I_Budget Input Data'!$D$19/'I_Inputs &amp; Assumptions'!$B$8)))))),0)</f>
        <v>0</v>
      </c>
      <c r="S19" s="91">
        <f>IF(17&lt;='I_Inputs &amp; Assumptions'!$B$8,IF('I_Budget Input Data'!$E$19="Upfront",IF(17=1,'I_Budget Input Data'!$D$19,0),IF('I_Budget Input Data'!$E$19="Equal",'I_Budget Input Data'!$D$19/'I_Inputs &amp; Assumptions'!$B$8,IF('I_Budget Input Data'!$E$19="Front-loaded",IF(17&lt;='I_Inputs &amp; Assumptions'!$B$8/2,'I_Budget Input Data'!$D$19*0.6/('I_Inputs &amp; Assumptions'!$B$8/2),'I_Budget Input Data'!$D$19*0.4/('I_Inputs &amp; Assumptions'!$B$8/2)),IF('I_Budget Input Data'!$E$19="Back-loaded",IF(17&lt;='I_Inputs &amp; Assumptions'!$B$8/2,'I_Budget Input Data'!$D$19*0.4/('I_Inputs &amp; Assumptions'!$B$8/2),'I_Budget Input Data'!$D$19*0.6/('I_Inputs &amp; Assumptions'!$B$8/2)),IF('I_Budget Input Data'!$E$19="Mid-weighted",IF(17&lt;='I_Inputs &amp; Assumptions'!$B$8/4,'I_Budget Input Data'!$D$19*0.2/('I_Inputs &amp; Assumptions'!$B$8/4),IF(17&lt;='I_Inputs &amp; Assumptions'!$B$8*0.75,'I_Budget Input Data'!$D$19*0.6/('I_Inputs &amp; Assumptions'!$B$8/2),'I_Budget Input Data'!$D$19*0.2/('I_Inputs &amp; Assumptions'!$B$8/4))),IF('I_Budget Input Data'!$E$19="At Completion",IF(17='I_Inputs &amp; Assumptions'!$B$8,'I_Budget Input Data'!$D$19,0),'I_Budget Input Data'!$D$19/'I_Inputs &amp; Assumptions'!$B$8)))))),0)</f>
        <v>0</v>
      </c>
      <c r="T19" s="91">
        <f>IF(18&lt;='I_Inputs &amp; Assumptions'!$B$8,IF('I_Budget Input Data'!$E$19="Upfront",IF(18=1,'I_Budget Input Data'!$D$19,0),IF('I_Budget Input Data'!$E$19="Equal",'I_Budget Input Data'!$D$19/'I_Inputs &amp; Assumptions'!$B$8,IF('I_Budget Input Data'!$E$19="Front-loaded",IF(18&lt;='I_Inputs &amp; Assumptions'!$B$8/2,'I_Budget Input Data'!$D$19*0.6/('I_Inputs &amp; Assumptions'!$B$8/2),'I_Budget Input Data'!$D$19*0.4/('I_Inputs &amp; Assumptions'!$B$8/2)),IF('I_Budget Input Data'!$E$19="Back-loaded",IF(18&lt;='I_Inputs &amp; Assumptions'!$B$8/2,'I_Budget Input Data'!$D$19*0.4/('I_Inputs &amp; Assumptions'!$B$8/2),'I_Budget Input Data'!$D$19*0.6/('I_Inputs &amp; Assumptions'!$B$8/2)),IF('I_Budget Input Data'!$E$19="Mid-weighted",IF(18&lt;='I_Inputs &amp; Assumptions'!$B$8/4,'I_Budget Input Data'!$D$19*0.2/('I_Inputs &amp; Assumptions'!$B$8/4),IF(18&lt;='I_Inputs &amp; Assumptions'!$B$8*0.75,'I_Budget Input Data'!$D$19*0.6/('I_Inputs &amp; Assumptions'!$B$8/2),'I_Budget Input Data'!$D$19*0.2/('I_Inputs &amp; Assumptions'!$B$8/4))),IF('I_Budget Input Data'!$E$19="At Completion",IF(18='I_Inputs &amp; Assumptions'!$B$8,'I_Budget Input Data'!$D$19,0),'I_Budget Input Data'!$D$19/'I_Inputs &amp; Assumptions'!$B$8)))))),0)</f>
        <v>0</v>
      </c>
      <c r="U19" s="91">
        <f>IF(19&lt;='I_Inputs &amp; Assumptions'!$B$8,IF('I_Budget Input Data'!$E$19="Upfront",IF(19=1,'I_Budget Input Data'!$D$19,0),IF('I_Budget Input Data'!$E$19="Equal",'I_Budget Input Data'!$D$19/'I_Inputs &amp; Assumptions'!$B$8,IF('I_Budget Input Data'!$E$19="Front-loaded",IF(19&lt;='I_Inputs &amp; Assumptions'!$B$8/2,'I_Budget Input Data'!$D$19*0.6/('I_Inputs &amp; Assumptions'!$B$8/2),'I_Budget Input Data'!$D$19*0.4/('I_Inputs &amp; Assumptions'!$B$8/2)),IF('I_Budget Input Data'!$E$19="Back-loaded",IF(19&lt;='I_Inputs &amp; Assumptions'!$B$8/2,'I_Budget Input Data'!$D$19*0.4/('I_Inputs &amp; Assumptions'!$B$8/2),'I_Budget Input Data'!$D$19*0.6/('I_Inputs &amp; Assumptions'!$B$8/2)),IF('I_Budget Input Data'!$E$19="Mid-weighted",IF(19&lt;='I_Inputs &amp; Assumptions'!$B$8/4,'I_Budget Input Data'!$D$19*0.2/('I_Inputs &amp; Assumptions'!$B$8/4),IF(19&lt;='I_Inputs &amp; Assumptions'!$B$8*0.75,'I_Budget Input Data'!$D$19*0.6/('I_Inputs &amp; Assumptions'!$B$8/2),'I_Budget Input Data'!$D$19*0.2/('I_Inputs &amp; Assumptions'!$B$8/4))),IF('I_Budget Input Data'!$E$19="At Completion",IF(19='I_Inputs &amp; Assumptions'!$B$8,'I_Budget Input Data'!$D$19,0),'I_Budget Input Data'!$D$19/'I_Inputs &amp; Assumptions'!$B$8)))))),0)</f>
        <v>0</v>
      </c>
      <c r="V19" s="91">
        <f>IF(20&lt;='I_Inputs &amp; Assumptions'!$B$8,IF('I_Budget Input Data'!$E$19="Upfront",IF(20=1,'I_Budget Input Data'!$D$19,0),IF('I_Budget Input Data'!$E$19="Equal",'I_Budget Input Data'!$D$19/'I_Inputs &amp; Assumptions'!$B$8,IF('I_Budget Input Data'!$E$19="Front-loaded",IF(20&lt;='I_Inputs &amp; Assumptions'!$B$8/2,'I_Budget Input Data'!$D$19*0.6/('I_Inputs &amp; Assumptions'!$B$8/2),'I_Budget Input Data'!$D$19*0.4/('I_Inputs &amp; Assumptions'!$B$8/2)),IF('I_Budget Input Data'!$E$19="Back-loaded",IF(20&lt;='I_Inputs &amp; Assumptions'!$B$8/2,'I_Budget Input Data'!$D$19*0.4/('I_Inputs &amp; Assumptions'!$B$8/2),'I_Budget Input Data'!$D$19*0.6/('I_Inputs &amp; Assumptions'!$B$8/2)),IF('I_Budget Input Data'!$E$19="Mid-weighted",IF(20&lt;='I_Inputs &amp; Assumptions'!$B$8/4,'I_Budget Input Data'!$D$19*0.2/('I_Inputs &amp; Assumptions'!$B$8/4),IF(20&lt;='I_Inputs &amp; Assumptions'!$B$8*0.75,'I_Budget Input Data'!$D$19*0.6/('I_Inputs &amp; Assumptions'!$B$8/2),'I_Budget Input Data'!$D$19*0.2/('I_Inputs &amp; Assumptions'!$B$8/4))),IF('I_Budget Input Data'!$E$19="At Completion",IF(20='I_Inputs &amp; Assumptions'!$B$8,'I_Budget Input Data'!$D$19,0),'I_Budget Input Data'!$D$19/'I_Inputs &amp; Assumptions'!$B$8)))))),0)</f>
        <v>0</v>
      </c>
      <c r="W19" s="91">
        <f>IF(21&lt;='I_Inputs &amp; Assumptions'!$B$8,IF('I_Budget Input Data'!$E$19="Upfront",IF(21=1,'I_Budget Input Data'!$D$19,0),IF('I_Budget Input Data'!$E$19="Equal",'I_Budget Input Data'!$D$19/'I_Inputs &amp; Assumptions'!$B$8,IF('I_Budget Input Data'!$E$19="Front-loaded",IF(21&lt;='I_Inputs &amp; Assumptions'!$B$8/2,'I_Budget Input Data'!$D$19*0.6/('I_Inputs &amp; Assumptions'!$B$8/2),'I_Budget Input Data'!$D$19*0.4/('I_Inputs &amp; Assumptions'!$B$8/2)),IF('I_Budget Input Data'!$E$19="Back-loaded",IF(21&lt;='I_Inputs &amp; Assumptions'!$B$8/2,'I_Budget Input Data'!$D$19*0.4/('I_Inputs &amp; Assumptions'!$B$8/2),'I_Budget Input Data'!$D$19*0.6/('I_Inputs &amp; Assumptions'!$B$8/2)),IF('I_Budget Input Data'!$E$19="Mid-weighted",IF(21&lt;='I_Inputs &amp; Assumptions'!$B$8/4,'I_Budget Input Data'!$D$19*0.2/('I_Inputs &amp; Assumptions'!$B$8/4),IF(21&lt;='I_Inputs &amp; Assumptions'!$B$8*0.75,'I_Budget Input Data'!$D$19*0.6/('I_Inputs &amp; Assumptions'!$B$8/2),'I_Budget Input Data'!$D$19*0.2/('I_Inputs &amp; Assumptions'!$B$8/4))),IF('I_Budget Input Data'!$E$19="At Completion",IF(21='I_Inputs &amp; Assumptions'!$B$8,'I_Budget Input Data'!$D$19,0),'I_Budget Input Data'!$D$19/'I_Inputs &amp; Assumptions'!$B$8)))))),0)</f>
        <v>0</v>
      </c>
      <c r="X19" s="91">
        <f>IF(22&lt;='I_Inputs &amp; Assumptions'!$B$8,IF('I_Budget Input Data'!$E$19="Upfront",IF(22=1,'I_Budget Input Data'!$D$19,0),IF('I_Budget Input Data'!$E$19="Equal",'I_Budget Input Data'!$D$19/'I_Inputs &amp; Assumptions'!$B$8,IF('I_Budget Input Data'!$E$19="Front-loaded",IF(22&lt;='I_Inputs &amp; Assumptions'!$B$8/2,'I_Budget Input Data'!$D$19*0.6/('I_Inputs &amp; Assumptions'!$B$8/2),'I_Budget Input Data'!$D$19*0.4/('I_Inputs &amp; Assumptions'!$B$8/2)),IF('I_Budget Input Data'!$E$19="Back-loaded",IF(22&lt;='I_Inputs &amp; Assumptions'!$B$8/2,'I_Budget Input Data'!$D$19*0.4/('I_Inputs &amp; Assumptions'!$B$8/2),'I_Budget Input Data'!$D$19*0.6/('I_Inputs &amp; Assumptions'!$B$8/2)),IF('I_Budget Input Data'!$E$19="Mid-weighted",IF(22&lt;='I_Inputs &amp; Assumptions'!$B$8/4,'I_Budget Input Data'!$D$19*0.2/('I_Inputs &amp; Assumptions'!$B$8/4),IF(22&lt;='I_Inputs &amp; Assumptions'!$B$8*0.75,'I_Budget Input Data'!$D$19*0.6/('I_Inputs &amp; Assumptions'!$B$8/2),'I_Budget Input Data'!$D$19*0.2/('I_Inputs &amp; Assumptions'!$B$8/4))),IF('I_Budget Input Data'!$E$19="At Completion",IF(22='I_Inputs &amp; Assumptions'!$B$8,'I_Budget Input Data'!$D$19,0),'I_Budget Input Data'!$D$19/'I_Inputs &amp; Assumptions'!$B$8)))))),0)</f>
        <v>0</v>
      </c>
      <c r="Y19" s="91">
        <f>IF(23&lt;='I_Inputs &amp; Assumptions'!$B$8,IF('I_Budget Input Data'!$E$19="Upfront",IF(23=1,'I_Budget Input Data'!$D$19,0),IF('I_Budget Input Data'!$E$19="Equal",'I_Budget Input Data'!$D$19/'I_Inputs &amp; Assumptions'!$B$8,IF('I_Budget Input Data'!$E$19="Front-loaded",IF(23&lt;='I_Inputs &amp; Assumptions'!$B$8/2,'I_Budget Input Data'!$D$19*0.6/('I_Inputs &amp; Assumptions'!$B$8/2),'I_Budget Input Data'!$D$19*0.4/('I_Inputs &amp; Assumptions'!$B$8/2)),IF('I_Budget Input Data'!$E$19="Back-loaded",IF(23&lt;='I_Inputs &amp; Assumptions'!$B$8/2,'I_Budget Input Data'!$D$19*0.4/('I_Inputs &amp; Assumptions'!$B$8/2),'I_Budget Input Data'!$D$19*0.6/('I_Inputs &amp; Assumptions'!$B$8/2)),IF('I_Budget Input Data'!$E$19="Mid-weighted",IF(23&lt;='I_Inputs &amp; Assumptions'!$B$8/4,'I_Budget Input Data'!$D$19*0.2/('I_Inputs &amp; Assumptions'!$B$8/4),IF(23&lt;='I_Inputs &amp; Assumptions'!$B$8*0.75,'I_Budget Input Data'!$D$19*0.6/('I_Inputs &amp; Assumptions'!$B$8/2),'I_Budget Input Data'!$D$19*0.2/('I_Inputs &amp; Assumptions'!$B$8/4))),IF('I_Budget Input Data'!$E$19="At Completion",IF(23='I_Inputs &amp; Assumptions'!$B$8,'I_Budget Input Data'!$D$19,0),'I_Budget Input Data'!$D$19/'I_Inputs &amp; Assumptions'!$B$8)))))),0)</f>
        <v>0</v>
      </c>
      <c r="Z19" s="91">
        <f>IF(24&lt;='I_Inputs &amp; Assumptions'!$B$8,IF('I_Budget Input Data'!$E$19="Upfront",IF(24=1,'I_Budget Input Data'!$D$19,0),IF('I_Budget Input Data'!$E$19="Equal",'I_Budget Input Data'!$D$19/'I_Inputs &amp; Assumptions'!$B$8,IF('I_Budget Input Data'!$E$19="Front-loaded",IF(24&lt;='I_Inputs &amp; Assumptions'!$B$8/2,'I_Budget Input Data'!$D$19*0.6/('I_Inputs &amp; Assumptions'!$B$8/2),'I_Budget Input Data'!$D$19*0.4/('I_Inputs &amp; Assumptions'!$B$8/2)),IF('I_Budget Input Data'!$E$19="Back-loaded",IF(24&lt;='I_Inputs &amp; Assumptions'!$B$8/2,'I_Budget Input Data'!$D$19*0.4/('I_Inputs &amp; Assumptions'!$B$8/2),'I_Budget Input Data'!$D$19*0.6/('I_Inputs &amp; Assumptions'!$B$8/2)),IF('I_Budget Input Data'!$E$19="Mid-weighted",IF(24&lt;='I_Inputs &amp; Assumptions'!$B$8/4,'I_Budget Input Data'!$D$19*0.2/('I_Inputs &amp; Assumptions'!$B$8/4),IF(24&lt;='I_Inputs &amp; Assumptions'!$B$8*0.75,'I_Budget Input Data'!$D$19*0.6/('I_Inputs &amp; Assumptions'!$B$8/2),'I_Budget Input Data'!$D$19*0.2/('I_Inputs &amp; Assumptions'!$B$8/4))),IF('I_Budget Input Data'!$E$19="At Completion",IF(24='I_Inputs &amp; Assumptions'!$B$8,'I_Budget Input Data'!$D$19,0),'I_Budget Input Data'!$D$19/'I_Inputs &amp; Assumptions'!$B$8)))))),0)</f>
        <v>0</v>
      </c>
      <c r="AA19" s="91">
        <f>IF(25&lt;='I_Inputs &amp; Assumptions'!$B$8,IF('I_Budget Input Data'!$E$19="Upfront",IF(25=1,'I_Budget Input Data'!$D$19,0),IF('I_Budget Input Data'!$E$19="Equal",'I_Budget Input Data'!$D$19/'I_Inputs &amp; Assumptions'!$B$8,IF('I_Budget Input Data'!$E$19="Front-loaded",IF(25&lt;='I_Inputs &amp; Assumptions'!$B$8/2,'I_Budget Input Data'!$D$19*0.6/('I_Inputs &amp; Assumptions'!$B$8/2),'I_Budget Input Data'!$D$19*0.4/('I_Inputs &amp; Assumptions'!$B$8/2)),IF('I_Budget Input Data'!$E$19="Back-loaded",IF(25&lt;='I_Inputs &amp; Assumptions'!$B$8/2,'I_Budget Input Data'!$D$19*0.4/('I_Inputs &amp; Assumptions'!$B$8/2),'I_Budget Input Data'!$D$19*0.6/('I_Inputs &amp; Assumptions'!$B$8/2)),IF('I_Budget Input Data'!$E$19="Mid-weighted",IF(25&lt;='I_Inputs &amp; Assumptions'!$B$8/4,'I_Budget Input Data'!$D$19*0.2/('I_Inputs &amp; Assumptions'!$B$8/4),IF(25&lt;='I_Inputs &amp; Assumptions'!$B$8*0.75,'I_Budget Input Data'!$D$19*0.6/('I_Inputs &amp; Assumptions'!$B$8/2),'I_Budget Input Data'!$D$19*0.2/('I_Inputs &amp; Assumptions'!$B$8/4))),IF('I_Budget Input Data'!$E$19="At Completion",IF(25='I_Inputs &amp; Assumptions'!$B$8,'I_Budget Input Data'!$D$19,0),'I_Budget Input Data'!$D$19/'I_Inputs &amp; Assumptions'!$B$8)))))),0)</f>
        <v>0</v>
      </c>
      <c r="AB19" s="91">
        <f>IF(26&lt;='I_Inputs &amp; Assumptions'!$B$8,IF('I_Budget Input Data'!$E$19="Upfront",IF(26=1,'I_Budget Input Data'!$D$19,0),IF('I_Budget Input Data'!$E$19="Equal",'I_Budget Input Data'!$D$19/'I_Inputs &amp; Assumptions'!$B$8,IF('I_Budget Input Data'!$E$19="Front-loaded",IF(26&lt;='I_Inputs &amp; Assumptions'!$B$8/2,'I_Budget Input Data'!$D$19*0.6/('I_Inputs &amp; Assumptions'!$B$8/2),'I_Budget Input Data'!$D$19*0.4/('I_Inputs &amp; Assumptions'!$B$8/2)),IF('I_Budget Input Data'!$E$19="Back-loaded",IF(26&lt;='I_Inputs &amp; Assumptions'!$B$8/2,'I_Budget Input Data'!$D$19*0.4/('I_Inputs &amp; Assumptions'!$B$8/2),'I_Budget Input Data'!$D$19*0.6/('I_Inputs &amp; Assumptions'!$B$8/2)),IF('I_Budget Input Data'!$E$19="Mid-weighted",IF(26&lt;='I_Inputs &amp; Assumptions'!$B$8/4,'I_Budget Input Data'!$D$19*0.2/('I_Inputs &amp; Assumptions'!$B$8/4),IF(26&lt;='I_Inputs &amp; Assumptions'!$B$8*0.75,'I_Budget Input Data'!$D$19*0.6/('I_Inputs &amp; Assumptions'!$B$8/2),'I_Budget Input Data'!$D$19*0.2/('I_Inputs &amp; Assumptions'!$B$8/4))),IF('I_Budget Input Data'!$E$19="At Completion",IF(26='I_Inputs &amp; Assumptions'!$B$8,'I_Budget Input Data'!$D$19,0),'I_Budget Input Data'!$D$19/'I_Inputs &amp; Assumptions'!$B$8)))))),0)</f>
        <v>0</v>
      </c>
      <c r="AC19" s="91">
        <f>IF(27&lt;='I_Inputs &amp; Assumptions'!$B$8,IF('I_Budget Input Data'!$E$19="Upfront",IF(27=1,'I_Budget Input Data'!$D$19,0),IF('I_Budget Input Data'!$E$19="Equal",'I_Budget Input Data'!$D$19/'I_Inputs &amp; Assumptions'!$B$8,IF('I_Budget Input Data'!$E$19="Front-loaded",IF(27&lt;='I_Inputs &amp; Assumptions'!$B$8/2,'I_Budget Input Data'!$D$19*0.6/('I_Inputs &amp; Assumptions'!$B$8/2),'I_Budget Input Data'!$D$19*0.4/('I_Inputs &amp; Assumptions'!$B$8/2)),IF('I_Budget Input Data'!$E$19="Back-loaded",IF(27&lt;='I_Inputs &amp; Assumptions'!$B$8/2,'I_Budget Input Data'!$D$19*0.4/('I_Inputs &amp; Assumptions'!$B$8/2),'I_Budget Input Data'!$D$19*0.6/('I_Inputs &amp; Assumptions'!$B$8/2)),IF('I_Budget Input Data'!$E$19="Mid-weighted",IF(27&lt;='I_Inputs &amp; Assumptions'!$B$8/4,'I_Budget Input Data'!$D$19*0.2/('I_Inputs &amp; Assumptions'!$B$8/4),IF(27&lt;='I_Inputs &amp; Assumptions'!$B$8*0.75,'I_Budget Input Data'!$D$19*0.6/('I_Inputs &amp; Assumptions'!$B$8/2),'I_Budget Input Data'!$D$19*0.2/('I_Inputs &amp; Assumptions'!$B$8/4))),IF('I_Budget Input Data'!$E$19="At Completion",IF(27='I_Inputs &amp; Assumptions'!$B$8,'I_Budget Input Data'!$D$19,0),'I_Budget Input Data'!$D$19/'I_Inputs &amp; Assumptions'!$B$8)))))),0)</f>
        <v>0</v>
      </c>
      <c r="AD19" s="91">
        <f>IF(28&lt;='I_Inputs &amp; Assumptions'!$B$8,IF('I_Budget Input Data'!$E$19="Upfront",IF(28=1,'I_Budget Input Data'!$D$19,0),IF('I_Budget Input Data'!$E$19="Equal",'I_Budget Input Data'!$D$19/'I_Inputs &amp; Assumptions'!$B$8,IF('I_Budget Input Data'!$E$19="Front-loaded",IF(28&lt;='I_Inputs &amp; Assumptions'!$B$8/2,'I_Budget Input Data'!$D$19*0.6/('I_Inputs &amp; Assumptions'!$B$8/2),'I_Budget Input Data'!$D$19*0.4/('I_Inputs &amp; Assumptions'!$B$8/2)),IF('I_Budget Input Data'!$E$19="Back-loaded",IF(28&lt;='I_Inputs &amp; Assumptions'!$B$8/2,'I_Budget Input Data'!$D$19*0.4/('I_Inputs &amp; Assumptions'!$B$8/2),'I_Budget Input Data'!$D$19*0.6/('I_Inputs &amp; Assumptions'!$B$8/2)),IF('I_Budget Input Data'!$E$19="Mid-weighted",IF(28&lt;='I_Inputs &amp; Assumptions'!$B$8/4,'I_Budget Input Data'!$D$19*0.2/('I_Inputs &amp; Assumptions'!$B$8/4),IF(28&lt;='I_Inputs &amp; Assumptions'!$B$8*0.75,'I_Budget Input Data'!$D$19*0.6/('I_Inputs &amp; Assumptions'!$B$8/2),'I_Budget Input Data'!$D$19*0.2/('I_Inputs &amp; Assumptions'!$B$8/4))),IF('I_Budget Input Data'!$E$19="At Completion",IF(28='I_Inputs &amp; Assumptions'!$B$8,'I_Budget Input Data'!$D$19,0),'I_Budget Input Data'!$D$19/'I_Inputs &amp; Assumptions'!$B$8)))))),0)</f>
        <v>0</v>
      </c>
      <c r="AE19" s="91">
        <f>IF(29&lt;='I_Inputs &amp; Assumptions'!$B$8,IF('I_Budget Input Data'!$E$19="Upfront",IF(29=1,'I_Budget Input Data'!$D$19,0),IF('I_Budget Input Data'!$E$19="Equal",'I_Budget Input Data'!$D$19/'I_Inputs &amp; Assumptions'!$B$8,IF('I_Budget Input Data'!$E$19="Front-loaded",IF(29&lt;='I_Inputs &amp; Assumptions'!$B$8/2,'I_Budget Input Data'!$D$19*0.6/('I_Inputs &amp; Assumptions'!$B$8/2),'I_Budget Input Data'!$D$19*0.4/('I_Inputs &amp; Assumptions'!$B$8/2)),IF('I_Budget Input Data'!$E$19="Back-loaded",IF(29&lt;='I_Inputs &amp; Assumptions'!$B$8/2,'I_Budget Input Data'!$D$19*0.4/('I_Inputs &amp; Assumptions'!$B$8/2),'I_Budget Input Data'!$D$19*0.6/('I_Inputs &amp; Assumptions'!$B$8/2)),IF('I_Budget Input Data'!$E$19="Mid-weighted",IF(29&lt;='I_Inputs &amp; Assumptions'!$B$8/4,'I_Budget Input Data'!$D$19*0.2/('I_Inputs &amp; Assumptions'!$B$8/4),IF(29&lt;='I_Inputs &amp; Assumptions'!$B$8*0.75,'I_Budget Input Data'!$D$19*0.6/('I_Inputs &amp; Assumptions'!$B$8/2),'I_Budget Input Data'!$D$19*0.2/('I_Inputs &amp; Assumptions'!$B$8/4))),IF('I_Budget Input Data'!$E$19="At Completion",IF(29='I_Inputs &amp; Assumptions'!$B$8,'I_Budget Input Data'!$D$19,0),'I_Budget Input Data'!$D$19/'I_Inputs &amp; Assumptions'!$B$8)))))),0)</f>
        <v>0</v>
      </c>
      <c r="AF19" s="91">
        <f>IF(30&lt;='I_Inputs &amp; Assumptions'!$B$8,IF('I_Budget Input Data'!$E$19="Upfront",IF(30=1,'I_Budget Input Data'!$D$19,0),IF('I_Budget Input Data'!$E$19="Equal",'I_Budget Input Data'!$D$19/'I_Inputs &amp; Assumptions'!$B$8,IF('I_Budget Input Data'!$E$19="Front-loaded",IF(30&lt;='I_Inputs &amp; Assumptions'!$B$8/2,'I_Budget Input Data'!$D$19*0.6/('I_Inputs &amp; Assumptions'!$B$8/2),'I_Budget Input Data'!$D$19*0.4/('I_Inputs &amp; Assumptions'!$B$8/2)),IF('I_Budget Input Data'!$E$19="Back-loaded",IF(30&lt;='I_Inputs &amp; Assumptions'!$B$8/2,'I_Budget Input Data'!$D$19*0.4/('I_Inputs &amp; Assumptions'!$B$8/2),'I_Budget Input Data'!$D$19*0.6/('I_Inputs &amp; Assumptions'!$B$8/2)),IF('I_Budget Input Data'!$E$19="Mid-weighted",IF(30&lt;='I_Inputs &amp; Assumptions'!$B$8/4,'I_Budget Input Data'!$D$19*0.2/('I_Inputs &amp; Assumptions'!$B$8/4),IF(30&lt;='I_Inputs &amp; Assumptions'!$B$8*0.75,'I_Budget Input Data'!$D$19*0.6/('I_Inputs &amp; Assumptions'!$B$8/2),'I_Budget Input Data'!$D$19*0.2/('I_Inputs &amp; Assumptions'!$B$8/4))),IF('I_Budget Input Data'!$E$19="At Completion",IF(30='I_Inputs &amp; Assumptions'!$B$8,'I_Budget Input Data'!$D$19,0),'I_Budget Input Data'!$D$19/'I_Inputs &amp; Assumptions'!$B$8)))))),0)</f>
        <v>0</v>
      </c>
      <c r="AG19" s="91">
        <f>IF(31&lt;='I_Inputs &amp; Assumptions'!$B$8,IF('I_Budget Input Data'!$E$19="Upfront",IF(31=1,'I_Budget Input Data'!$D$19,0),IF('I_Budget Input Data'!$E$19="Equal",'I_Budget Input Data'!$D$19/'I_Inputs &amp; Assumptions'!$B$8,IF('I_Budget Input Data'!$E$19="Front-loaded",IF(31&lt;='I_Inputs &amp; Assumptions'!$B$8/2,'I_Budget Input Data'!$D$19*0.6/('I_Inputs &amp; Assumptions'!$B$8/2),'I_Budget Input Data'!$D$19*0.4/('I_Inputs &amp; Assumptions'!$B$8/2)),IF('I_Budget Input Data'!$E$19="Back-loaded",IF(31&lt;='I_Inputs &amp; Assumptions'!$B$8/2,'I_Budget Input Data'!$D$19*0.4/('I_Inputs &amp; Assumptions'!$B$8/2),'I_Budget Input Data'!$D$19*0.6/('I_Inputs &amp; Assumptions'!$B$8/2)),IF('I_Budget Input Data'!$E$19="Mid-weighted",IF(31&lt;='I_Inputs &amp; Assumptions'!$B$8/4,'I_Budget Input Data'!$D$19*0.2/('I_Inputs &amp; Assumptions'!$B$8/4),IF(31&lt;='I_Inputs &amp; Assumptions'!$B$8*0.75,'I_Budget Input Data'!$D$19*0.6/('I_Inputs &amp; Assumptions'!$B$8/2),'I_Budget Input Data'!$D$19*0.2/('I_Inputs &amp; Assumptions'!$B$8/4))),IF('I_Budget Input Data'!$E$19="At Completion",IF(31='I_Inputs &amp; Assumptions'!$B$8,'I_Budget Input Data'!$D$19,0),'I_Budget Input Data'!$D$19/'I_Inputs &amp; Assumptions'!$B$8)))))),0)</f>
        <v>0</v>
      </c>
      <c r="AH19" s="91">
        <f>IF(32&lt;='I_Inputs &amp; Assumptions'!$B$8,IF('I_Budget Input Data'!$E$19="Upfront",IF(32=1,'I_Budget Input Data'!$D$19,0),IF('I_Budget Input Data'!$E$19="Equal",'I_Budget Input Data'!$D$19/'I_Inputs &amp; Assumptions'!$B$8,IF('I_Budget Input Data'!$E$19="Front-loaded",IF(32&lt;='I_Inputs &amp; Assumptions'!$B$8/2,'I_Budget Input Data'!$D$19*0.6/('I_Inputs &amp; Assumptions'!$B$8/2),'I_Budget Input Data'!$D$19*0.4/('I_Inputs &amp; Assumptions'!$B$8/2)),IF('I_Budget Input Data'!$E$19="Back-loaded",IF(32&lt;='I_Inputs &amp; Assumptions'!$B$8/2,'I_Budget Input Data'!$D$19*0.4/('I_Inputs &amp; Assumptions'!$B$8/2),'I_Budget Input Data'!$D$19*0.6/('I_Inputs &amp; Assumptions'!$B$8/2)),IF('I_Budget Input Data'!$E$19="Mid-weighted",IF(32&lt;='I_Inputs &amp; Assumptions'!$B$8/4,'I_Budget Input Data'!$D$19*0.2/('I_Inputs &amp; Assumptions'!$B$8/4),IF(32&lt;='I_Inputs &amp; Assumptions'!$B$8*0.75,'I_Budget Input Data'!$D$19*0.6/('I_Inputs &amp; Assumptions'!$B$8/2),'I_Budget Input Data'!$D$19*0.2/('I_Inputs &amp; Assumptions'!$B$8/4))),IF('I_Budget Input Data'!$E$19="At Completion",IF(32='I_Inputs &amp; Assumptions'!$B$8,'I_Budget Input Data'!$D$19,0),'I_Budget Input Data'!$D$19/'I_Inputs &amp; Assumptions'!$B$8)))))),0)</f>
        <v>0</v>
      </c>
      <c r="AI19" s="91">
        <f>IF(33&lt;='I_Inputs &amp; Assumptions'!$B$8,IF('I_Budget Input Data'!$E$19="Upfront",IF(33=1,'I_Budget Input Data'!$D$19,0),IF('I_Budget Input Data'!$E$19="Equal",'I_Budget Input Data'!$D$19/'I_Inputs &amp; Assumptions'!$B$8,IF('I_Budget Input Data'!$E$19="Front-loaded",IF(33&lt;='I_Inputs &amp; Assumptions'!$B$8/2,'I_Budget Input Data'!$D$19*0.6/('I_Inputs &amp; Assumptions'!$B$8/2),'I_Budget Input Data'!$D$19*0.4/('I_Inputs &amp; Assumptions'!$B$8/2)),IF('I_Budget Input Data'!$E$19="Back-loaded",IF(33&lt;='I_Inputs &amp; Assumptions'!$B$8/2,'I_Budget Input Data'!$D$19*0.4/('I_Inputs &amp; Assumptions'!$B$8/2),'I_Budget Input Data'!$D$19*0.6/('I_Inputs &amp; Assumptions'!$B$8/2)),IF('I_Budget Input Data'!$E$19="Mid-weighted",IF(33&lt;='I_Inputs &amp; Assumptions'!$B$8/4,'I_Budget Input Data'!$D$19*0.2/('I_Inputs &amp; Assumptions'!$B$8/4),IF(33&lt;='I_Inputs &amp; Assumptions'!$B$8*0.75,'I_Budget Input Data'!$D$19*0.6/('I_Inputs &amp; Assumptions'!$B$8/2),'I_Budget Input Data'!$D$19*0.2/('I_Inputs &amp; Assumptions'!$B$8/4))),IF('I_Budget Input Data'!$E$19="At Completion",IF(33='I_Inputs &amp; Assumptions'!$B$8,'I_Budget Input Data'!$D$19,0),'I_Budget Input Data'!$D$19/'I_Inputs &amp; Assumptions'!$B$8)))))),0)</f>
        <v>0</v>
      </c>
      <c r="AJ19" s="91">
        <f>IF(34&lt;='I_Inputs &amp; Assumptions'!$B$8,IF('I_Budget Input Data'!$E$19="Upfront",IF(34=1,'I_Budget Input Data'!$D$19,0),IF('I_Budget Input Data'!$E$19="Equal",'I_Budget Input Data'!$D$19/'I_Inputs &amp; Assumptions'!$B$8,IF('I_Budget Input Data'!$E$19="Front-loaded",IF(34&lt;='I_Inputs &amp; Assumptions'!$B$8/2,'I_Budget Input Data'!$D$19*0.6/('I_Inputs &amp; Assumptions'!$B$8/2),'I_Budget Input Data'!$D$19*0.4/('I_Inputs &amp; Assumptions'!$B$8/2)),IF('I_Budget Input Data'!$E$19="Back-loaded",IF(34&lt;='I_Inputs &amp; Assumptions'!$B$8/2,'I_Budget Input Data'!$D$19*0.4/('I_Inputs &amp; Assumptions'!$B$8/2),'I_Budget Input Data'!$D$19*0.6/('I_Inputs &amp; Assumptions'!$B$8/2)),IF('I_Budget Input Data'!$E$19="Mid-weighted",IF(34&lt;='I_Inputs &amp; Assumptions'!$B$8/4,'I_Budget Input Data'!$D$19*0.2/('I_Inputs &amp; Assumptions'!$B$8/4),IF(34&lt;='I_Inputs &amp; Assumptions'!$B$8*0.75,'I_Budget Input Data'!$D$19*0.6/('I_Inputs &amp; Assumptions'!$B$8/2),'I_Budget Input Data'!$D$19*0.2/('I_Inputs &amp; Assumptions'!$B$8/4))),IF('I_Budget Input Data'!$E$19="At Completion",IF(34='I_Inputs &amp; Assumptions'!$B$8,'I_Budget Input Data'!$D$19,0),'I_Budget Input Data'!$D$19/'I_Inputs &amp; Assumptions'!$B$8)))))),0)</f>
        <v>0</v>
      </c>
      <c r="AK19" s="91">
        <f>IF(35&lt;='I_Inputs &amp; Assumptions'!$B$8,IF('I_Budget Input Data'!$E$19="Upfront",IF(35=1,'I_Budget Input Data'!$D$19,0),IF('I_Budget Input Data'!$E$19="Equal",'I_Budget Input Data'!$D$19/'I_Inputs &amp; Assumptions'!$B$8,IF('I_Budget Input Data'!$E$19="Front-loaded",IF(35&lt;='I_Inputs &amp; Assumptions'!$B$8/2,'I_Budget Input Data'!$D$19*0.6/('I_Inputs &amp; Assumptions'!$B$8/2),'I_Budget Input Data'!$D$19*0.4/('I_Inputs &amp; Assumptions'!$B$8/2)),IF('I_Budget Input Data'!$E$19="Back-loaded",IF(35&lt;='I_Inputs &amp; Assumptions'!$B$8/2,'I_Budget Input Data'!$D$19*0.4/('I_Inputs &amp; Assumptions'!$B$8/2),'I_Budget Input Data'!$D$19*0.6/('I_Inputs &amp; Assumptions'!$B$8/2)),IF('I_Budget Input Data'!$E$19="Mid-weighted",IF(35&lt;='I_Inputs &amp; Assumptions'!$B$8/4,'I_Budget Input Data'!$D$19*0.2/('I_Inputs &amp; Assumptions'!$B$8/4),IF(35&lt;='I_Inputs &amp; Assumptions'!$B$8*0.75,'I_Budget Input Data'!$D$19*0.6/('I_Inputs &amp; Assumptions'!$B$8/2),'I_Budget Input Data'!$D$19*0.2/('I_Inputs &amp; Assumptions'!$B$8/4))),IF('I_Budget Input Data'!$E$19="At Completion",IF(35='I_Inputs &amp; Assumptions'!$B$8,'I_Budget Input Data'!$D$19,0),'I_Budget Input Data'!$D$19/'I_Inputs &amp; Assumptions'!$B$8)))))),0)</f>
        <v>0</v>
      </c>
      <c r="AL19" s="91">
        <f>IF(36&lt;='I_Inputs &amp; Assumptions'!$B$8,IF('I_Budget Input Data'!$E$19="Upfront",IF(36=1,'I_Budget Input Data'!$D$19,0),IF('I_Budget Input Data'!$E$19="Equal",'I_Budget Input Data'!$D$19/'I_Inputs &amp; Assumptions'!$B$8,IF('I_Budget Input Data'!$E$19="Front-loaded",IF(36&lt;='I_Inputs &amp; Assumptions'!$B$8/2,'I_Budget Input Data'!$D$19*0.6/('I_Inputs &amp; Assumptions'!$B$8/2),'I_Budget Input Data'!$D$19*0.4/('I_Inputs &amp; Assumptions'!$B$8/2)),IF('I_Budget Input Data'!$E$19="Back-loaded",IF(36&lt;='I_Inputs &amp; Assumptions'!$B$8/2,'I_Budget Input Data'!$D$19*0.4/('I_Inputs &amp; Assumptions'!$B$8/2),'I_Budget Input Data'!$D$19*0.6/('I_Inputs &amp; Assumptions'!$B$8/2)),IF('I_Budget Input Data'!$E$19="Mid-weighted",IF(36&lt;='I_Inputs &amp; Assumptions'!$B$8/4,'I_Budget Input Data'!$D$19*0.2/('I_Inputs &amp; Assumptions'!$B$8/4),IF(36&lt;='I_Inputs &amp; Assumptions'!$B$8*0.75,'I_Budget Input Data'!$D$19*0.6/('I_Inputs &amp; Assumptions'!$B$8/2),'I_Budget Input Data'!$D$19*0.2/('I_Inputs &amp; Assumptions'!$B$8/4))),IF('I_Budget Input Data'!$E$19="At Completion",IF(36='I_Inputs &amp; Assumptions'!$B$8,'I_Budget Input Data'!$D$19,0),'I_Budget Input Data'!$D$19/'I_Inputs &amp; Assumptions'!$B$8)))))),0)</f>
        <v>0</v>
      </c>
    </row>
    <row r="20" spans="1:38" ht="15" customHeight="1" x14ac:dyDescent="0.2">
      <c r="A20" t="s">
        <v>136</v>
      </c>
      <c r="B20" t="s">
        <v>142</v>
      </c>
      <c r="C20" s="91">
        <f>IF(1&lt;='I_Inputs &amp; Assumptions'!$B$8,IF('I_Budget Input Data'!$E$20="Upfront",IF(1=1,'I_Budget Input Data'!$D$20,0),IF('I_Budget Input Data'!$E$20="Equal",'I_Budget Input Data'!$D$20/'I_Inputs &amp; Assumptions'!$B$8,IF('I_Budget Input Data'!$E$20="Front-loaded",IF(1&lt;='I_Inputs &amp; Assumptions'!$B$8/2,'I_Budget Input Data'!$D$20*0.6/('I_Inputs &amp; Assumptions'!$B$8/2),'I_Budget Input Data'!$D$20*0.4/('I_Inputs &amp; Assumptions'!$B$8/2)),IF('I_Budget Input Data'!$E$20="Back-loaded",IF(1&lt;='I_Inputs &amp; Assumptions'!$B$8/2,'I_Budget Input Data'!$D$20*0.4/('I_Inputs &amp; Assumptions'!$B$8/2),'I_Budget Input Data'!$D$20*0.6/('I_Inputs &amp; Assumptions'!$B$8/2)),IF('I_Budget Input Data'!$E$20="Mid-weighted",IF(1&lt;='I_Inputs &amp; Assumptions'!$B$8/4,'I_Budget Input Data'!$D$20*0.2/('I_Inputs &amp; Assumptions'!$B$8/4),IF(1&lt;='I_Inputs &amp; Assumptions'!$B$8*0.75,'I_Budget Input Data'!$D$20*0.6/('I_Inputs &amp; Assumptions'!$B$8/2),'I_Budget Input Data'!$D$20*0.2/('I_Inputs &amp; Assumptions'!$B$8/4))),IF('I_Budget Input Data'!$E$20="At Completion",IF(1='I_Inputs &amp; Assumptions'!$B$8,'I_Budget Input Data'!$D$20,0),'I_Budget Input Data'!$D$20/'I_Inputs &amp; Assumptions'!$B$8)))))),0)</f>
        <v>2317.1076923076921</v>
      </c>
      <c r="D20" s="91">
        <f>IF(2&lt;='I_Inputs &amp; Assumptions'!$B$8,IF('I_Budget Input Data'!$E$20="Upfront",IF(2=1,'I_Budget Input Data'!$D$20,0),IF('I_Budget Input Data'!$E$20="Equal",'I_Budget Input Data'!$D$20/'I_Inputs &amp; Assumptions'!$B$8,IF('I_Budget Input Data'!$E$20="Front-loaded",IF(2&lt;='I_Inputs &amp; Assumptions'!$B$8/2,'I_Budget Input Data'!$D$20*0.6/('I_Inputs &amp; Assumptions'!$B$8/2),'I_Budget Input Data'!$D$20*0.4/('I_Inputs &amp; Assumptions'!$B$8/2)),IF('I_Budget Input Data'!$E$20="Back-loaded",IF(2&lt;='I_Inputs &amp; Assumptions'!$B$8/2,'I_Budget Input Data'!$D$20*0.4/('I_Inputs &amp; Assumptions'!$B$8/2),'I_Budget Input Data'!$D$20*0.6/('I_Inputs &amp; Assumptions'!$B$8/2)),IF('I_Budget Input Data'!$E$20="Mid-weighted",IF(2&lt;='I_Inputs &amp; Assumptions'!$B$8/4,'I_Budget Input Data'!$D$20*0.2/('I_Inputs &amp; Assumptions'!$B$8/4),IF(2&lt;='I_Inputs &amp; Assumptions'!$B$8*0.75,'I_Budget Input Data'!$D$20*0.6/('I_Inputs &amp; Assumptions'!$B$8/2),'I_Budget Input Data'!$D$20*0.2/('I_Inputs &amp; Assumptions'!$B$8/4))),IF('I_Budget Input Data'!$E$20="At Completion",IF(2='I_Inputs &amp; Assumptions'!$B$8,'I_Budget Input Data'!$D$20,0),'I_Budget Input Data'!$D$20/'I_Inputs &amp; Assumptions'!$B$8)))))),0)</f>
        <v>2317.1076923076921</v>
      </c>
      <c r="E20" s="91">
        <f>IF(3&lt;='I_Inputs &amp; Assumptions'!$B$8,IF('I_Budget Input Data'!$E$20="Upfront",IF(3=1,'I_Budget Input Data'!$D$20,0),IF('I_Budget Input Data'!$E$20="Equal",'I_Budget Input Data'!$D$20/'I_Inputs &amp; Assumptions'!$B$8,IF('I_Budget Input Data'!$E$20="Front-loaded",IF(3&lt;='I_Inputs &amp; Assumptions'!$B$8/2,'I_Budget Input Data'!$D$20*0.6/('I_Inputs &amp; Assumptions'!$B$8/2),'I_Budget Input Data'!$D$20*0.4/('I_Inputs &amp; Assumptions'!$B$8/2)),IF('I_Budget Input Data'!$E$20="Back-loaded",IF(3&lt;='I_Inputs &amp; Assumptions'!$B$8/2,'I_Budget Input Data'!$D$20*0.4/('I_Inputs &amp; Assumptions'!$B$8/2),'I_Budget Input Data'!$D$20*0.6/('I_Inputs &amp; Assumptions'!$B$8/2)),IF('I_Budget Input Data'!$E$20="Mid-weighted",IF(3&lt;='I_Inputs &amp; Assumptions'!$B$8/4,'I_Budget Input Data'!$D$20*0.2/('I_Inputs &amp; Assumptions'!$B$8/4),IF(3&lt;='I_Inputs &amp; Assumptions'!$B$8*0.75,'I_Budget Input Data'!$D$20*0.6/('I_Inputs &amp; Assumptions'!$B$8/2),'I_Budget Input Data'!$D$20*0.2/('I_Inputs &amp; Assumptions'!$B$8/4))),IF('I_Budget Input Data'!$E$20="At Completion",IF(3='I_Inputs &amp; Assumptions'!$B$8,'I_Budget Input Data'!$D$20,0),'I_Budget Input Data'!$D$20/'I_Inputs &amp; Assumptions'!$B$8)))))),0)</f>
        <v>2317.1076923076921</v>
      </c>
      <c r="F20" s="91">
        <f>IF(4&lt;='I_Inputs &amp; Assumptions'!$B$8,IF('I_Budget Input Data'!$E$20="Upfront",IF(4=1,'I_Budget Input Data'!$D$20,0),IF('I_Budget Input Data'!$E$20="Equal",'I_Budget Input Data'!$D$20/'I_Inputs &amp; Assumptions'!$B$8,IF('I_Budget Input Data'!$E$20="Front-loaded",IF(4&lt;='I_Inputs &amp; Assumptions'!$B$8/2,'I_Budget Input Data'!$D$20*0.6/('I_Inputs &amp; Assumptions'!$B$8/2),'I_Budget Input Data'!$D$20*0.4/('I_Inputs &amp; Assumptions'!$B$8/2)),IF('I_Budget Input Data'!$E$20="Back-loaded",IF(4&lt;='I_Inputs &amp; Assumptions'!$B$8/2,'I_Budget Input Data'!$D$20*0.4/('I_Inputs &amp; Assumptions'!$B$8/2),'I_Budget Input Data'!$D$20*0.6/('I_Inputs &amp; Assumptions'!$B$8/2)),IF('I_Budget Input Data'!$E$20="Mid-weighted",IF(4&lt;='I_Inputs &amp; Assumptions'!$B$8/4,'I_Budget Input Data'!$D$20*0.2/('I_Inputs &amp; Assumptions'!$B$8/4),IF(4&lt;='I_Inputs &amp; Assumptions'!$B$8*0.75,'I_Budget Input Data'!$D$20*0.6/('I_Inputs &amp; Assumptions'!$B$8/2),'I_Budget Input Data'!$D$20*0.2/('I_Inputs &amp; Assumptions'!$B$8/4))),IF('I_Budget Input Data'!$E$20="At Completion",IF(4='I_Inputs &amp; Assumptions'!$B$8,'I_Budget Input Data'!$D$20,0),'I_Budget Input Data'!$D$20/'I_Inputs &amp; Assumptions'!$B$8)))))),0)</f>
        <v>2317.1076923076921</v>
      </c>
      <c r="G20" s="91">
        <f>IF(5&lt;='I_Inputs &amp; Assumptions'!$B$8,IF('I_Budget Input Data'!$E$20="Upfront",IF(5=1,'I_Budget Input Data'!$D$20,0),IF('I_Budget Input Data'!$E$20="Equal",'I_Budget Input Data'!$D$20/'I_Inputs &amp; Assumptions'!$B$8,IF('I_Budget Input Data'!$E$20="Front-loaded",IF(5&lt;='I_Inputs &amp; Assumptions'!$B$8/2,'I_Budget Input Data'!$D$20*0.6/('I_Inputs &amp; Assumptions'!$B$8/2),'I_Budget Input Data'!$D$20*0.4/('I_Inputs &amp; Assumptions'!$B$8/2)),IF('I_Budget Input Data'!$E$20="Back-loaded",IF(5&lt;='I_Inputs &amp; Assumptions'!$B$8/2,'I_Budget Input Data'!$D$20*0.4/('I_Inputs &amp; Assumptions'!$B$8/2),'I_Budget Input Data'!$D$20*0.6/('I_Inputs &amp; Assumptions'!$B$8/2)),IF('I_Budget Input Data'!$E$20="Mid-weighted",IF(5&lt;='I_Inputs &amp; Assumptions'!$B$8/4,'I_Budget Input Data'!$D$20*0.2/('I_Inputs &amp; Assumptions'!$B$8/4),IF(5&lt;='I_Inputs &amp; Assumptions'!$B$8*0.75,'I_Budget Input Data'!$D$20*0.6/('I_Inputs &amp; Assumptions'!$B$8/2),'I_Budget Input Data'!$D$20*0.2/('I_Inputs &amp; Assumptions'!$B$8/4))),IF('I_Budget Input Data'!$E$20="At Completion",IF(5='I_Inputs &amp; Assumptions'!$B$8,'I_Budget Input Data'!$D$20,0),'I_Budget Input Data'!$D$20/'I_Inputs &amp; Assumptions'!$B$8)))))),0)</f>
        <v>2317.1076923076921</v>
      </c>
      <c r="H20" s="91">
        <f>IF(6&lt;='I_Inputs &amp; Assumptions'!$B$8,IF('I_Budget Input Data'!$E$20="Upfront",IF(6=1,'I_Budget Input Data'!$D$20,0),IF('I_Budget Input Data'!$E$20="Equal",'I_Budget Input Data'!$D$20/'I_Inputs &amp; Assumptions'!$B$8,IF('I_Budget Input Data'!$E$20="Front-loaded",IF(6&lt;='I_Inputs &amp; Assumptions'!$B$8/2,'I_Budget Input Data'!$D$20*0.6/('I_Inputs &amp; Assumptions'!$B$8/2),'I_Budget Input Data'!$D$20*0.4/('I_Inputs &amp; Assumptions'!$B$8/2)),IF('I_Budget Input Data'!$E$20="Back-loaded",IF(6&lt;='I_Inputs &amp; Assumptions'!$B$8/2,'I_Budget Input Data'!$D$20*0.4/('I_Inputs &amp; Assumptions'!$B$8/2),'I_Budget Input Data'!$D$20*0.6/('I_Inputs &amp; Assumptions'!$B$8/2)),IF('I_Budget Input Data'!$E$20="Mid-weighted",IF(6&lt;='I_Inputs &amp; Assumptions'!$B$8/4,'I_Budget Input Data'!$D$20*0.2/('I_Inputs &amp; Assumptions'!$B$8/4),IF(6&lt;='I_Inputs &amp; Assumptions'!$B$8*0.75,'I_Budget Input Data'!$D$20*0.6/('I_Inputs &amp; Assumptions'!$B$8/2),'I_Budget Input Data'!$D$20*0.2/('I_Inputs &amp; Assumptions'!$B$8/4))),IF('I_Budget Input Data'!$E$20="At Completion",IF(6='I_Inputs &amp; Assumptions'!$B$8,'I_Budget Input Data'!$D$20,0),'I_Budget Input Data'!$D$20/'I_Inputs &amp; Assumptions'!$B$8)))))),0)</f>
        <v>2317.1076923076921</v>
      </c>
      <c r="I20" s="91">
        <f>IF(7&lt;='I_Inputs &amp; Assumptions'!$B$8,IF('I_Budget Input Data'!$E$20="Upfront",IF(7=1,'I_Budget Input Data'!$D$20,0),IF('I_Budget Input Data'!$E$20="Equal",'I_Budget Input Data'!$D$20/'I_Inputs &amp; Assumptions'!$B$8,IF('I_Budget Input Data'!$E$20="Front-loaded",IF(7&lt;='I_Inputs &amp; Assumptions'!$B$8/2,'I_Budget Input Data'!$D$20*0.6/('I_Inputs &amp; Assumptions'!$B$8/2),'I_Budget Input Data'!$D$20*0.4/('I_Inputs &amp; Assumptions'!$B$8/2)),IF('I_Budget Input Data'!$E$20="Back-loaded",IF(7&lt;='I_Inputs &amp; Assumptions'!$B$8/2,'I_Budget Input Data'!$D$20*0.4/('I_Inputs &amp; Assumptions'!$B$8/2),'I_Budget Input Data'!$D$20*0.6/('I_Inputs &amp; Assumptions'!$B$8/2)),IF('I_Budget Input Data'!$E$20="Mid-weighted",IF(7&lt;='I_Inputs &amp; Assumptions'!$B$8/4,'I_Budget Input Data'!$D$20*0.2/('I_Inputs &amp; Assumptions'!$B$8/4),IF(7&lt;='I_Inputs &amp; Assumptions'!$B$8*0.75,'I_Budget Input Data'!$D$20*0.6/('I_Inputs &amp; Assumptions'!$B$8/2),'I_Budget Input Data'!$D$20*0.2/('I_Inputs &amp; Assumptions'!$B$8/4))),IF('I_Budget Input Data'!$E$20="At Completion",IF(7='I_Inputs &amp; Assumptions'!$B$8,'I_Budget Input Data'!$D$20,0),'I_Budget Input Data'!$D$20/'I_Inputs &amp; Assumptions'!$B$8)))))),0)</f>
        <v>1544.7384615384617</v>
      </c>
      <c r="J20" s="91">
        <f>IF(8&lt;='I_Inputs &amp; Assumptions'!$B$8,IF('I_Budget Input Data'!$E$20="Upfront",IF(8=1,'I_Budget Input Data'!$D$20,0),IF('I_Budget Input Data'!$E$20="Equal",'I_Budget Input Data'!$D$20/'I_Inputs &amp; Assumptions'!$B$8,IF('I_Budget Input Data'!$E$20="Front-loaded",IF(8&lt;='I_Inputs &amp; Assumptions'!$B$8/2,'I_Budget Input Data'!$D$20*0.6/('I_Inputs &amp; Assumptions'!$B$8/2),'I_Budget Input Data'!$D$20*0.4/('I_Inputs &amp; Assumptions'!$B$8/2)),IF('I_Budget Input Data'!$E$20="Back-loaded",IF(8&lt;='I_Inputs &amp; Assumptions'!$B$8/2,'I_Budget Input Data'!$D$20*0.4/('I_Inputs &amp; Assumptions'!$B$8/2),'I_Budget Input Data'!$D$20*0.6/('I_Inputs &amp; Assumptions'!$B$8/2)),IF('I_Budget Input Data'!$E$20="Mid-weighted",IF(8&lt;='I_Inputs &amp; Assumptions'!$B$8/4,'I_Budget Input Data'!$D$20*0.2/('I_Inputs &amp; Assumptions'!$B$8/4),IF(8&lt;='I_Inputs &amp; Assumptions'!$B$8*0.75,'I_Budget Input Data'!$D$20*0.6/('I_Inputs &amp; Assumptions'!$B$8/2),'I_Budget Input Data'!$D$20*0.2/('I_Inputs &amp; Assumptions'!$B$8/4))),IF('I_Budget Input Data'!$E$20="At Completion",IF(8='I_Inputs &amp; Assumptions'!$B$8,'I_Budget Input Data'!$D$20,0),'I_Budget Input Data'!$D$20/'I_Inputs &amp; Assumptions'!$B$8)))))),0)</f>
        <v>1544.7384615384617</v>
      </c>
      <c r="K20" s="91">
        <f>IF(9&lt;='I_Inputs &amp; Assumptions'!$B$8,IF('I_Budget Input Data'!$E$20="Upfront",IF(9=1,'I_Budget Input Data'!$D$20,0),IF('I_Budget Input Data'!$E$20="Equal",'I_Budget Input Data'!$D$20/'I_Inputs &amp; Assumptions'!$B$8,IF('I_Budget Input Data'!$E$20="Front-loaded",IF(9&lt;='I_Inputs &amp; Assumptions'!$B$8/2,'I_Budget Input Data'!$D$20*0.6/('I_Inputs &amp; Assumptions'!$B$8/2),'I_Budget Input Data'!$D$20*0.4/('I_Inputs &amp; Assumptions'!$B$8/2)),IF('I_Budget Input Data'!$E$20="Back-loaded",IF(9&lt;='I_Inputs &amp; Assumptions'!$B$8/2,'I_Budget Input Data'!$D$20*0.4/('I_Inputs &amp; Assumptions'!$B$8/2),'I_Budget Input Data'!$D$20*0.6/('I_Inputs &amp; Assumptions'!$B$8/2)),IF('I_Budget Input Data'!$E$20="Mid-weighted",IF(9&lt;='I_Inputs &amp; Assumptions'!$B$8/4,'I_Budget Input Data'!$D$20*0.2/('I_Inputs &amp; Assumptions'!$B$8/4),IF(9&lt;='I_Inputs &amp; Assumptions'!$B$8*0.75,'I_Budget Input Data'!$D$20*0.6/('I_Inputs &amp; Assumptions'!$B$8/2),'I_Budget Input Data'!$D$20*0.2/('I_Inputs &amp; Assumptions'!$B$8/4))),IF('I_Budget Input Data'!$E$20="At Completion",IF(9='I_Inputs &amp; Assumptions'!$B$8,'I_Budget Input Data'!$D$20,0),'I_Budget Input Data'!$D$20/'I_Inputs &amp; Assumptions'!$B$8)))))),0)</f>
        <v>1544.7384615384617</v>
      </c>
      <c r="L20" s="91">
        <f>IF(10&lt;='I_Inputs &amp; Assumptions'!$B$8,IF('I_Budget Input Data'!$E$20="Upfront",IF(10=1,'I_Budget Input Data'!$D$20,0),IF('I_Budget Input Data'!$E$20="Equal",'I_Budget Input Data'!$D$20/'I_Inputs &amp; Assumptions'!$B$8,IF('I_Budget Input Data'!$E$20="Front-loaded",IF(10&lt;='I_Inputs &amp; Assumptions'!$B$8/2,'I_Budget Input Data'!$D$20*0.6/('I_Inputs &amp; Assumptions'!$B$8/2),'I_Budget Input Data'!$D$20*0.4/('I_Inputs &amp; Assumptions'!$B$8/2)),IF('I_Budget Input Data'!$E$20="Back-loaded",IF(10&lt;='I_Inputs &amp; Assumptions'!$B$8/2,'I_Budget Input Data'!$D$20*0.4/('I_Inputs &amp; Assumptions'!$B$8/2),'I_Budget Input Data'!$D$20*0.6/('I_Inputs &amp; Assumptions'!$B$8/2)),IF('I_Budget Input Data'!$E$20="Mid-weighted",IF(10&lt;='I_Inputs &amp; Assumptions'!$B$8/4,'I_Budget Input Data'!$D$20*0.2/('I_Inputs &amp; Assumptions'!$B$8/4),IF(10&lt;='I_Inputs &amp; Assumptions'!$B$8*0.75,'I_Budget Input Data'!$D$20*0.6/('I_Inputs &amp; Assumptions'!$B$8/2),'I_Budget Input Data'!$D$20*0.2/('I_Inputs &amp; Assumptions'!$B$8/4))),IF('I_Budget Input Data'!$E$20="At Completion",IF(10='I_Inputs &amp; Assumptions'!$B$8,'I_Budget Input Data'!$D$20,0),'I_Budget Input Data'!$D$20/'I_Inputs &amp; Assumptions'!$B$8)))))),0)</f>
        <v>1544.7384615384617</v>
      </c>
      <c r="M20" s="91">
        <f>IF(11&lt;='I_Inputs &amp; Assumptions'!$B$8,IF('I_Budget Input Data'!$E$20="Upfront",IF(11=1,'I_Budget Input Data'!$D$20,0),IF('I_Budget Input Data'!$E$20="Equal",'I_Budget Input Data'!$D$20/'I_Inputs &amp; Assumptions'!$B$8,IF('I_Budget Input Data'!$E$20="Front-loaded",IF(11&lt;='I_Inputs &amp; Assumptions'!$B$8/2,'I_Budget Input Data'!$D$20*0.6/('I_Inputs &amp; Assumptions'!$B$8/2),'I_Budget Input Data'!$D$20*0.4/('I_Inputs &amp; Assumptions'!$B$8/2)),IF('I_Budget Input Data'!$E$20="Back-loaded",IF(11&lt;='I_Inputs &amp; Assumptions'!$B$8/2,'I_Budget Input Data'!$D$20*0.4/('I_Inputs &amp; Assumptions'!$B$8/2),'I_Budget Input Data'!$D$20*0.6/('I_Inputs &amp; Assumptions'!$B$8/2)),IF('I_Budget Input Data'!$E$20="Mid-weighted",IF(11&lt;='I_Inputs &amp; Assumptions'!$B$8/4,'I_Budget Input Data'!$D$20*0.2/('I_Inputs &amp; Assumptions'!$B$8/4),IF(11&lt;='I_Inputs &amp; Assumptions'!$B$8*0.75,'I_Budget Input Data'!$D$20*0.6/('I_Inputs &amp; Assumptions'!$B$8/2),'I_Budget Input Data'!$D$20*0.2/('I_Inputs &amp; Assumptions'!$B$8/4))),IF('I_Budget Input Data'!$E$20="At Completion",IF(11='I_Inputs &amp; Assumptions'!$B$8,'I_Budget Input Data'!$D$20,0),'I_Budget Input Data'!$D$20/'I_Inputs &amp; Assumptions'!$B$8)))))),0)</f>
        <v>1544.7384615384617</v>
      </c>
      <c r="N20" s="91">
        <f>IF(12&lt;='I_Inputs &amp; Assumptions'!$B$8,IF('I_Budget Input Data'!$E$20="Upfront",IF(12=1,'I_Budget Input Data'!$D$20,0),IF('I_Budget Input Data'!$E$20="Equal",'I_Budget Input Data'!$D$20/'I_Inputs &amp; Assumptions'!$B$8,IF('I_Budget Input Data'!$E$20="Front-loaded",IF(12&lt;='I_Inputs &amp; Assumptions'!$B$8/2,'I_Budget Input Data'!$D$20*0.6/('I_Inputs &amp; Assumptions'!$B$8/2),'I_Budget Input Data'!$D$20*0.4/('I_Inputs &amp; Assumptions'!$B$8/2)),IF('I_Budget Input Data'!$E$20="Back-loaded",IF(12&lt;='I_Inputs &amp; Assumptions'!$B$8/2,'I_Budget Input Data'!$D$20*0.4/('I_Inputs &amp; Assumptions'!$B$8/2),'I_Budget Input Data'!$D$20*0.6/('I_Inputs &amp; Assumptions'!$B$8/2)),IF('I_Budget Input Data'!$E$20="Mid-weighted",IF(12&lt;='I_Inputs &amp; Assumptions'!$B$8/4,'I_Budget Input Data'!$D$20*0.2/('I_Inputs &amp; Assumptions'!$B$8/4),IF(12&lt;='I_Inputs &amp; Assumptions'!$B$8*0.75,'I_Budget Input Data'!$D$20*0.6/('I_Inputs &amp; Assumptions'!$B$8/2),'I_Budget Input Data'!$D$20*0.2/('I_Inputs &amp; Assumptions'!$B$8/4))),IF('I_Budget Input Data'!$E$20="At Completion",IF(12='I_Inputs &amp; Assumptions'!$B$8,'I_Budget Input Data'!$D$20,0),'I_Budget Input Data'!$D$20/'I_Inputs &amp; Assumptions'!$B$8)))))),0)</f>
        <v>1544.7384615384617</v>
      </c>
      <c r="O20" s="91">
        <f>IF(13&lt;='I_Inputs &amp; Assumptions'!$B$8,IF('I_Budget Input Data'!$E$20="Upfront",IF(13=1,'I_Budget Input Data'!$D$20,0),IF('I_Budget Input Data'!$E$20="Equal",'I_Budget Input Data'!$D$20/'I_Inputs &amp; Assumptions'!$B$8,IF('I_Budget Input Data'!$E$20="Front-loaded",IF(13&lt;='I_Inputs &amp; Assumptions'!$B$8/2,'I_Budget Input Data'!$D$20*0.6/('I_Inputs &amp; Assumptions'!$B$8/2),'I_Budget Input Data'!$D$20*0.4/('I_Inputs &amp; Assumptions'!$B$8/2)),IF('I_Budget Input Data'!$E$20="Back-loaded",IF(13&lt;='I_Inputs &amp; Assumptions'!$B$8/2,'I_Budget Input Data'!$D$20*0.4/('I_Inputs &amp; Assumptions'!$B$8/2),'I_Budget Input Data'!$D$20*0.6/('I_Inputs &amp; Assumptions'!$B$8/2)),IF('I_Budget Input Data'!$E$20="Mid-weighted",IF(13&lt;='I_Inputs &amp; Assumptions'!$B$8/4,'I_Budget Input Data'!$D$20*0.2/('I_Inputs &amp; Assumptions'!$B$8/4),IF(13&lt;='I_Inputs &amp; Assumptions'!$B$8*0.75,'I_Budget Input Data'!$D$20*0.6/('I_Inputs &amp; Assumptions'!$B$8/2),'I_Budget Input Data'!$D$20*0.2/('I_Inputs &amp; Assumptions'!$B$8/4))),IF('I_Budget Input Data'!$E$20="At Completion",IF(13='I_Inputs &amp; Assumptions'!$B$8,'I_Budget Input Data'!$D$20,0),'I_Budget Input Data'!$D$20/'I_Inputs &amp; Assumptions'!$B$8)))))),0)</f>
        <v>1544.7384615384617</v>
      </c>
      <c r="P20" s="91">
        <f>IF(14&lt;='I_Inputs &amp; Assumptions'!$B$8,IF('I_Budget Input Data'!$E$20="Upfront",IF(14=1,'I_Budget Input Data'!$D$20,0),IF('I_Budget Input Data'!$E$20="Equal",'I_Budget Input Data'!$D$20/'I_Inputs &amp; Assumptions'!$B$8,IF('I_Budget Input Data'!$E$20="Front-loaded",IF(14&lt;='I_Inputs &amp; Assumptions'!$B$8/2,'I_Budget Input Data'!$D$20*0.6/('I_Inputs &amp; Assumptions'!$B$8/2),'I_Budget Input Data'!$D$20*0.4/('I_Inputs &amp; Assumptions'!$B$8/2)),IF('I_Budget Input Data'!$E$20="Back-loaded",IF(14&lt;='I_Inputs &amp; Assumptions'!$B$8/2,'I_Budget Input Data'!$D$20*0.4/('I_Inputs &amp; Assumptions'!$B$8/2),'I_Budget Input Data'!$D$20*0.6/('I_Inputs &amp; Assumptions'!$B$8/2)),IF('I_Budget Input Data'!$E$20="Mid-weighted",IF(14&lt;='I_Inputs &amp; Assumptions'!$B$8/4,'I_Budget Input Data'!$D$20*0.2/('I_Inputs &amp; Assumptions'!$B$8/4),IF(14&lt;='I_Inputs &amp; Assumptions'!$B$8*0.75,'I_Budget Input Data'!$D$20*0.6/('I_Inputs &amp; Assumptions'!$B$8/2),'I_Budget Input Data'!$D$20*0.2/('I_Inputs &amp; Assumptions'!$B$8/4))),IF('I_Budget Input Data'!$E$20="At Completion",IF(14='I_Inputs &amp; Assumptions'!$B$8,'I_Budget Input Data'!$D$20,0),'I_Budget Input Data'!$D$20/'I_Inputs &amp; Assumptions'!$B$8)))))),0)</f>
        <v>0</v>
      </c>
      <c r="Q20" s="91">
        <f>IF(15&lt;='I_Inputs &amp; Assumptions'!$B$8,IF('I_Budget Input Data'!$E$20="Upfront",IF(15=1,'I_Budget Input Data'!$D$20,0),IF('I_Budget Input Data'!$E$20="Equal",'I_Budget Input Data'!$D$20/'I_Inputs &amp; Assumptions'!$B$8,IF('I_Budget Input Data'!$E$20="Front-loaded",IF(15&lt;='I_Inputs &amp; Assumptions'!$B$8/2,'I_Budget Input Data'!$D$20*0.6/('I_Inputs &amp; Assumptions'!$B$8/2),'I_Budget Input Data'!$D$20*0.4/('I_Inputs &amp; Assumptions'!$B$8/2)),IF('I_Budget Input Data'!$E$20="Back-loaded",IF(15&lt;='I_Inputs &amp; Assumptions'!$B$8/2,'I_Budget Input Data'!$D$20*0.4/('I_Inputs &amp; Assumptions'!$B$8/2),'I_Budget Input Data'!$D$20*0.6/('I_Inputs &amp; Assumptions'!$B$8/2)),IF('I_Budget Input Data'!$E$20="Mid-weighted",IF(15&lt;='I_Inputs &amp; Assumptions'!$B$8/4,'I_Budget Input Data'!$D$20*0.2/('I_Inputs &amp; Assumptions'!$B$8/4),IF(15&lt;='I_Inputs &amp; Assumptions'!$B$8*0.75,'I_Budget Input Data'!$D$20*0.6/('I_Inputs &amp; Assumptions'!$B$8/2),'I_Budget Input Data'!$D$20*0.2/('I_Inputs &amp; Assumptions'!$B$8/4))),IF('I_Budget Input Data'!$E$20="At Completion",IF(15='I_Inputs &amp; Assumptions'!$B$8,'I_Budget Input Data'!$D$20,0),'I_Budget Input Data'!$D$20/'I_Inputs &amp; Assumptions'!$B$8)))))),0)</f>
        <v>0</v>
      </c>
      <c r="R20" s="91">
        <f>IF(16&lt;='I_Inputs &amp; Assumptions'!$B$8,IF('I_Budget Input Data'!$E$20="Upfront",IF(16=1,'I_Budget Input Data'!$D$20,0),IF('I_Budget Input Data'!$E$20="Equal",'I_Budget Input Data'!$D$20/'I_Inputs &amp; Assumptions'!$B$8,IF('I_Budget Input Data'!$E$20="Front-loaded",IF(16&lt;='I_Inputs &amp; Assumptions'!$B$8/2,'I_Budget Input Data'!$D$20*0.6/('I_Inputs &amp; Assumptions'!$B$8/2),'I_Budget Input Data'!$D$20*0.4/('I_Inputs &amp; Assumptions'!$B$8/2)),IF('I_Budget Input Data'!$E$20="Back-loaded",IF(16&lt;='I_Inputs &amp; Assumptions'!$B$8/2,'I_Budget Input Data'!$D$20*0.4/('I_Inputs &amp; Assumptions'!$B$8/2),'I_Budget Input Data'!$D$20*0.6/('I_Inputs &amp; Assumptions'!$B$8/2)),IF('I_Budget Input Data'!$E$20="Mid-weighted",IF(16&lt;='I_Inputs &amp; Assumptions'!$B$8/4,'I_Budget Input Data'!$D$20*0.2/('I_Inputs &amp; Assumptions'!$B$8/4),IF(16&lt;='I_Inputs &amp; Assumptions'!$B$8*0.75,'I_Budget Input Data'!$D$20*0.6/('I_Inputs &amp; Assumptions'!$B$8/2),'I_Budget Input Data'!$D$20*0.2/('I_Inputs &amp; Assumptions'!$B$8/4))),IF('I_Budget Input Data'!$E$20="At Completion",IF(16='I_Inputs &amp; Assumptions'!$B$8,'I_Budget Input Data'!$D$20,0),'I_Budget Input Data'!$D$20/'I_Inputs &amp; Assumptions'!$B$8)))))),0)</f>
        <v>0</v>
      </c>
      <c r="S20" s="91">
        <f>IF(17&lt;='I_Inputs &amp; Assumptions'!$B$8,IF('I_Budget Input Data'!$E$20="Upfront",IF(17=1,'I_Budget Input Data'!$D$20,0),IF('I_Budget Input Data'!$E$20="Equal",'I_Budget Input Data'!$D$20/'I_Inputs &amp; Assumptions'!$B$8,IF('I_Budget Input Data'!$E$20="Front-loaded",IF(17&lt;='I_Inputs &amp; Assumptions'!$B$8/2,'I_Budget Input Data'!$D$20*0.6/('I_Inputs &amp; Assumptions'!$B$8/2),'I_Budget Input Data'!$D$20*0.4/('I_Inputs &amp; Assumptions'!$B$8/2)),IF('I_Budget Input Data'!$E$20="Back-loaded",IF(17&lt;='I_Inputs &amp; Assumptions'!$B$8/2,'I_Budget Input Data'!$D$20*0.4/('I_Inputs &amp; Assumptions'!$B$8/2),'I_Budget Input Data'!$D$20*0.6/('I_Inputs &amp; Assumptions'!$B$8/2)),IF('I_Budget Input Data'!$E$20="Mid-weighted",IF(17&lt;='I_Inputs &amp; Assumptions'!$B$8/4,'I_Budget Input Data'!$D$20*0.2/('I_Inputs &amp; Assumptions'!$B$8/4),IF(17&lt;='I_Inputs &amp; Assumptions'!$B$8*0.75,'I_Budget Input Data'!$D$20*0.6/('I_Inputs &amp; Assumptions'!$B$8/2),'I_Budget Input Data'!$D$20*0.2/('I_Inputs &amp; Assumptions'!$B$8/4))),IF('I_Budget Input Data'!$E$20="At Completion",IF(17='I_Inputs &amp; Assumptions'!$B$8,'I_Budget Input Data'!$D$20,0),'I_Budget Input Data'!$D$20/'I_Inputs &amp; Assumptions'!$B$8)))))),0)</f>
        <v>0</v>
      </c>
      <c r="T20" s="91">
        <f>IF(18&lt;='I_Inputs &amp; Assumptions'!$B$8,IF('I_Budget Input Data'!$E$20="Upfront",IF(18=1,'I_Budget Input Data'!$D$20,0),IF('I_Budget Input Data'!$E$20="Equal",'I_Budget Input Data'!$D$20/'I_Inputs &amp; Assumptions'!$B$8,IF('I_Budget Input Data'!$E$20="Front-loaded",IF(18&lt;='I_Inputs &amp; Assumptions'!$B$8/2,'I_Budget Input Data'!$D$20*0.6/('I_Inputs &amp; Assumptions'!$B$8/2),'I_Budget Input Data'!$D$20*0.4/('I_Inputs &amp; Assumptions'!$B$8/2)),IF('I_Budget Input Data'!$E$20="Back-loaded",IF(18&lt;='I_Inputs &amp; Assumptions'!$B$8/2,'I_Budget Input Data'!$D$20*0.4/('I_Inputs &amp; Assumptions'!$B$8/2),'I_Budget Input Data'!$D$20*0.6/('I_Inputs &amp; Assumptions'!$B$8/2)),IF('I_Budget Input Data'!$E$20="Mid-weighted",IF(18&lt;='I_Inputs &amp; Assumptions'!$B$8/4,'I_Budget Input Data'!$D$20*0.2/('I_Inputs &amp; Assumptions'!$B$8/4),IF(18&lt;='I_Inputs &amp; Assumptions'!$B$8*0.75,'I_Budget Input Data'!$D$20*0.6/('I_Inputs &amp; Assumptions'!$B$8/2),'I_Budget Input Data'!$D$20*0.2/('I_Inputs &amp; Assumptions'!$B$8/4))),IF('I_Budget Input Data'!$E$20="At Completion",IF(18='I_Inputs &amp; Assumptions'!$B$8,'I_Budget Input Data'!$D$20,0),'I_Budget Input Data'!$D$20/'I_Inputs &amp; Assumptions'!$B$8)))))),0)</f>
        <v>0</v>
      </c>
      <c r="U20" s="91">
        <f>IF(19&lt;='I_Inputs &amp; Assumptions'!$B$8,IF('I_Budget Input Data'!$E$20="Upfront",IF(19=1,'I_Budget Input Data'!$D$20,0),IF('I_Budget Input Data'!$E$20="Equal",'I_Budget Input Data'!$D$20/'I_Inputs &amp; Assumptions'!$B$8,IF('I_Budget Input Data'!$E$20="Front-loaded",IF(19&lt;='I_Inputs &amp; Assumptions'!$B$8/2,'I_Budget Input Data'!$D$20*0.6/('I_Inputs &amp; Assumptions'!$B$8/2),'I_Budget Input Data'!$D$20*0.4/('I_Inputs &amp; Assumptions'!$B$8/2)),IF('I_Budget Input Data'!$E$20="Back-loaded",IF(19&lt;='I_Inputs &amp; Assumptions'!$B$8/2,'I_Budget Input Data'!$D$20*0.4/('I_Inputs &amp; Assumptions'!$B$8/2),'I_Budget Input Data'!$D$20*0.6/('I_Inputs &amp; Assumptions'!$B$8/2)),IF('I_Budget Input Data'!$E$20="Mid-weighted",IF(19&lt;='I_Inputs &amp; Assumptions'!$B$8/4,'I_Budget Input Data'!$D$20*0.2/('I_Inputs &amp; Assumptions'!$B$8/4),IF(19&lt;='I_Inputs &amp; Assumptions'!$B$8*0.75,'I_Budget Input Data'!$D$20*0.6/('I_Inputs &amp; Assumptions'!$B$8/2),'I_Budget Input Data'!$D$20*0.2/('I_Inputs &amp; Assumptions'!$B$8/4))),IF('I_Budget Input Data'!$E$20="At Completion",IF(19='I_Inputs &amp; Assumptions'!$B$8,'I_Budget Input Data'!$D$20,0),'I_Budget Input Data'!$D$20/'I_Inputs &amp; Assumptions'!$B$8)))))),0)</f>
        <v>0</v>
      </c>
      <c r="V20" s="91">
        <f>IF(20&lt;='I_Inputs &amp; Assumptions'!$B$8,IF('I_Budget Input Data'!$E$20="Upfront",IF(20=1,'I_Budget Input Data'!$D$20,0),IF('I_Budget Input Data'!$E$20="Equal",'I_Budget Input Data'!$D$20/'I_Inputs &amp; Assumptions'!$B$8,IF('I_Budget Input Data'!$E$20="Front-loaded",IF(20&lt;='I_Inputs &amp; Assumptions'!$B$8/2,'I_Budget Input Data'!$D$20*0.6/('I_Inputs &amp; Assumptions'!$B$8/2),'I_Budget Input Data'!$D$20*0.4/('I_Inputs &amp; Assumptions'!$B$8/2)),IF('I_Budget Input Data'!$E$20="Back-loaded",IF(20&lt;='I_Inputs &amp; Assumptions'!$B$8/2,'I_Budget Input Data'!$D$20*0.4/('I_Inputs &amp; Assumptions'!$B$8/2),'I_Budget Input Data'!$D$20*0.6/('I_Inputs &amp; Assumptions'!$B$8/2)),IF('I_Budget Input Data'!$E$20="Mid-weighted",IF(20&lt;='I_Inputs &amp; Assumptions'!$B$8/4,'I_Budget Input Data'!$D$20*0.2/('I_Inputs &amp; Assumptions'!$B$8/4),IF(20&lt;='I_Inputs &amp; Assumptions'!$B$8*0.75,'I_Budget Input Data'!$D$20*0.6/('I_Inputs &amp; Assumptions'!$B$8/2),'I_Budget Input Data'!$D$20*0.2/('I_Inputs &amp; Assumptions'!$B$8/4))),IF('I_Budget Input Data'!$E$20="At Completion",IF(20='I_Inputs &amp; Assumptions'!$B$8,'I_Budget Input Data'!$D$20,0),'I_Budget Input Data'!$D$20/'I_Inputs &amp; Assumptions'!$B$8)))))),0)</f>
        <v>0</v>
      </c>
      <c r="W20" s="91">
        <f>IF(21&lt;='I_Inputs &amp; Assumptions'!$B$8,IF('I_Budget Input Data'!$E$20="Upfront",IF(21=1,'I_Budget Input Data'!$D$20,0),IF('I_Budget Input Data'!$E$20="Equal",'I_Budget Input Data'!$D$20/'I_Inputs &amp; Assumptions'!$B$8,IF('I_Budget Input Data'!$E$20="Front-loaded",IF(21&lt;='I_Inputs &amp; Assumptions'!$B$8/2,'I_Budget Input Data'!$D$20*0.6/('I_Inputs &amp; Assumptions'!$B$8/2),'I_Budget Input Data'!$D$20*0.4/('I_Inputs &amp; Assumptions'!$B$8/2)),IF('I_Budget Input Data'!$E$20="Back-loaded",IF(21&lt;='I_Inputs &amp; Assumptions'!$B$8/2,'I_Budget Input Data'!$D$20*0.4/('I_Inputs &amp; Assumptions'!$B$8/2),'I_Budget Input Data'!$D$20*0.6/('I_Inputs &amp; Assumptions'!$B$8/2)),IF('I_Budget Input Data'!$E$20="Mid-weighted",IF(21&lt;='I_Inputs &amp; Assumptions'!$B$8/4,'I_Budget Input Data'!$D$20*0.2/('I_Inputs &amp; Assumptions'!$B$8/4),IF(21&lt;='I_Inputs &amp; Assumptions'!$B$8*0.75,'I_Budget Input Data'!$D$20*0.6/('I_Inputs &amp; Assumptions'!$B$8/2),'I_Budget Input Data'!$D$20*0.2/('I_Inputs &amp; Assumptions'!$B$8/4))),IF('I_Budget Input Data'!$E$20="At Completion",IF(21='I_Inputs &amp; Assumptions'!$B$8,'I_Budget Input Data'!$D$20,0),'I_Budget Input Data'!$D$20/'I_Inputs &amp; Assumptions'!$B$8)))))),0)</f>
        <v>0</v>
      </c>
      <c r="X20" s="91">
        <f>IF(22&lt;='I_Inputs &amp; Assumptions'!$B$8,IF('I_Budget Input Data'!$E$20="Upfront",IF(22=1,'I_Budget Input Data'!$D$20,0),IF('I_Budget Input Data'!$E$20="Equal",'I_Budget Input Data'!$D$20/'I_Inputs &amp; Assumptions'!$B$8,IF('I_Budget Input Data'!$E$20="Front-loaded",IF(22&lt;='I_Inputs &amp; Assumptions'!$B$8/2,'I_Budget Input Data'!$D$20*0.6/('I_Inputs &amp; Assumptions'!$B$8/2),'I_Budget Input Data'!$D$20*0.4/('I_Inputs &amp; Assumptions'!$B$8/2)),IF('I_Budget Input Data'!$E$20="Back-loaded",IF(22&lt;='I_Inputs &amp; Assumptions'!$B$8/2,'I_Budget Input Data'!$D$20*0.4/('I_Inputs &amp; Assumptions'!$B$8/2),'I_Budget Input Data'!$D$20*0.6/('I_Inputs &amp; Assumptions'!$B$8/2)),IF('I_Budget Input Data'!$E$20="Mid-weighted",IF(22&lt;='I_Inputs &amp; Assumptions'!$B$8/4,'I_Budget Input Data'!$D$20*0.2/('I_Inputs &amp; Assumptions'!$B$8/4),IF(22&lt;='I_Inputs &amp; Assumptions'!$B$8*0.75,'I_Budget Input Data'!$D$20*0.6/('I_Inputs &amp; Assumptions'!$B$8/2),'I_Budget Input Data'!$D$20*0.2/('I_Inputs &amp; Assumptions'!$B$8/4))),IF('I_Budget Input Data'!$E$20="At Completion",IF(22='I_Inputs &amp; Assumptions'!$B$8,'I_Budget Input Data'!$D$20,0),'I_Budget Input Data'!$D$20/'I_Inputs &amp; Assumptions'!$B$8)))))),0)</f>
        <v>0</v>
      </c>
      <c r="Y20" s="91">
        <f>IF(23&lt;='I_Inputs &amp; Assumptions'!$B$8,IF('I_Budget Input Data'!$E$20="Upfront",IF(23=1,'I_Budget Input Data'!$D$20,0),IF('I_Budget Input Data'!$E$20="Equal",'I_Budget Input Data'!$D$20/'I_Inputs &amp; Assumptions'!$B$8,IF('I_Budget Input Data'!$E$20="Front-loaded",IF(23&lt;='I_Inputs &amp; Assumptions'!$B$8/2,'I_Budget Input Data'!$D$20*0.6/('I_Inputs &amp; Assumptions'!$B$8/2),'I_Budget Input Data'!$D$20*0.4/('I_Inputs &amp; Assumptions'!$B$8/2)),IF('I_Budget Input Data'!$E$20="Back-loaded",IF(23&lt;='I_Inputs &amp; Assumptions'!$B$8/2,'I_Budget Input Data'!$D$20*0.4/('I_Inputs &amp; Assumptions'!$B$8/2),'I_Budget Input Data'!$D$20*0.6/('I_Inputs &amp; Assumptions'!$B$8/2)),IF('I_Budget Input Data'!$E$20="Mid-weighted",IF(23&lt;='I_Inputs &amp; Assumptions'!$B$8/4,'I_Budget Input Data'!$D$20*0.2/('I_Inputs &amp; Assumptions'!$B$8/4),IF(23&lt;='I_Inputs &amp; Assumptions'!$B$8*0.75,'I_Budget Input Data'!$D$20*0.6/('I_Inputs &amp; Assumptions'!$B$8/2),'I_Budget Input Data'!$D$20*0.2/('I_Inputs &amp; Assumptions'!$B$8/4))),IF('I_Budget Input Data'!$E$20="At Completion",IF(23='I_Inputs &amp; Assumptions'!$B$8,'I_Budget Input Data'!$D$20,0),'I_Budget Input Data'!$D$20/'I_Inputs &amp; Assumptions'!$B$8)))))),0)</f>
        <v>0</v>
      </c>
      <c r="Z20" s="91">
        <f>IF(24&lt;='I_Inputs &amp; Assumptions'!$B$8,IF('I_Budget Input Data'!$E$20="Upfront",IF(24=1,'I_Budget Input Data'!$D$20,0),IF('I_Budget Input Data'!$E$20="Equal",'I_Budget Input Data'!$D$20/'I_Inputs &amp; Assumptions'!$B$8,IF('I_Budget Input Data'!$E$20="Front-loaded",IF(24&lt;='I_Inputs &amp; Assumptions'!$B$8/2,'I_Budget Input Data'!$D$20*0.6/('I_Inputs &amp; Assumptions'!$B$8/2),'I_Budget Input Data'!$D$20*0.4/('I_Inputs &amp; Assumptions'!$B$8/2)),IF('I_Budget Input Data'!$E$20="Back-loaded",IF(24&lt;='I_Inputs &amp; Assumptions'!$B$8/2,'I_Budget Input Data'!$D$20*0.4/('I_Inputs &amp; Assumptions'!$B$8/2),'I_Budget Input Data'!$D$20*0.6/('I_Inputs &amp; Assumptions'!$B$8/2)),IF('I_Budget Input Data'!$E$20="Mid-weighted",IF(24&lt;='I_Inputs &amp; Assumptions'!$B$8/4,'I_Budget Input Data'!$D$20*0.2/('I_Inputs &amp; Assumptions'!$B$8/4),IF(24&lt;='I_Inputs &amp; Assumptions'!$B$8*0.75,'I_Budget Input Data'!$D$20*0.6/('I_Inputs &amp; Assumptions'!$B$8/2),'I_Budget Input Data'!$D$20*0.2/('I_Inputs &amp; Assumptions'!$B$8/4))),IF('I_Budget Input Data'!$E$20="At Completion",IF(24='I_Inputs &amp; Assumptions'!$B$8,'I_Budget Input Data'!$D$20,0),'I_Budget Input Data'!$D$20/'I_Inputs &amp; Assumptions'!$B$8)))))),0)</f>
        <v>0</v>
      </c>
      <c r="AA20" s="91">
        <f>IF(25&lt;='I_Inputs &amp; Assumptions'!$B$8,IF('I_Budget Input Data'!$E$20="Upfront",IF(25=1,'I_Budget Input Data'!$D$20,0),IF('I_Budget Input Data'!$E$20="Equal",'I_Budget Input Data'!$D$20/'I_Inputs &amp; Assumptions'!$B$8,IF('I_Budget Input Data'!$E$20="Front-loaded",IF(25&lt;='I_Inputs &amp; Assumptions'!$B$8/2,'I_Budget Input Data'!$D$20*0.6/('I_Inputs &amp; Assumptions'!$B$8/2),'I_Budget Input Data'!$D$20*0.4/('I_Inputs &amp; Assumptions'!$B$8/2)),IF('I_Budget Input Data'!$E$20="Back-loaded",IF(25&lt;='I_Inputs &amp; Assumptions'!$B$8/2,'I_Budget Input Data'!$D$20*0.4/('I_Inputs &amp; Assumptions'!$B$8/2),'I_Budget Input Data'!$D$20*0.6/('I_Inputs &amp; Assumptions'!$B$8/2)),IF('I_Budget Input Data'!$E$20="Mid-weighted",IF(25&lt;='I_Inputs &amp; Assumptions'!$B$8/4,'I_Budget Input Data'!$D$20*0.2/('I_Inputs &amp; Assumptions'!$B$8/4),IF(25&lt;='I_Inputs &amp; Assumptions'!$B$8*0.75,'I_Budget Input Data'!$D$20*0.6/('I_Inputs &amp; Assumptions'!$B$8/2),'I_Budget Input Data'!$D$20*0.2/('I_Inputs &amp; Assumptions'!$B$8/4))),IF('I_Budget Input Data'!$E$20="At Completion",IF(25='I_Inputs &amp; Assumptions'!$B$8,'I_Budget Input Data'!$D$20,0),'I_Budget Input Data'!$D$20/'I_Inputs &amp; Assumptions'!$B$8)))))),0)</f>
        <v>0</v>
      </c>
      <c r="AB20" s="91">
        <f>IF(26&lt;='I_Inputs &amp; Assumptions'!$B$8,IF('I_Budget Input Data'!$E$20="Upfront",IF(26=1,'I_Budget Input Data'!$D$20,0),IF('I_Budget Input Data'!$E$20="Equal",'I_Budget Input Data'!$D$20/'I_Inputs &amp; Assumptions'!$B$8,IF('I_Budget Input Data'!$E$20="Front-loaded",IF(26&lt;='I_Inputs &amp; Assumptions'!$B$8/2,'I_Budget Input Data'!$D$20*0.6/('I_Inputs &amp; Assumptions'!$B$8/2),'I_Budget Input Data'!$D$20*0.4/('I_Inputs &amp; Assumptions'!$B$8/2)),IF('I_Budget Input Data'!$E$20="Back-loaded",IF(26&lt;='I_Inputs &amp; Assumptions'!$B$8/2,'I_Budget Input Data'!$D$20*0.4/('I_Inputs &amp; Assumptions'!$B$8/2),'I_Budget Input Data'!$D$20*0.6/('I_Inputs &amp; Assumptions'!$B$8/2)),IF('I_Budget Input Data'!$E$20="Mid-weighted",IF(26&lt;='I_Inputs &amp; Assumptions'!$B$8/4,'I_Budget Input Data'!$D$20*0.2/('I_Inputs &amp; Assumptions'!$B$8/4),IF(26&lt;='I_Inputs &amp; Assumptions'!$B$8*0.75,'I_Budget Input Data'!$D$20*0.6/('I_Inputs &amp; Assumptions'!$B$8/2),'I_Budget Input Data'!$D$20*0.2/('I_Inputs &amp; Assumptions'!$B$8/4))),IF('I_Budget Input Data'!$E$20="At Completion",IF(26='I_Inputs &amp; Assumptions'!$B$8,'I_Budget Input Data'!$D$20,0),'I_Budget Input Data'!$D$20/'I_Inputs &amp; Assumptions'!$B$8)))))),0)</f>
        <v>0</v>
      </c>
      <c r="AC20" s="91">
        <f>IF(27&lt;='I_Inputs &amp; Assumptions'!$B$8,IF('I_Budget Input Data'!$E$20="Upfront",IF(27=1,'I_Budget Input Data'!$D$20,0),IF('I_Budget Input Data'!$E$20="Equal",'I_Budget Input Data'!$D$20/'I_Inputs &amp; Assumptions'!$B$8,IF('I_Budget Input Data'!$E$20="Front-loaded",IF(27&lt;='I_Inputs &amp; Assumptions'!$B$8/2,'I_Budget Input Data'!$D$20*0.6/('I_Inputs &amp; Assumptions'!$B$8/2),'I_Budget Input Data'!$D$20*0.4/('I_Inputs &amp; Assumptions'!$B$8/2)),IF('I_Budget Input Data'!$E$20="Back-loaded",IF(27&lt;='I_Inputs &amp; Assumptions'!$B$8/2,'I_Budget Input Data'!$D$20*0.4/('I_Inputs &amp; Assumptions'!$B$8/2),'I_Budget Input Data'!$D$20*0.6/('I_Inputs &amp; Assumptions'!$B$8/2)),IF('I_Budget Input Data'!$E$20="Mid-weighted",IF(27&lt;='I_Inputs &amp; Assumptions'!$B$8/4,'I_Budget Input Data'!$D$20*0.2/('I_Inputs &amp; Assumptions'!$B$8/4),IF(27&lt;='I_Inputs &amp; Assumptions'!$B$8*0.75,'I_Budget Input Data'!$D$20*0.6/('I_Inputs &amp; Assumptions'!$B$8/2),'I_Budget Input Data'!$D$20*0.2/('I_Inputs &amp; Assumptions'!$B$8/4))),IF('I_Budget Input Data'!$E$20="At Completion",IF(27='I_Inputs &amp; Assumptions'!$B$8,'I_Budget Input Data'!$D$20,0),'I_Budget Input Data'!$D$20/'I_Inputs &amp; Assumptions'!$B$8)))))),0)</f>
        <v>0</v>
      </c>
      <c r="AD20" s="91">
        <f>IF(28&lt;='I_Inputs &amp; Assumptions'!$B$8,IF('I_Budget Input Data'!$E$20="Upfront",IF(28=1,'I_Budget Input Data'!$D$20,0),IF('I_Budget Input Data'!$E$20="Equal",'I_Budget Input Data'!$D$20/'I_Inputs &amp; Assumptions'!$B$8,IF('I_Budget Input Data'!$E$20="Front-loaded",IF(28&lt;='I_Inputs &amp; Assumptions'!$B$8/2,'I_Budget Input Data'!$D$20*0.6/('I_Inputs &amp; Assumptions'!$B$8/2),'I_Budget Input Data'!$D$20*0.4/('I_Inputs &amp; Assumptions'!$B$8/2)),IF('I_Budget Input Data'!$E$20="Back-loaded",IF(28&lt;='I_Inputs &amp; Assumptions'!$B$8/2,'I_Budget Input Data'!$D$20*0.4/('I_Inputs &amp; Assumptions'!$B$8/2),'I_Budget Input Data'!$D$20*0.6/('I_Inputs &amp; Assumptions'!$B$8/2)),IF('I_Budget Input Data'!$E$20="Mid-weighted",IF(28&lt;='I_Inputs &amp; Assumptions'!$B$8/4,'I_Budget Input Data'!$D$20*0.2/('I_Inputs &amp; Assumptions'!$B$8/4),IF(28&lt;='I_Inputs &amp; Assumptions'!$B$8*0.75,'I_Budget Input Data'!$D$20*0.6/('I_Inputs &amp; Assumptions'!$B$8/2),'I_Budget Input Data'!$D$20*0.2/('I_Inputs &amp; Assumptions'!$B$8/4))),IF('I_Budget Input Data'!$E$20="At Completion",IF(28='I_Inputs &amp; Assumptions'!$B$8,'I_Budget Input Data'!$D$20,0),'I_Budget Input Data'!$D$20/'I_Inputs &amp; Assumptions'!$B$8)))))),0)</f>
        <v>0</v>
      </c>
      <c r="AE20" s="91">
        <f>IF(29&lt;='I_Inputs &amp; Assumptions'!$B$8,IF('I_Budget Input Data'!$E$20="Upfront",IF(29=1,'I_Budget Input Data'!$D$20,0),IF('I_Budget Input Data'!$E$20="Equal",'I_Budget Input Data'!$D$20/'I_Inputs &amp; Assumptions'!$B$8,IF('I_Budget Input Data'!$E$20="Front-loaded",IF(29&lt;='I_Inputs &amp; Assumptions'!$B$8/2,'I_Budget Input Data'!$D$20*0.6/('I_Inputs &amp; Assumptions'!$B$8/2),'I_Budget Input Data'!$D$20*0.4/('I_Inputs &amp; Assumptions'!$B$8/2)),IF('I_Budget Input Data'!$E$20="Back-loaded",IF(29&lt;='I_Inputs &amp; Assumptions'!$B$8/2,'I_Budget Input Data'!$D$20*0.4/('I_Inputs &amp; Assumptions'!$B$8/2),'I_Budget Input Data'!$D$20*0.6/('I_Inputs &amp; Assumptions'!$B$8/2)),IF('I_Budget Input Data'!$E$20="Mid-weighted",IF(29&lt;='I_Inputs &amp; Assumptions'!$B$8/4,'I_Budget Input Data'!$D$20*0.2/('I_Inputs &amp; Assumptions'!$B$8/4),IF(29&lt;='I_Inputs &amp; Assumptions'!$B$8*0.75,'I_Budget Input Data'!$D$20*0.6/('I_Inputs &amp; Assumptions'!$B$8/2),'I_Budget Input Data'!$D$20*0.2/('I_Inputs &amp; Assumptions'!$B$8/4))),IF('I_Budget Input Data'!$E$20="At Completion",IF(29='I_Inputs &amp; Assumptions'!$B$8,'I_Budget Input Data'!$D$20,0),'I_Budget Input Data'!$D$20/'I_Inputs &amp; Assumptions'!$B$8)))))),0)</f>
        <v>0</v>
      </c>
      <c r="AF20" s="91">
        <f>IF(30&lt;='I_Inputs &amp; Assumptions'!$B$8,IF('I_Budget Input Data'!$E$20="Upfront",IF(30=1,'I_Budget Input Data'!$D$20,0),IF('I_Budget Input Data'!$E$20="Equal",'I_Budget Input Data'!$D$20/'I_Inputs &amp; Assumptions'!$B$8,IF('I_Budget Input Data'!$E$20="Front-loaded",IF(30&lt;='I_Inputs &amp; Assumptions'!$B$8/2,'I_Budget Input Data'!$D$20*0.6/('I_Inputs &amp; Assumptions'!$B$8/2),'I_Budget Input Data'!$D$20*0.4/('I_Inputs &amp; Assumptions'!$B$8/2)),IF('I_Budget Input Data'!$E$20="Back-loaded",IF(30&lt;='I_Inputs &amp; Assumptions'!$B$8/2,'I_Budget Input Data'!$D$20*0.4/('I_Inputs &amp; Assumptions'!$B$8/2),'I_Budget Input Data'!$D$20*0.6/('I_Inputs &amp; Assumptions'!$B$8/2)),IF('I_Budget Input Data'!$E$20="Mid-weighted",IF(30&lt;='I_Inputs &amp; Assumptions'!$B$8/4,'I_Budget Input Data'!$D$20*0.2/('I_Inputs &amp; Assumptions'!$B$8/4),IF(30&lt;='I_Inputs &amp; Assumptions'!$B$8*0.75,'I_Budget Input Data'!$D$20*0.6/('I_Inputs &amp; Assumptions'!$B$8/2),'I_Budget Input Data'!$D$20*0.2/('I_Inputs &amp; Assumptions'!$B$8/4))),IF('I_Budget Input Data'!$E$20="At Completion",IF(30='I_Inputs &amp; Assumptions'!$B$8,'I_Budget Input Data'!$D$20,0),'I_Budget Input Data'!$D$20/'I_Inputs &amp; Assumptions'!$B$8)))))),0)</f>
        <v>0</v>
      </c>
      <c r="AG20" s="91">
        <f>IF(31&lt;='I_Inputs &amp; Assumptions'!$B$8,IF('I_Budget Input Data'!$E$20="Upfront",IF(31=1,'I_Budget Input Data'!$D$20,0),IF('I_Budget Input Data'!$E$20="Equal",'I_Budget Input Data'!$D$20/'I_Inputs &amp; Assumptions'!$B$8,IF('I_Budget Input Data'!$E$20="Front-loaded",IF(31&lt;='I_Inputs &amp; Assumptions'!$B$8/2,'I_Budget Input Data'!$D$20*0.6/('I_Inputs &amp; Assumptions'!$B$8/2),'I_Budget Input Data'!$D$20*0.4/('I_Inputs &amp; Assumptions'!$B$8/2)),IF('I_Budget Input Data'!$E$20="Back-loaded",IF(31&lt;='I_Inputs &amp; Assumptions'!$B$8/2,'I_Budget Input Data'!$D$20*0.4/('I_Inputs &amp; Assumptions'!$B$8/2),'I_Budget Input Data'!$D$20*0.6/('I_Inputs &amp; Assumptions'!$B$8/2)),IF('I_Budget Input Data'!$E$20="Mid-weighted",IF(31&lt;='I_Inputs &amp; Assumptions'!$B$8/4,'I_Budget Input Data'!$D$20*0.2/('I_Inputs &amp; Assumptions'!$B$8/4),IF(31&lt;='I_Inputs &amp; Assumptions'!$B$8*0.75,'I_Budget Input Data'!$D$20*0.6/('I_Inputs &amp; Assumptions'!$B$8/2),'I_Budget Input Data'!$D$20*0.2/('I_Inputs &amp; Assumptions'!$B$8/4))),IF('I_Budget Input Data'!$E$20="At Completion",IF(31='I_Inputs &amp; Assumptions'!$B$8,'I_Budget Input Data'!$D$20,0),'I_Budget Input Data'!$D$20/'I_Inputs &amp; Assumptions'!$B$8)))))),0)</f>
        <v>0</v>
      </c>
      <c r="AH20" s="91">
        <f>IF(32&lt;='I_Inputs &amp; Assumptions'!$B$8,IF('I_Budget Input Data'!$E$20="Upfront",IF(32=1,'I_Budget Input Data'!$D$20,0),IF('I_Budget Input Data'!$E$20="Equal",'I_Budget Input Data'!$D$20/'I_Inputs &amp; Assumptions'!$B$8,IF('I_Budget Input Data'!$E$20="Front-loaded",IF(32&lt;='I_Inputs &amp; Assumptions'!$B$8/2,'I_Budget Input Data'!$D$20*0.6/('I_Inputs &amp; Assumptions'!$B$8/2),'I_Budget Input Data'!$D$20*0.4/('I_Inputs &amp; Assumptions'!$B$8/2)),IF('I_Budget Input Data'!$E$20="Back-loaded",IF(32&lt;='I_Inputs &amp; Assumptions'!$B$8/2,'I_Budget Input Data'!$D$20*0.4/('I_Inputs &amp; Assumptions'!$B$8/2),'I_Budget Input Data'!$D$20*0.6/('I_Inputs &amp; Assumptions'!$B$8/2)),IF('I_Budget Input Data'!$E$20="Mid-weighted",IF(32&lt;='I_Inputs &amp; Assumptions'!$B$8/4,'I_Budget Input Data'!$D$20*0.2/('I_Inputs &amp; Assumptions'!$B$8/4),IF(32&lt;='I_Inputs &amp; Assumptions'!$B$8*0.75,'I_Budget Input Data'!$D$20*0.6/('I_Inputs &amp; Assumptions'!$B$8/2),'I_Budget Input Data'!$D$20*0.2/('I_Inputs &amp; Assumptions'!$B$8/4))),IF('I_Budget Input Data'!$E$20="At Completion",IF(32='I_Inputs &amp; Assumptions'!$B$8,'I_Budget Input Data'!$D$20,0),'I_Budget Input Data'!$D$20/'I_Inputs &amp; Assumptions'!$B$8)))))),0)</f>
        <v>0</v>
      </c>
      <c r="AI20" s="91">
        <f>IF(33&lt;='I_Inputs &amp; Assumptions'!$B$8,IF('I_Budget Input Data'!$E$20="Upfront",IF(33=1,'I_Budget Input Data'!$D$20,0),IF('I_Budget Input Data'!$E$20="Equal",'I_Budget Input Data'!$D$20/'I_Inputs &amp; Assumptions'!$B$8,IF('I_Budget Input Data'!$E$20="Front-loaded",IF(33&lt;='I_Inputs &amp; Assumptions'!$B$8/2,'I_Budget Input Data'!$D$20*0.6/('I_Inputs &amp; Assumptions'!$B$8/2),'I_Budget Input Data'!$D$20*0.4/('I_Inputs &amp; Assumptions'!$B$8/2)),IF('I_Budget Input Data'!$E$20="Back-loaded",IF(33&lt;='I_Inputs &amp; Assumptions'!$B$8/2,'I_Budget Input Data'!$D$20*0.4/('I_Inputs &amp; Assumptions'!$B$8/2),'I_Budget Input Data'!$D$20*0.6/('I_Inputs &amp; Assumptions'!$B$8/2)),IF('I_Budget Input Data'!$E$20="Mid-weighted",IF(33&lt;='I_Inputs &amp; Assumptions'!$B$8/4,'I_Budget Input Data'!$D$20*0.2/('I_Inputs &amp; Assumptions'!$B$8/4),IF(33&lt;='I_Inputs &amp; Assumptions'!$B$8*0.75,'I_Budget Input Data'!$D$20*0.6/('I_Inputs &amp; Assumptions'!$B$8/2),'I_Budget Input Data'!$D$20*0.2/('I_Inputs &amp; Assumptions'!$B$8/4))),IF('I_Budget Input Data'!$E$20="At Completion",IF(33='I_Inputs &amp; Assumptions'!$B$8,'I_Budget Input Data'!$D$20,0),'I_Budget Input Data'!$D$20/'I_Inputs &amp; Assumptions'!$B$8)))))),0)</f>
        <v>0</v>
      </c>
      <c r="AJ20" s="91">
        <f>IF(34&lt;='I_Inputs &amp; Assumptions'!$B$8,IF('I_Budget Input Data'!$E$20="Upfront",IF(34=1,'I_Budget Input Data'!$D$20,0),IF('I_Budget Input Data'!$E$20="Equal",'I_Budget Input Data'!$D$20/'I_Inputs &amp; Assumptions'!$B$8,IF('I_Budget Input Data'!$E$20="Front-loaded",IF(34&lt;='I_Inputs &amp; Assumptions'!$B$8/2,'I_Budget Input Data'!$D$20*0.6/('I_Inputs &amp; Assumptions'!$B$8/2),'I_Budget Input Data'!$D$20*0.4/('I_Inputs &amp; Assumptions'!$B$8/2)),IF('I_Budget Input Data'!$E$20="Back-loaded",IF(34&lt;='I_Inputs &amp; Assumptions'!$B$8/2,'I_Budget Input Data'!$D$20*0.4/('I_Inputs &amp; Assumptions'!$B$8/2),'I_Budget Input Data'!$D$20*0.6/('I_Inputs &amp; Assumptions'!$B$8/2)),IF('I_Budget Input Data'!$E$20="Mid-weighted",IF(34&lt;='I_Inputs &amp; Assumptions'!$B$8/4,'I_Budget Input Data'!$D$20*0.2/('I_Inputs &amp; Assumptions'!$B$8/4),IF(34&lt;='I_Inputs &amp; Assumptions'!$B$8*0.75,'I_Budget Input Data'!$D$20*0.6/('I_Inputs &amp; Assumptions'!$B$8/2),'I_Budget Input Data'!$D$20*0.2/('I_Inputs &amp; Assumptions'!$B$8/4))),IF('I_Budget Input Data'!$E$20="At Completion",IF(34='I_Inputs &amp; Assumptions'!$B$8,'I_Budget Input Data'!$D$20,0),'I_Budget Input Data'!$D$20/'I_Inputs &amp; Assumptions'!$B$8)))))),0)</f>
        <v>0</v>
      </c>
      <c r="AK20" s="91">
        <f>IF(35&lt;='I_Inputs &amp; Assumptions'!$B$8,IF('I_Budget Input Data'!$E$20="Upfront",IF(35=1,'I_Budget Input Data'!$D$20,0),IF('I_Budget Input Data'!$E$20="Equal",'I_Budget Input Data'!$D$20/'I_Inputs &amp; Assumptions'!$B$8,IF('I_Budget Input Data'!$E$20="Front-loaded",IF(35&lt;='I_Inputs &amp; Assumptions'!$B$8/2,'I_Budget Input Data'!$D$20*0.6/('I_Inputs &amp; Assumptions'!$B$8/2),'I_Budget Input Data'!$D$20*0.4/('I_Inputs &amp; Assumptions'!$B$8/2)),IF('I_Budget Input Data'!$E$20="Back-loaded",IF(35&lt;='I_Inputs &amp; Assumptions'!$B$8/2,'I_Budget Input Data'!$D$20*0.4/('I_Inputs &amp; Assumptions'!$B$8/2),'I_Budget Input Data'!$D$20*0.6/('I_Inputs &amp; Assumptions'!$B$8/2)),IF('I_Budget Input Data'!$E$20="Mid-weighted",IF(35&lt;='I_Inputs &amp; Assumptions'!$B$8/4,'I_Budget Input Data'!$D$20*0.2/('I_Inputs &amp; Assumptions'!$B$8/4),IF(35&lt;='I_Inputs &amp; Assumptions'!$B$8*0.75,'I_Budget Input Data'!$D$20*0.6/('I_Inputs &amp; Assumptions'!$B$8/2),'I_Budget Input Data'!$D$20*0.2/('I_Inputs &amp; Assumptions'!$B$8/4))),IF('I_Budget Input Data'!$E$20="At Completion",IF(35='I_Inputs &amp; Assumptions'!$B$8,'I_Budget Input Data'!$D$20,0),'I_Budget Input Data'!$D$20/'I_Inputs &amp; Assumptions'!$B$8)))))),0)</f>
        <v>0</v>
      </c>
      <c r="AL20" s="91">
        <f>IF(36&lt;='I_Inputs &amp; Assumptions'!$B$8,IF('I_Budget Input Data'!$E$20="Upfront",IF(36=1,'I_Budget Input Data'!$D$20,0),IF('I_Budget Input Data'!$E$20="Equal",'I_Budget Input Data'!$D$20/'I_Inputs &amp; Assumptions'!$B$8,IF('I_Budget Input Data'!$E$20="Front-loaded",IF(36&lt;='I_Inputs &amp; Assumptions'!$B$8/2,'I_Budget Input Data'!$D$20*0.6/('I_Inputs &amp; Assumptions'!$B$8/2),'I_Budget Input Data'!$D$20*0.4/('I_Inputs &amp; Assumptions'!$B$8/2)),IF('I_Budget Input Data'!$E$20="Back-loaded",IF(36&lt;='I_Inputs &amp; Assumptions'!$B$8/2,'I_Budget Input Data'!$D$20*0.4/('I_Inputs &amp; Assumptions'!$B$8/2),'I_Budget Input Data'!$D$20*0.6/('I_Inputs &amp; Assumptions'!$B$8/2)),IF('I_Budget Input Data'!$E$20="Mid-weighted",IF(36&lt;='I_Inputs &amp; Assumptions'!$B$8/4,'I_Budget Input Data'!$D$20*0.2/('I_Inputs &amp; Assumptions'!$B$8/4),IF(36&lt;='I_Inputs &amp; Assumptions'!$B$8*0.75,'I_Budget Input Data'!$D$20*0.6/('I_Inputs &amp; Assumptions'!$B$8/2),'I_Budget Input Data'!$D$20*0.2/('I_Inputs &amp; Assumptions'!$B$8/4))),IF('I_Budget Input Data'!$E$20="At Completion",IF(36='I_Inputs &amp; Assumptions'!$B$8,'I_Budget Input Data'!$D$20,0),'I_Budget Input Data'!$D$20/'I_Inputs &amp; Assumptions'!$B$8)))))),0)</f>
        <v>0</v>
      </c>
    </row>
    <row r="21" spans="1:38" ht="15" customHeight="1" x14ac:dyDescent="0.2">
      <c r="A21" t="s">
        <v>136</v>
      </c>
      <c r="B21" t="s">
        <v>142</v>
      </c>
      <c r="C21" s="91">
        <f>IF(1&lt;='I_Inputs &amp; Assumptions'!$B$8,IF('I_Budget Input Data'!$E$21="Upfront",IF(1=1,'I_Budget Input Data'!$D$21,0),IF('I_Budget Input Data'!$E$21="Equal",'I_Budget Input Data'!$D$21/'I_Inputs &amp; Assumptions'!$B$8,IF('I_Budget Input Data'!$E$21="Front-loaded",IF(1&lt;='I_Inputs &amp; Assumptions'!$B$8/2,'I_Budget Input Data'!$D$21*0.6/('I_Inputs &amp; Assumptions'!$B$8/2),'I_Budget Input Data'!$D$21*0.4/('I_Inputs &amp; Assumptions'!$B$8/2)),IF('I_Budget Input Data'!$E$21="Back-loaded",IF(1&lt;='I_Inputs &amp; Assumptions'!$B$8/2,'I_Budget Input Data'!$D$21*0.4/('I_Inputs &amp; Assumptions'!$B$8/2),'I_Budget Input Data'!$D$21*0.6/('I_Inputs &amp; Assumptions'!$B$8/2)),IF('I_Budget Input Data'!$E$21="Mid-weighted",IF(1&lt;='I_Inputs &amp; Assumptions'!$B$8/4,'I_Budget Input Data'!$D$21*0.2/('I_Inputs &amp; Assumptions'!$B$8/4),IF(1&lt;='I_Inputs &amp; Assumptions'!$B$8*0.75,'I_Budget Input Data'!$D$21*0.6/('I_Inputs &amp; Assumptions'!$B$8/2),'I_Budget Input Data'!$D$21*0.2/('I_Inputs &amp; Assumptions'!$B$8/4))),IF('I_Budget Input Data'!$E$21="At Completion",IF(1='I_Inputs &amp; Assumptions'!$B$8,'I_Budget Input Data'!$D$21,0),'I_Budget Input Data'!$D$21/'I_Inputs &amp; Assumptions'!$B$8)))))),0)</f>
        <v>4359.0461538461541</v>
      </c>
      <c r="D21" s="91">
        <f>IF(2&lt;='I_Inputs &amp; Assumptions'!$B$8,IF('I_Budget Input Data'!$E$21="Upfront",IF(2=1,'I_Budget Input Data'!$D$21,0),IF('I_Budget Input Data'!$E$21="Equal",'I_Budget Input Data'!$D$21/'I_Inputs &amp; Assumptions'!$B$8,IF('I_Budget Input Data'!$E$21="Front-loaded",IF(2&lt;='I_Inputs &amp; Assumptions'!$B$8/2,'I_Budget Input Data'!$D$21*0.6/('I_Inputs &amp; Assumptions'!$B$8/2),'I_Budget Input Data'!$D$21*0.4/('I_Inputs &amp; Assumptions'!$B$8/2)),IF('I_Budget Input Data'!$E$21="Back-loaded",IF(2&lt;='I_Inputs &amp; Assumptions'!$B$8/2,'I_Budget Input Data'!$D$21*0.4/('I_Inputs &amp; Assumptions'!$B$8/2),'I_Budget Input Data'!$D$21*0.6/('I_Inputs &amp; Assumptions'!$B$8/2)),IF('I_Budget Input Data'!$E$21="Mid-weighted",IF(2&lt;='I_Inputs &amp; Assumptions'!$B$8/4,'I_Budget Input Data'!$D$21*0.2/('I_Inputs &amp; Assumptions'!$B$8/4),IF(2&lt;='I_Inputs &amp; Assumptions'!$B$8*0.75,'I_Budget Input Data'!$D$21*0.6/('I_Inputs &amp; Assumptions'!$B$8/2),'I_Budget Input Data'!$D$21*0.2/('I_Inputs &amp; Assumptions'!$B$8/4))),IF('I_Budget Input Data'!$E$21="At Completion",IF(2='I_Inputs &amp; Assumptions'!$B$8,'I_Budget Input Data'!$D$21,0),'I_Budget Input Data'!$D$21/'I_Inputs &amp; Assumptions'!$B$8)))))),0)</f>
        <v>4359.0461538461541</v>
      </c>
      <c r="E21" s="91">
        <f>IF(3&lt;='I_Inputs &amp; Assumptions'!$B$8,IF('I_Budget Input Data'!$E$21="Upfront",IF(3=1,'I_Budget Input Data'!$D$21,0),IF('I_Budget Input Data'!$E$21="Equal",'I_Budget Input Data'!$D$21/'I_Inputs &amp; Assumptions'!$B$8,IF('I_Budget Input Data'!$E$21="Front-loaded",IF(3&lt;='I_Inputs &amp; Assumptions'!$B$8/2,'I_Budget Input Data'!$D$21*0.6/('I_Inputs &amp; Assumptions'!$B$8/2),'I_Budget Input Data'!$D$21*0.4/('I_Inputs &amp; Assumptions'!$B$8/2)),IF('I_Budget Input Data'!$E$21="Back-loaded",IF(3&lt;='I_Inputs &amp; Assumptions'!$B$8/2,'I_Budget Input Data'!$D$21*0.4/('I_Inputs &amp; Assumptions'!$B$8/2),'I_Budget Input Data'!$D$21*0.6/('I_Inputs &amp; Assumptions'!$B$8/2)),IF('I_Budget Input Data'!$E$21="Mid-weighted",IF(3&lt;='I_Inputs &amp; Assumptions'!$B$8/4,'I_Budget Input Data'!$D$21*0.2/('I_Inputs &amp; Assumptions'!$B$8/4),IF(3&lt;='I_Inputs &amp; Assumptions'!$B$8*0.75,'I_Budget Input Data'!$D$21*0.6/('I_Inputs &amp; Assumptions'!$B$8/2),'I_Budget Input Data'!$D$21*0.2/('I_Inputs &amp; Assumptions'!$B$8/4))),IF('I_Budget Input Data'!$E$21="At Completion",IF(3='I_Inputs &amp; Assumptions'!$B$8,'I_Budget Input Data'!$D$21,0),'I_Budget Input Data'!$D$21/'I_Inputs &amp; Assumptions'!$B$8)))))),0)</f>
        <v>4359.0461538461541</v>
      </c>
      <c r="F21" s="91">
        <f>IF(4&lt;='I_Inputs &amp; Assumptions'!$B$8,IF('I_Budget Input Data'!$E$21="Upfront",IF(4=1,'I_Budget Input Data'!$D$21,0),IF('I_Budget Input Data'!$E$21="Equal",'I_Budget Input Data'!$D$21/'I_Inputs &amp; Assumptions'!$B$8,IF('I_Budget Input Data'!$E$21="Front-loaded",IF(4&lt;='I_Inputs &amp; Assumptions'!$B$8/2,'I_Budget Input Data'!$D$21*0.6/('I_Inputs &amp; Assumptions'!$B$8/2),'I_Budget Input Data'!$D$21*0.4/('I_Inputs &amp; Assumptions'!$B$8/2)),IF('I_Budget Input Data'!$E$21="Back-loaded",IF(4&lt;='I_Inputs &amp; Assumptions'!$B$8/2,'I_Budget Input Data'!$D$21*0.4/('I_Inputs &amp; Assumptions'!$B$8/2),'I_Budget Input Data'!$D$21*0.6/('I_Inputs &amp; Assumptions'!$B$8/2)),IF('I_Budget Input Data'!$E$21="Mid-weighted",IF(4&lt;='I_Inputs &amp; Assumptions'!$B$8/4,'I_Budget Input Data'!$D$21*0.2/('I_Inputs &amp; Assumptions'!$B$8/4),IF(4&lt;='I_Inputs &amp; Assumptions'!$B$8*0.75,'I_Budget Input Data'!$D$21*0.6/('I_Inputs &amp; Assumptions'!$B$8/2),'I_Budget Input Data'!$D$21*0.2/('I_Inputs &amp; Assumptions'!$B$8/4))),IF('I_Budget Input Data'!$E$21="At Completion",IF(4='I_Inputs &amp; Assumptions'!$B$8,'I_Budget Input Data'!$D$21,0),'I_Budget Input Data'!$D$21/'I_Inputs &amp; Assumptions'!$B$8)))))),0)</f>
        <v>4359.0461538461541</v>
      </c>
      <c r="G21" s="91">
        <f>IF(5&lt;='I_Inputs &amp; Assumptions'!$B$8,IF('I_Budget Input Data'!$E$21="Upfront",IF(5=1,'I_Budget Input Data'!$D$21,0),IF('I_Budget Input Data'!$E$21="Equal",'I_Budget Input Data'!$D$21/'I_Inputs &amp; Assumptions'!$B$8,IF('I_Budget Input Data'!$E$21="Front-loaded",IF(5&lt;='I_Inputs &amp; Assumptions'!$B$8/2,'I_Budget Input Data'!$D$21*0.6/('I_Inputs &amp; Assumptions'!$B$8/2),'I_Budget Input Data'!$D$21*0.4/('I_Inputs &amp; Assumptions'!$B$8/2)),IF('I_Budget Input Data'!$E$21="Back-loaded",IF(5&lt;='I_Inputs &amp; Assumptions'!$B$8/2,'I_Budget Input Data'!$D$21*0.4/('I_Inputs &amp; Assumptions'!$B$8/2),'I_Budget Input Data'!$D$21*0.6/('I_Inputs &amp; Assumptions'!$B$8/2)),IF('I_Budget Input Data'!$E$21="Mid-weighted",IF(5&lt;='I_Inputs &amp; Assumptions'!$B$8/4,'I_Budget Input Data'!$D$21*0.2/('I_Inputs &amp; Assumptions'!$B$8/4),IF(5&lt;='I_Inputs &amp; Assumptions'!$B$8*0.75,'I_Budget Input Data'!$D$21*0.6/('I_Inputs &amp; Assumptions'!$B$8/2),'I_Budget Input Data'!$D$21*0.2/('I_Inputs &amp; Assumptions'!$B$8/4))),IF('I_Budget Input Data'!$E$21="At Completion",IF(5='I_Inputs &amp; Assumptions'!$B$8,'I_Budget Input Data'!$D$21,0),'I_Budget Input Data'!$D$21/'I_Inputs &amp; Assumptions'!$B$8)))))),0)</f>
        <v>4359.0461538461541</v>
      </c>
      <c r="H21" s="91">
        <f>IF(6&lt;='I_Inputs &amp; Assumptions'!$B$8,IF('I_Budget Input Data'!$E$21="Upfront",IF(6=1,'I_Budget Input Data'!$D$21,0),IF('I_Budget Input Data'!$E$21="Equal",'I_Budget Input Data'!$D$21/'I_Inputs &amp; Assumptions'!$B$8,IF('I_Budget Input Data'!$E$21="Front-loaded",IF(6&lt;='I_Inputs &amp; Assumptions'!$B$8/2,'I_Budget Input Data'!$D$21*0.6/('I_Inputs &amp; Assumptions'!$B$8/2),'I_Budget Input Data'!$D$21*0.4/('I_Inputs &amp; Assumptions'!$B$8/2)),IF('I_Budget Input Data'!$E$21="Back-loaded",IF(6&lt;='I_Inputs &amp; Assumptions'!$B$8/2,'I_Budget Input Data'!$D$21*0.4/('I_Inputs &amp; Assumptions'!$B$8/2),'I_Budget Input Data'!$D$21*0.6/('I_Inputs &amp; Assumptions'!$B$8/2)),IF('I_Budget Input Data'!$E$21="Mid-weighted",IF(6&lt;='I_Inputs &amp; Assumptions'!$B$8/4,'I_Budget Input Data'!$D$21*0.2/('I_Inputs &amp; Assumptions'!$B$8/4),IF(6&lt;='I_Inputs &amp; Assumptions'!$B$8*0.75,'I_Budget Input Data'!$D$21*0.6/('I_Inputs &amp; Assumptions'!$B$8/2),'I_Budget Input Data'!$D$21*0.2/('I_Inputs &amp; Assumptions'!$B$8/4))),IF('I_Budget Input Data'!$E$21="At Completion",IF(6='I_Inputs &amp; Assumptions'!$B$8,'I_Budget Input Data'!$D$21,0),'I_Budget Input Data'!$D$21/'I_Inputs &amp; Assumptions'!$B$8)))))),0)</f>
        <v>4359.0461538461541</v>
      </c>
      <c r="I21" s="91">
        <f>IF(7&lt;='I_Inputs &amp; Assumptions'!$B$8,IF('I_Budget Input Data'!$E$21="Upfront",IF(7=1,'I_Budget Input Data'!$D$21,0),IF('I_Budget Input Data'!$E$21="Equal",'I_Budget Input Data'!$D$21/'I_Inputs &amp; Assumptions'!$B$8,IF('I_Budget Input Data'!$E$21="Front-loaded",IF(7&lt;='I_Inputs &amp; Assumptions'!$B$8/2,'I_Budget Input Data'!$D$21*0.6/('I_Inputs &amp; Assumptions'!$B$8/2),'I_Budget Input Data'!$D$21*0.4/('I_Inputs &amp; Assumptions'!$B$8/2)),IF('I_Budget Input Data'!$E$21="Back-loaded",IF(7&lt;='I_Inputs &amp; Assumptions'!$B$8/2,'I_Budget Input Data'!$D$21*0.4/('I_Inputs &amp; Assumptions'!$B$8/2),'I_Budget Input Data'!$D$21*0.6/('I_Inputs &amp; Assumptions'!$B$8/2)),IF('I_Budget Input Data'!$E$21="Mid-weighted",IF(7&lt;='I_Inputs &amp; Assumptions'!$B$8/4,'I_Budget Input Data'!$D$21*0.2/('I_Inputs &amp; Assumptions'!$B$8/4),IF(7&lt;='I_Inputs &amp; Assumptions'!$B$8*0.75,'I_Budget Input Data'!$D$21*0.6/('I_Inputs &amp; Assumptions'!$B$8/2),'I_Budget Input Data'!$D$21*0.2/('I_Inputs &amp; Assumptions'!$B$8/4))),IF('I_Budget Input Data'!$E$21="At Completion",IF(7='I_Inputs &amp; Assumptions'!$B$8,'I_Budget Input Data'!$D$21,0),'I_Budget Input Data'!$D$21/'I_Inputs &amp; Assumptions'!$B$8)))))),0)</f>
        <v>2906.0307692307692</v>
      </c>
      <c r="J21" s="91">
        <f>IF(8&lt;='I_Inputs &amp; Assumptions'!$B$8,IF('I_Budget Input Data'!$E$21="Upfront",IF(8=1,'I_Budget Input Data'!$D$21,0),IF('I_Budget Input Data'!$E$21="Equal",'I_Budget Input Data'!$D$21/'I_Inputs &amp; Assumptions'!$B$8,IF('I_Budget Input Data'!$E$21="Front-loaded",IF(8&lt;='I_Inputs &amp; Assumptions'!$B$8/2,'I_Budget Input Data'!$D$21*0.6/('I_Inputs &amp; Assumptions'!$B$8/2),'I_Budget Input Data'!$D$21*0.4/('I_Inputs &amp; Assumptions'!$B$8/2)),IF('I_Budget Input Data'!$E$21="Back-loaded",IF(8&lt;='I_Inputs &amp; Assumptions'!$B$8/2,'I_Budget Input Data'!$D$21*0.4/('I_Inputs &amp; Assumptions'!$B$8/2),'I_Budget Input Data'!$D$21*0.6/('I_Inputs &amp; Assumptions'!$B$8/2)),IF('I_Budget Input Data'!$E$21="Mid-weighted",IF(8&lt;='I_Inputs &amp; Assumptions'!$B$8/4,'I_Budget Input Data'!$D$21*0.2/('I_Inputs &amp; Assumptions'!$B$8/4),IF(8&lt;='I_Inputs &amp; Assumptions'!$B$8*0.75,'I_Budget Input Data'!$D$21*0.6/('I_Inputs &amp; Assumptions'!$B$8/2),'I_Budget Input Data'!$D$21*0.2/('I_Inputs &amp; Assumptions'!$B$8/4))),IF('I_Budget Input Data'!$E$21="At Completion",IF(8='I_Inputs &amp; Assumptions'!$B$8,'I_Budget Input Data'!$D$21,0),'I_Budget Input Data'!$D$21/'I_Inputs &amp; Assumptions'!$B$8)))))),0)</f>
        <v>2906.0307692307692</v>
      </c>
      <c r="K21" s="91">
        <f>IF(9&lt;='I_Inputs &amp; Assumptions'!$B$8,IF('I_Budget Input Data'!$E$21="Upfront",IF(9=1,'I_Budget Input Data'!$D$21,0),IF('I_Budget Input Data'!$E$21="Equal",'I_Budget Input Data'!$D$21/'I_Inputs &amp; Assumptions'!$B$8,IF('I_Budget Input Data'!$E$21="Front-loaded",IF(9&lt;='I_Inputs &amp; Assumptions'!$B$8/2,'I_Budget Input Data'!$D$21*0.6/('I_Inputs &amp; Assumptions'!$B$8/2),'I_Budget Input Data'!$D$21*0.4/('I_Inputs &amp; Assumptions'!$B$8/2)),IF('I_Budget Input Data'!$E$21="Back-loaded",IF(9&lt;='I_Inputs &amp; Assumptions'!$B$8/2,'I_Budget Input Data'!$D$21*0.4/('I_Inputs &amp; Assumptions'!$B$8/2),'I_Budget Input Data'!$D$21*0.6/('I_Inputs &amp; Assumptions'!$B$8/2)),IF('I_Budget Input Data'!$E$21="Mid-weighted",IF(9&lt;='I_Inputs &amp; Assumptions'!$B$8/4,'I_Budget Input Data'!$D$21*0.2/('I_Inputs &amp; Assumptions'!$B$8/4),IF(9&lt;='I_Inputs &amp; Assumptions'!$B$8*0.75,'I_Budget Input Data'!$D$21*0.6/('I_Inputs &amp; Assumptions'!$B$8/2),'I_Budget Input Data'!$D$21*0.2/('I_Inputs &amp; Assumptions'!$B$8/4))),IF('I_Budget Input Data'!$E$21="At Completion",IF(9='I_Inputs &amp; Assumptions'!$B$8,'I_Budget Input Data'!$D$21,0),'I_Budget Input Data'!$D$21/'I_Inputs &amp; Assumptions'!$B$8)))))),0)</f>
        <v>2906.0307692307692</v>
      </c>
      <c r="L21" s="91">
        <f>IF(10&lt;='I_Inputs &amp; Assumptions'!$B$8,IF('I_Budget Input Data'!$E$21="Upfront",IF(10=1,'I_Budget Input Data'!$D$21,0),IF('I_Budget Input Data'!$E$21="Equal",'I_Budget Input Data'!$D$21/'I_Inputs &amp; Assumptions'!$B$8,IF('I_Budget Input Data'!$E$21="Front-loaded",IF(10&lt;='I_Inputs &amp; Assumptions'!$B$8/2,'I_Budget Input Data'!$D$21*0.6/('I_Inputs &amp; Assumptions'!$B$8/2),'I_Budget Input Data'!$D$21*0.4/('I_Inputs &amp; Assumptions'!$B$8/2)),IF('I_Budget Input Data'!$E$21="Back-loaded",IF(10&lt;='I_Inputs &amp; Assumptions'!$B$8/2,'I_Budget Input Data'!$D$21*0.4/('I_Inputs &amp; Assumptions'!$B$8/2),'I_Budget Input Data'!$D$21*0.6/('I_Inputs &amp; Assumptions'!$B$8/2)),IF('I_Budget Input Data'!$E$21="Mid-weighted",IF(10&lt;='I_Inputs &amp; Assumptions'!$B$8/4,'I_Budget Input Data'!$D$21*0.2/('I_Inputs &amp; Assumptions'!$B$8/4),IF(10&lt;='I_Inputs &amp; Assumptions'!$B$8*0.75,'I_Budget Input Data'!$D$21*0.6/('I_Inputs &amp; Assumptions'!$B$8/2),'I_Budget Input Data'!$D$21*0.2/('I_Inputs &amp; Assumptions'!$B$8/4))),IF('I_Budget Input Data'!$E$21="At Completion",IF(10='I_Inputs &amp; Assumptions'!$B$8,'I_Budget Input Data'!$D$21,0),'I_Budget Input Data'!$D$21/'I_Inputs &amp; Assumptions'!$B$8)))))),0)</f>
        <v>2906.0307692307692</v>
      </c>
      <c r="M21" s="91">
        <f>IF(11&lt;='I_Inputs &amp; Assumptions'!$B$8,IF('I_Budget Input Data'!$E$21="Upfront",IF(11=1,'I_Budget Input Data'!$D$21,0),IF('I_Budget Input Data'!$E$21="Equal",'I_Budget Input Data'!$D$21/'I_Inputs &amp; Assumptions'!$B$8,IF('I_Budget Input Data'!$E$21="Front-loaded",IF(11&lt;='I_Inputs &amp; Assumptions'!$B$8/2,'I_Budget Input Data'!$D$21*0.6/('I_Inputs &amp; Assumptions'!$B$8/2),'I_Budget Input Data'!$D$21*0.4/('I_Inputs &amp; Assumptions'!$B$8/2)),IF('I_Budget Input Data'!$E$21="Back-loaded",IF(11&lt;='I_Inputs &amp; Assumptions'!$B$8/2,'I_Budget Input Data'!$D$21*0.4/('I_Inputs &amp; Assumptions'!$B$8/2),'I_Budget Input Data'!$D$21*0.6/('I_Inputs &amp; Assumptions'!$B$8/2)),IF('I_Budget Input Data'!$E$21="Mid-weighted",IF(11&lt;='I_Inputs &amp; Assumptions'!$B$8/4,'I_Budget Input Data'!$D$21*0.2/('I_Inputs &amp; Assumptions'!$B$8/4),IF(11&lt;='I_Inputs &amp; Assumptions'!$B$8*0.75,'I_Budget Input Data'!$D$21*0.6/('I_Inputs &amp; Assumptions'!$B$8/2),'I_Budget Input Data'!$D$21*0.2/('I_Inputs &amp; Assumptions'!$B$8/4))),IF('I_Budget Input Data'!$E$21="At Completion",IF(11='I_Inputs &amp; Assumptions'!$B$8,'I_Budget Input Data'!$D$21,0),'I_Budget Input Data'!$D$21/'I_Inputs &amp; Assumptions'!$B$8)))))),0)</f>
        <v>2906.0307692307692</v>
      </c>
      <c r="N21" s="91">
        <f>IF(12&lt;='I_Inputs &amp; Assumptions'!$B$8,IF('I_Budget Input Data'!$E$21="Upfront",IF(12=1,'I_Budget Input Data'!$D$21,0),IF('I_Budget Input Data'!$E$21="Equal",'I_Budget Input Data'!$D$21/'I_Inputs &amp; Assumptions'!$B$8,IF('I_Budget Input Data'!$E$21="Front-loaded",IF(12&lt;='I_Inputs &amp; Assumptions'!$B$8/2,'I_Budget Input Data'!$D$21*0.6/('I_Inputs &amp; Assumptions'!$B$8/2),'I_Budget Input Data'!$D$21*0.4/('I_Inputs &amp; Assumptions'!$B$8/2)),IF('I_Budget Input Data'!$E$21="Back-loaded",IF(12&lt;='I_Inputs &amp; Assumptions'!$B$8/2,'I_Budget Input Data'!$D$21*0.4/('I_Inputs &amp; Assumptions'!$B$8/2),'I_Budget Input Data'!$D$21*0.6/('I_Inputs &amp; Assumptions'!$B$8/2)),IF('I_Budget Input Data'!$E$21="Mid-weighted",IF(12&lt;='I_Inputs &amp; Assumptions'!$B$8/4,'I_Budget Input Data'!$D$21*0.2/('I_Inputs &amp; Assumptions'!$B$8/4),IF(12&lt;='I_Inputs &amp; Assumptions'!$B$8*0.75,'I_Budget Input Data'!$D$21*0.6/('I_Inputs &amp; Assumptions'!$B$8/2),'I_Budget Input Data'!$D$21*0.2/('I_Inputs &amp; Assumptions'!$B$8/4))),IF('I_Budget Input Data'!$E$21="At Completion",IF(12='I_Inputs &amp; Assumptions'!$B$8,'I_Budget Input Data'!$D$21,0),'I_Budget Input Data'!$D$21/'I_Inputs &amp; Assumptions'!$B$8)))))),0)</f>
        <v>2906.0307692307692</v>
      </c>
      <c r="O21" s="91">
        <f>IF(13&lt;='I_Inputs &amp; Assumptions'!$B$8,IF('I_Budget Input Data'!$E$21="Upfront",IF(13=1,'I_Budget Input Data'!$D$21,0),IF('I_Budget Input Data'!$E$21="Equal",'I_Budget Input Data'!$D$21/'I_Inputs &amp; Assumptions'!$B$8,IF('I_Budget Input Data'!$E$21="Front-loaded",IF(13&lt;='I_Inputs &amp; Assumptions'!$B$8/2,'I_Budget Input Data'!$D$21*0.6/('I_Inputs &amp; Assumptions'!$B$8/2),'I_Budget Input Data'!$D$21*0.4/('I_Inputs &amp; Assumptions'!$B$8/2)),IF('I_Budget Input Data'!$E$21="Back-loaded",IF(13&lt;='I_Inputs &amp; Assumptions'!$B$8/2,'I_Budget Input Data'!$D$21*0.4/('I_Inputs &amp; Assumptions'!$B$8/2),'I_Budget Input Data'!$D$21*0.6/('I_Inputs &amp; Assumptions'!$B$8/2)),IF('I_Budget Input Data'!$E$21="Mid-weighted",IF(13&lt;='I_Inputs &amp; Assumptions'!$B$8/4,'I_Budget Input Data'!$D$21*0.2/('I_Inputs &amp; Assumptions'!$B$8/4),IF(13&lt;='I_Inputs &amp; Assumptions'!$B$8*0.75,'I_Budget Input Data'!$D$21*0.6/('I_Inputs &amp; Assumptions'!$B$8/2),'I_Budget Input Data'!$D$21*0.2/('I_Inputs &amp; Assumptions'!$B$8/4))),IF('I_Budget Input Data'!$E$21="At Completion",IF(13='I_Inputs &amp; Assumptions'!$B$8,'I_Budget Input Data'!$D$21,0),'I_Budget Input Data'!$D$21/'I_Inputs &amp; Assumptions'!$B$8)))))),0)</f>
        <v>2906.0307692307692</v>
      </c>
      <c r="P21" s="91">
        <f>IF(14&lt;='I_Inputs &amp; Assumptions'!$B$8,IF('I_Budget Input Data'!$E$21="Upfront",IF(14=1,'I_Budget Input Data'!$D$21,0),IF('I_Budget Input Data'!$E$21="Equal",'I_Budget Input Data'!$D$21/'I_Inputs &amp; Assumptions'!$B$8,IF('I_Budget Input Data'!$E$21="Front-loaded",IF(14&lt;='I_Inputs &amp; Assumptions'!$B$8/2,'I_Budget Input Data'!$D$21*0.6/('I_Inputs &amp; Assumptions'!$B$8/2),'I_Budget Input Data'!$D$21*0.4/('I_Inputs &amp; Assumptions'!$B$8/2)),IF('I_Budget Input Data'!$E$21="Back-loaded",IF(14&lt;='I_Inputs &amp; Assumptions'!$B$8/2,'I_Budget Input Data'!$D$21*0.4/('I_Inputs &amp; Assumptions'!$B$8/2),'I_Budget Input Data'!$D$21*0.6/('I_Inputs &amp; Assumptions'!$B$8/2)),IF('I_Budget Input Data'!$E$21="Mid-weighted",IF(14&lt;='I_Inputs &amp; Assumptions'!$B$8/4,'I_Budget Input Data'!$D$21*0.2/('I_Inputs &amp; Assumptions'!$B$8/4),IF(14&lt;='I_Inputs &amp; Assumptions'!$B$8*0.75,'I_Budget Input Data'!$D$21*0.6/('I_Inputs &amp; Assumptions'!$B$8/2),'I_Budget Input Data'!$D$21*0.2/('I_Inputs &amp; Assumptions'!$B$8/4))),IF('I_Budget Input Data'!$E$21="At Completion",IF(14='I_Inputs &amp; Assumptions'!$B$8,'I_Budget Input Data'!$D$21,0),'I_Budget Input Data'!$D$21/'I_Inputs &amp; Assumptions'!$B$8)))))),0)</f>
        <v>0</v>
      </c>
      <c r="Q21" s="91">
        <f>IF(15&lt;='I_Inputs &amp; Assumptions'!$B$8,IF('I_Budget Input Data'!$E$21="Upfront",IF(15=1,'I_Budget Input Data'!$D$21,0),IF('I_Budget Input Data'!$E$21="Equal",'I_Budget Input Data'!$D$21/'I_Inputs &amp; Assumptions'!$B$8,IF('I_Budget Input Data'!$E$21="Front-loaded",IF(15&lt;='I_Inputs &amp; Assumptions'!$B$8/2,'I_Budget Input Data'!$D$21*0.6/('I_Inputs &amp; Assumptions'!$B$8/2),'I_Budget Input Data'!$D$21*0.4/('I_Inputs &amp; Assumptions'!$B$8/2)),IF('I_Budget Input Data'!$E$21="Back-loaded",IF(15&lt;='I_Inputs &amp; Assumptions'!$B$8/2,'I_Budget Input Data'!$D$21*0.4/('I_Inputs &amp; Assumptions'!$B$8/2),'I_Budget Input Data'!$D$21*0.6/('I_Inputs &amp; Assumptions'!$B$8/2)),IF('I_Budget Input Data'!$E$21="Mid-weighted",IF(15&lt;='I_Inputs &amp; Assumptions'!$B$8/4,'I_Budget Input Data'!$D$21*0.2/('I_Inputs &amp; Assumptions'!$B$8/4),IF(15&lt;='I_Inputs &amp; Assumptions'!$B$8*0.75,'I_Budget Input Data'!$D$21*0.6/('I_Inputs &amp; Assumptions'!$B$8/2),'I_Budget Input Data'!$D$21*0.2/('I_Inputs &amp; Assumptions'!$B$8/4))),IF('I_Budget Input Data'!$E$21="At Completion",IF(15='I_Inputs &amp; Assumptions'!$B$8,'I_Budget Input Data'!$D$21,0),'I_Budget Input Data'!$D$21/'I_Inputs &amp; Assumptions'!$B$8)))))),0)</f>
        <v>0</v>
      </c>
      <c r="R21" s="91">
        <f>IF(16&lt;='I_Inputs &amp; Assumptions'!$B$8,IF('I_Budget Input Data'!$E$21="Upfront",IF(16=1,'I_Budget Input Data'!$D$21,0),IF('I_Budget Input Data'!$E$21="Equal",'I_Budget Input Data'!$D$21/'I_Inputs &amp; Assumptions'!$B$8,IF('I_Budget Input Data'!$E$21="Front-loaded",IF(16&lt;='I_Inputs &amp; Assumptions'!$B$8/2,'I_Budget Input Data'!$D$21*0.6/('I_Inputs &amp; Assumptions'!$B$8/2),'I_Budget Input Data'!$D$21*0.4/('I_Inputs &amp; Assumptions'!$B$8/2)),IF('I_Budget Input Data'!$E$21="Back-loaded",IF(16&lt;='I_Inputs &amp; Assumptions'!$B$8/2,'I_Budget Input Data'!$D$21*0.4/('I_Inputs &amp; Assumptions'!$B$8/2),'I_Budget Input Data'!$D$21*0.6/('I_Inputs &amp; Assumptions'!$B$8/2)),IF('I_Budget Input Data'!$E$21="Mid-weighted",IF(16&lt;='I_Inputs &amp; Assumptions'!$B$8/4,'I_Budget Input Data'!$D$21*0.2/('I_Inputs &amp; Assumptions'!$B$8/4),IF(16&lt;='I_Inputs &amp; Assumptions'!$B$8*0.75,'I_Budget Input Data'!$D$21*0.6/('I_Inputs &amp; Assumptions'!$B$8/2),'I_Budget Input Data'!$D$21*0.2/('I_Inputs &amp; Assumptions'!$B$8/4))),IF('I_Budget Input Data'!$E$21="At Completion",IF(16='I_Inputs &amp; Assumptions'!$B$8,'I_Budget Input Data'!$D$21,0),'I_Budget Input Data'!$D$21/'I_Inputs &amp; Assumptions'!$B$8)))))),0)</f>
        <v>0</v>
      </c>
      <c r="S21" s="91">
        <f>IF(17&lt;='I_Inputs &amp; Assumptions'!$B$8,IF('I_Budget Input Data'!$E$21="Upfront",IF(17=1,'I_Budget Input Data'!$D$21,0),IF('I_Budget Input Data'!$E$21="Equal",'I_Budget Input Data'!$D$21/'I_Inputs &amp; Assumptions'!$B$8,IF('I_Budget Input Data'!$E$21="Front-loaded",IF(17&lt;='I_Inputs &amp; Assumptions'!$B$8/2,'I_Budget Input Data'!$D$21*0.6/('I_Inputs &amp; Assumptions'!$B$8/2),'I_Budget Input Data'!$D$21*0.4/('I_Inputs &amp; Assumptions'!$B$8/2)),IF('I_Budget Input Data'!$E$21="Back-loaded",IF(17&lt;='I_Inputs &amp; Assumptions'!$B$8/2,'I_Budget Input Data'!$D$21*0.4/('I_Inputs &amp; Assumptions'!$B$8/2),'I_Budget Input Data'!$D$21*0.6/('I_Inputs &amp; Assumptions'!$B$8/2)),IF('I_Budget Input Data'!$E$21="Mid-weighted",IF(17&lt;='I_Inputs &amp; Assumptions'!$B$8/4,'I_Budget Input Data'!$D$21*0.2/('I_Inputs &amp; Assumptions'!$B$8/4),IF(17&lt;='I_Inputs &amp; Assumptions'!$B$8*0.75,'I_Budget Input Data'!$D$21*0.6/('I_Inputs &amp; Assumptions'!$B$8/2),'I_Budget Input Data'!$D$21*0.2/('I_Inputs &amp; Assumptions'!$B$8/4))),IF('I_Budget Input Data'!$E$21="At Completion",IF(17='I_Inputs &amp; Assumptions'!$B$8,'I_Budget Input Data'!$D$21,0),'I_Budget Input Data'!$D$21/'I_Inputs &amp; Assumptions'!$B$8)))))),0)</f>
        <v>0</v>
      </c>
      <c r="T21" s="91">
        <f>IF(18&lt;='I_Inputs &amp; Assumptions'!$B$8,IF('I_Budget Input Data'!$E$21="Upfront",IF(18=1,'I_Budget Input Data'!$D$21,0),IF('I_Budget Input Data'!$E$21="Equal",'I_Budget Input Data'!$D$21/'I_Inputs &amp; Assumptions'!$B$8,IF('I_Budget Input Data'!$E$21="Front-loaded",IF(18&lt;='I_Inputs &amp; Assumptions'!$B$8/2,'I_Budget Input Data'!$D$21*0.6/('I_Inputs &amp; Assumptions'!$B$8/2),'I_Budget Input Data'!$D$21*0.4/('I_Inputs &amp; Assumptions'!$B$8/2)),IF('I_Budget Input Data'!$E$21="Back-loaded",IF(18&lt;='I_Inputs &amp; Assumptions'!$B$8/2,'I_Budget Input Data'!$D$21*0.4/('I_Inputs &amp; Assumptions'!$B$8/2),'I_Budget Input Data'!$D$21*0.6/('I_Inputs &amp; Assumptions'!$B$8/2)),IF('I_Budget Input Data'!$E$21="Mid-weighted",IF(18&lt;='I_Inputs &amp; Assumptions'!$B$8/4,'I_Budget Input Data'!$D$21*0.2/('I_Inputs &amp; Assumptions'!$B$8/4),IF(18&lt;='I_Inputs &amp; Assumptions'!$B$8*0.75,'I_Budget Input Data'!$D$21*0.6/('I_Inputs &amp; Assumptions'!$B$8/2),'I_Budget Input Data'!$D$21*0.2/('I_Inputs &amp; Assumptions'!$B$8/4))),IF('I_Budget Input Data'!$E$21="At Completion",IF(18='I_Inputs &amp; Assumptions'!$B$8,'I_Budget Input Data'!$D$21,0),'I_Budget Input Data'!$D$21/'I_Inputs &amp; Assumptions'!$B$8)))))),0)</f>
        <v>0</v>
      </c>
      <c r="U21" s="91">
        <f>IF(19&lt;='I_Inputs &amp; Assumptions'!$B$8,IF('I_Budget Input Data'!$E$21="Upfront",IF(19=1,'I_Budget Input Data'!$D$21,0),IF('I_Budget Input Data'!$E$21="Equal",'I_Budget Input Data'!$D$21/'I_Inputs &amp; Assumptions'!$B$8,IF('I_Budget Input Data'!$E$21="Front-loaded",IF(19&lt;='I_Inputs &amp; Assumptions'!$B$8/2,'I_Budget Input Data'!$D$21*0.6/('I_Inputs &amp; Assumptions'!$B$8/2),'I_Budget Input Data'!$D$21*0.4/('I_Inputs &amp; Assumptions'!$B$8/2)),IF('I_Budget Input Data'!$E$21="Back-loaded",IF(19&lt;='I_Inputs &amp; Assumptions'!$B$8/2,'I_Budget Input Data'!$D$21*0.4/('I_Inputs &amp; Assumptions'!$B$8/2),'I_Budget Input Data'!$D$21*0.6/('I_Inputs &amp; Assumptions'!$B$8/2)),IF('I_Budget Input Data'!$E$21="Mid-weighted",IF(19&lt;='I_Inputs &amp; Assumptions'!$B$8/4,'I_Budget Input Data'!$D$21*0.2/('I_Inputs &amp; Assumptions'!$B$8/4),IF(19&lt;='I_Inputs &amp; Assumptions'!$B$8*0.75,'I_Budget Input Data'!$D$21*0.6/('I_Inputs &amp; Assumptions'!$B$8/2),'I_Budget Input Data'!$D$21*0.2/('I_Inputs &amp; Assumptions'!$B$8/4))),IF('I_Budget Input Data'!$E$21="At Completion",IF(19='I_Inputs &amp; Assumptions'!$B$8,'I_Budget Input Data'!$D$21,0),'I_Budget Input Data'!$D$21/'I_Inputs &amp; Assumptions'!$B$8)))))),0)</f>
        <v>0</v>
      </c>
      <c r="V21" s="91">
        <f>IF(20&lt;='I_Inputs &amp; Assumptions'!$B$8,IF('I_Budget Input Data'!$E$21="Upfront",IF(20=1,'I_Budget Input Data'!$D$21,0),IF('I_Budget Input Data'!$E$21="Equal",'I_Budget Input Data'!$D$21/'I_Inputs &amp; Assumptions'!$B$8,IF('I_Budget Input Data'!$E$21="Front-loaded",IF(20&lt;='I_Inputs &amp; Assumptions'!$B$8/2,'I_Budget Input Data'!$D$21*0.6/('I_Inputs &amp; Assumptions'!$B$8/2),'I_Budget Input Data'!$D$21*0.4/('I_Inputs &amp; Assumptions'!$B$8/2)),IF('I_Budget Input Data'!$E$21="Back-loaded",IF(20&lt;='I_Inputs &amp; Assumptions'!$B$8/2,'I_Budget Input Data'!$D$21*0.4/('I_Inputs &amp; Assumptions'!$B$8/2),'I_Budget Input Data'!$D$21*0.6/('I_Inputs &amp; Assumptions'!$B$8/2)),IF('I_Budget Input Data'!$E$21="Mid-weighted",IF(20&lt;='I_Inputs &amp; Assumptions'!$B$8/4,'I_Budget Input Data'!$D$21*0.2/('I_Inputs &amp; Assumptions'!$B$8/4),IF(20&lt;='I_Inputs &amp; Assumptions'!$B$8*0.75,'I_Budget Input Data'!$D$21*0.6/('I_Inputs &amp; Assumptions'!$B$8/2),'I_Budget Input Data'!$D$21*0.2/('I_Inputs &amp; Assumptions'!$B$8/4))),IF('I_Budget Input Data'!$E$21="At Completion",IF(20='I_Inputs &amp; Assumptions'!$B$8,'I_Budget Input Data'!$D$21,0),'I_Budget Input Data'!$D$21/'I_Inputs &amp; Assumptions'!$B$8)))))),0)</f>
        <v>0</v>
      </c>
      <c r="W21" s="91">
        <f>IF(21&lt;='I_Inputs &amp; Assumptions'!$B$8,IF('I_Budget Input Data'!$E$21="Upfront",IF(21=1,'I_Budget Input Data'!$D$21,0),IF('I_Budget Input Data'!$E$21="Equal",'I_Budget Input Data'!$D$21/'I_Inputs &amp; Assumptions'!$B$8,IF('I_Budget Input Data'!$E$21="Front-loaded",IF(21&lt;='I_Inputs &amp; Assumptions'!$B$8/2,'I_Budget Input Data'!$D$21*0.6/('I_Inputs &amp; Assumptions'!$B$8/2),'I_Budget Input Data'!$D$21*0.4/('I_Inputs &amp; Assumptions'!$B$8/2)),IF('I_Budget Input Data'!$E$21="Back-loaded",IF(21&lt;='I_Inputs &amp; Assumptions'!$B$8/2,'I_Budget Input Data'!$D$21*0.4/('I_Inputs &amp; Assumptions'!$B$8/2),'I_Budget Input Data'!$D$21*0.6/('I_Inputs &amp; Assumptions'!$B$8/2)),IF('I_Budget Input Data'!$E$21="Mid-weighted",IF(21&lt;='I_Inputs &amp; Assumptions'!$B$8/4,'I_Budget Input Data'!$D$21*0.2/('I_Inputs &amp; Assumptions'!$B$8/4),IF(21&lt;='I_Inputs &amp; Assumptions'!$B$8*0.75,'I_Budget Input Data'!$D$21*0.6/('I_Inputs &amp; Assumptions'!$B$8/2),'I_Budget Input Data'!$D$21*0.2/('I_Inputs &amp; Assumptions'!$B$8/4))),IF('I_Budget Input Data'!$E$21="At Completion",IF(21='I_Inputs &amp; Assumptions'!$B$8,'I_Budget Input Data'!$D$21,0),'I_Budget Input Data'!$D$21/'I_Inputs &amp; Assumptions'!$B$8)))))),0)</f>
        <v>0</v>
      </c>
      <c r="X21" s="91">
        <f>IF(22&lt;='I_Inputs &amp; Assumptions'!$B$8,IF('I_Budget Input Data'!$E$21="Upfront",IF(22=1,'I_Budget Input Data'!$D$21,0),IF('I_Budget Input Data'!$E$21="Equal",'I_Budget Input Data'!$D$21/'I_Inputs &amp; Assumptions'!$B$8,IF('I_Budget Input Data'!$E$21="Front-loaded",IF(22&lt;='I_Inputs &amp; Assumptions'!$B$8/2,'I_Budget Input Data'!$D$21*0.6/('I_Inputs &amp; Assumptions'!$B$8/2),'I_Budget Input Data'!$D$21*0.4/('I_Inputs &amp; Assumptions'!$B$8/2)),IF('I_Budget Input Data'!$E$21="Back-loaded",IF(22&lt;='I_Inputs &amp; Assumptions'!$B$8/2,'I_Budget Input Data'!$D$21*0.4/('I_Inputs &amp; Assumptions'!$B$8/2),'I_Budget Input Data'!$D$21*0.6/('I_Inputs &amp; Assumptions'!$B$8/2)),IF('I_Budget Input Data'!$E$21="Mid-weighted",IF(22&lt;='I_Inputs &amp; Assumptions'!$B$8/4,'I_Budget Input Data'!$D$21*0.2/('I_Inputs &amp; Assumptions'!$B$8/4),IF(22&lt;='I_Inputs &amp; Assumptions'!$B$8*0.75,'I_Budget Input Data'!$D$21*0.6/('I_Inputs &amp; Assumptions'!$B$8/2),'I_Budget Input Data'!$D$21*0.2/('I_Inputs &amp; Assumptions'!$B$8/4))),IF('I_Budget Input Data'!$E$21="At Completion",IF(22='I_Inputs &amp; Assumptions'!$B$8,'I_Budget Input Data'!$D$21,0),'I_Budget Input Data'!$D$21/'I_Inputs &amp; Assumptions'!$B$8)))))),0)</f>
        <v>0</v>
      </c>
      <c r="Y21" s="91">
        <f>IF(23&lt;='I_Inputs &amp; Assumptions'!$B$8,IF('I_Budget Input Data'!$E$21="Upfront",IF(23=1,'I_Budget Input Data'!$D$21,0),IF('I_Budget Input Data'!$E$21="Equal",'I_Budget Input Data'!$D$21/'I_Inputs &amp; Assumptions'!$B$8,IF('I_Budget Input Data'!$E$21="Front-loaded",IF(23&lt;='I_Inputs &amp; Assumptions'!$B$8/2,'I_Budget Input Data'!$D$21*0.6/('I_Inputs &amp; Assumptions'!$B$8/2),'I_Budget Input Data'!$D$21*0.4/('I_Inputs &amp; Assumptions'!$B$8/2)),IF('I_Budget Input Data'!$E$21="Back-loaded",IF(23&lt;='I_Inputs &amp; Assumptions'!$B$8/2,'I_Budget Input Data'!$D$21*0.4/('I_Inputs &amp; Assumptions'!$B$8/2),'I_Budget Input Data'!$D$21*0.6/('I_Inputs &amp; Assumptions'!$B$8/2)),IF('I_Budget Input Data'!$E$21="Mid-weighted",IF(23&lt;='I_Inputs &amp; Assumptions'!$B$8/4,'I_Budget Input Data'!$D$21*0.2/('I_Inputs &amp; Assumptions'!$B$8/4),IF(23&lt;='I_Inputs &amp; Assumptions'!$B$8*0.75,'I_Budget Input Data'!$D$21*0.6/('I_Inputs &amp; Assumptions'!$B$8/2),'I_Budget Input Data'!$D$21*0.2/('I_Inputs &amp; Assumptions'!$B$8/4))),IF('I_Budget Input Data'!$E$21="At Completion",IF(23='I_Inputs &amp; Assumptions'!$B$8,'I_Budget Input Data'!$D$21,0),'I_Budget Input Data'!$D$21/'I_Inputs &amp; Assumptions'!$B$8)))))),0)</f>
        <v>0</v>
      </c>
      <c r="Z21" s="91">
        <f>IF(24&lt;='I_Inputs &amp; Assumptions'!$B$8,IF('I_Budget Input Data'!$E$21="Upfront",IF(24=1,'I_Budget Input Data'!$D$21,0),IF('I_Budget Input Data'!$E$21="Equal",'I_Budget Input Data'!$D$21/'I_Inputs &amp; Assumptions'!$B$8,IF('I_Budget Input Data'!$E$21="Front-loaded",IF(24&lt;='I_Inputs &amp; Assumptions'!$B$8/2,'I_Budget Input Data'!$D$21*0.6/('I_Inputs &amp; Assumptions'!$B$8/2),'I_Budget Input Data'!$D$21*0.4/('I_Inputs &amp; Assumptions'!$B$8/2)),IF('I_Budget Input Data'!$E$21="Back-loaded",IF(24&lt;='I_Inputs &amp; Assumptions'!$B$8/2,'I_Budget Input Data'!$D$21*0.4/('I_Inputs &amp; Assumptions'!$B$8/2),'I_Budget Input Data'!$D$21*0.6/('I_Inputs &amp; Assumptions'!$B$8/2)),IF('I_Budget Input Data'!$E$21="Mid-weighted",IF(24&lt;='I_Inputs &amp; Assumptions'!$B$8/4,'I_Budget Input Data'!$D$21*0.2/('I_Inputs &amp; Assumptions'!$B$8/4),IF(24&lt;='I_Inputs &amp; Assumptions'!$B$8*0.75,'I_Budget Input Data'!$D$21*0.6/('I_Inputs &amp; Assumptions'!$B$8/2),'I_Budget Input Data'!$D$21*0.2/('I_Inputs &amp; Assumptions'!$B$8/4))),IF('I_Budget Input Data'!$E$21="At Completion",IF(24='I_Inputs &amp; Assumptions'!$B$8,'I_Budget Input Data'!$D$21,0),'I_Budget Input Data'!$D$21/'I_Inputs &amp; Assumptions'!$B$8)))))),0)</f>
        <v>0</v>
      </c>
      <c r="AA21" s="91">
        <f>IF(25&lt;='I_Inputs &amp; Assumptions'!$B$8,IF('I_Budget Input Data'!$E$21="Upfront",IF(25=1,'I_Budget Input Data'!$D$21,0),IF('I_Budget Input Data'!$E$21="Equal",'I_Budget Input Data'!$D$21/'I_Inputs &amp; Assumptions'!$B$8,IF('I_Budget Input Data'!$E$21="Front-loaded",IF(25&lt;='I_Inputs &amp; Assumptions'!$B$8/2,'I_Budget Input Data'!$D$21*0.6/('I_Inputs &amp; Assumptions'!$B$8/2),'I_Budget Input Data'!$D$21*0.4/('I_Inputs &amp; Assumptions'!$B$8/2)),IF('I_Budget Input Data'!$E$21="Back-loaded",IF(25&lt;='I_Inputs &amp; Assumptions'!$B$8/2,'I_Budget Input Data'!$D$21*0.4/('I_Inputs &amp; Assumptions'!$B$8/2),'I_Budget Input Data'!$D$21*0.6/('I_Inputs &amp; Assumptions'!$B$8/2)),IF('I_Budget Input Data'!$E$21="Mid-weighted",IF(25&lt;='I_Inputs &amp; Assumptions'!$B$8/4,'I_Budget Input Data'!$D$21*0.2/('I_Inputs &amp; Assumptions'!$B$8/4),IF(25&lt;='I_Inputs &amp; Assumptions'!$B$8*0.75,'I_Budget Input Data'!$D$21*0.6/('I_Inputs &amp; Assumptions'!$B$8/2),'I_Budget Input Data'!$D$21*0.2/('I_Inputs &amp; Assumptions'!$B$8/4))),IF('I_Budget Input Data'!$E$21="At Completion",IF(25='I_Inputs &amp; Assumptions'!$B$8,'I_Budget Input Data'!$D$21,0),'I_Budget Input Data'!$D$21/'I_Inputs &amp; Assumptions'!$B$8)))))),0)</f>
        <v>0</v>
      </c>
      <c r="AB21" s="91">
        <f>IF(26&lt;='I_Inputs &amp; Assumptions'!$B$8,IF('I_Budget Input Data'!$E$21="Upfront",IF(26=1,'I_Budget Input Data'!$D$21,0),IF('I_Budget Input Data'!$E$21="Equal",'I_Budget Input Data'!$D$21/'I_Inputs &amp; Assumptions'!$B$8,IF('I_Budget Input Data'!$E$21="Front-loaded",IF(26&lt;='I_Inputs &amp; Assumptions'!$B$8/2,'I_Budget Input Data'!$D$21*0.6/('I_Inputs &amp; Assumptions'!$B$8/2),'I_Budget Input Data'!$D$21*0.4/('I_Inputs &amp; Assumptions'!$B$8/2)),IF('I_Budget Input Data'!$E$21="Back-loaded",IF(26&lt;='I_Inputs &amp; Assumptions'!$B$8/2,'I_Budget Input Data'!$D$21*0.4/('I_Inputs &amp; Assumptions'!$B$8/2),'I_Budget Input Data'!$D$21*0.6/('I_Inputs &amp; Assumptions'!$B$8/2)),IF('I_Budget Input Data'!$E$21="Mid-weighted",IF(26&lt;='I_Inputs &amp; Assumptions'!$B$8/4,'I_Budget Input Data'!$D$21*0.2/('I_Inputs &amp; Assumptions'!$B$8/4),IF(26&lt;='I_Inputs &amp; Assumptions'!$B$8*0.75,'I_Budget Input Data'!$D$21*0.6/('I_Inputs &amp; Assumptions'!$B$8/2),'I_Budget Input Data'!$D$21*0.2/('I_Inputs &amp; Assumptions'!$B$8/4))),IF('I_Budget Input Data'!$E$21="At Completion",IF(26='I_Inputs &amp; Assumptions'!$B$8,'I_Budget Input Data'!$D$21,0),'I_Budget Input Data'!$D$21/'I_Inputs &amp; Assumptions'!$B$8)))))),0)</f>
        <v>0</v>
      </c>
      <c r="AC21" s="91">
        <f>IF(27&lt;='I_Inputs &amp; Assumptions'!$B$8,IF('I_Budget Input Data'!$E$21="Upfront",IF(27=1,'I_Budget Input Data'!$D$21,0),IF('I_Budget Input Data'!$E$21="Equal",'I_Budget Input Data'!$D$21/'I_Inputs &amp; Assumptions'!$B$8,IF('I_Budget Input Data'!$E$21="Front-loaded",IF(27&lt;='I_Inputs &amp; Assumptions'!$B$8/2,'I_Budget Input Data'!$D$21*0.6/('I_Inputs &amp; Assumptions'!$B$8/2),'I_Budget Input Data'!$D$21*0.4/('I_Inputs &amp; Assumptions'!$B$8/2)),IF('I_Budget Input Data'!$E$21="Back-loaded",IF(27&lt;='I_Inputs &amp; Assumptions'!$B$8/2,'I_Budget Input Data'!$D$21*0.4/('I_Inputs &amp; Assumptions'!$B$8/2),'I_Budget Input Data'!$D$21*0.6/('I_Inputs &amp; Assumptions'!$B$8/2)),IF('I_Budget Input Data'!$E$21="Mid-weighted",IF(27&lt;='I_Inputs &amp; Assumptions'!$B$8/4,'I_Budget Input Data'!$D$21*0.2/('I_Inputs &amp; Assumptions'!$B$8/4),IF(27&lt;='I_Inputs &amp; Assumptions'!$B$8*0.75,'I_Budget Input Data'!$D$21*0.6/('I_Inputs &amp; Assumptions'!$B$8/2),'I_Budget Input Data'!$D$21*0.2/('I_Inputs &amp; Assumptions'!$B$8/4))),IF('I_Budget Input Data'!$E$21="At Completion",IF(27='I_Inputs &amp; Assumptions'!$B$8,'I_Budget Input Data'!$D$21,0),'I_Budget Input Data'!$D$21/'I_Inputs &amp; Assumptions'!$B$8)))))),0)</f>
        <v>0</v>
      </c>
      <c r="AD21" s="91">
        <f>IF(28&lt;='I_Inputs &amp; Assumptions'!$B$8,IF('I_Budget Input Data'!$E$21="Upfront",IF(28=1,'I_Budget Input Data'!$D$21,0),IF('I_Budget Input Data'!$E$21="Equal",'I_Budget Input Data'!$D$21/'I_Inputs &amp; Assumptions'!$B$8,IF('I_Budget Input Data'!$E$21="Front-loaded",IF(28&lt;='I_Inputs &amp; Assumptions'!$B$8/2,'I_Budget Input Data'!$D$21*0.6/('I_Inputs &amp; Assumptions'!$B$8/2),'I_Budget Input Data'!$D$21*0.4/('I_Inputs &amp; Assumptions'!$B$8/2)),IF('I_Budget Input Data'!$E$21="Back-loaded",IF(28&lt;='I_Inputs &amp; Assumptions'!$B$8/2,'I_Budget Input Data'!$D$21*0.4/('I_Inputs &amp; Assumptions'!$B$8/2),'I_Budget Input Data'!$D$21*0.6/('I_Inputs &amp; Assumptions'!$B$8/2)),IF('I_Budget Input Data'!$E$21="Mid-weighted",IF(28&lt;='I_Inputs &amp; Assumptions'!$B$8/4,'I_Budget Input Data'!$D$21*0.2/('I_Inputs &amp; Assumptions'!$B$8/4),IF(28&lt;='I_Inputs &amp; Assumptions'!$B$8*0.75,'I_Budget Input Data'!$D$21*0.6/('I_Inputs &amp; Assumptions'!$B$8/2),'I_Budget Input Data'!$D$21*0.2/('I_Inputs &amp; Assumptions'!$B$8/4))),IF('I_Budget Input Data'!$E$21="At Completion",IF(28='I_Inputs &amp; Assumptions'!$B$8,'I_Budget Input Data'!$D$21,0),'I_Budget Input Data'!$D$21/'I_Inputs &amp; Assumptions'!$B$8)))))),0)</f>
        <v>0</v>
      </c>
      <c r="AE21" s="91">
        <f>IF(29&lt;='I_Inputs &amp; Assumptions'!$B$8,IF('I_Budget Input Data'!$E$21="Upfront",IF(29=1,'I_Budget Input Data'!$D$21,0),IF('I_Budget Input Data'!$E$21="Equal",'I_Budget Input Data'!$D$21/'I_Inputs &amp; Assumptions'!$B$8,IF('I_Budget Input Data'!$E$21="Front-loaded",IF(29&lt;='I_Inputs &amp; Assumptions'!$B$8/2,'I_Budget Input Data'!$D$21*0.6/('I_Inputs &amp; Assumptions'!$B$8/2),'I_Budget Input Data'!$D$21*0.4/('I_Inputs &amp; Assumptions'!$B$8/2)),IF('I_Budget Input Data'!$E$21="Back-loaded",IF(29&lt;='I_Inputs &amp; Assumptions'!$B$8/2,'I_Budget Input Data'!$D$21*0.4/('I_Inputs &amp; Assumptions'!$B$8/2),'I_Budget Input Data'!$D$21*0.6/('I_Inputs &amp; Assumptions'!$B$8/2)),IF('I_Budget Input Data'!$E$21="Mid-weighted",IF(29&lt;='I_Inputs &amp; Assumptions'!$B$8/4,'I_Budget Input Data'!$D$21*0.2/('I_Inputs &amp; Assumptions'!$B$8/4),IF(29&lt;='I_Inputs &amp; Assumptions'!$B$8*0.75,'I_Budget Input Data'!$D$21*0.6/('I_Inputs &amp; Assumptions'!$B$8/2),'I_Budget Input Data'!$D$21*0.2/('I_Inputs &amp; Assumptions'!$B$8/4))),IF('I_Budget Input Data'!$E$21="At Completion",IF(29='I_Inputs &amp; Assumptions'!$B$8,'I_Budget Input Data'!$D$21,0),'I_Budget Input Data'!$D$21/'I_Inputs &amp; Assumptions'!$B$8)))))),0)</f>
        <v>0</v>
      </c>
      <c r="AF21" s="91">
        <f>IF(30&lt;='I_Inputs &amp; Assumptions'!$B$8,IF('I_Budget Input Data'!$E$21="Upfront",IF(30=1,'I_Budget Input Data'!$D$21,0),IF('I_Budget Input Data'!$E$21="Equal",'I_Budget Input Data'!$D$21/'I_Inputs &amp; Assumptions'!$B$8,IF('I_Budget Input Data'!$E$21="Front-loaded",IF(30&lt;='I_Inputs &amp; Assumptions'!$B$8/2,'I_Budget Input Data'!$D$21*0.6/('I_Inputs &amp; Assumptions'!$B$8/2),'I_Budget Input Data'!$D$21*0.4/('I_Inputs &amp; Assumptions'!$B$8/2)),IF('I_Budget Input Data'!$E$21="Back-loaded",IF(30&lt;='I_Inputs &amp; Assumptions'!$B$8/2,'I_Budget Input Data'!$D$21*0.4/('I_Inputs &amp; Assumptions'!$B$8/2),'I_Budget Input Data'!$D$21*0.6/('I_Inputs &amp; Assumptions'!$B$8/2)),IF('I_Budget Input Data'!$E$21="Mid-weighted",IF(30&lt;='I_Inputs &amp; Assumptions'!$B$8/4,'I_Budget Input Data'!$D$21*0.2/('I_Inputs &amp; Assumptions'!$B$8/4),IF(30&lt;='I_Inputs &amp; Assumptions'!$B$8*0.75,'I_Budget Input Data'!$D$21*0.6/('I_Inputs &amp; Assumptions'!$B$8/2),'I_Budget Input Data'!$D$21*0.2/('I_Inputs &amp; Assumptions'!$B$8/4))),IF('I_Budget Input Data'!$E$21="At Completion",IF(30='I_Inputs &amp; Assumptions'!$B$8,'I_Budget Input Data'!$D$21,0),'I_Budget Input Data'!$D$21/'I_Inputs &amp; Assumptions'!$B$8)))))),0)</f>
        <v>0</v>
      </c>
      <c r="AG21" s="91">
        <f>IF(31&lt;='I_Inputs &amp; Assumptions'!$B$8,IF('I_Budget Input Data'!$E$21="Upfront",IF(31=1,'I_Budget Input Data'!$D$21,0),IF('I_Budget Input Data'!$E$21="Equal",'I_Budget Input Data'!$D$21/'I_Inputs &amp; Assumptions'!$B$8,IF('I_Budget Input Data'!$E$21="Front-loaded",IF(31&lt;='I_Inputs &amp; Assumptions'!$B$8/2,'I_Budget Input Data'!$D$21*0.6/('I_Inputs &amp; Assumptions'!$B$8/2),'I_Budget Input Data'!$D$21*0.4/('I_Inputs &amp; Assumptions'!$B$8/2)),IF('I_Budget Input Data'!$E$21="Back-loaded",IF(31&lt;='I_Inputs &amp; Assumptions'!$B$8/2,'I_Budget Input Data'!$D$21*0.4/('I_Inputs &amp; Assumptions'!$B$8/2),'I_Budget Input Data'!$D$21*0.6/('I_Inputs &amp; Assumptions'!$B$8/2)),IF('I_Budget Input Data'!$E$21="Mid-weighted",IF(31&lt;='I_Inputs &amp; Assumptions'!$B$8/4,'I_Budget Input Data'!$D$21*0.2/('I_Inputs &amp; Assumptions'!$B$8/4),IF(31&lt;='I_Inputs &amp; Assumptions'!$B$8*0.75,'I_Budget Input Data'!$D$21*0.6/('I_Inputs &amp; Assumptions'!$B$8/2),'I_Budget Input Data'!$D$21*0.2/('I_Inputs &amp; Assumptions'!$B$8/4))),IF('I_Budget Input Data'!$E$21="At Completion",IF(31='I_Inputs &amp; Assumptions'!$B$8,'I_Budget Input Data'!$D$21,0),'I_Budget Input Data'!$D$21/'I_Inputs &amp; Assumptions'!$B$8)))))),0)</f>
        <v>0</v>
      </c>
      <c r="AH21" s="91">
        <f>IF(32&lt;='I_Inputs &amp; Assumptions'!$B$8,IF('I_Budget Input Data'!$E$21="Upfront",IF(32=1,'I_Budget Input Data'!$D$21,0),IF('I_Budget Input Data'!$E$21="Equal",'I_Budget Input Data'!$D$21/'I_Inputs &amp; Assumptions'!$B$8,IF('I_Budget Input Data'!$E$21="Front-loaded",IF(32&lt;='I_Inputs &amp; Assumptions'!$B$8/2,'I_Budget Input Data'!$D$21*0.6/('I_Inputs &amp; Assumptions'!$B$8/2),'I_Budget Input Data'!$D$21*0.4/('I_Inputs &amp; Assumptions'!$B$8/2)),IF('I_Budget Input Data'!$E$21="Back-loaded",IF(32&lt;='I_Inputs &amp; Assumptions'!$B$8/2,'I_Budget Input Data'!$D$21*0.4/('I_Inputs &amp; Assumptions'!$B$8/2),'I_Budget Input Data'!$D$21*0.6/('I_Inputs &amp; Assumptions'!$B$8/2)),IF('I_Budget Input Data'!$E$21="Mid-weighted",IF(32&lt;='I_Inputs &amp; Assumptions'!$B$8/4,'I_Budget Input Data'!$D$21*0.2/('I_Inputs &amp; Assumptions'!$B$8/4),IF(32&lt;='I_Inputs &amp; Assumptions'!$B$8*0.75,'I_Budget Input Data'!$D$21*0.6/('I_Inputs &amp; Assumptions'!$B$8/2),'I_Budget Input Data'!$D$21*0.2/('I_Inputs &amp; Assumptions'!$B$8/4))),IF('I_Budget Input Data'!$E$21="At Completion",IF(32='I_Inputs &amp; Assumptions'!$B$8,'I_Budget Input Data'!$D$21,0),'I_Budget Input Data'!$D$21/'I_Inputs &amp; Assumptions'!$B$8)))))),0)</f>
        <v>0</v>
      </c>
      <c r="AI21" s="91">
        <f>IF(33&lt;='I_Inputs &amp; Assumptions'!$B$8,IF('I_Budget Input Data'!$E$21="Upfront",IF(33=1,'I_Budget Input Data'!$D$21,0),IF('I_Budget Input Data'!$E$21="Equal",'I_Budget Input Data'!$D$21/'I_Inputs &amp; Assumptions'!$B$8,IF('I_Budget Input Data'!$E$21="Front-loaded",IF(33&lt;='I_Inputs &amp; Assumptions'!$B$8/2,'I_Budget Input Data'!$D$21*0.6/('I_Inputs &amp; Assumptions'!$B$8/2),'I_Budget Input Data'!$D$21*0.4/('I_Inputs &amp; Assumptions'!$B$8/2)),IF('I_Budget Input Data'!$E$21="Back-loaded",IF(33&lt;='I_Inputs &amp; Assumptions'!$B$8/2,'I_Budget Input Data'!$D$21*0.4/('I_Inputs &amp; Assumptions'!$B$8/2),'I_Budget Input Data'!$D$21*0.6/('I_Inputs &amp; Assumptions'!$B$8/2)),IF('I_Budget Input Data'!$E$21="Mid-weighted",IF(33&lt;='I_Inputs &amp; Assumptions'!$B$8/4,'I_Budget Input Data'!$D$21*0.2/('I_Inputs &amp; Assumptions'!$B$8/4),IF(33&lt;='I_Inputs &amp; Assumptions'!$B$8*0.75,'I_Budget Input Data'!$D$21*0.6/('I_Inputs &amp; Assumptions'!$B$8/2),'I_Budget Input Data'!$D$21*0.2/('I_Inputs &amp; Assumptions'!$B$8/4))),IF('I_Budget Input Data'!$E$21="At Completion",IF(33='I_Inputs &amp; Assumptions'!$B$8,'I_Budget Input Data'!$D$21,0),'I_Budget Input Data'!$D$21/'I_Inputs &amp; Assumptions'!$B$8)))))),0)</f>
        <v>0</v>
      </c>
      <c r="AJ21" s="91">
        <f>IF(34&lt;='I_Inputs &amp; Assumptions'!$B$8,IF('I_Budget Input Data'!$E$21="Upfront",IF(34=1,'I_Budget Input Data'!$D$21,0),IF('I_Budget Input Data'!$E$21="Equal",'I_Budget Input Data'!$D$21/'I_Inputs &amp; Assumptions'!$B$8,IF('I_Budget Input Data'!$E$21="Front-loaded",IF(34&lt;='I_Inputs &amp; Assumptions'!$B$8/2,'I_Budget Input Data'!$D$21*0.6/('I_Inputs &amp; Assumptions'!$B$8/2),'I_Budget Input Data'!$D$21*0.4/('I_Inputs &amp; Assumptions'!$B$8/2)),IF('I_Budget Input Data'!$E$21="Back-loaded",IF(34&lt;='I_Inputs &amp; Assumptions'!$B$8/2,'I_Budget Input Data'!$D$21*0.4/('I_Inputs &amp; Assumptions'!$B$8/2),'I_Budget Input Data'!$D$21*0.6/('I_Inputs &amp; Assumptions'!$B$8/2)),IF('I_Budget Input Data'!$E$21="Mid-weighted",IF(34&lt;='I_Inputs &amp; Assumptions'!$B$8/4,'I_Budget Input Data'!$D$21*0.2/('I_Inputs &amp; Assumptions'!$B$8/4),IF(34&lt;='I_Inputs &amp; Assumptions'!$B$8*0.75,'I_Budget Input Data'!$D$21*0.6/('I_Inputs &amp; Assumptions'!$B$8/2),'I_Budget Input Data'!$D$21*0.2/('I_Inputs &amp; Assumptions'!$B$8/4))),IF('I_Budget Input Data'!$E$21="At Completion",IF(34='I_Inputs &amp; Assumptions'!$B$8,'I_Budget Input Data'!$D$21,0),'I_Budget Input Data'!$D$21/'I_Inputs &amp; Assumptions'!$B$8)))))),0)</f>
        <v>0</v>
      </c>
      <c r="AK21" s="91">
        <f>IF(35&lt;='I_Inputs &amp; Assumptions'!$B$8,IF('I_Budget Input Data'!$E$21="Upfront",IF(35=1,'I_Budget Input Data'!$D$21,0),IF('I_Budget Input Data'!$E$21="Equal",'I_Budget Input Data'!$D$21/'I_Inputs &amp; Assumptions'!$B$8,IF('I_Budget Input Data'!$E$21="Front-loaded",IF(35&lt;='I_Inputs &amp; Assumptions'!$B$8/2,'I_Budget Input Data'!$D$21*0.6/('I_Inputs &amp; Assumptions'!$B$8/2),'I_Budget Input Data'!$D$21*0.4/('I_Inputs &amp; Assumptions'!$B$8/2)),IF('I_Budget Input Data'!$E$21="Back-loaded",IF(35&lt;='I_Inputs &amp; Assumptions'!$B$8/2,'I_Budget Input Data'!$D$21*0.4/('I_Inputs &amp; Assumptions'!$B$8/2),'I_Budget Input Data'!$D$21*0.6/('I_Inputs &amp; Assumptions'!$B$8/2)),IF('I_Budget Input Data'!$E$21="Mid-weighted",IF(35&lt;='I_Inputs &amp; Assumptions'!$B$8/4,'I_Budget Input Data'!$D$21*0.2/('I_Inputs &amp; Assumptions'!$B$8/4),IF(35&lt;='I_Inputs &amp; Assumptions'!$B$8*0.75,'I_Budget Input Data'!$D$21*0.6/('I_Inputs &amp; Assumptions'!$B$8/2),'I_Budget Input Data'!$D$21*0.2/('I_Inputs &amp; Assumptions'!$B$8/4))),IF('I_Budget Input Data'!$E$21="At Completion",IF(35='I_Inputs &amp; Assumptions'!$B$8,'I_Budget Input Data'!$D$21,0),'I_Budget Input Data'!$D$21/'I_Inputs &amp; Assumptions'!$B$8)))))),0)</f>
        <v>0</v>
      </c>
      <c r="AL21" s="91">
        <f>IF(36&lt;='I_Inputs &amp; Assumptions'!$B$8,IF('I_Budget Input Data'!$E$21="Upfront",IF(36=1,'I_Budget Input Data'!$D$21,0),IF('I_Budget Input Data'!$E$21="Equal",'I_Budget Input Data'!$D$21/'I_Inputs &amp; Assumptions'!$B$8,IF('I_Budget Input Data'!$E$21="Front-loaded",IF(36&lt;='I_Inputs &amp; Assumptions'!$B$8/2,'I_Budget Input Data'!$D$21*0.6/('I_Inputs &amp; Assumptions'!$B$8/2),'I_Budget Input Data'!$D$21*0.4/('I_Inputs &amp; Assumptions'!$B$8/2)),IF('I_Budget Input Data'!$E$21="Back-loaded",IF(36&lt;='I_Inputs &amp; Assumptions'!$B$8/2,'I_Budget Input Data'!$D$21*0.4/('I_Inputs &amp; Assumptions'!$B$8/2),'I_Budget Input Data'!$D$21*0.6/('I_Inputs &amp; Assumptions'!$B$8/2)),IF('I_Budget Input Data'!$E$21="Mid-weighted",IF(36&lt;='I_Inputs &amp; Assumptions'!$B$8/4,'I_Budget Input Data'!$D$21*0.2/('I_Inputs &amp; Assumptions'!$B$8/4),IF(36&lt;='I_Inputs &amp; Assumptions'!$B$8*0.75,'I_Budget Input Data'!$D$21*0.6/('I_Inputs &amp; Assumptions'!$B$8/2),'I_Budget Input Data'!$D$21*0.2/('I_Inputs &amp; Assumptions'!$B$8/4))),IF('I_Budget Input Data'!$E$21="At Completion",IF(36='I_Inputs &amp; Assumptions'!$B$8,'I_Budget Input Data'!$D$21,0),'I_Budget Input Data'!$D$21/'I_Inputs &amp; Assumptions'!$B$8)))))),0)</f>
        <v>0</v>
      </c>
    </row>
    <row r="22" spans="1:38" ht="15" customHeight="1" x14ac:dyDescent="0.2">
      <c r="A22" t="s">
        <v>136</v>
      </c>
      <c r="B22" t="s">
        <v>143</v>
      </c>
      <c r="C22" s="91">
        <f>IF(1&lt;='I_Inputs &amp; Assumptions'!$B$8,IF('I_Budget Input Data'!$E$22="Upfront",IF(1=1,'I_Budget Input Data'!$D$22,0),IF('I_Budget Input Data'!$E$22="Equal",'I_Budget Input Data'!$D$22/'I_Inputs &amp; Assumptions'!$B$8,IF('I_Budget Input Data'!$E$22="Front-loaded",IF(1&lt;='I_Inputs &amp; Assumptions'!$B$8/2,'I_Budget Input Data'!$D$22*0.6/('I_Inputs &amp; Assumptions'!$B$8/2),'I_Budget Input Data'!$D$22*0.4/('I_Inputs &amp; Assumptions'!$B$8/2)),IF('I_Budget Input Data'!$E$22="Back-loaded",IF(1&lt;='I_Inputs &amp; Assumptions'!$B$8/2,'I_Budget Input Data'!$D$22*0.4/('I_Inputs &amp; Assumptions'!$B$8/2),'I_Budget Input Data'!$D$22*0.6/('I_Inputs &amp; Assumptions'!$B$8/2)),IF('I_Budget Input Data'!$E$22="Mid-weighted",IF(1&lt;='I_Inputs &amp; Assumptions'!$B$8/4,'I_Budget Input Data'!$D$22*0.2/('I_Inputs &amp; Assumptions'!$B$8/4),IF(1&lt;='I_Inputs &amp; Assumptions'!$B$8*0.75,'I_Budget Input Data'!$D$22*0.6/('I_Inputs &amp; Assumptions'!$B$8/2),'I_Budget Input Data'!$D$22*0.2/('I_Inputs &amp; Assumptions'!$B$8/4))),IF('I_Budget Input Data'!$E$22="At Completion",IF(1='I_Inputs &amp; Assumptions'!$B$8,'I_Budget Input Data'!$D$22,0),'I_Budget Input Data'!$D$22/'I_Inputs &amp; Assumptions'!$B$8)))))),0)</f>
        <v>98380.984615384616</v>
      </c>
      <c r="D22" s="91">
        <f>IF(2&lt;='I_Inputs &amp; Assumptions'!$B$8,IF('I_Budget Input Data'!$E$22="Upfront",IF(2=1,'I_Budget Input Data'!$D$22,0),IF('I_Budget Input Data'!$E$22="Equal",'I_Budget Input Data'!$D$22/'I_Inputs &amp; Assumptions'!$B$8,IF('I_Budget Input Data'!$E$22="Front-loaded",IF(2&lt;='I_Inputs &amp; Assumptions'!$B$8/2,'I_Budget Input Data'!$D$22*0.6/('I_Inputs &amp; Assumptions'!$B$8/2),'I_Budget Input Data'!$D$22*0.4/('I_Inputs &amp; Assumptions'!$B$8/2)),IF('I_Budget Input Data'!$E$22="Back-loaded",IF(2&lt;='I_Inputs &amp; Assumptions'!$B$8/2,'I_Budget Input Data'!$D$22*0.4/('I_Inputs &amp; Assumptions'!$B$8/2),'I_Budget Input Data'!$D$22*0.6/('I_Inputs &amp; Assumptions'!$B$8/2)),IF('I_Budget Input Data'!$E$22="Mid-weighted",IF(2&lt;='I_Inputs &amp; Assumptions'!$B$8/4,'I_Budget Input Data'!$D$22*0.2/('I_Inputs &amp; Assumptions'!$B$8/4),IF(2&lt;='I_Inputs &amp; Assumptions'!$B$8*0.75,'I_Budget Input Data'!$D$22*0.6/('I_Inputs &amp; Assumptions'!$B$8/2),'I_Budget Input Data'!$D$22*0.2/('I_Inputs &amp; Assumptions'!$B$8/4))),IF('I_Budget Input Data'!$E$22="At Completion",IF(2='I_Inputs &amp; Assumptions'!$B$8,'I_Budget Input Data'!$D$22,0),'I_Budget Input Data'!$D$22/'I_Inputs &amp; Assumptions'!$B$8)))))),0)</f>
        <v>98380.984615384616</v>
      </c>
      <c r="E22" s="91">
        <f>IF(3&lt;='I_Inputs &amp; Assumptions'!$B$8,IF('I_Budget Input Data'!$E$22="Upfront",IF(3=1,'I_Budget Input Data'!$D$22,0),IF('I_Budget Input Data'!$E$22="Equal",'I_Budget Input Data'!$D$22/'I_Inputs &amp; Assumptions'!$B$8,IF('I_Budget Input Data'!$E$22="Front-loaded",IF(3&lt;='I_Inputs &amp; Assumptions'!$B$8/2,'I_Budget Input Data'!$D$22*0.6/('I_Inputs &amp; Assumptions'!$B$8/2),'I_Budget Input Data'!$D$22*0.4/('I_Inputs &amp; Assumptions'!$B$8/2)),IF('I_Budget Input Data'!$E$22="Back-loaded",IF(3&lt;='I_Inputs &amp; Assumptions'!$B$8/2,'I_Budget Input Data'!$D$22*0.4/('I_Inputs &amp; Assumptions'!$B$8/2),'I_Budget Input Data'!$D$22*0.6/('I_Inputs &amp; Assumptions'!$B$8/2)),IF('I_Budget Input Data'!$E$22="Mid-weighted",IF(3&lt;='I_Inputs &amp; Assumptions'!$B$8/4,'I_Budget Input Data'!$D$22*0.2/('I_Inputs &amp; Assumptions'!$B$8/4),IF(3&lt;='I_Inputs &amp; Assumptions'!$B$8*0.75,'I_Budget Input Data'!$D$22*0.6/('I_Inputs &amp; Assumptions'!$B$8/2),'I_Budget Input Data'!$D$22*0.2/('I_Inputs &amp; Assumptions'!$B$8/4))),IF('I_Budget Input Data'!$E$22="At Completion",IF(3='I_Inputs &amp; Assumptions'!$B$8,'I_Budget Input Data'!$D$22,0),'I_Budget Input Data'!$D$22/'I_Inputs &amp; Assumptions'!$B$8)))))),0)</f>
        <v>98380.984615384616</v>
      </c>
      <c r="F22" s="91">
        <f>IF(4&lt;='I_Inputs &amp; Assumptions'!$B$8,IF('I_Budget Input Data'!$E$22="Upfront",IF(4=1,'I_Budget Input Data'!$D$22,0),IF('I_Budget Input Data'!$E$22="Equal",'I_Budget Input Data'!$D$22/'I_Inputs &amp; Assumptions'!$B$8,IF('I_Budget Input Data'!$E$22="Front-loaded",IF(4&lt;='I_Inputs &amp; Assumptions'!$B$8/2,'I_Budget Input Data'!$D$22*0.6/('I_Inputs &amp; Assumptions'!$B$8/2),'I_Budget Input Data'!$D$22*0.4/('I_Inputs &amp; Assumptions'!$B$8/2)),IF('I_Budget Input Data'!$E$22="Back-loaded",IF(4&lt;='I_Inputs &amp; Assumptions'!$B$8/2,'I_Budget Input Data'!$D$22*0.4/('I_Inputs &amp; Assumptions'!$B$8/2),'I_Budget Input Data'!$D$22*0.6/('I_Inputs &amp; Assumptions'!$B$8/2)),IF('I_Budget Input Data'!$E$22="Mid-weighted",IF(4&lt;='I_Inputs &amp; Assumptions'!$B$8/4,'I_Budget Input Data'!$D$22*0.2/('I_Inputs &amp; Assumptions'!$B$8/4),IF(4&lt;='I_Inputs &amp; Assumptions'!$B$8*0.75,'I_Budget Input Data'!$D$22*0.6/('I_Inputs &amp; Assumptions'!$B$8/2),'I_Budget Input Data'!$D$22*0.2/('I_Inputs &amp; Assumptions'!$B$8/4))),IF('I_Budget Input Data'!$E$22="At Completion",IF(4='I_Inputs &amp; Assumptions'!$B$8,'I_Budget Input Data'!$D$22,0),'I_Budget Input Data'!$D$22/'I_Inputs &amp; Assumptions'!$B$8)))))),0)</f>
        <v>98380.984615384616</v>
      </c>
      <c r="G22" s="91">
        <f>IF(5&lt;='I_Inputs &amp; Assumptions'!$B$8,IF('I_Budget Input Data'!$E$22="Upfront",IF(5=1,'I_Budget Input Data'!$D$22,0),IF('I_Budget Input Data'!$E$22="Equal",'I_Budget Input Data'!$D$22/'I_Inputs &amp; Assumptions'!$B$8,IF('I_Budget Input Data'!$E$22="Front-loaded",IF(5&lt;='I_Inputs &amp; Assumptions'!$B$8/2,'I_Budget Input Data'!$D$22*0.6/('I_Inputs &amp; Assumptions'!$B$8/2),'I_Budget Input Data'!$D$22*0.4/('I_Inputs &amp; Assumptions'!$B$8/2)),IF('I_Budget Input Data'!$E$22="Back-loaded",IF(5&lt;='I_Inputs &amp; Assumptions'!$B$8/2,'I_Budget Input Data'!$D$22*0.4/('I_Inputs &amp; Assumptions'!$B$8/2),'I_Budget Input Data'!$D$22*0.6/('I_Inputs &amp; Assumptions'!$B$8/2)),IF('I_Budget Input Data'!$E$22="Mid-weighted",IF(5&lt;='I_Inputs &amp; Assumptions'!$B$8/4,'I_Budget Input Data'!$D$22*0.2/('I_Inputs &amp; Assumptions'!$B$8/4),IF(5&lt;='I_Inputs &amp; Assumptions'!$B$8*0.75,'I_Budget Input Data'!$D$22*0.6/('I_Inputs &amp; Assumptions'!$B$8/2),'I_Budget Input Data'!$D$22*0.2/('I_Inputs &amp; Assumptions'!$B$8/4))),IF('I_Budget Input Data'!$E$22="At Completion",IF(5='I_Inputs &amp; Assumptions'!$B$8,'I_Budget Input Data'!$D$22,0),'I_Budget Input Data'!$D$22/'I_Inputs &amp; Assumptions'!$B$8)))))),0)</f>
        <v>98380.984615384616</v>
      </c>
      <c r="H22" s="91">
        <f>IF(6&lt;='I_Inputs &amp; Assumptions'!$B$8,IF('I_Budget Input Data'!$E$22="Upfront",IF(6=1,'I_Budget Input Data'!$D$22,0),IF('I_Budget Input Data'!$E$22="Equal",'I_Budget Input Data'!$D$22/'I_Inputs &amp; Assumptions'!$B$8,IF('I_Budget Input Data'!$E$22="Front-loaded",IF(6&lt;='I_Inputs &amp; Assumptions'!$B$8/2,'I_Budget Input Data'!$D$22*0.6/('I_Inputs &amp; Assumptions'!$B$8/2),'I_Budget Input Data'!$D$22*0.4/('I_Inputs &amp; Assumptions'!$B$8/2)),IF('I_Budget Input Data'!$E$22="Back-loaded",IF(6&lt;='I_Inputs &amp; Assumptions'!$B$8/2,'I_Budget Input Data'!$D$22*0.4/('I_Inputs &amp; Assumptions'!$B$8/2),'I_Budget Input Data'!$D$22*0.6/('I_Inputs &amp; Assumptions'!$B$8/2)),IF('I_Budget Input Data'!$E$22="Mid-weighted",IF(6&lt;='I_Inputs &amp; Assumptions'!$B$8/4,'I_Budget Input Data'!$D$22*0.2/('I_Inputs &amp; Assumptions'!$B$8/4),IF(6&lt;='I_Inputs &amp; Assumptions'!$B$8*0.75,'I_Budget Input Data'!$D$22*0.6/('I_Inputs &amp; Assumptions'!$B$8/2),'I_Budget Input Data'!$D$22*0.2/('I_Inputs &amp; Assumptions'!$B$8/4))),IF('I_Budget Input Data'!$E$22="At Completion",IF(6='I_Inputs &amp; Assumptions'!$B$8,'I_Budget Input Data'!$D$22,0),'I_Budget Input Data'!$D$22/'I_Inputs &amp; Assumptions'!$B$8)))))),0)</f>
        <v>98380.984615384616</v>
      </c>
      <c r="I22" s="91">
        <f>IF(7&lt;='I_Inputs &amp; Assumptions'!$B$8,IF('I_Budget Input Data'!$E$22="Upfront",IF(7=1,'I_Budget Input Data'!$D$22,0),IF('I_Budget Input Data'!$E$22="Equal",'I_Budget Input Data'!$D$22/'I_Inputs &amp; Assumptions'!$B$8,IF('I_Budget Input Data'!$E$22="Front-loaded",IF(7&lt;='I_Inputs &amp; Assumptions'!$B$8/2,'I_Budget Input Data'!$D$22*0.6/('I_Inputs &amp; Assumptions'!$B$8/2),'I_Budget Input Data'!$D$22*0.4/('I_Inputs &amp; Assumptions'!$B$8/2)),IF('I_Budget Input Data'!$E$22="Back-loaded",IF(7&lt;='I_Inputs &amp; Assumptions'!$B$8/2,'I_Budget Input Data'!$D$22*0.4/('I_Inputs &amp; Assumptions'!$B$8/2),'I_Budget Input Data'!$D$22*0.6/('I_Inputs &amp; Assumptions'!$B$8/2)),IF('I_Budget Input Data'!$E$22="Mid-weighted",IF(7&lt;='I_Inputs &amp; Assumptions'!$B$8/4,'I_Budget Input Data'!$D$22*0.2/('I_Inputs &amp; Assumptions'!$B$8/4),IF(7&lt;='I_Inputs &amp; Assumptions'!$B$8*0.75,'I_Budget Input Data'!$D$22*0.6/('I_Inputs &amp; Assumptions'!$B$8/2),'I_Budget Input Data'!$D$22*0.2/('I_Inputs &amp; Assumptions'!$B$8/4))),IF('I_Budget Input Data'!$E$22="At Completion",IF(7='I_Inputs &amp; Assumptions'!$B$8,'I_Budget Input Data'!$D$22,0),'I_Budget Input Data'!$D$22/'I_Inputs &amp; Assumptions'!$B$8)))))),0)</f>
        <v>65587.323076923087</v>
      </c>
      <c r="J22" s="91">
        <f>IF(8&lt;='I_Inputs &amp; Assumptions'!$B$8,IF('I_Budget Input Data'!$E$22="Upfront",IF(8=1,'I_Budget Input Data'!$D$22,0),IF('I_Budget Input Data'!$E$22="Equal",'I_Budget Input Data'!$D$22/'I_Inputs &amp; Assumptions'!$B$8,IF('I_Budget Input Data'!$E$22="Front-loaded",IF(8&lt;='I_Inputs &amp; Assumptions'!$B$8/2,'I_Budget Input Data'!$D$22*0.6/('I_Inputs &amp; Assumptions'!$B$8/2),'I_Budget Input Data'!$D$22*0.4/('I_Inputs &amp; Assumptions'!$B$8/2)),IF('I_Budget Input Data'!$E$22="Back-loaded",IF(8&lt;='I_Inputs &amp; Assumptions'!$B$8/2,'I_Budget Input Data'!$D$22*0.4/('I_Inputs &amp; Assumptions'!$B$8/2),'I_Budget Input Data'!$D$22*0.6/('I_Inputs &amp; Assumptions'!$B$8/2)),IF('I_Budget Input Data'!$E$22="Mid-weighted",IF(8&lt;='I_Inputs &amp; Assumptions'!$B$8/4,'I_Budget Input Data'!$D$22*0.2/('I_Inputs &amp; Assumptions'!$B$8/4),IF(8&lt;='I_Inputs &amp; Assumptions'!$B$8*0.75,'I_Budget Input Data'!$D$22*0.6/('I_Inputs &amp; Assumptions'!$B$8/2),'I_Budget Input Data'!$D$22*0.2/('I_Inputs &amp; Assumptions'!$B$8/4))),IF('I_Budget Input Data'!$E$22="At Completion",IF(8='I_Inputs &amp; Assumptions'!$B$8,'I_Budget Input Data'!$D$22,0),'I_Budget Input Data'!$D$22/'I_Inputs &amp; Assumptions'!$B$8)))))),0)</f>
        <v>65587.323076923087</v>
      </c>
      <c r="K22" s="91">
        <f>IF(9&lt;='I_Inputs &amp; Assumptions'!$B$8,IF('I_Budget Input Data'!$E$22="Upfront",IF(9=1,'I_Budget Input Data'!$D$22,0),IF('I_Budget Input Data'!$E$22="Equal",'I_Budget Input Data'!$D$22/'I_Inputs &amp; Assumptions'!$B$8,IF('I_Budget Input Data'!$E$22="Front-loaded",IF(9&lt;='I_Inputs &amp; Assumptions'!$B$8/2,'I_Budget Input Data'!$D$22*0.6/('I_Inputs &amp; Assumptions'!$B$8/2),'I_Budget Input Data'!$D$22*0.4/('I_Inputs &amp; Assumptions'!$B$8/2)),IF('I_Budget Input Data'!$E$22="Back-loaded",IF(9&lt;='I_Inputs &amp; Assumptions'!$B$8/2,'I_Budget Input Data'!$D$22*0.4/('I_Inputs &amp; Assumptions'!$B$8/2),'I_Budget Input Data'!$D$22*0.6/('I_Inputs &amp; Assumptions'!$B$8/2)),IF('I_Budget Input Data'!$E$22="Mid-weighted",IF(9&lt;='I_Inputs &amp; Assumptions'!$B$8/4,'I_Budget Input Data'!$D$22*0.2/('I_Inputs &amp; Assumptions'!$B$8/4),IF(9&lt;='I_Inputs &amp; Assumptions'!$B$8*0.75,'I_Budget Input Data'!$D$22*0.6/('I_Inputs &amp; Assumptions'!$B$8/2),'I_Budget Input Data'!$D$22*0.2/('I_Inputs &amp; Assumptions'!$B$8/4))),IF('I_Budget Input Data'!$E$22="At Completion",IF(9='I_Inputs &amp; Assumptions'!$B$8,'I_Budget Input Data'!$D$22,0),'I_Budget Input Data'!$D$22/'I_Inputs &amp; Assumptions'!$B$8)))))),0)</f>
        <v>65587.323076923087</v>
      </c>
      <c r="L22" s="91">
        <f>IF(10&lt;='I_Inputs &amp; Assumptions'!$B$8,IF('I_Budget Input Data'!$E$22="Upfront",IF(10=1,'I_Budget Input Data'!$D$22,0),IF('I_Budget Input Data'!$E$22="Equal",'I_Budget Input Data'!$D$22/'I_Inputs &amp; Assumptions'!$B$8,IF('I_Budget Input Data'!$E$22="Front-loaded",IF(10&lt;='I_Inputs &amp; Assumptions'!$B$8/2,'I_Budget Input Data'!$D$22*0.6/('I_Inputs &amp; Assumptions'!$B$8/2),'I_Budget Input Data'!$D$22*0.4/('I_Inputs &amp; Assumptions'!$B$8/2)),IF('I_Budget Input Data'!$E$22="Back-loaded",IF(10&lt;='I_Inputs &amp; Assumptions'!$B$8/2,'I_Budget Input Data'!$D$22*0.4/('I_Inputs &amp; Assumptions'!$B$8/2),'I_Budget Input Data'!$D$22*0.6/('I_Inputs &amp; Assumptions'!$B$8/2)),IF('I_Budget Input Data'!$E$22="Mid-weighted",IF(10&lt;='I_Inputs &amp; Assumptions'!$B$8/4,'I_Budget Input Data'!$D$22*0.2/('I_Inputs &amp; Assumptions'!$B$8/4),IF(10&lt;='I_Inputs &amp; Assumptions'!$B$8*0.75,'I_Budget Input Data'!$D$22*0.6/('I_Inputs &amp; Assumptions'!$B$8/2),'I_Budget Input Data'!$D$22*0.2/('I_Inputs &amp; Assumptions'!$B$8/4))),IF('I_Budget Input Data'!$E$22="At Completion",IF(10='I_Inputs &amp; Assumptions'!$B$8,'I_Budget Input Data'!$D$22,0),'I_Budget Input Data'!$D$22/'I_Inputs &amp; Assumptions'!$B$8)))))),0)</f>
        <v>65587.323076923087</v>
      </c>
      <c r="M22" s="91">
        <f>IF(11&lt;='I_Inputs &amp; Assumptions'!$B$8,IF('I_Budget Input Data'!$E$22="Upfront",IF(11=1,'I_Budget Input Data'!$D$22,0),IF('I_Budget Input Data'!$E$22="Equal",'I_Budget Input Data'!$D$22/'I_Inputs &amp; Assumptions'!$B$8,IF('I_Budget Input Data'!$E$22="Front-loaded",IF(11&lt;='I_Inputs &amp; Assumptions'!$B$8/2,'I_Budget Input Data'!$D$22*0.6/('I_Inputs &amp; Assumptions'!$B$8/2),'I_Budget Input Data'!$D$22*0.4/('I_Inputs &amp; Assumptions'!$B$8/2)),IF('I_Budget Input Data'!$E$22="Back-loaded",IF(11&lt;='I_Inputs &amp; Assumptions'!$B$8/2,'I_Budget Input Data'!$D$22*0.4/('I_Inputs &amp; Assumptions'!$B$8/2),'I_Budget Input Data'!$D$22*0.6/('I_Inputs &amp; Assumptions'!$B$8/2)),IF('I_Budget Input Data'!$E$22="Mid-weighted",IF(11&lt;='I_Inputs &amp; Assumptions'!$B$8/4,'I_Budget Input Data'!$D$22*0.2/('I_Inputs &amp; Assumptions'!$B$8/4),IF(11&lt;='I_Inputs &amp; Assumptions'!$B$8*0.75,'I_Budget Input Data'!$D$22*0.6/('I_Inputs &amp; Assumptions'!$B$8/2),'I_Budget Input Data'!$D$22*0.2/('I_Inputs &amp; Assumptions'!$B$8/4))),IF('I_Budget Input Data'!$E$22="At Completion",IF(11='I_Inputs &amp; Assumptions'!$B$8,'I_Budget Input Data'!$D$22,0),'I_Budget Input Data'!$D$22/'I_Inputs &amp; Assumptions'!$B$8)))))),0)</f>
        <v>65587.323076923087</v>
      </c>
      <c r="N22" s="91">
        <f>IF(12&lt;='I_Inputs &amp; Assumptions'!$B$8,IF('I_Budget Input Data'!$E$22="Upfront",IF(12=1,'I_Budget Input Data'!$D$22,0),IF('I_Budget Input Data'!$E$22="Equal",'I_Budget Input Data'!$D$22/'I_Inputs &amp; Assumptions'!$B$8,IF('I_Budget Input Data'!$E$22="Front-loaded",IF(12&lt;='I_Inputs &amp; Assumptions'!$B$8/2,'I_Budget Input Data'!$D$22*0.6/('I_Inputs &amp; Assumptions'!$B$8/2),'I_Budget Input Data'!$D$22*0.4/('I_Inputs &amp; Assumptions'!$B$8/2)),IF('I_Budget Input Data'!$E$22="Back-loaded",IF(12&lt;='I_Inputs &amp; Assumptions'!$B$8/2,'I_Budget Input Data'!$D$22*0.4/('I_Inputs &amp; Assumptions'!$B$8/2),'I_Budget Input Data'!$D$22*0.6/('I_Inputs &amp; Assumptions'!$B$8/2)),IF('I_Budget Input Data'!$E$22="Mid-weighted",IF(12&lt;='I_Inputs &amp; Assumptions'!$B$8/4,'I_Budget Input Data'!$D$22*0.2/('I_Inputs &amp; Assumptions'!$B$8/4),IF(12&lt;='I_Inputs &amp; Assumptions'!$B$8*0.75,'I_Budget Input Data'!$D$22*0.6/('I_Inputs &amp; Assumptions'!$B$8/2),'I_Budget Input Data'!$D$22*0.2/('I_Inputs &amp; Assumptions'!$B$8/4))),IF('I_Budget Input Data'!$E$22="At Completion",IF(12='I_Inputs &amp; Assumptions'!$B$8,'I_Budget Input Data'!$D$22,0),'I_Budget Input Data'!$D$22/'I_Inputs &amp; Assumptions'!$B$8)))))),0)</f>
        <v>65587.323076923087</v>
      </c>
      <c r="O22" s="91">
        <f>IF(13&lt;='I_Inputs &amp; Assumptions'!$B$8,IF('I_Budget Input Data'!$E$22="Upfront",IF(13=1,'I_Budget Input Data'!$D$22,0),IF('I_Budget Input Data'!$E$22="Equal",'I_Budget Input Data'!$D$22/'I_Inputs &amp; Assumptions'!$B$8,IF('I_Budget Input Data'!$E$22="Front-loaded",IF(13&lt;='I_Inputs &amp; Assumptions'!$B$8/2,'I_Budget Input Data'!$D$22*0.6/('I_Inputs &amp; Assumptions'!$B$8/2),'I_Budget Input Data'!$D$22*0.4/('I_Inputs &amp; Assumptions'!$B$8/2)),IF('I_Budget Input Data'!$E$22="Back-loaded",IF(13&lt;='I_Inputs &amp; Assumptions'!$B$8/2,'I_Budget Input Data'!$D$22*0.4/('I_Inputs &amp; Assumptions'!$B$8/2),'I_Budget Input Data'!$D$22*0.6/('I_Inputs &amp; Assumptions'!$B$8/2)),IF('I_Budget Input Data'!$E$22="Mid-weighted",IF(13&lt;='I_Inputs &amp; Assumptions'!$B$8/4,'I_Budget Input Data'!$D$22*0.2/('I_Inputs &amp; Assumptions'!$B$8/4),IF(13&lt;='I_Inputs &amp; Assumptions'!$B$8*0.75,'I_Budget Input Data'!$D$22*0.6/('I_Inputs &amp; Assumptions'!$B$8/2),'I_Budget Input Data'!$D$22*0.2/('I_Inputs &amp; Assumptions'!$B$8/4))),IF('I_Budget Input Data'!$E$22="At Completion",IF(13='I_Inputs &amp; Assumptions'!$B$8,'I_Budget Input Data'!$D$22,0),'I_Budget Input Data'!$D$22/'I_Inputs &amp; Assumptions'!$B$8)))))),0)</f>
        <v>65587.323076923087</v>
      </c>
      <c r="P22" s="91">
        <f>IF(14&lt;='I_Inputs &amp; Assumptions'!$B$8,IF('I_Budget Input Data'!$E$22="Upfront",IF(14=1,'I_Budget Input Data'!$D$22,0),IF('I_Budget Input Data'!$E$22="Equal",'I_Budget Input Data'!$D$22/'I_Inputs &amp; Assumptions'!$B$8,IF('I_Budget Input Data'!$E$22="Front-loaded",IF(14&lt;='I_Inputs &amp; Assumptions'!$B$8/2,'I_Budget Input Data'!$D$22*0.6/('I_Inputs &amp; Assumptions'!$B$8/2),'I_Budget Input Data'!$D$22*0.4/('I_Inputs &amp; Assumptions'!$B$8/2)),IF('I_Budget Input Data'!$E$22="Back-loaded",IF(14&lt;='I_Inputs &amp; Assumptions'!$B$8/2,'I_Budget Input Data'!$D$22*0.4/('I_Inputs &amp; Assumptions'!$B$8/2),'I_Budget Input Data'!$D$22*0.6/('I_Inputs &amp; Assumptions'!$B$8/2)),IF('I_Budget Input Data'!$E$22="Mid-weighted",IF(14&lt;='I_Inputs &amp; Assumptions'!$B$8/4,'I_Budget Input Data'!$D$22*0.2/('I_Inputs &amp; Assumptions'!$B$8/4),IF(14&lt;='I_Inputs &amp; Assumptions'!$B$8*0.75,'I_Budget Input Data'!$D$22*0.6/('I_Inputs &amp; Assumptions'!$B$8/2),'I_Budget Input Data'!$D$22*0.2/('I_Inputs &amp; Assumptions'!$B$8/4))),IF('I_Budget Input Data'!$E$22="At Completion",IF(14='I_Inputs &amp; Assumptions'!$B$8,'I_Budget Input Data'!$D$22,0),'I_Budget Input Data'!$D$22/'I_Inputs &amp; Assumptions'!$B$8)))))),0)</f>
        <v>0</v>
      </c>
      <c r="Q22" s="91">
        <f>IF(15&lt;='I_Inputs &amp; Assumptions'!$B$8,IF('I_Budget Input Data'!$E$22="Upfront",IF(15=1,'I_Budget Input Data'!$D$22,0),IF('I_Budget Input Data'!$E$22="Equal",'I_Budget Input Data'!$D$22/'I_Inputs &amp; Assumptions'!$B$8,IF('I_Budget Input Data'!$E$22="Front-loaded",IF(15&lt;='I_Inputs &amp; Assumptions'!$B$8/2,'I_Budget Input Data'!$D$22*0.6/('I_Inputs &amp; Assumptions'!$B$8/2),'I_Budget Input Data'!$D$22*0.4/('I_Inputs &amp; Assumptions'!$B$8/2)),IF('I_Budget Input Data'!$E$22="Back-loaded",IF(15&lt;='I_Inputs &amp; Assumptions'!$B$8/2,'I_Budget Input Data'!$D$22*0.4/('I_Inputs &amp; Assumptions'!$B$8/2),'I_Budget Input Data'!$D$22*0.6/('I_Inputs &amp; Assumptions'!$B$8/2)),IF('I_Budget Input Data'!$E$22="Mid-weighted",IF(15&lt;='I_Inputs &amp; Assumptions'!$B$8/4,'I_Budget Input Data'!$D$22*0.2/('I_Inputs &amp; Assumptions'!$B$8/4),IF(15&lt;='I_Inputs &amp; Assumptions'!$B$8*0.75,'I_Budget Input Data'!$D$22*0.6/('I_Inputs &amp; Assumptions'!$B$8/2),'I_Budget Input Data'!$D$22*0.2/('I_Inputs &amp; Assumptions'!$B$8/4))),IF('I_Budget Input Data'!$E$22="At Completion",IF(15='I_Inputs &amp; Assumptions'!$B$8,'I_Budget Input Data'!$D$22,0),'I_Budget Input Data'!$D$22/'I_Inputs &amp; Assumptions'!$B$8)))))),0)</f>
        <v>0</v>
      </c>
      <c r="R22" s="91">
        <f>IF(16&lt;='I_Inputs &amp; Assumptions'!$B$8,IF('I_Budget Input Data'!$E$22="Upfront",IF(16=1,'I_Budget Input Data'!$D$22,0),IF('I_Budget Input Data'!$E$22="Equal",'I_Budget Input Data'!$D$22/'I_Inputs &amp; Assumptions'!$B$8,IF('I_Budget Input Data'!$E$22="Front-loaded",IF(16&lt;='I_Inputs &amp; Assumptions'!$B$8/2,'I_Budget Input Data'!$D$22*0.6/('I_Inputs &amp; Assumptions'!$B$8/2),'I_Budget Input Data'!$D$22*0.4/('I_Inputs &amp; Assumptions'!$B$8/2)),IF('I_Budget Input Data'!$E$22="Back-loaded",IF(16&lt;='I_Inputs &amp; Assumptions'!$B$8/2,'I_Budget Input Data'!$D$22*0.4/('I_Inputs &amp; Assumptions'!$B$8/2),'I_Budget Input Data'!$D$22*0.6/('I_Inputs &amp; Assumptions'!$B$8/2)),IF('I_Budget Input Data'!$E$22="Mid-weighted",IF(16&lt;='I_Inputs &amp; Assumptions'!$B$8/4,'I_Budget Input Data'!$D$22*0.2/('I_Inputs &amp; Assumptions'!$B$8/4),IF(16&lt;='I_Inputs &amp; Assumptions'!$B$8*0.75,'I_Budget Input Data'!$D$22*0.6/('I_Inputs &amp; Assumptions'!$B$8/2),'I_Budget Input Data'!$D$22*0.2/('I_Inputs &amp; Assumptions'!$B$8/4))),IF('I_Budget Input Data'!$E$22="At Completion",IF(16='I_Inputs &amp; Assumptions'!$B$8,'I_Budget Input Data'!$D$22,0),'I_Budget Input Data'!$D$22/'I_Inputs &amp; Assumptions'!$B$8)))))),0)</f>
        <v>0</v>
      </c>
      <c r="S22" s="91">
        <f>IF(17&lt;='I_Inputs &amp; Assumptions'!$B$8,IF('I_Budget Input Data'!$E$22="Upfront",IF(17=1,'I_Budget Input Data'!$D$22,0),IF('I_Budget Input Data'!$E$22="Equal",'I_Budget Input Data'!$D$22/'I_Inputs &amp; Assumptions'!$B$8,IF('I_Budget Input Data'!$E$22="Front-loaded",IF(17&lt;='I_Inputs &amp; Assumptions'!$B$8/2,'I_Budget Input Data'!$D$22*0.6/('I_Inputs &amp; Assumptions'!$B$8/2),'I_Budget Input Data'!$D$22*0.4/('I_Inputs &amp; Assumptions'!$B$8/2)),IF('I_Budget Input Data'!$E$22="Back-loaded",IF(17&lt;='I_Inputs &amp; Assumptions'!$B$8/2,'I_Budget Input Data'!$D$22*0.4/('I_Inputs &amp; Assumptions'!$B$8/2),'I_Budget Input Data'!$D$22*0.6/('I_Inputs &amp; Assumptions'!$B$8/2)),IF('I_Budget Input Data'!$E$22="Mid-weighted",IF(17&lt;='I_Inputs &amp; Assumptions'!$B$8/4,'I_Budget Input Data'!$D$22*0.2/('I_Inputs &amp; Assumptions'!$B$8/4),IF(17&lt;='I_Inputs &amp; Assumptions'!$B$8*0.75,'I_Budget Input Data'!$D$22*0.6/('I_Inputs &amp; Assumptions'!$B$8/2),'I_Budget Input Data'!$D$22*0.2/('I_Inputs &amp; Assumptions'!$B$8/4))),IF('I_Budget Input Data'!$E$22="At Completion",IF(17='I_Inputs &amp; Assumptions'!$B$8,'I_Budget Input Data'!$D$22,0),'I_Budget Input Data'!$D$22/'I_Inputs &amp; Assumptions'!$B$8)))))),0)</f>
        <v>0</v>
      </c>
      <c r="T22" s="91">
        <f>IF(18&lt;='I_Inputs &amp; Assumptions'!$B$8,IF('I_Budget Input Data'!$E$22="Upfront",IF(18=1,'I_Budget Input Data'!$D$22,0),IF('I_Budget Input Data'!$E$22="Equal",'I_Budget Input Data'!$D$22/'I_Inputs &amp; Assumptions'!$B$8,IF('I_Budget Input Data'!$E$22="Front-loaded",IF(18&lt;='I_Inputs &amp; Assumptions'!$B$8/2,'I_Budget Input Data'!$D$22*0.6/('I_Inputs &amp; Assumptions'!$B$8/2),'I_Budget Input Data'!$D$22*0.4/('I_Inputs &amp; Assumptions'!$B$8/2)),IF('I_Budget Input Data'!$E$22="Back-loaded",IF(18&lt;='I_Inputs &amp; Assumptions'!$B$8/2,'I_Budget Input Data'!$D$22*0.4/('I_Inputs &amp; Assumptions'!$B$8/2),'I_Budget Input Data'!$D$22*0.6/('I_Inputs &amp; Assumptions'!$B$8/2)),IF('I_Budget Input Data'!$E$22="Mid-weighted",IF(18&lt;='I_Inputs &amp; Assumptions'!$B$8/4,'I_Budget Input Data'!$D$22*0.2/('I_Inputs &amp; Assumptions'!$B$8/4),IF(18&lt;='I_Inputs &amp; Assumptions'!$B$8*0.75,'I_Budget Input Data'!$D$22*0.6/('I_Inputs &amp; Assumptions'!$B$8/2),'I_Budget Input Data'!$D$22*0.2/('I_Inputs &amp; Assumptions'!$B$8/4))),IF('I_Budget Input Data'!$E$22="At Completion",IF(18='I_Inputs &amp; Assumptions'!$B$8,'I_Budget Input Data'!$D$22,0),'I_Budget Input Data'!$D$22/'I_Inputs &amp; Assumptions'!$B$8)))))),0)</f>
        <v>0</v>
      </c>
      <c r="U22" s="91">
        <f>IF(19&lt;='I_Inputs &amp; Assumptions'!$B$8,IF('I_Budget Input Data'!$E$22="Upfront",IF(19=1,'I_Budget Input Data'!$D$22,0),IF('I_Budget Input Data'!$E$22="Equal",'I_Budget Input Data'!$D$22/'I_Inputs &amp; Assumptions'!$B$8,IF('I_Budget Input Data'!$E$22="Front-loaded",IF(19&lt;='I_Inputs &amp; Assumptions'!$B$8/2,'I_Budget Input Data'!$D$22*0.6/('I_Inputs &amp; Assumptions'!$B$8/2),'I_Budget Input Data'!$D$22*0.4/('I_Inputs &amp; Assumptions'!$B$8/2)),IF('I_Budget Input Data'!$E$22="Back-loaded",IF(19&lt;='I_Inputs &amp; Assumptions'!$B$8/2,'I_Budget Input Data'!$D$22*0.4/('I_Inputs &amp; Assumptions'!$B$8/2),'I_Budget Input Data'!$D$22*0.6/('I_Inputs &amp; Assumptions'!$B$8/2)),IF('I_Budget Input Data'!$E$22="Mid-weighted",IF(19&lt;='I_Inputs &amp; Assumptions'!$B$8/4,'I_Budget Input Data'!$D$22*0.2/('I_Inputs &amp; Assumptions'!$B$8/4),IF(19&lt;='I_Inputs &amp; Assumptions'!$B$8*0.75,'I_Budget Input Data'!$D$22*0.6/('I_Inputs &amp; Assumptions'!$B$8/2),'I_Budget Input Data'!$D$22*0.2/('I_Inputs &amp; Assumptions'!$B$8/4))),IF('I_Budget Input Data'!$E$22="At Completion",IF(19='I_Inputs &amp; Assumptions'!$B$8,'I_Budget Input Data'!$D$22,0),'I_Budget Input Data'!$D$22/'I_Inputs &amp; Assumptions'!$B$8)))))),0)</f>
        <v>0</v>
      </c>
      <c r="V22" s="91">
        <f>IF(20&lt;='I_Inputs &amp; Assumptions'!$B$8,IF('I_Budget Input Data'!$E$22="Upfront",IF(20=1,'I_Budget Input Data'!$D$22,0),IF('I_Budget Input Data'!$E$22="Equal",'I_Budget Input Data'!$D$22/'I_Inputs &amp; Assumptions'!$B$8,IF('I_Budget Input Data'!$E$22="Front-loaded",IF(20&lt;='I_Inputs &amp; Assumptions'!$B$8/2,'I_Budget Input Data'!$D$22*0.6/('I_Inputs &amp; Assumptions'!$B$8/2),'I_Budget Input Data'!$D$22*0.4/('I_Inputs &amp; Assumptions'!$B$8/2)),IF('I_Budget Input Data'!$E$22="Back-loaded",IF(20&lt;='I_Inputs &amp; Assumptions'!$B$8/2,'I_Budget Input Data'!$D$22*0.4/('I_Inputs &amp; Assumptions'!$B$8/2),'I_Budget Input Data'!$D$22*0.6/('I_Inputs &amp; Assumptions'!$B$8/2)),IF('I_Budget Input Data'!$E$22="Mid-weighted",IF(20&lt;='I_Inputs &amp; Assumptions'!$B$8/4,'I_Budget Input Data'!$D$22*0.2/('I_Inputs &amp; Assumptions'!$B$8/4),IF(20&lt;='I_Inputs &amp; Assumptions'!$B$8*0.75,'I_Budget Input Data'!$D$22*0.6/('I_Inputs &amp; Assumptions'!$B$8/2),'I_Budget Input Data'!$D$22*0.2/('I_Inputs &amp; Assumptions'!$B$8/4))),IF('I_Budget Input Data'!$E$22="At Completion",IF(20='I_Inputs &amp; Assumptions'!$B$8,'I_Budget Input Data'!$D$22,0),'I_Budget Input Data'!$D$22/'I_Inputs &amp; Assumptions'!$B$8)))))),0)</f>
        <v>0</v>
      </c>
      <c r="W22" s="91">
        <f>IF(21&lt;='I_Inputs &amp; Assumptions'!$B$8,IF('I_Budget Input Data'!$E$22="Upfront",IF(21=1,'I_Budget Input Data'!$D$22,0),IF('I_Budget Input Data'!$E$22="Equal",'I_Budget Input Data'!$D$22/'I_Inputs &amp; Assumptions'!$B$8,IF('I_Budget Input Data'!$E$22="Front-loaded",IF(21&lt;='I_Inputs &amp; Assumptions'!$B$8/2,'I_Budget Input Data'!$D$22*0.6/('I_Inputs &amp; Assumptions'!$B$8/2),'I_Budget Input Data'!$D$22*0.4/('I_Inputs &amp; Assumptions'!$B$8/2)),IF('I_Budget Input Data'!$E$22="Back-loaded",IF(21&lt;='I_Inputs &amp; Assumptions'!$B$8/2,'I_Budget Input Data'!$D$22*0.4/('I_Inputs &amp; Assumptions'!$B$8/2),'I_Budget Input Data'!$D$22*0.6/('I_Inputs &amp; Assumptions'!$B$8/2)),IF('I_Budget Input Data'!$E$22="Mid-weighted",IF(21&lt;='I_Inputs &amp; Assumptions'!$B$8/4,'I_Budget Input Data'!$D$22*0.2/('I_Inputs &amp; Assumptions'!$B$8/4),IF(21&lt;='I_Inputs &amp; Assumptions'!$B$8*0.75,'I_Budget Input Data'!$D$22*0.6/('I_Inputs &amp; Assumptions'!$B$8/2),'I_Budget Input Data'!$D$22*0.2/('I_Inputs &amp; Assumptions'!$B$8/4))),IF('I_Budget Input Data'!$E$22="At Completion",IF(21='I_Inputs &amp; Assumptions'!$B$8,'I_Budget Input Data'!$D$22,0),'I_Budget Input Data'!$D$22/'I_Inputs &amp; Assumptions'!$B$8)))))),0)</f>
        <v>0</v>
      </c>
      <c r="X22" s="91">
        <f>IF(22&lt;='I_Inputs &amp; Assumptions'!$B$8,IF('I_Budget Input Data'!$E$22="Upfront",IF(22=1,'I_Budget Input Data'!$D$22,0),IF('I_Budget Input Data'!$E$22="Equal",'I_Budget Input Data'!$D$22/'I_Inputs &amp; Assumptions'!$B$8,IF('I_Budget Input Data'!$E$22="Front-loaded",IF(22&lt;='I_Inputs &amp; Assumptions'!$B$8/2,'I_Budget Input Data'!$D$22*0.6/('I_Inputs &amp; Assumptions'!$B$8/2),'I_Budget Input Data'!$D$22*0.4/('I_Inputs &amp; Assumptions'!$B$8/2)),IF('I_Budget Input Data'!$E$22="Back-loaded",IF(22&lt;='I_Inputs &amp; Assumptions'!$B$8/2,'I_Budget Input Data'!$D$22*0.4/('I_Inputs &amp; Assumptions'!$B$8/2),'I_Budget Input Data'!$D$22*0.6/('I_Inputs &amp; Assumptions'!$B$8/2)),IF('I_Budget Input Data'!$E$22="Mid-weighted",IF(22&lt;='I_Inputs &amp; Assumptions'!$B$8/4,'I_Budget Input Data'!$D$22*0.2/('I_Inputs &amp; Assumptions'!$B$8/4),IF(22&lt;='I_Inputs &amp; Assumptions'!$B$8*0.75,'I_Budget Input Data'!$D$22*0.6/('I_Inputs &amp; Assumptions'!$B$8/2),'I_Budget Input Data'!$D$22*0.2/('I_Inputs &amp; Assumptions'!$B$8/4))),IF('I_Budget Input Data'!$E$22="At Completion",IF(22='I_Inputs &amp; Assumptions'!$B$8,'I_Budget Input Data'!$D$22,0),'I_Budget Input Data'!$D$22/'I_Inputs &amp; Assumptions'!$B$8)))))),0)</f>
        <v>0</v>
      </c>
      <c r="Y22" s="91">
        <f>IF(23&lt;='I_Inputs &amp; Assumptions'!$B$8,IF('I_Budget Input Data'!$E$22="Upfront",IF(23=1,'I_Budget Input Data'!$D$22,0),IF('I_Budget Input Data'!$E$22="Equal",'I_Budget Input Data'!$D$22/'I_Inputs &amp; Assumptions'!$B$8,IF('I_Budget Input Data'!$E$22="Front-loaded",IF(23&lt;='I_Inputs &amp; Assumptions'!$B$8/2,'I_Budget Input Data'!$D$22*0.6/('I_Inputs &amp; Assumptions'!$B$8/2),'I_Budget Input Data'!$D$22*0.4/('I_Inputs &amp; Assumptions'!$B$8/2)),IF('I_Budget Input Data'!$E$22="Back-loaded",IF(23&lt;='I_Inputs &amp; Assumptions'!$B$8/2,'I_Budget Input Data'!$D$22*0.4/('I_Inputs &amp; Assumptions'!$B$8/2),'I_Budget Input Data'!$D$22*0.6/('I_Inputs &amp; Assumptions'!$B$8/2)),IF('I_Budget Input Data'!$E$22="Mid-weighted",IF(23&lt;='I_Inputs &amp; Assumptions'!$B$8/4,'I_Budget Input Data'!$D$22*0.2/('I_Inputs &amp; Assumptions'!$B$8/4),IF(23&lt;='I_Inputs &amp; Assumptions'!$B$8*0.75,'I_Budget Input Data'!$D$22*0.6/('I_Inputs &amp; Assumptions'!$B$8/2),'I_Budget Input Data'!$D$22*0.2/('I_Inputs &amp; Assumptions'!$B$8/4))),IF('I_Budget Input Data'!$E$22="At Completion",IF(23='I_Inputs &amp; Assumptions'!$B$8,'I_Budget Input Data'!$D$22,0),'I_Budget Input Data'!$D$22/'I_Inputs &amp; Assumptions'!$B$8)))))),0)</f>
        <v>0</v>
      </c>
      <c r="Z22" s="91">
        <f>IF(24&lt;='I_Inputs &amp; Assumptions'!$B$8,IF('I_Budget Input Data'!$E$22="Upfront",IF(24=1,'I_Budget Input Data'!$D$22,0),IF('I_Budget Input Data'!$E$22="Equal",'I_Budget Input Data'!$D$22/'I_Inputs &amp; Assumptions'!$B$8,IF('I_Budget Input Data'!$E$22="Front-loaded",IF(24&lt;='I_Inputs &amp; Assumptions'!$B$8/2,'I_Budget Input Data'!$D$22*0.6/('I_Inputs &amp; Assumptions'!$B$8/2),'I_Budget Input Data'!$D$22*0.4/('I_Inputs &amp; Assumptions'!$B$8/2)),IF('I_Budget Input Data'!$E$22="Back-loaded",IF(24&lt;='I_Inputs &amp; Assumptions'!$B$8/2,'I_Budget Input Data'!$D$22*0.4/('I_Inputs &amp; Assumptions'!$B$8/2),'I_Budget Input Data'!$D$22*0.6/('I_Inputs &amp; Assumptions'!$B$8/2)),IF('I_Budget Input Data'!$E$22="Mid-weighted",IF(24&lt;='I_Inputs &amp; Assumptions'!$B$8/4,'I_Budget Input Data'!$D$22*0.2/('I_Inputs &amp; Assumptions'!$B$8/4),IF(24&lt;='I_Inputs &amp; Assumptions'!$B$8*0.75,'I_Budget Input Data'!$D$22*0.6/('I_Inputs &amp; Assumptions'!$B$8/2),'I_Budget Input Data'!$D$22*0.2/('I_Inputs &amp; Assumptions'!$B$8/4))),IF('I_Budget Input Data'!$E$22="At Completion",IF(24='I_Inputs &amp; Assumptions'!$B$8,'I_Budget Input Data'!$D$22,0),'I_Budget Input Data'!$D$22/'I_Inputs &amp; Assumptions'!$B$8)))))),0)</f>
        <v>0</v>
      </c>
      <c r="AA22" s="91">
        <f>IF(25&lt;='I_Inputs &amp; Assumptions'!$B$8,IF('I_Budget Input Data'!$E$22="Upfront",IF(25=1,'I_Budget Input Data'!$D$22,0),IF('I_Budget Input Data'!$E$22="Equal",'I_Budget Input Data'!$D$22/'I_Inputs &amp; Assumptions'!$B$8,IF('I_Budget Input Data'!$E$22="Front-loaded",IF(25&lt;='I_Inputs &amp; Assumptions'!$B$8/2,'I_Budget Input Data'!$D$22*0.6/('I_Inputs &amp; Assumptions'!$B$8/2),'I_Budget Input Data'!$D$22*0.4/('I_Inputs &amp; Assumptions'!$B$8/2)),IF('I_Budget Input Data'!$E$22="Back-loaded",IF(25&lt;='I_Inputs &amp; Assumptions'!$B$8/2,'I_Budget Input Data'!$D$22*0.4/('I_Inputs &amp; Assumptions'!$B$8/2),'I_Budget Input Data'!$D$22*0.6/('I_Inputs &amp; Assumptions'!$B$8/2)),IF('I_Budget Input Data'!$E$22="Mid-weighted",IF(25&lt;='I_Inputs &amp; Assumptions'!$B$8/4,'I_Budget Input Data'!$D$22*0.2/('I_Inputs &amp; Assumptions'!$B$8/4),IF(25&lt;='I_Inputs &amp; Assumptions'!$B$8*0.75,'I_Budget Input Data'!$D$22*0.6/('I_Inputs &amp; Assumptions'!$B$8/2),'I_Budget Input Data'!$D$22*0.2/('I_Inputs &amp; Assumptions'!$B$8/4))),IF('I_Budget Input Data'!$E$22="At Completion",IF(25='I_Inputs &amp; Assumptions'!$B$8,'I_Budget Input Data'!$D$22,0),'I_Budget Input Data'!$D$22/'I_Inputs &amp; Assumptions'!$B$8)))))),0)</f>
        <v>0</v>
      </c>
      <c r="AB22" s="91">
        <f>IF(26&lt;='I_Inputs &amp; Assumptions'!$B$8,IF('I_Budget Input Data'!$E$22="Upfront",IF(26=1,'I_Budget Input Data'!$D$22,0),IF('I_Budget Input Data'!$E$22="Equal",'I_Budget Input Data'!$D$22/'I_Inputs &amp; Assumptions'!$B$8,IF('I_Budget Input Data'!$E$22="Front-loaded",IF(26&lt;='I_Inputs &amp; Assumptions'!$B$8/2,'I_Budget Input Data'!$D$22*0.6/('I_Inputs &amp; Assumptions'!$B$8/2),'I_Budget Input Data'!$D$22*0.4/('I_Inputs &amp; Assumptions'!$B$8/2)),IF('I_Budget Input Data'!$E$22="Back-loaded",IF(26&lt;='I_Inputs &amp; Assumptions'!$B$8/2,'I_Budget Input Data'!$D$22*0.4/('I_Inputs &amp; Assumptions'!$B$8/2),'I_Budget Input Data'!$D$22*0.6/('I_Inputs &amp; Assumptions'!$B$8/2)),IF('I_Budget Input Data'!$E$22="Mid-weighted",IF(26&lt;='I_Inputs &amp; Assumptions'!$B$8/4,'I_Budget Input Data'!$D$22*0.2/('I_Inputs &amp; Assumptions'!$B$8/4),IF(26&lt;='I_Inputs &amp; Assumptions'!$B$8*0.75,'I_Budget Input Data'!$D$22*0.6/('I_Inputs &amp; Assumptions'!$B$8/2),'I_Budget Input Data'!$D$22*0.2/('I_Inputs &amp; Assumptions'!$B$8/4))),IF('I_Budget Input Data'!$E$22="At Completion",IF(26='I_Inputs &amp; Assumptions'!$B$8,'I_Budget Input Data'!$D$22,0),'I_Budget Input Data'!$D$22/'I_Inputs &amp; Assumptions'!$B$8)))))),0)</f>
        <v>0</v>
      </c>
      <c r="AC22" s="91">
        <f>IF(27&lt;='I_Inputs &amp; Assumptions'!$B$8,IF('I_Budget Input Data'!$E$22="Upfront",IF(27=1,'I_Budget Input Data'!$D$22,0),IF('I_Budget Input Data'!$E$22="Equal",'I_Budget Input Data'!$D$22/'I_Inputs &amp; Assumptions'!$B$8,IF('I_Budget Input Data'!$E$22="Front-loaded",IF(27&lt;='I_Inputs &amp; Assumptions'!$B$8/2,'I_Budget Input Data'!$D$22*0.6/('I_Inputs &amp; Assumptions'!$B$8/2),'I_Budget Input Data'!$D$22*0.4/('I_Inputs &amp; Assumptions'!$B$8/2)),IF('I_Budget Input Data'!$E$22="Back-loaded",IF(27&lt;='I_Inputs &amp; Assumptions'!$B$8/2,'I_Budget Input Data'!$D$22*0.4/('I_Inputs &amp; Assumptions'!$B$8/2),'I_Budget Input Data'!$D$22*0.6/('I_Inputs &amp; Assumptions'!$B$8/2)),IF('I_Budget Input Data'!$E$22="Mid-weighted",IF(27&lt;='I_Inputs &amp; Assumptions'!$B$8/4,'I_Budget Input Data'!$D$22*0.2/('I_Inputs &amp; Assumptions'!$B$8/4),IF(27&lt;='I_Inputs &amp; Assumptions'!$B$8*0.75,'I_Budget Input Data'!$D$22*0.6/('I_Inputs &amp; Assumptions'!$B$8/2),'I_Budget Input Data'!$D$22*0.2/('I_Inputs &amp; Assumptions'!$B$8/4))),IF('I_Budget Input Data'!$E$22="At Completion",IF(27='I_Inputs &amp; Assumptions'!$B$8,'I_Budget Input Data'!$D$22,0),'I_Budget Input Data'!$D$22/'I_Inputs &amp; Assumptions'!$B$8)))))),0)</f>
        <v>0</v>
      </c>
      <c r="AD22" s="91">
        <f>IF(28&lt;='I_Inputs &amp; Assumptions'!$B$8,IF('I_Budget Input Data'!$E$22="Upfront",IF(28=1,'I_Budget Input Data'!$D$22,0),IF('I_Budget Input Data'!$E$22="Equal",'I_Budget Input Data'!$D$22/'I_Inputs &amp; Assumptions'!$B$8,IF('I_Budget Input Data'!$E$22="Front-loaded",IF(28&lt;='I_Inputs &amp; Assumptions'!$B$8/2,'I_Budget Input Data'!$D$22*0.6/('I_Inputs &amp; Assumptions'!$B$8/2),'I_Budget Input Data'!$D$22*0.4/('I_Inputs &amp; Assumptions'!$B$8/2)),IF('I_Budget Input Data'!$E$22="Back-loaded",IF(28&lt;='I_Inputs &amp; Assumptions'!$B$8/2,'I_Budget Input Data'!$D$22*0.4/('I_Inputs &amp; Assumptions'!$B$8/2),'I_Budget Input Data'!$D$22*0.6/('I_Inputs &amp; Assumptions'!$B$8/2)),IF('I_Budget Input Data'!$E$22="Mid-weighted",IF(28&lt;='I_Inputs &amp; Assumptions'!$B$8/4,'I_Budget Input Data'!$D$22*0.2/('I_Inputs &amp; Assumptions'!$B$8/4),IF(28&lt;='I_Inputs &amp; Assumptions'!$B$8*0.75,'I_Budget Input Data'!$D$22*0.6/('I_Inputs &amp; Assumptions'!$B$8/2),'I_Budget Input Data'!$D$22*0.2/('I_Inputs &amp; Assumptions'!$B$8/4))),IF('I_Budget Input Data'!$E$22="At Completion",IF(28='I_Inputs &amp; Assumptions'!$B$8,'I_Budget Input Data'!$D$22,0),'I_Budget Input Data'!$D$22/'I_Inputs &amp; Assumptions'!$B$8)))))),0)</f>
        <v>0</v>
      </c>
      <c r="AE22" s="91">
        <f>IF(29&lt;='I_Inputs &amp; Assumptions'!$B$8,IF('I_Budget Input Data'!$E$22="Upfront",IF(29=1,'I_Budget Input Data'!$D$22,0),IF('I_Budget Input Data'!$E$22="Equal",'I_Budget Input Data'!$D$22/'I_Inputs &amp; Assumptions'!$B$8,IF('I_Budget Input Data'!$E$22="Front-loaded",IF(29&lt;='I_Inputs &amp; Assumptions'!$B$8/2,'I_Budget Input Data'!$D$22*0.6/('I_Inputs &amp; Assumptions'!$B$8/2),'I_Budget Input Data'!$D$22*0.4/('I_Inputs &amp; Assumptions'!$B$8/2)),IF('I_Budget Input Data'!$E$22="Back-loaded",IF(29&lt;='I_Inputs &amp; Assumptions'!$B$8/2,'I_Budget Input Data'!$D$22*0.4/('I_Inputs &amp; Assumptions'!$B$8/2),'I_Budget Input Data'!$D$22*0.6/('I_Inputs &amp; Assumptions'!$B$8/2)),IF('I_Budget Input Data'!$E$22="Mid-weighted",IF(29&lt;='I_Inputs &amp; Assumptions'!$B$8/4,'I_Budget Input Data'!$D$22*0.2/('I_Inputs &amp; Assumptions'!$B$8/4),IF(29&lt;='I_Inputs &amp; Assumptions'!$B$8*0.75,'I_Budget Input Data'!$D$22*0.6/('I_Inputs &amp; Assumptions'!$B$8/2),'I_Budget Input Data'!$D$22*0.2/('I_Inputs &amp; Assumptions'!$B$8/4))),IF('I_Budget Input Data'!$E$22="At Completion",IF(29='I_Inputs &amp; Assumptions'!$B$8,'I_Budget Input Data'!$D$22,0),'I_Budget Input Data'!$D$22/'I_Inputs &amp; Assumptions'!$B$8)))))),0)</f>
        <v>0</v>
      </c>
      <c r="AF22" s="91">
        <f>IF(30&lt;='I_Inputs &amp; Assumptions'!$B$8,IF('I_Budget Input Data'!$E$22="Upfront",IF(30=1,'I_Budget Input Data'!$D$22,0),IF('I_Budget Input Data'!$E$22="Equal",'I_Budget Input Data'!$D$22/'I_Inputs &amp; Assumptions'!$B$8,IF('I_Budget Input Data'!$E$22="Front-loaded",IF(30&lt;='I_Inputs &amp; Assumptions'!$B$8/2,'I_Budget Input Data'!$D$22*0.6/('I_Inputs &amp; Assumptions'!$B$8/2),'I_Budget Input Data'!$D$22*0.4/('I_Inputs &amp; Assumptions'!$B$8/2)),IF('I_Budget Input Data'!$E$22="Back-loaded",IF(30&lt;='I_Inputs &amp; Assumptions'!$B$8/2,'I_Budget Input Data'!$D$22*0.4/('I_Inputs &amp; Assumptions'!$B$8/2),'I_Budget Input Data'!$D$22*0.6/('I_Inputs &amp; Assumptions'!$B$8/2)),IF('I_Budget Input Data'!$E$22="Mid-weighted",IF(30&lt;='I_Inputs &amp; Assumptions'!$B$8/4,'I_Budget Input Data'!$D$22*0.2/('I_Inputs &amp; Assumptions'!$B$8/4),IF(30&lt;='I_Inputs &amp; Assumptions'!$B$8*0.75,'I_Budget Input Data'!$D$22*0.6/('I_Inputs &amp; Assumptions'!$B$8/2),'I_Budget Input Data'!$D$22*0.2/('I_Inputs &amp; Assumptions'!$B$8/4))),IF('I_Budget Input Data'!$E$22="At Completion",IF(30='I_Inputs &amp; Assumptions'!$B$8,'I_Budget Input Data'!$D$22,0),'I_Budget Input Data'!$D$22/'I_Inputs &amp; Assumptions'!$B$8)))))),0)</f>
        <v>0</v>
      </c>
      <c r="AG22" s="91">
        <f>IF(31&lt;='I_Inputs &amp; Assumptions'!$B$8,IF('I_Budget Input Data'!$E$22="Upfront",IF(31=1,'I_Budget Input Data'!$D$22,0),IF('I_Budget Input Data'!$E$22="Equal",'I_Budget Input Data'!$D$22/'I_Inputs &amp; Assumptions'!$B$8,IF('I_Budget Input Data'!$E$22="Front-loaded",IF(31&lt;='I_Inputs &amp; Assumptions'!$B$8/2,'I_Budget Input Data'!$D$22*0.6/('I_Inputs &amp; Assumptions'!$B$8/2),'I_Budget Input Data'!$D$22*0.4/('I_Inputs &amp; Assumptions'!$B$8/2)),IF('I_Budget Input Data'!$E$22="Back-loaded",IF(31&lt;='I_Inputs &amp; Assumptions'!$B$8/2,'I_Budget Input Data'!$D$22*0.4/('I_Inputs &amp; Assumptions'!$B$8/2),'I_Budget Input Data'!$D$22*0.6/('I_Inputs &amp; Assumptions'!$B$8/2)),IF('I_Budget Input Data'!$E$22="Mid-weighted",IF(31&lt;='I_Inputs &amp; Assumptions'!$B$8/4,'I_Budget Input Data'!$D$22*0.2/('I_Inputs &amp; Assumptions'!$B$8/4),IF(31&lt;='I_Inputs &amp; Assumptions'!$B$8*0.75,'I_Budget Input Data'!$D$22*0.6/('I_Inputs &amp; Assumptions'!$B$8/2),'I_Budget Input Data'!$D$22*0.2/('I_Inputs &amp; Assumptions'!$B$8/4))),IF('I_Budget Input Data'!$E$22="At Completion",IF(31='I_Inputs &amp; Assumptions'!$B$8,'I_Budget Input Data'!$D$22,0),'I_Budget Input Data'!$D$22/'I_Inputs &amp; Assumptions'!$B$8)))))),0)</f>
        <v>0</v>
      </c>
      <c r="AH22" s="91">
        <f>IF(32&lt;='I_Inputs &amp; Assumptions'!$B$8,IF('I_Budget Input Data'!$E$22="Upfront",IF(32=1,'I_Budget Input Data'!$D$22,0),IF('I_Budget Input Data'!$E$22="Equal",'I_Budget Input Data'!$D$22/'I_Inputs &amp; Assumptions'!$B$8,IF('I_Budget Input Data'!$E$22="Front-loaded",IF(32&lt;='I_Inputs &amp; Assumptions'!$B$8/2,'I_Budget Input Data'!$D$22*0.6/('I_Inputs &amp; Assumptions'!$B$8/2),'I_Budget Input Data'!$D$22*0.4/('I_Inputs &amp; Assumptions'!$B$8/2)),IF('I_Budget Input Data'!$E$22="Back-loaded",IF(32&lt;='I_Inputs &amp; Assumptions'!$B$8/2,'I_Budget Input Data'!$D$22*0.4/('I_Inputs &amp; Assumptions'!$B$8/2),'I_Budget Input Data'!$D$22*0.6/('I_Inputs &amp; Assumptions'!$B$8/2)),IF('I_Budget Input Data'!$E$22="Mid-weighted",IF(32&lt;='I_Inputs &amp; Assumptions'!$B$8/4,'I_Budget Input Data'!$D$22*0.2/('I_Inputs &amp; Assumptions'!$B$8/4),IF(32&lt;='I_Inputs &amp; Assumptions'!$B$8*0.75,'I_Budget Input Data'!$D$22*0.6/('I_Inputs &amp; Assumptions'!$B$8/2),'I_Budget Input Data'!$D$22*0.2/('I_Inputs &amp; Assumptions'!$B$8/4))),IF('I_Budget Input Data'!$E$22="At Completion",IF(32='I_Inputs &amp; Assumptions'!$B$8,'I_Budget Input Data'!$D$22,0),'I_Budget Input Data'!$D$22/'I_Inputs &amp; Assumptions'!$B$8)))))),0)</f>
        <v>0</v>
      </c>
      <c r="AI22" s="91">
        <f>IF(33&lt;='I_Inputs &amp; Assumptions'!$B$8,IF('I_Budget Input Data'!$E$22="Upfront",IF(33=1,'I_Budget Input Data'!$D$22,0),IF('I_Budget Input Data'!$E$22="Equal",'I_Budget Input Data'!$D$22/'I_Inputs &amp; Assumptions'!$B$8,IF('I_Budget Input Data'!$E$22="Front-loaded",IF(33&lt;='I_Inputs &amp; Assumptions'!$B$8/2,'I_Budget Input Data'!$D$22*0.6/('I_Inputs &amp; Assumptions'!$B$8/2),'I_Budget Input Data'!$D$22*0.4/('I_Inputs &amp; Assumptions'!$B$8/2)),IF('I_Budget Input Data'!$E$22="Back-loaded",IF(33&lt;='I_Inputs &amp; Assumptions'!$B$8/2,'I_Budget Input Data'!$D$22*0.4/('I_Inputs &amp; Assumptions'!$B$8/2),'I_Budget Input Data'!$D$22*0.6/('I_Inputs &amp; Assumptions'!$B$8/2)),IF('I_Budget Input Data'!$E$22="Mid-weighted",IF(33&lt;='I_Inputs &amp; Assumptions'!$B$8/4,'I_Budget Input Data'!$D$22*0.2/('I_Inputs &amp; Assumptions'!$B$8/4),IF(33&lt;='I_Inputs &amp; Assumptions'!$B$8*0.75,'I_Budget Input Data'!$D$22*0.6/('I_Inputs &amp; Assumptions'!$B$8/2),'I_Budget Input Data'!$D$22*0.2/('I_Inputs &amp; Assumptions'!$B$8/4))),IF('I_Budget Input Data'!$E$22="At Completion",IF(33='I_Inputs &amp; Assumptions'!$B$8,'I_Budget Input Data'!$D$22,0),'I_Budget Input Data'!$D$22/'I_Inputs &amp; Assumptions'!$B$8)))))),0)</f>
        <v>0</v>
      </c>
      <c r="AJ22" s="91">
        <f>IF(34&lt;='I_Inputs &amp; Assumptions'!$B$8,IF('I_Budget Input Data'!$E$22="Upfront",IF(34=1,'I_Budget Input Data'!$D$22,0),IF('I_Budget Input Data'!$E$22="Equal",'I_Budget Input Data'!$D$22/'I_Inputs &amp; Assumptions'!$B$8,IF('I_Budget Input Data'!$E$22="Front-loaded",IF(34&lt;='I_Inputs &amp; Assumptions'!$B$8/2,'I_Budget Input Data'!$D$22*0.6/('I_Inputs &amp; Assumptions'!$B$8/2),'I_Budget Input Data'!$D$22*0.4/('I_Inputs &amp; Assumptions'!$B$8/2)),IF('I_Budget Input Data'!$E$22="Back-loaded",IF(34&lt;='I_Inputs &amp; Assumptions'!$B$8/2,'I_Budget Input Data'!$D$22*0.4/('I_Inputs &amp; Assumptions'!$B$8/2),'I_Budget Input Data'!$D$22*0.6/('I_Inputs &amp; Assumptions'!$B$8/2)),IF('I_Budget Input Data'!$E$22="Mid-weighted",IF(34&lt;='I_Inputs &amp; Assumptions'!$B$8/4,'I_Budget Input Data'!$D$22*0.2/('I_Inputs &amp; Assumptions'!$B$8/4),IF(34&lt;='I_Inputs &amp; Assumptions'!$B$8*0.75,'I_Budget Input Data'!$D$22*0.6/('I_Inputs &amp; Assumptions'!$B$8/2),'I_Budget Input Data'!$D$22*0.2/('I_Inputs &amp; Assumptions'!$B$8/4))),IF('I_Budget Input Data'!$E$22="At Completion",IF(34='I_Inputs &amp; Assumptions'!$B$8,'I_Budget Input Data'!$D$22,0),'I_Budget Input Data'!$D$22/'I_Inputs &amp; Assumptions'!$B$8)))))),0)</f>
        <v>0</v>
      </c>
      <c r="AK22" s="91">
        <f>IF(35&lt;='I_Inputs &amp; Assumptions'!$B$8,IF('I_Budget Input Data'!$E$22="Upfront",IF(35=1,'I_Budget Input Data'!$D$22,0),IF('I_Budget Input Data'!$E$22="Equal",'I_Budget Input Data'!$D$22/'I_Inputs &amp; Assumptions'!$B$8,IF('I_Budget Input Data'!$E$22="Front-loaded",IF(35&lt;='I_Inputs &amp; Assumptions'!$B$8/2,'I_Budget Input Data'!$D$22*0.6/('I_Inputs &amp; Assumptions'!$B$8/2),'I_Budget Input Data'!$D$22*0.4/('I_Inputs &amp; Assumptions'!$B$8/2)),IF('I_Budget Input Data'!$E$22="Back-loaded",IF(35&lt;='I_Inputs &amp; Assumptions'!$B$8/2,'I_Budget Input Data'!$D$22*0.4/('I_Inputs &amp; Assumptions'!$B$8/2),'I_Budget Input Data'!$D$22*0.6/('I_Inputs &amp; Assumptions'!$B$8/2)),IF('I_Budget Input Data'!$E$22="Mid-weighted",IF(35&lt;='I_Inputs &amp; Assumptions'!$B$8/4,'I_Budget Input Data'!$D$22*0.2/('I_Inputs &amp; Assumptions'!$B$8/4),IF(35&lt;='I_Inputs &amp; Assumptions'!$B$8*0.75,'I_Budget Input Data'!$D$22*0.6/('I_Inputs &amp; Assumptions'!$B$8/2),'I_Budget Input Data'!$D$22*0.2/('I_Inputs &amp; Assumptions'!$B$8/4))),IF('I_Budget Input Data'!$E$22="At Completion",IF(35='I_Inputs &amp; Assumptions'!$B$8,'I_Budget Input Data'!$D$22,0),'I_Budget Input Data'!$D$22/'I_Inputs &amp; Assumptions'!$B$8)))))),0)</f>
        <v>0</v>
      </c>
      <c r="AL22" s="91">
        <f>IF(36&lt;='I_Inputs &amp; Assumptions'!$B$8,IF('I_Budget Input Data'!$E$22="Upfront",IF(36=1,'I_Budget Input Data'!$D$22,0),IF('I_Budget Input Data'!$E$22="Equal",'I_Budget Input Data'!$D$22/'I_Inputs &amp; Assumptions'!$B$8,IF('I_Budget Input Data'!$E$22="Front-loaded",IF(36&lt;='I_Inputs &amp; Assumptions'!$B$8/2,'I_Budget Input Data'!$D$22*0.6/('I_Inputs &amp; Assumptions'!$B$8/2),'I_Budget Input Data'!$D$22*0.4/('I_Inputs &amp; Assumptions'!$B$8/2)),IF('I_Budget Input Data'!$E$22="Back-loaded",IF(36&lt;='I_Inputs &amp; Assumptions'!$B$8/2,'I_Budget Input Data'!$D$22*0.4/('I_Inputs &amp; Assumptions'!$B$8/2),'I_Budget Input Data'!$D$22*0.6/('I_Inputs &amp; Assumptions'!$B$8/2)),IF('I_Budget Input Data'!$E$22="Mid-weighted",IF(36&lt;='I_Inputs &amp; Assumptions'!$B$8/4,'I_Budget Input Data'!$D$22*0.2/('I_Inputs &amp; Assumptions'!$B$8/4),IF(36&lt;='I_Inputs &amp; Assumptions'!$B$8*0.75,'I_Budget Input Data'!$D$22*0.6/('I_Inputs &amp; Assumptions'!$B$8/2),'I_Budget Input Data'!$D$22*0.2/('I_Inputs &amp; Assumptions'!$B$8/4))),IF('I_Budget Input Data'!$E$22="At Completion",IF(36='I_Inputs &amp; Assumptions'!$B$8,'I_Budget Input Data'!$D$22,0),'I_Budget Input Data'!$D$22/'I_Inputs &amp; Assumptions'!$B$8)))))),0)</f>
        <v>0</v>
      </c>
    </row>
    <row r="23" spans="1:38" ht="15" customHeight="1" x14ac:dyDescent="0.2">
      <c r="A23" t="s">
        <v>136</v>
      </c>
      <c r="B23" t="s">
        <v>144</v>
      </c>
      <c r="C23" s="91">
        <f>IF(1&lt;='I_Inputs &amp; Assumptions'!$B$8,IF('I_Budget Input Data'!$E$23="Upfront",IF(1=1,'I_Budget Input Data'!$D$23,0),IF('I_Budget Input Data'!$E$23="Equal",'I_Budget Input Data'!$D$23/'I_Inputs &amp; Assumptions'!$B$8,IF('I_Budget Input Data'!$E$23="Front-loaded",IF(1&lt;='I_Inputs &amp; Assumptions'!$B$8/2,'I_Budget Input Data'!$D$23*0.6/('I_Inputs &amp; Assumptions'!$B$8/2),'I_Budget Input Data'!$D$23*0.4/('I_Inputs &amp; Assumptions'!$B$8/2)),IF('I_Budget Input Data'!$E$23="Back-loaded",IF(1&lt;='I_Inputs &amp; Assumptions'!$B$8/2,'I_Budget Input Data'!$D$23*0.4/('I_Inputs &amp; Assumptions'!$B$8/2),'I_Budget Input Data'!$D$23*0.6/('I_Inputs &amp; Assumptions'!$B$8/2)),IF('I_Budget Input Data'!$E$23="Mid-weighted",IF(1&lt;='I_Inputs &amp; Assumptions'!$B$8/4,'I_Budget Input Data'!$D$23*0.2/('I_Inputs &amp; Assumptions'!$B$8/4),IF(1&lt;='I_Inputs &amp; Assumptions'!$B$8*0.75,'I_Budget Input Data'!$D$23*0.6/('I_Inputs &amp; Assumptions'!$B$8/2),'I_Budget Input Data'!$D$23*0.2/('I_Inputs &amp; Assumptions'!$B$8/4))),IF('I_Budget Input Data'!$E$23="At Completion",IF(1='I_Inputs &amp; Assumptions'!$B$8,'I_Budget Input Data'!$D$23,0),'I_Budget Input Data'!$D$23/'I_Inputs &amp; Assumptions'!$B$8)))))),0)</f>
        <v>23307.692307692309</v>
      </c>
      <c r="D23" s="91">
        <f>IF(2&lt;='I_Inputs &amp; Assumptions'!$B$8,IF('I_Budget Input Data'!$E$23="Upfront",IF(2=1,'I_Budget Input Data'!$D$23,0),IF('I_Budget Input Data'!$E$23="Equal",'I_Budget Input Data'!$D$23/'I_Inputs &amp; Assumptions'!$B$8,IF('I_Budget Input Data'!$E$23="Front-loaded",IF(2&lt;='I_Inputs &amp; Assumptions'!$B$8/2,'I_Budget Input Data'!$D$23*0.6/('I_Inputs &amp; Assumptions'!$B$8/2),'I_Budget Input Data'!$D$23*0.4/('I_Inputs &amp; Assumptions'!$B$8/2)),IF('I_Budget Input Data'!$E$23="Back-loaded",IF(2&lt;='I_Inputs &amp; Assumptions'!$B$8/2,'I_Budget Input Data'!$D$23*0.4/('I_Inputs &amp; Assumptions'!$B$8/2),'I_Budget Input Data'!$D$23*0.6/('I_Inputs &amp; Assumptions'!$B$8/2)),IF('I_Budget Input Data'!$E$23="Mid-weighted",IF(2&lt;='I_Inputs &amp; Assumptions'!$B$8/4,'I_Budget Input Data'!$D$23*0.2/('I_Inputs &amp; Assumptions'!$B$8/4),IF(2&lt;='I_Inputs &amp; Assumptions'!$B$8*0.75,'I_Budget Input Data'!$D$23*0.6/('I_Inputs &amp; Assumptions'!$B$8/2),'I_Budget Input Data'!$D$23*0.2/('I_Inputs &amp; Assumptions'!$B$8/4))),IF('I_Budget Input Data'!$E$23="At Completion",IF(2='I_Inputs &amp; Assumptions'!$B$8,'I_Budget Input Data'!$D$23,0),'I_Budget Input Data'!$D$23/'I_Inputs &amp; Assumptions'!$B$8)))))),0)</f>
        <v>23307.692307692309</v>
      </c>
      <c r="E23" s="91">
        <f>IF(3&lt;='I_Inputs &amp; Assumptions'!$B$8,IF('I_Budget Input Data'!$E$23="Upfront",IF(3=1,'I_Budget Input Data'!$D$23,0),IF('I_Budget Input Data'!$E$23="Equal",'I_Budget Input Data'!$D$23/'I_Inputs &amp; Assumptions'!$B$8,IF('I_Budget Input Data'!$E$23="Front-loaded",IF(3&lt;='I_Inputs &amp; Assumptions'!$B$8/2,'I_Budget Input Data'!$D$23*0.6/('I_Inputs &amp; Assumptions'!$B$8/2),'I_Budget Input Data'!$D$23*0.4/('I_Inputs &amp; Assumptions'!$B$8/2)),IF('I_Budget Input Data'!$E$23="Back-loaded",IF(3&lt;='I_Inputs &amp; Assumptions'!$B$8/2,'I_Budget Input Data'!$D$23*0.4/('I_Inputs &amp; Assumptions'!$B$8/2),'I_Budget Input Data'!$D$23*0.6/('I_Inputs &amp; Assumptions'!$B$8/2)),IF('I_Budget Input Data'!$E$23="Mid-weighted",IF(3&lt;='I_Inputs &amp; Assumptions'!$B$8/4,'I_Budget Input Data'!$D$23*0.2/('I_Inputs &amp; Assumptions'!$B$8/4),IF(3&lt;='I_Inputs &amp; Assumptions'!$B$8*0.75,'I_Budget Input Data'!$D$23*0.6/('I_Inputs &amp; Assumptions'!$B$8/2),'I_Budget Input Data'!$D$23*0.2/('I_Inputs &amp; Assumptions'!$B$8/4))),IF('I_Budget Input Data'!$E$23="At Completion",IF(3='I_Inputs &amp; Assumptions'!$B$8,'I_Budget Input Data'!$D$23,0),'I_Budget Input Data'!$D$23/'I_Inputs &amp; Assumptions'!$B$8)))))),0)</f>
        <v>23307.692307692309</v>
      </c>
      <c r="F23" s="91">
        <f>IF(4&lt;='I_Inputs &amp; Assumptions'!$B$8,IF('I_Budget Input Data'!$E$23="Upfront",IF(4=1,'I_Budget Input Data'!$D$23,0),IF('I_Budget Input Data'!$E$23="Equal",'I_Budget Input Data'!$D$23/'I_Inputs &amp; Assumptions'!$B$8,IF('I_Budget Input Data'!$E$23="Front-loaded",IF(4&lt;='I_Inputs &amp; Assumptions'!$B$8/2,'I_Budget Input Data'!$D$23*0.6/('I_Inputs &amp; Assumptions'!$B$8/2),'I_Budget Input Data'!$D$23*0.4/('I_Inputs &amp; Assumptions'!$B$8/2)),IF('I_Budget Input Data'!$E$23="Back-loaded",IF(4&lt;='I_Inputs &amp; Assumptions'!$B$8/2,'I_Budget Input Data'!$D$23*0.4/('I_Inputs &amp; Assumptions'!$B$8/2),'I_Budget Input Data'!$D$23*0.6/('I_Inputs &amp; Assumptions'!$B$8/2)),IF('I_Budget Input Data'!$E$23="Mid-weighted",IF(4&lt;='I_Inputs &amp; Assumptions'!$B$8/4,'I_Budget Input Data'!$D$23*0.2/('I_Inputs &amp; Assumptions'!$B$8/4),IF(4&lt;='I_Inputs &amp; Assumptions'!$B$8*0.75,'I_Budget Input Data'!$D$23*0.6/('I_Inputs &amp; Assumptions'!$B$8/2),'I_Budget Input Data'!$D$23*0.2/('I_Inputs &amp; Assumptions'!$B$8/4))),IF('I_Budget Input Data'!$E$23="At Completion",IF(4='I_Inputs &amp; Assumptions'!$B$8,'I_Budget Input Data'!$D$23,0),'I_Budget Input Data'!$D$23/'I_Inputs &amp; Assumptions'!$B$8)))))),0)</f>
        <v>23307.692307692309</v>
      </c>
      <c r="G23" s="91">
        <f>IF(5&lt;='I_Inputs &amp; Assumptions'!$B$8,IF('I_Budget Input Data'!$E$23="Upfront",IF(5=1,'I_Budget Input Data'!$D$23,0),IF('I_Budget Input Data'!$E$23="Equal",'I_Budget Input Data'!$D$23/'I_Inputs &amp; Assumptions'!$B$8,IF('I_Budget Input Data'!$E$23="Front-loaded",IF(5&lt;='I_Inputs &amp; Assumptions'!$B$8/2,'I_Budget Input Data'!$D$23*0.6/('I_Inputs &amp; Assumptions'!$B$8/2),'I_Budget Input Data'!$D$23*0.4/('I_Inputs &amp; Assumptions'!$B$8/2)),IF('I_Budget Input Data'!$E$23="Back-loaded",IF(5&lt;='I_Inputs &amp; Assumptions'!$B$8/2,'I_Budget Input Data'!$D$23*0.4/('I_Inputs &amp; Assumptions'!$B$8/2),'I_Budget Input Data'!$D$23*0.6/('I_Inputs &amp; Assumptions'!$B$8/2)),IF('I_Budget Input Data'!$E$23="Mid-weighted",IF(5&lt;='I_Inputs &amp; Assumptions'!$B$8/4,'I_Budget Input Data'!$D$23*0.2/('I_Inputs &amp; Assumptions'!$B$8/4),IF(5&lt;='I_Inputs &amp; Assumptions'!$B$8*0.75,'I_Budget Input Data'!$D$23*0.6/('I_Inputs &amp; Assumptions'!$B$8/2),'I_Budget Input Data'!$D$23*0.2/('I_Inputs &amp; Assumptions'!$B$8/4))),IF('I_Budget Input Data'!$E$23="At Completion",IF(5='I_Inputs &amp; Assumptions'!$B$8,'I_Budget Input Data'!$D$23,0),'I_Budget Input Data'!$D$23/'I_Inputs &amp; Assumptions'!$B$8)))))),0)</f>
        <v>23307.692307692309</v>
      </c>
      <c r="H23" s="91">
        <f>IF(6&lt;='I_Inputs &amp; Assumptions'!$B$8,IF('I_Budget Input Data'!$E$23="Upfront",IF(6=1,'I_Budget Input Data'!$D$23,0),IF('I_Budget Input Data'!$E$23="Equal",'I_Budget Input Data'!$D$23/'I_Inputs &amp; Assumptions'!$B$8,IF('I_Budget Input Data'!$E$23="Front-loaded",IF(6&lt;='I_Inputs &amp; Assumptions'!$B$8/2,'I_Budget Input Data'!$D$23*0.6/('I_Inputs &amp; Assumptions'!$B$8/2),'I_Budget Input Data'!$D$23*0.4/('I_Inputs &amp; Assumptions'!$B$8/2)),IF('I_Budget Input Data'!$E$23="Back-loaded",IF(6&lt;='I_Inputs &amp; Assumptions'!$B$8/2,'I_Budget Input Data'!$D$23*0.4/('I_Inputs &amp; Assumptions'!$B$8/2),'I_Budget Input Data'!$D$23*0.6/('I_Inputs &amp; Assumptions'!$B$8/2)),IF('I_Budget Input Data'!$E$23="Mid-weighted",IF(6&lt;='I_Inputs &amp; Assumptions'!$B$8/4,'I_Budget Input Data'!$D$23*0.2/('I_Inputs &amp; Assumptions'!$B$8/4),IF(6&lt;='I_Inputs &amp; Assumptions'!$B$8*0.75,'I_Budget Input Data'!$D$23*0.6/('I_Inputs &amp; Assumptions'!$B$8/2),'I_Budget Input Data'!$D$23*0.2/('I_Inputs &amp; Assumptions'!$B$8/4))),IF('I_Budget Input Data'!$E$23="At Completion",IF(6='I_Inputs &amp; Assumptions'!$B$8,'I_Budget Input Data'!$D$23,0),'I_Budget Input Data'!$D$23/'I_Inputs &amp; Assumptions'!$B$8)))))),0)</f>
        <v>23307.692307692309</v>
      </c>
      <c r="I23" s="91">
        <f>IF(7&lt;='I_Inputs &amp; Assumptions'!$B$8,IF('I_Budget Input Data'!$E$23="Upfront",IF(7=1,'I_Budget Input Data'!$D$23,0),IF('I_Budget Input Data'!$E$23="Equal",'I_Budget Input Data'!$D$23/'I_Inputs &amp; Assumptions'!$B$8,IF('I_Budget Input Data'!$E$23="Front-loaded",IF(7&lt;='I_Inputs &amp; Assumptions'!$B$8/2,'I_Budget Input Data'!$D$23*0.6/('I_Inputs &amp; Assumptions'!$B$8/2),'I_Budget Input Data'!$D$23*0.4/('I_Inputs &amp; Assumptions'!$B$8/2)),IF('I_Budget Input Data'!$E$23="Back-loaded",IF(7&lt;='I_Inputs &amp; Assumptions'!$B$8/2,'I_Budget Input Data'!$D$23*0.4/('I_Inputs &amp; Assumptions'!$B$8/2),'I_Budget Input Data'!$D$23*0.6/('I_Inputs &amp; Assumptions'!$B$8/2)),IF('I_Budget Input Data'!$E$23="Mid-weighted",IF(7&lt;='I_Inputs &amp; Assumptions'!$B$8/4,'I_Budget Input Data'!$D$23*0.2/('I_Inputs &amp; Assumptions'!$B$8/4),IF(7&lt;='I_Inputs &amp; Assumptions'!$B$8*0.75,'I_Budget Input Data'!$D$23*0.6/('I_Inputs &amp; Assumptions'!$B$8/2),'I_Budget Input Data'!$D$23*0.2/('I_Inputs &amp; Assumptions'!$B$8/4))),IF('I_Budget Input Data'!$E$23="At Completion",IF(7='I_Inputs &amp; Assumptions'!$B$8,'I_Budget Input Data'!$D$23,0),'I_Budget Input Data'!$D$23/'I_Inputs &amp; Assumptions'!$B$8)))))),0)</f>
        <v>15538.461538461539</v>
      </c>
      <c r="J23" s="91">
        <f>IF(8&lt;='I_Inputs &amp; Assumptions'!$B$8,IF('I_Budget Input Data'!$E$23="Upfront",IF(8=1,'I_Budget Input Data'!$D$23,0),IF('I_Budget Input Data'!$E$23="Equal",'I_Budget Input Data'!$D$23/'I_Inputs &amp; Assumptions'!$B$8,IF('I_Budget Input Data'!$E$23="Front-loaded",IF(8&lt;='I_Inputs &amp; Assumptions'!$B$8/2,'I_Budget Input Data'!$D$23*0.6/('I_Inputs &amp; Assumptions'!$B$8/2),'I_Budget Input Data'!$D$23*0.4/('I_Inputs &amp; Assumptions'!$B$8/2)),IF('I_Budget Input Data'!$E$23="Back-loaded",IF(8&lt;='I_Inputs &amp; Assumptions'!$B$8/2,'I_Budget Input Data'!$D$23*0.4/('I_Inputs &amp; Assumptions'!$B$8/2),'I_Budget Input Data'!$D$23*0.6/('I_Inputs &amp; Assumptions'!$B$8/2)),IF('I_Budget Input Data'!$E$23="Mid-weighted",IF(8&lt;='I_Inputs &amp; Assumptions'!$B$8/4,'I_Budget Input Data'!$D$23*0.2/('I_Inputs &amp; Assumptions'!$B$8/4),IF(8&lt;='I_Inputs &amp; Assumptions'!$B$8*0.75,'I_Budget Input Data'!$D$23*0.6/('I_Inputs &amp; Assumptions'!$B$8/2),'I_Budget Input Data'!$D$23*0.2/('I_Inputs &amp; Assumptions'!$B$8/4))),IF('I_Budget Input Data'!$E$23="At Completion",IF(8='I_Inputs &amp; Assumptions'!$B$8,'I_Budget Input Data'!$D$23,0),'I_Budget Input Data'!$D$23/'I_Inputs &amp; Assumptions'!$B$8)))))),0)</f>
        <v>15538.461538461539</v>
      </c>
      <c r="K23" s="91">
        <f>IF(9&lt;='I_Inputs &amp; Assumptions'!$B$8,IF('I_Budget Input Data'!$E$23="Upfront",IF(9=1,'I_Budget Input Data'!$D$23,0),IF('I_Budget Input Data'!$E$23="Equal",'I_Budget Input Data'!$D$23/'I_Inputs &amp; Assumptions'!$B$8,IF('I_Budget Input Data'!$E$23="Front-loaded",IF(9&lt;='I_Inputs &amp; Assumptions'!$B$8/2,'I_Budget Input Data'!$D$23*0.6/('I_Inputs &amp; Assumptions'!$B$8/2),'I_Budget Input Data'!$D$23*0.4/('I_Inputs &amp; Assumptions'!$B$8/2)),IF('I_Budget Input Data'!$E$23="Back-loaded",IF(9&lt;='I_Inputs &amp; Assumptions'!$B$8/2,'I_Budget Input Data'!$D$23*0.4/('I_Inputs &amp; Assumptions'!$B$8/2),'I_Budget Input Data'!$D$23*0.6/('I_Inputs &amp; Assumptions'!$B$8/2)),IF('I_Budget Input Data'!$E$23="Mid-weighted",IF(9&lt;='I_Inputs &amp; Assumptions'!$B$8/4,'I_Budget Input Data'!$D$23*0.2/('I_Inputs &amp; Assumptions'!$B$8/4),IF(9&lt;='I_Inputs &amp; Assumptions'!$B$8*0.75,'I_Budget Input Data'!$D$23*0.6/('I_Inputs &amp; Assumptions'!$B$8/2),'I_Budget Input Data'!$D$23*0.2/('I_Inputs &amp; Assumptions'!$B$8/4))),IF('I_Budget Input Data'!$E$23="At Completion",IF(9='I_Inputs &amp; Assumptions'!$B$8,'I_Budget Input Data'!$D$23,0),'I_Budget Input Data'!$D$23/'I_Inputs &amp; Assumptions'!$B$8)))))),0)</f>
        <v>15538.461538461539</v>
      </c>
      <c r="L23" s="91">
        <f>IF(10&lt;='I_Inputs &amp; Assumptions'!$B$8,IF('I_Budget Input Data'!$E$23="Upfront",IF(10=1,'I_Budget Input Data'!$D$23,0),IF('I_Budget Input Data'!$E$23="Equal",'I_Budget Input Data'!$D$23/'I_Inputs &amp; Assumptions'!$B$8,IF('I_Budget Input Data'!$E$23="Front-loaded",IF(10&lt;='I_Inputs &amp; Assumptions'!$B$8/2,'I_Budget Input Data'!$D$23*0.6/('I_Inputs &amp; Assumptions'!$B$8/2),'I_Budget Input Data'!$D$23*0.4/('I_Inputs &amp; Assumptions'!$B$8/2)),IF('I_Budget Input Data'!$E$23="Back-loaded",IF(10&lt;='I_Inputs &amp; Assumptions'!$B$8/2,'I_Budget Input Data'!$D$23*0.4/('I_Inputs &amp; Assumptions'!$B$8/2),'I_Budget Input Data'!$D$23*0.6/('I_Inputs &amp; Assumptions'!$B$8/2)),IF('I_Budget Input Data'!$E$23="Mid-weighted",IF(10&lt;='I_Inputs &amp; Assumptions'!$B$8/4,'I_Budget Input Data'!$D$23*0.2/('I_Inputs &amp; Assumptions'!$B$8/4),IF(10&lt;='I_Inputs &amp; Assumptions'!$B$8*0.75,'I_Budget Input Data'!$D$23*0.6/('I_Inputs &amp; Assumptions'!$B$8/2),'I_Budget Input Data'!$D$23*0.2/('I_Inputs &amp; Assumptions'!$B$8/4))),IF('I_Budget Input Data'!$E$23="At Completion",IF(10='I_Inputs &amp; Assumptions'!$B$8,'I_Budget Input Data'!$D$23,0),'I_Budget Input Data'!$D$23/'I_Inputs &amp; Assumptions'!$B$8)))))),0)</f>
        <v>15538.461538461539</v>
      </c>
      <c r="M23" s="91">
        <f>IF(11&lt;='I_Inputs &amp; Assumptions'!$B$8,IF('I_Budget Input Data'!$E$23="Upfront",IF(11=1,'I_Budget Input Data'!$D$23,0),IF('I_Budget Input Data'!$E$23="Equal",'I_Budget Input Data'!$D$23/'I_Inputs &amp; Assumptions'!$B$8,IF('I_Budget Input Data'!$E$23="Front-loaded",IF(11&lt;='I_Inputs &amp; Assumptions'!$B$8/2,'I_Budget Input Data'!$D$23*0.6/('I_Inputs &amp; Assumptions'!$B$8/2),'I_Budget Input Data'!$D$23*0.4/('I_Inputs &amp; Assumptions'!$B$8/2)),IF('I_Budget Input Data'!$E$23="Back-loaded",IF(11&lt;='I_Inputs &amp; Assumptions'!$B$8/2,'I_Budget Input Data'!$D$23*0.4/('I_Inputs &amp; Assumptions'!$B$8/2),'I_Budget Input Data'!$D$23*0.6/('I_Inputs &amp; Assumptions'!$B$8/2)),IF('I_Budget Input Data'!$E$23="Mid-weighted",IF(11&lt;='I_Inputs &amp; Assumptions'!$B$8/4,'I_Budget Input Data'!$D$23*0.2/('I_Inputs &amp; Assumptions'!$B$8/4),IF(11&lt;='I_Inputs &amp; Assumptions'!$B$8*0.75,'I_Budget Input Data'!$D$23*0.6/('I_Inputs &amp; Assumptions'!$B$8/2),'I_Budget Input Data'!$D$23*0.2/('I_Inputs &amp; Assumptions'!$B$8/4))),IF('I_Budget Input Data'!$E$23="At Completion",IF(11='I_Inputs &amp; Assumptions'!$B$8,'I_Budget Input Data'!$D$23,0),'I_Budget Input Data'!$D$23/'I_Inputs &amp; Assumptions'!$B$8)))))),0)</f>
        <v>15538.461538461539</v>
      </c>
      <c r="N23" s="91">
        <f>IF(12&lt;='I_Inputs &amp; Assumptions'!$B$8,IF('I_Budget Input Data'!$E$23="Upfront",IF(12=1,'I_Budget Input Data'!$D$23,0),IF('I_Budget Input Data'!$E$23="Equal",'I_Budget Input Data'!$D$23/'I_Inputs &amp; Assumptions'!$B$8,IF('I_Budget Input Data'!$E$23="Front-loaded",IF(12&lt;='I_Inputs &amp; Assumptions'!$B$8/2,'I_Budget Input Data'!$D$23*0.6/('I_Inputs &amp; Assumptions'!$B$8/2),'I_Budget Input Data'!$D$23*0.4/('I_Inputs &amp; Assumptions'!$B$8/2)),IF('I_Budget Input Data'!$E$23="Back-loaded",IF(12&lt;='I_Inputs &amp; Assumptions'!$B$8/2,'I_Budget Input Data'!$D$23*0.4/('I_Inputs &amp; Assumptions'!$B$8/2),'I_Budget Input Data'!$D$23*0.6/('I_Inputs &amp; Assumptions'!$B$8/2)),IF('I_Budget Input Data'!$E$23="Mid-weighted",IF(12&lt;='I_Inputs &amp; Assumptions'!$B$8/4,'I_Budget Input Data'!$D$23*0.2/('I_Inputs &amp; Assumptions'!$B$8/4),IF(12&lt;='I_Inputs &amp; Assumptions'!$B$8*0.75,'I_Budget Input Data'!$D$23*0.6/('I_Inputs &amp; Assumptions'!$B$8/2),'I_Budget Input Data'!$D$23*0.2/('I_Inputs &amp; Assumptions'!$B$8/4))),IF('I_Budget Input Data'!$E$23="At Completion",IF(12='I_Inputs &amp; Assumptions'!$B$8,'I_Budget Input Data'!$D$23,0),'I_Budget Input Data'!$D$23/'I_Inputs &amp; Assumptions'!$B$8)))))),0)</f>
        <v>15538.461538461539</v>
      </c>
      <c r="O23" s="91">
        <f>IF(13&lt;='I_Inputs &amp; Assumptions'!$B$8,IF('I_Budget Input Data'!$E$23="Upfront",IF(13=1,'I_Budget Input Data'!$D$23,0),IF('I_Budget Input Data'!$E$23="Equal",'I_Budget Input Data'!$D$23/'I_Inputs &amp; Assumptions'!$B$8,IF('I_Budget Input Data'!$E$23="Front-loaded",IF(13&lt;='I_Inputs &amp; Assumptions'!$B$8/2,'I_Budget Input Data'!$D$23*0.6/('I_Inputs &amp; Assumptions'!$B$8/2),'I_Budget Input Data'!$D$23*0.4/('I_Inputs &amp; Assumptions'!$B$8/2)),IF('I_Budget Input Data'!$E$23="Back-loaded",IF(13&lt;='I_Inputs &amp; Assumptions'!$B$8/2,'I_Budget Input Data'!$D$23*0.4/('I_Inputs &amp; Assumptions'!$B$8/2),'I_Budget Input Data'!$D$23*0.6/('I_Inputs &amp; Assumptions'!$B$8/2)),IF('I_Budget Input Data'!$E$23="Mid-weighted",IF(13&lt;='I_Inputs &amp; Assumptions'!$B$8/4,'I_Budget Input Data'!$D$23*0.2/('I_Inputs &amp; Assumptions'!$B$8/4),IF(13&lt;='I_Inputs &amp; Assumptions'!$B$8*0.75,'I_Budget Input Data'!$D$23*0.6/('I_Inputs &amp; Assumptions'!$B$8/2),'I_Budget Input Data'!$D$23*0.2/('I_Inputs &amp; Assumptions'!$B$8/4))),IF('I_Budget Input Data'!$E$23="At Completion",IF(13='I_Inputs &amp; Assumptions'!$B$8,'I_Budget Input Data'!$D$23,0),'I_Budget Input Data'!$D$23/'I_Inputs &amp; Assumptions'!$B$8)))))),0)</f>
        <v>15538.461538461539</v>
      </c>
      <c r="P23" s="91">
        <f>IF(14&lt;='I_Inputs &amp; Assumptions'!$B$8,IF('I_Budget Input Data'!$E$23="Upfront",IF(14=1,'I_Budget Input Data'!$D$23,0),IF('I_Budget Input Data'!$E$23="Equal",'I_Budget Input Data'!$D$23/'I_Inputs &amp; Assumptions'!$B$8,IF('I_Budget Input Data'!$E$23="Front-loaded",IF(14&lt;='I_Inputs &amp; Assumptions'!$B$8/2,'I_Budget Input Data'!$D$23*0.6/('I_Inputs &amp; Assumptions'!$B$8/2),'I_Budget Input Data'!$D$23*0.4/('I_Inputs &amp; Assumptions'!$B$8/2)),IF('I_Budget Input Data'!$E$23="Back-loaded",IF(14&lt;='I_Inputs &amp; Assumptions'!$B$8/2,'I_Budget Input Data'!$D$23*0.4/('I_Inputs &amp; Assumptions'!$B$8/2),'I_Budget Input Data'!$D$23*0.6/('I_Inputs &amp; Assumptions'!$B$8/2)),IF('I_Budget Input Data'!$E$23="Mid-weighted",IF(14&lt;='I_Inputs &amp; Assumptions'!$B$8/4,'I_Budget Input Data'!$D$23*0.2/('I_Inputs &amp; Assumptions'!$B$8/4),IF(14&lt;='I_Inputs &amp; Assumptions'!$B$8*0.75,'I_Budget Input Data'!$D$23*0.6/('I_Inputs &amp; Assumptions'!$B$8/2),'I_Budget Input Data'!$D$23*0.2/('I_Inputs &amp; Assumptions'!$B$8/4))),IF('I_Budget Input Data'!$E$23="At Completion",IF(14='I_Inputs &amp; Assumptions'!$B$8,'I_Budget Input Data'!$D$23,0),'I_Budget Input Data'!$D$23/'I_Inputs &amp; Assumptions'!$B$8)))))),0)</f>
        <v>0</v>
      </c>
      <c r="Q23" s="91">
        <f>IF(15&lt;='I_Inputs &amp; Assumptions'!$B$8,IF('I_Budget Input Data'!$E$23="Upfront",IF(15=1,'I_Budget Input Data'!$D$23,0),IF('I_Budget Input Data'!$E$23="Equal",'I_Budget Input Data'!$D$23/'I_Inputs &amp; Assumptions'!$B$8,IF('I_Budget Input Data'!$E$23="Front-loaded",IF(15&lt;='I_Inputs &amp; Assumptions'!$B$8/2,'I_Budget Input Data'!$D$23*0.6/('I_Inputs &amp; Assumptions'!$B$8/2),'I_Budget Input Data'!$D$23*0.4/('I_Inputs &amp; Assumptions'!$B$8/2)),IF('I_Budget Input Data'!$E$23="Back-loaded",IF(15&lt;='I_Inputs &amp; Assumptions'!$B$8/2,'I_Budget Input Data'!$D$23*0.4/('I_Inputs &amp; Assumptions'!$B$8/2),'I_Budget Input Data'!$D$23*0.6/('I_Inputs &amp; Assumptions'!$B$8/2)),IF('I_Budget Input Data'!$E$23="Mid-weighted",IF(15&lt;='I_Inputs &amp; Assumptions'!$B$8/4,'I_Budget Input Data'!$D$23*0.2/('I_Inputs &amp; Assumptions'!$B$8/4),IF(15&lt;='I_Inputs &amp; Assumptions'!$B$8*0.75,'I_Budget Input Data'!$D$23*0.6/('I_Inputs &amp; Assumptions'!$B$8/2),'I_Budget Input Data'!$D$23*0.2/('I_Inputs &amp; Assumptions'!$B$8/4))),IF('I_Budget Input Data'!$E$23="At Completion",IF(15='I_Inputs &amp; Assumptions'!$B$8,'I_Budget Input Data'!$D$23,0),'I_Budget Input Data'!$D$23/'I_Inputs &amp; Assumptions'!$B$8)))))),0)</f>
        <v>0</v>
      </c>
      <c r="R23" s="91">
        <f>IF(16&lt;='I_Inputs &amp; Assumptions'!$B$8,IF('I_Budget Input Data'!$E$23="Upfront",IF(16=1,'I_Budget Input Data'!$D$23,0),IF('I_Budget Input Data'!$E$23="Equal",'I_Budget Input Data'!$D$23/'I_Inputs &amp; Assumptions'!$B$8,IF('I_Budget Input Data'!$E$23="Front-loaded",IF(16&lt;='I_Inputs &amp; Assumptions'!$B$8/2,'I_Budget Input Data'!$D$23*0.6/('I_Inputs &amp; Assumptions'!$B$8/2),'I_Budget Input Data'!$D$23*0.4/('I_Inputs &amp; Assumptions'!$B$8/2)),IF('I_Budget Input Data'!$E$23="Back-loaded",IF(16&lt;='I_Inputs &amp; Assumptions'!$B$8/2,'I_Budget Input Data'!$D$23*0.4/('I_Inputs &amp; Assumptions'!$B$8/2),'I_Budget Input Data'!$D$23*0.6/('I_Inputs &amp; Assumptions'!$B$8/2)),IF('I_Budget Input Data'!$E$23="Mid-weighted",IF(16&lt;='I_Inputs &amp; Assumptions'!$B$8/4,'I_Budget Input Data'!$D$23*0.2/('I_Inputs &amp; Assumptions'!$B$8/4),IF(16&lt;='I_Inputs &amp; Assumptions'!$B$8*0.75,'I_Budget Input Data'!$D$23*0.6/('I_Inputs &amp; Assumptions'!$B$8/2),'I_Budget Input Data'!$D$23*0.2/('I_Inputs &amp; Assumptions'!$B$8/4))),IF('I_Budget Input Data'!$E$23="At Completion",IF(16='I_Inputs &amp; Assumptions'!$B$8,'I_Budget Input Data'!$D$23,0),'I_Budget Input Data'!$D$23/'I_Inputs &amp; Assumptions'!$B$8)))))),0)</f>
        <v>0</v>
      </c>
      <c r="S23" s="91">
        <f>IF(17&lt;='I_Inputs &amp; Assumptions'!$B$8,IF('I_Budget Input Data'!$E$23="Upfront",IF(17=1,'I_Budget Input Data'!$D$23,0),IF('I_Budget Input Data'!$E$23="Equal",'I_Budget Input Data'!$D$23/'I_Inputs &amp; Assumptions'!$B$8,IF('I_Budget Input Data'!$E$23="Front-loaded",IF(17&lt;='I_Inputs &amp; Assumptions'!$B$8/2,'I_Budget Input Data'!$D$23*0.6/('I_Inputs &amp; Assumptions'!$B$8/2),'I_Budget Input Data'!$D$23*0.4/('I_Inputs &amp; Assumptions'!$B$8/2)),IF('I_Budget Input Data'!$E$23="Back-loaded",IF(17&lt;='I_Inputs &amp; Assumptions'!$B$8/2,'I_Budget Input Data'!$D$23*0.4/('I_Inputs &amp; Assumptions'!$B$8/2),'I_Budget Input Data'!$D$23*0.6/('I_Inputs &amp; Assumptions'!$B$8/2)),IF('I_Budget Input Data'!$E$23="Mid-weighted",IF(17&lt;='I_Inputs &amp; Assumptions'!$B$8/4,'I_Budget Input Data'!$D$23*0.2/('I_Inputs &amp; Assumptions'!$B$8/4),IF(17&lt;='I_Inputs &amp; Assumptions'!$B$8*0.75,'I_Budget Input Data'!$D$23*0.6/('I_Inputs &amp; Assumptions'!$B$8/2),'I_Budget Input Data'!$D$23*0.2/('I_Inputs &amp; Assumptions'!$B$8/4))),IF('I_Budget Input Data'!$E$23="At Completion",IF(17='I_Inputs &amp; Assumptions'!$B$8,'I_Budget Input Data'!$D$23,0),'I_Budget Input Data'!$D$23/'I_Inputs &amp; Assumptions'!$B$8)))))),0)</f>
        <v>0</v>
      </c>
      <c r="T23" s="91">
        <f>IF(18&lt;='I_Inputs &amp; Assumptions'!$B$8,IF('I_Budget Input Data'!$E$23="Upfront",IF(18=1,'I_Budget Input Data'!$D$23,0),IF('I_Budget Input Data'!$E$23="Equal",'I_Budget Input Data'!$D$23/'I_Inputs &amp; Assumptions'!$B$8,IF('I_Budget Input Data'!$E$23="Front-loaded",IF(18&lt;='I_Inputs &amp; Assumptions'!$B$8/2,'I_Budget Input Data'!$D$23*0.6/('I_Inputs &amp; Assumptions'!$B$8/2),'I_Budget Input Data'!$D$23*0.4/('I_Inputs &amp; Assumptions'!$B$8/2)),IF('I_Budget Input Data'!$E$23="Back-loaded",IF(18&lt;='I_Inputs &amp; Assumptions'!$B$8/2,'I_Budget Input Data'!$D$23*0.4/('I_Inputs &amp; Assumptions'!$B$8/2),'I_Budget Input Data'!$D$23*0.6/('I_Inputs &amp; Assumptions'!$B$8/2)),IF('I_Budget Input Data'!$E$23="Mid-weighted",IF(18&lt;='I_Inputs &amp; Assumptions'!$B$8/4,'I_Budget Input Data'!$D$23*0.2/('I_Inputs &amp; Assumptions'!$B$8/4),IF(18&lt;='I_Inputs &amp; Assumptions'!$B$8*0.75,'I_Budget Input Data'!$D$23*0.6/('I_Inputs &amp; Assumptions'!$B$8/2),'I_Budget Input Data'!$D$23*0.2/('I_Inputs &amp; Assumptions'!$B$8/4))),IF('I_Budget Input Data'!$E$23="At Completion",IF(18='I_Inputs &amp; Assumptions'!$B$8,'I_Budget Input Data'!$D$23,0),'I_Budget Input Data'!$D$23/'I_Inputs &amp; Assumptions'!$B$8)))))),0)</f>
        <v>0</v>
      </c>
      <c r="U23" s="91">
        <f>IF(19&lt;='I_Inputs &amp; Assumptions'!$B$8,IF('I_Budget Input Data'!$E$23="Upfront",IF(19=1,'I_Budget Input Data'!$D$23,0),IF('I_Budget Input Data'!$E$23="Equal",'I_Budget Input Data'!$D$23/'I_Inputs &amp; Assumptions'!$B$8,IF('I_Budget Input Data'!$E$23="Front-loaded",IF(19&lt;='I_Inputs &amp; Assumptions'!$B$8/2,'I_Budget Input Data'!$D$23*0.6/('I_Inputs &amp; Assumptions'!$B$8/2),'I_Budget Input Data'!$D$23*0.4/('I_Inputs &amp; Assumptions'!$B$8/2)),IF('I_Budget Input Data'!$E$23="Back-loaded",IF(19&lt;='I_Inputs &amp; Assumptions'!$B$8/2,'I_Budget Input Data'!$D$23*0.4/('I_Inputs &amp; Assumptions'!$B$8/2),'I_Budget Input Data'!$D$23*0.6/('I_Inputs &amp; Assumptions'!$B$8/2)),IF('I_Budget Input Data'!$E$23="Mid-weighted",IF(19&lt;='I_Inputs &amp; Assumptions'!$B$8/4,'I_Budget Input Data'!$D$23*0.2/('I_Inputs &amp; Assumptions'!$B$8/4),IF(19&lt;='I_Inputs &amp; Assumptions'!$B$8*0.75,'I_Budget Input Data'!$D$23*0.6/('I_Inputs &amp; Assumptions'!$B$8/2),'I_Budget Input Data'!$D$23*0.2/('I_Inputs &amp; Assumptions'!$B$8/4))),IF('I_Budget Input Data'!$E$23="At Completion",IF(19='I_Inputs &amp; Assumptions'!$B$8,'I_Budget Input Data'!$D$23,0),'I_Budget Input Data'!$D$23/'I_Inputs &amp; Assumptions'!$B$8)))))),0)</f>
        <v>0</v>
      </c>
      <c r="V23" s="91">
        <f>IF(20&lt;='I_Inputs &amp; Assumptions'!$B$8,IF('I_Budget Input Data'!$E$23="Upfront",IF(20=1,'I_Budget Input Data'!$D$23,0),IF('I_Budget Input Data'!$E$23="Equal",'I_Budget Input Data'!$D$23/'I_Inputs &amp; Assumptions'!$B$8,IF('I_Budget Input Data'!$E$23="Front-loaded",IF(20&lt;='I_Inputs &amp; Assumptions'!$B$8/2,'I_Budget Input Data'!$D$23*0.6/('I_Inputs &amp; Assumptions'!$B$8/2),'I_Budget Input Data'!$D$23*0.4/('I_Inputs &amp; Assumptions'!$B$8/2)),IF('I_Budget Input Data'!$E$23="Back-loaded",IF(20&lt;='I_Inputs &amp; Assumptions'!$B$8/2,'I_Budget Input Data'!$D$23*0.4/('I_Inputs &amp; Assumptions'!$B$8/2),'I_Budget Input Data'!$D$23*0.6/('I_Inputs &amp; Assumptions'!$B$8/2)),IF('I_Budget Input Data'!$E$23="Mid-weighted",IF(20&lt;='I_Inputs &amp; Assumptions'!$B$8/4,'I_Budget Input Data'!$D$23*0.2/('I_Inputs &amp; Assumptions'!$B$8/4),IF(20&lt;='I_Inputs &amp; Assumptions'!$B$8*0.75,'I_Budget Input Data'!$D$23*0.6/('I_Inputs &amp; Assumptions'!$B$8/2),'I_Budget Input Data'!$D$23*0.2/('I_Inputs &amp; Assumptions'!$B$8/4))),IF('I_Budget Input Data'!$E$23="At Completion",IF(20='I_Inputs &amp; Assumptions'!$B$8,'I_Budget Input Data'!$D$23,0),'I_Budget Input Data'!$D$23/'I_Inputs &amp; Assumptions'!$B$8)))))),0)</f>
        <v>0</v>
      </c>
      <c r="W23" s="91">
        <f>IF(21&lt;='I_Inputs &amp; Assumptions'!$B$8,IF('I_Budget Input Data'!$E$23="Upfront",IF(21=1,'I_Budget Input Data'!$D$23,0),IF('I_Budget Input Data'!$E$23="Equal",'I_Budget Input Data'!$D$23/'I_Inputs &amp; Assumptions'!$B$8,IF('I_Budget Input Data'!$E$23="Front-loaded",IF(21&lt;='I_Inputs &amp; Assumptions'!$B$8/2,'I_Budget Input Data'!$D$23*0.6/('I_Inputs &amp; Assumptions'!$B$8/2),'I_Budget Input Data'!$D$23*0.4/('I_Inputs &amp; Assumptions'!$B$8/2)),IF('I_Budget Input Data'!$E$23="Back-loaded",IF(21&lt;='I_Inputs &amp; Assumptions'!$B$8/2,'I_Budget Input Data'!$D$23*0.4/('I_Inputs &amp; Assumptions'!$B$8/2),'I_Budget Input Data'!$D$23*0.6/('I_Inputs &amp; Assumptions'!$B$8/2)),IF('I_Budget Input Data'!$E$23="Mid-weighted",IF(21&lt;='I_Inputs &amp; Assumptions'!$B$8/4,'I_Budget Input Data'!$D$23*0.2/('I_Inputs &amp; Assumptions'!$B$8/4),IF(21&lt;='I_Inputs &amp; Assumptions'!$B$8*0.75,'I_Budget Input Data'!$D$23*0.6/('I_Inputs &amp; Assumptions'!$B$8/2),'I_Budget Input Data'!$D$23*0.2/('I_Inputs &amp; Assumptions'!$B$8/4))),IF('I_Budget Input Data'!$E$23="At Completion",IF(21='I_Inputs &amp; Assumptions'!$B$8,'I_Budget Input Data'!$D$23,0),'I_Budget Input Data'!$D$23/'I_Inputs &amp; Assumptions'!$B$8)))))),0)</f>
        <v>0</v>
      </c>
      <c r="X23" s="91">
        <f>IF(22&lt;='I_Inputs &amp; Assumptions'!$B$8,IF('I_Budget Input Data'!$E$23="Upfront",IF(22=1,'I_Budget Input Data'!$D$23,0),IF('I_Budget Input Data'!$E$23="Equal",'I_Budget Input Data'!$D$23/'I_Inputs &amp; Assumptions'!$B$8,IF('I_Budget Input Data'!$E$23="Front-loaded",IF(22&lt;='I_Inputs &amp; Assumptions'!$B$8/2,'I_Budget Input Data'!$D$23*0.6/('I_Inputs &amp; Assumptions'!$B$8/2),'I_Budget Input Data'!$D$23*0.4/('I_Inputs &amp; Assumptions'!$B$8/2)),IF('I_Budget Input Data'!$E$23="Back-loaded",IF(22&lt;='I_Inputs &amp; Assumptions'!$B$8/2,'I_Budget Input Data'!$D$23*0.4/('I_Inputs &amp; Assumptions'!$B$8/2),'I_Budget Input Data'!$D$23*0.6/('I_Inputs &amp; Assumptions'!$B$8/2)),IF('I_Budget Input Data'!$E$23="Mid-weighted",IF(22&lt;='I_Inputs &amp; Assumptions'!$B$8/4,'I_Budget Input Data'!$D$23*0.2/('I_Inputs &amp; Assumptions'!$B$8/4),IF(22&lt;='I_Inputs &amp; Assumptions'!$B$8*0.75,'I_Budget Input Data'!$D$23*0.6/('I_Inputs &amp; Assumptions'!$B$8/2),'I_Budget Input Data'!$D$23*0.2/('I_Inputs &amp; Assumptions'!$B$8/4))),IF('I_Budget Input Data'!$E$23="At Completion",IF(22='I_Inputs &amp; Assumptions'!$B$8,'I_Budget Input Data'!$D$23,0),'I_Budget Input Data'!$D$23/'I_Inputs &amp; Assumptions'!$B$8)))))),0)</f>
        <v>0</v>
      </c>
      <c r="Y23" s="91">
        <f>IF(23&lt;='I_Inputs &amp; Assumptions'!$B$8,IF('I_Budget Input Data'!$E$23="Upfront",IF(23=1,'I_Budget Input Data'!$D$23,0),IF('I_Budget Input Data'!$E$23="Equal",'I_Budget Input Data'!$D$23/'I_Inputs &amp; Assumptions'!$B$8,IF('I_Budget Input Data'!$E$23="Front-loaded",IF(23&lt;='I_Inputs &amp; Assumptions'!$B$8/2,'I_Budget Input Data'!$D$23*0.6/('I_Inputs &amp; Assumptions'!$B$8/2),'I_Budget Input Data'!$D$23*0.4/('I_Inputs &amp; Assumptions'!$B$8/2)),IF('I_Budget Input Data'!$E$23="Back-loaded",IF(23&lt;='I_Inputs &amp; Assumptions'!$B$8/2,'I_Budget Input Data'!$D$23*0.4/('I_Inputs &amp; Assumptions'!$B$8/2),'I_Budget Input Data'!$D$23*0.6/('I_Inputs &amp; Assumptions'!$B$8/2)),IF('I_Budget Input Data'!$E$23="Mid-weighted",IF(23&lt;='I_Inputs &amp; Assumptions'!$B$8/4,'I_Budget Input Data'!$D$23*0.2/('I_Inputs &amp; Assumptions'!$B$8/4),IF(23&lt;='I_Inputs &amp; Assumptions'!$B$8*0.75,'I_Budget Input Data'!$D$23*0.6/('I_Inputs &amp; Assumptions'!$B$8/2),'I_Budget Input Data'!$D$23*0.2/('I_Inputs &amp; Assumptions'!$B$8/4))),IF('I_Budget Input Data'!$E$23="At Completion",IF(23='I_Inputs &amp; Assumptions'!$B$8,'I_Budget Input Data'!$D$23,0),'I_Budget Input Data'!$D$23/'I_Inputs &amp; Assumptions'!$B$8)))))),0)</f>
        <v>0</v>
      </c>
      <c r="Z23" s="91">
        <f>IF(24&lt;='I_Inputs &amp; Assumptions'!$B$8,IF('I_Budget Input Data'!$E$23="Upfront",IF(24=1,'I_Budget Input Data'!$D$23,0),IF('I_Budget Input Data'!$E$23="Equal",'I_Budget Input Data'!$D$23/'I_Inputs &amp; Assumptions'!$B$8,IF('I_Budget Input Data'!$E$23="Front-loaded",IF(24&lt;='I_Inputs &amp; Assumptions'!$B$8/2,'I_Budget Input Data'!$D$23*0.6/('I_Inputs &amp; Assumptions'!$B$8/2),'I_Budget Input Data'!$D$23*0.4/('I_Inputs &amp; Assumptions'!$B$8/2)),IF('I_Budget Input Data'!$E$23="Back-loaded",IF(24&lt;='I_Inputs &amp; Assumptions'!$B$8/2,'I_Budget Input Data'!$D$23*0.4/('I_Inputs &amp; Assumptions'!$B$8/2),'I_Budget Input Data'!$D$23*0.6/('I_Inputs &amp; Assumptions'!$B$8/2)),IF('I_Budget Input Data'!$E$23="Mid-weighted",IF(24&lt;='I_Inputs &amp; Assumptions'!$B$8/4,'I_Budget Input Data'!$D$23*0.2/('I_Inputs &amp; Assumptions'!$B$8/4),IF(24&lt;='I_Inputs &amp; Assumptions'!$B$8*0.75,'I_Budget Input Data'!$D$23*0.6/('I_Inputs &amp; Assumptions'!$B$8/2),'I_Budget Input Data'!$D$23*0.2/('I_Inputs &amp; Assumptions'!$B$8/4))),IF('I_Budget Input Data'!$E$23="At Completion",IF(24='I_Inputs &amp; Assumptions'!$B$8,'I_Budget Input Data'!$D$23,0),'I_Budget Input Data'!$D$23/'I_Inputs &amp; Assumptions'!$B$8)))))),0)</f>
        <v>0</v>
      </c>
      <c r="AA23" s="91">
        <f>IF(25&lt;='I_Inputs &amp; Assumptions'!$B$8,IF('I_Budget Input Data'!$E$23="Upfront",IF(25=1,'I_Budget Input Data'!$D$23,0),IF('I_Budget Input Data'!$E$23="Equal",'I_Budget Input Data'!$D$23/'I_Inputs &amp; Assumptions'!$B$8,IF('I_Budget Input Data'!$E$23="Front-loaded",IF(25&lt;='I_Inputs &amp; Assumptions'!$B$8/2,'I_Budget Input Data'!$D$23*0.6/('I_Inputs &amp; Assumptions'!$B$8/2),'I_Budget Input Data'!$D$23*0.4/('I_Inputs &amp; Assumptions'!$B$8/2)),IF('I_Budget Input Data'!$E$23="Back-loaded",IF(25&lt;='I_Inputs &amp; Assumptions'!$B$8/2,'I_Budget Input Data'!$D$23*0.4/('I_Inputs &amp; Assumptions'!$B$8/2),'I_Budget Input Data'!$D$23*0.6/('I_Inputs &amp; Assumptions'!$B$8/2)),IF('I_Budget Input Data'!$E$23="Mid-weighted",IF(25&lt;='I_Inputs &amp; Assumptions'!$B$8/4,'I_Budget Input Data'!$D$23*0.2/('I_Inputs &amp; Assumptions'!$B$8/4),IF(25&lt;='I_Inputs &amp; Assumptions'!$B$8*0.75,'I_Budget Input Data'!$D$23*0.6/('I_Inputs &amp; Assumptions'!$B$8/2),'I_Budget Input Data'!$D$23*0.2/('I_Inputs &amp; Assumptions'!$B$8/4))),IF('I_Budget Input Data'!$E$23="At Completion",IF(25='I_Inputs &amp; Assumptions'!$B$8,'I_Budget Input Data'!$D$23,0),'I_Budget Input Data'!$D$23/'I_Inputs &amp; Assumptions'!$B$8)))))),0)</f>
        <v>0</v>
      </c>
      <c r="AB23" s="91">
        <f>IF(26&lt;='I_Inputs &amp; Assumptions'!$B$8,IF('I_Budget Input Data'!$E$23="Upfront",IF(26=1,'I_Budget Input Data'!$D$23,0),IF('I_Budget Input Data'!$E$23="Equal",'I_Budget Input Data'!$D$23/'I_Inputs &amp; Assumptions'!$B$8,IF('I_Budget Input Data'!$E$23="Front-loaded",IF(26&lt;='I_Inputs &amp; Assumptions'!$B$8/2,'I_Budget Input Data'!$D$23*0.6/('I_Inputs &amp; Assumptions'!$B$8/2),'I_Budget Input Data'!$D$23*0.4/('I_Inputs &amp; Assumptions'!$B$8/2)),IF('I_Budget Input Data'!$E$23="Back-loaded",IF(26&lt;='I_Inputs &amp; Assumptions'!$B$8/2,'I_Budget Input Data'!$D$23*0.4/('I_Inputs &amp; Assumptions'!$B$8/2),'I_Budget Input Data'!$D$23*0.6/('I_Inputs &amp; Assumptions'!$B$8/2)),IF('I_Budget Input Data'!$E$23="Mid-weighted",IF(26&lt;='I_Inputs &amp; Assumptions'!$B$8/4,'I_Budget Input Data'!$D$23*0.2/('I_Inputs &amp; Assumptions'!$B$8/4),IF(26&lt;='I_Inputs &amp; Assumptions'!$B$8*0.75,'I_Budget Input Data'!$D$23*0.6/('I_Inputs &amp; Assumptions'!$B$8/2),'I_Budget Input Data'!$D$23*0.2/('I_Inputs &amp; Assumptions'!$B$8/4))),IF('I_Budget Input Data'!$E$23="At Completion",IF(26='I_Inputs &amp; Assumptions'!$B$8,'I_Budget Input Data'!$D$23,0),'I_Budget Input Data'!$D$23/'I_Inputs &amp; Assumptions'!$B$8)))))),0)</f>
        <v>0</v>
      </c>
      <c r="AC23" s="91">
        <f>IF(27&lt;='I_Inputs &amp; Assumptions'!$B$8,IF('I_Budget Input Data'!$E$23="Upfront",IF(27=1,'I_Budget Input Data'!$D$23,0),IF('I_Budget Input Data'!$E$23="Equal",'I_Budget Input Data'!$D$23/'I_Inputs &amp; Assumptions'!$B$8,IF('I_Budget Input Data'!$E$23="Front-loaded",IF(27&lt;='I_Inputs &amp; Assumptions'!$B$8/2,'I_Budget Input Data'!$D$23*0.6/('I_Inputs &amp; Assumptions'!$B$8/2),'I_Budget Input Data'!$D$23*0.4/('I_Inputs &amp; Assumptions'!$B$8/2)),IF('I_Budget Input Data'!$E$23="Back-loaded",IF(27&lt;='I_Inputs &amp; Assumptions'!$B$8/2,'I_Budget Input Data'!$D$23*0.4/('I_Inputs &amp; Assumptions'!$B$8/2),'I_Budget Input Data'!$D$23*0.6/('I_Inputs &amp; Assumptions'!$B$8/2)),IF('I_Budget Input Data'!$E$23="Mid-weighted",IF(27&lt;='I_Inputs &amp; Assumptions'!$B$8/4,'I_Budget Input Data'!$D$23*0.2/('I_Inputs &amp; Assumptions'!$B$8/4),IF(27&lt;='I_Inputs &amp; Assumptions'!$B$8*0.75,'I_Budget Input Data'!$D$23*0.6/('I_Inputs &amp; Assumptions'!$B$8/2),'I_Budget Input Data'!$D$23*0.2/('I_Inputs &amp; Assumptions'!$B$8/4))),IF('I_Budget Input Data'!$E$23="At Completion",IF(27='I_Inputs &amp; Assumptions'!$B$8,'I_Budget Input Data'!$D$23,0),'I_Budget Input Data'!$D$23/'I_Inputs &amp; Assumptions'!$B$8)))))),0)</f>
        <v>0</v>
      </c>
      <c r="AD23" s="91">
        <f>IF(28&lt;='I_Inputs &amp; Assumptions'!$B$8,IF('I_Budget Input Data'!$E$23="Upfront",IF(28=1,'I_Budget Input Data'!$D$23,0),IF('I_Budget Input Data'!$E$23="Equal",'I_Budget Input Data'!$D$23/'I_Inputs &amp; Assumptions'!$B$8,IF('I_Budget Input Data'!$E$23="Front-loaded",IF(28&lt;='I_Inputs &amp; Assumptions'!$B$8/2,'I_Budget Input Data'!$D$23*0.6/('I_Inputs &amp; Assumptions'!$B$8/2),'I_Budget Input Data'!$D$23*0.4/('I_Inputs &amp; Assumptions'!$B$8/2)),IF('I_Budget Input Data'!$E$23="Back-loaded",IF(28&lt;='I_Inputs &amp; Assumptions'!$B$8/2,'I_Budget Input Data'!$D$23*0.4/('I_Inputs &amp; Assumptions'!$B$8/2),'I_Budget Input Data'!$D$23*0.6/('I_Inputs &amp; Assumptions'!$B$8/2)),IF('I_Budget Input Data'!$E$23="Mid-weighted",IF(28&lt;='I_Inputs &amp; Assumptions'!$B$8/4,'I_Budget Input Data'!$D$23*0.2/('I_Inputs &amp; Assumptions'!$B$8/4),IF(28&lt;='I_Inputs &amp; Assumptions'!$B$8*0.75,'I_Budget Input Data'!$D$23*0.6/('I_Inputs &amp; Assumptions'!$B$8/2),'I_Budget Input Data'!$D$23*0.2/('I_Inputs &amp; Assumptions'!$B$8/4))),IF('I_Budget Input Data'!$E$23="At Completion",IF(28='I_Inputs &amp; Assumptions'!$B$8,'I_Budget Input Data'!$D$23,0),'I_Budget Input Data'!$D$23/'I_Inputs &amp; Assumptions'!$B$8)))))),0)</f>
        <v>0</v>
      </c>
      <c r="AE23" s="91">
        <f>IF(29&lt;='I_Inputs &amp; Assumptions'!$B$8,IF('I_Budget Input Data'!$E$23="Upfront",IF(29=1,'I_Budget Input Data'!$D$23,0),IF('I_Budget Input Data'!$E$23="Equal",'I_Budget Input Data'!$D$23/'I_Inputs &amp; Assumptions'!$B$8,IF('I_Budget Input Data'!$E$23="Front-loaded",IF(29&lt;='I_Inputs &amp; Assumptions'!$B$8/2,'I_Budget Input Data'!$D$23*0.6/('I_Inputs &amp; Assumptions'!$B$8/2),'I_Budget Input Data'!$D$23*0.4/('I_Inputs &amp; Assumptions'!$B$8/2)),IF('I_Budget Input Data'!$E$23="Back-loaded",IF(29&lt;='I_Inputs &amp; Assumptions'!$B$8/2,'I_Budget Input Data'!$D$23*0.4/('I_Inputs &amp; Assumptions'!$B$8/2),'I_Budget Input Data'!$D$23*0.6/('I_Inputs &amp; Assumptions'!$B$8/2)),IF('I_Budget Input Data'!$E$23="Mid-weighted",IF(29&lt;='I_Inputs &amp; Assumptions'!$B$8/4,'I_Budget Input Data'!$D$23*0.2/('I_Inputs &amp; Assumptions'!$B$8/4),IF(29&lt;='I_Inputs &amp; Assumptions'!$B$8*0.75,'I_Budget Input Data'!$D$23*0.6/('I_Inputs &amp; Assumptions'!$B$8/2),'I_Budget Input Data'!$D$23*0.2/('I_Inputs &amp; Assumptions'!$B$8/4))),IF('I_Budget Input Data'!$E$23="At Completion",IF(29='I_Inputs &amp; Assumptions'!$B$8,'I_Budget Input Data'!$D$23,0),'I_Budget Input Data'!$D$23/'I_Inputs &amp; Assumptions'!$B$8)))))),0)</f>
        <v>0</v>
      </c>
      <c r="AF23" s="91">
        <f>IF(30&lt;='I_Inputs &amp; Assumptions'!$B$8,IF('I_Budget Input Data'!$E$23="Upfront",IF(30=1,'I_Budget Input Data'!$D$23,0),IF('I_Budget Input Data'!$E$23="Equal",'I_Budget Input Data'!$D$23/'I_Inputs &amp; Assumptions'!$B$8,IF('I_Budget Input Data'!$E$23="Front-loaded",IF(30&lt;='I_Inputs &amp; Assumptions'!$B$8/2,'I_Budget Input Data'!$D$23*0.6/('I_Inputs &amp; Assumptions'!$B$8/2),'I_Budget Input Data'!$D$23*0.4/('I_Inputs &amp; Assumptions'!$B$8/2)),IF('I_Budget Input Data'!$E$23="Back-loaded",IF(30&lt;='I_Inputs &amp; Assumptions'!$B$8/2,'I_Budget Input Data'!$D$23*0.4/('I_Inputs &amp; Assumptions'!$B$8/2),'I_Budget Input Data'!$D$23*0.6/('I_Inputs &amp; Assumptions'!$B$8/2)),IF('I_Budget Input Data'!$E$23="Mid-weighted",IF(30&lt;='I_Inputs &amp; Assumptions'!$B$8/4,'I_Budget Input Data'!$D$23*0.2/('I_Inputs &amp; Assumptions'!$B$8/4),IF(30&lt;='I_Inputs &amp; Assumptions'!$B$8*0.75,'I_Budget Input Data'!$D$23*0.6/('I_Inputs &amp; Assumptions'!$B$8/2),'I_Budget Input Data'!$D$23*0.2/('I_Inputs &amp; Assumptions'!$B$8/4))),IF('I_Budget Input Data'!$E$23="At Completion",IF(30='I_Inputs &amp; Assumptions'!$B$8,'I_Budget Input Data'!$D$23,0),'I_Budget Input Data'!$D$23/'I_Inputs &amp; Assumptions'!$B$8)))))),0)</f>
        <v>0</v>
      </c>
      <c r="AG23" s="91">
        <f>IF(31&lt;='I_Inputs &amp; Assumptions'!$B$8,IF('I_Budget Input Data'!$E$23="Upfront",IF(31=1,'I_Budget Input Data'!$D$23,0),IF('I_Budget Input Data'!$E$23="Equal",'I_Budget Input Data'!$D$23/'I_Inputs &amp; Assumptions'!$B$8,IF('I_Budget Input Data'!$E$23="Front-loaded",IF(31&lt;='I_Inputs &amp; Assumptions'!$B$8/2,'I_Budget Input Data'!$D$23*0.6/('I_Inputs &amp; Assumptions'!$B$8/2),'I_Budget Input Data'!$D$23*0.4/('I_Inputs &amp; Assumptions'!$B$8/2)),IF('I_Budget Input Data'!$E$23="Back-loaded",IF(31&lt;='I_Inputs &amp; Assumptions'!$B$8/2,'I_Budget Input Data'!$D$23*0.4/('I_Inputs &amp; Assumptions'!$B$8/2),'I_Budget Input Data'!$D$23*0.6/('I_Inputs &amp; Assumptions'!$B$8/2)),IF('I_Budget Input Data'!$E$23="Mid-weighted",IF(31&lt;='I_Inputs &amp; Assumptions'!$B$8/4,'I_Budget Input Data'!$D$23*0.2/('I_Inputs &amp; Assumptions'!$B$8/4),IF(31&lt;='I_Inputs &amp; Assumptions'!$B$8*0.75,'I_Budget Input Data'!$D$23*0.6/('I_Inputs &amp; Assumptions'!$B$8/2),'I_Budget Input Data'!$D$23*0.2/('I_Inputs &amp; Assumptions'!$B$8/4))),IF('I_Budget Input Data'!$E$23="At Completion",IF(31='I_Inputs &amp; Assumptions'!$B$8,'I_Budget Input Data'!$D$23,0),'I_Budget Input Data'!$D$23/'I_Inputs &amp; Assumptions'!$B$8)))))),0)</f>
        <v>0</v>
      </c>
      <c r="AH23" s="91">
        <f>IF(32&lt;='I_Inputs &amp; Assumptions'!$B$8,IF('I_Budget Input Data'!$E$23="Upfront",IF(32=1,'I_Budget Input Data'!$D$23,0),IF('I_Budget Input Data'!$E$23="Equal",'I_Budget Input Data'!$D$23/'I_Inputs &amp; Assumptions'!$B$8,IF('I_Budget Input Data'!$E$23="Front-loaded",IF(32&lt;='I_Inputs &amp; Assumptions'!$B$8/2,'I_Budget Input Data'!$D$23*0.6/('I_Inputs &amp; Assumptions'!$B$8/2),'I_Budget Input Data'!$D$23*0.4/('I_Inputs &amp; Assumptions'!$B$8/2)),IF('I_Budget Input Data'!$E$23="Back-loaded",IF(32&lt;='I_Inputs &amp; Assumptions'!$B$8/2,'I_Budget Input Data'!$D$23*0.4/('I_Inputs &amp; Assumptions'!$B$8/2),'I_Budget Input Data'!$D$23*0.6/('I_Inputs &amp; Assumptions'!$B$8/2)),IF('I_Budget Input Data'!$E$23="Mid-weighted",IF(32&lt;='I_Inputs &amp; Assumptions'!$B$8/4,'I_Budget Input Data'!$D$23*0.2/('I_Inputs &amp; Assumptions'!$B$8/4),IF(32&lt;='I_Inputs &amp; Assumptions'!$B$8*0.75,'I_Budget Input Data'!$D$23*0.6/('I_Inputs &amp; Assumptions'!$B$8/2),'I_Budget Input Data'!$D$23*0.2/('I_Inputs &amp; Assumptions'!$B$8/4))),IF('I_Budget Input Data'!$E$23="At Completion",IF(32='I_Inputs &amp; Assumptions'!$B$8,'I_Budget Input Data'!$D$23,0),'I_Budget Input Data'!$D$23/'I_Inputs &amp; Assumptions'!$B$8)))))),0)</f>
        <v>0</v>
      </c>
      <c r="AI23" s="91">
        <f>IF(33&lt;='I_Inputs &amp; Assumptions'!$B$8,IF('I_Budget Input Data'!$E$23="Upfront",IF(33=1,'I_Budget Input Data'!$D$23,0),IF('I_Budget Input Data'!$E$23="Equal",'I_Budget Input Data'!$D$23/'I_Inputs &amp; Assumptions'!$B$8,IF('I_Budget Input Data'!$E$23="Front-loaded",IF(33&lt;='I_Inputs &amp; Assumptions'!$B$8/2,'I_Budget Input Data'!$D$23*0.6/('I_Inputs &amp; Assumptions'!$B$8/2),'I_Budget Input Data'!$D$23*0.4/('I_Inputs &amp; Assumptions'!$B$8/2)),IF('I_Budget Input Data'!$E$23="Back-loaded",IF(33&lt;='I_Inputs &amp; Assumptions'!$B$8/2,'I_Budget Input Data'!$D$23*0.4/('I_Inputs &amp; Assumptions'!$B$8/2),'I_Budget Input Data'!$D$23*0.6/('I_Inputs &amp; Assumptions'!$B$8/2)),IF('I_Budget Input Data'!$E$23="Mid-weighted",IF(33&lt;='I_Inputs &amp; Assumptions'!$B$8/4,'I_Budget Input Data'!$D$23*0.2/('I_Inputs &amp; Assumptions'!$B$8/4),IF(33&lt;='I_Inputs &amp; Assumptions'!$B$8*0.75,'I_Budget Input Data'!$D$23*0.6/('I_Inputs &amp; Assumptions'!$B$8/2),'I_Budget Input Data'!$D$23*0.2/('I_Inputs &amp; Assumptions'!$B$8/4))),IF('I_Budget Input Data'!$E$23="At Completion",IF(33='I_Inputs &amp; Assumptions'!$B$8,'I_Budget Input Data'!$D$23,0),'I_Budget Input Data'!$D$23/'I_Inputs &amp; Assumptions'!$B$8)))))),0)</f>
        <v>0</v>
      </c>
      <c r="AJ23" s="91">
        <f>IF(34&lt;='I_Inputs &amp; Assumptions'!$B$8,IF('I_Budget Input Data'!$E$23="Upfront",IF(34=1,'I_Budget Input Data'!$D$23,0),IF('I_Budget Input Data'!$E$23="Equal",'I_Budget Input Data'!$D$23/'I_Inputs &amp; Assumptions'!$B$8,IF('I_Budget Input Data'!$E$23="Front-loaded",IF(34&lt;='I_Inputs &amp; Assumptions'!$B$8/2,'I_Budget Input Data'!$D$23*0.6/('I_Inputs &amp; Assumptions'!$B$8/2),'I_Budget Input Data'!$D$23*0.4/('I_Inputs &amp; Assumptions'!$B$8/2)),IF('I_Budget Input Data'!$E$23="Back-loaded",IF(34&lt;='I_Inputs &amp; Assumptions'!$B$8/2,'I_Budget Input Data'!$D$23*0.4/('I_Inputs &amp; Assumptions'!$B$8/2),'I_Budget Input Data'!$D$23*0.6/('I_Inputs &amp; Assumptions'!$B$8/2)),IF('I_Budget Input Data'!$E$23="Mid-weighted",IF(34&lt;='I_Inputs &amp; Assumptions'!$B$8/4,'I_Budget Input Data'!$D$23*0.2/('I_Inputs &amp; Assumptions'!$B$8/4),IF(34&lt;='I_Inputs &amp; Assumptions'!$B$8*0.75,'I_Budget Input Data'!$D$23*0.6/('I_Inputs &amp; Assumptions'!$B$8/2),'I_Budget Input Data'!$D$23*0.2/('I_Inputs &amp; Assumptions'!$B$8/4))),IF('I_Budget Input Data'!$E$23="At Completion",IF(34='I_Inputs &amp; Assumptions'!$B$8,'I_Budget Input Data'!$D$23,0),'I_Budget Input Data'!$D$23/'I_Inputs &amp; Assumptions'!$B$8)))))),0)</f>
        <v>0</v>
      </c>
      <c r="AK23" s="91">
        <f>IF(35&lt;='I_Inputs &amp; Assumptions'!$B$8,IF('I_Budget Input Data'!$E$23="Upfront",IF(35=1,'I_Budget Input Data'!$D$23,0),IF('I_Budget Input Data'!$E$23="Equal",'I_Budget Input Data'!$D$23/'I_Inputs &amp; Assumptions'!$B$8,IF('I_Budget Input Data'!$E$23="Front-loaded",IF(35&lt;='I_Inputs &amp; Assumptions'!$B$8/2,'I_Budget Input Data'!$D$23*0.6/('I_Inputs &amp; Assumptions'!$B$8/2),'I_Budget Input Data'!$D$23*0.4/('I_Inputs &amp; Assumptions'!$B$8/2)),IF('I_Budget Input Data'!$E$23="Back-loaded",IF(35&lt;='I_Inputs &amp; Assumptions'!$B$8/2,'I_Budget Input Data'!$D$23*0.4/('I_Inputs &amp; Assumptions'!$B$8/2),'I_Budget Input Data'!$D$23*0.6/('I_Inputs &amp; Assumptions'!$B$8/2)),IF('I_Budget Input Data'!$E$23="Mid-weighted",IF(35&lt;='I_Inputs &amp; Assumptions'!$B$8/4,'I_Budget Input Data'!$D$23*0.2/('I_Inputs &amp; Assumptions'!$B$8/4),IF(35&lt;='I_Inputs &amp; Assumptions'!$B$8*0.75,'I_Budget Input Data'!$D$23*0.6/('I_Inputs &amp; Assumptions'!$B$8/2),'I_Budget Input Data'!$D$23*0.2/('I_Inputs &amp; Assumptions'!$B$8/4))),IF('I_Budget Input Data'!$E$23="At Completion",IF(35='I_Inputs &amp; Assumptions'!$B$8,'I_Budget Input Data'!$D$23,0),'I_Budget Input Data'!$D$23/'I_Inputs &amp; Assumptions'!$B$8)))))),0)</f>
        <v>0</v>
      </c>
      <c r="AL23" s="91">
        <f>IF(36&lt;='I_Inputs &amp; Assumptions'!$B$8,IF('I_Budget Input Data'!$E$23="Upfront",IF(36=1,'I_Budget Input Data'!$D$23,0),IF('I_Budget Input Data'!$E$23="Equal",'I_Budget Input Data'!$D$23/'I_Inputs &amp; Assumptions'!$B$8,IF('I_Budget Input Data'!$E$23="Front-loaded",IF(36&lt;='I_Inputs &amp; Assumptions'!$B$8/2,'I_Budget Input Data'!$D$23*0.6/('I_Inputs &amp; Assumptions'!$B$8/2),'I_Budget Input Data'!$D$23*0.4/('I_Inputs &amp; Assumptions'!$B$8/2)),IF('I_Budget Input Data'!$E$23="Back-loaded",IF(36&lt;='I_Inputs &amp; Assumptions'!$B$8/2,'I_Budget Input Data'!$D$23*0.4/('I_Inputs &amp; Assumptions'!$B$8/2),'I_Budget Input Data'!$D$23*0.6/('I_Inputs &amp; Assumptions'!$B$8/2)),IF('I_Budget Input Data'!$E$23="Mid-weighted",IF(36&lt;='I_Inputs &amp; Assumptions'!$B$8/4,'I_Budget Input Data'!$D$23*0.2/('I_Inputs &amp; Assumptions'!$B$8/4),IF(36&lt;='I_Inputs &amp; Assumptions'!$B$8*0.75,'I_Budget Input Data'!$D$23*0.6/('I_Inputs &amp; Assumptions'!$B$8/2),'I_Budget Input Data'!$D$23*0.2/('I_Inputs &amp; Assumptions'!$B$8/4))),IF('I_Budget Input Data'!$E$23="At Completion",IF(36='I_Inputs &amp; Assumptions'!$B$8,'I_Budget Input Data'!$D$23,0),'I_Budget Input Data'!$D$23/'I_Inputs &amp; Assumptions'!$B$8)))))),0)</f>
        <v>0</v>
      </c>
    </row>
    <row r="24" spans="1:38" ht="15" customHeight="1" x14ac:dyDescent="0.2">
      <c r="A24" t="s">
        <v>136</v>
      </c>
      <c r="B24" t="s">
        <v>145</v>
      </c>
      <c r="C24" s="91">
        <f>IF(1&lt;='I_Inputs &amp; Assumptions'!$B$8,IF('I_Budget Input Data'!$E$24="Upfront",IF(1=1,'I_Budget Input Data'!$D$24,0),IF('I_Budget Input Data'!$E$24="Equal",'I_Budget Input Data'!$D$24/'I_Inputs &amp; Assumptions'!$B$8,IF('I_Budget Input Data'!$E$24="Front-loaded",IF(1&lt;='I_Inputs &amp; Assumptions'!$B$8/2,'I_Budget Input Data'!$D$24*0.6/('I_Inputs &amp; Assumptions'!$B$8/2),'I_Budget Input Data'!$D$24*0.4/('I_Inputs &amp; Assumptions'!$B$8/2)),IF('I_Budget Input Data'!$E$24="Back-loaded",IF(1&lt;='I_Inputs &amp; Assumptions'!$B$8/2,'I_Budget Input Data'!$D$24*0.4/('I_Inputs &amp; Assumptions'!$B$8/2),'I_Budget Input Data'!$D$24*0.6/('I_Inputs &amp; Assumptions'!$B$8/2)),IF('I_Budget Input Data'!$E$24="Mid-weighted",IF(1&lt;='I_Inputs &amp; Assumptions'!$B$8/4,'I_Budget Input Data'!$D$24*0.2/('I_Inputs &amp; Assumptions'!$B$8/4),IF(1&lt;='I_Inputs &amp; Assumptions'!$B$8*0.75,'I_Budget Input Data'!$D$24*0.6/('I_Inputs &amp; Assumptions'!$B$8/2),'I_Budget Input Data'!$D$24*0.2/('I_Inputs &amp; Assumptions'!$B$8/4))),IF('I_Budget Input Data'!$E$24="At Completion",IF(1='I_Inputs &amp; Assumptions'!$B$8,'I_Budget Input Data'!$D$24,0),'I_Budget Input Data'!$D$24/'I_Inputs &amp; Assumptions'!$B$8)))))),0)</f>
        <v>11536.707692307691</v>
      </c>
      <c r="D24" s="91">
        <f>IF(2&lt;='I_Inputs &amp; Assumptions'!$B$8,IF('I_Budget Input Data'!$E$24="Upfront",IF(2=1,'I_Budget Input Data'!$D$24,0),IF('I_Budget Input Data'!$E$24="Equal",'I_Budget Input Data'!$D$24/'I_Inputs &amp; Assumptions'!$B$8,IF('I_Budget Input Data'!$E$24="Front-loaded",IF(2&lt;='I_Inputs &amp; Assumptions'!$B$8/2,'I_Budget Input Data'!$D$24*0.6/('I_Inputs &amp; Assumptions'!$B$8/2),'I_Budget Input Data'!$D$24*0.4/('I_Inputs &amp; Assumptions'!$B$8/2)),IF('I_Budget Input Data'!$E$24="Back-loaded",IF(2&lt;='I_Inputs &amp; Assumptions'!$B$8/2,'I_Budget Input Data'!$D$24*0.4/('I_Inputs &amp; Assumptions'!$B$8/2),'I_Budget Input Data'!$D$24*0.6/('I_Inputs &amp; Assumptions'!$B$8/2)),IF('I_Budget Input Data'!$E$24="Mid-weighted",IF(2&lt;='I_Inputs &amp; Assumptions'!$B$8/4,'I_Budget Input Data'!$D$24*0.2/('I_Inputs &amp; Assumptions'!$B$8/4),IF(2&lt;='I_Inputs &amp; Assumptions'!$B$8*0.75,'I_Budget Input Data'!$D$24*0.6/('I_Inputs &amp; Assumptions'!$B$8/2),'I_Budget Input Data'!$D$24*0.2/('I_Inputs &amp; Assumptions'!$B$8/4))),IF('I_Budget Input Data'!$E$24="At Completion",IF(2='I_Inputs &amp; Assumptions'!$B$8,'I_Budget Input Data'!$D$24,0),'I_Budget Input Data'!$D$24/'I_Inputs &amp; Assumptions'!$B$8)))))),0)</f>
        <v>11536.707692307691</v>
      </c>
      <c r="E24" s="91">
        <f>IF(3&lt;='I_Inputs &amp; Assumptions'!$B$8,IF('I_Budget Input Data'!$E$24="Upfront",IF(3=1,'I_Budget Input Data'!$D$24,0),IF('I_Budget Input Data'!$E$24="Equal",'I_Budget Input Data'!$D$24/'I_Inputs &amp; Assumptions'!$B$8,IF('I_Budget Input Data'!$E$24="Front-loaded",IF(3&lt;='I_Inputs &amp; Assumptions'!$B$8/2,'I_Budget Input Data'!$D$24*0.6/('I_Inputs &amp; Assumptions'!$B$8/2),'I_Budget Input Data'!$D$24*0.4/('I_Inputs &amp; Assumptions'!$B$8/2)),IF('I_Budget Input Data'!$E$24="Back-loaded",IF(3&lt;='I_Inputs &amp; Assumptions'!$B$8/2,'I_Budget Input Data'!$D$24*0.4/('I_Inputs &amp; Assumptions'!$B$8/2),'I_Budget Input Data'!$D$24*0.6/('I_Inputs &amp; Assumptions'!$B$8/2)),IF('I_Budget Input Data'!$E$24="Mid-weighted",IF(3&lt;='I_Inputs &amp; Assumptions'!$B$8/4,'I_Budget Input Data'!$D$24*0.2/('I_Inputs &amp; Assumptions'!$B$8/4),IF(3&lt;='I_Inputs &amp; Assumptions'!$B$8*0.75,'I_Budget Input Data'!$D$24*0.6/('I_Inputs &amp; Assumptions'!$B$8/2),'I_Budget Input Data'!$D$24*0.2/('I_Inputs &amp; Assumptions'!$B$8/4))),IF('I_Budget Input Data'!$E$24="At Completion",IF(3='I_Inputs &amp; Assumptions'!$B$8,'I_Budget Input Data'!$D$24,0),'I_Budget Input Data'!$D$24/'I_Inputs &amp; Assumptions'!$B$8)))))),0)</f>
        <v>11536.707692307691</v>
      </c>
      <c r="F24" s="91">
        <f>IF(4&lt;='I_Inputs &amp; Assumptions'!$B$8,IF('I_Budget Input Data'!$E$24="Upfront",IF(4=1,'I_Budget Input Data'!$D$24,0),IF('I_Budget Input Data'!$E$24="Equal",'I_Budget Input Data'!$D$24/'I_Inputs &amp; Assumptions'!$B$8,IF('I_Budget Input Data'!$E$24="Front-loaded",IF(4&lt;='I_Inputs &amp; Assumptions'!$B$8/2,'I_Budget Input Data'!$D$24*0.6/('I_Inputs &amp; Assumptions'!$B$8/2),'I_Budget Input Data'!$D$24*0.4/('I_Inputs &amp; Assumptions'!$B$8/2)),IF('I_Budget Input Data'!$E$24="Back-loaded",IF(4&lt;='I_Inputs &amp; Assumptions'!$B$8/2,'I_Budget Input Data'!$D$24*0.4/('I_Inputs &amp; Assumptions'!$B$8/2),'I_Budget Input Data'!$D$24*0.6/('I_Inputs &amp; Assumptions'!$B$8/2)),IF('I_Budget Input Data'!$E$24="Mid-weighted",IF(4&lt;='I_Inputs &amp; Assumptions'!$B$8/4,'I_Budget Input Data'!$D$24*0.2/('I_Inputs &amp; Assumptions'!$B$8/4),IF(4&lt;='I_Inputs &amp; Assumptions'!$B$8*0.75,'I_Budget Input Data'!$D$24*0.6/('I_Inputs &amp; Assumptions'!$B$8/2),'I_Budget Input Data'!$D$24*0.2/('I_Inputs &amp; Assumptions'!$B$8/4))),IF('I_Budget Input Data'!$E$24="At Completion",IF(4='I_Inputs &amp; Assumptions'!$B$8,'I_Budget Input Data'!$D$24,0),'I_Budget Input Data'!$D$24/'I_Inputs &amp; Assumptions'!$B$8)))))),0)</f>
        <v>11536.707692307691</v>
      </c>
      <c r="G24" s="91">
        <f>IF(5&lt;='I_Inputs &amp; Assumptions'!$B$8,IF('I_Budget Input Data'!$E$24="Upfront",IF(5=1,'I_Budget Input Data'!$D$24,0),IF('I_Budget Input Data'!$E$24="Equal",'I_Budget Input Data'!$D$24/'I_Inputs &amp; Assumptions'!$B$8,IF('I_Budget Input Data'!$E$24="Front-loaded",IF(5&lt;='I_Inputs &amp; Assumptions'!$B$8/2,'I_Budget Input Data'!$D$24*0.6/('I_Inputs &amp; Assumptions'!$B$8/2),'I_Budget Input Data'!$D$24*0.4/('I_Inputs &amp; Assumptions'!$B$8/2)),IF('I_Budget Input Data'!$E$24="Back-loaded",IF(5&lt;='I_Inputs &amp; Assumptions'!$B$8/2,'I_Budget Input Data'!$D$24*0.4/('I_Inputs &amp; Assumptions'!$B$8/2),'I_Budget Input Data'!$D$24*0.6/('I_Inputs &amp; Assumptions'!$B$8/2)),IF('I_Budget Input Data'!$E$24="Mid-weighted",IF(5&lt;='I_Inputs &amp; Assumptions'!$B$8/4,'I_Budget Input Data'!$D$24*0.2/('I_Inputs &amp; Assumptions'!$B$8/4),IF(5&lt;='I_Inputs &amp; Assumptions'!$B$8*0.75,'I_Budget Input Data'!$D$24*0.6/('I_Inputs &amp; Assumptions'!$B$8/2),'I_Budget Input Data'!$D$24*0.2/('I_Inputs &amp; Assumptions'!$B$8/4))),IF('I_Budget Input Data'!$E$24="At Completion",IF(5='I_Inputs &amp; Assumptions'!$B$8,'I_Budget Input Data'!$D$24,0),'I_Budget Input Data'!$D$24/'I_Inputs &amp; Assumptions'!$B$8)))))),0)</f>
        <v>11536.707692307691</v>
      </c>
      <c r="H24" s="91">
        <f>IF(6&lt;='I_Inputs &amp; Assumptions'!$B$8,IF('I_Budget Input Data'!$E$24="Upfront",IF(6=1,'I_Budget Input Data'!$D$24,0),IF('I_Budget Input Data'!$E$24="Equal",'I_Budget Input Data'!$D$24/'I_Inputs &amp; Assumptions'!$B$8,IF('I_Budget Input Data'!$E$24="Front-loaded",IF(6&lt;='I_Inputs &amp; Assumptions'!$B$8/2,'I_Budget Input Data'!$D$24*0.6/('I_Inputs &amp; Assumptions'!$B$8/2),'I_Budget Input Data'!$D$24*0.4/('I_Inputs &amp; Assumptions'!$B$8/2)),IF('I_Budget Input Data'!$E$24="Back-loaded",IF(6&lt;='I_Inputs &amp; Assumptions'!$B$8/2,'I_Budget Input Data'!$D$24*0.4/('I_Inputs &amp; Assumptions'!$B$8/2),'I_Budget Input Data'!$D$24*0.6/('I_Inputs &amp; Assumptions'!$B$8/2)),IF('I_Budget Input Data'!$E$24="Mid-weighted",IF(6&lt;='I_Inputs &amp; Assumptions'!$B$8/4,'I_Budget Input Data'!$D$24*0.2/('I_Inputs &amp; Assumptions'!$B$8/4),IF(6&lt;='I_Inputs &amp; Assumptions'!$B$8*0.75,'I_Budget Input Data'!$D$24*0.6/('I_Inputs &amp; Assumptions'!$B$8/2),'I_Budget Input Data'!$D$24*0.2/('I_Inputs &amp; Assumptions'!$B$8/4))),IF('I_Budget Input Data'!$E$24="At Completion",IF(6='I_Inputs &amp; Assumptions'!$B$8,'I_Budget Input Data'!$D$24,0),'I_Budget Input Data'!$D$24/'I_Inputs &amp; Assumptions'!$B$8)))))),0)</f>
        <v>11536.707692307691</v>
      </c>
      <c r="I24" s="91">
        <f>IF(7&lt;='I_Inputs &amp; Assumptions'!$B$8,IF('I_Budget Input Data'!$E$24="Upfront",IF(7=1,'I_Budget Input Data'!$D$24,0),IF('I_Budget Input Data'!$E$24="Equal",'I_Budget Input Data'!$D$24/'I_Inputs &amp; Assumptions'!$B$8,IF('I_Budget Input Data'!$E$24="Front-loaded",IF(7&lt;='I_Inputs &amp; Assumptions'!$B$8/2,'I_Budget Input Data'!$D$24*0.6/('I_Inputs &amp; Assumptions'!$B$8/2),'I_Budget Input Data'!$D$24*0.4/('I_Inputs &amp; Assumptions'!$B$8/2)),IF('I_Budget Input Data'!$E$24="Back-loaded",IF(7&lt;='I_Inputs &amp; Assumptions'!$B$8/2,'I_Budget Input Data'!$D$24*0.4/('I_Inputs &amp; Assumptions'!$B$8/2),'I_Budget Input Data'!$D$24*0.6/('I_Inputs &amp; Assumptions'!$B$8/2)),IF('I_Budget Input Data'!$E$24="Mid-weighted",IF(7&lt;='I_Inputs &amp; Assumptions'!$B$8/4,'I_Budget Input Data'!$D$24*0.2/('I_Inputs &amp; Assumptions'!$B$8/4),IF(7&lt;='I_Inputs &amp; Assumptions'!$B$8*0.75,'I_Budget Input Data'!$D$24*0.6/('I_Inputs &amp; Assumptions'!$B$8/2),'I_Budget Input Data'!$D$24*0.2/('I_Inputs &amp; Assumptions'!$B$8/4))),IF('I_Budget Input Data'!$E$24="At Completion",IF(7='I_Inputs &amp; Assumptions'!$B$8,'I_Budget Input Data'!$D$24,0),'I_Budget Input Data'!$D$24/'I_Inputs &amp; Assumptions'!$B$8)))))),0)</f>
        <v>7691.1384615384613</v>
      </c>
      <c r="J24" s="91">
        <f>IF(8&lt;='I_Inputs &amp; Assumptions'!$B$8,IF('I_Budget Input Data'!$E$24="Upfront",IF(8=1,'I_Budget Input Data'!$D$24,0),IF('I_Budget Input Data'!$E$24="Equal",'I_Budget Input Data'!$D$24/'I_Inputs &amp; Assumptions'!$B$8,IF('I_Budget Input Data'!$E$24="Front-loaded",IF(8&lt;='I_Inputs &amp; Assumptions'!$B$8/2,'I_Budget Input Data'!$D$24*0.6/('I_Inputs &amp; Assumptions'!$B$8/2),'I_Budget Input Data'!$D$24*0.4/('I_Inputs &amp; Assumptions'!$B$8/2)),IF('I_Budget Input Data'!$E$24="Back-loaded",IF(8&lt;='I_Inputs &amp; Assumptions'!$B$8/2,'I_Budget Input Data'!$D$24*0.4/('I_Inputs &amp; Assumptions'!$B$8/2),'I_Budget Input Data'!$D$24*0.6/('I_Inputs &amp; Assumptions'!$B$8/2)),IF('I_Budget Input Data'!$E$24="Mid-weighted",IF(8&lt;='I_Inputs &amp; Assumptions'!$B$8/4,'I_Budget Input Data'!$D$24*0.2/('I_Inputs &amp; Assumptions'!$B$8/4),IF(8&lt;='I_Inputs &amp; Assumptions'!$B$8*0.75,'I_Budget Input Data'!$D$24*0.6/('I_Inputs &amp; Assumptions'!$B$8/2),'I_Budget Input Data'!$D$24*0.2/('I_Inputs &amp; Assumptions'!$B$8/4))),IF('I_Budget Input Data'!$E$24="At Completion",IF(8='I_Inputs &amp; Assumptions'!$B$8,'I_Budget Input Data'!$D$24,0),'I_Budget Input Data'!$D$24/'I_Inputs &amp; Assumptions'!$B$8)))))),0)</f>
        <v>7691.1384615384613</v>
      </c>
      <c r="K24" s="91">
        <f>IF(9&lt;='I_Inputs &amp; Assumptions'!$B$8,IF('I_Budget Input Data'!$E$24="Upfront",IF(9=1,'I_Budget Input Data'!$D$24,0),IF('I_Budget Input Data'!$E$24="Equal",'I_Budget Input Data'!$D$24/'I_Inputs &amp; Assumptions'!$B$8,IF('I_Budget Input Data'!$E$24="Front-loaded",IF(9&lt;='I_Inputs &amp; Assumptions'!$B$8/2,'I_Budget Input Data'!$D$24*0.6/('I_Inputs &amp; Assumptions'!$B$8/2),'I_Budget Input Data'!$D$24*0.4/('I_Inputs &amp; Assumptions'!$B$8/2)),IF('I_Budget Input Data'!$E$24="Back-loaded",IF(9&lt;='I_Inputs &amp; Assumptions'!$B$8/2,'I_Budget Input Data'!$D$24*0.4/('I_Inputs &amp; Assumptions'!$B$8/2),'I_Budget Input Data'!$D$24*0.6/('I_Inputs &amp; Assumptions'!$B$8/2)),IF('I_Budget Input Data'!$E$24="Mid-weighted",IF(9&lt;='I_Inputs &amp; Assumptions'!$B$8/4,'I_Budget Input Data'!$D$24*0.2/('I_Inputs &amp; Assumptions'!$B$8/4),IF(9&lt;='I_Inputs &amp; Assumptions'!$B$8*0.75,'I_Budget Input Data'!$D$24*0.6/('I_Inputs &amp; Assumptions'!$B$8/2),'I_Budget Input Data'!$D$24*0.2/('I_Inputs &amp; Assumptions'!$B$8/4))),IF('I_Budget Input Data'!$E$24="At Completion",IF(9='I_Inputs &amp; Assumptions'!$B$8,'I_Budget Input Data'!$D$24,0),'I_Budget Input Data'!$D$24/'I_Inputs &amp; Assumptions'!$B$8)))))),0)</f>
        <v>7691.1384615384613</v>
      </c>
      <c r="L24" s="91">
        <f>IF(10&lt;='I_Inputs &amp; Assumptions'!$B$8,IF('I_Budget Input Data'!$E$24="Upfront",IF(10=1,'I_Budget Input Data'!$D$24,0),IF('I_Budget Input Data'!$E$24="Equal",'I_Budget Input Data'!$D$24/'I_Inputs &amp; Assumptions'!$B$8,IF('I_Budget Input Data'!$E$24="Front-loaded",IF(10&lt;='I_Inputs &amp; Assumptions'!$B$8/2,'I_Budget Input Data'!$D$24*0.6/('I_Inputs &amp; Assumptions'!$B$8/2),'I_Budget Input Data'!$D$24*0.4/('I_Inputs &amp; Assumptions'!$B$8/2)),IF('I_Budget Input Data'!$E$24="Back-loaded",IF(10&lt;='I_Inputs &amp; Assumptions'!$B$8/2,'I_Budget Input Data'!$D$24*0.4/('I_Inputs &amp; Assumptions'!$B$8/2),'I_Budget Input Data'!$D$24*0.6/('I_Inputs &amp; Assumptions'!$B$8/2)),IF('I_Budget Input Data'!$E$24="Mid-weighted",IF(10&lt;='I_Inputs &amp; Assumptions'!$B$8/4,'I_Budget Input Data'!$D$24*0.2/('I_Inputs &amp; Assumptions'!$B$8/4),IF(10&lt;='I_Inputs &amp; Assumptions'!$B$8*0.75,'I_Budget Input Data'!$D$24*0.6/('I_Inputs &amp; Assumptions'!$B$8/2),'I_Budget Input Data'!$D$24*0.2/('I_Inputs &amp; Assumptions'!$B$8/4))),IF('I_Budget Input Data'!$E$24="At Completion",IF(10='I_Inputs &amp; Assumptions'!$B$8,'I_Budget Input Data'!$D$24,0),'I_Budget Input Data'!$D$24/'I_Inputs &amp; Assumptions'!$B$8)))))),0)</f>
        <v>7691.1384615384613</v>
      </c>
      <c r="M24" s="91">
        <f>IF(11&lt;='I_Inputs &amp; Assumptions'!$B$8,IF('I_Budget Input Data'!$E$24="Upfront",IF(11=1,'I_Budget Input Data'!$D$24,0),IF('I_Budget Input Data'!$E$24="Equal",'I_Budget Input Data'!$D$24/'I_Inputs &amp; Assumptions'!$B$8,IF('I_Budget Input Data'!$E$24="Front-loaded",IF(11&lt;='I_Inputs &amp; Assumptions'!$B$8/2,'I_Budget Input Data'!$D$24*0.6/('I_Inputs &amp; Assumptions'!$B$8/2),'I_Budget Input Data'!$D$24*0.4/('I_Inputs &amp; Assumptions'!$B$8/2)),IF('I_Budget Input Data'!$E$24="Back-loaded",IF(11&lt;='I_Inputs &amp; Assumptions'!$B$8/2,'I_Budget Input Data'!$D$24*0.4/('I_Inputs &amp; Assumptions'!$B$8/2),'I_Budget Input Data'!$D$24*0.6/('I_Inputs &amp; Assumptions'!$B$8/2)),IF('I_Budget Input Data'!$E$24="Mid-weighted",IF(11&lt;='I_Inputs &amp; Assumptions'!$B$8/4,'I_Budget Input Data'!$D$24*0.2/('I_Inputs &amp; Assumptions'!$B$8/4),IF(11&lt;='I_Inputs &amp; Assumptions'!$B$8*0.75,'I_Budget Input Data'!$D$24*0.6/('I_Inputs &amp; Assumptions'!$B$8/2),'I_Budget Input Data'!$D$24*0.2/('I_Inputs &amp; Assumptions'!$B$8/4))),IF('I_Budget Input Data'!$E$24="At Completion",IF(11='I_Inputs &amp; Assumptions'!$B$8,'I_Budget Input Data'!$D$24,0),'I_Budget Input Data'!$D$24/'I_Inputs &amp; Assumptions'!$B$8)))))),0)</f>
        <v>7691.1384615384613</v>
      </c>
      <c r="N24" s="91">
        <f>IF(12&lt;='I_Inputs &amp; Assumptions'!$B$8,IF('I_Budget Input Data'!$E$24="Upfront",IF(12=1,'I_Budget Input Data'!$D$24,0),IF('I_Budget Input Data'!$E$24="Equal",'I_Budget Input Data'!$D$24/'I_Inputs &amp; Assumptions'!$B$8,IF('I_Budget Input Data'!$E$24="Front-loaded",IF(12&lt;='I_Inputs &amp; Assumptions'!$B$8/2,'I_Budget Input Data'!$D$24*0.6/('I_Inputs &amp; Assumptions'!$B$8/2),'I_Budget Input Data'!$D$24*0.4/('I_Inputs &amp; Assumptions'!$B$8/2)),IF('I_Budget Input Data'!$E$24="Back-loaded",IF(12&lt;='I_Inputs &amp; Assumptions'!$B$8/2,'I_Budget Input Data'!$D$24*0.4/('I_Inputs &amp; Assumptions'!$B$8/2),'I_Budget Input Data'!$D$24*0.6/('I_Inputs &amp; Assumptions'!$B$8/2)),IF('I_Budget Input Data'!$E$24="Mid-weighted",IF(12&lt;='I_Inputs &amp; Assumptions'!$B$8/4,'I_Budget Input Data'!$D$24*0.2/('I_Inputs &amp; Assumptions'!$B$8/4),IF(12&lt;='I_Inputs &amp; Assumptions'!$B$8*0.75,'I_Budget Input Data'!$D$24*0.6/('I_Inputs &amp; Assumptions'!$B$8/2),'I_Budget Input Data'!$D$24*0.2/('I_Inputs &amp; Assumptions'!$B$8/4))),IF('I_Budget Input Data'!$E$24="At Completion",IF(12='I_Inputs &amp; Assumptions'!$B$8,'I_Budget Input Data'!$D$24,0),'I_Budget Input Data'!$D$24/'I_Inputs &amp; Assumptions'!$B$8)))))),0)</f>
        <v>7691.1384615384613</v>
      </c>
      <c r="O24" s="91">
        <f>IF(13&lt;='I_Inputs &amp; Assumptions'!$B$8,IF('I_Budget Input Data'!$E$24="Upfront",IF(13=1,'I_Budget Input Data'!$D$24,0),IF('I_Budget Input Data'!$E$24="Equal",'I_Budget Input Data'!$D$24/'I_Inputs &amp; Assumptions'!$B$8,IF('I_Budget Input Data'!$E$24="Front-loaded",IF(13&lt;='I_Inputs &amp; Assumptions'!$B$8/2,'I_Budget Input Data'!$D$24*0.6/('I_Inputs &amp; Assumptions'!$B$8/2),'I_Budget Input Data'!$D$24*0.4/('I_Inputs &amp; Assumptions'!$B$8/2)),IF('I_Budget Input Data'!$E$24="Back-loaded",IF(13&lt;='I_Inputs &amp; Assumptions'!$B$8/2,'I_Budget Input Data'!$D$24*0.4/('I_Inputs &amp; Assumptions'!$B$8/2),'I_Budget Input Data'!$D$24*0.6/('I_Inputs &amp; Assumptions'!$B$8/2)),IF('I_Budget Input Data'!$E$24="Mid-weighted",IF(13&lt;='I_Inputs &amp; Assumptions'!$B$8/4,'I_Budget Input Data'!$D$24*0.2/('I_Inputs &amp; Assumptions'!$B$8/4),IF(13&lt;='I_Inputs &amp; Assumptions'!$B$8*0.75,'I_Budget Input Data'!$D$24*0.6/('I_Inputs &amp; Assumptions'!$B$8/2),'I_Budget Input Data'!$D$24*0.2/('I_Inputs &amp; Assumptions'!$B$8/4))),IF('I_Budget Input Data'!$E$24="At Completion",IF(13='I_Inputs &amp; Assumptions'!$B$8,'I_Budget Input Data'!$D$24,0),'I_Budget Input Data'!$D$24/'I_Inputs &amp; Assumptions'!$B$8)))))),0)</f>
        <v>7691.1384615384613</v>
      </c>
      <c r="P24" s="91">
        <f>IF(14&lt;='I_Inputs &amp; Assumptions'!$B$8,IF('I_Budget Input Data'!$E$24="Upfront",IF(14=1,'I_Budget Input Data'!$D$24,0),IF('I_Budget Input Data'!$E$24="Equal",'I_Budget Input Data'!$D$24/'I_Inputs &amp; Assumptions'!$B$8,IF('I_Budget Input Data'!$E$24="Front-loaded",IF(14&lt;='I_Inputs &amp; Assumptions'!$B$8/2,'I_Budget Input Data'!$D$24*0.6/('I_Inputs &amp; Assumptions'!$B$8/2),'I_Budget Input Data'!$D$24*0.4/('I_Inputs &amp; Assumptions'!$B$8/2)),IF('I_Budget Input Data'!$E$24="Back-loaded",IF(14&lt;='I_Inputs &amp; Assumptions'!$B$8/2,'I_Budget Input Data'!$D$24*0.4/('I_Inputs &amp; Assumptions'!$B$8/2),'I_Budget Input Data'!$D$24*0.6/('I_Inputs &amp; Assumptions'!$B$8/2)),IF('I_Budget Input Data'!$E$24="Mid-weighted",IF(14&lt;='I_Inputs &amp; Assumptions'!$B$8/4,'I_Budget Input Data'!$D$24*0.2/('I_Inputs &amp; Assumptions'!$B$8/4),IF(14&lt;='I_Inputs &amp; Assumptions'!$B$8*0.75,'I_Budget Input Data'!$D$24*0.6/('I_Inputs &amp; Assumptions'!$B$8/2),'I_Budget Input Data'!$D$24*0.2/('I_Inputs &amp; Assumptions'!$B$8/4))),IF('I_Budget Input Data'!$E$24="At Completion",IF(14='I_Inputs &amp; Assumptions'!$B$8,'I_Budget Input Data'!$D$24,0),'I_Budget Input Data'!$D$24/'I_Inputs &amp; Assumptions'!$B$8)))))),0)</f>
        <v>0</v>
      </c>
      <c r="Q24" s="91">
        <f>IF(15&lt;='I_Inputs &amp; Assumptions'!$B$8,IF('I_Budget Input Data'!$E$24="Upfront",IF(15=1,'I_Budget Input Data'!$D$24,0),IF('I_Budget Input Data'!$E$24="Equal",'I_Budget Input Data'!$D$24/'I_Inputs &amp; Assumptions'!$B$8,IF('I_Budget Input Data'!$E$24="Front-loaded",IF(15&lt;='I_Inputs &amp; Assumptions'!$B$8/2,'I_Budget Input Data'!$D$24*0.6/('I_Inputs &amp; Assumptions'!$B$8/2),'I_Budget Input Data'!$D$24*0.4/('I_Inputs &amp; Assumptions'!$B$8/2)),IF('I_Budget Input Data'!$E$24="Back-loaded",IF(15&lt;='I_Inputs &amp; Assumptions'!$B$8/2,'I_Budget Input Data'!$D$24*0.4/('I_Inputs &amp; Assumptions'!$B$8/2),'I_Budget Input Data'!$D$24*0.6/('I_Inputs &amp; Assumptions'!$B$8/2)),IF('I_Budget Input Data'!$E$24="Mid-weighted",IF(15&lt;='I_Inputs &amp; Assumptions'!$B$8/4,'I_Budget Input Data'!$D$24*0.2/('I_Inputs &amp; Assumptions'!$B$8/4),IF(15&lt;='I_Inputs &amp; Assumptions'!$B$8*0.75,'I_Budget Input Data'!$D$24*0.6/('I_Inputs &amp; Assumptions'!$B$8/2),'I_Budget Input Data'!$D$24*0.2/('I_Inputs &amp; Assumptions'!$B$8/4))),IF('I_Budget Input Data'!$E$24="At Completion",IF(15='I_Inputs &amp; Assumptions'!$B$8,'I_Budget Input Data'!$D$24,0),'I_Budget Input Data'!$D$24/'I_Inputs &amp; Assumptions'!$B$8)))))),0)</f>
        <v>0</v>
      </c>
      <c r="R24" s="91">
        <f>IF(16&lt;='I_Inputs &amp; Assumptions'!$B$8,IF('I_Budget Input Data'!$E$24="Upfront",IF(16=1,'I_Budget Input Data'!$D$24,0),IF('I_Budget Input Data'!$E$24="Equal",'I_Budget Input Data'!$D$24/'I_Inputs &amp; Assumptions'!$B$8,IF('I_Budget Input Data'!$E$24="Front-loaded",IF(16&lt;='I_Inputs &amp; Assumptions'!$B$8/2,'I_Budget Input Data'!$D$24*0.6/('I_Inputs &amp; Assumptions'!$B$8/2),'I_Budget Input Data'!$D$24*0.4/('I_Inputs &amp; Assumptions'!$B$8/2)),IF('I_Budget Input Data'!$E$24="Back-loaded",IF(16&lt;='I_Inputs &amp; Assumptions'!$B$8/2,'I_Budget Input Data'!$D$24*0.4/('I_Inputs &amp; Assumptions'!$B$8/2),'I_Budget Input Data'!$D$24*0.6/('I_Inputs &amp; Assumptions'!$B$8/2)),IF('I_Budget Input Data'!$E$24="Mid-weighted",IF(16&lt;='I_Inputs &amp; Assumptions'!$B$8/4,'I_Budget Input Data'!$D$24*0.2/('I_Inputs &amp; Assumptions'!$B$8/4),IF(16&lt;='I_Inputs &amp; Assumptions'!$B$8*0.75,'I_Budget Input Data'!$D$24*0.6/('I_Inputs &amp; Assumptions'!$B$8/2),'I_Budget Input Data'!$D$24*0.2/('I_Inputs &amp; Assumptions'!$B$8/4))),IF('I_Budget Input Data'!$E$24="At Completion",IF(16='I_Inputs &amp; Assumptions'!$B$8,'I_Budget Input Data'!$D$24,0),'I_Budget Input Data'!$D$24/'I_Inputs &amp; Assumptions'!$B$8)))))),0)</f>
        <v>0</v>
      </c>
      <c r="S24" s="91">
        <f>IF(17&lt;='I_Inputs &amp; Assumptions'!$B$8,IF('I_Budget Input Data'!$E$24="Upfront",IF(17=1,'I_Budget Input Data'!$D$24,0),IF('I_Budget Input Data'!$E$24="Equal",'I_Budget Input Data'!$D$24/'I_Inputs &amp; Assumptions'!$B$8,IF('I_Budget Input Data'!$E$24="Front-loaded",IF(17&lt;='I_Inputs &amp; Assumptions'!$B$8/2,'I_Budget Input Data'!$D$24*0.6/('I_Inputs &amp; Assumptions'!$B$8/2),'I_Budget Input Data'!$D$24*0.4/('I_Inputs &amp; Assumptions'!$B$8/2)),IF('I_Budget Input Data'!$E$24="Back-loaded",IF(17&lt;='I_Inputs &amp; Assumptions'!$B$8/2,'I_Budget Input Data'!$D$24*0.4/('I_Inputs &amp; Assumptions'!$B$8/2),'I_Budget Input Data'!$D$24*0.6/('I_Inputs &amp; Assumptions'!$B$8/2)),IF('I_Budget Input Data'!$E$24="Mid-weighted",IF(17&lt;='I_Inputs &amp; Assumptions'!$B$8/4,'I_Budget Input Data'!$D$24*0.2/('I_Inputs &amp; Assumptions'!$B$8/4),IF(17&lt;='I_Inputs &amp; Assumptions'!$B$8*0.75,'I_Budget Input Data'!$D$24*0.6/('I_Inputs &amp; Assumptions'!$B$8/2),'I_Budget Input Data'!$D$24*0.2/('I_Inputs &amp; Assumptions'!$B$8/4))),IF('I_Budget Input Data'!$E$24="At Completion",IF(17='I_Inputs &amp; Assumptions'!$B$8,'I_Budget Input Data'!$D$24,0),'I_Budget Input Data'!$D$24/'I_Inputs &amp; Assumptions'!$B$8)))))),0)</f>
        <v>0</v>
      </c>
      <c r="T24" s="91">
        <f>IF(18&lt;='I_Inputs &amp; Assumptions'!$B$8,IF('I_Budget Input Data'!$E$24="Upfront",IF(18=1,'I_Budget Input Data'!$D$24,0),IF('I_Budget Input Data'!$E$24="Equal",'I_Budget Input Data'!$D$24/'I_Inputs &amp; Assumptions'!$B$8,IF('I_Budget Input Data'!$E$24="Front-loaded",IF(18&lt;='I_Inputs &amp; Assumptions'!$B$8/2,'I_Budget Input Data'!$D$24*0.6/('I_Inputs &amp; Assumptions'!$B$8/2),'I_Budget Input Data'!$D$24*0.4/('I_Inputs &amp; Assumptions'!$B$8/2)),IF('I_Budget Input Data'!$E$24="Back-loaded",IF(18&lt;='I_Inputs &amp; Assumptions'!$B$8/2,'I_Budget Input Data'!$D$24*0.4/('I_Inputs &amp; Assumptions'!$B$8/2),'I_Budget Input Data'!$D$24*0.6/('I_Inputs &amp; Assumptions'!$B$8/2)),IF('I_Budget Input Data'!$E$24="Mid-weighted",IF(18&lt;='I_Inputs &amp; Assumptions'!$B$8/4,'I_Budget Input Data'!$D$24*0.2/('I_Inputs &amp; Assumptions'!$B$8/4),IF(18&lt;='I_Inputs &amp; Assumptions'!$B$8*0.75,'I_Budget Input Data'!$D$24*0.6/('I_Inputs &amp; Assumptions'!$B$8/2),'I_Budget Input Data'!$D$24*0.2/('I_Inputs &amp; Assumptions'!$B$8/4))),IF('I_Budget Input Data'!$E$24="At Completion",IF(18='I_Inputs &amp; Assumptions'!$B$8,'I_Budget Input Data'!$D$24,0),'I_Budget Input Data'!$D$24/'I_Inputs &amp; Assumptions'!$B$8)))))),0)</f>
        <v>0</v>
      </c>
      <c r="U24" s="91">
        <f>IF(19&lt;='I_Inputs &amp; Assumptions'!$B$8,IF('I_Budget Input Data'!$E$24="Upfront",IF(19=1,'I_Budget Input Data'!$D$24,0),IF('I_Budget Input Data'!$E$24="Equal",'I_Budget Input Data'!$D$24/'I_Inputs &amp; Assumptions'!$B$8,IF('I_Budget Input Data'!$E$24="Front-loaded",IF(19&lt;='I_Inputs &amp; Assumptions'!$B$8/2,'I_Budget Input Data'!$D$24*0.6/('I_Inputs &amp; Assumptions'!$B$8/2),'I_Budget Input Data'!$D$24*0.4/('I_Inputs &amp; Assumptions'!$B$8/2)),IF('I_Budget Input Data'!$E$24="Back-loaded",IF(19&lt;='I_Inputs &amp; Assumptions'!$B$8/2,'I_Budget Input Data'!$D$24*0.4/('I_Inputs &amp; Assumptions'!$B$8/2),'I_Budget Input Data'!$D$24*0.6/('I_Inputs &amp; Assumptions'!$B$8/2)),IF('I_Budget Input Data'!$E$24="Mid-weighted",IF(19&lt;='I_Inputs &amp; Assumptions'!$B$8/4,'I_Budget Input Data'!$D$24*0.2/('I_Inputs &amp; Assumptions'!$B$8/4),IF(19&lt;='I_Inputs &amp; Assumptions'!$B$8*0.75,'I_Budget Input Data'!$D$24*0.6/('I_Inputs &amp; Assumptions'!$B$8/2),'I_Budget Input Data'!$D$24*0.2/('I_Inputs &amp; Assumptions'!$B$8/4))),IF('I_Budget Input Data'!$E$24="At Completion",IF(19='I_Inputs &amp; Assumptions'!$B$8,'I_Budget Input Data'!$D$24,0),'I_Budget Input Data'!$D$24/'I_Inputs &amp; Assumptions'!$B$8)))))),0)</f>
        <v>0</v>
      </c>
      <c r="V24" s="91">
        <f>IF(20&lt;='I_Inputs &amp; Assumptions'!$B$8,IF('I_Budget Input Data'!$E$24="Upfront",IF(20=1,'I_Budget Input Data'!$D$24,0),IF('I_Budget Input Data'!$E$24="Equal",'I_Budget Input Data'!$D$24/'I_Inputs &amp; Assumptions'!$B$8,IF('I_Budget Input Data'!$E$24="Front-loaded",IF(20&lt;='I_Inputs &amp; Assumptions'!$B$8/2,'I_Budget Input Data'!$D$24*0.6/('I_Inputs &amp; Assumptions'!$B$8/2),'I_Budget Input Data'!$D$24*0.4/('I_Inputs &amp; Assumptions'!$B$8/2)),IF('I_Budget Input Data'!$E$24="Back-loaded",IF(20&lt;='I_Inputs &amp; Assumptions'!$B$8/2,'I_Budget Input Data'!$D$24*0.4/('I_Inputs &amp; Assumptions'!$B$8/2),'I_Budget Input Data'!$D$24*0.6/('I_Inputs &amp; Assumptions'!$B$8/2)),IF('I_Budget Input Data'!$E$24="Mid-weighted",IF(20&lt;='I_Inputs &amp; Assumptions'!$B$8/4,'I_Budget Input Data'!$D$24*0.2/('I_Inputs &amp; Assumptions'!$B$8/4),IF(20&lt;='I_Inputs &amp; Assumptions'!$B$8*0.75,'I_Budget Input Data'!$D$24*0.6/('I_Inputs &amp; Assumptions'!$B$8/2),'I_Budget Input Data'!$D$24*0.2/('I_Inputs &amp; Assumptions'!$B$8/4))),IF('I_Budget Input Data'!$E$24="At Completion",IF(20='I_Inputs &amp; Assumptions'!$B$8,'I_Budget Input Data'!$D$24,0),'I_Budget Input Data'!$D$24/'I_Inputs &amp; Assumptions'!$B$8)))))),0)</f>
        <v>0</v>
      </c>
      <c r="W24" s="91">
        <f>IF(21&lt;='I_Inputs &amp; Assumptions'!$B$8,IF('I_Budget Input Data'!$E$24="Upfront",IF(21=1,'I_Budget Input Data'!$D$24,0),IF('I_Budget Input Data'!$E$24="Equal",'I_Budget Input Data'!$D$24/'I_Inputs &amp; Assumptions'!$B$8,IF('I_Budget Input Data'!$E$24="Front-loaded",IF(21&lt;='I_Inputs &amp; Assumptions'!$B$8/2,'I_Budget Input Data'!$D$24*0.6/('I_Inputs &amp; Assumptions'!$B$8/2),'I_Budget Input Data'!$D$24*0.4/('I_Inputs &amp; Assumptions'!$B$8/2)),IF('I_Budget Input Data'!$E$24="Back-loaded",IF(21&lt;='I_Inputs &amp; Assumptions'!$B$8/2,'I_Budget Input Data'!$D$24*0.4/('I_Inputs &amp; Assumptions'!$B$8/2),'I_Budget Input Data'!$D$24*0.6/('I_Inputs &amp; Assumptions'!$B$8/2)),IF('I_Budget Input Data'!$E$24="Mid-weighted",IF(21&lt;='I_Inputs &amp; Assumptions'!$B$8/4,'I_Budget Input Data'!$D$24*0.2/('I_Inputs &amp; Assumptions'!$B$8/4),IF(21&lt;='I_Inputs &amp; Assumptions'!$B$8*0.75,'I_Budget Input Data'!$D$24*0.6/('I_Inputs &amp; Assumptions'!$B$8/2),'I_Budget Input Data'!$D$24*0.2/('I_Inputs &amp; Assumptions'!$B$8/4))),IF('I_Budget Input Data'!$E$24="At Completion",IF(21='I_Inputs &amp; Assumptions'!$B$8,'I_Budget Input Data'!$D$24,0),'I_Budget Input Data'!$D$24/'I_Inputs &amp; Assumptions'!$B$8)))))),0)</f>
        <v>0</v>
      </c>
      <c r="X24" s="91">
        <f>IF(22&lt;='I_Inputs &amp; Assumptions'!$B$8,IF('I_Budget Input Data'!$E$24="Upfront",IF(22=1,'I_Budget Input Data'!$D$24,0),IF('I_Budget Input Data'!$E$24="Equal",'I_Budget Input Data'!$D$24/'I_Inputs &amp; Assumptions'!$B$8,IF('I_Budget Input Data'!$E$24="Front-loaded",IF(22&lt;='I_Inputs &amp; Assumptions'!$B$8/2,'I_Budget Input Data'!$D$24*0.6/('I_Inputs &amp; Assumptions'!$B$8/2),'I_Budget Input Data'!$D$24*0.4/('I_Inputs &amp; Assumptions'!$B$8/2)),IF('I_Budget Input Data'!$E$24="Back-loaded",IF(22&lt;='I_Inputs &amp; Assumptions'!$B$8/2,'I_Budget Input Data'!$D$24*0.4/('I_Inputs &amp; Assumptions'!$B$8/2),'I_Budget Input Data'!$D$24*0.6/('I_Inputs &amp; Assumptions'!$B$8/2)),IF('I_Budget Input Data'!$E$24="Mid-weighted",IF(22&lt;='I_Inputs &amp; Assumptions'!$B$8/4,'I_Budget Input Data'!$D$24*0.2/('I_Inputs &amp; Assumptions'!$B$8/4),IF(22&lt;='I_Inputs &amp; Assumptions'!$B$8*0.75,'I_Budget Input Data'!$D$24*0.6/('I_Inputs &amp; Assumptions'!$B$8/2),'I_Budget Input Data'!$D$24*0.2/('I_Inputs &amp; Assumptions'!$B$8/4))),IF('I_Budget Input Data'!$E$24="At Completion",IF(22='I_Inputs &amp; Assumptions'!$B$8,'I_Budget Input Data'!$D$24,0),'I_Budget Input Data'!$D$24/'I_Inputs &amp; Assumptions'!$B$8)))))),0)</f>
        <v>0</v>
      </c>
      <c r="Y24" s="91">
        <f>IF(23&lt;='I_Inputs &amp; Assumptions'!$B$8,IF('I_Budget Input Data'!$E$24="Upfront",IF(23=1,'I_Budget Input Data'!$D$24,0),IF('I_Budget Input Data'!$E$24="Equal",'I_Budget Input Data'!$D$24/'I_Inputs &amp; Assumptions'!$B$8,IF('I_Budget Input Data'!$E$24="Front-loaded",IF(23&lt;='I_Inputs &amp; Assumptions'!$B$8/2,'I_Budget Input Data'!$D$24*0.6/('I_Inputs &amp; Assumptions'!$B$8/2),'I_Budget Input Data'!$D$24*0.4/('I_Inputs &amp; Assumptions'!$B$8/2)),IF('I_Budget Input Data'!$E$24="Back-loaded",IF(23&lt;='I_Inputs &amp; Assumptions'!$B$8/2,'I_Budget Input Data'!$D$24*0.4/('I_Inputs &amp; Assumptions'!$B$8/2),'I_Budget Input Data'!$D$24*0.6/('I_Inputs &amp; Assumptions'!$B$8/2)),IF('I_Budget Input Data'!$E$24="Mid-weighted",IF(23&lt;='I_Inputs &amp; Assumptions'!$B$8/4,'I_Budget Input Data'!$D$24*0.2/('I_Inputs &amp; Assumptions'!$B$8/4),IF(23&lt;='I_Inputs &amp; Assumptions'!$B$8*0.75,'I_Budget Input Data'!$D$24*0.6/('I_Inputs &amp; Assumptions'!$B$8/2),'I_Budget Input Data'!$D$24*0.2/('I_Inputs &amp; Assumptions'!$B$8/4))),IF('I_Budget Input Data'!$E$24="At Completion",IF(23='I_Inputs &amp; Assumptions'!$B$8,'I_Budget Input Data'!$D$24,0),'I_Budget Input Data'!$D$24/'I_Inputs &amp; Assumptions'!$B$8)))))),0)</f>
        <v>0</v>
      </c>
      <c r="Z24" s="91">
        <f>IF(24&lt;='I_Inputs &amp; Assumptions'!$B$8,IF('I_Budget Input Data'!$E$24="Upfront",IF(24=1,'I_Budget Input Data'!$D$24,0),IF('I_Budget Input Data'!$E$24="Equal",'I_Budget Input Data'!$D$24/'I_Inputs &amp; Assumptions'!$B$8,IF('I_Budget Input Data'!$E$24="Front-loaded",IF(24&lt;='I_Inputs &amp; Assumptions'!$B$8/2,'I_Budget Input Data'!$D$24*0.6/('I_Inputs &amp; Assumptions'!$B$8/2),'I_Budget Input Data'!$D$24*0.4/('I_Inputs &amp; Assumptions'!$B$8/2)),IF('I_Budget Input Data'!$E$24="Back-loaded",IF(24&lt;='I_Inputs &amp; Assumptions'!$B$8/2,'I_Budget Input Data'!$D$24*0.4/('I_Inputs &amp; Assumptions'!$B$8/2),'I_Budget Input Data'!$D$24*0.6/('I_Inputs &amp; Assumptions'!$B$8/2)),IF('I_Budget Input Data'!$E$24="Mid-weighted",IF(24&lt;='I_Inputs &amp; Assumptions'!$B$8/4,'I_Budget Input Data'!$D$24*0.2/('I_Inputs &amp; Assumptions'!$B$8/4),IF(24&lt;='I_Inputs &amp; Assumptions'!$B$8*0.75,'I_Budget Input Data'!$D$24*0.6/('I_Inputs &amp; Assumptions'!$B$8/2),'I_Budget Input Data'!$D$24*0.2/('I_Inputs &amp; Assumptions'!$B$8/4))),IF('I_Budget Input Data'!$E$24="At Completion",IF(24='I_Inputs &amp; Assumptions'!$B$8,'I_Budget Input Data'!$D$24,0),'I_Budget Input Data'!$D$24/'I_Inputs &amp; Assumptions'!$B$8)))))),0)</f>
        <v>0</v>
      </c>
      <c r="AA24" s="91">
        <f>IF(25&lt;='I_Inputs &amp; Assumptions'!$B$8,IF('I_Budget Input Data'!$E$24="Upfront",IF(25=1,'I_Budget Input Data'!$D$24,0),IF('I_Budget Input Data'!$E$24="Equal",'I_Budget Input Data'!$D$24/'I_Inputs &amp; Assumptions'!$B$8,IF('I_Budget Input Data'!$E$24="Front-loaded",IF(25&lt;='I_Inputs &amp; Assumptions'!$B$8/2,'I_Budget Input Data'!$D$24*0.6/('I_Inputs &amp; Assumptions'!$B$8/2),'I_Budget Input Data'!$D$24*0.4/('I_Inputs &amp; Assumptions'!$B$8/2)),IF('I_Budget Input Data'!$E$24="Back-loaded",IF(25&lt;='I_Inputs &amp; Assumptions'!$B$8/2,'I_Budget Input Data'!$D$24*0.4/('I_Inputs &amp; Assumptions'!$B$8/2),'I_Budget Input Data'!$D$24*0.6/('I_Inputs &amp; Assumptions'!$B$8/2)),IF('I_Budget Input Data'!$E$24="Mid-weighted",IF(25&lt;='I_Inputs &amp; Assumptions'!$B$8/4,'I_Budget Input Data'!$D$24*0.2/('I_Inputs &amp; Assumptions'!$B$8/4),IF(25&lt;='I_Inputs &amp; Assumptions'!$B$8*0.75,'I_Budget Input Data'!$D$24*0.6/('I_Inputs &amp; Assumptions'!$B$8/2),'I_Budget Input Data'!$D$24*0.2/('I_Inputs &amp; Assumptions'!$B$8/4))),IF('I_Budget Input Data'!$E$24="At Completion",IF(25='I_Inputs &amp; Assumptions'!$B$8,'I_Budget Input Data'!$D$24,0),'I_Budget Input Data'!$D$24/'I_Inputs &amp; Assumptions'!$B$8)))))),0)</f>
        <v>0</v>
      </c>
      <c r="AB24" s="91">
        <f>IF(26&lt;='I_Inputs &amp; Assumptions'!$B$8,IF('I_Budget Input Data'!$E$24="Upfront",IF(26=1,'I_Budget Input Data'!$D$24,0),IF('I_Budget Input Data'!$E$24="Equal",'I_Budget Input Data'!$D$24/'I_Inputs &amp; Assumptions'!$B$8,IF('I_Budget Input Data'!$E$24="Front-loaded",IF(26&lt;='I_Inputs &amp; Assumptions'!$B$8/2,'I_Budget Input Data'!$D$24*0.6/('I_Inputs &amp; Assumptions'!$B$8/2),'I_Budget Input Data'!$D$24*0.4/('I_Inputs &amp; Assumptions'!$B$8/2)),IF('I_Budget Input Data'!$E$24="Back-loaded",IF(26&lt;='I_Inputs &amp; Assumptions'!$B$8/2,'I_Budget Input Data'!$D$24*0.4/('I_Inputs &amp; Assumptions'!$B$8/2),'I_Budget Input Data'!$D$24*0.6/('I_Inputs &amp; Assumptions'!$B$8/2)),IF('I_Budget Input Data'!$E$24="Mid-weighted",IF(26&lt;='I_Inputs &amp; Assumptions'!$B$8/4,'I_Budget Input Data'!$D$24*0.2/('I_Inputs &amp; Assumptions'!$B$8/4),IF(26&lt;='I_Inputs &amp; Assumptions'!$B$8*0.75,'I_Budget Input Data'!$D$24*0.6/('I_Inputs &amp; Assumptions'!$B$8/2),'I_Budget Input Data'!$D$24*0.2/('I_Inputs &amp; Assumptions'!$B$8/4))),IF('I_Budget Input Data'!$E$24="At Completion",IF(26='I_Inputs &amp; Assumptions'!$B$8,'I_Budget Input Data'!$D$24,0),'I_Budget Input Data'!$D$24/'I_Inputs &amp; Assumptions'!$B$8)))))),0)</f>
        <v>0</v>
      </c>
      <c r="AC24" s="91">
        <f>IF(27&lt;='I_Inputs &amp; Assumptions'!$B$8,IF('I_Budget Input Data'!$E$24="Upfront",IF(27=1,'I_Budget Input Data'!$D$24,0),IF('I_Budget Input Data'!$E$24="Equal",'I_Budget Input Data'!$D$24/'I_Inputs &amp; Assumptions'!$B$8,IF('I_Budget Input Data'!$E$24="Front-loaded",IF(27&lt;='I_Inputs &amp; Assumptions'!$B$8/2,'I_Budget Input Data'!$D$24*0.6/('I_Inputs &amp; Assumptions'!$B$8/2),'I_Budget Input Data'!$D$24*0.4/('I_Inputs &amp; Assumptions'!$B$8/2)),IF('I_Budget Input Data'!$E$24="Back-loaded",IF(27&lt;='I_Inputs &amp; Assumptions'!$B$8/2,'I_Budget Input Data'!$D$24*0.4/('I_Inputs &amp; Assumptions'!$B$8/2),'I_Budget Input Data'!$D$24*0.6/('I_Inputs &amp; Assumptions'!$B$8/2)),IF('I_Budget Input Data'!$E$24="Mid-weighted",IF(27&lt;='I_Inputs &amp; Assumptions'!$B$8/4,'I_Budget Input Data'!$D$24*0.2/('I_Inputs &amp; Assumptions'!$B$8/4),IF(27&lt;='I_Inputs &amp; Assumptions'!$B$8*0.75,'I_Budget Input Data'!$D$24*0.6/('I_Inputs &amp; Assumptions'!$B$8/2),'I_Budget Input Data'!$D$24*0.2/('I_Inputs &amp; Assumptions'!$B$8/4))),IF('I_Budget Input Data'!$E$24="At Completion",IF(27='I_Inputs &amp; Assumptions'!$B$8,'I_Budget Input Data'!$D$24,0),'I_Budget Input Data'!$D$24/'I_Inputs &amp; Assumptions'!$B$8)))))),0)</f>
        <v>0</v>
      </c>
      <c r="AD24" s="91">
        <f>IF(28&lt;='I_Inputs &amp; Assumptions'!$B$8,IF('I_Budget Input Data'!$E$24="Upfront",IF(28=1,'I_Budget Input Data'!$D$24,0),IF('I_Budget Input Data'!$E$24="Equal",'I_Budget Input Data'!$D$24/'I_Inputs &amp; Assumptions'!$B$8,IF('I_Budget Input Data'!$E$24="Front-loaded",IF(28&lt;='I_Inputs &amp; Assumptions'!$B$8/2,'I_Budget Input Data'!$D$24*0.6/('I_Inputs &amp; Assumptions'!$B$8/2),'I_Budget Input Data'!$D$24*0.4/('I_Inputs &amp; Assumptions'!$B$8/2)),IF('I_Budget Input Data'!$E$24="Back-loaded",IF(28&lt;='I_Inputs &amp; Assumptions'!$B$8/2,'I_Budget Input Data'!$D$24*0.4/('I_Inputs &amp; Assumptions'!$B$8/2),'I_Budget Input Data'!$D$24*0.6/('I_Inputs &amp; Assumptions'!$B$8/2)),IF('I_Budget Input Data'!$E$24="Mid-weighted",IF(28&lt;='I_Inputs &amp; Assumptions'!$B$8/4,'I_Budget Input Data'!$D$24*0.2/('I_Inputs &amp; Assumptions'!$B$8/4),IF(28&lt;='I_Inputs &amp; Assumptions'!$B$8*0.75,'I_Budget Input Data'!$D$24*0.6/('I_Inputs &amp; Assumptions'!$B$8/2),'I_Budget Input Data'!$D$24*0.2/('I_Inputs &amp; Assumptions'!$B$8/4))),IF('I_Budget Input Data'!$E$24="At Completion",IF(28='I_Inputs &amp; Assumptions'!$B$8,'I_Budget Input Data'!$D$24,0),'I_Budget Input Data'!$D$24/'I_Inputs &amp; Assumptions'!$B$8)))))),0)</f>
        <v>0</v>
      </c>
      <c r="AE24" s="91">
        <f>IF(29&lt;='I_Inputs &amp; Assumptions'!$B$8,IF('I_Budget Input Data'!$E$24="Upfront",IF(29=1,'I_Budget Input Data'!$D$24,0),IF('I_Budget Input Data'!$E$24="Equal",'I_Budget Input Data'!$D$24/'I_Inputs &amp; Assumptions'!$B$8,IF('I_Budget Input Data'!$E$24="Front-loaded",IF(29&lt;='I_Inputs &amp; Assumptions'!$B$8/2,'I_Budget Input Data'!$D$24*0.6/('I_Inputs &amp; Assumptions'!$B$8/2),'I_Budget Input Data'!$D$24*0.4/('I_Inputs &amp; Assumptions'!$B$8/2)),IF('I_Budget Input Data'!$E$24="Back-loaded",IF(29&lt;='I_Inputs &amp; Assumptions'!$B$8/2,'I_Budget Input Data'!$D$24*0.4/('I_Inputs &amp; Assumptions'!$B$8/2),'I_Budget Input Data'!$D$24*0.6/('I_Inputs &amp; Assumptions'!$B$8/2)),IF('I_Budget Input Data'!$E$24="Mid-weighted",IF(29&lt;='I_Inputs &amp; Assumptions'!$B$8/4,'I_Budget Input Data'!$D$24*0.2/('I_Inputs &amp; Assumptions'!$B$8/4),IF(29&lt;='I_Inputs &amp; Assumptions'!$B$8*0.75,'I_Budget Input Data'!$D$24*0.6/('I_Inputs &amp; Assumptions'!$B$8/2),'I_Budget Input Data'!$D$24*0.2/('I_Inputs &amp; Assumptions'!$B$8/4))),IF('I_Budget Input Data'!$E$24="At Completion",IF(29='I_Inputs &amp; Assumptions'!$B$8,'I_Budget Input Data'!$D$24,0),'I_Budget Input Data'!$D$24/'I_Inputs &amp; Assumptions'!$B$8)))))),0)</f>
        <v>0</v>
      </c>
      <c r="AF24" s="91">
        <f>IF(30&lt;='I_Inputs &amp; Assumptions'!$B$8,IF('I_Budget Input Data'!$E$24="Upfront",IF(30=1,'I_Budget Input Data'!$D$24,0),IF('I_Budget Input Data'!$E$24="Equal",'I_Budget Input Data'!$D$24/'I_Inputs &amp; Assumptions'!$B$8,IF('I_Budget Input Data'!$E$24="Front-loaded",IF(30&lt;='I_Inputs &amp; Assumptions'!$B$8/2,'I_Budget Input Data'!$D$24*0.6/('I_Inputs &amp; Assumptions'!$B$8/2),'I_Budget Input Data'!$D$24*0.4/('I_Inputs &amp; Assumptions'!$B$8/2)),IF('I_Budget Input Data'!$E$24="Back-loaded",IF(30&lt;='I_Inputs &amp; Assumptions'!$B$8/2,'I_Budget Input Data'!$D$24*0.4/('I_Inputs &amp; Assumptions'!$B$8/2),'I_Budget Input Data'!$D$24*0.6/('I_Inputs &amp; Assumptions'!$B$8/2)),IF('I_Budget Input Data'!$E$24="Mid-weighted",IF(30&lt;='I_Inputs &amp; Assumptions'!$B$8/4,'I_Budget Input Data'!$D$24*0.2/('I_Inputs &amp; Assumptions'!$B$8/4),IF(30&lt;='I_Inputs &amp; Assumptions'!$B$8*0.75,'I_Budget Input Data'!$D$24*0.6/('I_Inputs &amp; Assumptions'!$B$8/2),'I_Budget Input Data'!$D$24*0.2/('I_Inputs &amp; Assumptions'!$B$8/4))),IF('I_Budget Input Data'!$E$24="At Completion",IF(30='I_Inputs &amp; Assumptions'!$B$8,'I_Budget Input Data'!$D$24,0),'I_Budget Input Data'!$D$24/'I_Inputs &amp; Assumptions'!$B$8)))))),0)</f>
        <v>0</v>
      </c>
      <c r="AG24" s="91">
        <f>IF(31&lt;='I_Inputs &amp; Assumptions'!$B$8,IF('I_Budget Input Data'!$E$24="Upfront",IF(31=1,'I_Budget Input Data'!$D$24,0),IF('I_Budget Input Data'!$E$24="Equal",'I_Budget Input Data'!$D$24/'I_Inputs &amp; Assumptions'!$B$8,IF('I_Budget Input Data'!$E$24="Front-loaded",IF(31&lt;='I_Inputs &amp; Assumptions'!$B$8/2,'I_Budget Input Data'!$D$24*0.6/('I_Inputs &amp; Assumptions'!$B$8/2),'I_Budget Input Data'!$D$24*0.4/('I_Inputs &amp; Assumptions'!$B$8/2)),IF('I_Budget Input Data'!$E$24="Back-loaded",IF(31&lt;='I_Inputs &amp; Assumptions'!$B$8/2,'I_Budget Input Data'!$D$24*0.4/('I_Inputs &amp; Assumptions'!$B$8/2),'I_Budget Input Data'!$D$24*0.6/('I_Inputs &amp; Assumptions'!$B$8/2)),IF('I_Budget Input Data'!$E$24="Mid-weighted",IF(31&lt;='I_Inputs &amp; Assumptions'!$B$8/4,'I_Budget Input Data'!$D$24*0.2/('I_Inputs &amp; Assumptions'!$B$8/4),IF(31&lt;='I_Inputs &amp; Assumptions'!$B$8*0.75,'I_Budget Input Data'!$D$24*0.6/('I_Inputs &amp; Assumptions'!$B$8/2),'I_Budget Input Data'!$D$24*0.2/('I_Inputs &amp; Assumptions'!$B$8/4))),IF('I_Budget Input Data'!$E$24="At Completion",IF(31='I_Inputs &amp; Assumptions'!$B$8,'I_Budget Input Data'!$D$24,0),'I_Budget Input Data'!$D$24/'I_Inputs &amp; Assumptions'!$B$8)))))),0)</f>
        <v>0</v>
      </c>
      <c r="AH24" s="91">
        <f>IF(32&lt;='I_Inputs &amp; Assumptions'!$B$8,IF('I_Budget Input Data'!$E$24="Upfront",IF(32=1,'I_Budget Input Data'!$D$24,0),IF('I_Budget Input Data'!$E$24="Equal",'I_Budget Input Data'!$D$24/'I_Inputs &amp; Assumptions'!$B$8,IF('I_Budget Input Data'!$E$24="Front-loaded",IF(32&lt;='I_Inputs &amp; Assumptions'!$B$8/2,'I_Budget Input Data'!$D$24*0.6/('I_Inputs &amp; Assumptions'!$B$8/2),'I_Budget Input Data'!$D$24*0.4/('I_Inputs &amp; Assumptions'!$B$8/2)),IF('I_Budget Input Data'!$E$24="Back-loaded",IF(32&lt;='I_Inputs &amp; Assumptions'!$B$8/2,'I_Budget Input Data'!$D$24*0.4/('I_Inputs &amp; Assumptions'!$B$8/2),'I_Budget Input Data'!$D$24*0.6/('I_Inputs &amp; Assumptions'!$B$8/2)),IF('I_Budget Input Data'!$E$24="Mid-weighted",IF(32&lt;='I_Inputs &amp; Assumptions'!$B$8/4,'I_Budget Input Data'!$D$24*0.2/('I_Inputs &amp; Assumptions'!$B$8/4),IF(32&lt;='I_Inputs &amp; Assumptions'!$B$8*0.75,'I_Budget Input Data'!$D$24*0.6/('I_Inputs &amp; Assumptions'!$B$8/2),'I_Budget Input Data'!$D$24*0.2/('I_Inputs &amp; Assumptions'!$B$8/4))),IF('I_Budget Input Data'!$E$24="At Completion",IF(32='I_Inputs &amp; Assumptions'!$B$8,'I_Budget Input Data'!$D$24,0),'I_Budget Input Data'!$D$24/'I_Inputs &amp; Assumptions'!$B$8)))))),0)</f>
        <v>0</v>
      </c>
      <c r="AI24" s="91">
        <f>IF(33&lt;='I_Inputs &amp; Assumptions'!$B$8,IF('I_Budget Input Data'!$E$24="Upfront",IF(33=1,'I_Budget Input Data'!$D$24,0),IF('I_Budget Input Data'!$E$24="Equal",'I_Budget Input Data'!$D$24/'I_Inputs &amp; Assumptions'!$B$8,IF('I_Budget Input Data'!$E$24="Front-loaded",IF(33&lt;='I_Inputs &amp; Assumptions'!$B$8/2,'I_Budget Input Data'!$D$24*0.6/('I_Inputs &amp; Assumptions'!$B$8/2),'I_Budget Input Data'!$D$24*0.4/('I_Inputs &amp; Assumptions'!$B$8/2)),IF('I_Budget Input Data'!$E$24="Back-loaded",IF(33&lt;='I_Inputs &amp; Assumptions'!$B$8/2,'I_Budget Input Data'!$D$24*0.4/('I_Inputs &amp; Assumptions'!$B$8/2),'I_Budget Input Data'!$D$24*0.6/('I_Inputs &amp; Assumptions'!$B$8/2)),IF('I_Budget Input Data'!$E$24="Mid-weighted",IF(33&lt;='I_Inputs &amp; Assumptions'!$B$8/4,'I_Budget Input Data'!$D$24*0.2/('I_Inputs &amp; Assumptions'!$B$8/4),IF(33&lt;='I_Inputs &amp; Assumptions'!$B$8*0.75,'I_Budget Input Data'!$D$24*0.6/('I_Inputs &amp; Assumptions'!$B$8/2),'I_Budget Input Data'!$D$24*0.2/('I_Inputs &amp; Assumptions'!$B$8/4))),IF('I_Budget Input Data'!$E$24="At Completion",IF(33='I_Inputs &amp; Assumptions'!$B$8,'I_Budget Input Data'!$D$24,0),'I_Budget Input Data'!$D$24/'I_Inputs &amp; Assumptions'!$B$8)))))),0)</f>
        <v>0</v>
      </c>
      <c r="AJ24" s="91">
        <f>IF(34&lt;='I_Inputs &amp; Assumptions'!$B$8,IF('I_Budget Input Data'!$E$24="Upfront",IF(34=1,'I_Budget Input Data'!$D$24,0),IF('I_Budget Input Data'!$E$24="Equal",'I_Budget Input Data'!$D$24/'I_Inputs &amp; Assumptions'!$B$8,IF('I_Budget Input Data'!$E$24="Front-loaded",IF(34&lt;='I_Inputs &amp; Assumptions'!$B$8/2,'I_Budget Input Data'!$D$24*0.6/('I_Inputs &amp; Assumptions'!$B$8/2),'I_Budget Input Data'!$D$24*0.4/('I_Inputs &amp; Assumptions'!$B$8/2)),IF('I_Budget Input Data'!$E$24="Back-loaded",IF(34&lt;='I_Inputs &amp; Assumptions'!$B$8/2,'I_Budget Input Data'!$D$24*0.4/('I_Inputs &amp; Assumptions'!$B$8/2),'I_Budget Input Data'!$D$24*0.6/('I_Inputs &amp; Assumptions'!$B$8/2)),IF('I_Budget Input Data'!$E$24="Mid-weighted",IF(34&lt;='I_Inputs &amp; Assumptions'!$B$8/4,'I_Budget Input Data'!$D$24*0.2/('I_Inputs &amp; Assumptions'!$B$8/4),IF(34&lt;='I_Inputs &amp; Assumptions'!$B$8*0.75,'I_Budget Input Data'!$D$24*0.6/('I_Inputs &amp; Assumptions'!$B$8/2),'I_Budget Input Data'!$D$24*0.2/('I_Inputs &amp; Assumptions'!$B$8/4))),IF('I_Budget Input Data'!$E$24="At Completion",IF(34='I_Inputs &amp; Assumptions'!$B$8,'I_Budget Input Data'!$D$24,0),'I_Budget Input Data'!$D$24/'I_Inputs &amp; Assumptions'!$B$8)))))),0)</f>
        <v>0</v>
      </c>
      <c r="AK24" s="91">
        <f>IF(35&lt;='I_Inputs &amp; Assumptions'!$B$8,IF('I_Budget Input Data'!$E$24="Upfront",IF(35=1,'I_Budget Input Data'!$D$24,0),IF('I_Budget Input Data'!$E$24="Equal",'I_Budget Input Data'!$D$24/'I_Inputs &amp; Assumptions'!$B$8,IF('I_Budget Input Data'!$E$24="Front-loaded",IF(35&lt;='I_Inputs &amp; Assumptions'!$B$8/2,'I_Budget Input Data'!$D$24*0.6/('I_Inputs &amp; Assumptions'!$B$8/2),'I_Budget Input Data'!$D$24*0.4/('I_Inputs &amp; Assumptions'!$B$8/2)),IF('I_Budget Input Data'!$E$24="Back-loaded",IF(35&lt;='I_Inputs &amp; Assumptions'!$B$8/2,'I_Budget Input Data'!$D$24*0.4/('I_Inputs &amp; Assumptions'!$B$8/2),'I_Budget Input Data'!$D$24*0.6/('I_Inputs &amp; Assumptions'!$B$8/2)),IF('I_Budget Input Data'!$E$24="Mid-weighted",IF(35&lt;='I_Inputs &amp; Assumptions'!$B$8/4,'I_Budget Input Data'!$D$24*0.2/('I_Inputs &amp; Assumptions'!$B$8/4),IF(35&lt;='I_Inputs &amp; Assumptions'!$B$8*0.75,'I_Budget Input Data'!$D$24*0.6/('I_Inputs &amp; Assumptions'!$B$8/2),'I_Budget Input Data'!$D$24*0.2/('I_Inputs &amp; Assumptions'!$B$8/4))),IF('I_Budget Input Data'!$E$24="At Completion",IF(35='I_Inputs &amp; Assumptions'!$B$8,'I_Budget Input Data'!$D$24,0),'I_Budget Input Data'!$D$24/'I_Inputs &amp; Assumptions'!$B$8)))))),0)</f>
        <v>0</v>
      </c>
      <c r="AL24" s="91">
        <f>IF(36&lt;='I_Inputs &amp; Assumptions'!$B$8,IF('I_Budget Input Data'!$E$24="Upfront",IF(36=1,'I_Budget Input Data'!$D$24,0),IF('I_Budget Input Data'!$E$24="Equal",'I_Budget Input Data'!$D$24/'I_Inputs &amp; Assumptions'!$B$8,IF('I_Budget Input Data'!$E$24="Front-loaded",IF(36&lt;='I_Inputs &amp; Assumptions'!$B$8/2,'I_Budget Input Data'!$D$24*0.6/('I_Inputs &amp; Assumptions'!$B$8/2),'I_Budget Input Data'!$D$24*0.4/('I_Inputs &amp; Assumptions'!$B$8/2)),IF('I_Budget Input Data'!$E$24="Back-loaded",IF(36&lt;='I_Inputs &amp; Assumptions'!$B$8/2,'I_Budget Input Data'!$D$24*0.4/('I_Inputs &amp; Assumptions'!$B$8/2),'I_Budget Input Data'!$D$24*0.6/('I_Inputs &amp; Assumptions'!$B$8/2)),IF('I_Budget Input Data'!$E$24="Mid-weighted",IF(36&lt;='I_Inputs &amp; Assumptions'!$B$8/4,'I_Budget Input Data'!$D$24*0.2/('I_Inputs &amp; Assumptions'!$B$8/4),IF(36&lt;='I_Inputs &amp; Assumptions'!$B$8*0.75,'I_Budget Input Data'!$D$24*0.6/('I_Inputs &amp; Assumptions'!$B$8/2),'I_Budget Input Data'!$D$24*0.2/('I_Inputs &amp; Assumptions'!$B$8/4))),IF('I_Budget Input Data'!$E$24="At Completion",IF(36='I_Inputs &amp; Assumptions'!$B$8,'I_Budget Input Data'!$D$24,0),'I_Budget Input Data'!$D$24/'I_Inputs &amp; Assumptions'!$B$8)))))),0)</f>
        <v>0</v>
      </c>
    </row>
    <row r="25" spans="1:38" ht="15" customHeight="1" x14ac:dyDescent="0.2">
      <c r="A25" t="s">
        <v>146</v>
      </c>
      <c r="B25" t="s">
        <v>147</v>
      </c>
      <c r="C25" s="91">
        <f>IF(1&lt;='I_Inputs &amp; Assumptions'!$B$8,IF('I_Budget Input Data'!$E$25="Upfront",IF(1=1,'I_Budget Input Data'!$D$25,0),IF('I_Budget Input Data'!$E$25="Equal",'I_Budget Input Data'!$D$25/'I_Inputs &amp; Assumptions'!$B$8,IF('I_Budget Input Data'!$E$25="Front-loaded",IF(1&lt;='I_Inputs &amp; Assumptions'!$B$8/2,'I_Budget Input Data'!$D$25*0.6/('I_Inputs &amp; Assumptions'!$B$8/2),'I_Budget Input Data'!$D$25*0.4/('I_Inputs &amp; Assumptions'!$B$8/2)),IF('I_Budget Input Data'!$E$25="Back-loaded",IF(1&lt;='I_Inputs &amp; Assumptions'!$B$8/2,'I_Budget Input Data'!$D$25*0.4/('I_Inputs &amp; Assumptions'!$B$8/2),'I_Budget Input Data'!$D$25*0.6/('I_Inputs &amp; Assumptions'!$B$8/2)),IF('I_Budget Input Data'!$E$25="Mid-weighted",IF(1&lt;='I_Inputs &amp; Assumptions'!$B$8/4,'I_Budget Input Data'!$D$25*0.2/('I_Inputs &amp; Assumptions'!$B$8/4),IF(1&lt;='I_Inputs &amp; Assumptions'!$B$8*0.75,'I_Budget Input Data'!$D$25*0.6/('I_Inputs &amp; Assumptions'!$B$8/2),'I_Budget Input Data'!$D$25*0.2/('I_Inputs &amp; Assumptions'!$B$8/4))),IF('I_Budget Input Data'!$E$25="At Completion",IF(1='I_Inputs &amp; Assumptions'!$B$8,'I_Budget Input Data'!$D$25,0),'I_Budget Input Data'!$D$25/'I_Inputs &amp; Assumptions'!$B$8)))))),0)</f>
        <v>121383.61538461539</v>
      </c>
      <c r="D25" s="91">
        <f>IF(2&lt;='I_Inputs &amp; Assumptions'!$B$8,IF('I_Budget Input Data'!$E$25="Upfront",IF(2=1,'I_Budget Input Data'!$D$25,0),IF('I_Budget Input Data'!$E$25="Equal",'I_Budget Input Data'!$D$25/'I_Inputs &amp; Assumptions'!$B$8,IF('I_Budget Input Data'!$E$25="Front-loaded",IF(2&lt;='I_Inputs &amp; Assumptions'!$B$8/2,'I_Budget Input Data'!$D$25*0.6/('I_Inputs &amp; Assumptions'!$B$8/2),'I_Budget Input Data'!$D$25*0.4/('I_Inputs &amp; Assumptions'!$B$8/2)),IF('I_Budget Input Data'!$E$25="Back-loaded",IF(2&lt;='I_Inputs &amp; Assumptions'!$B$8/2,'I_Budget Input Data'!$D$25*0.4/('I_Inputs &amp; Assumptions'!$B$8/2),'I_Budget Input Data'!$D$25*0.6/('I_Inputs &amp; Assumptions'!$B$8/2)),IF('I_Budget Input Data'!$E$25="Mid-weighted",IF(2&lt;='I_Inputs &amp; Assumptions'!$B$8/4,'I_Budget Input Data'!$D$25*0.2/('I_Inputs &amp; Assumptions'!$B$8/4),IF(2&lt;='I_Inputs &amp; Assumptions'!$B$8*0.75,'I_Budget Input Data'!$D$25*0.6/('I_Inputs &amp; Assumptions'!$B$8/2),'I_Budget Input Data'!$D$25*0.2/('I_Inputs &amp; Assumptions'!$B$8/4))),IF('I_Budget Input Data'!$E$25="At Completion",IF(2='I_Inputs &amp; Assumptions'!$B$8,'I_Budget Input Data'!$D$25,0),'I_Budget Input Data'!$D$25/'I_Inputs &amp; Assumptions'!$B$8)))))),0)</f>
        <v>121383.61538461539</v>
      </c>
      <c r="E25" s="91">
        <f>IF(3&lt;='I_Inputs &amp; Assumptions'!$B$8,IF('I_Budget Input Data'!$E$25="Upfront",IF(3=1,'I_Budget Input Data'!$D$25,0),IF('I_Budget Input Data'!$E$25="Equal",'I_Budget Input Data'!$D$25/'I_Inputs &amp; Assumptions'!$B$8,IF('I_Budget Input Data'!$E$25="Front-loaded",IF(3&lt;='I_Inputs &amp; Assumptions'!$B$8/2,'I_Budget Input Data'!$D$25*0.6/('I_Inputs &amp; Assumptions'!$B$8/2),'I_Budget Input Data'!$D$25*0.4/('I_Inputs &amp; Assumptions'!$B$8/2)),IF('I_Budget Input Data'!$E$25="Back-loaded",IF(3&lt;='I_Inputs &amp; Assumptions'!$B$8/2,'I_Budget Input Data'!$D$25*0.4/('I_Inputs &amp; Assumptions'!$B$8/2),'I_Budget Input Data'!$D$25*0.6/('I_Inputs &amp; Assumptions'!$B$8/2)),IF('I_Budget Input Data'!$E$25="Mid-weighted",IF(3&lt;='I_Inputs &amp; Assumptions'!$B$8/4,'I_Budget Input Data'!$D$25*0.2/('I_Inputs &amp; Assumptions'!$B$8/4),IF(3&lt;='I_Inputs &amp; Assumptions'!$B$8*0.75,'I_Budget Input Data'!$D$25*0.6/('I_Inputs &amp; Assumptions'!$B$8/2),'I_Budget Input Data'!$D$25*0.2/('I_Inputs &amp; Assumptions'!$B$8/4))),IF('I_Budget Input Data'!$E$25="At Completion",IF(3='I_Inputs &amp; Assumptions'!$B$8,'I_Budget Input Data'!$D$25,0),'I_Budget Input Data'!$D$25/'I_Inputs &amp; Assumptions'!$B$8)))))),0)</f>
        <v>121383.61538461539</v>
      </c>
      <c r="F25" s="91">
        <f>IF(4&lt;='I_Inputs &amp; Assumptions'!$B$8,IF('I_Budget Input Data'!$E$25="Upfront",IF(4=1,'I_Budget Input Data'!$D$25,0),IF('I_Budget Input Data'!$E$25="Equal",'I_Budget Input Data'!$D$25/'I_Inputs &amp; Assumptions'!$B$8,IF('I_Budget Input Data'!$E$25="Front-loaded",IF(4&lt;='I_Inputs &amp; Assumptions'!$B$8/2,'I_Budget Input Data'!$D$25*0.6/('I_Inputs &amp; Assumptions'!$B$8/2),'I_Budget Input Data'!$D$25*0.4/('I_Inputs &amp; Assumptions'!$B$8/2)),IF('I_Budget Input Data'!$E$25="Back-loaded",IF(4&lt;='I_Inputs &amp; Assumptions'!$B$8/2,'I_Budget Input Data'!$D$25*0.4/('I_Inputs &amp; Assumptions'!$B$8/2),'I_Budget Input Data'!$D$25*0.6/('I_Inputs &amp; Assumptions'!$B$8/2)),IF('I_Budget Input Data'!$E$25="Mid-weighted",IF(4&lt;='I_Inputs &amp; Assumptions'!$B$8/4,'I_Budget Input Data'!$D$25*0.2/('I_Inputs &amp; Assumptions'!$B$8/4),IF(4&lt;='I_Inputs &amp; Assumptions'!$B$8*0.75,'I_Budget Input Data'!$D$25*0.6/('I_Inputs &amp; Assumptions'!$B$8/2),'I_Budget Input Data'!$D$25*0.2/('I_Inputs &amp; Assumptions'!$B$8/4))),IF('I_Budget Input Data'!$E$25="At Completion",IF(4='I_Inputs &amp; Assumptions'!$B$8,'I_Budget Input Data'!$D$25,0),'I_Budget Input Data'!$D$25/'I_Inputs &amp; Assumptions'!$B$8)))))),0)</f>
        <v>121383.61538461539</v>
      </c>
      <c r="G25" s="91">
        <f>IF(5&lt;='I_Inputs &amp; Assumptions'!$B$8,IF('I_Budget Input Data'!$E$25="Upfront",IF(5=1,'I_Budget Input Data'!$D$25,0),IF('I_Budget Input Data'!$E$25="Equal",'I_Budget Input Data'!$D$25/'I_Inputs &amp; Assumptions'!$B$8,IF('I_Budget Input Data'!$E$25="Front-loaded",IF(5&lt;='I_Inputs &amp; Assumptions'!$B$8/2,'I_Budget Input Data'!$D$25*0.6/('I_Inputs &amp; Assumptions'!$B$8/2),'I_Budget Input Data'!$D$25*0.4/('I_Inputs &amp; Assumptions'!$B$8/2)),IF('I_Budget Input Data'!$E$25="Back-loaded",IF(5&lt;='I_Inputs &amp; Assumptions'!$B$8/2,'I_Budget Input Data'!$D$25*0.4/('I_Inputs &amp; Assumptions'!$B$8/2),'I_Budget Input Data'!$D$25*0.6/('I_Inputs &amp; Assumptions'!$B$8/2)),IF('I_Budget Input Data'!$E$25="Mid-weighted",IF(5&lt;='I_Inputs &amp; Assumptions'!$B$8/4,'I_Budget Input Data'!$D$25*0.2/('I_Inputs &amp; Assumptions'!$B$8/4),IF(5&lt;='I_Inputs &amp; Assumptions'!$B$8*0.75,'I_Budget Input Data'!$D$25*0.6/('I_Inputs &amp; Assumptions'!$B$8/2),'I_Budget Input Data'!$D$25*0.2/('I_Inputs &amp; Assumptions'!$B$8/4))),IF('I_Budget Input Data'!$E$25="At Completion",IF(5='I_Inputs &amp; Assumptions'!$B$8,'I_Budget Input Data'!$D$25,0),'I_Budget Input Data'!$D$25/'I_Inputs &amp; Assumptions'!$B$8)))))),0)</f>
        <v>121383.61538461539</v>
      </c>
      <c r="H25" s="91">
        <f>IF(6&lt;='I_Inputs &amp; Assumptions'!$B$8,IF('I_Budget Input Data'!$E$25="Upfront",IF(6=1,'I_Budget Input Data'!$D$25,0),IF('I_Budget Input Data'!$E$25="Equal",'I_Budget Input Data'!$D$25/'I_Inputs &amp; Assumptions'!$B$8,IF('I_Budget Input Data'!$E$25="Front-loaded",IF(6&lt;='I_Inputs &amp; Assumptions'!$B$8/2,'I_Budget Input Data'!$D$25*0.6/('I_Inputs &amp; Assumptions'!$B$8/2),'I_Budget Input Data'!$D$25*0.4/('I_Inputs &amp; Assumptions'!$B$8/2)),IF('I_Budget Input Data'!$E$25="Back-loaded",IF(6&lt;='I_Inputs &amp; Assumptions'!$B$8/2,'I_Budget Input Data'!$D$25*0.4/('I_Inputs &amp; Assumptions'!$B$8/2),'I_Budget Input Data'!$D$25*0.6/('I_Inputs &amp; Assumptions'!$B$8/2)),IF('I_Budget Input Data'!$E$25="Mid-weighted",IF(6&lt;='I_Inputs &amp; Assumptions'!$B$8/4,'I_Budget Input Data'!$D$25*0.2/('I_Inputs &amp; Assumptions'!$B$8/4),IF(6&lt;='I_Inputs &amp; Assumptions'!$B$8*0.75,'I_Budget Input Data'!$D$25*0.6/('I_Inputs &amp; Assumptions'!$B$8/2),'I_Budget Input Data'!$D$25*0.2/('I_Inputs &amp; Assumptions'!$B$8/4))),IF('I_Budget Input Data'!$E$25="At Completion",IF(6='I_Inputs &amp; Assumptions'!$B$8,'I_Budget Input Data'!$D$25,0),'I_Budget Input Data'!$D$25/'I_Inputs &amp; Assumptions'!$B$8)))))),0)</f>
        <v>121383.61538461539</v>
      </c>
      <c r="I25" s="91">
        <f>IF(7&lt;='I_Inputs &amp; Assumptions'!$B$8,IF('I_Budget Input Data'!$E$25="Upfront",IF(7=1,'I_Budget Input Data'!$D$25,0),IF('I_Budget Input Data'!$E$25="Equal",'I_Budget Input Data'!$D$25/'I_Inputs &amp; Assumptions'!$B$8,IF('I_Budget Input Data'!$E$25="Front-loaded",IF(7&lt;='I_Inputs &amp; Assumptions'!$B$8/2,'I_Budget Input Data'!$D$25*0.6/('I_Inputs &amp; Assumptions'!$B$8/2),'I_Budget Input Data'!$D$25*0.4/('I_Inputs &amp; Assumptions'!$B$8/2)),IF('I_Budget Input Data'!$E$25="Back-loaded",IF(7&lt;='I_Inputs &amp; Assumptions'!$B$8/2,'I_Budget Input Data'!$D$25*0.4/('I_Inputs &amp; Assumptions'!$B$8/2),'I_Budget Input Data'!$D$25*0.6/('I_Inputs &amp; Assumptions'!$B$8/2)),IF('I_Budget Input Data'!$E$25="Mid-weighted",IF(7&lt;='I_Inputs &amp; Assumptions'!$B$8/4,'I_Budget Input Data'!$D$25*0.2/('I_Inputs &amp; Assumptions'!$B$8/4),IF(7&lt;='I_Inputs &amp; Assumptions'!$B$8*0.75,'I_Budget Input Data'!$D$25*0.6/('I_Inputs &amp; Assumptions'!$B$8/2),'I_Budget Input Data'!$D$25*0.2/('I_Inputs &amp; Assumptions'!$B$8/4))),IF('I_Budget Input Data'!$E$25="At Completion",IF(7='I_Inputs &amp; Assumptions'!$B$8,'I_Budget Input Data'!$D$25,0),'I_Budget Input Data'!$D$25/'I_Inputs &amp; Assumptions'!$B$8)))))),0)</f>
        <v>121383.61538461539</v>
      </c>
      <c r="J25" s="91">
        <f>IF(8&lt;='I_Inputs &amp; Assumptions'!$B$8,IF('I_Budget Input Data'!$E$25="Upfront",IF(8=1,'I_Budget Input Data'!$D$25,0),IF('I_Budget Input Data'!$E$25="Equal",'I_Budget Input Data'!$D$25/'I_Inputs &amp; Assumptions'!$B$8,IF('I_Budget Input Data'!$E$25="Front-loaded",IF(8&lt;='I_Inputs &amp; Assumptions'!$B$8/2,'I_Budget Input Data'!$D$25*0.6/('I_Inputs &amp; Assumptions'!$B$8/2),'I_Budget Input Data'!$D$25*0.4/('I_Inputs &amp; Assumptions'!$B$8/2)),IF('I_Budget Input Data'!$E$25="Back-loaded",IF(8&lt;='I_Inputs &amp; Assumptions'!$B$8/2,'I_Budget Input Data'!$D$25*0.4/('I_Inputs &amp; Assumptions'!$B$8/2),'I_Budget Input Data'!$D$25*0.6/('I_Inputs &amp; Assumptions'!$B$8/2)),IF('I_Budget Input Data'!$E$25="Mid-weighted",IF(8&lt;='I_Inputs &amp; Assumptions'!$B$8/4,'I_Budget Input Data'!$D$25*0.2/('I_Inputs &amp; Assumptions'!$B$8/4),IF(8&lt;='I_Inputs &amp; Assumptions'!$B$8*0.75,'I_Budget Input Data'!$D$25*0.6/('I_Inputs &amp; Assumptions'!$B$8/2),'I_Budget Input Data'!$D$25*0.2/('I_Inputs &amp; Assumptions'!$B$8/4))),IF('I_Budget Input Data'!$E$25="At Completion",IF(8='I_Inputs &amp; Assumptions'!$B$8,'I_Budget Input Data'!$D$25,0),'I_Budget Input Data'!$D$25/'I_Inputs &amp; Assumptions'!$B$8)))))),0)</f>
        <v>121383.61538461539</v>
      </c>
      <c r="K25" s="91">
        <f>IF(9&lt;='I_Inputs &amp; Assumptions'!$B$8,IF('I_Budget Input Data'!$E$25="Upfront",IF(9=1,'I_Budget Input Data'!$D$25,0),IF('I_Budget Input Data'!$E$25="Equal",'I_Budget Input Data'!$D$25/'I_Inputs &amp; Assumptions'!$B$8,IF('I_Budget Input Data'!$E$25="Front-loaded",IF(9&lt;='I_Inputs &amp; Assumptions'!$B$8/2,'I_Budget Input Data'!$D$25*0.6/('I_Inputs &amp; Assumptions'!$B$8/2),'I_Budget Input Data'!$D$25*0.4/('I_Inputs &amp; Assumptions'!$B$8/2)),IF('I_Budget Input Data'!$E$25="Back-loaded",IF(9&lt;='I_Inputs &amp; Assumptions'!$B$8/2,'I_Budget Input Data'!$D$25*0.4/('I_Inputs &amp; Assumptions'!$B$8/2),'I_Budget Input Data'!$D$25*0.6/('I_Inputs &amp; Assumptions'!$B$8/2)),IF('I_Budget Input Data'!$E$25="Mid-weighted",IF(9&lt;='I_Inputs &amp; Assumptions'!$B$8/4,'I_Budget Input Data'!$D$25*0.2/('I_Inputs &amp; Assumptions'!$B$8/4),IF(9&lt;='I_Inputs &amp; Assumptions'!$B$8*0.75,'I_Budget Input Data'!$D$25*0.6/('I_Inputs &amp; Assumptions'!$B$8/2),'I_Budget Input Data'!$D$25*0.2/('I_Inputs &amp; Assumptions'!$B$8/4))),IF('I_Budget Input Data'!$E$25="At Completion",IF(9='I_Inputs &amp; Assumptions'!$B$8,'I_Budget Input Data'!$D$25,0),'I_Budget Input Data'!$D$25/'I_Inputs &amp; Assumptions'!$B$8)))))),0)</f>
        <v>121383.61538461539</v>
      </c>
      <c r="L25" s="91">
        <f>IF(10&lt;='I_Inputs &amp; Assumptions'!$B$8,IF('I_Budget Input Data'!$E$25="Upfront",IF(10=1,'I_Budget Input Data'!$D$25,0),IF('I_Budget Input Data'!$E$25="Equal",'I_Budget Input Data'!$D$25/'I_Inputs &amp; Assumptions'!$B$8,IF('I_Budget Input Data'!$E$25="Front-loaded",IF(10&lt;='I_Inputs &amp; Assumptions'!$B$8/2,'I_Budget Input Data'!$D$25*0.6/('I_Inputs &amp; Assumptions'!$B$8/2),'I_Budget Input Data'!$D$25*0.4/('I_Inputs &amp; Assumptions'!$B$8/2)),IF('I_Budget Input Data'!$E$25="Back-loaded",IF(10&lt;='I_Inputs &amp; Assumptions'!$B$8/2,'I_Budget Input Data'!$D$25*0.4/('I_Inputs &amp; Assumptions'!$B$8/2),'I_Budget Input Data'!$D$25*0.6/('I_Inputs &amp; Assumptions'!$B$8/2)),IF('I_Budget Input Data'!$E$25="Mid-weighted",IF(10&lt;='I_Inputs &amp; Assumptions'!$B$8/4,'I_Budget Input Data'!$D$25*0.2/('I_Inputs &amp; Assumptions'!$B$8/4),IF(10&lt;='I_Inputs &amp; Assumptions'!$B$8*0.75,'I_Budget Input Data'!$D$25*0.6/('I_Inputs &amp; Assumptions'!$B$8/2),'I_Budget Input Data'!$D$25*0.2/('I_Inputs &amp; Assumptions'!$B$8/4))),IF('I_Budget Input Data'!$E$25="At Completion",IF(10='I_Inputs &amp; Assumptions'!$B$8,'I_Budget Input Data'!$D$25,0),'I_Budget Input Data'!$D$25/'I_Inputs &amp; Assumptions'!$B$8)))))),0)</f>
        <v>121383.61538461539</v>
      </c>
      <c r="M25" s="91">
        <f>IF(11&lt;='I_Inputs &amp; Assumptions'!$B$8,IF('I_Budget Input Data'!$E$25="Upfront",IF(11=1,'I_Budget Input Data'!$D$25,0),IF('I_Budget Input Data'!$E$25="Equal",'I_Budget Input Data'!$D$25/'I_Inputs &amp; Assumptions'!$B$8,IF('I_Budget Input Data'!$E$25="Front-loaded",IF(11&lt;='I_Inputs &amp; Assumptions'!$B$8/2,'I_Budget Input Data'!$D$25*0.6/('I_Inputs &amp; Assumptions'!$B$8/2),'I_Budget Input Data'!$D$25*0.4/('I_Inputs &amp; Assumptions'!$B$8/2)),IF('I_Budget Input Data'!$E$25="Back-loaded",IF(11&lt;='I_Inputs &amp; Assumptions'!$B$8/2,'I_Budget Input Data'!$D$25*0.4/('I_Inputs &amp; Assumptions'!$B$8/2),'I_Budget Input Data'!$D$25*0.6/('I_Inputs &amp; Assumptions'!$B$8/2)),IF('I_Budget Input Data'!$E$25="Mid-weighted",IF(11&lt;='I_Inputs &amp; Assumptions'!$B$8/4,'I_Budget Input Data'!$D$25*0.2/('I_Inputs &amp; Assumptions'!$B$8/4),IF(11&lt;='I_Inputs &amp; Assumptions'!$B$8*0.75,'I_Budget Input Data'!$D$25*0.6/('I_Inputs &amp; Assumptions'!$B$8/2),'I_Budget Input Data'!$D$25*0.2/('I_Inputs &amp; Assumptions'!$B$8/4))),IF('I_Budget Input Data'!$E$25="At Completion",IF(11='I_Inputs &amp; Assumptions'!$B$8,'I_Budget Input Data'!$D$25,0),'I_Budget Input Data'!$D$25/'I_Inputs &amp; Assumptions'!$B$8)))))),0)</f>
        <v>121383.61538461539</v>
      </c>
      <c r="N25" s="91">
        <f>IF(12&lt;='I_Inputs &amp; Assumptions'!$B$8,IF('I_Budget Input Data'!$E$25="Upfront",IF(12=1,'I_Budget Input Data'!$D$25,0),IF('I_Budget Input Data'!$E$25="Equal",'I_Budget Input Data'!$D$25/'I_Inputs &amp; Assumptions'!$B$8,IF('I_Budget Input Data'!$E$25="Front-loaded",IF(12&lt;='I_Inputs &amp; Assumptions'!$B$8/2,'I_Budget Input Data'!$D$25*0.6/('I_Inputs &amp; Assumptions'!$B$8/2),'I_Budget Input Data'!$D$25*0.4/('I_Inputs &amp; Assumptions'!$B$8/2)),IF('I_Budget Input Data'!$E$25="Back-loaded",IF(12&lt;='I_Inputs &amp; Assumptions'!$B$8/2,'I_Budget Input Data'!$D$25*0.4/('I_Inputs &amp; Assumptions'!$B$8/2),'I_Budget Input Data'!$D$25*0.6/('I_Inputs &amp; Assumptions'!$B$8/2)),IF('I_Budget Input Data'!$E$25="Mid-weighted",IF(12&lt;='I_Inputs &amp; Assumptions'!$B$8/4,'I_Budget Input Data'!$D$25*0.2/('I_Inputs &amp; Assumptions'!$B$8/4),IF(12&lt;='I_Inputs &amp; Assumptions'!$B$8*0.75,'I_Budget Input Data'!$D$25*0.6/('I_Inputs &amp; Assumptions'!$B$8/2),'I_Budget Input Data'!$D$25*0.2/('I_Inputs &amp; Assumptions'!$B$8/4))),IF('I_Budget Input Data'!$E$25="At Completion",IF(12='I_Inputs &amp; Assumptions'!$B$8,'I_Budget Input Data'!$D$25,0),'I_Budget Input Data'!$D$25/'I_Inputs &amp; Assumptions'!$B$8)))))),0)</f>
        <v>121383.61538461539</v>
      </c>
      <c r="O25" s="91">
        <f>IF(13&lt;='I_Inputs &amp; Assumptions'!$B$8,IF('I_Budget Input Data'!$E$25="Upfront",IF(13=1,'I_Budget Input Data'!$D$25,0),IF('I_Budget Input Data'!$E$25="Equal",'I_Budget Input Data'!$D$25/'I_Inputs &amp; Assumptions'!$B$8,IF('I_Budget Input Data'!$E$25="Front-loaded",IF(13&lt;='I_Inputs &amp; Assumptions'!$B$8/2,'I_Budget Input Data'!$D$25*0.6/('I_Inputs &amp; Assumptions'!$B$8/2),'I_Budget Input Data'!$D$25*0.4/('I_Inputs &amp; Assumptions'!$B$8/2)),IF('I_Budget Input Data'!$E$25="Back-loaded",IF(13&lt;='I_Inputs &amp; Assumptions'!$B$8/2,'I_Budget Input Data'!$D$25*0.4/('I_Inputs &amp; Assumptions'!$B$8/2),'I_Budget Input Data'!$D$25*0.6/('I_Inputs &amp; Assumptions'!$B$8/2)),IF('I_Budget Input Data'!$E$25="Mid-weighted",IF(13&lt;='I_Inputs &amp; Assumptions'!$B$8/4,'I_Budget Input Data'!$D$25*0.2/('I_Inputs &amp; Assumptions'!$B$8/4),IF(13&lt;='I_Inputs &amp; Assumptions'!$B$8*0.75,'I_Budget Input Data'!$D$25*0.6/('I_Inputs &amp; Assumptions'!$B$8/2),'I_Budget Input Data'!$D$25*0.2/('I_Inputs &amp; Assumptions'!$B$8/4))),IF('I_Budget Input Data'!$E$25="At Completion",IF(13='I_Inputs &amp; Assumptions'!$B$8,'I_Budget Input Data'!$D$25,0),'I_Budget Input Data'!$D$25/'I_Inputs &amp; Assumptions'!$B$8)))))),0)</f>
        <v>121383.61538461539</v>
      </c>
      <c r="P25" s="91">
        <f>IF(14&lt;='I_Inputs &amp; Assumptions'!$B$8,IF('I_Budget Input Data'!$E$25="Upfront",IF(14=1,'I_Budget Input Data'!$D$25,0),IF('I_Budget Input Data'!$E$25="Equal",'I_Budget Input Data'!$D$25/'I_Inputs &amp; Assumptions'!$B$8,IF('I_Budget Input Data'!$E$25="Front-loaded",IF(14&lt;='I_Inputs &amp; Assumptions'!$B$8/2,'I_Budget Input Data'!$D$25*0.6/('I_Inputs &amp; Assumptions'!$B$8/2),'I_Budget Input Data'!$D$25*0.4/('I_Inputs &amp; Assumptions'!$B$8/2)),IF('I_Budget Input Data'!$E$25="Back-loaded",IF(14&lt;='I_Inputs &amp; Assumptions'!$B$8/2,'I_Budget Input Data'!$D$25*0.4/('I_Inputs &amp; Assumptions'!$B$8/2),'I_Budget Input Data'!$D$25*0.6/('I_Inputs &amp; Assumptions'!$B$8/2)),IF('I_Budget Input Data'!$E$25="Mid-weighted",IF(14&lt;='I_Inputs &amp; Assumptions'!$B$8/4,'I_Budget Input Data'!$D$25*0.2/('I_Inputs &amp; Assumptions'!$B$8/4),IF(14&lt;='I_Inputs &amp; Assumptions'!$B$8*0.75,'I_Budget Input Data'!$D$25*0.6/('I_Inputs &amp; Assumptions'!$B$8/2),'I_Budget Input Data'!$D$25*0.2/('I_Inputs &amp; Assumptions'!$B$8/4))),IF('I_Budget Input Data'!$E$25="At Completion",IF(14='I_Inputs &amp; Assumptions'!$B$8,'I_Budget Input Data'!$D$25,0),'I_Budget Input Data'!$D$25/'I_Inputs &amp; Assumptions'!$B$8)))))),0)</f>
        <v>0</v>
      </c>
      <c r="Q25" s="91">
        <f>IF(15&lt;='I_Inputs &amp; Assumptions'!$B$8,IF('I_Budget Input Data'!$E$25="Upfront",IF(15=1,'I_Budget Input Data'!$D$25,0),IF('I_Budget Input Data'!$E$25="Equal",'I_Budget Input Data'!$D$25/'I_Inputs &amp; Assumptions'!$B$8,IF('I_Budget Input Data'!$E$25="Front-loaded",IF(15&lt;='I_Inputs &amp; Assumptions'!$B$8/2,'I_Budget Input Data'!$D$25*0.6/('I_Inputs &amp; Assumptions'!$B$8/2),'I_Budget Input Data'!$D$25*0.4/('I_Inputs &amp; Assumptions'!$B$8/2)),IF('I_Budget Input Data'!$E$25="Back-loaded",IF(15&lt;='I_Inputs &amp; Assumptions'!$B$8/2,'I_Budget Input Data'!$D$25*0.4/('I_Inputs &amp; Assumptions'!$B$8/2),'I_Budget Input Data'!$D$25*0.6/('I_Inputs &amp; Assumptions'!$B$8/2)),IF('I_Budget Input Data'!$E$25="Mid-weighted",IF(15&lt;='I_Inputs &amp; Assumptions'!$B$8/4,'I_Budget Input Data'!$D$25*0.2/('I_Inputs &amp; Assumptions'!$B$8/4),IF(15&lt;='I_Inputs &amp; Assumptions'!$B$8*0.75,'I_Budget Input Data'!$D$25*0.6/('I_Inputs &amp; Assumptions'!$B$8/2),'I_Budget Input Data'!$D$25*0.2/('I_Inputs &amp; Assumptions'!$B$8/4))),IF('I_Budget Input Data'!$E$25="At Completion",IF(15='I_Inputs &amp; Assumptions'!$B$8,'I_Budget Input Data'!$D$25,0),'I_Budget Input Data'!$D$25/'I_Inputs &amp; Assumptions'!$B$8)))))),0)</f>
        <v>0</v>
      </c>
      <c r="R25" s="91">
        <f>IF(16&lt;='I_Inputs &amp; Assumptions'!$B$8,IF('I_Budget Input Data'!$E$25="Upfront",IF(16=1,'I_Budget Input Data'!$D$25,0),IF('I_Budget Input Data'!$E$25="Equal",'I_Budget Input Data'!$D$25/'I_Inputs &amp; Assumptions'!$B$8,IF('I_Budget Input Data'!$E$25="Front-loaded",IF(16&lt;='I_Inputs &amp; Assumptions'!$B$8/2,'I_Budget Input Data'!$D$25*0.6/('I_Inputs &amp; Assumptions'!$B$8/2),'I_Budget Input Data'!$D$25*0.4/('I_Inputs &amp; Assumptions'!$B$8/2)),IF('I_Budget Input Data'!$E$25="Back-loaded",IF(16&lt;='I_Inputs &amp; Assumptions'!$B$8/2,'I_Budget Input Data'!$D$25*0.4/('I_Inputs &amp; Assumptions'!$B$8/2),'I_Budget Input Data'!$D$25*0.6/('I_Inputs &amp; Assumptions'!$B$8/2)),IF('I_Budget Input Data'!$E$25="Mid-weighted",IF(16&lt;='I_Inputs &amp; Assumptions'!$B$8/4,'I_Budget Input Data'!$D$25*0.2/('I_Inputs &amp; Assumptions'!$B$8/4),IF(16&lt;='I_Inputs &amp; Assumptions'!$B$8*0.75,'I_Budget Input Data'!$D$25*0.6/('I_Inputs &amp; Assumptions'!$B$8/2),'I_Budget Input Data'!$D$25*0.2/('I_Inputs &amp; Assumptions'!$B$8/4))),IF('I_Budget Input Data'!$E$25="At Completion",IF(16='I_Inputs &amp; Assumptions'!$B$8,'I_Budget Input Data'!$D$25,0),'I_Budget Input Data'!$D$25/'I_Inputs &amp; Assumptions'!$B$8)))))),0)</f>
        <v>0</v>
      </c>
      <c r="S25" s="91">
        <f>IF(17&lt;='I_Inputs &amp; Assumptions'!$B$8,IF('I_Budget Input Data'!$E$25="Upfront",IF(17=1,'I_Budget Input Data'!$D$25,0),IF('I_Budget Input Data'!$E$25="Equal",'I_Budget Input Data'!$D$25/'I_Inputs &amp; Assumptions'!$B$8,IF('I_Budget Input Data'!$E$25="Front-loaded",IF(17&lt;='I_Inputs &amp; Assumptions'!$B$8/2,'I_Budget Input Data'!$D$25*0.6/('I_Inputs &amp; Assumptions'!$B$8/2),'I_Budget Input Data'!$D$25*0.4/('I_Inputs &amp; Assumptions'!$B$8/2)),IF('I_Budget Input Data'!$E$25="Back-loaded",IF(17&lt;='I_Inputs &amp; Assumptions'!$B$8/2,'I_Budget Input Data'!$D$25*0.4/('I_Inputs &amp; Assumptions'!$B$8/2),'I_Budget Input Data'!$D$25*0.6/('I_Inputs &amp; Assumptions'!$B$8/2)),IF('I_Budget Input Data'!$E$25="Mid-weighted",IF(17&lt;='I_Inputs &amp; Assumptions'!$B$8/4,'I_Budget Input Data'!$D$25*0.2/('I_Inputs &amp; Assumptions'!$B$8/4),IF(17&lt;='I_Inputs &amp; Assumptions'!$B$8*0.75,'I_Budget Input Data'!$D$25*0.6/('I_Inputs &amp; Assumptions'!$B$8/2),'I_Budget Input Data'!$D$25*0.2/('I_Inputs &amp; Assumptions'!$B$8/4))),IF('I_Budget Input Data'!$E$25="At Completion",IF(17='I_Inputs &amp; Assumptions'!$B$8,'I_Budget Input Data'!$D$25,0),'I_Budget Input Data'!$D$25/'I_Inputs &amp; Assumptions'!$B$8)))))),0)</f>
        <v>0</v>
      </c>
      <c r="T25" s="91">
        <f>IF(18&lt;='I_Inputs &amp; Assumptions'!$B$8,IF('I_Budget Input Data'!$E$25="Upfront",IF(18=1,'I_Budget Input Data'!$D$25,0),IF('I_Budget Input Data'!$E$25="Equal",'I_Budget Input Data'!$D$25/'I_Inputs &amp; Assumptions'!$B$8,IF('I_Budget Input Data'!$E$25="Front-loaded",IF(18&lt;='I_Inputs &amp; Assumptions'!$B$8/2,'I_Budget Input Data'!$D$25*0.6/('I_Inputs &amp; Assumptions'!$B$8/2),'I_Budget Input Data'!$D$25*0.4/('I_Inputs &amp; Assumptions'!$B$8/2)),IF('I_Budget Input Data'!$E$25="Back-loaded",IF(18&lt;='I_Inputs &amp; Assumptions'!$B$8/2,'I_Budget Input Data'!$D$25*0.4/('I_Inputs &amp; Assumptions'!$B$8/2),'I_Budget Input Data'!$D$25*0.6/('I_Inputs &amp; Assumptions'!$B$8/2)),IF('I_Budget Input Data'!$E$25="Mid-weighted",IF(18&lt;='I_Inputs &amp; Assumptions'!$B$8/4,'I_Budget Input Data'!$D$25*0.2/('I_Inputs &amp; Assumptions'!$B$8/4),IF(18&lt;='I_Inputs &amp; Assumptions'!$B$8*0.75,'I_Budget Input Data'!$D$25*0.6/('I_Inputs &amp; Assumptions'!$B$8/2),'I_Budget Input Data'!$D$25*0.2/('I_Inputs &amp; Assumptions'!$B$8/4))),IF('I_Budget Input Data'!$E$25="At Completion",IF(18='I_Inputs &amp; Assumptions'!$B$8,'I_Budget Input Data'!$D$25,0),'I_Budget Input Data'!$D$25/'I_Inputs &amp; Assumptions'!$B$8)))))),0)</f>
        <v>0</v>
      </c>
      <c r="U25" s="91">
        <f>IF(19&lt;='I_Inputs &amp; Assumptions'!$B$8,IF('I_Budget Input Data'!$E$25="Upfront",IF(19=1,'I_Budget Input Data'!$D$25,0),IF('I_Budget Input Data'!$E$25="Equal",'I_Budget Input Data'!$D$25/'I_Inputs &amp; Assumptions'!$B$8,IF('I_Budget Input Data'!$E$25="Front-loaded",IF(19&lt;='I_Inputs &amp; Assumptions'!$B$8/2,'I_Budget Input Data'!$D$25*0.6/('I_Inputs &amp; Assumptions'!$B$8/2),'I_Budget Input Data'!$D$25*0.4/('I_Inputs &amp; Assumptions'!$B$8/2)),IF('I_Budget Input Data'!$E$25="Back-loaded",IF(19&lt;='I_Inputs &amp; Assumptions'!$B$8/2,'I_Budget Input Data'!$D$25*0.4/('I_Inputs &amp; Assumptions'!$B$8/2),'I_Budget Input Data'!$D$25*0.6/('I_Inputs &amp; Assumptions'!$B$8/2)),IF('I_Budget Input Data'!$E$25="Mid-weighted",IF(19&lt;='I_Inputs &amp; Assumptions'!$B$8/4,'I_Budget Input Data'!$D$25*0.2/('I_Inputs &amp; Assumptions'!$B$8/4),IF(19&lt;='I_Inputs &amp; Assumptions'!$B$8*0.75,'I_Budget Input Data'!$D$25*0.6/('I_Inputs &amp; Assumptions'!$B$8/2),'I_Budget Input Data'!$D$25*0.2/('I_Inputs &amp; Assumptions'!$B$8/4))),IF('I_Budget Input Data'!$E$25="At Completion",IF(19='I_Inputs &amp; Assumptions'!$B$8,'I_Budget Input Data'!$D$25,0),'I_Budget Input Data'!$D$25/'I_Inputs &amp; Assumptions'!$B$8)))))),0)</f>
        <v>0</v>
      </c>
      <c r="V25" s="91">
        <f>IF(20&lt;='I_Inputs &amp; Assumptions'!$B$8,IF('I_Budget Input Data'!$E$25="Upfront",IF(20=1,'I_Budget Input Data'!$D$25,0),IF('I_Budget Input Data'!$E$25="Equal",'I_Budget Input Data'!$D$25/'I_Inputs &amp; Assumptions'!$B$8,IF('I_Budget Input Data'!$E$25="Front-loaded",IF(20&lt;='I_Inputs &amp; Assumptions'!$B$8/2,'I_Budget Input Data'!$D$25*0.6/('I_Inputs &amp; Assumptions'!$B$8/2),'I_Budget Input Data'!$D$25*0.4/('I_Inputs &amp; Assumptions'!$B$8/2)),IF('I_Budget Input Data'!$E$25="Back-loaded",IF(20&lt;='I_Inputs &amp; Assumptions'!$B$8/2,'I_Budget Input Data'!$D$25*0.4/('I_Inputs &amp; Assumptions'!$B$8/2),'I_Budget Input Data'!$D$25*0.6/('I_Inputs &amp; Assumptions'!$B$8/2)),IF('I_Budget Input Data'!$E$25="Mid-weighted",IF(20&lt;='I_Inputs &amp; Assumptions'!$B$8/4,'I_Budget Input Data'!$D$25*0.2/('I_Inputs &amp; Assumptions'!$B$8/4),IF(20&lt;='I_Inputs &amp; Assumptions'!$B$8*0.75,'I_Budget Input Data'!$D$25*0.6/('I_Inputs &amp; Assumptions'!$B$8/2),'I_Budget Input Data'!$D$25*0.2/('I_Inputs &amp; Assumptions'!$B$8/4))),IF('I_Budget Input Data'!$E$25="At Completion",IF(20='I_Inputs &amp; Assumptions'!$B$8,'I_Budget Input Data'!$D$25,0),'I_Budget Input Data'!$D$25/'I_Inputs &amp; Assumptions'!$B$8)))))),0)</f>
        <v>0</v>
      </c>
      <c r="W25" s="91">
        <f>IF(21&lt;='I_Inputs &amp; Assumptions'!$B$8,IF('I_Budget Input Data'!$E$25="Upfront",IF(21=1,'I_Budget Input Data'!$D$25,0),IF('I_Budget Input Data'!$E$25="Equal",'I_Budget Input Data'!$D$25/'I_Inputs &amp; Assumptions'!$B$8,IF('I_Budget Input Data'!$E$25="Front-loaded",IF(21&lt;='I_Inputs &amp; Assumptions'!$B$8/2,'I_Budget Input Data'!$D$25*0.6/('I_Inputs &amp; Assumptions'!$B$8/2),'I_Budget Input Data'!$D$25*0.4/('I_Inputs &amp; Assumptions'!$B$8/2)),IF('I_Budget Input Data'!$E$25="Back-loaded",IF(21&lt;='I_Inputs &amp; Assumptions'!$B$8/2,'I_Budget Input Data'!$D$25*0.4/('I_Inputs &amp; Assumptions'!$B$8/2),'I_Budget Input Data'!$D$25*0.6/('I_Inputs &amp; Assumptions'!$B$8/2)),IF('I_Budget Input Data'!$E$25="Mid-weighted",IF(21&lt;='I_Inputs &amp; Assumptions'!$B$8/4,'I_Budget Input Data'!$D$25*0.2/('I_Inputs &amp; Assumptions'!$B$8/4),IF(21&lt;='I_Inputs &amp; Assumptions'!$B$8*0.75,'I_Budget Input Data'!$D$25*0.6/('I_Inputs &amp; Assumptions'!$B$8/2),'I_Budget Input Data'!$D$25*0.2/('I_Inputs &amp; Assumptions'!$B$8/4))),IF('I_Budget Input Data'!$E$25="At Completion",IF(21='I_Inputs &amp; Assumptions'!$B$8,'I_Budget Input Data'!$D$25,0),'I_Budget Input Data'!$D$25/'I_Inputs &amp; Assumptions'!$B$8)))))),0)</f>
        <v>0</v>
      </c>
      <c r="X25" s="91">
        <f>IF(22&lt;='I_Inputs &amp; Assumptions'!$B$8,IF('I_Budget Input Data'!$E$25="Upfront",IF(22=1,'I_Budget Input Data'!$D$25,0),IF('I_Budget Input Data'!$E$25="Equal",'I_Budget Input Data'!$D$25/'I_Inputs &amp; Assumptions'!$B$8,IF('I_Budget Input Data'!$E$25="Front-loaded",IF(22&lt;='I_Inputs &amp; Assumptions'!$B$8/2,'I_Budget Input Data'!$D$25*0.6/('I_Inputs &amp; Assumptions'!$B$8/2),'I_Budget Input Data'!$D$25*0.4/('I_Inputs &amp; Assumptions'!$B$8/2)),IF('I_Budget Input Data'!$E$25="Back-loaded",IF(22&lt;='I_Inputs &amp; Assumptions'!$B$8/2,'I_Budget Input Data'!$D$25*0.4/('I_Inputs &amp; Assumptions'!$B$8/2),'I_Budget Input Data'!$D$25*0.6/('I_Inputs &amp; Assumptions'!$B$8/2)),IF('I_Budget Input Data'!$E$25="Mid-weighted",IF(22&lt;='I_Inputs &amp; Assumptions'!$B$8/4,'I_Budget Input Data'!$D$25*0.2/('I_Inputs &amp; Assumptions'!$B$8/4),IF(22&lt;='I_Inputs &amp; Assumptions'!$B$8*0.75,'I_Budget Input Data'!$D$25*0.6/('I_Inputs &amp; Assumptions'!$B$8/2),'I_Budget Input Data'!$D$25*0.2/('I_Inputs &amp; Assumptions'!$B$8/4))),IF('I_Budget Input Data'!$E$25="At Completion",IF(22='I_Inputs &amp; Assumptions'!$B$8,'I_Budget Input Data'!$D$25,0),'I_Budget Input Data'!$D$25/'I_Inputs &amp; Assumptions'!$B$8)))))),0)</f>
        <v>0</v>
      </c>
      <c r="Y25" s="91">
        <f>IF(23&lt;='I_Inputs &amp; Assumptions'!$B$8,IF('I_Budget Input Data'!$E$25="Upfront",IF(23=1,'I_Budget Input Data'!$D$25,0),IF('I_Budget Input Data'!$E$25="Equal",'I_Budget Input Data'!$D$25/'I_Inputs &amp; Assumptions'!$B$8,IF('I_Budget Input Data'!$E$25="Front-loaded",IF(23&lt;='I_Inputs &amp; Assumptions'!$B$8/2,'I_Budget Input Data'!$D$25*0.6/('I_Inputs &amp; Assumptions'!$B$8/2),'I_Budget Input Data'!$D$25*0.4/('I_Inputs &amp; Assumptions'!$B$8/2)),IF('I_Budget Input Data'!$E$25="Back-loaded",IF(23&lt;='I_Inputs &amp; Assumptions'!$B$8/2,'I_Budget Input Data'!$D$25*0.4/('I_Inputs &amp; Assumptions'!$B$8/2),'I_Budget Input Data'!$D$25*0.6/('I_Inputs &amp; Assumptions'!$B$8/2)),IF('I_Budget Input Data'!$E$25="Mid-weighted",IF(23&lt;='I_Inputs &amp; Assumptions'!$B$8/4,'I_Budget Input Data'!$D$25*0.2/('I_Inputs &amp; Assumptions'!$B$8/4),IF(23&lt;='I_Inputs &amp; Assumptions'!$B$8*0.75,'I_Budget Input Data'!$D$25*0.6/('I_Inputs &amp; Assumptions'!$B$8/2),'I_Budget Input Data'!$D$25*0.2/('I_Inputs &amp; Assumptions'!$B$8/4))),IF('I_Budget Input Data'!$E$25="At Completion",IF(23='I_Inputs &amp; Assumptions'!$B$8,'I_Budget Input Data'!$D$25,0),'I_Budget Input Data'!$D$25/'I_Inputs &amp; Assumptions'!$B$8)))))),0)</f>
        <v>0</v>
      </c>
      <c r="Z25" s="91">
        <f>IF(24&lt;='I_Inputs &amp; Assumptions'!$B$8,IF('I_Budget Input Data'!$E$25="Upfront",IF(24=1,'I_Budget Input Data'!$D$25,0),IF('I_Budget Input Data'!$E$25="Equal",'I_Budget Input Data'!$D$25/'I_Inputs &amp; Assumptions'!$B$8,IF('I_Budget Input Data'!$E$25="Front-loaded",IF(24&lt;='I_Inputs &amp; Assumptions'!$B$8/2,'I_Budget Input Data'!$D$25*0.6/('I_Inputs &amp; Assumptions'!$B$8/2),'I_Budget Input Data'!$D$25*0.4/('I_Inputs &amp; Assumptions'!$B$8/2)),IF('I_Budget Input Data'!$E$25="Back-loaded",IF(24&lt;='I_Inputs &amp; Assumptions'!$B$8/2,'I_Budget Input Data'!$D$25*0.4/('I_Inputs &amp; Assumptions'!$B$8/2),'I_Budget Input Data'!$D$25*0.6/('I_Inputs &amp; Assumptions'!$B$8/2)),IF('I_Budget Input Data'!$E$25="Mid-weighted",IF(24&lt;='I_Inputs &amp; Assumptions'!$B$8/4,'I_Budget Input Data'!$D$25*0.2/('I_Inputs &amp; Assumptions'!$B$8/4),IF(24&lt;='I_Inputs &amp; Assumptions'!$B$8*0.75,'I_Budget Input Data'!$D$25*0.6/('I_Inputs &amp; Assumptions'!$B$8/2),'I_Budget Input Data'!$D$25*0.2/('I_Inputs &amp; Assumptions'!$B$8/4))),IF('I_Budget Input Data'!$E$25="At Completion",IF(24='I_Inputs &amp; Assumptions'!$B$8,'I_Budget Input Data'!$D$25,0),'I_Budget Input Data'!$D$25/'I_Inputs &amp; Assumptions'!$B$8)))))),0)</f>
        <v>0</v>
      </c>
      <c r="AA25" s="91">
        <f>IF(25&lt;='I_Inputs &amp; Assumptions'!$B$8,IF('I_Budget Input Data'!$E$25="Upfront",IF(25=1,'I_Budget Input Data'!$D$25,0),IF('I_Budget Input Data'!$E$25="Equal",'I_Budget Input Data'!$D$25/'I_Inputs &amp; Assumptions'!$B$8,IF('I_Budget Input Data'!$E$25="Front-loaded",IF(25&lt;='I_Inputs &amp; Assumptions'!$B$8/2,'I_Budget Input Data'!$D$25*0.6/('I_Inputs &amp; Assumptions'!$B$8/2),'I_Budget Input Data'!$D$25*0.4/('I_Inputs &amp; Assumptions'!$B$8/2)),IF('I_Budget Input Data'!$E$25="Back-loaded",IF(25&lt;='I_Inputs &amp; Assumptions'!$B$8/2,'I_Budget Input Data'!$D$25*0.4/('I_Inputs &amp; Assumptions'!$B$8/2),'I_Budget Input Data'!$D$25*0.6/('I_Inputs &amp; Assumptions'!$B$8/2)),IF('I_Budget Input Data'!$E$25="Mid-weighted",IF(25&lt;='I_Inputs &amp; Assumptions'!$B$8/4,'I_Budget Input Data'!$D$25*0.2/('I_Inputs &amp; Assumptions'!$B$8/4),IF(25&lt;='I_Inputs &amp; Assumptions'!$B$8*0.75,'I_Budget Input Data'!$D$25*0.6/('I_Inputs &amp; Assumptions'!$B$8/2),'I_Budget Input Data'!$D$25*0.2/('I_Inputs &amp; Assumptions'!$B$8/4))),IF('I_Budget Input Data'!$E$25="At Completion",IF(25='I_Inputs &amp; Assumptions'!$B$8,'I_Budget Input Data'!$D$25,0),'I_Budget Input Data'!$D$25/'I_Inputs &amp; Assumptions'!$B$8)))))),0)</f>
        <v>0</v>
      </c>
      <c r="AB25" s="91">
        <f>IF(26&lt;='I_Inputs &amp; Assumptions'!$B$8,IF('I_Budget Input Data'!$E$25="Upfront",IF(26=1,'I_Budget Input Data'!$D$25,0),IF('I_Budget Input Data'!$E$25="Equal",'I_Budget Input Data'!$D$25/'I_Inputs &amp; Assumptions'!$B$8,IF('I_Budget Input Data'!$E$25="Front-loaded",IF(26&lt;='I_Inputs &amp; Assumptions'!$B$8/2,'I_Budget Input Data'!$D$25*0.6/('I_Inputs &amp; Assumptions'!$B$8/2),'I_Budget Input Data'!$D$25*0.4/('I_Inputs &amp; Assumptions'!$B$8/2)),IF('I_Budget Input Data'!$E$25="Back-loaded",IF(26&lt;='I_Inputs &amp; Assumptions'!$B$8/2,'I_Budget Input Data'!$D$25*0.4/('I_Inputs &amp; Assumptions'!$B$8/2),'I_Budget Input Data'!$D$25*0.6/('I_Inputs &amp; Assumptions'!$B$8/2)),IF('I_Budget Input Data'!$E$25="Mid-weighted",IF(26&lt;='I_Inputs &amp; Assumptions'!$B$8/4,'I_Budget Input Data'!$D$25*0.2/('I_Inputs &amp; Assumptions'!$B$8/4),IF(26&lt;='I_Inputs &amp; Assumptions'!$B$8*0.75,'I_Budget Input Data'!$D$25*0.6/('I_Inputs &amp; Assumptions'!$B$8/2),'I_Budget Input Data'!$D$25*0.2/('I_Inputs &amp; Assumptions'!$B$8/4))),IF('I_Budget Input Data'!$E$25="At Completion",IF(26='I_Inputs &amp; Assumptions'!$B$8,'I_Budget Input Data'!$D$25,0),'I_Budget Input Data'!$D$25/'I_Inputs &amp; Assumptions'!$B$8)))))),0)</f>
        <v>0</v>
      </c>
      <c r="AC25" s="91">
        <f>IF(27&lt;='I_Inputs &amp; Assumptions'!$B$8,IF('I_Budget Input Data'!$E$25="Upfront",IF(27=1,'I_Budget Input Data'!$D$25,0),IF('I_Budget Input Data'!$E$25="Equal",'I_Budget Input Data'!$D$25/'I_Inputs &amp; Assumptions'!$B$8,IF('I_Budget Input Data'!$E$25="Front-loaded",IF(27&lt;='I_Inputs &amp; Assumptions'!$B$8/2,'I_Budget Input Data'!$D$25*0.6/('I_Inputs &amp; Assumptions'!$B$8/2),'I_Budget Input Data'!$D$25*0.4/('I_Inputs &amp; Assumptions'!$B$8/2)),IF('I_Budget Input Data'!$E$25="Back-loaded",IF(27&lt;='I_Inputs &amp; Assumptions'!$B$8/2,'I_Budget Input Data'!$D$25*0.4/('I_Inputs &amp; Assumptions'!$B$8/2),'I_Budget Input Data'!$D$25*0.6/('I_Inputs &amp; Assumptions'!$B$8/2)),IF('I_Budget Input Data'!$E$25="Mid-weighted",IF(27&lt;='I_Inputs &amp; Assumptions'!$B$8/4,'I_Budget Input Data'!$D$25*0.2/('I_Inputs &amp; Assumptions'!$B$8/4),IF(27&lt;='I_Inputs &amp; Assumptions'!$B$8*0.75,'I_Budget Input Data'!$D$25*0.6/('I_Inputs &amp; Assumptions'!$B$8/2),'I_Budget Input Data'!$D$25*0.2/('I_Inputs &amp; Assumptions'!$B$8/4))),IF('I_Budget Input Data'!$E$25="At Completion",IF(27='I_Inputs &amp; Assumptions'!$B$8,'I_Budget Input Data'!$D$25,0),'I_Budget Input Data'!$D$25/'I_Inputs &amp; Assumptions'!$B$8)))))),0)</f>
        <v>0</v>
      </c>
      <c r="AD25" s="91">
        <f>IF(28&lt;='I_Inputs &amp; Assumptions'!$B$8,IF('I_Budget Input Data'!$E$25="Upfront",IF(28=1,'I_Budget Input Data'!$D$25,0),IF('I_Budget Input Data'!$E$25="Equal",'I_Budget Input Data'!$D$25/'I_Inputs &amp; Assumptions'!$B$8,IF('I_Budget Input Data'!$E$25="Front-loaded",IF(28&lt;='I_Inputs &amp; Assumptions'!$B$8/2,'I_Budget Input Data'!$D$25*0.6/('I_Inputs &amp; Assumptions'!$B$8/2),'I_Budget Input Data'!$D$25*0.4/('I_Inputs &amp; Assumptions'!$B$8/2)),IF('I_Budget Input Data'!$E$25="Back-loaded",IF(28&lt;='I_Inputs &amp; Assumptions'!$B$8/2,'I_Budget Input Data'!$D$25*0.4/('I_Inputs &amp; Assumptions'!$B$8/2),'I_Budget Input Data'!$D$25*0.6/('I_Inputs &amp; Assumptions'!$B$8/2)),IF('I_Budget Input Data'!$E$25="Mid-weighted",IF(28&lt;='I_Inputs &amp; Assumptions'!$B$8/4,'I_Budget Input Data'!$D$25*0.2/('I_Inputs &amp; Assumptions'!$B$8/4),IF(28&lt;='I_Inputs &amp; Assumptions'!$B$8*0.75,'I_Budget Input Data'!$D$25*0.6/('I_Inputs &amp; Assumptions'!$B$8/2),'I_Budget Input Data'!$D$25*0.2/('I_Inputs &amp; Assumptions'!$B$8/4))),IF('I_Budget Input Data'!$E$25="At Completion",IF(28='I_Inputs &amp; Assumptions'!$B$8,'I_Budget Input Data'!$D$25,0),'I_Budget Input Data'!$D$25/'I_Inputs &amp; Assumptions'!$B$8)))))),0)</f>
        <v>0</v>
      </c>
      <c r="AE25" s="91">
        <f>IF(29&lt;='I_Inputs &amp; Assumptions'!$B$8,IF('I_Budget Input Data'!$E$25="Upfront",IF(29=1,'I_Budget Input Data'!$D$25,0),IF('I_Budget Input Data'!$E$25="Equal",'I_Budget Input Data'!$D$25/'I_Inputs &amp; Assumptions'!$B$8,IF('I_Budget Input Data'!$E$25="Front-loaded",IF(29&lt;='I_Inputs &amp; Assumptions'!$B$8/2,'I_Budget Input Data'!$D$25*0.6/('I_Inputs &amp; Assumptions'!$B$8/2),'I_Budget Input Data'!$D$25*0.4/('I_Inputs &amp; Assumptions'!$B$8/2)),IF('I_Budget Input Data'!$E$25="Back-loaded",IF(29&lt;='I_Inputs &amp; Assumptions'!$B$8/2,'I_Budget Input Data'!$D$25*0.4/('I_Inputs &amp; Assumptions'!$B$8/2),'I_Budget Input Data'!$D$25*0.6/('I_Inputs &amp; Assumptions'!$B$8/2)),IF('I_Budget Input Data'!$E$25="Mid-weighted",IF(29&lt;='I_Inputs &amp; Assumptions'!$B$8/4,'I_Budget Input Data'!$D$25*0.2/('I_Inputs &amp; Assumptions'!$B$8/4),IF(29&lt;='I_Inputs &amp; Assumptions'!$B$8*0.75,'I_Budget Input Data'!$D$25*0.6/('I_Inputs &amp; Assumptions'!$B$8/2),'I_Budget Input Data'!$D$25*0.2/('I_Inputs &amp; Assumptions'!$B$8/4))),IF('I_Budget Input Data'!$E$25="At Completion",IF(29='I_Inputs &amp; Assumptions'!$B$8,'I_Budget Input Data'!$D$25,0),'I_Budget Input Data'!$D$25/'I_Inputs &amp; Assumptions'!$B$8)))))),0)</f>
        <v>0</v>
      </c>
      <c r="AF25" s="91">
        <f>IF(30&lt;='I_Inputs &amp; Assumptions'!$B$8,IF('I_Budget Input Data'!$E$25="Upfront",IF(30=1,'I_Budget Input Data'!$D$25,0),IF('I_Budget Input Data'!$E$25="Equal",'I_Budget Input Data'!$D$25/'I_Inputs &amp; Assumptions'!$B$8,IF('I_Budget Input Data'!$E$25="Front-loaded",IF(30&lt;='I_Inputs &amp; Assumptions'!$B$8/2,'I_Budget Input Data'!$D$25*0.6/('I_Inputs &amp; Assumptions'!$B$8/2),'I_Budget Input Data'!$D$25*0.4/('I_Inputs &amp; Assumptions'!$B$8/2)),IF('I_Budget Input Data'!$E$25="Back-loaded",IF(30&lt;='I_Inputs &amp; Assumptions'!$B$8/2,'I_Budget Input Data'!$D$25*0.4/('I_Inputs &amp; Assumptions'!$B$8/2),'I_Budget Input Data'!$D$25*0.6/('I_Inputs &amp; Assumptions'!$B$8/2)),IF('I_Budget Input Data'!$E$25="Mid-weighted",IF(30&lt;='I_Inputs &amp; Assumptions'!$B$8/4,'I_Budget Input Data'!$D$25*0.2/('I_Inputs &amp; Assumptions'!$B$8/4),IF(30&lt;='I_Inputs &amp; Assumptions'!$B$8*0.75,'I_Budget Input Data'!$D$25*0.6/('I_Inputs &amp; Assumptions'!$B$8/2),'I_Budget Input Data'!$D$25*0.2/('I_Inputs &amp; Assumptions'!$B$8/4))),IF('I_Budget Input Data'!$E$25="At Completion",IF(30='I_Inputs &amp; Assumptions'!$B$8,'I_Budget Input Data'!$D$25,0),'I_Budget Input Data'!$D$25/'I_Inputs &amp; Assumptions'!$B$8)))))),0)</f>
        <v>0</v>
      </c>
      <c r="AG25" s="91">
        <f>IF(31&lt;='I_Inputs &amp; Assumptions'!$B$8,IF('I_Budget Input Data'!$E$25="Upfront",IF(31=1,'I_Budget Input Data'!$D$25,0),IF('I_Budget Input Data'!$E$25="Equal",'I_Budget Input Data'!$D$25/'I_Inputs &amp; Assumptions'!$B$8,IF('I_Budget Input Data'!$E$25="Front-loaded",IF(31&lt;='I_Inputs &amp; Assumptions'!$B$8/2,'I_Budget Input Data'!$D$25*0.6/('I_Inputs &amp; Assumptions'!$B$8/2),'I_Budget Input Data'!$D$25*0.4/('I_Inputs &amp; Assumptions'!$B$8/2)),IF('I_Budget Input Data'!$E$25="Back-loaded",IF(31&lt;='I_Inputs &amp; Assumptions'!$B$8/2,'I_Budget Input Data'!$D$25*0.4/('I_Inputs &amp; Assumptions'!$B$8/2),'I_Budget Input Data'!$D$25*0.6/('I_Inputs &amp; Assumptions'!$B$8/2)),IF('I_Budget Input Data'!$E$25="Mid-weighted",IF(31&lt;='I_Inputs &amp; Assumptions'!$B$8/4,'I_Budget Input Data'!$D$25*0.2/('I_Inputs &amp; Assumptions'!$B$8/4),IF(31&lt;='I_Inputs &amp; Assumptions'!$B$8*0.75,'I_Budget Input Data'!$D$25*0.6/('I_Inputs &amp; Assumptions'!$B$8/2),'I_Budget Input Data'!$D$25*0.2/('I_Inputs &amp; Assumptions'!$B$8/4))),IF('I_Budget Input Data'!$E$25="At Completion",IF(31='I_Inputs &amp; Assumptions'!$B$8,'I_Budget Input Data'!$D$25,0),'I_Budget Input Data'!$D$25/'I_Inputs &amp; Assumptions'!$B$8)))))),0)</f>
        <v>0</v>
      </c>
      <c r="AH25" s="91">
        <f>IF(32&lt;='I_Inputs &amp; Assumptions'!$B$8,IF('I_Budget Input Data'!$E$25="Upfront",IF(32=1,'I_Budget Input Data'!$D$25,0),IF('I_Budget Input Data'!$E$25="Equal",'I_Budget Input Data'!$D$25/'I_Inputs &amp; Assumptions'!$B$8,IF('I_Budget Input Data'!$E$25="Front-loaded",IF(32&lt;='I_Inputs &amp; Assumptions'!$B$8/2,'I_Budget Input Data'!$D$25*0.6/('I_Inputs &amp; Assumptions'!$B$8/2),'I_Budget Input Data'!$D$25*0.4/('I_Inputs &amp; Assumptions'!$B$8/2)),IF('I_Budget Input Data'!$E$25="Back-loaded",IF(32&lt;='I_Inputs &amp; Assumptions'!$B$8/2,'I_Budget Input Data'!$D$25*0.4/('I_Inputs &amp; Assumptions'!$B$8/2),'I_Budget Input Data'!$D$25*0.6/('I_Inputs &amp; Assumptions'!$B$8/2)),IF('I_Budget Input Data'!$E$25="Mid-weighted",IF(32&lt;='I_Inputs &amp; Assumptions'!$B$8/4,'I_Budget Input Data'!$D$25*0.2/('I_Inputs &amp; Assumptions'!$B$8/4),IF(32&lt;='I_Inputs &amp; Assumptions'!$B$8*0.75,'I_Budget Input Data'!$D$25*0.6/('I_Inputs &amp; Assumptions'!$B$8/2),'I_Budget Input Data'!$D$25*0.2/('I_Inputs &amp; Assumptions'!$B$8/4))),IF('I_Budget Input Data'!$E$25="At Completion",IF(32='I_Inputs &amp; Assumptions'!$B$8,'I_Budget Input Data'!$D$25,0),'I_Budget Input Data'!$D$25/'I_Inputs &amp; Assumptions'!$B$8)))))),0)</f>
        <v>0</v>
      </c>
      <c r="AI25" s="91">
        <f>IF(33&lt;='I_Inputs &amp; Assumptions'!$B$8,IF('I_Budget Input Data'!$E$25="Upfront",IF(33=1,'I_Budget Input Data'!$D$25,0),IF('I_Budget Input Data'!$E$25="Equal",'I_Budget Input Data'!$D$25/'I_Inputs &amp; Assumptions'!$B$8,IF('I_Budget Input Data'!$E$25="Front-loaded",IF(33&lt;='I_Inputs &amp; Assumptions'!$B$8/2,'I_Budget Input Data'!$D$25*0.6/('I_Inputs &amp; Assumptions'!$B$8/2),'I_Budget Input Data'!$D$25*0.4/('I_Inputs &amp; Assumptions'!$B$8/2)),IF('I_Budget Input Data'!$E$25="Back-loaded",IF(33&lt;='I_Inputs &amp; Assumptions'!$B$8/2,'I_Budget Input Data'!$D$25*0.4/('I_Inputs &amp; Assumptions'!$B$8/2),'I_Budget Input Data'!$D$25*0.6/('I_Inputs &amp; Assumptions'!$B$8/2)),IF('I_Budget Input Data'!$E$25="Mid-weighted",IF(33&lt;='I_Inputs &amp; Assumptions'!$B$8/4,'I_Budget Input Data'!$D$25*0.2/('I_Inputs &amp; Assumptions'!$B$8/4),IF(33&lt;='I_Inputs &amp; Assumptions'!$B$8*0.75,'I_Budget Input Data'!$D$25*0.6/('I_Inputs &amp; Assumptions'!$B$8/2),'I_Budget Input Data'!$D$25*0.2/('I_Inputs &amp; Assumptions'!$B$8/4))),IF('I_Budget Input Data'!$E$25="At Completion",IF(33='I_Inputs &amp; Assumptions'!$B$8,'I_Budget Input Data'!$D$25,0),'I_Budget Input Data'!$D$25/'I_Inputs &amp; Assumptions'!$B$8)))))),0)</f>
        <v>0</v>
      </c>
      <c r="AJ25" s="91">
        <f>IF(34&lt;='I_Inputs &amp; Assumptions'!$B$8,IF('I_Budget Input Data'!$E$25="Upfront",IF(34=1,'I_Budget Input Data'!$D$25,0),IF('I_Budget Input Data'!$E$25="Equal",'I_Budget Input Data'!$D$25/'I_Inputs &amp; Assumptions'!$B$8,IF('I_Budget Input Data'!$E$25="Front-loaded",IF(34&lt;='I_Inputs &amp; Assumptions'!$B$8/2,'I_Budget Input Data'!$D$25*0.6/('I_Inputs &amp; Assumptions'!$B$8/2),'I_Budget Input Data'!$D$25*0.4/('I_Inputs &amp; Assumptions'!$B$8/2)),IF('I_Budget Input Data'!$E$25="Back-loaded",IF(34&lt;='I_Inputs &amp; Assumptions'!$B$8/2,'I_Budget Input Data'!$D$25*0.4/('I_Inputs &amp; Assumptions'!$B$8/2),'I_Budget Input Data'!$D$25*0.6/('I_Inputs &amp; Assumptions'!$B$8/2)),IF('I_Budget Input Data'!$E$25="Mid-weighted",IF(34&lt;='I_Inputs &amp; Assumptions'!$B$8/4,'I_Budget Input Data'!$D$25*0.2/('I_Inputs &amp; Assumptions'!$B$8/4),IF(34&lt;='I_Inputs &amp; Assumptions'!$B$8*0.75,'I_Budget Input Data'!$D$25*0.6/('I_Inputs &amp; Assumptions'!$B$8/2),'I_Budget Input Data'!$D$25*0.2/('I_Inputs &amp; Assumptions'!$B$8/4))),IF('I_Budget Input Data'!$E$25="At Completion",IF(34='I_Inputs &amp; Assumptions'!$B$8,'I_Budget Input Data'!$D$25,0),'I_Budget Input Data'!$D$25/'I_Inputs &amp; Assumptions'!$B$8)))))),0)</f>
        <v>0</v>
      </c>
      <c r="AK25" s="91">
        <f>IF(35&lt;='I_Inputs &amp; Assumptions'!$B$8,IF('I_Budget Input Data'!$E$25="Upfront",IF(35=1,'I_Budget Input Data'!$D$25,0),IF('I_Budget Input Data'!$E$25="Equal",'I_Budget Input Data'!$D$25/'I_Inputs &amp; Assumptions'!$B$8,IF('I_Budget Input Data'!$E$25="Front-loaded",IF(35&lt;='I_Inputs &amp; Assumptions'!$B$8/2,'I_Budget Input Data'!$D$25*0.6/('I_Inputs &amp; Assumptions'!$B$8/2),'I_Budget Input Data'!$D$25*0.4/('I_Inputs &amp; Assumptions'!$B$8/2)),IF('I_Budget Input Data'!$E$25="Back-loaded",IF(35&lt;='I_Inputs &amp; Assumptions'!$B$8/2,'I_Budget Input Data'!$D$25*0.4/('I_Inputs &amp; Assumptions'!$B$8/2),'I_Budget Input Data'!$D$25*0.6/('I_Inputs &amp; Assumptions'!$B$8/2)),IF('I_Budget Input Data'!$E$25="Mid-weighted",IF(35&lt;='I_Inputs &amp; Assumptions'!$B$8/4,'I_Budget Input Data'!$D$25*0.2/('I_Inputs &amp; Assumptions'!$B$8/4),IF(35&lt;='I_Inputs &amp; Assumptions'!$B$8*0.75,'I_Budget Input Data'!$D$25*0.6/('I_Inputs &amp; Assumptions'!$B$8/2),'I_Budget Input Data'!$D$25*0.2/('I_Inputs &amp; Assumptions'!$B$8/4))),IF('I_Budget Input Data'!$E$25="At Completion",IF(35='I_Inputs &amp; Assumptions'!$B$8,'I_Budget Input Data'!$D$25,0),'I_Budget Input Data'!$D$25/'I_Inputs &amp; Assumptions'!$B$8)))))),0)</f>
        <v>0</v>
      </c>
      <c r="AL25" s="91">
        <f>IF(36&lt;='I_Inputs &amp; Assumptions'!$B$8,IF('I_Budget Input Data'!$E$25="Upfront",IF(36=1,'I_Budget Input Data'!$D$25,0),IF('I_Budget Input Data'!$E$25="Equal",'I_Budget Input Data'!$D$25/'I_Inputs &amp; Assumptions'!$B$8,IF('I_Budget Input Data'!$E$25="Front-loaded",IF(36&lt;='I_Inputs &amp; Assumptions'!$B$8/2,'I_Budget Input Data'!$D$25*0.6/('I_Inputs &amp; Assumptions'!$B$8/2),'I_Budget Input Data'!$D$25*0.4/('I_Inputs &amp; Assumptions'!$B$8/2)),IF('I_Budget Input Data'!$E$25="Back-loaded",IF(36&lt;='I_Inputs &amp; Assumptions'!$B$8/2,'I_Budget Input Data'!$D$25*0.4/('I_Inputs &amp; Assumptions'!$B$8/2),'I_Budget Input Data'!$D$25*0.6/('I_Inputs &amp; Assumptions'!$B$8/2)),IF('I_Budget Input Data'!$E$25="Mid-weighted",IF(36&lt;='I_Inputs &amp; Assumptions'!$B$8/4,'I_Budget Input Data'!$D$25*0.2/('I_Inputs &amp; Assumptions'!$B$8/4),IF(36&lt;='I_Inputs &amp; Assumptions'!$B$8*0.75,'I_Budget Input Data'!$D$25*0.6/('I_Inputs &amp; Assumptions'!$B$8/2),'I_Budget Input Data'!$D$25*0.2/('I_Inputs &amp; Assumptions'!$B$8/4))),IF('I_Budget Input Data'!$E$25="At Completion",IF(36='I_Inputs &amp; Assumptions'!$B$8,'I_Budget Input Data'!$D$25,0),'I_Budget Input Data'!$D$25/'I_Inputs &amp; Assumptions'!$B$8)))))),0)</f>
        <v>0</v>
      </c>
    </row>
    <row r="26" spans="1:38" ht="15" customHeight="1" x14ac:dyDescent="0.2">
      <c r="A26" t="s">
        <v>146</v>
      </c>
      <c r="B26" t="s">
        <v>148</v>
      </c>
      <c r="C26" s="91">
        <f>IF(1&lt;='I_Inputs &amp; Assumptions'!$B$8,IF('I_Budget Input Data'!$E$26="Upfront",IF(1=1,'I_Budget Input Data'!$D$26,0),IF('I_Budget Input Data'!$E$26="Equal",'I_Budget Input Data'!$D$26/'I_Inputs &amp; Assumptions'!$B$8,IF('I_Budget Input Data'!$E$26="Front-loaded",IF(1&lt;='I_Inputs &amp; Assumptions'!$B$8/2,'I_Budget Input Data'!$D$26*0.6/('I_Inputs &amp; Assumptions'!$B$8/2),'I_Budget Input Data'!$D$26*0.4/('I_Inputs &amp; Assumptions'!$B$8/2)),IF('I_Budget Input Data'!$E$26="Back-loaded",IF(1&lt;='I_Inputs &amp; Assumptions'!$B$8/2,'I_Budget Input Data'!$D$26*0.4/('I_Inputs &amp; Assumptions'!$B$8/2),'I_Budget Input Data'!$D$26*0.6/('I_Inputs &amp; Assumptions'!$B$8/2)),IF('I_Budget Input Data'!$E$26="Mid-weighted",IF(1&lt;='I_Inputs &amp; Assumptions'!$B$8/4,'I_Budget Input Data'!$D$26*0.2/('I_Inputs &amp; Assumptions'!$B$8/4),IF(1&lt;='I_Inputs &amp; Assumptions'!$B$8*0.75,'I_Budget Input Data'!$D$26*0.6/('I_Inputs &amp; Assumptions'!$B$8/2),'I_Budget Input Data'!$D$26*0.2/('I_Inputs &amp; Assumptions'!$B$8/4))),IF('I_Budget Input Data'!$E$26="At Completion",IF(1='I_Inputs &amp; Assumptions'!$B$8,'I_Budget Input Data'!$D$26,0),'I_Budget Input Data'!$D$26/'I_Inputs &amp; Assumptions'!$B$8)))))),0)</f>
        <v>21439.846153846152</v>
      </c>
      <c r="D26" s="91">
        <f>IF(2&lt;='I_Inputs &amp; Assumptions'!$B$8,IF('I_Budget Input Data'!$E$26="Upfront",IF(2=1,'I_Budget Input Data'!$D$26,0),IF('I_Budget Input Data'!$E$26="Equal",'I_Budget Input Data'!$D$26/'I_Inputs &amp; Assumptions'!$B$8,IF('I_Budget Input Data'!$E$26="Front-loaded",IF(2&lt;='I_Inputs &amp; Assumptions'!$B$8/2,'I_Budget Input Data'!$D$26*0.6/('I_Inputs &amp; Assumptions'!$B$8/2),'I_Budget Input Data'!$D$26*0.4/('I_Inputs &amp; Assumptions'!$B$8/2)),IF('I_Budget Input Data'!$E$26="Back-loaded",IF(2&lt;='I_Inputs &amp; Assumptions'!$B$8/2,'I_Budget Input Data'!$D$26*0.4/('I_Inputs &amp; Assumptions'!$B$8/2),'I_Budget Input Data'!$D$26*0.6/('I_Inputs &amp; Assumptions'!$B$8/2)),IF('I_Budget Input Data'!$E$26="Mid-weighted",IF(2&lt;='I_Inputs &amp; Assumptions'!$B$8/4,'I_Budget Input Data'!$D$26*0.2/('I_Inputs &amp; Assumptions'!$B$8/4),IF(2&lt;='I_Inputs &amp; Assumptions'!$B$8*0.75,'I_Budget Input Data'!$D$26*0.6/('I_Inputs &amp; Assumptions'!$B$8/2),'I_Budget Input Data'!$D$26*0.2/('I_Inputs &amp; Assumptions'!$B$8/4))),IF('I_Budget Input Data'!$E$26="At Completion",IF(2='I_Inputs &amp; Assumptions'!$B$8,'I_Budget Input Data'!$D$26,0),'I_Budget Input Data'!$D$26/'I_Inputs &amp; Assumptions'!$B$8)))))),0)</f>
        <v>21439.846153846152</v>
      </c>
      <c r="E26" s="91">
        <f>IF(3&lt;='I_Inputs &amp; Assumptions'!$B$8,IF('I_Budget Input Data'!$E$26="Upfront",IF(3=1,'I_Budget Input Data'!$D$26,0),IF('I_Budget Input Data'!$E$26="Equal",'I_Budget Input Data'!$D$26/'I_Inputs &amp; Assumptions'!$B$8,IF('I_Budget Input Data'!$E$26="Front-loaded",IF(3&lt;='I_Inputs &amp; Assumptions'!$B$8/2,'I_Budget Input Data'!$D$26*0.6/('I_Inputs &amp; Assumptions'!$B$8/2),'I_Budget Input Data'!$D$26*0.4/('I_Inputs &amp; Assumptions'!$B$8/2)),IF('I_Budget Input Data'!$E$26="Back-loaded",IF(3&lt;='I_Inputs &amp; Assumptions'!$B$8/2,'I_Budget Input Data'!$D$26*0.4/('I_Inputs &amp; Assumptions'!$B$8/2),'I_Budget Input Data'!$D$26*0.6/('I_Inputs &amp; Assumptions'!$B$8/2)),IF('I_Budget Input Data'!$E$26="Mid-weighted",IF(3&lt;='I_Inputs &amp; Assumptions'!$B$8/4,'I_Budget Input Data'!$D$26*0.2/('I_Inputs &amp; Assumptions'!$B$8/4),IF(3&lt;='I_Inputs &amp; Assumptions'!$B$8*0.75,'I_Budget Input Data'!$D$26*0.6/('I_Inputs &amp; Assumptions'!$B$8/2),'I_Budget Input Data'!$D$26*0.2/('I_Inputs &amp; Assumptions'!$B$8/4))),IF('I_Budget Input Data'!$E$26="At Completion",IF(3='I_Inputs &amp; Assumptions'!$B$8,'I_Budget Input Data'!$D$26,0),'I_Budget Input Data'!$D$26/'I_Inputs &amp; Assumptions'!$B$8)))))),0)</f>
        <v>21439.846153846152</v>
      </c>
      <c r="F26" s="91">
        <f>IF(4&lt;='I_Inputs &amp; Assumptions'!$B$8,IF('I_Budget Input Data'!$E$26="Upfront",IF(4=1,'I_Budget Input Data'!$D$26,0),IF('I_Budget Input Data'!$E$26="Equal",'I_Budget Input Data'!$D$26/'I_Inputs &amp; Assumptions'!$B$8,IF('I_Budget Input Data'!$E$26="Front-loaded",IF(4&lt;='I_Inputs &amp; Assumptions'!$B$8/2,'I_Budget Input Data'!$D$26*0.6/('I_Inputs &amp; Assumptions'!$B$8/2),'I_Budget Input Data'!$D$26*0.4/('I_Inputs &amp; Assumptions'!$B$8/2)),IF('I_Budget Input Data'!$E$26="Back-loaded",IF(4&lt;='I_Inputs &amp; Assumptions'!$B$8/2,'I_Budget Input Data'!$D$26*0.4/('I_Inputs &amp; Assumptions'!$B$8/2),'I_Budget Input Data'!$D$26*0.6/('I_Inputs &amp; Assumptions'!$B$8/2)),IF('I_Budget Input Data'!$E$26="Mid-weighted",IF(4&lt;='I_Inputs &amp; Assumptions'!$B$8/4,'I_Budget Input Data'!$D$26*0.2/('I_Inputs &amp; Assumptions'!$B$8/4),IF(4&lt;='I_Inputs &amp; Assumptions'!$B$8*0.75,'I_Budget Input Data'!$D$26*0.6/('I_Inputs &amp; Assumptions'!$B$8/2),'I_Budget Input Data'!$D$26*0.2/('I_Inputs &amp; Assumptions'!$B$8/4))),IF('I_Budget Input Data'!$E$26="At Completion",IF(4='I_Inputs &amp; Assumptions'!$B$8,'I_Budget Input Data'!$D$26,0),'I_Budget Input Data'!$D$26/'I_Inputs &amp; Assumptions'!$B$8)))))),0)</f>
        <v>21439.846153846152</v>
      </c>
      <c r="G26" s="91">
        <f>IF(5&lt;='I_Inputs &amp; Assumptions'!$B$8,IF('I_Budget Input Data'!$E$26="Upfront",IF(5=1,'I_Budget Input Data'!$D$26,0),IF('I_Budget Input Data'!$E$26="Equal",'I_Budget Input Data'!$D$26/'I_Inputs &amp; Assumptions'!$B$8,IF('I_Budget Input Data'!$E$26="Front-loaded",IF(5&lt;='I_Inputs &amp; Assumptions'!$B$8/2,'I_Budget Input Data'!$D$26*0.6/('I_Inputs &amp; Assumptions'!$B$8/2),'I_Budget Input Data'!$D$26*0.4/('I_Inputs &amp; Assumptions'!$B$8/2)),IF('I_Budget Input Data'!$E$26="Back-loaded",IF(5&lt;='I_Inputs &amp; Assumptions'!$B$8/2,'I_Budget Input Data'!$D$26*0.4/('I_Inputs &amp; Assumptions'!$B$8/2),'I_Budget Input Data'!$D$26*0.6/('I_Inputs &amp; Assumptions'!$B$8/2)),IF('I_Budget Input Data'!$E$26="Mid-weighted",IF(5&lt;='I_Inputs &amp; Assumptions'!$B$8/4,'I_Budget Input Data'!$D$26*0.2/('I_Inputs &amp; Assumptions'!$B$8/4),IF(5&lt;='I_Inputs &amp; Assumptions'!$B$8*0.75,'I_Budget Input Data'!$D$26*0.6/('I_Inputs &amp; Assumptions'!$B$8/2),'I_Budget Input Data'!$D$26*0.2/('I_Inputs &amp; Assumptions'!$B$8/4))),IF('I_Budget Input Data'!$E$26="At Completion",IF(5='I_Inputs &amp; Assumptions'!$B$8,'I_Budget Input Data'!$D$26,0),'I_Budget Input Data'!$D$26/'I_Inputs &amp; Assumptions'!$B$8)))))),0)</f>
        <v>21439.846153846152</v>
      </c>
      <c r="H26" s="91">
        <f>IF(6&lt;='I_Inputs &amp; Assumptions'!$B$8,IF('I_Budget Input Data'!$E$26="Upfront",IF(6=1,'I_Budget Input Data'!$D$26,0),IF('I_Budget Input Data'!$E$26="Equal",'I_Budget Input Data'!$D$26/'I_Inputs &amp; Assumptions'!$B$8,IF('I_Budget Input Data'!$E$26="Front-loaded",IF(6&lt;='I_Inputs &amp; Assumptions'!$B$8/2,'I_Budget Input Data'!$D$26*0.6/('I_Inputs &amp; Assumptions'!$B$8/2),'I_Budget Input Data'!$D$26*0.4/('I_Inputs &amp; Assumptions'!$B$8/2)),IF('I_Budget Input Data'!$E$26="Back-loaded",IF(6&lt;='I_Inputs &amp; Assumptions'!$B$8/2,'I_Budget Input Data'!$D$26*0.4/('I_Inputs &amp; Assumptions'!$B$8/2),'I_Budget Input Data'!$D$26*0.6/('I_Inputs &amp; Assumptions'!$B$8/2)),IF('I_Budget Input Data'!$E$26="Mid-weighted",IF(6&lt;='I_Inputs &amp; Assumptions'!$B$8/4,'I_Budget Input Data'!$D$26*0.2/('I_Inputs &amp; Assumptions'!$B$8/4),IF(6&lt;='I_Inputs &amp; Assumptions'!$B$8*0.75,'I_Budget Input Data'!$D$26*0.6/('I_Inputs &amp; Assumptions'!$B$8/2),'I_Budget Input Data'!$D$26*0.2/('I_Inputs &amp; Assumptions'!$B$8/4))),IF('I_Budget Input Data'!$E$26="At Completion",IF(6='I_Inputs &amp; Assumptions'!$B$8,'I_Budget Input Data'!$D$26,0),'I_Budget Input Data'!$D$26/'I_Inputs &amp; Assumptions'!$B$8)))))),0)</f>
        <v>21439.846153846152</v>
      </c>
      <c r="I26" s="91">
        <f>IF(7&lt;='I_Inputs &amp; Assumptions'!$B$8,IF('I_Budget Input Data'!$E$26="Upfront",IF(7=1,'I_Budget Input Data'!$D$26,0),IF('I_Budget Input Data'!$E$26="Equal",'I_Budget Input Data'!$D$26/'I_Inputs &amp; Assumptions'!$B$8,IF('I_Budget Input Data'!$E$26="Front-loaded",IF(7&lt;='I_Inputs &amp; Assumptions'!$B$8/2,'I_Budget Input Data'!$D$26*0.6/('I_Inputs &amp; Assumptions'!$B$8/2),'I_Budget Input Data'!$D$26*0.4/('I_Inputs &amp; Assumptions'!$B$8/2)),IF('I_Budget Input Data'!$E$26="Back-loaded",IF(7&lt;='I_Inputs &amp; Assumptions'!$B$8/2,'I_Budget Input Data'!$D$26*0.4/('I_Inputs &amp; Assumptions'!$B$8/2),'I_Budget Input Data'!$D$26*0.6/('I_Inputs &amp; Assumptions'!$B$8/2)),IF('I_Budget Input Data'!$E$26="Mid-weighted",IF(7&lt;='I_Inputs &amp; Assumptions'!$B$8/4,'I_Budget Input Data'!$D$26*0.2/('I_Inputs &amp; Assumptions'!$B$8/4),IF(7&lt;='I_Inputs &amp; Assumptions'!$B$8*0.75,'I_Budget Input Data'!$D$26*0.6/('I_Inputs &amp; Assumptions'!$B$8/2),'I_Budget Input Data'!$D$26*0.2/('I_Inputs &amp; Assumptions'!$B$8/4))),IF('I_Budget Input Data'!$E$26="At Completion",IF(7='I_Inputs &amp; Assumptions'!$B$8,'I_Budget Input Data'!$D$26,0),'I_Budget Input Data'!$D$26/'I_Inputs &amp; Assumptions'!$B$8)))))),0)</f>
        <v>21439.846153846152</v>
      </c>
      <c r="J26" s="91">
        <f>IF(8&lt;='I_Inputs &amp; Assumptions'!$B$8,IF('I_Budget Input Data'!$E$26="Upfront",IF(8=1,'I_Budget Input Data'!$D$26,0),IF('I_Budget Input Data'!$E$26="Equal",'I_Budget Input Data'!$D$26/'I_Inputs &amp; Assumptions'!$B$8,IF('I_Budget Input Data'!$E$26="Front-loaded",IF(8&lt;='I_Inputs &amp; Assumptions'!$B$8/2,'I_Budget Input Data'!$D$26*0.6/('I_Inputs &amp; Assumptions'!$B$8/2),'I_Budget Input Data'!$D$26*0.4/('I_Inputs &amp; Assumptions'!$B$8/2)),IF('I_Budget Input Data'!$E$26="Back-loaded",IF(8&lt;='I_Inputs &amp; Assumptions'!$B$8/2,'I_Budget Input Data'!$D$26*0.4/('I_Inputs &amp; Assumptions'!$B$8/2),'I_Budget Input Data'!$D$26*0.6/('I_Inputs &amp; Assumptions'!$B$8/2)),IF('I_Budget Input Data'!$E$26="Mid-weighted",IF(8&lt;='I_Inputs &amp; Assumptions'!$B$8/4,'I_Budget Input Data'!$D$26*0.2/('I_Inputs &amp; Assumptions'!$B$8/4),IF(8&lt;='I_Inputs &amp; Assumptions'!$B$8*0.75,'I_Budget Input Data'!$D$26*0.6/('I_Inputs &amp; Assumptions'!$B$8/2),'I_Budget Input Data'!$D$26*0.2/('I_Inputs &amp; Assumptions'!$B$8/4))),IF('I_Budget Input Data'!$E$26="At Completion",IF(8='I_Inputs &amp; Assumptions'!$B$8,'I_Budget Input Data'!$D$26,0),'I_Budget Input Data'!$D$26/'I_Inputs &amp; Assumptions'!$B$8)))))),0)</f>
        <v>21439.846153846152</v>
      </c>
      <c r="K26" s="91">
        <f>IF(9&lt;='I_Inputs &amp; Assumptions'!$B$8,IF('I_Budget Input Data'!$E$26="Upfront",IF(9=1,'I_Budget Input Data'!$D$26,0),IF('I_Budget Input Data'!$E$26="Equal",'I_Budget Input Data'!$D$26/'I_Inputs &amp; Assumptions'!$B$8,IF('I_Budget Input Data'!$E$26="Front-loaded",IF(9&lt;='I_Inputs &amp; Assumptions'!$B$8/2,'I_Budget Input Data'!$D$26*0.6/('I_Inputs &amp; Assumptions'!$B$8/2),'I_Budget Input Data'!$D$26*0.4/('I_Inputs &amp; Assumptions'!$B$8/2)),IF('I_Budget Input Data'!$E$26="Back-loaded",IF(9&lt;='I_Inputs &amp; Assumptions'!$B$8/2,'I_Budget Input Data'!$D$26*0.4/('I_Inputs &amp; Assumptions'!$B$8/2),'I_Budget Input Data'!$D$26*0.6/('I_Inputs &amp; Assumptions'!$B$8/2)),IF('I_Budget Input Data'!$E$26="Mid-weighted",IF(9&lt;='I_Inputs &amp; Assumptions'!$B$8/4,'I_Budget Input Data'!$D$26*0.2/('I_Inputs &amp; Assumptions'!$B$8/4),IF(9&lt;='I_Inputs &amp; Assumptions'!$B$8*0.75,'I_Budget Input Data'!$D$26*0.6/('I_Inputs &amp; Assumptions'!$B$8/2),'I_Budget Input Data'!$D$26*0.2/('I_Inputs &amp; Assumptions'!$B$8/4))),IF('I_Budget Input Data'!$E$26="At Completion",IF(9='I_Inputs &amp; Assumptions'!$B$8,'I_Budget Input Data'!$D$26,0),'I_Budget Input Data'!$D$26/'I_Inputs &amp; Assumptions'!$B$8)))))),0)</f>
        <v>21439.846153846152</v>
      </c>
      <c r="L26" s="91">
        <f>IF(10&lt;='I_Inputs &amp; Assumptions'!$B$8,IF('I_Budget Input Data'!$E$26="Upfront",IF(10=1,'I_Budget Input Data'!$D$26,0),IF('I_Budget Input Data'!$E$26="Equal",'I_Budget Input Data'!$D$26/'I_Inputs &amp; Assumptions'!$B$8,IF('I_Budget Input Data'!$E$26="Front-loaded",IF(10&lt;='I_Inputs &amp; Assumptions'!$B$8/2,'I_Budget Input Data'!$D$26*0.6/('I_Inputs &amp; Assumptions'!$B$8/2),'I_Budget Input Data'!$D$26*0.4/('I_Inputs &amp; Assumptions'!$B$8/2)),IF('I_Budget Input Data'!$E$26="Back-loaded",IF(10&lt;='I_Inputs &amp; Assumptions'!$B$8/2,'I_Budget Input Data'!$D$26*0.4/('I_Inputs &amp; Assumptions'!$B$8/2),'I_Budget Input Data'!$D$26*0.6/('I_Inputs &amp; Assumptions'!$B$8/2)),IF('I_Budget Input Data'!$E$26="Mid-weighted",IF(10&lt;='I_Inputs &amp; Assumptions'!$B$8/4,'I_Budget Input Data'!$D$26*0.2/('I_Inputs &amp; Assumptions'!$B$8/4),IF(10&lt;='I_Inputs &amp; Assumptions'!$B$8*0.75,'I_Budget Input Data'!$D$26*0.6/('I_Inputs &amp; Assumptions'!$B$8/2),'I_Budget Input Data'!$D$26*0.2/('I_Inputs &amp; Assumptions'!$B$8/4))),IF('I_Budget Input Data'!$E$26="At Completion",IF(10='I_Inputs &amp; Assumptions'!$B$8,'I_Budget Input Data'!$D$26,0),'I_Budget Input Data'!$D$26/'I_Inputs &amp; Assumptions'!$B$8)))))),0)</f>
        <v>21439.846153846152</v>
      </c>
      <c r="M26" s="91">
        <f>IF(11&lt;='I_Inputs &amp; Assumptions'!$B$8,IF('I_Budget Input Data'!$E$26="Upfront",IF(11=1,'I_Budget Input Data'!$D$26,0),IF('I_Budget Input Data'!$E$26="Equal",'I_Budget Input Data'!$D$26/'I_Inputs &amp; Assumptions'!$B$8,IF('I_Budget Input Data'!$E$26="Front-loaded",IF(11&lt;='I_Inputs &amp; Assumptions'!$B$8/2,'I_Budget Input Data'!$D$26*0.6/('I_Inputs &amp; Assumptions'!$B$8/2),'I_Budget Input Data'!$D$26*0.4/('I_Inputs &amp; Assumptions'!$B$8/2)),IF('I_Budget Input Data'!$E$26="Back-loaded",IF(11&lt;='I_Inputs &amp; Assumptions'!$B$8/2,'I_Budget Input Data'!$D$26*0.4/('I_Inputs &amp; Assumptions'!$B$8/2),'I_Budget Input Data'!$D$26*0.6/('I_Inputs &amp; Assumptions'!$B$8/2)),IF('I_Budget Input Data'!$E$26="Mid-weighted",IF(11&lt;='I_Inputs &amp; Assumptions'!$B$8/4,'I_Budget Input Data'!$D$26*0.2/('I_Inputs &amp; Assumptions'!$B$8/4),IF(11&lt;='I_Inputs &amp; Assumptions'!$B$8*0.75,'I_Budget Input Data'!$D$26*0.6/('I_Inputs &amp; Assumptions'!$B$8/2),'I_Budget Input Data'!$D$26*0.2/('I_Inputs &amp; Assumptions'!$B$8/4))),IF('I_Budget Input Data'!$E$26="At Completion",IF(11='I_Inputs &amp; Assumptions'!$B$8,'I_Budget Input Data'!$D$26,0),'I_Budget Input Data'!$D$26/'I_Inputs &amp; Assumptions'!$B$8)))))),0)</f>
        <v>21439.846153846152</v>
      </c>
      <c r="N26" s="91">
        <f>IF(12&lt;='I_Inputs &amp; Assumptions'!$B$8,IF('I_Budget Input Data'!$E$26="Upfront",IF(12=1,'I_Budget Input Data'!$D$26,0),IF('I_Budget Input Data'!$E$26="Equal",'I_Budget Input Data'!$D$26/'I_Inputs &amp; Assumptions'!$B$8,IF('I_Budget Input Data'!$E$26="Front-loaded",IF(12&lt;='I_Inputs &amp; Assumptions'!$B$8/2,'I_Budget Input Data'!$D$26*0.6/('I_Inputs &amp; Assumptions'!$B$8/2),'I_Budget Input Data'!$D$26*0.4/('I_Inputs &amp; Assumptions'!$B$8/2)),IF('I_Budget Input Data'!$E$26="Back-loaded",IF(12&lt;='I_Inputs &amp; Assumptions'!$B$8/2,'I_Budget Input Data'!$D$26*0.4/('I_Inputs &amp; Assumptions'!$B$8/2),'I_Budget Input Data'!$D$26*0.6/('I_Inputs &amp; Assumptions'!$B$8/2)),IF('I_Budget Input Data'!$E$26="Mid-weighted",IF(12&lt;='I_Inputs &amp; Assumptions'!$B$8/4,'I_Budget Input Data'!$D$26*0.2/('I_Inputs &amp; Assumptions'!$B$8/4),IF(12&lt;='I_Inputs &amp; Assumptions'!$B$8*0.75,'I_Budget Input Data'!$D$26*0.6/('I_Inputs &amp; Assumptions'!$B$8/2),'I_Budget Input Data'!$D$26*0.2/('I_Inputs &amp; Assumptions'!$B$8/4))),IF('I_Budget Input Data'!$E$26="At Completion",IF(12='I_Inputs &amp; Assumptions'!$B$8,'I_Budget Input Data'!$D$26,0),'I_Budget Input Data'!$D$26/'I_Inputs &amp; Assumptions'!$B$8)))))),0)</f>
        <v>21439.846153846152</v>
      </c>
      <c r="O26" s="91">
        <f>IF(13&lt;='I_Inputs &amp; Assumptions'!$B$8,IF('I_Budget Input Data'!$E$26="Upfront",IF(13=1,'I_Budget Input Data'!$D$26,0),IF('I_Budget Input Data'!$E$26="Equal",'I_Budget Input Data'!$D$26/'I_Inputs &amp; Assumptions'!$B$8,IF('I_Budget Input Data'!$E$26="Front-loaded",IF(13&lt;='I_Inputs &amp; Assumptions'!$B$8/2,'I_Budget Input Data'!$D$26*0.6/('I_Inputs &amp; Assumptions'!$B$8/2),'I_Budget Input Data'!$D$26*0.4/('I_Inputs &amp; Assumptions'!$B$8/2)),IF('I_Budget Input Data'!$E$26="Back-loaded",IF(13&lt;='I_Inputs &amp; Assumptions'!$B$8/2,'I_Budget Input Data'!$D$26*0.4/('I_Inputs &amp; Assumptions'!$B$8/2),'I_Budget Input Data'!$D$26*0.6/('I_Inputs &amp; Assumptions'!$B$8/2)),IF('I_Budget Input Data'!$E$26="Mid-weighted",IF(13&lt;='I_Inputs &amp; Assumptions'!$B$8/4,'I_Budget Input Data'!$D$26*0.2/('I_Inputs &amp; Assumptions'!$B$8/4),IF(13&lt;='I_Inputs &amp; Assumptions'!$B$8*0.75,'I_Budget Input Data'!$D$26*0.6/('I_Inputs &amp; Assumptions'!$B$8/2),'I_Budget Input Data'!$D$26*0.2/('I_Inputs &amp; Assumptions'!$B$8/4))),IF('I_Budget Input Data'!$E$26="At Completion",IF(13='I_Inputs &amp; Assumptions'!$B$8,'I_Budget Input Data'!$D$26,0),'I_Budget Input Data'!$D$26/'I_Inputs &amp; Assumptions'!$B$8)))))),0)</f>
        <v>21439.846153846152</v>
      </c>
      <c r="P26" s="91">
        <f>IF(14&lt;='I_Inputs &amp; Assumptions'!$B$8,IF('I_Budget Input Data'!$E$26="Upfront",IF(14=1,'I_Budget Input Data'!$D$26,0),IF('I_Budget Input Data'!$E$26="Equal",'I_Budget Input Data'!$D$26/'I_Inputs &amp; Assumptions'!$B$8,IF('I_Budget Input Data'!$E$26="Front-loaded",IF(14&lt;='I_Inputs &amp; Assumptions'!$B$8/2,'I_Budget Input Data'!$D$26*0.6/('I_Inputs &amp; Assumptions'!$B$8/2),'I_Budget Input Data'!$D$26*0.4/('I_Inputs &amp; Assumptions'!$B$8/2)),IF('I_Budget Input Data'!$E$26="Back-loaded",IF(14&lt;='I_Inputs &amp; Assumptions'!$B$8/2,'I_Budget Input Data'!$D$26*0.4/('I_Inputs &amp; Assumptions'!$B$8/2),'I_Budget Input Data'!$D$26*0.6/('I_Inputs &amp; Assumptions'!$B$8/2)),IF('I_Budget Input Data'!$E$26="Mid-weighted",IF(14&lt;='I_Inputs &amp; Assumptions'!$B$8/4,'I_Budget Input Data'!$D$26*0.2/('I_Inputs &amp; Assumptions'!$B$8/4),IF(14&lt;='I_Inputs &amp; Assumptions'!$B$8*0.75,'I_Budget Input Data'!$D$26*0.6/('I_Inputs &amp; Assumptions'!$B$8/2),'I_Budget Input Data'!$D$26*0.2/('I_Inputs &amp; Assumptions'!$B$8/4))),IF('I_Budget Input Data'!$E$26="At Completion",IF(14='I_Inputs &amp; Assumptions'!$B$8,'I_Budget Input Data'!$D$26,0),'I_Budget Input Data'!$D$26/'I_Inputs &amp; Assumptions'!$B$8)))))),0)</f>
        <v>0</v>
      </c>
      <c r="Q26" s="91">
        <f>IF(15&lt;='I_Inputs &amp; Assumptions'!$B$8,IF('I_Budget Input Data'!$E$26="Upfront",IF(15=1,'I_Budget Input Data'!$D$26,0),IF('I_Budget Input Data'!$E$26="Equal",'I_Budget Input Data'!$D$26/'I_Inputs &amp; Assumptions'!$B$8,IF('I_Budget Input Data'!$E$26="Front-loaded",IF(15&lt;='I_Inputs &amp; Assumptions'!$B$8/2,'I_Budget Input Data'!$D$26*0.6/('I_Inputs &amp; Assumptions'!$B$8/2),'I_Budget Input Data'!$D$26*0.4/('I_Inputs &amp; Assumptions'!$B$8/2)),IF('I_Budget Input Data'!$E$26="Back-loaded",IF(15&lt;='I_Inputs &amp; Assumptions'!$B$8/2,'I_Budget Input Data'!$D$26*0.4/('I_Inputs &amp; Assumptions'!$B$8/2),'I_Budget Input Data'!$D$26*0.6/('I_Inputs &amp; Assumptions'!$B$8/2)),IF('I_Budget Input Data'!$E$26="Mid-weighted",IF(15&lt;='I_Inputs &amp; Assumptions'!$B$8/4,'I_Budget Input Data'!$D$26*0.2/('I_Inputs &amp; Assumptions'!$B$8/4),IF(15&lt;='I_Inputs &amp; Assumptions'!$B$8*0.75,'I_Budget Input Data'!$D$26*0.6/('I_Inputs &amp; Assumptions'!$B$8/2),'I_Budget Input Data'!$D$26*0.2/('I_Inputs &amp; Assumptions'!$B$8/4))),IF('I_Budget Input Data'!$E$26="At Completion",IF(15='I_Inputs &amp; Assumptions'!$B$8,'I_Budget Input Data'!$D$26,0),'I_Budget Input Data'!$D$26/'I_Inputs &amp; Assumptions'!$B$8)))))),0)</f>
        <v>0</v>
      </c>
      <c r="R26" s="91">
        <f>IF(16&lt;='I_Inputs &amp; Assumptions'!$B$8,IF('I_Budget Input Data'!$E$26="Upfront",IF(16=1,'I_Budget Input Data'!$D$26,0),IF('I_Budget Input Data'!$E$26="Equal",'I_Budget Input Data'!$D$26/'I_Inputs &amp; Assumptions'!$B$8,IF('I_Budget Input Data'!$E$26="Front-loaded",IF(16&lt;='I_Inputs &amp; Assumptions'!$B$8/2,'I_Budget Input Data'!$D$26*0.6/('I_Inputs &amp; Assumptions'!$B$8/2),'I_Budget Input Data'!$D$26*0.4/('I_Inputs &amp; Assumptions'!$B$8/2)),IF('I_Budget Input Data'!$E$26="Back-loaded",IF(16&lt;='I_Inputs &amp; Assumptions'!$B$8/2,'I_Budget Input Data'!$D$26*0.4/('I_Inputs &amp; Assumptions'!$B$8/2),'I_Budget Input Data'!$D$26*0.6/('I_Inputs &amp; Assumptions'!$B$8/2)),IF('I_Budget Input Data'!$E$26="Mid-weighted",IF(16&lt;='I_Inputs &amp; Assumptions'!$B$8/4,'I_Budget Input Data'!$D$26*0.2/('I_Inputs &amp; Assumptions'!$B$8/4),IF(16&lt;='I_Inputs &amp; Assumptions'!$B$8*0.75,'I_Budget Input Data'!$D$26*0.6/('I_Inputs &amp; Assumptions'!$B$8/2),'I_Budget Input Data'!$D$26*0.2/('I_Inputs &amp; Assumptions'!$B$8/4))),IF('I_Budget Input Data'!$E$26="At Completion",IF(16='I_Inputs &amp; Assumptions'!$B$8,'I_Budget Input Data'!$D$26,0),'I_Budget Input Data'!$D$26/'I_Inputs &amp; Assumptions'!$B$8)))))),0)</f>
        <v>0</v>
      </c>
      <c r="S26" s="91">
        <f>IF(17&lt;='I_Inputs &amp; Assumptions'!$B$8,IF('I_Budget Input Data'!$E$26="Upfront",IF(17=1,'I_Budget Input Data'!$D$26,0),IF('I_Budget Input Data'!$E$26="Equal",'I_Budget Input Data'!$D$26/'I_Inputs &amp; Assumptions'!$B$8,IF('I_Budget Input Data'!$E$26="Front-loaded",IF(17&lt;='I_Inputs &amp; Assumptions'!$B$8/2,'I_Budget Input Data'!$D$26*0.6/('I_Inputs &amp; Assumptions'!$B$8/2),'I_Budget Input Data'!$D$26*0.4/('I_Inputs &amp; Assumptions'!$B$8/2)),IF('I_Budget Input Data'!$E$26="Back-loaded",IF(17&lt;='I_Inputs &amp; Assumptions'!$B$8/2,'I_Budget Input Data'!$D$26*0.4/('I_Inputs &amp; Assumptions'!$B$8/2),'I_Budget Input Data'!$D$26*0.6/('I_Inputs &amp; Assumptions'!$B$8/2)),IF('I_Budget Input Data'!$E$26="Mid-weighted",IF(17&lt;='I_Inputs &amp; Assumptions'!$B$8/4,'I_Budget Input Data'!$D$26*0.2/('I_Inputs &amp; Assumptions'!$B$8/4),IF(17&lt;='I_Inputs &amp; Assumptions'!$B$8*0.75,'I_Budget Input Data'!$D$26*0.6/('I_Inputs &amp; Assumptions'!$B$8/2),'I_Budget Input Data'!$D$26*0.2/('I_Inputs &amp; Assumptions'!$B$8/4))),IF('I_Budget Input Data'!$E$26="At Completion",IF(17='I_Inputs &amp; Assumptions'!$B$8,'I_Budget Input Data'!$D$26,0),'I_Budget Input Data'!$D$26/'I_Inputs &amp; Assumptions'!$B$8)))))),0)</f>
        <v>0</v>
      </c>
      <c r="T26" s="91">
        <f>IF(18&lt;='I_Inputs &amp; Assumptions'!$B$8,IF('I_Budget Input Data'!$E$26="Upfront",IF(18=1,'I_Budget Input Data'!$D$26,0),IF('I_Budget Input Data'!$E$26="Equal",'I_Budget Input Data'!$D$26/'I_Inputs &amp; Assumptions'!$B$8,IF('I_Budget Input Data'!$E$26="Front-loaded",IF(18&lt;='I_Inputs &amp; Assumptions'!$B$8/2,'I_Budget Input Data'!$D$26*0.6/('I_Inputs &amp; Assumptions'!$B$8/2),'I_Budget Input Data'!$D$26*0.4/('I_Inputs &amp; Assumptions'!$B$8/2)),IF('I_Budget Input Data'!$E$26="Back-loaded",IF(18&lt;='I_Inputs &amp; Assumptions'!$B$8/2,'I_Budget Input Data'!$D$26*0.4/('I_Inputs &amp; Assumptions'!$B$8/2),'I_Budget Input Data'!$D$26*0.6/('I_Inputs &amp; Assumptions'!$B$8/2)),IF('I_Budget Input Data'!$E$26="Mid-weighted",IF(18&lt;='I_Inputs &amp; Assumptions'!$B$8/4,'I_Budget Input Data'!$D$26*0.2/('I_Inputs &amp; Assumptions'!$B$8/4),IF(18&lt;='I_Inputs &amp; Assumptions'!$B$8*0.75,'I_Budget Input Data'!$D$26*0.6/('I_Inputs &amp; Assumptions'!$B$8/2),'I_Budget Input Data'!$D$26*0.2/('I_Inputs &amp; Assumptions'!$B$8/4))),IF('I_Budget Input Data'!$E$26="At Completion",IF(18='I_Inputs &amp; Assumptions'!$B$8,'I_Budget Input Data'!$D$26,0),'I_Budget Input Data'!$D$26/'I_Inputs &amp; Assumptions'!$B$8)))))),0)</f>
        <v>0</v>
      </c>
      <c r="U26" s="91">
        <f>IF(19&lt;='I_Inputs &amp; Assumptions'!$B$8,IF('I_Budget Input Data'!$E$26="Upfront",IF(19=1,'I_Budget Input Data'!$D$26,0),IF('I_Budget Input Data'!$E$26="Equal",'I_Budget Input Data'!$D$26/'I_Inputs &amp; Assumptions'!$B$8,IF('I_Budget Input Data'!$E$26="Front-loaded",IF(19&lt;='I_Inputs &amp; Assumptions'!$B$8/2,'I_Budget Input Data'!$D$26*0.6/('I_Inputs &amp; Assumptions'!$B$8/2),'I_Budget Input Data'!$D$26*0.4/('I_Inputs &amp; Assumptions'!$B$8/2)),IF('I_Budget Input Data'!$E$26="Back-loaded",IF(19&lt;='I_Inputs &amp; Assumptions'!$B$8/2,'I_Budget Input Data'!$D$26*0.4/('I_Inputs &amp; Assumptions'!$B$8/2),'I_Budget Input Data'!$D$26*0.6/('I_Inputs &amp; Assumptions'!$B$8/2)),IF('I_Budget Input Data'!$E$26="Mid-weighted",IF(19&lt;='I_Inputs &amp; Assumptions'!$B$8/4,'I_Budget Input Data'!$D$26*0.2/('I_Inputs &amp; Assumptions'!$B$8/4),IF(19&lt;='I_Inputs &amp; Assumptions'!$B$8*0.75,'I_Budget Input Data'!$D$26*0.6/('I_Inputs &amp; Assumptions'!$B$8/2),'I_Budget Input Data'!$D$26*0.2/('I_Inputs &amp; Assumptions'!$B$8/4))),IF('I_Budget Input Data'!$E$26="At Completion",IF(19='I_Inputs &amp; Assumptions'!$B$8,'I_Budget Input Data'!$D$26,0),'I_Budget Input Data'!$D$26/'I_Inputs &amp; Assumptions'!$B$8)))))),0)</f>
        <v>0</v>
      </c>
      <c r="V26" s="91">
        <f>IF(20&lt;='I_Inputs &amp; Assumptions'!$B$8,IF('I_Budget Input Data'!$E$26="Upfront",IF(20=1,'I_Budget Input Data'!$D$26,0),IF('I_Budget Input Data'!$E$26="Equal",'I_Budget Input Data'!$D$26/'I_Inputs &amp; Assumptions'!$B$8,IF('I_Budget Input Data'!$E$26="Front-loaded",IF(20&lt;='I_Inputs &amp; Assumptions'!$B$8/2,'I_Budget Input Data'!$D$26*0.6/('I_Inputs &amp; Assumptions'!$B$8/2),'I_Budget Input Data'!$D$26*0.4/('I_Inputs &amp; Assumptions'!$B$8/2)),IF('I_Budget Input Data'!$E$26="Back-loaded",IF(20&lt;='I_Inputs &amp; Assumptions'!$B$8/2,'I_Budget Input Data'!$D$26*0.4/('I_Inputs &amp; Assumptions'!$B$8/2),'I_Budget Input Data'!$D$26*0.6/('I_Inputs &amp; Assumptions'!$B$8/2)),IF('I_Budget Input Data'!$E$26="Mid-weighted",IF(20&lt;='I_Inputs &amp; Assumptions'!$B$8/4,'I_Budget Input Data'!$D$26*0.2/('I_Inputs &amp; Assumptions'!$B$8/4),IF(20&lt;='I_Inputs &amp; Assumptions'!$B$8*0.75,'I_Budget Input Data'!$D$26*0.6/('I_Inputs &amp; Assumptions'!$B$8/2),'I_Budget Input Data'!$D$26*0.2/('I_Inputs &amp; Assumptions'!$B$8/4))),IF('I_Budget Input Data'!$E$26="At Completion",IF(20='I_Inputs &amp; Assumptions'!$B$8,'I_Budget Input Data'!$D$26,0),'I_Budget Input Data'!$D$26/'I_Inputs &amp; Assumptions'!$B$8)))))),0)</f>
        <v>0</v>
      </c>
      <c r="W26" s="91">
        <f>IF(21&lt;='I_Inputs &amp; Assumptions'!$B$8,IF('I_Budget Input Data'!$E$26="Upfront",IF(21=1,'I_Budget Input Data'!$D$26,0),IF('I_Budget Input Data'!$E$26="Equal",'I_Budget Input Data'!$D$26/'I_Inputs &amp; Assumptions'!$B$8,IF('I_Budget Input Data'!$E$26="Front-loaded",IF(21&lt;='I_Inputs &amp; Assumptions'!$B$8/2,'I_Budget Input Data'!$D$26*0.6/('I_Inputs &amp; Assumptions'!$B$8/2),'I_Budget Input Data'!$D$26*0.4/('I_Inputs &amp; Assumptions'!$B$8/2)),IF('I_Budget Input Data'!$E$26="Back-loaded",IF(21&lt;='I_Inputs &amp; Assumptions'!$B$8/2,'I_Budget Input Data'!$D$26*0.4/('I_Inputs &amp; Assumptions'!$B$8/2),'I_Budget Input Data'!$D$26*0.6/('I_Inputs &amp; Assumptions'!$B$8/2)),IF('I_Budget Input Data'!$E$26="Mid-weighted",IF(21&lt;='I_Inputs &amp; Assumptions'!$B$8/4,'I_Budget Input Data'!$D$26*0.2/('I_Inputs &amp; Assumptions'!$B$8/4),IF(21&lt;='I_Inputs &amp; Assumptions'!$B$8*0.75,'I_Budget Input Data'!$D$26*0.6/('I_Inputs &amp; Assumptions'!$B$8/2),'I_Budget Input Data'!$D$26*0.2/('I_Inputs &amp; Assumptions'!$B$8/4))),IF('I_Budget Input Data'!$E$26="At Completion",IF(21='I_Inputs &amp; Assumptions'!$B$8,'I_Budget Input Data'!$D$26,0),'I_Budget Input Data'!$D$26/'I_Inputs &amp; Assumptions'!$B$8)))))),0)</f>
        <v>0</v>
      </c>
      <c r="X26" s="91">
        <f>IF(22&lt;='I_Inputs &amp; Assumptions'!$B$8,IF('I_Budget Input Data'!$E$26="Upfront",IF(22=1,'I_Budget Input Data'!$D$26,0),IF('I_Budget Input Data'!$E$26="Equal",'I_Budget Input Data'!$D$26/'I_Inputs &amp; Assumptions'!$B$8,IF('I_Budget Input Data'!$E$26="Front-loaded",IF(22&lt;='I_Inputs &amp; Assumptions'!$B$8/2,'I_Budget Input Data'!$D$26*0.6/('I_Inputs &amp; Assumptions'!$B$8/2),'I_Budget Input Data'!$D$26*0.4/('I_Inputs &amp; Assumptions'!$B$8/2)),IF('I_Budget Input Data'!$E$26="Back-loaded",IF(22&lt;='I_Inputs &amp; Assumptions'!$B$8/2,'I_Budget Input Data'!$D$26*0.4/('I_Inputs &amp; Assumptions'!$B$8/2),'I_Budget Input Data'!$D$26*0.6/('I_Inputs &amp; Assumptions'!$B$8/2)),IF('I_Budget Input Data'!$E$26="Mid-weighted",IF(22&lt;='I_Inputs &amp; Assumptions'!$B$8/4,'I_Budget Input Data'!$D$26*0.2/('I_Inputs &amp; Assumptions'!$B$8/4),IF(22&lt;='I_Inputs &amp; Assumptions'!$B$8*0.75,'I_Budget Input Data'!$D$26*0.6/('I_Inputs &amp; Assumptions'!$B$8/2),'I_Budget Input Data'!$D$26*0.2/('I_Inputs &amp; Assumptions'!$B$8/4))),IF('I_Budget Input Data'!$E$26="At Completion",IF(22='I_Inputs &amp; Assumptions'!$B$8,'I_Budget Input Data'!$D$26,0),'I_Budget Input Data'!$D$26/'I_Inputs &amp; Assumptions'!$B$8)))))),0)</f>
        <v>0</v>
      </c>
      <c r="Y26" s="91">
        <f>IF(23&lt;='I_Inputs &amp; Assumptions'!$B$8,IF('I_Budget Input Data'!$E$26="Upfront",IF(23=1,'I_Budget Input Data'!$D$26,0),IF('I_Budget Input Data'!$E$26="Equal",'I_Budget Input Data'!$D$26/'I_Inputs &amp; Assumptions'!$B$8,IF('I_Budget Input Data'!$E$26="Front-loaded",IF(23&lt;='I_Inputs &amp; Assumptions'!$B$8/2,'I_Budget Input Data'!$D$26*0.6/('I_Inputs &amp; Assumptions'!$B$8/2),'I_Budget Input Data'!$D$26*0.4/('I_Inputs &amp; Assumptions'!$B$8/2)),IF('I_Budget Input Data'!$E$26="Back-loaded",IF(23&lt;='I_Inputs &amp; Assumptions'!$B$8/2,'I_Budget Input Data'!$D$26*0.4/('I_Inputs &amp; Assumptions'!$B$8/2),'I_Budget Input Data'!$D$26*0.6/('I_Inputs &amp; Assumptions'!$B$8/2)),IF('I_Budget Input Data'!$E$26="Mid-weighted",IF(23&lt;='I_Inputs &amp; Assumptions'!$B$8/4,'I_Budget Input Data'!$D$26*0.2/('I_Inputs &amp; Assumptions'!$B$8/4),IF(23&lt;='I_Inputs &amp; Assumptions'!$B$8*0.75,'I_Budget Input Data'!$D$26*0.6/('I_Inputs &amp; Assumptions'!$B$8/2),'I_Budget Input Data'!$D$26*0.2/('I_Inputs &amp; Assumptions'!$B$8/4))),IF('I_Budget Input Data'!$E$26="At Completion",IF(23='I_Inputs &amp; Assumptions'!$B$8,'I_Budget Input Data'!$D$26,0),'I_Budget Input Data'!$D$26/'I_Inputs &amp; Assumptions'!$B$8)))))),0)</f>
        <v>0</v>
      </c>
      <c r="Z26" s="91">
        <f>IF(24&lt;='I_Inputs &amp; Assumptions'!$B$8,IF('I_Budget Input Data'!$E$26="Upfront",IF(24=1,'I_Budget Input Data'!$D$26,0),IF('I_Budget Input Data'!$E$26="Equal",'I_Budget Input Data'!$D$26/'I_Inputs &amp; Assumptions'!$B$8,IF('I_Budget Input Data'!$E$26="Front-loaded",IF(24&lt;='I_Inputs &amp; Assumptions'!$B$8/2,'I_Budget Input Data'!$D$26*0.6/('I_Inputs &amp; Assumptions'!$B$8/2),'I_Budget Input Data'!$D$26*0.4/('I_Inputs &amp; Assumptions'!$B$8/2)),IF('I_Budget Input Data'!$E$26="Back-loaded",IF(24&lt;='I_Inputs &amp; Assumptions'!$B$8/2,'I_Budget Input Data'!$D$26*0.4/('I_Inputs &amp; Assumptions'!$B$8/2),'I_Budget Input Data'!$D$26*0.6/('I_Inputs &amp; Assumptions'!$B$8/2)),IF('I_Budget Input Data'!$E$26="Mid-weighted",IF(24&lt;='I_Inputs &amp; Assumptions'!$B$8/4,'I_Budget Input Data'!$D$26*0.2/('I_Inputs &amp; Assumptions'!$B$8/4),IF(24&lt;='I_Inputs &amp; Assumptions'!$B$8*0.75,'I_Budget Input Data'!$D$26*0.6/('I_Inputs &amp; Assumptions'!$B$8/2),'I_Budget Input Data'!$D$26*0.2/('I_Inputs &amp; Assumptions'!$B$8/4))),IF('I_Budget Input Data'!$E$26="At Completion",IF(24='I_Inputs &amp; Assumptions'!$B$8,'I_Budget Input Data'!$D$26,0),'I_Budget Input Data'!$D$26/'I_Inputs &amp; Assumptions'!$B$8)))))),0)</f>
        <v>0</v>
      </c>
      <c r="AA26" s="91">
        <f>IF(25&lt;='I_Inputs &amp; Assumptions'!$B$8,IF('I_Budget Input Data'!$E$26="Upfront",IF(25=1,'I_Budget Input Data'!$D$26,0),IF('I_Budget Input Data'!$E$26="Equal",'I_Budget Input Data'!$D$26/'I_Inputs &amp; Assumptions'!$B$8,IF('I_Budget Input Data'!$E$26="Front-loaded",IF(25&lt;='I_Inputs &amp; Assumptions'!$B$8/2,'I_Budget Input Data'!$D$26*0.6/('I_Inputs &amp; Assumptions'!$B$8/2),'I_Budget Input Data'!$D$26*0.4/('I_Inputs &amp; Assumptions'!$B$8/2)),IF('I_Budget Input Data'!$E$26="Back-loaded",IF(25&lt;='I_Inputs &amp; Assumptions'!$B$8/2,'I_Budget Input Data'!$D$26*0.4/('I_Inputs &amp; Assumptions'!$B$8/2),'I_Budget Input Data'!$D$26*0.6/('I_Inputs &amp; Assumptions'!$B$8/2)),IF('I_Budget Input Data'!$E$26="Mid-weighted",IF(25&lt;='I_Inputs &amp; Assumptions'!$B$8/4,'I_Budget Input Data'!$D$26*0.2/('I_Inputs &amp; Assumptions'!$B$8/4),IF(25&lt;='I_Inputs &amp; Assumptions'!$B$8*0.75,'I_Budget Input Data'!$D$26*0.6/('I_Inputs &amp; Assumptions'!$B$8/2),'I_Budget Input Data'!$D$26*0.2/('I_Inputs &amp; Assumptions'!$B$8/4))),IF('I_Budget Input Data'!$E$26="At Completion",IF(25='I_Inputs &amp; Assumptions'!$B$8,'I_Budget Input Data'!$D$26,0),'I_Budget Input Data'!$D$26/'I_Inputs &amp; Assumptions'!$B$8)))))),0)</f>
        <v>0</v>
      </c>
      <c r="AB26" s="91">
        <f>IF(26&lt;='I_Inputs &amp; Assumptions'!$B$8,IF('I_Budget Input Data'!$E$26="Upfront",IF(26=1,'I_Budget Input Data'!$D$26,0),IF('I_Budget Input Data'!$E$26="Equal",'I_Budget Input Data'!$D$26/'I_Inputs &amp; Assumptions'!$B$8,IF('I_Budget Input Data'!$E$26="Front-loaded",IF(26&lt;='I_Inputs &amp; Assumptions'!$B$8/2,'I_Budget Input Data'!$D$26*0.6/('I_Inputs &amp; Assumptions'!$B$8/2),'I_Budget Input Data'!$D$26*0.4/('I_Inputs &amp; Assumptions'!$B$8/2)),IF('I_Budget Input Data'!$E$26="Back-loaded",IF(26&lt;='I_Inputs &amp; Assumptions'!$B$8/2,'I_Budget Input Data'!$D$26*0.4/('I_Inputs &amp; Assumptions'!$B$8/2),'I_Budget Input Data'!$D$26*0.6/('I_Inputs &amp; Assumptions'!$B$8/2)),IF('I_Budget Input Data'!$E$26="Mid-weighted",IF(26&lt;='I_Inputs &amp; Assumptions'!$B$8/4,'I_Budget Input Data'!$D$26*0.2/('I_Inputs &amp; Assumptions'!$B$8/4),IF(26&lt;='I_Inputs &amp; Assumptions'!$B$8*0.75,'I_Budget Input Data'!$D$26*0.6/('I_Inputs &amp; Assumptions'!$B$8/2),'I_Budget Input Data'!$D$26*0.2/('I_Inputs &amp; Assumptions'!$B$8/4))),IF('I_Budget Input Data'!$E$26="At Completion",IF(26='I_Inputs &amp; Assumptions'!$B$8,'I_Budget Input Data'!$D$26,0),'I_Budget Input Data'!$D$26/'I_Inputs &amp; Assumptions'!$B$8)))))),0)</f>
        <v>0</v>
      </c>
      <c r="AC26" s="91">
        <f>IF(27&lt;='I_Inputs &amp; Assumptions'!$B$8,IF('I_Budget Input Data'!$E$26="Upfront",IF(27=1,'I_Budget Input Data'!$D$26,0),IF('I_Budget Input Data'!$E$26="Equal",'I_Budget Input Data'!$D$26/'I_Inputs &amp; Assumptions'!$B$8,IF('I_Budget Input Data'!$E$26="Front-loaded",IF(27&lt;='I_Inputs &amp; Assumptions'!$B$8/2,'I_Budget Input Data'!$D$26*0.6/('I_Inputs &amp; Assumptions'!$B$8/2),'I_Budget Input Data'!$D$26*0.4/('I_Inputs &amp; Assumptions'!$B$8/2)),IF('I_Budget Input Data'!$E$26="Back-loaded",IF(27&lt;='I_Inputs &amp; Assumptions'!$B$8/2,'I_Budget Input Data'!$D$26*0.4/('I_Inputs &amp; Assumptions'!$B$8/2),'I_Budget Input Data'!$D$26*0.6/('I_Inputs &amp; Assumptions'!$B$8/2)),IF('I_Budget Input Data'!$E$26="Mid-weighted",IF(27&lt;='I_Inputs &amp; Assumptions'!$B$8/4,'I_Budget Input Data'!$D$26*0.2/('I_Inputs &amp; Assumptions'!$B$8/4),IF(27&lt;='I_Inputs &amp; Assumptions'!$B$8*0.75,'I_Budget Input Data'!$D$26*0.6/('I_Inputs &amp; Assumptions'!$B$8/2),'I_Budget Input Data'!$D$26*0.2/('I_Inputs &amp; Assumptions'!$B$8/4))),IF('I_Budget Input Data'!$E$26="At Completion",IF(27='I_Inputs &amp; Assumptions'!$B$8,'I_Budget Input Data'!$D$26,0),'I_Budget Input Data'!$D$26/'I_Inputs &amp; Assumptions'!$B$8)))))),0)</f>
        <v>0</v>
      </c>
      <c r="AD26" s="91">
        <f>IF(28&lt;='I_Inputs &amp; Assumptions'!$B$8,IF('I_Budget Input Data'!$E$26="Upfront",IF(28=1,'I_Budget Input Data'!$D$26,0),IF('I_Budget Input Data'!$E$26="Equal",'I_Budget Input Data'!$D$26/'I_Inputs &amp; Assumptions'!$B$8,IF('I_Budget Input Data'!$E$26="Front-loaded",IF(28&lt;='I_Inputs &amp; Assumptions'!$B$8/2,'I_Budget Input Data'!$D$26*0.6/('I_Inputs &amp; Assumptions'!$B$8/2),'I_Budget Input Data'!$D$26*0.4/('I_Inputs &amp; Assumptions'!$B$8/2)),IF('I_Budget Input Data'!$E$26="Back-loaded",IF(28&lt;='I_Inputs &amp; Assumptions'!$B$8/2,'I_Budget Input Data'!$D$26*0.4/('I_Inputs &amp; Assumptions'!$B$8/2),'I_Budget Input Data'!$D$26*0.6/('I_Inputs &amp; Assumptions'!$B$8/2)),IF('I_Budget Input Data'!$E$26="Mid-weighted",IF(28&lt;='I_Inputs &amp; Assumptions'!$B$8/4,'I_Budget Input Data'!$D$26*0.2/('I_Inputs &amp; Assumptions'!$B$8/4),IF(28&lt;='I_Inputs &amp; Assumptions'!$B$8*0.75,'I_Budget Input Data'!$D$26*0.6/('I_Inputs &amp; Assumptions'!$B$8/2),'I_Budget Input Data'!$D$26*0.2/('I_Inputs &amp; Assumptions'!$B$8/4))),IF('I_Budget Input Data'!$E$26="At Completion",IF(28='I_Inputs &amp; Assumptions'!$B$8,'I_Budget Input Data'!$D$26,0),'I_Budget Input Data'!$D$26/'I_Inputs &amp; Assumptions'!$B$8)))))),0)</f>
        <v>0</v>
      </c>
      <c r="AE26" s="91">
        <f>IF(29&lt;='I_Inputs &amp; Assumptions'!$B$8,IF('I_Budget Input Data'!$E$26="Upfront",IF(29=1,'I_Budget Input Data'!$D$26,0),IF('I_Budget Input Data'!$E$26="Equal",'I_Budget Input Data'!$D$26/'I_Inputs &amp; Assumptions'!$B$8,IF('I_Budget Input Data'!$E$26="Front-loaded",IF(29&lt;='I_Inputs &amp; Assumptions'!$B$8/2,'I_Budget Input Data'!$D$26*0.6/('I_Inputs &amp; Assumptions'!$B$8/2),'I_Budget Input Data'!$D$26*0.4/('I_Inputs &amp; Assumptions'!$B$8/2)),IF('I_Budget Input Data'!$E$26="Back-loaded",IF(29&lt;='I_Inputs &amp; Assumptions'!$B$8/2,'I_Budget Input Data'!$D$26*0.4/('I_Inputs &amp; Assumptions'!$B$8/2),'I_Budget Input Data'!$D$26*0.6/('I_Inputs &amp; Assumptions'!$B$8/2)),IF('I_Budget Input Data'!$E$26="Mid-weighted",IF(29&lt;='I_Inputs &amp; Assumptions'!$B$8/4,'I_Budget Input Data'!$D$26*0.2/('I_Inputs &amp; Assumptions'!$B$8/4),IF(29&lt;='I_Inputs &amp; Assumptions'!$B$8*0.75,'I_Budget Input Data'!$D$26*0.6/('I_Inputs &amp; Assumptions'!$B$8/2),'I_Budget Input Data'!$D$26*0.2/('I_Inputs &amp; Assumptions'!$B$8/4))),IF('I_Budget Input Data'!$E$26="At Completion",IF(29='I_Inputs &amp; Assumptions'!$B$8,'I_Budget Input Data'!$D$26,0),'I_Budget Input Data'!$D$26/'I_Inputs &amp; Assumptions'!$B$8)))))),0)</f>
        <v>0</v>
      </c>
      <c r="AF26" s="91">
        <f>IF(30&lt;='I_Inputs &amp; Assumptions'!$B$8,IF('I_Budget Input Data'!$E$26="Upfront",IF(30=1,'I_Budget Input Data'!$D$26,0),IF('I_Budget Input Data'!$E$26="Equal",'I_Budget Input Data'!$D$26/'I_Inputs &amp; Assumptions'!$B$8,IF('I_Budget Input Data'!$E$26="Front-loaded",IF(30&lt;='I_Inputs &amp; Assumptions'!$B$8/2,'I_Budget Input Data'!$D$26*0.6/('I_Inputs &amp; Assumptions'!$B$8/2),'I_Budget Input Data'!$D$26*0.4/('I_Inputs &amp; Assumptions'!$B$8/2)),IF('I_Budget Input Data'!$E$26="Back-loaded",IF(30&lt;='I_Inputs &amp; Assumptions'!$B$8/2,'I_Budget Input Data'!$D$26*0.4/('I_Inputs &amp; Assumptions'!$B$8/2),'I_Budget Input Data'!$D$26*0.6/('I_Inputs &amp; Assumptions'!$B$8/2)),IF('I_Budget Input Data'!$E$26="Mid-weighted",IF(30&lt;='I_Inputs &amp; Assumptions'!$B$8/4,'I_Budget Input Data'!$D$26*0.2/('I_Inputs &amp; Assumptions'!$B$8/4),IF(30&lt;='I_Inputs &amp; Assumptions'!$B$8*0.75,'I_Budget Input Data'!$D$26*0.6/('I_Inputs &amp; Assumptions'!$B$8/2),'I_Budget Input Data'!$D$26*0.2/('I_Inputs &amp; Assumptions'!$B$8/4))),IF('I_Budget Input Data'!$E$26="At Completion",IF(30='I_Inputs &amp; Assumptions'!$B$8,'I_Budget Input Data'!$D$26,0),'I_Budget Input Data'!$D$26/'I_Inputs &amp; Assumptions'!$B$8)))))),0)</f>
        <v>0</v>
      </c>
      <c r="AG26" s="91">
        <f>IF(31&lt;='I_Inputs &amp; Assumptions'!$B$8,IF('I_Budget Input Data'!$E$26="Upfront",IF(31=1,'I_Budget Input Data'!$D$26,0),IF('I_Budget Input Data'!$E$26="Equal",'I_Budget Input Data'!$D$26/'I_Inputs &amp; Assumptions'!$B$8,IF('I_Budget Input Data'!$E$26="Front-loaded",IF(31&lt;='I_Inputs &amp; Assumptions'!$B$8/2,'I_Budget Input Data'!$D$26*0.6/('I_Inputs &amp; Assumptions'!$B$8/2),'I_Budget Input Data'!$D$26*0.4/('I_Inputs &amp; Assumptions'!$B$8/2)),IF('I_Budget Input Data'!$E$26="Back-loaded",IF(31&lt;='I_Inputs &amp; Assumptions'!$B$8/2,'I_Budget Input Data'!$D$26*0.4/('I_Inputs &amp; Assumptions'!$B$8/2),'I_Budget Input Data'!$D$26*0.6/('I_Inputs &amp; Assumptions'!$B$8/2)),IF('I_Budget Input Data'!$E$26="Mid-weighted",IF(31&lt;='I_Inputs &amp; Assumptions'!$B$8/4,'I_Budget Input Data'!$D$26*0.2/('I_Inputs &amp; Assumptions'!$B$8/4),IF(31&lt;='I_Inputs &amp; Assumptions'!$B$8*0.75,'I_Budget Input Data'!$D$26*0.6/('I_Inputs &amp; Assumptions'!$B$8/2),'I_Budget Input Data'!$D$26*0.2/('I_Inputs &amp; Assumptions'!$B$8/4))),IF('I_Budget Input Data'!$E$26="At Completion",IF(31='I_Inputs &amp; Assumptions'!$B$8,'I_Budget Input Data'!$D$26,0),'I_Budget Input Data'!$D$26/'I_Inputs &amp; Assumptions'!$B$8)))))),0)</f>
        <v>0</v>
      </c>
      <c r="AH26" s="91">
        <f>IF(32&lt;='I_Inputs &amp; Assumptions'!$B$8,IF('I_Budget Input Data'!$E$26="Upfront",IF(32=1,'I_Budget Input Data'!$D$26,0),IF('I_Budget Input Data'!$E$26="Equal",'I_Budget Input Data'!$D$26/'I_Inputs &amp; Assumptions'!$B$8,IF('I_Budget Input Data'!$E$26="Front-loaded",IF(32&lt;='I_Inputs &amp; Assumptions'!$B$8/2,'I_Budget Input Data'!$D$26*0.6/('I_Inputs &amp; Assumptions'!$B$8/2),'I_Budget Input Data'!$D$26*0.4/('I_Inputs &amp; Assumptions'!$B$8/2)),IF('I_Budget Input Data'!$E$26="Back-loaded",IF(32&lt;='I_Inputs &amp; Assumptions'!$B$8/2,'I_Budget Input Data'!$D$26*0.4/('I_Inputs &amp; Assumptions'!$B$8/2),'I_Budget Input Data'!$D$26*0.6/('I_Inputs &amp; Assumptions'!$B$8/2)),IF('I_Budget Input Data'!$E$26="Mid-weighted",IF(32&lt;='I_Inputs &amp; Assumptions'!$B$8/4,'I_Budget Input Data'!$D$26*0.2/('I_Inputs &amp; Assumptions'!$B$8/4),IF(32&lt;='I_Inputs &amp; Assumptions'!$B$8*0.75,'I_Budget Input Data'!$D$26*0.6/('I_Inputs &amp; Assumptions'!$B$8/2),'I_Budget Input Data'!$D$26*0.2/('I_Inputs &amp; Assumptions'!$B$8/4))),IF('I_Budget Input Data'!$E$26="At Completion",IF(32='I_Inputs &amp; Assumptions'!$B$8,'I_Budget Input Data'!$D$26,0),'I_Budget Input Data'!$D$26/'I_Inputs &amp; Assumptions'!$B$8)))))),0)</f>
        <v>0</v>
      </c>
      <c r="AI26" s="91">
        <f>IF(33&lt;='I_Inputs &amp; Assumptions'!$B$8,IF('I_Budget Input Data'!$E$26="Upfront",IF(33=1,'I_Budget Input Data'!$D$26,0),IF('I_Budget Input Data'!$E$26="Equal",'I_Budget Input Data'!$D$26/'I_Inputs &amp; Assumptions'!$B$8,IF('I_Budget Input Data'!$E$26="Front-loaded",IF(33&lt;='I_Inputs &amp; Assumptions'!$B$8/2,'I_Budget Input Data'!$D$26*0.6/('I_Inputs &amp; Assumptions'!$B$8/2),'I_Budget Input Data'!$D$26*0.4/('I_Inputs &amp; Assumptions'!$B$8/2)),IF('I_Budget Input Data'!$E$26="Back-loaded",IF(33&lt;='I_Inputs &amp; Assumptions'!$B$8/2,'I_Budget Input Data'!$D$26*0.4/('I_Inputs &amp; Assumptions'!$B$8/2),'I_Budget Input Data'!$D$26*0.6/('I_Inputs &amp; Assumptions'!$B$8/2)),IF('I_Budget Input Data'!$E$26="Mid-weighted",IF(33&lt;='I_Inputs &amp; Assumptions'!$B$8/4,'I_Budget Input Data'!$D$26*0.2/('I_Inputs &amp; Assumptions'!$B$8/4),IF(33&lt;='I_Inputs &amp; Assumptions'!$B$8*0.75,'I_Budget Input Data'!$D$26*0.6/('I_Inputs &amp; Assumptions'!$B$8/2),'I_Budget Input Data'!$D$26*0.2/('I_Inputs &amp; Assumptions'!$B$8/4))),IF('I_Budget Input Data'!$E$26="At Completion",IF(33='I_Inputs &amp; Assumptions'!$B$8,'I_Budget Input Data'!$D$26,0),'I_Budget Input Data'!$D$26/'I_Inputs &amp; Assumptions'!$B$8)))))),0)</f>
        <v>0</v>
      </c>
      <c r="AJ26" s="91">
        <f>IF(34&lt;='I_Inputs &amp; Assumptions'!$B$8,IF('I_Budget Input Data'!$E$26="Upfront",IF(34=1,'I_Budget Input Data'!$D$26,0),IF('I_Budget Input Data'!$E$26="Equal",'I_Budget Input Data'!$D$26/'I_Inputs &amp; Assumptions'!$B$8,IF('I_Budget Input Data'!$E$26="Front-loaded",IF(34&lt;='I_Inputs &amp; Assumptions'!$B$8/2,'I_Budget Input Data'!$D$26*0.6/('I_Inputs &amp; Assumptions'!$B$8/2),'I_Budget Input Data'!$D$26*0.4/('I_Inputs &amp; Assumptions'!$B$8/2)),IF('I_Budget Input Data'!$E$26="Back-loaded",IF(34&lt;='I_Inputs &amp; Assumptions'!$B$8/2,'I_Budget Input Data'!$D$26*0.4/('I_Inputs &amp; Assumptions'!$B$8/2),'I_Budget Input Data'!$D$26*0.6/('I_Inputs &amp; Assumptions'!$B$8/2)),IF('I_Budget Input Data'!$E$26="Mid-weighted",IF(34&lt;='I_Inputs &amp; Assumptions'!$B$8/4,'I_Budget Input Data'!$D$26*0.2/('I_Inputs &amp; Assumptions'!$B$8/4),IF(34&lt;='I_Inputs &amp; Assumptions'!$B$8*0.75,'I_Budget Input Data'!$D$26*0.6/('I_Inputs &amp; Assumptions'!$B$8/2),'I_Budget Input Data'!$D$26*0.2/('I_Inputs &amp; Assumptions'!$B$8/4))),IF('I_Budget Input Data'!$E$26="At Completion",IF(34='I_Inputs &amp; Assumptions'!$B$8,'I_Budget Input Data'!$D$26,0),'I_Budget Input Data'!$D$26/'I_Inputs &amp; Assumptions'!$B$8)))))),0)</f>
        <v>0</v>
      </c>
      <c r="AK26" s="91">
        <f>IF(35&lt;='I_Inputs &amp; Assumptions'!$B$8,IF('I_Budget Input Data'!$E$26="Upfront",IF(35=1,'I_Budget Input Data'!$D$26,0),IF('I_Budget Input Data'!$E$26="Equal",'I_Budget Input Data'!$D$26/'I_Inputs &amp; Assumptions'!$B$8,IF('I_Budget Input Data'!$E$26="Front-loaded",IF(35&lt;='I_Inputs &amp; Assumptions'!$B$8/2,'I_Budget Input Data'!$D$26*0.6/('I_Inputs &amp; Assumptions'!$B$8/2),'I_Budget Input Data'!$D$26*0.4/('I_Inputs &amp; Assumptions'!$B$8/2)),IF('I_Budget Input Data'!$E$26="Back-loaded",IF(35&lt;='I_Inputs &amp; Assumptions'!$B$8/2,'I_Budget Input Data'!$D$26*0.4/('I_Inputs &amp; Assumptions'!$B$8/2),'I_Budget Input Data'!$D$26*0.6/('I_Inputs &amp; Assumptions'!$B$8/2)),IF('I_Budget Input Data'!$E$26="Mid-weighted",IF(35&lt;='I_Inputs &amp; Assumptions'!$B$8/4,'I_Budget Input Data'!$D$26*0.2/('I_Inputs &amp; Assumptions'!$B$8/4),IF(35&lt;='I_Inputs &amp; Assumptions'!$B$8*0.75,'I_Budget Input Data'!$D$26*0.6/('I_Inputs &amp; Assumptions'!$B$8/2),'I_Budget Input Data'!$D$26*0.2/('I_Inputs &amp; Assumptions'!$B$8/4))),IF('I_Budget Input Data'!$E$26="At Completion",IF(35='I_Inputs &amp; Assumptions'!$B$8,'I_Budget Input Data'!$D$26,0),'I_Budget Input Data'!$D$26/'I_Inputs &amp; Assumptions'!$B$8)))))),0)</f>
        <v>0</v>
      </c>
      <c r="AL26" s="91">
        <f>IF(36&lt;='I_Inputs &amp; Assumptions'!$B$8,IF('I_Budget Input Data'!$E$26="Upfront",IF(36=1,'I_Budget Input Data'!$D$26,0),IF('I_Budget Input Data'!$E$26="Equal",'I_Budget Input Data'!$D$26/'I_Inputs &amp; Assumptions'!$B$8,IF('I_Budget Input Data'!$E$26="Front-loaded",IF(36&lt;='I_Inputs &amp; Assumptions'!$B$8/2,'I_Budget Input Data'!$D$26*0.6/('I_Inputs &amp; Assumptions'!$B$8/2),'I_Budget Input Data'!$D$26*0.4/('I_Inputs &amp; Assumptions'!$B$8/2)),IF('I_Budget Input Data'!$E$26="Back-loaded",IF(36&lt;='I_Inputs &amp; Assumptions'!$B$8/2,'I_Budget Input Data'!$D$26*0.4/('I_Inputs &amp; Assumptions'!$B$8/2),'I_Budget Input Data'!$D$26*0.6/('I_Inputs &amp; Assumptions'!$B$8/2)),IF('I_Budget Input Data'!$E$26="Mid-weighted",IF(36&lt;='I_Inputs &amp; Assumptions'!$B$8/4,'I_Budget Input Data'!$D$26*0.2/('I_Inputs &amp; Assumptions'!$B$8/4),IF(36&lt;='I_Inputs &amp; Assumptions'!$B$8*0.75,'I_Budget Input Data'!$D$26*0.6/('I_Inputs &amp; Assumptions'!$B$8/2),'I_Budget Input Data'!$D$26*0.2/('I_Inputs &amp; Assumptions'!$B$8/4))),IF('I_Budget Input Data'!$E$26="At Completion",IF(36='I_Inputs &amp; Assumptions'!$B$8,'I_Budget Input Data'!$D$26,0),'I_Budget Input Data'!$D$26/'I_Inputs &amp; Assumptions'!$B$8)))))),0)</f>
        <v>0</v>
      </c>
    </row>
    <row r="27" spans="1:38" ht="15" customHeight="1" x14ac:dyDescent="0.2">
      <c r="A27" t="s">
        <v>146</v>
      </c>
      <c r="C27" s="91">
        <f>IF(1&lt;='I_Inputs &amp; Assumptions'!$B$8,IF('I_Budget Input Data'!$E$27="Upfront",IF(1=1,'I_Budget Input Data'!$D$27,0),IF('I_Budget Input Data'!$E$27="Equal",'I_Budget Input Data'!$D$27/'I_Inputs &amp; Assumptions'!$B$8,IF('I_Budget Input Data'!$E$27="Front-loaded",IF(1&lt;='I_Inputs &amp; Assumptions'!$B$8/2,'I_Budget Input Data'!$D$27*0.6/('I_Inputs &amp; Assumptions'!$B$8/2),'I_Budget Input Data'!$D$27*0.4/('I_Inputs &amp; Assumptions'!$B$8/2)),IF('I_Budget Input Data'!$E$27="Back-loaded",IF(1&lt;='I_Inputs &amp; Assumptions'!$B$8/2,'I_Budget Input Data'!$D$27*0.4/('I_Inputs &amp; Assumptions'!$B$8/2),'I_Budget Input Data'!$D$27*0.6/('I_Inputs &amp; Assumptions'!$B$8/2)),IF('I_Budget Input Data'!$E$27="Mid-weighted",IF(1&lt;='I_Inputs &amp; Assumptions'!$B$8/4,'I_Budget Input Data'!$D$27*0.2/('I_Inputs &amp; Assumptions'!$B$8/4),IF(1&lt;='I_Inputs &amp; Assumptions'!$B$8*0.75,'I_Budget Input Data'!$D$27*0.6/('I_Inputs &amp; Assumptions'!$B$8/2),'I_Budget Input Data'!$D$27*0.2/('I_Inputs &amp; Assumptions'!$B$8/4))),IF('I_Budget Input Data'!$E$27="At Completion",IF(1='I_Inputs &amp; Assumptions'!$B$8,'I_Budget Input Data'!$D$27,0),'I_Budget Input Data'!$D$27/'I_Inputs &amp; Assumptions'!$B$8)))))),0)</f>
        <v>10809.615384615385</v>
      </c>
      <c r="D27" s="91">
        <f>IF(2&lt;='I_Inputs &amp; Assumptions'!$B$8,IF('I_Budget Input Data'!$E$27="Upfront",IF(2=1,'I_Budget Input Data'!$D$27,0),IF('I_Budget Input Data'!$E$27="Equal",'I_Budget Input Data'!$D$27/'I_Inputs &amp; Assumptions'!$B$8,IF('I_Budget Input Data'!$E$27="Front-loaded",IF(2&lt;='I_Inputs &amp; Assumptions'!$B$8/2,'I_Budget Input Data'!$D$27*0.6/('I_Inputs &amp; Assumptions'!$B$8/2),'I_Budget Input Data'!$D$27*0.4/('I_Inputs &amp; Assumptions'!$B$8/2)),IF('I_Budget Input Data'!$E$27="Back-loaded",IF(2&lt;='I_Inputs &amp; Assumptions'!$B$8/2,'I_Budget Input Data'!$D$27*0.4/('I_Inputs &amp; Assumptions'!$B$8/2),'I_Budget Input Data'!$D$27*0.6/('I_Inputs &amp; Assumptions'!$B$8/2)),IF('I_Budget Input Data'!$E$27="Mid-weighted",IF(2&lt;='I_Inputs &amp; Assumptions'!$B$8/4,'I_Budget Input Data'!$D$27*0.2/('I_Inputs &amp; Assumptions'!$B$8/4),IF(2&lt;='I_Inputs &amp; Assumptions'!$B$8*0.75,'I_Budget Input Data'!$D$27*0.6/('I_Inputs &amp; Assumptions'!$B$8/2),'I_Budget Input Data'!$D$27*0.2/('I_Inputs &amp; Assumptions'!$B$8/4))),IF('I_Budget Input Data'!$E$27="At Completion",IF(2='I_Inputs &amp; Assumptions'!$B$8,'I_Budget Input Data'!$D$27,0),'I_Budget Input Data'!$D$27/'I_Inputs &amp; Assumptions'!$B$8)))))),0)</f>
        <v>10809.615384615385</v>
      </c>
      <c r="E27" s="91">
        <f>IF(3&lt;='I_Inputs &amp; Assumptions'!$B$8,IF('I_Budget Input Data'!$E$27="Upfront",IF(3=1,'I_Budget Input Data'!$D$27,0),IF('I_Budget Input Data'!$E$27="Equal",'I_Budget Input Data'!$D$27/'I_Inputs &amp; Assumptions'!$B$8,IF('I_Budget Input Data'!$E$27="Front-loaded",IF(3&lt;='I_Inputs &amp; Assumptions'!$B$8/2,'I_Budget Input Data'!$D$27*0.6/('I_Inputs &amp; Assumptions'!$B$8/2),'I_Budget Input Data'!$D$27*0.4/('I_Inputs &amp; Assumptions'!$B$8/2)),IF('I_Budget Input Data'!$E$27="Back-loaded",IF(3&lt;='I_Inputs &amp; Assumptions'!$B$8/2,'I_Budget Input Data'!$D$27*0.4/('I_Inputs &amp; Assumptions'!$B$8/2),'I_Budget Input Data'!$D$27*0.6/('I_Inputs &amp; Assumptions'!$B$8/2)),IF('I_Budget Input Data'!$E$27="Mid-weighted",IF(3&lt;='I_Inputs &amp; Assumptions'!$B$8/4,'I_Budget Input Data'!$D$27*0.2/('I_Inputs &amp; Assumptions'!$B$8/4),IF(3&lt;='I_Inputs &amp; Assumptions'!$B$8*0.75,'I_Budget Input Data'!$D$27*0.6/('I_Inputs &amp; Assumptions'!$B$8/2),'I_Budget Input Data'!$D$27*0.2/('I_Inputs &amp; Assumptions'!$B$8/4))),IF('I_Budget Input Data'!$E$27="At Completion",IF(3='I_Inputs &amp; Assumptions'!$B$8,'I_Budget Input Data'!$D$27,0),'I_Budget Input Data'!$D$27/'I_Inputs &amp; Assumptions'!$B$8)))))),0)</f>
        <v>10809.615384615385</v>
      </c>
      <c r="F27" s="91">
        <f>IF(4&lt;='I_Inputs &amp; Assumptions'!$B$8,IF('I_Budget Input Data'!$E$27="Upfront",IF(4=1,'I_Budget Input Data'!$D$27,0),IF('I_Budget Input Data'!$E$27="Equal",'I_Budget Input Data'!$D$27/'I_Inputs &amp; Assumptions'!$B$8,IF('I_Budget Input Data'!$E$27="Front-loaded",IF(4&lt;='I_Inputs &amp; Assumptions'!$B$8/2,'I_Budget Input Data'!$D$27*0.6/('I_Inputs &amp; Assumptions'!$B$8/2),'I_Budget Input Data'!$D$27*0.4/('I_Inputs &amp; Assumptions'!$B$8/2)),IF('I_Budget Input Data'!$E$27="Back-loaded",IF(4&lt;='I_Inputs &amp; Assumptions'!$B$8/2,'I_Budget Input Data'!$D$27*0.4/('I_Inputs &amp; Assumptions'!$B$8/2),'I_Budget Input Data'!$D$27*0.6/('I_Inputs &amp; Assumptions'!$B$8/2)),IF('I_Budget Input Data'!$E$27="Mid-weighted",IF(4&lt;='I_Inputs &amp; Assumptions'!$B$8/4,'I_Budget Input Data'!$D$27*0.2/('I_Inputs &amp; Assumptions'!$B$8/4),IF(4&lt;='I_Inputs &amp; Assumptions'!$B$8*0.75,'I_Budget Input Data'!$D$27*0.6/('I_Inputs &amp; Assumptions'!$B$8/2),'I_Budget Input Data'!$D$27*0.2/('I_Inputs &amp; Assumptions'!$B$8/4))),IF('I_Budget Input Data'!$E$27="At Completion",IF(4='I_Inputs &amp; Assumptions'!$B$8,'I_Budget Input Data'!$D$27,0),'I_Budget Input Data'!$D$27/'I_Inputs &amp; Assumptions'!$B$8)))))),0)</f>
        <v>10809.615384615385</v>
      </c>
      <c r="G27" s="91">
        <f>IF(5&lt;='I_Inputs &amp; Assumptions'!$B$8,IF('I_Budget Input Data'!$E$27="Upfront",IF(5=1,'I_Budget Input Data'!$D$27,0),IF('I_Budget Input Data'!$E$27="Equal",'I_Budget Input Data'!$D$27/'I_Inputs &amp; Assumptions'!$B$8,IF('I_Budget Input Data'!$E$27="Front-loaded",IF(5&lt;='I_Inputs &amp; Assumptions'!$B$8/2,'I_Budget Input Data'!$D$27*0.6/('I_Inputs &amp; Assumptions'!$B$8/2),'I_Budget Input Data'!$D$27*0.4/('I_Inputs &amp; Assumptions'!$B$8/2)),IF('I_Budget Input Data'!$E$27="Back-loaded",IF(5&lt;='I_Inputs &amp; Assumptions'!$B$8/2,'I_Budget Input Data'!$D$27*0.4/('I_Inputs &amp; Assumptions'!$B$8/2),'I_Budget Input Data'!$D$27*0.6/('I_Inputs &amp; Assumptions'!$B$8/2)),IF('I_Budget Input Data'!$E$27="Mid-weighted",IF(5&lt;='I_Inputs &amp; Assumptions'!$B$8/4,'I_Budget Input Data'!$D$27*0.2/('I_Inputs &amp; Assumptions'!$B$8/4),IF(5&lt;='I_Inputs &amp; Assumptions'!$B$8*0.75,'I_Budget Input Data'!$D$27*0.6/('I_Inputs &amp; Assumptions'!$B$8/2),'I_Budget Input Data'!$D$27*0.2/('I_Inputs &amp; Assumptions'!$B$8/4))),IF('I_Budget Input Data'!$E$27="At Completion",IF(5='I_Inputs &amp; Assumptions'!$B$8,'I_Budget Input Data'!$D$27,0),'I_Budget Input Data'!$D$27/'I_Inputs &amp; Assumptions'!$B$8)))))),0)</f>
        <v>10809.615384615385</v>
      </c>
      <c r="H27" s="91">
        <f>IF(6&lt;='I_Inputs &amp; Assumptions'!$B$8,IF('I_Budget Input Data'!$E$27="Upfront",IF(6=1,'I_Budget Input Data'!$D$27,0),IF('I_Budget Input Data'!$E$27="Equal",'I_Budget Input Data'!$D$27/'I_Inputs &amp; Assumptions'!$B$8,IF('I_Budget Input Data'!$E$27="Front-loaded",IF(6&lt;='I_Inputs &amp; Assumptions'!$B$8/2,'I_Budget Input Data'!$D$27*0.6/('I_Inputs &amp; Assumptions'!$B$8/2),'I_Budget Input Data'!$D$27*0.4/('I_Inputs &amp; Assumptions'!$B$8/2)),IF('I_Budget Input Data'!$E$27="Back-loaded",IF(6&lt;='I_Inputs &amp; Assumptions'!$B$8/2,'I_Budget Input Data'!$D$27*0.4/('I_Inputs &amp; Assumptions'!$B$8/2),'I_Budget Input Data'!$D$27*0.6/('I_Inputs &amp; Assumptions'!$B$8/2)),IF('I_Budget Input Data'!$E$27="Mid-weighted",IF(6&lt;='I_Inputs &amp; Assumptions'!$B$8/4,'I_Budget Input Data'!$D$27*0.2/('I_Inputs &amp; Assumptions'!$B$8/4),IF(6&lt;='I_Inputs &amp; Assumptions'!$B$8*0.75,'I_Budget Input Data'!$D$27*0.6/('I_Inputs &amp; Assumptions'!$B$8/2),'I_Budget Input Data'!$D$27*0.2/('I_Inputs &amp; Assumptions'!$B$8/4))),IF('I_Budget Input Data'!$E$27="At Completion",IF(6='I_Inputs &amp; Assumptions'!$B$8,'I_Budget Input Data'!$D$27,0),'I_Budget Input Data'!$D$27/'I_Inputs &amp; Assumptions'!$B$8)))))),0)</f>
        <v>10809.615384615385</v>
      </c>
      <c r="I27" s="91">
        <f>IF(7&lt;='I_Inputs &amp; Assumptions'!$B$8,IF('I_Budget Input Data'!$E$27="Upfront",IF(7=1,'I_Budget Input Data'!$D$27,0),IF('I_Budget Input Data'!$E$27="Equal",'I_Budget Input Data'!$D$27/'I_Inputs &amp; Assumptions'!$B$8,IF('I_Budget Input Data'!$E$27="Front-loaded",IF(7&lt;='I_Inputs &amp; Assumptions'!$B$8/2,'I_Budget Input Data'!$D$27*0.6/('I_Inputs &amp; Assumptions'!$B$8/2),'I_Budget Input Data'!$D$27*0.4/('I_Inputs &amp; Assumptions'!$B$8/2)),IF('I_Budget Input Data'!$E$27="Back-loaded",IF(7&lt;='I_Inputs &amp; Assumptions'!$B$8/2,'I_Budget Input Data'!$D$27*0.4/('I_Inputs &amp; Assumptions'!$B$8/2),'I_Budget Input Data'!$D$27*0.6/('I_Inputs &amp; Assumptions'!$B$8/2)),IF('I_Budget Input Data'!$E$27="Mid-weighted",IF(7&lt;='I_Inputs &amp; Assumptions'!$B$8/4,'I_Budget Input Data'!$D$27*0.2/('I_Inputs &amp; Assumptions'!$B$8/4),IF(7&lt;='I_Inputs &amp; Assumptions'!$B$8*0.75,'I_Budget Input Data'!$D$27*0.6/('I_Inputs &amp; Assumptions'!$B$8/2),'I_Budget Input Data'!$D$27*0.2/('I_Inputs &amp; Assumptions'!$B$8/4))),IF('I_Budget Input Data'!$E$27="At Completion",IF(7='I_Inputs &amp; Assumptions'!$B$8,'I_Budget Input Data'!$D$27,0),'I_Budget Input Data'!$D$27/'I_Inputs &amp; Assumptions'!$B$8)))))),0)</f>
        <v>10809.615384615385</v>
      </c>
      <c r="J27" s="91">
        <f>IF(8&lt;='I_Inputs &amp; Assumptions'!$B$8,IF('I_Budget Input Data'!$E$27="Upfront",IF(8=1,'I_Budget Input Data'!$D$27,0),IF('I_Budget Input Data'!$E$27="Equal",'I_Budget Input Data'!$D$27/'I_Inputs &amp; Assumptions'!$B$8,IF('I_Budget Input Data'!$E$27="Front-loaded",IF(8&lt;='I_Inputs &amp; Assumptions'!$B$8/2,'I_Budget Input Data'!$D$27*0.6/('I_Inputs &amp; Assumptions'!$B$8/2),'I_Budget Input Data'!$D$27*0.4/('I_Inputs &amp; Assumptions'!$B$8/2)),IF('I_Budget Input Data'!$E$27="Back-loaded",IF(8&lt;='I_Inputs &amp; Assumptions'!$B$8/2,'I_Budget Input Data'!$D$27*0.4/('I_Inputs &amp; Assumptions'!$B$8/2),'I_Budget Input Data'!$D$27*0.6/('I_Inputs &amp; Assumptions'!$B$8/2)),IF('I_Budget Input Data'!$E$27="Mid-weighted",IF(8&lt;='I_Inputs &amp; Assumptions'!$B$8/4,'I_Budget Input Data'!$D$27*0.2/('I_Inputs &amp; Assumptions'!$B$8/4),IF(8&lt;='I_Inputs &amp; Assumptions'!$B$8*0.75,'I_Budget Input Data'!$D$27*0.6/('I_Inputs &amp; Assumptions'!$B$8/2),'I_Budget Input Data'!$D$27*0.2/('I_Inputs &amp; Assumptions'!$B$8/4))),IF('I_Budget Input Data'!$E$27="At Completion",IF(8='I_Inputs &amp; Assumptions'!$B$8,'I_Budget Input Data'!$D$27,0),'I_Budget Input Data'!$D$27/'I_Inputs &amp; Assumptions'!$B$8)))))),0)</f>
        <v>10809.615384615385</v>
      </c>
      <c r="K27" s="91">
        <f>IF(9&lt;='I_Inputs &amp; Assumptions'!$B$8,IF('I_Budget Input Data'!$E$27="Upfront",IF(9=1,'I_Budget Input Data'!$D$27,0),IF('I_Budget Input Data'!$E$27="Equal",'I_Budget Input Data'!$D$27/'I_Inputs &amp; Assumptions'!$B$8,IF('I_Budget Input Data'!$E$27="Front-loaded",IF(9&lt;='I_Inputs &amp; Assumptions'!$B$8/2,'I_Budget Input Data'!$D$27*0.6/('I_Inputs &amp; Assumptions'!$B$8/2),'I_Budget Input Data'!$D$27*0.4/('I_Inputs &amp; Assumptions'!$B$8/2)),IF('I_Budget Input Data'!$E$27="Back-loaded",IF(9&lt;='I_Inputs &amp; Assumptions'!$B$8/2,'I_Budget Input Data'!$D$27*0.4/('I_Inputs &amp; Assumptions'!$B$8/2),'I_Budget Input Data'!$D$27*0.6/('I_Inputs &amp; Assumptions'!$B$8/2)),IF('I_Budget Input Data'!$E$27="Mid-weighted",IF(9&lt;='I_Inputs &amp; Assumptions'!$B$8/4,'I_Budget Input Data'!$D$27*0.2/('I_Inputs &amp; Assumptions'!$B$8/4),IF(9&lt;='I_Inputs &amp; Assumptions'!$B$8*0.75,'I_Budget Input Data'!$D$27*0.6/('I_Inputs &amp; Assumptions'!$B$8/2),'I_Budget Input Data'!$D$27*0.2/('I_Inputs &amp; Assumptions'!$B$8/4))),IF('I_Budget Input Data'!$E$27="At Completion",IF(9='I_Inputs &amp; Assumptions'!$B$8,'I_Budget Input Data'!$D$27,0),'I_Budget Input Data'!$D$27/'I_Inputs &amp; Assumptions'!$B$8)))))),0)</f>
        <v>10809.615384615385</v>
      </c>
      <c r="L27" s="91">
        <f>IF(10&lt;='I_Inputs &amp; Assumptions'!$B$8,IF('I_Budget Input Data'!$E$27="Upfront",IF(10=1,'I_Budget Input Data'!$D$27,0),IF('I_Budget Input Data'!$E$27="Equal",'I_Budget Input Data'!$D$27/'I_Inputs &amp; Assumptions'!$B$8,IF('I_Budget Input Data'!$E$27="Front-loaded",IF(10&lt;='I_Inputs &amp; Assumptions'!$B$8/2,'I_Budget Input Data'!$D$27*0.6/('I_Inputs &amp; Assumptions'!$B$8/2),'I_Budget Input Data'!$D$27*0.4/('I_Inputs &amp; Assumptions'!$B$8/2)),IF('I_Budget Input Data'!$E$27="Back-loaded",IF(10&lt;='I_Inputs &amp; Assumptions'!$B$8/2,'I_Budget Input Data'!$D$27*0.4/('I_Inputs &amp; Assumptions'!$B$8/2),'I_Budget Input Data'!$D$27*0.6/('I_Inputs &amp; Assumptions'!$B$8/2)),IF('I_Budget Input Data'!$E$27="Mid-weighted",IF(10&lt;='I_Inputs &amp; Assumptions'!$B$8/4,'I_Budget Input Data'!$D$27*0.2/('I_Inputs &amp; Assumptions'!$B$8/4),IF(10&lt;='I_Inputs &amp; Assumptions'!$B$8*0.75,'I_Budget Input Data'!$D$27*0.6/('I_Inputs &amp; Assumptions'!$B$8/2),'I_Budget Input Data'!$D$27*0.2/('I_Inputs &amp; Assumptions'!$B$8/4))),IF('I_Budget Input Data'!$E$27="At Completion",IF(10='I_Inputs &amp; Assumptions'!$B$8,'I_Budget Input Data'!$D$27,0),'I_Budget Input Data'!$D$27/'I_Inputs &amp; Assumptions'!$B$8)))))),0)</f>
        <v>10809.615384615385</v>
      </c>
      <c r="M27" s="91">
        <f>IF(11&lt;='I_Inputs &amp; Assumptions'!$B$8,IF('I_Budget Input Data'!$E$27="Upfront",IF(11=1,'I_Budget Input Data'!$D$27,0),IF('I_Budget Input Data'!$E$27="Equal",'I_Budget Input Data'!$D$27/'I_Inputs &amp; Assumptions'!$B$8,IF('I_Budget Input Data'!$E$27="Front-loaded",IF(11&lt;='I_Inputs &amp; Assumptions'!$B$8/2,'I_Budget Input Data'!$D$27*0.6/('I_Inputs &amp; Assumptions'!$B$8/2),'I_Budget Input Data'!$D$27*0.4/('I_Inputs &amp; Assumptions'!$B$8/2)),IF('I_Budget Input Data'!$E$27="Back-loaded",IF(11&lt;='I_Inputs &amp; Assumptions'!$B$8/2,'I_Budget Input Data'!$D$27*0.4/('I_Inputs &amp; Assumptions'!$B$8/2),'I_Budget Input Data'!$D$27*0.6/('I_Inputs &amp; Assumptions'!$B$8/2)),IF('I_Budget Input Data'!$E$27="Mid-weighted",IF(11&lt;='I_Inputs &amp; Assumptions'!$B$8/4,'I_Budget Input Data'!$D$27*0.2/('I_Inputs &amp; Assumptions'!$B$8/4),IF(11&lt;='I_Inputs &amp; Assumptions'!$B$8*0.75,'I_Budget Input Data'!$D$27*0.6/('I_Inputs &amp; Assumptions'!$B$8/2),'I_Budget Input Data'!$D$27*0.2/('I_Inputs &amp; Assumptions'!$B$8/4))),IF('I_Budget Input Data'!$E$27="At Completion",IF(11='I_Inputs &amp; Assumptions'!$B$8,'I_Budget Input Data'!$D$27,0),'I_Budget Input Data'!$D$27/'I_Inputs &amp; Assumptions'!$B$8)))))),0)</f>
        <v>10809.615384615385</v>
      </c>
      <c r="N27" s="91">
        <f>IF(12&lt;='I_Inputs &amp; Assumptions'!$B$8,IF('I_Budget Input Data'!$E$27="Upfront",IF(12=1,'I_Budget Input Data'!$D$27,0),IF('I_Budget Input Data'!$E$27="Equal",'I_Budget Input Data'!$D$27/'I_Inputs &amp; Assumptions'!$B$8,IF('I_Budget Input Data'!$E$27="Front-loaded",IF(12&lt;='I_Inputs &amp; Assumptions'!$B$8/2,'I_Budget Input Data'!$D$27*0.6/('I_Inputs &amp; Assumptions'!$B$8/2),'I_Budget Input Data'!$D$27*0.4/('I_Inputs &amp; Assumptions'!$B$8/2)),IF('I_Budget Input Data'!$E$27="Back-loaded",IF(12&lt;='I_Inputs &amp; Assumptions'!$B$8/2,'I_Budget Input Data'!$D$27*0.4/('I_Inputs &amp; Assumptions'!$B$8/2),'I_Budget Input Data'!$D$27*0.6/('I_Inputs &amp; Assumptions'!$B$8/2)),IF('I_Budget Input Data'!$E$27="Mid-weighted",IF(12&lt;='I_Inputs &amp; Assumptions'!$B$8/4,'I_Budget Input Data'!$D$27*0.2/('I_Inputs &amp; Assumptions'!$B$8/4),IF(12&lt;='I_Inputs &amp; Assumptions'!$B$8*0.75,'I_Budget Input Data'!$D$27*0.6/('I_Inputs &amp; Assumptions'!$B$8/2),'I_Budget Input Data'!$D$27*0.2/('I_Inputs &amp; Assumptions'!$B$8/4))),IF('I_Budget Input Data'!$E$27="At Completion",IF(12='I_Inputs &amp; Assumptions'!$B$8,'I_Budget Input Data'!$D$27,0),'I_Budget Input Data'!$D$27/'I_Inputs &amp; Assumptions'!$B$8)))))),0)</f>
        <v>10809.615384615385</v>
      </c>
      <c r="O27" s="91">
        <f>IF(13&lt;='I_Inputs &amp; Assumptions'!$B$8,IF('I_Budget Input Data'!$E$27="Upfront",IF(13=1,'I_Budget Input Data'!$D$27,0),IF('I_Budget Input Data'!$E$27="Equal",'I_Budget Input Data'!$D$27/'I_Inputs &amp; Assumptions'!$B$8,IF('I_Budget Input Data'!$E$27="Front-loaded",IF(13&lt;='I_Inputs &amp; Assumptions'!$B$8/2,'I_Budget Input Data'!$D$27*0.6/('I_Inputs &amp; Assumptions'!$B$8/2),'I_Budget Input Data'!$D$27*0.4/('I_Inputs &amp; Assumptions'!$B$8/2)),IF('I_Budget Input Data'!$E$27="Back-loaded",IF(13&lt;='I_Inputs &amp; Assumptions'!$B$8/2,'I_Budget Input Data'!$D$27*0.4/('I_Inputs &amp; Assumptions'!$B$8/2),'I_Budget Input Data'!$D$27*0.6/('I_Inputs &amp; Assumptions'!$B$8/2)),IF('I_Budget Input Data'!$E$27="Mid-weighted",IF(13&lt;='I_Inputs &amp; Assumptions'!$B$8/4,'I_Budget Input Data'!$D$27*0.2/('I_Inputs &amp; Assumptions'!$B$8/4),IF(13&lt;='I_Inputs &amp; Assumptions'!$B$8*0.75,'I_Budget Input Data'!$D$27*0.6/('I_Inputs &amp; Assumptions'!$B$8/2),'I_Budget Input Data'!$D$27*0.2/('I_Inputs &amp; Assumptions'!$B$8/4))),IF('I_Budget Input Data'!$E$27="At Completion",IF(13='I_Inputs &amp; Assumptions'!$B$8,'I_Budget Input Data'!$D$27,0),'I_Budget Input Data'!$D$27/'I_Inputs &amp; Assumptions'!$B$8)))))),0)</f>
        <v>10809.615384615385</v>
      </c>
      <c r="P27" s="91">
        <f>IF(14&lt;='I_Inputs &amp; Assumptions'!$B$8,IF('I_Budget Input Data'!$E$27="Upfront",IF(14=1,'I_Budget Input Data'!$D$27,0),IF('I_Budget Input Data'!$E$27="Equal",'I_Budget Input Data'!$D$27/'I_Inputs &amp; Assumptions'!$B$8,IF('I_Budget Input Data'!$E$27="Front-loaded",IF(14&lt;='I_Inputs &amp; Assumptions'!$B$8/2,'I_Budget Input Data'!$D$27*0.6/('I_Inputs &amp; Assumptions'!$B$8/2),'I_Budget Input Data'!$D$27*0.4/('I_Inputs &amp; Assumptions'!$B$8/2)),IF('I_Budget Input Data'!$E$27="Back-loaded",IF(14&lt;='I_Inputs &amp; Assumptions'!$B$8/2,'I_Budget Input Data'!$D$27*0.4/('I_Inputs &amp; Assumptions'!$B$8/2),'I_Budget Input Data'!$D$27*0.6/('I_Inputs &amp; Assumptions'!$B$8/2)),IF('I_Budget Input Data'!$E$27="Mid-weighted",IF(14&lt;='I_Inputs &amp; Assumptions'!$B$8/4,'I_Budget Input Data'!$D$27*0.2/('I_Inputs &amp; Assumptions'!$B$8/4),IF(14&lt;='I_Inputs &amp; Assumptions'!$B$8*0.75,'I_Budget Input Data'!$D$27*0.6/('I_Inputs &amp; Assumptions'!$B$8/2),'I_Budget Input Data'!$D$27*0.2/('I_Inputs &amp; Assumptions'!$B$8/4))),IF('I_Budget Input Data'!$E$27="At Completion",IF(14='I_Inputs &amp; Assumptions'!$B$8,'I_Budget Input Data'!$D$27,0),'I_Budget Input Data'!$D$27/'I_Inputs &amp; Assumptions'!$B$8)))))),0)</f>
        <v>0</v>
      </c>
      <c r="Q27" s="91">
        <f>IF(15&lt;='I_Inputs &amp; Assumptions'!$B$8,IF('I_Budget Input Data'!$E$27="Upfront",IF(15=1,'I_Budget Input Data'!$D$27,0),IF('I_Budget Input Data'!$E$27="Equal",'I_Budget Input Data'!$D$27/'I_Inputs &amp; Assumptions'!$B$8,IF('I_Budget Input Data'!$E$27="Front-loaded",IF(15&lt;='I_Inputs &amp; Assumptions'!$B$8/2,'I_Budget Input Data'!$D$27*0.6/('I_Inputs &amp; Assumptions'!$B$8/2),'I_Budget Input Data'!$D$27*0.4/('I_Inputs &amp; Assumptions'!$B$8/2)),IF('I_Budget Input Data'!$E$27="Back-loaded",IF(15&lt;='I_Inputs &amp; Assumptions'!$B$8/2,'I_Budget Input Data'!$D$27*0.4/('I_Inputs &amp; Assumptions'!$B$8/2),'I_Budget Input Data'!$D$27*0.6/('I_Inputs &amp; Assumptions'!$B$8/2)),IF('I_Budget Input Data'!$E$27="Mid-weighted",IF(15&lt;='I_Inputs &amp; Assumptions'!$B$8/4,'I_Budget Input Data'!$D$27*0.2/('I_Inputs &amp; Assumptions'!$B$8/4),IF(15&lt;='I_Inputs &amp; Assumptions'!$B$8*0.75,'I_Budget Input Data'!$D$27*0.6/('I_Inputs &amp; Assumptions'!$B$8/2),'I_Budget Input Data'!$D$27*0.2/('I_Inputs &amp; Assumptions'!$B$8/4))),IF('I_Budget Input Data'!$E$27="At Completion",IF(15='I_Inputs &amp; Assumptions'!$B$8,'I_Budget Input Data'!$D$27,0),'I_Budget Input Data'!$D$27/'I_Inputs &amp; Assumptions'!$B$8)))))),0)</f>
        <v>0</v>
      </c>
      <c r="R27" s="91">
        <f>IF(16&lt;='I_Inputs &amp; Assumptions'!$B$8,IF('I_Budget Input Data'!$E$27="Upfront",IF(16=1,'I_Budget Input Data'!$D$27,0),IF('I_Budget Input Data'!$E$27="Equal",'I_Budget Input Data'!$D$27/'I_Inputs &amp; Assumptions'!$B$8,IF('I_Budget Input Data'!$E$27="Front-loaded",IF(16&lt;='I_Inputs &amp; Assumptions'!$B$8/2,'I_Budget Input Data'!$D$27*0.6/('I_Inputs &amp; Assumptions'!$B$8/2),'I_Budget Input Data'!$D$27*0.4/('I_Inputs &amp; Assumptions'!$B$8/2)),IF('I_Budget Input Data'!$E$27="Back-loaded",IF(16&lt;='I_Inputs &amp; Assumptions'!$B$8/2,'I_Budget Input Data'!$D$27*0.4/('I_Inputs &amp; Assumptions'!$B$8/2),'I_Budget Input Data'!$D$27*0.6/('I_Inputs &amp; Assumptions'!$B$8/2)),IF('I_Budget Input Data'!$E$27="Mid-weighted",IF(16&lt;='I_Inputs &amp; Assumptions'!$B$8/4,'I_Budget Input Data'!$D$27*0.2/('I_Inputs &amp; Assumptions'!$B$8/4),IF(16&lt;='I_Inputs &amp; Assumptions'!$B$8*0.75,'I_Budget Input Data'!$D$27*0.6/('I_Inputs &amp; Assumptions'!$B$8/2),'I_Budget Input Data'!$D$27*0.2/('I_Inputs &amp; Assumptions'!$B$8/4))),IF('I_Budget Input Data'!$E$27="At Completion",IF(16='I_Inputs &amp; Assumptions'!$B$8,'I_Budget Input Data'!$D$27,0),'I_Budget Input Data'!$D$27/'I_Inputs &amp; Assumptions'!$B$8)))))),0)</f>
        <v>0</v>
      </c>
      <c r="S27" s="91">
        <f>IF(17&lt;='I_Inputs &amp; Assumptions'!$B$8,IF('I_Budget Input Data'!$E$27="Upfront",IF(17=1,'I_Budget Input Data'!$D$27,0),IF('I_Budget Input Data'!$E$27="Equal",'I_Budget Input Data'!$D$27/'I_Inputs &amp; Assumptions'!$B$8,IF('I_Budget Input Data'!$E$27="Front-loaded",IF(17&lt;='I_Inputs &amp; Assumptions'!$B$8/2,'I_Budget Input Data'!$D$27*0.6/('I_Inputs &amp; Assumptions'!$B$8/2),'I_Budget Input Data'!$D$27*0.4/('I_Inputs &amp; Assumptions'!$B$8/2)),IF('I_Budget Input Data'!$E$27="Back-loaded",IF(17&lt;='I_Inputs &amp; Assumptions'!$B$8/2,'I_Budget Input Data'!$D$27*0.4/('I_Inputs &amp; Assumptions'!$B$8/2),'I_Budget Input Data'!$D$27*0.6/('I_Inputs &amp; Assumptions'!$B$8/2)),IF('I_Budget Input Data'!$E$27="Mid-weighted",IF(17&lt;='I_Inputs &amp; Assumptions'!$B$8/4,'I_Budget Input Data'!$D$27*0.2/('I_Inputs &amp; Assumptions'!$B$8/4),IF(17&lt;='I_Inputs &amp; Assumptions'!$B$8*0.75,'I_Budget Input Data'!$D$27*0.6/('I_Inputs &amp; Assumptions'!$B$8/2),'I_Budget Input Data'!$D$27*0.2/('I_Inputs &amp; Assumptions'!$B$8/4))),IF('I_Budget Input Data'!$E$27="At Completion",IF(17='I_Inputs &amp; Assumptions'!$B$8,'I_Budget Input Data'!$D$27,0),'I_Budget Input Data'!$D$27/'I_Inputs &amp; Assumptions'!$B$8)))))),0)</f>
        <v>0</v>
      </c>
      <c r="T27" s="91">
        <f>IF(18&lt;='I_Inputs &amp; Assumptions'!$B$8,IF('I_Budget Input Data'!$E$27="Upfront",IF(18=1,'I_Budget Input Data'!$D$27,0),IF('I_Budget Input Data'!$E$27="Equal",'I_Budget Input Data'!$D$27/'I_Inputs &amp; Assumptions'!$B$8,IF('I_Budget Input Data'!$E$27="Front-loaded",IF(18&lt;='I_Inputs &amp; Assumptions'!$B$8/2,'I_Budget Input Data'!$D$27*0.6/('I_Inputs &amp; Assumptions'!$B$8/2),'I_Budget Input Data'!$D$27*0.4/('I_Inputs &amp; Assumptions'!$B$8/2)),IF('I_Budget Input Data'!$E$27="Back-loaded",IF(18&lt;='I_Inputs &amp; Assumptions'!$B$8/2,'I_Budget Input Data'!$D$27*0.4/('I_Inputs &amp; Assumptions'!$B$8/2),'I_Budget Input Data'!$D$27*0.6/('I_Inputs &amp; Assumptions'!$B$8/2)),IF('I_Budget Input Data'!$E$27="Mid-weighted",IF(18&lt;='I_Inputs &amp; Assumptions'!$B$8/4,'I_Budget Input Data'!$D$27*0.2/('I_Inputs &amp; Assumptions'!$B$8/4),IF(18&lt;='I_Inputs &amp; Assumptions'!$B$8*0.75,'I_Budget Input Data'!$D$27*0.6/('I_Inputs &amp; Assumptions'!$B$8/2),'I_Budget Input Data'!$D$27*0.2/('I_Inputs &amp; Assumptions'!$B$8/4))),IF('I_Budget Input Data'!$E$27="At Completion",IF(18='I_Inputs &amp; Assumptions'!$B$8,'I_Budget Input Data'!$D$27,0),'I_Budget Input Data'!$D$27/'I_Inputs &amp; Assumptions'!$B$8)))))),0)</f>
        <v>0</v>
      </c>
      <c r="U27" s="91">
        <f>IF(19&lt;='I_Inputs &amp; Assumptions'!$B$8,IF('I_Budget Input Data'!$E$27="Upfront",IF(19=1,'I_Budget Input Data'!$D$27,0),IF('I_Budget Input Data'!$E$27="Equal",'I_Budget Input Data'!$D$27/'I_Inputs &amp; Assumptions'!$B$8,IF('I_Budget Input Data'!$E$27="Front-loaded",IF(19&lt;='I_Inputs &amp; Assumptions'!$B$8/2,'I_Budget Input Data'!$D$27*0.6/('I_Inputs &amp; Assumptions'!$B$8/2),'I_Budget Input Data'!$D$27*0.4/('I_Inputs &amp; Assumptions'!$B$8/2)),IF('I_Budget Input Data'!$E$27="Back-loaded",IF(19&lt;='I_Inputs &amp; Assumptions'!$B$8/2,'I_Budget Input Data'!$D$27*0.4/('I_Inputs &amp; Assumptions'!$B$8/2),'I_Budget Input Data'!$D$27*0.6/('I_Inputs &amp; Assumptions'!$B$8/2)),IF('I_Budget Input Data'!$E$27="Mid-weighted",IF(19&lt;='I_Inputs &amp; Assumptions'!$B$8/4,'I_Budget Input Data'!$D$27*0.2/('I_Inputs &amp; Assumptions'!$B$8/4),IF(19&lt;='I_Inputs &amp; Assumptions'!$B$8*0.75,'I_Budget Input Data'!$D$27*0.6/('I_Inputs &amp; Assumptions'!$B$8/2),'I_Budget Input Data'!$D$27*0.2/('I_Inputs &amp; Assumptions'!$B$8/4))),IF('I_Budget Input Data'!$E$27="At Completion",IF(19='I_Inputs &amp; Assumptions'!$B$8,'I_Budget Input Data'!$D$27,0),'I_Budget Input Data'!$D$27/'I_Inputs &amp; Assumptions'!$B$8)))))),0)</f>
        <v>0</v>
      </c>
      <c r="V27" s="91">
        <f>IF(20&lt;='I_Inputs &amp; Assumptions'!$B$8,IF('I_Budget Input Data'!$E$27="Upfront",IF(20=1,'I_Budget Input Data'!$D$27,0),IF('I_Budget Input Data'!$E$27="Equal",'I_Budget Input Data'!$D$27/'I_Inputs &amp; Assumptions'!$B$8,IF('I_Budget Input Data'!$E$27="Front-loaded",IF(20&lt;='I_Inputs &amp; Assumptions'!$B$8/2,'I_Budget Input Data'!$D$27*0.6/('I_Inputs &amp; Assumptions'!$B$8/2),'I_Budget Input Data'!$D$27*0.4/('I_Inputs &amp; Assumptions'!$B$8/2)),IF('I_Budget Input Data'!$E$27="Back-loaded",IF(20&lt;='I_Inputs &amp; Assumptions'!$B$8/2,'I_Budget Input Data'!$D$27*0.4/('I_Inputs &amp; Assumptions'!$B$8/2),'I_Budget Input Data'!$D$27*0.6/('I_Inputs &amp; Assumptions'!$B$8/2)),IF('I_Budget Input Data'!$E$27="Mid-weighted",IF(20&lt;='I_Inputs &amp; Assumptions'!$B$8/4,'I_Budget Input Data'!$D$27*0.2/('I_Inputs &amp; Assumptions'!$B$8/4),IF(20&lt;='I_Inputs &amp; Assumptions'!$B$8*0.75,'I_Budget Input Data'!$D$27*0.6/('I_Inputs &amp; Assumptions'!$B$8/2),'I_Budget Input Data'!$D$27*0.2/('I_Inputs &amp; Assumptions'!$B$8/4))),IF('I_Budget Input Data'!$E$27="At Completion",IF(20='I_Inputs &amp; Assumptions'!$B$8,'I_Budget Input Data'!$D$27,0),'I_Budget Input Data'!$D$27/'I_Inputs &amp; Assumptions'!$B$8)))))),0)</f>
        <v>0</v>
      </c>
      <c r="W27" s="91">
        <f>IF(21&lt;='I_Inputs &amp; Assumptions'!$B$8,IF('I_Budget Input Data'!$E$27="Upfront",IF(21=1,'I_Budget Input Data'!$D$27,0),IF('I_Budget Input Data'!$E$27="Equal",'I_Budget Input Data'!$D$27/'I_Inputs &amp; Assumptions'!$B$8,IF('I_Budget Input Data'!$E$27="Front-loaded",IF(21&lt;='I_Inputs &amp; Assumptions'!$B$8/2,'I_Budget Input Data'!$D$27*0.6/('I_Inputs &amp; Assumptions'!$B$8/2),'I_Budget Input Data'!$D$27*0.4/('I_Inputs &amp; Assumptions'!$B$8/2)),IF('I_Budget Input Data'!$E$27="Back-loaded",IF(21&lt;='I_Inputs &amp; Assumptions'!$B$8/2,'I_Budget Input Data'!$D$27*0.4/('I_Inputs &amp; Assumptions'!$B$8/2),'I_Budget Input Data'!$D$27*0.6/('I_Inputs &amp; Assumptions'!$B$8/2)),IF('I_Budget Input Data'!$E$27="Mid-weighted",IF(21&lt;='I_Inputs &amp; Assumptions'!$B$8/4,'I_Budget Input Data'!$D$27*0.2/('I_Inputs &amp; Assumptions'!$B$8/4),IF(21&lt;='I_Inputs &amp; Assumptions'!$B$8*0.75,'I_Budget Input Data'!$D$27*0.6/('I_Inputs &amp; Assumptions'!$B$8/2),'I_Budget Input Data'!$D$27*0.2/('I_Inputs &amp; Assumptions'!$B$8/4))),IF('I_Budget Input Data'!$E$27="At Completion",IF(21='I_Inputs &amp; Assumptions'!$B$8,'I_Budget Input Data'!$D$27,0),'I_Budget Input Data'!$D$27/'I_Inputs &amp; Assumptions'!$B$8)))))),0)</f>
        <v>0</v>
      </c>
      <c r="X27" s="91">
        <f>IF(22&lt;='I_Inputs &amp; Assumptions'!$B$8,IF('I_Budget Input Data'!$E$27="Upfront",IF(22=1,'I_Budget Input Data'!$D$27,0),IF('I_Budget Input Data'!$E$27="Equal",'I_Budget Input Data'!$D$27/'I_Inputs &amp; Assumptions'!$B$8,IF('I_Budget Input Data'!$E$27="Front-loaded",IF(22&lt;='I_Inputs &amp; Assumptions'!$B$8/2,'I_Budget Input Data'!$D$27*0.6/('I_Inputs &amp; Assumptions'!$B$8/2),'I_Budget Input Data'!$D$27*0.4/('I_Inputs &amp; Assumptions'!$B$8/2)),IF('I_Budget Input Data'!$E$27="Back-loaded",IF(22&lt;='I_Inputs &amp; Assumptions'!$B$8/2,'I_Budget Input Data'!$D$27*0.4/('I_Inputs &amp; Assumptions'!$B$8/2),'I_Budget Input Data'!$D$27*0.6/('I_Inputs &amp; Assumptions'!$B$8/2)),IF('I_Budget Input Data'!$E$27="Mid-weighted",IF(22&lt;='I_Inputs &amp; Assumptions'!$B$8/4,'I_Budget Input Data'!$D$27*0.2/('I_Inputs &amp; Assumptions'!$B$8/4),IF(22&lt;='I_Inputs &amp; Assumptions'!$B$8*0.75,'I_Budget Input Data'!$D$27*0.6/('I_Inputs &amp; Assumptions'!$B$8/2),'I_Budget Input Data'!$D$27*0.2/('I_Inputs &amp; Assumptions'!$B$8/4))),IF('I_Budget Input Data'!$E$27="At Completion",IF(22='I_Inputs &amp; Assumptions'!$B$8,'I_Budget Input Data'!$D$27,0),'I_Budget Input Data'!$D$27/'I_Inputs &amp; Assumptions'!$B$8)))))),0)</f>
        <v>0</v>
      </c>
      <c r="Y27" s="91">
        <f>IF(23&lt;='I_Inputs &amp; Assumptions'!$B$8,IF('I_Budget Input Data'!$E$27="Upfront",IF(23=1,'I_Budget Input Data'!$D$27,0),IF('I_Budget Input Data'!$E$27="Equal",'I_Budget Input Data'!$D$27/'I_Inputs &amp; Assumptions'!$B$8,IF('I_Budget Input Data'!$E$27="Front-loaded",IF(23&lt;='I_Inputs &amp; Assumptions'!$B$8/2,'I_Budget Input Data'!$D$27*0.6/('I_Inputs &amp; Assumptions'!$B$8/2),'I_Budget Input Data'!$D$27*0.4/('I_Inputs &amp; Assumptions'!$B$8/2)),IF('I_Budget Input Data'!$E$27="Back-loaded",IF(23&lt;='I_Inputs &amp; Assumptions'!$B$8/2,'I_Budget Input Data'!$D$27*0.4/('I_Inputs &amp; Assumptions'!$B$8/2),'I_Budget Input Data'!$D$27*0.6/('I_Inputs &amp; Assumptions'!$B$8/2)),IF('I_Budget Input Data'!$E$27="Mid-weighted",IF(23&lt;='I_Inputs &amp; Assumptions'!$B$8/4,'I_Budget Input Data'!$D$27*0.2/('I_Inputs &amp; Assumptions'!$B$8/4),IF(23&lt;='I_Inputs &amp; Assumptions'!$B$8*0.75,'I_Budget Input Data'!$D$27*0.6/('I_Inputs &amp; Assumptions'!$B$8/2),'I_Budget Input Data'!$D$27*0.2/('I_Inputs &amp; Assumptions'!$B$8/4))),IF('I_Budget Input Data'!$E$27="At Completion",IF(23='I_Inputs &amp; Assumptions'!$B$8,'I_Budget Input Data'!$D$27,0),'I_Budget Input Data'!$D$27/'I_Inputs &amp; Assumptions'!$B$8)))))),0)</f>
        <v>0</v>
      </c>
      <c r="Z27" s="91">
        <f>IF(24&lt;='I_Inputs &amp; Assumptions'!$B$8,IF('I_Budget Input Data'!$E$27="Upfront",IF(24=1,'I_Budget Input Data'!$D$27,0),IF('I_Budget Input Data'!$E$27="Equal",'I_Budget Input Data'!$D$27/'I_Inputs &amp; Assumptions'!$B$8,IF('I_Budget Input Data'!$E$27="Front-loaded",IF(24&lt;='I_Inputs &amp; Assumptions'!$B$8/2,'I_Budget Input Data'!$D$27*0.6/('I_Inputs &amp; Assumptions'!$B$8/2),'I_Budget Input Data'!$D$27*0.4/('I_Inputs &amp; Assumptions'!$B$8/2)),IF('I_Budget Input Data'!$E$27="Back-loaded",IF(24&lt;='I_Inputs &amp; Assumptions'!$B$8/2,'I_Budget Input Data'!$D$27*0.4/('I_Inputs &amp; Assumptions'!$B$8/2),'I_Budget Input Data'!$D$27*0.6/('I_Inputs &amp; Assumptions'!$B$8/2)),IF('I_Budget Input Data'!$E$27="Mid-weighted",IF(24&lt;='I_Inputs &amp; Assumptions'!$B$8/4,'I_Budget Input Data'!$D$27*0.2/('I_Inputs &amp; Assumptions'!$B$8/4),IF(24&lt;='I_Inputs &amp; Assumptions'!$B$8*0.75,'I_Budget Input Data'!$D$27*0.6/('I_Inputs &amp; Assumptions'!$B$8/2),'I_Budget Input Data'!$D$27*0.2/('I_Inputs &amp; Assumptions'!$B$8/4))),IF('I_Budget Input Data'!$E$27="At Completion",IF(24='I_Inputs &amp; Assumptions'!$B$8,'I_Budget Input Data'!$D$27,0),'I_Budget Input Data'!$D$27/'I_Inputs &amp; Assumptions'!$B$8)))))),0)</f>
        <v>0</v>
      </c>
      <c r="AA27" s="91">
        <f>IF(25&lt;='I_Inputs &amp; Assumptions'!$B$8,IF('I_Budget Input Data'!$E$27="Upfront",IF(25=1,'I_Budget Input Data'!$D$27,0),IF('I_Budget Input Data'!$E$27="Equal",'I_Budget Input Data'!$D$27/'I_Inputs &amp; Assumptions'!$B$8,IF('I_Budget Input Data'!$E$27="Front-loaded",IF(25&lt;='I_Inputs &amp; Assumptions'!$B$8/2,'I_Budget Input Data'!$D$27*0.6/('I_Inputs &amp; Assumptions'!$B$8/2),'I_Budget Input Data'!$D$27*0.4/('I_Inputs &amp; Assumptions'!$B$8/2)),IF('I_Budget Input Data'!$E$27="Back-loaded",IF(25&lt;='I_Inputs &amp; Assumptions'!$B$8/2,'I_Budget Input Data'!$D$27*0.4/('I_Inputs &amp; Assumptions'!$B$8/2),'I_Budget Input Data'!$D$27*0.6/('I_Inputs &amp; Assumptions'!$B$8/2)),IF('I_Budget Input Data'!$E$27="Mid-weighted",IF(25&lt;='I_Inputs &amp; Assumptions'!$B$8/4,'I_Budget Input Data'!$D$27*0.2/('I_Inputs &amp; Assumptions'!$B$8/4),IF(25&lt;='I_Inputs &amp; Assumptions'!$B$8*0.75,'I_Budget Input Data'!$D$27*0.6/('I_Inputs &amp; Assumptions'!$B$8/2),'I_Budget Input Data'!$D$27*0.2/('I_Inputs &amp; Assumptions'!$B$8/4))),IF('I_Budget Input Data'!$E$27="At Completion",IF(25='I_Inputs &amp; Assumptions'!$B$8,'I_Budget Input Data'!$D$27,0),'I_Budget Input Data'!$D$27/'I_Inputs &amp; Assumptions'!$B$8)))))),0)</f>
        <v>0</v>
      </c>
      <c r="AB27" s="91">
        <f>IF(26&lt;='I_Inputs &amp; Assumptions'!$B$8,IF('I_Budget Input Data'!$E$27="Upfront",IF(26=1,'I_Budget Input Data'!$D$27,0),IF('I_Budget Input Data'!$E$27="Equal",'I_Budget Input Data'!$D$27/'I_Inputs &amp; Assumptions'!$B$8,IF('I_Budget Input Data'!$E$27="Front-loaded",IF(26&lt;='I_Inputs &amp; Assumptions'!$B$8/2,'I_Budget Input Data'!$D$27*0.6/('I_Inputs &amp; Assumptions'!$B$8/2),'I_Budget Input Data'!$D$27*0.4/('I_Inputs &amp; Assumptions'!$B$8/2)),IF('I_Budget Input Data'!$E$27="Back-loaded",IF(26&lt;='I_Inputs &amp; Assumptions'!$B$8/2,'I_Budget Input Data'!$D$27*0.4/('I_Inputs &amp; Assumptions'!$B$8/2),'I_Budget Input Data'!$D$27*0.6/('I_Inputs &amp; Assumptions'!$B$8/2)),IF('I_Budget Input Data'!$E$27="Mid-weighted",IF(26&lt;='I_Inputs &amp; Assumptions'!$B$8/4,'I_Budget Input Data'!$D$27*0.2/('I_Inputs &amp; Assumptions'!$B$8/4),IF(26&lt;='I_Inputs &amp; Assumptions'!$B$8*0.75,'I_Budget Input Data'!$D$27*0.6/('I_Inputs &amp; Assumptions'!$B$8/2),'I_Budget Input Data'!$D$27*0.2/('I_Inputs &amp; Assumptions'!$B$8/4))),IF('I_Budget Input Data'!$E$27="At Completion",IF(26='I_Inputs &amp; Assumptions'!$B$8,'I_Budget Input Data'!$D$27,0),'I_Budget Input Data'!$D$27/'I_Inputs &amp; Assumptions'!$B$8)))))),0)</f>
        <v>0</v>
      </c>
      <c r="AC27" s="91">
        <f>IF(27&lt;='I_Inputs &amp; Assumptions'!$B$8,IF('I_Budget Input Data'!$E$27="Upfront",IF(27=1,'I_Budget Input Data'!$D$27,0),IF('I_Budget Input Data'!$E$27="Equal",'I_Budget Input Data'!$D$27/'I_Inputs &amp; Assumptions'!$B$8,IF('I_Budget Input Data'!$E$27="Front-loaded",IF(27&lt;='I_Inputs &amp; Assumptions'!$B$8/2,'I_Budget Input Data'!$D$27*0.6/('I_Inputs &amp; Assumptions'!$B$8/2),'I_Budget Input Data'!$D$27*0.4/('I_Inputs &amp; Assumptions'!$B$8/2)),IF('I_Budget Input Data'!$E$27="Back-loaded",IF(27&lt;='I_Inputs &amp; Assumptions'!$B$8/2,'I_Budget Input Data'!$D$27*0.4/('I_Inputs &amp; Assumptions'!$B$8/2),'I_Budget Input Data'!$D$27*0.6/('I_Inputs &amp; Assumptions'!$B$8/2)),IF('I_Budget Input Data'!$E$27="Mid-weighted",IF(27&lt;='I_Inputs &amp; Assumptions'!$B$8/4,'I_Budget Input Data'!$D$27*0.2/('I_Inputs &amp; Assumptions'!$B$8/4),IF(27&lt;='I_Inputs &amp; Assumptions'!$B$8*0.75,'I_Budget Input Data'!$D$27*0.6/('I_Inputs &amp; Assumptions'!$B$8/2),'I_Budget Input Data'!$D$27*0.2/('I_Inputs &amp; Assumptions'!$B$8/4))),IF('I_Budget Input Data'!$E$27="At Completion",IF(27='I_Inputs &amp; Assumptions'!$B$8,'I_Budget Input Data'!$D$27,0),'I_Budget Input Data'!$D$27/'I_Inputs &amp; Assumptions'!$B$8)))))),0)</f>
        <v>0</v>
      </c>
      <c r="AD27" s="91">
        <f>IF(28&lt;='I_Inputs &amp; Assumptions'!$B$8,IF('I_Budget Input Data'!$E$27="Upfront",IF(28=1,'I_Budget Input Data'!$D$27,0),IF('I_Budget Input Data'!$E$27="Equal",'I_Budget Input Data'!$D$27/'I_Inputs &amp; Assumptions'!$B$8,IF('I_Budget Input Data'!$E$27="Front-loaded",IF(28&lt;='I_Inputs &amp; Assumptions'!$B$8/2,'I_Budget Input Data'!$D$27*0.6/('I_Inputs &amp; Assumptions'!$B$8/2),'I_Budget Input Data'!$D$27*0.4/('I_Inputs &amp; Assumptions'!$B$8/2)),IF('I_Budget Input Data'!$E$27="Back-loaded",IF(28&lt;='I_Inputs &amp; Assumptions'!$B$8/2,'I_Budget Input Data'!$D$27*0.4/('I_Inputs &amp; Assumptions'!$B$8/2),'I_Budget Input Data'!$D$27*0.6/('I_Inputs &amp; Assumptions'!$B$8/2)),IF('I_Budget Input Data'!$E$27="Mid-weighted",IF(28&lt;='I_Inputs &amp; Assumptions'!$B$8/4,'I_Budget Input Data'!$D$27*0.2/('I_Inputs &amp; Assumptions'!$B$8/4),IF(28&lt;='I_Inputs &amp; Assumptions'!$B$8*0.75,'I_Budget Input Data'!$D$27*0.6/('I_Inputs &amp; Assumptions'!$B$8/2),'I_Budget Input Data'!$D$27*0.2/('I_Inputs &amp; Assumptions'!$B$8/4))),IF('I_Budget Input Data'!$E$27="At Completion",IF(28='I_Inputs &amp; Assumptions'!$B$8,'I_Budget Input Data'!$D$27,0),'I_Budget Input Data'!$D$27/'I_Inputs &amp; Assumptions'!$B$8)))))),0)</f>
        <v>0</v>
      </c>
      <c r="AE27" s="91">
        <f>IF(29&lt;='I_Inputs &amp; Assumptions'!$B$8,IF('I_Budget Input Data'!$E$27="Upfront",IF(29=1,'I_Budget Input Data'!$D$27,0),IF('I_Budget Input Data'!$E$27="Equal",'I_Budget Input Data'!$D$27/'I_Inputs &amp; Assumptions'!$B$8,IF('I_Budget Input Data'!$E$27="Front-loaded",IF(29&lt;='I_Inputs &amp; Assumptions'!$B$8/2,'I_Budget Input Data'!$D$27*0.6/('I_Inputs &amp; Assumptions'!$B$8/2),'I_Budget Input Data'!$D$27*0.4/('I_Inputs &amp; Assumptions'!$B$8/2)),IF('I_Budget Input Data'!$E$27="Back-loaded",IF(29&lt;='I_Inputs &amp; Assumptions'!$B$8/2,'I_Budget Input Data'!$D$27*0.4/('I_Inputs &amp; Assumptions'!$B$8/2),'I_Budget Input Data'!$D$27*0.6/('I_Inputs &amp; Assumptions'!$B$8/2)),IF('I_Budget Input Data'!$E$27="Mid-weighted",IF(29&lt;='I_Inputs &amp; Assumptions'!$B$8/4,'I_Budget Input Data'!$D$27*0.2/('I_Inputs &amp; Assumptions'!$B$8/4),IF(29&lt;='I_Inputs &amp; Assumptions'!$B$8*0.75,'I_Budget Input Data'!$D$27*0.6/('I_Inputs &amp; Assumptions'!$B$8/2),'I_Budget Input Data'!$D$27*0.2/('I_Inputs &amp; Assumptions'!$B$8/4))),IF('I_Budget Input Data'!$E$27="At Completion",IF(29='I_Inputs &amp; Assumptions'!$B$8,'I_Budget Input Data'!$D$27,0),'I_Budget Input Data'!$D$27/'I_Inputs &amp; Assumptions'!$B$8)))))),0)</f>
        <v>0</v>
      </c>
      <c r="AF27" s="91">
        <f>IF(30&lt;='I_Inputs &amp; Assumptions'!$B$8,IF('I_Budget Input Data'!$E$27="Upfront",IF(30=1,'I_Budget Input Data'!$D$27,0),IF('I_Budget Input Data'!$E$27="Equal",'I_Budget Input Data'!$D$27/'I_Inputs &amp; Assumptions'!$B$8,IF('I_Budget Input Data'!$E$27="Front-loaded",IF(30&lt;='I_Inputs &amp; Assumptions'!$B$8/2,'I_Budget Input Data'!$D$27*0.6/('I_Inputs &amp; Assumptions'!$B$8/2),'I_Budget Input Data'!$D$27*0.4/('I_Inputs &amp; Assumptions'!$B$8/2)),IF('I_Budget Input Data'!$E$27="Back-loaded",IF(30&lt;='I_Inputs &amp; Assumptions'!$B$8/2,'I_Budget Input Data'!$D$27*0.4/('I_Inputs &amp; Assumptions'!$B$8/2),'I_Budget Input Data'!$D$27*0.6/('I_Inputs &amp; Assumptions'!$B$8/2)),IF('I_Budget Input Data'!$E$27="Mid-weighted",IF(30&lt;='I_Inputs &amp; Assumptions'!$B$8/4,'I_Budget Input Data'!$D$27*0.2/('I_Inputs &amp; Assumptions'!$B$8/4),IF(30&lt;='I_Inputs &amp; Assumptions'!$B$8*0.75,'I_Budget Input Data'!$D$27*0.6/('I_Inputs &amp; Assumptions'!$B$8/2),'I_Budget Input Data'!$D$27*0.2/('I_Inputs &amp; Assumptions'!$B$8/4))),IF('I_Budget Input Data'!$E$27="At Completion",IF(30='I_Inputs &amp; Assumptions'!$B$8,'I_Budget Input Data'!$D$27,0),'I_Budget Input Data'!$D$27/'I_Inputs &amp; Assumptions'!$B$8)))))),0)</f>
        <v>0</v>
      </c>
      <c r="AG27" s="91">
        <f>IF(31&lt;='I_Inputs &amp; Assumptions'!$B$8,IF('I_Budget Input Data'!$E$27="Upfront",IF(31=1,'I_Budget Input Data'!$D$27,0),IF('I_Budget Input Data'!$E$27="Equal",'I_Budget Input Data'!$D$27/'I_Inputs &amp; Assumptions'!$B$8,IF('I_Budget Input Data'!$E$27="Front-loaded",IF(31&lt;='I_Inputs &amp; Assumptions'!$B$8/2,'I_Budget Input Data'!$D$27*0.6/('I_Inputs &amp; Assumptions'!$B$8/2),'I_Budget Input Data'!$D$27*0.4/('I_Inputs &amp; Assumptions'!$B$8/2)),IF('I_Budget Input Data'!$E$27="Back-loaded",IF(31&lt;='I_Inputs &amp; Assumptions'!$B$8/2,'I_Budget Input Data'!$D$27*0.4/('I_Inputs &amp; Assumptions'!$B$8/2),'I_Budget Input Data'!$D$27*0.6/('I_Inputs &amp; Assumptions'!$B$8/2)),IF('I_Budget Input Data'!$E$27="Mid-weighted",IF(31&lt;='I_Inputs &amp; Assumptions'!$B$8/4,'I_Budget Input Data'!$D$27*0.2/('I_Inputs &amp; Assumptions'!$B$8/4),IF(31&lt;='I_Inputs &amp; Assumptions'!$B$8*0.75,'I_Budget Input Data'!$D$27*0.6/('I_Inputs &amp; Assumptions'!$B$8/2),'I_Budget Input Data'!$D$27*0.2/('I_Inputs &amp; Assumptions'!$B$8/4))),IF('I_Budget Input Data'!$E$27="At Completion",IF(31='I_Inputs &amp; Assumptions'!$B$8,'I_Budget Input Data'!$D$27,0),'I_Budget Input Data'!$D$27/'I_Inputs &amp; Assumptions'!$B$8)))))),0)</f>
        <v>0</v>
      </c>
      <c r="AH27" s="91">
        <f>IF(32&lt;='I_Inputs &amp; Assumptions'!$B$8,IF('I_Budget Input Data'!$E$27="Upfront",IF(32=1,'I_Budget Input Data'!$D$27,0),IF('I_Budget Input Data'!$E$27="Equal",'I_Budget Input Data'!$D$27/'I_Inputs &amp; Assumptions'!$B$8,IF('I_Budget Input Data'!$E$27="Front-loaded",IF(32&lt;='I_Inputs &amp; Assumptions'!$B$8/2,'I_Budget Input Data'!$D$27*0.6/('I_Inputs &amp; Assumptions'!$B$8/2),'I_Budget Input Data'!$D$27*0.4/('I_Inputs &amp; Assumptions'!$B$8/2)),IF('I_Budget Input Data'!$E$27="Back-loaded",IF(32&lt;='I_Inputs &amp; Assumptions'!$B$8/2,'I_Budget Input Data'!$D$27*0.4/('I_Inputs &amp; Assumptions'!$B$8/2),'I_Budget Input Data'!$D$27*0.6/('I_Inputs &amp; Assumptions'!$B$8/2)),IF('I_Budget Input Data'!$E$27="Mid-weighted",IF(32&lt;='I_Inputs &amp; Assumptions'!$B$8/4,'I_Budget Input Data'!$D$27*0.2/('I_Inputs &amp; Assumptions'!$B$8/4),IF(32&lt;='I_Inputs &amp; Assumptions'!$B$8*0.75,'I_Budget Input Data'!$D$27*0.6/('I_Inputs &amp; Assumptions'!$B$8/2),'I_Budget Input Data'!$D$27*0.2/('I_Inputs &amp; Assumptions'!$B$8/4))),IF('I_Budget Input Data'!$E$27="At Completion",IF(32='I_Inputs &amp; Assumptions'!$B$8,'I_Budget Input Data'!$D$27,0),'I_Budget Input Data'!$D$27/'I_Inputs &amp; Assumptions'!$B$8)))))),0)</f>
        <v>0</v>
      </c>
      <c r="AI27" s="91">
        <f>IF(33&lt;='I_Inputs &amp; Assumptions'!$B$8,IF('I_Budget Input Data'!$E$27="Upfront",IF(33=1,'I_Budget Input Data'!$D$27,0),IF('I_Budget Input Data'!$E$27="Equal",'I_Budget Input Data'!$D$27/'I_Inputs &amp; Assumptions'!$B$8,IF('I_Budget Input Data'!$E$27="Front-loaded",IF(33&lt;='I_Inputs &amp; Assumptions'!$B$8/2,'I_Budget Input Data'!$D$27*0.6/('I_Inputs &amp; Assumptions'!$B$8/2),'I_Budget Input Data'!$D$27*0.4/('I_Inputs &amp; Assumptions'!$B$8/2)),IF('I_Budget Input Data'!$E$27="Back-loaded",IF(33&lt;='I_Inputs &amp; Assumptions'!$B$8/2,'I_Budget Input Data'!$D$27*0.4/('I_Inputs &amp; Assumptions'!$B$8/2),'I_Budget Input Data'!$D$27*0.6/('I_Inputs &amp; Assumptions'!$B$8/2)),IF('I_Budget Input Data'!$E$27="Mid-weighted",IF(33&lt;='I_Inputs &amp; Assumptions'!$B$8/4,'I_Budget Input Data'!$D$27*0.2/('I_Inputs &amp; Assumptions'!$B$8/4),IF(33&lt;='I_Inputs &amp; Assumptions'!$B$8*0.75,'I_Budget Input Data'!$D$27*0.6/('I_Inputs &amp; Assumptions'!$B$8/2),'I_Budget Input Data'!$D$27*0.2/('I_Inputs &amp; Assumptions'!$B$8/4))),IF('I_Budget Input Data'!$E$27="At Completion",IF(33='I_Inputs &amp; Assumptions'!$B$8,'I_Budget Input Data'!$D$27,0),'I_Budget Input Data'!$D$27/'I_Inputs &amp; Assumptions'!$B$8)))))),0)</f>
        <v>0</v>
      </c>
      <c r="AJ27" s="91">
        <f>IF(34&lt;='I_Inputs &amp; Assumptions'!$B$8,IF('I_Budget Input Data'!$E$27="Upfront",IF(34=1,'I_Budget Input Data'!$D$27,0),IF('I_Budget Input Data'!$E$27="Equal",'I_Budget Input Data'!$D$27/'I_Inputs &amp; Assumptions'!$B$8,IF('I_Budget Input Data'!$E$27="Front-loaded",IF(34&lt;='I_Inputs &amp; Assumptions'!$B$8/2,'I_Budget Input Data'!$D$27*0.6/('I_Inputs &amp; Assumptions'!$B$8/2),'I_Budget Input Data'!$D$27*0.4/('I_Inputs &amp; Assumptions'!$B$8/2)),IF('I_Budget Input Data'!$E$27="Back-loaded",IF(34&lt;='I_Inputs &amp; Assumptions'!$B$8/2,'I_Budget Input Data'!$D$27*0.4/('I_Inputs &amp; Assumptions'!$B$8/2),'I_Budget Input Data'!$D$27*0.6/('I_Inputs &amp; Assumptions'!$B$8/2)),IF('I_Budget Input Data'!$E$27="Mid-weighted",IF(34&lt;='I_Inputs &amp; Assumptions'!$B$8/4,'I_Budget Input Data'!$D$27*0.2/('I_Inputs &amp; Assumptions'!$B$8/4),IF(34&lt;='I_Inputs &amp; Assumptions'!$B$8*0.75,'I_Budget Input Data'!$D$27*0.6/('I_Inputs &amp; Assumptions'!$B$8/2),'I_Budget Input Data'!$D$27*0.2/('I_Inputs &amp; Assumptions'!$B$8/4))),IF('I_Budget Input Data'!$E$27="At Completion",IF(34='I_Inputs &amp; Assumptions'!$B$8,'I_Budget Input Data'!$D$27,0),'I_Budget Input Data'!$D$27/'I_Inputs &amp; Assumptions'!$B$8)))))),0)</f>
        <v>0</v>
      </c>
      <c r="AK27" s="91">
        <f>IF(35&lt;='I_Inputs &amp; Assumptions'!$B$8,IF('I_Budget Input Data'!$E$27="Upfront",IF(35=1,'I_Budget Input Data'!$D$27,0),IF('I_Budget Input Data'!$E$27="Equal",'I_Budget Input Data'!$D$27/'I_Inputs &amp; Assumptions'!$B$8,IF('I_Budget Input Data'!$E$27="Front-loaded",IF(35&lt;='I_Inputs &amp; Assumptions'!$B$8/2,'I_Budget Input Data'!$D$27*0.6/('I_Inputs &amp; Assumptions'!$B$8/2),'I_Budget Input Data'!$D$27*0.4/('I_Inputs &amp; Assumptions'!$B$8/2)),IF('I_Budget Input Data'!$E$27="Back-loaded",IF(35&lt;='I_Inputs &amp; Assumptions'!$B$8/2,'I_Budget Input Data'!$D$27*0.4/('I_Inputs &amp; Assumptions'!$B$8/2),'I_Budget Input Data'!$D$27*0.6/('I_Inputs &amp; Assumptions'!$B$8/2)),IF('I_Budget Input Data'!$E$27="Mid-weighted",IF(35&lt;='I_Inputs &amp; Assumptions'!$B$8/4,'I_Budget Input Data'!$D$27*0.2/('I_Inputs &amp; Assumptions'!$B$8/4),IF(35&lt;='I_Inputs &amp; Assumptions'!$B$8*0.75,'I_Budget Input Data'!$D$27*0.6/('I_Inputs &amp; Assumptions'!$B$8/2),'I_Budget Input Data'!$D$27*0.2/('I_Inputs &amp; Assumptions'!$B$8/4))),IF('I_Budget Input Data'!$E$27="At Completion",IF(35='I_Inputs &amp; Assumptions'!$B$8,'I_Budget Input Data'!$D$27,0),'I_Budget Input Data'!$D$27/'I_Inputs &amp; Assumptions'!$B$8)))))),0)</f>
        <v>0</v>
      </c>
      <c r="AL27" s="91">
        <f>IF(36&lt;='I_Inputs &amp; Assumptions'!$B$8,IF('I_Budget Input Data'!$E$27="Upfront",IF(36=1,'I_Budget Input Data'!$D$27,0),IF('I_Budget Input Data'!$E$27="Equal",'I_Budget Input Data'!$D$27/'I_Inputs &amp; Assumptions'!$B$8,IF('I_Budget Input Data'!$E$27="Front-loaded",IF(36&lt;='I_Inputs &amp; Assumptions'!$B$8/2,'I_Budget Input Data'!$D$27*0.6/('I_Inputs &amp; Assumptions'!$B$8/2),'I_Budget Input Data'!$D$27*0.4/('I_Inputs &amp; Assumptions'!$B$8/2)),IF('I_Budget Input Data'!$E$27="Back-loaded",IF(36&lt;='I_Inputs &amp; Assumptions'!$B$8/2,'I_Budget Input Data'!$D$27*0.4/('I_Inputs &amp; Assumptions'!$B$8/2),'I_Budget Input Data'!$D$27*0.6/('I_Inputs &amp; Assumptions'!$B$8/2)),IF('I_Budget Input Data'!$E$27="Mid-weighted",IF(36&lt;='I_Inputs &amp; Assumptions'!$B$8/4,'I_Budget Input Data'!$D$27*0.2/('I_Inputs &amp; Assumptions'!$B$8/4),IF(36&lt;='I_Inputs &amp; Assumptions'!$B$8*0.75,'I_Budget Input Data'!$D$27*0.6/('I_Inputs &amp; Assumptions'!$B$8/2),'I_Budget Input Data'!$D$27*0.2/('I_Inputs &amp; Assumptions'!$B$8/4))),IF('I_Budget Input Data'!$E$27="At Completion",IF(36='I_Inputs &amp; Assumptions'!$B$8,'I_Budget Input Data'!$D$27,0),'I_Budget Input Data'!$D$27/'I_Inputs &amp; Assumptions'!$B$8)))))),0)</f>
        <v>0</v>
      </c>
    </row>
    <row r="28" spans="1:38" ht="15" customHeight="1" x14ac:dyDescent="0.2">
      <c r="A28" t="s">
        <v>146</v>
      </c>
      <c r="B28" t="s">
        <v>149</v>
      </c>
      <c r="C28" s="91">
        <f>IF(1&lt;='I_Inputs &amp; Assumptions'!$B$8,IF('I_Budget Input Data'!$E$28="Upfront",IF(1=1,'I_Budget Input Data'!$D$28,0),IF('I_Budget Input Data'!$E$28="Equal",'I_Budget Input Data'!$D$28/'I_Inputs &amp; Assumptions'!$B$8,IF('I_Budget Input Data'!$E$28="Front-loaded",IF(1&lt;='I_Inputs &amp; Assumptions'!$B$8/2,'I_Budget Input Data'!$D$28*0.6/('I_Inputs &amp; Assumptions'!$B$8/2),'I_Budget Input Data'!$D$28*0.4/('I_Inputs &amp; Assumptions'!$B$8/2)),IF('I_Budget Input Data'!$E$28="Back-loaded",IF(1&lt;='I_Inputs &amp; Assumptions'!$B$8/2,'I_Budget Input Data'!$D$28*0.4/('I_Inputs &amp; Assumptions'!$B$8/2),'I_Budget Input Data'!$D$28*0.6/('I_Inputs &amp; Assumptions'!$B$8/2)),IF('I_Budget Input Data'!$E$28="Mid-weighted",IF(1&lt;='I_Inputs &amp; Assumptions'!$B$8/4,'I_Budget Input Data'!$D$28*0.2/('I_Inputs &amp; Assumptions'!$B$8/4),IF(1&lt;='I_Inputs &amp; Assumptions'!$B$8*0.75,'I_Budget Input Data'!$D$28*0.6/('I_Inputs &amp; Assumptions'!$B$8/2),'I_Budget Input Data'!$D$28*0.2/('I_Inputs &amp; Assumptions'!$B$8/4))),IF('I_Budget Input Data'!$E$28="At Completion",IF(1='I_Inputs &amp; Assumptions'!$B$8,'I_Budget Input Data'!$D$28,0),'I_Budget Input Data'!$D$28/'I_Inputs &amp; Assumptions'!$B$8)))))),0)</f>
        <v>2805</v>
      </c>
      <c r="D28" s="91">
        <f>IF(2&lt;='I_Inputs &amp; Assumptions'!$B$8,IF('I_Budget Input Data'!$E$28="Upfront",IF(2=1,'I_Budget Input Data'!$D$28,0),IF('I_Budget Input Data'!$E$28="Equal",'I_Budget Input Data'!$D$28/'I_Inputs &amp; Assumptions'!$B$8,IF('I_Budget Input Data'!$E$28="Front-loaded",IF(2&lt;='I_Inputs &amp; Assumptions'!$B$8/2,'I_Budget Input Data'!$D$28*0.6/('I_Inputs &amp; Assumptions'!$B$8/2),'I_Budget Input Data'!$D$28*0.4/('I_Inputs &amp; Assumptions'!$B$8/2)),IF('I_Budget Input Data'!$E$28="Back-loaded",IF(2&lt;='I_Inputs &amp; Assumptions'!$B$8/2,'I_Budget Input Data'!$D$28*0.4/('I_Inputs &amp; Assumptions'!$B$8/2),'I_Budget Input Data'!$D$28*0.6/('I_Inputs &amp; Assumptions'!$B$8/2)),IF('I_Budget Input Data'!$E$28="Mid-weighted",IF(2&lt;='I_Inputs &amp; Assumptions'!$B$8/4,'I_Budget Input Data'!$D$28*0.2/('I_Inputs &amp; Assumptions'!$B$8/4),IF(2&lt;='I_Inputs &amp; Assumptions'!$B$8*0.75,'I_Budget Input Data'!$D$28*0.6/('I_Inputs &amp; Assumptions'!$B$8/2),'I_Budget Input Data'!$D$28*0.2/('I_Inputs &amp; Assumptions'!$B$8/4))),IF('I_Budget Input Data'!$E$28="At Completion",IF(2='I_Inputs &amp; Assumptions'!$B$8,'I_Budget Input Data'!$D$28,0),'I_Budget Input Data'!$D$28/'I_Inputs &amp; Assumptions'!$B$8)))))),0)</f>
        <v>2805</v>
      </c>
      <c r="E28" s="91">
        <f>IF(3&lt;='I_Inputs &amp; Assumptions'!$B$8,IF('I_Budget Input Data'!$E$28="Upfront",IF(3=1,'I_Budget Input Data'!$D$28,0),IF('I_Budget Input Data'!$E$28="Equal",'I_Budget Input Data'!$D$28/'I_Inputs &amp; Assumptions'!$B$8,IF('I_Budget Input Data'!$E$28="Front-loaded",IF(3&lt;='I_Inputs &amp; Assumptions'!$B$8/2,'I_Budget Input Data'!$D$28*0.6/('I_Inputs &amp; Assumptions'!$B$8/2),'I_Budget Input Data'!$D$28*0.4/('I_Inputs &amp; Assumptions'!$B$8/2)),IF('I_Budget Input Data'!$E$28="Back-loaded",IF(3&lt;='I_Inputs &amp; Assumptions'!$B$8/2,'I_Budget Input Data'!$D$28*0.4/('I_Inputs &amp; Assumptions'!$B$8/2),'I_Budget Input Data'!$D$28*0.6/('I_Inputs &amp; Assumptions'!$B$8/2)),IF('I_Budget Input Data'!$E$28="Mid-weighted",IF(3&lt;='I_Inputs &amp; Assumptions'!$B$8/4,'I_Budget Input Data'!$D$28*0.2/('I_Inputs &amp; Assumptions'!$B$8/4),IF(3&lt;='I_Inputs &amp; Assumptions'!$B$8*0.75,'I_Budget Input Data'!$D$28*0.6/('I_Inputs &amp; Assumptions'!$B$8/2),'I_Budget Input Data'!$D$28*0.2/('I_Inputs &amp; Assumptions'!$B$8/4))),IF('I_Budget Input Data'!$E$28="At Completion",IF(3='I_Inputs &amp; Assumptions'!$B$8,'I_Budget Input Data'!$D$28,0),'I_Budget Input Data'!$D$28/'I_Inputs &amp; Assumptions'!$B$8)))))),0)</f>
        <v>2805</v>
      </c>
      <c r="F28" s="91">
        <f>IF(4&lt;='I_Inputs &amp; Assumptions'!$B$8,IF('I_Budget Input Data'!$E$28="Upfront",IF(4=1,'I_Budget Input Data'!$D$28,0),IF('I_Budget Input Data'!$E$28="Equal",'I_Budget Input Data'!$D$28/'I_Inputs &amp; Assumptions'!$B$8,IF('I_Budget Input Data'!$E$28="Front-loaded",IF(4&lt;='I_Inputs &amp; Assumptions'!$B$8/2,'I_Budget Input Data'!$D$28*0.6/('I_Inputs &amp; Assumptions'!$B$8/2),'I_Budget Input Data'!$D$28*0.4/('I_Inputs &amp; Assumptions'!$B$8/2)),IF('I_Budget Input Data'!$E$28="Back-loaded",IF(4&lt;='I_Inputs &amp; Assumptions'!$B$8/2,'I_Budget Input Data'!$D$28*0.4/('I_Inputs &amp; Assumptions'!$B$8/2),'I_Budget Input Data'!$D$28*0.6/('I_Inputs &amp; Assumptions'!$B$8/2)),IF('I_Budget Input Data'!$E$28="Mid-weighted",IF(4&lt;='I_Inputs &amp; Assumptions'!$B$8/4,'I_Budget Input Data'!$D$28*0.2/('I_Inputs &amp; Assumptions'!$B$8/4),IF(4&lt;='I_Inputs &amp; Assumptions'!$B$8*0.75,'I_Budget Input Data'!$D$28*0.6/('I_Inputs &amp; Assumptions'!$B$8/2),'I_Budget Input Data'!$D$28*0.2/('I_Inputs &amp; Assumptions'!$B$8/4))),IF('I_Budget Input Data'!$E$28="At Completion",IF(4='I_Inputs &amp; Assumptions'!$B$8,'I_Budget Input Data'!$D$28,0),'I_Budget Input Data'!$D$28/'I_Inputs &amp; Assumptions'!$B$8)))))),0)</f>
        <v>2805</v>
      </c>
      <c r="G28" s="91">
        <f>IF(5&lt;='I_Inputs &amp; Assumptions'!$B$8,IF('I_Budget Input Data'!$E$28="Upfront",IF(5=1,'I_Budget Input Data'!$D$28,0),IF('I_Budget Input Data'!$E$28="Equal",'I_Budget Input Data'!$D$28/'I_Inputs &amp; Assumptions'!$B$8,IF('I_Budget Input Data'!$E$28="Front-loaded",IF(5&lt;='I_Inputs &amp; Assumptions'!$B$8/2,'I_Budget Input Data'!$D$28*0.6/('I_Inputs &amp; Assumptions'!$B$8/2),'I_Budget Input Data'!$D$28*0.4/('I_Inputs &amp; Assumptions'!$B$8/2)),IF('I_Budget Input Data'!$E$28="Back-loaded",IF(5&lt;='I_Inputs &amp; Assumptions'!$B$8/2,'I_Budget Input Data'!$D$28*0.4/('I_Inputs &amp; Assumptions'!$B$8/2),'I_Budget Input Data'!$D$28*0.6/('I_Inputs &amp; Assumptions'!$B$8/2)),IF('I_Budget Input Data'!$E$28="Mid-weighted",IF(5&lt;='I_Inputs &amp; Assumptions'!$B$8/4,'I_Budget Input Data'!$D$28*0.2/('I_Inputs &amp; Assumptions'!$B$8/4),IF(5&lt;='I_Inputs &amp; Assumptions'!$B$8*0.75,'I_Budget Input Data'!$D$28*0.6/('I_Inputs &amp; Assumptions'!$B$8/2),'I_Budget Input Data'!$D$28*0.2/('I_Inputs &amp; Assumptions'!$B$8/4))),IF('I_Budget Input Data'!$E$28="At Completion",IF(5='I_Inputs &amp; Assumptions'!$B$8,'I_Budget Input Data'!$D$28,0),'I_Budget Input Data'!$D$28/'I_Inputs &amp; Assumptions'!$B$8)))))),0)</f>
        <v>2805</v>
      </c>
      <c r="H28" s="91">
        <f>IF(6&lt;='I_Inputs &amp; Assumptions'!$B$8,IF('I_Budget Input Data'!$E$28="Upfront",IF(6=1,'I_Budget Input Data'!$D$28,0),IF('I_Budget Input Data'!$E$28="Equal",'I_Budget Input Data'!$D$28/'I_Inputs &amp; Assumptions'!$B$8,IF('I_Budget Input Data'!$E$28="Front-loaded",IF(6&lt;='I_Inputs &amp; Assumptions'!$B$8/2,'I_Budget Input Data'!$D$28*0.6/('I_Inputs &amp; Assumptions'!$B$8/2),'I_Budget Input Data'!$D$28*0.4/('I_Inputs &amp; Assumptions'!$B$8/2)),IF('I_Budget Input Data'!$E$28="Back-loaded",IF(6&lt;='I_Inputs &amp; Assumptions'!$B$8/2,'I_Budget Input Data'!$D$28*0.4/('I_Inputs &amp; Assumptions'!$B$8/2),'I_Budget Input Data'!$D$28*0.6/('I_Inputs &amp; Assumptions'!$B$8/2)),IF('I_Budget Input Data'!$E$28="Mid-weighted",IF(6&lt;='I_Inputs &amp; Assumptions'!$B$8/4,'I_Budget Input Data'!$D$28*0.2/('I_Inputs &amp; Assumptions'!$B$8/4),IF(6&lt;='I_Inputs &amp; Assumptions'!$B$8*0.75,'I_Budget Input Data'!$D$28*0.6/('I_Inputs &amp; Assumptions'!$B$8/2),'I_Budget Input Data'!$D$28*0.2/('I_Inputs &amp; Assumptions'!$B$8/4))),IF('I_Budget Input Data'!$E$28="At Completion",IF(6='I_Inputs &amp; Assumptions'!$B$8,'I_Budget Input Data'!$D$28,0),'I_Budget Input Data'!$D$28/'I_Inputs &amp; Assumptions'!$B$8)))))),0)</f>
        <v>2805</v>
      </c>
      <c r="I28" s="91">
        <f>IF(7&lt;='I_Inputs &amp; Assumptions'!$B$8,IF('I_Budget Input Data'!$E$28="Upfront",IF(7=1,'I_Budget Input Data'!$D$28,0),IF('I_Budget Input Data'!$E$28="Equal",'I_Budget Input Data'!$D$28/'I_Inputs &amp; Assumptions'!$B$8,IF('I_Budget Input Data'!$E$28="Front-loaded",IF(7&lt;='I_Inputs &amp; Assumptions'!$B$8/2,'I_Budget Input Data'!$D$28*0.6/('I_Inputs &amp; Assumptions'!$B$8/2),'I_Budget Input Data'!$D$28*0.4/('I_Inputs &amp; Assumptions'!$B$8/2)),IF('I_Budget Input Data'!$E$28="Back-loaded",IF(7&lt;='I_Inputs &amp; Assumptions'!$B$8/2,'I_Budget Input Data'!$D$28*0.4/('I_Inputs &amp; Assumptions'!$B$8/2),'I_Budget Input Data'!$D$28*0.6/('I_Inputs &amp; Assumptions'!$B$8/2)),IF('I_Budget Input Data'!$E$28="Mid-weighted",IF(7&lt;='I_Inputs &amp; Assumptions'!$B$8/4,'I_Budget Input Data'!$D$28*0.2/('I_Inputs &amp; Assumptions'!$B$8/4),IF(7&lt;='I_Inputs &amp; Assumptions'!$B$8*0.75,'I_Budget Input Data'!$D$28*0.6/('I_Inputs &amp; Assumptions'!$B$8/2),'I_Budget Input Data'!$D$28*0.2/('I_Inputs &amp; Assumptions'!$B$8/4))),IF('I_Budget Input Data'!$E$28="At Completion",IF(7='I_Inputs &amp; Assumptions'!$B$8,'I_Budget Input Data'!$D$28,0),'I_Budget Input Data'!$D$28/'I_Inputs &amp; Assumptions'!$B$8)))))),0)</f>
        <v>2805</v>
      </c>
      <c r="J28" s="91">
        <f>IF(8&lt;='I_Inputs &amp; Assumptions'!$B$8,IF('I_Budget Input Data'!$E$28="Upfront",IF(8=1,'I_Budget Input Data'!$D$28,0),IF('I_Budget Input Data'!$E$28="Equal",'I_Budget Input Data'!$D$28/'I_Inputs &amp; Assumptions'!$B$8,IF('I_Budget Input Data'!$E$28="Front-loaded",IF(8&lt;='I_Inputs &amp; Assumptions'!$B$8/2,'I_Budget Input Data'!$D$28*0.6/('I_Inputs &amp; Assumptions'!$B$8/2),'I_Budget Input Data'!$D$28*0.4/('I_Inputs &amp; Assumptions'!$B$8/2)),IF('I_Budget Input Data'!$E$28="Back-loaded",IF(8&lt;='I_Inputs &amp; Assumptions'!$B$8/2,'I_Budget Input Data'!$D$28*0.4/('I_Inputs &amp; Assumptions'!$B$8/2),'I_Budget Input Data'!$D$28*0.6/('I_Inputs &amp; Assumptions'!$B$8/2)),IF('I_Budget Input Data'!$E$28="Mid-weighted",IF(8&lt;='I_Inputs &amp; Assumptions'!$B$8/4,'I_Budget Input Data'!$D$28*0.2/('I_Inputs &amp; Assumptions'!$B$8/4),IF(8&lt;='I_Inputs &amp; Assumptions'!$B$8*0.75,'I_Budget Input Data'!$D$28*0.6/('I_Inputs &amp; Assumptions'!$B$8/2),'I_Budget Input Data'!$D$28*0.2/('I_Inputs &amp; Assumptions'!$B$8/4))),IF('I_Budget Input Data'!$E$28="At Completion",IF(8='I_Inputs &amp; Assumptions'!$B$8,'I_Budget Input Data'!$D$28,0),'I_Budget Input Data'!$D$28/'I_Inputs &amp; Assumptions'!$B$8)))))),0)</f>
        <v>2805</v>
      </c>
      <c r="K28" s="91">
        <f>IF(9&lt;='I_Inputs &amp; Assumptions'!$B$8,IF('I_Budget Input Data'!$E$28="Upfront",IF(9=1,'I_Budget Input Data'!$D$28,0),IF('I_Budget Input Data'!$E$28="Equal",'I_Budget Input Data'!$D$28/'I_Inputs &amp; Assumptions'!$B$8,IF('I_Budget Input Data'!$E$28="Front-loaded",IF(9&lt;='I_Inputs &amp; Assumptions'!$B$8/2,'I_Budget Input Data'!$D$28*0.6/('I_Inputs &amp; Assumptions'!$B$8/2),'I_Budget Input Data'!$D$28*0.4/('I_Inputs &amp; Assumptions'!$B$8/2)),IF('I_Budget Input Data'!$E$28="Back-loaded",IF(9&lt;='I_Inputs &amp; Assumptions'!$B$8/2,'I_Budget Input Data'!$D$28*0.4/('I_Inputs &amp; Assumptions'!$B$8/2),'I_Budget Input Data'!$D$28*0.6/('I_Inputs &amp; Assumptions'!$B$8/2)),IF('I_Budget Input Data'!$E$28="Mid-weighted",IF(9&lt;='I_Inputs &amp; Assumptions'!$B$8/4,'I_Budget Input Data'!$D$28*0.2/('I_Inputs &amp; Assumptions'!$B$8/4),IF(9&lt;='I_Inputs &amp; Assumptions'!$B$8*0.75,'I_Budget Input Data'!$D$28*0.6/('I_Inputs &amp; Assumptions'!$B$8/2),'I_Budget Input Data'!$D$28*0.2/('I_Inputs &amp; Assumptions'!$B$8/4))),IF('I_Budget Input Data'!$E$28="At Completion",IF(9='I_Inputs &amp; Assumptions'!$B$8,'I_Budget Input Data'!$D$28,0),'I_Budget Input Data'!$D$28/'I_Inputs &amp; Assumptions'!$B$8)))))),0)</f>
        <v>2805</v>
      </c>
      <c r="L28" s="91">
        <f>IF(10&lt;='I_Inputs &amp; Assumptions'!$B$8,IF('I_Budget Input Data'!$E$28="Upfront",IF(10=1,'I_Budget Input Data'!$D$28,0),IF('I_Budget Input Data'!$E$28="Equal",'I_Budget Input Data'!$D$28/'I_Inputs &amp; Assumptions'!$B$8,IF('I_Budget Input Data'!$E$28="Front-loaded",IF(10&lt;='I_Inputs &amp; Assumptions'!$B$8/2,'I_Budget Input Data'!$D$28*0.6/('I_Inputs &amp; Assumptions'!$B$8/2),'I_Budget Input Data'!$D$28*0.4/('I_Inputs &amp; Assumptions'!$B$8/2)),IF('I_Budget Input Data'!$E$28="Back-loaded",IF(10&lt;='I_Inputs &amp; Assumptions'!$B$8/2,'I_Budget Input Data'!$D$28*0.4/('I_Inputs &amp; Assumptions'!$B$8/2),'I_Budget Input Data'!$D$28*0.6/('I_Inputs &amp; Assumptions'!$B$8/2)),IF('I_Budget Input Data'!$E$28="Mid-weighted",IF(10&lt;='I_Inputs &amp; Assumptions'!$B$8/4,'I_Budget Input Data'!$D$28*0.2/('I_Inputs &amp; Assumptions'!$B$8/4),IF(10&lt;='I_Inputs &amp; Assumptions'!$B$8*0.75,'I_Budget Input Data'!$D$28*0.6/('I_Inputs &amp; Assumptions'!$B$8/2),'I_Budget Input Data'!$D$28*0.2/('I_Inputs &amp; Assumptions'!$B$8/4))),IF('I_Budget Input Data'!$E$28="At Completion",IF(10='I_Inputs &amp; Assumptions'!$B$8,'I_Budget Input Data'!$D$28,0),'I_Budget Input Data'!$D$28/'I_Inputs &amp; Assumptions'!$B$8)))))),0)</f>
        <v>2805</v>
      </c>
      <c r="M28" s="91">
        <f>IF(11&lt;='I_Inputs &amp; Assumptions'!$B$8,IF('I_Budget Input Data'!$E$28="Upfront",IF(11=1,'I_Budget Input Data'!$D$28,0),IF('I_Budget Input Data'!$E$28="Equal",'I_Budget Input Data'!$D$28/'I_Inputs &amp; Assumptions'!$B$8,IF('I_Budget Input Data'!$E$28="Front-loaded",IF(11&lt;='I_Inputs &amp; Assumptions'!$B$8/2,'I_Budget Input Data'!$D$28*0.6/('I_Inputs &amp; Assumptions'!$B$8/2),'I_Budget Input Data'!$D$28*0.4/('I_Inputs &amp; Assumptions'!$B$8/2)),IF('I_Budget Input Data'!$E$28="Back-loaded",IF(11&lt;='I_Inputs &amp; Assumptions'!$B$8/2,'I_Budget Input Data'!$D$28*0.4/('I_Inputs &amp; Assumptions'!$B$8/2),'I_Budget Input Data'!$D$28*0.6/('I_Inputs &amp; Assumptions'!$B$8/2)),IF('I_Budget Input Data'!$E$28="Mid-weighted",IF(11&lt;='I_Inputs &amp; Assumptions'!$B$8/4,'I_Budget Input Data'!$D$28*0.2/('I_Inputs &amp; Assumptions'!$B$8/4),IF(11&lt;='I_Inputs &amp; Assumptions'!$B$8*0.75,'I_Budget Input Data'!$D$28*0.6/('I_Inputs &amp; Assumptions'!$B$8/2),'I_Budget Input Data'!$D$28*0.2/('I_Inputs &amp; Assumptions'!$B$8/4))),IF('I_Budget Input Data'!$E$28="At Completion",IF(11='I_Inputs &amp; Assumptions'!$B$8,'I_Budget Input Data'!$D$28,0),'I_Budget Input Data'!$D$28/'I_Inputs &amp; Assumptions'!$B$8)))))),0)</f>
        <v>2805</v>
      </c>
      <c r="N28" s="91">
        <f>IF(12&lt;='I_Inputs &amp; Assumptions'!$B$8,IF('I_Budget Input Data'!$E$28="Upfront",IF(12=1,'I_Budget Input Data'!$D$28,0),IF('I_Budget Input Data'!$E$28="Equal",'I_Budget Input Data'!$D$28/'I_Inputs &amp; Assumptions'!$B$8,IF('I_Budget Input Data'!$E$28="Front-loaded",IF(12&lt;='I_Inputs &amp; Assumptions'!$B$8/2,'I_Budget Input Data'!$D$28*0.6/('I_Inputs &amp; Assumptions'!$B$8/2),'I_Budget Input Data'!$D$28*0.4/('I_Inputs &amp; Assumptions'!$B$8/2)),IF('I_Budget Input Data'!$E$28="Back-loaded",IF(12&lt;='I_Inputs &amp; Assumptions'!$B$8/2,'I_Budget Input Data'!$D$28*0.4/('I_Inputs &amp; Assumptions'!$B$8/2),'I_Budget Input Data'!$D$28*0.6/('I_Inputs &amp; Assumptions'!$B$8/2)),IF('I_Budget Input Data'!$E$28="Mid-weighted",IF(12&lt;='I_Inputs &amp; Assumptions'!$B$8/4,'I_Budget Input Data'!$D$28*0.2/('I_Inputs &amp; Assumptions'!$B$8/4),IF(12&lt;='I_Inputs &amp; Assumptions'!$B$8*0.75,'I_Budget Input Data'!$D$28*0.6/('I_Inputs &amp; Assumptions'!$B$8/2),'I_Budget Input Data'!$D$28*0.2/('I_Inputs &amp; Assumptions'!$B$8/4))),IF('I_Budget Input Data'!$E$28="At Completion",IF(12='I_Inputs &amp; Assumptions'!$B$8,'I_Budget Input Data'!$D$28,0),'I_Budget Input Data'!$D$28/'I_Inputs &amp; Assumptions'!$B$8)))))),0)</f>
        <v>2805</v>
      </c>
      <c r="O28" s="91">
        <f>IF(13&lt;='I_Inputs &amp; Assumptions'!$B$8,IF('I_Budget Input Data'!$E$28="Upfront",IF(13=1,'I_Budget Input Data'!$D$28,0),IF('I_Budget Input Data'!$E$28="Equal",'I_Budget Input Data'!$D$28/'I_Inputs &amp; Assumptions'!$B$8,IF('I_Budget Input Data'!$E$28="Front-loaded",IF(13&lt;='I_Inputs &amp; Assumptions'!$B$8/2,'I_Budget Input Data'!$D$28*0.6/('I_Inputs &amp; Assumptions'!$B$8/2),'I_Budget Input Data'!$D$28*0.4/('I_Inputs &amp; Assumptions'!$B$8/2)),IF('I_Budget Input Data'!$E$28="Back-loaded",IF(13&lt;='I_Inputs &amp; Assumptions'!$B$8/2,'I_Budget Input Data'!$D$28*0.4/('I_Inputs &amp; Assumptions'!$B$8/2),'I_Budget Input Data'!$D$28*0.6/('I_Inputs &amp; Assumptions'!$B$8/2)),IF('I_Budget Input Data'!$E$28="Mid-weighted",IF(13&lt;='I_Inputs &amp; Assumptions'!$B$8/4,'I_Budget Input Data'!$D$28*0.2/('I_Inputs &amp; Assumptions'!$B$8/4),IF(13&lt;='I_Inputs &amp; Assumptions'!$B$8*0.75,'I_Budget Input Data'!$D$28*0.6/('I_Inputs &amp; Assumptions'!$B$8/2),'I_Budget Input Data'!$D$28*0.2/('I_Inputs &amp; Assumptions'!$B$8/4))),IF('I_Budget Input Data'!$E$28="At Completion",IF(13='I_Inputs &amp; Assumptions'!$B$8,'I_Budget Input Data'!$D$28,0),'I_Budget Input Data'!$D$28/'I_Inputs &amp; Assumptions'!$B$8)))))),0)</f>
        <v>2805</v>
      </c>
      <c r="P28" s="91">
        <f>IF(14&lt;='I_Inputs &amp; Assumptions'!$B$8,IF('I_Budget Input Data'!$E$28="Upfront",IF(14=1,'I_Budget Input Data'!$D$28,0),IF('I_Budget Input Data'!$E$28="Equal",'I_Budget Input Data'!$D$28/'I_Inputs &amp; Assumptions'!$B$8,IF('I_Budget Input Data'!$E$28="Front-loaded",IF(14&lt;='I_Inputs &amp; Assumptions'!$B$8/2,'I_Budget Input Data'!$D$28*0.6/('I_Inputs &amp; Assumptions'!$B$8/2),'I_Budget Input Data'!$D$28*0.4/('I_Inputs &amp; Assumptions'!$B$8/2)),IF('I_Budget Input Data'!$E$28="Back-loaded",IF(14&lt;='I_Inputs &amp; Assumptions'!$B$8/2,'I_Budget Input Data'!$D$28*0.4/('I_Inputs &amp; Assumptions'!$B$8/2),'I_Budget Input Data'!$D$28*0.6/('I_Inputs &amp; Assumptions'!$B$8/2)),IF('I_Budget Input Data'!$E$28="Mid-weighted",IF(14&lt;='I_Inputs &amp; Assumptions'!$B$8/4,'I_Budget Input Data'!$D$28*0.2/('I_Inputs &amp; Assumptions'!$B$8/4),IF(14&lt;='I_Inputs &amp; Assumptions'!$B$8*0.75,'I_Budget Input Data'!$D$28*0.6/('I_Inputs &amp; Assumptions'!$B$8/2),'I_Budget Input Data'!$D$28*0.2/('I_Inputs &amp; Assumptions'!$B$8/4))),IF('I_Budget Input Data'!$E$28="At Completion",IF(14='I_Inputs &amp; Assumptions'!$B$8,'I_Budget Input Data'!$D$28,0),'I_Budget Input Data'!$D$28/'I_Inputs &amp; Assumptions'!$B$8)))))),0)</f>
        <v>0</v>
      </c>
      <c r="Q28" s="91">
        <f>IF(15&lt;='I_Inputs &amp; Assumptions'!$B$8,IF('I_Budget Input Data'!$E$28="Upfront",IF(15=1,'I_Budget Input Data'!$D$28,0),IF('I_Budget Input Data'!$E$28="Equal",'I_Budget Input Data'!$D$28/'I_Inputs &amp; Assumptions'!$B$8,IF('I_Budget Input Data'!$E$28="Front-loaded",IF(15&lt;='I_Inputs &amp; Assumptions'!$B$8/2,'I_Budget Input Data'!$D$28*0.6/('I_Inputs &amp; Assumptions'!$B$8/2),'I_Budget Input Data'!$D$28*0.4/('I_Inputs &amp; Assumptions'!$B$8/2)),IF('I_Budget Input Data'!$E$28="Back-loaded",IF(15&lt;='I_Inputs &amp; Assumptions'!$B$8/2,'I_Budget Input Data'!$D$28*0.4/('I_Inputs &amp; Assumptions'!$B$8/2),'I_Budget Input Data'!$D$28*0.6/('I_Inputs &amp; Assumptions'!$B$8/2)),IF('I_Budget Input Data'!$E$28="Mid-weighted",IF(15&lt;='I_Inputs &amp; Assumptions'!$B$8/4,'I_Budget Input Data'!$D$28*0.2/('I_Inputs &amp; Assumptions'!$B$8/4),IF(15&lt;='I_Inputs &amp; Assumptions'!$B$8*0.75,'I_Budget Input Data'!$D$28*0.6/('I_Inputs &amp; Assumptions'!$B$8/2),'I_Budget Input Data'!$D$28*0.2/('I_Inputs &amp; Assumptions'!$B$8/4))),IF('I_Budget Input Data'!$E$28="At Completion",IF(15='I_Inputs &amp; Assumptions'!$B$8,'I_Budget Input Data'!$D$28,0),'I_Budget Input Data'!$D$28/'I_Inputs &amp; Assumptions'!$B$8)))))),0)</f>
        <v>0</v>
      </c>
      <c r="R28" s="91">
        <f>IF(16&lt;='I_Inputs &amp; Assumptions'!$B$8,IF('I_Budget Input Data'!$E$28="Upfront",IF(16=1,'I_Budget Input Data'!$D$28,0),IF('I_Budget Input Data'!$E$28="Equal",'I_Budget Input Data'!$D$28/'I_Inputs &amp; Assumptions'!$B$8,IF('I_Budget Input Data'!$E$28="Front-loaded",IF(16&lt;='I_Inputs &amp; Assumptions'!$B$8/2,'I_Budget Input Data'!$D$28*0.6/('I_Inputs &amp; Assumptions'!$B$8/2),'I_Budget Input Data'!$D$28*0.4/('I_Inputs &amp; Assumptions'!$B$8/2)),IF('I_Budget Input Data'!$E$28="Back-loaded",IF(16&lt;='I_Inputs &amp; Assumptions'!$B$8/2,'I_Budget Input Data'!$D$28*0.4/('I_Inputs &amp; Assumptions'!$B$8/2),'I_Budget Input Data'!$D$28*0.6/('I_Inputs &amp; Assumptions'!$B$8/2)),IF('I_Budget Input Data'!$E$28="Mid-weighted",IF(16&lt;='I_Inputs &amp; Assumptions'!$B$8/4,'I_Budget Input Data'!$D$28*0.2/('I_Inputs &amp; Assumptions'!$B$8/4),IF(16&lt;='I_Inputs &amp; Assumptions'!$B$8*0.75,'I_Budget Input Data'!$D$28*0.6/('I_Inputs &amp; Assumptions'!$B$8/2),'I_Budget Input Data'!$D$28*0.2/('I_Inputs &amp; Assumptions'!$B$8/4))),IF('I_Budget Input Data'!$E$28="At Completion",IF(16='I_Inputs &amp; Assumptions'!$B$8,'I_Budget Input Data'!$D$28,0),'I_Budget Input Data'!$D$28/'I_Inputs &amp; Assumptions'!$B$8)))))),0)</f>
        <v>0</v>
      </c>
      <c r="S28" s="91">
        <f>IF(17&lt;='I_Inputs &amp; Assumptions'!$B$8,IF('I_Budget Input Data'!$E$28="Upfront",IF(17=1,'I_Budget Input Data'!$D$28,0),IF('I_Budget Input Data'!$E$28="Equal",'I_Budget Input Data'!$D$28/'I_Inputs &amp; Assumptions'!$B$8,IF('I_Budget Input Data'!$E$28="Front-loaded",IF(17&lt;='I_Inputs &amp; Assumptions'!$B$8/2,'I_Budget Input Data'!$D$28*0.6/('I_Inputs &amp; Assumptions'!$B$8/2),'I_Budget Input Data'!$D$28*0.4/('I_Inputs &amp; Assumptions'!$B$8/2)),IF('I_Budget Input Data'!$E$28="Back-loaded",IF(17&lt;='I_Inputs &amp; Assumptions'!$B$8/2,'I_Budget Input Data'!$D$28*0.4/('I_Inputs &amp; Assumptions'!$B$8/2),'I_Budget Input Data'!$D$28*0.6/('I_Inputs &amp; Assumptions'!$B$8/2)),IF('I_Budget Input Data'!$E$28="Mid-weighted",IF(17&lt;='I_Inputs &amp; Assumptions'!$B$8/4,'I_Budget Input Data'!$D$28*0.2/('I_Inputs &amp; Assumptions'!$B$8/4),IF(17&lt;='I_Inputs &amp; Assumptions'!$B$8*0.75,'I_Budget Input Data'!$D$28*0.6/('I_Inputs &amp; Assumptions'!$B$8/2),'I_Budget Input Data'!$D$28*0.2/('I_Inputs &amp; Assumptions'!$B$8/4))),IF('I_Budget Input Data'!$E$28="At Completion",IF(17='I_Inputs &amp; Assumptions'!$B$8,'I_Budget Input Data'!$D$28,0),'I_Budget Input Data'!$D$28/'I_Inputs &amp; Assumptions'!$B$8)))))),0)</f>
        <v>0</v>
      </c>
      <c r="T28" s="91">
        <f>IF(18&lt;='I_Inputs &amp; Assumptions'!$B$8,IF('I_Budget Input Data'!$E$28="Upfront",IF(18=1,'I_Budget Input Data'!$D$28,0),IF('I_Budget Input Data'!$E$28="Equal",'I_Budget Input Data'!$D$28/'I_Inputs &amp; Assumptions'!$B$8,IF('I_Budget Input Data'!$E$28="Front-loaded",IF(18&lt;='I_Inputs &amp; Assumptions'!$B$8/2,'I_Budget Input Data'!$D$28*0.6/('I_Inputs &amp; Assumptions'!$B$8/2),'I_Budget Input Data'!$D$28*0.4/('I_Inputs &amp; Assumptions'!$B$8/2)),IF('I_Budget Input Data'!$E$28="Back-loaded",IF(18&lt;='I_Inputs &amp; Assumptions'!$B$8/2,'I_Budget Input Data'!$D$28*0.4/('I_Inputs &amp; Assumptions'!$B$8/2),'I_Budget Input Data'!$D$28*0.6/('I_Inputs &amp; Assumptions'!$B$8/2)),IF('I_Budget Input Data'!$E$28="Mid-weighted",IF(18&lt;='I_Inputs &amp; Assumptions'!$B$8/4,'I_Budget Input Data'!$D$28*0.2/('I_Inputs &amp; Assumptions'!$B$8/4),IF(18&lt;='I_Inputs &amp; Assumptions'!$B$8*0.75,'I_Budget Input Data'!$D$28*0.6/('I_Inputs &amp; Assumptions'!$B$8/2),'I_Budget Input Data'!$D$28*0.2/('I_Inputs &amp; Assumptions'!$B$8/4))),IF('I_Budget Input Data'!$E$28="At Completion",IF(18='I_Inputs &amp; Assumptions'!$B$8,'I_Budget Input Data'!$D$28,0),'I_Budget Input Data'!$D$28/'I_Inputs &amp; Assumptions'!$B$8)))))),0)</f>
        <v>0</v>
      </c>
      <c r="U28" s="91">
        <f>IF(19&lt;='I_Inputs &amp; Assumptions'!$B$8,IF('I_Budget Input Data'!$E$28="Upfront",IF(19=1,'I_Budget Input Data'!$D$28,0),IF('I_Budget Input Data'!$E$28="Equal",'I_Budget Input Data'!$D$28/'I_Inputs &amp; Assumptions'!$B$8,IF('I_Budget Input Data'!$E$28="Front-loaded",IF(19&lt;='I_Inputs &amp; Assumptions'!$B$8/2,'I_Budget Input Data'!$D$28*0.6/('I_Inputs &amp; Assumptions'!$B$8/2),'I_Budget Input Data'!$D$28*0.4/('I_Inputs &amp; Assumptions'!$B$8/2)),IF('I_Budget Input Data'!$E$28="Back-loaded",IF(19&lt;='I_Inputs &amp; Assumptions'!$B$8/2,'I_Budget Input Data'!$D$28*0.4/('I_Inputs &amp; Assumptions'!$B$8/2),'I_Budget Input Data'!$D$28*0.6/('I_Inputs &amp; Assumptions'!$B$8/2)),IF('I_Budget Input Data'!$E$28="Mid-weighted",IF(19&lt;='I_Inputs &amp; Assumptions'!$B$8/4,'I_Budget Input Data'!$D$28*0.2/('I_Inputs &amp; Assumptions'!$B$8/4),IF(19&lt;='I_Inputs &amp; Assumptions'!$B$8*0.75,'I_Budget Input Data'!$D$28*0.6/('I_Inputs &amp; Assumptions'!$B$8/2),'I_Budget Input Data'!$D$28*0.2/('I_Inputs &amp; Assumptions'!$B$8/4))),IF('I_Budget Input Data'!$E$28="At Completion",IF(19='I_Inputs &amp; Assumptions'!$B$8,'I_Budget Input Data'!$D$28,0),'I_Budget Input Data'!$D$28/'I_Inputs &amp; Assumptions'!$B$8)))))),0)</f>
        <v>0</v>
      </c>
      <c r="V28" s="91">
        <f>IF(20&lt;='I_Inputs &amp; Assumptions'!$B$8,IF('I_Budget Input Data'!$E$28="Upfront",IF(20=1,'I_Budget Input Data'!$D$28,0),IF('I_Budget Input Data'!$E$28="Equal",'I_Budget Input Data'!$D$28/'I_Inputs &amp; Assumptions'!$B$8,IF('I_Budget Input Data'!$E$28="Front-loaded",IF(20&lt;='I_Inputs &amp; Assumptions'!$B$8/2,'I_Budget Input Data'!$D$28*0.6/('I_Inputs &amp; Assumptions'!$B$8/2),'I_Budget Input Data'!$D$28*0.4/('I_Inputs &amp; Assumptions'!$B$8/2)),IF('I_Budget Input Data'!$E$28="Back-loaded",IF(20&lt;='I_Inputs &amp; Assumptions'!$B$8/2,'I_Budget Input Data'!$D$28*0.4/('I_Inputs &amp; Assumptions'!$B$8/2),'I_Budget Input Data'!$D$28*0.6/('I_Inputs &amp; Assumptions'!$B$8/2)),IF('I_Budget Input Data'!$E$28="Mid-weighted",IF(20&lt;='I_Inputs &amp; Assumptions'!$B$8/4,'I_Budget Input Data'!$D$28*0.2/('I_Inputs &amp; Assumptions'!$B$8/4),IF(20&lt;='I_Inputs &amp; Assumptions'!$B$8*0.75,'I_Budget Input Data'!$D$28*0.6/('I_Inputs &amp; Assumptions'!$B$8/2),'I_Budget Input Data'!$D$28*0.2/('I_Inputs &amp; Assumptions'!$B$8/4))),IF('I_Budget Input Data'!$E$28="At Completion",IF(20='I_Inputs &amp; Assumptions'!$B$8,'I_Budget Input Data'!$D$28,0),'I_Budget Input Data'!$D$28/'I_Inputs &amp; Assumptions'!$B$8)))))),0)</f>
        <v>0</v>
      </c>
      <c r="W28" s="91">
        <f>IF(21&lt;='I_Inputs &amp; Assumptions'!$B$8,IF('I_Budget Input Data'!$E$28="Upfront",IF(21=1,'I_Budget Input Data'!$D$28,0),IF('I_Budget Input Data'!$E$28="Equal",'I_Budget Input Data'!$D$28/'I_Inputs &amp; Assumptions'!$B$8,IF('I_Budget Input Data'!$E$28="Front-loaded",IF(21&lt;='I_Inputs &amp; Assumptions'!$B$8/2,'I_Budget Input Data'!$D$28*0.6/('I_Inputs &amp; Assumptions'!$B$8/2),'I_Budget Input Data'!$D$28*0.4/('I_Inputs &amp; Assumptions'!$B$8/2)),IF('I_Budget Input Data'!$E$28="Back-loaded",IF(21&lt;='I_Inputs &amp; Assumptions'!$B$8/2,'I_Budget Input Data'!$D$28*0.4/('I_Inputs &amp; Assumptions'!$B$8/2),'I_Budget Input Data'!$D$28*0.6/('I_Inputs &amp; Assumptions'!$B$8/2)),IF('I_Budget Input Data'!$E$28="Mid-weighted",IF(21&lt;='I_Inputs &amp; Assumptions'!$B$8/4,'I_Budget Input Data'!$D$28*0.2/('I_Inputs &amp; Assumptions'!$B$8/4),IF(21&lt;='I_Inputs &amp; Assumptions'!$B$8*0.75,'I_Budget Input Data'!$D$28*0.6/('I_Inputs &amp; Assumptions'!$B$8/2),'I_Budget Input Data'!$D$28*0.2/('I_Inputs &amp; Assumptions'!$B$8/4))),IF('I_Budget Input Data'!$E$28="At Completion",IF(21='I_Inputs &amp; Assumptions'!$B$8,'I_Budget Input Data'!$D$28,0),'I_Budget Input Data'!$D$28/'I_Inputs &amp; Assumptions'!$B$8)))))),0)</f>
        <v>0</v>
      </c>
      <c r="X28" s="91">
        <f>IF(22&lt;='I_Inputs &amp; Assumptions'!$B$8,IF('I_Budget Input Data'!$E$28="Upfront",IF(22=1,'I_Budget Input Data'!$D$28,0),IF('I_Budget Input Data'!$E$28="Equal",'I_Budget Input Data'!$D$28/'I_Inputs &amp; Assumptions'!$B$8,IF('I_Budget Input Data'!$E$28="Front-loaded",IF(22&lt;='I_Inputs &amp; Assumptions'!$B$8/2,'I_Budget Input Data'!$D$28*0.6/('I_Inputs &amp; Assumptions'!$B$8/2),'I_Budget Input Data'!$D$28*0.4/('I_Inputs &amp; Assumptions'!$B$8/2)),IF('I_Budget Input Data'!$E$28="Back-loaded",IF(22&lt;='I_Inputs &amp; Assumptions'!$B$8/2,'I_Budget Input Data'!$D$28*0.4/('I_Inputs &amp; Assumptions'!$B$8/2),'I_Budget Input Data'!$D$28*0.6/('I_Inputs &amp; Assumptions'!$B$8/2)),IF('I_Budget Input Data'!$E$28="Mid-weighted",IF(22&lt;='I_Inputs &amp; Assumptions'!$B$8/4,'I_Budget Input Data'!$D$28*0.2/('I_Inputs &amp; Assumptions'!$B$8/4),IF(22&lt;='I_Inputs &amp; Assumptions'!$B$8*0.75,'I_Budget Input Data'!$D$28*0.6/('I_Inputs &amp; Assumptions'!$B$8/2),'I_Budget Input Data'!$D$28*0.2/('I_Inputs &amp; Assumptions'!$B$8/4))),IF('I_Budget Input Data'!$E$28="At Completion",IF(22='I_Inputs &amp; Assumptions'!$B$8,'I_Budget Input Data'!$D$28,0),'I_Budget Input Data'!$D$28/'I_Inputs &amp; Assumptions'!$B$8)))))),0)</f>
        <v>0</v>
      </c>
      <c r="Y28" s="91">
        <f>IF(23&lt;='I_Inputs &amp; Assumptions'!$B$8,IF('I_Budget Input Data'!$E$28="Upfront",IF(23=1,'I_Budget Input Data'!$D$28,0),IF('I_Budget Input Data'!$E$28="Equal",'I_Budget Input Data'!$D$28/'I_Inputs &amp; Assumptions'!$B$8,IF('I_Budget Input Data'!$E$28="Front-loaded",IF(23&lt;='I_Inputs &amp; Assumptions'!$B$8/2,'I_Budget Input Data'!$D$28*0.6/('I_Inputs &amp; Assumptions'!$B$8/2),'I_Budget Input Data'!$D$28*0.4/('I_Inputs &amp; Assumptions'!$B$8/2)),IF('I_Budget Input Data'!$E$28="Back-loaded",IF(23&lt;='I_Inputs &amp; Assumptions'!$B$8/2,'I_Budget Input Data'!$D$28*0.4/('I_Inputs &amp; Assumptions'!$B$8/2),'I_Budget Input Data'!$D$28*0.6/('I_Inputs &amp; Assumptions'!$B$8/2)),IF('I_Budget Input Data'!$E$28="Mid-weighted",IF(23&lt;='I_Inputs &amp; Assumptions'!$B$8/4,'I_Budget Input Data'!$D$28*0.2/('I_Inputs &amp; Assumptions'!$B$8/4),IF(23&lt;='I_Inputs &amp; Assumptions'!$B$8*0.75,'I_Budget Input Data'!$D$28*0.6/('I_Inputs &amp; Assumptions'!$B$8/2),'I_Budget Input Data'!$D$28*0.2/('I_Inputs &amp; Assumptions'!$B$8/4))),IF('I_Budget Input Data'!$E$28="At Completion",IF(23='I_Inputs &amp; Assumptions'!$B$8,'I_Budget Input Data'!$D$28,0),'I_Budget Input Data'!$D$28/'I_Inputs &amp; Assumptions'!$B$8)))))),0)</f>
        <v>0</v>
      </c>
      <c r="Z28" s="91">
        <f>IF(24&lt;='I_Inputs &amp; Assumptions'!$B$8,IF('I_Budget Input Data'!$E$28="Upfront",IF(24=1,'I_Budget Input Data'!$D$28,0),IF('I_Budget Input Data'!$E$28="Equal",'I_Budget Input Data'!$D$28/'I_Inputs &amp; Assumptions'!$B$8,IF('I_Budget Input Data'!$E$28="Front-loaded",IF(24&lt;='I_Inputs &amp; Assumptions'!$B$8/2,'I_Budget Input Data'!$D$28*0.6/('I_Inputs &amp; Assumptions'!$B$8/2),'I_Budget Input Data'!$D$28*0.4/('I_Inputs &amp; Assumptions'!$B$8/2)),IF('I_Budget Input Data'!$E$28="Back-loaded",IF(24&lt;='I_Inputs &amp; Assumptions'!$B$8/2,'I_Budget Input Data'!$D$28*0.4/('I_Inputs &amp; Assumptions'!$B$8/2),'I_Budget Input Data'!$D$28*0.6/('I_Inputs &amp; Assumptions'!$B$8/2)),IF('I_Budget Input Data'!$E$28="Mid-weighted",IF(24&lt;='I_Inputs &amp; Assumptions'!$B$8/4,'I_Budget Input Data'!$D$28*0.2/('I_Inputs &amp; Assumptions'!$B$8/4),IF(24&lt;='I_Inputs &amp; Assumptions'!$B$8*0.75,'I_Budget Input Data'!$D$28*0.6/('I_Inputs &amp; Assumptions'!$B$8/2),'I_Budget Input Data'!$D$28*0.2/('I_Inputs &amp; Assumptions'!$B$8/4))),IF('I_Budget Input Data'!$E$28="At Completion",IF(24='I_Inputs &amp; Assumptions'!$B$8,'I_Budget Input Data'!$D$28,0),'I_Budget Input Data'!$D$28/'I_Inputs &amp; Assumptions'!$B$8)))))),0)</f>
        <v>0</v>
      </c>
      <c r="AA28" s="91">
        <f>IF(25&lt;='I_Inputs &amp; Assumptions'!$B$8,IF('I_Budget Input Data'!$E$28="Upfront",IF(25=1,'I_Budget Input Data'!$D$28,0),IF('I_Budget Input Data'!$E$28="Equal",'I_Budget Input Data'!$D$28/'I_Inputs &amp; Assumptions'!$B$8,IF('I_Budget Input Data'!$E$28="Front-loaded",IF(25&lt;='I_Inputs &amp; Assumptions'!$B$8/2,'I_Budget Input Data'!$D$28*0.6/('I_Inputs &amp; Assumptions'!$B$8/2),'I_Budget Input Data'!$D$28*0.4/('I_Inputs &amp; Assumptions'!$B$8/2)),IF('I_Budget Input Data'!$E$28="Back-loaded",IF(25&lt;='I_Inputs &amp; Assumptions'!$B$8/2,'I_Budget Input Data'!$D$28*0.4/('I_Inputs &amp; Assumptions'!$B$8/2),'I_Budget Input Data'!$D$28*0.6/('I_Inputs &amp; Assumptions'!$B$8/2)),IF('I_Budget Input Data'!$E$28="Mid-weighted",IF(25&lt;='I_Inputs &amp; Assumptions'!$B$8/4,'I_Budget Input Data'!$D$28*0.2/('I_Inputs &amp; Assumptions'!$B$8/4),IF(25&lt;='I_Inputs &amp; Assumptions'!$B$8*0.75,'I_Budget Input Data'!$D$28*0.6/('I_Inputs &amp; Assumptions'!$B$8/2),'I_Budget Input Data'!$D$28*0.2/('I_Inputs &amp; Assumptions'!$B$8/4))),IF('I_Budget Input Data'!$E$28="At Completion",IF(25='I_Inputs &amp; Assumptions'!$B$8,'I_Budget Input Data'!$D$28,0),'I_Budget Input Data'!$D$28/'I_Inputs &amp; Assumptions'!$B$8)))))),0)</f>
        <v>0</v>
      </c>
      <c r="AB28" s="91">
        <f>IF(26&lt;='I_Inputs &amp; Assumptions'!$B$8,IF('I_Budget Input Data'!$E$28="Upfront",IF(26=1,'I_Budget Input Data'!$D$28,0),IF('I_Budget Input Data'!$E$28="Equal",'I_Budget Input Data'!$D$28/'I_Inputs &amp; Assumptions'!$B$8,IF('I_Budget Input Data'!$E$28="Front-loaded",IF(26&lt;='I_Inputs &amp; Assumptions'!$B$8/2,'I_Budget Input Data'!$D$28*0.6/('I_Inputs &amp; Assumptions'!$B$8/2),'I_Budget Input Data'!$D$28*0.4/('I_Inputs &amp; Assumptions'!$B$8/2)),IF('I_Budget Input Data'!$E$28="Back-loaded",IF(26&lt;='I_Inputs &amp; Assumptions'!$B$8/2,'I_Budget Input Data'!$D$28*0.4/('I_Inputs &amp; Assumptions'!$B$8/2),'I_Budget Input Data'!$D$28*0.6/('I_Inputs &amp; Assumptions'!$B$8/2)),IF('I_Budget Input Data'!$E$28="Mid-weighted",IF(26&lt;='I_Inputs &amp; Assumptions'!$B$8/4,'I_Budget Input Data'!$D$28*0.2/('I_Inputs &amp; Assumptions'!$B$8/4),IF(26&lt;='I_Inputs &amp; Assumptions'!$B$8*0.75,'I_Budget Input Data'!$D$28*0.6/('I_Inputs &amp; Assumptions'!$B$8/2),'I_Budget Input Data'!$D$28*0.2/('I_Inputs &amp; Assumptions'!$B$8/4))),IF('I_Budget Input Data'!$E$28="At Completion",IF(26='I_Inputs &amp; Assumptions'!$B$8,'I_Budget Input Data'!$D$28,0),'I_Budget Input Data'!$D$28/'I_Inputs &amp; Assumptions'!$B$8)))))),0)</f>
        <v>0</v>
      </c>
      <c r="AC28" s="91">
        <f>IF(27&lt;='I_Inputs &amp; Assumptions'!$B$8,IF('I_Budget Input Data'!$E$28="Upfront",IF(27=1,'I_Budget Input Data'!$D$28,0),IF('I_Budget Input Data'!$E$28="Equal",'I_Budget Input Data'!$D$28/'I_Inputs &amp; Assumptions'!$B$8,IF('I_Budget Input Data'!$E$28="Front-loaded",IF(27&lt;='I_Inputs &amp; Assumptions'!$B$8/2,'I_Budget Input Data'!$D$28*0.6/('I_Inputs &amp; Assumptions'!$B$8/2),'I_Budget Input Data'!$D$28*0.4/('I_Inputs &amp; Assumptions'!$B$8/2)),IF('I_Budget Input Data'!$E$28="Back-loaded",IF(27&lt;='I_Inputs &amp; Assumptions'!$B$8/2,'I_Budget Input Data'!$D$28*0.4/('I_Inputs &amp; Assumptions'!$B$8/2),'I_Budget Input Data'!$D$28*0.6/('I_Inputs &amp; Assumptions'!$B$8/2)),IF('I_Budget Input Data'!$E$28="Mid-weighted",IF(27&lt;='I_Inputs &amp; Assumptions'!$B$8/4,'I_Budget Input Data'!$D$28*0.2/('I_Inputs &amp; Assumptions'!$B$8/4),IF(27&lt;='I_Inputs &amp; Assumptions'!$B$8*0.75,'I_Budget Input Data'!$D$28*0.6/('I_Inputs &amp; Assumptions'!$B$8/2),'I_Budget Input Data'!$D$28*0.2/('I_Inputs &amp; Assumptions'!$B$8/4))),IF('I_Budget Input Data'!$E$28="At Completion",IF(27='I_Inputs &amp; Assumptions'!$B$8,'I_Budget Input Data'!$D$28,0),'I_Budget Input Data'!$D$28/'I_Inputs &amp; Assumptions'!$B$8)))))),0)</f>
        <v>0</v>
      </c>
      <c r="AD28" s="91">
        <f>IF(28&lt;='I_Inputs &amp; Assumptions'!$B$8,IF('I_Budget Input Data'!$E$28="Upfront",IF(28=1,'I_Budget Input Data'!$D$28,0),IF('I_Budget Input Data'!$E$28="Equal",'I_Budget Input Data'!$D$28/'I_Inputs &amp; Assumptions'!$B$8,IF('I_Budget Input Data'!$E$28="Front-loaded",IF(28&lt;='I_Inputs &amp; Assumptions'!$B$8/2,'I_Budget Input Data'!$D$28*0.6/('I_Inputs &amp; Assumptions'!$B$8/2),'I_Budget Input Data'!$D$28*0.4/('I_Inputs &amp; Assumptions'!$B$8/2)),IF('I_Budget Input Data'!$E$28="Back-loaded",IF(28&lt;='I_Inputs &amp; Assumptions'!$B$8/2,'I_Budget Input Data'!$D$28*0.4/('I_Inputs &amp; Assumptions'!$B$8/2),'I_Budget Input Data'!$D$28*0.6/('I_Inputs &amp; Assumptions'!$B$8/2)),IF('I_Budget Input Data'!$E$28="Mid-weighted",IF(28&lt;='I_Inputs &amp; Assumptions'!$B$8/4,'I_Budget Input Data'!$D$28*0.2/('I_Inputs &amp; Assumptions'!$B$8/4),IF(28&lt;='I_Inputs &amp; Assumptions'!$B$8*0.75,'I_Budget Input Data'!$D$28*0.6/('I_Inputs &amp; Assumptions'!$B$8/2),'I_Budget Input Data'!$D$28*0.2/('I_Inputs &amp; Assumptions'!$B$8/4))),IF('I_Budget Input Data'!$E$28="At Completion",IF(28='I_Inputs &amp; Assumptions'!$B$8,'I_Budget Input Data'!$D$28,0),'I_Budget Input Data'!$D$28/'I_Inputs &amp; Assumptions'!$B$8)))))),0)</f>
        <v>0</v>
      </c>
      <c r="AE28" s="91">
        <f>IF(29&lt;='I_Inputs &amp; Assumptions'!$B$8,IF('I_Budget Input Data'!$E$28="Upfront",IF(29=1,'I_Budget Input Data'!$D$28,0),IF('I_Budget Input Data'!$E$28="Equal",'I_Budget Input Data'!$D$28/'I_Inputs &amp; Assumptions'!$B$8,IF('I_Budget Input Data'!$E$28="Front-loaded",IF(29&lt;='I_Inputs &amp; Assumptions'!$B$8/2,'I_Budget Input Data'!$D$28*0.6/('I_Inputs &amp; Assumptions'!$B$8/2),'I_Budget Input Data'!$D$28*0.4/('I_Inputs &amp; Assumptions'!$B$8/2)),IF('I_Budget Input Data'!$E$28="Back-loaded",IF(29&lt;='I_Inputs &amp; Assumptions'!$B$8/2,'I_Budget Input Data'!$D$28*0.4/('I_Inputs &amp; Assumptions'!$B$8/2),'I_Budget Input Data'!$D$28*0.6/('I_Inputs &amp; Assumptions'!$B$8/2)),IF('I_Budget Input Data'!$E$28="Mid-weighted",IF(29&lt;='I_Inputs &amp; Assumptions'!$B$8/4,'I_Budget Input Data'!$D$28*0.2/('I_Inputs &amp; Assumptions'!$B$8/4),IF(29&lt;='I_Inputs &amp; Assumptions'!$B$8*0.75,'I_Budget Input Data'!$D$28*0.6/('I_Inputs &amp; Assumptions'!$B$8/2),'I_Budget Input Data'!$D$28*0.2/('I_Inputs &amp; Assumptions'!$B$8/4))),IF('I_Budget Input Data'!$E$28="At Completion",IF(29='I_Inputs &amp; Assumptions'!$B$8,'I_Budget Input Data'!$D$28,0),'I_Budget Input Data'!$D$28/'I_Inputs &amp; Assumptions'!$B$8)))))),0)</f>
        <v>0</v>
      </c>
      <c r="AF28" s="91">
        <f>IF(30&lt;='I_Inputs &amp; Assumptions'!$B$8,IF('I_Budget Input Data'!$E$28="Upfront",IF(30=1,'I_Budget Input Data'!$D$28,0),IF('I_Budget Input Data'!$E$28="Equal",'I_Budget Input Data'!$D$28/'I_Inputs &amp; Assumptions'!$B$8,IF('I_Budget Input Data'!$E$28="Front-loaded",IF(30&lt;='I_Inputs &amp; Assumptions'!$B$8/2,'I_Budget Input Data'!$D$28*0.6/('I_Inputs &amp; Assumptions'!$B$8/2),'I_Budget Input Data'!$D$28*0.4/('I_Inputs &amp; Assumptions'!$B$8/2)),IF('I_Budget Input Data'!$E$28="Back-loaded",IF(30&lt;='I_Inputs &amp; Assumptions'!$B$8/2,'I_Budget Input Data'!$D$28*0.4/('I_Inputs &amp; Assumptions'!$B$8/2),'I_Budget Input Data'!$D$28*0.6/('I_Inputs &amp; Assumptions'!$B$8/2)),IF('I_Budget Input Data'!$E$28="Mid-weighted",IF(30&lt;='I_Inputs &amp; Assumptions'!$B$8/4,'I_Budget Input Data'!$D$28*0.2/('I_Inputs &amp; Assumptions'!$B$8/4),IF(30&lt;='I_Inputs &amp; Assumptions'!$B$8*0.75,'I_Budget Input Data'!$D$28*0.6/('I_Inputs &amp; Assumptions'!$B$8/2),'I_Budget Input Data'!$D$28*0.2/('I_Inputs &amp; Assumptions'!$B$8/4))),IF('I_Budget Input Data'!$E$28="At Completion",IF(30='I_Inputs &amp; Assumptions'!$B$8,'I_Budget Input Data'!$D$28,0),'I_Budget Input Data'!$D$28/'I_Inputs &amp; Assumptions'!$B$8)))))),0)</f>
        <v>0</v>
      </c>
      <c r="AG28" s="91">
        <f>IF(31&lt;='I_Inputs &amp; Assumptions'!$B$8,IF('I_Budget Input Data'!$E$28="Upfront",IF(31=1,'I_Budget Input Data'!$D$28,0),IF('I_Budget Input Data'!$E$28="Equal",'I_Budget Input Data'!$D$28/'I_Inputs &amp; Assumptions'!$B$8,IF('I_Budget Input Data'!$E$28="Front-loaded",IF(31&lt;='I_Inputs &amp; Assumptions'!$B$8/2,'I_Budget Input Data'!$D$28*0.6/('I_Inputs &amp; Assumptions'!$B$8/2),'I_Budget Input Data'!$D$28*0.4/('I_Inputs &amp; Assumptions'!$B$8/2)),IF('I_Budget Input Data'!$E$28="Back-loaded",IF(31&lt;='I_Inputs &amp; Assumptions'!$B$8/2,'I_Budget Input Data'!$D$28*0.4/('I_Inputs &amp; Assumptions'!$B$8/2),'I_Budget Input Data'!$D$28*0.6/('I_Inputs &amp; Assumptions'!$B$8/2)),IF('I_Budget Input Data'!$E$28="Mid-weighted",IF(31&lt;='I_Inputs &amp; Assumptions'!$B$8/4,'I_Budget Input Data'!$D$28*0.2/('I_Inputs &amp; Assumptions'!$B$8/4),IF(31&lt;='I_Inputs &amp; Assumptions'!$B$8*0.75,'I_Budget Input Data'!$D$28*0.6/('I_Inputs &amp; Assumptions'!$B$8/2),'I_Budget Input Data'!$D$28*0.2/('I_Inputs &amp; Assumptions'!$B$8/4))),IF('I_Budget Input Data'!$E$28="At Completion",IF(31='I_Inputs &amp; Assumptions'!$B$8,'I_Budget Input Data'!$D$28,0),'I_Budget Input Data'!$D$28/'I_Inputs &amp; Assumptions'!$B$8)))))),0)</f>
        <v>0</v>
      </c>
      <c r="AH28" s="91">
        <f>IF(32&lt;='I_Inputs &amp; Assumptions'!$B$8,IF('I_Budget Input Data'!$E$28="Upfront",IF(32=1,'I_Budget Input Data'!$D$28,0),IF('I_Budget Input Data'!$E$28="Equal",'I_Budget Input Data'!$D$28/'I_Inputs &amp; Assumptions'!$B$8,IF('I_Budget Input Data'!$E$28="Front-loaded",IF(32&lt;='I_Inputs &amp; Assumptions'!$B$8/2,'I_Budget Input Data'!$D$28*0.6/('I_Inputs &amp; Assumptions'!$B$8/2),'I_Budget Input Data'!$D$28*0.4/('I_Inputs &amp; Assumptions'!$B$8/2)),IF('I_Budget Input Data'!$E$28="Back-loaded",IF(32&lt;='I_Inputs &amp; Assumptions'!$B$8/2,'I_Budget Input Data'!$D$28*0.4/('I_Inputs &amp; Assumptions'!$B$8/2),'I_Budget Input Data'!$D$28*0.6/('I_Inputs &amp; Assumptions'!$B$8/2)),IF('I_Budget Input Data'!$E$28="Mid-weighted",IF(32&lt;='I_Inputs &amp; Assumptions'!$B$8/4,'I_Budget Input Data'!$D$28*0.2/('I_Inputs &amp; Assumptions'!$B$8/4),IF(32&lt;='I_Inputs &amp; Assumptions'!$B$8*0.75,'I_Budget Input Data'!$D$28*0.6/('I_Inputs &amp; Assumptions'!$B$8/2),'I_Budget Input Data'!$D$28*0.2/('I_Inputs &amp; Assumptions'!$B$8/4))),IF('I_Budget Input Data'!$E$28="At Completion",IF(32='I_Inputs &amp; Assumptions'!$B$8,'I_Budget Input Data'!$D$28,0),'I_Budget Input Data'!$D$28/'I_Inputs &amp; Assumptions'!$B$8)))))),0)</f>
        <v>0</v>
      </c>
      <c r="AI28" s="91">
        <f>IF(33&lt;='I_Inputs &amp; Assumptions'!$B$8,IF('I_Budget Input Data'!$E$28="Upfront",IF(33=1,'I_Budget Input Data'!$D$28,0),IF('I_Budget Input Data'!$E$28="Equal",'I_Budget Input Data'!$D$28/'I_Inputs &amp; Assumptions'!$B$8,IF('I_Budget Input Data'!$E$28="Front-loaded",IF(33&lt;='I_Inputs &amp; Assumptions'!$B$8/2,'I_Budget Input Data'!$D$28*0.6/('I_Inputs &amp; Assumptions'!$B$8/2),'I_Budget Input Data'!$D$28*0.4/('I_Inputs &amp; Assumptions'!$B$8/2)),IF('I_Budget Input Data'!$E$28="Back-loaded",IF(33&lt;='I_Inputs &amp; Assumptions'!$B$8/2,'I_Budget Input Data'!$D$28*0.4/('I_Inputs &amp; Assumptions'!$B$8/2),'I_Budget Input Data'!$D$28*0.6/('I_Inputs &amp; Assumptions'!$B$8/2)),IF('I_Budget Input Data'!$E$28="Mid-weighted",IF(33&lt;='I_Inputs &amp; Assumptions'!$B$8/4,'I_Budget Input Data'!$D$28*0.2/('I_Inputs &amp; Assumptions'!$B$8/4),IF(33&lt;='I_Inputs &amp; Assumptions'!$B$8*0.75,'I_Budget Input Data'!$D$28*0.6/('I_Inputs &amp; Assumptions'!$B$8/2),'I_Budget Input Data'!$D$28*0.2/('I_Inputs &amp; Assumptions'!$B$8/4))),IF('I_Budget Input Data'!$E$28="At Completion",IF(33='I_Inputs &amp; Assumptions'!$B$8,'I_Budget Input Data'!$D$28,0),'I_Budget Input Data'!$D$28/'I_Inputs &amp; Assumptions'!$B$8)))))),0)</f>
        <v>0</v>
      </c>
      <c r="AJ28" s="91">
        <f>IF(34&lt;='I_Inputs &amp; Assumptions'!$B$8,IF('I_Budget Input Data'!$E$28="Upfront",IF(34=1,'I_Budget Input Data'!$D$28,0),IF('I_Budget Input Data'!$E$28="Equal",'I_Budget Input Data'!$D$28/'I_Inputs &amp; Assumptions'!$B$8,IF('I_Budget Input Data'!$E$28="Front-loaded",IF(34&lt;='I_Inputs &amp; Assumptions'!$B$8/2,'I_Budget Input Data'!$D$28*0.6/('I_Inputs &amp; Assumptions'!$B$8/2),'I_Budget Input Data'!$D$28*0.4/('I_Inputs &amp; Assumptions'!$B$8/2)),IF('I_Budget Input Data'!$E$28="Back-loaded",IF(34&lt;='I_Inputs &amp; Assumptions'!$B$8/2,'I_Budget Input Data'!$D$28*0.4/('I_Inputs &amp; Assumptions'!$B$8/2),'I_Budget Input Data'!$D$28*0.6/('I_Inputs &amp; Assumptions'!$B$8/2)),IF('I_Budget Input Data'!$E$28="Mid-weighted",IF(34&lt;='I_Inputs &amp; Assumptions'!$B$8/4,'I_Budget Input Data'!$D$28*0.2/('I_Inputs &amp; Assumptions'!$B$8/4),IF(34&lt;='I_Inputs &amp; Assumptions'!$B$8*0.75,'I_Budget Input Data'!$D$28*0.6/('I_Inputs &amp; Assumptions'!$B$8/2),'I_Budget Input Data'!$D$28*0.2/('I_Inputs &amp; Assumptions'!$B$8/4))),IF('I_Budget Input Data'!$E$28="At Completion",IF(34='I_Inputs &amp; Assumptions'!$B$8,'I_Budget Input Data'!$D$28,0),'I_Budget Input Data'!$D$28/'I_Inputs &amp; Assumptions'!$B$8)))))),0)</f>
        <v>0</v>
      </c>
      <c r="AK28" s="91">
        <f>IF(35&lt;='I_Inputs &amp; Assumptions'!$B$8,IF('I_Budget Input Data'!$E$28="Upfront",IF(35=1,'I_Budget Input Data'!$D$28,0),IF('I_Budget Input Data'!$E$28="Equal",'I_Budget Input Data'!$D$28/'I_Inputs &amp; Assumptions'!$B$8,IF('I_Budget Input Data'!$E$28="Front-loaded",IF(35&lt;='I_Inputs &amp; Assumptions'!$B$8/2,'I_Budget Input Data'!$D$28*0.6/('I_Inputs &amp; Assumptions'!$B$8/2),'I_Budget Input Data'!$D$28*0.4/('I_Inputs &amp; Assumptions'!$B$8/2)),IF('I_Budget Input Data'!$E$28="Back-loaded",IF(35&lt;='I_Inputs &amp; Assumptions'!$B$8/2,'I_Budget Input Data'!$D$28*0.4/('I_Inputs &amp; Assumptions'!$B$8/2),'I_Budget Input Data'!$D$28*0.6/('I_Inputs &amp; Assumptions'!$B$8/2)),IF('I_Budget Input Data'!$E$28="Mid-weighted",IF(35&lt;='I_Inputs &amp; Assumptions'!$B$8/4,'I_Budget Input Data'!$D$28*0.2/('I_Inputs &amp; Assumptions'!$B$8/4),IF(35&lt;='I_Inputs &amp; Assumptions'!$B$8*0.75,'I_Budget Input Data'!$D$28*0.6/('I_Inputs &amp; Assumptions'!$B$8/2),'I_Budget Input Data'!$D$28*0.2/('I_Inputs &amp; Assumptions'!$B$8/4))),IF('I_Budget Input Data'!$E$28="At Completion",IF(35='I_Inputs &amp; Assumptions'!$B$8,'I_Budget Input Data'!$D$28,0),'I_Budget Input Data'!$D$28/'I_Inputs &amp; Assumptions'!$B$8)))))),0)</f>
        <v>0</v>
      </c>
      <c r="AL28" s="91">
        <f>IF(36&lt;='I_Inputs &amp; Assumptions'!$B$8,IF('I_Budget Input Data'!$E$28="Upfront",IF(36=1,'I_Budget Input Data'!$D$28,0),IF('I_Budget Input Data'!$E$28="Equal",'I_Budget Input Data'!$D$28/'I_Inputs &amp; Assumptions'!$B$8,IF('I_Budget Input Data'!$E$28="Front-loaded",IF(36&lt;='I_Inputs &amp; Assumptions'!$B$8/2,'I_Budget Input Data'!$D$28*0.6/('I_Inputs &amp; Assumptions'!$B$8/2),'I_Budget Input Data'!$D$28*0.4/('I_Inputs &amp; Assumptions'!$B$8/2)),IF('I_Budget Input Data'!$E$28="Back-loaded",IF(36&lt;='I_Inputs &amp; Assumptions'!$B$8/2,'I_Budget Input Data'!$D$28*0.4/('I_Inputs &amp; Assumptions'!$B$8/2),'I_Budget Input Data'!$D$28*0.6/('I_Inputs &amp; Assumptions'!$B$8/2)),IF('I_Budget Input Data'!$E$28="Mid-weighted",IF(36&lt;='I_Inputs &amp; Assumptions'!$B$8/4,'I_Budget Input Data'!$D$28*0.2/('I_Inputs &amp; Assumptions'!$B$8/4),IF(36&lt;='I_Inputs &amp; Assumptions'!$B$8*0.75,'I_Budget Input Data'!$D$28*0.6/('I_Inputs &amp; Assumptions'!$B$8/2),'I_Budget Input Data'!$D$28*0.2/('I_Inputs &amp; Assumptions'!$B$8/4))),IF('I_Budget Input Data'!$E$28="At Completion",IF(36='I_Inputs &amp; Assumptions'!$B$8,'I_Budget Input Data'!$D$28,0),'I_Budget Input Data'!$D$28/'I_Inputs &amp; Assumptions'!$B$8)))))),0)</f>
        <v>0</v>
      </c>
    </row>
    <row r="29" spans="1:38" ht="15" customHeight="1" x14ac:dyDescent="0.2">
      <c r="A29" t="s">
        <v>146</v>
      </c>
      <c r="B29" t="s">
        <v>150</v>
      </c>
      <c r="C29" s="91">
        <f>IF(1&lt;='I_Inputs &amp; Assumptions'!$B$8,IF('I_Budget Input Data'!$E$29="Upfront",IF(1=1,'I_Budget Input Data'!$D$29,0),IF('I_Budget Input Data'!$E$29="Equal",'I_Budget Input Data'!$D$29/'I_Inputs &amp; Assumptions'!$B$8,IF('I_Budget Input Data'!$E$29="Front-loaded",IF(1&lt;='I_Inputs &amp; Assumptions'!$B$8/2,'I_Budget Input Data'!$D$29*0.6/('I_Inputs &amp; Assumptions'!$B$8/2),'I_Budget Input Data'!$D$29*0.4/('I_Inputs &amp; Assumptions'!$B$8/2)),IF('I_Budget Input Data'!$E$29="Back-loaded",IF(1&lt;='I_Inputs &amp; Assumptions'!$B$8/2,'I_Budget Input Data'!$D$29*0.4/('I_Inputs &amp; Assumptions'!$B$8/2),'I_Budget Input Data'!$D$29*0.6/('I_Inputs &amp; Assumptions'!$B$8/2)),IF('I_Budget Input Data'!$E$29="Mid-weighted",IF(1&lt;='I_Inputs &amp; Assumptions'!$B$8/4,'I_Budget Input Data'!$D$29*0.2/('I_Inputs &amp; Assumptions'!$B$8/4),IF(1&lt;='I_Inputs &amp; Assumptions'!$B$8*0.75,'I_Budget Input Data'!$D$29*0.6/('I_Inputs &amp; Assumptions'!$B$8/2),'I_Budget Input Data'!$D$29*0.2/('I_Inputs &amp; Assumptions'!$B$8/4))),IF('I_Budget Input Data'!$E$29="At Completion",IF(1='I_Inputs &amp; Assumptions'!$B$8,'I_Budget Input Data'!$D$29,0),'I_Budget Input Data'!$D$29/'I_Inputs &amp; Assumptions'!$B$8)))))),0)</f>
        <v>198.84615384615384</v>
      </c>
      <c r="D29" s="91">
        <f>IF(2&lt;='I_Inputs &amp; Assumptions'!$B$8,IF('I_Budget Input Data'!$E$29="Upfront",IF(2=1,'I_Budget Input Data'!$D$29,0),IF('I_Budget Input Data'!$E$29="Equal",'I_Budget Input Data'!$D$29/'I_Inputs &amp; Assumptions'!$B$8,IF('I_Budget Input Data'!$E$29="Front-loaded",IF(2&lt;='I_Inputs &amp; Assumptions'!$B$8/2,'I_Budget Input Data'!$D$29*0.6/('I_Inputs &amp; Assumptions'!$B$8/2),'I_Budget Input Data'!$D$29*0.4/('I_Inputs &amp; Assumptions'!$B$8/2)),IF('I_Budget Input Data'!$E$29="Back-loaded",IF(2&lt;='I_Inputs &amp; Assumptions'!$B$8/2,'I_Budget Input Data'!$D$29*0.4/('I_Inputs &amp; Assumptions'!$B$8/2),'I_Budget Input Data'!$D$29*0.6/('I_Inputs &amp; Assumptions'!$B$8/2)),IF('I_Budget Input Data'!$E$29="Mid-weighted",IF(2&lt;='I_Inputs &amp; Assumptions'!$B$8/4,'I_Budget Input Data'!$D$29*0.2/('I_Inputs &amp; Assumptions'!$B$8/4),IF(2&lt;='I_Inputs &amp; Assumptions'!$B$8*0.75,'I_Budget Input Data'!$D$29*0.6/('I_Inputs &amp; Assumptions'!$B$8/2),'I_Budget Input Data'!$D$29*0.2/('I_Inputs &amp; Assumptions'!$B$8/4))),IF('I_Budget Input Data'!$E$29="At Completion",IF(2='I_Inputs &amp; Assumptions'!$B$8,'I_Budget Input Data'!$D$29,0),'I_Budget Input Data'!$D$29/'I_Inputs &amp; Assumptions'!$B$8)))))),0)</f>
        <v>198.84615384615384</v>
      </c>
      <c r="E29" s="91">
        <f>IF(3&lt;='I_Inputs &amp; Assumptions'!$B$8,IF('I_Budget Input Data'!$E$29="Upfront",IF(3=1,'I_Budget Input Data'!$D$29,0),IF('I_Budget Input Data'!$E$29="Equal",'I_Budget Input Data'!$D$29/'I_Inputs &amp; Assumptions'!$B$8,IF('I_Budget Input Data'!$E$29="Front-loaded",IF(3&lt;='I_Inputs &amp; Assumptions'!$B$8/2,'I_Budget Input Data'!$D$29*0.6/('I_Inputs &amp; Assumptions'!$B$8/2),'I_Budget Input Data'!$D$29*0.4/('I_Inputs &amp; Assumptions'!$B$8/2)),IF('I_Budget Input Data'!$E$29="Back-loaded",IF(3&lt;='I_Inputs &amp; Assumptions'!$B$8/2,'I_Budget Input Data'!$D$29*0.4/('I_Inputs &amp; Assumptions'!$B$8/2),'I_Budget Input Data'!$D$29*0.6/('I_Inputs &amp; Assumptions'!$B$8/2)),IF('I_Budget Input Data'!$E$29="Mid-weighted",IF(3&lt;='I_Inputs &amp; Assumptions'!$B$8/4,'I_Budget Input Data'!$D$29*0.2/('I_Inputs &amp; Assumptions'!$B$8/4),IF(3&lt;='I_Inputs &amp; Assumptions'!$B$8*0.75,'I_Budget Input Data'!$D$29*0.6/('I_Inputs &amp; Assumptions'!$B$8/2),'I_Budget Input Data'!$D$29*0.2/('I_Inputs &amp; Assumptions'!$B$8/4))),IF('I_Budget Input Data'!$E$29="At Completion",IF(3='I_Inputs &amp; Assumptions'!$B$8,'I_Budget Input Data'!$D$29,0),'I_Budget Input Data'!$D$29/'I_Inputs &amp; Assumptions'!$B$8)))))),0)</f>
        <v>198.84615384615384</v>
      </c>
      <c r="F29" s="91">
        <f>IF(4&lt;='I_Inputs &amp; Assumptions'!$B$8,IF('I_Budget Input Data'!$E$29="Upfront",IF(4=1,'I_Budget Input Data'!$D$29,0),IF('I_Budget Input Data'!$E$29="Equal",'I_Budget Input Data'!$D$29/'I_Inputs &amp; Assumptions'!$B$8,IF('I_Budget Input Data'!$E$29="Front-loaded",IF(4&lt;='I_Inputs &amp; Assumptions'!$B$8/2,'I_Budget Input Data'!$D$29*0.6/('I_Inputs &amp; Assumptions'!$B$8/2),'I_Budget Input Data'!$D$29*0.4/('I_Inputs &amp; Assumptions'!$B$8/2)),IF('I_Budget Input Data'!$E$29="Back-loaded",IF(4&lt;='I_Inputs &amp; Assumptions'!$B$8/2,'I_Budget Input Data'!$D$29*0.4/('I_Inputs &amp; Assumptions'!$B$8/2),'I_Budget Input Data'!$D$29*0.6/('I_Inputs &amp; Assumptions'!$B$8/2)),IF('I_Budget Input Data'!$E$29="Mid-weighted",IF(4&lt;='I_Inputs &amp; Assumptions'!$B$8/4,'I_Budget Input Data'!$D$29*0.2/('I_Inputs &amp; Assumptions'!$B$8/4),IF(4&lt;='I_Inputs &amp; Assumptions'!$B$8*0.75,'I_Budget Input Data'!$D$29*0.6/('I_Inputs &amp; Assumptions'!$B$8/2),'I_Budget Input Data'!$D$29*0.2/('I_Inputs &amp; Assumptions'!$B$8/4))),IF('I_Budget Input Data'!$E$29="At Completion",IF(4='I_Inputs &amp; Assumptions'!$B$8,'I_Budget Input Data'!$D$29,0),'I_Budget Input Data'!$D$29/'I_Inputs &amp; Assumptions'!$B$8)))))),0)</f>
        <v>198.84615384615384</v>
      </c>
      <c r="G29" s="91">
        <f>IF(5&lt;='I_Inputs &amp; Assumptions'!$B$8,IF('I_Budget Input Data'!$E$29="Upfront",IF(5=1,'I_Budget Input Data'!$D$29,0),IF('I_Budget Input Data'!$E$29="Equal",'I_Budget Input Data'!$D$29/'I_Inputs &amp; Assumptions'!$B$8,IF('I_Budget Input Data'!$E$29="Front-loaded",IF(5&lt;='I_Inputs &amp; Assumptions'!$B$8/2,'I_Budget Input Data'!$D$29*0.6/('I_Inputs &amp; Assumptions'!$B$8/2),'I_Budget Input Data'!$D$29*0.4/('I_Inputs &amp; Assumptions'!$B$8/2)),IF('I_Budget Input Data'!$E$29="Back-loaded",IF(5&lt;='I_Inputs &amp; Assumptions'!$B$8/2,'I_Budget Input Data'!$D$29*0.4/('I_Inputs &amp; Assumptions'!$B$8/2),'I_Budget Input Data'!$D$29*0.6/('I_Inputs &amp; Assumptions'!$B$8/2)),IF('I_Budget Input Data'!$E$29="Mid-weighted",IF(5&lt;='I_Inputs &amp; Assumptions'!$B$8/4,'I_Budget Input Data'!$D$29*0.2/('I_Inputs &amp; Assumptions'!$B$8/4),IF(5&lt;='I_Inputs &amp; Assumptions'!$B$8*0.75,'I_Budget Input Data'!$D$29*0.6/('I_Inputs &amp; Assumptions'!$B$8/2),'I_Budget Input Data'!$D$29*0.2/('I_Inputs &amp; Assumptions'!$B$8/4))),IF('I_Budget Input Data'!$E$29="At Completion",IF(5='I_Inputs &amp; Assumptions'!$B$8,'I_Budget Input Data'!$D$29,0),'I_Budget Input Data'!$D$29/'I_Inputs &amp; Assumptions'!$B$8)))))),0)</f>
        <v>198.84615384615384</v>
      </c>
      <c r="H29" s="91">
        <f>IF(6&lt;='I_Inputs &amp; Assumptions'!$B$8,IF('I_Budget Input Data'!$E$29="Upfront",IF(6=1,'I_Budget Input Data'!$D$29,0),IF('I_Budget Input Data'!$E$29="Equal",'I_Budget Input Data'!$D$29/'I_Inputs &amp; Assumptions'!$B$8,IF('I_Budget Input Data'!$E$29="Front-loaded",IF(6&lt;='I_Inputs &amp; Assumptions'!$B$8/2,'I_Budget Input Data'!$D$29*0.6/('I_Inputs &amp; Assumptions'!$B$8/2),'I_Budget Input Data'!$D$29*0.4/('I_Inputs &amp; Assumptions'!$B$8/2)),IF('I_Budget Input Data'!$E$29="Back-loaded",IF(6&lt;='I_Inputs &amp; Assumptions'!$B$8/2,'I_Budget Input Data'!$D$29*0.4/('I_Inputs &amp; Assumptions'!$B$8/2),'I_Budget Input Data'!$D$29*0.6/('I_Inputs &amp; Assumptions'!$B$8/2)),IF('I_Budget Input Data'!$E$29="Mid-weighted",IF(6&lt;='I_Inputs &amp; Assumptions'!$B$8/4,'I_Budget Input Data'!$D$29*0.2/('I_Inputs &amp; Assumptions'!$B$8/4),IF(6&lt;='I_Inputs &amp; Assumptions'!$B$8*0.75,'I_Budget Input Data'!$D$29*0.6/('I_Inputs &amp; Assumptions'!$B$8/2),'I_Budget Input Data'!$D$29*0.2/('I_Inputs &amp; Assumptions'!$B$8/4))),IF('I_Budget Input Data'!$E$29="At Completion",IF(6='I_Inputs &amp; Assumptions'!$B$8,'I_Budget Input Data'!$D$29,0),'I_Budget Input Data'!$D$29/'I_Inputs &amp; Assumptions'!$B$8)))))),0)</f>
        <v>198.84615384615384</v>
      </c>
      <c r="I29" s="91">
        <f>IF(7&lt;='I_Inputs &amp; Assumptions'!$B$8,IF('I_Budget Input Data'!$E$29="Upfront",IF(7=1,'I_Budget Input Data'!$D$29,0),IF('I_Budget Input Data'!$E$29="Equal",'I_Budget Input Data'!$D$29/'I_Inputs &amp; Assumptions'!$B$8,IF('I_Budget Input Data'!$E$29="Front-loaded",IF(7&lt;='I_Inputs &amp; Assumptions'!$B$8/2,'I_Budget Input Data'!$D$29*0.6/('I_Inputs &amp; Assumptions'!$B$8/2),'I_Budget Input Data'!$D$29*0.4/('I_Inputs &amp; Assumptions'!$B$8/2)),IF('I_Budget Input Data'!$E$29="Back-loaded",IF(7&lt;='I_Inputs &amp; Assumptions'!$B$8/2,'I_Budget Input Data'!$D$29*0.4/('I_Inputs &amp; Assumptions'!$B$8/2),'I_Budget Input Data'!$D$29*0.6/('I_Inputs &amp; Assumptions'!$B$8/2)),IF('I_Budget Input Data'!$E$29="Mid-weighted",IF(7&lt;='I_Inputs &amp; Assumptions'!$B$8/4,'I_Budget Input Data'!$D$29*0.2/('I_Inputs &amp; Assumptions'!$B$8/4),IF(7&lt;='I_Inputs &amp; Assumptions'!$B$8*0.75,'I_Budget Input Data'!$D$29*0.6/('I_Inputs &amp; Assumptions'!$B$8/2),'I_Budget Input Data'!$D$29*0.2/('I_Inputs &amp; Assumptions'!$B$8/4))),IF('I_Budget Input Data'!$E$29="At Completion",IF(7='I_Inputs &amp; Assumptions'!$B$8,'I_Budget Input Data'!$D$29,0),'I_Budget Input Data'!$D$29/'I_Inputs &amp; Assumptions'!$B$8)))))),0)</f>
        <v>198.84615384615384</v>
      </c>
      <c r="J29" s="91">
        <f>IF(8&lt;='I_Inputs &amp; Assumptions'!$B$8,IF('I_Budget Input Data'!$E$29="Upfront",IF(8=1,'I_Budget Input Data'!$D$29,0),IF('I_Budget Input Data'!$E$29="Equal",'I_Budget Input Data'!$D$29/'I_Inputs &amp; Assumptions'!$B$8,IF('I_Budget Input Data'!$E$29="Front-loaded",IF(8&lt;='I_Inputs &amp; Assumptions'!$B$8/2,'I_Budget Input Data'!$D$29*0.6/('I_Inputs &amp; Assumptions'!$B$8/2),'I_Budget Input Data'!$D$29*0.4/('I_Inputs &amp; Assumptions'!$B$8/2)),IF('I_Budget Input Data'!$E$29="Back-loaded",IF(8&lt;='I_Inputs &amp; Assumptions'!$B$8/2,'I_Budget Input Data'!$D$29*0.4/('I_Inputs &amp; Assumptions'!$B$8/2),'I_Budget Input Data'!$D$29*0.6/('I_Inputs &amp; Assumptions'!$B$8/2)),IF('I_Budget Input Data'!$E$29="Mid-weighted",IF(8&lt;='I_Inputs &amp; Assumptions'!$B$8/4,'I_Budget Input Data'!$D$29*0.2/('I_Inputs &amp; Assumptions'!$B$8/4),IF(8&lt;='I_Inputs &amp; Assumptions'!$B$8*0.75,'I_Budget Input Data'!$D$29*0.6/('I_Inputs &amp; Assumptions'!$B$8/2),'I_Budget Input Data'!$D$29*0.2/('I_Inputs &amp; Assumptions'!$B$8/4))),IF('I_Budget Input Data'!$E$29="At Completion",IF(8='I_Inputs &amp; Assumptions'!$B$8,'I_Budget Input Data'!$D$29,0),'I_Budget Input Data'!$D$29/'I_Inputs &amp; Assumptions'!$B$8)))))),0)</f>
        <v>198.84615384615384</v>
      </c>
      <c r="K29" s="91">
        <f>IF(9&lt;='I_Inputs &amp; Assumptions'!$B$8,IF('I_Budget Input Data'!$E$29="Upfront",IF(9=1,'I_Budget Input Data'!$D$29,0),IF('I_Budget Input Data'!$E$29="Equal",'I_Budget Input Data'!$D$29/'I_Inputs &amp; Assumptions'!$B$8,IF('I_Budget Input Data'!$E$29="Front-loaded",IF(9&lt;='I_Inputs &amp; Assumptions'!$B$8/2,'I_Budget Input Data'!$D$29*0.6/('I_Inputs &amp; Assumptions'!$B$8/2),'I_Budget Input Data'!$D$29*0.4/('I_Inputs &amp; Assumptions'!$B$8/2)),IF('I_Budget Input Data'!$E$29="Back-loaded",IF(9&lt;='I_Inputs &amp; Assumptions'!$B$8/2,'I_Budget Input Data'!$D$29*0.4/('I_Inputs &amp; Assumptions'!$B$8/2),'I_Budget Input Data'!$D$29*0.6/('I_Inputs &amp; Assumptions'!$B$8/2)),IF('I_Budget Input Data'!$E$29="Mid-weighted",IF(9&lt;='I_Inputs &amp; Assumptions'!$B$8/4,'I_Budget Input Data'!$D$29*0.2/('I_Inputs &amp; Assumptions'!$B$8/4),IF(9&lt;='I_Inputs &amp; Assumptions'!$B$8*0.75,'I_Budget Input Data'!$D$29*0.6/('I_Inputs &amp; Assumptions'!$B$8/2),'I_Budget Input Data'!$D$29*0.2/('I_Inputs &amp; Assumptions'!$B$8/4))),IF('I_Budget Input Data'!$E$29="At Completion",IF(9='I_Inputs &amp; Assumptions'!$B$8,'I_Budget Input Data'!$D$29,0),'I_Budget Input Data'!$D$29/'I_Inputs &amp; Assumptions'!$B$8)))))),0)</f>
        <v>198.84615384615384</v>
      </c>
      <c r="L29" s="91">
        <f>IF(10&lt;='I_Inputs &amp; Assumptions'!$B$8,IF('I_Budget Input Data'!$E$29="Upfront",IF(10=1,'I_Budget Input Data'!$D$29,0),IF('I_Budget Input Data'!$E$29="Equal",'I_Budget Input Data'!$D$29/'I_Inputs &amp; Assumptions'!$B$8,IF('I_Budget Input Data'!$E$29="Front-loaded",IF(10&lt;='I_Inputs &amp; Assumptions'!$B$8/2,'I_Budget Input Data'!$D$29*0.6/('I_Inputs &amp; Assumptions'!$B$8/2),'I_Budget Input Data'!$D$29*0.4/('I_Inputs &amp; Assumptions'!$B$8/2)),IF('I_Budget Input Data'!$E$29="Back-loaded",IF(10&lt;='I_Inputs &amp; Assumptions'!$B$8/2,'I_Budget Input Data'!$D$29*0.4/('I_Inputs &amp; Assumptions'!$B$8/2),'I_Budget Input Data'!$D$29*0.6/('I_Inputs &amp; Assumptions'!$B$8/2)),IF('I_Budget Input Data'!$E$29="Mid-weighted",IF(10&lt;='I_Inputs &amp; Assumptions'!$B$8/4,'I_Budget Input Data'!$D$29*0.2/('I_Inputs &amp; Assumptions'!$B$8/4),IF(10&lt;='I_Inputs &amp; Assumptions'!$B$8*0.75,'I_Budget Input Data'!$D$29*0.6/('I_Inputs &amp; Assumptions'!$B$8/2),'I_Budget Input Data'!$D$29*0.2/('I_Inputs &amp; Assumptions'!$B$8/4))),IF('I_Budget Input Data'!$E$29="At Completion",IF(10='I_Inputs &amp; Assumptions'!$B$8,'I_Budget Input Data'!$D$29,0),'I_Budget Input Data'!$D$29/'I_Inputs &amp; Assumptions'!$B$8)))))),0)</f>
        <v>198.84615384615384</v>
      </c>
      <c r="M29" s="91">
        <f>IF(11&lt;='I_Inputs &amp; Assumptions'!$B$8,IF('I_Budget Input Data'!$E$29="Upfront",IF(11=1,'I_Budget Input Data'!$D$29,0),IF('I_Budget Input Data'!$E$29="Equal",'I_Budget Input Data'!$D$29/'I_Inputs &amp; Assumptions'!$B$8,IF('I_Budget Input Data'!$E$29="Front-loaded",IF(11&lt;='I_Inputs &amp; Assumptions'!$B$8/2,'I_Budget Input Data'!$D$29*0.6/('I_Inputs &amp; Assumptions'!$B$8/2),'I_Budget Input Data'!$D$29*0.4/('I_Inputs &amp; Assumptions'!$B$8/2)),IF('I_Budget Input Data'!$E$29="Back-loaded",IF(11&lt;='I_Inputs &amp; Assumptions'!$B$8/2,'I_Budget Input Data'!$D$29*0.4/('I_Inputs &amp; Assumptions'!$B$8/2),'I_Budget Input Data'!$D$29*0.6/('I_Inputs &amp; Assumptions'!$B$8/2)),IF('I_Budget Input Data'!$E$29="Mid-weighted",IF(11&lt;='I_Inputs &amp; Assumptions'!$B$8/4,'I_Budget Input Data'!$D$29*0.2/('I_Inputs &amp; Assumptions'!$B$8/4),IF(11&lt;='I_Inputs &amp; Assumptions'!$B$8*0.75,'I_Budget Input Data'!$D$29*0.6/('I_Inputs &amp; Assumptions'!$B$8/2),'I_Budget Input Data'!$D$29*0.2/('I_Inputs &amp; Assumptions'!$B$8/4))),IF('I_Budget Input Data'!$E$29="At Completion",IF(11='I_Inputs &amp; Assumptions'!$B$8,'I_Budget Input Data'!$D$29,0),'I_Budget Input Data'!$D$29/'I_Inputs &amp; Assumptions'!$B$8)))))),0)</f>
        <v>198.84615384615384</v>
      </c>
      <c r="N29" s="91">
        <f>IF(12&lt;='I_Inputs &amp; Assumptions'!$B$8,IF('I_Budget Input Data'!$E$29="Upfront",IF(12=1,'I_Budget Input Data'!$D$29,0),IF('I_Budget Input Data'!$E$29="Equal",'I_Budget Input Data'!$D$29/'I_Inputs &amp; Assumptions'!$B$8,IF('I_Budget Input Data'!$E$29="Front-loaded",IF(12&lt;='I_Inputs &amp; Assumptions'!$B$8/2,'I_Budget Input Data'!$D$29*0.6/('I_Inputs &amp; Assumptions'!$B$8/2),'I_Budget Input Data'!$D$29*0.4/('I_Inputs &amp; Assumptions'!$B$8/2)),IF('I_Budget Input Data'!$E$29="Back-loaded",IF(12&lt;='I_Inputs &amp; Assumptions'!$B$8/2,'I_Budget Input Data'!$D$29*0.4/('I_Inputs &amp; Assumptions'!$B$8/2),'I_Budget Input Data'!$D$29*0.6/('I_Inputs &amp; Assumptions'!$B$8/2)),IF('I_Budget Input Data'!$E$29="Mid-weighted",IF(12&lt;='I_Inputs &amp; Assumptions'!$B$8/4,'I_Budget Input Data'!$D$29*0.2/('I_Inputs &amp; Assumptions'!$B$8/4),IF(12&lt;='I_Inputs &amp; Assumptions'!$B$8*0.75,'I_Budget Input Data'!$D$29*0.6/('I_Inputs &amp; Assumptions'!$B$8/2),'I_Budget Input Data'!$D$29*0.2/('I_Inputs &amp; Assumptions'!$B$8/4))),IF('I_Budget Input Data'!$E$29="At Completion",IF(12='I_Inputs &amp; Assumptions'!$B$8,'I_Budget Input Data'!$D$29,0),'I_Budget Input Data'!$D$29/'I_Inputs &amp; Assumptions'!$B$8)))))),0)</f>
        <v>198.84615384615384</v>
      </c>
      <c r="O29" s="91">
        <f>IF(13&lt;='I_Inputs &amp; Assumptions'!$B$8,IF('I_Budget Input Data'!$E$29="Upfront",IF(13=1,'I_Budget Input Data'!$D$29,0),IF('I_Budget Input Data'!$E$29="Equal",'I_Budget Input Data'!$D$29/'I_Inputs &amp; Assumptions'!$B$8,IF('I_Budget Input Data'!$E$29="Front-loaded",IF(13&lt;='I_Inputs &amp; Assumptions'!$B$8/2,'I_Budget Input Data'!$D$29*0.6/('I_Inputs &amp; Assumptions'!$B$8/2),'I_Budget Input Data'!$D$29*0.4/('I_Inputs &amp; Assumptions'!$B$8/2)),IF('I_Budget Input Data'!$E$29="Back-loaded",IF(13&lt;='I_Inputs &amp; Assumptions'!$B$8/2,'I_Budget Input Data'!$D$29*0.4/('I_Inputs &amp; Assumptions'!$B$8/2),'I_Budget Input Data'!$D$29*0.6/('I_Inputs &amp; Assumptions'!$B$8/2)),IF('I_Budget Input Data'!$E$29="Mid-weighted",IF(13&lt;='I_Inputs &amp; Assumptions'!$B$8/4,'I_Budget Input Data'!$D$29*0.2/('I_Inputs &amp; Assumptions'!$B$8/4),IF(13&lt;='I_Inputs &amp; Assumptions'!$B$8*0.75,'I_Budget Input Data'!$D$29*0.6/('I_Inputs &amp; Assumptions'!$B$8/2),'I_Budget Input Data'!$D$29*0.2/('I_Inputs &amp; Assumptions'!$B$8/4))),IF('I_Budget Input Data'!$E$29="At Completion",IF(13='I_Inputs &amp; Assumptions'!$B$8,'I_Budget Input Data'!$D$29,0),'I_Budget Input Data'!$D$29/'I_Inputs &amp; Assumptions'!$B$8)))))),0)</f>
        <v>198.84615384615384</v>
      </c>
      <c r="P29" s="91">
        <f>IF(14&lt;='I_Inputs &amp; Assumptions'!$B$8,IF('I_Budget Input Data'!$E$29="Upfront",IF(14=1,'I_Budget Input Data'!$D$29,0),IF('I_Budget Input Data'!$E$29="Equal",'I_Budget Input Data'!$D$29/'I_Inputs &amp; Assumptions'!$B$8,IF('I_Budget Input Data'!$E$29="Front-loaded",IF(14&lt;='I_Inputs &amp; Assumptions'!$B$8/2,'I_Budget Input Data'!$D$29*0.6/('I_Inputs &amp; Assumptions'!$B$8/2),'I_Budget Input Data'!$D$29*0.4/('I_Inputs &amp; Assumptions'!$B$8/2)),IF('I_Budget Input Data'!$E$29="Back-loaded",IF(14&lt;='I_Inputs &amp; Assumptions'!$B$8/2,'I_Budget Input Data'!$D$29*0.4/('I_Inputs &amp; Assumptions'!$B$8/2),'I_Budget Input Data'!$D$29*0.6/('I_Inputs &amp; Assumptions'!$B$8/2)),IF('I_Budget Input Data'!$E$29="Mid-weighted",IF(14&lt;='I_Inputs &amp; Assumptions'!$B$8/4,'I_Budget Input Data'!$D$29*0.2/('I_Inputs &amp; Assumptions'!$B$8/4),IF(14&lt;='I_Inputs &amp; Assumptions'!$B$8*0.75,'I_Budget Input Data'!$D$29*0.6/('I_Inputs &amp; Assumptions'!$B$8/2),'I_Budget Input Data'!$D$29*0.2/('I_Inputs &amp; Assumptions'!$B$8/4))),IF('I_Budget Input Data'!$E$29="At Completion",IF(14='I_Inputs &amp; Assumptions'!$B$8,'I_Budget Input Data'!$D$29,0),'I_Budget Input Data'!$D$29/'I_Inputs &amp; Assumptions'!$B$8)))))),0)</f>
        <v>0</v>
      </c>
      <c r="Q29" s="91">
        <f>IF(15&lt;='I_Inputs &amp; Assumptions'!$B$8,IF('I_Budget Input Data'!$E$29="Upfront",IF(15=1,'I_Budget Input Data'!$D$29,0),IF('I_Budget Input Data'!$E$29="Equal",'I_Budget Input Data'!$D$29/'I_Inputs &amp; Assumptions'!$B$8,IF('I_Budget Input Data'!$E$29="Front-loaded",IF(15&lt;='I_Inputs &amp; Assumptions'!$B$8/2,'I_Budget Input Data'!$D$29*0.6/('I_Inputs &amp; Assumptions'!$B$8/2),'I_Budget Input Data'!$D$29*0.4/('I_Inputs &amp; Assumptions'!$B$8/2)),IF('I_Budget Input Data'!$E$29="Back-loaded",IF(15&lt;='I_Inputs &amp; Assumptions'!$B$8/2,'I_Budget Input Data'!$D$29*0.4/('I_Inputs &amp; Assumptions'!$B$8/2),'I_Budget Input Data'!$D$29*0.6/('I_Inputs &amp; Assumptions'!$B$8/2)),IF('I_Budget Input Data'!$E$29="Mid-weighted",IF(15&lt;='I_Inputs &amp; Assumptions'!$B$8/4,'I_Budget Input Data'!$D$29*0.2/('I_Inputs &amp; Assumptions'!$B$8/4),IF(15&lt;='I_Inputs &amp; Assumptions'!$B$8*0.75,'I_Budget Input Data'!$D$29*0.6/('I_Inputs &amp; Assumptions'!$B$8/2),'I_Budget Input Data'!$D$29*0.2/('I_Inputs &amp; Assumptions'!$B$8/4))),IF('I_Budget Input Data'!$E$29="At Completion",IF(15='I_Inputs &amp; Assumptions'!$B$8,'I_Budget Input Data'!$D$29,0),'I_Budget Input Data'!$D$29/'I_Inputs &amp; Assumptions'!$B$8)))))),0)</f>
        <v>0</v>
      </c>
      <c r="R29" s="91">
        <f>IF(16&lt;='I_Inputs &amp; Assumptions'!$B$8,IF('I_Budget Input Data'!$E$29="Upfront",IF(16=1,'I_Budget Input Data'!$D$29,0),IF('I_Budget Input Data'!$E$29="Equal",'I_Budget Input Data'!$D$29/'I_Inputs &amp; Assumptions'!$B$8,IF('I_Budget Input Data'!$E$29="Front-loaded",IF(16&lt;='I_Inputs &amp; Assumptions'!$B$8/2,'I_Budget Input Data'!$D$29*0.6/('I_Inputs &amp; Assumptions'!$B$8/2),'I_Budget Input Data'!$D$29*0.4/('I_Inputs &amp; Assumptions'!$B$8/2)),IF('I_Budget Input Data'!$E$29="Back-loaded",IF(16&lt;='I_Inputs &amp; Assumptions'!$B$8/2,'I_Budget Input Data'!$D$29*0.4/('I_Inputs &amp; Assumptions'!$B$8/2),'I_Budget Input Data'!$D$29*0.6/('I_Inputs &amp; Assumptions'!$B$8/2)),IF('I_Budget Input Data'!$E$29="Mid-weighted",IF(16&lt;='I_Inputs &amp; Assumptions'!$B$8/4,'I_Budget Input Data'!$D$29*0.2/('I_Inputs &amp; Assumptions'!$B$8/4),IF(16&lt;='I_Inputs &amp; Assumptions'!$B$8*0.75,'I_Budget Input Data'!$D$29*0.6/('I_Inputs &amp; Assumptions'!$B$8/2),'I_Budget Input Data'!$D$29*0.2/('I_Inputs &amp; Assumptions'!$B$8/4))),IF('I_Budget Input Data'!$E$29="At Completion",IF(16='I_Inputs &amp; Assumptions'!$B$8,'I_Budget Input Data'!$D$29,0),'I_Budget Input Data'!$D$29/'I_Inputs &amp; Assumptions'!$B$8)))))),0)</f>
        <v>0</v>
      </c>
      <c r="S29" s="91">
        <f>IF(17&lt;='I_Inputs &amp; Assumptions'!$B$8,IF('I_Budget Input Data'!$E$29="Upfront",IF(17=1,'I_Budget Input Data'!$D$29,0),IF('I_Budget Input Data'!$E$29="Equal",'I_Budget Input Data'!$D$29/'I_Inputs &amp; Assumptions'!$B$8,IF('I_Budget Input Data'!$E$29="Front-loaded",IF(17&lt;='I_Inputs &amp; Assumptions'!$B$8/2,'I_Budget Input Data'!$D$29*0.6/('I_Inputs &amp; Assumptions'!$B$8/2),'I_Budget Input Data'!$D$29*0.4/('I_Inputs &amp; Assumptions'!$B$8/2)),IF('I_Budget Input Data'!$E$29="Back-loaded",IF(17&lt;='I_Inputs &amp; Assumptions'!$B$8/2,'I_Budget Input Data'!$D$29*0.4/('I_Inputs &amp; Assumptions'!$B$8/2),'I_Budget Input Data'!$D$29*0.6/('I_Inputs &amp; Assumptions'!$B$8/2)),IF('I_Budget Input Data'!$E$29="Mid-weighted",IF(17&lt;='I_Inputs &amp; Assumptions'!$B$8/4,'I_Budget Input Data'!$D$29*0.2/('I_Inputs &amp; Assumptions'!$B$8/4),IF(17&lt;='I_Inputs &amp; Assumptions'!$B$8*0.75,'I_Budget Input Data'!$D$29*0.6/('I_Inputs &amp; Assumptions'!$B$8/2),'I_Budget Input Data'!$D$29*0.2/('I_Inputs &amp; Assumptions'!$B$8/4))),IF('I_Budget Input Data'!$E$29="At Completion",IF(17='I_Inputs &amp; Assumptions'!$B$8,'I_Budget Input Data'!$D$29,0),'I_Budget Input Data'!$D$29/'I_Inputs &amp; Assumptions'!$B$8)))))),0)</f>
        <v>0</v>
      </c>
      <c r="T29" s="91">
        <f>IF(18&lt;='I_Inputs &amp; Assumptions'!$B$8,IF('I_Budget Input Data'!$E$29="Upfront",IF(18=1,'I_Budget Input Data'!$D$29,0),IF('I_Budget Input Data'!$E$29="Equal",'I_Budget Input Data'!$D$29/'I_Inputs &amp; Assumptions'!$B$8,IF('I_Budget Input Data'!$E$29="Front-loaded",IF(18&lt;='I_Inputs &amp; Assumptions'!$B$8/2,'I_Budget Input Data'!$D$29*0.6/('I_Inputs &amp; Assumptions'!$B$8/2),'I_Budget Input Data'!$D$29*0.4/('I_Inputs &amp; Assumptions'!$B$8/2)),IF('I_Budget Input Data'!$E$29="Back-loaded",IF(18&lt;='I_Inputs &amp; Assumptions'!$B$8/2,'I_Budget Input Data'!$D$29*0.4/('I_Inputs &amp; Assumptions'!$B$8/2),'I_Budget Input Data'!$D$29*0.6/('I_Inputs &amp; Assumptions'!$B$8/2)),IF('I_Budget Input Data'!$E$29="Mid-weighted",IF(18&lt;='I_Inputs &amp; Assumptions'!$B$8/4,'I_Budget Input Data'!$D$29*0.2/('I_Inputs &amp; Assumptions'!$B$8/4),IF(18&lt;='I_Inputs &amp; Assumptions'!$B$8*0.75,'I_Budget Input Data'!$D$29*0.6/('I_Inputs &amp; Assumptions'!$B$8/2),'I_Budget Input Data'!$D$29*0.2/('I_Inputs &amp; Assumptions'!$B$8/4))),IF('I_Budget Input Data'!$E$29="At Completion",IF(18='I_Inputs &amp; Assumptions'!$B$8,'I_Budget Input Data'!$D$29,0),'I_Budget Input Data'!$D$29/'I_Inputs &amp; Assumptions'!$B$8)))))),0)</f>
        <v>0</v>
      </c>
      <c r="U29" s="91">
        <f>IF(19&lt;='I_Inputs &amp; Assumptions'!$B$8,IF('I_Budget Input Data'!$E$29="Upfront",IF(19=1,'I_Budget Input Data'!$D$29,0),IF('I_Budget Input Data'!$E$29="Equal",'I_Budget Input Data'!$D$29/'I_Inputs &amp; Assumptions'!$B$8,IF('I_Budget Input Data'!$E$29="Front-loaded",IF(19&lt;='I_Inputs &amp; Assumptions'!$B$8/2,'I_Budget Input Data'!$D$29*0.6/('I_Inputs &amp; Assumptions'!$B$8/2),'I_Budget Input Data'!$D$29*0.4/('I_Inputs &amp; Assumptions'!$B$8/2)),IF('I_Budget Input Data'!$E$29="Back-loaded",IF(19&lt;='I_Inputs &amp; Assumptions'!$B$8/2,'I_Budget Input Data'!$D$29*0.4/('I_Inputs &amp; Assumptions'!$B$8/2),'I_Budget Input Data'!$D$29*0.6/('I_Inputs &amp; Assumptions'!$B$8/2)),IF('I_Budget Input Data'!$E$29="Mid-weighted",IF(19&lt;='I_Inputs &amp; Assumptions'!$B$8/4,'I_Budget Input Data'!$D$29*0.2/('I_Inputs &amp; Assumptions'!$B$8/4),IF(19&lt;='I_Inputs &amp; Assumptions'!$B$8*0.75,'I_Budget Input Data'!$D$29*0.6/('I_Inputs &amp; Assumptions'!$B$8/2),'I_Budget Input Data'!$D$29*0.2/('I_Inputs &amp; Assumptions'!$B$8/4))),IF('I_Budget Input Data'!$E$29="At Completion",IF(19='I_Inputs &amp; Assumptions'!$B$8,'I_Budget Input Data'!$D$29,0),'I_Budget Input Data'!$D$29/'I_Inputs &amp; Assumptions'!$B$8)))))),0)</f>
        <v>0</v>
      </c>
      <c r="V29" s="91">
        <f>IF(20&lt;='I_Inputs &amp; Assumptions'!$B$8,IF('I_Budget Input Data'!$E$29="Upfront",IF(20=1,'I_Budget Input Data'!$D$29,0),IF('I_Budget Input Data'!$E$29="Equal",'I_Budget Input Data'!$D$29/'I_Inputs &amp; Assumptions'!$B$8,IF('I_Budget Input Data'!$E$29="Front-loaded",IF(20&lt;='I_Inputs &amp; Assumptions'!$B$8/2,'I_Budget Input Data'!$D$29*0.6/('I_Inputs &amp; Assumptions'!$B$8/2),'I_Budget Input Data'!$D$29*0.4/('I_Inputs &amp; Assumptions'!$B$8/2)),IF('I_Budget Input Data'!$E$29="Back-loaded",IF(20&lt;='I_Inputs &amp; Assumptions'!$B$8/2,'I_Budget Input Data'!$D$29*0.4/('I_Inputs &amp; Assumptions'!$B$8/2),'I_Budget Input Data'!$D$29*0.6/('I_Inputs &amp; Assumptions'!$B$8/2)),IF('I_Budget Input Data'!$E$29="Mid-weighted",IF(20&lt;='I_Inputs &amp; Assumptions'!$B$8/4,'I_Budget Input Data'!$D$29*0.2/('I_Inputs &amp; Assumptions'!$B$8/4),IF(20&lt;='I_Inputs &amp; Assumptions'!$B$8*0.75,'I_Budget Input Data'!$D$29*0.6/('I_Inputs &amp; Assumptions'!$B$8/2),'I_Budget Input Data'!$D$29*0.2/('I_Inputs &amp; Assumptions'!$B$8/4))),IF('I_Budget Input Data'!$E$29="At Completion",IF(20='I_Inputs &amp; Assumptions'!$B$8,'I_Budget Input Data'!$D$29,0),'I_Budget Input Data'!$D$29/'I_Inputs &amp; Assumptions'!$B$8)))))),0)</f>
        <v>0</v>
      </c>
      <c r="W29" s="91">
        <f>IF(21&lt;='I_Inputs &amp; Assumptions'!$B$8,IF('I_Budget Input Data'!$E$29="Upfront",IF(21=1,'I_Budget Input Data'!$D$29,0),IF('I_Budget Input Data'!$E$29="Equal",'I_Budget Input Data'!$D$29/'I_Inputs &amp; Assumptions'!$B$8,IF('I_Budget Input Data'!$E$29="Front-loaded",IF(21&lt;='I_Inputs &amp; Assumptions'!$B$8/2,'I_Budget Input Data'!$D$29*0.6/('I_Inputs &amp; Assumptions'!$B$8/2),'I_Budget Input Data'!$D$29*0.4/('I_Inputs &amp; Assumptions'!$B$8/2)),IF('I_Budget Input Data'!$E$29="Back-loaded",IF(21&lt;='I_Inputs &amp; Assumptions'!$B$8/2,'I_Budget Input Data'!$D$29*0.4/('I_Inputs &amp; Assumptions'!$B$8/2),'I_Budget Input Data'!$D$29*0.6/('I_Inputs &amp; Assumptions'!$B$8/2)),IF('I_Budget Input Data'!$E$29="Mid-weighted",IF(21&lt;='I_Inputs &amp; Assumptions'!$B$8/4,'I_Budget Input Data'!$D$29*0.2/('I_Inputs &amp; Assumptions'!$B$8/4),IF(21&lt;='I_Inputs &amp; Assumptions'!$B$8*0.75,'I_Budget Input Data'!$D$29*0.6/('I_Inputs &amp; Assumptions'!$B$8/2),'I_Budget Input Data'!$D$29*0.2/('I_Inputs &amp; Assumptions'!$B$8/4))),IF('I_Budget Input Data'!$E$29="At Completion",IF(21='I_Inputs &amp; Assumptions'!$B$8,'I_Budget Input Data'!$D$29,0),'I_Budget Input Data'!$D$29/'I_Inputs &amp; Assumptions'!$B$8)))))),0)</f>
        <v>0</v>
      </c>
      <c r="X29" s="91">
        <f>IF(22&lt;='I_Inputs &amp; Assumptions'!$B$8,IF('I_Budget Input Data'!$E$29="Upfront",IF(22=1,'I_Budget Input Data'!$D$29,0),IF('I_Budget Input Data'!$E$29="Equal",'I_Budget Input Data'!$D$29/'I_Inputs &amp; Assumptions'!$B$8,IF('I_Budget Input Data'!$E$29="Front-loaded",IF(22&lt;='I_Inputs &amp; Assumptions'!$B$8/2,'I_Budget Input Data'!$D$29*0.6/('I_Inputs &amp; Assumptions'!$B$8/2),'I_Budget Input Data'!$D$29*0.4/('I_Inputs &amp; Assumptions'!$B$8/2)),IF('I_Budget Input Data'!$E$29="Back-loaded",IF(22&lt;='I_Inputs &amp; Assumptions'!$B$8/2,'I_Budget Input Data'!$D$29*0.4/('I_Inputs &amp; Assumptions'!$B$8/2),'I_Budget Input Data'!$D$29*0.6/('I_Inputs &amp; Assumptions'!$B$8/2)),IF('I_Budget Input Data'!$E$29="Mid-weighted",IF(22&lt;='I_Inputs &amp; Assumptions'!$B$8/4,'I_Budget Input Data'!$D$29*0.2/('I_Inputs &amp; Assumptions'!$B$8/4),IF(22&lt;='I_Inputs &amp; Assumptions'!$B$8*0.75,'I_Budget Input Data'!$D$29*0.6/('I_Inputs &amp; Assumptions'!$B$8/2),'I_Budget Input Data'!$D$29*0.2/('I_Inputs &amp; Assumptions'!$B$8/4))),IF('I_Budget Input Data'!$E$29="At Completion",IF(22='I_Inputs &amp; Assumptions'!$B$8,'I_Budget Input Data'!$D$29,0),'I_Budget Input Data'!$D$29/'I_Inputs &amp; Assumptions'!$B$8)))))),0)</f>
        <v>0</v>
      </c>
      <c r="Y29" s="91">
        <f>IF(23&lt;='I_Inputs &amp; Assumptions'!$B$8,IF('I_Budget Input Data'!$E$29="Upfront",IF(23=1,'I_Budget Input Data'!$D$29,0),IF('I_Budget Input Data'!$E$29="Equal",'I_Budget Input Data'!$D$29/'I_Inputs &amp; Assumptions'!$B$8,IF('I_Budget Input Data'!$E$29="Front-loaded",IF(23&lt;='I_Inputs &amp; Assumptions'!$B$8/2,'I_Budget Input Data'!$D$29*0.6/('I_Inputs &amp; Assumptions'!$B$8/2),'I_Budget Input Data'!$D$29*0.4/('I_Inputs &amp; Assumptions'!$B$8/2)),IF('I_Budget Input Data'!$E$29="Back-loaded",IF(23&lt;='I_Inputs &amp; Assumptions'!$B$8/2,'I_Budget Input Data'!$D$29*0.4/('I_Inputs &amp; Assumptions'!$B$8/2),'I_Budget Input Data'!$D$29*0.6/('I_Inputs &amp; Assumptions'!$B$8/2)),IF('I_Budget Input Data'!$E$29="Mid-weighted",IF(23&lt;='I_Inputs &amp; Assumptions'!$B$8/4,'I_Budget Input Data'!$D$29*0.2/('I_Inputs &amp; Assumptions'!$B$8/4),IF(23&lt;='I_Inputs &amp; Assumptions'!$B$8*0.75,'I_Budget Input Data'!$D$29*0.6/('I_Inputs &amp; Assumptions'!$B$8/2),'I_Budget Input Data'!$D$29*0.2/('I_Inputs &amp; Assumptions'!$B$8/4))),IF('I_Budget Input Data'!$E$29="At Completion",IF(23='I_Inputs &amp; Assumptions'!$B$8,'I_Budget Input Data'!$D$29,0),'I_Budget Input Data'!$D$29/'I_Inputs &amp; Assumptions'!$B$8)))))),0)</f>
        <v>0</v>
      </c>
      <c r="Z29" s="91">
        <f>IF(24&lt;='I_Inputs &amp; Assumptions'!$B$8,IF('I_Budget Input Data'!$E$29="Upfront",IF(24=1,'I_Budget Input Data'!$D$29,0),IF('I_Budget Input Data'!$E$29="Equal",'I_Budget Input Data'!$D$29/'I_Inputs &amp; Assumptions'!$B$8,IF('I_Budget Input Data'!$E$29="Front-loaded",IF(24&lt;='I_Inputs &amp; Assumptions'!$B$8/2,'I_Budget Input Data'!$D$29*0.6/('I_Inputs &amp; Assumptions'!$B$8/2),'I_Budget Input Data'!$D$29*0.4/('I_Inputs &amp; Assumptions'!$B$8/2)),IF('I_Budget Input Data'!$E$29="Back-loaded",IF(24&lt;='I_Inputs &amp; Assumptions'!$B$8/2,'I_Budget Input Data'!$D$29*0.4/('I_Inputs &amp; Assumptions'!$B$8/2),'I_Budget Input Data'!$D$29*0.6/('I_Inputs &amp; Assumptions'!$B$8/2)),IF('I_Budget Input Data'!$E$29="Mid-weighted",IF(24&lt;='I_Inputs &amp; Assumptions'!$B$8/4,'I_Budget Input Data'!$D$29*0.2/('I_Inputs &amp; Assumptions'!$B$8/4),IF(24&lt;='I_Inputs &amp; Assumptions'!$B$8*0.75,'I_Budget Input Data'!$D$29*0.6/('I_Inputs &amp; Assumptions'!$B$8/2),'I_Budget Input Data'!$D$29*0.2/('I_Inputs &amp; Assumptions'!$B$8/4))),IF('I_Budget Input Data'!$E$29="At Completion",IF(24='I_Inputs &amp; Assumptions'!$B$8,'I_Budget Input Data'!$D$29,0),'I_Budget Input Data'!$D$29/'I_Inputs &amp; Assumptions'!$B$8)))))),0)</f>
        <v>0</v>
      </c>
      <c r="AA29" s="91">
        <f>IF(25&lt;='I_Inputs &amp; Assumptions'!$B$8,IF('I_Budget Input Data'!$E$29="Upfront",IF(25=1,'I_Budget Input Data'!$D$29,0),IF('I_Budget Input Data'!$E$29="Equal",'I_Budget Input Data'!$D$29/'I_Inputs &amp; Assumptions'!$B$8,IF('I_Budget Input Data'!$E$29="Front-loaded",IF(25&lt;='I_Inputs &amp; Assumptions'!$B$8/2,'I_Budget Input Data'!$D$29*0.6/('I_Inputs &amp; Assumptions'!$B$8/2),'I_Budget Input Data'!$D$29*0.4/('I_Inputs &amp; Assumptions'!$B$8/2)),IF('I_Budget Input Data'!$E$29="Back-loaded",IF(25&lt;='I_Inputs &amp; Assumptions'!$B$8/2,'I_Budget Input Data'!$D$29*0.4/('I_Inputs &amp; Assumptions'!$B$8/2),'I_Budget Input Data'!$D$29*0.6/('I_Inputs &amp; Assumptions'!$B$8/2)),IF('I_Budget Input Data'!$E$29="Mid-weighted",IF(25&lt;='I_Inputs &amp; Assumptions'!$B$8/4,'I_Budget Input Data'!$D$29*0.2/('I_Inputs &amp; Assumptions'!$B$8/4),IF(25&lt;='I_Inputs &amp; Assumptions'!$B$8*0.75,'I_Budget Input Data'!$D$29*0.6/('I_Inputs &amp; Assumptions'!$B$8/2),'I_Budget Input Data'!$D$29*0.2/('I_Inputs &amp; Assumptions'!$B$8/4))),IF('I_Budget Input Data'!$E$29="At Completion",IF(25='I_Inputs &amp; Assumptions'!$B$8,'I_Budget Input Data'!$D$29,0),'I_Budget Input Data'!$D$29/'I_Inputs &amp; Assumptions'!$B$8)))))),0)</f>
        <v>0</v>
      </c>
      <c r="AB29" s="91">
        <f>IF(26&lt;='I_Inputs &amp; Assumptions'!$B$8,IF('I_Budget Input Data'!$E$29="Upfront",IF(26=1,'I_Budget Input Data'!$D$29,0),IF('I_Budget Input Data'!$E$29="Equal",'I_Budget Input Data'!$D$29/'I_Inputs &amp; Assumptions'!$B$8,IF('I_Budget Input Data'!$E$29="Front-loaded",IF(26&lt;='I_Inputs &amp; Assumptions'!$B$8/2,'I_Budget Input Data'!$D$29*0.6/('I_Inputs &amp; Assumptions'!$B$8/2),'I_Budget Input Data'!$D$29*0.4/('I_Inputs &amp; Assumptions'!$B$8/2)),IF('I_Budget Input Data'!$E$29="Back-loaded",IF(26&lt;='I_Inputs &amp; Assumptions'!$B$8/2,'I_Budget Input Data'!$D$29*0.4/('I_Inputs &amp; Assumptions'!$B$8/2),'I_Budget Input Data'!$D$29*0.6/('I_Inputs &amp; Assumptions'!$B$8/2)),IF('I_Budget Input Data'!$E$29="Mid-weighted",IF(26&lt;='I_Inputs &amp; Assumptions'!$B$8/4,'I_Budget Input Data'!$D$29*0.2/('I_Inputs &amp; Assumptions'!$B$8/4),IF(26&lt;='I_Inputs &amp; Assumptions'!$B$8*0.75,'I_Budget Input Data'!$D$29*0.6/('I_Inputs &amp; Assumptions'!$B$8/2),'I_Budget Input Data'!$D$29*0.2/('I_Inputs &amp; Assumptions'!$B$8/4))),IF('I_Budget Input Data'!$E$29="At Completion",IF(26='I_Inputs &amp; Assumptions'!$B$8,'I_Budget Input Data'!$D$29,0),'I_Budget Input Data'!$D$29/'I_Inputs &amp; Assumptions'!$B$8)))))),0)</f>
        <v>0</v>
      </c>
      <c r="AC29" s="91">
        <f>IF(27&lt;='I_Inputs &amp; Assumptions'!$B$8,IF('I_Budget Input Data'!$E$29="Upfront",IF(27=1,'I_Budget Input Data'!$D$29,0),IF('I_Budget Input Data'!$E$29="Equal",'I_Budget Input Data'!$D$29/'I_Inputs &amp; Assumptions'!$B$8,IF('I_Budget Input Data'!$E$29="Front-loaded",IF(27&lt;='I_Inputs &amp; Assumptions'!$B$8/2,'I_Budget Input Data'!$D$29*0.6/('I_Inputs &amp; Assumptions'!$B$8/2),'I_Budget Input Data'!$D$29*0.4/('I_Inputs &amp; Assumptions'!$B$8/2)),IF('I_Budget Input Data'!$E$29="Back-loaded",IF(27&lt;='I_Inputs &amp; Assumptions'!$B$8/2,'I_Budget Input Data'!$D$29*0.4/('I_Inputs &amp; Assumptions'!$B$8/2),'I_Budget Input Data'!$D$29*0.6/('I_Inputs &amp; Assumptions'!$B$8/2)),IF('I_Budget Input Data'!$E$29="Mid-weighted",IF(27&lt;='I_Inputs &amp; Assumptions'!$B$8/4,'I_Budget Input Data'!$D$29*0.2/('I_Inputs &amp; Assumptions'!$B$8/4),IF(27&lt;='I_Inputs &amp; Assumptions'!$B$8*0.75,'I_Budget Input Data'!$D$29*0.6/('I_Inputs &amp; Assumptions'!$B$8/2),'I_Budget Input Data'!$D$29*0.2/('I_Inputs &amp; Assumptions'!$B$8/4))),IF('I_Budget Input Data'!$E$29="At Completion",IF(27='I_Inputs &amp; Assumptions'!$B$8,'I_Budget Input Data'!$D$29,0),'I_Budget Input Data'!$D$29/'I_Inputs &amp; Assumptions'!$B$8)))))),0)</f>
        <v>0</v>
      </c>
      <c r="AD29" s="91">
        <f>IF(28&lt;='I_Inputs &amp; Assumptions'!$B$8,IF('I_Budget Input Data'!$E$29="Upfront",IF(28=1,'I_Budget Input Data'!$D$29,0),IF('I_Budget Input Data'!$E$29="Equal",'I_Budget Input Data'!$D$29/'I_Inputs &amp; Assumptions'!$B$8,IF('I_Budget Input Data'!$E$29="Front-loaded",IF(28&lt;='I_Inputs &amp; Assumptions'!$B$8/2,'I_Budget Input Data'!$D$29*0.6/('I_Inputs &amp; Assumptions'!$B$8/2),'I_Budget Input Data'!$D$29*0.4/('I_Inputs &amp; Assumptions'!$B$8/2)),IF('I_Budget Input Data'!$E$29="Back-loaded",IF(28&lt;='I_Inputs &amp; Assumptions'!$B$8/2,'I_Budget Input Data'!$D$29*0.4/('I_Inputs &amp; Assumptions'!$B$8/2),'I_Budget Input Data'!$D$29*0.6/('I_Inputs &amp; Assumptions'!$B$8/2)),IF('I_Budget Input Data'!$E$29="Mid-weighted",IF(28&lt;='I_Inputs &amp; Assumptions'!$B$8/4,'I_Budget Input Data'!$D$29*0.2/('I_Inputs &amp; Assumptions'!$B$8/4),IF(28&lt;='I_Inputs &amp; Assumptions'!$B$8*0.75,'I_Budget Input Data'!$D$29*0.6/('I_Inputs &amp; Assumptions'!$B$8/2),'I_Budget Input Data'!$D$29*0.2/('I_Inputs &amp; Assumptions'!$B$8/4))),IF('I_Budget Input Data'!$E$29="At Completion",IF(28='I_Inputs &amp; Assumptions'!$B$8,'I_Budget Input Data'!$D$29,0),'I_Budget Input Data'!$D$29/'I_Inputs &amp; Assumptions'!$B$8)))))),0)</f>
        <v>0</v>
      </c>
      <c r="AE29" s="91">
        <f>IF(29&lt;='I_Inputs &amp; Assumptions'!$B$8,IF('I_Budget Input Data'!$E$29="Upfront",IF(29=1,'I_Budget Input Data'!$D$29,0),IF('I_Budget Input Data'!$E$29="Equal",'I_Budget Input Data'!$D$29/'I_Inputs &amp; Assumptions'!$B$8,IF('I_Budget Input Data'!$E$29="Front-loaded",IF(29&lt;='I_Inputs &amp; Assumptions'!$B$8/2,'I_Budget Input Data'!$D$29*0.6/('I_Inputs &amp; Assumptions'!$B$8/2),'I_Budget Input Data'!$D$29*0.4/('I_Inputs &amp; Assumptions'!$B$8/2)),IF('I_Budget Input Data'!$E$29="Back-loaded",IF(29&lt;='I_Inputs &amp; Assumptions'!$B$8/2,'I_Budget Input Data'!$D$29*0.4/('I_Inputs &amp; Assumptions'!$B$8/2),'I_Budget Input Data'!$D$29*0.6/('I_Inputs &amp; Assumptions'!$B$8/2)),IF('I_Budget Input Data'!$E$29="Mid-weighted",IF(29&lt;='I_Inputs &amp; Assumptions'!$B$8/4,'I_Budget Input Data'!$D$29*0.2/('I_Inputs &amp; Assumptions'!$B$8/4),IF(29&lt;='I_Inputs &amp; Assumptions'!$B$8*0.75,'I_Budget Input Data'!$D$29*0.6/('I_Inputs &amp; Assumptions'!$B$8/2),'I_Budget Input Data'!$D$29*0.2/('I_Inputs &amp; Assumptions'!$B$8/4))),IF('I_Budget Input Data'!$E$29="At Completion",IF(29='I_Inputs &amp; Assumptions'!$B$8,'I_Budget Input Data'!$D$29,0),'I_Budget Input Data'!$D$29/'I_Inputs &amp; Assumptions'!$B$8)))))),0)</f>
        <v>0</v>
      </c>
      <c r="AF29" s="91">
        <f>IF(30&lt;='I_Inputs &amp; Assumptions'!$B$8,IF('I_Budget Input Data'!$E$29="Upfront",IF(30=1,'I_Budget Input Data'!$D$29,0),IF('I_Budget Input Data'!$E$29="Equal",'I_Budget Input Data'!$D$29/'I_Inputs &amp; Assumptions'!$B$8,IF('I_Budget Input Data'!$E$29="Front-loaded",IF(30&lt;='I_Inputs &amp; Assumptions'!$B$8/2,'I_Budget Input Data'!$D$29*0.6/('I_Inputs &amp; Assumptions'!$B$8/2),'I_Budget Input Data'!$D$29*0.4/('I_Inputs &amp; Assumptions'!$B$8/2)),IF('I_Budget Input Data'!$E$29="Back-loaded",IF(30&lt;='I_Inputs &amp; Assumptions'!$B$8/2,'I_Budget Input Data'!$D$29*0.4/('I_Inputs &amp; Assumptions'!$B$8/2),'I_Budget Input Data'!$D$29*0.6/('I_Inputs &amp; Assumptions'!$B$8/2)),IF('I_Budget Input Data'!$E$29="Mid-weighted",IF(30&lt;='I_Inputs &amp; Assumptions'!$B$8/4,'I_Budget Input Data'!$D$29*0.2/('I_Inputs &amp; Assumptions'!$B$8/4),IF(30&lt;='I_Inputs &amp; Assumptions'!$B$8*0.75,'I_Budget Input Data'!$D$29*0.6/('I_Inputs &amp; Assumptions'!$B$8/2),'I_Budget Input Data'!$D$29*0.2/('I_Inputs &amp; Assumptions'!$B$8/4))),IF('I_Budget Input Data'!$E$29="At Completion",IF(30='I_Inputs &amp; Assumptions'!$B$8,'I_Budget Input Data'!$D$29,0),'I_Budget Input Data'!$D$29/'I_Inputs &amp; Assumptions'!$B$8)))))),0)</f>
        <v>0</v>
      </c>
      <c r="AG29" s="91">
        <f>IF(31&lt;='I_Inputs &amp; Assumptions'!$B$8,IF('I_Budget Input Data'!$E$29="Upfront",IF(31=1,'I_Budget Input Data'!$D$29,0),IF('I_Budget Input Data'!$E$29="Equal",'I_Budget Input Data'!$D$29/'I_Inputs &amp; Assumptions'!$B$8,IF('I_Budget Input Data'!$E$29="Front-loaded",IF(31&lt;='I_Inputs &amp; Assumptions'!$B$8/2,'I_Budget Input Data'!$D$29*0.6/('I_Inputs &amp; Assumptions'!$B$8/2),'I_Budget Input Data'!$D$29*0.4/('I_Inputs &amp; Assumptions'!$B$8/2)),IF('I_Budget Input Data'!$E$29="Back-loaded",IF(31&lt;='I_Inputs &amp; Assumptions'!$B$8/2,'I_Budget Input Data'!$D$29*0.4/('I_Inputs &amp; Assumptions'!$B$8/2),'I_Budget Input Data'!$D$29*0.6/('I_Inputs &amp; Assumptions'!$B$8/2)),IF('I_Budget Input Data'!$E$29="Mid-weighted",IF(31&lt;='I_Inputs &amp; Assumptions'!$B$8/4,'I_Budget Input Data'!$D$29*0.2/('I_Inputs &amp; Assumptions'!$B$8/4),IF(31&lt;='I_Inputs &amp; Assumptions'!$B$8*0.75,'I_Budget Input Data'!$D$29*0.6/('I_Inputs &amp; Assumptions'!$B$8/2),'I_Budget Input Data'!$D$29*0.2/('I_Inputs &amp; Assumptions'!$B$8/4))),IF('I_Budget Input Data'!$E$29="At Completion",IF(31='I_Inputs &amp; Assumptions'!$B$8,'I_Budget Input Data'!$D$29,0),'I_Budget Input Data'!$D$29/'I_Inputs &amp; Assumptions'!$B$8)))))),0)</f>
        <v>0</v>
      </c>
      <c r="AH29" s="91">
        <f>IF(32&lt;='I_Inputs &amp; Assumptions'!$B$8,IF('I_Budget Input Data'!$E$29="Upfront",IF(32=1,'I_Budget Input Data'!$D$29,0),IF('I_Budget Input Data'!$E$29="Equal",'I_Budget Input Data'!$D$29/'I_Inputs &amp; Assumptions'!$B$8,IF('I_Budget Input Data'!$E$29="Front-loaded",IF(32&lt;='I_Inputs &amp; Assumptions'!$B$8/2,'I_Budget Input Data'!$D$29*0.6/('I_Inputs &amp; Assumptions'!$B$8/2),'I_Budget Input Data'!$D$29*0.4/('I_Inputs &amp; Assumptions'!$B$8/2)),IF('I_Budget Input Data'!$E$29="Back-loaded",IF(32&lt;='I_Inputs &amp; Assumptions'!$B$8/2,'I_Budget Input Data'!$D$29*0.4/('I_Inputs &amp; Assumptions'!$B$8/2),'I_Budget Input Data'!$D$29*0.6/('I_Inputs &amp; Assumptions'!$B$8/2)),IF('I_Budget Input Data'!$E$29="Mid-weighted",IF(32&lt;='I_Inputs &amp; Assumptions'!$B$8/4,'I_Budget Input Data'!$D$29*0.2/('I_Inputs &amp; Assumptions'!$B$8/4),IF(32&lt;='I_Inputs &amp; Assumptions'!$B$8*0.75,'I_Budget Input Data'!$D$29*0.6/('I_Inputs &amp; Assumptions'!$B$8/2),'I_Budget Input Data'!$D$29*0.2/('I_Inputs &amp; Assumptions'!$B$8/4))),IF('I_Budget Input Data'!$E$29="At Completion",IF(32='I_Inputs &amp; Assumptions'!$B$8,'I_Budget Input Data'!$D$29,0),'I_Budget Input Data'!$D$29/'I_Inputs &amp; Assumptions'!$B$8)))))),0)</f>
        <v>0</v>
      </c>
      <c r="AI29" s="91">
        <f>IF(33&lt;='I_Inputs &amp; Assumptions'!$B$8,IF('I_Budget Input Data'!$E$29="Upfront",IF(33=1,'I_Budget Input Data'!$D$29,0),IF('I_Budget Input Data'!$E$29="Equal",'I_Budget Input Data'!$D$29/'I_Inputs &amp; Assumptions'!$B$8,IF('I_Budget Input Data'!$E$29="Front-loaded",IF(33&lt;='I_Inputs &amp; Assumptions'!$B$8/2,'I_Budget Input Data'!$D$29*0.6/('I_Inputs &amp; Assumptions'!$B$8/2),'I_Budget Input Data'!$D$29*0.4/('I_Inputs &amp; Assumptions'!$B$8/2)),IF('I_Budget Input Data'!$E$29="Back-loaded",IF(33&lt;='I_Inputs &amp; Assumptions'!$B$8/2,'I_Budget Input Data'!$D$29*0.4/('I_Inputs &amp; Assumptions'!$B$8/2),'I_Budget Input Data'!$D$29*0.6/('I_Inputs &amp; Assumptions'!$B$8/2)),IF('I_Budget Input Data'!$E$29="Mid-weighted",IF(33&lt;='I_Inputs &amp; Assumptions'!$B$8/4,'I_Budget Input Data'!$D$29*0.2/('I_Inputs &amp; Assumptions'!$B$8/4),IF(33&lt;='I_Inputs &amp; Assumptions'!$B$8*0.75,'I_Budget Input Data'!$D$29*0.6/('I_Inputs &amp; Assumptions'!$B$8/2),'I_Budget Input Data'!$D$29*0.2/('I_Inputs &amp; Assumptions'!$B$8/4))),IF('I_Budget Input Data'!$E$29="At Completion",IF(33='I_Inputs &amp; Assumptions'!$B$8,'I_Budget Input Data'!$D$29,0),'I_Budget Input Data'!$D$29/'I_Inputs &amp; Assumptions'!$B$8)))))),0)</f>
        <v>0</v>
      </c>
      <c r="AJ29" s="91">
        <f>IF(34&lt;='I_Inputs &amp; Assumptions'!$B$8,IF('I_Budget Input Data'!$E$29="Upfront",IF(34=1,'I_Budget Input Data'!$D$29,0),IF('I_Budget Input Data'!$E$29="Equal",'I_Budget Input Data'!$D$29/'I_Inputs &amp; Assumptions'!$B$8,IF('I_Budget Input Data'!$E$29="Front-loaded",IF(34&lt;='I_Inputs &amp; Assumptions'!$B$8/2,'I_Budget Input Data'!$D$29*0.6/('I_Inputs &amp; Assumptions'!$B$8/2),'I_Budget Input Data'!$D$29*0.4/('I_Inputs &amp; Assumptions'!$B$8/2)),IF('I_Budget Input Data'!$E$29="Back-loaded",IF(34&lt;='I_Inputs &amp; Assumptions'!$B$8/2,'I_Budget Input Data'!$D$29*0.4/('I_Inputs &amp; Assumptions'!$B$8/2),'I_Budget Input Data'!$D$29*0.6/('I_Inputs &amp; Assumptions'!$B$8/2)),IF('I_Budget Input Data'!$E$29="Mid-weighted",IF(34&lt;='I_Inputs &amp; Assumptions'!$B$8/4,'I_Budget Input Data'!$D$29*0.2/('I_Inputs &amp; Assumptions'!$B$8/4),IF(34&lt;='I_Inputs &amp; Assumptions'!$B$8*0.75,'I_Budget Input Data'!$D$29*0.6/('I_Inputs &amp; Assumptions'!$B$8/2),'I_Budget Input Data'!$D$29*0.2/('I_Inputs &amp; Assumptions'!$B$8/4))),IF('I_Budget Input Data'!$E$29="At Completion",IF(34='I_Inputs &amp; Assumptions'!$B$8,'I_Budget Input Data'!$D$29,0),'I_Budget Input Data'!$D$29/'I_Inputs &amp; Assumptions'!$B$8)))))),0)</f>
        <v>0</v>
      </c>
      <c r="AK29" s="91">
        <f>IF(35&lt;='I_Inputs &amp; Assumptions'!$B$8,IF('I_Budget Input Data'!$E$29="Upfront",IF(35=1,'I_Budget Input Data'!$D$29,0),IF('I_Budget Input Data'!$E$29="Equal",'I_Budget Input Data'!$D$29/'I_Inputs &amp; Assumptions'!$B$8,IF('I_Budget Input Data'!$E$29="Front-loaded",IF(35&lt;='I_Inputs &amp; Assumptions'!$B$8/2,'I_Budget Input Data'!$D$29*0.6/('I_Inputs &amp; Assumptions'!$B$8/2),'I_Budget Input Data'!$D$29*0.4/('I_Inputs &amp; Assumptions'!$B$8/2)),IF('I_Budget Input Data'!$E$29="Back-loaded",IF(35&lt;='I_Inputs &amp; Assumptions'!$B$8/2,'I_Budget Input Data'!$D$29*0.4/('I_Inputs &amp; Assumptions'!$B$8/2),'I_Budget Input Data'!$D$29*0.6/('I_Inputs &amp; Assumptions'!$B$8/2)),IF('I_Budget Input Data'!$E$29="Mid-weighted",IF(35&lt;='I_Inputs &amp; Assumptions'!$B$8/4,'I_Budget Input Data'!$D$29*0.2/('I_Inputs &amp; Assumptions'!$B$8/4),IF(35&lt;='I_Inputs &amp; Assumptions'!$B$8*0.75,'I_Budget Input Data'!$D$29*0.6/('I_Inputs &amp; Assumptions'!$B$8/2),'I_Budget Input Data'!$D$29*0.2/('I_Inputs &amp; Assumptions'!$B$8/4))),IF('I_Budget Input Data'!$E$29="At Completion",IF(35='I_Inputs &amp; Assumptions'!$B$8,'I_Budget Input Data'!$D$29,0),'I_Budget Input Data'!$D$29/'I_Inputs &amp; Assumptions'!$B$8)))))),0)</f>
        <v>0</v>
      </c>
      <c r="AL29" s="91">
        <f>IF(36&lt;='I_Inputs &amp; Assumptions'!$B$8,IF('I_Budget Input Data'!$E$29="Upfront",IF(36=1,'I_Budget Input Data'!$D$29,0),IF('I_Budget Input Data'!$E$29="Equal",'I_Budget Input Data'!$D$29/'I_Inputs &amp; Assumptions'!$B$8,IF('I_Budget Input Data'!$E$29="Front-loaded",IF(36&lt;='I_Inputs &amp; Assumptions'!$B$8/2,'I_Budget Input Data'!$D$29*0.6/('I_Inputs &amp; Assumptions'!$B$8/2),'I_Budget Input Data'!$D$29*0.4/('I_Inputs &amp; Assumptions'!$B$8/2)),IF('I_Budget Input Data'!$E$29="Back-loaded",IF(36&lt;='I_Inputs &amp; Assumptions'!$B$8/2,'I_Budget Input Data'!$D$29*0.4/('I_Inputs &amp; Assumptions'!$B$8/2),'I_Budget Input Data'!$D$29*0.6/('I_Inputs &amp; Assumptions'!$B$8/2)),IF('I_Budget Input Data'!$E$29="Mid-weighted",IF(36&lt;='I_Inputs &amp; Assumptions'!$B$8/4,'I_Budget Input Data'!$D$29*0.2/('I_Inputs &amp; Assumptions'!$B$8/4),IF(36&lt;='I_Inputs &amp; Assumptions'!$B$8*0.75,'I_Budget Input Data'!$D$29*0.6/('I_Inputs &amp; Assumptions'!$B$8/2),'I_Budget Input Data'!$D$29*0.2/('I_Inputs &amp; Assumptions'!$B$8/4))),IF('I_Budget Input Data'!$E$29="At Completion",IF(36='I_Inputs &amp; Assumptions'!$B$8,'I_Budget Input Data'!$D$29,0),'I_Budget Input Data'!$D$29/'I_Inputs &amp; Assumptions'!$B$8)))))),0)</f>
        <v>0</v>
      </c>
    </row>
    <row r="30" spans="1:38" ht="15" customHeight="1" x14ac:dyDescent="0.2">
      <c r="A30" t="s">
        <v>146</v>
      </c>
      <c r="B30" t="s">
        <v>151</v>
      </c>
      <c r="C30" s="91">
        <v>0</v>
      </c>
      <c r="D30" s="91">
        <v>0</v>
      </c>
      <c r="E30" s="91">
        <v>0</v>
      </c>
      <c r="F30" s="91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91">
        <v>0</v>
      </c>
      <c r="Z30" s="91">
        <v>0</v>
      </c>
      <c r="AA30" s="91">
        <v>0</v>
      </c>
      <c r="AB30" s="91">
        <v>0</v>
      </c>
      <c r="AC30" s="91">
        <v>0</v>
      </c>
      <c r="AD30" s="91">
        <v>0</v>
      </c>
      <c r="AE30" s="91">
        <v>0</v>
      </c>
      <c r="AF30" s="91">
        <v>0</v>
      </c>
      <c r="AG30" s="91">
        <v>0</v>
      </c>
      <c r="AH30" s="91">
        <v>0</v>
      </c>
      <c r="AI30" s="91">
        <v>0</v>
      </c>
      <c r="AJ30" s="91">
        <v>0</v>
      </c>
      <c r="AK30" s="91">
        <v>0</v>
      </c>
      <c r="AL30" s="91">
        <v>0</v>
      </c>
    </row>
    <row r="31" spans="1:38" ht="15" customHeight="1" x14ac:dyDescent="0.2">
      <c r="A31" t="s">
        <v>146</v>
      </c>
      <c r="B31" t="s">
        <v>152</v>
      </c>
      <c r="C31" s="91">
        <f>IF(1&lt;='I_Inputs &amp; Assumptions'!$B$8,IF('I_Budget Input Data'!$E$31="Upfront",IF(1=1,'I_Budget Input Data'!$D$31,0),IF('I_Budget Input Data'!$E$31="Equal",'I_Budget Input Data'!$D$31/'I_Inputs &amp; Assumptions'!$B$8,IF('I_Budget Input Data'!$E$31="Front-loaded",IF(1&lt;='I_Inputs &amp; Assumptions'!$B$8/2,'I_Budget Input Data'!$D$31*0.6/('I_Inputs &amp; Assumptions'!$B$8/2),'I_Budget Input Data'!$D$31*0.4/('I_Inputs &amp; Assumptions'!$B$8/2)),IF('I_Budget Input Data'!$E$31="Back-loaded",IF(1&lt;='I_Inputs &amp; Assumptions'!$B$8/2,'I_Budget Input Data'!$D$31*0.4/('I_Inputs &amp; Assumptions'!$B$8/2),'I_Budget Input Data'!$D$31*0.6/('I_Inputs &amp; Assumptions'!$B$8/2)),IF('I_Budget Input Data'!$E$31="Mid-weighted",IF(1&lt;='I_Inputs &amp; Assumptions'!$B$8/4,'I_Budget Input Data'!$D$31*0.2/('I_Inputs &amp; Assumptions'!$B$8/4),IF(1&lt;='I_Inputs &amp; Assumptions'!$B$8*0.75,'I_Budget Input Data'!$D$31*0.6/('I_Inputs &amp; Assumptions'!$B$8/2),'I_Budget Input Data'!$D$31*0.2/('I_Inputs &amp; Assumptions'!$B$8/4))),IF('I_Budget Input Data'!$E$31="At Completion",IF(1='I_Inputs &amp; Assumptions'!$B$8,'I_Budget Input Data'!$D$31,0),'I_Budget Input Data'!$D$31/'I_Inputs &amp; Assumptions'!$B$8)))))),0)</f>
        <v>18153.846153846152</v>
      </c>
      <c r="D31" s="91">
        <f>IF(2&lt;='I_Inputs &amp; Assumptions'!$B$8,IF('I_Budget Input Data'!$E$31="Upfront",IF(2=1,'I_Budget Input Data'!$D$31,0),IF('I_Budget Input Data'!$E$31="Equal",'I_Budget Input Data'!$D$31/'I_Inputs &amp; Assumptions'!$B$8,IF('I_Budget Input Data'!$E$31="Front-loaded",IF(2&lt;='I_Inputs &amp; Assumptions'!$B$8/2,'I_Budget Input Data'!$D$31*0.6/('I_Inputs &amp; Assumptions'!$B$8/2),'I_Budget Input Data'!$D$31*0.4/('I_Inputs &amp; Assumptions'!$B$8/2)),IF('I_Budget Input Data'!$E$31="Back-loaded",IF(2&lt;='I_Inputs &amp; Assumptions'!$B$8/2,'I_Budget Input Data'!$D$31*0.4/('I_Inputs &amp; Assumptions'!$B$8/2),'I_Budget Input Data'!$D$31*0.6/('I_Inputs &amp; Assumptions'!$B$8/2)),IF('I_Budget Input Data'!$E$31="Mid-weighted",IF(2&lt;='I_Inputs &amp; Assumptions'!$B$8/4,'I_Budget Input Data'!$D$31*0.2/('I_Inputs &amp; Assumptions'!$B$8/4),IF(2&lt;='I_Inputs &amp; Assumptions'!$B$8*0.75,'I_Budget Input Data'!$D$31*0.6/('I_Inputs &amp; Assumptions'!$B$8/2),'I_Budget Input Data'!$D$31*0.2/('I_Inputs &amp; Assumptions'!$B$8/4))),IF('I_Budget Input Data'!$E$31="At Completion",IF(2='I_Inputs &amp; Assumptions'!$B$8,'I_Budget Input Data'!$D$31,0),'I_Budget Input Data'!$D$31/'I_Inputs &amp; Assumptions'!$B$8)))))),0)</f>
        <v>18153.846153846152</v>
      </c>
      <c r="E31" s="91">
        <f>IF(3&lt;='I_Inputs &amp; Assumptions'!$B$8,IF('I_Budget Input Data'!$E$31="Upfront",IF(3=1,'I_Budget Input Data'!$D$31,0),IF('I_Budget Input Data'!$E$31="Equal",'I_Budget Input Data'!$D$31/'I_Inputs &amp; Assumptions'!$B$8,IF('I_Budget Input Data'!$E$31="Front-loaded",IF(3&lt;='I_Inputs &amp; Assumptions'!$B$8/2,'I_Budget Input Data'!$D$31*0.6/('I_Inputs &amp; Assumptions'!$B$8/2),'I_Budget Input Data'!$D$31*0.4/('I_Inputs &amp; Assumptions'!$B$8/2)),IF('I_Budget Input Data'!$E$31="Back-loaded",IF(3&lt;='I_Inputs &amp; Assumptions'!$B$8/2,'I_Budget Input Data'!$D$31*0.4/('I_Inputs &amp; Assumptions'!$B$8/2),'I_Budget Input Data'!$D$31*0.6/('I_Inputs &amp; Assumptions'!$B$8/2)),IF('I_Budget Input Data'!$E$31="Mid-weighted",IF(3&lt;='I_Inputs &amp; Assumptions'!$B$8/4,'I_Budget Input Data'!$D$31*0.2/('I_Inputs &amp; Assumptions'!$B$8/4),IF(3&lt;='I_Inputs &amp; Assumptions'!$B$8*0.75,'I_Budget Input Data'!$D$31*0.6/('I_Inputs &amp; Assumptions'!$B$8/2),'I_Budget Input Data'!$D$31*0.2/('I_Inputs &amp; Assumptions'!$B$8/4))),IF('I_Budget Input Data'!$E$31="At Completion",IF(3='I_Inputs &amp; Assumptions'!$B$8,'I_Budget Input Data'!$D$31,0),'I_Budget Input Data'!$D$31/'I_Inputs &amp; Assumptions'!$B$8)))))),0)</f>
        <v>18153.846153846152</v>
      </c>
      <c r="F31" s="91">
        <f>IF(4&lt;='I_Inputs &amp; Assumptions'!$B$8,IF('I_Budget Input Data'!$E$31="Upfront",IF(4=1,'I_Budget Input Data'!$D$31,0),IF('I_Budget Input Data'!$E$31="Equal",'I_Budget Input Data'!$D$31/'I_Inputs &amp; Assumptions'!$B$8,IF('I_Budget Input Data'!$E$31="Front-loaded",IF(4&lt;='I_Inputs &amp; Assumptions'!$B$8/2,'I_Budget Input Data'!$D$31*0.6/('I_Inputs &amp; Assumptions'!$B$8/2),'I_Budget Input Data'!$D$31*0.4/('I_Inputs &amp; Assumptions'!$B$8/2)),IF('I_Budget Input Data'!$E$31="Back-loaded",IF(4&lt;='I_Inputs &amp; Assumptions'!$B$8/2,'I_Budget Input Data'!$D$31*0.4/('I_Inputs &amp; Assumptions'!$B$8/2),'I_Budget Input Data'!$D$31*0.6/('I_Inputs &amp; Assumptions'!$B$8/2)),IF('I_Budget Input Data'!$E$31="Mid-weighted",IF(4&lt;='I_Inputs &amp; Assumptions'!$B$8/4,'I_Budget Input Data'!$D$31*0.2/('I_Inputs &amp; Assumptions'!$B$8/4),IF(4&lt;='I_Inputs &amp; Assumptions'!$B$8*0.75,'I_Budget Input Data'!$D$31*0.6/('I_Inputs &amp; Assumptions'!$B$8/2),'I_Budget Input Data'!$D$31*0.2/('I_Inputs &amp; Assumptions'!$B$8/4))),IF('I_Budget Input Data'!$E$31="At Completion",IF(4='I_Inputs &amp; Assumptions'!$B$8,'I_Budget Input Data'!$D$31,0),'I_Budget Input Data'!$D$31/'I_Inputs &amp; Assumptions'!$B$8)))))),0)</f>
        <v>18153.846153846152</v>
      </c>
      <c r="G31" s="91">
        <f>IF(5&lt;='I_Inputs &amp; Assumptions'!$B$8,IF('I_Budget Input Data'!$E$31="Upfront",IF(5=1,'I_Budget Input Data'!$D$31,0),IF('I_Budget Input Data'!$E$31="Equal",'I_Budget Input Data'!$D$31/'I_Inputs &amp; Assumptions'!$B$8,IF('I_Budget Input Data'!$E$31="Front-loaded",IF(5&lt;='I_Inputs &amp; Assumptions'!$B$8/2,'I_Budget Input Data'!$D$31*0.6/('I_Inputs &amp; Assumptions'!$B$8/2),'I_Budget Input Data'!$D$31*0.4/('I_Inputs &amp; Assumptions'!$B$8/2)),IF('I_Budget Input Data'!$E$31="Back-loaded",IF(5&lt;='I_Inputs &amp; Assumptions'!$B$8/2,'I_Budget Input Data'!$D$31*0.4/('I_Inputs &amp; Assumptions'!$B$8/2),'I_Budget Input Data'!$D$31*0.6/('I_Inputs &amp; Assumptions'!$B$8/2)),IF('I_Budget Input Data'!$E$31="Mid-weighted",IF(5&lt;='I_Inputs &amp; Assumptions'!$B$8/4,'I_Budget Input Data'!$D$31*0.2/('I_Inputs &amp; Assumptions'!$B$8/4),IF(5&lt;='I_Inputs &amp; Assumptions'!$B$8*0.75,'I_Budget Input Data'!$D$31*0.6/('I_Inputs &amp; Assumptions'!$B$8/2),'I_Budget Input Data'!$D$31*0.2/('I_Inputs &amp; Assumptions'!$B$8/4))),IF('I_Budget Input Data'!$E$31="At Completion",IF(5='I_Inputs &amp; Assumptions'!$B$8,'I_Budget Input Data'!$D$31,0),'I_Budget Input Data'!$D$31/'I_Inputs &amp; Assumptions'!$B$8)))))),0)</f>
        <v>18153.846153846152</v>
      </c>
      <c r="H31" s="91">
        <f>IF(6&lt;='I_Inputs &amp; Assumptions'!$B$8,IF('I_Budget Input Data'!$E$31="Upfront",IF(6=1,'I_Budget Input Data'!$D$31,0),IF('I_Budget Input Data'!$E$31="Equal",'I_Budget Input Data'!$D$31/'I_Inputs &amp; Assumptions'!$B$8,IF('I_Budget Input Data'!$E$31="Front-loaded",IF(6&lt;='I_Inputs &amp; Assumptions'!$B$8/2,'I_Budget Input Data'!$D$31*0.6/('I_Inputs &amp; Assumptions'!$B$8/2),'I_Budget Input Data'!$D$31*0.4/('I_Inputs &amp; Assumptions'!$B$8/2)),IF('I_Budget Input Data'!$E$31="Back-loaded",IF(6&lt;='I_Inputs &amp; Assumptions'!$B$8/2,'I_Budget Input Data'!$D$31*0.4/('I_Inputs &amp; Assumptions'!$B$8/2),'I_Budget Input Data'!$D$31*0.6/('I_Inputs &amp; Assumptions'!$B$8/2)),IF('I_Budget Input Data'!$E$31="Mid-weighted",IF(6&lt;='I_Inputs &amp; Assumptions'!$B$8/4,'I_Budget Input Data'!$D$31*0.2/('I_Inputs &amp; Assumptions'!$B$8/4),IF(6&lt;='I_Inputs &amp; Assumptions'!$B$8*0.75,'I_Budget Input Data'!$D$31*0.6/('I_Inputs &amp; Assumptions'!$B$8/2),'I_Budget Input Data'!$D$31*0.2/('I_Inputs &amp; Assumptions'!$B$8/4))),IF('I_Budget Input Data'!$E$31="At Completion",IF(6='I_Inputs &amp; Assumptions'!$B$8,'I_Budget Input Data'!$D$31,0),'I_Budget Input Data'!$D$31/'I_Inputs &amp; Assumptions'!$B$8)))))),0)</f>
        <v>18153.846153846152</v>
      </c>
      <c r="I31" s="91">
        <f>IF(7&lt;='I_Inputs &amp; Assumptions'!$B$8,IF('I_Budget Input Data'!$E$31="Upfront",IF(7=1,'I_Budget Input Data'!$D$31,0),IF('I_Budget Input Data'!$E$31="Equal",'I_Budget Input Data'!$D$31/'I_Inputs &amp; Assumptions'!$B$8,IF('I_Budget Input Data'!$E$31="Front-loaded",IF(7&lt;='I_Inputs &amp; Assumptions'!$B$8/2,'I_Budget Input Data'!$D$31*0.6/('I_Inputs &amp; Assumptions'!$B$8/2),'I_Budget Input Data'!$D$31*0.4/('I_Inputs &amp; Assumptions'!$B$8/2)),IF('I_Budget Input Data'!$E$31="Back-loaded",IF(7&lt;='I_Inputs &amp; Assumptions'!$B$8/2,'I_Budget Input Data'!$D$31*0.4/('I_Inputs &amp; Assumptions'!$B$8/2),'I_Budget Input Data'!$D$31*0.6/('I_Inputs &amp; Assumptions'!$B$8/2)),IF('I_Budget Input Data'!$E$31="Mid-weighted",IF(7&lt;='I_Inputs &amp; Assumptions'!$B$8/4,'I_Budget Input Data'!$D$31*0.2/('I_Inputs &amp; Assumptions'!$B$8/4),IF(7&lt;='I_Inputs &amp; Assumptions'!$B$8*0.75,'I_Budget Input Data'!$D$31*0.6/('I_Inputs &amp; Assumptions'!$B$8/2),'I_Budget Input Data'!$D$31*0.2/('I_Inputs &amp; Assumptions'!$B$8/4))),IF('I_Budget Input Data'!$E$31="At Completion",IF(7='I_Inputs &amp; Assumptions'!$B$8,'I_Budget Input Data'!$D$31,0),'I_Budget Input Data'!$D$31/'I_Inputs &amp; Assumptions'!$B$8)))))),0)</f>
        <v>18153.846153846152</v>
      </c>
      <c r="J31" s="91">
        <f>IF(8&lt;='I_Inputs &amp; Assumptions'!$B$8,IF('I_Budget Input Data'!$E$31="Upfront",IF(8=1,'I_Budget Input Data'!$D$31,0),IF('I_Budget Input Data'!$E$31="Equal",'I_Budget Input Data'!$D$31/'I_Inputs &amp; Assumptions'!$B$8,IF('I_Budget Input Data'!$E$31="Front-loaded",IF(8&lt;='I_Inputs &amp; Assumptions'!$B$8/2,'I_Budget Input Data'!$D$31*0.6/('I_Inputs &amp; Assumptions'!$B$8/2),'I_Budget Input Data'!$D$31*0.4/('I_Inputs &amp; Assumptions'!$B$8/2)),IF('I_Budget Input Data'!$E$31="Back-loaded",IF(8&lt;='I_Inputs &amp; Assumptions'!$B$8/2,'I_Budget Input Data'!$D$31*0.4/('I_Inputs &amp; Assumptions'!$B$8/2),'I_Budget Input Data'!$D$31*0.6/('I_Inputs &amp; Assumptions'!$B$8/2)),IF('I_Budget Input Data'!$E$31="Mid-weighted",IF(8&lt;='I_Inputs &amp; Assumptions'!$B$8/4,'I_Budget Input Data'!$D$31*0.2/('I_Inputs &amp; Assumptions'!$B$8/4),IF(8&lt;='I_Inputs &amp; Assumptions'!$B$8*0.75,'I_Budget Input Data'!$D$31*0.6/('I_Inputs &amp; Assumptions'!$B$8/2),'I_Budget Input Data'!$D$31*0.2/('I_Inputs &amp; Assumptions'!$B$8/4))),IF('I_Budget Input Data'!$E$31="At Completion",IF(8='I_Inputs &amp; Assumptions'!$B$8,'I_Budget Input Data'!$D$31,0),'I_Budget Input Data'!$D$31/'I_Inputs &amp; Assumptions'!$B$8)))))),0)</f>
        <v>18153.846153846152</v>
      </c>
      <c r="K31" s="91">
        <f>IF(9&lt;='I_Inputs &amp; Assumptions'!$B$8,IF('I_Budget Input Data'!$E$31="Upfront",IF(9=1,'I_Budget Input Data'!$D$31,0),IF('I_Budget Input Data'!$E$31="Equal",'I_Budget Input Data'!$D$31/'I_Inputs &amp; Assumptions'!$B$8,IF('I_Budget Input Data'!$E$31="Front-loaded",IF(9&lt;='I_Inputs &amp; Assumptions'!$B$8/2,'I_Budget Input Data'!$D$31*0.6/('I_Inputs &amp; Assumptions'!$B$8/2),'I_Budget Input Data'!$D$31*0.4/('I_Inputs &amp; Assumptions'!$B$8/2)),IF('I_Budget Input Data'!$E$31="Back-loaded",IF(9&lt;='I_Inputs &amp; Assumptions'!$B$8/2,'I_Budget Input Data'!$D$31*0.4/('I_Inputs &amp; Assumptions'!$B$8/2),'I_Budget Input Data'!$D$31*0.6/('I_Inputs &amp; Assumptions'!$B$8/2)),IF('I_Budget Input Data'!$E$31="Mid-weighted",IF(9&lt;='I_Inputs &amp; Assumptions'!$B$8/4,'I_Budget Input Data'!$D$31*0.2/('I_Inputs &amp; Assumptions'!$B$8/4),IF(9&lt;='I_Inputs &amp; Assumptions'!$B$8*0.75,'I_Budget Input Data'!$D$31*0.6/('I_Inputs &amp; Assumptions'!$B$8/2),'I_Budget Input Data'!$D$31*0.2/('I_Inputs &amp; Assumptions'!$B$8/4))),IF('I_Budget Input Data'!$E$31="At Completion",IF(9='I_Inputs &amp; Assumptions'!$B$8,'I_Budget Input Data'!$D$31,0),'I_Budget Input Data'!$D$31/'I_Inputs &amp; Assumptions'!$B$8)))))),0)</f>
        <v>18153.846153846152</v>
      </c>
      <c r="L31" s="91">
        <f>IF(10&lt;='I_Inputs &amp; Assumptions'!$B$8,IF('I_Budget Input Data'!$E$31="Upfront",IF(10=1,'I_Budget Input Data'!$D$31,0),IF('I_Budget Input Data'!$E$31="Equal",'I_Budget Input Data'!$D$31/'I_Inputs &amp; Assumptions'!$B$8,IF('I_Budget Input Data'!$E$31="Front-loaded",IF(10&lt;='I_Inputs &amp; Assumptions'!$B$8/2,'I_Budget Input Data'!$D$31*0.6/('I_Inputs &amp; Assumptions'!$B$8/2),'I_Budget Input Data'!$D$31*0.4/('I_Inputs &amp; Assumptions'!$B$8/2)),IF('I_Budget Input Data'!$E$31="Back-loaded",IF(10&lt;='I_Inputs &amp; Assumptions'!$B$8/2,'I_Budget Input Data'!$D$31*0.4/('I_Inputs &amp; Assumptions'!$B$8/2),'I_Budget Input Data'!$D$31*0.6/('I_Inputs &amp; Assumptions'!$B$8/2)),IF('I_Budget Input Data'!$E$31="Mid-weighted",IF(10&lt;='I_Inputs &amp; Assumptions'!$B$8/4,'I_Budget Input Data'!$D$31*0.2/('I_Inputs &amp; Assumptions'!$B$8/4),IF(10&lt;='I_Inputs &amp; Assumptions'!$B$8*0.75,'I_Budget Input Data'!$D$31*0.6/('I_Inputs &amp; Assumptions'!$B$8/2),'I_Budget Input Data'!$D$31*0.2/('I_Inputs &amp; Assumptions'!$B$8/4))),IF('I_Budget Input Data'!$E$31="At Completion",IF(10='I_Inputs &amp; Assumptions'!$B$8,'I_Budget Input Data'!$D$31,0),'I_Budget Input Data'!$D$31/'I_Inputs &amp; Assumptions'!$B$8)))))),0)</f>
        <v>18153.846153846152</v>
      </c>
      <c r="M31" s="91">
        <f>IF(11&lt;='I_Inputs &amp; Assumptions'!$B$8,IF('I_Budget Input Data'!$E$31="Upfront",IF(11=1,'I_Budget Input Data'!$D$31,0),IF('I_Budget Input Data'!$E$31="Equal",'I_Budget Input Data'!$D$31/'I_Inputs &amp; Assumptions'!$B$8,IF('I_Budget Input Data'!$E$31="Front-loaded",IF(11&lt;='I_Inputs &amp; Assumptions'!$B$8/2,'I_Budget Input Data'!$D$31*0.6/('I_Inputs &amp; Assumptions'!$B$8/2),'I_Budget Input Data'!$D$31*0.4/('I_Inputs &amp; Assumptions'!$B$8/2)),IF('I_Budget Input Data'!$E$31="Back-loaded",IF(11&lt;='I_Inputs &amp; Assumptions'!$B$8/2,'I_Budget Input Data'!$D$31*0.4/('I_Inputs &amp; Assumptions'!$B$8/2),'I_Budget Input Data'!$D$31*0.6/('I_Inputs &amp; Assumptions'!$B$8/2)),IF('I_Budget Input Data'!$E$31="Mid-weighted",IF(11&lt;='I_Inputs &amp; Assumptions'!$B$8/4,'I_Budget Input Data'!$D$31*0.2/('I_Inputs &amp; Assumptions'!$B$8/4),IF(11&lt;='I_Inputs &amp; Assumptions'!$B$8*0.75,'I_Budget Input Data'!$D$31*0.6/('I_Inputs &amp; Assumptions'!$B$8/2),'I_Budget Input Data'!$D$31*0.2/('I_Inputs &amp; Assumptions'!$B$8/4))),IF('I_Budget Input Data'!$E$31="At Completion",IF(11='I_Inputs &amp; Assumptions'!$B$8,'I_Budget Input Data'!$D$31,0),'I_Budget Input Data'!$D$31/'I_Inputs &amp; Assumptions'!$B$8)))))),0)</f>
        <v>18153.846153846152</v>
      </c>
      <c r="N31" s="91">
        <f>IF(12&lt;='I_Inputs &amp; Assumptions'!$B$8,IF('I_Budget Input Data'!$E$31="Upfront",IF(12=1,'I_Budget Input Data'!$D$31,0),IF('I_Budget Input Data'!$E$31="Equal",'I_Budget Input Data'!$D$31/'I_Inputs &amp; Assumptions'!$B$8,IF('I_Budget Input Data'!$E$31="Front-loaded",IF(12&lt;='I_Inputs &amp; Assumptions'!$B$8/2,'I_Budget Input Data'!$D$31*0.6/('I_Inputs &amp; Assumptions'!$B$8/2),'I_Budget Input Data'!$D$31*0.4/('I_Inputs &amp; Assumptions'!$B$8/2)),IF('I_Budget Input Data'!$E$31="Back-loaded",IF(12&lt;='I_Inputs &amp; Assumptions'!$B$8/2,'I_Budget Input Data'!$D$31*0.4/('I_Inputs &amp; Assumptions'!$B$8/2),'I_Budget Input Data'!$D$31*0.6/('I_Inputs &amp; Assumptions'!$B$8/2)),IF('I_Budget Input Data'!$E$31="Mid-weighted",IF(12&lt;='I_Inputs &amp; Assumptions'!$B$8/4,'I_Budget Input Data'!$D$31*0.2/('I_Inputs &amp; Assumptions'!$B$8/4),IF(12&lt;='I_Inputs &amp; Assumptions'!$B$8*0.75,'I_Budget Input Data'!$D$31*0.6/('I_Inputs &amp; Assumptions'!$B$8/2),'I_Budget Input Data'!$D$31*0.2/('I_Inputs &amp; Assumptions'!$B$8/4))),IF('I_Budget Input Data'!$E$31="At Completion",IF(12='I_Inputs &amp; Assumptions'!$B$8,'I_Budget Input Data'!$D$31,0),'I_Budget Input Data'!$D$31/'I_Inputs &amp; Assumptions'!$B$8)))))),0)</f>
        <v>18153.846153846152</v>
      </c>
      <c r="O31" s="91">
        <f>IF(13&lt;='I_Inputs &amp; Assumptions'!$B$8,IF('I_Budget Input Data'!$E$31="Upfront",IF(13=1,'I_Budget Input Data'!$D$31,0),IF('I_Budget Input Data'!$E$31="Equal",'I_Budget Input Data'!$D$31/'I_Inputs &amp; Assumptions'!$B$8,IF('I_Budget Input Data'!$E$31="Front-loaded",IF(13&lt;='I_Inputs &amp; Assumptions'!$B$8/2,'I_Budget Input Data'!$D$31*0.6/('I_Inputs &amp; Assumptions'!$B$8/2),'I_Budget Input Data'!$D$31*0.4/('I_Inputs &amp; Assumptions'!$B$8/2)),IF('I_Budget Input Data'!$E$31="Back-loaded",IF(13&lt;='I_Inputs &amp; Assumptions'!$B$8/2,'I_Budget Input Data'!$D$31*0.4/('I_Inputs &amp; Assumptions'!$B$8/2),'I_Budget Input Data'!$D$31*0.6/('I_Inputs &amp; Assumptions'!$B$8/2)),IF('I_Budget Input Data'!$E$31="Mid-weighted",IF(13&lt;='I_Inputs &amp; Assumptions'!$B$8/4,'I_Budget Input Data'!$D$31*0.2/('I_Inputs &amp; Assumptions'!$B$8/4),IF(13&lt;='I_Inputs &amp; Assumptions'!$B$8*0.75,'I_Budget Input Data'!$D$31*0.6/('I_Inputs &amp; Assumptions'!$B$8/2),'I_Budget Input Data'!$D$31*0.2/('I_Inputs &amp; Assumptions'!$B$8/4))),IF('I_Budget Input Data'!$E$31="At Completion",IF(13='I_Inputs &amp; Assumptions'!$B$8,'I_Budget Input Data'!$D$31,0),'I_Budget Input Data'!$D$31/'I_Inputs &amp; Assumptions'!$B$8)))))),0)</f>
        <v>18153.846153846152</v>
      </c>
      <c r="P31" s="91">
        <f>IF(14&lt;='I_Inputs &amp; Assumptions'!$B$8,IF('I_Budget Input Data'!$E$31="Upfront",IF(14=1,'I_Budget Input Data'!$D$31,0),IF('I_Budget Input Data'!$E$31="Equal",'I_Budget Input Data'!$D$31/'I_Inputs &amp; Assumptions'!$B$8,IF('I_Budget Input Data'!$E$31="Front-loaded",IF(14&lt;='I_Inputs &amp; Assumptions'!$B$8/2,'I_Budget Input Data'!$D$31*0.6/('I_Inputs &amp; Assumptions'!$B$8/2),'I_Budget Input Data'!$D$31*0.4/('I_Inputs &amp; Assumptions'!$B$8/2)),IF('I_Budget Input Data'!$E$31="Back-loaded",IF(14&lt;='I_Inputs &amp; Assumptions'!$B$8/2,'I_Budget Input Data'!$D$31*0.4/('I_Inputs &amp; Assumptions'!$B$8/2),'I_Budget Input Data'!$D$31*0.6/('I_Inputs &amp; Assumptions'!$B$8/2)),IF('I_Budget Input Data'!$E$31="Mid-weighted",IF(14&lt;='I_Inputs &amp; Assumptions'!$B$8/4,'I_Budget Input Data'!$D$31*0.2/('I_Inputs &amp; Assumptions'!$B$8/4),IF(14&lt;='I_Inputs &amp; Assumptions'!$B$8*0.75,'I_Budget Input Data'!$D$31*0.6/('I_Inputs &amp; Assumptions'!$B$8/2),'I_Budget Input Data'!$D$31*0.2/('I_Inputs &amp; Assumptions'!$B$8/4))),IF('I_Budget Input Data'!$E$31="At Completion",IF(14='I_Inputs &amp; Assumptions'!$B$8,'I_Budget Input Data'!$D$31,0),'I_Budget Input Data'!$D$31/'I_Inputs &amp; Assumptions'!$B$8)))))),0)</f>
        <v>0</v>
      </c>
      <c r="Q31" s="91">
        <f>IF(15&lt;='I_Inputs &amp; Assumptions'!$B$8,IF('I_Budget Input Data'!$E$31="Upfront",IF(15=1,'I_Budget Input Data'!$D$31,0),IF('I_Budget Input Data'!$E$31="Equal",'I_Budget Input Data'!$D$31/'I_Inputs &amp; Assumptions'!$B$8,IF('I_Budget Input Data'!$E$31="Front-loaded",IF(15&lt;='I_Inputs &amp; Assumptions'!$B$8/2,'I_Budget Input Data'!$D$31*0.6/('I_Inputs &amp; Assumptions'!$B$8/2),'I_Budget Input Data'!$D$31*0.4/('I_Inputs &amp; Assumptions'!$B$8/2)),IF('I_Budget Input Data'!$E$31="Back-loaded",IF(15&lt;='I_Inputs &amp; Assumptions'!$B$8/2,'I_Budget Input Data'!$D$31*0.4/('I_Inputs &amp; Assumptions'!$B$8/2),'I_Budget Input Data'!$D$31*0.6/('I_Inputs &amp; Assumptions'!$B$8/2)),IF('I_Budget Input Data'!$E$31="Mid-weighted",IF(15&lt;='I_Inputs &amp; Assumptions'!$B$8/4,'I_Budget Input Data'!$D$31*0.2/('I_Inputs &amp; Assumptions'!$B$8/4),IF(15&lt;='I_Inputs &amp; Assumptions'!$B$8*0.75,'I_Budget Input Data'!$D$31*0.6/('I_Inputs &amp; Assumptions'!$B$8/2),'I_Budget Input Data'!$D$31*0.2/('I_Inputs &amp; Assumptions'!$B$8/4))),IF('I_Budget Input Data'!$E$31="At Completion",IF(15='I_Inputs &amp; Assumptions'!$B$8,'I_Budget Input Data'!$D$31,0),'I_Budget Input Data'!$D$31/'I_Inputs &amp; Assumptions'!$B$8)))))),0)</f>
        <v>0</v>
      </c>
      <c r="R31" s="91">
        <f>IF(16&lt;='I_Inputs &amp; Assumptions'!$B$8,IF('I_Budget Input Data'!$E$31="Upfront",IF(16=1,'I_Budget Input Data'!$D$31,0),IF('I_Budget Input Data'!$E$31="Equal",'I_Budget Input Data'!$D$31/'I_Inputs &amp; Assumptions'!$B$8,IF('I_Budget Input Data'!$E$31="Front-loaded",IF(16&lt;='I_Inputs &amp; Assumptions'!$B$8/2,'I_Budget Input Data'!$D$31*0.6/('I_Inputs &amp; Assumptions'!$B$8/2),'I_Budget Input Data'!$D$31*0.4/('I_Inputs &amp; Assumptions'!$B$8/2)),IF('I_Budget Input Data'!$E$31="Back-loaded",IF(16&lt;='I_Inputs &amp; Assumptions'!$B$8/2,'I_Budget Input Data'!$D$31*0.4/('I_Inputs &amp; Assumptions'!$B$8/2),'I_Budget Input Data'!$D$31*0.6/('I_Inputs &amp; Assumptions'!$B$8/2)),IF('I_Budget Input Data'!$E$31="Mid-weighted",IF(16&lt;='I_Inputs &amp; Assumptions'!$B$8/4,'I_Budget Input Data'!$D$31*0.2/('I_Inputs &amp; Assumptions'!$B$8/4),IF(16&lt;='I_Inputs &amp; Assumptions'!$B$8*0.75,'I_Budget Input Data'!$D$31*0.6/('I_Inputs &amp; Assumptions'!$B$8/2),'I_Budget Input Data'!$D$31*0.2/('I_Inputs &amp; Assumptions'!$B$8/4))),IF('I_Budget Input Data'!$E$31="At Completion",IF(16='I_Inputs &amp; Assumptions'!$B$8,'I_Budget Input Data'!$D$31,0),'I_Budget Input Data'!$D$31/'I_Inputs &amp; Assumptions'!$B$8)))))),0)</f>
        <v>0</v>
      </c>
      <c r="S31" s="91">
        <f>IF(17&lt;='I_Inputs &amp; Assumptions'!$B$8,IF('I_Budget Input Data'!$E$31="Upfront",IF(17=1,'I_Budget Input Data'!$D$31,0),IF('I_Budget Input Data'!$E$31="Equal",'I_Budget Input Data'!$D$31/'I_Inputs &amp; Assumptions'!$B$8,IF('I_Budget Input Data'!$E$31="Front-loaded",IF(17&lt;='I_Inputs &amp; Assumptions'!$B$8/2,'I_Budget Input Data'!$D$31*0.6/('I_Inputs &amp; Assumptions'!$B$8/2),'I_Budget Input Data'!$D$31*0.4/('I_Inputs &amp; Assumptions'!$B$8/2)),IF('I_Budget Input Data'!$E$31="Back-loaded",IF(17&lt;='I_Inputs &amp; Assumptions'!$B$8/2,'I_Budget Input Data'!$D$31*0.4/('I_Inputs &amp; Assumptions'!$B$8/2),'I_Budget Input Data'!$D$31*0.6/('I_Inputs &amp; Assumptions'!$B$8/2)),IF('I_Budget Input Data'!$E$31="Mid-weighted",IF(17&lt;='I_Inputs &amp; Assumptions'!$B$8/4,'I_Budget Input Data'!$D$31*0.2/('I_Inputs &amp; Assumptions'!$B$8/4),IF(17&lt;='I_Inputs &amp; Assumptions'!$B$8*0.75,'I_Budget Input Data'!$D$31*0.6/('I_Inputs &amp; Assumptions'!$B$8/2),'I_Budget Input Data'!$D$31*0.2/('I_Inputs &amp; Assumptions'!$B$8/4))),IF('I_Budget Input Data'!$E$31="At Completion",IF(17='I_Inputs &amp; Assumptions'!$B$8,'I_Budget Input Data'!$D$31,0),'I_Budget Input Data'!$D$31/'I_Inputs &amp; Assumptions'!$B$8)))))),0)</f>
        <v>0</v>
      </c>
      <c r="T31" s="91">
        <f>IF(18&lt;='I_Inputs &amp; Assumptions'!$B$8,IF('I_Budget Input Data'!$E$31="Upfront",IF(18=1,'I_Budget Input Data'!$D$31,0),IF('I_Budget Input Data'!$E$31="Equal",'I_Budget Input Data'!$D$31/'I_Inputs &amp; Assumptions'!$B$8,IF('I_Budget Input Data'!$E$31="Front-loaded",IF(18&lt;='I_Inputs &amp; Assumptions'!$B$8/2,'I_Budget Input Data'!$D$31*0.6/('I_Inputs &amp; Assumptions'!$B$8/2),'I_Budget Input Data'!$D$31*0.4/('I_Inputs &amp; Assumptions'!$B$8/2)),IF('I_Budget Input Data'!$E$31="Back-loaded",IF(18&lt;='I_Inputs &amp; Assumptions'!$B$8/2,'I_Budget Input Data'!$D$31*0.4/('I_Inputs &amp; Assumptions'!$B$8/2),'I_Budget Input Data'!$D$31*0.6/('I_Inputs &amp; Assumptions'!$B$8/2)),IF('I_Budget Input Data'!$E$31="Mid-weighted",IF(18&lt;='I_Inputs &amp; Assumptions'!$B$8/4,'I_Budget Input Data'!$D$31*0.2/('I_Inputs &amp; Assumptions'!$B$8/4),IF(18&lt;='I_Inputs &amp; Assumptions'!$B$8*0.75,'I_Budget Input Data'!$D$31*0.6/('I_Inputs &amp; Assumptions'!$B$8/2),'I_Budget Input Data'!$D$31*0.2/('I_Inputs &amp; Assumptions'!$B$8/4))),IF('I_Budget Input Data'!$E$31="At Completion",IF(18='I_Inputs &amp; Assumptions'!$B$8,'I_Budget Input Data'!$D$31,0),'I_Budget Input Data'!$D$31/'I_Inputs &amp; Assumptions'!$B$8)))))),0)</f>
        <v>0</v>
      </c>
      <c r="U31" s="91">
        <f>IF(19&lt;='I_Inputs &amp; Assumptions'!$B$8,IF('I_Budget Input Data'!$E$31="Upfront",IF(19=1,'I_Budget Input Data'!$D$31,0),IF('I_Budget Input Data'!$E$31="Equal",'I_Budget Input Data'!$D$31/'I_Inputs &amp; Assumptions'!$B$8,IF('I_Budget Input Data'!$E$31="Front-loaded",IF(19&lt;='I_Inputs &amp; Assumptions'!$B$8/2,'I_Budget Input Data'!$D$31*0.6/('I_Inputs &amp; Assumptions'!$B$8/2),'I_Budget Input Data'!$D$31*0.4/('I_Inputs &amp; Assumptions'!$B$8/2)),IF('I_Budget Input Data'!$E$31="Back-loaded",IF(19&lt;='I_Inputs &amp; Assumptions'!$B$8/2,'I_Budget Input Data'!$D$31*0.4/('I_Inputs &amp; Assumptions'!$B$8/2),'I_Budget Input Data'!$D$31*0.6/('I_Inputs &amp; Assumptions'!$B$8/2)),IF('I_Budget Input Data'!$E$31="Mid-weighted",IF(19&lt;='I_Inputs &amp; Assumptions'!$B$8/4,'I_Budget Input Data'!$D$31*0.2/('I_Inputs &amp; Assumptions'!$B$8/4),IF(19&lt;='I_Inputs &amp; Assumptions'!$B$8*0.75,'I_Budget Input Data'!$D$31*0.6/('I_Inputs &amp; Assumptions'!$B$8/2),'I_Budget Input Data'!$D$31*0.2/('I_Inputs &amp; Assumptions'!$B$8/4))),IF('I_Budget Input Data'!$E$31="At Completion",IF(19='I_Inputs &amp; Assumptions'!$B$8,'I_Budget Input Data'!$D$31,0),'I_Budget Input Data'!$D$31/'I_Inputs &amp; Assumptions'!$B$8)))))),0)</f>
        <v>0</v>
      </c>
      <c r="V31" s="91">
        <f>IF(20&lt;='I_Inputs &amp; Assumptions'!$B$8,IF('I_Budget Input Data'!$E$31="Upfront",IF(20=1,'I_Budget Input Data'!$D$31,0),IF('I_Budget Input Data'!$E$31="Equal",'I_Budget Input Data'!$D$31/'I_Inputs &amp; Assumptions'!$B$8,IF('I_Budget Input Data'!$E$31="Front-loaded",IF(20&lt;='I_Inputs &amp; Assumptions'!$B$8/2,'I_Budget Input Data'!$D$31*0.6/('I_Inputs &amp; Assumptions'!$B$8/2),'I_Budget Input Data'!$D$31*0.4/('I_Inputs &amp; Assumptions'!$B$8/2)),IF('I_Budget Input Data'!$E$31="Back-loaded",IF(20&lt;='I_Inputs &amp; Assumptions'!$B$8/2,'I_Budget Input Data'!$D$31*0.4/('I_Inputs &amp; Assumptions'!$B$8/2),'I_Budget Input Data'!$D$31*0.6/('I_Inputs &amp; Assumptions'!$B$8/2)),IF('I_Budget Input Data'!$E$31="Mid-weighted",IF(20&lt;='I_Inputs &amp; Assumptions'!$B$8/4,'I_Budget Input Data'!$D$31*0.2/('I_Inputs &amp; Assumptions'!$B$8/4),IF(20&lt;='I_Inputs &amp; Assumptions'!$B$8*0.75,'I_Budget Input Data'!$D$31*0.6/('I_Inputs &amp; Assumptions'!$B$8/2),'I_Budget Input Data'!$D$31*0.2/('I_Inputs &amp; Assumptions'!$B$8/4))),IF('I_Budget Input Data'!$E$31="At Completion",IF(20='I_Inputs &amp; Assumptions'!$B$8,'I_Budget Input Data'!$D$31,0),'I_Budget Input Data'!$D$31/'I_Inputs &amp; Assumptions'!$B$8)))))),0)</f>
        <v>0</v>
      </c>
      <c r="W31" s="91">
        <f>IF(21&lt;='I_Inputs &amp; Assumptions'!$B$8,IF('I_Budget Input Data'!$E$31="Upfront",IF(21=1,'I_Budget Input Data'!$D$31,0),IF('I_Budget Input Data'!$E$31="Equal",'I_Budget Input Data'!$D$31/'I_Inputs &amp; Assumptions'!$B$8,IF('I_Budget Input Data'!$E$31="Front-loaded",IF(21&lt;='I_Inputs &amp; Assumptions'!$B$8/2,'I_Budget Input Data'!$D$31*0.6/('I_Inputs &amp; Assumptions'!$B$8/2),'I_Budget Input Data'!$D$31*0.4/('I_Inputs &amp; Assumptions'!$B$8/2)),IF('I_Budget Input Data'!$E$31="Back-loaded",IF(21&lt;='I_Inputs &amp; Assumptions'!$B$8/2,'I_Budget Input Data'!$D$31*0.4/('I_Inputs &amp; Assumptions'!$B$8/2),'I_Budget Input Data'!$D$31*0.6/('I_Inputs &amp; Assumptions'!$B$8/2)),IF('I_Budget Input Data'!$E$31="Mid-weighted",IF(21&lt;='I_Inputs &amp; Assumptions'!$B$8/4,'I_Budget Input Data'!$D$31*0.2/('I_Inputs &amp; Assumptions'!$B$8/4),IF(21&lt;='I_Inputs &amp; Assumptions'!$B$8*0.75,'I_Budget Input Data'!$D$31*0.6/('I_Inputs &amp; Assumptions'!$B$8/2),'I_Budget Input Data'!$D$31*0.2/('I_Inputs &amp; Assumptions'!$B$8/4))),IF('I_Budget Input Data'!$E$31="At Completion",IF(21='I_Inputs &amp; Assumptions'!$B$8,'I_Budget Input Data'!$D$31,0),'I_Budget Input Data'!$D$31/'I_Inputs &amp; Assumptions'!$B$8)))))),0)</f>
        <v>0</v>
      </c>
      <c r="X31" s="91">
        <f>IF(22&lt;='I_Inputs &amp; Assumptions'!$B$8,IF('I_Budget Input Data'!$E$31="Upfront",IF(22=1,'I_Budget Input Data'!$D$31,0),IF('I_Budget Input Data'!$E$31="Equal",'I_Budget Input Data'!$D$31/'I_Inputs &amp; Assumptions'!$B$8,IF('I_Budget Input Data'!$E$31="Front-loaded",IF(22&lt;='I_Inputs &amp; Assumptions'!$B$8/2,'I_Budget Input Data'!$D$31*0.6/('I_Inputs &amp; Assumptions'!$B$8/2),'I_Budget Input Data'!$D$31*0.4/('I_Inputs &amp; Assumptions'!$B$8/2)),IF('I_Budget Input Data'!$E$31="Back-loaded",IF(22&lt;='I_Inputs &amp; Assumptions'!$B$8/2,'I_Budget Input Data'!$D$31*0.4/('I_Inputs &amp; Assumptions'!$B$8/2),'I_Budget Input Data'!$D$31*0.6/('I_Inputs &amp; Assumptions'!$B$8/2)),IF('I_Budget Input Data'!$E$31="Mid-weighted",IF(22&lt;='I_Inputs &amp; Assumptions'!$B$8/4,'I_Budget Input Data'!$D$31*0.2/('I_Inputs &amp; Assumptions'!$B$8/4),IF(22&lt;='I_Inputs &amp; Assumptions'!$B$8*0.75,'I_Budget Input Data'!$D$31*0.6/('I_Inputs &amp; Assumptions'!$B$8/2),'I_Budget Input Data'!$D$31*0.2/('I_Inputs &amp; Assumptions'!$B$8/4))),IF('I_Budget Input Data'!$E$31="At Completion",IF(22='I_Inputs &amp; Assumptions'!$B$8,'I_Budget Input Data'!$D$31,0),'I_Budget Input Data'!$D$31/'I_Inputs &amp; Assumptions'!$B$8)))))),0)</f>
        <v>0</v>
      </c>
      <c r="Y31" s="91">
        <f>IF(23&lt;='I_Inputs &amp; Assumptions'!$B$8,IF('I_Budget Input Data'!$E$31="Upfront",IF(23=1,'I_Budget Input Data'!$D$31,0),IF('I_Budget Input Data'!$E$31="Equal",'I_Budget Input Data'!$D$31/'I_Inputs &amp; Assumptions'!$B$8,IF('I_Budget Input Data'!$E$31="Front-loaded",IF(23&lt;='I_Inputs &amp; Assumptions'!$B$8/2,'I_Budget Input Data'!$D$31*0.6/('I_Inputs &amp; Assumptions'!$B$8/2),'I_Budget Input Data'!$D$31*0.4/('I_Inputs &amp; Assumptions'!$B$8/2)),IF('I_Budget Input Data'!$E$31="Back-loaded",IF(23&lt;='I_Inputs &amp; Assumptions'!$B$8/2,'I_Budget Input Data'!$D$31*0.4/('I_Inputs &amp; Assumptions'!$B$8/2),'I_Budget Input Data'!$D$31*0.6/('I_Inputs &amp; Assumptions'!$B$8/2)),IF('I_Budget Input Data'!$E$31="Mid-weighted",IF(23&lt;='I_Inputs &amp; Assumptions'!$B$8/4,'I_Budget Input Data'!$D$31*0.2/('I_Inputs &amp; Assumptions'!$B$8/4),IF(23&lt;='I_Inputs &amp; Assumptions'!$B$8*0.75,'I_Budget Input Data'!$D$31*0.6/('I_Inputs &amp; Assumptions'!$B$8/2),'I_Budget Input Data'!$D$31*0.2/('I_Inputs &amp; Assumptions'!$B$8/4))),IF('I_Budget Input Data'!$E$31="At Completion",IF(23='I_Inputs &amp; Assumptions'!$B$8,'I_Budget Input Data'!$D$31,0),'I_Budget Input Data'!$D$31/'I_Inputs &amp; Assumptions'!$B$8)))))),0)</f>
        <v>0</v>
      </c>
      <c r="Z31" s="91">
        <f>IF(24&lt;='I_Inputs &amp; Assumptions'!$B$8,IF('I_Budget Input Data'!$E$31="Upfront",IF(24=1,'I_Budget Input Data'!$D$31,0),IF('I_Budget Input Data'!$E$31="Equal",'I_Budget Input Data'!$D$31/'I_Inputs &amp; Assumptions'!$B$8,IF('I_Budget Input Data'!$E$31="Front-loaded",IF(24&lt;='I_Inputs &amp; Assumptions'!$B$8/2,'I_Budget Input Data'!$D$31*0.6/('I_Inputs &amp; Assumptions'!$B$8/2),'I_Budget Input Data'!$D$31*0.4/('I_Inputs &amp; Assumptions'!$B$8/2)),IF('I_Budget Input Data'!$E$31="Back-loaded",IF(24&lt;='I_Inputs &amp; Assumptions'!$B$8/2,'I_Budget Input Data'!$D$31*0.4/('I_Inputs &amp; Assumptions'!$B$8/2),'I_Budget Input Data'!$D$31*0.6/('I_Inputs &amp; Assumptions'!$B$8/2)),IF('I_Budget Input Data'!$E$31="Mid-weighted",IF(24&lt;='I_Inputs &amp; Assumptions'!$B$8/4,'I_Budget Input Data'!$D$31*0.2/('I_Inputs &amp; Assumptions'!$B$8/4),IF(24&lt;='I_Inputs &amp; Assumptions'!$B$8*0.75,'I_Budget Input Data'!$D$31*0.6/('I_Inputs &amp; Assumptions'!$B$8/2),'I_Budget Input Data'!$D$31*0.2/('I_Inputs &amp; Assumptions'!$B$8/4))),IF('I_Budget Input Data'!$E$31="At Completion",IF(24='I_Inputs &amp; Assumptions'!$B$8,'I_Budget Input Data'!$D$31,0),'I_Budget Input Data'!$D$31/'I_Inputs &amp; Assumptions'!$B$8)))))),0)</f>
        <v>0</v>
      </c>
      <c r="AA31" s="91">
        <f>IF(25&lt;='I_Inputs &amp; Assumptions'!$B$8,IF('I_Budget Input Data'!$E$31="Upfront",IF(25=1,'I_Budget Input Data'!$D$31,0),IF('I_Budget Input Data'!$E$31="Equal",'I_Budget Input Data'!$D$31/'I_Inputs &amp; Assumptions'!$B$8,IF('I_Budget Input Data'!$E$31="Front-loaded",IF(25&lt;='I_Inputs &amp; Assumptions'!$B$8/2,'I_Budget Input Data'!$D$31*0.6/('I_Inputs &amp; Assumptions'!$B$8/2),'I_Budget Input Data'!$D$31*0.4/('I_Inputs &amp; Assumptions'!$B$8/2)),IF('I_Budget Input Data'!$E$31="Back-loaded",IF(25&lt;='I_Inputs &amp; Assumptions'!$B$8/2,'I_Budget Input Data'!$D$31*0.4/('I_Inputs &amp; Assumptions'!$B$8/2),'I_Budget Input Data'!$D$31*0.6/('I_Inputs &amp; Assumptions'!$B$8/2)),IF('I_Budget Input Data'!$E$31="Mid-weighted",IF(25&lt;='I_Inputs &amp; Assumptions'!$B$8/4,'I_Budget Input Data'!$D$31*0.2/('I_Inputs &amp; Assumptions'!$B$8/4),IF(25&lt;='I_Inputs &amp; Assumptions'!$B$8*0.75,'I_Budget Input Data'!$D$31*0.6/('I_Inputs &amp; Assumptions'!$B$8/2),'I_Budget Input Data'!$D$31*0.2/('I_Inputs &amp; Assumptions'!$B$8/4))),IF('I_Budget Input Data'!$E$31="At Completion",IF(25='I_Inputs &amp; Assumptions'!$B$8,'I_Budget Input Data'!$D$31,0),'I_Budget Input Data'!$D$31/'I_Inputs &amp; Assumptions'!$B$8)))))),0)</f>
        <v>0</v>
      </c>
      <c r="AB31" s="91">
        <f>IF(26&lt;='I_Inputs &amp; Assumptions'!$B$8,IF('I_Budget Input Data'!$E$31="Upfront",IF(26=1,'I_Budget Input Data'!$D$31,0),IF('I_Budget Input Data'!$E$31="Equal",'I_Budget Input Data'!$D$31/'I_Inputs &amp; Assumptions'!$B$8,IF('I_Budget Input Data'!$E$31="Front-loaded",IF(26&lt;='I_Inputs &amp; Assumptions'!$B$8/2,'I_Budget Input Data'!$D$31*0.6/('I_Inputs &amp; Assumptions'!$B$8/2),'I_Budget Input Data'!$D$31*0.4/('I_Inputs &amp; Assumptions'!$B$8/2)),IF('I_Budget Input Data'!$E$31="Back-loaded",IF(26&lt;='I_Inputs &amp; Assumptions'!$B$8/2,'I_Budget Input Data'!$D$31*0.4/('I_Inputs &amp; Assumptions'!$B$8/2),'I_Budget Input Data'!$D$31*0.6/('I_Inputs &amp; Assumptions'!$B$8/2)),IF('I_Budget Input Data'!$E$31="Mid-weighted",IF(26&lt;='I_Inputs &amp; Assumptions'!$B$8/4,'I_Budget Input Data'!$D$31*0.2/('I_Inputs &amp; Assumptions'!$B$8/4),IF(26&lt;='I_Inputs &amp; Assumptions'!$B$8*0.75,'I_Budget Input Data'!$D$31*0.6/('I_Inputs &amp; Assumptions'!$B$8/2),'I_Budget Input Data'!$D$31*0.2/('I_Inputs &amp; Assumptions'!$B$8/4))),IF('I_Budget Input Data'!$E$31="At Completion",IF(26='I_Inputs &amp; Assumptions'!$B$8,'I_Budget Input Data'!$D$31,0),'I_Budget Input Data'!$D$31/'I_Inputs &amp; Assumptions'!$B$8)))))),0)</f>
        <v>0</v>
      </c>
      <c r="AC31" s="91">
        <f>IF(27&lt;='I_Inputs &amp; Assumptions'!$B$8,IF('I_Budget Input Data'!$E$31="Upfront",IF(27=1,'I_Budget Input Data'!$D$31,0),IF('I_Budget Input Data'!$E$31="Equal",'I_Budget Input Data'!$D$31/'I_Inputs &amp; Assumptions'!$B$8,IF('I_Budget Input Data'!$E$31="Front-loaded",IF(27&lt;='I_Inputs &amp; Assumptions'!$B$8/2,'I_Budget Input Data'!$D$31*0.6/('I_Inputs &amp; Assumptions'!$B$8/2),'I_Budget Input Data'!$D$31*0.4/('I_Inputs &amp; Assumptions'!$B$8/2)),IF('I_Budget Input Data'!$E$31="Back-loaded",IF(27&lt;='I_Inputs &amp; Assumptions'!$B$8/2,'I_Budget Input Data'!$D$31*0.4/('I_Inputs &amp; Assumptions'!$B$8/2),'I_Budget Input Data'!$D$31*0.6/('I_Inputs &amp; Assumptions'!$B$8/2)),IF('I_Budget Input Data'!$E$31="Mid-weighted",IF(27&lt;='I_Inputs &amp; Assumptions'!$B$8/4,'I_Budget Input Data'!$D$31*0.2/('I_Inputs &amp; Assumptions'!$B$8/4),IF(27&lt;='I_Inputs &amp; Assumptions'!$B$8*0.75,'I_Budget Input Data'!$D$31*0.6/('I_Inputs &amp; Assumptions'!$B$8/2),'I_Budget Input Data'!$D$31*0.2/('I_Inputs &amp; Assumptions'!$B$8/4))),IF('I_Budget Input Data'!$E$31="At Completion",IF(27='I_Inputs &amp; Assumptions'!$B$8,'I_Budget Input Data'!$D$31,0),'I_Budget Input Data'!$D$31/'I_Inputs &amp; Assumptions'!$B$8)))))),0)</f>
        <v>0</v>
      </c>
      <c r="AD31" s="91">
        <f>IF(28&lt;='I_Inputs &amp; Assumptions'!$B$8,IF('I_Budget Input Data'!$E$31="Upfront",IF(28=1,'I_Budget Input Data'!$D$31,0),IF('I_Budget Input Data'!$E$31="Equal",'I_Budget Input Data'!$D$31/'I_Inputs &amp; Assumptions'!$B$8,IF('I_Budget Input Data'!$E$31="Front-loaded",IF(28&lt;='I_Inputs &amp; Assumptions'!$B$8/2,'I_Budget Input Data'!$D$31*0.6/('I_Inputs &amp; Assumptions'!$B$8/2),'I_Budget Input Data'!$D$31*0.4/('I_Inputs &amp; Assumptions'!$B$8/2)),IF('I_Budget Input Data'!$E$31="Back-loaded",IF(28&lt;='I_Inputs &amp; Assumptions'!$B$8/2,'I_Budget Input Data'!$D$31*0.4/('I_Inputs &amp; Assumptions'!$B$8/2),'I_Budget Input Data'!$D$31*0.6/('I_Inputs &amp; Assumptions'!$B$8/2)),IF('I_Budget Input Data'!$E$31="Mid-weighted",IF(28&lt;='I_Inputs &amp; Assumptions'!$B$8/4,'I_Budget Input Data'!$D$31*0.2/('I_Inputs &amp; Assumptions'!$B$8/4),IF(28&lt;='I_Inputs &amp; Assumptions'!$B$8*0.75,'I_Budget Input Data'!$D$31*0.6/('I_Inputs &amp; Assumptions'!$B$8/2),'I_Budget Input Data'!$D$31*0.2/('I_Inputs &amp; Assumptions'!$B$8/4))),IF('I_Budget Input Data'!$E$31="At Completion",IF(28='I_Inputs &amp; Assumptions'!$B$8,'I_Budget Input Data'!$D$31,0),'I_Budget Input Data'!$D$31/'I_Inputs &amp; Assumptions'!$B$8)))))),0)</f>
        <v>0</v>
      </c>
      <c r="AE31" s="91">
        <f>IF(29&lt;='I_Inputs &amp; Assumptions'!$B$8,IF('I_Budget Input Data'!$E$31="Upfront",IF(29=1,'I_Budget Input Data'!$D$31,0),IF('I_Budget Input Data'!$E$31="Equal",'I_Budget Input Data'!$D$31/'I_Inputs &amp; Assumptions'!$B$8,IF('I_Budget Input Data'!$E$31="Front-loaded",IF(29&lt;='I_Inputs &amp; Assumptions'!$B$8/2,'I_Budget Input Data'!$D$31*0.6/('I_Inputs &amp; Assumptions'!$B$8/2),'I_Budget Input Data'!$D$31*0.4/('I_Inputs &amp; Assumptions'!$B$8/2)),IF('I_Budget Input Data'!$E$31="Back-loaded",IF(29&lt;='I_Inputs &amp; Assumptions'!$B$8/2,'I_Budget Input Data'!$D$31*0.4/('I_Inputs &amp; Assumptions'!$B$8/2),'I_Budget Input Data'!$D$31*0.6/('I_Inputs &amp; Assumptions'!$B$8/2)),IF('I_Budget Input Data'!$E$31="Mid-weighted",IF(29&lt;='I_Inputs &amp; Assumptions'!$B$8/4,'I_Budget Input Data'!$D$31*0.2/('I_Inputs &amp; Assumptions'!$B$8/4),IF(29&lt;='I_Inputs &amp; Assumptions'!$B$8*0.75,'I_Budget Input Data'!$D$31*0.6/('I_Inputs &amp; Assumptions'!$B$8/2),'I_Budget Input Data'!$D$31*0.2/('I_Inputs &amp; Assumptions'!$B$8/4))),IF('I_Budget Input Data'!$E$31="At Completion",IF(29='I_Inputs &amp; Assumptions'!$B$8,'I_Budget Input Data'!$D$31,0),'I_Budget Input Data'!$D$31/'I_Inputs &amp; Assumptions'!$B$8)))))),0)</f>
        <v>0</v>
      </c>
      <c r="AF31" s="91">
        <f>IF(30&lt;='I_Inputs &amp; Assumptions'!$B$8,IF('I_Budget Input Data'!$E$31="Upfront",IF(30=1,'I_Budget Input Data'!$D$31,0),IF('I_Budget Input Data'!$E$31="Equal",'I_Budget Input Data'!$D$31/'I_Inputs &amp; Assumptions'!$B$8,IF('I_Budget Input Data'!$E$31="Front-loaded",IF(30&lt;='I_Inputs &amp; Assumptions'!$B$8/2,'I_Budget Input Data'!$D$31*0.6/('I_Inputs &amp; Assumptions'!$B$8/2),'I_Budget Input Data'!$D$31*0.4/('I_Inputs &amp; Assumptions'!$B$8/2)),IF('I_Budget Input Data'!$E$31="Back-loaded",IF(30&lt;='I_Inputs &amp; Assumptions'!$B$8/2,'I_Budget Input Data'!$D$31*0.4/('I_Inputs &amp; Assumptions'!$B$8/2),'I_Budget Input Data'!$D$31*0.6/('I_Inputs &amp; Assumptions'!$B$8/2)),IF('I_Budget Input Data'!$E$31="Mid-weighted",IF(30&lt;='I_Inputs &amp; Assumptions'!$B$8/4,'I_Budget Input Data'!$D$31*0.2/('I_Inputs &amp; Assumptions'!$B$8/4),IF(30&lt;='I_Inputs &amp; Assumptions'!$B$8*0.75,'I_Budget Input Data'!$D$31*0.6/('I_Inputs &amp; Assumptions'!$B$8/2),'I_Budget Input Data'!$D$31*0.2/('I_Inputs &amp; Assumptions'!$B$8/4))),IF('I_Budget Input Data'!$E$31="At Completion",IF(30='I_Inputs &amp; Assumptions'!$B$8,'I_Budget Input Data'!$D$31,0),'I_Budget Input Data'!$D$31/'I_Inputs &amp; Assumptions'!$B$8)))))),0)</f>
        <v>0</v>
      </c>
      <c r="AG31" s="91">
        <f>IF(31&lt;='I_Inputs &amp; Assumptions'!$B$8,IF('I_Budget Input Data'!$E$31="Upfront",IF(31=1,'I_Budget Input Data'!$D$31,0),IF('I_Budget Input Data'!$E$31="Equal",'I_Budget Input Data'!$D$31/'I_Inputs &amp; Assumptions'!$B$8,IF('I_Budget Input Data'!$E$31="Front-loaded",IF(31&lt;='I_Inputs &amp; Assumptions'!$B$8/2,'I_Budget Input Data'!$D$31*0.6/('I_Inputs &amp; Assumptions'!$B$8/2),'I_Budget Input Data'!$D$31*0.4/('I_Inputs &amp; Assumptions'!$B$8/2)),IF('I_Budget Input Data'!$E$31="Back-loaded",IF(31&lt;='I_Inputs &amp; Assumptions'!$B$8/2,'I_Budget Input Data'!$D$31*0.4/('I_Inputs &amp; Assumptions'!$B$8/2),'I_Budget Input Data'!$D$31*0.6/('I_Inputs &amp; Assumptions'!$B$8/2)),IF('I_Budget Input Data'!$E$31="Mid-weighted",IF(31&lt;='I_Inputs &amp; Assumptions'!$B$8/4,'I_Budget Input Data'!$D$31*0.2/('I_Inputs &amp; Assumptions'!$B$8/4),IF(31&lt;='I_Inputs &amp; Assumptions'!$B$8*0.75,'I_Budget Input Data'!$D$31*0.6/('I_Inputs &amp; Assumptions'!$B$8/2),'I_Budget Input Data'!$D$31*0.2/('I_Inputs &amp; Assumptions'!$B$8/4))),IF('I_Budget Input Data'!$E$31="At Completion",IF(31='I_Inputs &amp; Assumptions'!$B$8,'I_Budget Input Data'!$D$31,0),'I_Budget Input Data'!$D$31/'I_Inputs &amp; Assumptions'!$B$8)))))),0)</f>
        <v>0</v>
      </c>
      <c r="AH31" s="91">
        <f>IF(32&lt;='I_Inputs &amp; Assumptions'!$B$8,IF('I_Budget Input Data'!$E$31="Upfront",IF(32=1,'I_Budget Input Data'!$D$31,0),IF('I_Budget Input Data'!$E$31="Equal",'I_Budget Input Data'!$D$31/'I_Inputs &amp; Assumptions'!$B$8,IF('I_Budget Input Data'!$E$31="Front-loaded",IF(32&lt;='I_Inputs &amp; Assumptions'!$B$8/2,'I_Budget Input Data'!$D$31*0.6/('I_Inputs &amp; Assumptions'!$B$8/2),'I_Budget Input Data'!$D$31*0.4/('I_Inputs &amp; Assumptions'!$B$8/2)),IF('I_Budget Input Data'!$E$31="Back-loaded",IF(32&lt;='I_Inputs &amp; Assumptions'!$B$8/2,'I_Budget Input Data'!$D$31*0.4/('I_Inputs &amp; Assumptions'!$B$8/2),'I_Budget Input Data'!$D$31*0.6/('I_Inputs &amp; Assumptions'!$B$8/2)),IF('I_Budget Input Data'!$E$31="Mid-weighted",IF(32&lt;='I_Inputs &amp; Assumptions'!$B$8/4,'I_Budget Input Data'!$D$31*0.2/('I_Inputs &amp; Assumptions'!$B$8/4),IF(32&lt;='I_Inputs &amp; Assumptions'!$B$8*0.75,'I_Budget Input Data'!$D$31*0.6/('I_Inputs &amp; Assumptions'!$B$8/2),'I_Budget Input Data'!$D$31*0.2/('I_Inputs &amp; Assumptions'!$B$8/4))),IF('I_Budget Input Data'!$E$31="At Completion",IF(32='I_Inputs &amp; Assumptions'!$B$8,'I_Budget Input Data'!$D$31,0),'I_Budget Input Data'!$D$31/'I_Inputs &amp; Assumptions'!$B$8)))))),0)</f>
        <v>0</v>
      </c>
      <c r="AI31" s="91">
        <f>IF(33&lt;='I_Inputs &amp; Assumptions'!$B$8,IF('I_Budget Input Data'!$E$31="Upfront",IF(33=1,'I_Budget Input Data'!$D$31,0),IF('I_Budget Input Data'!$E$31="Equal",'I_Budget Input Data'!$D$31/'I_Inputs &amp; Assumptions'!$B$8,IF('I_Budget Input Data'!$E$31="Front-loaded",IF(33&lt;='I_Inputs &amp; Assumptions'!$B$8/2,'I_Budget Input Data'!$D$31*0.6/('I_Inputs &amp; Assumptions'!$B$8/2),'I_Budget Input Data'!$D$31*0.4/('I_Inputs &amp; Assumptions'!$B$8/2)),IF('I_Budget Input Data'!$E$31="Back-loaded",IF(33&lt;='I_Inputs &amp; Assumptions'!$B$8/2,'I_Budget Input Data'!$D$31*0.4/('I_Inputs &amp; Assumptions'!$B$8/2),'I_Budget Input Data'!$D$31*0.6/('I_Inputs &amp; Assumptions'!$B$8/2)),IF('I_Budget Input Data'!$E$31="Mid-weighted",IF(33&lt;='I_Inputs &amp; Assumptions'!$B$8/4,'I_Budget Input Data'!$D$31*0.2/('I_Inputs &amp; Assumptions'!$B$8/4),IF(33&lt;='I_Inputs &amp; Assumptions'!$B$8*0.75,'I_Budget Input Data'!$D$31*0.6/('I_Inputs &amp; Assumptions'!$B$8/2),'I_Budget Input Data'!$D$31*0.2/('I_Inputs &amp; Assumptions'!$B$8/4))),IF('I_Budget Input Data'!$E$31="At Completion",IF(33='I_Inputs &amp; Assumptions'!$B$8,'I_Budget Input Data'!$D$31,0),'I_Budget Input Data'!$D$31/'I_Inputs &amp; Assumptions'!$B$8)))))),0)</f>
        <v>0</v>
      </c>
      <c r="AJ31" s="91">
        <f>IF(34&lt;='I_Inputs &amp; Assumptions'!$B$8,IF('I_Budget Input Data'!$E$31="Upfront",IF(34=1,'I_Budget Input Data'!$D$31,0),IF('I_Budget Input Data'!$E$31="Equal",'I_Budget Input Data'!$D$31/'I_Inputs &amp; Assumptions'!$B$8,IF('I_Budget Input Data'!$E$31="Front-loaded",IF(34&lt;='I_Inputs &amp; Assumptions'!$B$8/2,'I_Budget Input Data'!$D$31*0.6/('I_Inputs &amp; Assumptions'!$B$8/2),'I_Budget Input Data'!$D$31*0.4/('I_Inputs &amp; Assumptions'!$B$8/2)),IF('I_Budget Input Data'!$E$31="Back-loaded",IF(34&lt;='I_Inputs &amp; Assumptions'!$B$8/2,'I_Budget Input Data'!$D$31*0.4/('I_Inputs &amp; Assumptions'!$B$8/2),'I_Budget Input Data'!$D$31*0.6/('I_Inputs &amp; Assumptions'!$B$8/2)),IF('I_Budget Input Data'!$E$31="Mid-weighted",IF(34&lt;='I_Inputs &amp; Assumptions'!$B$8/4,'I_Budget Input Data'!$D$31*0.2/('I_Inputs &amp; Assumptions'!$B$8/4),IF(34&lt;='I_Inputs &amp; Assumptions'!$B$8*0.75,'I_Budget Input Data'!$D$31*0.6/('I_Inputs &amp; Assumptions'!$B$8/2),'I_Budget Input Data'!$D$31*0.2/('I_Inputs &amp; Assumptions'!$B$8/4))),IF('I_Budget Input Data'!$E$31="At Completion",IF(34='I_Inputs &amp; Assumptions'!$B$8,'I_Budget Input Data'!$D$31,0),'I_Budget Input Data'!$D$31/'I_Inputs &amp; Assumptions'!$B$8)))))),0)</f>
        <v>0</v>
      </c>
      <c r="AK31" s="91">
        <f>IF(35&lt;='I_Inputs &amp; Assumptions'!$B$8,IF('I_Budget Input Data'!$E$31="Upfront",IF(35=1,'I_Budget Input Data'!$D$31,0),IF('I_Budget Input Data'!$E$31="Equal",'I_Budget Input Data'!$D$31/'I_Inputs &amp; Assumptions'!$B$8,IF('I_Budget Input Data'!$E$31="Front-loaded",IF(35&lt;='I_Inputs &amp; Assumptions'!$B$8/2,'I_Budget Input Data'!$D$31*0.6/('I_Inputs &amp; Assumptions'!$B$8/2),'I_Budget Input Data'!$D$31*0.4/('I_Inputs &amp; Assumptions'!$B$8/2)),IF('I_Budget Input Data'!$E$31="Back-loaded",IF(35&lt;='I_Inputs &amp; Assumptions'!$B$8/2,'I_Budget Input Data'!$D$31*0.4/('I_Inputs &amp; Assumptions'!$B$8/2),'I_Budget Input Data'!$D$31*0.6/('I_Inputs &amp; Assumptions'!$B$8/2)),IF('I_Budget Input Data'!$E$31="Mid-weighted",IF(35&lt;='I_Inputs &amp; Assumptions'!$B$8/4,'I_Budget Input Data'!$D$31*0.2/('I_Inputs &amp; Assumptions'!$B$8/4),IF(35&lt;='I_Inputs &amp; Assumptions'!$B$8*0.75,'I_Budget Input Data'!$D$31*0.6/('I_Inputs &amp; Assumptions'!$B$8/2),'I_Budget Input Data'!$D$31*0.2/('I_Inputs &amp; Assumptions'!$B$8/4))),IF('I_Budget Input Data'!$E$31="At Completion",IF(35='I_Inputs &amp; Assumptions'!$B$8,'I_Budget Input Data'!$D$31,0),'I_Budget Input Data'!$D$31/'I_Inputs &amp; Assumptions'!$B$8)))))),0)</f>
        <v>0</v>
      </c>
      <c r="AL31" s="91">
        <f>IF(36&lt;='I_Inputs &amp; Assumptions'!$B$8,IF('I_Budget Input Data'!$E$31="Upfront",IF(36=1,'I_Budget Input Data'!$D$31,0),IF('I_Budget Input Data'!$E$31="Equal",'I_Budget Input Data'!$D$31/'I_Inputs &amp; Assumptions'!$B$8,IF('I_Budget Input Data'!$E$31="Front-loaded",IF(36&lt;='I_Inputs &amp; Assumptions'!$B$8/2,'I_Budget Input Data'!$D$31*0.6/('I_Inputs &amp; Assumptions'!$B$8/2),'I_Budget Input Data'!$D$31*0.4/('I_Inputs &amp; Assumptions'!$B$8/2)),IF('I_Budget Input Data'!$E$31="Back-loaded",IF(36&lt;='I_Inputs &amp; Assumptions'!$B$8/2,'I_Budget Input Data'!$D$31*0.4/('I_Inputs &amp; Assumptions'!$B$8/2),'I_Budget Input Data'!$D$31*0.6/('I_Inputs &amp; Assumptions'!$B$8/2)),IF('I_Budget Input Data'!$E$31="Mid-weighted",IF(36&lt;='I_Inputs &amp; Assumptions'!$B$8/4,'I_Budget Input Data'!$D$31*0.2/('I_Inputs &amp; Assumptions'!$B$8/4),IF(36&lt;='I_Inputs &amp; Assumptions'!$B$8*0.75,'I_Budget Input Data'!$D$31*0.6/('I_Inputs &amp; Assumptions'!$B$8/2),'I_Budget Input Data'!$D$31*0.2/('I_Inputs &amp; Assumptions'!$B$8/4))),IF('I_Budget Input Data'!$E$31="At Completion",IF(36='I_Inputs &amp; Assumptions'!$B$8,'I_Budget Input Data'!$D$31,0),'I_Budget Input Data'!$D$31/'I_Inputs &amp; Assumptions'!$B$8)))))),0)</f>
        <v>0</v>
      </c>
    </row>
    <row r="32" spans="1:38" ht="15" customHeight="1" x14ac:dyDescent="0.2">
      <c r="A32" t="s">
        <v>146</v>
      </c>
      <c r="B32" t="s">
        <v>153</v>
      </c>
      <c r="C32" s="91">
        <f>IF(1&lt;='I_Inputs &amp; Assumptions'!$B$8,IF('I_Budget Input Data'!$E$32="Upfront",IF(1=1,'I_Budget Input Data'!$D$32,0),IF('I_Budget Input Data'!$E$32="Equal",'I_Budget Input Data'!$D$32/'I_Inputs &amp; Assumptions'!$B$8,IF('I_Budget Input Data'!$E$32="Front-loaded",IF(1&lt;='I_Inputs &amp; Assumptions'!$B$8/2,'I_Budget Input Data'!$D$32*0.6/('I_Inputs &amp; Assumptions'!$B$8/2),'I_Budget Input Data'!$D$32*0.4/('I_Inputs &amp; Assumptions'!$B$8/2)),IF('I_Budget Input Data'!$E$32="Back-loaded",IF(1&lt;='I_Inputs &amp; Assumptions'!$B$8/2,'I_Budget Input Data'!$D$32*0.4/('I_Inputs &amp; Assumptions'!$B$8/2),'I_Budget Input Data'!$D$32*0.6/('I_Inputs &amp; Assumptions'!$B$8/2)),IF('I_Budget Input Data'!$E$32="Mid-weighted",IF(1&lt;='I_Inputs &amp; Assumptions'!$B$8/4,'I_Budget Input Data'!$D$32*0.2/('I_Inputs &amp; Assumptions'!$B$8/4),IF(1&lt;='I_Inputs &amp; Assumptions'!$B$8*0.75,'I_Budget Input Data'!$D$32*0.6/('I_Inputs &amp; Assumptions'!$B$8/2),'I_Budget Input Data'!$D$32*0.2/('I_Inputs &amp; Assumptions'!$B$8/4))),IF('I_Budget Input Data'!$E$32="At Completion",IF(1='I_Inputs &amp; Assumptions'!$B$8,'I_Budget Input Data'!$D$32,0),'I_Budget Input Data'!$D$32/'I_Inputs &amp; Assumptions'!$B$8)))))),0)</f>
        <v>16423.076923076922</v>
      </c>
      <c r="D32" s="91">
        <f>IF(2&lt;='I_Inputs &amp; Assumptions'!$B$8,IF('I_Budget Input Data'!$E$32="Upfront",IF(2=1,'I_Budget Input Data'!$D$32,0),IF('I_Budget Input Data'!$E$32="Equal",'I_Budget Input Data'!$D$32/'I_Inputs &amp; Assumptions'!$B$8,IF('I_Budget Input Data'!$E$32="Front-loaded",IF(2&lt;='I_Inputs &amp; Assumptions'!$B$8/2,'I_Budget Input Data'!$D$32*0.6/('I_Inputs &amp; Assumptions'!$B$8/2),'I_Budget Input Data'!$D$32*0.4/('I_Inputs &amp; Assumptions'!$B$8/2)),IF('I_Budget Input Data'!$E$32="Back-loaded",IF(2&lt;='I_Inputs &amp; Assumptions'!$B$8/2,'I_Budget Input Data'!$D$32*0.4/('I_Inputs &amp; Assumptions'!$B$8/2),'I_Budget Input Data'!$D$32*0.6/('I_Inputs &amp; Assumptions'!$B$8/2)),IF('I_Budget Input Data'!$E$32="Mid-weighted",IF(2&lt;='I_Inputs &amp; Assumptions'!$B$8/4,'I_Budget Input Data'!$D$32*0.2/('I_Inputs &amp; Assumptions'!$B$8/4),IF(2&lt;='I_Inputs &amp; Assumptions'!$B$8*0.75,'I_Budget Input Data'!$D$32*0.6/('I_Inputs &amp; Assumptions'!$B$8/2),'I_Budget Input Data'!$D$32*0.2/('I_Inputs &amp; Assumptions'!$B$8/4))),IF('I_Budget Input Data'!$E$32="At Completion",IF(2='I_Inputs &amp; Assumptions'!$B$8,'I_Budget Input Data'!$D$32,0),'I_Budget Input Data'!$D$32/'I_Inputs &amp; Assumptions'!$B$8)))))),0)</f>
        <v>16423.076923076922</v>
      </c>
      <c r="E32" s="91">
        <f>IF(3&lt;='I_Inputs &amp; Assumptions'!$B$8,IF('I_Budget Input Data'!$E$32="Upfront",IF(3=1,'I_Budget Input Data'!$D$32,0),IF('I_Budget Input Data'!$E$32="Equal",'I_Budget Input Data'!$D$32/'I_Inputs &amp; Assumptions'!$B$8,IF('I_Budget Input Data'!$E$32="Front-loaded",IF(3&lt;='I_Inputs &amp; Assumptions'!$B$8/2,'I_Budget Input Data'!$D$32*0.6/('I_Inputs &amp; Assumptions'!$B$8/2),'I_Budget Input Data'!$D$32*0.4/('I_Inputs &amp; Assumptions'!$B$8/2)),IF('I_Budget Input Data'!$E$32="Back-loaded",IF(3&lt;='I_Inputs &amp; Assumptions'!$B$8/2,'I_Budget Input Data'!$D$32*0.4/('I_Inputs &amp; Assumptions'!$B$8/2),'I_Budget Input Data'!$D$32*0.6/('I_Inputs &amp; Assumptions'!$B$8/2)),IF('I_Budget Input Data'!$E$32="Mid-weighted",IF(3&lt;='I_Inputs &amp; Assumptions'!$B$8/4,'I_Budget Input Data'!$D$32*0.2/('I_Inputs &amp; Assumptions'!$B$8/4),IF(3&lt;='I_Inputs &amp; Assumptions'!$B$8*0.75,'I_Budget Input Data'!$D$32*0.6/('I_Inputs &amp; Assumptions'!$B$8/2),'I_Budget Input Data'!$D$32*0.2/('I_Inputs &amp; Assumptions'!$B$8/4))),IF('I_Budget Input Data'!$E$32="At Completion",IF(3='I_Inputs &amp; Assumptions'!$B$8,'I_Budget Input Data'!$D$32,0),'I_Budget Input Data'!$D$32/'I_Inputs &amp; Assumptions'!$B$8)))))),0)</f>
        <v>16423.076923076922</v>
      </c>
      <c r="F32" s="91">
        <f>IF(4&lt;='I_Inputs &amp; Assumptions'!$B$8,IF('I_Budget Input Data'!$E$32="Upfront",IF(4=1,'I_Budget Input Data'!$D$32,0),IF('I_Budget Input Data'!$E$32="Equal",'I_Budget Input Data'!$D$32/'I_Inputs &amp; Assumptions'!$B$8,IF('I_Budget Input Data'!$E$32="Front-loaded",IF(4&lt;='I_Inputs &amp; Assumptions'!$B$8/2,'I_Budget Input Data'!$D$32*0.6/('I_Inputs &amp; Assumptions'!$B$8/2),'I_Budget Input Data'!$D$32*0.4/('I_Inputs &amp; Assumptions'!$B$8/2)),IF('I_Budget Input Data'!$E$32="Back-loaded",IF(4&lt;='I_Inputs &amp; Assumptions'!$B$8/2,'I_Budget Input Data'!$D$32*0.4/('I_Inputs &amp; Assumptions'!$B$8/2),'I_Budget Input Data'!$D$32*0.6/('I_Inputs &amp; Assumptions'!$B$8/2)),IF('I_Budget Input Data'!$E$32="Mid-weighted",IF(4&lt;='I_Inputs &amp; Assumptions'!$B$8/4,'I_Budget Input Data'!$D$32*0.2/('I_Inputs &amp; Assumptions'!$B$8/4),IF(4&lt;='I_Inputs &amp; Assumptions'!$B$8*0.75,'I_Budget Input Data'!$D$32*0.6/('I_Inputs &amp; Assumptions'!$B$8/2),'I_Budget Input Data'!$D$32*0.2/('I_Inputs &amp; Assumptions'!$B$8/4))),IF('I_Budget Input Data'!$E$32="At Completion",IF(4='I_Inputs &amp; Assumptions'!$B$8,'I_Budget Input Data'!$D$32,0),'I_Budget Input Data'!$D$32/'I_Inputs &amp; Assumptions'!$B$8)))))),0)</f>
        <v>16423.076923076922</v>
      </c>
      <c r="G32" s="91">
        <f>IF(5&lt;='I_Inputs &amp; Assumptions'!$B$8,IF('I_Budget Input Data'!$E$32="Upfront",IF(5=1,'I_Budget Input Data'!$D$32,0),IF('I_Budget Input Data'!$E$32="Equal",'I_Budget Input Data'!$D$32/'I_Inputs &amp; Assumptions'!$B$8,IF('I_Budget Input Data'!$E$32="Front-loaded",IF(5&lt;='I_Inputs &amp; Assumptions'!$B$8/2,'I_Budget Input Data'!$D$32*0.6/('I_Inputs &amp; Assumptions'!$B$8/2),'I_Budget Input Data'!$D$32*0.4/('I_Inputs &amp; Assumptions'!$B$8/2)),IF('I_Budget Input Data'!$E$32="Back-loaded",IF(5&lt;='I_Inputs &amp; Assumptions'!$B$8/2,'I_Budget Input Data'!$D$32*0.4/('I_Inputs &amp; Assumptions'!$B$8/2),'I_Budget Input Data'!$D$32*0.6/('I_Inputs &amp; Assumptions'!$B$8/2)),IF('I_Budget Input Data'!$E$32="Mid-weighted",IF(5&lt;='I_Inputs &amp; Assumptions'!$B$8/4,'I_Budget Input Data'!$D$32*0.2/('I_Inputs &amp; Assumptions'!$B$8/4),IF(5&lt;='I_Inputs &amp; Assumptions'!$B$8*0.75,'I_Budget Input Data'!$D$32*0.6/('I_Inputs &amp; Assumptions'!$B$8/2),'I_Budget Input Data'!$D$32*0.2/('I_Inputs &amp; Assumptions'!$B$8/4))),IF('I_Budget Input Data'!$E$32="At Completion",IF(5='I_Inputs &amp; Assumptions'!$B$8,'I_Budget Input Data'!$D$32,0),'I_Budget Input Data'!$D$32/'I_Inputs &amp; Assumptions'!$B$8)))))),0)</f>
        <v>16423.076923076922</v>
      </c>
      <c r="H32" s="91">
        <f>IF(6&lt;='I_Inputs &amp; Assumptions'!$B$8,IF('I_Budget Input Data'!$E$32="Upfront",IF(6=1,'I_Budget Input Data'!$D$32,0),IF('I_Budget Input Data'!$E$32="Equal",'I_Budget Input Data'!$D$32/'I_Inputs &amp; Assumptions'!$B$8,IF('I_Budget Input Data'!$E$32="Front-loaded",IF(6&lt;='I_Inputs &amp; Assumptions'!$B$8/2,'I_Budget Input Data'!$D$32*0.6/('I_Inputs &amp; Assumptions'!$B$8/2),'I_Budget Input Data'!$D$32*0.4/('I_Inputs &amp; Assumptions'!$B$8/2)),IF('I_Budget Input Data'!$E$32="Back-loaded",IF(6&lt;='I_Inputs &amp; Assumptions'!$B$8/2,'I_Budget Input Data'!$D$32*0.4/('I_Inputs &amp; Assumptions'!$B$8/2),'I_Budget Input Data'!$D$32*0.6/('I_Inputs &amp; Assumptions'!$B$8/2)),IF('I_Budget Input Data'!$E$32="Mid-weighted",IF(6&lt;='I_Inputs &amp; Assumptions'!$B$8/4,'I_Budget Input Data'!$D$32*0.2/('I_Inputs &amp; Assumptions'!$B$8/4),IF(6&lt;='I_Inputs &amp; Assumptions'!$B$8*0.75,'I_Budget Input Data'!$D$32*0.6/('I_Inputs &amp; Assumptions'!$B$8/2),'I_Budget Input Data'!$D$32*0.2/('I_Inputs &amp; Assumptions'!$B$8/4))),IF('I_Budget Input Data'!$E$32="At Completion",IF(6='I_Inputs &amp; Assumptions'!$B$8,'I_Budget Input Data'!$D$32,0),'I_Budget Input Data'!$D$32/'I_Inputs &amp; Assumptions'!$B$8)))))),0)</f>
        <v>16423.076923076922</v>
      </c>
      <c r="I32" s="91">
        <f>IF(7&lt;='I_Inputs &amp; Assumptions'!$B$8,IF('I_Budget Input Data'!$E$32="Upfront",IF(7=1,'I_Budget Input Data'!$D$32,0),IF('I_Budget Input Data'!$E$32="Equal",'I_Budget Input Data'!$D$32/'I_Inputs &amp; Assumptions'!$B$8,IF('I_Budget Input Data'!$E$32="Front-loaded",IF(7&lt;='I_Inputs &amp; Assumptions'!$B$8/2,'I_Budget Input Data'!$D$32*0.6/('I_Inputs &amp; Assumptions'!$B$8/2),'I_Budget Input Data'!$D$32*0.4/('I_Inputs &amp; Assumptions'!$B$8/2)),IF('I_Budget Input Data'!$E$32="Back-loaded",IF(7&lt;='I_Inputs &amp; Assumptions'!$B$8/2,'I_Budget Input Data'!$D$32*0.4/('I_Inputs &amp; Assumptions'!$B$8/2),'I_Budget Input Data'!$D$32*0.6/('I_Inputs &amp; Assumptions'!$B$8/2)),IF('I_Budget Input Data'!$E$32="Mid-weighted",IF(7&lt;='I_Inputs &amp; Assumptions'!$B$8/4,'I_Budget Input Data'!$D$32*0.2/('I_Inputs &amp; Assumptions'!$B$8/4),IF(7&lt;='I_Inputs &amp; Assumptions'!$B$8*0.75,'I_Budget Input Data'!$D$32*0.6/('I_Inputs &amp; Assumptions'!$B$8/2),'I_Budget Input Data'!$D$32*0.2/('I_Inputs &amp; Assumptions'!$B$8/4))),IF('I_Budget Input Data'!$E$32="At Completion",IF(7='I_Inputs &amp; Assumptions'!$B$8,'I_Budget Input Data'!$D$32,0),'I_Budget Input Data'!$D$32/'I_Inputs &amp; Assumptions'!$B$8)))))),0)</f>
        <v>16423.076923076922</v>
      </c>
      <c r="J32" s="91">
        <f>IF(8&lt;='I_Inputs &amp; Assumptions'!$B$8,IF('I_Budget Input Data'!$E$32="Upfront",IF(8=1,'I_Budget Input Data'!$D$32,0),IF('I_Budget Input Data'!$E$32="Equal",'I_Budget Input Data'!$D$32/'I_Inputs &amp; Assumptions'!$B$8,IF('I_Budget Input Data'!$E$32="Front-loaded",IF(8&lt;='I_Inputs &amp; Assumptions'!$B$8/2,'I_Budget Input Data'!$D$32*0.6/('I_Inputs &amp; Assumptions'!$B$8/2),'I_Budget Input Data'!$D$32*0.4/('I_Inputs &amp; Assumptions'!$B$8/2)),IF('I_Budget Input Data'!$E$32="Back-loaded",IF(8&lt;='I_Inputs &amp; Assumptions'!$B$8/2,'I_Budget Input Data'!$D$32*0.4/('I_Inputs &amp; Assumptions'!$B$8/2),'I_Budget Input Data'!$D$32*0.6/('I_Inputs &amp; Assumptions'!$B$8/2)),IF('I_Budget Input Data'!$E$32="Mid-weighted",IF(8&lt;='I_Inputs &amp; Assumptions'!$B$8/4,'I_Budget Input Data'!$D$32*0.2/('I_Inputs &amp; Assumptions'!$B$8/4),IF(8&lt;='I_Inputs &amp; Assumptions'!$B$8*0.75,'I_Budget Input Data'!$D$32*0.6/('I_Inputs &amp; Assumptions'!$B$8/2),'I_Budget Input Data'!$D$32*0.2/('I_Inputs &amp; Assumptions'!$B$8/4))),IF('I_Budget Input Data'!$E$32="At Completion",IF(8='I_Inputs &amp; Assumptions'!$B$8,'I_Budget Input Data'!$D$32,0),'I_Budget Input Data'!$D$32/'I_Inputs &amp; Assumptions'!$B$8)))))),0)</f>
        <v>16423.076923076922</v>
      </c>
      <c r="K32" s="91">
        <f>IF(9&lt;='I_Inputs &amp; Assumptions'!$B$8,IF('I_Budget Input Data'!$E$32="Upfront",IF(9=1,'I_Budget Input Data'!$D$32,0),IF('I_Budget Input Data'!$E$32="Equal",'I_Budget Input Data'!$D$32/'I_Inputs &amp; Assumptions'!$B$8,IF('I_Budget Input Data'!$E$32="Front-loaded",IF(9&lt;='I_Inputs &amp; Assumptions'!$B$8/2,'I_Budget Input Data'!$D$32*0.6/('I_Inputs &amp; Assumptions'!$B$8/2),'I_Budget Input Data'!$D$32*0.4/('I_Inputs &amp; Assumptions'!$B$8/2)),IF('I_Budget Input Data'!$E$32="Back-loaded",IF(9&lt;='I_Inputs &amp; Assumptions'!$B$8/2,'I_Budget Input Data'!$D$32*0.4/('I_Inputs &amp; Assumptions'!$B$8/2),'I_Budget Input Data'!$D$32*0.6/('I_Inputs &amp; Assumptions'!$B$8/2)),IF('I_Budget Input Data'!$E$32="Mid-weighted",IF(9&lt;='I_Inputs &amp; Assumptions'!$B$8/4,'I_Budget Input Data'!$D$32*0.2/('I_Inputs &amp; Assumptions'!$B$8/4),IF(9&lt;='I_Inputs &amp; Assumptions'!$B$8*0.75,'I_Budget Input Data'!$D$32*0.6/('I_Inputs &amp; Assumptions'!$B$8/2),'I_Budget Input Data'!$D$32*0.2/('I_Inputs &amp; Assumptions'!$B$8/4))),IF('I_Budget Input Data'!$E$32="At Completion",IF(9='I_Inputs &amp; Assumptions'!$B$8,'I_Budget Input Data'!$D$32,0),'I_Budget Input Data'!$D$32/'I_Inputs &amp; Assumptions'!$B$8)))))),0)</f>
        <v>16423.076923076922</v>
      </c>
      <c r="L32" s="91">
        <f>IF(10&lt;='I_Inputs &amp; Assumptions'!$B$8,IF('I_Budget Input Data'!$E$32="Upfront",IF(10=1,'I_Budget Input Data'!$D$32,0),IF('I_Budget Input Data'!$E$32="Equal",'I_Budget Input Data'!$D$32/'I_Inputs &amp; Assumptions'!$B$8,IF('I_Budget Input Data'!$E$32="Front-loaded",IF(10&lt;='I_Inputs &amp; Assumptions'!$B$8/2,'I_Budget Input Data'!$D$32*0.6/('I_Inputs &amp; Assumptions'!$B$8/2),'I_Budget Input Data'!$D$32*0.4/('I_Inputs &amp; Assumptions'!$B$8/2)),IF('I_Budget Input Data'!$E$32="Back-loaded",IF(10&lt;='I_Inputs &amp; Assumptions'!$B$8/2,'I_Budget Input Data'!$D$32*0.4/('I_Inputs &amp; Assumptions'!$B$8/2),'I_Budget Input Data'!$D$32*0.6/('I_Inputs &amp; Assumptions'!$B$8/2)),IF('I_Budget Input Data'!$E$32="Mid-weighted",IF(10&lt;='I_Inputs &amp; Assumptions'!$B$8/4,'I_Budget Input Data'!$D$32*0.2/('I_Inputs &amp; Assumptions'!$B$8/4),IF(10&lt;='I_Inputs &amp; Assumptions'!$B$8*0.75,'I_Budget Input Data'!$D$32*0.6/('I_Inputs &amp; Assumptions'!$B$8/2),'I_Budget Input Data'!$D$32*0.2/('I_Inputs &amp; Assumptions'!$B$8/4))),IF('I_Budget Input Data'!$E$32="At Completion",IF(10='I_Inputs &amp; Assumptions'!$B$8,'I_Budget Input Data'!$D$32,0),'I_Budget Input Data'!$D$32/'I_Inputs &amp; Assumptions'!$B$8)))))),0)</f>
        <v>16423.076923076922</v>
      </c>
      <c r="M32" s="91">
        <f>IF(11&lt;='I_Inputs &amp; Assumptions'!$B$8,IF('I_Budget Input Data'!$E$32="Upfront",IF(11=1,'I_Budget Input Data'!$D$32,0),IF('I_Budget Input Data'!$E$32="Equal",'I_Budget Input Data'!$D$32/'I_Inputs &amp; Assumptions'!$B$8,IF('I_Budget Input Data'!$E$32="Front-loaded",IF(11&lt;='I_Inputs &amp; Assumptions'!$B$8/2,'I_Budget Input Data'!$D$32*0.6/('I_Inputs &amp; Assumptions'!$B$8/2),'I_Budget Input Data'!$D$32*0.4/('I_Inputs &amp; Assumptions'!$B$8/2)),IF('I_Budget Input Data'!$E$32="Back-loaded",IF(11&lt;='I_Inputs &amp; Assumptions'!$B$8/2,'I_Budget Input Data'!$D$32*0.4/('I_Inputs &amp; Assumptions'!$B$8/2),'I_Budget Input Data'!$D$32*0.6/('I_Inputs &amp; Assumptions'!$B$8/2)),IF('I_Budget Input Data'!$E$32="Mid-weighted",IF(11&lt;='I_Inputs &amp; Assumptions'!$B$8/4,'I_Budget Input Data'!$D$32*0.2/('I_Inputs &amp; Assumptions'!$B$8/4),IF(11&lt;='I_Inputs &amp; Assumptions'!$B$8*0.75,'I_Budget Input Data'!$D$32*0.6/('I_Inputs &amp; Assumptions'!$B$8/2),'I_Budget Input Data'!$D$32*0.2/('I_Inputs &amp; Assumptions'!$B$8/4))),IF('I_Budget Input Data'!$E$32="At Completion",IF(11='I_Inputs &amp; Assumptions'!$B$8,'I_Budget Input Data'!$D$32,0),'I_Budget Input Data'!$D$32/'I_Inputs &amp; Assumptions'!$B$8)))))),0)</f>
        <v>16423.076923076922</v>
      </c>
      <c r="N32" s="91">
        <f>IF(12&lt;='I_Inputs &amp; Assumptions'!$B$8,IF('I_Budget Input Data'!$E$32="Upfront",IF(12=1,'I_Budget Input Data'!$D$32,0),IF('I_Budget Input Data'!$E$32="Equal",'I_Budget Input Data'!$D$32/'I_Inputs &amp; Assumptions'!$B$8,IF('I_Budget Input Data'!$E$32="Front-loaded",IF(12&lt;='I_Inputs &amp; Assumptions'!$B$8/2,'I_Budget Input Data'!$D$32*0.6/('I_Inputs &amp; Assumptions'!$B$8/2),'I_Budget Input Data'!$D$32*0.4/('I_Inputs &amp; Assumptions'!$B$8/2)),IF('I_Budget Input Data'!$E$32="Back-loaded",IF(12&lt;='I_Inputs &amp; Assumptions'!$B$8/2,'I_Budget Input Data'!$D$32*0.4/('I_Inputs &amp; Assumptions'!$B$8/2),'I_Budget Input Data'!$D$32*0.6/('I_Inputs &amp; Assumptions'!$B$8/2)),IF('I_Budget Input Data'!$E$32="Mid-weighted",IF(12&lt;='I_Inputs &amp; Assumptions'!$B$8/4,'I_Budget Input Data'!$D$32*0.2/('I_Inputs &amp; Assumptions'!$B$8/4),IF(12&lt;='I_Inputs &amp; Assumptions'!$B$8*0.75,'I_Budget Input Data'!$D$32*0.6/('I_Inputs &amp; Assumptions'!$B$8/2),'I_Budget Input Data'!$D$32*0.2/('I_Inputs &amp; Assumptions'!$B$8/4))),IF('I_Budget Input Data'!$E$32="At Completion",IF(12='I_Inputs &amp; Assumptions'!$B$8,'I_Budget Input Data'!$D$32,0),'I_Budget Input Data'!$D$32/'I_Inputs &amp; Assumptions'!$B$8)))))),0)</f>
        <v>16423.076923076922</v>
      </c>
      <c r="O32" s="91">
        <f>IF(13&lt;='I_Inputs &amp; Assumptions'!$B$8,IF('I_Budget Input Data'!$E$32="Upfront",IF(13=1,'I_Budget Input Data'!$D$32,0),IF('I_Budget Input Data'!$E$32="Equal",'I_Budget Input Data'!$D$32/'I_Inputs &amp; Assumptions'!$B$8,IF('I_Budget Input Data'!$E$32="Front-loaded",IF(13&lt;='I_Inputs &amp; Assumptions'!$B$8/2,'I_Budget Input Data'!$D$32*0.6/('I_Inputs &amp; Assumptions'!$B$8/2),'I_Budget Input Data'!$D$32*0.4/('I_Inputs &amp; Assumptions'!$B$8/2)),IF('I_Budget Input Data'!$E$32="Back-loaded",IF(13&lt;='I_Inputs &amp; Assumptions'!$B$8/2,'I_Budget Input Data'!$D$32*0.4/('I_Inputs &amp; Assumptions'!$B$8/2),'I_Budget Input Data'!$D$32*0.6/('I_Inputs &amp; Assumptions'!$B$8/2)),IF('I_Budget Input Data'!$E$32="Mid-weighted",IF(13&lt;='I_Inputs &amp; Assumptions'!$B$8/4,'I_Budget Input Data'!$D$32*0.2/('I_Inputs &amp; Assumptions'!$B$8/4),IF(13&lt;='I_Inputs &amp; Assumptions'!$B$8*0.75,'I_Budget Input Data'!$D$32*0.6/('I_Inputs &amp; Assumptions'!$B$8/2),'I_Budget Input Data'!$D$32*0.2/('I_Inputs &amp; Assumptions'!$B$8/4))),IF('I_Budget Input Data'!$E$32="At Completion",IF(13='I_Inputs &amp; Assumptions'!$B$8,'I_Budget Input Data'!$D$32,0),'I_Budget Input Data'!$D$32/'I_Inputs &amp; Assumptions'!$B$8)))))),0)</f>
        <v>16423.076923076922</v>
      </c>
      <c r="P32" s="91">
        <f>IF(14&lt;='I_Inputs &amp; Assumptions'!$B$8,IF('I_Budget Input Data'!$E$32="Upfront",IF(14=1,'I_Budget Input Data'!$D$32,0),IF('I_Budget Input Data'!$E$32="Equal",'I_Budget Input Data'!$D$32/'I_Inputs &amp; Assumptions'!$B$8,IF('I_Budget Input Data'!$E$32="Front-loaded",IF(14&lt;='I_Inputs &amp; Assumptions'!$B$8/2,'I_Budget Input Data'!$D$32*0.6/('I_Inputs &amp; Assumptions'!$B$8/2),'I_Budget Input Data'!$D$32*0.4/('I_Inputs &amp; Assumptions'!$B$8/2)),IF('I_Budget Input Data'!$E$32="Back-loaded",IF(14&lt;='I_Inputs &amp; Assumptions'!$B$8/2,'I_Budget Input Data'!$D$32*0.4/('I_Inputs &amp; Assumptions'!$B$8/2),'I_Budget Input Data'!$D$32*0.6/('I_Inputs &amp; Assumptions'!$B$8/2)),IF('I_Budget Input Data'!$E$32="Mid-weighted",IF(14&lt;='I_Inputs &amp; Assumptions'!$B$8/4,'I_Budget Input Data'!$D$32*0.2/('I_Inputs &amp; Assumptions'!$B$8/4),IF(14&lt;='I_Inputs &amp; Assumptions'!$B$8*0.75,'I_Budget Input Data'!$D$32*0.6/('I_Inputs &amp; Assumptions'!$B$8/2),'I_Budget Input Data'!$D$32*0.2/('I_Inputs &amp; Assumptions'!$B$8/4))),IF('I_Budget Input Data'!$E$32="At Completion",IF(14='I_Inputs &amp; Assumptions'!$B$8,'I_Budget Input Data'!$D$32,0),'I_Budget Input Data'!$D$32/'I_Inputs &amp; Assumptions'!$B$8)))))),0)</f>
        <v>0</v>
      </c>
      <c r="Q32" s="91">
        <f>IF(15&lt;='I_Inputs &amp; Assumptions'!$B$8,IF('I_Budget Input Data'!$E$32="Upfront",IF(15=1,'I_Budget Input Data'!$D$32,0),IF('I_Budget Input Data'!$E$32="Equal",'I_Budget Input Data'!$D$32/'I_Inputs &amp; Assumptions'!$B$8,IF('I_Budget Input Data'!$E$32="Front-loaded",IF(15&lt;='I_Inputs &amp; Assumptions'!$B$8/2,'I_Budget Input Data'!$D$32*0.6/('I_Inputs &amp; Assumptions'!$B$8/2),'I_Budget Input Data'!$D$32*0.4/('I_Inputs &amp; Assumptions'!$B$8/2)),IF('I_Budget Input Data'!$E$32="Back-loaded",IF(15&lt;='I_Inputs &amp; Assumptions'!$B$8/2,'I_Budget Input Data'!$D$32*0.4/('I_Inputs &amp; Assumptions'!$B$8/2),'I_Budget Input Data'!$D$32*0.6/('I_Inputs &amp; Assumptions'!$B$8/2)),IF('I_Budget Input Data'!$E$32="Mid-weighted",IF(15&lt;='I_Inputs &amp; Assumptions'!$B$8/4,'I_Budget Input Data'!$D$32*0.2/('I_Inputs &amp; Assumptions'!$B$8/4),IF(15&lt;='I_Inputs &amp; Assumptions'!$B$8*0.75,'I_Budget Input Data'!$D$32*0.6/('I_Inputs &amp; Assumptions'!$B$8/2),'I_Budget Input Data'!$D$32*0.2/('I_Inputs &amp; Assumptions'!$B$8/4))),IF('I_Budget Input Data'!$E$32="At Completion",IF(15='I_Inputs &amp; Assumptions'!$B$8,'I_Budget Input Data'!$D$32,0),'I_Budget Input Data'!$D$32/'I_Inputs &amp; Assumptions'!$B$8)))))),0)</f>
        <v>0</v>
      </c>
      <c r="R32" s="91">
        <f>IF(16&lt;='I_Inputs &amp; Assumptions'!$B$8,IF('I_Budget Input Data'!$E$32="Upfront",IF(16=1,'I_Budget Input Data'!$D$32,0),IF('I_Budget Input Data'!$E$32="Equal",'I_Budget Input Data'!$D$32/'I_Inputs &amp; Assumptions'!$B$8,IF('I_Budget Input Data'!$E$32="Front-loaded",IF(16&lt;='I_Inputs &amp; Assumptions'!$B$8/2,'I_Budget Input Data'!$D$32*0.6/('I_Inputs &amp; Assumptions'!$B$8/2),'I_Budget Input Data'!$D$32*0.4/('I_Inputs &amp; Assumptions'!$B$8/2)),IF('I_Budget Input Data'!$E$32="Back-loaded",IF(16&lt;='I_Inputs &amp; Assumptions'!$B$8/2,'I_Budget Input Data'!$D$32*0.4/('I_Inputs &amp; Assumptions'!$B$8/2),'I_Budget Input Data'!$D$32*0.6/('I_Inputs &amp; Assumptions'!$B$8/2)),IF('I_Budget Input Data'!$E$32="Mid-weighted",IF(16&lt;='I_Inputs &amp; Assumptions'!$B$8/4,'I_Budget Input Data'!$D$32*0.2/('I_Inputs &amp; Assumptions'!$B$8/4),IF(16&lt;='I_Inputs &amp; Assumptions'!$B$8*0.75,'I_Budget Input Data'!$D$32*0.6/('I_Inputs &amp; Assumptions'!$B$8/2),'I_Budget Input Data'!$D$32*0.2/('I_Inputs &amp; Assumptions'!$B$8/4))),IF('I_Budget Input Data'!$E$32="At Completion",IF(16='I_Inputs &amp; Assumptions'!$B$8,'I_Budget Input Data'!$D$32,0),'I_Budget Input Data'!$D$32/'I_Inputs &amp; Assumptions'!$B$8)))))),0)</f>
        <v>0</v>
      </c>
      <c r="S32" s="91">
        <f>IF(17&lt;='I_Inputs &amp; Assumptions'!$B$8,IF('I_Budget Input Data'!$E$32="Upfront",IF(17=1,'I_Budget Input Data'!$D$32,0),IF('I_Budget Input Data'!$E$32="Equal",'I_Budget Input Data'!$D$32/'I_Inputs &amp; Assumptions'!$B$8,IF('I_Budget Input Data'!$E$32="Front-loaded",IF(17&lt;='I_Inputs &amp; Assumptions'!$B$8/2,'I_Budget Input Data'!$D$32*0.6/('I_Inputs &amp; Assumptions'!$B$8/2),'I_Budget Input Data'!$D$32*0.4/('I_Inputs &amp; Assumptions'!$B$8/2)),IF('I_Budget Input Data'!$E$32="Back-loaded",IF(17&lt;='I_Inputs &amp; Assumptions'!$B$8/2,'I_Budget Input Data'!$D$32*0.4/('I_Inputs &amp; Assumptions'!$B$8/2),'I_Budget Input Data'!$D$32*0.6/('I_Inputs &amp; Assumptions'!$B$8/2)),IF('I_Budget Input Data'!$E$32="Mid-weighted",IF(17&lt;='I_Inputs &amp; Assumptions'!$B$8/4,'I_Budget Input Data'!$D$32*0.2/('I_Inputs &amp; Assumptions'!$B$8/4),IF(17&lt;='I_Inputs &amp; Assumptions'!$B$8*0.75,'I_Budget Input Data'!$D$32*0.6/('I_Inputs &amp; Assumptions'!$B$8/2),'I_Budget Input Data'!$D$32*0.2/('I_Inputs &amp; Assumptions'!$B$8/4))),IF('I_Budget Input Data'!$E$32="At Completion",IF(17='I_Inputs &amp; Assumptions'!$B$8,'I_Budget Input Data'!$D$32,0),'I_Budget Input Data'!$D$32/'I_Inputs &amp; Assumptions'!$B$8)))))),0)</f>
        <v>0</v>
      </c>
      <c r="T32" s="91">
        <f>IF(18&lt;='I_Inputs &amp; Assumptions'!$B$8,IF('I_Budget Input Data'!$E$32="Upfront",IF(18=1,'I_Budget Input Data'!$D$32,0),IF('I_Budget Input Data'!$E$32="Equal",'I_Budget Input Data'!$D$32/'I_Inputs &amp; Assumptions'!$B$8,IF('I_Budget Input Data'!$E$32="Front-loaded",IF(18&lt;='I_Inputs &amp; Assumptions'!$B$8/2,'I_Budget Input Data'!$D$32*0.6/('I_Inputs &amp; Assumptions'!$B$8/2),'I_Budget Input Data'!$D$32*0.4/('I_Inputs &amp; Assumptions'!$B$8/2)),IF('I_Budget Input Data'!$E$32="Back-loaded",IF(18&lt;='I_Inputs &amp; Assumptions'!$B$8/2,'I_Budget Input Data'!$D$32*0.4/('I_Inputs &amp; Assumptions'!$B$8/2),'I_Budget Input Data'!$D$32*0.6/('I_Inputs &amp; Assumptions'!$B$8/2)),IF('I_Budget Input Data'!$E$32="Mid-weighted",IF(18&lt;='I_Inputs &amp; Assumptions'!$B$8/4,'I_Budget Input Data'!$D$32*0.2/('I_Inputs &amp; Assumptions'!$B$8/4),IF(18&lt;='I_Inputs &amp; Assumptions'!$B$8*0.75,'I_Budget Input Data'!$D$32*0.6/('I_Inputs &amp; Assumptions'!$B$8/2),'I_Budget Input Data'!$D$32*0.2/('I_Inputs &amp; Assumptions'!$B$8/4))),IF('I_Budget Input Data'!$E$32="At Completion",IF(18='I_Inputs &amp; Assumptions'!$B$8,'I_Budget Input Data'!$D$32,0),'I_Budget Input Data'!$D$32/'I_Inputs &amp; Assumptions'!$B$8)))))),0)</f>
        <v>0</v>
      </c>
      <c r="U32" s="91">
        <f>IF(19&lt;='I_Inputs &amp; Assumptions'!$B$8,IF('I_Budget Input Data'!$E$32="Upfront",IF(19=1,'I_Budget Input Data'!$D$32,0),IF('I_Budget Input Data'!$E$32="Equal",'I_Budget Input Data'!$D$32/'I_Inputs &amp; Assumptions'!$B$8,IF('I_Budget Input Data'!$E$32="Front-loaded",IF(19&lt;='I_Inputs &amp; Assumptions'!$B$8/2,'I_Budget Input Data'!$D$32*0.6/('I_Inputs &amp; Assumptions'!$B$8/2),'I_Budget Input Data'!$D$32*0.4/('I_Inputs &amp; Assumptions'!$B$8/2)),IF('I_Budget Input Data'!$E$32="Back-loaded",IF(19&lt;='I_Inputs &amp; Assumptions'!$B$8/2,'I_Budget Input Data'!$D$32*0.4/('I_Inputs &amp; Assumptions'!$B$8/2),'I_Budget Input Data'!$D$32*0.6/('I_Inputs &amp; Assumptions'!$B$8/2)),IF('I_Budget Input Data'!$E$32="Mid-weighted",IF(19&lt;='I_Inputs &amp; Assumptions'!$B$8/4,'I_Budget Input Data'!$D$32*0.2/('I_Inputs &amp; Assumptions'!$B$8/4),IF(19&lt;='I_Inputs &amp; Assumptions'!$B$8*0.75,'I_Budget Input Data'!$D$32*0.6/('I_Inputs &amp; Assumptions'!$B$8/2),'I_Budget Input Data'!$D$32*0.2/('I_Inputs &amp; Assumptions'!$B$8/4))),IF('I_Budget Input Data'!$E$32="At Completion",IF(19='I_Inputs &amp; Assumptions'!$B$8,'I_Budget Input Data'!$D$32,0),'I_Budget Input Data'!$D$32/'I_Inputs &amp; Assumptions'!$B$8)))))),0)</f>
        <v>0</v>
      </c>
      <c r="V32" s="91">
        <f>IF(20&lt;='I_Inputs &amp; Assumptions'!$B$8,IF('I_Budget Input Data'!$E$32="Upfront",IF(20=1,'I_Budget Input Data'!$D$32,0),IF('I_Budget Input Data'!$E$32="Equal",'I_Budget Input Data'!$D$32/'I_Inputs &amp; Assumptions'!$B$8,IF('I_Budget Input Data'!$E$32="Front-loaded",IF(20&lt;='I_Inputs &amp; Assumptions'!$B$8/2,'I_Budget Input Data'!$D$32*0.6/('I_Inputs &amp; Assumptions'!$B$8/2),'I_Budget Input Data'!$D$32*0.4/('I_Inputs &amp; Assumptions'!$B$8/2)),IF('I_Budget Input Data'!$E$32="Back-loaded",IF(20&lt;='I_Inputs &amp; Assumptions'!$B$8/2,'I_Budget Input Data'!$D$32*0.4/('I_Inputs &amp; Assumptions'!$B$8/2),'I_Budget Input Data'!$D$32*0.6/('I_Inputs &amp; Assumptions'!$B$8/2)),IF('I_Budget Input Data'!$E$32="Mid-weighted",IF(20&lt;='I_Inputs &amp; Assumptions'!$B$8/4,'I_Budget Input Data'!$D$32*0.2/('I_Inputs &amp; Assumptions'!$B$8/4),IF(20&lt;='I_Inputs &amp; Assumptions'!$B$8*0.75,'I_Budget Input Data'!$D$32*0.6/('I_Inputs &amp; Assumptions'!$B$8/2),'I_Budget Input Data'!$D$32*0.2/('I_Inputs &amp; Assumptions'!$B$8/4))),IF('I_Budget Input Data'!$E$32="At Completion",IF(20='I_Inputs &amp; Assumptions'!$B$8,'I_Budget Input Data'!$D$32,0),'I_Budget Input Data'!$D$32/'I_Inputs &amp; Assumptions'!$B$8)))))),0)</f>
        <v>0</v>
      </c>
      <c r="W32" s="91">
        <f>IF(21&lt;='I_Inputs &amp; Assumptions'!$B$8,IF('I_Budget Input Data'!$E$32="Upfront",IF(21=1,'I_Budget Input Data'!$D$32,0),IF('I_Budget Input Data'!$E$32="Equal",'I_Budget Input Data'!$D$32/'I_Inputs &amp; Assumptions'!$B$8,IF('I_Budget Input Data'!$E$32="Front-loaded",IF(21&lt;='I_Inputs &amp; Assumptions'!$B$8/2,'I_Budget Input Data'!$D$32*0.6/('I_Inputs &amp; Assumptions'!$B$8/2),'I_Budget Input Data'!$D$32*0.4/('I_Inputs &amp; Assumptions'!$B$8/2)),IF('I_Budget Input Data'!$E$32="Back-loaded",IF(21&lt;='I_Inputs &amp; Assumptions'!$B$8/2,'I_Budget Input Data'!$D$32*0.4/('I_Inputs &amp; Assumptions'!$B$8/2),'I_Budget Input Data'!$D$32*0.6/('I_Inputs &amp; Assumptions'!$B$8/2)),IF('I_Budget Input Data'!$E$32="Mid-weighted",IF(21&lt;='I_Inputs &amp; Assumptions'!$B$8/4,'I_Budget Input Data'!$D$32*0.2/('I_Inputs &amp; Assumptions'!$B$8/4),IF(21&lt;='I_Inputs &amp; Assumptions'!$B$8*0.75,'I_Budget Input Data'!$D$32*0.6/('I_Inputs &amp; Assumptions'!$B$8/2),'I_Budget Input Data'!$D$32*0.2/('I_Inputs &amp; Assumptions'!$B$8/4))),IF('I_Budget Input Data'!$E$32="At Completion",IF(21='I_Inputs &amp; Assumptions'!$B$8,'I_Budget Input Data'!$D$32,0),'I_Budget Input Data'!$D$32/'I_Inputs &amp; Assumptions'!$B$8)))))),0)</f>
        <v>0</v>
      </c>
      <c r="X32" s="91">
        <f>IF(22&lt;='I_Inputs &amp; Assumptions'!$B$8,IF('I_Budget Input Data'!$E$32="Upfront",IF(22=1,'I_Budget Input Data'!$D$32,0),IF('I_Budget Input Data'!$E$32="Equal",'I_Budget Input Data'!$D$32/'I_Inputs &amp; Assumptions'!$B$8,IF('I_Budget Input Data'!$E$32="Front-loaded",IF(22&lt;='I_Inputs &amp; Assumptions'!$B$8/2,'I_Budget Input Data'!$D$32*0.6/('I_Inputs &amp; Assumptions'!$B$8/2),'I_Budget Input Data'!$D$32*0.4/('I_Inputs &amp; Assumptions'!$B$8/2)),IF('I_Budget Input Data'!$E$32="Back-loaded",IF(22&lt;='I_Inputs &amp; Assumptions'!$B$8/2,'I_Budget Input Data'!$D$32*0.4/('I_Inputs &amp; Assumptions'!$B$8/2),'I_Budget Input Data'!$D$32*0.6/('I_Inputs &amp; Assumptions'!$B$8/2)),IF('I_Budget Input Data'!$E$32="Mid-weighted",IF(22&lt;='I_Inputs &amp; Assumptions'!$B$8/4,'I_Budget Input Data'!$D$32*0.2/('I_Inputs &amp; Assumptions'!$B$8/4),IF(22&lt;='I_Inputs &amp; Assumptions'!$B$8*0.75,'I_Budget Input Data'!$D$32*0.6/('I_Inputs &amp; Assumptions'!$B$8/2),'I_Budget Input Data'!$D$32*0.2/('I_Inputs &amp; Assumptions'!$B$8/4))),IF('I_Budget Input Data'!$E$32="At Completion",IF(22='I_Inputs &amp; Assumptions'!$B$8,'I_Budget Input Data'!$D$32,0),'I_Budget Input Data'!$D$32/'I_Inputs &amp; Assumptions'!$B$8)))))),0)</f>
        <v>0</v>
      </c>
      <c r="Y32" s="91">
        <f>IF(23&lt;='I_Inputs &amp; Assumptions'!$B$8,IF('I_Budget Input Data'!$E$32="Upfront",IF(23=1,'I_Budget Input Data'!$D$32,0),IF('I_Budget Input Data'!$E$32="Equal",'I_Budget Input Data'!$D$32/'I_Inputs &amp; Assumptions'!$B$8,IF('I_Budget Input Data'!$E$32="Front-loaded",IF(23&lt;='I_Inputs &amp; Assumptions'!$B$8/2,'I_Budget Input Data'!$D$32*0.6/('I_Inputs &amp; Assumptions'!$B$8/2),'I_Budget Input Data'!$D$32*0.4/('I_Inputs &amp; Assumptions'!$B$8/2)),IF('I_Budget Input Data'!$E$32="Back-loaded",IF(23&lt;='I_Inputs &amp; Assumptions'!$B$8/2,'I_Budget Input Data'!$D$32*0.4/('I_Inputs &amp; Assumptions'!$B$8/2),'I_Budget Input Data'!$D$32*0.6/('I_Inputs &amp; Assumptions'!$B$8/2)),IF('I_Budget Input Data'!$E$32="Mid-weighted",IF(23&lt;='I_Inputs &amp; Assumptions'!$B$8/4,'I_Budget Input Data'!$D$32*0.2/('I_Inputs &amp; Assumptions'!$B$8/4),IF(23&lt;='I_Inputs &amp; Assumptions'!$B$8*0.75,'I_Budget Input Data'!$D$32*0.6/('I_Inputs &amp; Assumptions'!$B$8/2),'I_Budget Input Data'!$D$32*0.2/('I_Inputs &amp; Assumptions'!$B$8/4))),IF('I_Budget Input Data'!$E$32="At Completion",IF(23='I_Inputs &amp; Assumptions'!$B$8,'I_Budget Input Data'!$D$32,0),'I_Budget Input Data'!$D$32/'I_Inputs &amp; Assumptions'!$B$8)))))),0)</f>
        <v>0</v>
      </c>
      <c r="Z32" s="91">
        <f>IF(24&lt;='I_Inputs &amp; Assumptions'!$B$8,IF('I_Budget Input Data'!$E$32="Upfront",IF(24=1,'I_Budget Input Data'!$D$32,0),IF('I_Budget Input Data'!$E$32="Equal",'I_Budget Input Data'!$D$32/'I_Inputs &amp; Assumptions'!$B$8,IF('I_Budget Input Data'!$E$32="Front-loaded",IF(24&lt;='I_Inputs &amp; Assumptions'!$B$8/2,'I_Budget Input Data'!$D$32*0.6/('I_Inputs &amp; Assumptions'!$B$8/2),'I_Budget Input Data'!$D$32*0.4/('I_Inputs &amp; Assumptions'!$B$8/2)),IF('I_Budget Input Data'!$E$32="Back-loaded",IF(24&lt;='I_Inputs &amp; Assumptions'!$B$8/2,'I_Budget Input Data'!$D$32*0.4/('I_Inputs &amp; Assumptions'!$B$8/2),'I_Budget Input Data'!$D$32*0.6/('I_Inputs &amp; Assumptions'!$B$8/2)),IF('I_Budget Input Data'!$E$32="Mid-weighted",IF(24&lt;='I_Inputs &amp; Assumptions'!$B$8/4,'I_Budget Input Data'!$D$32*0.2/('I_Inputs &amp; Assumptions'!$B$8/4),IF(24&lt;='I_Inputs &amp; Assumptions'!$B$8*0.75,'I_Budget Input Data'!$D$32*0.6/('I_Inputs &amp; Assumptions'!$B$8/2),'I_Budget Input Data'!$D$32*0.2/('I_Inputs &amp; Assumptions'!$B$8/4))),IF('I_Budget Input Data'!$E$32="At Completion",IF(24='I_Inputs &amp; Assumptions'!$B$8,'I_Budget Input Data'!$D$32,0),'I_Budget Input Data'!$D$32/'I_Inputs &amp; Assumptions'!$B$8)))))),0)</f>
        <v>0</v>
      </c>
      <c r="AA32" s="91">
        <f>IF(25&lt;='I_Inputs &amp; Assumptions'!$B$8,IF('I_Budget Input Data'!$E$32="Upfront",IF(25=1,'I_Budget Input Data'!$D$32,0),IF('I_Budget Input Data'!$E$32="Equal",'I_Budget Input Data'!$D$32/'I_Inputs &amp; Assumptions'!$B$8,IF('I_Budget Input Data'!$E$32="Front-loaded",IF(25&lt;='I_Inputs &amp; Assumptions'!$B$8/2,'I_Budget Input Data'!$D$32*0.6/('I_Inputs &amp; Assumptions'!$B$8/2),'I_Budget Input Data'!$D$32*0.4/('I_Inputs &amp; Assumptions'!$B$8/2)),IF('I_Budget Input Data'!$E$32="Back-loaded",IF(25&lt;='I_Inputs &amp; Assumptions'!$B$8/2,'I_Budget Input Data'!$D$32*0.4/('I_Inputs &amp; Assumptions'!$B$8/2),'I_Budget Input Data'!$D$32*0.6/('I_Inputs &amp; Assumptions'!$B$8/2)),IF('I_Budget Input Data'!$E$32="Mid-weighted",IF(25&lt;='I_Inputs &amp; Assumptions'!$B$8/4,'I_Budget Input Data'!$D$32*0.2/('I_Inputs &amp; Assumptions'!$B$8/4),IF(25&lt;='I_Inputs &amp; Assumptions'!$B$8*0.75,'I_Budget Input Data'!$D$32*0.6/('I_Inputs &amp; Assumptions'!$B$8/2),'I_Budget Input Data'!$D$32*0.2/('I_Inputs &amp; Assumptions'!$B$8/4))),IF('I_Budget Input Data'!$E$32="At Completion",IF(25='I_Inputs &amp; Assumptions'!$B$8,'I_Budget Input Data'!$D$32,0),'I_Budget Input Data'!$D$32/'I_Inputs &amp; Assumptions'!$B$8)))))),0)</f>
        <v>0</v>
      </c>
      <c r="AB32" s="91">
        <f>IF(26&lt;='I_Inputs &amp; Assumptions'!$B$8,IF('I_Budget Input Data'!$E$32="Upfront",IF(26=1,'I_Budget Input Data'!$D$32,0),IF('I_Budget Input Data'!$E$32="Equal",'I_Budget Input Data'!$D$32/'I_Inputs &amp; Assumptions'!$B$8,IF('I_Budget Input Data'!$E$32="Front-loaded",IF(26&lt;='I_Inputs &amp; Assumptions'!$B$8/2,'I_Budget Input Data'!$D$32*0.6/('I_Inputs &amp; Assumptions'!$B$8/2),'I_Budget Input Data'!$D$32*0.4/('I_Inputs &amp; Assumptions'!$B$8/2)),IF('I_Budget Input Data'!$E$32="Back-loaded",IF(26&lt;='I_Inputs &amp; Assumptions'!$B$8/2,'I_Budget Input Data'!$D$32*0.4/('I_Inputs &amp; Assumptions'!$B$8/2),'I_Budget Input Data'!$D$32*0.6/('I_Inputs &amp; Assumptions'!$B$8/2)),IF('I_Budget Input Data'!$E$32="Mid-weighted",IF(26&lt;='I_Inputs &amp; Assumptions'!$B$8/4,'I_Budget Input Data'!$D$32*0.2/('I_Inputs &amp; Assumptions'!$B$8/4),IF(26&lt;='I_Inputs &amp; Assumptions'!$B$8*0.75,'I_Budget Input Data'!$D$32*0.6/('I_Inputs &amp; Assumptions'!$B$8/2),'I_Budget Input Data'!$D$32*0.2/('I_Inputs &amp; Assumptions'!$B$8/4))),IF('I_Budget Input Data'!$E$32="At Completion",IF(26='I_Inputs &amp; Assumptions'!$B$8,'I_Budget Input Data'!$D$32,0),'I_Budget Input Data'!$D$32/'I_Inputs &amp; Assumptions'!$B$8)))))),0)</f>
        <v>0</v>
      </c>
      <c r="AC32" s="91">
        <f>IF(27&lt;='I_Inputs &amp; Assumptions'!$B$8,IF('I_Budget Input Data'!$E$32="Upfront",IF(27=1,'I_Budget Input Data'!$D$32,0),IF('I_Budget Input Data'!$E$32="Equal",'I_Budget Input Data'!$D$32/'I_Inputs &amp; Assumptions'!$B$8,IF('I_Budget Input Data'!$E$32="Front-loaded",IF(27&lt;='I_Inputs &amp; Assumptions'!$B$8/2,'I_Budget Input Data'!$D$32*0.6/('I_Inputs &amp; Assumptions'!$B$8/2),'I_Budget Input Data'!$D$32*0.4/('I_Inputs &amp; Assumptions'!$B$8/2)),IF('I_Budget Input Data'!$E$32="Back-loaded",IF(27&lt;='I_Inputs &amp; Assumptions'!$B$8/2,'I_Budget Input Data'!$D$32*0.4/('I_Inputs &amp; Assumptions'!$B$8/2),'I_Budget Input Data'!$D$32*0.6/('I_Inputs &amp; Assumptions'!$B$8/2)),IF('I_Budget Input Data'!$E$32="Mid-weighted",IF(27&lt;='I_Inputs &amp; Assumptions'!$B$8/4,'I_Budget Input Data'!$D$32*0.2/('I_Inputs &amp; Assumptions'!$B$8/4),IF(27&lt;='I_Inputs &amp; Assumptions'!$B$8*0.75,'I_Budget Input Data'!$D$32*0.6/('I_Inputs &amp; Assumptions'!$B$8/2),'I_Budget Input Data'!$D$32*0.2/('I_Inputs &amp; Assumptions'!$B$8/4))),IF('I_Budget Input Data'!$E$32="At Completion",IF(27='I_Inputs &amp; Assumptions'!$B$8,'I_Budget Input Data'!$D$32,0),'I_Budget Input Data'!$D$32/'I_Inputs &amp; Assumptions'!$B$8)))))),0)</f>
        <v>0</v>
      </c>
      <c r="AD32" s="91">
        <f>IF(28&lt;='I_Inputs &amp; Assumptions'!$B$8,IF('I_Budget Input Data'!$E$32="Upfront",IF(28=1,'I_Budget Input Data'!$D$32,0),IF('I_Budget Input Data'!$E$32="Equal",'I_Budget Input Data'!$D$32/'I_Inputs &amp; Assumptions'!$B$8,IF('I_Budget Input Data'!$E$32="Front-loaded",IF(28&lt;='I_Inputs &amp; Assumptions'!$B$8/2,'I_Budget Input Data'!$D$32*0.6/('I_Inputs &amp; Assumptions'!$B$8/2),'I_Budget Input Data'!$D$32*0.4/('I_Inputs &amp; Assumptions'!$B$8/2)),IF('I_Budget Input Data'!$E$32="Back-loaded",IF(28&lt;='I_Inputs &amp; Assumptions'!$B$8/2,'I_Budget Input Data'!$D$32*0.4/('I_Inputs &amp; Assumptions'!$B$8/2),'I_Budget Input Data'!$D$32*0.6/('I_Inputs &amp; Assumptions'!$B$8/2)),IF('I_Budget Input Data'!$E$32="Mid-weighted",IF(28&lt;='I_Inputs &amp; Assumptions'!$B$8/4,'I_Budget Input Data'!$D$32*0.2/('I_Inputs &amp; Assumptions'!$B$8/4),IF(28&lt;='I_Inputs &amp; Assumptions'!$B$8*0.75,'I_Budget Input Data'!$D$32*0.6/('I_Inputs &amp; Assumptions'!$B$8/2),'I_Budget Input Data'!$D$32*0.2/('I_Inputs &amp; Assumptions'!$B$8/4))),IF('I_Budget Input Data'!$E$32="At Completion",IF(28='I_Inputs &amp; Assumptions'!$B$8,'I_Budget Input Data'!$D$32,0),'I_Budget Input Data'!$D$32/'I_Inputs &amp; Assumptions'!$B$8)))))),0)</f>
        <v>0</v>
      </c>
      <c r="AE32" s="91">
        <f>IF(29&lt;='I_Inputs &amp; Assumptions'!$B$8,IF('I_Budget Input Data'!$E$32="Upfront",IF(29=1,'I_Budget Input Data'!$D$32,0),IF('I_Budget Input Data'!$E$32="Equal",'I_Budget Input Data'!$D$32/'I_Inputs &amp; Assumptions'!$B$8,IF('I_Budget Input Data'!$E$32="Front-loaded",IF(29&lt;='I_Inputs &amp; Assumptions'!$B$8/2,'I_Budget Input Data'!$D$32*0.6/('I_Inputs &amp; Assumptions'!$B$8/2),'I_Budget Input Data'!$D$32*0.4/('I_Inputs &amp; Assumptions'!$B$8/2)),IF('I_Budget Input Data'!$E$32="Back-loaded",IF(29&lt;='I_Inputs &amp; Assumptions'!$B$8/2,'I_Budget Input Data'!$D$32*0.4/('I_Inputs &amp; Assumptions'!$B$8/2),'I_Budget Input Data'!$D$32*0.6/('I_Inputs &amp; Assumptions'!$B$8/2)),IF('I_Budget Input Data'!$E$32="Mid-weighted",IF(29&lt;='I_Inputs &amp; Assumptions'!$B$8/4,'I_Budget Input Data'!$D$32*0.2/('I_Inputs &amp; Assumptions'!$B$8/4),IF(29&lt;='I_Inputs &amp; Assumptions'!$B$8*0.75,'I_Budget Input Data'!$D$32*0.6/('I_Inputs &amp; Assumptions'!$B$8/2),'I_Budget Input Data'!$D$32*0.2/('I_Inputs &amp; Assumptions'!$B$8/4))),IF('I_Budget Input Data'!$E$32="At Completion",IF(29='I_Inputs &amp; Assumptions'!$B$8,'I_Budget Input Data'!$D$32,0),'I_Budget Input Data'!$D$32/'I_Inputs &amp; Assumptions'!$B$8)))))),0)</f>
        <v>0</v>
      </c>
      <c r="AF32" s="91">
        <f>IF(30&lt;='I_Inputs &amp; Assumptions'!$B$8,IF('I_Budget Input Data'!$E$32="Upfront",IF(30=1,'I_Budget Input Data'!$D$32,0),IF('I_Budget Input Data'!$E$32="Equal",'I_Budget Input Data'!$D$32/'I_Inputs &amp; Assumptions'!$B$8,IF('I_Budget Input Data'!$E$32="Front-loaded",IF(30&lt;='I_Inputs &amp; Assumptions'!$B$8/2,'I_Budget Input Data'!$D$32*0.6/('I_Inputs &amp; Assumptions'!$B$8/2),'I_Budget Input Data'!$D$32*0.4/('I_Inputs &amp; Assumptions'!$B$8/2)),IF('I_Budget Input Data'!$E$32="Back-loaded",IF(30&lt;='I_Inputs &amp; Assumptions'!$B$8/2,'I_Budget Input Data'!$D$32*0.4/('I_Inputs &amp; Assumptions'!$B$8/2),'I_Budget Input Data'!$D$32*0.6/('I_Inputs &amp; Assumptions'!$B$8/2)),IF('I_Budget Input Data'!$E$32="Mid-weighted",IF(30&lt;='I_Inputs &amp; Assumptions'!$B$8/4,'I_Budget Input Data'!$D$32*0.2/('I_Inputs &amp; Assumptions'!$B$8/4),IF(30&lt;='I_Inputs &amp; Assumptions'!$B$8*0.75,'I_Budget Input Data'!$D$32*0.6/('I_Inputs &amp; Assumptions'!$B$8/2),'I_Budget Input Data'!$D$32*0.2/('I_Inputs &amp; Assumptions'!$B$8/4))),IF('I_Budget Input Data'!$E$32="At Completion",IF(30='I_Inputs &amp; Assumptions'!$B$8,'I_Budget Input Data'!$D$32,0),'I_Budget Input Data'!$D$32/'I_Inputs &amp; Assumptions'!$B$8)))))),0)</f>
        <v>0</v>
      </c>
      <c r="AG32" s="91">
        <f>IF(31&lt;='I_Inputs &amp; Assumptions'!$B$8,IF('I_Budget Input Data'!$E$32="Upfront",IF(31=1,'I_Budget Input Data'!$D$32,0),IF('I_Budget Input Data'!$E$32="Equal",'I_Budget Input Data'!$D$32/'I_Inputs &amp; Assumptions'!$B$8,IF('I_Budget Input Data'!$E$32="Front-loaded",IF(31&lt;='I_Inputs &amp; Assumptions'!$B$8/2,'I_Budget Input Data'!$D$32*0.6/('I_Inputs &amp; Assumptions'!$B$8/2),'I_Budget Input Data'!$D$32*0.4/('I_Inputs &amp; Assumptions'!$B$8/2)),IF('I_Budget Input Data'!$E$32="Back-loaded",IF(31&lt;='I_Inputs &amp; Assumptions'!$B$8/2,'I_Budget Input Data'!$D$32*0.4/('I_Inputs &amp; Assumptions'!$B$8/2),'I_Budget Input Data'!$D$32*0.6/('I_Inputs &amp; Assumptions'!$B$8/2)),IF('I_Budget Input Data'!$E$32="Mid-weighted",IF(31&lt;='I_Inputs &amp; Assumptions'!$B$8/4,'I_Budget Input Data'!$D$32*0.2/('I_Inputs &amp; Assumptions'!$B$8/4),IF(31&lt;='I_Inputs &amp; Assumptions'!$B$8*0.75,'I_Budget Input Data'!$D$32*0.6/('I_Inputs &amp; Assumptions'!$B$8/2),'I_Budget Input Data'!$D$32*0.2/('I_Inputs &amp; Assumptions'!$B$8/4))),IF('I_Budget Input Data'!$E$32="At Completion",IF(31='I_Inputs &amp; Assumptions'!$B$8,'I_Budget Input Data'!$D$32,0),'I_Budget Input Data'!$D$32/'I_Inputs &amp; Assumptions'!$B$8)))))),0)</f>
        <v>0</v>
      </c>
      <c r="AH32" s="91">
        <f>IF(32&lt;='I_Inputs &amp; Assumptions'!$B$8,IF('I_Budget Input Data'!$E$32="Upfront",IF(32=1,'I_Budget Input Data'!$D$32,0),IF('I_Budget Input Data'!$E$32="Equal",'I_Budget Input Data'!$D$32/'I_Inputs &amp; Assumptions'!$B$8,IF('I_Budget Input Data'!$E$32="Front-loaded",IF(32&lt;='I_Inputs &amp; Assumptions'!$B$8/2,'I_Budget Input Data'!$D$32*0.6/('I_Inputs &amp; Assumptions'!$B$8/2),'I_Budget Input Data'!$D$32*0.4/('I_Inputs &amp; Assumptions'!$B$8/2)),IF('I_Budget Input Data'!$E$32="Back-loaded",IF(32&lt;='I_Inputs &amp; Assumptions'!$B$8/2,'I_Budget Input Data'!$D$32*0.4/('I_Inputs &amp; Assumptions'!$B$8/2),'I_Budget Input Data'!$D$32*0.6/('I_Inputs &amp; Assumptions'!$B$8/2)),IF('I_Budget Input Data'!$E$32="Mid-weighted",IF(32&lt;='I_Inputs &amp; Assumptions'!$B$8/4,'I_Budget Input Data'!$D$32*0.2/('I_Inputs &amp; Assumptions'!$B$8/4),IF(32&lt;='I_Inputs &amp; Assumptions'!$B$8*0.75,'I_Budget Input Data'!$D$32*0.6/('I_Inputs &amp; Assumptions'!$B$8/2),'I_Budget Input Data'!$D$32*0.2/('I_Inputs &amp; Assumptions'!$B$8/4))),IF('I_Budget Input Data'!$E$32="At Completion",IF(32='I_Inputs &amp; Assumptions'!$B$8,'I_Budget Input Data'!$D$32,0),'I_Budget Input Data'!$D$32/'I_Inputs &amp; Assumptions'!$B$8)))))),0)</f>
        <v>0</v>
      </c>
      <c r="AI32" s="91">
        <f>IF(33&lt;='I_Inputs &amp; Assumptions'!$B$8,IF('I_Budget Input Data'!$E$32="Upfront",IF(33=1,'I_Budget Input Data'!$D$32,0),IF('I_Budget Input Data'!$E$32="Equal",'I_Budget Input Data'!$D$32/'I_Inputs &amp; Assumptions'!$B$8,IF('I_Budget Input Data'!$E$32="Front-loaded",IF(33&lt;='I_Inputs &amp; Assumptions'!$B$8/2,'I_Budget Input Data'!$D$32*0.6/('I_Inputs &amp; Assumptions'!$B$8/2),'I_Budget Input Data'!$D$32*0.4/('I_Inputs &amp; Assumptions'!$B$8/2)),IF('I_Budget Input Data'!$E$32="Back-loaded",IF(33&lt;='I_Inputs &amp; Assumptions'!$B$8/2,'I_Budget Input Data'!$D$32*0.4/('I_Inputs &amp; Assumptions'!$B$8/2),'I_Budget Input Data'!$D$32*0.6/('I_Inputs &amp; Assumptions'!$B$8/2)),IF('I_Budget Input Data'!$E$32="Mid-weighted",IF(33&lt;='I_Inputs &amp; Assumptions'!$B$8/4,'I_Budget Input Data'!$D$32*0.2/('I_Inputs &amp; Assumptions'!$B$8/4),IF(33&lt;='I_Inputs &amp; Assumptions'!$B$8*0.75,'I_Budget Input Data'!$D$32*0.6/('I_Inputs &amp; Assumptions'!$B$8/2),'I_Budget Input Data'!$D$32*0.2/('I_Inputs &amp; Assumptions'!$B$8/4))),IF('I_Budget Input Data'!$E$32="At Completion",IF(33='I_Inputs &amp; Assumptions'!$B$8,'I_Budget Input Data'!$D$32,0),'I_Budget Input Data'!$D$32/'I_Inputs &amp; Assumptions'!$B$8)))))),0)</f>
        <v>0</v>
      </c>
      <c r="AJ32" s="91">
        <f>IF(34&lt;='I_Inputs &amp; Assumptions'!$B$8,IF('I_Budget Input Data'!$E$32="Upfront",IF(34=1,'I_Budget Input Data'!$D$32,0),IF('I_Budget Input Data'!$E$32="Equal",'I_Budget Input Data'!$D$32/'I_Inputs &amp; Assumptions'!$B$8,IF('I_Budget Input Data'!$E$32="Front-loaded",IF(34&lt;='I_Inputs &amp; Assumptions'!$B$8/2,'I_Budget Input Data'!$D$32*0.6/('I_Inputs &amp; Assumptions'!$B$8/2),'I_Budget Input Data'!$D$32*0.4/('I_Inputs &amp; Assumptions'!$B$8/2)),IF('I_Budget Input Data'!$E$32="Back-loaded",IF(34&lt;='I_Inputs &amp; Assumptions'!$B$8/2,'I_Budget Input Data'!$D$32*0.4/('I_Inputs &amp; Assumptions'!$B$8/2),'I_Budget Input Data'!$D$32*0.6/('I_Inputs &amp; Assumptions'!$B$8/2)),IF('I_Budget Input Data'!$E$32="Mid-weighted",IF(34&lt;='I_Inputs &amp; Assumptions'!$B$8/4,'I_Budget Input Data'!$D$32*0.2/('I_Inputs &amp; Assumptions'!$B$8/4),IF(34&lt;='I_Inputs &amp; Assumptions'!$B$8*0.75,'I_Budget Input Data'!$D$32*0.6/('I_Inputs &amp; Assumptions'!$B$8/2),'I_Budget Input Data'!$D$32*0.2/('I_Inputs &amp; Assumptions'!$B$8/4))),IF('I_Budget Input Data'!$E$32="At Completion",IF(34='I_Inputs &amp; Assumptions'!$B$8,'I_Budget Input Data'!$D$32,0),'I_Budget Input Data'!$D$32/'I_Inputs &amp; Assumptions'!$B$8)))))),0)</f>
        <v>0</v>
      </c>
      <c r="AK32" s="91">
        <f>IF(35&lt;='I_Inputs &amp; Assumptions'!$B$8,IF('I_Budget Input Data'!$E$32="Upfront",IF(35=1,'I_Budget Input Data'!$D$32,0),IF('I_Budget Input Data'!$E$32="Equal",'I_Budget Input Data'!$D$32/'I_Inputs &amp; Assumptions'!$B$8,IF('I_Budget Input Data'!$E$32="Front-loaded",IF(35&lt;='I_Inputs &amp; Assumptions'!$B$8/2,'I_Budget Input Data'!$D$32*0.6/('I_Inputs &amp; Assumptions'!$B$8/2),'I_Budget Input Data'!$D$32*0.4/('I_Inputs &amp; Assumptions'!$B$8/2)),IF('I_Budget Input Data'!$E$32="Back-loaded",IF(35&lt;='I_Inputs &amp; Assumptions'!$B$8/2,'I_Budget Input Data'!$D$32*0.4/('I_Inputs &amp; Assumptions'!$B$8/2),'I_Budget Input Data'!$D$32*0.6/('I_Inputs &amp; Assumptions'!$B$8/2)),IF('I_Budget Input Data'!$E$32="Mid-weighted",IF(35&lt;='I_Inputs &amp; Assumptions'!$B$8/4,'I_Budget Input Data'!$D$32*0.2/('I_Inputs &amp; Assumptions'!$B$8/4),IF(35&lt;='I_Inputs &amp; Assumptions'!$B$8*0.75,'I_Budget Input Data'!$D$32*0.6/('I_Inputs &amp; Assumptions'!$B$8/2),'I_Budget Input Data'!$D$32*0.2/('I_Inputs &amp; Assumptions'!$B$8/4))),IF('I_Budget Input Data'!$E$32="At Completion",IF(35='I_Inputs &amp; Assumptions'!$B$8,'I_Budget Input Data'!$D$32,0),'I_Budget Input Data'!$D$32/'I_Inputs &amp; Assumptions'!$B$8)))))),0)</f>
        <v>0</v>
      </c>
      <c r="AL32" s="91">
        <f>IF(36&lt;='I_Inputs &amp; Assumptions'!$B$8,IF('I_Budget Input Data'!$E$32="Upfront",IF(36=1,'I_Budget Input Data'!$D$32,0),IF('I_Budget Input Data'!$E$32="Equal",'I_Budget Input Data'!$D$32/'I_Inputs &amp; Assumptions'!$B$8,IF('I_Budget Input Data'!$E$32="Front-loaded",IF(36&lt;='I_Inputs &amp; Assumptions'!$B$8/2,'I_Budget Input Data'!$D$32*0.6/('I_Inputs &amp; Assumptions'!$B$8/2),'I_Budget Input Data'!$D$32*0.4/('I_Inputs &amp; Assumptions'!$B$8/2)),IF('I_Budget Input Data'!$E$32="Back-loaded",IF(36&lt;='I_Inputs &amp; Assumptions'!$B$8/2,'I_Budget Input Data'!$D$32*0.4/('I_Inputs &amp; Assumptions'!$B$8/2),'I_Budget Input Data'!$D$32*0.6/('I_Inputs &amp; Assumptions'!$B$8/2)),IF('I_Budget Input Data'!$E$32="Mid-weighted",IF(36&lt;='I_Inputs &amp; Assumptions'!$B$8/4,'I_Budget Input Data'!$D$32*0.2/('I_Inputs &amp; Assumptions'!$B$8/4),IF(36&lt;='I_Inputs &amp; Assumptions'!$B$8*0.75,'I_Budget Input Data'!$D$32*0.6/('I_Inputs &amp; Assumptions'!$B$8/2),'I_Budget Input Data'!$D$32*0.2/('I_Inputs &amp; Assumptions'!$B$8/4))),IF('I_Budget Input Data'!$E$32="At Completion",IF(36='I_Inputs &amp; Assumptions'!$B$8,'I_Budget Input Data'!$D$32,0),'I_Budget Input Data'!$D$32/'I_Inputs &amp; Assumptions'!$B$8)))))),0)</f>
        <v>0</v>
      </c>
    </row>
    <row r="33" spans="1:38" ht="15" customHeight="1" x14ac:dyDescent="0.2">
      <c r="A33" t="s">
        <v>146</v>
      </c>
      <c r="B33" t="s">
        <v>154</v>
      </c>
      <c r="C33" s="91">
        <f>IF(1&lt;='I_Inputs &amp; Assumptions'!$B$8,IF('I_Budget Input Data'!$E$33="Upfront",IF(1=1,'I_Budget Input Data'!$D$33,0),IF('I_Budget Input Data'!$E$33="Equal",'I_Budget Input Data'!$D$33/'I_Inputs &amp; Assumptions'!$B$8,IF('I_Budget Input Data'!$E$33="Front-loaded",IF(1&lt;='I_Inputs &amp; Assumptions'!$B$8/2,'I_Budget Input Data'!$D$33*0.6/('I_Inputs &amp; Assumptions'!$B$8/2),'I_Budget Input Data'!$D$33*0.4/('I_Inputs &amp; Assumptions'!$B$8/2)),IF('I_Budget Input Data'!$E$33="Back-loaded",IF(1&lt;='I_Inputs &amp; Assumptions'!$B$8/2,'I_Budget Input Data'!$D$33*0.4/('I_Inputs &amp; Assumptions'!$B$8/2),'I_Budget Input Data'!$D$33*0.6/('I_Inputs &amp; Assumptions'!$B$8/2)),IF('I_Budget Input Data'!$E$33="Mid-weighted",IF(1&lt;='I_Inputs &amp; Assumptions'!$B$8/4,'I_Budget Input Data'!$D$33*0.2/('I_Inputs &amp; Assumptions'!$B$8/4),IF(1&lt;='I_Inputs &amp; Assumptions'!$B$8*0.75,'I_Budget Input Data'!$D$33*0.6/('I_Inputs &amp; Assumptions'!$B$8/2),'I_Budget Input Data'!$D$33*0.2/('I_Inputs &amp; Assumptions'!$B$8/4))),IF('I_Budget Input Data'!$E$33="At Completion",IF(1='I_Inputs &amp; Assumptions'!$B$8,'I_Budget Input Data'!$D$33,0),'I_Budget Input Data'!$D$33/'I_Inputs &amp; Assumptions'!$B$8)))))),0)</f>
        <v>23338.461538461539</v>
      </c>
      <c r="D33" s="91">
        <f>IF(2&lt;='I_Inputs &amp; Assumptions'!$B$8,IF('I_Budget Input Data'!$E$33="Upfront",IF(2=1,'I_Budget Input Data'!$D$33,0),IF('I_Budget Input Data'!$E$33="Equal",'I_Budget Input Data'!$D$33/'I_Inputs &amp; Assumptions'!$B$8,IF('I_Budget Input Data'!$E$33="Front-loaded",IF(2&lt;='I_Inputs &amp; Assumptions'!$B$8/2,'I_Budget Input Data'!$D$33*0.6/('I_Inputs &amp; Assumptions'!$B$8/2),'I_Budget Input Data'!$D$33*0.4/('I_Inputs &amp; Assumptions'!$B$8/2)),IF('I_Budget Input Data'!$E$33="Back-loaded",IF(2&lt;='I_Inputs &amp; Assumptions'!$B$8/2,'I_Budget Input Data'!$D$33*0.4/('I_Inputs &amp; Assumptions'!$B$8/2),'I_Budget Input Data'!$D$33*0.6/('I_Inputs &amp; Assumptions'!$B$8/2)),IF('I_Budget Input Data'!$E$33="Mid-weighted",IF(2&lt;='I_Inputs &amp; Assumptions'!$B$8/4,'I_Budget Input Data'!$D$33*0.2/('I_Inputs &amp; Assumptions'!$B$8/4),IF(2&lt;='I_Inputs &amp; Assumptions'!$B$8*0.75,'I_Budget Input Data'!$D$33*0.6/('I_Inputs &amp; Assumptions'!$B$8/2),'I_Budget Input Data'!$D$33*0.2/('I_Inputs &amp; Assumptions'!$B$8/4))),IF('I_Budget Input Data'!$E$33="At Completion",IF(2='I_Inputs &amp; Assumptions'!$B$8,'I_Budget Input Data'!$D$33,0),'I_Budget Input Data'!$D$33/'I_Inputs &amp; Assumptions'!$B$8)))))),0)</f>
        <v>23338.461538461539</v>
      </c>
      <c r="E33" s="91">
        <f>IF(3&lt;='I_Inputs &amp; Assumptions'!$B$8,IF('I_Budget Input Data'!$E$33="Upfront",IF(3=1,'I_Budget Input Data'!$D$33,0),IF('I_Budget Input Data'!$E$33="Equal",'I_Budget Input Data'!$D$33/'I_Inputs &amp; Assumptions'!$B$8,IF('I_Budget Input Data'!$E$33="Front-loaded",IF(3&lt;='I_Inputs &amp; Assumptions'!$B$8/2,'I_Budget Input Data'!$D$33*0.6/('I_Inputs &amp; Assumptions'!$B$8/2),'I_Budget Input Data'!$D$33*0.4/('I_Inputs &amp; Assumptions'!$B$8/2)),IF('I_Budget Input Data'!$E$33="Back-loaded",IF(3&lt;='I_Inputs &amp; Assumptions'!$B$8/2,'I_Budget Input Data'!$D$33*0.4/('I_Inputs &amp; Assumptions'!$B$8/2),'I_Budget Input Data'!$D$33*0.6/('I_Inputs &amp; Assumptions'!$B$8/2)),IF('I_Budget Input Data'!$E$33="Mid-weighted",IF(3&lt;='I_Inputs &amp; Assumptions'!$B$8/4,'I_Budget Input Data'!$D$33*0.2/('I_Inputs &amp; Assumptions'!$B$8/4),IF(3&lt;='I_Inputs &amp; Assumptions'!$B$8*0.75,'I_Budget Input Data'!$D$33*0.6/('I_Inputs &amp; Assumptions'!$B$8/2),'I_Budget Input Data'!$D$33*0.2/('I_Inputs &amp; Assumptions'!$B$8/4))),IF('I_Budget Input Data'!$E$33="At Completion",IF(3='I_Inputs &amp; Assumptions'!$B$8,'I_Budget Input Data'!$D$33,0),'I_Budget Input Data'!$D$33/'I_Inputs &amp; Assumptions'!$B$8)))))),0)</f>
        <v>23338.461538461539</v>
      </c>
      <c r="F33" s="91">
        <f>IF(4&lt;='I_Inputs &amp; Assumptions'!$B$8,IF('I_Budget Input Data'!$E$33="Upfront",IF(4=1,'I_Budget Input Data'!$D$33,0),IF('I_Budget Input Data'!$E$33="Equal",'I_Budget Input Data'!$D$33/'I_Inputs &amp; Assumptions'!$B$8,IF('I_Budget Input Data'!$E$33="Front-loaded",IF(4&lt;='I_Inputs &amp; Assumptions'!$B$8/2,'I_Budget Input Data'!$D$33*0.6/('I_Inputs &amp; Assumptions'!$B$8/2),'I_Budget Input Data'!$D$33*0.4/('I_Inputs &amp; Assumptions'!$B$8/2)),IF('I_Budget Input Data'!$E$33="Back-loaded",IF(4&lt;='I_Inputs &amp; Assumptions'!$B$8/2,'I_Budget Input Data'!$D$33*0.4/('I_Inputs &amp; Assumptions'!$B$8/2),'I_Budget Input Data'!$D$33*0.6/('I_Inputs &amp; Assumptions'!$B$8/2)),IF('I_Budget Input Data'!$E$33="Mid-weighted",IF(4&lt;='I_Inputs &amp; Assumptions'!$B$8/4,'I_Budget Input Data'!$D$33*0.2/('I_Inputs &amp; Assumptions'!$B$8/4),IF(4&lt;='I_Inputs &amp; Assumptions'!$B$8*0.75,'I_Budget Input Data'!$D$33*0.6/('I_Inputs &amp; Assumptions'!$B$8/2),'I_Budget Input Data'!$D$33*0.2/('I_Inputs &amp; Assumptions'!$B$8/4))),IF('I_Budget Input Data'!$E$33="At Completion",IF(4='I_Inputs &amp; Assumptions'!$B$8,'I_Budget Input Data'!$D$33,0),'I_Budget Input Data'!$D$33/'I_Inputs &amp; Assumptions'!$B$8)))))),0)</f>
        <v>23338.461538461539</v>
      </c>
      <c r="G33" s="91">
        <f>IF(5&lt;='I_Inputs &amp; Assumptions'!$B$8,IF('I_Budget Input Data'!$E$33="Upfront",IF(5=1,'I_Budget Input Data'!$D$33,0),IF('I_Budget Input Data'!$E$33="Equal",'I_Budget Input Data'!$D$33/'I_Inputs &amp; Assumptions'!$B$8,IF('I_Budget Input Data'!$E$33="Front-loaded",IF(5&lt;='I_Inputs &amp; Assumptions'!$B$8/2,'I_Budget Input Data'!$D$33*0.6/('I_Inputs &amp; Assumptions'!$B$8/2),'I_Budget Input Data'!$D$33*0.4/('I_Inputs &amp; Assumptions'!$B$8/2)),IF('I_Budget Input Data'!$E$33="Back-loaded",IF(5&lt;='I_Inputs &amp; Assumptions'!$B$8/2,'I_Budget Input Data'!$D$33*0.4/('I_Inputs &amp; Assumptions'!$B$8/2),'I_Budget Input Data'!$D$33*0.6/('I_Inputs &amp; Assumptions'!$B$8/2)),IF('I_Budget Input Data'!$E$33="Mid-weighted",IF(5&lt;='I_Inputs &amp; Assumptions'!$B$8/4,'I_Budget Input Data'!$D$33*0.2/('I_Inputs &amp; Assumptions'!$B$8/4),IF(5&lt;='I_Inputs &amp; Assumptions'!$B$8*0.75,'I_Budget Input Data'!$D$33*0.6/('I_Inputs &amp; Assumptions'!$B$8/2),'I_Budget Input Data'!$D$33*0.2/('I_Inputs &amp; Assumptions'!$B$8/4))),IF('I_Budget Input Data'!$E$33="At Completion",IF(5='I_Inputs &amp; Assumptions'!$B$8,'I_Budget Input Data'!$D$33,0),'I_Budget Input Data'!$D$33/'I_Inputs &amp; Assumptions'!$B$8)))))),0)</f>
        <v>23338.461538461539</v>
      </c>
      <c r="H33" s="91">
        <f>IF(6&lt;='I_Inputs &amp; Assumptions'!$B$8,IF('I_Budget Input Data'!$E$33="Upfront",IF(6=1,'I_Budget Input Data'!$D$33,0),IF('I_Budget Input Data'!$E$33="Equal",'I_Budget Input Data'!$D$33/'I_Inputs &amp; Assumptions'!$B$8,IF('I_Budget Input Data'!$E$33="Front-loaded",IF(6&lt;='I_Inputs &amp; Assumptions'!$B$8/2,'I_Budget Input Data'!$D$33*0.6/('I_Inputs &amp; Assumptions'!$B$8/2),'I_Budget Input Data'!$D$33*0.4/('I_Inputs &amp; Assumptions'!$B$8/2)),IF('I_Budget Input Data'!$E$33="Back-loaded",IF(6&lt;='I_Inputs &amp; Assumptions'!$B$8/2,'I_Budget Input Data'!$D$33*0.4/('I_Inputs &amp; Assumptions'!$B$8/2),'I_Budget Input Data'!$D$33*0.6/('I_Inputs &amp; Assumptions'!$B$8/2)),IF('I_Budget Input Data'!$E$33="Mid-weighted",IF(6&lt;='I_Inputs &amp; Assumptions'!$B$8/4,'I_Budget Input Data'!$D$33*0.2/('I_Inputs &amp; Assumptions'!$B$8/4),IF(6&lt;='I_Inputs &amp; Assumptions'!$B$8*0.75,'I_Budget Input Data'!$D$33*0.6/('I_Inputs &amp; Assumptions'!$B$8/2),'I_Budget Input Data'!$D$33*0.2/('I_Inputs &amp; Assumptions'!$B$8/4))),IF('I_Budget Input Data'!$E$33="At Completion",IF(6='I_Inputs &amp; Assumptions'!$B$8,'I_Budget Input Data'!$D$33,0),'I_Budget Input Data'!$D$33/'I_Inputs &amp; Assumptions'!$B$8)))))),0)</f>
        <v>23338.461538461539</v>
      </c>
      <c r="I33" s="91">
        <f>IF(7&lt;='I_Inputs &amp; Assumptions'!$B$8,IF('I_Budget Input Data'!$E$33="Upfront",IF(7=1,'I_Budget Input Data'!$D$33,0),IF('I_Budget Input Data'!$E$33="Equal",'I_Budget Input Data'!$D$33/'I_Inputs &amp; Assumptions'!$B$8,IF('I_Budget Input Data'!$E$33="Front-loaded",IF(7&lt;='I_Inputs &amp; Assumptions'!$B$8/2,'I_Budget Input Data'!$D$33*0.6/('I_Inputs &amp; Assumptions'!$B$8/2),'I_Budget Input Data'!$D$33*0.4/('I_Inputs &amp; Assumptions'!$B$8/2)),IF('I_Budget Input Data'!$E$33="Back-loaded",IF(7&lt;='I_Inputs &amp; Assumptions'!$B$8/2,'I_Budget Input Data'!$D$33*0.4/('I_Inputs &amp; Assumptions'!$B$8/2),'I_Budget Input Data'!$D$33*0.6/('I_Inputs &amp; Assumptions'!$B$8/2)),IF('I_Budget Input Data'!$E$33="Mid-weighted",IF(7&lt;='I_Inputs &amp; Assumptions'!$B$8/4,'I_Budget Input Data'!$D$33*0.2/('I_Inputs &amp; Assumptions'!$B$8/4),IF(7&lt;='I_Inputs &amp; Assumptions'!$B$8*0.75,'I_Budget Input Data'!$D$33*0.6/('I_Inputs &amp; Assumptions'!$B$8/2),'I_Budget Input Data'!$D$33*0.2/('I_Inputs &amp; Assumptions'!$B$8/4))),IF('I_Budget Input Data'!$E$33="At Completion",IF(7='I_Inputs &amp; Assumptions'!$B$8,'I_Budget Input Data'!$D$33,0),'I_Budget Input Data'!$D$33/'I_Inputs &amp; Assumptions'!$B$8)))))),0)</f>
        <v>23338.461538461539</v>
      </c>
      <c r="J33" s="91">
        <f>IF(8&lt;='I_Inputs &amp; Assumptions'!$B$8,IF('I_Budget Input Data'!$E$33="Upfront",IF(8=1,'I_Budget Input Data'!$D$33,0),IF('I_Budget Input Data'!$E$33="Equal",'I_Budget Input Data'!$D$33/'I_Inputs &amp; Assumptions'!$B$8,IF('I_Budget Input Data'!$E$33="Front-loaded",IF(8&lt;='I_Inputs &amp; Assumptions'!$B$8/2,'I_Budget Input Data'!$D$33*0.6/('I_Inputs &amp; Assumptions'!$B$8/2),'I_Budget Input Data'!$D$33*0.4/('I_Inputs &amp; Assumptions'!$B$8/2)),IF('I_Budget Input Data'!$E$33="Back-loaded",IF(8&lt;='I_Inputs &amp; Assumptions'!$B$8/2,'I_Budget Input Data'!$D$33*0.4/('I_Inputs &amp; Assumptions'!$B$8/2),'I_Budget Input Data'!$D$33*0.6/('I_Inputs &amp; Assumptions'!$B$8/2)),IF('I_Budget Input Data'!$E$33="Mid-weighted",IF(8&lt;='I_Inputs &amp; Assumptions'!$B$8/4,'I_Budget Input Data'!$D$33*0.2/('I_Inputs &amp; Assumptions'!$B$8/4),IF(8&lt;='I_Inputs &amp; Assumptions'!$B$8*0.75,'I_Budget Input Data'!$D$33*0.6/('I_Inputs &amp; Assumptions'!$B$8/2),'I_Budget Input Data'!$D$33*0.2/('I_Inputs &amp; Assumptions'!$B$8/4))),IF('I_Budget Input Data'!$E$33="At Completion",IF(8='I_Inputs &amp; Assumptions'!$B$8,'I_Budget Input Data'!$D$33,0),'I_Budget Input Data'!$D$33/'I_Inputs &amp; Assumptions'!$B$8)))))),0)</f>
        <v>23338.461538461539</v>
      </c>
      <c r="K33" s="91">
        <f>IF(9&lt;='I_Inputs &amp; Assumptions'!$B$8,IF('I_Budget Input Data'!$E$33="Upfront",IF(9=1,'I_Budget Input Data'!$D$33,0),IF('I_Budget Input Data'!$E$33="Equal",'I_Budget Input Data'!$D$33/'I_Inputs &amp; Assumptions'!$B$8,IF('I_Budget Input Data'!$E$33="Front-loaded",IF(9&lt;='I_Inputs &amp; Assumptions'!$B$8/2,'I_Budget Input Data'!$D$33*0.6/('I_Inputs &amp; Assumptions'!$B$8/2),'I_Budget Input Data'!$D$33*0.4/('I_Inputs &amp; Assumptions'!$B$8/2)),IF('I_Budget Input Data'!$E$33="Back-loaded",IF(9&lt;='I_Inputs &amp; Assumptions'!$B$8/2,'I_Budget Input Data'!$D$33*0.4/('I_Inputs &amp; Assumptions'!$B$8/2),'I_Budget Input Data'!$D$33*0.6/('I_Inputs &amp; Assumptions'!$B$8/2)),IF('I_Budget Input Data'!$E$33="Mid-weighted",IF(9&lt;='I_Inputs &amp; Assumptions'!$B$8/4,'I_Budget Input Data'!$D$33*0.2/('I_Inputs &amp; Assumptions'!$B$8/4),IF(9&lt;='I_Inputs &amp; Assumptions'!$B$8*0.75,'I_Budget Input Data'!$D$33*0.6/('I_Inputs &amp; Assumptions'!$B$8/2),'I_Budget Input Data'!$D$33*0.2/('I_Inputs &amp; Assumptions'!$B$8/4))),IF('I_Budget Input Data'!$E$33="At Completion",IF(9='I_Inputs &amp; Assumptions'!$B$8,'I_Budget Input Data'!$D$33,0),'I_Budget Input Data'!$D$33/'I_Inputs &amp; Assumptions'!$B$8)))))),0)</f>
        <v>23338.461538461539</v>
      </c>
      <c r="L33" s="91">
        <f>IF(10&lt;='I_Inputs &amp; Assumptions'!$B$8,IF('I_Budget Input Data'!$E$33="Upfront",IF(10=1,'I_Budget Input Data'!$D$33,0),IF('I_Budget Input Data'!$E$33="Equal",'I_Budget Input Data'!$D$33/'I_Inputs &amp; Assumptions'!$B$8,IF('I_Budget Input Data'!$E$33="Front-loaded",IF(10&lt;='I_Inputs &amp; Assumptions'!$B$8/2,'I_Budget Input Data'!$D$33*0.6/('I_Inputs &amp; Assumptions'!$B$8/2),'I_Budget Input Data'!$D$33*0.4/('I_Inputs &amp; Assumptions'!$B$8/2)),IF('I_Budget Input Data'!$E$33="Back-loaded",IF(10&lt;='I_Inputs &amp; Assumptions'!$B$8/2,'I_Budget Input Data'!$D$33*0.4/('I_Inputs &amp; Assumptions'!$B$8/2),'I_Budget Input Data'!$D$33*0.6/('I_Inputs &amp; Assumptions'!$B$8/2)),IF('I_Budget Input Data'!$E$33="Mid-weighted",IF(10&lt;='I_Inputs &amp; Assumptions'!$B$8/4,'I_Budget Input Data'!$D$33*0.2/('I_Inputs &amp; Assumptions'!$B$8/4),IF(10&lt;='I_Inputs &amp; Assumptions'!$B$8*0.75,'I_Budget Input Data'!$D$33*0.6/('I_Inputs &amp; Assumptions'!$B$8/2),'I_Budget Input Data'!$D$33*0.2/('I_Inputs &amp; Assumptions'!$B$8/4))),IF('I_Budget Input Data'!$E$33="At Completion",IF(10='I_Inputs &amp; Assumptions'!$B$8,'I_Budget Input Data'!$D$33,0),'I_Budget Input Data'!$D$33/'I_Inputs &amp; Assumptions'!$B$8)))))),0)</f>
        <v>23338.461538461539</v>
      </c>
      <c r="M33" s="91">
        <f>IF(11&lt;='I_Inputs &amp; Assumptions'!$B$8,IF('I_Budget Input Data'!$E$33="Upfront",IF(11=1,'I_Budget Input Data'!$D$33,0),IF('I_Budget Input Data'!$E$33="Equal",'I_Budget Input Data'!$D$33/'I_Inputs &amp; Assumptions'!$B$8,IF('I_Budget Input Data'!$E$33="Front-loaded",IF(11&lt;='I_Inputs &amp; Assumptions'!$B$8/2,'I_Budget Input Data'!$D$33*0.6/('I_Inputs &amp; Assumptions'!$B$8/2),'I_Budget Input Data'!$D$33*0.4/('I_Inputs &amp; Assumptions'!$B$8/2)),IF('I_Budget Input Data'!$E$33="Back-loaded",IF(11&lt;='I_Inputs &amp; Assumptions'!$B$8/2,'I_Budget Input Data'!$D$33*0.4/('I_Inputs &amp; Assumptions'!$B$8/2),'I_Budget Input Data'!$D$33*0.6/('I_Inputs &amp; Assumptions'!$B$8/2)),IF('I_Budget Input Data'!$E$33="Mid-weighted",IF(11&lt;='I_Inputs &amp; Assumptions'!$B$8/4,'I_Budget Input Data'!$D$33*0.2/('I_Inputs &amp; Assumptions'!$B$8/4),IF(11&lt;='I_Inputs &amp; Assumptions'!$B$8*0.75,'I_Budget Input Data'!$D$33*0.6/('I_Inputs &amp; Assumptions'!$B$8/2),'I_Budget Input Data'!$D$33*0.2/('I_Inputs &amp; Assumptions'!$B$8/4))),IF('I_Budget Input Data'!$E$33="At Completion",IF(11='I_Inputs &amp; Assumptions'!$B$8,'I_Budget Input Data'!$D$33,0),'I_Budget Input Data'!$D$33/'I_Inputs &amp; Assumptions'!$B$8)))))),0)</f>
        <v>23338.461538461539</v>
      </c>
      <c r="N33" s="91">
        <f>IF(12&lt;='I_Inputs &amp; Assumptions'!$B$8,IF('I_Budget Input Data'!$E$33="Upfront",IF(12=1,'I_Budget Input Data'!$D$33,0),IF('I_Budget Input Data'!$E$33="Equal",'I_Budget Input Data'!$D$33/'I_Inputs &amp; Assumptions'!$B$8,IF('I_Budget Input Data'!$E$33="Front-loaded",IF(12&lt;='I_Inputs &amp; Assumptions'!$B$8/2,'I_Budget Input Data'!$D$33*0.6/('I_Inputs &amp; Assumptions'!$B$8/2),'I_Budget Input Data'!$D$33*0.4/('I_Inputs &amp; Assumptions'!$B$8/2)),IF('I_Budget Input Data'!$E$33="Back-loaded",IF(12&lt;='I_Inputs &amp; Assumptions'!$B$8/2,'I_Budget Input Data'!$D$33*0.4/('I_Inputs &amp; Assumptions'!$B$8/2),'I_Budget Input Data'!$D$33*0.6/('I_Inputs &amp; Assumptions'!$B$8/2)),IF('I_Budget Input Data'!$E$33="Mid-weighted",IF(12&lt;='I_Inputs &amp; Assumptions'!$B$8/4,'I_Budget Input Data'!$D$33*0.2/('I_Inputs &amp; Assumptions'!$B$8/4),IF(12&lt;='I_Inputs &amp; Assumptions'!$B$8*0.75,'I_Budget Input Data'!$D$33*0.6/('I_Inputs &amp; Assumptions'!$B$8/2),'I_Budget Input Data'!$D$33*0.2/('I_Inputs &amp; Assumptions'!$B$8/4))),IF('I_Budget Input Data'!$E$33="At Completion",IF(12='I_Inputs &amp; Assumptions'!$B$8,'I_Budget Input Data'!$D$33,0),'I_Budget Input Data'!$D$33/'I_Inputs &amp; Assumptions'!$B$8)))))),0)</f>
        <v>23338.461538461539</v>
      </c>
      <c r="O33" s="91">
        <f>IF(13&lt;='I_Inputs &amp; Assumptions'!$B$8,IF('I_Budget Input Data'!$E$33="Upfront",IF(13=1,'I_Budget Input Data'!$D$33,0),IF('I_Budget Input Data'!$E$33="Equal",'I_Budget Input Data'!$D$33/'I_Inputs &amp; Assumptions'!$B$8,IF('I_Budget Input Data'!$E$33="Front-loaded",IF(13&lt;='I_Inputs &amp; Assumptions'!$B$8/2,'I_Budget Input Data'!$D$33*0.6/('I_Inputs &amp; Assumptions'!$B$8/2),'I_Budget Input Data'!$D$33*0.4/('I_Inputs &amp; Assumptions'!$B$8/2)),IF('I_Budget Input Data'!$E$33="Back-loaded",IF(13&lt;='I_Inputs &amp; Assumptions'!$B$8/2,'I_Budget Input Data'!$D$33*0.4/('I_Inputs &amp; Assumptions'!$B$8/2),'I_Budget Input Data'!$D$33*0.6/('I_Inputs &amp; Assumptions'!$B$8/2)),IF('I_Budget Input Data'!$E$33="Mid-weighted",IF(13&lt;='I_Inputs &amp; Assumptions'!$B$8/4,'I_Budget Input Data'!$D$33*0.2/('I_Inputs &amp; Assumptions'!$B$8/4),IF(13&lt;='I_Inputs &amp; Assumptions'!$B$8*0.75,'I_Budget Input Data'!$D$33*0.6/('I_Inputs &amp; Assumptions'!$B$8/2),'I_Budget Input Data'!$D$33*0.2/('I_Inputs &amp; Assumptions'!$B$8/4))),IF('I_Budget Input Data'!$E$33="At Completion",IF(13='I_Inputs &amp; Assumptions'!$B$8,'I_Budget Input Data'!$D$33,0),'I_Budget Input Data'!$D$33/'I_Inputs &amp; Assumptions'!$B$8)))))),0)</f>
        <v>23338.461538461539</v>
      </c>
      <c r="P33" s="91">
        <f>IF(14&lt;='I_Inputs &amp; Assumptions'!$B$8,IF('I_Budget Input Data'!$E$33="Upfront",IF(14=1,'I_Budget Input Data'!$D$33,0),IF('I_Budget Input Data'!$E$33="Equal",'I_Budget Input Data'!$D$33/'I_Inputs &amp; Assumptions'!$B$8,IF('I_Budget Input Data'!$E$33="Front-loaded",IF(14&lt;='I_Inputs &amp; Assumptions'!$B$8/2,'I_Budget Input Data'!$D$33*0.6/('I_Inputs &amp; Assumptions'!$B$8/2),'I_Budget Input Data'!$D$33*0.4/('I_Inputs &amp; Assumptions'!$B$8/2)),IF('I_Budget Input Data'!$E$33="Back-loaded",IF(14&lt;='I_Inputs &amp; Assumptions'!$B$8/2,'I_Budget Input Data'!$D$33*0.4/('I_Inputs &amp; Assumptions'!$B$8/2),'I_Budget Input Data'!$D$33*0.6/('I_Inputs &amp; Assumptions'!$B$8/2)),IF('I_Budget Input Data'!$E$33="Mid-weighted",IF(14&lt;='I_Inputs &amp; Assumptions'!$B$8/4,'I_Budget Input Data'!$D$33*0.2/('I_Inputs &amp; Assumptions'!$B$8/4),IF(14&lt;='I_Inputs &amp; Assumptions'!$B$8*0.75,'I_Budget Input Data'!$D$33*0.6/('I_Inputs &amp; Assumptions'!$B$8/2),'I_Budget Input Data'!$D$33*0.2/('I_Inputs &amp; Assumptions'!$B$8/4))),IF('I_Budget Input Data'!$E$33="At Completion",IF(14='I_Inputs &amp; Assumptions'!$B$8,'I_Budget Input Data'!$D$33,0),'I_Budget Input Data'!$D$33/'I_Inputs &amp; Assumptions'!$B$8)))))),0)</f>
        <v>0</v>
      </c>
      <c r="Q33" s="91">
        <f>IF(15&lt;='I_Inputs &amp; Assumptions'!$B$8,IF('I_Budget Input Data'!$E$33="Upfront",IF(15=1,'I_Budget Input Data'!$D$33,0),IF('I_Budget Input Data'!$E$33="Equal",'I_Budget Input Data'!$D$33/'I_Inputs &amp; Assumptions'!$B$8,IF('I_Budget Input Data'!$E$33="Front-loaded",IF(15&lt;='I_Inputs &amp; Assumptions'!$B$8/2,'I_Budget Input Data'!$D$33*0.6/('I_Inputs &amp; Assumptions'!$B$8/2),'I_Budget Input Data'!$D$33*0.4/('I_Inputs &amp; Assumptions'!$B$8/2)),IF('I_Budget Input Data'!$E$33="Back-loaded",IF(15&lt;='I_Inputs &amp; Assumptions'!$B$8/2,'I_Budget Input Data'!$D$33*0.4/('I_Inputs &amp; Assumptions'!$B$8/2),'I_Budget Input Data'!$D$33*0.6/('I_Inputs &amp; Assumptions'!$B$8/2)),IF('I_Budget Input Data'!$E$33="Mid-weighted",IF(15&lt;='I_Inputs &amp; Assumptions'!$B$8/4,'I_Budget Input Data'!$D$33*0.2/('I_Inputs &amp; Assumptions'!$B$8/4),IF(15&lt;='I_Inputs &amp; Assumptions'!$B$8*0.75,'I_Budget Input Data'!$D$33*0.6/('I_Inputs &amp; Assumptions'!$B$8/2),'I_Budget Input Data'!$D$33*0.2/('I_Inputs &amp; Assumptions'!$B$8/4))),IF('I_Budget Input Data'!$E$33="At Completion",IF(15='I_Inputs &amp; Assumptions'!$B$8,'I_Budget Input Data'!$D$33,0),'I_Budget Input Data'!$D$33/'I_Inputs &amp; Assumptions'!$B$8)))))),0)</f>
        <v>0</v>
      </c>
      <c r="R33" s="91">
        <f>IF(16&lt;='I_Inputs &amp; Assumptions'!$B$8,IF('I_Budget Input Data'!$E$33="Upfront",IF(16=1,'I_Budget Input Data'!$D$33,0),IF('I_Budget Input Data'!$E$33="Equal",'I_Budget Input Data'!$D$33/'I_Inputs &amp; Assumptions'!$B$8,IF('I_Budget Input Data'!$E$33="Front-loaded",IF(16&lt;='I_Inputs &amp; Assumptions'!$B$8/2,'I_Budget Input Data'!$D$33*0.6/('I_Inputs &amp; Assumptions'!$B$8/2),'I_Budget Input Data'!$D$33*0.4/('I_Inputs &amp; Assumptions'!$B$8/2)),IF('I_Budget Input Data'!$E$33="Back-loaded",IF(16&lt;='I_Inputs &amp; Assumptions'!$B$8/2,'I_Budget Input Data'!$D$33*0.4/('I_Inputs &amp; Assumptions'!$B$8/2),'I_Budget Input Data'!$D$33*0.6/('I_Inputs &amp; Assumptions'!$B$8/2)),IF('I_Budget Input Data'!$E$33="Mid-weighted",IF(16&lt;='I_Inputs &amp; Assumptions'!$B$8/4,'I_Budget Input Data'!$D$33*0.2/('I_Inputs &amp; Assumptions'!$B$8/4),IF(16&lt;='I_Inputs &amp; Assumptions'!$B$8*0.75,'I_Budget Input Data'!$D$33*0.6/('I_Inputs &amp; Assumptions'!$B$8/2),'I_Budget Input Data'!$D$33*0.2/('I_Inputs &amp; Assumptions'!$B$8/4))),IF('I_Budget Input Data'!$E$33="At Completion",IF(16='I_Inputs &amp; Assumptions'!$B$8,'I_Budget Input Data'!$D$33,0),'I_Budget Input Data'!$D$33/'I_Inputs &amp; Assumptions'!$B$8)))))),0)</f>
        <v>0</v>
      </c>
      <c r="S33" s="91">
        <f>IF(17&lt;='I_Inputs &amp; Assumptions'!$B$8,IF('I_Budget Input Data'!$E$33="Upfront",IF(17=1,'I_Budget Input Data'!$D$33,0),IF('I_Budget Input Data'!$E$33="Equal",'I_Budget Input Data'!$D$33/'I_Inputs &amp; Assumptions'!$B$8,IF('I_Budget Input Data'!$E$33="Front-loaded",IF(17&lt;='I_Inputs &amp; Assumptions'!$B$8/2,'I_Budget Input Data'!$D$33*0.6/('I_Inputs &amp; Assumptions'!$B$8/2),'I_Budget Input Data'!$D$33*0.4/('I_Inputs &amp; Assumptions'!$B$8/2)),IF('I_Budget Input Data'!$E$33="Back-loaded",IF(17&lt;='I_Inputs &amp; Assumptions'!$B$8/2,'I_Budget Input Data'!$D$33*0.4/('I_Inputs &amp; Assumptions'!$B$8/2),'I_Budget Input Data'!$D$33*0.6/('I_Inputs &amp; Assumptions'!$B$8/2)),IF('I_Budget Input Data'!$E$33="Mid-weighted",IF(17&lt;='I_Inputs &amp; Assumptions'!$B$8/4,'I_Budget Input Data'!$D$33*0.2/('I_Inputs &amp; Assumptions'!$B$8/4),IF(17&lt;='I_Inputs &amp; Assumptions'!$B$8*0.75,'I_Budget Input Data'!$D$33*0.6/('I_Inputs &amp; Assumptions'!$B$8/2),'I_Budget Input Data'!$D$33*0.2/('I_Inputs &amp; Assumptions'!$B$8/4))),IF('I_Budget Input Data'!$E$33="At Completion",IF(17='I_Inputs &amp; Assumptions'!$B$8,'I_Budget Input Data'!$D$33,0),'I_Budget Input Data'!$D$33/'I_Inputs &amp; Assumptions'!$B$8)))))),0)</f>
        <v>0</v>
      </c>
      <c r="T33" s="91">
        <f>IF(18&lt;='I_Inputs &amp; Assumptions'!$B$8,IF('I_Budget Input Data'!$E$33="Upfront",IF(18=1,'I_Budget Input Data'!$D$33,0),IF('I_Budget Input Data'!$E$33="Equal",'I_Budget Input Data'!$D$33/'I_Inputs &amp; Assumptions'!$B$8,IF('I_Budget Input Data'!$E$33="Front-loaded",IF(18&lt;='I_Inputs &amp; Assumptions'!$B$8/2,'I_Budget Input Data'!$D$33*0.6/('I_Inputs &amp; Assumptions'!$B$8/2),'I_Budget Input Data'!$D$33*0.4/('I_Inputs &amp; Assumptions'!$B$8/2)),IF('I_Budget Input Data'!$E$33="Back-loaded",IF(18&lt;='I_Inputs &amp; Assumptions'!$B$8/2,'I_Budget Input Data'!$D$33*0.4/('I_Inputs &amp; Assumptions'!$B$8/2),'I_Budget Input Data'!$D$33*0.6/('I_Inputs &amp; Assumptions'!$B$8/2)),IF('I_Budget Input Data'!$E$33="Mid-weighted",IF(18&lt;='I_Inputs &amp; Assumptions'!$B$8/4,'I_Budget Input Data'!$D$33*0.2/('I_Inputs &amp; Assumptions'!$B$8/4),IF(18&lt;='I_Inputs &amp; Assumptions'!$B$8*0.75,'I_Budget Input Data'!$D$33*0.6/('I_Inputs &amp; Assumptions'!$B$8/2),'I_Budget Input Data'!$D$33*0.2/('I_Inputs &amp; Assumptions'!$B$8/4))),IF('I_Budget Input Data'!$E$33="At Completion",IF(18='I_Inputs &amp; Assumptions'!$B$8,'I_Budget Input Data'!$D$33,0),'I_Budget Input Data'!$D$33/'I_Inputs &amp; Assumptions'!$B$8)))))),0)</f>
        <v>0</v>
      </c>
      <c r="U33" s="91">
        <f>IF(19&lt;='I_Inputs &amp; Assumptions'!$B$8,IF('I_Budget Input Data'!$E$33="Upfront",IF(19=1,'I_Budget Input Data'!$D$33,0),IF('I_Budget Input Data'!$E$33="Equal",'I_Budget Input Data'!$D$33/'I_Inputs &amp; Assumptions'!$B$8,IF('I_Budget Input Data'!$E$33="Front-loaded",IF(19&lt;='I_Inputs &amp; Assumptions'!$B$8/2,'I_Budget Input Data'!$D$33*0.6/('I_Inputs &amp; Assumptions'!$B$8/2),'I_Budget Input Data'!$D$33*0.4/('I_Inputs &amp; Assumptions'!$B$8/2)),IF('I_Budget Input Data'!$E$33="Back-loaded",IF(19&lt;='I_Inputs &amp; Assumptions'!$B$8/2,'I_Budget Input Data'!$D$33*0.4/('I_Inputs &amp; Assumptions'!$B$8/2),'I_Budget Input Data'!$D$33*0.6/('I_Inputs &amp; Assumptions'!$B$8/2)),IF('I_Budget Input Data'!$E$33="Mid-weighted",IF(19&lt;='I_Inputs &amp; Assumptions'!$B$8/4,'I_Budget Input Data'!$D$33*0.2/('I_Inputs &amp; Assumptions'!$B$8/4),IF(19&lt;='I_Inputs &amp; Assumptions'!$B$8*0.75,'I_Budget Input Data'!$D$33*0.6/('I_Inputs &amp; Assumptions'!$B$8/2),'I_Budget Input Data'!$D$33*0.2/('I_Inputs &amp; Assumptions'!$B$8/4))),IF('I_Budget Input Data'!$E$33="At Completion",IF(19='I_Inputs &amp; Assumptions'!$B$8,'I_Budget Input Data'!$D$33,0),'I_Budget Input Data'!$D$33/'I_Inputs &amp; Assumptions'!$B$8)))))),0)</f>
        <v>0</v>
      </c>
      <c r="V33" s="91">
        <f>IF(20&lt;='I_Inputs &amp; Assumptions'!$B$8,IF('I_Budget Input Data'!$E$33="Upfront",IF(20=1,'I_Budget Input Data'!$D$33,0),IF('I_Budget Input Data'!$E$33="Equal",'I_Budget Input Data'!$D$33/'I_Inputs &amp; Assumptions'!$B$8,IF('I_Budget Input Data'!$E$33="Front-loaded",IF(20&lt;='I_Inputs &amp; Assumptions'!$B$8/2,'I_Budget Input Data'!$D$33*0.6/('I_Inputs &amp; Assumptions'!$B$8/2),'I_Budget Input Data'!$D$33*0.4/('I_Inputs &amp; Assumptions'!$B$8/2)),IF('I_Budget Input Data'!$E$33="Back-loaded",IF(20&lt;='I_Inputs &amp; Assumptions'!$B$8/2,'I_Budget Input Data'!$D$33*0.4/('I_Inputs &amp; Assumptions'!$B$8/2),'I_Budget Input Data'!$D$33*0.6/('I_Inputs &amp; Assumptions'!$B$8/2)),IF('I_Budget Input Data'!$E$33="Mid-weighted",IF(20&lt;='I_Inputs &amp; Assumptions'!$B$8/4,'I_Budget Input Data'!$D$33*0.2/('I_Inputs &amp; Assumptions'!$B$8/4),IF(20&lt;='I_Inputs &amp; Assumptions'!$B$8*0.75,'I_Budget Input Data'!$D$33*0.6/('I_Inputs &amp; Assumptions'!$B$8/2),'I_Budget Input Data'!$D$33*0.2/('I_Inputs &amp; Assumptions'!$B$8/4))),IF('I_Budget Input Data'!$E$33="At Completion",IF(20='I_Inputs &amp; Assumptions'!$B$8,'I_Budget Input Data'!$D$33,0),'I_Budget Input Data'!$D$33/'I_Inputs &amp; Assumptions'!$B$8)))))),0)</f>
        <v>0</v>
      </c>
      <c r="W33" s="91">
        <f>IF(21&lt;='I_Inputs &amp; Assumptions'!$B$8,IF('I_Budget Input Data'!$E$33="Upfront",IF(21=1,'I_Budget Input Data'!$D$33,0),IF('I_Budget Input Data'!$E$33="Equal",'I_Budget Input Data'!$D$33/'I_Inputs &amp; Assumptions'!$B$8,IF('I_Budget Input Data'!$E$33="Front-loaded",IF(21&lt;='I_Inputs &amp; Assumptions'!$B$8/2,'I_Budget Input Data'!$D$33*0.6/('I_Inputs &amp; Assumptions'!$B$8/2),'I_Budget Input Data'!$D$33*0.4/('I_Inputs &amp; Assumptions'!$B$8/2)),IF('I_Budget Input Data'!$E$33="Back-loaded",IF(21&lt;='I_Inputs &amp; Assumptions'!$B$8/2,'I_Budget Input Data'!$D$33*0.4/('I_Inputs &amp; Assumptions'!$B$8/2),'I_Budget Input Data'!$D$33*0.6/('I_Inputs &amp; Assumptions'!$B$8/2)),IF('I_Budget Input Data'!$E$33="Mid-weighted",IF(21&lt;='I_Inputs &amp; Assumptions'!$B$8/4,'I_Budget Input Data'!$D$33*0.2/('I_Inputs &amp; Assumptions'!$B$8/4),IF(21&lt;='I_Inputs &amp; Assumptions'!$B$8*0.75,'I_Budget Input Data'!$D$33*0.6/('I_Inputs &amp; Assumptions'!$B$8/2),'I_Budget Input Data'!$D$33*0.2/('I_Inputs &amp; Assumptions'!$B$8/4))),IF('I_Budget Input Data'!$E$33="At Completion",IF(21='I_Inputs &amp; Assumptions'!$B$8,'I_Budget Input Data'!$D$33,0),'I_Budget Input Data'!$D$33/'I_Inputs &amp; Assumptions'!$B$8)))))),0)</f>
        <v>0</v>
      </c>
      <c r="X33" s="91">
        <f>IF(22&lt;='I_Inputs &amp; Assumptions'!$B$8,IF('I_Budget Input Data'!$E$33="Upfront",IF(22=1,'I_Budget Input Data'!$D$33,0),IF('I_Budget Input Data'!$E$33="Equal",'I_Budget Input Data'!$D$33/'I_Inputs &amp; Assumptions'!$B$8,IF('I_Budget Input Data'!$E$33="Front-loaded",IF(22&lt;='I_Inputs &amp; Assumptions'!$B$8/2,'I_Budget Input Data'!$D$33*0.6/('I_Inputs &amp; Assumptions'!$B$8/2),'I_Budget Input Data'!$D$33*0.4/('I_Inputs &amp; Assumptions'!$B$8/2)),IF('I_Budget Input Data'!$E$33="Back-loaded",IF(22&lt;='I_Inputs &amp; Assumptions'!$B$8/2,'I_Budget Input Data'!$D$33*0.4/('I_Inputs &amp; Assumptions'!$B$8/2),'I_Budget Input Data'!$D$33*0.6/('I_Inputs &amp; Assumptions'!$B$8/2)),IF('I_Budget Input Data'!$E$33="Mid-weighted",IF(22&lt;='I_Inputs &amp; Assumptions'!$B$8/4,'I_Budget Input Data'!$D$33*0.2/('I_Inputs &amp; Assumptions'!$B$8/4),IF(22&lt;='I_Inputs &amp; Assumptions'!$B$8*0.75,'I_Budget Input Data'!$D$33*0.6/('I_Inputs &amp; Assumptions'!$B$8/2),'I_Budget Input Data'!$D$33*0.2/('I_Inputs &amp; Assumptions'!$B$8/4))),IF('I_Budget Input Data'!$E$33="At Completion",IF(22='I_Inputs &amp; Assumptions'!$B$8,'I_Budget Input Data'!$D$33,0),'I_Budget Input Data'!$D$33/'I_Inputs &amp; Assumptions'!$B$8)))))),0)</f>
        <v>0</v>
      </c>
      <c r="Y33" s="91">
        <f>IF(23&lt;='I_Inputs &amp; Assumptions'!$B$8,IF('I_Budget Input Data'!$E$33="Upfront",IF(23=1,'I_Budget Input Data'!$D$33,0),IF('I_Budget Input Data'!$E$33="Equal",'I_Budget Input Data'!$D$33/'I_Inputs &amp; Assumptions'!$B$8,IF('I_Budget Input Data'!$E$33="Front-loaded",IF(23&lt;='I_Inputs &amp; Assumptions'!$B$8/2,'I_Budget Input Data'!$D$33*0.6/('I_Inputs &amp; Assumptions'!$B$8/2),'I_Budget Input Data'!$D$33*0.4/('I_Inputs &amp; Assumptions'!$B$8/2)),IF('I_Budget Input Data'!$E$33="Back-loaded",IF(23&lt;='I_Inputs &amp; Assumptions'!$B$8/2,'I_Budget Input Data'!$D$33*0.4/('I_Inputs &amp; Assumptions'!$B$8/2),'I_Budget Input Data'!$D$33*0.6/('I_Inputs &amp; Assumptions'!$B$8/2)),IF('I_Budget Input Data'!$E$33="Mid-weighted",IF(23&lt;='I_Inputs &amp; Assumptions'!$B$8/4,'I_Budget Input Data'!$D$33*0.2/('I_Inputs &amp; Assumptions'!$B$8/4),IF(23&lt;='I_Inputs &amp; Assumptions'!$B$8*0.75,'I_Budget Input Data'!$D$33*0.6/('I_Inputs &amp; Assumptions'!$B$8/2),'I_Budget Input Data'!$D$33*0.2/('I_Inputs &amp; Assumptions'!$B$8/4))),IF('I_Budget Input Data'!$E$33="At Completion",IF(23='I_Inputs &amp; Assumptions'!$B$8,'I_Budget Input Data'!$D$33,0),'I_Budget Input Data'!$D$33/'I_Inputs &amp; Assumptions'!$B$8)))))),0)</f>
        <v>0</v>
      </c>
      <c r="Z33" s="91">
        <f>IF(24&lt;='I_Inputs &amp; Assumptions'!$B$8,IF('I_Budget Input Data'!$E$33="Upfront",IF(24=1,'I_Budget Input Data'!$D$33,0),IF('I_Budget Input Data'!$E$33="Equal",'I_Budget Input Data'!$D$33/'I_Inputs &amp; Assumptions'!$B$8,IF('I_Budget Input Data'!$E$33="Front-loaded",IF(24&lt;='I_Inputs &amp; Assumptions'!$B$8/2,'I_Budget Input Data'!$D$33*0.6/('I_Inputs &amp; Assumptions'!$B$8/2),'I_Budget Input Data'!$D$33*0.4/('I_Inputs &amp; Assumptions'!$B$8/2)),IF('I_Budget Input Data'!$E$33="Back-loaded",IF(24&lt;='I_Inputs &amp; Assumptions'!$B$8/2,'I_Budget Input Data'!$D$33*0.4/('I_Inputs &amp; Assumptions'!$B$8/2),'I_Budget Input Data'!$D$33*0.6/('I_Inputs &amp; Assumptions'!$B$8/2)),IF('I_Budget Input Data'!$E$33="Mid-weighted",IF(24&lt;='I_Inputs &amp; Assumptions'!$B$8/4,'I_Budget Input Data'!$D$33*0.2/('I_Inputs &amp; Assumptions'!$B$8/4),IF(24&lt;='I_Inputs &amp; Assumptions'!$B$8*0.75,'I_Budget Input Data'!$D$33*0.6/('I_Inputs &amp; Assumptions'!$B$8/2),'I_Budget Input Data'!$D$33*0.2/('I_Inputs &amp; Assumptions'!$B$8/4))),IF('I_Budget Input Data'!$E$33="At Completion",IF(24='I_Inputs &amp; Assumptions'!$B$8,'I_Budget Input Data'!$D$33,0),'I_Budget Input Data'!$D$33/'I_Inputs &amp; Assumptions'!$B$8)))))),0)</f>
        <v>0</v>
      </c>
      <c r="AA33" s="91">
        <f>IF(25&lt;='I_Inputs &amp; Assumptions'!$B$8,IF('I_Budget Input Data'!$E$33="Upfront",IF(25=1,'I_Budget Input Data'!$D$33,0),IF('I_Budget Input Data'!$E$33="Equal",'I_Budget Input Data'!$D$33/'I_Inputs &amp; Assumptions'!$B$8,IF('I_Budget Input Data'!$E$33="Front-loaded",IF(25&lt;='I_Inputs &amp; Assumptions'!$B$8/2,'I_Budget Input Data'!$D$33*0.6/('I_Inputs &amp; Assumptions'!$B$8/2),'I_Budget Input Data'!$D$33*0.4/('I_Inputs &amp; Assumptions'!$B$8/2)),IF('I_Budget Input Data'!$E$33="Back-loaded",IF(25&lt;='I_Inputs &amp; Assumptions'!$B$8/2,'I_Budget Input Data'!$D$33*0.4/('I_Inputs &amp; Assumptions'!$B$8/2),'I_Budget Input Data'!$D$33*0.6/('I_Inputs &amp; Assumptions'!$B$8/2)),IF('I_Budget Input Data'!$E$33="Mid-weighted",IF(25&lt;='I_Inputs &amp; Assumptions'!$B$8/4,'I_Budget Input Data'!$D$33*0.2/('I_Inputs &amp; Assumptions'!$B$8/4),IF(25&lt;='I_Inputs &amp; Assumptions'!$B$8*0.75,'I_Budget Input Data'!$D$33*0.6/('I_Inputs &amp; Assumptions'!$B$8/2),'I_Budget Input Data'!$D$33*0.2/('I_Inputs &amp; Assumptions'!$B$8/4))),IF('I_Budget Input Data'!$E$33="At Completion",IF(25='I_Inputs &amp; Assumptions'!$B$8,'I_Budget Input Data'!$D$33,0),'I_Budget Input Data'!$D$33/'I_Inputs &amp; Assumptions'!$B$8)))))),0)</f>
        <v>0</v>
      </c>
      <c r="AB33" s="91">
        <f>IF(26&lt;='I_Inputs &amp; Assumptions'!$B$8,IF('I_Budget Input Data'!$E$33="Upfront",IF(26=1,'I_Budget Input Data'!$D$33,0),IF('I_Budget Input Data'!$E$33="Equal",'I_Budget Input Data'!$D$33/'I_Inputs &amp; Assumptions'!$B$8,IF('I_Budget Input Data'!$E$33="Front-loaded",IF(26&lt;='I_Inputs &amp; Assumptions'!$B$8/2,'I_Budget Input Data'!$D$33*0.6/('I_Inputs &amp; Assumptions'!$B$8/2),'I_Budget Input Data'!$D$33*0.4/('I_Inputs &amp; Assumptions'!$B$8/2)),IF('I_Budget Input Data'!$E$33="Back-loaded",IF(26&lt;='I_Inputs &amp; Assumptions'!$B$8/2,'I_Budget Input Data'!$D$33*0.4/('I_Inputs &amp; Assumptions'!$B$8/2),'I_Budget Input Data'!$D$33*0.6/('I_Inputs &amp; Assumptions'!$B$8/2)),IF('I_Budget Input Data'!$E$33="Mid-weighted",IF(26&lt;='I_Inputs &amp; Assumptions'!$B$8/4,'I_Budget Input Data'!$D$33*0.2/('I_Inputs &amp; Assumptions'!$B$8/4),IF(26&lt;='I_Inputs &amp; Assumptions'!$B$8*0.75,'I_Budget Input Data'!$D$33*0.6/('I_Inputs &amp; Assumptions'!$B$8/2),'I_Budget Input Data'!$D$33*0.2/('I_Inputs &amp; Assumptions'!$B$8/4))),IF('I_Budget Input Data'!$E$33="At Completion",IF(26='I_Inputs &amp; Assumptions'!$B$8,'I_Budget Input Data'!$D$33,0),'I_Budget Input Data'!$D$33/'I_Inputs &amp; Assumptions'!$B$8)))))),0)</f>
        <v>0</v>
      </c>
      <c r="AC33" s="91">
        <f>IF(27&lt;='I_Inputs &amp; Assumptions'!$B$8,IF('I_Budget Input Data'!$E$33="Upfront",IF(27=1,'I_Budget Input Data'!$D$33,0),IF('I_Budget Input Data'!$E$33="Equal",'I_Budget Input Data'!$D$33/'I_Inputs &amp; Assumptions'!$B$8,IF('I_Budget Input Data'!$E$33="Front-loaded",IF(27&lt;='I_Inputs &amp; Assumptions'!$B$8/2,'I_Budget Input Data'!$D$33*0.6/('I_Inputs &amp; Assumptions'!$B$8/2),'I_Budget Input Data'!$D$33*0.4/('I_Inputs &amp; Assumptions'!$B$8/2)),IF('I_Budget Input Data'!$E$33="Back-loaded",IF(27&lt;='I_Inputs &amp; Assumptions'!$B$8/2,'I_Budget Input Data'!$D$33*0.4/('I_Inputs &amp; Assumptions'!$B$8/2),'I_Budget Input Data'!$D$33*0.6/('I_Inputs &amp; Assumptions'!$B$8/2)),IF('I_Budget Input Data'!$E$33="Mid-weighted",IF(27&lt;='I_Inputs &amp; Assumptions'!$B$8/4,'I_Budget Input Data'!$D$33*0.2/('I_Inputs &amp; Assumptions'!$B$8/4),IF(27&lt;='I_Inputs &amp; Assumptions'!$B$8*0.75,'I_Budget Input Data'!$D$33*0.6/('I_Inputs &amp; Assumptions'!$B$8/2),'I_Budget Input Data'!$D$33*0.2/('I_Inputs &amp; Assumptions'!$B$8/4))),IF('I_Budget Input Data'!$E$33="At Completion",IF(27='I_Inputs &amp; Assumptions'!$B$8,'I_Budget Input Data'!$D$33,0),'I_Budget Input Data'!$D$33/'I_Inputs &amp; Assumptions'!$B$8)))))),0)</f>
        <v>0</v>
      </c>
      <c r="AD33" s="91">
        <f>IF(28&lt;='I_Inputs &amp; Assumptions'!$B$8,IF('I_Budget Input Data'!$E$33="Upfront",IF(28=1,'I_Budget Input Data'!$D$33,0),IF('I_Budget Input Data'!$E$33="Equal",'I_Budget Input Data'!$D$33/'I_Inputs &amp; Assumptions'!$B$8,IF('I_Budget Input Data'!$E$33="Front-loaded",IF(28&lt;='I_Inputs &amp; Assumptions'!$B$8/2,'I_Budget Input Data'!$D$33*0.6/('I_Inputs &amp; Assumptions'!$B$8/2),'I_Budget Input Data'!$D$33*0.4/('I_Inputs &amp; Assumptions'!$B$8/2)),IF('I_Budget Input Data'!$E$33="Back-loaded",IF(28&lt;='I_Inputs &amp; Assumptions'!$B$8/2,'I_Budget Input Data'!$D$33*0.4/('I_Inputs &amp; Assumptions'!$B$8/2),'I_Budget Input Data'!$D$33*0.6/('I_Inputs &amp; Assumptions'!$B$8/2)),IF('I_Budget Input Data'!$E$33="Mid-weighted",IF(28&lt;='I_Inputs &amp; Assumptions'!$B$8/4,'I_Budget Input Data'!$D$33*0.2/('I_Inputs &amp; Assumptions'!$B$8/4),IF(28&lt;='I_Inputs &amp; Assumptions'!$B$8*0.75,'I_Budget Input Data'!$D$33*0.6/('I_Inputs &amp; Assumptions'!$B$8/2),'I_Budget Input Data'!$D$33*0.2/('I_Inputs &amp; Assumptions'!$B$8/4))),IF('I_Budget Input Data'!$E$33="At Completion",IF(28='I_Inputs &amp; Assumptions'!$B$8,'I_Budget Input Data'!$D$33,0),'I_Budget Input Data'!$D$33/'I_Inputs &amp; Assumptions'!$B$8)))))),0)</f>
        <v>0</v>
      </c>
      <c r="AE33" s="91">
        <f>IF(29&lt;='I_Inputs &amp; Assumptions'!$B$8,IF('I_Budget Input Data'!$E$33="Upfront",IF(29=1,'I_Budget Input Data'!$D$33,0),IF('I_Budget Input Data'!$E$33="Equal",'I_Budget Input Data'!$D$33/'I_Inputs &amp; Assumptions'!$B$8,IF('I_Budget Input Data'!$E$33="Front-loaded",IF(29&lt;='I_Inputs &amp; Assumptions'!$B$8/2,'I_Budget Input Data'!$D$33*0.6/('I_Inputs &amp; Assumptions'!$B$8/2),'I_Budget Input Data'!$D$33*0.4/('I_Inputs &amp; Assumptions'!$B$8/2)),IF('I_Budget Input Data'!$E$33="Back-loaded",IF(29&lt;='I_Inputs &amp; Assumptions'!$B$8/2,'I_Budget Input Data'!$D$33*0.4/('I_Inputs &amp; Assumptions'!$B$8/2),'I_Budget Input Data'!$D$33*0.6/('I_Inputs &amp; Assumptions'!$B$8/2)),IF('I_Budget Input Data'!$E$33="Mid-weighted",IF(29&lt;='I_Inputs &amp; Assumptions'!$B$8/4,'I_Budget Input Data'!$D$33*0.2/('I_Inputs &amp; Assumptions'!$B$8/4),IF(29&lt;='I_Inputs &amp; Assumptions'!$B$8*0.75,'I_Budget Input Data'!$D$33*0.6/('I_Inputs &amp; Assumptions'!$B$8/2),'I_Budget Input Data'!$D$33*0.2/('I_Inputs &amp; Assumptions'!$B$8/4))),IF('I_Budget Input Data'!$E$33="At Completion",IF(29='I_Inputs &amp; Assumptions'!$B$8,'I_Budget Input Data'!$D$33,0),'I_Budget Input Data'!$D$33/'I_Inputs &amp; Assumptions'!$B$8)))))),0)</f>
        <v>0</v>
      </c>
      <c r="AF33" s="91">
        <f>IF(30&lt;='I_Inputs &amp; Assumptions'!$B$8,IF('I_Budget Input Data'!$E$33="Upfront",IF(30=1,'I_Budget Input Data'!$D$33,0),IF('I_Budget Input Data'!$E$33="Equal",'I_Budget Input Data'!$D$33/'I_Inputs &amp; Assumptions'!$B$8,IF('I_Budget Input Data'!$E$33="Front-loaded",IF(30&lt;='I_Inputs &amp; Assumptions'!$B$8/2,'I_Budget Input Data'!$D$33*0.6/('I_Inputs &amp; Assumptions'!$B$8/2),'I_Budget Input Data'!$D$33*0.4/('I_Inputs &amp; Assumptions'!$B$8/2)),IF('I_Budget Input Data'!$E$33="Back-loaded",IF(30&lt;='I_Inputs &amp; Assumptions'!$B$8/2,'I_Budget Input Data'!$D$33*0.4/('I_Inputs &amp; Assumptions'!$B$8/2),'I_Budget Input Data'!$D$33*0.6/('I_Inputs &amp; Assumptions'!$B$8/2)),IF('I_Budget Input Data'!$E$33="Mid-weighted",IF(30&lt;='I_Inputs &amp; Assumptions'!$B$8/4,'I_Budget Input Data'!$D$33*0.2/('I_Inputs &amp; Assumptions'!$B$8/4),IF(30&lt;='I_Inputs &amp; Assumptions'!$B$8*0.75,'I_Budget Input Data'!$D$33*0.6/('I_Inputs &amp; Assumptions'!$B$8/2),'I_Budget Input Data'!$D$33*0.2/('I_Inputs &amp; Assumptions'!$B$8/4))),IF('I_Budget Input Data'!$E$33="At Completion",IF(30='I_Inputs &amp; Assumptions'!$B$8,'I_Budget Input Data'!$D$33,0),'I_Budget Input Data'!$D$33/'I_Inputs &amp; Assumptions'!$B$8)))))),0)</f>
        <v>0</v>
      </c>
      <c r="AG33" s="91">
        <f>IF(31&lt;='I_Inputs &amp; Assumptions'!$B$8,IF('I_Budget Input Data'!$E$33="Upfront",IF(31=1,'I_Budget Input Data'!$D$33,0),IF('I_Budget Input Data'!$E$33="Equal",'I_Budget Input Data'!$D$33/'I_Inputs &amp; Assumptions'!$B$8,IF('I_Budget Input Data'!$E$33="Front-loaded",IF(31&lt;='I_Inputs &amp; Assumptions'!$B$8/2,'I_Budget Input Data'!$D$33*0.6/('I_Inputs &amp; Assumptions'!$B$8/2),'I_Budget Input Data'!$D$33*0.4/('I_Inputs &amp; Assumptions'!$B$8/2)),IF('I_Budget Input Data'!$E$33="Back-loaded",IF(31&lt;='I_Inputs &amp; Assumptions'!$B$8/2,'I_Budget Input Data'!$D$33*0.4/('I_Inputs &amp; Assumptions'!$B$8/2),'I_Budget Input Data'!$D$33*0.6/('I_Inputs &amp; Assumptions'!$B$8/2)),IF('I_Budget Input Data'!$E$33="Mid-weighted",IF(31&lt;='I_Inputs &amp; Assumptions'!$B$8/4,'I_Budget Input Data'!$D$33*0.2/('I_Inputs &amp; Assumptions'!$B$8/4),IF(31&lt;='I_Inputs &amp; Assumptions'!$B$8*0.75,'I_Budget Input Data'!$D$33*0.6/('I_Inputs &amp; Assumptions'!$B$8/2),'I_Budget Input Data'!$D$33*0.2/('I_Inputs &amp; Assumptions'!$B$8/4))),IF('I_Budget Input Data'!$E$33="At Completion",IF(31='I_Inputs &amp; Assumptions'!$B$8,'I_Budget Input Data'!$D$33,0),'I_Budget Input Data'!$D$33/'I_Inputs &amp; Assumptions'!$B$8)))))),0)</f>
        <v>0</v>
      </c>
      <c r="AH33" s="91">
        <f>IF(32&lt;='I_Inputs &amp; Assumptions'!$B$8,IF('I_Budget Input Data'!$E$33="Upfront",IF(32=1,'I_Budget Input Data'!$D$33,0),IF('I_Budget Input Data'!$E$33="Equal",'I_Budget Input Data'!$D$33/'I_Inputs &amp; Assumptions'!$B$8,IF('I_Budget Input Data'!$E$33="Front-loaded",IF(32&lt;='I_Inputs &amp; Assumptions'!$B$8/2,'I_Budget Input Data'!$D$33*0.6/('I_Inputs &amp; Assumptions'!$B$8/2),'I_Budget Input Data'!$D$33*0.4/('I_Inputs &amp; Assumptions'!$B$8/2)),IF('I_Budget Input Data'!$E$33="Back-loaded",IF(32&lt;='I_Inputs &amp; Assumptions'!$B$8/2,'I_Budget Input Data'!$D$33*0.4/('I_Inputs &amp; Assumptions'!$B$8/2),'I_Budget Input Data'!$D$33*0.6/('I_Inputs &amp; Assumptions'!$B$8/2)),IF('I_Budget Input Data'!$E$33="Mid-weighted",IF(32&lt;='I_Inputs &amp; Assumptions'!$B$8/4,'I_Budget Input Data'!$D$33*0.2/('I_Inputs &amp; Assumptions'!$B$8/4),IF(32&lt;='I_Inputs &amp; Assumptions'!$B$8*0.75,'I_Budget Input Data'!$D$33*0.6/('I_Inputs &amp; Assumptions'!$B$8/2),'I_Budget Input Data'!$D$33*0.2/('I_Inputs &amp; Assumptions'!$B$8/4))),IF('I_Budget Input Data'!$E$33="At Completion",IF(32='I_Inputs &amp; Assumptions'!$B$8,'I_Budget Input Data'!$D$33,0),'I_Budget Input Data'!$D$33/'I_Inputs &amp; Assumptions'!$B$8)))))),0)</f>
        <v>0</v>
      </c>
      <c r="AI33" s="91">
        <f>IF(33&lt;='I_Inputs &amp; Assumptions'!$B$8,IF('I_Budget Input Data'!$E$33="Upfront",IF(33=1,'I_Budget Input Data'!$D$33,0),IF('I_Budget Input Data'!$E$33="Equal",'I_Budget Input Data'!$D$33/'I_Inputs &amp; Assumptions'!$B$8,IF('I_Budget Input Data'!$E$33="Front-loaded",IF(33&lt;='I_Inputs &amp; Assumptions'!$B$8/2,'I_Budget Input Data'!$D$33*0.6/('I_Inputs &amp; Assumptions'!$B$8/2),'I_Budget Input Data'!$D$33*0.4/('I_Inputs &amp; Assumptions'!$B$8/2)),IF('I_Budget Input Data'!$E$33="Back-loaded",IF(33&lt;='I_Inputs &amp; Assumptions'!$B$8/2,'I_Budget Input Data'!$D$33*0.4/('I_Inputs &amp; Assumptions'!$B$8/2),'I_Budget Input Data'!$D$33*0.6/('I_Inputs &amp; Assumptions'!$B$8/2)),IF('I_Budget Input Data'!$E$33="Mid-weighted",IF(33&lt;='I_Inputs &amp; Assumptions'!$B$8/4,'I_Budget Input Data'!$D$33*0.2/('I_Inputs &amp; Assumptions'!$B$8/4),IF(33&lt;='I_Inputs &amp; Assumptions'!$B$8*0.75,'I_Budget Input Data'!$D$33*0.6/('I_Inputs &amp; Assumptions'!$B$8/2),'I_Budget Input Data'!$D$33*0.2/('I_Inputs &amp; Assumptions'!$B$8/4))),IF('I_Budget Input Data'!$E$33="At Completion",IF(33='I_Inputs &amp; Assumptions'!$B$8,'I_Budget Input Data'!$D$33,0),'I_Budget Input Data'!$D$33/'I_Inputs &amp; Assumptions'!$B$8)))))),0)</f>
        <v>0</v>
      </c>
      <c r="AJ33" s="91">
        <f>IF(34&lt;='I_Inputs &amp; Assumptions'!$B$8,IF('I_Budget Input Data'!$E$33="Upfront",IF(34=1,'I_Budget Input Data'!$D$33,0),IF('I_Budget Input Data'!$E$33="Equal",'I_Budget Input Data'!$D$33/'I_Inputs &amp; Assumptions'!$B$8,IF('I_Budget Input Data'!$E$33="Front-loaded",IF(34&lt;='I_Inputs &amp; Assumptions'!$B$8/2,'I_Budget Input Data'!$D$33*0.6/('I_Inputs &amp; Assumptions'!$B$8/2),'I_Budget Input Data'!$D$33*0.4/('I_Inputs &amp; Assumptions'!$B$8/2)),IF('I_Budget Input Data'!$E$33="Back-loaded",IF(34&lt;='I_Inputs &amp; Assumptions'!$B$8/2,'I_Budget Input Data'!$D$33*0.4/('I_Inputs &amp; Assumptions'!$B$8/2),'I_Budget Input Data'!$D$33*0.6/('I_Inputs &amp; Assumptions'!$B$8/2)),IF('I_Budget Input Data'!$E$33="Mid-weighted",IF(34&lt;='I_Inputs &amp; Assumptions'!$B$8/4,'I_Budget Input Data'!$D$33*0.2/('I_Inputs &amp; Assumptions'!$B$8/4),IF(34&lt;='I_Inputs &amp; Assumptions'!$B$8*0.75,'I_Budget Input Data'!$D$33*0.6/('I_Inputs &amp; Assumptions'!$B$8/2),'I_Budget Input Data'!$D$33*0.2/('I_Inputs &amp; Assumptions'!$B$8/4))),IF('I_Budget Input Data'!$E$33="At Completion",IF(34='I_Inputs &amp; Assumptions'!$B$8,'I_Budget Input Data'!$D$33,0),'I_Budget Input Data'!$D$33/'I_Inputs &amp; Assumptions'!$B$8)))))),0)</f>
        <v>0</v>
      </c>
      <c r="AK33" s="91">
        <f>IF(35&lt;='I_Inputs &amp; Assumptions'!$B$8,IF('I_Budget Input Data'!$E$33="Upfront",IF(35=1,'I_Budget Input Data'!$D$33,0),IF('I_Budget Input Data'!$E$33="Equal",'I_Budget Input Data'!$D$33/'I_Inputs &amp; Assumptions'!$B$8,IF('I_Budget Input Data'!$E$33="Front-loaded",IF(35&lt;='I_Inputs &amp; Assumptions'!$B$8/2,'I_Budget Input Data'!$D$33*0.6/('I_Inputs &amp; Assumptions'!$B$8/2),'I_Budget Input Data'!$D$33*0.4/('I_Inputs &amp; Assumptions'!$B$8/2)),IF('I_Budget Input Data'!$E$33="Back-loaded",IF(35&lt;='I_Inputs &amp; Assumptions'!$B$8/2,'I_Budget Input Data'!$D$33*0.4/('I_Inputs &amp; Assumptions'!$B$8/2),'I_Budget Input Data'!$D$33*0.6/('I_Inputs &amp; Assumptions'!$B$8/2)),IF('I_Budget Input Data'!$E$33="Mid-weighted",IF(35&lt;='I_Inputs &amp; Assumptions'!$B$8/4,'I_Budget Input Data'!$D$33*0.2/('I_Inputs &amp; Assumptions'!$B$8/4),IF(35&lt;='I_Inputs &amp; Assumptions'!$B$8*0.75,'I_Budget Input Data'!$D$33*0.6/('I_Inputs &amp; Assumptions'!$B$8/2),'I_Budget Input Data'!$D$33*0.2/('I_Inputs &amp; Assumptions'!$B$8/4))),IF('I_Budget Input Data'!$E$33="At Completion",IF(35='I_Inputs &amp; Assumptions'!$B$8,'I_Budget Input Data'!$D$33,0),'I_Budget Input Data'!$D$33/'I_Inputs &amp; Assumptions'!$B$8)))))),0)</f>
        <v>0</v>
      </c>
      <c r="AL33" s="91">
        <f>IF(36&lt;='I_Inputs &amp; Assumptions'!$B$8,IF('I_Budget Input Data'!$E$33="Upfront",IF(36=1,'I_Budget Input Data'!$D$33,0),IF('I_Budget Input Data'!$E$33="Equal",'I_Budget Input Data'!$D$33/'I_Inputs &amp; Assumptions'!$B$8,IF('I_Budget Input Data'!$E$33="Front-loaded",IF(36&lt;='I_Inputs &amp; Assumptions'!$B$8/2,'I_Budget Input Data'!$D$33*0.6/('I_Inputs &amp; Assumptions'!$B$8/2),'I_Budget Input Data'!$D$33*0.4/('I_Inputs &amp; Assumptions'!$B$8/2)),IF('I_Budget Input Data'!$E$33="Back-loaded",IF(36&lt;='I_Inputs &amp; Assumptions'!$B$8/2,'I_Budget Input Data'!$D$33*0.4/('I_Inputs &amp; Assumptions'!$B$8/2),'I_Budget Input Data'!$D$33*0.6/('I_Inputs &amp; Assumptions'!$B$8/2)),IF('I_Budget Input Data'!$E$33="Mid-weighted",IF(36&lt;='I_Inputs &amp; Assumptions'!$B$8/4,'I_Budget Input Data'!$D$33*0.2/('I_Inputs &amp; Assumptions'!$B$8/4),IF(36&lt;='I_Inputs &amp; Assumptions'!$B$8*0.75,'I_Budget Input Data'!$D$33*0.6/('I_Inputs &amp; Assumptions'!$B$8/2),'I_Budget Input Data'!$D$33*0.2/('I_Inputs &amp; Assumptions'!$B$8/4))),IF('I_Budget Input Data'!$E$33="At Completion",IF(36='I_Inputs &amp; Assumptions'!$B$8,'I_Budget Input Data'!$D$33,0),'I_Budget Input Data'!$D$33/'I_Inputs &amp; Assumptions'!$B$8)))))),0)</f>
        <v>0</v>
      </c>
    </row>
    <row r="34" spans="1:38" ht="15" customHeight="1" x14ac:dyDescent="0.2">
      <c r="A34" t="s">
        <v>146</v>
      </c>
      <c r="B34" t="s">
        <v>155</v>
      </c>
      <c r="C34" s="91">
        <f>IF(1&lt;='I_Inputs &amp; Assumptions'!$B$8,IF('I_Budget Input Data'!$E$34="Upfront",IF(1=1,'I_Budget Input Data'!$D$34,0),IF('I_Budget Input Data'!$E$34="Equal",'I_Budget Input Data'!$D$34/'I_Inputs &amp; Assumptions'!$B$8,IF('I_Budget Input Data'!$E$34="Front-loaded",IF(1&lt;='I_Inputs &amp; Assumptions'!$B$8/2,'I_Budget Input Data'!$D$34*0.6/('I_Inputs &amp; Assumptions'!$B$8/2),'I_Budget Input Data'!$D$34*0.4/('I_Inputs &amp; Assumptions'!$B$8/2)),IF('I_Budget Input Data'!$E$34="Back-loaded",IF(1&lt;='I_Inputs &amp; Assumptions'!$B$8/2,'I_Budget Input Data'!$D$34*0.4/('I_Inputs &amp; Assumptions'!$B$8/2),'I_Budget Input Data'!$D$34*0.6/('I_Inputs &amp; Assumptions'!$B$8/2)),IF('I_Budget Input Data'!$E$34="Mid-weighted",IF(1&lt;='I_Inputs &amp; Assumptions'!$B$8/4,'I_Budget Input Data'!$D$34*0.2/('I_Inputs &amp; Assumptions'!$B$8/4),IF(1&lt;='I_Inputs &amp; Assumptions'!$B$8*0.75,'I_Budget Input Data'!$D$34*0.6/('I_Inputs &amp; Assumptions'!$B$8/2),'I_Budget Input Data'!$D$34*0.2/('I_Inputs &amp; Assumptions'!$B$8/4))),IF('I_Budget Input Data'!$E$34="At Completion",IF(1='I_Inputs &amp; Assumptions'!$B$8,'I_Budget Input Data'!$D$34,0),'I_Budget Input Data'!$D$34/'I_Inputs &amp; Assumptions'!$B$8)))))),0)</f>
        <v>20492.307692307691</v>
      </c>
      <c r="D34" s="91">
        <f>IF(2&lt;='I_Inputs &amp; Assumptions'!$B$8,IF('I_Budget Input Data'!$E$34="Upfront",IF(2=1,'I_Budget Input Data'!$D$34,0),IF('I_Budget Input Data'!$E$34="Equal",'I_Budget Input Data'!$D$34/'I_Inputs &amp; Assumptions'!$B$8,IF('I_Budget Input Data'!$E$34="Front-loaded",IF(2&lt;='I_Inputs &amp; Assumptions'!$B$8/2,'I_Budget Input Data'!$D$34*0.6/('I_Inputs &amp; Assumptions'!$B$8/2),'I_Budget Input Data'!$D$34*0.4/('I_Inputs &amp; Assumptions'!$B$8/2)),IF('I_Budget Input Data'!$E$34="Back-loaded",IF(2&lt;='I_Inputs &amp; Assumptions'!$B$8/2,'I_Budget Input Data'!$D$34*0.4/('I_Inputs &amp; Assumptions'!$B$8/2),'I_Budget Input Data'!$D$34*0.6/('I_Inputs &amp; Assumptions'!$B$8/2)),IF('I_Budget Input Data'!$E$34="Mid-weighted",IF(2&lt;='I_Inputs &amp; Assumptions'!$B$8/4,'I_Budget Input Data'!$D$34*0.2/('I_Inputs &amp; Assumptions'!$B$8/4),IF(2&lt;='I_Inputs &amp; Assumptions'!$B$8*0.75,'I_Budget Input Data'!$D$34*0.6/('I_Inputs &amp; Assumptions'!$B$8/2),'I_Budget Input Data'!$D$34*0.2/('I_Inputs &amp; Assumptions'!$B$8/4))),IF('I_Budget Input Data'!$E$34="At Completion",IF(2='I_Inputs &amp; Assumptions'!$B$8,'I_Budget Input Data'!$D$34,0),'I_Budget Input Data'!$D$34/'I_Inputs &amp; Assumptions'!$B$8)))))),0)</f>
        <v>20492.307692307691</v>
      </c>
      <c r="E34" s="91">
        <f>IF(3&lt;='I_Inputs &amp; Assumptions'!$B$8,IF('I_Budget Input Data'!$E$34="Upfront",IF(3=1,'I_Budget Input Data'!$D$34,0),IF('I_Budget Input Data'!$E$34="Equal",'I_Budget Input Data'!$D$34/'I_Inputs &amp; Assumptions'!$B$8,IF('I_Budget Input Data'!$E$34="Front-loaded",IF(3&lt;='I_Inputs &amp; Assumptions'!$B$8/2,'I_Budget Input Data'!$D$34*0.6/('I_Inputs &amp; Assumptions'!$B$8/2),'I_Budget Input Data'!$D$34*0.4/('I_Inputs &amp; Assumptions'!$B$8/2)),IF('I_Budget Input Data'!$E$34="Back-loaded",IF(3&lt;='I_Inputs &amp; Assumptions'!$B$8/2,'I_Budget Input Data'!$D$34*0.4/('I_Inputs &amp; Assumptions'!$B$8/2),'I_Budget Input Data'!$D$34*0.6/('I_Inputs &amp; Assumptions'!$B$8/2)),IF('I_Budget Input Data'!$E$34="Mid-weighted",IF(3&lt;='I_Inputs &amp; Assumptions'!$B$8/4,'I_Budget Input Data'!$D$34*0.2/('I_Inputs &amp; Assumptions'!$B$8/4),IF(3&lt;='I_Inputs &amp; Assumptions'!$B$8*0.75,'I_Budget Input Data'!$D$34*0.6/('I_Inputs &amp; Assumptions'!$B$8/2),'I_Budget Input Data'!$D$34*0.2/('I_Inputs &amp; Assumptions'!$B$8/4))),IF('I_Budget Input Data'!$E$34="At Completion",IF(3='I_Inputs &amp; Assumptions'!$B$8,'I_Budget Input Data'!$D$34,0),'I_Budget Input Data'!$D$34/'I_Inputs &amp; Assumptions'!$B$8)))))),0)</f>
        <v>20492.307692307691</v>
      </c>
      <c r="F34" s="91">
        <f>IF(4&lt;='I_Inputs &amp; Assumptions'!$B$8,IF('I_Budget Input Data'!$E$34="Upfront",IF(4=1,'I_Budget Input Data'!$D$34,0),IF('I_Budget Input Data'!$E$34="Equal",'I_Budget Input Data'!$D$34/'I_Inputs &amp; Assumptions'!$B$8,IF('I_Budget Input Data'!$E$34="Front-loaded",IF(4&lt;='I_Inputs &amp; Assumptions'!$B$8/2,'I_Budget Input Data'!$D$34*0.6/('I_Inputs &amp; Assumptions'!$B$8/2),'I_Budget Input Data'!$D$34*0.4/('I_Inputs &amp; Assumptions'!$B$8/2)),IF('I_Budget Input Data'!$E$34="Back-loaded",IF(4&lt;='I_Inputs &amp; Assumptions'!$B$8/2,'I_Budget Input Data'!$D$34*0.4/('I_Inputs &amp; Assumptions'!$B$8/2),'I_Budget Input Data'!$D$34*0.6/('I_Inputs &amp; Assumptions'!$B$8/2)),IF('I_Budget Input Data'!$E$34="Mid-weighted",IF(4&lt;='I_Inputs &amp; Assumptions'!$B$8/4,'I_Budget Input Data'!$D$34*0.2/('I_Inputs &amp; Assumptions'!$B$8/4),IF(4&lt;='I_Inputs &amp; Assumptions'!$B$8*0.75,'I_Budget Input Data'!$D$34*0.6/('I_Inputs &amp; Assumptions'!$B$8/2),'I_Budget Input Data'!$D$34*0.2/('I_Inputs &amp; Assumptions'!$B$8/4))),IF('I_Budget Input Data'!$E$34="At Completion",IF(4='I_Inputs &amp; Assumptions'!$B$8,'I_Budget Input Data'!$D$34,0),'I_Budget Input Data'!$D$34/'I_Inputs &amp; Assumptions'!$B$8)))))),0)</f>
        <v>20492.307692307691</v>
      </c>
      <c r="G34" s="91">
        <f>IF(5&lt;='I_Inputs &amp; Assumptions'!$B$8,IF('I_Budget Input Data'!$E$34="Upfront",IF(5=1,'I_Budget Input Data'!$D$34,0),IF('I_Budget Input Data'!$E$34="Equal",'I_Budget Input Data'!$D$34/'I_Inputs &amp; Assumptions'!$B$8,IF('I_Budget Input Data'!$E$34="Front-loaded",IF(5&lt;='I_Inputs &amp; Assumptions'!$B$8/2,'I_Budget Input Data'!$D$34*0.6/('I_Inputs &amp; Assumptions'!$B$8/2),'I_Budget Input Data'!$D$34*0.4/('I_Inputs &amp; Assumptions'!$B$8/2)),IF('I_Budget Input Data'!$E$34="Back-loaded",IF(5&lt;='I_Inputs &amp; Assumptions'!$B$8/2,'I_Budget Input Data'!$D$34*0.4/('I_Inputs &amp; Assumptions'!$B$8/2),'I_Budget Input Data'!$D$34*0.6/('I_Inputs &amp; Assumptions'!$B$8/2)),IF('I_Budget Input Data'!$E$34="Mid-weighted",IF(5&lt;='I_Inputs &amp; Assumptions'!$B$8/4,'I_Budget Input Data'!$D$34*0.2/('I_Inputs &amp; Assumptions'!$B$8/4),IF(5&lt;='I_Inputs &amp; Assumptions'!$B$8*0.75,'I_Budget Input Data'!$D$34*0.6/('I_Inputs &amp; Assumptions'!$B$8/2),'I_Budget Input Data'!$D$34*0.2/('I_Inputs &amp; Assumptions'!$B$8/4))),IF('I_Budget Input Data'!$E$34="At Completion",IF(5='I_Inputs &amp; Assumptions'!$B$8,'I_Budget Input Data'!$D$34,0),'I_Budget Input Data'!$D$34/'I_Inputs &amp; Assumptions'!$B$8)))))),0)</f>
        <v>20492.307692307691</v>
      </c>
      <c r="H34" s="91">
        <f>IF(6&lt;='I_Inputs &amp; Assumptions'!$B$8,IF('I_Budget Input Data'!$E$34="Upfront",IF(6=1,'I_Budget Input Data'!$D$34,0),IF('I_Budget Input Data'!$E$34="Equal",'I_Budget Input Data'!$D$34/'I_Inputs &amp; Assumptions'!$B$8,IF('I_Budget Input Data'!$E$34="Front-loaded",IF(6&lt;='I_Inputs &amp; Assumptions'!$B$8/2,'I_Budget Input Data'!$D$34*0.6/('I_Inputs &amp; Assumptions'!$B$8/2),'I_Budget Input Data'!$D$34*0.4/('I_Inputs &amp; Assumptions'!$B$8/2)),IF('I_Budget Input Data'!$E$34="Back-loaded",IF(6&lt;='I_Inputs &amp; Assumptions'!$B$8/2,'I_Budget Input Data'!$D$34*0.4/('I_Inputs &amp; Assumptions'!$B$8/2),'I_Budget Input Data'!$D$34*0.6/('I_Inputs &amp; Assumptions'!$B$8/2)),IF('I_Budget Input Data'!$E$34="Mid-weighted",IF(6&lt;='I_Inputs &amp; Assumptions'!$B$8/4,'I_Budget Input Data'!$D$34*0.2/('I_Inputs &amp; Assumptions'!$B$8/4),IF(6&lt;='I_Inputs &amp; Assumptions'!$B$8*0.75,'I_Budget Input Data'!$D$34*0.6/('I_Inputs &amp; Assumptions'!$B$8/2),'I_Budget Input Data'!$D$34*0.2/('I_Inputs &amp; Assumptions'!$B$8/4))),IF('I_Budget Input Data'!$E$34="At Completion",IF(6='I_Inputs &amp; Assumptions'!$B$8,'I_Budget Input Data'!$D$34,0),'I_Budget Input Data'!$D$34/'I_Inputs &amp; Assumptions'!$B$8)))))),0)</f>
        <v>20492.307692307691</v>
      </c>
      <c r="I34" s="91">
        <f>IF(7&lt;='I_Inputs &amp; Assumptions'!$B$8,IF('I_Budget Input Data'!$E$34="Upfront",IF(7=1,'I_Budget Input Data'!$D$34,0),IF('I_Budget Input Data'!$E$34="Equal",'I_Budget Input Data'!$D$34/'I_Inputs &amp; Assumptions'!$B$8,IF('I_Budget Input Data'!$E$34="Front-loaded",IF(7&lt;='I_Inputs &amp; Assumptions'!$B$8/2,'I_Budget Input Data'!$D$34*0.6/('I_Inputs &amp; Assumptions'!$B$8/2),'I_Budget Input Data'!$D$34*0.4/('I_Inputs &amp; Assumptions'!$B$8/2)),IF('I_Budget Input Data'!$E$34="Back-loaded",IF(7&lt;='I_Inputs &amp; Assumptions'!$B$8/2,'I_Budget Input Data'!$D$34*0.4/('I_Inputs &amp; Assumptions'!$B$8/2),'I_Budget Input Data'!$D$34*0.6/('I_Inputs &amp; Assumptions'!$B$8/2)),IF('I_Budget Input Data'!$E$34="Mid-weighted",IF(7&lt;='I_Inputs &amp; Assumptions'!$B$8/4,'I_Budget Input Data'!$D$34*0.2/('I_Inputs &amp; Assumptions'!$B$8/4),IF(7&lt;='I_Inputs &amp; Assumptions'!$B$8*0.75,'I_Budget Input Data'!$D$34*0.6/('I_Inputs &amp; Assumptions'!$B$8/2),'I_Budget Input Data'!$D$34*0.2/('I_Inputs &amp; Assumptions'!$B$8/4))),IF('I_Budget Input Data'!$E$34="At Completion",IF(7='I_Inputs &amp; Assumptions'!$B$8,'I_Budget Input Data'!$D$34,0),'I_Budget Input Data'!$D$34/'I_Inputs &amp; Assumptions'!$B$8)))))),0)</f>
        <v>20492.307692307691</v>
      </c>
      <c r="J34" s="91">
        <f>IF(8&lt;='I_Inputs &amp; Assumptions'!$B$8,IF('I_Budget Input Data'!$E$34="Upfront",IF(8=1,'I_Budget Input Data'!$D$34,0),IF('I_Budget Input Data'!$E$34="Equal",'I_Budget Input Data'!$D$34/'I_Inputs &amp; Assumptions'!$B$8,IF('I_Budget Input Data'!$E$34="Front-loaded",IF(8&lt;='I_Inputs &amp; Assumptions'!$B$8/2,'I_Budget Input Data'!$D$34*0.6/('I_Inputs &amp; Assumptions'!$B$8/2),'I_Budget Input Data'!$D$34*0.4/('I_Inputs &amp; Assumptions'!$B$8/2)),IF('I_Budget Input Data'!$E$34="Back-loaded",IF(8&lt;='I_Inputs &amp; Assumptions'!$B$8/2,'I_Budget Input Data'!$D$34*0.4/('I_Inputs &amp; Assumptions'!$B$8/2),'I_Budget Input Data'!$D$34*0.6/('I_Inputs &amp; Assumptions'!$B$8/2)),IF('I_Budget Input Data'!$E$34="Mid-weighted",IF(8&lt;='I_Inputs &amp; Assumptions'!$B$8/4,'I_Budget Input Data'!$D$34*0.2/('I_Inputs &amp; Assumptions'!$B$8/4),IF(8&lt;='I_Inputs &amp; Assumptions'!$B$8*0.75,'I_Budget Input Data'!$D$34*0.6/('I_Inputs &amp; Assumptions'!$B$8/2),'I_Budget Input Data'!$D$34*0.2/('I_Inputs &amp; Assumptions'!$B$8/4))),IF('I_Budget Input Data'!$E$34="At Completion",IF(8='I_Inputs &amp; Assumptions'!$B$8,'I_Budget Input Data'!$D$34,0),'I_Budget Input Data'!$D$34/'I_Inputs &amp; Assumptions'!$B$8)))))),0)</f>
        <v>20492.307692307691</v>
      </c>
      <c r="K34" s="91">
        <f>IF(9&lt;='I_Inputs &amp; Assumptions'!$B$8,IF('I_Budget Input Data'!$E$34="Upfront",IF(9=1,'I_Budget Input Data'!$D$34,0),IF('I_Budget Input Data'!$E$34="Equal",'I_Budget Input Data'!$D$34/'I_Inputs &amp; Assumptions'!$B$8,IF('I_Budget Input Data'!$E$34="Front-loaded",IF(9&lt;='I_Inputs &amp; Assumptions'!$B$8/2,'I_Budget Input Data'!$D$34*0.6/('I_Inputs &amp; Assumptions'!$B$8/2),'I_Budget Input Data'!$D$34*0.4/('I_Inputs &amp; Assumptions'!$B$8/2)),IF('I_Budget Input Data'!$E$34="Back-loaded",IF(9&lt;='I_Inputs &amp; Assumptions'!$B$8/2,'I_Budget Input Data'!$D$34*0.4/('I_Inputs &amp; Assumptions'!$B$8/2),'I_Budget Input Data'!$D$34*0.6/('I_Inputs &amp; Assumptions'!$B$8/2)),IF('I_Budget Input Data'!$E$34="Mid-weighted",IF(9&lt;='I_Inputs &amp; Assumptions'!$B$8/4,'I_Budget Input Data'!$D$34*0.2/('I_Inputs &amp; Assumptions'!$B$8/4),IF(9&lt;='I_Inputs &amp; Assumptions'!$B$8*0.75,'I_Budget Input Data'!$D$34*0.6/('I_Inputs &amp; Assumptions'!$B$8/2),'I_Budget Input Data'!$D$34*0.2/('I_Inputs &amp; Assumptions'!$B$8/4))),IF('I_Budget Input Data'!$E$34="At Completion",IF(9='I_Inputs &amp; Assumptions'!$B$8,'I_Budget Input Data'!$D$34,0),'I_Budget Input Data'!$D$34/'I_Inputs &amp; Assumptions'!$B$8)))))),0)</f>
        <v>20492.307692307691</v>
      </c>
      <c r="L34" s="91">
        <f>IF(10&lt;='I_Inputs &amp; Assumptions'!$B$8,IF('I_Budget Input Data'!$E$34="Upfront",IF(10=1,'I_Budget Input Data'!$D$34,0),IF('I_Budget Input Data'!$E$34="Equal",'I_Budget Input Data'!$D$34/'I_Inputs &amp; Assumptions'!$B$8,IF('I_Budget Input Data'!$E$34="Front-loaded",IF(10&lt;='I_Inputs &amp; Assumptions'!$B$8/2,'I_Budget Input Data'!$D$34*0.6/('I_Inputs &amp; Assumptions'!$B$8/2),'I_Budget Input Data'!$D$34*0.4/('I_Inputs &amp; Assumptions'!$B$8/2)),IF('I_Budget Input Data'!$E$34="Back-loaded",IF(10&lt;='I_Inputs &amp; Assumptions'!$B$8/2,'I_Budget Input Data'!$D$34*0.4/('I_Inputs &amp; Assumptions'!$B$8/2),'I_Budget Input Data'!$D$34*0.6/('I_Inputs &amp; Assumptions'!$B$8/2)),IF('I_Budget Input Data'!$E$34="Mid-weighted",IF(10&lt;='I_Inputs &amp; Assumptions'!$B$8/4,'I_Budget Input Data'!$D$34*0.2/('I_Inputs &amp; Assumptions'!$B$8/4),IF(10&lt;='I_Inputs &amp; Assumptions'!$B$8*0.75,'I_Budget Input Data'!$D$34*0.6/('I_Inputs &amp; Assumptions'!$B$8/2),'I_Budget Input Data'!$D$34*0.2/('I_Inputs &amp; Assumptions'!$B$8/4))),IF('I_Budget Input Data'!$E$34="At Completion",IF(10='I_Inputs &amp; Assumptions'!$B$8,'I_Budget Input Data'!$D$34,0),'I_Budget Input Data'!$D$34/'I_Inputs &amp; Assumptions'!$B$8)))))),0)</f>
        <v>20492.307692307691</v>
      </c>
      <c r="M34" s="91">
        <f>IF(11&lt;='I_Inputs &amp; Assumptions'!$B$8,IF('I_Budget Input Data'!$E$34="Upfront",IF(11=1,'I_Budget Input Data'!$D$34,0),IF('I_Budget Input Data'!$E$34="Equal",'I_Budget Input Data'!$D$34/'I_Inputs &amp; Assumptions'!$B$8,IF('I_Budget Input Data'!$E$34="Front-loaded",IF(11&lt;='I_Inputs &amp; Assumptions'!$B$8/2,'I_Budget Input Data'!$D$34*0.6/('I_Inputs &amp; Assumptions'!$B$8/2),'I_Budget Input Data'!$D$34*0.4/('I_Inputs &amp; Assumptions'!$B$8/2)),IF('I_Budget Input Data'!$E$34="Back-loaded",IF(11&lt;='I_Inputs &amp; Assumptions'!$B$8/2,'I_Budget Input Data'!$D$34*0.4/('I_Inputs &amp; Assumptions'!$B$8/2),'I_Budget Input Data'!$D$34*0.6/('I_Inputs &amp; Assumptions'!$B$8/2)),IF('I_Budget Input Data'!$E$34="Mid-weighted",IF(11&lt;='I_Inputs &amp; Assumptions'!$B$8/4,'I_Budget Input Data'!$D$34*0.2/('I_Inputs &amp; Assumptions'!$B$8/4),IF(11&lt;='I_Inputs &amp; Assumptions'!$B$8*0.75,'I_Budget Input Data'!$D$34*0.6/('I_Inputs &amp; Assumptions'!$B$8/2),'I_Budget Input Data'!$D$34*0.2/('I_Inputs &amp; Assumptions'!$B$8/4))),IF('I_Budget Input Data'!$E$34="At Completion",IF(11='I_Inputs &amp; Assumptions'!$B$8,'I_Budget Input Data'!$D$34,0),'I_Budget Input Data'!$D$34/'I_Inputs &amp; Assumptions'!$B$8)))))),0)</f>
        <v>20492.307692307691</v>
      </c>
      <c r="N34" s="91">
        <f>IF(12&lt;='I_Inputs &amp; Assumptions'!$B$8,IF('I_Budget Input Data'!$E$34="Upfront",IF(12=1,'I_Budget Input Data'!$D$34,0),IF('I_Budget Input Data'!$E$34="Equal",'I_Budget Input Data'!$D$34/'I_Inputs &amp; Assumptions'!$B$8,IF('I_Budget Input Data'!$E$34="Front-loaded",IF(12&lt;='I_Inputs &amp; Assumptions'!$B$8/2,'I_Budget Input Data'!$D$34*0.6/('I_Inputs &amp; Assumptions'!$B$8/2),'I_Budget Input Data'!$D$34*0.4/('I_Inputs &amp; Assumptions'!$B$8/2)),IF('I_Budget Input Data'!$E$34="Back-loaded",IF(12&lt;='I_Inputs &amp; Assumptions'!$B$8/2,'I_Budget Input Data'!$D$34*0.4/('I_Inputs &amp; Assumptions'!$B$8/2),'I_Budget Input Data'!$D$34*0.6/('I_Inputs &amp; Assumptions'!$B$8/2)),IF('I_Budget Input Data'!$E$34="Mid-weighted",IF(12&lt;='I_Inputs &amp; Assumptions'!$B$8/4,'I_Budget Input Data'!$D$34*0.2/('I_Inputs &amp; Assumptions'!$B$8/4),IF(12&lt;='I_Inputs &amp; Assumptions'!$B$8*0.75,'I_Budget Input Data'!$D$34*0.6/('I_Inputs &amp; Assumptions'!$B$8/2),'I_Budget Input Data'!$D$34*0.2/('I_Inputs &amp; Assumptions'!$B$8/4))),IF('I_Budget Input Data'!$E$34="At Completion",IF(12='I_Inputs &amp; Assumptions'!$B$8,'I_Budget Input Data'!$D$34,0),'I_Budget Input Data'!$D$34/'I_Inputs &amp; Assumptions'!$B$8)))))),0)</f>
        <v>20492.307692307691</v>
      </c>
      <c r="O34" s="91">
        <f>IF(13&lt;='I_Inputs &amp; Assumptions'!$B$8,IF('I_Budget Input Data'!$E$34="Upfront",IF(13=1,'I_Budget Input Data'!$D$34,0),IF('I_Budget Input Data'!$E$34="Equal",'I_Budget Input Data'!$D$34/'I_Inputs &amp; Assumptions'!$B$8,IF('I_Budget Input Data'!$E$34="Front-loaded",IF(13&lt;='I_Inputs &amp; Assumptions'!$B$8/2,'I_Budget Input Data'!$D$34*0.6/('I_Inputs &amp; Assumptions'!$B$8/2),'I_Budget Input Data'!$D$34*0.4/('I_Inputs &amp; Assumptions'!$B$8/2)),IF('I_Budget Input Data'!$E$34="Back-loaded",IF(13&lt;='I_Inputs &amp; Assumptions'!$B$8/2,'I_Budget Input Data'!$D$34*0.4/('I_Inputs &amp; Assumptions'!$B$8/2),'I_Budget Input Data'!$D$34*0.6/('I_Inputs &amp; Assumptions'!$B$8/2)),IF('I_Budget Input Data'!$E$34="Mid-weighted",IF(13&lt;='I_Inputs &amp; Assumptions'!$B$8/4,'I_Budget Input Data'!$D$34*0.2/('I_Inputs &amp; Assumptions'!$B$8/4),IF(13&lt;='I_Inputs &amp; Assumptions'!$B$8*0.75,'I_Budget Input Data'!$D$34*0.6/('I_Inputs &amp; Assumptions'!$B$8/2),'I_Budget Input Data'!$D$34*0.2/('I_Inputs &amp; Assumptions'!$B$8/4))),IF('I_Budget Input Data'!$E$34="At Completion",IF(13='I_Inputs &amp; Assumptions'!$B$8,'I_Budget Input Data'!$D$34,0),'I_Budget Input Data'!$D$34/'I_Inputs &amp; Assumptions'!$B$8)))))),0)</f>
        <v>20492.307692307691</v>
      </c>
      <c r="P34" s="91">
        <f>IF(14&lt;='I_Inputs &amp; Assumptions'!$B$8,IF('I_Budget Input Data'!$E$34="Upfront",IF(14=1,'I_Budget Input Data'!$D$34,0),IF('I_Budget Input Data'!$E$34="Equal",'I_Budget Input Data'!$D$34/'I_Inputs &amp; Assumptions'!$B$8,IF('I_Budget Input Data'!$E$34="Front-loaded",IF(14&lt;='I_Inputs &amp; Assumptions'!$B$8/2,'I_Budget Input Data'!$D$34*0.6/('I_Inputs &amp; Assumptions'!$B$8/2),'I_Budget Input Data'!$D$34*0.4/('I_Inputs &amp; Assumptions'!$B$8/2)),IF('I_Budget Input Data'!$E$34="Back-loaded",IF(14&lt;='I_Inputs &amp; Assumptions'!$B$8/2,'I_Budget Input Data'!$D$34*0.4/('I_Inputs &amp; Assumptions'!$B$8/2),'I_Budget Input Data'!$D$34*0.6/('I_Inputs &amp; Assumptions'!$B$8/2)),IF('I_Budget Input Data'!$E$34="Mid-weighted",IF(14&lt;='I_Inputs &amp; Assumptions'!$B$8/4,'I_Budget Input Data'!$D$34*0.2/('I_Inputs &amp; Assumptions'!$B$8/4),IF(14&lt;='I_Inputs &amp; Assumptions'!$B$8*0.75,'I_Budget Input Data'!$D$34*0.6/('I_Inputs &amp; Assumptions'!$B$8/2),'I_Budget Input Data'!$D$34*0.2/('I_Inputs &amp; Assumptions'!$B$8/4))),IF('I_Budget Input Data'!$E$34="At Completion",IF(14='I_Inputs &amp; Assumptions'!$B$8,'I_Budget Input Data'!$D$34,0),'I_Budget Input Data'!$D$34/'I_Inputs &amp; Assumptions'!$B$8)))))),0)</f>
        <v>0</v>
      </c>
      <c r="Q34" s="91">
        <f>IF(15&lt;='I_Inputs &amp; Assumptions'!$B$8,IF('I_Budget Input Data'!$E$34="Upfront",IF(15=1,'I_Budget Input Data'!$D$34,0),IF('I_Budget Input Data'!$E$34="Equal",'I_Budget Input Data'!$D$34/'I_Inputs &amp; Assumptions'!$B$8,IF('I_Budget Input Data'!$E$34="Front-loaded",IF(15&lt;='I_Inputs &amp; Assumptions'!$B$8/2,'I_Budget Input Data'!$D$34*0.6/('I_Inputs &amp; Assumptions'!$B$8/2),'I_Budget Input Data'!$D$34*0.4/('I_Inputs &amp; Assumptions'!$B$8/2)),IF('I_Budget Input Data'!$E$34="Back-loaded",IF(15&lt;='I_Inputs &amp; Assumptions'!$B$8/2,'I_Budget Input Data'!$D$34*0.4/('I_Inputs &amp; Assumptions'!$B$8/2),'I_Budget Input Data'!$D$34*0.6/('I_Inputs &amp; Assumptions'!$B$8/2)),IF('I_Budget Input Data'!$E$34="Mid-weighted",IF(15&lt;='I_Inputs &amp; Assumptions'!$B$8/4,'I_Budget Input Data'!$D$34*0.2/('I_Inputs &amp; Assumptions'!$B$8/4),IF(15&lt;='I_Inputs &amp; Assumptions'!$B$8*0.75,'I_Budget Input Data'!$D$34*0.6/('I_Inputs &amp; Assumptions'!$B$8/2),'I_Budget Input Data'!$D$34*0.2/('I_Inputs &amp; Assumptions'!$B$8/4))),IF('I_Budget Input Data'!$E$34="At Completion",IF(15='I_Inputs &amp; Assumptions'!$B$8,'I_Budget Input Data'!$D$34,0),'I_Budget Input Data'!$D$34/'I_Inputs &amp; Assumptions'!$B$8)))))),0)</f>
        <v>0</v>
      </c>
      <c r="R34" s="91">
        <f>IF(16&lt;='I_Inputs &amp; Assumptions'!$B$8,IF('I_Budget Input Data'!$E$34="Upfront",IF(16=1,'I_Budget Input Data'!$D$34,0),IF('I_Budget Input Data'!$E$34="Equal",'I_Budget Input Data'!$D$34/'I_Inputs &amp; Assumptions'!$B$8,IF('I_Budget Input Data'!$E$34="Front-loaded",IF(16&lt;='I_Inputs &amp; Assumptions'!$B$8/2,'I_Budget Input Data'!$D$34*0.6/('I_Inputs &amp; Assumptions'!$B$8/2),'I_Budget Input Data'!$D$34*0.4/('I_Inputs &amp; Assumptions'!$B$8/2)),IF('I_Budget Input Data'!$E$34="Back-loaded",IF(16&lt;='I_Inputs &amp; Assumptions'!$B$8/2,'I_Budget Input Data'!$D$34*0.4/('I_Inputs &amp; Assumptions'!$B$8/2),'I_Budget Input Data'!$D$34*0.6/('I_Inputs &amp; Assumptions'!$B$8/2)),IF('I_Budget Input Data'!$E$34="Mid-weighted",IF(16&lt;='I_Inputs &amp; Assumptions'!$B$8/4,'I_Budget Input Data'!$D$34*0.2/('I_Inputs &amp; Assumptions'!$B$8/4),IF(16&lt;='I_Inputs &amp; Assumptions'!$B$8*0.75,'I_Budget Input Data'!$D$34*0.6/('I_Inputs &amp; Assumptions'!$B$8/2),'I_Budget Input Data'!$D$34*0.2/('I_Inputs &amp; Assumptions'!$B$8/4))),IF('I_Budget Input Data'!$E$34="At Completion",IF(16='I_Inputs &amp; Assumptions'!$B$8,'I_Budget Input Data'!$D$34,0),'I_Budget Input Data'!$D$34/'I_Inputs &amp; Assumptions'!$B$8)))))),0)</f>
        <v>0</v>
      </c>
      <c r="S34" s="91">
        <f>IF(17&lt;='I_Inputs &amp; Assumptions'!$B$8,IF('I_Budget Input Data'!$E$34="Upfront",IF(17=1,'I_Budget Input Data'!$D$34,0),IF('I_Budget Input Data'!$E$34="Equal",'I_Budget Input Data'!$D$34/'I_Inputs &amp; Assumptions'!$B$8,IF('I_Budget Input Data'!$E$34="Front-loaded",IF(17&lt;='I_Inputs &amp; Assumptions'!$B$8/2,'I_Budget Input Data'!$D$34*0.6/('I_Inputs &amp; Assumptions'!$B$8/2),'I_Budget Input Data'!$D$34*0.4/('I_Inputs &amp; Assumptions'!$B$8/2)),IF('I_Budget Input Data'!$E$34="Back-loaded",IF(17&lt;='I_Inputs &amp; Assumptions'!$B$8/2,'I_Budget Input Data'!$D$34*0.4/('I_Inputs &amp; Assumptions'!$B$8/2),'I_Budget Input Data'!$D$34*0.6/('I_Inputs &amp; Assumptions'!$B$8/2)),IF('I_Budget Input Data'!$E$34="Mid-weighted",IF(17&lt;='I_Inputs &amp; Assumptions'!$B$8/4,'I_Budget Input Data'!$D$34*0.2/('I_Inputs &amp; Assumptions'!$B$8/4),IF(17&lt;='I_Inputs &amp; Assumptions'!$B$8*0.75,'I_Budget Input Data'!$D$34*0.6/('I_Inputs &amp; Assumptions'!$B$8/2),'I_Budget Input Data'!$D$34*0.2/('I_Inputs &amp; Assumptions'!$B$8/4))),IF('I_Budget Input Data'!$E$34="At Completion",IF(17='I_Inputs &amp; Assumptions'!$B$8,'I_Budget Input Data'!$D$34,0),'I_Budget Input Data'!$D$34/'I_Inputs &amp; Assumptions'!$B$8)))))),0)</f>
        <v>0</v>
      </c>
      <c r="T34" s="91">
        <f>IF(18&lt;='I_Inputs &amp; Assumptions'!$B$8,IF('I_Budget Input Data'!$E$34="Upfront",IF(18=1,'I_Budget Input Data'!$D$34,0),IF('I_Budget Input Data'!$E$34="Equal",'I_Budget Input Data'!$D$34/'I_Inputs &amp; Assumptions'!$B$8,IF('I_Budget Input Data'!$E$34="Front-loaded",IF(18&lt;='I_Inputs &amp; Assumptions'!$B$8/2,'I_Budget Input Data'!$D$34*0.6/('I_Inputs &amp; Assumptions'!$B$8/2),'I_Budget Input Data'!$D$34*0.4/('I_Inputs &amp; Assumptions'!$B$8/2)),IF('I_Budget Input Data'!$E$34="Back-loaded",IF(18&lt;='I_Inputs &amp; Assumptions'!$B$8/2,'I_Budget Input Data'!$D$34*0.4/('I_Inputs &amp; Assumptions'!$B$8/2),'I_Budget Input Data'!$D$34*0.6/('I_Inputs &amp; Assumptions'!$B$8/2)),IF('I_Budget Input Data'!$E$34="Mid-weighted",IF(18&lt;='I_Inputs &amp; Assumptions'!$B$8/4,'I_Budget Input Data'!$D$34*0.2/('I_Inputs &amp; Assumptions'!$B$8/4),IF(18&lt;='I_Inputs &amp; Assumptions'!$B$8*0.75,'I_Budget Input Data'!$D$34*0.6/('I_Inputs &amp; Assumptions'!$B$8/2),'I_Budget Input Data'!$D$34*0.2/('I_Inputs &amp; Assumptions'!$B$8/4))),IF('I_Budget Input Data'!$E$34="At Completion",IF(18='I_Inputs &amp; Assumptions'!$B$8,'I_Budget Input Data'!$D$34,0),'I_Budget Input Data'!$D$34/'I_Inputs &amp; Assumptions'!$B$8)))))),0)</f>
        <v>0</v>
      </c>
      <c r="U34" s="91">
        <f>IF(19&lt;='I_Inputs &amp; Assumptions'!$B$8,IF('I_Budget Input Data'!$E$34="Upfront",IF(19=1,'I_Budget Input Data'!$D$34,0),IF('I_Budget Input Data'!$E$34="Equal",'I_Budget Input Data'!$D$34/'I_Inputs &amp; Assumptions'!$B$8,IF('I_Budget Input Data'!$E$34="Front-loaded",IF(19&lt;='I_Inputs &amp; Assumptions'!$B$8/2,'I_Budget Input Data'!$D$34*0.6/('I_Inputs &amp; Assumptions'!$B$8/2),'I_Budget Input Data'!$D$34*0.4/('I_Inputs &amp; Assumptions'!$B$8/2)),IF('I_Budget Input Data'!$E$34="Back-loaded",IF(19&lt;='I_Inputs &amp; Assumptions'!$B$8/2,'I_Budget Input Data'!$D$34*0.4/('I_Inputs &amp; Assumptions'!$B$8/2),'I_Budget Input Data'!$D$34*0.6/('I_Inputs &amp; Assumptions'!$B$8/2)),IF('I_Budget Input Data'!$E$34="Mid-weighted",IF(19&lt;='I_Inputs &amp; Assumptions'!$B$8/4,'I_Budget Input Data'!$D$34*0.2/('I_Inputs &amp; Assumptions'!$B$8/4),IF(19&lt;='I_Inputs &amp; Assumptions'!$B$8*0.75,'I_Budget Input Data'!$D$34*0.6/('I_Inputs &amp; Assumptions'!$B$8/2),'I_Budget Input Data'!$D$34*0.2/('I_Inputs &amp; Assumptions'!$B$8/4))),IF('I_Budget Input Data'!$E$34="At Completion",IF(19='I_Inputs &amp; Assumptions'!$B$8,'I_Budget Input Data'!$D$34,0),'I_Budget Input Data'!$D$34/'I_Inputs &amp; Assumptions'!$B$8)))))),0)</f>
        <v>0</v>
      </c>
      <c r="V34" s="91">
        <f>IF(20&lt;='I_Inputs &amp; Assumptions'!$B$8,IF('I_Budget Input Data'!$E$34="Upfront",IF(20=1,'I_Budget Input Data'!$D$34,0),IF('I_Budget Input Data'!$E$34="Equal",'I_Budget Input Data'!$D$34/'I_Inputs &amp; Assumptions'!$B$8,IF('I_Budget Input Data'!$E$34="Front-loaded",IF(20&lt;='I_Inputs &amp; Assumptions'!$B$8/2,'I_Budget Input Data'!$D$34*0.6/('I_Inputs &amp; Assumptions'!$B$8/2),'I_Budget Input Data'!$D$34*0.4/('I_Inputs &amp; Assumptions'!$B$8/2)),IF('I_Budget Input Data'!$E$34="Back-loaded",IF(20&lt;='I_Inputs &amp; Assumptions'!$B$8/2,'I_Budget Input Data'!$D$34*0.4/('I_Inputs &amp; Assumptions'!$B$8/2),'I_Budget Input Data'!$D$34*0.6/('I_Inputs &amp; Assumptions'!$B$8/2)),IF('I_Budget Input Data'!$E$34="Mid-weighted",IF(20&lt;='I_Inputs &amp; Assumptions'!$B$8/4,'I_Budget Input Data'!$D$34*0.2/('I_Inputs &amp; Assumptions'!$B$8/4),IF(20&lt;='I_Inputs &amp; Assumptions'!$B$8*0.75,'I_Budget Input Data'!$D$34*0.6/('I_Inputs &amp; Assumptions'!$B$8/2),'I_Budget Input Data'!$D$34*0.2/('I_Inputs &amp; Assumptions'!$B$8/4))),IF('I_Budget Input Data'!$E$34="At Completion",IF(20='I_Inputs &amp; Assumptions'!$B$8,'I_Budget Input Data'!$D$34,0),'I_Budget Input Data'!$D$34/'I_Inputs &amp; Assumptions'!$B$8)))))),0)</f>
        <v>0</v>
      </c>
      <c r="W34" s="91">
        <f>IF(21&lt;='I_Inputs &amp; Assumptions'!$B$8,IF('I_Budget Input Data'!$E$34="Upfront",IF(21=1,'I_Budget Input Data'!$D$34,0),IF('I_Budget Input Data'!$E$34="Equal",'I_Budget Input Data'!$D$34/'I_Inputs &amp; Assumptions'!$B$8,IF('I_Budget Input Data'!$E$34="Front-loaded",IF(21&lt;='I_Inputs &amp; Assumptions'!$B$8/2,'I_Budget Input Data'!$D$34*0.6/('I_Inputs &amp; Assumptions'!$B$8/2),'I_Budget Input Data'!$D$34*0.4/('I_Inputs &amp; Assumptions'!$B$8/2)),IF('I_Budget Input Data'!$E$34="Back-loaded",IF(21&lt;='I_Inputs &amp; Assumptions'!$B$8/2,'I_Budget Input Data'!$D$34*0.4/('I_Inputs &amp; Assumptions'!$B$8/2),'I_Budget Input Data'!$D$34*0.6/('I_Inputs &amp; Assumptions'!$B$8/2)),IF('I_Budget Input Data'!$E$34="Mid-weighted",IF(21&lt;='I_Inputs &amp; Assumptions'!$B$8/4,'I_Budget Input Data'!$D$34*0.2/('I_Inputs &amp; Assumptions'!$B$8/4),IF(21&lt;='I_Inputs &amp; Assumptions'!$B$8*0.75,'I_Budget Input Data'!$D$34*0.6/('I_Inputs &amp; Assumptions'!$B$8/2),'I_Budget Input Data'!$D$34*0.2/('I_Inputs &amp; Assumptions'!$B$8/4))),IF('I_Budget Input Data'!$E$34="At Completion",IF(21='I_Inputs &amp; Assumptions'!$B$8,'I_Budget Input Data'!$D$34,0),'I_Budget Input Data'!$D$34/'I_Inputs &amp; Assumptions'!$B$8)))))),0)</f>
        <v>0</v>
      </c>
      <c r="X34" s="91">
        <f>IF(22&lt;='I_Inputs &amp; Assumptions'!$B$8,IF('I_Budget Input Data'!$E$34="Upfront",IF(22=1,'I_Budget Input Data'!$D$34,0),IF('I_Budget Input Data'!$E$34="Equal",'I_Budget Input Data'!$D$34/'I_Inputs &amp; Assumptions'!$B$8,IF('I_Budget Input Data'!$E$34="Front-loaded",IF(22&lt;='I_Inputs &amp; Assumptions'!$B$8/2,'I_Budget Input Data'!$D$34*0.6/('I_Inputs &amp; Assumptions'!$B$8/2),'I_Budget Input Data'!$D$34*0.4/('I_Inputs &amp; Assumptions'!$B$8/2)),IF('I_Budget Input Data'!$E$34="Back-loaded",IF(22&lt;='I_Inputs &amp; Assumptions'!$B$8/2,'I_Budget Input Data'!$D$34*0.4/('I_Inputs &amp; Assumptions'!$B$8/2),'I_Budget Input Data'!$D$34*0.6/('I_Inputs &amp; Assumptions'!$B$8/2)),IF('I_Budget Input Data'!$E$34="Mid-weighted",IF(22&lt;='I_Inputs &amp; Assumptions'!$B$8/4,'I_Budget Input Data'!$D$34*0.2/('I_Inputs &amp; Assumptions'!$B$8/4),IF(22&lt;='I_Inputs &amp; Assumptions'!$B$8*0.75,'I_Budget Input Data'!$D$34*0.6/('I_Inputs &amp; Assumptions'!$B$8/2),'I_Budget Input Data'!$D$34*0.2/('I_Inputs &amp; Assumptions'!$B$8/4))),IF('I_Budget Input Data'!$E$34="At Completion",IF(22='I_Inputs &amp; Assumptions'!$B$8,'I_Budget Input Data'!$D$34,0),'I_Budget Input Data'!$D$34/'I_Inputs &amp; Assumptions'!$B$8)))))),0)</f>
        <v>0</v>
      </c>
      <c r="Y34" s="91">
        <f>IF(23&lt;='I_Inputs &amp; Assumptions'!$B$8,IF('I_Budget Input Data'!$E$34="Upfront",IF(23=1,'I_Budget Input Data'!$D$34,0),IF('I_Budget Input Data'!$E$34="Equal",'I_Budget Input Data'!$D$34/'I_Inputs &amp; Assumptions'!$B$8,IF('I_Budget Input Data'!$E$34="Front-loaded",IF(23&lt;='I_Inputs &amp; Assumptions'!$B$8/2,'I_Budget Input Data'!$D$34*0.6/('I_Inputs &amp; Assumptions'!$B$8/2),'I_Budget Input Data'!$D$34*0.4/('I_Inputs &amp; Assumptions'!$B$8/2)),IF('I_Budget Input Data'!$E$34="Back-loaded",IF(23&lt;='I_Inputs &amp; Assumptions'!$B$8/2,'I_Budget Input Data'!$D$34*0.4/('I_Inputs &amp; Assumptions'!$B$8/2),'I_Budget Input Data'!$D$34*0.6/('I_Inputs &amp; Assumptions'!$B$8/2)),IF('I_Budget Input Data'!$E$34="Mid-weighted",IF(23&lt;='I_Inputs &amp; Assumptions'!$B$8/4,'I_Budget Input Data'!$D$34*0.2/('I_Inputs &amp; Assumptions'!$B$8/4),IF(23&lt;='I_Inputs &amp; Assumptions'!$B$8*0.75,'I_Budget Input Data'!$D$34*0.6/('I_Inputs &amp; Assumptions'!$B$8/2),'I_Budget Input Data'!$D$34*0.2/('I_Inputs &amp; Assumptions'!$B$8/4))),IF('I_Budget Input Data'!$E$34="At Completion",IF(23='I_Inputs &amp; Assumptions'!$B$8,'I_Budget Input Data'!$D$34,0),'I_Budget Input Data'!$D$34/'I_Inputs &amp; Assumptions'!$B$8)))))),0)</f>
        <v>0</v>
      </c>
      <c r="Z34" s="91">
        <f>IF(24&lt;='I_Inputs &amp; Assumptions'!$B$8,IF('I_Budget Input Data'!$E$34="Upfront",IF(24=1,'I_Budget Input Data'!$D$34,0),IF('I_Budget Input Data'!$E$34="Equal",'I_Budget Input Data'!$D$34/'I_Inputs &amp; Assumptions'!$B$8,IF('I_Budget Input Data'!$E$34="Front-loaded",IF(24&lt;='I_Inputs &amp; Assumptions'!$B$8/2,'I_Budget Input Data'!$D$34*0.6/('I_Inputs &amp; Assumptions'!$B$8/2),'I_Budget Input Data'!$D$34*0.4/('I_Inputs &amp; Assumptions'!$B$8/2)),IF('I_Budget Input Data'!$E$34="Back-loaded",IF(24&lt;='I_Inputs &amp; Assumptions'!$B$8/2,'I_Budget Input Data'!$D$34*0.4/('I_Inputs &amp; Assumptions'!$B$8/2),'I_Budget Input Data'!$D$34*0.6/('I_Inputs &amp; Assumptions'!$B$8/2)),IF('I_Budget Input Data'!$E$34="Mid-weighted",IF(24&lt;='I_Inputs &amp; Assumptions'!$B$8/4,'I_Budget Input Data'!$D$34*0.2/('I_Inputs &amp; Assumptions'!$B$8/4),IF(24&lt;='I_Inputs &amp; Assumptions'!$B$8*0.75,'I_Budget Input Data'!$D$34*0.6/('I_Inputs &amp; Assumptions'!$B$8/2),'I_Budget Input Data'!$D$34*0.2/('I_Inputs &amp; Assumptions'!$B$8/4))),IF('I_Budget Input Data'!$E$34="At Completion",IF(24='I_Inputs &amp; Assumptions'!$B$8,'I_Budget Input Data'!$D$34,0),'I_Budget Input Data'!$D$34/'I_Inputs &amp; Assumptions'!$B$8)))))),0)</f>
        <v>0</v>
      </c>
      <c r="AA34" s="91">
        <f>IF(25&lt;='I_Inputs &amp; Assumptions'!$B$8,IF('I_Budget Input Data'!$E$34="Upfront",IF(25=1,'I_Budget Input Data'!$D$34,0),IF('I_Budget Input Data'!$E$34="Equal",'I_Budget Input Data'!$D$34/'I_Inputs &amp; Assumptions'!$B$8,IF('I_Budget Input Data'!$E$34="Front-loaded",IF(25&lt;='I_Inputs &amp; Assumptions'!$B$8/2,'I_Budget Input Data'!$D$34*0.6/('I_Inputs &amp; Assumptions'!$B$8/2),'I_Budget Input Data'!$D$34*0.4/('I_Inputs &amp; Assumptions'!$B$8/2)),IF('I_Budget Input Data'!$E$34="Back-loaded",IF(25&lt;='I_Inputs &amp; Assumptions'!$B$8/2,'I_Budget Input Data'!$D$34*0.4/('I_Inputs &amp; Assumptions'!$B$8/2),'I_Budget Input Data'!$D$34*0.6/('I_Inputs &amp; Assumptions'!$B$8/2)),IF('I_Budget Input Data'!$E$34="Mid-weighted",IF(25&lt;='I_Inputs &amp; Assumptions'!$B$8/4,'I_Budget Input Data'!$D$34*0.2/('I_Inputs &amp; Assumptions'!$B$8/4),IF(25&lt;='I_Inputs &amp; Assumptions'!$B$8*0.75,'I_Budget Input Data'!$D$34*0.6/('I_Inputs &amp; Assumptions'!$B$8/2),'I_Budget Input Data'!$D$34*0.2/('I_Inputs &amp; Assumptions'!$B$8/4))),IF('I_Budget Input Data'!$E$34="At Completion",IF(25='I_Inputs &amp; Assumptions'!$B$8,'I_Budget Input Data'!$D$34,0),'I_Budget Input Data'!$D$34/'I_Inputs &amp; Assumptions'!$B$8)))))),0)</f>
        <v>0</v>
      </c>
      <c r="AB34" s="91">
        <f>IF(26&lt;='I_Inputs &amp; Assumptions'!$B$8,IF('I_Budget Input Data'!$E$34="Upfront",IF(26=1,'I_Budget Input Data'!$D$34,0),IF('I_Budget Input Data'!$E$34="Equal",'I_Budget Input Data'!$D$34/'I_Inputs &amp; Assumptions'!$B$8,IF('I_Budget Input Data'!$E$34="Front-loaded",IF(26&lt;='I_Inputs &amp; Assumptions'!$B$8/2,'I_Budget Input Data'!$D$34*0.6/('I_Inputs &amp; Assumptions'!$B$8/2),'I_Budget Input Data'!$D$34*0.4/('I_Inputs &amp; Assumptions'!$B$8/2)),IF('I_Budget Input Data'!$E$34="Back-loaded",IF(26&lt;='I_Inputs &amp; Assumptions'!$B$8/2,'I_Budget Input Data'!$D$34*0.4/('I_Inputs &amp; Assumptions'!$B$8/2),'I_Budget Input Data'!$D$34*0.6/('I_Inputs &amp; Assumptions'!$B$8/2)),IF('I_Budget Input Data'!$E$34="Mid-weighted",IF(26&lt;='I_Inputs &amp; Assumptions'!$B$8/4,'I_Budget Input Data'!$D$34*0.2/('I_Inputs &amp; Assumptions'!$B$8/4),IF(26&lt;='I_Inputs &amp; Assumptions'!$B$8*0.75,'I_Budget Input Data'!$D$34*0.6/('I_Inputs &amp; Assumptions'!$B$8/2),'I_Budget Input Data'!$D$34*0.2/('I_Inputs &amp; Assumptions'!$B$8/4))),IF('I_Budget Input Data'!$E$34="At Completion",IF(26='I_Inputs &amp; Assumptions'!$B$8,'I_Budget Input Data'!$D$34,0),'I_Budget Input Data'!$D$34/'I_Inputs &amp; Assumptions'!$B$8)))))),0)</f>
        <v>0</v>
      </c>
      <c r="AC34" s="91">
        <f>IF(27&lt;='I_Inputs &amp; Assumptions'!$B$8,IF('I_Budget Input Data'!$E$34="Upfront",IF(27=1,'I_Budget Input Data'!$D$34,0),IF('I_Budget Input Data'!$E$34="Equal",'I_Budget Input Data'!$D$34/'I_Inputs &amp; Assumptions'!$B$8,IF('I_Budget Input Data'!$E$34="Front-loaded",IF(27&lt;='I_Inputs &amp; Assumptions'!$B$8/2,'I_Budget Input Data'!$D$34*0.6/('I_Inputs &amp; Assumptions'!$B$8/2),'I_Budget Input Data'!$D$34*0.4/('I_Inputs &amp; Assumptions'!$B$8/2)),IF('I_Budget Input Data'!$E$34="Back-loaded",IF(27&lt;='I_Inputs &amp; Assumptions'!$B$8/2,'I_Budget Input Data'!$D$34*0.4/('I_Inputs &amp; Assumptions'!$B$8/2),'I_Budget Input Data'!$D$34*0.6/('I_Inputs &amp; Assumptions'!$B$8/2)),IF('I_Budget Input Data'!$E$34="Mid-weighted",IF(27&lt;='I_Inputs &amp; Assumptions'!$B$8/4,'I_Budget Input Data'!$D$34*0.2/('I_Inputs &amp; Assumptions'!$B$8/4),IF(27&lt;='I_Inputs &amp; Assumptions'!$B$8*0.75,'I_Budget Input Data'!$D$34*0.6/('I_Inputs &amp; Assumptions'!$B$8/2),'I_Budget Input Data'!$D$34*0.2/('I_Inputs &amp; Assumptions'!$B$8/4))),IF('I_Budget Input Data'!$E$34="At Completion",IF(27='I_Inputs &amp; Assumptions'!$B$8,'I_Budget Input Data'!$D$34,0),'I_Budget Input Data'!$D$34/'I_Inputs &amp; Assumptions'!$B$8)))))),0)</f>
        <v>0</v>
      </c>
      <c r="AD34" s="91">
        <f>IF(28&lt;='I_Inputs &amp; Assumptions'!$B$8,IF('I_Budget Input Data'!$E$34="Upfront",IF(28=1,'I_Budget Input Data'!$D$34,0),IF('I_Budget Input Data'!$E$34="Equal",'I_Budget Input Data'!$D$34/'I_Inputs &amp; Assumptions'!$B$8,IF('I_Budget Input Data'!$E$34="Front-loaded",IF(28&lt;='I_Inputs &amp; Assumptions'!$B$8/2,'I_Budget Input Data'!$D$34*0.6/('I_Inputs &amp; Assumptions'!$B$8/2),'I_Budget Input Data'!$D$34*0.4/('I_Inputs &amp; Assumptions'!$B$8/2)),IF('I_Budget Input Data'!$E$34="Back-loaded",IF(28&lt;='I_Inputs &amp; Assumptions'!$B$8/2,'I_Budget Input Data'!$D$34*0.4/('I_Inputs &amp; Assumptions'!$B$8/2),'I_Budget Input Data'!$D$34*0.6/('I_Inputs &amp; Assumptions'!$B$8/2)),IF('I_Budget Input Data'!$E$34="Mid-weighted",IF(28&lt;='I_Inputs &amp; Assumptions'!$B$8/4,'I_Budget Input Data'!$D$34*0.2/('I_Inputs &amp; Assumptions'!$B$8/4),IF(28&lt;='I_Inputs &amp; Assumptions'!$B$8*0.75,'I_Budget Input Data'!$D$34*0.6/('I_Inputs &amp; Assumptions'!$B$8/2),'I_Budget Input Data'!$D$34*0.2/('I_Inputs &amp; Assumptions'!$B$8/4))),IF('I_Budget Input Data'!$E$34="At Completion",IF(28='I_Inputs &amp; Assumptions'!$B$8,'I_Budget Input Data'!$D$34,0),'I_Budget Input Data'!$D$34/'I_Inputs &amp; Assumptions'!$B$8)))))),0)</f>
        <v>0</v>
      </c>
      <c r="AE34" s="91">
        <f>IF(29&lt;='I_Inputs &amp; Assumptions'!$B$8,IF('I_Budget Input Data'!$E$34="Upfront",IF(29=1,'I_Budget Input Data'!$D$34,0),IF('I_Budget Input Data'!$E$34="Equal",'I_Budget Input Data'!$D$34/'I_Inputs &amp; Assumptions'!$B$8,IF('I_Budget Input Data'!$E$34="Front-loaded",IF(29&lt;='I_Inputs &amp; Assumptions'!$B$8/2,'I_Budget Input Data'!$D$34*0.6/('I_Inputs &amp; Assumptions'!$B$8/2),'I_Budget Input Data'!$D$34*0.4/('I_Inputs &amp; Assumptions'!$B$8/2)),IF('I_Budget Input Data'!$E$34="Back-loaded",IF(29&lt;='I_Inputs &amp; Assumptions'!$B$8/2,'I_Budget Input Data'!$D$34*0.4/('I_Inputs &amp; Assumptions'!$B$8/2),'I_Budget Input Data'!$D$34*0.6/('I_Inputs &amp; Assumptions'!$B$8/2)),IF('I_Budget Input Data'!$E$34="Mid-weighted",IF(29&lt;='I_Inputs &amp; Assumptions'!$B$8/4,'I_Budget Input Data'!$D$34*0.2/('I_Inputs &amp; Assumptions'!$B$8/4),IF(29&lt;='I_Inputs &amp; Assumptions'!$B$8*0.75,'I_Budget Input Data'!$D$34*0.6/('I_Inputs &amp; Assumptions'!$B$8/2),'I_Budget Input Data'!$D$34*0.2/('I_Inputs &amp; Assumptions'!$B$8/4))),IF('I_Budget Input Data'!$E$34="At Completion",IF(29='I_Inputs &amp; Assumptions'!$B$8,'I_Budget Input Data'!$D$34,0),'I_Budget Input Data'!$D$34/'I_Inputs &amp; Assumptions'!$B$8)))))),0)</f>
        <v>0</v>
      </c>
      <c r="AF34" s="91">
        <f>IF(30&lt;='I_Inputs &amp; Assumptions'!$B$8,IF('I_Budget Input Data'!$E$34="Upfront",IF(30=1,'I_Budget Input Data'!$D$34,0),IF('I_Budget Input Data'!$E$34="Equal",'I_Budget Input Data'!$D$34/'I_Inputs &amp; Assumptions'!$B$8,IF('I_Budget Input Data'!$E$34="Front-loaded",IF(30&lt;='I_Inputs &amp; Assumptions'!$B$8/2,'I_Budget Input Data'!$D$34*0.6/('I_Inputs &amp; Assumptions'!$B$8/2),'I_Budget Input Data'!$D$34*0.4/('I_Inputs &amp; Assumptions'!$B$8/2)),IF('I_Budget Input Data'!$E$34="Back-loaded",IF(30&lt;='I_Inputs &amp; Assumptions'!$B$8/2,'I_Budget Input Data'!$D$34*0.4/('I_Inputs &amp; Assumptions'!$B$8/2),'I_Budget Input Data'!$D$34*0.6/('I_Inputs &amp; Assumptions'!$B$8/2)),IF('I_Budget Input Data'!$E$34="Mid-weighted",IF(30&lt;='I_Inputs &amp; Assumptions'!$B$8/4,'I_Budget Input Data'!$D$34*0.2/('I_Inputs &amp; Assumptions'!$B$8/4),IF(30&lt;='I_Inputs &amp; Assumptions'!$B$8*0.75,'I_Budget Input Data'!$D$34*0.6/('I_Inputs &amp; Assumptions'!$B$8/2),'I_Budget Input Data'!$D$34*0.2/('I_Inputs &amp; Assumptions'!$B$8/4))),IF('I_Budget Input Data'!$E$34="At Completion",IF(30='I_Inputs &amp; Assumptions'!$B$8,'I_Budget Input Data'!$D$34,0),'I_Budget Input Data'!$D$34/'I_Inputs &amp; Assumptions'!$B$8)))))),0)</f>
        <v>0</v>
      </c>
      <c r="AG34" s="91">
        <f>IF(31&lt;='I_Inputs &amp; Assumptions'!$B$8,IF('I_Budget Input Data'!$E$34="Upfront",IF(31=1,'I_Budget Input Data'!$D$34,0),IF('I_Budget Input Data'!$E$34="Equal",'I_Budget Input Data'!$D$34/'I_Inputs &amp; Assumptions'!$B$8,IF('I_Budget Input Data'!$E$34="Front-loaded",IF(31&lt;='I_Inputs &amp; Assumptions'!$B$8/2,'I_Budget Input Data'!$D$34*0.6/('I_Inputs &amp; Assumptions'!$B$8/2),'I_Budget Input Data'!$D$34*0.4/('I_Inputs &amp; Assumptions'!$B$8/2)),IF('I_Budget Input Data'!$E$34="Back-loaded",IF(31&lt;='I_Inputs &amp; Assumptions'!$B$8/2,'I_Budget Input Data'!$D$34*0.4/('I_Inputs &amp; Assumptions'!$B$8/2),'I_Budget Input Data'!$D$34*0.6/('I_Inputs &amp; Assumptions'!$B$8/2)),IF('I_Budget Input Data'!$E$34="Mid-weighted",IF(31&lt;='I_Inputs &amp; Assumptions'!$B$8/4,'I_Budget Input Data'!$D$34*0.2/('I_Inputs &amp; Assumptions'!$B$8/4),IF(31&lt;='I_Inputs &amp; Assumptions'!$B$8*0.75,'I_Budget Input Data'!$D$34*0.6/('I_Inputs &amp; Assumptions'!$B$8/2),'I_Budget Input Data'!$D$34*0.2/('I_Inputs &amp; Assumptions'!$B$8/4))),IF('I_Budget Input Data'!$E$34="At Completion",IF(31='I_Inputs &amp; Assumptions'!$B$8,'I_Budget Input Data'!$D$34,0),'I_Budget Input Data'!$D$34/'I_Inputs &amp; Assumptions'!$B$8)))))),0)</f>
        <v>0</v>
      </c>
      <c r="AH34" s="91">
        <f>IF(32&lt;='I_Inputs &amp; Assumptions'!$B$8,IF('I_Budget Input Data'!$E$34="Upfront",IF(32=1,'I_Budget Input Data'!$D$34,0),IF('I_Budget Input Data'!$E$34="Equal",'I_Budget Input Data'!$D$34/'I_Inputs &amp; Assumptions'!$B$8,IF('I_Budget Input Data'!$E$34="Front-loaded",IF(32&lt;='I_Inputs &amp; Assumptions'!$B$8/2,'I_Budget Input Data'!$D$34*0.6/('I_Inputs &amp; Assumptions'!$B$8/2),'I_Budget Input Data'!$D$34*0.4/('I_Inputs &amp; Assumptions'!$B$8/2)),IF('I_Budget Input Data'!$E$34="Back-loaded",IF(32&lt;='I_Inputs &amp; Assumptions'!$B$8/2,'I_Budget Input Data'!$D$34*0.4/('I_Inputs &amp; Assumptions'!$B$8/2),'I_Budget Input Data'!$D$34*0.6/('I_Inputs &amp; Assumptions'!$B$8/2)),IF('I_Budget Input Data'!$E$34="Mid-weighted",IF(32&lt;='I_Inputs &amp; Assumptions'!$B$8/4,'I_Budget Input Data'!$D$34*0.2/('I_Inputs &amp; Assumptions'!$B$8/4),IF(32&lt;='I_Inputs &amp; Assumptions'!$B$8*0.75,'I_Budget Input Data'!$D$34*0.6/('I_Inputs &amp; Assumptions'!$B$8/2),'I_Budget Input Data'!$D$34*0.2/('I_Inputs &amp; Assumptions'!$B$8/4))),IF('I_Budget Input Data'!$E$34="At Completion",IF(32='I_Inputs &amp; Assumptions'!$B$8,'I_Budget Input Data'!$D$34,0),'I_Budget Input Data'!$D$34/'I_Inputs &amp; Assumptions'!$B$8)))))),0)</f>
        <v>0</v>
      </c>
      <c r="AI34" s="91">
        <f>IF(33&lt;='I_Inputs &amp; Assumptions'!$B$8,IF('I_Budget Input Data'!$E$34="Upfront",IF(33=1,'I_Budget Input Data'!$D$34,0),IF('I_Budget Input Data'!$E$34="Equal",'I_Budget Input Data'!$D$34/'I_Inputs &amp; Assumptions'!$B$8,IF('I_Budget Input Data'!$E$34="Front-loaded",IF(33&lt;='I_Inputs &amp; Assumptions'!$B$8/2,'I_Budget Input Data'!$D$34*0.6/('I_Inputs &amp; Assumptions'!$B$8/2),'I_Budget Input Data'!$D$34*0.4/('I_Inputs &amp; Assumptions'!$B$8/2)),IF('I_Budget Input Data'!$E$34="Back-loaded",IF(33&lt;='I_Inputs &amp; Assumptions'!$B$8/2,'I_Budget Input Data'!$D$34*0.4/('I_Inputs &amp; Assumptions'!$B$8/2),'I_Budget Input Data'!$D$34*0.6/('I_Inputs &amp; Assumptions'!$B$8/2)),IF('I_Budget Input Data'!$E$34="Mid-weighted",IF(33&lt;='I_Inputs &amp; Assumptions'!$B$8/4,'I_Budget Input Data'!$D$34*0.2/('I_Inputs &amp; Assumptions'!$B$8/4),IF(33&lt;='I_Inputs &amp; Assumptions'!$B$8*0.75,'I_Budget Input Data'!$D$34*0.6/('I_Inputs &amp; Assumptions'!$B$8/2),'I_Budget Input Data'!$D$34*0.2/('I_Inputs &amp; Assumptions'!$B$8/4))),IF('I_Budget Input Data'!$E$34="At Completion",IF(33='I_Inputs &amp; Assumptions'!$B$8,'I_Budget Input Data'!$D$34,0),'I_Budget Input Data'!$D$34/'I_Inputs &amp; Assumptions'!$B$8)))))),0)</f>
        <v>0</v>
      </c>
      <c r="AJ34" s="91">
        <f>IF(34&lt;='I_Inputs &amp; Assumptions'!$B$8,IF('I_Budget Input Data'!$E$34="Upfront",IF(34=1,'I_Budget Input Data'!$D$34,0),IF('I_Budget Input Data'!$E$34="Equal",'I_Budget Input Data'!$D$34/'I_Inputs &amp; Assumptions'!$B$8,IF('I_Budget Input Data'!$E$34="Front-loaded",IF(34&lt;='I_Inputs &amp; Assumptions'!$B$8/2,'I_Budget Input Data'!$D$34*0.6/('I_Inputs &amp; Assumptions'!$B$8/2),'I_Budget Input Data'!$D$34*0.4/('I_Inputs &amp; Assumptions'!$B$8/2)),IF('I_Budget Input Data'!$E$34="Back-loaded",IF(34&lt;='I_Inputs &amp; Assumptions'!$B$8/2,'I_Budget Input Data'!$D$34*0.4/('I_Inputs &amp; Assumptions'!$B$8/2),'I_Budget Input Data'!$D$34*0.6/('I_Inputs &amp; Assumptions'!$B$8/2)),IF('I_Budget Input Data'!$E$34="Mid-weighted",IF(34&lt;='I_Inputs &amp; Assumptions'!$B$8/4,'I_Budget Input Data'!$D$34*0.2/('I_Inputs &amp; Assumptions'!$B$8/4),IF(34&lt;='I_Inputs &amp; Assumptions'!$B$8*0.75,'I_Budget Input Data'!$D$34*0.6/('I_Inputs &amp; Assumptions'!$B$8/2),'I_Budget Input Data'!$D$34*0.2/('I_Inputs &amp; Assumptions'!$B$8/4))),IF('I_Budget Input Data'!$E$34="At Completion",IF(34='I_Inputs &amp; Assumptions'!$B$8,'I_Budget Input Data'!$D$34,0),'I_Budget Input Data'!$D$34/'I_Inputs &amp; Assumptions'!$B$8)))))),0)</f>
        <v>0</v>
      </c>
      <c r="AK34" s="91">
        <f>IF(35&lt;='I_Inputs &amp; Assumptions'!$B$8,IF('I_Budget Input Data'!$E$34="Upfront",IF(35=1,'I_Budget Input Data'!$D$34,0),IF('I_Budget Input Data'!$E$34="Equal",'I_Budget Input Data'!$D$34/'I_Inputs &amp; Assumptions'!$B$8,IF('I_Budget Input Data'!$E$34="Front-loaded",IF(35&lt;='I_Inputs &amp; Assumptions'!$B$8/2,'I_Budget Input Data'!$D$34*0.6/('I_Inputs &amp; Assumptions'!$B$8/2),'I_Budget Input Data'!$D$34*0.4/('I_Inputs &amp; Assumptions'!$B$8/2)),IF('I_Budget Input Data'!$E$34="Back-loaded",IF(35&lt;='I_Inputs &amp; Assumptions'!$B$8/2,'I_Budget Input Data'!$D$34*0.4/('I_Inputs &amp; Assumptions'!$B$8/2),'I_Budget Input Data'!$D$34*0.6/('I_Inputs &amp; Assumptions'!$B$8/2)),IF('I_Budget Input Data'!$E$34="Mid-weighted",IF(35&lt;='I_Inputs &amp; Assumptions'!$B$8/4,'I_Budget Input Data'!$D$34*0.2/('I_Inputs &amp; Assumptions'!$B$8/4),IF(35&lt;='I_Inputs &amp; Assumptions'!$B$8*0.75,'I_Budget Input Data'!$D$34*0.6/('I_Inputs &amp; Assumptions'!$B$8/2),'I_Budget Input Data'!$D$34*0.2/('I_Inputs &amp; Assumptions'!$B$8/4))),IF('I_Budget Input Data'!$E$34="At Completion",IF(35='I_Inputs &amp; Assumptions'!$B$8,'I_Budget Input Data'!$D$34,0),'I_Budget Input Data'!$D$34/'I_Inputs &amp; Assumptions'!$B$8)))))),0)</f>
        <v>0</v>
      </c>
      <c r="AL34" s="91">
        <f>IF(36&lt;='I_Inputs &amp; Assumptions'!$B$8,IF('I_Budget Input Data'!$E$34="Upfront",IF(36=1,'I_Budget Input Data'!$D$34,0),IF('I_Budget Input Data'!$E$34="Equal",'I_Budget Input Data'!$D$34/'I_Inputs &amp; Assumptions'!$B$8,IF('I_Budget Input Data'!$E$34="Front-loaded",IF(36&lt;='I_Inputs &amp; Assumptions'!$B$8/2,'I_Budget Input Data'!$D$34*0.6/('I_Inputs &amp; Assumptions'!$B$8/2),'I_Budget Input Data'!$D$34*0.4/('I_Inputs &amp; Assumptions'!$B$8/2)),IF('I_Budget Input Data'!$E$34="Back-loaded",IF(36&lt;='I_Inputs &amp; Assumptions'!$B$8/2,'I_Budget Input Data'!$D$34*0.4/('I_Inputs &amp; Assumptions'!$B$8/2),'I_Budget Input Data'!$D$34*0.6/('I_Inputs &amp; Assumptions'!$B$8/2)),IF('I_Budget Input Data'!$E$34="Mid-weighted",IF(36&lt;='I_Inputs &amp; Assumptions'!$B$8/4,'I_Budget Input Data'!$D$34*0.2/('I_Inputs &amp; Assumptions'!$B$8/4),IF(36&lt;='I_Inputs &amp; Assumptions'!$B$8*0.75,'I_Budget Input Data'!$D$34*0.6/('I_Inputs &amp; Assumptions'!$B$8/2),'I_Budget Input Data'!$D$34*0.2/('I_Inputs &amp; Assumptions'!$B$8/4))),IF('I_Budget Input Data'!$E$34="At Completion",IF(36='I_Inputs &amp; Assumptions'!$B$8,'I_Budget Input Data'!$D$34,0),'I_Budget Input Data'!$D$34/'I_Inputs &amp; Assumptions'!$B$8)))))),0)</f>
        <v>0</v>
      </c>
    </row>
    <row r="35" spans="1:38" ht="15" customHeight="1" x14ac:dyDescent="0.2">
      <c r="A35" t="s">
        <v>146</v>
      </c>
      <c r="B35" t="s">
        <v>156</v>
      </c>
      <c r="C35" s="91">
        <f>IF(1&lt;='I_Inputs &amp; Assumptions'!$B$8,IF('I_Budget Input Data'!$E$35="Upfront",IF(1=1,'I_Budget Input Data'!$D$35,0),IF('I_Budget Input Data'!$E$35="Equal",'I_Budget Input Data'!$D$35/'I_Inputs &amp; Assumptions'!$B$8,IF('I_Budget Input Data'!$E$35="Front-loaded",IF(1&lt;='I_Inputs &amp; Assumptions'!$B$8/2,'I_Budget Input Data'!$D$35*0.6/('I_Inputs &amp; Assumptions'!$B$8/2),'I_Budget Input Data'!$D$35*0.4/('I_Inputs &amp; Assumptions'!$B$8/2)),IF('I_Budget Input Data'!$E$35="Back-loaded",IF(1&lt;='I_Inputs &amp; Assumptions'!$B$8/2,'I_Budget Input Data'!$D$35*0.4/('I_Inputs &amp; Assumptions'!$B$8/2),'I_Budget Input Data'!$D$35*0.6/('I_Inputs &amp; Assumptions'!$B$8/2)),IF('I_Budget Input Data'!$E$35="Mid-weighted",IF(1&lt;='I_Inputs &amp; Assumptions'!$B$8/4,'I_Budget Input Data'!$D$35*0.2/('I_Inputs &amp; Assumptions'!$B$8/4),IF(1&lt;='I_Inputs &amp; Assumptions'!$B$8*0.75,'I_Budget Input Data'!$D$35*0.6/('I_Inputs &amp; Assumptions'!$B$8/2),'I_Budget Input Data'!$D$35*0.2/('I_Inputs &amp; Assumptions'!$B$8/4))),IF('I_Budget Input Data'!$E$35="At Completion",IF(1='I_Inputs &amp; Assumptions'!$B$8,'I_Budget Input Data'!$D$35,0),'I_Budget Input Data'!$D$35/'I_Inputs &amp; Assumptions'!$B$8)))))),0)</f>
        <v>11596.153846153846</v>
      </c>
      <c r="D35" s="91">
        <f>IF(2&lt;='I_Inputs &amp; Assumptions'!$B$8,IF('I_Budget Input Data'!$E$35="Upfront",IF(2=1,'I_Budget Input Data'!$D$35,0),IF('I_Budget Input Data'!$E$35="Equal",'I_Budget Input Data'!$D$35/'I_Inputs &amp; Assumptions'!$B$8,IF('I_Budget Input Data'!$E$35="Front-loaded",IF(2&lt;='I_Inputs &amp; Assumptions'!$B$8/2,'I_Budget Input Data'!$D$35*0.6/('I_Inputs &amp; Assumptions'!$B$8/2),'I_Budget Input Data'!$D$35*0.4/('I_Inputs &amp; Assumptions'!$B$8/2)),IF('I_Budget Input Data'!$E$35="Back-loaded",IF(2&lt;='I_Inputs &amp; Assumptions'!$B$8/2,'I_Budget Input Data'!$D$35*0.4/('I_Inputs &amp; Assumptions'!$B$8/2),'I_Budget Input Data'!$D$35*0.6/('I_Inputs &amp; Assumptions'!$B$8/2)),IF('I_Budget Input Data'!$E$35="Mid-weighted",IF(2&lt;='I_Inputs &amp; Assumptions'!$B$8/4,'I_Budget Input Data'!$D$35*0.2/('I_Inputs &amp; Assumptions'!$B$8/4),IF(2&lt;='I_Inputs &amp; Assumptions'!$B$8*0.75,'I_Budget Input Data'!$D$35*0.6/('I_Inputs &amp; Assumptions'!$B$8/2),'I_Budget Input Data'!$D$35*0.2/('I_Inputs &amp; Assumptions'!$B$8/4))),IF('I_Budget Input Data'!$E$35="At Completion",IF(2='I_Inputs &amp; Assumptions'!$B$8,'I_Budget Input Data'!$D$35,0),'I_Budget Input Data'!$D$35/'I_Inputs &amp; Assumptions'!$B$8)))))),0)</f>
        <v>11596.153846153846</v>
      </c>
      <c r="E35" s="91">
        <f>IF(3&lt;='I_Inputs &amp; Assumptions'!$B$8,IF('I_Budget Input Data'!$E$35="Upfront",IF(3=1,'I_Budget Input Data'!$D$35,0),IF('I_Budget Input Data'!$E$35="Equal",'I_Budget Input Data'!$D$35/'I_Inputs &amp; Assumptions'!$B$8,IF('I_Budget Input Data'!$E$35="Front-loaded",IF(3&lt;='I_Inputs &amp; Assumptions'!$B$8/2,'I_Budget Input Data'!$D$35*0.6/('I_Inputs &amp; Assumptions'!$B$8/2),'I_Budget Input Data'!$D$35*0.4/('I_Inputs &amp; Assumptions'!$B$8/2)),IF('I_Budget Input Data'!$E$35="Back-loaded",IF(3&lt;='I_Inputs &amp; Assumptions'!$B$8/2,'I_Budget Input Data'!$D$35*0.4/('I_Inputs &amp; Assumptions'!$B$8/2),'I_Budget Input Data'!$D$35*0.6/('I_Inputs &amp; Assumptions'!$B$8/2)),IF('I_Budget Input Data'!$E$35="Mid-weighted",IF(3&lt;='I_Inputs &amp; Assumptions'!$B$8/4,'I_Budget Input Data'!$D$35*0.2/('I_Inputs &amp; Assumptions'!$B$8/4),IF(3&lt;='I_Inputs &amp; Assumptions'!$B$8*0.75,'I_Budget Input Data'!$D$35*0.6/('I_Inputs &amp; Assumptions'!$B$8/2),'I_Budget Input Data'!$D$35*0.2/('I_Inputs &amp; Assumptions'!$B$8/4))),IF('I_Budget Input Data'!$E$35="At Completion",IF(3='I_Inputs &amp; Assumptions'!$B$8,'I_Budget Input Data'!$D$35,0),'I_Budget Input Data'!$D$35/'I_Inputs &amp; Assumptions'!$B$8)))))),0)</f>
        <v>11596.153846153846</v>
      </c>
      <c r="F35" s="91">
        <f>IF(4&lt;='I_Inputs &amp; Assumptions'!$B$8,IF('I_Budget Input Data'!$E$35="Upfront",IF(4=1,'I_Budget Input Data'!$D$35,0),IF('I_Budget Input Data'!$E$35="Equal",'I_Budget Input Data'!$D$35/'I_Inputs &amp; Assumptions'!$B$8,IF('I_Budget Input Data'!$E$35="Front-loaded",IF(4&lt;='I_Inputs &amp; Assumptions'!$B$8/2,'I_Budget Input Data'!$D$35*0.6/('I_Inputs &amp; Assumptions'!$B$8/2),'I_Budget Input Data'!$D$35*0.4/('I_Inputs &amp; Assumptions'!$B$8/2)),IF('I_Budget Input Data'!$E$35="Back-loaded",IF(4&lt;='I_Inputs &amp; Assumptions'!$B$8/2,'I_Budget Input Data'!$D$35*0.4/('I_Inputs &amp; Assumptions'!$B$8/2),'I_Budget Input Data'!$D$35*0.6/('I_Inputs &amp; Assumptions'!$B$8/2)),IF('I_Budget Input Data'!$E$35="Mid-weighted",IF(4&lt;='I_Inputs &amp; Assumptions'!$B$8/4,'I_Budget Input Data'!$D$35*0.2/('I_Inputs &amp; Assumptions'!$B$8/4),IF(4&lt;='I_Inputs &amp; Assumptions'!$B$8*0.75,'I_Budget Input Data'!$D$35*0.6/('I_Inputs &amp; Assumptions'!$B$8/2),'I_Budget Input Data'!$D$35*0.2/('I_Inputs &amp; Assumptions'!$B$8/4))),IF('I_Budget Input Data'!$E$35="At Completion",IF(4='I_Inputs &amp; Assumptions'!$B$8,'I_Budget Input Data'!$D$35,0),'I_Budget Input Data'!$D$35/'I_Inputs &amp; Assumptions'!$B$8)))))),0)</f>
        <v>11596.153846153846</v>
      </c>
      <c r="G35" s="91">
        <f>IF(5&lt;='I_Inputs &amp; Assumptions'!$B$8,IF('I_Budget Input Data'!$E$35="Upfront",IF(5=1,'I_Budget Input Data'!$D$35,0),IF('I_Budget Input Data'!$E$35="Equal",'I_Budget Input Data'!$D$35/'I_Inputs &amp; Assumptions'!$B$8,IF('I_Budget Input Data'!$E$35="Front-loaded",IF(5&lt;='I_Inputs &amp; Assumptions'!$B$8/2,'I_Budget Input Data'!$D$35*0.6/('I_Inputs &amp; Assumptions'!$B$8/2),'I_Budget Input Data'!$D$35*0.4/('I_Inputs &amp; Assumptions'!$B$8/2)),IF('I_Budget Input Data'!$E$35="Back-loaded",IF(5&lt;='I_Inputs &amp; Assumptions'!$B$8/2,'I_Budget Input Data'!$D$35*0.4/('I_Inputs &amp; Assumptions'!$B$8/2),'I_Budget Input Data'!$D$35*0.6/('I_Inputs &amp; Assumptions'!$B$8/2)),IF('I_Budget Input Data'!$E$35="Mid-weighted",IF(5&lt;='I_Inputs &amp; Assumptions'!$B$8/4,'I_Budget Input Data'!$D$35*0.2/('I_Inputs &amp; Assumptions'!$B$8/4),IF(5&lt;='I_Inputs &amp; Assumptions'!$B$8*0.75,'I_Budget Input Data'!$D$35*0.6/('I_Inputs &amp; Assumptions'!$B$8/2),'I_Budget Input Data'!$D$35*0.2/('I_Inputs &amp; Assumptions'!$B$8/4))),IF('I_Budget Input Data'!$E$35="At Completion",IF(5='I_Inputs &amp; Assumptions'!$B$8,'I_Budget Input Data'!$D$35,0),'I_Budget Input Data'!$D$35/'I_Inputs &amp; Assumptions'!$B$8)))))),0)</f>
        <v>11596.153846153846</v>
      </c>
      <c r="H35" s="91">
        <f>IF(6&lt;='I_Inputs &amp; Assumptions'!$B$8,IF('I_Budget Input Data'!$E$35="Upfront",IF(6=1,'I_Budget Input Data'!$D$35,0),IF('I_Budget Input Data'!$E$35="Equal",'I_Budget Input Data'!$D$35/'I_Inputs &amp; Assumptions'!$B$8,IF('I_Budget Input Data'!$E$35="Front-loaded",IF(6&lt;='I_Inputs &amp; Assumptions'!$B$8/2,'I_Budget Input Data'!$D$35*0.6/('I_Inputs &amp; Assumptions'!$B$8/2),'I_Budget Input Data'!$D$35*0.4/('I_Inputs &amp; Assumptions'!$B$8/2)),IF('I_Budget Input Data'!$E$35="Back-loaded",IF(6&lt;='I_Inputs &amp; Assumptions'!$B$8/2,'I_Budget Input Data'!$D$35*0.4/('I_Inputs &amp; Assumptions'!$B$8/2),'I_Budget Input Data'!$D$35*0.6/('I_Inputs &amp; Assumptions'!$B$8/2)),IF('I_Budget Input Data'!$E$35="Mid-weighted",IF(6&lt;='I_Inputs &amp; Assumptions'!$B$8/4,'I_Budget Input Data'!$D$35*0.2/('I_Inputs &amp; Assumptions'!$B$8/4),IF(6&lt;='I_Inputs &amp; Assumptions'!$B$8*0.75,'I_Budget Input Data'!$D$35*0.6/('I_Inputs &amp; Assumptions'!$B$8/2),'I_Budget Input Data'!$D$35*0.2/('I_Inputs &amp; Assumptions'!$B$8/4))),IF('I_Budget Input Data'!$E$35="At Completion",IF(6='I_Inputs &amp; Assumptions'!$B$8,'I_Budget Input Data'!$D$35,0),'I_Budget Input Data'!$D$35/'I_Inputs &amp; Assumptions'!$B$8)))))),0)</f>
        <v>11596.153846153846</v>
      </c>
      <c r="I35" s="91">
        <f>IF(7&lt;='I_Inputs &amp; Assumptions'!$B$8,IF('I_Budget Input Data'!$E$35="Upfront",IF(7=1,'I_Budget Input Data'!$D$35,0),IF('I_Budget Input Data'!$E$35="Equal",'I_Budget Input Data'!$D$35/'I_Inputs &amp; Assumptions'!$B$8,IF('I_Budget Input Data'!$E$35="Front-loaded",IF(7&lt;='I_Inputs &amp; Assumptions'!$B$8/2,'I_Budget Input Data'!$D$35*0.6/('I_Inputs &amp; Assumptions'!$B$8/2),'I_Budget Input Data'!$D$35*0.4/('I_Inputs &amp; Assumptions'!$B$8/2)),IF('I_Budget Input Data'!$E$35="Back-loaded",IF(7&lt;='I_Inputs &amp; Assumptions'!$B$8/2,'I_Budget Input Data'!$D$35*0.4/('I_Inputs &amp; Assumptions'!$B$8/2),'I_Budget Input Data'!$D$35*0.6/('I_Inputs &amp; Assumptions'!$B$8/2)),IF('I_Budget Input Data'!$E$35="Mid-weighted",IF(7&lt;='I_Inputs &amp; Assumptions'!$B$8/4,'I_Budget Input Data'!$D$35*0.2/('I_Inputs &amp; Assumptions'!$B$8/4),IF(7&lt;='I_Inputs &amp; Assumptions'!$B$8*0.75,'I_Budget Input Data'!$D$35*0.6/('I_Inputs &amp; Assumptions'!$B$8/2),'I_Budget Input Data'!$D$35*0.2/('I_Inputs &amp; Assumptions'!$B$8/4))),IF('I_Budget Input Data'!$E$35="At Completion",IF(7='I_Inputs &amp; Assumptions'!$B$8,'I_Budget Input Data'!$D$35,0),'I_Budget Input Data'!$D$35/'I_Inputs &amp; Assumptions'!$B$8)))))),0)</f>
        <v>11596.153846153846</v>
      </c>
      <c r="J35" s="91">
        <f>IF(8&lt;='I_Inputs &amp; Assumptions'!$B$8,IF('I_Budget Input Data'!$E$35="Upfront",IF(8=1,'I_Budget Input Data'!$D$35,0),IF('I_Budget Input Data'!$E$35="Equal",'I_Budget Input Data'!$D$35/'I_Inputs &amp; Assumptions'!$B$8,IF('I_Budget Input Data'!$E$35="Front-loaded",IF(8&lt;='I_Inputs &amp; Assumptions'!$B$8/2,'I_Budget Input Data'!$D$35*0.6/('I_Inputs &amp; Assumptions'!$B$8/2),'I_Budget Input Data'!$D$35*0.4/('I_Inputs &amp; Assumptions'!$B$8/2)),IF('I_Budget Input Data'!$E$35="Back-loaded",IF(8&lt;='I_Inputs &amp; Assumptions'!$B$8/2,'I_Budget Input Data'!$D$35*0.4/('I_Inputs &amp; Assumptions'!$B$8/2),'I_Budget Input Data'!$D$35*0.6/('I_Inputs &amp; Assumptions'!$B$8/2)),IF('I_Budget Input Data'!$E$35="Mid-weighted",IF(8&lt;='I_Inputs &amp; Assumptions'!$B$8/4,'I_Budget Input Data'!$D$35*0.2/('I_Inputs &amp; Assumptions'!$B$8/4),IF(8&lt;='I_Inputs &amp; Assumptions'!$B$8*0.75,'I_Budget Input Data'!$D$35*0.6/('I_Inputs &amp; Assumptions'!$B$8/2),'I_Budget Input Data'!$D$35*0.2/('I_Inputs &amp; Assumptions'!$B$8/4))),IF('I_Budget Input Data'!$E$35="At Completion",IF(8='I_Inputs &amp; Assumptions'!$B$8,'I_Budget Input Data'!$D$35,0),'I_Budget Input Data'!$D$35/'I_Inputs &amp; Assumptions'!$B$8)))))),0)</f>
        <v>11596.153846153846</v>
      </c>
      <c r="K35" s="91">
        <f>IF(9&lt;='I_Inputs &amp; Assumptions'!$B$8,IF('I_Budget Input Data'!$E$35="Upfront",IF(9=1,'I_Budget Input Data'!$D$35,0),IF('I_Budget Input Data'!$E$35="Equal",'I_Budget Input Data'!$D$35/'I_Inputs &amp; Assumptions'!$B$8,IF('I_Budget Input Data'!$E$35="Front-loaded",IF(9&lt;='I_Inputs &amp; Assumptions'!$B$8/2,'I_Budget Input Data'!$D$35*0.6/('I_Inputs &amp; Assumptions'!$B$8/2),'I_Budget Input Data'!$D$35*0.4/('I_Inputs &amp; Assumptions'!$B$8/2)),IF('I_Budget Input Data'!$E$35="Back-loaded",IF(9&lt;='I_Inputs &amp; Assumptions'!$B$8/2,'I_Budget Input Data'!$D$35*0.4/('I_Inputs &amp; Assumptions'!$B$8/2),'I_Budget Input Data'!$D$35*0.6/('I_Inputs &amp; Assumptions'!$B$8/2)),IF('I_Budget Input Data'!$E$35="Mid-weighted",IF(9&lt;='I_Inputs &amp; Assumptions'!$B$8/4,'I_Budget Input Data'!$D$35*0.2/('I_Inputs &amp; Assumptions'!$B$8/4),IF(9&lt;='I_Inputs &amp; Assumptions'!$B$8*0.75,'I_Budget Input Data'!$D$35*0.6/('I_Inputs &amp; Assumptions'!$B$8/2),'I_Budget Input Data'!$D$35*0.2/('I_Inputs &amp; Assumptions'!$B$8/4))),IF('I_Budget Input Data'!$E$35="At Completion",IF(9='I_Inputs &amp; Assumptions'!$B$8,'I_Budget Input Data'!$D$35,0),'I_Budget Input Data'!$D$35/'I_Inputs &amp; Assumptions'!$B$8)))))),0)</f>
        <v>11596.153846153846</v>
      </c>
      <c r="L35" s="91">
        <f>IF(10&lt;='I_Inputs &amp; Assumptions'!$B$8,IF('I_Budget Input Data'!$E$35="Upfront",IF(10=1,'I_Budget Input Data'!$D$35,0),IF('I_Budget Input Data'!$E$35="Equal",'I_Budget Input Data'!$D$35/'I_Inputs &amp; Assumptions'!$B$8,IF('I_Budget Input Data'!$E$35="Front-loaded",IF(10&lt;='I_Inputs &amp; Assumptions'!$B$8/2,'I_Budget Input Data'!$D$35*0.6/('I_Inputs &amp; Assumptions'!$B$8/2),'I_Budget Input Data'!$D$35*0.4/('I_Inputs &amp; Assumptions'!$B$8/2)),IF('I_Budget Input Data'!$E$35="Back-loaded",IF(10&lt;='I_Inputs &amp; Assumptions'!$B$8/2,'I_Budget Input Data'!$D$35*0.4/('I_Inputs &amp; Assumptions'!$B$8/2),'I_Budget Input Data'!$D$35*0.6/('I_Inputs &amp; Assumptions'!$B$8/2)),IF('I_Budget Input Data'!$E$35="Mid-weighted",IF(10&lt;='I_Inputs &amp; Assumptions'!$B$8/4,'I_Budget Input Data'!$D$35*0.2/('I_Inputs &amp; Assumptions'!$B$8/4),IF(10&lt;='I_Inputs &amp; Assumptions'!$B$8*0.75,'I_Budget Input Data'!$D$35*0.6/('I_Inputs &amp; Assumptions'!$B$8/2),'I_Budget Input Data'!$D$35*0.2/('I_Inputs &amp; Assumptions'!$B$8/4))),IF('I_Budget Input Data'!$E$35="At Completion",IF(10='I_Inputs &amp; Assumptions'!$B$8,'I_Budget Input Data'!$D$35,0),'I_Budget Input Data'!$D$35/'I_Inputs &amp; Assumptions'!$B$8)))))),0)</f>
        <v>11596.153846153846</v>
      </c>
      <c r="M35" s="91">
        <f>IF(11&lt;='I_Inputs &amp; Assumptions'!$B$8,IF('I_Budget Input Data'!$E$35="Upfront",IF(11=1,'I_Budget Input Data'!$D$35,0),IF('I_Budget Input Data'!$E$35="Equal",'I_Budget Input Data'!$D$35/'I_Inputs &amp; Assumptions'!$B$8,IF('I_Budget Input Data'!$E$35="Front-loaded",IF(11&lt;='I_Inputs &amp; Assumptions'!$B$8/2,'I_Budget Input Data'!$D$35*0.6/('I_Inputs &amp; Assumptions'!$B$8/2),'I_Budget Input Data'!$D$35*0.4/('I_Inputs &amp; Assumptions'!$B$8/2)),IF('I_Budget Input Data'!$E$35="Back-loaded",IF(11&lt;='I_Inputs &amp; Assumptions'!$B$8/2,'I_Budget Input Data'!$D$35*0.4/('I_Inputs &amp; Assumptions'!$B$8/2),'I_Budget Input Data'!$D$35*0.6/('I_Inputs &amp; Assumptions'!$B$8/2)),IF('I_Budget Input Data'!$E$35="Mid-weighted",IF(11&lt;='I_Inputs &amp; Assumptions'!$B$8/4,'I_Budget Input Data'!$D$35*0.2/('I_Inputs &amp; Assumptions'!$B$8/4),IF(11&lt;='I_Inputs &amp; Assumptions'!$B$8*0.75,'I_Budget Input Data'!$D$35*0.6/('I_Inputs &amp; Assumptions'!$B$8/2),'I_Budget Input Data'!$D$35*0.2/('I_Inputs &amp; Assumptions'!$B$8/4))),IF('I_Budget Input Data'!$E$35="At Completion",IF(11='I_Inputs &amp; Assumptions'!$B$8,'I_Budget Input Data'!$D$35,0),'I_Budget Input Data'!$D$35/'I_Inputs &amp; Assumptions'!$B$8)))))),0)</f>
        <v>11596.153846153846</v>
      </c>
      <c r="N35" s="91">
        <f>IF(12&lt;='I_Inputs &amp; Assumptions'!$B$8,IF('I_Budget Input Data'!$E$35="Upfront",IF(12=1,'I_Budget Input Data'!$D$35,0),IF('I_Budget Input Data'!$E$35="Equal",'I_Budget Input Data'!$D$35/'I_Inputs &amp; Assumptions'!$B$8,IF('I_Budget Input Data'!$E$35="Front-loaded",IF(12&lt;='I_Inputs &amp; Assumptions'!$B$8/2,'I_Budget Input Data'!$D$35*0.6/('I_Inputs &amp; Assumptions'!$B$8/2),'I_Budget Input Data'!$D$35*0.4/('I_Inputs &amp; Assumptions'!$B$8/2)),IF('I_Budget Input Data'!$E$35="Back-loaded",IF(12&lt;='I_Inputs &amp; Assumptions'!$B$8/2,'I_Budget Input Data'!$D$35*0.4/('I_Inputs &amp; Assumptions'!$B$8/2),'I_Budget Input Data'!$D$35*0.6/('I_Inputs &amp; Assumptions'!$B$8/2)),IF('I_Budget Input Data'!$E$35="Mid-weighted",IF(12&lt;='I_Inputs &amp; Assumptions'!$B$8/4,'I_Budget Input Data'!$D$35*0.2/('I_Inputs &amp; Assumptions'!$B$8/4),IF(12&lt;='I_Inputs &amp; Assumptions'!$B$8*0.75,'I_Budget Input Data'!$D$35*0.6/('I_Inputs &amp; Assumptions'!$B$8/2),'I_Budget Input Data'!$D$35*0.2/('I_Inputs &amp; Assumptions'!$B$8/4))),IF('I_Budget Input Data'!$E$35="At Completion",IF(12='I_Inputs &amp; Assumptions'!$B$8,'I_Budget Input Data'!$D$35,0),'I_Budget Input Data'!$D$35/'I_Inputs &amp; Assumptions'!$B$8)))))),0)</f>
        <v>11596.153846153846</v>
      </c>
      <c r="O35" s="91">
        <f>IF(13&lt;='I_Inputs &amp; Assumptions'!$B$8,IF('I_Budget Input Data'!$E$35="Upfront",IF(13=1,'I_Budget Input Data'!$D$35,0),IF('I_Budget Input Data'!$E$35="Equal",'I_Budget Input Data'!$D$35/'I_Inputs &amp; Assumptions'!$B$8,IF('I_Budget Input Data'!$E$35="Front-loaded",IF(13&lt;='I_Inputs &amp; Assumptions'!$B$8/2,'I_Budget Input Data'!$D$35*0.6/('I_Inputs &amp; Assumptions'!$B$8/2),'I_Budget Input Data'!$D$35*0.4/('I_Inputs &amp; Assumptions'!$B$8/2)),IF('I_Budget Input Data'!$E$35="Back-loaded",IF(13&lt;='I_Inputs &amp; Assumptions'!$B$8/2,'I_Budget Input Data'!$D$35*0.4/('I_Inputs &amp; Assumptions'!$B$8/2),'I_Budget Input Data'!$D$35*0.6/('I_Inputs &amp; Assumptions'!$B$8/2)),IF('I_Budget Input Data'!$E$35="Mid-weighted",IF(13&lt;='I_Inputs &amp; Assumptions'!$B$8/4,'I_Budget Input Data'!$D$35*0.2/('I_Inputs &amp; Assumptions'!$B$8/4),IF(13&lt;='I_Inputs &amp; Assumptions'!$B$8*0.75,'I_Budget Input Data'!$D$35*0.6/('I_Inputs &amp; Assumptions'!$B$8/2),'I_Budget Input Data'!$D$35*0.2/('I_Inputs &amp; Assumptions'!$B$8/4))),IF('I_Budget Input Data'!$E$35="At Completion",IF(13='I_Inputs &amp; Assumptions'!$B$8,'I_Budget Input Data'!$D$35,0),'I_Budget Input Data'!$D$35/'I_Inputs &amp; Assumptions'!$B$8)))))),0)</f>
        <v>11596.153846153846</v>
      </c>
      <c r="P35" s="91">
        <f>IF(14&lt;='I_Inputs &amp; Assumptions'!$B$8,IF('I_Budget Input Data'!$E$35="Upfront",IF(14=1,'I_Budget Input Data'!$D$35,0),IF('I_Budget Input Data'!$E$35="Equal",'I_Budget Input Data'!$D$35/'I_Inputs &amp; Assumptions'!$B$8,IF('I_Budget Input Data'!$E$35="Front-loaded",IF(14&lt;='I_Inputs &amp; Assumptions'!$B$8/2,'I_Budget Input Data'!$D$35*0.6/('I_Inputs &amp; Assumptions'!$B$8/2),'I_Budget Input Data'!$D$35*0.4/('I_Inputs &amp; Assumptions'!$B$8/2)),IF('I_Budget Input Data'!$E$35="Back-loaded",IF(14&lt;='I_Inputs &amp; Assumptions'!$B$8/2,'I_Budget Input Data'!$D$35*0.4/('I_Inputs &amp; Assumptions'!$B$8/2),'I_Budget Input Data'!$D$35*0.6/('I_Inputs &amp; Assumptions'!$B$8/2)),IF('I_Budget Input Data'!$E$35="Mid-weighted",IF(14&lt;='I_Inputs &amp; Assumptions'!$B$8/4,'I_Budget Input Data'!$D$35*0.2/('I_Inputs &amp; Assumptions'!$B$8/4),IF(14&lt;='I_Inputs &amp; Assumptions'!$B$8*0.75,'I_Budget Input Data'!$D$35*0.6/('I_Inputs &amp; Assumptions'!$B$8/2),'I_Budget Input Data'!$D$35*0.2/('I_Inputs &amp; Assumptions'!$B$8/4))),IF('I_Budget Input Data'!$E$35="At Completion",IF(14='I_Inputs &amp; Assumptions'!$B$8,'I_Budget Input Data'!$D$35,0),'I_Budget Input Data'!$D$35/'I_Inputs &amp; Assumptions'!$B$8)))))),0)</f>
        <v>0</v>
      </c>
      <c r="Q35" s="91">
        <f>IF(15&lt;='I_Inputs &amp; Assumptions'!$B$8,IF('I_Budget Input Data'!$E$35="Upfront",IF(15=1,'I_Budget Input Data'!$D$35,0),IF('I_Budget Input Data'!$E$35="Equal",'I_Budget Input Data'!$D$35/'I_Inputs &amp; Assumptions'!$B$8,IF('I_Budget Input Data'!$E$35="Front-loaded",IF(15&lt;='I_Inputs &amp; Assumptions'!$B$8/2,'I_Budget Input Data'!$D$35*0.6/('I_Inputs &amp; Assumptions'!$B$8/2),'I_Budget Input Data'!$D$35*0.4/('I_Inputs &amp; Assumptions'!$B$8/2)),IF('I_Budget Input Data'!$E$35="Back-loaded",IF(15&lt;='I_Inputs &amp; Assumptions'!$B$8/2,'I_Budget Input Data'!$D$35*0.4/('I_Inputs &amp; Assumptions'!$B$8/2),'I_Budget Input Data'!$D$35*0.6/('I_Inputs &amp; Assumptions'!$B$8/2)),IF('I_Budget Input Data'!$E$35="Mid-weighted",IF(15&lt;='I_Inputs &amp; Assumptions'!$B$8/4,'I_Budget Input Data'!$D$35*0.2/('I_Inputs &amp; Assumptions'!$B$8/4),IF(15&lt;='I_Inputs &amp; Assumptions'!$B$8*0.75,'I_Budget Input Data'!$D$35*0.6/('I_Inputs &amp; Assumptions'!$B$8/2),'I_Budget Input Data'!$D$35*0.2/('I_Inputs &amp; Assumptions'!$B$8/4))),IF('I_Budget Input Data'!$E$35="At Completion",IF(15='I_Inputs &amp; Assumptions'!$B$8,'I_Budget Input Data'!$D$35,0),'I_Budget Input Data'!$D$35/'I_Inputs &amp; Assumptions'!$B$8)))))),0)</f>
        <v>0</v>
      </c>
      <c r="R35" s="91">
        <f>IF(16&lt;='I_Inputs &amp; Assumptions'!$B$8,IF('I_Budget Input Data'!$E$35="Upfront",IF(16=1,'I_Budget Input Data'!$D$35,0),IF('I_Budget Input Data'!$E$35="Equal",'I_Budget Input Data'!$D$35/'I_Inputs &amp; Assumptions'!$B$8,IF('I_Budget Input Data'!$E$35="Front-loaded",IF(16&lt;='I_Inputs &amp; Assumptions'!$B$8/2,'I_Budget Input Data'!$D$35*0.6/('I_Inputs &amp; Assumptions'!$B$8/2),'I_Budget Input Data'!$D$35*0.4/('I_Inputs &amp; Assumptions'!$B$8/2)),IF('I_Budget Input Data'!$E$35="Back-loaded",IF(16&lt;='I_Inputs &amp; Assumptions'!$B$8/2,'I_Budget Input Data'!$D$35*0.4/('I_Inputs &amp; Assumptions'!$B$8/2),'I_Budget Input Data'!$D$35*0.6/('I_Inputs &amp; Assumptions'!$B$8/2)),IF('I_Budget Input Data'!$E$35="Mid-weighted",IF(16&lt;='I_Inputs &amp; Assumptions'!$B$8/4,'I_Budget Input Data'!$D$35*0.2/('I_Inputs &amp; Assumptions'!$B$8/4),IF(16&lt;='I_Inputs &amp; Assumptions'!$B$8*0.75,'I_Budget Input Data'!$D$35*0.6/('I_Inputs &amp; Assumptions'!$B$8/2),'I_Budget Input Data'!$D$35*0.2/('I_Inputs &amp; Assumptions'!$B$8/4))),IF('I_Budget Input Data'!$E$35="At Completion",IF(16='I_Inputs &amp; Assumptions'!$B$8,'I_Budget Input Data'!$D$35,0),'I_Budget Input Data'!$D$35/'I_Inputs &amp; Assumptions'!$B$8)))))),0)</f>
        <v>0</v>
      </c>
      <c r="S35" s="91">
        <f>IF(17&lt;='I_Inputs &amp; Assumptions'!$B$8,IF('I_Budget Input Data'!$E$35="Upfront",IF(17=1,'I_Budget Input Data'!$D$35,0),IF('I_Budget Input Data'!$E$35="Equal",'I_Budget Input Data'!$D$35/'I_Inputs &amp; Assumptions'!$B$8,IF('I_Budget Input Data'!$E$35="Front-loaded",IF(17&lt;='I_Inputs &amp; Assumptions'!$B$8/2,'I_Budget Input Data'!$D$35*0.6/('I_Inputs &amp; Assumptions'!$B$8/2),'I_Budget Input Data'!$D$35*0.4/('I_Inputs &amp; Assumptions'!$B$8/2)),IF('I_Budget Input Data'!$E$35="Back-loaded",IF(17&lt;='I_Inputs &amp; Assumptions'!$B$8/2,'I_Budget Input Data'!$D$35*0.4/('I_Inputs &amp; Assumptions'!$B$8/2),'I_Budget Input Data'!$D$35*0.6/('I_Inputs &amp; Assumptions'!$B$8/2)),IF('I_Budget Input Data'!$E$35="Mid-weighted",IF(17&lt;='I_Inputs &amp; Assumptions'!$B$8/4,'I_Budget Input Data'!$D$35*0.2/('I_Inputs &amp; Assumptions'!$B$8/4),IF(17&lt;='I_Inputs &amp; Assumptions'!$B$8*0.75,'I_Budget Input Data'!$D$35*0.6/('I_Inputs &amp; Assumptions'!$B$8/2),'I_Budget Input Data'!$D$35*0.2/('I_Inputs &amp; Assumptions'!$B$8/4))),IF('I_Budget Input Data'!$E$35="At Completion",IF(17='I_Inputs &amp; Assumptions'!$B$8,'I_Budget Input Data'!$D$35,0),'I_Budget Input Data'!$D$35/'I_Inputs &amp; Assumptions'!$B$8)))))),0)</f>
        <v>0</v>
      </c>
      <c r="T35" s="91">
        <f>IF(18&lt;='I_Inputs &amp; Assumptions'!$B$8,IF('I_Budget Input Data'!$E$35="Upfront",IF(18=1,'I_Budget Input Data'!$D$35,0),IF('I_Budget Input Data'!$E$35="Equal",'I_Budget Input Data'!$D$35/'I_Inputs &amp; Assumptions'!$B$8,IF('I_Budget Input Data'!$E$35="Front-loaded",IF(18&lt;='I_Inputs &amp; Assumptions'!$B$8/2,'I_Budget Input Data'!$D$35*0.6/('I_Inputs &amp; Assumptions'!$B$8/2),'I_Budget Input Data'!$D$35*0.4/('I_Inputs &amp; Assumptions'!$B$8/2)),IF('I_Budget Input Data'!$E$35="Back-loaded",IF(18&lt;='I_Inputs &amp; Assumptions'!$B$8/2,'I_Budget Input Data'!$D$35*0.4/('I_Inputs &amp; Assumptions'!$B$8/2),'I_Budget Input Data'!$D$35*0.6/('I_Inputs &amp; Assumptions'!$B$8/2)),IF('I_Budget Input Data'!$E$35="Mid-weighted",IF(18&lt;='I_Inputs &amp; Assumptions'!$B$8/4,'I_Budget Input Data'!$D$35*0.2/('I_Inputs &amp; Assumptions'!$B$8/4),IF(18&lt;='I_Inputs &amp; Assumptions'!$B$8*0.75,'I_Budget Input Data'!$D$35*0.6/('I_Inputs &amp; Assumptions'!$B$8/2),'I_Budget Input Data'!$D$35*0.2/('I_Inputs &amp; Assumptions'!$B$8/4))),IF('I_Budget Input Data'!$E$35="At Completion",IF(18='I_Inputs &amp; Assumptions'!$B$8,'I_Budget Input Data'!$D$35,0),'I_Budget Input Data'!$D$35/'I_Inputs &amp; Assumptions'!$B$8)))))),0)</f>
        <v>0</v>
      </c>
      <c r="U35" s="91">
        <f>IF(19&lt;='I_Inputs &amp; Assumptions'!$B$8,IF('I_Budget Input Data'!$E$35="Upfront",IF(19=1,'I_Budget Input Data'!$D$35,0),IF('I_Budget Input Data'!$E$35="Equal",'I_Budget Input Data'!$D$35/'I_Inputs &amp; Assumptions'!$B$8,IF('I_Budget Input Data'!$E$35="Front-loaded",IF(19&lt;='I_Inputs &amp; Assumptions'!$B$8/2,'I_Budget Input Data'!$D$35*0.6/('I_Inputs &amp; Assumptions'!$B$8/2),'I_Budget Input Data'!$D$35*0.4/('I_Inputs &amp; Assumptions'!$B$8/2)),IF('I_Budget Input Data'!$E$35="Back-loaded",IF(19&lt;='I_Inputs &amp; Assumptions'!$B$8/2,'I_Budget Input Data'!$D$35*0.4/('I_Inputs &amp; Assumptions'!$B$8/2),'I_Budget Input Data'!$D$35*0.6/('I_Inputs &amp; Assumptions'!$B$8/2)),IF('I_Budget Input Data'!$E$35="Mid-weighted",IF(19&lt;='I_Inputs &amp; Assumptions'!$B$8/4,'I_Budget Input Data'!$D$35*0.2/('I_Inputs &amp; Assumptions'!$B$8/4),IF(19&lt;='I_Inputs &amp; Assumptions'!$B$8*0.75,'I_Budget Input Data'!$D$35*0.6/('I_Inputs &amp; Assumptions'!$B$8/2),'I_Budget Input Data'!$D$35*0.2/('I_Inputs &amp; Assumptions'!$B$8/4))),IF('I_Budget Input Data'!$E$35="At Completion",IF(19='I_Inputs &amp; Assumptions'!$B$8,'I_Budget Input Data'!$D$35,0),'I_Budget Input Data'!$D$35/'I_Inputs &amp; Assumptions'!$B$8)))))),0)</f>
        <v>0</v>
      </c>
      <c r="V35" s="91">
        <f>IF(20&lt;='I_Inputs &amp; Assumptions'!$B$8,IF('I_Budget Input Data'!$E$35="Upfront",IF(20=1,'I_Budget Input Data'!$D$35,0),IF('I_Budget Input Data'!$E$35="Equal",'I_Budget Input Data'!$D$35/'I_Inputs &amp; Assumptions'!$B$8,IF('I_Budget Input Data'!$E$35="Front-loaded",IF(20&lt;='I_Inputs &amp; Assumptions'!$B$8/2,'I_Budget Input Data'!$D$35*0.6/('I_Inputs &amp; Assumptions'!$B$8/2),'I_Budget Input Data'!$D$35*0.4/('I_Inputs &amp; Assumptions'!$B$8/2)),IF('I_Budget Input Data'!$E$35="Back-loaded",IF(20&lt;='I_Inputs &amp; Assumptions'!$B$8/2,'I_Budget Input Data'!$D$35*0.4/('I_Inputs &amp; Assumptions'!$B$8/2),'I_Budget Input Data'!$D$35*0.6/('I_Inputs &amp; Assumptions'!$B$8/2)),IF('I_Budget Input Data'!$E$35="Mid-weighted",IF(20&lt;='I_Inputs &amp; Assumptions'!$B$8/4,'I_Budget Input Data'!$D$35*0.2/('I_Inputs &amp; Assumptions'!$B$8/4),IF(20&lt;='I_Inputs &amp; Assumptions'!$B$8*0.75,'I_Budget Input Data'!$D$35*0.6/('I_Inputs &amp; Assumptions'!$B$8/2),'I_Budget Input Data'!$D$35*0.2/('I_Inputs &amp; Assumptions'!$B$8/4))),IF('I_Budget Input Data'!$E$35="At Completion",IF(20='I_Inputs &amp; Assumptions'!$B$8,'I_Budget Input Data'!$D$35,0),'I_Budget Input Data'!$D$35/'I_Inputs &amp; Assumptions'!$B$8)))))),0)</f>
        <v>0</v>
      </c>
      <c r="W35" s="91">
        <f>IF(21&lt;='I_Inputs &amp; Assumptions'!$B$8,IF('I_Budget Input Data'!$E$35="Upfront",IF(21=1,'I_Budget Input Data'!$D$35,0),IF('I_Budget Input Data'!$E$35="Equal",'I_Budget Input Data'!$D$35/'I_Inputs &amp; Assumptions'!$B$8,IF('I_Budget Input Data'!$E$35="Front-loaded",IF(21&lt;='I_Inputs &amp; Assumptions'!$B$8/2,'I_Budget Input Data'!$D$35*0.6/('I_Inputs &amp; Assumptions'!$B$8/2),'I_Budget Input Data'!$D$35*0.4/('I_Inputs &amp; Assumptions'!$B$8/2)),IF('I_Budget Input Data'!$E$35="Back-loaded",IF(21&lt;='I_Inputs &amp; Assumptions'!$B$8/2,'I_Budget Input Data'!$D$35*0.4/('I_Inputs &amp; Assumptions'!$B$8/2),'I_Budget Input Data'!$D$35*0.6/('I_Inputs &amp; Assumptions'!$B$8/2)),IF('I_Budget Input Data'!$E$35="Mid-weighted",IF(21&lt;='I_Inputs &amp; Assumptions'!$B$8/4,'I_Budget Input Data'!$D$35*0.2/('I_Inputs &amp; Assumptions'!$B$8/4),IF(21&lt;='I_Inputs &amp; Assumptions'!$B$8*0.75,'I_Budget Input Data'!$D$35*0.6/('I_Inputs &amp; Assumptions'!$B$8/2),'I_Budget Input Data'!$D$35*0.2/('I_Inputs &amp; Assumptions'!$B$8/4))),IF('I_Budget Input Data'!$E$35="At Completion",IF(21='I_Inputs &amp; Assumptions'!$B$8,'I_Budget Input Data'!$D$35,0),'I_Budget Input Data'!$D$35/'I_Inputs &amp; Assumptions'!$B$8)))))),0)</f>
        <v>0</v>
      </c>
      <c r="X35" s="91">
        <f>IF(22&lt;='I_Inputs &amp; Assumptions'!$B$8,IF('I_Budget Input Data'!$E$35="Upfront",IF(22=1,'I_Budget Input Data'!$D$35,0),IF('I_Budget Input Data'!$E$35="Equal",'I_Budget Input Data'!$D$35/'I_Inputs &amp; Assumptions'!$B$8,IF('I_Budget Input Data'!$E$35="Front-loaded",IF(22&lt;='I_Inputs &amp; Assumptions'!$B$8/2,'I_Budget Input Data'!$D$35*0.6/('I_Inputs &amp; Assumptions'!$B$8/2),'I_Budget Input Data'!$D$35*0.4/('I_Inputs &amp; Assumptions'!$B$8/2)),IF('I_Budget Input Data'!$E$35="Back-loaded",IF(22&lt;='I_Inputs &amp; Assumptions'!$B$8/2,'I_Budget Input Data'!$D$35*0.4/('I_Inputs &amp; Assumptions'!$B$8/2),'I_Budget Input Data'!$D$35*0.6/('I_Inputs &amp; Assumptions'!$B$8/2)),IF('I_Budget Input Data'!$E$35="Mid-weighted",IF(22&lt;='I_Inputs &amp; Assumptions'!$B$8/4,'I_Budget Input Data'!$D$35*0.2/('I_Inputs &amp; Assumptions'!$B$8/4),IF(22&lt;='I_Inputs &amp; Assumptions'!$B$8*0.75,'I_Budget Input Data'!$D$35*0.6/('I_Inputs &amp; Assumptions'!$B$8/2),'I_Budget Input Data'!$D$35*0.2/('I_Inputs &amp; Assumptions'!$B$8/4))),IF('I_Budget Input Data'!$E$35="At Completion",IF(22='I_Inputs &amp; Assumptions'!$B$8,'I_Budget Input Data'!$D$35,0),'I_Budget Input Data'!$D$35/'I_Inputs &amp; Assumptions'!$B$8)))))),0)</f>
        <v>0</v>
      </c>
      <c r="Y35" s="91">
        <f>IF(23&lt;='I_Inputs &amp; Assumptions'!$B$8,IF('I_Budget Input Data'!$E$35="Upfront",IF(23=1,'I_Budget Input Data'!$D$35,0),IF('I_Budget Input Data'!$E$35="Equal",'I_Budget Input Data'!$D$35/'I_Inputs &amp; Assumptions'!$B$8,IF('I_Budget Input Data'!$E$35="Front-loaded",IF(23&lt;='I_Inputs &amp; Assumptions'!$B$8/2,'I_Budget Input Data'!$D$35*0.6/('I_Inputs &amp; Assumptions'!$B$8/2),'I_Budget Input Data'!$D$35*0.4/('I_Inputs &amp; Assumptions'!$B$8/2)),IF('I_Budget Input Data'!$E$35="Back-loaded",IF(23&lt;='I_Inputs &amp; Assumptions'!$B$8/2,'I_Budget Input Data'!$D$35*0.4/('I_Inputs &amp; Assumptions'!$B$8/2),'I_Budget Input Data'!$D$35*0.6/('I_Inputs &amp; Assumptions'!$B$8/2)),IF('I_Budget Input Data'!$E$35="Mid-weighted",IF(23&lt;='I_Inputs &amp; Assumptions'!$B$8/4,'I_Budget Input Data'!$D$35*0.2/('I_Inputs &amp; Assumptions'!$B$8/4),IF(23&lt;='I_Inputs &amp; Assumptions'!$B$8*0.75,'I_Budget Input Data'!$D$35*0.6/('I_Inputs &amp; Assumptions'!$B$8/2),'I_Budget Input Data'!$D$35*0.2/('I_Inputs &amp; Assumptions'!$B$8/4))),IF('I_Budget Input Data'!$E$35="At Completion",IF(23='I_Inputs &amp; Assumptions'!$B$8,'I_Budget Input Data'!$D$35,0),'I_Budget Input Data'!$D$35/'I_Inputs &amp; Assumptions'!$B$8)))))),0)</f>
        <v>0</v>
      </c>
      <c r="Z35" s="91">
        <f>IF(24&lt;='I_Inputs &amp; Assumptions'!$B$8,IF('I_Budget Input Data'!$E$35="Upfront",IF(24=1,'I_Budget Input Data'!$D$35,0),IF('I_Budget Input Data'!$E$35="Equal",'I_Budget Input Data'!$D$35/'I_Inputs &amp; Assumptions'!$B$8,IF('I_Budget Input Data'!$E$35="Front-loaded",IF(24&lt;='I_Inputs &amp; Assumptions'!$B$8/2,'I_Budget Input Data'!$D$35*0.6/('I_Inputs &amp; Assumptions'!$B$8/2),'I_Budget Input Data'!$D$35*0.4/('I_Inputs &amp; Assumptions'!$B$8/2)),IF('I_Budget Input Data'!$E$35="Back-loaded",IF(24&lt;='I_Inputs &amp; Assumptions'!$B$8/2,'I_Budget Input Data'!$D$35*0.4/('I_Inputs &amp; Assumptions'!$B$8/2),'I_Budget Input Data'!$D$35*0.6/('I_Inputs &amp; Assumptions'!$B$8/2)),IF('I_Budget Input Data'!$E$35="Mid-weighted",IF(24&lt;='I_Inputs &amp; Assumptions'!$B$8/4,'I_Budget Input Data'!$D$35*0.2/('I_Inputs &amp; Assumptions'!$B$8/4),IF(24&lt;='I_Inputs &amp; Assumptions'!$B$8*0.75,'I_Budget Input Data'!$D$35*0.6/('I_Inputs &amp; Assumptions'!$B$8/2),'I_Budget Input Data'!$D$35*0.2/('I_Inputs &amp; Assumptions'!$B$8/4))),IF('I_Budget Input Data'!$E$35="At Completion",IF(24='I_Inputs &amp; Assumptions'!$B$8,'I_Budget Input Data'!$D$35,0),'I_Budget Input Data'!$D$35/'I_Inputs &amp; Assumptions'!$B$8)))))),0)</f>
        <v>0</v>
      </c>
      <c r="AA35" s="91">
        <f>IF(25&lt;='I_Inputs &amp; Assumptions'!$B$8,IF('I_Budget Input Data'!$E$35="Upfront",IF(25=1,'I_Budget Input Data'!$D$35,0),IF('I_Budget Input Data'!$E$35="Equal",'I_Budget Input Data'!$D$35/'I_Inputs &amp; Assumptions'!$B$8,IF('I_Budget Input Data'!$E$35="Front-loaded",IF(25&lt;='I_Inputs &amp; Assumptions'!$B$8/2,'I_Budget Input Data'!$D$35*0.6/('I_Inputs &amp; Assumptions'!$B$8/2),'I_Budget Input Data'!$D$35*0.4/('I_Inputs &amp; Assumptions'!$B$8/2)),IF('I_Budget Input Data'!$E$35="Back-loaded",IF(25&lt;='I_Inputs &amp; Assumptions'!$B$8/2,'I_Budget Input Data'!$D$35*0.4/('I_Inputs &amp; Assumptions'!$B$8/2),'I_Budget Input Data'!$D$35*0.6/('I_Inputs &amp; Assumptions'!$B$8/2)),IF('I_Budget Input Data'!$E$35="Mid-weighted",IF(25&lt;='I_Inputs &amp; Assumptions'!$B$8/4,'I_Budget Input Data'!$D$35*0.2/('I_Inputs &amp; Assumptions'!$B$8/4),IF(25&lt;='I_Inputs &amp; Assumptions'!$B$8*0.75,'I_Budget Input Data'!$D$35*0.6/('I_Inputs &amp; Assumptions'!$B$8/2),'I_Budget Input Data'!$D$35*0.2/('I_Inputs &amp; Assumptions'!$B$8/4))),IF('I_Budget Input Data'!$E$35="At Completion",IF(25='I_Inputs &amp; Assumptions'!$B$8,'I_Budget Input Data'!$D$35,0),'I_Budget Input Data'!$D$35/'I_Inputs &amp; Assumptions'!$B$8)))))),0)</f>
        <v>0</v>
      </c>
      <c r="AB35" s="91">
        <f>IF(26&lt;='I_Inputs &amp; Assumptions'!$B$8,IF('I_Budget Input Data'!$E$35="Upfront",IF(26=1,'I_Budget Input Data'!$D$35,0),IF('I_Budget Input Data'!$E$35="Equal",'I_Budget Input Data'!$D$35/'I_Inputs &amp; Assumptions'!$B$8,IF('I_Budget Input Data'!$E$35="Front-loaded",IF(26&lt;='I_Inputs &amp; Assumptions'!$B$8/2,'I_Budget Input Data'!$D$35*0.6/('I_Inputs &amp; Assumptions'!$B$8/2),'I_Budget Input Data'!$D$35*0.4/('I_Inputs &amp; Assumptions'!$B$8/2)),IF('I_Budget Input Data'!$E$35="Back-loaded",IF(26&lt;='I_Inputs &amp; Assumptions'!$B$8/2,'I_Budget Input Data'!$D$35*0.4/('I_Inputs &amp; Assumptions'!$B$8/2),'I_Budget Input Data'!$D$35*0.6/('I_Inputs &amp; Assumptions'!$B$8/2)),IF('I_Budget Input Data'!$E$35="Mid-weighted",IF(26&lt;='I_Inputs &amp; Assumptions'!$B$8/4,'I_Budget Input Data'!$D$35*0.2/('I_Inputs &amp; Assumptions'!$B$8/4),IF(26&lt;='I_Inputs &amp; Assumptions'!$B$8*0.75,'I_Budget Input Data'!$D$35*0.6/('I_Inputs &amp; Assumptions'!$B$8/2),'I_Budget Input Data'!$D$35*0.2/('I_Inputs &amp; Assumptions'!$B$8/4))),IF('I_Budget Input Data'!$E$35="At Completion",IF(26='I_Inputs &amp; Assumptions'!$B$8,'I_Budget Input Data'!$D$35,0),'I_Budget Input Data'!$D$35/'I_Inputs &amp; Assumptions'!$B$8)))))),0)</f>
        <v>0</v>
      </c>
      <c r="AC35" s="91">
        <f>IF(27&lt;='I_Inputs &amp; Assumptions'!$B$8,IF('I_Budget Input Data'!$E$35="Upfront",IF(27=1,'I_Budget Input Data'!$D$35,0),IF('I_Budget Input Data'!$E$35="Equal",'I_Budget Input Data'!$D$35/'I_Inputs &amp; Assumptions'!$B$8,IF('I_Budget Input Data'!$E$35="Front-loaded",IF(27&lt;='I_Inputs &amp; Assumptions'!$B$8/2,'I_Budget Input Data'!$D$35*0.6/('I_Inputs &amp; Assumptions'!$B$8/2),'I_Budget Input Data'!$D$35*0.4/('I_Inputs &amp; Assumptions'!$B$8/2)),IF('I_Budget Input Data'!$E$35="Back-loaded",IF(27&lt;='I_Inputs &amp; Assumptions'!$B$8/2,'I_Budget Input Data'!$D$35*0.4/('I_Inputs &amp; Assumptions'!$B$8/2),'I_Budget Input Data'!$D$35*0.6/('I_Inputs &amp; Assumptions'!$B$8/2)),IF('I_Budget Input Data'!$E$35="Mid-weighted",IF(27&lt;='I_Inputs &amp; Assumptions'!$B$8/4,'I_Budget Input Data'!$D$35*0.2/('I_Inputs &amp; Assumptions'!$B$8/4),IF(27&lt;='I_Inputs &amp; Assumptions'!$B$8*0.75,'I_Budget Input Data'!$D$35*0.6/('I_Inputs &amp; Assumptions'!$B$8/2),'I_Budget Input Data'!$D$35*0.2/('I_Inputs &amp; Assumptions'!$B$8/4))),IF('I_Budget Input Data'!$E$35="At Completion",IF(27='I_Inputs &amp; Assumptions'!$B$8,'I_Budget Input Data'!$D$35,0),'I_Budget Input Data'!$D$35/'I_Inputs &amp; Assumptions'!$B$8)))))),0)</f>
        <v>0</v>
      </c>
      <c r="AD35" s="91">
        <f>IF(28&lt;='I_Inputs &amp; Assumptions'!$B$8,IF('I_Budget Input Data'!$E$35="Upfront",IF(28=1,'I_Budget Input Data'!$D$35,0),IF('I_Budget Input Data'!$E$35="Equal",'I_Budget Input Data'!$D$35/'I_Inputs &amp; Assumptions'!$B$8,IF('I_Budget Input Data'!$E$35="Front-loaded",IF(28&lt;='I_Inputs &amp; Assumptions'!$B$8/2,'I_Budget Input Data'!$D$35*0.6/('I_Inputs &amp; Assumptions'!$B$8/2),'I_Budget Input Data'!$D$35*0.4/('I_Inputs &amp; Assumptions'!$B$8/2)),IF('I_Budget Input Data'!$E$35="Back-loaded",IF(28&lt;='I_Inputs &amp; Assumptions'!$B$8/2,'I_Budget Input Data'!$D$35*0.4/('I_Inputs &amp; Assumptions'!$B$8/2),'I_Budget Input Data'!$D$35*0.6/('I_Inputs &amp; Assumptions'!$B$8/2)),IF('I_Budget Input Data'!$E$35="Mid-weighted",IF(28&lt;='I_Inputs &amp; Assumptions'!$B$8/4,'I_Budget Input Data'!$D$35*0.2/('I_Inputs &amp; Assumptions'!$B$8/4),IF(28&lt;='I_Inputs &amp; Assumptions'!$B$8*0.75,'I_Budget Input Data'!$D$35*0.6/('I_Inputs &amp; Assumptions'!$B$8/2),'I_Budget Input Data'!$D$35*0.2/('I_Inputs &amp; Assumptions'!$B$8/4))),IF('I_Budget Input Data'!$E$35="At Completion",IF(28='I_Inputs &amp; Assumptions'!$B$8,'I_Budget Input Data'!$D$35,0),'I_Budget Input Data'!$D$35/'I_Inputs &amp; Assumptions'!$B$8)))))),0)</f>
        <v>0</v>
      </c>
      <c r="AE35" s="91">
        <f>IF(29&lt;='I_Inputs &amp; Assumptions'!$B$8,IF('I_Budget Input Data'!$E$35="Upfront",IF(29=1,'I_Budget Input Data'!$D$35,0),IF('I_Budget Input Data'!$E$35="Equal",'I_Budget Input Data'!$D$35/'I_Inputs &amp; Assumptions'!$B$8,IF('I_Budget Input Data'!$E$35="Front-loaded",IF(29&lt;='I_Inputs &amp; Assumptions'!$B$8/2,'I_Budget Input Data'!$D$35*0.6/('I_Inputs &amp; Assumptions'!$B$8/2),'I_Budget Input Data'!$D$35*0.4/('I_Inputs &amp; Assumptions'!$B$8/2)),IF('I_Budget Input Data'!$E$35="Back-loaded",IF(29&lt;='I_Inputs &amp; Assumptions'!$B$8/2,'I_Budget Input Data'!$D$35*0.4/('I_Inputs &amp; Assumptions'!$B$8/2),'I_Budget Input Data'!$D$35*0.6/('I_Inputs &amp; Assumptions'!$B$8/2)),IF('I_Budget Input Data'!$E$35="Mid-weighted",IF(29&lt;='I_Inputs &amp; Assumptions'!$B$8/4,'I_Budget Input Data'!$D$35*0.2/('I_Inputs &amp; Assumptions'!$B$8/4),IF(29&lt;='I_Inputs &amp; Assumptions'!$B$8*0.75,'I_Budget Input Data'!$D$35*0.6/('I_Inputs &amp; Assumptions'!$B$8/2),'I_Budget Input Data'!$D$35*0.2/('I_Inputs &amp; Assumptions'!$B$8/4))),IF('I_Budget Input Data'!$E$35="At Completion",IF(29='I_Inputs &amp; Assumptions'!$B$8,'I_Budget Input Data'!$D$35,0),'I_Budget Input Data'!$D$35/'I_Inputs &amp; Assumptions'!$B$8)))))),0)</f>
        <v>0</v>
      </c>
      <c r="AF35" s="91">
        <f>IF(30&lt;='I_Inputs &amp; Assumptions'!$B$8,IF('I_Budget Input Data'!$E$35="Upfront",IF(30=1,'I_Budget Input Data'!$D$35,0),IF('I_Budget Input Data'!$E$35="Equal",'I_Budget Input Data'!$D$35/'I_Inputs &amp; Assumptions'!$B$8,IF('I_Budget Input Data'!$E$35="Front-loaded",IF(30&lt;='I_Inputs &amp; Assumptions'!$B$8/2,'I_Budget Input Data'!$D$35*0.6/('I_Inputs &amp; Assumptions'!$B$8/2),'I_Budget Input Data'!$D$35*0.4/('I_Inputs &amp; Assumptions'!$B$8/2)),IF('I_Budget Input Data'!$E$35="Back-loaded",IF(30&lt;='I_Inputs &amp; Assumptions'!$B$8/2,'I_Budget Input Data'!$D$35*0.4/('I_Inputs &amp; Assumptions'!$B$8/2),'I_Budget Input Data'!$D$35*0.6/('I_Inputs &amp; Assumptions'!$B$8/2)),IF('I_Budget Input Data'!$E$35="Mid-weighted",IF(30&lt;='I_Inputs &amp; Assumptions'!$B$8/4,'I_Budget Input Data'!$D$35*0.2/('I_Inputs &amp; Assumptions'!$B$8/4),IF(30&lt;='I_Inputs &amp; Assumptions'!$B$8*0.75,'I_Budget Input Data'!$D$35*0.6/('I_Inputs &amp; Assumptions'!$B$8/2),'I_Budget Input Data'!$D$35*0.2/('I_Inputs &amp; Assumptions'!$B$8/4))),IF('I_Budget Input Data'!$E$35="At Completion",IF(30='I_Inputs &amp; Assumptions'!$B$8,'I_Budget Input Data'!$D$35,0),'I_Budget Input Data'!$D$35/'I_Inputs &amp; Assumptions'!$B$8)))))),0)</f>
        <v>0</v>
      </c>
      <c r="AG35" s="91">
        <f>IF(31&lt;='I_Inputs &amp; Assumptions'!$B$8,IF('I_Budget Input Data'!$E$35="Upfront",IF(31=1,'I_Budget Input Data'!$D$35,0),IF('I_Budget Input Data'!$E$35="Equal",'I_Budget Input Data'!$D$35/'I_Inputs &amp; Assumptions'!$B$8,IF('I_Budget Input Data'!$E$35="Front-loaded",IF(31&lt;='I_Inputs &amp; Assumptions'!$B$8/2,'I_Budget Input Data'!$D$35*0.6/('I_Inputs &amp; Assumptions'!$B$8/2),'I_Budget Input Data'!$D$35*0.4/('I_Inputs &amp; Assumptions'!$B$8/2)),IF('I_Budget Input Data'!$E$35="Back-loaded",IF(31&lt;='I_Inputs &amp; Assumptions'!$B$8/2,'I_Budget Input Data'!$D$35*0.4/('I_Inputs &amp; Assumptions'!$B$8/2),'I_Budget Input Data'!$D$35*0.6/('I_Inputs &amp; Assumptions'!$B$8/2)),IF('I_Budget Input Data'!$E$35="Mid-weighted",IF(31&lt;='I_Inputs &amp; Assumptions'!$B$8/4,'I_Budget Input Data'!$D$35*0.2/('I_Inputs &amp; Assumptions'!$B$8/4),IF(31&lt;='I_Inputs &amp; Assumptions'!$B$8*0.75,'I_Budget Input Data'!$D$35*0.6/('I_Inputs &amp; Assumptions'!$B$8/2),'I_Budget Input Data'!$D$35*0.2/('I_Inputs &amp; Assumptions'!$B$8/4))),IF('I_Budget Input Data'!$E$35="At Completion",IF(31='I_Inputs &amp; Assumptions'!$B$8,'I_Budget Input Data'!$D$35,0),'I_Budget Input Data'!$D$35/'I_Inputs &amp; Assumptions'!$B$8)))))),0)</f>
        <v>0</v>
      </c>
      <c r="AH35" s="91">
        <f>IF(32&lt;='I_Inputs &amp; Assumptions'!$B$8,IF('I_Budget Input Data'!$E$35="Upfront",IF(32=1,'I_Budget Input Data'!$D$35,0),IF('I_Budget Input Data'!$E$35="Equal",'I_Budget Input Data'!$D$35/'I_Inputs &amp; Assumptions'!$B$8,IF('I_Budget Input Data'!$E$35="Front-loaded",IF(32&lt;='I_Inputs &amp; Assumptions'!$B$8/2,'I_Budget Input Data'!$D$35*0.6/('I_Inputs &amp; Assumptions'!$B$8/2),'I_Budget Input Data'!$D$35*0.4/('I_Inputs &amp; Assumptions'!$B$8/2)),IF('I_Budget Input Data'!$E$35="Back-loaded",IF(32&lt;='I_Inputs &amp; Assumptions'!$B$8/2,'I_Budget Input Data'!$D$35*0.4/('I_Inputs &amp; Assumptions'!$B$8/2),'I_Budget Input Data'!$D$35*0.6/('I_Inputs &amp; Assumptions'!$B$8/2)),IF('I_Budget Input Data'!$E$35="Mid-weighted",IF(32&lt;='I_Inputs &amp; Assumptions'!$B$8/4,'I_Budget Input Data'!$D$35*0.2/('I_Inputs &amp; Assumptions'!$B$8/4),IF(32&lt;='I_Inputs &amp; Assumptions'!$B$8*0.75,'I_Budget Input Data'!$D$35*0.6/('I_Inputs &amp; Assumptions'!$B$8/2),'I_Budget Input Data'!$D$35*0.2/('I_Inputs &amp; Assumptions'!$B$8/4))),IF('I_Budget Input Data'!$E$35="At Completion",IF(32='I_Inputs &amp; Assumptions'!$B$8,'I_Budget Input Data'!$D$35,0),'I_Budget Input Data'!$D$35/'I_Inputs &amp; Assumptions'!$B$8)))))),0)</f>
        <v>0</v>
      </c>
      <c r="AI35" s="91">
        <f>IF(33&lt;='I_Inputs &amp; Assumptions'!$B$8,IF('I_Budget Input Data'!$E$35="Upfront",IF(33=1,'I_Budget Input Data'!$D$35,0),IF('I_Budget Input Data'!$E$35="Equal",'I_Budget Input Data'!$D$35/'I_Inputs &amp; Assumptions'!$B$8,IF('I_Budget Input Data'!$E$35="Front-loaded",IF(33&lt;='I_Inputs &amp; Assumptions'!$B$8/2,'I_Budget Input Data'!$D$35*0.6/('I_Inputs &amp; Assumptions'!$B$8/2),'I_Budget Input Data'!$D$35*0.4/('I_Inputs &amp; Assumptions'!$B$8/2)),IF('I_Budget Input Data'!$E$35="Back-loaded",IF(33&lt;='I_Inputs &amp; Assumptions'!$B$8/2,'I_Budget Input Data'!$D$35*0.4/('I_Inputs &amp; Assumptions'!$B$8/2),'I_Budget Input Data'!$D$35*0.6/('I_Inputs &amp; Assumptions'!$B$8/2)),IF('I_Budget Input Data'!$E$35="Mid-weighted",IF(33&lt;='I_Inputs &amp; Assumptions'!$B$8/4,'I_Budget Input Data'!$D$35*0.2/('I_Inputs &amp; Assumptions'!$B$8/4),IF(33&lt;='I_Inputs &amp; Assumptions'!$B$8*0.75,'I_Budget Input Data'!$D$35*0.6/('I_Inputs &amp; Assumptions'!$B$8/2),'I_Budget Input Data'!$D$35*0.2/('I_Inputs &amp; Assumptions'!$B$8/4))),IF('I_Budget Input Data'!$E$35="At Completion",IF(33='I_Inputs &amp; Assumptions'!$B$8,'I_Budget Input Data'!$D$35,0),'I_Budget Input Data'!$D$35/'I_Inputs &amp; Assumptions'!$B$8)))))),0)</f>
        <v>0</v>
      </c>
      <c r="AJ35" s="91">
        <f>IF(34&lt;='I_Inputs &amp; Assumptions'!$B$8,IF('I_Budget Input Data'!$E$35="Upfront",IF(34=1,'I_Budget Input Data'!$D$35,0),IF('I_Budget Input Data'!$E$35="Equal",'I_Budget Input Data'!$D$35/'I_Inputs &amp; Assumptions'!$B$8,IF('I_Budget Input Data'!$E$35="Front-loaded",IF(34&lt;='I_Inputs &amp; Assumptions'!$B$8/2,'I_Budget Input Data'!$D$35*0.6/('I_Inputs &amp; Assumptions'!$B$8/2),'I_Budget Input Data'!$D$35*0.4/('I_Inputs &amp; Assumptions'!$B$8/2)),IF('I_Budget Input Data'!$E$35="Back-loaded",IF(34&lt;='I_Inputs &amp; Assumptions'!$B$8/2,'I_Budget Input Data'!$D$35*0.4/('I_Inputs &amp; Assumptions'!$B$8/2),'I_Budget Input Data'!$D$35*0.6/('I_Inputs &amp; Assumptions'!$B$8/2)),IF('I_Budget Input Data'!$E$35="Mid-weighted",IF(34&lt;='I_Inputs &amp; Assumptions'!$B$8/4,'I_Budget Input Data'!$D$35*0.2/('I_Inputs &amp; Assumptions'!$B$8/4),IF(34&lt;='I_Inputs &amp; Assumptions'!$B$8*0.75,'I_Budget Input Data'!$D$35*0.6/('I_Inputs &amp; Assumptions'!$B$8/2),'I_Budget Input Data'!$D$35*0.2/('I_Inputs &amp; Assumptions'!$B$8/4))),IF('I_Budget Input Data'!$E$35="At Completion",IF(34='I_Inputs &amp; Assumptions'!$B$8,'I_Budget Input Data'!$D$35,0),'I_Budget Input Data'!$D$35/'I_Inputs &amp; Assumptions'!$B$8)))))),0)</f>
        <v>0</v>
      </c>
      <c r="AK35" s="91">
        <f>IF(35&lt;='I_Inputs &amp; Assumptions'!$B$8,IF('I_Budget Input Data'!$E$35="Upfront",IF(35=1,'I_Budget Input Data'!$D$35,0),IF('I_Budget Input Data'!$E$35="Equal",'I_Budget Input Data'!$D$35/'I_Inputs &amp; Assumptions'!$B$8,IF('I_Budget Input Data'!$E$35="Front-loaded",IF(35&lt;='I_Inputs &amp; Assumptions'!$B$8/2,'I_Budget Input Data'!$D$35*0.6/('I_Inputs &amp; Assumptions'!$B$8/2),'I_Budget Input Data'!$D$35*0.4/('I_Inputs &amp; Assumptions'!$B$8/2)),IF('I_Budget Input Data'!$E$35="Back-loaded",IF(35&lt;='I_Inputs &amp; Assumptions'!$B$8/2,'I_Budget Input Data'!$D$35*0.4/('I_Inputs &amp; Assumptions'!$B$8/2),'I_Budget Input Data'!$D$35*0.6/('I_Inputs &amp; Assumptions'!$B$8/2)),IF('I_Budget Input Data'!$E$35="Mid-weighted",IF(35&lt;='I_Inputs &amp; Assumptions'!$B$8/4,'I_Budget Input Data'!$D$35*0.2/('I_Inputs &amp; Assumptions'!$B$8/4),IF(35&lt;='I_Inputs &amp; Assumptions'!$B$8*0.75,'I_Budget Input Data'!$D$35*0.6/('I_Inputs &amp; Assumptions'!$B$8/2),'I_Budget Input Data'!$D$35*0.2/('I_Inputs &amp; Assumptions'!$B$8/4))),IF('I_Budget Input Data'!$E$35="At Completion",IF(35='I_Inputs &amp; Assumptions'!$B$8,'I_Budget Input Data'!$D$35,0),'I_Budget Input Data'!$D$35/'I_Inputs &amp; Assumptions'!$B$8)))))),0)</f>
        <v>0</v>
      </c>
      <c r="AL35" s="91">
        <f>IF(36&lt;='I_Inputs &amp; Assumptions'!$B$8,IF('I_Budget Input Data'!$E$35="Upfront",IF(36=1,'I_Budget Input Data'!$D$35,0),IF('I_Budget Input Data'!$E$35="Equal",'I_Budget Input Data'!$D$35/'I_Inputs &amp; Assumptions'!$B$8,IF('I_Budget Input Data'!$E$35="Front-loaded",IF(36&lt;='I_Inputs &amp; Assumptions'!$B$8/2,'I_Budget Input Data'!$D$35*0.6/('I_Inputs &amp; Assumptions'!$B$8/2),'I_Budget Input Data'!$D$35*0.4/('I_Inputs &amp; Assumptions'!$B$8/2)),IF('I_Budget Input Data'!$E$35="Back-loaded",IF(36&lt;='I_Inputs &amp; Assumptions'!$B$8/2,'I_Budget Input Data'!$D$35*0.4/('I_Inputs &amp; Assumptions'!$B$8/2),'I_Budget Input Data'!$D$35*0.6/('I_Inputs &amp; Assumptions'!$B$8/2)),IF('I_Budget Input Data'!$E$35="Mid-weighted",IF(36&lt;='I_Inputs &amp; Assumptions'!$B$8/4,'I_Budget Input Data'!$D$35*0.2/('I_Inputs &amp; Assumptions'!$B$8/4),IF(36&lt;='I_Inputs &amp; Assumptions'!$B$8*0.75,'I_Budget Input Data'!$D$35*0.6/('I_Inputs &amp; Assumptions'!$B$8/2),'I_Budget Input Data'!$D$35*0.2/('I_Inputs &amp; Assumptions'!$B$8/4))),IF('I_Budget Input Data'!$E$35="At Completion",IF(36='I_Inputs &amp; Assumptions'!$B$8,'I_Budget Input Data'!$D$35,0),'I_Budget Input Data'!$D$35/'I_Inputs &amp; Assumptions'!$B$8)))))),0)</f>
        <v>0</v>
      </c>
    </row>
    <row r="36" spans="1:38" ht="15" customHeight="1" x14ac:dyDescent="0.2">
      <c r="A36" t="s">
        <v>146</v>
      </c>
      <c r="B36" t="s">
        <v>157</v>
      </c>
      <c r="C36" s="91">
        <f>IF(1&lt;='I_Inputs &amp; Assumptions'!$B$8,IF('I_Budget Input Data'!$E$36="Upfront",IF(1=1,'I_Budget Input Data'!$D$36,0),IF('I_Budget Input Data'!$E$36="Equal",'I_Budget Input Data'!$D$36/'I_Inputs &amp; Assumptions'!$B$8,IF('I_Budget Input Data'!$E$36="Front-loaded",IF(1&lt;='I_Inputs &amp; Assumptions'!$B$8/2,'I_Budget Input Data'!$D$36*0.6/('I_Inputs &amp; Assumptions'!$B$8/2),'I_Budget Input Data'!$D$36*0.4/('I_Inputs &amp; Assumptions'!$B$8/2)),IF('I_Budget Input Data'!$E$36="Back-loaded",IF(1&lt;='I_Inputs &amp; Assumptions'!$B$8/2,'I_Budget Input Data'!$D$36*0.4/('I_Inputs &amp; Assumptions'!$B$8/2),'I_Budget Input Data'!$D$36*0.6/('I_Inputs &amp; Assumptions'!$B$8/2)),IF('I_Budget Input Data'!$E$36="Mid-weighted",IF(1&lt;='I_Inputs &amp; Assumptions'!$B$8/4,'I_Budget Input Data'!$D$36*0.2/('I_Inputs &amp; Assumptions'!$B$8/4),IF(1&lt;='I_Inputs &amp; Assumptions'!$B$8*0.75,'I_Budget Input Data'!$D$36*0.6/('I_Inputs &amp; Assumptions'!$B$8/2),'I_Budget Input Data'!$D$36*0.2/('I_Inputs &amp; Assumptions'!$B$8/4))),IF('I_Budget Input Data'!$E$36="At Completion",IF(1='I_Inputs &amp; Assumptions'!$B$8,'I_Budget Input Data'!$D$36,0),'I_Budget Input Data'!$D$36/'I_Inputs &amp; Assumptions'!$B$8)))))),0)</f>
        <v>17693.846153846152</v>
      </c>
      <c r="D36" s="91">
        <f>IF(2&lt;='I_Inputs &amp; Assumptions'!$B$8,IF('I_Budget Input Data'!$E$36="Upfront",IF(2=1,'I_Budget Input Data'!$D$36,0),IF('I_Budget Input Data'!$E$36="Equal",'I_Budget Input Data'!$D$36/'I_Inputs &amp; Assumptions'!$B$8,IF('I_Budget Input Data'!$E$36="Front-loaded",IF(2&lt;='I_Inputs &amp; Assumptions'!$B$8/2,'I_Budget Input Data'!$D$36*0.6/('I_Inputs &amp; Assumptions'!$B$8/2),'I_Budget Input Data'!$D$36*0.4/('I_Inputs &amp; Assumptions'!$B$8/2)),IF('I_Budget Input Data'!$E$36="Back-loaded",IF(2&lt;='I_Inputs &amp; Assumptions'!$B$8/2,'I_Budget Input Data'!$D$36*0.4/('I_Inputs &amp; Assumptions'!$B$8/2),'I_Budget Input Data'!$D$36*0.6/('I_Inputs &amp; Assumptions'!$B$8/2)),IF('I_Budget Input Data'!$E$36="Mid-weighted",IF(2&lt;='I_Inputs &amp; Assumptions'!$B$8/4,'I_Budget Input Data'!$D$36*0.2/('I_Inputs &amp; Assumptions'!$B$8/4),IF(2&lt;='I_Inputs &amp; Assumptions'!$B$8*0.75,'I_Budget Input Data'!$D$36*0.6/('I_Inputs &amp; Assumptions'!$B$8/2),'I_Budget Input Data'!$D$36*0.2/('I_Inputs &amp; Assumptions'!$B$8/4))),IF('I_Budget Input Data'!$E$36="At Completion",IF(2='I_Inputs &amp; Assumptions'!$B$8,'I_Budget Input Data'!$D$36,0),'I_Budget Input Data'!$D$36/'I_Inputs &amp; Assumptions'!$B$8)))))),0)</f>
        <v>17693.846153846152</v>
      </c>
      <c r="E36" s="91">
        <f>IF(3&lt;='I_Inputs &amp; Assumptions'!$B$8,IF('I_Budget Input Data'!$E$36="Upfront",IF(3=1,'I_Budget Input Data'!$D$36,0),IF('I_Budget Input Data'!$E$36="Equal",'I_Budget Input Data'!$D$36/'I_Inputs &amp; Assumptions'!$B$8,IF('I_Budget Input Data'!$E$36="Front-loaded",IF(3&lt;='I_Inputs &amp; Assumptions'!$B$8/2,'I_Budget Input Data'!$D$36*0.6/('I_Inputs &amp; Assumptions'!$B$8/2),'I_Budget Input Data'!$D$36*0.4/('I_Inputs &amp; Assumptions'!$B$8/2)),IF('I_Budget Input Data'!$E$36="Back-loaded",IF(3&lt;='I_Inputs &amp; Assumptions'!$B$8/2,'I_Budget Input Data'!$D$36*0.4/('I_Inputs &amp; Assumptions'!$B$8/2),'I_Budget Input Data'!$D$36*0.6/('I_Inputs &amp; Assumptions'!$B$8/2)),IF('I_Budget Input Data'!$E$36="Mid-weighted",IF(3&lt;='I_Inputs &amp; Assumptions'!$B$8/4,'I_Budget Input Data'!$D$36*0.2/('I_Inputs &amp; Assumptions'!$B$8/4),IF(3&lt;='I_Inputs &amp; Assumptions'!$B$8*0.75,'I_Budget Input Data'!$D$36*0.6/('I_Inputs &amp; Assumptions'!$B$8/2),'I_Budget Input Data'!$D$36*0.2/('I_Inputs &amp; Assumptions'!$B$8/4))),IF('I_Budget Input Data'!$E$36="At Completion",IF(3='I_Inputs &amp; Assumptions'!$B$8,'I_Budget Input Data'!$D$36,0),'I_Budget Input Data'!$D$36/'I_Inputs &amp; Assumptions'!$B$8)))))),0)</f>
        <v>17693.846153846152</v>
      </c>
      <c r="F36" s="91">
        <f>IF(4&lt;='I_Inputs &amp; Assumptions'!$B$8,IF('I_Budget Input Data'!$E$36="Upfront",IF(4=1,'I_Budget Input Data'!$D$36,0),IF('I_Budget Input Data'!$E$36="Equal",'I_Budget Input Data'!$D$36/'I_Inputs &amp; Assumptions'!$B$8,IF('I_Budget Input Data'!$E$36="Front-loaded",IF(4&lt;='I_Inputs &amp; Assumptions'!$B$8/2,'I_Budget Input Data'!$D$36*0.6/('I_Inputs &amp; Assumptions'!$B$8/2),'I_Budget Input Data'!$D$36*0.4/('I_Inputs &amp; Assumptions'!$B$8/2)),IF('I_Budget Input Data'!$E$36="Back-loaded",IF(4&lt;='I_Inputs &amp; Assumptions'!$B$8/2,'I_Budget Input Data'!$D$36*0.4/('I_Inputs &amp; Assumptions'!$B$8/2),'I_Budget Input Data'!$D$36*0.6/('I_Inputs &amp; Assumptions'!$B$8/2)),IF('I_Budget Input Data'!$E$36="Mid-weighted",IF(4&lt;='I_Inputs &amp; Assumptions'!$B$8/4,'I_Budget Input Data'!$D$36*0.2/('I_Inputs &amp; Assumptions'!$B$8/4),IF(4&lt;='I_Inputs &amp; Assumptions'!$B$8*0.75,'I_Budget Input Data'!$D$36*0.6/('I_Inputs &amp; Assumptions'!$B$8/2),'I_Budget Input Data'!$D$36*0.2/('I_Inputs &amp; Assumptions'!$B$8/4))),IF('I_Budget Input Data'!$E$36="At Completion",IF(4='I_Inputs &amp; Assumptions'!$B$8,'I_Budget Input Data'!$D$36,0),'I_Budget Input Data'!$D$36/'I_Inputs &amp; Assumptions'!$B$8)))))),0)</f>
        <v>17693.846153846152</v>
      </c>
      <c r="G36" s="91">
        <f>IF(5&lt;='I_Inputs &amp; Assumptions'!$B$8,IF('I_Budget Input Data'!$E$36="Upfront",IF(5=1,'I_Budget Input Data'!$D$36,0),IF('I_Budget Input Data'!$E$36="Equal",'I_Budget Input Data'!$D$36/'I_Inputs &amp; Assumptions'!$B$8,IF('I_Budget Input Data'!$E$36="Front-loaded",IF(5&lt;='I_Inputs &amp; Assumptions'!$B$8/2,'I_Budget Input Data'!$D$36*0.6/('I_Inputs &amp; Assumptions'!$B$8/2),'I_Budget Input Data'!$D$36*0.4/('I_Inputs &amp; Assumptions'!$B$8/2)),IF('I_Budget Input Data'!$E$36="Back-loaded",IF(5&lt;='I_Inputs &amp; Assumptions'!$B$8/2,'I_Budget Input Data'!$D$36*0.4/('I_Inputs &amp; Assumptions'!$B$8/2),'I_Budget Input Data'!$D$36*0.6/('I_Inputs &amp; Assumptions'!$B$8/2)),IF('I_Budget Input Data'!$E$36="Mid-weighted",IF(5&lt;='I_Inputs &amp; Assumptions'!$B$8/4,'I_Budget Input Data'!$D$36*0.2/('I_Inputs &amp; Assumptions'!$B$8/4),IF(5&lt;='I_Inputs &amp; Assumptions'!$B$8*0.75,'I_Budget Input Data'!$D$36*0.6/('I_Inputs &amp; Assumptions'!$B$8/2),'I_Budget Input Data'!$D$36*0.2/('I_Inputs &amp; Assumptions'!$B$8/4))),IF('I_Budget Input Data'!$E$36="At Completion",IF(5='I_Inputs &amp; Assumptions'!$B$8,'I_Budget Input Data'!$D$36,0),'I_Budget Input Data'!$D$36/'I_Inputs &amp; Assumptions'!$B$8)))))),0)</f>
        <v>17693.846153846152</v>
      </c>
      <c r="H36" s="91">
        <f>IF(6&lt;='I_Inputs &amp; Assumptions'!$B$8,IF('I_Budget Input Data'!$E$36="Upfront",IF(6=1,'I_Budget Input Data'!$D$36,0),IF('I_Budget Input Data'!$E$36="Equal",'I_Budget Input Data'!$D$36/'I_Inputs &amp; Assumptions'!$B$8,IF('I_Budget Input Data'!$E$36="Front-loaded",IF(6&lt;='I_Inputs &amp; Assumptions'!$B$8/2,'I_Budget Input Data'!$D$36*0.6/('I_Inputs &amp; Assumptions'!$B$8/2),'I_Budget Input Data'!$D$36*0.4/('I_Inputs &amp; Assumptions'!$B$8/2)),IF('I_Budget Input Data'!$E$36="Back-loaded",IF(6&lt;='I_Inputs &amp; Assumptions'!$B$8/2,'I_Budget Input Data'!$D$36*0.4/('I_Inputs &amp; Assumptions'!$B$8/2),'I_Budget Input Data'!$D$36*0.6/('I_Inputs &amp; Assumptions'!$B$8/2)),IF('I_Budget Input Data'!$E$36="Mid-weighted",IF(6&lt;='I_Inputs &amp; Assumptions'!$B$8/4,'I_Budget Input Data'!$D$36*0.2/('I_Inputs &amp; Assumptions'!$B$8/4),IF(6&lt;='I_Inputs &amp; Assumptions'!$B$8*0.75,'I_Budget Input Data'!$D$36*0.6/('I_Inputs &amp; Assumptions'!$B$8/2),'I_Budget Input Data'!$D$36*0.2/('I_Inputs &amp; Assumptions'!$B$8/4))),IF('I_Budget Input Data'!$E$36="At Completion",IF(6='I_Inputs &amp; Assumptions'!$B$8,'I_Budget Input Data'!$D$36,0),'I_Budget Input Data'!$D$36/'I_Inputs &amp; Assumptions'!$B$8)))))),0)</f>
        <v>17693.846153846152</v>
      </c>
      <c r="I36" s="91">
        <f>IF(7&lt;='I_Inputs &amp; Assumptions'!$B$8,IF('I_Budget Input Data'!$E$36="Upfront",IF(7=1,'I_Budget Input Data'!$D$36,0),IF('I_Budget Input Data'!$E$36="Equal",'I_Budget Input Data'!$D$36/'I_Inputs &amp; Assumptions'!$B$8,IF('I_Budget Input Data'!$E$36="Front-loaded",IF(7&lt;='I_Inputs &amp; Assumptions'!$B$8/2,'I_Budget Input Data'!$D$36*0.6/('I_Inputs &amp; Assumptions'!$B$8/2),'I_Budget Input Data'!$D$36*0.4/('I_Inputs &amp; Assumptions'!$B$8/2)),IF('I_Budget Input Data'!$E$36="Back-loaded",IF(7&lt;='I_Inputs &amp; Assumptions'!$B$8/2,'I_Budget Input Data'!$D$36*0.4/('I_Inputs &amp; Assumptions'!$B$8/2),'I_Budget Input Data'!$D$36*0.6/('I_Inputs &amp; Assumptions'!$B$8/2)),IF('I_Budget Input Data'!$E$36="Mid-weighted",IF(7&lt;='I_Inputs &amp; Assumptions'!$B$8/4,'I_Budget Input Data'!$D$36*0.2/('I_Inputs &amp; Assumptions'!$B$8/4),IF(7&lt;='I_Inputs &amp; Assumptions'!$B$8*0.75,'I_Budget Input Data'!$D$36*0.6/('I_Inputs &amp; Assumptions'!$B$8/2),'I_Budget Input Data'!$D$36*0.2/('I_Inputs &amp; Assumptions'!$B$8/4))),IF('I_Budget Input Data'!$E$36="At Completion",IF(7='I_Inputs &amp; Assumptions'!$B$8,'I_Budget Input Data'!$D$36,0),'I_Budget Input Data'!$D$36/'I_Inputs &amp; Assumptions'!$B$8)))))),0)</f>
        <v>17693.846153846152</v>
      </c>
      <c r="J36" s="91">
        <f>IF(8&lt;='I_Inputs &amp; Assumptions'!$B$8,IF('I_Budget Input Data'!$E$36="Upfront",IF(8=1,'I_Budget Input Data'!$D$36,0),IF('I_Budget Input Data'!$E$36="Equal",'I_Budget Input Data'!$D$36/'I_Inputs &amp; Assumptions'!$B$8,IF('I_Budget Input Data'!$E$36="Front-loaded",IF(8&lt;='I_Inputs &amp; Assumptions'!$B$8/2,'I_Budget Input Data'!$D$36*0.6/('I_Inputs &amp; Assumptions'!$B$8/2),'I_Budget Input Data'!$D$36*0.4/('I_Inputs &amp; Assumptions'!$B$8/2)),IF('I_Budget Input Data'!$E$36="Back-loaded",IF(8&lt;='I_Inputs &amp; Assumptions'!$B$8/2,'I_Budget Input Data'!$D$36*0.4/('I_Inputs &amp; Assumptions'!$B$8/2),'I_Budget Input Data'!$D$36*0.6/('I_Inputs &amp; Assumptions'!$B$8/2)),IF('I_Budget Input Data'!$E$36="Mid-weighted",IF(8&lt;='I_Inputs &amp; Assumptions'!$B$8/4,'I_Budget Input Data'!$D$36*0.2/('I_Inputs &amp; Assumptions'!$B$8/4),IF(8&lt;='I_Inputs &amp; Assumptions'!$B$8*0.75,'I_Budget Input Data'!$D$36*0.6/('I_Inputs &amp; Assumptions'!$B$8/2),'I_Budget Input Data'!$D$36*0.2/('I_Inputs &amp; Assumptions'!$B$8/4))),IF('I_Budget Input Data'!$E$36="At Completion",IF(8='I_Inputs &amp; Assumptions'!$B$8,'I_Budget Input Data'!$D$36,0),'I_Budget Input Data'!$D$36/'I_Inputs &amp; Assumptions'!$B$8)))))),0)</f>
        <v>17693.846153846152</v>
      </c>
      <c r="K36" s="91">
        <f>IF(9&lt;='I_Inputs &amp; Assumptions'!$B$8,IF('I_Budget Input Data'!$E$36="Upfront",IF(9=1,'I_Budget Input Data'!$D$36,0),IF('I_Budget Input Data'!$E$36="Equal",'I_Budget Input Data'!$D$36/'I_Inputs &amp; Assumptions'!$B$8,IF('I_Budget Input Data'!$E$36="Front-loaded",IF(9&lt;='I_Inputs &amp; Assumptions'!$B$8/2,'I_Budget Input Data'!$D$36*0.6/('I_Inputs &amp; Assumptions'!$B$8/2),'I_Budget Input Data'!$D$36*0.4/('I_Inputs &amp; Assumptions'!$B$8/2)),IF('I_Budget Input Data'!$E$36="Back-loaded",IF(9&lt;='I_Inputs &amp; Assumptions'!$B$8/2,'I_Budget Input Data'!$D$36*0.4/('I_Inputs &amp; Assumptions'!$B$8/2),'I_Budget Input Data'!$D$36*0.6/('I_Inputs &amp; Assumptions'!$B$8/2)),IF('I_Budget Input Data'!$E$36="Mid-weighted",IF(9&lt;='I_Inputs &amp; Assumptions'!$B$8/4,'I_Budget Input Data'!$D$36*0.2/('I_Inputs &amp; Assumptions'!$B$8/4),IF(9&lt;='I_Inputs &amp; Assumptions'!$B$8*0.75,'I_Budget Input Data'!$D$36*0.6/('I_Inputs &amp; Assumptions'!$B$8/2),'I_Budget Input Data'!$D$36*0.2/('I_Inputs &amp; Assumptions'!$B$8/4))),IF('I_Budget Input Data'!$E$36="At Completion",IF(9='I_Inputs &amp; Assumptions'!$B$8,'I_Budget Input Data'!$D$36,0),'I_Budget Input Data'!$D$36/'I_Inputs &amp; Assumptions'!$B$8)))))),0)</f>
        <v>17693.846153846152</v>
      </c>
      <c r="L36" s="91">
        <f>IF(10&lt;='I_Inputs &amp; Assumptions'!$B$8,IF('I_Budget Input Data'!$E$36="Upfront",IF(10=1,'I_Budget Input Data'!$D$36,0),IF('I_Budget Input Data'!$E$36="Equal",'I_Budget Input Data'!$D$36/'I_Inputs &amp; Assumptions'!$B$8,IF('I_Budget Input Data'!$E$36="Front-loaded",IF(10&lt;='I_Inputs &amp; Assumptions'!$B$8/2,'I_Budget Input Data'!$D$36*0.6/('I_Inputs &amp; Assumptions'!$B$8/2),'I_Budget Input Data'!$D$36*0.4/('I_Inputs &amp; Assumptions'!$B$8/2)),IF('I_Budget Input Data'!$E$36="Back-loaded",IF(10&lt;='I_Inputs &amp; Assumptions'!$B$8/2,'I_Budget Input Data'!$D$36*0.4/('I_Inputs &amp; Assumptions'!$B$8/2),'I_Budget Input Data'!$D$36*0.6/('I_Inputs &amp; Assumptions'!$B$8/2)),IF('I_Budget Input Data'!$E$36="Mid-weighted",IF(10&lt;='I_Inputs &amp; Assumptions'!$B$8/4,'I_Budget Input Data'!$D$36*0.2/('I_Inputs &amp; Assumptions'!$B$8/4),IF(10&lt;='I_Inputs &amp; Assumptions'!$B$8*0.75,'I_Budget Input Data'!$D$36*0.6/('I_Inputs &amp; Assumptions'!$B$8/2),'I_Budget Input Data'!$D$36*0.2/('I_Inputs &amp; Assumptions'!$B$8/4))),IF('I_Budget Input Data'!$E$36="At Completion",IF(10='I_Inputs &amp; Assumptions'!$B$8,'I_Budget Input Data'!$D$36,0),'I_Budget Input Data'!$D$36/'I_Inputs &amp; Assumptions'!$B$8)))))),0)</f>
        <v>17693.846153846152</v>
      </c>
      <c r="M36" s="91">
        <f>IF(11&lt;='I_Inputs &amp; Assumptions'!$B$8,IF('I_Budget Input Data'!$E$36="Upfront",IF(11=1,'I_Budget Input Data'!$D$36,0),IF('I_Budget Input Data'!$E$36="Equal",'I_Budget Input Data'!$D$36/'I_Inputs &amp; Assumptions'!$B$8,IF('I_Budget Input Data'!$E$36="Front-loaded",IF(11&lt;='I_Inputs &amp; Assumptions'!$B$8/2,'I_Budget Input Data'!$D$36*0.6/('I_Inputs &amp; Assumptions'!$B$8/2),'I_Budget Input Data'!$D$36*0.4/('I_Inputs &amp; Assumptions'!$B$8/2)),IF('I_Budget Input Data'!$E$36="Back-loaded",IF(11&lt;='I_Inputs &amp; Assumptions'!$B$8/2,'I_Budget Input Data'!$D$36*0.4/('I_Inputs &amp; Assumptions'!$B$8/2),'I_Budget Input Data'!$D$36*0.6/('I_Inputs &amp; Assumptions'!$B$8/2)),IF('I_Budget Input Data'!$E$36="Mid-weighted",IF(11&lt;='I_Inputs &amp; Assumptions'!$B$8/4,'I_Budget Input Data'!$D$36*0.2/('I_Inputs &amp; Assumptions'!$B$8/4),IF(11&lt;='I_Inputs &amp; Assumptions'!$B$8*0.75,'I_Budget Input Data'!$D$36*0.6/('I_Inputs &amp; Assumptions'!$B$8/2),'I_Budget Input Data'!$D$36*0.2/('I_Inputs &amp; Assumptions'!$B$8/4))),IF('I_Budget Input Data'!$E$36="At Completion",IF(11='I_Inputs &amp; Assumptions'!$B$8,'I_Budget Input Data'!$D$36,0),'I_Budget Input Data'!$D$36/'I_Inputs &amp; Assumptions'!$B$8)))))),0)</f>
        <v>17693.846153846152</v>
      </c>
      <c r="N36" s="91">
        <f>IF(12&lt;='I_Inputs &amp; Assumptions'!$B$8,IF('I_Budget Input Data'!$E$36="Upfront",IF(12=1,'I_Budget Input Data'!$D$36,0),IF('I_Budget Input Data'!$E$36="Equal",'I_Budget Input Data'!$D$36/'I_Inputs &amp; Assumptions'!$B$8,IF('I_Budget Input Data'!$E$36="Front-loaded",IF(12&lt;='I_Inputs &amp; Assumptions'!$B$8/2,'I_Budget Input Data'!$D$36*0.6/('I_Inputs &amp; Assumptions'!$B$8/2),'I_Budget Input Data'!$D$36*0.4/('I_Inputs &amp; Assumptions'!$B$8/2)),IF('I_Budget Input Data'!$E$36="Back-loaded",IF(12&lt;='I_Inputs &amp; Assumptions'!$B$8/2,'I_Budget Input Data'!$D$36*0.4/('I_Inputs &amp; Assumptions'!$B$8/2),'I_Budget Input Data'!$D$36*0.6/('I_Inputs &amp; Assumptions'!$B$8/2)),IF('I_Budget Input Data'!$E$36="Mid-weighted",IF(12&lt;='I_Inputs &amp; Assumptions'!$B$8/4,'I_Budget Input Data'!$D$36*0.2/('I_Inputs &amp; Assumptions'!$B$8/4),IF(12&lt;='I_Inputs &amp; Assumptions'!$B$8*0.75,'I_Budget Input Data'!$D$36*0.6/('I_Inputs &amp; Assumptions'!$B$8/2),'I_Budget Input Data'!$D$36*0.2/('I_Inputs &amp; Assumptions'!$B$8/4))),IF('I_Budget Input Data'!$E$36="At Completion",IF(12='I_Inputs &amp; Assumptions'!$B$8,'I_Budget Input Data'!$D$36,0),'I_Budget Input Data'!$D$36/'I_Inputs &amp; Assumptions'!$B$8)))))),0)</f>
        <v>17693.846153846152</v>
      </c>
      <c r="O36" s="91">
        <f>IF(13&lt;='I_Inputs &amp; Assumptions'!$B$8,IF('I_Budget Input Data'!$E$36="Upfront",IF(13=1,'I_Budget Input Data'!$D$36,0),IF('I_Budget Input Data'!$E$36="Equal",'I_Budget Input Data'!$D$36/'I_Inputs &amp; Assumptions'!$B$8,IF('I_Budget Input Data'!$E$36="Front-loaded",IF(13&lt;='I_Inputs &amp; Assumptions'!$B$8/2,'I_Budget Input Data'!$D$36*0.6/('I_Inputs &amp; Assumptions'!$B$8/2),'I_Budget Input Data'!$D$36*0.4/('I_Inputs &amp; Assumptions'!$B$8/2)),IF('I_Budget Input Data'!$E$36="Back-loaded",IF(13&lt;='I_Inputs &amp; Assumptions'!$B$8/2,'I_Budget Input Data'!$D$36*0.4/('I_Inputs &amp; Assumptions'!$B$8/2),'I_Budget Input Data'!$D$36*0.6/('I_Inputs &amp; Assumptions'!$B$8/2)),IF('I_Budget Input Data'!$E$36="Mid-weighted",IF(13&lt;='I_Inputs &amp; Assumptions'!$B$8/4,'I_Budget Input Data'!$D$36*0.2/('I_Inputs &amp; Assumptions'!$B$8/4),IF(13&lt;='I_Inputs &amp; Assumptions'!$B$8*0.75,'I_Budget Input Data'!$D$36*0.6/('I_Inputs &amp; Assumptions'!$B$8/2),'I_Budget Input Data'!$D$36*0.2/('I_Inputs &amp; Assumptions'!$B$8/4))),IF('I_Budget Input Data'!$E$36="At Completion",IF(13='I_Inputs &amp; Assumptions'!$B$8,'I_Budget Input Data'!$D$36,0),'I_Budget Input Data'!$D$36/'I_Inputs &amp; Assumptions'!$B$8)))))),0)</f>
        <v>17693.846153846152</v>
      </c>
      <c r="P36" s="91">
        <f>IF(14&lt;='I_Inputs &amp; Assumptions'!$B$8,IF('I_Budget Input Data'!$E$36="Upfront",IF(14=1,'I_Budget Input Data'!$D$36,0),IF('I_Budget Input Data'!$E$36="Equal",'I_Budget Input Data'!$D$36/'I_Inputs &amp; Assumptions'!$B$8,IF('I_Budget Input Data'!$E$36="Front-loaded",IF(14&lt;='I_Inputs &amp; Assumptions'!$B$8/2,'I_Budget Input Data'!$D$36*0.6/('I_Inputs &amp; Assumptions'!$B$8/2),'I_Budget Input Data'!$D$36*0.4/('I_Inputs &amp; Assumptions'!$B$8/2)),IF('I_Budget Input Data'!$E$36="Back-loaded",IF(14&lt;='I_Inputs &amp; Assumptions'!$B$8/2,'I_Budget Input Data'!$D$36*0.4/('I_Inputs &amp; Assumptions'!$B$8/2),'I_Budget Input Data'!$D$36*0.6/('I_Inputs &amp; Assumptions'!$B$8/2)),IF('I_Budget Input Data'!$E$36="Mid-weighted",IF(14&lt;='I_Inputs &amp; Assumptions'!$B$8/4,'I_Budget Input Data'!$D$36*0.2/('I_Inputs &amp; Assumptions'!$B$8/4),IF(14&lt;='I_Inputs &amp; Assumptions'!$B$8*0.75,'I_Budget Input Data'!$D$36*0.6/('I_Inputs &amp; Assumptions'!$B$8/2),'I_Budget Input Data'!$D$36*0.2/('I_Inputs &amp; Assumptions'!$B$8/4))),IF('I_Budget Input Data'!$E$36="At Completion",IF(14='I_Inputs &amp; Assumptions'!$B$8,'I_Budget Input Data'!$D$36,0),'I_Budget Input Data'!$D$36/'I_Inputs &amp; Assumptions'!$B$8)))))),0)</f>
        <v>0</v>
      </c>
      <c r="Q36" s="91">
        <f>IF(15&lt;='I_Inputs &amp; Assumptions'!$B$8,IF('I_Budget Input Data'!$E$36="Upfront",IF(15=1,'I_Budget Input Data'!$D$36,0),IF('I_Budget Input Data'!$E$36="Equal",'I_Budget Input Data'!$D$36/'I_Inputs &amp; Assumptions'!$B$8,IF('I_Budget Input Data'!$E$36="Front-loaded",IF(15&lt;='I_Inputs &amp; Assumptions'!$B$8/2,'I_Budget Input Data'!$D$36*0.6/('I_Inputs &amp; Assumptions'!$B$8/2),'I_Budget Input Data'!$D$36*0.4/('I_Inputs &amp; Assumptions'!$B$8/2)),IF('I_Budget Input Data'!$E$36="Back-loaded",IF(15&lt;='I_Inputs &amp; Assumptions'!$B$8/2,'I_Budget Input Data'!$D$36*0.4/('I_Inputs &amp; Assumptions'!$B$8/2),'I_Budget Input Data'!$D$36*0.6/('I_Inputs &amp; Assumptions'!$B$8/2)),IF('I_Budget Input Data'!$E$36="Mid-weighted",IF(15&lt;='I_Inputs &amp; Assumptions'!$B$8/4,'I_Budget Input Data'!$D$36*0.2/('I_Inputs &amp; Assumptions'!$B$8/4),IF(15&lt;='I_Inputs &amp; Assumptions'!$B$8*0.75,'I_Budget Input Data'!$D$36*0.6/('I_Inputs &amp; Assumptions'!$B$8/2),'I_Budget Input Data'!$D$36*0.2/('I_Inputs &amp; Assumptions'!$B$8/4))),IF('I_Budget Input Data'!$E$36="At Completion",IF(15='I_Inputs &amp; Assumptions'!$B$8,'I_Budget Input Data'!$D$36,0),'I_Budget Input Data'!$D$36/'I_Inputs &amp; Assumptions'!$B$8)))))),0)</f>
        <v>0</v>
      </c>
      <c r="R36" s="91">
        <f>IF(16&lt;='I_Inputs &amp; Assumptions'!$B$8,IF('I_Budget Input Data'!$E$36="Upfront",IF(16=1,'I_Budget Input Data'!$D$36,0),IF('I_Budget Input Data'!$E$36="Equal",'I_Budget Input Data'!$D$36/'I_Inputs &amp; Assumptions'!$B$8,IF('I_Budget Input Data'!$E$36="Front-loaded",IF(16&lt;='I_Inputs &amp; Assumptions'!$B$8/2,'I_Budget Input Data'!$D$36*0.6/('I_Inputs &amp; Assumptions'!$B$8/2),'I_Budget Input Data'!$D$36*0.4/('I_Inputs &amp; Assumptions'!$B$8/2)),IF('I_Budget Input Data'!$E$36="Back-loaded",IF(16&lt;='I_Inputs &amp; Assumptions'!$B$8/2,'I_Budget Input Data'!$D$36*0.4/('I_Inputs &amp; Assumptions'!$B$8/2),'I_Budget Input Data'!$D$36*0.6/('I_Inputs &amp; Assumptions'!$B$8/2)),IF('I_Budget Input Data'!$E$36="Mid-weighted",IF(16&lt;='I_Inputs &amp; Assumptions'!$B$8/4,'I_Budget Input Data'!$D$36*0.2/('I_Inputs &amp; Assumptions'!$B$8/4),IF(16&lt;='I_Inputs &amp; Assumptions'!$B$8*0.75,'I_Budget Input Data'!$D$36*0.6/('I_Inputs &amp; Assumptions'!$B$8/2),'I_Budget Input Data'!$D$36*0.2/('I_Inputs &amp; Assumptions'!$B$8/4))),IF('I_Budget Input Data'!$E$36="At Completion",IF(16='I_Inputs &amp; Assumptions'!$B$8,'I_Budget Input Data'!$D$36,0),'I_Budget Input Data'!$D$36/'I_Inputs &amp; Assumptions'!$B$8)))))),0)</f>
        <v>0</v>
      </c>
      <c r="S36" s="91">
        <f>IF(17&lt;='I_Inputs &amp; Assumptions'!$B$8,IF('I_Budget Input Data'!$E$36="Upfront",IF(17=1,'I_Budget Input Data'!$D$36,0),IF('I_Budget Input Data'!$E$36="Equal",'I_Budget Input Data'!$D$36/'I_Inputs &amp; Assumptions'!$B$8,IF('I_Budget Input Data'!$E$36="Front-loaded",IF(17&lt;='I_Inputs &amp; Assumptions'!$B$8/2,'I_Budget Input Data'!$D$36*0.6/('I_Inputs &amp; Assumptions'!$B$8/2),'I_Budget Input Data'!$D$36*0.4/('I_Inputs &amp; Assumptions'!$B$8/2)),IF('I_Budget Input Data'!$E$36="Back-loaded",IF(17&lt;='I_Inputs &amp; Assumptions'!$B$8/2,'I_Budget Input Data'!$D$36*0.4/('I_Inputs &amp; Assumptions'!$B$8/2),'I_Budget Input Data'!$D$36*0.6/('I_Inputs &amp; Assumptions'!$B$8/2)),IF('I_Budget Input Data'!$E$36="Mid-weighted",IF(17&lt;='I_Inputs &amp; Assumptions'!$B$8/4,'I_Budget Input Data'!$D$36*0.2/('I_Inputs &amp; Assumptions'!$B$8/4),IF(17&lt;='I_Inputs &amp; Assumptions'!$B$8*0.75,'I_Budget Input Data'!$D$36*0.6/('I_Inputs &amp; Assumptions'!$B$8/2),'I_Budget Input Data'!$D$36*0.2/('I_Inputs &amp; Assumptions'!$B$8/4))),IF('I_Budget Input Data'!$E$36="At Completion",IF(17='I_Inputs &amp; Assumptions'!$B$8,'I_Budget Input Data'!$D$36,0),'I_Budget Input Data'!$D$36/'I_Inputs &amp; Assumptions'!$B$8)))))),0)</f>
        <v>0</v>
      </c>
      <c r="T36" s="91">
        <f>IF(18&lt;='I_Inputs &amp; Assumptions'!$B$8,IF('I_Budget Input Data'!$E$36="Upfront",IF(18=1,'I_Budget Input Data'!$D$36,0),IF('I_Budget Input Data'!$E$36="Equal",'I_Budget Input Data'!$D$36/'I_Inputs &amp; Assumptions'!$B$8,IF('I_Budget Input Data'!$E$36="Front-loaded",IF(18&lt;='I_Inputs &amp; Assumptions'!$B$8/2,'I_Budget Input Data'!$D$36*0.6/('I_Inputs &amp; Assumptions'!$B$8/2),'I_Budget Input Data'!$D$36*0.4/('I_Inputs &amp; Assumptions'!$B$8/2)),IF('I_Budget Input Data'!$E$36="Back-loaded",IF(18&lt;='I_Inputs &amp; Assumptions'!$B$8/2,'I_Budget Input Data'!$D$36*0.4/('I_Inputs &amp; Assumptions'!$B$8/2),'I_Budget Input Data'!$D$36*0.6/('I_Inputs &amp; Assumptions'!$B$8/2)),IF('I_Budget Input Data'!$E$36="Mid-weighted",IF(18&lt;='I_Inputs &amp; Assumptions'!$B$8/4,'I_Budget Input Data'!$D$36*0.2/('I_Inputs &amp; Assumptions'!$B$8/4),IF(18&lt;='I_Inputs &amp; Assumptions'!$B$8*0.75,'I_Budget Input Data'!$D$36*0.6/('I_Inputs &amp; Assumptions'!$B$8/2),'I_Budget Input Data'!$D$36*0.2/('I_Inputs &amp; Assumptions'!$B$8/4))),IF('I_Budget Input Data'!$E$36="At Completion",IF(18='I_Inputs &amp; Assumptions'!$B$8,'I_Budget Input Data'!$D$36,0),'I_Budget Input Data'!$D$36/'I_Inputs &amp; Assumptions'!$B$8)))))),0)</f>
        <v>0</v>
      </c>
      <c r="U36" s="91">
        <f>IF(19&lt;='I_Inputs &amp; Assumptions'!$B$8,IF('I_Budget Input Data'!$E$36="Upfront",IF(19=1,'I_Budget Input Data'!$D$36,0),IF('I_Budget Input Data'!$E$36="Equal",'I_Budget Input Data'!$D$36/'I_Inputs &amp; Assumptions'!$B$8,IF('I_Budget Input Data'!$E$36="Front-loaded",IF(19&lt;='I_Inputs &amp; Assumptions'!$B$8/2,'I_Budget Input Data'!$D$36*0.6/('I_Inputs &amp; Assumptions'!$B$8/2),'I_Budget Input Data'!$D$36*0.4/('I_Inputs &amp; Assumptions'!$B$8/2)),IF('I_Budget Input Data'!$E$36="Back-loaded",IF(19&lt;='I_Inputs &amp; Assumptions'!$B$8/2,'I_Budget Input Data'!$D$36*0.4/('I_Inputs &amp; Assumptions'!$B$8/2),'I_Budget Input Data'!$D$36*0.6/('I_Inputs &amp; Assumptions'!$B$8/2)),IF('I_Budget Input Data'!$E$36="Mid-weighted",IF(19&lt;='I_Inputs &amp; Assumptions'!$B$8/4,'I_Budget Input Data'!$D$36*0.2/('I_Inputs &amp; Assumptions'!$B$8/4),IF(19&lt;='I_Inputs &amp; Assumptions'!$B$8*0.75,'I_Budget Input Data'!$D$36*0.6/('I_Inputs &amp; Assumptions'!$B$8/2),'I_Budget Input Data'!$D$36*0.2/('I_Inputs &amp; Assumptions'!$B$8/4))),IF('I_Budget Input Data'!$E$36="At Completion",IF(19='I_Inputs &amp; Assumptions'!$B$8,'I_Budget Input Data'!$D$36,0),'I_Budget Input Data'!$D$36/'I_Inputs &amp; Assumptions'!$B$8)))))),0)</f>
        <v>0</v>
      </c>
      <c r="V36" s="91">
        <f>IF(20&lt;='I_Inputs &amp; Assumptions'!$B$8,IF('I_Budget Input Data'!$E$36="Upfront",IF(20=1,'I_Budget Input Data'!$D$36,0),IF('I_Budget Input Data'!$E$36="Equal",'I_Budget Input Data'!$D$36/'I_Inputs &amp; Assumptions'!$B$8,IF('I_Budget Input Data'!$E$36="Front-loaded",IF(20&lt;='I_Inputs &amp; Assumptions'!$B$8/2,'I_Budget Input Data'!$D$36*0.6/('I_Inputs &amp; Assumptions'!$B$8/2),'I_Budget Input Data'!$D$36*0.4/('I_Inputs &amp; Assumptions'!$B$8/2)),IF('I_Budget Input Data'!$E$36="Back-loaded",IF(20&lt;='I_Inputs &amp; Assumptions'!$B$8/2,'I_Budget Input Data'!$D$36*0.4/('I_Inputs &amp; Assumptions'!$B$8/2),'I_Budget Input Data'!$D$36*0.6/('I_Inputs &amp; Assumptions'!$B$8/2)),IF('I_Budget Input Data'!$E$36="Mid-weighted",IF(20&lt;='I_Inputs &amp; Assumptions'!$B$8/4,'I_Budget Input Data'!$D$36*0.2/('I_Inputs &amp; Assumptions'!$B$8/4),IF(20&lt;='I_Inputs &amp; Assumptions'!$B$8*0.75,'I_Budget Input Data'!$D$36*0.6/('I_Inputs &amp; Assumptions'!$B$8/2),'I_Budget Input Data'!$D$36*0.2/('I_Inputs &amp; Assumptions'!$B$8/4))),IF('I_Budget Input Data'!$E$36="At Completion",IF(20='I_Inputs &amp; Assumptions'!$B$8,'I_Budget Input Data'!$D$36,0),'I_Budget Input Data'!$D$36/'I_Inputs &amp; Assumptions'!$B$8)))))),0)</f>
        <v>0</v>
      </c>
      <c r="W36" s="91">
        <f>IF(21&lt;='I_Inputs &amp; Assumptions'!$B$8,IF('I_Budget Input Data'!$E$36="Upfront",IF(21=1,'I_Budget Input Data'!$D$36,0),IF('I_Budget Input Data'!$E$36="Equal",'I_Budget Input Data'!$D$36/'I_Inputs &amp; Assumptions'!$B$8,IF('I_Budget Input Data'!$E$36="Front-loaded",IF(21&lt;='I_Inputs &amp; Assumptions'!$B$8/2,'I_Budget Input Data'!$D$36*0.6/('I_Inputs &amp; Assumptions'!$B$8/2),'I_Budget Input Data'!$D$36*0.4/('I_Inputs &amp; Assumptions'!$B$8/2)),IF('I_Budget Input Data'!$E$36="Back-loaded",IF(21&lt;='I_Inputs &amp; Assumptions'!$B$8/2,'I_Budget Input Data'!$D$36*0.4/('I_Inputs &amp; Assumptions'!$B$8/2),'I_Budget Input Data'!$D$36*0.6/('I_Inputs &amp; Assumptions'!$B$8/2)),IF('I_Budget Input Data'!$E$36="Mid-weighted",IF(21&lt;='I_Inputs &amp; Assumptions'!$B$8/4,'I_Budget Input Data'!$D$36*0.2/('I_Inputs &amp; Assumptions'!$B$8/4),IF(21&lt;='I_Inputs &amp; Assumptions'!$B$8*0.75,'I_Budget Input Data'!$D$36*0.6/('I_Inputs &amp; Assumptions'!$B$8/2),'I_Budget Input Data'!$D$36*0.2/('I_Inputs &amp; Assumptions'!$B$8/4))),IF('I_Budget Input Data'!$E$36="At Completion",IF(21='I_Inputs &amp; Assumptions'!$B$8,'I_Budget Input Data'!$D$36,0),'I_Budget Input Data'!$D$36/'I_Inputs &amp; Assumptions'!$B$8)))))),0)</f>
        <v>0</v>
      </c>
      <c r="X36" s="91">
        <f>IF(22&lt;='I_Inputs &amp; Assumptions'!$B$8,IF('I_Budget Input Data'!$E$36="Upfront",IF(22=1,'I_Budget Input Data'!$D$36,0),IF('I_Budget Input Data'!$E$36="Equal",'I_Budget Input Data'!$D$36/'I_Inputs &amp; Assumptions'!$B$8,IF('I_Budget Input Data'!$E$36="Front-loaded",IF(22&lt;='I_Inputs &amp; Assumptions'!$B$8/2,'I_Budget Input Data'!$D$36*0.6/('I_Inputs &amp; Assumptions'!$B$8/2),'I_Budget Input Data'!$D$36*0.4/('I_Inputs &amp; Assumptions'!$B$8/2)),IF('I_Budget Input Data'!$E$36="Back-loaded",IF(22&lt;='I_Inputs &amp; Assumptions'!$B$8/2,'I_Budget Input Data'!$D$36*0.4/('I_Inputs &amp; Assumptions'!$B$8/2),'I_Budget Input Data'!$D$36*0.6/('I_Inputs &amp; Assumptions'!$B$8/2)),IF('I_Budget Input Data'!$E$36="Mid-weighted",IF(22&lt;='I_Inputs &amp; Assumptions'!$B$8/4,'I_Budget Input Data'!$D$36*0.2/('I_Inputs &amp; Assumptions'!$B$8/4),IF(22&lt;='I_Inputs &amp; Assumptions'!$B$8*0.75,'I_Budget Input Data'!$D$36*0.6/('I_Inputs &amp; Assumptions'!$B$8/2),'I_Budget Input Data'!$D$36*0.2/('I_Inputs &amp; Assumptions'!$B$8/4))),IF('I_Budget Input Data'!$E$36="At Completion",IF(22='I_Inputs &amp; Assumptions'!$B$8,'I_Budget Input Data'!$D$36,0),'I_Budget Input Data'!$D$36/'I_Inputs &amp; Assumptions'!$B$8)))))),0)</f>
        <v>0</v>
      </c>
      <c r="Y36" s="91">
        <f>IF(23&lt;='I_Inputs &amp; Assumptions'!$B$8,IF('I_Budget Input Data'!$E$36="Upfront",IF(23=1,'I_Budget Input Data'!$D$36,0),IF('I_Budget Input Data'!$E$36="Equal",'I_Budget Input Data'!$D$36/'I_Inputs &amp; Assumptions'!$B$8,IF('I_Budget Input Data'!$E$36="Front-loaded",IF(23&lt;='I_Inputs &amp; Assumptions'!$B$8/2,'I_Budget Input Data'!$D$36*0.6/('I_Inputs &amp; Assumptions'!$B$8/2),'I_Budget Input Data'!$D$36*0.4/('I_Inputs &amp; Assumptions'!$B$8/2)),IF('I_Budget Input Data'!$E$36="Back-loaded",IF(23&lt;='I_Inputs &amp; Assumptions'!$B$8/2,'I_Budget Input Data'!$D$36*0.4/('I_Inputs &amp; Assumptions'!$B$8/2),'I_Budget Input Data'!$D$36*0.6/('I_Inputs &amp; Assumptions'!$B$8/2)),IF('I_Budget Input Data'!$E$36="Mid-weighted",IF(23&lt;='I_Inputs &amp; Assumptions'!$B$8/4,'I_Budget Input Data'!$D$36*0.2/('I_Inputs &amp; Assumptions'!$B$8/4),IF(23&lt;='I_Inputs &amp; Assumptions'!$B$8*0.75,'I_Budget Input Data'!$D$36*0.6/('I_Inputs &amp; Assumptions'!$B$8/2),'I_Budget Input Data'!$D$36*0.2/('I_Inputs &amp; Assumptions'!$B$8/4))),IF('I_Budget Input Data'!$E$36="At Completion",IF(23='I_Inputs &amp; Assumptions'!$B$8,'I_Budget Input Data'!$D$36,0),'I_Budget Input Data'!$D$36/'I_Inputs &amp; Assumptions'!$B$8)))))),0)</f>
        <v>0</v>
      </c>
      <c r="Z36" s="91">
        <f>IF(24&lt;='I_Inputs &amp; Assumptions'!$B$8,IF('I_Budget Input Data'!$E$36="Upfront",IF(24=1,'I_Budget Input Data'!$D$36,0),IF('I_Budget Input Data'!$E$36="Equal",'I_Budget Input Data'!$D$36/'I_Inputs &amp; Assumptions'!$B$8,IF('I_Budget Input Data'!$E$36="Front-loaded",IF(24&lt;='I_Inputs &amp; Assumptions'!$B$8/2,'I_Budget Input Data'!$D$36*0.6/('I_Inputs &amp; Assumptions'!$B$8/2),'I_Budget Input Data'!$D$36*0.4/('I_Inputs &amp; Assumptions'!$B$8/2)),IF('I_Budget Input Data'!$E$36="Back-loaded",IF(24&lt;='I_Inputs &amp; Assumptions'!$B$8/2,'I_Budget Input Data'!$D$36*0.4/('I_Inputs &amp; Assumptions'!$B$8/2),'I_Budget Input Data'!$D$36*0.6/('I_Inputs &amp; Assumptions'!$B$8/2)),IF('I_Budget Input Data'!$E$36="Mid-weighted",IF(24&lt;='I_Inputs &amp; Assumptions'!$B$8/4,'I_Budget Input Data'!$D$36*0.2/('I_Inputs &amp; Assumptions'!$B$8/4),IF(24&lt;='I_Inputs &amp; Assumptions'!$B$8*0.75,'I_Budget Input Data'!$D$36*0.6/('I_Inputs &amp; Assumptions'!$B$8/2),'I_Budget Input Data'!$D$36*0.2/('I_Inputs &amp; Assumptions'!$B$8/4))),IF('I_Budget Input Data'!$E$36="At Completion",IF(24='I_Inputs &amp; Assumptions'!$B$8,'I_Budget Input Data'!$D$36,0),'I_Budget Input Data'!$D$36/'I_Inputs &amp; Assumptions'!$B$8)))))),0)</f>
        <v>0</v>
      </c>
      <c r="AA36" s="91">
        <f>IF(25&lt;='I_Inputs &amp; Assumptions'!$B$8,IF('I_Budget Input Data'!$E$36="Upfront",IF(25=1,'I_Budget Input Data'!$D$36,0),IF('I_Budget Input Data'!$E$36="Equal",'I_Budget Input Data'!$D$36/'I_Inputs &amp; Assumptions'!$B$8,IF('I_Budget Input Data'!$E$36="Front-loaded",IF(25&lt;='I_Inputs &amp; Assumptions'!$B$8/2,'I_Budget Input Data'!$D$36*0.6/('I_Inputs &amp; Assumptions'!$B$8/2),'I_Budget Input Data'!$D$36*0.4/('I_Inputs &amp; Assumptions'!$B$8/2)),IF('I_Budget Input Data'!$E$36="Back-loaded",IF(25&lt;='I_Inputs &amp; Assumptions'!$B$8/2,'I_Budget Input Data'!$D$36*0.4/('I_Inputs &amp; Assumptions'!$B$8/2),'I_Budget Input Data'!$D$36*0.6/('I_Inputs &amp; Assumptions'!$B$8/2)),IF('I_Budget Input Data'!$E$36="Mid-weighted",IF(25&lt;='I_Inputs &amp; Assumptions'!$B$8/4,'I_Budget Input Data'!$D$36*0.2/('I_Inputs &amp; Assumptions'!$B$8/4),IF(25&lt;='I_Inputs &amp; Assumptions'!$B$8*0.75,'I_Budget Input Data'!$D$36*0.6/('I_Inputs &amp; Assumptions'!$B$8/2),'I_Budget Input Data'!$D$36*0.2/('I_Inputs &amp; Assumptions'!$B$8/4))),IF('I_Budget Input Data'!$E$36="At Completion",IF(25='I_Inputs &amp; Assumptions'!$B$8,'I_Budget Input Data'!$D$36,0),'I_Budget Input Data'!$D$36/'I_Inputs &amp; Assumptions'!$B$8)))))),0)</f>
        <v>0</v>
      </c>
      <c r="AB36" s="91">
        <f>IF(26&lt;='I_Inputs &amp; Assumptions'!$B$8,IF('I_Budget Input Data'!$E$36="Upfront",IF(26=1,'I_Budget Input Data'!$D$36,0),IF('I_Budget Input Data'!$E$36="Equal",'I_Budget Input Data'!$D$36/'I_Inputs &amp; Assumptions'!$B$8,IF('I_Budget Input Data'!$E$36="Front-loaded",IF(26&lt;='I_Inputs &amp; Assumptions'!$B$8/2,'I_Budget Input Data'!$D$36*0.6/('I_Inputs &amp; Assumptions'!$B$8/2),'I_Budget Input Data'!$D$36*0.4/('I_Inputs &amp; Assumptions'!$B$8/2)),IF('I_Budget Input Data'!$E$36="Back-loaded",IF(26&lt;='I_Inputs &amp; Assumptions'!$B$8/2,'I_Budget Input Data'!$D$36*0.4/('I_Inputs &amp; Assumptions'!$B$8/2),'I_Budget Input Data'!$D$36*0.6/('I_Inputs &amp; Assumptions'!$B$8/2)),IF('I_Budget Input Data'!$E$36="Mid-weighted",IF(26&lt;='I_Inputs &amp; Assumptions'!$B$8/4,'I_Budget Input Data'!$D$36*0.2/('I_Inputs &amp; Assumptions'!$B$8/4),IF(26&lt;='I_Inputs &amp; Assumptions'!$B$8*0.75,'I_Budget Input Data'!$D$36*0.6/('I_Inputs &amp; Assumptions'!$B$8/2),'I_Budget Input Data'!$D$36*0.2/('I_Inputs &amp; Assumptions'!$B$8/4))),IF('I_Budget Input Data'!$E$36="At Completion",IF(26='I_Inputs &amp; Assumptions'!$B$8,'I_Budget Input Data'!$D$36,0),'I_Budget Input Data'!$D$36/'I_Inputs &amp; Assumptions'!$B$8)))))),0)</f>
        <v>0</v>
      </c>
      <c r="AC36" s="91">
        <f>IF(27&lt;='I_Inputs &amp; Assumptions'!$B$8,IF('I_Budget Input Data'!$E$36="Upfront",IF(27=1,'I_Budget Input Data'!$D$36,0),IF('I_Budget Input Data'!$E$36="Equal",'I_Budget Input Data'!$D$36/'I_Inputs &amp; Assumptions'!$B$8,IF('I_Budget Input Data'!$E$36="Front-loaded",IF(27&lt;='I_Inputs &amp; Assumptions'!$B$8/2,'I_Budget Input Data'!$D$36*0.6/('I_Inputs &amp; Assumptions'!$B$8/2),'I_Budget Input Data'!$D$36*0.4/('I_Inputs &amp; Assumptions'!$B$8/2)),IF('I_Budget Input Data'!$E$36="Back-loaded",IF(27&lt;='I_Inputs &amp; Assumptions'!$B$8/2,'I_Budget Input Data'!$D$36*0.4/('I_Inputs &amp; Assumptions'!$B$8/2),'I_Budget Input Data'!$D$36*0.6/('I_Inputs &amp; Assumptions'!$B$8/2)),IF('I_Budget Input Data'!$E$36="Mid-weighted",IF(27&lt;='I_Inputs &amp; Assumptions'!$B$8/4,'I_Budget Input Data'!$D$36*0.2/('I_Inputs &amp; Assumptions'!$B$8/4),IF(27&lt;='I_Inputs &amp; Assumptions'!$B$8*0.75,'I_Budget Input Data'!$D$36*0.6/('I_Inputs &amp; Assumptions'!$B$8/2),'I_Budget Input Data'!$D$36*0.2/('I_Inputs &amp; Assumptions'!$B$8/4))),IF('I_Budget Input Data'!$E$36="At Completion",IF(27='I_Inputs &amp; Assumptions'!$B$8,'I_Budget Input Data'!$D$36,0),'I_Budget Input Data'!$D$36/'I_Inputs &amp; Assumptions'!$B$8)))))),0)</f>
        <v>0</v>
      </c>
      <c r="AD36" s="91">
        <f>IF(28&lt;='I_Inputs &amp; Assumptions'!$B$8,IF('I_Budget Input Data'!$E$36="Upfront",IF(28=1,'I_Budget Input Data'!$D$36,0),IF('I_Budget Input Data'!$E$36="Equal",'I_Budget Input Data'!$D$36/'I_Inputs &amp; Assumptions'!$B$8,IF('I_Budget Input Data'!$E$36="Front-loaded",IF(28&lt;='I_Inputs &amp; Assumptions'!$B$8/2,'I_Budget Input Data'!$D$36*0.6/('I_Inputs &amp; Assumptions'!$B$8/2),'I_Budget Input Data'!$D$36*0.4/('I_Inputs &amp; Assumptions'!$B$8/2)),IF('I_Budget Input Data'!$E$36="Back-loaded",IF(28&lt;='I_Inputs &amp; Assumptions'!$B$8/2,'I_Budget Input Data'!$D$36*0.4/('I_Inputs &amp; Assumptions'!$B$8/2),'I_Budget Input Data'!$D$36*0.6/('I_Inputs &amp; Assumptions'!$B$8/2)),IF('I_Budget Input Data'!$E$36="Mid-weighted",IF(28&lt;='I_Inputs &amp; Assumptions'!$B$8/4,'I_Budget Input Data'!$D$36*0.2/('I_Inputs &amp; Assumptions'!$B$8/4),IF(28&lt;='I_Inputs &amp; Assumptions'!$B$8*0.75,'I_Budget Input Data'!$D$36*0.6/('I_Inputs &amp; Assumptions'!$B$8/2),'I_Budget Input Data'!$D$36*0.2/('I_Inputs &amp; Assumptions'!$B$8/4))),IF('I_Budget Input Data'!$E$36="At Completion",IF(28='I_Inputs &amp; Assumptions'!$B$8,'I_Budget Input Data'!$D$36,0),'I_Budget Input Data'!$D$36/'I_Inputs &amp; Assumptions'!$B$8)))))),0)</f>
        <v>0</v>
      </c>
      <c r="AE36" s="91">
        <f>IF(29&lt;='I_Inputs &amp; Assumptions'!$B$8,IF('I_Budget Input Data'!$E$36="Upfront",IF(29=1,'I_Budget Input Data'!$D$36,0),IF('I_Budget Input Data'!$E$36="Equal",'I_Budget Input Data'!$D$36/'I_Inputs &amp; Assumptions'!$B$8,IF('I_Budget Input Data'!$E$36="Front-loaded",IF(29&lt;='I_Inputs &amp; Assumptions'!$B$8/2,'I_Budget Input Data'!$D$36*0.6/('I_Inputs &amp; Assumptions'!$B$8/2),'I_Budget Input Data'!$D$36*0.4/('I_Inputs &amp; Assumptions'!$B$8/2)),IF('I_Budget Input Data'!$E$36="Back-loaded",IF(29&lt;='I_Inputs &amp; Assumptions'!$B$8/2,'I_Budget Input Data'!$D$36*0.4/('I_Inputs &amp; Assumptions'!$B$8/2),'I_Budget Input Data'!$D$36*0.6/('I_Inputs &amp; Assumptions'!$B$8/2)),IF('I_Budget Input Data'!$E$36="Mid-weighted",IF(29&lt;='I_Inputs &amp; Assumptions'!$B$8/4,'I_Budget Input Data'!$D$36*0.2/('I_Inputs &amp; Assumptions'!$B$8/4),IF(29&lt;='I_Inputs &amp; Assumptions'!$B$8*0.75,'I_Budget Input Data'!$D$36*0.6/('I_Inputs &amp; Assumptions'!$B$8/2),'I_Budget Input Data'!$D$36*0.2/('I_Inputs &amp; Assumptions'!$B$8/4))),IF('I_Budget Input Data'!$E$36="At Completion",IF(29='I_Inputs &amp; Assumptions'!$B$8,'I_Budget Input Data'!$D$36,0),'I_Budget Input Data'!$D$36/'I_Inputs &amp; Assumptions'!$B$8)))))),0)</f>
        <v>0</v>
      </c>
      <c r="AF36" s="91">
        <f>IF(30&lt;='I_Inputs &amp; Assumptions'!$B$8,IF('I_Budget Input Data'!$E$36="Upfront",IF(30=1,'I_Budget Input Data'!$D$36,0),IF('I_Budget Input Data'!$E$36="Equal",'I_Budget Input Data'!$D$36/'I_Inputs &amp; Assumptions'!$B$8,IF('I_Budget Input Data'!$E$36="Front-loaded",IF(30&lt;='I_Inputs &amp; Assumptions'!$B$8/2,'I_Budget Input Data'!$D$36*0.6/('I_Inputs &amp; Assumptions'!$B$8/2),'I_Budget Input Data'!$D$36*0.4/('I_Inputs &amp; Assumptions'!$B$8/2)),IF('I_Budget Input Data'!$E$36="Back-loaded",IF(30&lt;='I_Inputs &amp; Assumptions'!$B$8/2,'I_Budget Input Data'!$D$36*0.4/('I_Inputs &amp; Assumptions'!$B$8/2),'I_Budget Input Data'!$D$36*0.6/('I_Inputs &amp; Assumptions'!$B$8/2)),IF('I_Budget Input Data'!$E$36="Mid-weighted",IF(30&lt;='I_Inputs &amp; Assumptions'!$B$8/4,'I_Budget Input Data'!$D$36*0.2/('I_Inputs &amp; Assumptions'!$B$8/4),IF(30&lt;='I_Inputs &amp; Assumptions'!$B$8*0.75,'I_Budget Input Data'!$D$36*0.6/('I_Inputs &amp; Assumptions'!$B$8/2),'I_Budget Input Data'!$D$36*0.2/('I_Inputs &amp; Assumptions'!$B$8/4))),IF('I_Budget Input Data'!$E$36="At Completion",IF(30='I_Inputs &amp; Assumptions'!$B$8,'I_Budget Input Data'!$D$36,0),'I_Budget Input Data'!$D$36/'I_Inputs &amp; Assumptions'!$B$8)))))),0)</f>
        <v>0</v>
      </c>
      <c r="AG36" s="91">
        <f>IF(31&lt;='I_Inputs &amp; Assumptions'!$B$8,IF('I_Budget Input Data'!$E$36="Upfront",IF(31=1,'I_Budget Input Data'!$D$36,0),IF('I_Budget Input Data'!$E$36="Equal",'I_Budget Input Data'!$D$36/'I_Inputs &amp; Assumptions'!$B$8,IF('I_Budget Input Data'!$E$36="Front-loaded",IF(31&lt;='I_Inputs &amp; Assumptions'!$B$8/2,'I_Budget Input Data'!$D$36*0.6/('I_Inputs &amp; Assumptions'!$B$8/2),'I_Budget Input Data'!$D$36*0.4/('I_Inputs &amp; Assumptions'!$B$8/2)),IF('I_Budget Input Data'!$E$36="Back-loaded",IF(31&lt;='I_Inputs &amp; Assumptions'!$B$8/2,'I_Budget Input Data'!$D$36*0.4/('I_Inputs &amp; Assumptions'!$B$8/2),'I_Budget Input Data'!$D$36*0.6/('I_Inputs &amp; Assumptions'!$B$8/2)),IF('I_Budget Input Data'!$E$36="Mid-weighted",IF(31&lt;='I_Inputs &amp; Assumptions'!$B$8/4,'I_Budget Input Data'!$D$36*0.2/('I_Inputs &amp; Assumptions'!$B$8/4),IF(31&lt;='I_Inputs &amp; Assumptions'!$B$8*0.75,'I_Budget Input Data'!$D$36*0.6/('I_Inputs &amp; Assumptions'!$B$8/2),'I_Budget Input Data'!$D$36*0.2/('I_Inputs &amp; Assumptions'!$B$8/4))),IF('I_Budget Input Data'!$E$36="At Completion",IF(31='I_Inputs &amp; Assumptions'!$B$8,'I_Budget Input Data'!$D$36,0),'I_Budget Input Data'!$D$36/'I_Inputs &amp; Assumptions'!$B$8)))))),0)</f>
        <v>0</v>
      </c>
      <c r="AH36" s="91">
        <f>IF(32&lt;='I_Inputs &amp; Assumptions'!$B$8,IF('I_Budget Input Data'!$E$36="Upfront",IF(32=1,'I_Budget Input Data'!$D$36,0),IF('I_Budget Input Data'!$E$36="Equal",'I_Budget Input Data'!$D$36/'I_Inputs &amp; Assumptions'!$B$8,IF('I_Budget Input Data'!$E$36="Front-loaded",IF(32&lt;='I_Inputs &amp; Assumptions'!$B$8/2,'I_Budget Input Data'!$D$36*0.6/('I_Inputs &amp; Assumptions'!$B$8/2),'I_Budget Input Data'!$D$36*0.4/('I_Inputs &amp; Assumptions'!$B$8/2)),IF('I_Budget Input Data'!$E$36="Back-loaded",IF(32&lt;='I_Inputs &amp; Assumptions'!$B$8/2,'I_Budget Input Data'!$D$36*0.4/('I_Inputs &amp; Assumptions'!$B$8/2),'I_Budget Input Data'!$D$36*0.6/('I_Inputs &amp; Assumptions'!$B$8/2)),IF('I_Budget Input Data'!$E$36="Mid-weighted",IF(32&lt;='I_Inputs &amp; Assumptions'!$B$8/4,'I_Budget Input Data'!$D$36*0.2/('I_Inputs &amp; Assumptions'!$B$8/4),IF(32&lt;='I_Inputs &amp; Assumptions'!$B$8*0.75,'I_Budget Input Data'!$D$36*0.6/('I_Inputs &amp; Assumptions'!$B$8/2),'I_Budget Input Data'!$D$36*0.2/('I_Inputs &amp; Assumptions'!$B$8/4))),IF('I_Budget Input Data'!$E$36="At Completion",IF(32='I_Inputs &amp; Assumptions'!$B$8,'I_Budget Input Data'!$D$36,0),'I_Budget Input Data'!$D$36/'I_Inputs &amp; Assumptions'!$B$8)))))),0)</f>
        <v>0</v>
      </c>
      <c r="AI36" s="91">
        <f>IF(33&lt;='I_Inputs &amp; Assumptions'!$B$8,IF('I_Budget Input Data'!$E$36="Upfront",IF(33=1,'I_Budget Input Data'!$D$36,0),IF('I_Budget Input Data'!$E$36="Equal",'I_Budget Input Data'!$D$36/'I_Inputs &amp; Assumptions'!$B$8,IF('I_Budget Input Data'!$E$36="Front-loaded",IF(33&lt;='I_Inputs &amp; Assumptions'!$B$8/2,'I_Budget Input Data'!$D$36*0.6/('I_Inputs &amp; Assumptions'!$B$8/2),'I_Budget Input Data'!$D$36*0.4/('I_Inputs &amp; Assumptions'!$B$8/2)),IF('I_Budget Input Data'!$E$36="Back-loaded",IF(33&lt;='I_Inputs &amp; Assumptions'!$B$8/2,'I_Budget Input Data'!$D$36*0.4/('I_Inputs &amp; Assumptions'!$B$8/2),'I_Budget Input Data'!$D$36*0.6/('I_Inputs &amp; Assumptions'!$B$8/2)),IF('I_Budget Input Data'!$E$36="Mid-weighted",IF(33&lt;='I_Inputs &amp; Assumptions'!$B$8/4,'I_Budget Input Data'!$D$36*0.2/('I_Inputs &amp; Assumptions'!$B$8/4),IF(33&lt;='I_Inputs &amp; Assumptions'!$B$8*0.75,'I_Budget Input Data'!$D$36*0.6/('I_Inputs &amp; Assumptions'!$B$8/2),'I_Budget Input Data'!$D$36*0.2/('I_Inputs &amp; Assumptions'!$B$8/4))),IF('I_Budget Input Data'!$E$36="At Completion",IF(33='I_Inputs &amp; Assumptions'!$B$8,'I_Budget Input Data'!$D$36,0),'I_Budget Input Data'!$D$36/'I_Inputs &amp; Assumptions'!$B$8)))))),0)</f>
        <v>0</v>
      </c>
      <c r="AJ36" s="91">
        <f>IF(34&lt;='I_Inputs &amp; Assumptions'!$B$8,IF('I_Budget Input Data'!$E$36="Upfront",IF(34=1,'I_Budget Input Data'!$D$36,0),IF('I_Budget Input Data'!$E$36="Equal",'I_Budget Input Data'!$D$36/'I_Inputs &amp; Assumptions'!$B$8,IF('I_Budget Input Data'!$E$36="Front-loaded",IF(34&lt;='I_Inputs &amp; Assumptions'!$B$8/2,'I_Budget Input Data'!$D$36*0.6/('I_Inputs &amp; Assumptions'!$B$8/2),'I_Budget Input Data'!$D$36*0.4/('I_Inputs &amp; Assumptions'!$B$8/2)),IF('I_Budget Input Data'!$E$36="Back-loaded",IF(34&lt;='I_Inputs &amp; Assumptions'!$B$8/2,'I_Budget Input Data'!$D$36*0.4/('I_Inputs &amp; Assumptions'!$B$8/2),'I_Budget Input Data'!$D$36*0.6/('I_Inputs &amp; Assumptions'!$B$8/2)),IF('I_Budget Input Data'!$E$36="Mid-weighted",IF(34&lt;='I_Inputs &amp; Assumptions'!$B$8/4,'I_Budget Input Data'!$D$36*0.2/('I_Inputs &amp; Assumptions'!$B$8/4),IF(34&lt;='I_Inputs &amp; Assumptions'!$B$8*0.75,'I_Budget Input Data'!$D$36*0.6/('I_Inputs &amp; Assumptions'!$B$8/2),'I_Budget Input Data'!$D$36*0.2/('I_Inputs &amp; Assumptions'!$B$8/4))),IF('I_Budget Input Data'!$E$36="At Completion",IF(34='I_Inputs &amp; Assumptions'!$B$8,'I_Budget Input Data'!$D$36,0),'I_Budget Input Data'!$D$36/'I_Inputs &amp; Assumptions'!$B$8)))))),0)</f>
        <v>0</v>
      </c>
      <c r="AK36" s="91">
        <f>IF(35&lt;='I_Inputs &amp; Assumptions'!$B$8,IF('I_Budget Input Data'!$E$36="Upfront",IF(35=1,'I_Budget Input Data'!$D$36,0),IF('I_Budget Input Data'!$E$36="Equal",'I_Budget Input Data'!$D$36/'I_Inputs &amp; Assumptions'!$B$8,IF('I_Budget Input Data'!$E$36="Front-loaded",IF(35&lt;='I_Inputs &amp; Assumptions'!$B$8/2,'I_Budget Input Data'!$D$36*0.6/('I_Inputs &amp; Assumptions'!$B$8/2),'I_Budget Input Data'!$D$36*0.4/('I_Inputs &amp; Assumptions'!$B$8/2)),IF('I_Budget Input Data'!$E$36="Back-loaded",IF(35&lt;='I_Inputs &amp; Assumptions'!$B$8/2,'I_Budget Input Data'!$D$36*0.4/('I_Inputs &amp; Assumptions'!$B$8/2),'I_Budget Input Data'!$D$36*0.6/('I_Inputs &amp; Assumptions'!$B$8/2)),IF('I_Budget Input Data'!$E$36="Mid-weighted",IF(35&lt;='I_Inputs &amp; Assumptions'!$B$8/4,'I_Budget Input Data'!$D$36*0.2/('I_Inputs &amp; Assumptions'!$B$8/4),IF(35&lt;='I_Inputs &amp; Assumptions'!$B$8*0.75,'I_Budget Input Data'!$D$36*0.6/('I_Inputs &amp; Assumptions'!$B$8/2),'I_Budget Input Data'!$D$36*0.2/('I_Inputs &amp; Assumptions'!$B$8/4))),IF('I_Budget Input Data'!$E$36="At Completion",IF(35='I_Inputs &amp; Assumptions'!$B$8,'I_Budget Input Data'!$D$36,0),'I_Budget Input Data'!$D$36/'I_Inputs &amp; Assumptions'!$B$8)))))),0)</f>
        <v>0</v>
      </c>
      <c r="AL36" s="91">
        <f>IF(36&lt;='I_Inputs &amp; Assumptions'!$B$8,IF('I_Budget Input Data'!$E$36="Upfront",IF(36=1,'I_Budget Input Data'!$D$36,0),IF('I_Budget Input Data'!$E$36="Equal",'I_Budget Input Data'!$D$36/'I_Inputs &amp; Assumptions'!$B$8,IF('I_Budget Input Data'!$E$36="Front-loaded",IF(36&lt;='I_Inputs &amp; Assumptions'!$B$8/2,'I_Budget Input Data'!$D$36*0.6/('I_Inputs &amp; Assumptions'!$B$8/2),'I_Budget Input Data'!$D$36*0.4/('I_Inputs &amp; Assumptions'!$B$8/2)),IF('I_Budget Input Data'!$E$36="Back-loaded",IF(36&lt;='I_Inputs &amp; Assumptions'!$B$8/2,'I_Budget Input Data'!$D$36*0.4/('I_Inputs &amp; Assumptions'!$B$8/2),'I_Budget Input Data'!$D$36*0.6/('I_Inputs &amp; Assumptions'!$B$8/2)),IF('I_Budget Input Data'!$E$36="Mid-weighted",IF(36&lt;='I_Inputs &amp; Assumptions'!$B$8/4,'I_Budget Input Data'!$D$36*0.2/('I_Inputs &amp; Assumptions'!$B$8/4),IF(36&lt;='I_Inputs &amp; Assumptions'!$B$8*0.75,'I_Budget Input Data'!$D$36*0.6/('I_Inputs &amp; Assumptions'!$B$8/2),'I_Budget Input Data'!$D$36*0.2/('I_Inputs &amp; Assumptions'!$B$8/4))),IF('I_Budget Input Data'!$E$36="At Completion",IF(36='I_Inputs &amp; Assumptions'!$B$8,'I_Budget Input Data'!$D$36,0),'I_Budget Input Data'!$D$36/'I_Inputs &amp; Assumptions'!$B$8)))))),0)</f>
        <v>0</v>
      </c>
    </row>
    <row r="37" spans="1:38" ht="15" customHeight="1" x14ac:dyDescent="0.2">
      <c r="A37" t="s">
        <v>146</v>
      </c>
      <c r="B37" t="s">
        <v>158</v>
      </c>
      <c r="C37" s="91">
        <f>IF(1&lt;='I_Inputs &amp; Assumptions'!$B$8,IF('I_Budget Input Data'!$E$37="Upfront",IF(1=1,'I_Budget Input Data'!$D$37,0),IF('I_Budget Input Data'!$E$37="Equal",'I_Budget Input Data'!$D$37/'I_Inputs &amp; Assumptions'!$B$8,IF('I_Budget Input Data'!$E$37="Front-loaded",IF(1&lt;='I_Inputs &amp; Assumptions'!$B$8/2,'I_Budget Input Data'!$D$37*0.6/('I_Inputs &amp; Assumptions'!$B$8/2),'I_Budget Input Data'!$D$37*0.4/('I_Inputs &amp; Assumptions'!$B$8/2)),IF('I_Budget Input Data'!$E$37="Back-loaded",IF(1&lt;='I_Inputs &amp; Assumptions'!$B$8/2,'I_Budget Input Data'!$D$37*0.4/('I_Inputs &amp; Assumptions'!$B$8/2),'I_Budget Input Data'!$D$37*0.6/('I_Inputs &amp; Assumptions'!$B$8/2)),IF('I_Budget Input Data'!$E$37="Mid-weighted",IF(1&lt;='I_Inputs &amp; Assumptions'!$B$8/4,'I_Budget Input Data'!$D$37*0.2/('I_Inputs &amp; Assumptions'!$B$8/4),IF(1&lt;='I_Inputs &amp; Assumptions'!$B$8*0.75,'I_Budget Input Data'!$D$37*0.6/('I_Inputs &amp; Assumptions'!$B$8/2),'I_Budget Input Data'!$D$37*0.2/('I_Inputs &amp; Assumptions'!$B$8/4))),IF('I_Budget Input Data'!$E$37="At Completion",IF(1='I_Inputs &amp; Assumptions'!$B$8,'I_Budget Input Data'!$D$37,0),'I_Budget Input Data'!$D$37/'I_Inputs &amp; Assumptions'!$B$8)))))),0)</f>
        <v>846.15384615384619</v>
      </c>
      <c r="D37" s="91">
        <f>IF(2&lt;='I_Inputs &amp; Assumptions'!$B$8,IF('I_Budget Input Data'!$E$37="Upfront",IF(2=1,'I_Budget Input Data'!$D$37,0),IF('I_Budget Input Data'!$E$37="Equal",'I_Budget Input Data'!$D$37/'I_Inputs &amp; Assumptions'!$B$8,IF('I_Budget Input Data'!$E$37="Front-loaded",IF(2&lt;='I_Inputs &amp; Assumptions'!$B$8/2,'I_Budget Input Data'!$D$37*0.6/('I_Inputs &amp; Assumptions'!$B$8/2),'I_Budget Input Data'!$D$37*0.4/('I_Inputs &amp; Assumptions'!$B$8/2)),IF('I_Budget Input Data'!$E$37="Back-loaded",IF(2&lt;='I_Inputs &amp; Assumptions'!$B$8/2,'I_Budget Input Data'!$D$37*0.4/('I_Inputs &amp; Assumptions'!$B$8/2),'I_Budget Input Data'!$D$37*0.6/('I_Inputs &amp; Assumptions'!$B$8/2)),IF('I_Budget Input Data'!$E$37="Mid-weighted",IF(2&lt;='I_Inputs &amp; Assumptions'!$B$8/4,'I_Budget Input Data'!$D$37*0.2/('I_Inputs &amp; Assumptions'!$B$8/4),IF(2&lt;='I_Inputs &amp; Assumptions'!$B$8*0.75,'I_Budget Input Data'!$D$37*0.6/('I_Inputs &amp; Assumptions'!$B$8/2),'I_Budget Input Data'!$D$37*0.2/('I_Inputs &amp; Assumptions'!$B$8/4))),IF('I_Budget Input Data'!$E$37="At Completion",IF(2='I_Inputs &amp; Assumptions'!$B$8,'I_Budget Input Data'!$D$37,0),'I_Budget Input Data'!$D$37/'I_Inputs &amp; Assumptions'!$B$8)))))),0)</f>
        <v>846.15384615384619</v>
      </c>
      <c r="E37" s="91">
        <f>IF(3&lt;='I_Inputs &amp; Assumptions'!$B$8,IF('I_Budget Input Data'!$E$37="Upfront",IF(3=1,'I_Budget Input Data'!$D$37,0),IF('I_Budget Input Data'!$E$37="Equal",'I_Budget Input Data'!$D$37/'I_Inputs &amp; Assumptions'!$B$8,IF('I_Budget Input Data'!$E$37="Front-loaded",IF(3&lt;='I_Inputs &amp; Assumptions'!$B$8/2,'I_Budget Input Data'!$D$37*0.6/('I_Inputs &amp; Assumptions'!$B$8/2),'I_Budget Input Data'!$D$37*0.4/('I_Inputs &amp; Assumptions'!$B$8/2)),IF('I_Budget Input Data'!$E$37="Back-loaded",IF(3&lt;='I_Inputs &amp; Assumptions'!$B$8/2,'I_Budget Input Data'!$D$37*0.4/('I_Inputs &amp; Assumptions'!$B$8/2),'I_Budget Input Data'!$D$37*0.6/('I_Inputs &amp; Assumptions'!$B$8/2)),IF('I_Budget Input Data'!$E$37="Mid-weighted",IF(3&lt;='I_Inputs &amp; Assumptions'!$B$8/4,'I_Budget Input Data'!$D$37*0.2/('I_Inputs &amp; Assumptions'!$B$8/4),IF(3&lt;='I_Inputs &amp; Assumptions'!$B$8*0.75,'I_Budget Input Data'!$D$37*0.6/('I_Inputs &amp; Assumptions'!$B$8/2),'I_Budget Input Data'!$D$37*0.2/('I_Inputs &amp; Assumptions'!$B$8/4))),IF('I_Budget Input Data'!$E$37="At Completion",IF(3='I_Inputs &amp; Assumptions'!$B$8,'I_Budget Input Data'!$D$37,0),'I_Budget Input Data'!$D$37/'I_Inputs &amp; Assumptions'!$B$8)))))),0)</f>
        <v>846.15384615384619</v>
      </c>
      <c r="F37" s="91">
        <f>IF(4&lt;='I_Inputs &amp; Assumptions'!$B$8,IF('I_Budget Input Data'!$E$37="Upfront",IF(4=1,'I_Budget Input Data'!$D$37,0),IF('I_Budget Input Data'!$E$37="Equal",'I_Budget Input Data'!$D$37/'I_Inputs &amp; Assumptions'!$B$8,IF('I_Budget Input Data'!$E$37="Front-loaded",IF(4&lt;='I_Inputs &amp; Assumptions'!$B$8/2,'I_Budget Input Data'!$D$37*0.6/('I_Inputs &amp; Assumptions'!$B$8/2),'I_Budget Input Data'!$D$37*0.4/('I_Inputs &amp; Assumptions'!$B$8/2)),IF('I_Budget Input Data'!$E$37="Back-loaded",IF(4&lt;='I_Inputs &amp; Assumptions'!$B$8/2,'I_Budget Input Data'!$D$37*0.4/('I_Inputs &amp; Assumptions'!$B$8/2),'I_Budget Input Data'!$D$37*0.6/('I_Inputs &amp; Assumptions'!$B$8/2)),IF('I_Budget Input Data'!$E$37="Mid-weighted",IF(4&lt;='I_Inputs &amp; Assumptions'!$B$8/4,'I_Budget Input Data'!$D$37*0.2/('I_Inputs &amp; Assumptions'!$B$8/4),IF(4&lt;='I_Inputs &amp; Assumptions'!$B$8*0.75,'I_Budget Input Data'!$D$37*0.6/('I_Inputs &amp; Assumptions'!$B$8/2),'I_Budget Input Data'!$D$37*0.2/('I_Inputs &amp; Assumptions'!$B$8/4))),IF('I_Budget Input Data'!$E$37="At Completion",IF(4='I_Inputs &amp; Assumptions'!$B$8,'I_Budget Input Data'!$D$37,0),'I_Budget Input Data'!$D$37/'I_Inputs &amp; Assumptions'!$B$8)))))),0)</f>
        <v>846.15384615384619</v>
      </c>
      <c r="G37" s="91">
        <f>IF(5&lt;='I_Inputs &amp; Assumptions'!$B$8,IF('I_Budget Input Data'!$E$37="Upfront",IF(5=1,'I_Budget Input Data'!$D$37,0),IF('I_Budget Input Data'!$E$37="Equal",'I_Budget Input Data'!$D$37/'I_Inputs &amp; Assumptions'!$B$8,IF('I_Budget Input Data'!$E$37="Front-loaded",IF(5&lt;='I_Inputs &amp; Assumptions'!$B$8/2,'I_Budget Input Data'!$D$37*0.6/('I_Inputs &amp; Assumptions'!$B$8/2),'I_Budget Input Data'!$D$37*0.4/('I_Inputs &amp; Assumptions'!$B$8/2)),IF('I_Budget Input Data'!$E$37="Back-loaded",IF(5&lt;='I_Inputs &amp; Assumptions'!$B$8/2,'I_Budget Input Data'!$D$37*0.4/('I_Inputs &amp; Assumptions'!$B$8/2),'I_Budget Input Data'!$D$37*0.6/('I_Inputs &amp; Assumptions'!$B$8/2)),IF('I_Budget Input Data'!$E$37="Mid-weighted",IF(5&lt;='I_Inputs &amp; Assumptions'!$B$8/4,'I_Budget Input Data'!$D$37*0.2/('I_Inputs &amp; Assumptions'!$B$8/4),IF(5&lt;='I_Inputs &amp; Assumptions'!$B$8*0.75,'I_Budget Input Data'!$D$37*0.6/('I_Inputs &amp; Assumptions'!$B$8/2),'I_Budget Input Data'!$D$37*0.2/('I_Inputs &amp; Assumptions'!$B$8/4))),IF('I_Budget Input Data'!$E$37="At Completion",IF(5='I_Inputs &amp; Assumptions'!$B$8,'I_Budget Input Data'!$D$37,0),'I_Budget Input Data'!$D$37/'I_Inputs &amp; Assumptions'!$B$8)))))),0)</f>
        <v>846.15384615384619</v>
      </c>
      <c r="H37" s="91">
        <f>IF(6&lt;='I_Inputs &amp; Assumptions'!$B$8,IF('I_Budget Input Data'!$E$37="Upfront",IF(6=1,'I_Budget Input Data'!$D$37,0),IF('I_Budget Input Data'!$E$37="Equal",'I_Budget Input Data'!$D$37/'I_Inputs &amp; Assumptions'!$B$8,IF('I_Budget Input Data'!$E$37="Front-loaded",IF(6&lt;='I_Inputs &amp; Assumptions'!$B$8/2,'I_Budget Input Data'!$D$37*0.6/('I_Inputs &amp; Assumptions'!$B$8/2),'I_Budget Input Data'!$D$37*0.4/('I_Inputs &amp; Assumptions'!$B$8/2)),IF('I_Budget Input Data'!$E$37="Back-loaded",IF(6&lt;='I_Inputs &amp; Assumptions'!$B$8/2,'I_Budget Input Data'!$D$37*0.4/('I_Inputs &amp; Assumptions'!$B$8/2),'I_Budget Input Data'!$D$37*0.6/('I_Inputs &amp; Assumptions'!$B$8/2)),IF('I_Budget Input Data'!$E$37="Mid-weighted",IF(6&lt;='I_Inputs &amp; Assumptions'!$B$8/4,'I_Budget Input Data'!$D$37*0.2/('I_Inputs &amp; Assumptions'!$B$8/4),IF(6&lt;='I_Inputs &amp; Assumptions'!$B$8*0.75,'I_Budget Input Data'!$D$37*0.6/('I_Inputs &amp; Assumptions'!$B$8/2),'I_Budget Input Data'!$D$37*0.2/('I_Inputs &amp; Assumptions'!$B$8/4))),IF('I_Budget Input Data'!$E$37="At Completion",IF(6='I_Inputs &amp; Assumptions'!$B$8,'I_Budget Input Data'!$D$37,0),'I_Budget Input Data'!$D$37/'I_Inputs &amp; Assumptions'!$B$8)))))),0)</f>
        <v>846.15384615384619</v>
      </c>
      <c r="I37" s="91">
        <f>IF(7&lt;='I_Inputs &amp; Assumptions'!$B$8,IF('I_Budget Input Data'!$E$37="Upfront",IF(7=1,'I_Budget Input Data'!$D$37,0),IF('I_Budget Input Data'!$E$37="Equal",'I_Budget Input Data'!$D$37/'I_Inputs &amp; Assumptions'!$B$8,IF('I_Budget Input Data'!$E$37="Front-loaded",IF(7&lt;='I_Inputs &amp; Assumptions'!$B$8/2,'I_Budget Input Data'!$D$37*0.6/('I_Inputs &amp; Assumptions'!$B$8/2),'I_Budget Input Data'!$D$37*0.4/('I_Inputs &amp; Assumptions'!$B$8/2)),IF('I_Budget Input Data'!$E$37="Back-loaded",IF(7&lt;='I_Inputs &amp; Assumptions'!$B$8/2,'I_Budget Input Data'!$D$37*0.4/('I_Inputs &amp; Assumptions'!$B$8/2),'I_Budget Input Data'!$D$37*0.6/('I_Inputs &amp; Assumptions'!$B$8/2)),IF('I_Budget Input Data'!$E$37="Mid-weighted",IF(7&lt;='I_Inputs &amp; Assumptions'!$B$8/4,'I_Budget Input Data'!$D$37*0.2/('I_Inputs &amp; Assumptions'!$B$8/4),IF(7&lt;='I_Inputs &amp; Assumptions'!$B$8*0.75,'I_Budget Input Data'!$D$37*0.6/('I_Inputs &amp; Assumptions'!$B$8/2),'I_Budget Input Data'!$D$37*0.2/('I_Inputs &amp; Assumptions'!$B$8/4))),IF('I_Budget Input Data'!$E$37="At Completion",IF(7='I_Inputs &amp; Assumptions'!$B$8,'I_Budget Input Data'!$D$37,0),'I_Budget Input Data'!$D$37/'I_Inputs &amp; Assumptions'!$B$8)))))),0)</f>
        <v>846.15384615384619</v>
      </c>
      <c r="J37" s="91">
        <f>IF(8&lt;='I_Inputs &amp; Assumptions'!$B$8,IF('I_Budget Input Data'!$E$37="Upfront",IF(8=1,'I_Budget Input Data'!$D$37,0),IF('I_Budget Input Data'!$E$37="Equal",'I_Budget Input Data'!$D$37/'I_Inputs &amp; Assumptions'!$B$8,IF('I_Budget Input Data'!$E$37="Front-loaded",IF(8&lt;='I_Inputs &amp; Assumptions'!$B$8/2,'I_Budget Input Data'!$D$37*0.6/('I_Inputs &amp; Assumptions'!$B$8/2),'I_Budget Input Data'!$D$37*0.4/('I_Inputs &amp; Assumptions'!$B$8/2)),IF('I_Budget Input Data'!$E$37="Back-loaded",IF(8&lt;='I_Inputs &amp; Assumptions'!$B$8/2,'I_Budget Input Data'!$D$37*0.4/('I_Inputs &amp; Assumptions'!$B$8/2),'I_Budget Input Data'!$D$37*0.6/('I_Inputs &amp; Assumptions'!$B$8/2)),IF('I_Budget Input Data'!$E$37="Mid-weighted",IF(8&lt;='I_Inputs &amp; Assumptions'!$B$8/4,'I_Budget Input Data'!$D$37*0.2/('I_Inputs &amp; Assumptions'!$B$8/4),IF(8&lt;='I_Inputs &amp; Assumptions'!$B$8*0.75,'I_Budget Input Data'!$D$37*0.6/('I_Inputs &amp; Assumptions'!$B$8/2),'I_Budget Input Data'!$D$37*0.2/('I_Inputs &amp; Assumptions'!$B$8/4))),IF('I_Budget Input Data'!$E$37="At Completion",IF(8='I_Inputs &amp; Assumptions'!$B$8,'I_Budget Input Data'!$D$37,0),'I_Budget Input Data'!$D$37/'I_Inputs &amp; Assumptions'!$B$8)))))),0)</f>
        <v>846.15384615384619</v>
      </c>
      <c r="K37" s="91">
        <f>IF(9&lt;='I_Inputs &amp; Assumptions'!$B$8,IF('I_Budget Input Data'!$E$37="Upfront",IF(9=1,'I_Budget Input Data'!$D$37,0),IF('I_Budget Input Data'!$E$37="Equal",'I_Budget Input Data'!$D$37/'I_Inputs &amp; Assumptions'!$B$8,IF('I_Budget Input Data'!$E$37="Front-loaded",IF(9&lt;='I_Inputs &amp; Assumptions'!$B$8/2,'I_Budget Input Data'!$D$37*0.6/('I_Inputs &amp; Assumptions'!$B$8/2),'I_Budget Input Data'!$D$37*0.4/('I_Inputs &amp; Assumptions'!$B$8/2)),IF('I_Budget Input Data'!$E$37="Back-loaded",IF(9&lt;='I_Inputs &amp; Assumptions'!$B$8/2,'I_Budget Input Data'!$D$37*0.4/('I_Inputs &amp; Assumptions'!$B$8/2),'I_Budget Input Data'!$D$37*0.6/('I_Inputs &amp; Assumptions'!$B$8/2)),IF('I_Budget Input Data'!$E$37="Mid-weighted",IF(9&lt;='I_Inputs &amp; Assumptions'!$B$8/4,'I_Budget Input Data'!$D$37*0.2/('I_Inputs &amp; Assumptions'!$B$8/4),IF(9&lt;='I_Inputs &amp; Assumptions'!$B$8*0.75,'I_Budget Input Data'!$D$37*0.6/('I_Inputs &amp; Assumptions'!$B$8/2),'I_Budget Input Data'!$D$37*0.2/('I_Inputs &amp; Assumptions'!$B$8/4))),IF('I_Budget Input Data'!$E$37="At Completion",IF(9='I_Inputs &amp; Assumptions'!$B$8,'I_Budget Input Data'!$D$37,0),'I_Budget Input Data'!$D$37/'I_Inputs &amp; Assumptions'!$B$8)))))),0)</f>
        <v>846.15384615384619</v>
      </c>
      <c r="L37" s="91">
        <f>IF(10&lt;='I_Inputs &amp; Assumptions'!$B$8,IF('I_Budget Input Data'!$E$37="Upfront",IF(10=1,'I_Budget Input Data'!$D$37,0),IF('I_Budget Input Data'!$E$37="Equal",'I_Budget Input Data'!$D$37/'I_Inputs &amp; Assumptions'!$B$8,IF('I_Budget Input Data'!$E$37="Front-loaded",IF(10&lt;='I_Inputs &amp; Assumptions'!$B$8/2,'I_Budget Input Data'!$D$37*0.6/('I_Inputs &amp; Assumptions'!$B$8/2),'I_Budget Input Data'!$D$37*0.4/('I_Inputs &amp; Assumptions'!$B$8/2)),IF('I_Budget Input Data'!$E$37="Back-loaded",IF(10&lt;='I_Inputs &amp; Assumptions'!$B$8/2,'I_Budget Input Data'!$D$37*0.4/('I_Inputs &amp; Assumptions'!$B$8/2),'I_Budget Input Data'!$D$37*0.6/('I_Inputs &amp; Assumptions'!$B$8/2)),IF('I_Budget Input Data'!$E$37="Mid-weighted",IF(10&lt;='I_Inputs &amp; Assumptions'!$B$8/4,'I_Budget Input Data'!$D$37*0.2/('I_Inputs &amp; Assumptions'!$B$8/4),IF(10&lt;='I_Inputs &amp; Assumptions'!$B$8*0.75,'I_Budget Input Data'!$D$37*0.6/('I_Inputs &amp; Assumptions'!$B$8/2),'I_Budget Input Data'!$D$37*0.2/('I_Inputs &amp; Assumptions'!$B$8/4))),IF('I_Budget Input Data'!$E$37="At Completion",IF(10='I_Inputs &amp; Assumptions'!$B$8,'I_Budget Input Data'!$D$37,0),'I_Budget Input Data'!$D$37/'I_Inputs &amp; Assumptions'!$B$8)))))),0)</f>
        <v>846.15384615384619</v>
      </c>
      <c r="M37" s="91">
        <f>IF(11&lt;='I_Inputs &amp; Assumptions'!$B$8,IF('I_Budget Input Data'!$E$37="Upfront",IF(11=1,'I_Budget Input Data'!$D$37,0),IF('I_Budget Input Data'!$E$37="Equal",'I_Budget Input Data'!$D$37/'I_Inputs &amp; Assumptions'!$B$8,IF('I_Budget Input Data'!$E$37="Front-loaded",IF(11&lt;='I_Inputs &amp; Assumptions'!$B$8/2,'I_Budget Input Data'!$D$37*0.6/('I_Inputs &amp; Assumptions'!$B$8/2),'I_Budget Input Data'!$D$37*0.4/('I_Inputs &amp; Assumptions'!$B$8/2)),IF('I_Budget Input Data'!$E$37="Back-loaded",IF(11&lt;='I_Inputs &amp; Assumptions'!$B$8/2,'I_Budget Input Data'!$D$37*0.4/('I_Inputs &amp; Assumptions'!$B$8/2),'I_Budget Input Data'!$D$37*0.6/('I_Inputs &amp; Assumptions'!$B$8/2)),IF('I_Budget Input Data'!$E$37="Mid-weighted",IF(11&lt;='I_Inputs &amp; Assumptions'!$B$8/4,'I_Budget Input Data'!$D$37*0.2/('I_Inputs &amp; Assumptions'!$B$8/4),IF(11&lt;='I_Inputs &amp; Assumptions'!$B$8*0.75,'I_Budget Input Data'!$D$37*0.6/('I_Inputs &amp; Assumptions'!$B$8/2),'I_Budget Input Data'!$D$37*0.2/('I_Inputs &amp; Assumptions'!$B$8/4))),IF('I_Budget Input Data'!$E$37="At Completion",IF(11='I_Inputs &amp; Assumptions'!$B$8,'I_Budget Input Data'!$D$37,0),'I_Budget Input Data'!$D$37/'I_Inputs &amp; Assumptions'!$B$8)))))),0)</f>
        <v>846.15384615384619</v>
      </c>
      <c r="N37" s="91">
        <f>IF(12&lt;='I_Inputs &amp; Assumptions'!$B$8,IF('I_Budget Input Data'!$E$37="Upfront",IF(12=1,'I_Budget Input Data'!$D$37,0),IF('I_Budget Input Data'!$E$37="Equal",'I_Budget Input Data'!$D$37/'I_Inputs &amp; Assumptions'!$B$8,IF('I_Budget Input Data'!$E$37="Front-loaded",IF(12&lt;='I_Inputs &amp; Assumptions'!$B$8/2,'I_Budget Input Data'!$D$37*0.6/('I_Inputs &amp; Assumptions'!$B$8/2),'I_Budget Input Data'!$D$37*0.4/('I_Inputs &amp; Assumptions'!$B$8/2)),IF('I_Budget Input Data'!$E$37="Back-loaded",IF(12&lt;='I_Inputs &amp; Assumptions'!$B$8/2,'I_Budget Input Data'!$D$37*0.4/('I_Inputs &amp; Assumptions'!$B$8/2),'I_Budget Input Data'!$D$37*0.6/('I_Inputs &amp; Assumptions'!$B$8/2)),IF('I_Budget Input Data'!$E$37="Mid-weighted",IF(12&lt;='I_Inputs &amp; Assumptions'!$B$8/4,'I_Budget Input Data'!$D$37*0.2/('I_Inputs &amp; Assumptions'!$B$8/4),IF(12&lt;='I_Inputs &amp; Assumptions'!$B$8*0.75,'I_Budget Input Data'!$D$37*0.6/('I_Inputs &amp; Assumptions'!$B$8/2),'I_Budget Input Data'!$D$37*0.2/('I_Inputs &amp; Assumptions'!$B$8/4))),IF('I_Budget Input Data'!$E$37="At Completion",IF(12='I_Inputs &amp; Assumptions'!$B$8,'I_Budget Input Data'!$D$37,0),'I_Budget Input Data'!$D$37/'I_Inputs &amp; Assumptions'!$B$8)))))),0)</f>
        <v>846.15384615384619</v>
      </c>
      <c r="O37" s="91">
        <f>IF(13&lt;='I_Inputs &amp; Assumptions'!$B$8,IF('I_Budget Input Data'!$E$37="Upfront",IF(13=1,'I_Budget Input Data'!$D$37,0),IF('I_Budget Input Data'!$E$37="Equal",'I_Budget Input Data'!$D$37/'I_Inputs &amp; Assumptions'!$B$8,IF('I_Budget Input Data'!$E$37="Front-loaded",IF(13&lt;='I_Inputs &amp; Assumptions'!$B$8/2,'I_Budget Input Data'!$D$37*0.6/('I_Inputs &amp; Assumptions'!$B$8/2),'I_Budget Input Data'!$D$37*0.4/('I_Inputs &amp; Assumptions'!$B$8/2)),IF('I_Budget Input Data'!$E$37="Back-loaded",IF(13&lt;='I_Inputs &amp; Assumptions'!$B$8/2,'I_Budget Input Data'!$D$37*0.4/('I_Inputs &amp; Assumptions'!$B$8/2),'I_Budget Input Data'!$D$37*0.6/('I_Inputs &amp; Assumptions'!$B$8/2)),IF('I_Budget Input Data'!$E$37="Mid-weighted",IF(13&lt;='I_Inputs &amp; Assumptions'!$B$8/4,'I_Budget Input Data'!$D$37*0.2/('I_Inputs &amp; Assumptions'!$B$8/4),IF(13&lt;='I_Inputs &amp; Assumptions'!$B$8*0.75,'I_Budget Input Data'!$D$37*0.6/('I_Inputs &amp; Assumptions'!$B$8/2),'I_Budget Input Data'!$D$37*0.2/('I_Inputs &amp; Assumptions'!$B$8/4))),IF('I_Budget Input Data'!$E$37="At Completion",IF(13='I_Inputs &amp; Assumptions'!$B$8,'I_Budget Input Data'!$D$37,0),'I_Budget Input Data'!$D$37/'I_Inputs &amp; Assumptions'!$B$8)))))),0)</f>
        <v>846.15384615384619</v>
      </c>
      <c r="P37" s="91">
        <f>IF(14&lt;='I_Inputs &amp; Assumptions'!$B$8,IF('I_Budget Input Data'!$E$37="Upfront",IF(14=1,'I_Budget Input Data'!$D$37,0),IF('I_Budget Input Data'!$E$37="Equal",'I_Budget Input Data'!$D$37/'I_Inputs &amp; Assumptions'!$B$8,IF('I_Budget Input Data'!$E$37="Front-loaded",IF(14&lt;='I_Inputs &amp; Assumptions'!$B$8/2,'I_Budget Input Data'!$D$37*0.6/('I_Inputs &amp; Assumptions'!$B$8/2),'I_Budget Input Data'!$D$37*0.4/('I_Inputs &amp; Assumptions'!$B$8/2)),IF('I_Budget Input Data'!$E$37="Back-loaded",IF(14&lt;='I_Inputs &amp; Assumptions'!$B$8/2,'I_Budget Input Data'!$D$37*0.4/('I_Inputs &amp; Assumptions'!$B$8/2),'I_Budget Input Data'!$D$37*0.6/('I_Inputs &amp; Assumptions'!$B$8/2)),IF('I_Budget Input Data'!$E$37="Mid-weighted",IF(14&lt;='I_Inputs &amp; Assumptions'!$B$8/4,'I_Budget Input Data'!$D$37*0.2/('I_Inputs &amp; Assumptions'!$B$8/4),IF(14&lt;='I_Inputs &amp; Assumptions'!$B$8*0.75,'I_Budget Input Data'!$D$37*0.6/('I_Inputs &amp; Assumptions'!$B$8/2),'I_Budget Input Data'!$D$37*0.2/('I_Inputs &amp; Assumptions'!$B$8/4))),IF('I_Budget Input Data'!$E$37="At Completion",IF(14='I_Inputs &amp; Assumptions'!$B$8,'I_Budget Input Data'!$D$37,0),'I_Budget Input Data'!$D$37/'I_Inputs &amp; Assumptions'!$B$8)))))),0)</f>
        <v>0</v>
      </c>
      <c r="Q37" s="91">
        <f>IF(15&lt;='I_Inputs &amp; Assumptions'!$B$8,IF('I_Budget Input Data'!$E$37="Upfront",IF(15=1,'I_Budget Input Data'!$D$37,0),IF('I_Budget Input Data'!$E$37="Equal",'I_Budget Input Data'!$D$37/'I_Inputs &amp; Assumptions'!$B$8,IF('I_Budget Input Data'!$E$37="Front-loaded",IF(15&lt;='I_Inputs &amp; Assumptions'!$B$8/2,'I_Budget Input Data'!$D$37*0.6/('I_Inputs &amp; Assumptions'!$B$8/2),'I_Budget Input Data'!$D$37*0.4/('I_Inputs &amp; Assumptions'!$B$8/2)),IF('I_Budget Input Data'!$E$37="Back-loaded",IF(15&lt;='I_Inputs &amp; Assumptions'!$B$8/2,'I_Budget Input Data'!$D$37*0.4/('I_Inputs &amp; Assumptions'!$B$8/2),'I_Budget Input Data'!$D$37*0.6/('I_Inputs &amp; Assumptions'!$B$8/2)),IF('I_Budget Input Data'!$E$37="Mid-weighted",IF(15&lt;='I_Inputs &amp; Assumptions'!$B$8/4,'I_Budget Input Data'!$D$37*0.2/('I_Inputs &amp; Assumptions'!$B$8/4),IF(15&lt;='I_Inputs &amp; Assumptions'!$B$8*0.75,'I_Budget Input Data'!$D$37*0.6/('I_Inputs &amp; Assumptions'!$B$8/2),'I_Budget Input Data'!$D$37*0.2/('I_Inputs &amp; Assumptions'!$B$8/4))),IF('I_Budget Input Data'!$E$37="At Completion",IF(15='I_Inputs &amp; Assumptions'!$B$8,'I_Budget Input Data'!$D$37,0),'I_Budget Input Data'!$D$37/'I_Inputs &amp; Assumptions'!$B$8)))))),0)</f>
        <v>0</v>
      </c>
      <c r="R37" s="91">
        <f>IF(16&lt;='I_Inputs &amp; Assumptions'!$B$8,IF('I_Budget Input Data'!$E$37="Upfront",IF(16=1,'I_Budget Input Data'!$D$37,0),IF('I_Budget Input Data'!$E$37="Equal",'I_Budget Input Data'!$D$37/'I_Inputs &amp; Assumptions'!$B$8,IF('I_Budget Input Data'!$E$37="Front-loaded",IF(16&lt;='I_Inputs &amp; Assumptions'!$B$8/2,'I_Budget Input Data'!$D$37*0.6/('I_Inputs &amp; Assumptions'!$B$8/2),'I_Budget Input Data'!$D$37*0.4/('I_Inputs &amp; Assumptions'!$B$8/2)),IF('I_Budget Input Data'!$E$37="Back-loaded",IF(16&lt;='I_Inputs &amp; Assumptions'!$B$8/2,'I_Budget Input Data'!$D$37*0.4/('I_Inputs &amp; Assumptions'!$B$8/2),'I_Budget Input Data'!$D$37*0.6/('I_Inputs &amp; Assumptions'!$B$8/2)),IF('I_Budget Input Data'!$E$37="Mid-weighted",IF(16&lt;='I_Inputs &amp; Assumptions'!$B$8/4,'I_Budget Input Data'!$D$37*0.2/('I_Inputs &amp; Assumptions'!$B$8/4),IF(16&lt;='I_Inputs &amp; Assumptions'!$B$8*0.75,'I_Budget Input Data'!$D$37*0.6/('I_Inputs &amp; Assumptions'!$B$8/2),'I_Budget Input Data'!$D$37*0.2/('I_Inputs &amp; Assumptions'!$B$8/4))),IF('I_Budget Input Data'!$E$37="At Completion",IF(16='I_Inputs &amp; Assumptions'!$B$8,'I_Budget Input Data'!$D$37,0),'I_Budget Input Data'!$D$37/'I_Inputs &amp; Assumptions'!$B$8)))))),0)</f>
        <v>0</v>
      </c>
      <c r="S37" s="91">
        <f>IF(17&lt;='I_Inputs &amp; Assumptions'!$B$8,IF('I_Budget Input Data'!$E$37="Upfront",IF(17=1,'I_Budget Input Data'!$D$37,0),IF('I_Budget Input Data'!$E$37="Equal",'I_Budget Input Data'!$D$37/'I_Inputs &amp; Assumptions'!$B$8,IF('I_Budget Input Data'!$E$37="Front-loaded",IF(17&lt;='I_Inputs &amp; Assumptions'!$B$8/2,'I_Budget Input Data'!$D$37*0.6/('I_Inputs &amp; Assumptions'!$B$8/2),'I_Budget Input Data'!$D$37*0.4/('I_Inputs &amp; Assumptions'!$B$8/2)),IF('I_Budget Input Data'!$E$37="Back-loaded",IF(17&lt;='I_Inputs &amp; Assumptions'!$B$8/2,'I_Budget Input Data'!$D$37*0.4/('I_Inputs &amp; Assumptions'!$B$8/2),'I_Budget Input Data'!$D$37*0.6/('I_Inputs &amp; Assumptions'!$B$8/2)),IF('I_Budget Input Data'!$E$37="Mid-weighted",IF(17&lt;='I_Inputs &amp; Assumptions'!$B$8/4,'I_Budget Input Data'!$D$37*0.2/('I_Inputs &amp; Assumptions'!$B$8/4),IF(17&lt;='I_Inputs &amp; Assumptions'!$B$8*0.75,'I_Budget Input Data'!$D$37*0.6/('I_Inputs &amp; Assumptions'!$B$8/2),'I_Budget Input Data'!$D$37*0.2/('I_Inputs &amp; Assumptions'!$B$8/4))),IF('I_Budget Input Data'!$E$37="At Completion",IF(17='I_Inputs &amp; Assumptions'!$B$8,'I_Budget Input Data'!$D$37,0),'I_Budget Input Data'!$D$37/'I_Inputs &amp; Assumptions'!$B$8)))))),0)</f>
        <v>0</v>
      </c>
      <c r="T37" s="91">
        <f>IF(18&lt;='I_Inputs &amp; Assumptions'!$B$8,IF('I_Budget Input Data'!$E$37="Upfront",IF(18=1,'I_Budget Input Data'!$D$37,0),IF('I_Budget Input Data'!$E$37="Equal",'I_Budget Input Data'!$D$37/'I_Inputs &amp; Assumptions'!$B$8,IF('I_Budget Input Data'!$E$37="Front-loaded",IF(18&lt;='I_Inputs &amp; Assumptions'!$B$8/2,'I_Budget Input Data'!$D$37*0.6/('I_Inputs &amp; Assumptions'!$B$8/2),'I_Budget Input Data'!$D$37*0.4/('I_Inputs &amp; Assumptions'!$B$8/2)),IF('I_Budget Input Data'!$E$37="Back-loaded",IF(18&lt;='I_Inputs &amp; Assumptions'!$B$8/2,'I_Budget Input Data'!$D$37*0.4/('I_Inputs &amp; Assumptions'!$B$8/2),'I_Budget Input Data'!$D$37*0.6/('I_Inputs &amp; Assumptions'!$B$8/2)),IF('I_Budget Input Data'!$E$37="Mid-weighted",IF(18&lt;='I_Inputs &amp; Assumptions'!$B$8/4,'I_Budget Input Data'!$D$37*0.2/('I_Inputs &amp; Assumptions'!$B$8/4),IF(18&lt;='I_Inputs &amp; Assumptions'!$B$8*0.75,'I_Budget Input Data'!$D$37*0.6/('I_Inputs &amp; Assumptions'!$B$8/2),'I_Budget Input Data'!$D$37*0.2/('I_Inputs &amp; Assumptions'!$B$8/4))),IF('I_Budget Input Data'!$E$37="At Completion",IF(18='I_Inputs &amp; Assumptions'!$B$8,'I_Budget Input Data'!$D$37,0),'I_Budget Input Data'!$D$37/'I_Inputs &amp; Assumptions'!$B$8)))))),0)</f>
        <v>0</v>
      </c>
      <c r="U37" s="91">
        <f>IF(19&lt;='I_Inputs &amp; Assumptions'!$B$8,IF('I_Budget Input Data'!$E$37="Upfront",IF(19=1,'I_Budget Input Data'!$D$37,0),IF('I_Budget Input Data'!$E$37="Equal",'I_Budget Input Data'!$D$37/'I_Inputs &amp; Assumptions'!$B$8,IF('I_Budget Input Data'!$E$37="Front-loaded",IF(19&lt;='I_Inputs &amp; Assumptions'!$B$8/2,'I_Budget Input Data'!$D$37*0.6/('I_Inputs &amp; Assumptions'!$B$8/2),'I_Budget Input Data'!$D$37*0.4/('I_Inputs &amp; Assumptions'!$B$8/2)),IF('I_Budget Input Data'!$E$37="Back-loaded",IF(19&lt;='I_Inputs &amp; Assumptions'!$B$8/2,'I_Budget Input Data'!$D$37*0.4/('I_Inputs &amp; Assumptions'!$B$8/2),'I_Budget Input Data'!$D$37*0.6/('I_Inputs &amp; Assumptions'!$B$8/2)),IF('I_Budget Input Data'!$E$37="Mid-weighted",IF(19&lt;='I_Inputs &amp; Assumptions'!$B$8/4,'I_Budget Input Data'!$D$37*0.2/('I_Inputs &amp; Assumptions'!$B$8/4),IF(19&lt;='I_Inputs &amp; Assumptions'!$B$8*0.75,'I_Budget Input Data'!$D$37*0.6/('I_Inputs &amp; Assumptions'!$B$8/2),'I_Budget Input Data'!$D$37*0.2/('I_Inputs &amp; Assumptions'!$B$8/4))),IF('I_Budget Input Data'!$E$37="At Completion",IF(19='I_Inputs &amp; Assumptions'!$B$8,'I_Budget Input Data'!$D$37,0),'I_Budget Input Data'!$D$37/'I_Inputs &amp; Assumptions'!$B$8)))))),0)</f>
        <v>0</v>
      </c>
      <c r="V37" s="91">
        <f>IF(20&lt;='I_Inputs &amp; Assumptions'!$B$8,IF('I_Budget Input Data'!$E$37="Upfront",IF(20=1,'I_Budget Input Data'!$D$37,0),IF('I_Budget Input Data'!$E$37="Equal",'I_Budget Input Data'!$D$37/'I_Inputs &amp; Assumptions'!$B$8,IF('I_Budget Input Data'!$E$37="Front-loaded",IF(20&lt;='I_Inputs &amp; Assumptions'!$B$8/2,'I_Budget Input Data'!$D$37*0.6/('I_Inputs &amp; Assumptions'!$B$8/2),'I_Budget Input Data'!$D$37*0.4/('I_Inputs &amp; Assumptions'!$B$8/2)),IF('I_Budget Input Data'!$E$37="Back-loaded",IF(20&lt;='I_Inputs &amp; Assumptions'!$B$8/2,'I_Budget Input Data'!$D$37*0.4/('I_Inputs &amp; Assumptions'!$B$8/2),'I_Budget Input Data'!$D$37*0.6/('I_Inputs &amp; Assumptions'!$B$8/2)),IF('I_Budget Input Data'!$E$37="Mid-weighted",IF(20&lt;='I_Inputs &amp; Assumptions'!$B$8/4,'I_Budget Input Data'!$D$37*0.2/('I_Inputs &amp; Assumptions'!$B$8/4),IF(20&lt;='I_Inputs &amp; Assumptions'!$B$8*0.75,'I_Budget Input Data'!$D$37*0.6/('I_Inputs &amp; Assumptions'!$B$8/2),'I_Budget Input Data'!$D$37*0.2/('I_Inputs &amp; Assumptions'!$B$8/4))),IF('I_Budget Input Data'!$E$37="At Completion",IF(20='I_Inputs &amp; Assumptions'!$B$8,'I_Budget Input Data'!$D$37,0),'I_Budget Input Data'!$D$37/'I_Inputs &amp; Assumptions'!$B$8)))))),0)</f>
        <v>0</v>
      </c>
      <c r="W37" s="91">
        <f>IF(21&lt;='I_Inputs &amp; Assumptions'!$B$8,IF('I_Budget Input Data'!$E$37="Upfront",IF(21=1,'I_Budget Input Data'!$D$37,0),IF('I_Budget Input Data'!$E$37="Equal",'I_Budget Input Data'!$D$37/'I_Inputs &amp; Assumptions'!$B$8,IF('I_Budget Input Data'!$E$37="Front-loaded",IF(21&lt;='I_Inputs &amp; Assumptions'!$B$8/2,'I_Budget Input Data'!$D$37*0.6/('I_Inputs &amp; Assumptions'!$B$8/2),'I_Budget Input Data'!$D$37*0.4/('I_Inputs &amp; Assumptions'!$B$8/2)),IF('I_Budget Input Data'!$E$37="Back-loaded",IF(21&lt;='I_Inputs &amp; Assumptions'!$B$8/2,'I_Budget Input Data'!$D$37*0.4/('I_Inputs &amp; Assumptions'!$B$8/2),'I_Budget Input Data'!$D$37*0.6/('I_Inputs &amp; Assumptions'!$B$8/2)),IF('I_Budget Input Data'!$E$37="Mid-weighted",IF(21&lt;='I_Inputs &amp; Assumptions'!$B$8/4,'I_Budget Input Data'!$D$37*0.2/('I_Inputs &amp; Assumptions'!$B$8/4),IF(21&lt;='I_Inputs &amp; Assumptions'!$B$8*0.75,'I_Budget Input Data'!$D$37*0.6/('I_Inputs &amp; Assumptions'!$B$8/2),'I_Budget Input Data'!$D$37*0.2/('I_Inputs &amp; Assumptions'!$B$8/4))),IF('I_Budget Input Data'!$E$37="At Completion",IF(21='I_Inputs &amp; Assumptions'!$B$8,'I_Budget Input Data'!$D$37,0),'I_Budget Input Data'!$D$37/'I_Inputs &amp; Assumptions'!$B$8)))))),0)</f>
        <v>0</v>
      </c>
      <c r="X37" s="91">
        <f>IF(22&lt;='I_Inputs &amp; Assumptions'!$B$8,IF('I_Budget Input Data'!$E$37="Upfront",IF(22=1,'I_Budget Input Data'!$D$37,0),IF('I_Budget Input Data'!$E$37="Equal",'I_Budget Input Data'!$D$37/'I_Inputs &amp; Assumptions'!$B$8,IF('I_Budget Input Data'!$E$37="Front-loaded",IF(22&lt;='I_Inputs &amp; Assumptions'!$B$8/2,'I_Budget Input Data'!$D$37*0.6/('I_Inputs &amp; Assumptions'!$B$8/2),'I_Budget Input Data'!$D$37*0.4/('I_Inputs &amp; Assumptions'!$B$8/2)),IF('I_Budget Input Data'!$E$37="Back-loaded",IF(22&lt;='I_Inputs &amp; Assumptions'!$B$8/2,'I_Budget Input Data'!$D$37*0.4/('I_Inputs &amp; Assumptions'!$B$8/2),'I_Budget Input Data'!$D$37*0.6/('I_Inputs &amp; Assumptions'!$B$8/2)),IF('I_Budget Input Data'!$E$37="Mid-weighted",IF(22&lt;='I_Inputs &amp; Assumptions'!$B$8/4,'I_Budget Input Data'!$D$37*0.2/('I_Inputs &amp; Assumptions'!$B$8/4),IF(22&lt;='I_Inputs &amp; Assumptions'!$B$8*0.75,'I_Budget Input Data'!$D$37*0.6/('I_Inputs &amp; Assumptions'!$B$8/2),'I_Budget Input Data'!$D$37*0.2/('I_Inputs &amp; Assumptions'!$B$8/4))),IF('I_Budget Input Data'!$E$37="At Completion",IF(22='I_Inputs &amp; Assumptions'!$B$8,'I_Budget Input Data'!$D$37,0),'I_Budget Input Data'!$D$37/'I_Inputs &amp; Assumptions'!$B$8)))))),0)</f>
        <v>0</v>
      </c>
      <c r="Y37" s="91">
        <f>IF(23&lt;='I_Inputs &amp; Assumptions'!$B$8,IF('I_Budget Input Data'!$E$37="Upfront",IF(23=1,'I_Budget Input Data'!$D$37,0),IF('I_Budget Input Data'!$E$37="Equal",'I_Budget Input Data'!$D$37/'I_Inputs &amp; Assumptions'!$B$8,IF('I_Budget Input Data'!$E$37="Front-loaded",IF(23&lt;='I_Inputs &amp; Assumptions'!$B$8/2,'I_Budget Input Data'!$D$37*0.6/('I_Inputs &amp; Assumptions'!$B$8/2),'I_Budget Input Data'!$D$37*0.4/('I_Inputs &amp; Assumptions'!$B$8/2)),IF('I_Budget Input Data'!$E$37="Back-loaded",IF(23&lt;='I_Inputs &amp; Assumptions'!$B$8/2,'I_Budget Input Data'!$D$37*0.4/('I_Inputs &amp; Assumptions'!$B$8/2),'I_Budget Input Data'!$D$37*0.6/('I_Inputs &amp; Assumptions'!$B$8/2)),IF('I_Budget Input Data'!$E$37="Mid-weighted",IF(23&lt;='I_Inputs &amp; Assumptions'!$B$8/4,'I_Budget Input Data'!$D$37*0.2/('I_Inputs &amp; Assumptions'!$B$8/4),IF(23&lt;='I_Inputs &amp; Assumptions'!$B$8*0.75,'I_Budget Input Data'!$D$37*0.6/('I_Inputs &amp; Assumptions'!$B$8/2),'I_Budget Input Data'!$D$37*0.2/('I_Inputs &amp; Assumptions'!$B$8/4))),IF('I_Budget Input Data'!$E$37="At Completion",IF(23='I_Inputs &amp; Assumptions'!$B$8,'I_Budget Input Data'!$D$37,0),'I_Budget Input Data'!$D$37/'I_Inputs &amp; Assumptions'!$B$8)))))),0)</f>
        <v>0</v>
      </c>
      <c r="Z37" s="91">
        <f>IF(24&lt;='I_Inputs &amp; Assumptions'!$B$8,IF('I_Budget Input Data'!$E$37="Upfront",IF(24=1,'I_Budget Input Data'!$D$37,0),IF('I_Budget Input Data'!$E$37="Equal",'I_Budget Input Data'!$D$37/'I_Inputs &amp; Assumptions'!$B$8,IF('I_Budget Input Data'!$E$37="Front-loaded",IF(24&lt;='I_Inputs &amp; Assumptions'!$B$8/2,'I_Budget Input Data'!$D$37*0.6/('I_Inputs &amp; Assumptions'!$B$8/2),'I_Budget Input Data'!$D$37*0.4/('I_Inputs &amp; Assumptions'!$B$8/2)),IF('I_Budget Input Data'!$E$37="Back-loaded",IF(24&lt;='I_Inputs &amp; Assumptions'!$B$8/2,'I_Budget Input Data'!$D$37*0.4/('I_Inputs &amp; Assumptions'!$B$8/2),'I_Budget Input Data'!$D$37*0.6/('I_Inputs &amp; Assumptions'!$B$8/2)),IF('I_Budget Input Data'!$E$37="Mid-weighted",IF(24&lt;='I_Inputs &amp; Assumptions'!$B$8/4,'I_Budget Input Data'!$D$37*0.2/('I_Inputs &amp; Assumptions'!$B$8/4),IF(24&lt;='I_Inputs &amp; Assumptions'!$B$8*0.75,'I_Budget Input Data'!$D$37*0.6/('I_Inputs &amp; Assumptions'!$B$8/2),'I_Budget Input Data'!$D$37*0.2/('I_Inputs &amp; Assumptions'!$B$8/4))),IF('I_Budget Input Data'!$E$37="At Completion",IF(24='I_Inputs &amp; Assumptions'!$B$8,'I_Budget Input Data'!$D$37,0),'I_Budget Input Data'!$D$37/'I_Inputs &amp; Assumptions'!$B$8)))))),0)</f>
        <v>0</v>
      </c>
      <c r="AA37" s="91">
        <f>IF(25&lt;='I_Inputs &amp; Assumptions'!$B$8,IF('I_Budget Input Data'!$E$37="Upfront",IF(25=1,'I_Budget Input Data'!$D$37,0),IF('I_Budget Input Data'!$E$37="Equal",'I_Budget Input Data'!$D$37/'I_Inputs &amp; Assumptions'!$B$8,IF('I_Budget Input Data'!$E$37="Front-loaded",IF(25&lt;='I_Inputs &amp; Assumptions'!$B$8/2,'I_Budget Input Data'!$D$37*0.6/('I_Inputs &amp; Assumptions'!$B$8/2),'I_Budget Input Data'!$D$37*0.4/('I_Inputs &amp; Assumptions'!$B$8/2)),IF('I_Budget Input Data'!$E$37="Back-loaded",IF(25&lt;='I_Inputs &amp; Assumptions'!$B$8/2,'I_Budget Input Data'!$D$37*0.4/('I_Inputs &amp; Assumptions'!$B$8/2),'I_Budget Input Data'!$D$37*0.6/('I_Inputs &amp; Assumptions'!$B$8/2)),IF('I_Budget Input Data'!$E$37="Mid-weighted",IF(25&lt;='I_Inputs &amp; Assumptions'!$B$8/4,'I_Budget Input Data'!$D$37*0.2/('I_Inputs &amp; Assumptions'!$B$8/4),IF(25&lt;='I_Inputs &amp; Assumptions'!$B$8*0.75,'I_Budget Input Data'!$D$37*0.6/('I_Inputs &amp; Assumptions'!$B$8/2),'I_Budget Input Data'!$D$37*0.2/('I_Inputs &amp; Assumptions'!$B$8/4))),IF('I_Budget Input Data'!$E$37="At Completion",IF(25='I_Inputs &amp; Assumptions'!$B$8,'I_Budget Input Data'!$D$37,0),'I_Budget Input Data'!$D$37/'I_Inputs &amp; Assumptions'!$B$8)))))),0)</f>
        <v>0</v>
      </c>
      <c r="AB37" s="91">
        <f>IF(26&lt;='I_Inputs &amp; Assumptions'!$B$8,IF('I_Budget Input Data'!$E$37="Upfront",IF(26=1,'I_Budget Input Data'!$D$37,0),IF('I_Budget Input Data'!$E$37="Equal",'I_Budget Input Data'!$D$37/'I_Inputs &amp; Assumptions'!$B$8,IF('I_Budget Input Data'!$E$37="Front-loaded",IF(26&lt;='I_Inputs &amp; Assumptions'!$B$8/2,'I_Budget Input Data'!$D$37*0.6/('I_Inputs &amp; Assumptions'!$B$8/2),'I_Budget Input Data'!$D$37*0.4/('I_Inputs &amp; Assumptions'!$B$8/2)),IF('I_Budget Input Data'!$E$37="Back-loaded",IF(26&lt;='I_Inputs &amp; Assumptions'!$B$8/2,'I_Budget Input Data'!$D$37*0.4/('I_Inputs &amp; Assumptions'!$B$8/2),'I_Budget Input Data'!$D$37*0.6/('I_Inputs &amp; Assumptions'!$B$8/2)),IF('I_Budget Input Data'!$E$37="Mid-weighted",IF(26&lt;='I_Inputs &amp; Assumptions'!$B$8/4,'I_Budget Input Data'!$D$37*0.2/('I_Inputs &amp; Assumptions'!$B$8/4),IF(26&lt;='I_Inputs &amp; Assumptions'!$B$8*0.75,'I_Budget Input Data'!$D$37*0.6/('I_Inputs &amp; Assumptions'!$B$8/2),'I_Budget Input Data'!$D$37*0.2/('I_Inputs &amp; Assumptions'!$B$8/4))),IF('I_Budget Input Data'!$E$37="At Completion",IF(26='I_Inputs &amp; Assumptions'!$B$8,'I_Budget Input Data'!$D$37,0),'I_Budget Input Data'!$D$37/'I_Inputs &amp; Assumptions'!$B$8)))))),0)</f>
        <v>0</v>
      </c>
      <c r="AC37" s="91">
        <f>IF(27&lt;='I_Inputs &amp; Assumptions'!$B$8,IF('I_Budget Input Data'!$E$37="Upfront",IF(27=1,'I_Budget Input Data'!$D$37,0),IF('I_Budget Input Data'!$E$37="Equal",'I_Budget Input Data'!$D$37/'I_Inputs &amp; Assumptions'!$B$8,IF('I_Budget Input Data'!$E$37="Front-loaded",IF(27&lt;='I_Inputs &amp; Assumptions'!$B$8/2,'I_Budget Input Data'!$D$37*0.6/('I_Inputs &amp; Assumptions'!$B$8/2),'I_Budget Input Data'!$D$37*0.4/('I_Inputs &amp; Assumptions'!$B$8/2)),IF('I_Budget Input Data'!$E$37="Back-loaded",IF(27&lt;='I_Inputs &amp; Assumptions'!$B$8/2,'I_Budget Input Data'!$D$37*0.4/('I_Inputs &amp; Assumptions'!$B$8/2),'I_Budget Input Data'!$D$37*0.6/('I_Inputs &amp; Assumptions'!$B$8/2)),IF('I_Budget Input Data'!$E$37="Mid-weighted",IF(27&lt;='I_Inputs &amp; Assumptions'!$B$8/4,'I_Budget Input Data'!$D$37*0.2/('I_Inputs &amp; Assumptions'!$B$8/4),IF(27&lt;='I_Inputs &amp; Assumptions'!$B$8*0.75,'I_Budget Input Data'!$D$37*0.6/('I_Inputs &amp; Assumptions'!$B$8/2),'I_Budget Input Data'!$D$37*0.2/('I_Inputs &amp; Assumptions'!$B$8/4))),IF('I_Budget Input Data'!$E$37="At Completion",IF(27='I_Inputs &amp; Assumptions'!$B$8,'I_Budget Input Data'!$D$37,0),'I_Budget Input Data'!$D$37/'I_Inputs &amp; Assumptions'!$B$8)))))),0)</f>
        <v>0</v>
      </c>
      <c r="AD37" s="91">
        <f>IF(28&lt;='I_Inputs &amp; Assumptions'!$B$8,IF('I_Budget Input Data'!$E$37="Upfront",IF(28=1,'I_Budget Input Data'!$D$37,0),IF('I_Budget Input Data'!$E$37="Equal",'I_Budget Input Data'!$D$37/'I_Inputs &amp; Assumptions'!$B$8,IF('I_Budget Input Data'!$E$37="Front-loaded",IF(28&lt;='I_Inputs &amp; Assumptions'!$B$8/2,'I_Budget Input Data'!$D$37*0.6/('I_Inputs &amp; Assumptions'!$B$8/2),'I_Budget Input Data'!$D$37*0.4/('I_Inputs &amp; Assumptions'!$B$8/2)),IF('I_Budget Input Data'!$E$37="Back-loaded",IF(28&lt;='I_Inputs &amp; Assumptions'!$B$8/2,'I_Budget Input Data'!$D$37*0.4/('I_Inputs &amp; Assumptions'!$B$8/2),'I_Budget Input Data'!$D$37*0.6/('I_Inputs &amp; Assumptions'!$B$8/2)),IF('I_Budget Input Data'!$E$37="Mid-weighted",IF(28&lt;='I_Inputs &amp; Assumptions'!$B$8/4,'I_Budget Input Data'!$D$37*0.2/('I_Inputs &amp; Assumptions'!$B$8/4),IF(28&lt;='I_Inputs &amp; Assumptions'!$B$8*0.75,'I_Budget Input Data'!$D$37*0.6/('I_Inputs &amp; Assumptions'!$B$8/2),'I_Budget Input Data'!$D$37*0.2/('I_Inputs &amp; Assumptions'!$B$8/4))),IF('I_Budget Input Data'!$E$37="At Completion",IF(28='I_Inputs &amp; Assumptions'!$B$8,'I_Budget Input Data'!$D$37,0),'I_Budget Input Data'!$D$37/'I_Inputs &amp; Assumptions'!$B$8)))))),0)</f>
        <v>0</v>
      </c>
      <c r="AE37" s="91">
        <f>IF(29&lt;='I_Inputs &amp; Assumptions'!$B$8,IF('I_Budget Input Data'!$E$37="Upfront",IF(29=1,'I_Budget Input Data'!$D$37,0),IF('I_Budget Input Data'!$E$37="Equal",'I_Budget Input Data'!$D$37/'I_Inputs &amp; Assumptions'!$B$8,IF('I_Budget Input Data'!$E$37="Front-loaded",IF(29&lt;='I_Inputs &amp; Assumptions'!$B$8/2,'I_Budget Input Data'!$D$37*0.6/('I_Inputs &amp; Assumptions'!$B$8/2),'I_Budget Input Data'!$D$37*0.4/('I_Inputs &amp; Assumptions'!$B$8/2)),IF('I_Budget Input Data'!$E$37="Back-loaded",IF(29&lt;='I_Inputs &amp; Assumptions'!$B$8/2,'I_Budget Input Data'!$D$37*0.4/('I_Inputs &amp; Assumptions'!$B$8/2),'I_Budget Input Data'!$D$37*0.6/('I_Inputs &amp; Assumptions'!$B$8/2)),IF('I_Budget Input Data'!$E$37="Mid-weighted",IF(29&lt;='I_Inputs &amp; Assumptions'!$B$8/4,'I_Budget Input Data'!$D$37*0.2/('I_Inputs &amp; Assumptions'!$B$8/4),IF(29&lt;='I_Inputs &amp; Assumptions'!$B$8*0.75,'I_Budget Input Data'!$D$37*0.6/('I_Inputs &amp; Assumptions'!$B$8/2),'I_Budget Input Data'!$D$37*0.2/('I_Inputs &amp; Assumptions'!$B$8/4))),IF('I_Budget Input Data'!$E$37="At Completion",IF(29='I_Inputs &amp; Assumptions'!$B$8,'I_Budget Input Data'!$D$37,0),'I_Budget Input Data'!$D$37/'I_Inputs &amp; Assumptions'!$B$8)))))),0)</f>
        <v>0</v>
      </c>
      <c r="AF37" s="91">
        <f>IF(30&lt;='I_Inputs &amp; Assumptions'!$B$8,IF('I_Budget Input Data'!$E$37="Upfront",IF(30=1,'I_Budget Input Data'!$D$37,0),IF('I_Budget Input Data'!$E$37="Equal",'I_Budget Input Data'!$D$37/'I_Inputs &amp; Assumptions'!$B$8,IF('I_Budget Input Data'!$E$37="Front-loaded",IF(30&lt;='I_Inputs &amp; Assumptions'!$B$8/2,'I_Budget Input Data'!$D$37*0.6/('I_Inputs &amp; Assumptions'!$B$8/2),'I_Budget Input Data'!$D$37*0.4/('I_Inputs &amp; Assumptions'!$B$8/2)),IF('I_Budget Input Data'!$E$37="Back-loaded",IF(30&lt;='I_Inputs &amp; Assumptions'!$B$8/2,'I_Budget Input Data'!$D$37*0.4/('I_Inputs &amp; Assumptions'!$B$8/2),'I_Budget Input Data'!$D$37*0.6/('I_Inputs &amp; Assumptions'!$B$8/2)),IF('I_Budget Input Data'!$E$37="Mid-weighted",IF(30&lt;='I_Inputs &amp; Assumptions'!$B$8/4,'I_Budget Input Data'!$D$37*0.2/('I_Inputs &amp; Assumptions'!$B$8/4),IF(30&lt;='I_Inputs &amp; Assumptions'!$B$8*0.75,'I_Budget Input Data'!$D$37*0.6/('I_Inputs &amp; Assumptions'!$B$8/2),'I_Budget Input Data'!$D$37*0.2/('I_Inputs &amp; Assumptions'!$B$8/4))),IF('I_Budget Input Data'!$E$37="At Completion",IF(30='I_Inputs &amp; Assumptions'!$B$8,'I_Budget Input Data'!$D$37,0),'I_Budget Input Data'!$D$37/'I_Inputs &amp; Assumptions'!$B$8)))))),0)</f>
        <v>0</v>
      </c>
      <c r="AG37" s="91">
        <f>IF(31&lt;='I_Inputs &amp; Assumptions'!$B$8,IF('I_Budget Input Data'!$E$37="Upfront",IF(31=1,'I_Budget Input Data'!$D$37,0),IF('I_Budget Input Data'!$E$37="Equal",'I_Budget Input Data'!$D$37/'I_Inputs &amp; Assumptions'!$B$8,IF('I_Budget Input Data'!$E$37="Front-loaded",IF(31&lt;='I_Inputs &amp; Assumptions'!$B$8/2,'I_Budget Input Data'!$D$37*0.6/('I_Inputs &amp; Assumptions'!$B$8/2),'I_Budget Input Data'!$D$37*0.4/('I_Inputs &amp; Assumptions'!$B$8/2)),IF('I_Budget Input Data'!$E$37="Back-loaded",IF(31&lt;='I_Inputs &amp; Assumptions'!$B$8/2,'I_Budget Input Data'!$D$37*0.4/('I_Inputs &amp; Assumptions'!$B$8/2),'I_Budget Input Data'!$D$37*0.6/('I_Inputs &amp; Assumptions'!$B$8/2)),IF('I_Budget Input Data'!$E$37="Mid-weighted",IF(31&lt;='I_Inputs &amp; Assumptions'!$B$8/4,'I_Budget Input Data'!$D$37*0.2/('I_Inputs &amp; Assumptions'!$B$8/4),IF(31&lt;='I_Inputs &amp; Assumptions'!$B$8*0.75,'I_Budget Input Data'!$D$37*0.6/('I_Inputs &amp; Assumptions'!$B$8/2),'I_Budget Input Data'!$D$37*0.2/('I_Inputs &amp; Assumptions'!$B$8/4))),IF('I_Budget Input Data'!$E$37="At Completion",IF(31='I_Inputs &amp; Assumptions'!$B$8,'I_Budget Input Data'!$D$37,0),'I_Budget Input Data'!$D$37/'I_Inputs &amp; Assumptions'!$B$8)))))),0)</f>
        <v>0</v>
      </c>
      <c r="AH37" s="91">
        <f>IF(32&lt;='I_Inputs &amp; Assumptions'!$B$8,IF('I_Budget Input Data'!$E$37="Upfront",IF(32=1,'I_Budget Input Data'!$D$37,0),IF('I_Budget Input Data'!$E$37="Equal",'I_Budget Input Data'!$D$37/'I_Inputs &amp; Assumptions'!$B$8,IF('I_Budget Input Data'!$E$37="Front-loaded",IF(32&lt;='I_Inputs &amp; Assumptions'!$B$8/2,'I_Budget Input Data'!$D$37*0.6/('I_Inputs &amp; Assumptions'!$B$8/2),'I_Budget Input Data'!$D$37*0.4/('I_Inputs &amp; Assumptions'!$B$8/2)),IF('I_Budget Input Data'!$E$37="Back-loaded",IF(32&lt;='I_Inputs &amp; Assumptions'!$B$8/2,'I_Budget Input Data'!$D$37*0.4/('I_Inputs &amp; Assumptions'!$B$8/2),'I_Budget Input Data'!$D$37*0.6/('I_Inputs &amp; Assumptions'!$B$8/2)),IF('I_Budget Input Data'!$E$37="Mid-weighted",IF(32&lt;='I_Inputs &amp; Assumptions'!$B$8/4,'I_Budget Input Data'!$D$37*0.2/('I_Inputs &amp; Assumptions'!$B$8/4),IF(32&lt;='I_Inputs &amp; Assumptions'!$B$8*0.75,'I_Budget Input Data'!$D$37*0.6/('I_Inputs &amp; Assumptions'!$B$8/2),'I_Budget Input Data'!$D$37*0.2/('I_Inputs &amp; Assumptions'!$B$8/4))),IF('I_Budget Input Data'!$E$37="At Completion",IF(32='I_Inputs &amp; Assumptions'!$B$8,'I_Budget Input Data'!$D$37,0),'I_Budget Input Data'!$D$37/'I_Inputs &amp; Assumptions'!$B$8)))))),0)</f>
        <v>0</v>
      </c>
      <c r="AI37" s="91">
        <f>IF(33&lt;='I_Inputs &amp; Assumptions'!$B$8,IF('I_Budget Input Data'!$E$37="Upfront",IF(33=1,'I_Budget Input Data'!$D$37,0),IF('I_Budget Input Data'!$E$37="Equal",'I_Budget Input Data'!$D$37/'I_Inputs &amp; Assumptions'!$B$8,IF('I_Budget Input Data'!$E$37="Front-loaded",IF(33&lt;='I_Inputs &amp; Assumptions'!$B$8/2,'I_Budget Input Data'!$D$37*0.6/('I_Inputs &amp; Assumptions'!$B$8/2),'I_Budget Input Data'!$D$37*0.4/('I_Inputs &amp; Assumptions'!$B$8/2)),IF('I_Budget Input Data'!$E$37="Back-loaded",IF(33&lt;='I_Inputs &amp; Assumptions'!$B$8/2,'I_Budget Input Data'!$D$37*0.4/('I_Inputs &amp; Assumptions'!$B$8/2),'I_Budget Input Data'!$D$37*0.6/('I_Inputs &amp; Assumptions'!$B$8/2)),IF('I_Budget Input Data'!$E$37="Mid-weighted",IF(33&lt;='I_Inputs &amp; Assumptions'!$B$8/4,'I_Budget Input Data'!$D$37*0.2/('I_Inputs &amp; Assumptions'!$B$8/4),IF(33&lt;='I_Inputs &amp; Assumptions'!$B$8*0.75,'I_Budget Input Data'!$D$37*0.6/('I_Inputs &amp; Assumptions'!$B$8/2),'I_Budget Input Data'!$D$37*0.2/('I_Inputs &amp; Assumptions'!$B$8/4))),IF('I_Budget Input Data'!$E$37="At Completion",IF(33='I_Inputs &amp; Assumptions'!$B$8,'I_Budget Input Data'!$D$37,0),'I_Budget Input Data'!$D$37/'I_Inputs &amp; Assumptions'!$B$8)))))),0)</f>
        <v>0</v>
      </c>
      <c r="AJ37" s="91">
        <f>IF(34&lt;='I_Inputs &amp; Assumptions'!$B$8,IF('I_Budget Input Data'!$E$37="Upfront",IF(34=1,'I_Budget Input Data'!$D$37,0),IF('I_Budget Input Data'!$E$37="Equal",'I_Budget Input Data'!$D$37/'I_Inputs &amp; Assumptions'!$B$8,IF('I_Budget Input Data'!$E$37="Front-loaded",IF(34&lt;='I_Inputs &amp; Assumptions'!$B$8/2,'I_Budget Input Data'!$D$37*0.6/('I_Inputs &amp; Assumptions'!$B$8/2),'I_Budget Input Data'!$D$37*0.4/('I_Inputs &amp; Assumptions'!$B$8/2)),IF('I_Budget Input Data'!$E$37="Back-loaded",IF(34&lt;='I_Inputs &amp; Assumptions'!$B$8/2,'I_Budget Input Data'!$D$37*0.4/('I_Inputs &amp; Assumptions'!$B$8/2),'I_Budget Input Data'!$D$37*0.6/('I_Inputs &amp; Assumptions'!$B$8/2)),IF('I_Budget Input Data'!$E$37="Mid-weighted",IF(34&lt;='I_Inputs &amp; Assumptions'!$B$8/4,'I_Budget Input Data'!$D$37*0.2/('I_Inputs &amp; Assumptions'!$B$8/4),IF(34&lt;='I_Inputs &amp; Assumptions'!$B$8*0.75,'I_Budget Input Data'!$D$37*0.6/('I_Inputs &amp; Assumptions'!$B$8/2),'I_Budget Input Data'!$D$37*0.2/('I_Inputs &amp; Assumptions'!$B$8/4))),IF('I_Budget Input Data'!$E$37="At Completion",IF(34='I_Inputs &amp; Assumptions'!$B$8,'I_Budget Input Data'!$D$37,0),'I_Budget Input Data'!$D$37/'I_Inputs &amp; Assumptions'!$B$8)))))),0)</f>
        <v>0</v>
      </c>
      <c r="AK37" s="91">
        <f>IF(35&lt;='I_Inputs &amp; Assumptions'!$B$8,IF('I_Budget Input Data'!$E$37="Upfront",IF(35=1,'I_Budget Input Data'!$D$37,0),IF('I_Budget Input Data'!$E$37="Equal",'I_Budget Input Data'!$D$37/'I_Inputs &amp; Assumptions'!$B$8,IF('I_Budget Input Data'!$E$37="Front-loaded",IF(35&lt;='I_Inputs &amp; Assumptions'!$B$8/2,'I_Budget Input Data'!$D$37*0.6/('I_Inputs &amp; Assumptions'!$B$8/2),'I_Budget Input Data'!$D$37*0.4/('I_Inputs &amp; Assumptions'!$B$8/2)),IF('I_Budget Input Data'!$E$37="Back-loaded",IF(35&lt;='I_Inputs &amp; Assumptions'!$B$8/2,'I_Budget Input Data'!$D$37*0.4/('I_Inputs &amp; Assumptions'!$B$8/2),'I_Budget Input Data'!$D$37*0.6/('I_Inputs &amp; Assumptions'!$B$8/2)),IF('I_Budget Input Data'!$E$37="Mid-weighted",IF(35&lt;='I_Inputs &amp; Assumptions'!$B$8/4,'I_Budget Input Data'!$D$37*0.2/('I_Inputs &amp; Assumptions'!$B$8/4),IF(35&lt;='I_Inputs &amp; Assumptions'!$B$8*0.75,'I_Budget Input Data'!$D$37*0.6/('I_Inputs &amp; Assumptions'!$B$8/2),'I_Budget Input Data'!$D$37*0.2/('I_Inputs &amp; Assumptions'!$B$8/4))),IF('I_Budget Input Data'!$E$37="At Completion",IF(35='I_Inputs &amp; Assumptions'!$B$8,'I_Budget Input Data'!$D$37,0),'I_Budget Input Data'!$D$37/'I_Inputs &amp; Assumptions'!$B$8)))))),0)</f>
        <v>0</v>
      </c>
      <c r="AL37" s="91">
        <f>IF(36&lt;='I_Inputs &amp; Assumptions'!$B$8,IF('I_Budget Input Data'!$E$37="Upfront",IF(36=1,'I_Budget Input Data'!$D$37,0),IF('I_Budget Input Data'!$E$37="Equal",'I_Budget Input Data'!$D$37/'I_Inputs &amp; Assumptions'!$B$8,IF('I_Budget Input Data'!$E$37="Front-loaded",IF(36&lt;='I_Inputs &amp; Assumptions'!$B$8/2,'I_Budget Input Data'!$D$37*0.6/('I_Inputs &amp; Assumptions'!$B$8/2),'I_Budget Input Data'!$D$37*0.4/('I_Inputs &amp; Assumptions'!$B$8/2)),IF('I_Budget Input Data'!$E$37="Back-loaded",IF(36&lt;='I_Inputs &amp; Assumptions'!$B$8/2,'I_Budget Input Data'!$D$37*0.4/('I_Inputs &amp; Assumptions'!$B$8/2),'I_Budget Input Data'!$D$37*0.6/('I_Inputs &amp; Assumptions'!$B$8/2)),IF('I_Budget Input Data'!$E$37="Mid-weighted",IF(36&lt;='I_Inputs &amp; Assumptions'!$B$8/4,'I_Budget Input Data'!$D$37*0.2/('I_Inputs &amp; Assumptions'!$B$8/4),IF(36&lt;='I_Inputs &amp; Assumptions'!$B$8*0.75,'I_Budget Input Data'!$D$37*0.6/('I_Inputs &amp; Assumptions'!$B$8/2),'I_Budget Input Data'!$D$37*0.2/('I_Inputs &amp; Assumptions'!$B$8/4))),IF('I_Budget Input Data'!$E$37="At Completion",IF(36='I_Inputs &amp; Assumptions'!$B$8,'I_Budget Input Data'!$D$37,0),'I_Budget Input Data'!$D$37/'I_Inputs &amp; Assumptions'!$B$8)))))),0)</f>
        <v>0</v>
      </c>
    </row>
    <row r="38" spans="1:38" ht="15" customHeight="1" x14ac:dyDescent="0.2">
      <c r="A38" t="s">
        <v>146</v>
      </c>
      <c r="B38" t="s">
        <v>159</v>
      </c>
      <c r="C38" s="91">
        <f>IF(1&lt;='I_Inputs &amp; Assumptions'!$B$8,IF('I_Budget Input Data'!$E$38="Upfront",IF(1=1,'I_Budget Input Data'!$D$38,0),IF('I_Budget Input Data'!$E$38="Equal",'I_Budget Input Data'!$D$38/'I_Inputs &amp; Assumptions'!$B$8,IF('I_Budget Input Data'!$E$38="Front-loaded",IF(1&lt;='I_Inputs &amp; Assumptions'!$B$8/2,'I_Budget Input Data'!$D$38*0.6/('I_Inputs &amp; Assumptions'!$B$8/2),'I_Budget Input Data'!$D$38*0.4/('I_Inputs &amp; Assumptions'!$B$8/2)),IF('I_Budget Input Data'!$E$38="Back-loaded",IF(1&lt;='I_Inputs &amp; Assumptions'!$B$8/2,'I_Budget Input Data'!$D$38*0.4/('I_Inputs &amp; Assumptions'!$B$8/2),'I_Budget Input Data'!$D$38*0.6/('I_Inputs &amp; Assumptions'!$B$8/2)),IF('I_Budget Input Data'!$E$38="Mid-weighted",IF(1&lt;='I_Inputs &amp; Assumptions'!$B$8/4,'I_Budget Input Data'!$D$38*0.2/('I_Inputs &amp; Assumptions'!$B$8/4),IF(1&lt;='I_Inputs &amp; Assumptions'!$B$8*0.75,'I_Budget Input Data'!$D$38*0.6/('I_Inputs &amp; Assumptions'!$B$8/2),'I_Budget Input Data'!$D$38*0.2/('I_Inputs &amp; Assumptions'!$B$8/4))),IF('I_Budget Input Data'!$E$38="At Completion",IF(1='I_Inputs &amp; Assumptions'!$B$8,'I_Budget Input Data'!$D$38,0),'I_Budget Input Data'!$D$38/'I_Inputs &amp; Assumptions'!$B$8)))))),0)</f>
        <v>829.23076923076928</v>
      </c>
      <c r="D38" s="91">
        <f>IF(2&lt;='I_Inputs &amp; Assumptions'!$B$8,IF('I_Budget Input Data'!$E$38="Upfront",IF(2=1,'I_Budget Input Data'!$D$38,0),IF('I_Budget Input Data'!$E$38="Equal",'I_Budget Input Data'!$D$38/'I_Inputs &amp; Assumptions'!$B$8,IF('I_Budget Input Data'!$E$38="Front-loaded",IF(2&lt;='I_Inputs &amp; Assumptions'!$B$8/2,'I_Budget Input Data'!$D$38*0.6/('I_Inputs &amp; Assumptions'!$B$8/2),'I_Budget Input Data'!$D$38*0.4/('I_Inputs &amp; Assumptions'!$B$8/2)),IF('I_Budget Input Data'!$E$38="Back-loaded",IF(2&lt;='I_Inputs &amp; Assumptions'!$B$8/2,'I_Budget Input Data'!$D$38*0.4/('I_Inputs &amp; Assumptions'!$B$8/2),'I_Budget Input Data'!$D$38*0.6/('I_Inputs &amp; Assumptions'!$B$8/2)),IF('I_Budget Input Data'!$E$38="Mid-weighted",IF(2&lt;='I_Inputs &amp; Assumptions'!$B$8/4,'I_Budget Input Data'!$D$38*0.2/('I_Inputs &amp; Assumptions'!$B$8/4),IF(2&lt;='I_Inputs &amp; Assumptions'!$B$8*0.75,'I_Budget Input Data'!$D$38*0.6/('I_Inputs &amp; Assumptions'!$B$8/2),'I_Budget Input Data'!$D$38*0.2/('I_Inputs &amp; Assumptions'!$B$8/4))),IF('I_Budget Input Data'!$E$38="At Completion",IF(2='I_Inputs &amp; Assumptions'!$B$8,'I_Budget Input Data'!$D$38,0),'I_Budget Input Data'!$D$38/'I_Inputs &amp; Assumptions'!$B$8)))))),0)</f>
        <v>829.23076923076928</v>
      </c>
      <c r="E38" s="91">
        <f>IF(3&lt;='I_Inputs &amp; Assumptions'!$B$8,IF('I_Budget Input Data'!$E$38="Upfront",IF(3=1,'I_Budget Input Data'!$D$38,0),IF('I_Budget Input Data'!$E$38="Equal",'I_Budget Input Data'!$D$38/'I_Inputs &amp; Assumptions'!$B$8,IF('I_Budget Input Data'!$E$38="Front-loaded",IF(3&lt;='I_Inputs &amp; Assumptions'!$B$8/2,'I_Budget Input Data'!$D$38*0.6/('I_Inputs &amp; Assumptions'!$B$8/2),'I_Budget Input Data'!$D$38*0.4/('I_Inputs &amp; Assumptions'!$B$8/2)),IF('I_Budget Input Data'!$E$38="Back-loaded",IF(3&lt;='I_Inputs &amp; Assumptions'!$B$8/2,'I_Budget Input Data'!$D$38*0.4/('I_Inputs &amp; Assumptions'!$B$8/2),'I_Budget Input Data'!$D$38*0.6/('I_Inputs &amp; Assumptions'!$B$8/2)),IF('I_Budget Input Data'!$E$38="Mid-weighted",IF(3&lt;='I_Inputs &amp; Assumptions'!$B$8/4,'I_Budget Input Data'!$D$38*0.2/('I_Inputs &amp; Assumptions'!$B$8/4),IF(3&lt;='I_Inputs &amp; Assumptions'!$B$8*0.75,'I_Budget Input Data'!$D$38*0.6/('I_Inputs &amp; Assumptions'!$B$8/2),'I_Budget Input Data'!$D$38*0.2/('I_Inputs &amp; Assumptions'!$B$8/4))),IF('I_Budget Input Data'!$E$38="At Completion",IF(3='I_Inputs &amp; Assumptions'!$B$8,'I_Budget Input Data'!$D$38,0),'I_Budget Input Data'!$D$38/'I_Inputs &amp; Assumptions'!$B$8)))))),0)</f>
        <v>829.23076923076928</v>
      </c>
      <c r="F38" s="91">
        <f>IF(4&lt;='I_Inputs &amp; Assumptions'!$B$8,IF('I_Budget Input Data'!$E$38="Upfront",IF(4=1,'I_Budget Input Data'!$D$38,0),IF('I_Budget Input Data'!$E$38="Equal",'I_Budget Input Data'!$D$38/'I_Inputs &amp; Assumptions'!$B$8,IF('I_Budget Input Data'!$E$38="Front-loaded",IF(4&lt;='I_Inputs &amp; Assumptions'!$B$8/2,'I_Budget Input Data'!$D$38*0.6/('I_Inputs &amp; Assumptions'!$B$8/2),'I_Budget Input Data'!$D$38*0.4/('I_Inputs &amp; Assumptions'!$B$8/2)),IF('I_Budget Input Data'!$E$38="Back-loaded",IF(4&lt;='I_Inputs &amp; Assumptions'!$B$8/2,'I_Budget Input Data'!$D$38*0.4/('I_Inputs &amp; Assumptions'!$B$8/2),'I_Budget Input Data'!$D$38*0.6/('I_Inputs &amp; Assumptions'!$B$8/2)),IF('I_Budget Input Data'!$E$38="Mid-weighted",IF(4&lt;='I_Inputs &amp; Assumptions'!$B$8/4,'I_Budget Input Data'!$D$38*0.2/('I_Inputs &amp; Assumptions'!$B$8/4),IF(4&lt;='I_Inputs &amp; Assumptions'!$B$8*0.75,'I_Budget Input Data'!$D$38*0.6/('I_Inputs &amp; Assumptions'!$B$8/2),'I_Budget Input Data'!$D$38*0.2/('I_Inputs &amp; Assumptions'!$B$8/4))),IF('I_Budget Input Data'!$E$38="At Completion",IF(4='I_Inputs &amp; Assumptions'!$B$8,'I_Budget Input Data'!$D$38,0),'I_Budget Input Data'!$D$38/'I_Inputs &amp; Assumptions'!$B$8)))))),0)</f>
        <v>829.23076923076928</v>
      </c>
      <c r="G38" s="91">
        <f>IF(5&lt;='I_Inputs &amp; Assumptions'!$B$8,IF('I_Budget Input Data'!$E$38="Upfront",IF(5=1,'I_Budget Input Data'!$D$38,0),IF('I_Budget Input Data'!$E$38="Equal",'I_Budget Input Data'!$D$38/'I_Inputs &amp; Assumptions'!$B$8,IF('I_Budget Input Data'!$E$38="Front-loaded",IF(5&lt;='I_Inputs &amp; Assumptions'!$B$8/2,'I_Budget Input Data'!$D$38*0.6/('I_Inputs &amp; Assumptions'!$B$8/2),'I_Budget Input Data'!$D$38*0.4/('I_Inputs &amp; Assumptions'!$B$8/2)),IF('I_Budget Input Data'!$E$38="Back-loaded",IF(5&lt;='I_Inputs &amp; Assumptions'!$B$8/2,'I_Budget Input Data'!$D$38*0.4/('I_Inputs &amp; Assumptions'!$B$8/2),'I_Budget Input Data'!$D$38*0.6/('I_Inputs &amp; Assumptions'!$B$8/2)),IF('I_Budget Input Data'!$E$38="Mid-weighted",IF(5&lt;='I_Inputs &amp; Assumptions'!$B$8/4,'I_Budget Input Data'!$D$38*0.2/('I_Inputs &amp; Assumptions'!$B$8/4),IF(5&lt;='I_Inputs &amp; Assumptions'!$B$8*0.75,'I_Budget Input Data'!$D$38*0.6/('I_Inputs &amp; Assumptions'!$B$8/2),'I_Budget Input Data'!$D$38*0.2/('I_Inputs &amp; Assumptions'!$B$8/4))),IF('I_Budget Input Data'!$E$38="At Completion",IF(5='I_Inputs &amp; Assumptions'!$B$8,'I_Budget Input Data'!$D$38,0),'I_Budget Input Data'!$D$38/'I_Inputs &amp; Assumptions'!$B$8)))))),0)</f>
        <v>829.23076923076928</v>
      </c>
      <c r="H38" s="91">
        <f>IF(6&lt;='I_Inputs &amp; Assumptions'!$B$8,IF('I_Budget Input Data'!$E$38="Upfront",IF(6=1,'I_Budget Input Data'!$D$38,0),IF('I_Budget Input Data'!$E$38="Equal",'I_Budget Input Data'!$D$38/'I_Inputs &amp; Assumptions'!$B$8,IF('I_Budget Input Data'!$E$38="Front-loaded",IF(6&lt;='I_Inputs &amp; Assumptions'!$B$8/2,'I_Budget Input Data'!$D$38*0.6/('I_Inputs &amp; Assumptions'!$B$8/2),'I_Budget Input Data'!$D$38*0.4/('I_Inputs &amp; Assumptions'!$B$8/2)),IF('I_Budget Input Data'!$E$38="Back-loaded",IF(6&lt;='I_Inputs &amp; Assumptions'!$B$8/2,'I_Budget Input Data'!$D$38*0.4/('I_Inputs &amp; Assumptions'!$B$8/2),'I_Budget Input Data'!$D$38*0.6/('I_Inputs &amp; Assumptions'!$B$8/2)),IF('I_Budget Input Data'!$E$38="Mid-weighted",IF(6&lt;='I_Inputs &amp; Assumptions'!$B$8/4,'I_Budget Input Data'!$D$38*0.2/('I_Inputs &amp; Assumptions'!$B$8/4),IF(6&lt;='I_Inputs &amp; Assumptions'!$B$8*0.75,'I_Budget Input Data'!$D$38*0.6/('I_Inputs &amp; Assumptions'!$B$8/2),'I_Budget Input Data'!$D$38*0.2/('I_Inputs &amp; Assumptions'!$B$8/4))),IF('I_Budget Input Data'!$E$38="At Completion",IF(6='I_Inputs &amp; Assumptions'!$B$8,'I_Budget Input Data'!$D$38,0),'I_Budget Input Data'!$D$38/'I_Inputs &amp; Assumptions'!$B$8)))))),0)</f>
        <v>829.23076923076928</v>
      </c>
      <c r="I38" s="91">
        <f>IF(7&lt;='I_Inputs &amp; Assumptions'!$B$8,IF('I_Budget Input Data'!$E$38="Upfront",IF(7=1,'I_Budget Input Data'!$D$38,0),IF('I_Budget Input Data'!$E$38="Equal",'I_Budget Input Data'!$D$38/'I_Inputs &amp; Assumptions'!$B$8,IF('I_Budget Input Data'!$E$38="Front-loaded",IF(7&lt;='I_Inputs &amp; Assumptions'!$B$8/2,'I_Budget Input Data'!$D$38*0.6/('I_Inputs &amp; Assumptions'!$B$8/2),'I_Budget Input Data'!$D$38*0.4/('I_Inputs &amp; Assumptions'!$B$8/2)),IF('I_Budget Input Data'!$E$38="Back-loaded",IF(7&lt;='I_Inputs &amp; Assumptions'!$B$8/2,'I_Budget Input Data'!$D$38*0.4/('I_Inputs &amp; Assumptions'!$B$8/2),'I_Budget Input Data'!$D$38*0.6/('I_Inputs &amp; Assumptions'!$B$8/2)),IF('I_Budget Input Data'!$E$38="Mid-weighted",IF(7&lt;='I_Inputs &amp; Assumptions'!$B$8/4,'I_Budget Input Data'!$D$38*0.2/('I_Inputs &amp; Assumptions'!$B$8/4),IF(7&lt;='I_Inputs &amp; Assumptions'!$B$8*0.75,'I_Budget Input Data'!$D$38*0.6/('I_Inputs &amp; Assumptions'!$B$8/2),'I_Budget Input Data'!$D$38*0.2/('I_Inputs &amp; Assumptions'!$B$8/4))),IF('I_Budget Input Data'!$E$38="At Completion",IF(7='I_Inputs &amp; Assumptions'!$B$8,'I_Budget Input Data'!$D$38,0),'I_Budget Input Data'!$D$38/'I_Inputs &amp; Assumptions'!$B$8)))))),0)</f>
        <v>829.23076923076928</v>
      </c>
      <c r="J38" s="91">
        <f>IF(8&lt;='I_Inputs &amp; Assumptions'!$B$8,IF('I_Budget Input Data'!$E$38="Upfront",IF(8=1,'I_Budget Input Data'!$D$38,0),IF('I_Budget Input Data'!$E$38="Equal",'I_Budget Input Data'!$D$38/'I_Inputs &amp; Assumptions'!$B$8,IF('I_Budget Input Data'!$E$38="Front-loaded",IF(8&lt;='I_Inputs &amp; Assumptions'!$B$8/2,'I_Budget Input Data'!$D$38*0.6/('I_Inputs &amp; Assumptions'!$B$8/2),'I_Budget Input Data'!$D$38*0.4/('I_Inputs &amp; Assumptions'!$B$8/2)),IF('I_Budget Input Data'!$E$38="Back-loaded",IF(8&lt;='I_Inputs &amp; Assumptions'!$B$8/2,'I_Budget Input Data'!$D$38*0.4/('I_Inputs &amp; Assumptions'!$B$8/2),'I_Budget Input Data'!$D$38*0.6/('I_Inputs &amp; Assumptions'!$B$8/2)),IF('I_Budget Input Data'!$E$38="Mid-weighted",IF(8&lt;='I_Inputs &amp; Assumptions'!$B$8/4,'I_Budget Input Data'!$D$38*0.2/('I_Inputs &amp; Assumptions'!$B$8/4),IF(8&lt;='I_Inputs &amp; Assumptions'!$B$8*0.75,'I_Budget Input Data'!$D$38*0.6/('I_Inputs &amp; Assumptions'!$B$8/2),'I_Budget Input Data'!$D$38*0.2/('I_Inputs &amp; Assumptions'!$B$8/4))),IF('I_Budget Input Data'!$E$38="At Completion",IF(8='I_Inputs &amp; Assumptions'!$B$8,'I_Budget Input Data'!$D$38,0),'I_Budget Input Data'!$D$38/'I_Inputs &amp; Assumptions'!$B$8)))))),0)</f>
        <v>829.23076923076928</v>
      </c>
      <c r="K38" s="91">
        <f>IF(9&lt;='I_Inputs &amp; Assumptions'!$B$8,IF('I_Budget Input Data'!$E$38="Upfront",IF(9=1,'I_Budget Input Data'!$D$38,0),IF('I_Budget Input Data'!$E$38="Equal",'I_Budget Input Data'!$D$38/'I_Inputs &amp; Assumptions'!$B$8,IF('I_Budget Input Data'!$E$38="Front-loaded",IF(9&lt;='I_Inputs &amp; Assumptions'!$B$8/2,'I_Budget Input Data'!$D$38*0.6/('I_Inputs &amp; Assumptions'!$B$8/2),'I_Budget Input Data'!$D$38*0.4/('I_Inputs &amp; Assumptions'!$B$8/2)),IF('I_Budget Input Data'!$E$38="Back-loaded",IF(9&lt;='I_Inputs &amp; Assumptions'!$B$8/2,'I_Budget Input Data'!$D$38*0.4/('I_Inputs &amp; Assumptions'!$B$8/2),'I_Budget Input Data'!$D$38*0.6/('I_Inputs &amp; Assumptions'!$B$8/2)),IF('I_Budget Input Data'!$E$38="Mid-weighted",IF(9&lt;='I_Inputs &amp; Assumptions'!$B$8/4,'I_Budget Input Data'!$D$38*0.2/('I_Inputs &amp; Assumptions'!$B$8/4),IF(9&lt;='I_Inputs &amp; Assumptions'!$B$8*0.75,'I_Budget Input Data'!$D$38*0.6/('I_Inputs &amp; Assumptions'!$B$8/2),'I_Budget Input Data'!$D$38*0.2/('I_Inputs &amp; Assumptions'!$B$8/4))),IF('I_Budget Input Data'!$E$38="At Completion",IF(9='I_Inputs &amp; Assumptions'!$B$8,'I_Budget Input Data'!$D$38,0),'I_Budget Input Data'!$D$38/'I_Inputs &amp; Assumptions'!$B$8)))))),0)</f>
        <v>829.23076923076928</v>
      </c>
      <c r="L38" s="91">
        <f>IF(10&lt;='I_Inputs &amp; Assumptions'!$B$8,IF('I_Budget Input Data'!$E$38="Upfront",IF(10=1,'I_Budget Input Data'!$D$38,0),IF('I_Budget Input Data'!$E$38="Equal",'I_Budget Input Data'!$D$38/'I_Inputs &amp; Assumptions'!$B$8,IF('I_Budget Input Data'!$E$38="Front-loaded",IF(10&lt;='I_Inputs &amp; Assumptions'!$B$8/2,'I_Budget Input Data'!$D$38*0.6/('I_Inputs &amp; Assumptions'!$B$8/2),'I_Budget Input Data'!$D$38*0.4/('I_Inputs &amp; Assumptions'!$B$8/2)),IF('I_Budget Input Data'!$E$38="Back-loaded",IF(10&lt;='I_Inputs &amp; Assumptions'!$B$8/2,'I_Budget Input Data'!$D$38*0.4/('I_Inputs &amp; Assumptions'!$B$8/2),'I_Budget Input Data'!$D$38*0.6/('I_Inputs &amp; Assumptions'!$B$8/2)),IF('I_Budget Input Data'!$E$38="Mid-weighted",IF(10&lt;='I_Inputs &amp; Assumptions'!$B$8/4,'I_Budget Input Data'!$D$38*0.2/('I_Inputs &amp; Assumptions'!$B$8/4),IF(10&lt;='I_Inputs &amp; Assumptions'!$B$8*0.75,'I_Budget Input Data'!$D$38*0.6/('I_Inputs &amp; Assumptions'!$B$8/2),'I_Budget Input Data'!$D$38*0.2/('I_Inputs &amp; Assumptions'!$B$8/4))),IF('I_Budget Input Data'!$E$38="At Completion",IF(10='I_Inputs &amp; Assumptions'!$B$8,'I_Budget Input Data'!$D$38,0),'I_Budget Input Data'!$D$38/'I_Inputs &amp; Assumptions'!$B$8)))))),0)</f>
        <v>829.23076923076928</v>
      </c>
      <c r="M38" s="91">
        <f>IF(11&lt;='I_Inputs &amp; Assumptions'!$B$8,IF('I_Budget Input Data'!$E$38="Upfront",IF(11=1,'I_Budget Input Data'!$D$38,0),IF('I_Budget Input Data'!$E$38="Equal",'I_Budget Input Data'!$D$38/'I_Inputs &amp; Assumptions'!$B$8,IF('I_Budget Input Data'!$E$38="Front-loaded",IF(11&lt;='I_Inputs &amp; Assumptions'!$B$8/2,'I_Budget Input Data'!$D$38*0.6/('I_Inputs &amp; Assumptions'!$B$8/2),'I_Budget Input Data'!$D$38*0.4/('I_Inputs &amp; Assumptions'!$B$8/2)),IF('I_Budget Input Data'!$E$38="Back-loaded",IF(11&lt;='I_Inputs &amp; Assumptions'!$B$8/2,'I_Budget Input Data'!$D$38*0.4/('I_Inputs &amp; Assumptions'!$B$8/2),'I_Budget Input Data'!$D$38*0.6/('I_Inputs &amp; Assumptions'!$B$8/2)),IF('I_Budget Input Data'!$E$38="Mid-weighted",IF(11&lt;='I_Inputs &amp; Assumptions'!$B$8/4,'I_Budget Input Data'!$D$38*0.2/('I_Inputs &amp; Assumptions'!$B$8/4),IF(11&lt;='I_Inputs &amp; Assumptions'!$B$8*0.75,'I_Budget Input Data'!$D$38*0.6/('I_Inputs &amp; Assumptions'!$B$8/2),'I_Budget Input Data'!$D$38*0.2/('I_Inputs &amp; Assumptions'!$B$8/4))),IF('I_Budget Input Data'!$E$38="At Completion",IF(11='I_Inputs &amp; Assumptions'!$B$8,'I_Budget Input Data'!$D$38,0),'I_Budget Input Data'!$D$38/'I_Inputs &amp; Assumptions'!$B$8)))))),0)</f>
        <v>829.23076923076928</v>
      </c>
      <c r="N38" s="91">
        <f>IF(12&lt;='I_Inputs &amp; Assumptions'!$B$8,IF('I_Budget Input Data'!$E$38="Upfront",IF(12=1,'I_Budget Input Data'!$D$38,0),IF('I_Budget Input Data'!$E$38="Equal",'I_Budget Input Data'!$D$38/'I_Inputs &amp; Assumptions'!$B$8,IF('I_Budget Input Data'!$E$38="Front-loaded",IF(12&lt;='I_Inputs &amp; Assumptions'!$B$8/2,'I_Budget Input Data'!$D$38*0.6/('I_Inputs &amp; Assumptions'!$B$8/2),'I_Budget Input Data'!$D$38*0.4/('I_Inputs &amp; Assumptions'!$B$8/2)),IF('I_Budget Input Data'!$E$38="Back-loaded",IF(12&lt;='I_Inputs &amp; Assumptions'!$B$8/2,'I_Budget Input Data'!$D$38*0.4/('I_Inputs &amp; Assumptions'!$B$8/2),'I_Budget Input Data'!$D$38*0.6/('I_Inputs &amp; Assumptions'!$B$8/2)),IF('I_Budget Input Data'!$E$38="Mid-weighted",IF(12&lt;='I_Inputs &amp; Assumptions'!$B$8/4,'I_Budget Input Data'!$D$38*0.2/('I_Inputs &amp; Assumptions'!$B$8/4),IF(12&lt;='I_Inputs &amp; Assumptions'!$B$8*0.75,'I_Budget Input Data'!$D$38*0.6/('I_Inputs &amp; Assumptions'!$B$8/2),'I_Budget Input Data'!$D$38*0.2/('I_Inputs &amp; Assumptions'!$B$8/4))),IF('I_Budget Input Data'!$E$38="At Completion",IF(12='I_Inputs &amp; Assumptions'!$B$8,'I_Budget Input Data'!$D$38,0),'I_Budget Input Data'!$D$38/'I_Inputs &amp; Assumptions'!$B$8)))))),0)</f>
        <v>829.23076923076928</v>
      </c>
      <c r="O38" s="91">
        <f>IF(13&lt;='I_Inputs &amp; Assumptions'!$B$8,IF('I_Budget Input Data'!$E$38="Upfront",IF(13=1,'I_Budget Input Data'!$D$38,0),IF('I_Budget Input Data'!$E$38="Equal",'I_Budget Input Data'!$D$38/'I_Inputs &amp; Assumptions'!$B$8,IF('I_Budget Input Data'!$E$38="Front-loaded",IF(13&lt;='I_Inputs &amp; Assumptions'!$B$8/2,'I_Budget Input Data'!$D$38*0.6/('I_Inputs &amp; Assumptions'!$B$8/2),'I_Budget Input Data'!$D$38*0.4/('I_Inputs &amp; Assumptions'!$B$8/2)),IF('I_Budget Input Data'!$E$38="Back-loaded",IF(13&lt;='I_Inputs &amp; Assumptions'!$B$8/2,'I_Budget Input Data'!$D$38*0.4/('I_Inputs &amp; Assumptions'!$B$8/2),'I_Budget Input Data'!$D$38*0.6/('I_Inputs &amp; Assumptions'!$B$8/2)),IF('I_Budget Input Data'!$E$38="Mid-weighted",IF(13&lt;='I_Inputs &amp; Assumptions'!$B$8/4,'I_Budget Input Data'!$D$38*0.2/('I_Inputs &amp; Assumptions'!$B$8/4),IF(13&lt;='I_Inputs &amp; Assumptions'!$B$8*0.75,'I_Budget Input Data'!$D$38*0.6/('I_Inputs &amp; Assumptions'!$B$8/2),'I_Budget Input Data'!$D$38*0.2/('I_Inputs &amp; Assumptions'!$B$8/4))),IF('I_Budget Input Data'!$E$38="At Completion",IF(13='I_Inputs &amp; Assumptions'!$B$8,'I_Budget Input Data'!$D$38,0),'I_Budget Input Data'!$D$38/'I_Inputs &amp; Assumptions'!$B$8)))))),0)</f>
        <v>829.23076923076928</v>
      </c>
      <c r="P38" s="91">
        <f>IF(14&lt;='I_Inputs &amp; Assumptions'!$B$8,IF('I_Budget Input Data'!$E$38="Upfront",IF(14=1,'I_Budget Input Data'!$D$38,0),IF('I_Budget Input Data'!$E$38="Equal",'I_Budget Input Data'!$D$38/'I_Inputs &amp; Assumptions'!$B$8,IF('I_Budget Input Data'!$E$38="Front-loaded",IF(14&lt;='I_Inputs &amp; Assumptions'!$B$8/2,'I_Budget Input Data'!$D$38*0.6/('I_Inputs &amp; Assumptions'!$B$8/2),'I_Budget Input Data'!$D$38*0.4/('I_Inputs &amp; Assumptions'!$B$8/2)),IF('I_Budget Input Data'!$E$38="Back-loaded",IF(14&lt;='I_Inputs &amp; Assumptions'!$B$8/2,'I_Budget Input Data'!$D$38*0.4/('I_Inputs &amp; Assumptions'!$B$8/2),'I_Budget Input Data'!$D$38*0.6/('I_Inputs &amp; Assumptions'!$B$8/2)),IF('I_Budget Input Data'!$E$38="Mid-weighted",IF(14&lt;='I_Inputs &amp; Assumptions'!$B$8/4,'I_Budget Input Data'!$D$38*0.2/('I_Inputs &amp; Assumptions'!$B$8/4),IF(14&lt;='I_Inputs &amp; Assumptions'!$B$8*0.75,'I_Budget Input Data'!$D$38*0.6/('I_Inputs &amp; Assumptions'!$B$8/2),'I_Budget Input Data'!$D$38*0.2/('I_Inputs &amp; Assumptions'!$B$8/4))),IF('I_Budget Input Data'!$E$38="At Completion",IF(14='I_Inputs &amp; Assumptions'!$B$8,'I_Budget Input Data'!$D$38,0),'I_Budget Input Data'!$D$38/'I_Inputs &amp; Assumptions'!$B$8)))))),0)</f>
        <v>0</v>
      </c>
      <c r="Q38" s="91">
        <f>IF(15&lt;='I_Inputs &amp; Assumptions'!$B$8,IF('I_Budget Input Data'!$E$38="Upfront",IF(15=1,'I_Budget Input Data'!$D$38,0),IF('I_Budget Input Data'!$E$38="Equal",'I_Budget Input Data'!$D$38/'I_Inputs &amp; Assumptions'!$B$8,IF('I_Budget Input Data'!$E$38="Front-loaded",IF(15&lt;='I_Inputs &amp; Assumptions'!$B$8/2,'I_Budget Input Data'!$D$38*0.6/('I_Inputs &amp; Assumptions'!$B$8/2),'I_Budget Input Data'!$D$38*0.4/('I_Inputs &amp; Assumptions'!$B$8/2)),IF('I_Budget Input Data'!$E$38="Back-loaded",IF(15&lt;='I_Inputs &amp; Assumptions'!$B$8/2,'I_Budget Input Data'!$D$38*0.4/('I_Inputs &amp; Assumptions'!$B$8/2),'I_Budget Input Data'!$D$38*0.6/('I_Inputs &amp; Assumptions'!$B$8/2)),IF('I_Budget Input Data'!$E$38="Mid-weighted",IF(15&lt;='I_Inputs &amp; Assumptions'!$B$8/4,'I_Budget Input Data'!$D$38*0.2/('I_Inputs &amp; Assumptions'!$B$8/4),IF(15&lt;='I_Inputs &amp; Assumptions'!$B$8*0.75,'I_Budget Input Data'!$D$38*0.6/('I_Inputs &amp; Assumptions'!$B$8/2),'I_Budget Input Data'!$D$38*0.2/('I_Inputs &amp; Assumptions'!$B$8/4))),IF('I_Budget Input Data'!$E$38="At Completion",IF(15='I_Inputs &amp; Assumptions'!$B$8,'I_Budget Input Data'!$D$38,0),'I_Budget Input Data'!$D$38/'I_Inputs &amp; Assumptions'!$B$8)))))),0)</f>
        <v>0</v>
      </c>
      <c r="R38" s="91">
        <f>IF(16&lt;='I_Inputs &amp; Assumptions'!$B$8,IF('I_Budget Input Data'!$E$38="Upfront",IF(16=1,'I_Budget Input Data'!$D$38,0),IF('I_Budget Input Data'!$E$38="Equal",'I_Budget Input Data'!$D$38/'I_Inputs &amp; Assumptions'!$B$8,IF('I_Budget Input Data'!$E$38="Front-loaded",IF(16&lt;='I_Inputs &amp; Assumptions'!$B$8/2,'I_Budget Input Data'!$D$38*0.6/('I_Inputs &amp; Assumptions'!$B$8/2),'I_Budget Input Data'!$D$38*0.4/('I_Inputs &amp; Assumptions'!$B$8/2)),IF('I_Budget Input Data'!$E$38="Back-loaded",IF(16&lt;='I_Inputs &amp; Assumptions'!$B$8/2,'I_Budget Input Data'!$D$38*0.4/('I_Inputs &amp; Assumptions'!$B$8/2),'I_Budget Input Data'!$D$38*0.6/('I_Inputs &amp; Assumptions'!$B$8/2)),IF('I_Budget Input Data'!$E$38="Mid-weighted",IF(16&lt;='I_Inputs &amp; Assumptions'!$B$8/4,'I_Budget Input Data'!$D$38*0.2/('I_Inputs &amp; Assumptions'!$B$8/4),IF(16&lt;='I_Inputs &amp; Assumptions'!$B$8*0.75,'I_Budget Input Data'!$D$38*0.6/('I_Inputs &amp; Assumptions'!$B$8/2),'I_Budget Input Data'!$D$38*0.2/('I_Inputs &amp; Assumptions'!$B$8/4))),IF('I_Budget Input Data'!$E$38="At Completion",IF(16='I_Inputs &amp; Assumptions'!$B$8,'I_Budget Input Data'!$D$38,0),'I_Budget Input Data'!$D$38/'I_Inputs &amp; Assumptions'!$B$8)))))),0)</f>
        <v>0</v>
      </c>
      <c r="S38" s="91">
        <f>IF(17&lt;='I_Inputs &amp; Assumptions'!$B$8,IF('I_Budget Input Data'!$E$38="Upfront",IF(17=1,'I_Budget Input Data'!$D$38,0),IF('I_Budget Input Data'!$E$38="Equal",'I_Budget Input Data'!$D$38/'I_Inputs &amp; Assumptions'!$B$8,IF('I_Budget Input Data'!$E$38="Front-loaded",IF(17&lt;='I_Inputs &amp; Assumptions'!$B$8/2,'I_Budget Input Data'!$D$38*0.6/('I_Inputs &amp; Assumptions'!$B$8/2),'I_Budget Input Data'!$D$38*0.4/('I_Inputs &amp; Assumptions'!$B$8/2)),IF('I_Budget Input Data'!$E$38="Back-loaded",IF(17&lt;='I_Inputs &amp; Assumptions'!$B$8/2,'I_Budget Input Data'!$D$38*0.4/('I_Inputs &amp; Assumptions'!$B$8/2),'I_Budget Input Data'!$D$38*0.6/('I_Inputs &amp; Assumptions'!$B$8/2)),IF('I_Budget Input Data'!$E$38="Mid-weighted",IF(17&lt;='I_Inputs &amp; Assumptions'!$B$8/4,'I_Budget Input Data'!$D$38*0.2/('I_Inputs &amp; Assumptions'!$B$8/4),IF(17&lt;='I_Inputs &amp; Assumptions'!$B$8*0.75,'I_Budget Input Data'!$D$38*0.6/('I_Inputs &amp; Assumptions'!$B$8/2),'I_Budget Input Data'!$D$38*0.2/('I_Inputs &amp; Assumptions'!$B$8/4))),IF('I_Budget Input Data'!$E$38="At Completion",IF(17='I_Inputs &amp; Assumptions'!$B$8,'I_Budget Input Data'!$D$38,0),'I_Budget Input Data'!$D$38/'I_Inputs &amp; Assumptions'!$B$8)))))),0)</f>
        <v>0</v>
      </c>
      <c r="T38" s="91">
        <f>IF(18&lt;='I_Inputs &amp; Assumptions'!$B$8,IF('I_Budget Input Data'!$E$38="Upfront",IF(18=1,'I_Budget Input Data'!$D$38,0),IF('I_Budget Input Data'!$E$38="Equal",'I_Budget Input Data'!$D$38/'I_Inputs &amp; Assumptions'!$B$8,IF('I_Budget Input Data'!$E$38="Front-loaded",IF(18&lt;='I_Inputs &amp; Assumptions'!$B$8/2,'I_Budget Input Data'!$D$38*0.6/('I_Inputs &amp; Assumptions'!$B$8/2),'I_Budget Input Data'!$D$38*0.4/('I_Inputs &amp; Assumptions'!$B$8/2)),IF('I_Budget Input Data'!$E$38="Back-loaded",IF(18&lt;='I_Inputs &amp; Assumptions'!$B$8/2,'I_Budget Input Data'!$D$38*0.4/('I_Inputs &amp; Assumptions'!$B$8/2),'I_Budget Input Data'!$D$38*0.6/('I_Inputs &amp; Assumptions'!$B$8/2)),IF('I_Budget Input Data'!$E$38="Mid-weighted",IF(18&lt;='I_Inputs &amp; Assumptions'!$B$8/4,'I_Budget Input Data'!$D$38*0.2/('I_Inputs &amp; Assumptions'!$B$8/4),IF(18&lt;='I_Inputs &amp; Assumptions'!$B$8*0.75,'I_Budget Input Data'!$D$38*0.6/('I_Inputs &amp; Assumptions'!$B$8/2),'I_Budget Input Data'!$D$38*0.2/('I_Inputs &amp; Assumptions'!$B$8/4))),IF('I_Budget Input Data'!$E$38="At Completion",IF(18='I_Inputs &amp; Assumptions'!$B$8,'I_Budget Input Data'!$D$38,0),'I_Budget Input Data'!$D$38/'I_Inputs &amp; Assumptions'!$B$8)))))),0)</f>
        <v>0</v>
      </c>
      <c r="U38" s="91">
        <f>IF(19&lt;='I_Inputs &amp; Assumptions'!$B$8,IF('I_Budget Input Data'!$E$38="Upfront",IF(19=1,'I_Budget Input Data'!$D$38,0),IF('I_Budget Input Data'!$E$38="Equal",'I_Budget Input Data'!$D$38/'I_Inputs &amp; Assumptions'!$B$8,IF('I_Budget Input Data'!$E$38="Front-loaded",IF(19&lt;='I_Inputs &amp; Assumptions'!$B$8/2,'I_Budget Input Data'!$D$38*0.6/('I_Inputs &amp; Assumptions'!$B$8/2),'I_Budget Input Data'!$D$38*0.4/('I_Inputs &amp; Assumptions'!$B$8/2)),IF('I_Budget Input Data'!$E$38="Back-loaded",IF(19&lt;='I_Inputs &amp; Assumptions'!$B$8/2,'I_Budget Input Data'!$D$38*0.4/('I_Inputs &amp; Assumptions'!$B$8/2),'I_Budget Input Data'!$D$38*0.6/('I_Inputs &amp; Assumptions'!$B$8/2)),IF('I_Budget Input Data'!$E$38="Mid-weighted",IF(19&lt;='I_Inputs &amp; Assumptions'!$B$8/4,'I_Budget Input Data'!$D$38*0.2/('I_Inputs &amp; Assumptions'!$B$8/4),IF(19&lt;='I_Inputs &amp; Assumptions'!$B$8*0.75,'I_Budget Input Data'!$D$38*0.6/('I_Inputs &amp; Assumptions'!$B$8/2),'I_Budget Input Data'!$D$38*0.2/('I_Inputs &amp; Assumptions'!$B$8/4))),IF('I_Budget Input Data'!$E$38="At Completion",IF(19='I_Inputs &amp; Assumptions'!$B$8,'I_Budget Input Data'!$D$38,0),'I_Budget Input Data'!$D$38/'I_Inputs &amp; Assumptions'!$B$8)))))),0)</f>
        <v>0</v>
      </c>
      <c r="V38" s="91">
        <f>IF(20&lt;='I_Inputs &amp; Assumptions'!$B$8,IF('I_Budget Input Data'!$E$38="Upfront",IF(20=1,'I_Budget Input Data'!$D$38,0),IF('I_Budget Input Data'!$E$38="Equal",'I_Budget Input Data'!$D$38/'I_Inputs &amp; Assumptions'!$B$8,IF('I_Budget Input Data'!$E$38="Front-loaded",IF(20&lt;='I_Inputs &amp; Assumptions'!$B$8/2,'I_Budget Input Data'!$D$38*0.6/('I_Inputs &amp; Assumptions'!$B$8/2),'I_Budget Input Data'!$D$38*0.4/('I_Inputs &amp; Assumptions'!$B$8/2)),IF('I_Budget Input Data'!$E$38="Back-loaded",IF(20&lt;='I_Inputs &amp; Assumptions'!$B$8/2,'I_Budget Input Data'!$D$38*0.4/('I_Inputs &amp; Assumptions'!$B$8/2),'I_Budget Input Data'!$D$38*0.6/('I_Inputs &amp; Assumptions'!$B$8/2)),IF('I_Budget Input Data'!$E$38="Mid-weighted",IF(20&lt;='I_Inputs &amp; Assumptions'!$B$8/4,'I_Budget Input Data'!$D$38*0.2/('I_Inputs &amp; Assumptions'!$B$8/4),IF(20&lt;='I_Inputs &amp; Assumptions'!$B$8*0.75,'I_Budget Input Data'!$D$38*0.6/('I_Inputs &amp; Assumptions'!$B$8/2),'I_Budget Input Data'!$D$38*0.2/('I_Inputs &amp; Assumptions'!$B$8/4))),IF('I_Budget Input Data'!$E$38="At Completion",IF(20='I_Inputs &amp; Assumptions'!$B$8,'I_Budget Input Data'!$D$38,0),'I_Budget Input Data'!$D$38/'I_Inputs &amp; Assumptions'!$B$8)))))),0)</f>
        <v>0</v>
      </c>
      <c r="W38" s="91">
        <f>IF(21&lt;='I_Inputs &amp; Assumptions'!$B$8,IF('I_Budget Input Data'!$E$38="Upfront",IF(21=1,'I_Budget Input Data'!$D$38,0),IF('I_Budget Input Data'!$E$38="Equal",'I_Budget Input Data'!$D$38/'I_Inputs &amp; Assumptions'!$B$8,IF('I_Budget Input Data'!$E$38="Front-loaded",IF(21&lt;='I_Inputs &amp; Assumptions'!$B$8/2,'I_Budget Input Data'!$D$38*0.6/('I_Inputs &amp; Assumptions'!$B$8/2),'I_Budget Input Data'!$D$38*0.4/('I_Inputs &amp; Assumptions'!$B$8/2)),IF('I_Budget Input Data'!$E$38="Back-loaded",IF(21&lt;='I_Inputs &amp; Assumptions'!$B$8/2,'I_Budget Input Data'!$D$38*0.4/('I_Inputs &amp; Assumptions'!$B$8/2),'I_Budget Input Data'!$D$38*0.6/('I_Inputs &amp; Assumptions'!$B$8/2)),IF('I_Budget Input Data'!$E$38="Mid-weighted",IF(21&lt;='I_Inputs &amp; Assumptions'!$B$8/4,'I_Budget Input Data'!$D$38*0.2/('I_Inputs &amp; Assumptions'!$B$8/4),IF(21&lt;='I_Inputs &amp; Assumptions'!$B$8*0.75,'I_Budget Input Data'!$D$38*0.6/('I_Inputs &amp; Assumptions'!$B$8/2),'I_Budget Input Data'!$D$38*0.2/('I_Inputs &amp; Assumptions'!$B$8/4))),IF('I_Budget Input Data'!$E$38="At Completion",IF(21='I_Inputs &amp; Assumptions'!$B$8,'I_Budget Input Data'!$D$38,0),'I_Budget Input Data'!$D$38/'I_Inputs &amp; Assumptions'!$B$8)))))),0)</f>
        <v>0</v>
      </c>
      <c r="X38" s="91">
        <f>IF(22&lt;='I_Inputs &amp; Assumptions'!$B$8,IF('I_Budget Input Data'!$E$38="Upfront",IF(22=1,'I_Budget Input Data'!$D$38,0),IF('I_Budget Input Data'!$E$38="Equal",'I_Budget Input Data'!$D$38/'I_Inputs &amp; Assumptions'!$B$8,IF('I_Budget Input Data'!$E$38="Front-loaded",IF(22&lt;='I_Inputs &amp; Assumptions'!$B$8/2,'I_Budget Input Data'!$D$38*0.6/('I_Inputs &amp; Assumptions'!$B$8/2),'I_Budget Input Data'!$D$38*0.4/('I_Inputs &amp; Assumptions'!$B$8/2)),IF('I_Budget Input Data'!$E$38="Back-loaded",IF(22&lt;='I_Inputs &amp; Assumptions'!$B$8/2,'I_Budget Input Data'!$D$38*0.4/('I_Inputs &amp; Assumptions'!$B$8/2),'I_Budget Input Data'!$D$38*0.6/('I_Inputs &amp; Assumptions'!$B$8/2)),IF('I_Budget Input Data'!$E$38="Mid-weighted",IF(22&lt;='I_Inputs &amp; Assumptions'!$B$8/4,'I_Budget Input Data'!$D$38*0.2/('I_Inputs &amp; Assumptions'!$B$8/4),IF(22&lt;='I_Inputs &amp; Assumptions'!$B$8*0.75,'I_Budget Input Data'!$D$38*0.6/('I_Inputs &amp; Assumptions'!$B$8/2),'I_Budget Input Data'!$D$38*0.2/('I_Inputs &amp; Assumptions'!$B$8/4))),IF('I_Budget Input Data'!$E$38="At Completion",IF(22='I_Inputs &amp; Assumptions'!$B$8,'I_Budget Input Data'!$D$38,0),'I_Budget Input Data'!$D$38/'I_Inputs &amp; Assumptions'!$B$8)))))),0)</f>
        <v>0</v>
      </c>
      <c r="Y38" s="91">
        <f>IF(23&lt;='I_Inputs &amp; Assumptions'!$B$8,IF('I_Budget Input Data'!$E$38="Upfront",IF(23=1,'I_Budget Input Data'!$D$38,0),IF('I_Budget Input Data'!$E$38="Equal",'I_Budget Input Data'!$D$38/'I_Inputs &amp; Assumptions'!$B$8,IF('I_Budget Input Data'!$E$38="Front-loaded",IF(23&lt;='I_Inputs &amp; Assumptions'!$B$8/2,'I_Budget Input Data'!$D$38*0.6/('I_Inputs &amp; Assumptions'!$B$8/2),'I_Budget Input Data'!$D$38*0.4/('I_Inputs &amp; Assumptions'!$B$8/2)),IF('I_Budget Input Data'!$E$38="Back-loaded",IF(23&lt;='I_Inputs &amp; Assumptions'!$B$8/2,'I_Budget Input Data'!$D$38*0.4/('I_Inputs &amp; Assumptions'!$B$8/2),'I_Budget Input Data'!$D$38*0.6/('I_Inputs &amp; Assumptions'!$B$8/2)),IF('I_Budget Input Data'!$E$38="Mid-weighted",IF(23&lt;='I_Inputs &amp; Assumptions'!$B$8/4,'I_Budget Input Data'!$D$38*0.2/('I_Inputs &amp; Assumptions'!$B$8/4),IF(23&lt;='I_Inputs &amp; Assumptions'!$B$8*0.75,'I_Budget Input Data'!$D$38*0.6/('I_Inputs &amp; Assumptions'!$B$8/2),'I_Budget Input Data'!$D$38*0.2/('I_Inputs &amp; Assumptions'!$B$8/4))),IF('I_Budget Input Data'!$E$38="At Completion",IF(23='I_Inputs &amp; Assumptions'!$B$8,'I_Budget Input Data'!$D$38,0),'I_Budget Input Data'!$D$38/'I_Inputs &amp; Assumptions'!$B$8)))))),0)</f>
        <v>0</v>
      </c>
      <c r="Z38" s="91">
        <f>IF(24&lt;='I_Inputs &amp; Assumptions'!$B$8,IF('I_Budget Input Data'!$E$38="Upfront",IF(24=1,'I_Budget Input Data'!$D$38,0),IF('I_Budget Input Data'!$E$38="Equal",'I_Budget Input Data'!$D$38/'I_Inputs &amp; Assumptions'!$B$8,IF('I_Budget Input Data'!$E$38="Front-loaded",IF(24&lt;='I_Inputs &amp; Assumptions'!$B$8/2,'I_Budget Input Data'!$D$38*0.6/('I_Inputs &amp; Assumptions'!$B$8/2),'I_Budget Input Data'!$D$38*0.4/('I_Inputs &amp; Assumptions'!$B$8/2)),IF('I_Budget Input Data'!$E$38="Back-loaded",IF(24&lt;='I_Inputs &amp; Assumptions'!$B$8/2,'I_Budget Input Data'!$D$38*0.4/('I_Inputs &amp; Assumptions'!$B$8/2),'I_Budget Input Data'!$D$38*0.6/('I_Inputs &amp; Assumptions'!$B$8/2)),IF('I_Budget Input Data'!$E$38="Mid-weighted",IF(24&lt;='I_Inputs &amp; Assumptions'!$B$8/4,'I_Budget Input Data'!$D$38*0.2/('I_Inputs &amp; Assumptions'!$B$8/4),IF(24&lt;='I_Inputs &amp; Assumptions'!$B$8*0.75,'I_Budget Input Data'!$D$38*0.6/('I_Inputs &amp; Assumptions'!$B$8/2),'I_Budget Input Data'!$D$38*0.2/('I_Inputs &amp; Assumptions'!$B$8/4))),IF('I_Budget Input Data'!$E$38="At Completion",IF(24='I_Inputs &amp; Assumptions'!$B$8,'I_Budget Input Data'!$D$38,0),'I_Budget Input Data'!$D$38/'I_Inputs &amp; Assumptions'!$B$8)))))),0)</f>
        <v>0</v>
      </c>
      <c r="AA38" s="91">
        <f>IF(25&lt;='I_Inputs &amp; Assumptions'!$B$8,IF('I_Budget Input Data'!$E$38="Upfront",IF(25=1,'I_Budget Input Data'!$D$38,0),IF('I_Budget Input Data'!$E$38="Equal",'I_Budget Input Data'!$D$38/'I_Inputs &amp; Assumptions'!$B$8,IF('I_Budget Input Data'!$E$38="Front-loaded",IF(25&lt;='I_Inputs &amp; Assumptions'!$B$8/2,'I_Budget Input Data'!$D$38*0.6/('I_Inputs &amp; Assumptions'!$B$8/2),'I_Budget Input Data'!$D$38*0.4/('I_Inputs &amp; Assumptions'!$B$8/2)),IF('I_Budget Input Data'!$E$38="Back-loaded",IF(25&lt;='I_Inputs &amp; Assumptions'!$B$8/2,'I_Budget Input Data'!$D$38*0.4/('I_Inputs &amp; Assumptions'!$B$8/2),'I_Budget Input Data'!$D$38*0.6/('I_Inputs &amp; Assumptions'!$B$8/2)),IF('I_Budget Input Data'!$E$38="Mid-weighted",IF(25&lt;='I_Inputs &amp; Assumptions'!$B$8/4,'I_Budget Input Data'!$D$38*0.2/('I_Inputs &amp; Assumptions'!$B$8/4),IF(25&lt;='I_Inputs &amp; Assumptions'!$B$8*0.75,'I_Budget Input Data'!$D$38*0.6/('I_Inputs &amp; Assumptions'!$B$8/2),'I_Budget Input Data'!$D$38*0.2/('I_Inputs &amp; Assumptions'!$B$8/4))),IF('I_Budget Input Data'!$E$38="At Completion",IF(25='I_Inputs &amp; Assumptions'!$B$8,'I_Budget Input Data'!$D$38,0),'I_Budget Input Data'!$D$38/'I_Inputs &amp; Assumptions'!$B$8)))))),0)</f>
        <v>0</v>
      </c>
      <c r="AB38" s="91">
        <f>IF(26&lt;='I_Inputs &amp; Assumptions'!$B$8,IF('I_Budget Input Data'!$E$38="Upfront",IF(26=1,'I_Budget Input Data'!$D$38,0),IF('I_Budget Input Data'!$E$38="Equal",'I_Budget Input Data'!$D$38/'I_Inputs &amp; Assumptions'!$B$8,IF('I_Budget Input Data'!$E$38="Front-loaded",IF(26&lt;='I_Inputs &amp; Assumptions'!$B$8/2,'I_Budget Input Data'!$D$38*0.6/('I_Inputs &amp; Assumptions'!$B$8/2),'I_Budget Input Data'!$D$38*0.4/('I_Inputs &amp; Assumptions'!$B$8/2)),IF('I_Budget Input Data'!$E$38="Back-loaded",IF(26&lt;='I_Inputs &amp; Assumptions'!$B$8/2,'I_Budget Input Data'!$D$38*0.4/('I_Inputs &amp; Assumptions'!$B$8/2),'I_Budget Input Data'!$D$38*0.6/('I_Inputs &amp; Assumptions'!$B$8/2)),IF('I_Budget Input Data'!$E$38="Mid-weighted",IF(26&lt;='I_Inputs &amp; Assumptions'!$B$8/4,'I_Budget Input Data'!$D$38*0.2/('I_Inputs &amp; Assumptions'!$B$8/4),IF(26&lt;='I_Inputs &amp; Assumptions'!$B$8*0.75,'I_Budget Input Data'!$D$38*0.6/('I_Inputs &amp; Assumptions'!$B$8/2),'I_Budget Input Data'!$D$38*0.2/('I_Inputs &amp; Assumptions'!$B$8/4))),IF('I_Budget Input Data'!$E$38="At Completion",IF(26='I_Inputs &amp; Assumptions'!$B$8,'I_Budget Input Data'!$D$38,0),'I_Budget Input Data'!$D$38/'I_Inputs &amp; Assumptions'!$B$8)))))),0)</f>
        <v>0</v>
      </c>
      <c r="AC38" s="91">
        <f>IF(27&lt;='I_Inputs &amp; Assumptions'!$B$8,IF('I_Budget Input Data'!$E$38="Upfront",IF(27=1,'I_Budget Input Data'!$D$38,0),IF('I_Budget Input Data'!$E$38="Equal",'I_Budget Input Data'!$D$38/'I_Inputs &amp; Assumptions'!$B$8,IF('I_Budget Input Data'!$E$38="Front-loaded",IF(27&lt;='I_Inputs &amp; Assumptions'!$B$8/2,'I_Budget Input Data'!$D$38*0.6/('I_Inputs &amp; Assumptions'!$B$8/2),'I_Budget Input Data'!$D$38*0.4/('I_Inputs &amp; Assumptions'!$B$8/2)),IF('I_Budget Input Data'!$E$38="Back-loaded",IF(27&lt;='I_Inputs &amp; Assumptions'!$B$8/2,'I_Budget Input Data'!$D$38*0.4/('I_Inputs &amp; Assumptions'!$B$8/2),'I_Budget Input Data'!$D$38*0.6/('I_Inputs &amp; Assumptions'!$B$8/2)),IF('I_Budget Input Data'!$E$38="Mid-weighted",IF(27&lt;='I_Inputs &amp; Assumptions'!$B$8/4,'I_Budget Input Data'!$D$38*0.2/('I_Inputs &amp; Assumptions'!$B$8/4),IF(27&lt;='I_Inputs &amp; Assumptions'!$B$8*0.75,'I_Budget Input Data'!$D$38*0.6/('I_Inputs &amp; Assumptions'!$B$8/2),'I_Budget Input Data'!$D$38*0.2/('I_Inputs &amp; Assumptions'!$B$8/4))),IF('I_Budget Input Data'!$E$38="At Completion",IF(27='I_Inputs &amp; Assumptions'!$B$8,'I_Budget Input Data'!$D$38,0),'I_Budget Input Data'!$D$38/'I_Inputs &amp; Assumptions'!$B$8)))))),0)</f>
        <v>0</v>
      </c>
      <c r="AD38" s="91">
        <f>IF(28&lt;='I_Inputs &amp; Assumptions'!$B$8,IF('I_Budget Input Data'!$E$38="Upfront",IF(28=1,'I_Budget Input Data'!$D$38,0),IF('I_Budget Input Data'!$E$38="Equal",'I_Budget Input Data'!$D$38/'I_Inputs &amp; Assumptions'!$B$8,IF('I_Budget Input Data'!$E$38="Front-loaded",IF(28&lt;='I_Inputs &amp; Assumptions'!$B$8/2,'I_Budget Input Data'!$D$38*0.6/('I_Inputs &amp; Assumptions'!$B$8/2),'I_Budget Input Data'!$D$38*0.4/('I_Inputs &amp; Assumptions'!$B$8/2)),IF('I_Budget Input Data'!$E$38="Back-loaded",IF(28&lt;='I_Inputs &amp; Assumptions'!$B$8/2,'I_Budget Input Data'!$D$38*0.4/('I_Inputs &amp; Assumptions'!$B$8/2),'I_Budget Input Data'!$D$38*0.6/('I_Inputs &amp; Assumptions'!$B$8/2)),IF('I_Budget Input Data'!$E$38="Mid-weighted",IF(28&lt;='I_Inputs &amp; Assumptions'!$B$8/4,'I_Budget Input Data'!$D$38*0.2/('I_Inputs &amp; Assumptions'!$B$8/4),IF(28&lt;='I_Inputs &amp; Assumptions'!$B$8*0.75,'I_Budget Input Data'!$D$38*0.6/('I_Inputs &amp; Assumptions'!$B$8/2),'I_Budget Input Data'!$D$38*0.2/('I_Inputs &amp; Assumptions'!$B$8/4))),IF('I_Budget Input Data'!$E$38="At Completion",IF(28='I_Inputs &amp; Assumptions'!$B$8,'I_Budget Input Data'!$D$38,0),'I_Budget Input Data'!$D$38/'I_Inputs &amp; Assumptions'!$B$8)))))),0)</f>
        <v>0</v>
      </c>
      <c r="AE38" s="91">
        <f>IF(29&lt;='I_Inputs &amp; Assumptions'!$B$8,IF('I_Budget Input Data'!$E$38="Upfront",IF(29=1,'I_Budget Input Data'!$D$38,0),IF('I_Budget Input Data'!$E$38="Equal",'I_Budget Input Data'!$D$38/'I_Inputs &amp; Assumptions'!$B$8,IF('I_Budget Input Data'!$E$38="Front-loaded",IF(29&lt;='I_Inputs &amp; Assumptions'!$B$8/2,'I_Budget Input Data'!$D$38*0.6/('I_Inputs &amp; Assumptions'!$B$8/2),'I_Budget Input Data'!$D$38*0.4/('I_Inputs &amp; Assumptions'!$B$8/2)),IF('I_Budget Input Data'!$E$38="Back-loaded",IF(29&lt;='I_Inputs &amp; Assumptions'!$B$8/2,'I_Budget Input Data'!$D$38*0.4/('I_Inputs &amp; Assumptions'!$B$8/2),'I_Budget Input Data'!$D$38*0.6/('I_Inputs &amp; Assumptions'!$B$8/2)),IF('I_Budget Input Data'!$E$38="Mid-weighted",IF(29&lt;='I_Inputs &amp; Assumptions'!$B$8/4,'I_Budget Input Data'!$D$38*0.2/('I_Inputs &amp; Assumptions'!$B$8/4),IF(29&lt;='I_Inputs &amp; Assumptions'!$B$8*0.75,'I_Budget Input Data'!$D$38*0.6/('I_Inputs &amp; Assumptions'!$B$8/2),'I_Budget Input Data'!$D$38*0.2/('I_Inputs &amp; Assumptions'!$B$8/4))),IF('I_Budget Input Data'!$E$38="At Completion",IF(29='I_Inputs &amp; Assumptions'!$B$8,'I_Budget Input Data'!$D$38,0),'I_Budget Input Data'!$D$38/'I_Inputs &amp; Assumptions'!$B$8)))))),0)</f>
        <v>0</v>
      </c>
      <c r="AF38" s="91">
        <f>IF(30&lt;='I_Inputs &amp; Assumptions'!$B$8,IF('I_Budget Input Data'!$E$38="Upfront",IF(30=1,'I_Budget Input Data'!$D$38,0),IF('I_Budget Input Data'!$E$38="Equal",'I_Budget Input Data'!$D$38/'I_Inputs &amp; Assumptions'!$B$8,IF('I_Budget Input Data'!$E$38="Front-loaded",IF(30&lt;='I_Inputs &amp; Assumptions'!$B$8/2,'I_Budget Input Data'!$D$38*0.6/('I_Inputs &amp; Assumptions'!$B$8/2),'I_Budget Input Data'!$D$38*0.4/('I_Inputs &amp; Assumptions'!$B$8/2)),IF('I_Budget Input Data'!$E$38="Back-loaded",IF(30&lt;='I_Inputs &amp; Assumptions'!$B$8/2,'I_Budget Input Data'!$D$38*0.4/('I_Inputs &amp; Assumptions'!$B$8/2),'I_Budget Input Data'!$D$38*0.6/('I_Inputs &amp; Assumptions'!$B$8/2)),IF('I_Budget Input Data'!$E$38="Mid-weighted",IF(30&lt;='I_Inputs &amp; Assumptions'!$B$8/4,'I_Budget Input Data'!$D$38*0.2/('I_Inputs &amp; Assumptions'!$B$8/4),IF(30&lt;='I_Inputs &amp; Assumptions'!$B$8*0.75,'I_Budget Input Data'!$D$38*0.6/('I_Inputs &amp; Assumptions'!$B$8/2),'I_Budget Input Data'!$D$38*0.2/('I_Inputs &amp; Assumptions'!$B$8/4))),IF('I_Budget Input Data'!$E$38="At Completion",IF(30='I_Inputs &amp; Assumptions'!$B$8,'I_Budget Input Data'!$D$38,0),'I_Budget Input Data'!$D$38/'I_Inputs &amp; Assumptions'!$B$8)))))),0)</f>
        <v>0</v>
      </c>
      <c r="AG38" s="91">
        <f>IF(31&lt;='I_Inputs &amp; Assumptions'!$B$8,IF('I_Budget Input Data'!$E$38="Upfront",IF(31=1,'I_Budget Input Data'!$D$38,0),IF('I_Budget Input Data'!$E$38="Equal",'I_Budget Input Data'!$D$38/'I_Inputs &amp; Assumptions'!$B$8,IF('I_Budget Input Data'!$E$38="Front-loaded",IF(31&lt;='I_Inputs &amp; Assumptions'!$B$8/2,'I_Budget Input Data'!$D$38*0.6/('I_Inputs &amp; Assumptions'!$B$8/2),'I_Budget Input Data'!$D$38*0.4/('I_Inputs &amp; Assumptions'!$B$8/2)),IF('I_Budget Input Data'!$E$38="Back-loaded",IF(31&lt;='I_Inputs &amp; Assumptions'!$B$8/2,'I_Budget Input Data'!$D$38*0.4/('I_Inputs &amp; Assumptions'!$B$8/2),'I_Budget Input Data'!$D$38*0.6/('I_Inputs &amp; Assumptions'!$B$8/2)),IF('I_Budget Input Data'!$E$38="Mid-weighted",IF(31&lt;='I_Inputs &amp; Assumptions'!$B$8/4,'I_Budget Input Data'!$D$38*0.2/('I_Inputs &amp; Assumptions'!$B$8/4),IF(31&lt;='I_Inputs &amp; Assumptions'!$B$8*0.75,'I_Budget Input Data'!$D$38*0.6/('I_Inputs &amp; Assumptions'!$B$8/2),'I_Budget Input Data'!$D$38*0.2/('I_Inputs &amp; Assumptions'!$B$8/4))),IF('I_Budget Input Data'!$E$38="At Completion",IF(31='I_Inputs &amp; Assumptions'!$B$8,'I_Budget Input Data'!$D$38,0),'I_Budget Input Data'!$D$38/'I_Inputs &amp; Assumptions'!$B$8)))))),0)</f>
        <v>0</v>
      </c>
      <c r="AH38" s="91">
        <f>IF(32&lt;='I_Inputs &amp; Assumptions'!$B$8,IF('I_Budget Input Data'!$E$38="Upfront",IF(32=1,'I_Budget Input Data'!$D$38,0),IF('I_Budget Input Data'!$E$38="Equal",'I_Budget Input Data'!$D$38/'I_Inputs &amp; Assumptions'!$B$8,IF('I_Budget Input Data'!$E$38="Front-loaded",IF(32&lt;='I_Inputs &amp; Assumptions'!$B$8/2,'I_Budget Input Data'!$D$38*0.6/('I_Inputs &amp; Assumptions'!$B$8/2),'I_Budget Input Data'!$D$38*0.4/('I_Inputs &amp; Assumptions'!$B$8/2)),IF('I_Budget Input Data'!$E$38="Back-loaded",IF(32&lt;='I_Inputs &amp; Assumptions'!$B$8/2,'I_Budget Input Data'!$D$38*0.4/('I_Inputs &amp; Assumptions'!$B$8/2),'I_Budget Input Data'!$D$38*0.6/('I_Inputs &amp; Assumptions'!$B$8/2)),IF('I_Budget Input Data'!$E$38="Mid-weighted",IF(32&lt;='I_Inputs &amp; Assumptions'!$B$8/4,'I_Budget Input Data'!$D$38*0.2/('I_Inputs &amp; Assumptions'!$B$8/4),IF(32&lt;='I_Inputs &amp; Assumptions'!$B$8*0.75,'I_Budget Input Data'!$D$38*0.6/('I_Inputs &amp; Assumptions'!$B$8/2),'I_Budget Input Data'!$D$38*0.2/('I_Inputs &amp; Assumptions'!$B$8/4))),IF('I_Budget Input Data'!$E$38="At Completion",IF(32='I_Inputs &amp; Assumptions'!$B$8,'I_Budget Input Data'!$D$38,0),'I_Budget Input Data'!$D$38/'I_Inputs &amp; Assumptions'!$B$8)))))),0)</f>
        <v>0</v>
      </c>
      <c r="AI38" s="91">
        <f>IF(33&lt;='I_Inputs &amp; Assumptions'!$B$8,IF('I_Budget Input Data'!$E$38="Upfront",IF(33=1,'I_Budget Input Data'!$D$38,0),IF('I_Budget Input Data'!$E$38="Equal",'I_Budget Input Data'!$D$38/'I_Inputs &amp; Assumptions'!$B$8,IF('I_Budget Input Data'!$E$38="Front-loaded",IF(33&lt;='I_Inputs &amp; Assumptions'!$B$8/2,'I_Budget Input Data'!$D$38*0.6/('I_Inputs &amp; Assumptions'!$B$8/2),'I_Budget Input Data'!$D$38*0.4/('I_Inputs &amp; Assumptions'!$B$8/2)),IF('I_Budget Input Data'!$E$38="Back-loaded",IF(33&lt;='I_Inputs &amp; Assumptions'!$B$8/2,'I_Budget Input Data'!$D$38*0.4/('I_Inputs &amp; Assumptions'!$B$8/2),'I_Budget Input Data'!$D$38*0.6/('I_Inputs &amp; Assumptions'!$B$8/2)),IF('I_Budget Input Data'!$E$38="Mid-weighted",IF(33&lt;='I_Inputs &amp; Assumptions'!$B$8/4,'I_Budget Input Data'!$D$38*0.2/('I_Inputs &amp; Assumptions'!$B$8/4),IF(33&lt;='I_Inputs &amp; Assumptions'!$B$8*0.75,'I_Budget Input Data'!$D$38*0.6/('I_Inputs &amp; Assumptions'!$B$8/2),'I_Budget Input Data'!$D$38*0.2/('I_Inputs &amp; Assumptions'!$B$8/4))),IF('I_Budget Input Data'!$E$38="At Completion",IF(33='I_Inputs &amp; Assumptions'!$B$8,'I_Budget Input Data'!$D$38,0),'I_Budget Input Data'!$D$38/'I_Inputs &amp; Assumptions'!$B$8)))))),0)</f>
        <v>0</v>
      </c>
      <c r="AJ38" s="91">
        <f>IF(34&lt;='I_Inputs &amp; Assumptions'!$B$8,IF('I_Budget Input Data'!$E$38="Upfront",IF(34=1,'I_Budget Input Data'!$D$38,0),IF('I_Budget Input Data'!$E$38="Equal",'I_Budget Input Data'!$D$38/'I_Inputs &amp; Assumptions'!$B$8,IF('I_Budget Input Data'!$E$38="Front-loaded",IF(34&lt;='I_Inputs &amp; Assumptions'!$B$8/2,'I_Budget Input Data'!$D$38*0.6/('I_Inputs &amp; Assumptions'!$B$8/2),'I_Budget Input Data'!$D$38*0.4/('I_Inputs &amp; Assumptions'!$B$8/2)),IF('I_Budget Input Data'!$E$38="Back-loaded",IF(34&lt;='I_Inputs &amp; Assumptions'!$B$8/2,'I_Budget Input Data'!$D$38*0.4/('I_Inputs &amp; Assumptions'!$B$8/2),'I_Budget Input Data'!$D$38*0.6/('I_Inputs &amp; Assumptions'!$B$8/2)),IF('I_Budget Input Data'!$E$38="Mid-weighted",IF(34&lt;='I_Inputs &amp; Assumptions'!$B$8/4,'I_Budget Input Data'!$D$38*0.2/('I_Inputs &amp; Assumptions'!$B$8/4),IF(34&lt;='I_Inputs &amp; Assumptions'!$B$8*0.75,'I_Budget Input Data'!$D$38*0.6/('I_Inputs &amp; Assumptions'!$B$8/2),'I_Budget Input Data'!$D$38*0.2/('I_Inputs &amp; Assumptions'!$B$8/4))),IF('I_Budget Input Data'!$E$38="At Completion",IF(34='I_Inputs &amp; Assumptions'!$B$8,'I_Budget Input Data'!$D$38,0),'I_Budget Input Data'!$D$38/'I_Inputs &amp; Assumptions'!$B$8)))))),0)</f>
        <v>0</v>
      </c>
      <c r="AK38" s="91">
        <f>IF(35&lt;='I_Inputs &amp; Assumptions'!$B$8,IF('I_Budget Input Data'!$E$38="Upfront",IF(35=1,'I_Budget Input Data'!$D$38,0),IF('I_Budget Input Data'!$E$38="Equal",'I_Budget Input Data'!$D$38/'I_Inputs &amp; Assumptions'!$B$8,IF('I_Budget Input Data'!$E$38="Front-loaded",IF(35&lt;='I_Inputs &amp; Assumptions'!$B$8/2,'I_Budget Input Data'!$D$38*0.6/('I_Inputs &amp; Assumptions'!$B$8/2),'I_Budget Input Data'!$D$38*0.4/('I_Inputs &amp; Assumptions'!$B$8/2)),IF('I_Budget Input Data'!$E$38="Back-loaded",IF(35&lt;='I_Inputs &amp; Assumptions'!$B$8/2,'I_Budget Input Data'!$D$38*0.4/('I_Inputs &amp; Assumptions'!$B$8/2),'I_Budget Input Data'!$D$38*0.6/('I_Inputs &amp; Assumptions'!$B$8/2)),IF('I_Budget Input Data'!$E$38="Mid-weighted",IF(35&lt;='I_Inputs &amp; Assumptions'!$B$8/4,'I_Budget Input Data'!$D$38*0.2/('I_Inputs &amp; Assumptions'!$B$8/4),IF(35&lt;='I_Inputs &amp; Assumptions'!$B$8*0.75,'I_Budget Input Data'!$D$38*0.6/('I_Inputs &amp; Assumptions'!$B$8/2),'I_Budget Input Data'!$D$38*0.2/('I_Inputs &amp; Assumptions'!$B$8/4))),IF('I_Budget Input Data'!$E$38="At Completion",IF(35='I_Inputs &amp; Assumptions'!$B$8,'I_Budget Input Data'!$D$38,0),'I_Budget Input Data'!$D$38/'I_Inputs &amp; Assumptions'!$B$8)))))),0)</f>
        <v>0</v>
      </c>
      <c r="AL38" s="91">
        <f>IF(36&lt;='I_Inputs &amp; Assumptions'!$B$8,IF('I_Budget Input Data'!$E$38="Upfront",IF(36=1,'I_Budget Input Data'!$D$38,0),IF('I_Budget Input Data'!$E$38="Equal",'I_Budget Input Data'!$D$38/'I_Inputs &amp; Assumptions'!$B$8,IF('I_Budget Input Data'!$E$38="Front-loaded",IF(36&lt;='I_Inputs &amp; Assumptions'!$B$8/2,'I_Budget Input Data'!$D$38*0.6/('I_Inputs &amp; Assumptions'!$B$8/2),'I_Budget Input Data'!$D$38*0.4/('I_Inputs &amp; Assumptions'!$B$8/2)),IF('I_Budget Input Data'!$E$38="Back-loaded",IF(36&lt;='I_Inputs &amp; Assumptions'!$B$8/2,'I_Budget Input Data'!$D$38*0.4/('I_Inputs &amp; Assumptions'!$B$8/2),'I_Budget Input Data'!$D$38*0.6/('I_Inputs &amp; Assumptions'!$B$8/2)),IF('I_Budget Input Data'!$E$38="Mid-weighted",IF(36&lt;='I_Inputs &amp; Assumptions'!$B$8/4,'I_Budget Input Data'!$D$38*0.2/('I_Inputs &amp; Assumptions'!$B$8/4),IF(36&lt;='I_Inputs &amp; Assumptions'!$B$8*0.75,'I_Budget Input Data'!$D$38*0.6/('I_Inputs &amp; Assumptions'!$B$8/2),'I_Budget Input Data'!$D$38*0.2/('I_Inputs &amp; Assumptions'!$B$8/4))),IF('I_Budget Input Data'!$E$38="At Completion",IF(36='I_Inputs &amp; Assumptions'!$B$8,'I_Budget Input Data'!$D$38,0),'I_Budget Input Data'!$D$38/'I_Inputs &amp; Assumptions'!$B$8)))))),0)</f>
        <v>0</v>
      </c>
    </row>
    <row r="39" spans="1:38" ht="15" customHeight="1" x14ac:dyDescent="0.2">
      <c r="A39" t="s">
        <v>146</v>
      </c>
      <c r="B39" t="s">
        <v>160</v>
      </c>
      <c r="C39" s="91">
        <f>IF(1&lt;='I_Inputs &amp; Assumptions'!$B$8,IF('I_Budget Input Data'!$E$39="Upfront",IF(1=1,'I_Budget Input Data'!$D$39,0),IF('I_Budget Input Data'!$E$39="Equal",'I_Budget Input Data'!$D$39/'I_Inputs &amp; Assumptions'!$B$8,IF('I_Budget Input Data'!$E$39="Front-loaded",IF(1&lt;='I_Inputs &amp; Assumptions'!$B$8/2,'I_Budget Input Data'!$D$39*0.6/('I_Inputs &amp; Assumptions'!$B$8/2),'I_Budget Input Data'!$D$39*0.4/('I_Inputs &amp; Assumptions'!$B$8/2)),IF('I_Budget Input Data'!$E$39="Back-loaded",IF(1&lt;='I_Inputs &amp; Assumptions'!$B$8/2,'I_Budget Input Data'!$D$39*0.4/('I_Inputs &amp; Assumptions'!$B$8/2),'I_Budget Input Data'!$D$39*0.6/('I_Inputs &amp; Assumptions'!$B$8/2)),IF('I_Budget Input Data'!$E$39="Mid-weighted",IF(1&lt;='I_Inputs &amp; Assumptions'!$B$8/4,'I_Budget Input Data'!$D$39*0.2/('I_Inputs &amp; Assumptions'!$B$8/4),IF(1&lt;='I_Inputs &amp; Assumptions'!$B$8*0.75,'I_Budget Input Data'!$D$39*0.6/('I_Inputs &amp; Assumptions'!$B$8/2),'I_Budget Input Data'!$D$39*0.2/('I_Inputs &amp; Assumptions'!$B$8/4))),IF('I_Budget Input Data'!$E$39="At Completion",IF(1='I_Inputs &amp; Assumptions'!$B$8,'I_Budget Input Data'!$D$39,0),'I_Budget Input Data'!$D$39/'I_Inputs &amp; Assumptions'!$B$8)))))),0)</f>
        <v>619.07692307692309</v>
      </c>
      <c r="D39" s="91">
        <f>IF(2&lt;='I_Inputs &amp; Assumptions'!$B$8,IF('I_Budget Input Data'!$E$39="Upfront",IF(2=1,'I_Budget Input Data'!$D$39,0),IF('I_Budget Input Data'!$E$39="Equal",'I_Budget Input Data'!$D$39/'I_Inputs &amp; Assumptions'!$B$8,IF('I_Budget Input Data'!$E$39="Front-loaded",IF(2&lt;='I_Inputs &amp; Assumptions'!$B$8/2,'I_Budget Input Data'!$D$39*0.6/('I_Inputs &amp; Assumptions'!$B$8/2),'I_Budget Input Data'!$D$39*0.4/('I_Inputs &amp; Assumptions'!$B$8/2)),IF('I_Budget Input Data'!$E$39="Back-loaded",IF(2&lt;='I_Inputs &amp; Assumptions'!$B$8/2,'I_Budget Input Data'!$D$39*0.4/('I_Inputs &amp; Assumptions'!$B$8/2),'I_Budget Input Data'!$D$39*0.6/('I_Inputs &amp; Assumptions'!$B$8/2)),IF('I_Budget Input Data'!$E$39="Mid-weighted",IF(2&lt;='I_Inputs &amp; Assumptions'!$B$8/4,'I_Budget Input Data'!$D$39*0.2/('I_Inputs &amp; Assumptions'!$B$8/4),IF(2&lt;='I_Inputs &amp; Assumptions'!$B$8*0.75,'I_Budget Input Data'!$D$39*0.6/('I_Inputs &amp; Assumptions'!$B$8/2),'I_Budget Input Data'!$D$39*0.2/('I_Inputs &amp; Assumptions'!$B$8/4))),IF('I_Budget Input Data'!$E$39="At Completion",IF(2='I_Inputs &amp; Assumptions'!$B$8,'I_Budget Input Data'!$D$39,0),'I_Budget Input Data'!$D$39/'I_Inputs &amp; Assumptions'!$B$8)))))),0)</f>
        <v>619.07692307692309</v>
      </c>
      <c r="E39" s="91">
        <f>IF(3&lt;='I_Inputs &amp; Assumptions'!$B$8,IF('I_Budget Input Data'!$E$39="Upfront",IF(3=1,'I_Budget Input Data'!$D$39,0),IF('I_Budget Input Data'!$E$39="Equal",'I_Budget Input Data'!$D$39/'I_Inputs &amp; Assumptions'!$B$8,IF('I_Budget Input Data'!$E$39="Front-loaded",IF(3&lt;='I_Inputs &amp; Assumptions'!$B$8/2,'I_Budget Input Data'!$D$39*0.6/('I_Inputs &amp; Assumptions'!$B$8/2),'I_Budget Input Data'!$D$39*0.4/('I_Inputs &amp; Assumptions'!$B$8/2)),IF('I_Budget Input Data'!$E$39="Back-loaded",IF(3&lt;='I_Inputs &amp; Assumptions'!$B$8/2,'I_Budget Input Data'!$D$39*0.4/('I_Inputs &amp; Assumptions'!$B$8/2),'I_Budget Input Data'!$D$39*0.6/('I_Inputs &amp; Assumptions'!$B$8/2)),IF('I_Budget Input Data'!$E$39="Mid-weighted",IF(3&lt;='I_Inputs &amp; Assumptions'!$B$8/4,'I_Budget Input Data'!$D$39*0.2/('I_Inputs &amp; Assumptions'!$B$8/4),IF(3&lt;='I_Inputs &amp; Assumptions'!$B$8*0.75,'I_Budget Input Data'!$D$39*0.6/('I_Inputs &amp; Assumptions'!$B$8/2),'I_Budget Input Data'!$D$39*0.2/('I_Inputs &amp; Assumptions'!$B$8/4))),IF('I_Budget Input Data'!$E$39="At Completion",IF(3='I_Inputs &amp; Assumptions'!$B$8,'I_Budget Input Data'!$D$39,0),'I_Budget Input Data'!$D$39/'I_Inputs &amp; Assumptions'!$B$8)))))),0)</f>
        <v>619.07692307692309</v>
      </c>
      <c r="F39" s="91">
        <f>IF(4&lt;='I_Inputs &amp; Assumptions'!$B$8,IF('I_Budget Input Data'!$E$39="Upfront",IF(4=1,'I_Budget Input Data'!$D$39,0),IF('I_Budget Input Data'!$E$39="Equal",'I_Budget Input Data'!$D$39/'I_Inputs &amp; Assumptions'!$B$8,IF('I_Budget Input Data'!$E$39="Front-loaded",IF(4&lt;='I_Inputs &amp; Assumptions'!$B$8/2,'I_Budget Input Data'!$D$39*0.6/('I_Inputs &amp; Assumptions'!$B$8/2),'I_Budget Input Data'!$D$39*0.4/('I_Inputs &amp; Assumptions'!$B$8/2)),IF('I_Budget Input Data'!$E$39="Back-loaded",IF(4&lt;='I_Inputs &amp; Assumptions'!$B$8/2,'I_Budget Input Data'!$D$39*0.4/('I_Inputs &amp; Assumptions'!$B$8/2),'I_Budget Input Data'!$D$39*0.6/('I_Inputs &amp; Assumptions'!$B$8/2)),IF('I_Budget Input Data'!$E$39="Mid-weighted",IF(4&lt;='I_Inputs &amp; Assumptions'!$B$8/4,'I_Budget Input Data'!$D$39*0.2/('I_Inputs &amp; Assumptions'!$B$8/4),IF(4&lt;='I_Inputs &amp; Assumptions'!$B$8*0.75,'I_Budget Input Data'!$D$39*0.6/('I_Inputs &amp; Assumptions'!$B$8/2),'I_Budget Input Data'!$D$39*0.2/('I_Inputs &amp; Assumptions'!$B$8/4))),IF('I_Budget Input Data'!$E$39="At Completion",IF(4='I_Inputs &amp; Assumptions'!$B$8,'I_Budget Input Data'!$D$39,0),'I_Budget Input Data'!$D$39/'I_Inputs &amp; Assumptions'!$B$8)))))),0)</f>
        <v>619.07692307692309</v>
      </c>
      <c r="G39" s="91">
        <f>IF(5&lt;='I_Inputs &amp; Assumptions'!$B$8,IF('I_Budget Input Data'!$E$39="Upfront",IF(5=1,'I_Budget Input Data'!$D$39,0),IF('I_Budget Input Data'!$E$39="Equal",'I_Budget Input Data'!$D$39/'I_Inputs &amp; Assumptions'!$B$8,IF('I_Budget Input Data'!$E$39="Front-loaded",IF(5&lt;='I_Inputs &amp; Assumptions'!$B$8/2,'I_Budget Input Data'!$D$39*0.6/('I_Inputs &amp; Assumptions'!$B$8/2),'I_Budget Input Data'!$D$39*0.4/('I_Inputs &amp; Assumptions'!$B$8/2)),IF('I_Budget Input Data'!$E$39="Back-loaded",IF(5&lt;='I_Inputs &amp; Assumptions'!$B$8/2,'I_Budget Input Data'!$D$39*0.4/('I_Inputs &amp; Assumptions'!$B$8/2),'I_Budget Input Data'!$D$39*0.6/('I_Inputs &amp; Assumptions'!$B$8/2)),IF('I_Budget Input Data'!$E$39="Mid-weighted",IF(5&lt;='I_Inputs &amp; Assumptions'!$B$8/4,'I_Budget Input Data'!$D$39*0.2/('I_Inputs &amp; Assumptions'!$B$8/4),IF(5&lt;='I_Inputs &amp; Assumptions'!$B$8*0.75,'I_Budget Input Data'!$D$39*0.6/('I_Inputs &amp; Assumptions'!$B$8/2),'I_Budget Input Data'!$D$39*0.2/('I_Inputs &amp; Assumptions'!$B$8/4))),IF('I_Budget Input Data'!$E$39="At Completion",IF(5='I_Inputs &amp; Assumptions'!$B$8,'I_Budget Input Data'!$D$39,0),'I_Budget Input Data'!$D$39/'I_Inputs &amp; Assumptions'!$B$8)))))),0)</f>
        <v>619.07692307692309</v>
      </c>
      <c r="H39" s="91">
        <f>IF(6&lt;='I_Inputs &amp; Assumptions'!$B$8,IF('I_Budget Input Data'!$E$39="Upfront",IF(6=1,'I_Budget Input Data'!$D$39,0),IF('I_Budget Input Data'!$E$39="Equal",'I_Budget Input Data'!$D$39/'I_Inputs &amp; Assumptions'!$B$8,IF('I_Budget Input Data'!$E$39="Front-loaded",IF(6&lt;='I_Inputs &amp; Assumptions'!$B$8/2,'I_Budget Input Data'!$D$39*0.6/('I_Inputs &amp; Assumptions'!$B$8/2),'I_Budget Input Data'!$D$39*0.4/('I_Inputs &amp; Assumptions'!$B$8/2)),IF('I_Budget Input Data'!$E$39="Back-loaded",IF(6&lt;='I_Inputs &amp; Assumptions'!$B$8/2,'I_Budget Input Data'!$D$39*0.4/('I_Inputs &amp; Assumptions'!$B$8/2),'I_Budget Input Data'!$D$39*0.6/('I_Inputs &amp; Assumptions'!$B$8/2)),IF('I_Budget Input Data'!$E$39="Mid-weighted",IF(6&lt;='I_Inputs &amp; Assumptions'!$B$8/4,'I_Budget Input Data'!$D$39*0.2/('I_Inputs &amp; Assumptions'!$B$8/4),IF(6&lt;='I_Inputs &amp; Assumptions'!$B$8*0.75,'I_Budget Input Data'!$D$39*0.6/('I_Inputs &amp; Assumptions'!$B$8/2),'I_Budget Input Data'!$D$39*0.2/('I_Inputs &amp; Assumptions'!$B$8/4))),IF('I_Budget Input Data'!$E$39="At Completion",IF(6='I_Inputs &amp; Assumptions'!$B$8,'I_Budget Input Data'!$D$39,0),'I_Budget Input Data'!$D$39/'I_Inputs &amp; Assumptions'!$B$8)))))),0)</f>
        <v>619.07692307692309</v>
      </c>
      <c r="I39" s="91">
        <f>IF(7&lt;='I_Inputs &amp; Assumptions'!$B$8,IF('I_Budget Input Data'!$E$39="Upfront",IF(7=1,'I_Budget Input Data'!$D$39,0),IF('I_Budget Input Data'!$E$39="Equal",'I_Budget Input Data'!$D$39/'I_Inputs &amp; Assumptions'!$B$8,IF('I_Budget Input Data'!$E$39="Front-loaded",IF(7&lt;='I_Inputs &amp; Assumptions'!$B$8/2,'I_Budget Input Data'!$D$39*0.6/('I_Inputs &amp; Assumptions'!$B$8/2),'I_Budget Input Data'!$D$39*0.4/('I_Inputs &amp; Assumptions'!$B$8/2)),IF('I_Budget Input Data'!$E$39="Back-loaded",IF(7&lt;='I_Inputs &amp; Assumptions'!$B$8/2,'I_Budget Input Data'!$D$39*0.4/('I_Inputs &amp; Assumptions'!$B$8/2),'I_Budget Input Data'!$D$39*0.6/('I_Inputs &amp; Assumptions'!$B$8/2)),IF('I_Budget Input Data'!$E$39="Mid-weighted",IF(7&lt;='I_Inputs &amp; Assumptions'!$B$8/4,'I_Budget Input Data'!$D$39*0.2/('I_Inputs &amp; Assumptions'!$B$8/4),IF(7&lt;='I_Inputs &amp; Assumptions'!$B$8*0.75,'I_Budget Input Data'!$D$39*0.6/('I_Inputs &amp; Assumptions'!$B$8/2),'I_Budget Input Data'!$D$39*0.2/('I_Inputs &amp; Assumptions'!$B$8/4))),IF('I_Budget Input Data'!$E$39="At Completion",IF(7='I_Inputs &amp; Assumptions'!$B$8,'I_Budget Input Data'!$D$39,0),'I_Budget Input Data'!$D$39/'I_Inputs &amp; Assumptions'!$B$8)))))),0)</f>
        <v>619.07692307692309</v>
      </c>
      <c r="J39" s="91">
        <f>IF(8&lt;='I_Inputs &amp; Assumptions'!$B$8,IF('I_Budget Input Data'!$E$39="Upfront",IF(8=1,'I_Budget Input Data'!$D$39,0),IF('I_Budget Input Data'!$E$39="Equal",'I_Budget Input Data'!$D$39/'I_Inputs &amp; Assumptions'!$B$8,IF('I_Budget Input Data'!$E$39="Front-loaded",IF(8&lt;='I_Inputs &amp; Assumptions'!$B$8/2,'I_Budget Input Data'!$D$39*0.6/('I_Inputs &amp; Assumptions'!$B$8/2),'I_Budget Input Data'!$D$39*0.4/('I_Inputs &amp; Assumptions'!$B$8/2)),IF('I_Budget Input Data'!$E$39="Back-loaded",IF(8&lt;='I_Inputs &amp; Assumptions'!$B$8/2,'I_Budget Input Data'!$D$39*0.4/('I_Inputs &amp; Assumptions'!$B$8/2),'I_Budget Input Data'!$D$39*0.6/('I_Inputs &amp; Assumptions'!$B$8/2)),IF('I_Budget Input Data'!$E$39="Mid-weighted",IF(8&lt;='I_Inputs &amp; Assumptions'!$B$8/4,'I_Budget Input Data'!$D$39*0.2/('I_Inputs &amp; Assumptions'!$B$8/4),IF(8&lt;='I_Inputs &amp; Assumptions'!$B$8*0.75,'I_Budget Input Data'!$D$39*0.6/('I_Inputs &amp; Assumptions'!$B$8/2),'I_Budget Input Data'!$D$39*0.2/('I_Inputs &amp; Assumptions'!$B$8/4))),IF('I_Budget Input Data'!$E$39="At Completion",IF(8='I_Inputs &amp; Assumptions'!$B$8,'I_Budget Input Data'!$D$39,0),'I_Budget Input Data'!$D$39/'I_Inputs &amp; Assumptions'!$B$8)))))),0)</f>
        <v>619.07692307692309</v>
      </c>
      <c r="K39" s="91">
        <f>IF(9&lt;='I_Inputs &amp; Assumptions'!$B$8,IF('I_Budget Input Data'!$E$39="Upfront",IF(9=1,'I_Budget Input Data'!$D$39,0),IF('I_Budget Input Data'!$E$39="Equal",'I_Budget Input Data'!$D$39/'I_Inputs &amp; Assumptions'!$B$8,IF('I_Budget Input Data'!$E$39="Front-loaded",IF(9&lt;='I_Inputs &amp; Assumptions'!$B$8/2,'I_Budget Input Data'!$D$39*0.6/('I_Inputs &amp; Assumptions'!$B$8/2),'I_Budget Input Data'!$D$39*0.4/('I_Inputs &amp; Assumptions'!$B$8/2)),IF('I_Budget Input Data'!$E$39="Back-loaded",IF(9&lt;='I_Inputs &amp; Assumptions'!$B$8/2,'I_Budget Input Data'!$D$39*0.4/('I_Inputs &amp; Assumptions'!$B$8/2),'I_Budget Input Data'!$D$39*0.6/('I_Inputs &amp; Assumptions'!$B$8/2)),IF('I_Budget Input Data'!$E$39="Mid-weighted",IF(9&lt;='I_Inputs &amp; Assumptions'!$B$8/4,'I_Budget Input Data'!$D$39*0.2/('I_Inputs &amp; Assumptions'!$B$8/4),IF(9&lt;='I_Inputs &amp; Assumptions'!$B$8*0.75,'I_Budget Input Data'!$D$39*0.6/('I_Inputs &amp; Assumptions'!$B$8/2),'I_Budget Input Data'!$D$39*0.2/('I_Inputs &amp; Assumptions'!$B$8/4))),IF('I_Budget Input Data'!$E$39="At Completion",IF(9='I_Inputs &amp; Assumptions'!$B$8,'I_Budget Input Data'!$D$39,0),'I_Budget Input Data'!$D$39/'I_Inputs &amp; Assumptions'!$B$8)))))),0)</f>
        <v>619.07692307692309</v>
      </c>
      <c r="L39" s="91">
        <f>IF(10&lt;='I_Inputs &amp; Assumptions'!$B$8,IF('I_Budget Input Data'!$E$39="Upfront",IF(10=1,'I_Budget Input Data'!$D$39,0),IF('I_Budget Input Data'!$E$39="Equal",'I_Budget Input Data'!$D$39/'I_Inputs &amp; Assumptions'!$B$8,IF('I_Budget Input Data'!$E$39="Front-loaded",IF(10&lt;='I_Inputs &amp; Assumptions'!$B$8/2,'I_Budget Input Data'!$D$39*0.6/('I_Inputs &amp; Assumptions'!$B$8/2),'I_Budget Input Data'!$D$39*0.4/('I_Inputs &amp; Assumptions'!$B$8/2)),IF('I_Budget Input Data'!$E$39="Back-loaded",IF(10&lt;='I_Inputs &amp; Assumptions'!$B$8/2,'I_Budget Input Data'!$D$39*0.4/('I_Inputs &amp; Assumptions'!$B$8/2),'I_Budget Input Data'!$D$39*0.6/('I_Inputs &amp; Assumptions'!$B$8/2)),IF('I_Budget Input Data'!$E$39="Mid-weighted",IF(10&lt;='I_Inputs &amp; Assumptions'!$B$8/4,'I_Budget Input Data'!$D$39*0.2/('I_Inputs &amp; Assumptions'!$B$8/4),IF(10&lt;='I_Inputs &amp; Assumptions'!$B$8*0.75,'I_Budget Input Data'!$D$39*0.6/('I_Inputs &amp; Assumptions'!$B$8/2),'I_Budget Input Data'!$D$39*0.2/('I_Inputs &amp; Assumptions'!$B$8/4))),IF('I_Budget Input Data'!$E$39="At Completion",IF(10='I_Inputs &amp; Assumptions'!$B$8,'I_Budget Input Data'!$D$39,0),'I_Budget Input Data'!$D$39/'I_Inputs &amp; Assumptions'!$B$8)))))),0)</f>
        <v>619.07692307692309</v>
      </c>
      <c r="M39" s="91">
        <f>IF(11&lt;='I_Inputs &amp; Assumptions'!$B$8,IF('I_Budget Input Data'!$E$39="Upfront",IF(11=1,'I_Budget Input Data'!$D$39,0),IF('I_Budget Input Data'!$E$39="Equal",'I_Budget Input Data'!$D$39/'I_Inputs &amp; Assumptions'!$B$8,IF('I_Budget Input Data'!$E$39="Front-loaded",IF(11&lt;='I_Inputs &amp; Assumptions'!$B$8/2,'I_Budget Input Data'!$D$39*0.6/('I_Inputs &amp; Assumptions'!$B$8/2),'I_Budget Input Data'!$D$39*0.4/('I_Inputs &amp; Assumptions'!$B$8/2)),IF('I_Budget Input Data'!$E$39="Back-loaded",IF(11&lt;='I_Inputs &amp; Assumptions'!$B$8/2,'I_Budget Input Data'!$D$39*0.4/('I_Inputs &amp; Assumptions'!$B$8/2),'I_Budget Input Data'!$D$39*0.6/('I_Inputs &amp; Assumptions'!$B$8/2)),IF('I_Budget Input Data'!$E$39="Mid-weighted",IF(11&lt;='I_Inputs &amp; Assumptions'!$B$8/4,'I_Budget Input Data'!$D$39*0.2/('I_Inputs &amp; Assumptions'!$B$8/4),IF(11&lt;='I_Inputs &amp; Assumptions'!$B$8*0.75,'I_Budget Input Data'!$D$39*0.6/('I_Inputs &amp; Assumptions'!$B$8/2),'I_Budget Input Data'!$D$39*0.2/('I_Inputs &amp; Assumptions'!$B$8/4))),IF('I_Budget Input Data'!$E$39="At Completion",IF(11='I_Inputs &amp; Assumptions'!$B$8,'I_Budget Input Data'!$D$39,0),'I_Budget Input Data'!$D$39/'I_Inputs &amp; Assumptions'!$B$8)))))),0)</f>
        <v>619.07692307692309</v>
      </c>
      <c r="N39" s="91">
        <f>IF(12&lt;='I_Inputs &amp; Assumptions'!$B$8,IF('I_Budget Input Data'!$E$39="Upfront",IF(12=1,'I_Budget Input Data'!$D$39,0),IF('I_Budget Input Data'!$E$39="Equal",'I_Budget Input Data'!$D$39/'I_Inputs &amp; Assumptions'!$B$8,IF('I_Budget Input Data'!$E$39="Front-loaded",IF(12&lt;='I_Inputs &amp; Assumptions'!$B$8/2,'I_Budget Input Data'!$D$39*0.6/('I_Inputs &amp; Assumptions'!$B$8/2),'I_Budget Input Data'!$D$39*0.4/('I_Inputs &amp; Assumptions'!$B$8/2)),IF('I_Budget Input Data'!$E$39="Back-loaded",IF(12&lt;='I_Inputs &amp; Assumptions'!$B$8/2,'I_Budget Input Data'!$D$39*0.4/('I_Inputs &amp; Assumptions'!$B$8/2),'I_Budget Input Data'!$D$39*0.6/('I_Inputs &amp; Assumptions'!$B$8/2)),IF('I_Budget Input Data'!$E$39="Mid-weighted",IF(12&lt;='I_Inputs &amp; Assumptions'!$B$8/4,'I_Budget Input Data'!$D$39*0.2/('I_Inputs &amp; Assumptions'!$B$8/4),IF(12&lt;='I_Inputs &amp; Assumptions'!$B$8*0.75,'I_Budget Input Data'!$D$39*0.6/('I_Inputs &amp; Assumptions'!$B$8/2),'I_Budget Input Data'!$D$39*0.2/('I_Inputs &amp; Assumptions'!$B$8/4))),IF('I_Budget Input Data'!$E$39="At Completion",IF(12='I_Inputs &amp; Assumptions'!$B$8,'I_Budget Input Data'!$D$39,0),'I_Budget Input Data'!$D$39/'I_Inputs &amp; Assumptions'!$B$8)))))),0)</f>
        <v>619.07692307692309</v>
      </c>
      <c r="O39" s="91">
        <f>IF(13&lt;='I_Inputs &amp; Assumptions'!$B$8,IF('I_Budget Input Data'!$E$39="Upfront",IF(13=1,'I_Budget Input Data'!$D$39,0),IF('I_Budget Input Data'!$E$39="Equal",'I_Budget Input Data'!$D$39/'I_Inputs &amp; Assumptions'!$B$8,IF('I_Budget Input Data'!$E$39="Front-loaded",IF(13&lt;='I_Inputs &amp; Assumptions'!$B$8/2,'I_Budget Input Data'!$D$39*0.6/('I_Inputs &amp; Assumptions'!$B$8/2),'I_Budget Input Data'!$D$39*0.4/('I_Inputs &amp; Assumptions'!$B$8/2)),IF('I_Budget Input Data'!$E$39="Back-loaded",IF(13&lt;='I_Inputs &amp; Assumptions'!$B$8/2,'I_Budget Input Data'!$D$39*0.4/('I_Inputs &amp; Assumptions'!$B$8/2),'I_Budget Input Data'!$D$39*0.6/('I_Inputs &amp; Assumptions'!$B$8/2)),IF('I_Budget Input Data'!$E$39="Mid-weighted",IF(13&lt;='I_Inputs &amp; Assumptions'!$B$8/4,'I_Budget Input Data'!$D$39*0.2/('I_Inputs &amp; Assumptions'!$B$8/4),IF(13&lt;='I_Inputs &amp; Assumptions'!$B$8*0.75,'I_Budget Input Data'!$D$39*0.6/('I_Inputs &amp; Assumptions'!$B$8/2),'I_Budget Input Data'!$D$39*0.2/('I_Inputs &amp; Assumptions'!$B$8/4))),IF('I_Budget Input Data'!$E$39="At Completion",IF(13='I_Inputs &amp; Assumptions'!$B$8,'I_Budget Input Data'!$D$39,0),'I_Budget Input Data'!$D$39/'I_Inputs &amp; Assumptions'!$B$8)))))),0)</f>
        <v>619.07692307692309</v>
      </c>
      <c r="P39" s="91">
        <f>IF(14&lt;='I_Inputs &amp; Assumptions'!$B$8,IF('I_Budget Input Data'!$E$39="Upfront",IF(14=1,'I_Budget Input Data'!$D$39,0),IF('I_Budget Input Data'!$E$39="Equal",'I_Budget Input Data'!$D$39/'I_Inputs &amp; Assumptions'!$B$8,IF('I_Budget Input Data'!$E$39="Front-loaded",IF(14&lt;='I_Inputs &amp; Assumptions'!$B$8/2,'I_Budget Input Data'!$D$39*0.6/('I_Inputs &amp; Assumptions'!$B$8/2),'I_Budget Input Data'!$D$39*0.4/('I_Inputs &amp; Assumptions'!$B$8/2)),IF('I_Budget Input Data'!$E$39="Back-loaded",IF(14&lt;='I_Inputs &amp; Assumptions'!$B$8/2,'I_Budget Input Data'!$D$39*0.4/('I_Inputs &amp; Assumptions'!$B$8/2),'I_Budget Input Data'!$D$39*0.6/('I_Inputs &amp; Assumptions'!$B$8/2)),IF('I_Budget Input Data'!$E$39="Mid-weighted",IF(14&lt;='I_Inputs &amp; Assumptions'!$B$8/4,'I_Budget Input Data'!$D$39*0.2/('I_Inputs &amp; Assumptions'!$B$8/4),IF(14&lt;='I_Inputs &amp; Assumptions'!$B$8*0.75,'I_Budget Input Data'!$D$39*0.6/('I_Inputs &amp; Assumptions'!$B$8/2),'I_Budget Input Data'!$D$39*0.2/('I_Inputs &amp; Assumptions'!$B$8/4))),IF('I_Budget Input Data'!$E$39="At Completion",IF(14='I_Inputs &amp; Assumptions'!$B$8,'I_Budget Input Data'!$D$39,0),'I_Budget Input Data'!$D$39/'I_Inputs &amp; Assumptions'!$B$8)))))),0)</f>
        <v>0</v>
      </c>
      <c r="Q39" s="91">
        <f>IF(15&lt;='I_Inputs &amp; Assumptions'!$B$8,IF('I_Budget Input Data'!$E$39="Upfront",IF(15=1,'I_Budget Input Data'!$D$39,0),IF('I_Budget Input Data'!$E$39="Equal",'I_Budget Input Data'!$D$39/'I_Inputs &amp; Assumptions'!$B$8,IF('I_Budget Input Data'!$E$39="Front-loaded",IF(15&lt;='I_Inputs &amp; Assumptions'!$B$8/2,'I_Budget Input Data'!$D$39*0.6/('I_Inputs &amp; Assumptions'!$B$8/2),'I_Budget Input Data'!$D$39*0.4/('I_Inputs &amp; Assumptions'!$B$8/2)),IF('I_Budget Input Data'!$E$39="Back-loaded",IF(15&lt;='I_Inputs &amp; Assumptions'!$B$8/2,'I_Budget Input Data'!$D$39*0.4/('I_Inputs &amp; Assumptions'!$B$8/2),'I_Budget Input Data'!$D$39*0.6/('I_Inputs &amp; Assumptions'!$B$8/2)),IF('I_Budget Input Data'!$E$39="Mid-weighted",IF(15&lt;='I_Inputs &amp; Assumptions'!$B$8/4,'I_Budget Input Data'!$D$39*0.2/('I_Inputs &amp; Assumptions'!$B$8/4),IF(15&lt;='I_Inputs &amp; Assumptions'!$B$8*0.75,'I_Budget Input Data'!$D$39*0.6/('I_Inputs &amp; Assumptions'!$B$8/2),'I_Budget Input Data'!$D$39*0.2/('I_Inputs &amp; Assumptions'!$B$8/4))),IF('I_Budget Input Data'!$E$39="At Completion",IF(15='I_Inputs &amp; Assumptions'!$B$8,'I_Budget Input Data'!$D$39,0),'I_Budget Input Data'!$D$39/'I_Inputs &amp; Assumptions'!$B$8)))))),0)</f>
        <v>0</v>
      </c>
      <c r="R39" s="91">
        <f>IF(16&lt;='I_Inputs &amp; Assumptions'!$B$8,IF('I_Budget Input Data'!$E$39="Upfront",IF(16=1,'I_Budget Input Data'!$D$39,0),IF('I_Budget Input Data'!$E$39="Equal",'I_Budget Input Data'!$D$39/'I_Inputs &amp; Assumptions'!$B$8,IF('I_Budget Input Data'!$E$39="Front-loaded",IF(16&lt;='I_Inputs &amp; Assumptions'!$B$8/2,'I_Budget Input Data'!$D$39*0.6/('I_Inputs &amp; Assumptions'!$B$8/2),'I_Budget Input Data'!$D$39*0.4/('I_Inputs &amp; Assumptions'!$B$8/2)),IF('I_Budget Input Data'!$E$39="Back-loaded",IF(16&lt;='I_Inputs &amp; Assumptions'!$B$8/2,'I_Budget Input Data'!$D$39*0.4/('I_Inputs &amp; Assumptions'!$B$8/2),'I_Budget Input Data'!$D$39*0.6/('I_Inputs &amp; Assumptions'!$B$8/2)),IF('I_Budget Input Data'!$E$39="Mid-weighted",IF(16&lt;='I_Inputs &amp; Assumptions'!$B$8/4,'I_Budget Input Data'!$D$39*0.2/('I_Inputs &amp; Assumptions'!$B$8/4),IF(16&lt;='I_Inputs &amp; Assumptions'!$B$8*0.75,'I_Budget Input Data'!$D$39*0.6/('I_Inputs &amp; Assumptions'!$B$8/2),'I_Budget Input Data'!$D$39*0.2/('I_Inputs &amp; Assumptions'!$B$8/4))),IF('I_Budget Input Data'!$E$39="At Completion",IF(16='I_Inputs &amp; Assumptions'!$B$8,'I_Budget Input Data'!$D$39,0),'I_Budget Input Data'!$D$39/'I_Inputs &amp; Assumptions'!$B$8)))))),0)</f>
        <v>0</v>
      </c>
      <c r="S39" s="91">
        <f>IF(17&lt;='I_Inputs &amp; Assumptions'!$B$8,IF('I_Budget Input Data'!$E$39="Upfront",IF(17=1,'I_Budget Input Data'!$D$39,0),IF('I_Budget Input Data'!$E$39="Equal",'I_Budget Input Data'!$D$39/'I_Inputs &amp; Assumptions'!$B$8,IF('I_Budget Input Data'!$E$39="Front-loaded",IF(17&lt;='I_Inputs &amp; Assumptions'!$B$8/2,'I_Budget Input Data'!$D$39*0.6/('I_Inputs &amp; Assumptions'!$B$8/2),'I_Budget Input Data'!$D$39*0.4/('I_Inputs &amp; Assumptions'!$B$8/2)),IF('I_Budget Input Data'!$E$39="Back-loaded",IF(17&lt;='I_Inputs &amp; Assumptions'!$B$8/2,'I_Budget Input Data'!$D$39*0.4/('I_Inputs &amp; Assumptions'!$B$8/2),'I_Budget Input Data'!$D$39*0.6/('I_Inputs &amp; Assumptions'!$B$8/2)),IF('I_Budget Input Data'!$E$39="Mid-weighted",IF(17&lt;='I_Inputs &amp; Assumptions'!$B$8/4,'I_Budget Input Data'!$D$39*0.2/('I_Inputs &amp; Assumptions'!$B$8/4),IF(17&lt;='I_Inputs &amp; Assumptions'!$B$8*0.75,'I_Budget Input Data'!$D$39*0.6/('I_Inputs &amp; Assumptions'!$B$8/2),'I_Budget Input Data'!$D$39*0.2/('I_Inputs &amp; Assumptions'!$B$8/4))),IF('I_Budget Input Data'!$E$39="At Completion",IF(17='I_Inputs &amp; Assumptions'!$B$8,'I_Budget Input Data'!$D$39,0),'I_Budget Input Data'!$D$39/'I_Inputs &amp; Assumptions'!$B$8)))))),0)</f>
        <v>0</v>
      </c>
      <c r="T39" s="91">
        <f>IF(18&lt;='I_Inputs &amp; Assumptions'!$B$8,IF('I_Budget Input Data'!$E$39="Upfront",IF(18=1,'I_Budget Input Data'!$D$39,0),IF('I_Budget Input Data'!$E$39="Equal",'I_Budget Input Data'!$D$39/'I_Inputs &amp; Assumptions'!$B$8,IF('I_Budget Input Data'!$E$39="Front-loaded",IF(18&lt;='I_Inputs &amp; Assumptions'!$B$8/2,'I_Budget Input Data'!$D$39*0.6/('I_Inputs &amp; Assumptions'!$B$8/2),'I_Budget Input Data'!$D$39*0.4/('I_Inputs &amp; Assumptions'!$B$8/2)),IF('I_Budget Input Data'!$E$39="Back-loaded",IF(18&lt;='I_Inputs &amp; Assumptions'!$B$8/2,'I_Budget Input Data'!$D$39*0.4/('I_Inputs &amp; Assumptions'!$B$8/2),'I_Budget Input Data'!$D$39*0.6/('I_Inputs &amp; Assumptions'!$B$8/2)),IF('I_Budget Input Data'!$E$39="Mid-weighted",IF(18&lt;='I_Inputs &amp; Assumptions'!$B$8/4,'I_Budget Input Data'!$D$39*0.2/('I_Inputs &amp; Assumptions'!$B$8/4),IF(18&lt;='I_Inputs &amp; Assumptions'!$B$8*0.75,'I_Budget Input Data'!$D$39*0.6/('I_Inputs &amp; Assumptions'!$B$8/2),'I_Budget Input Data'!$D$39*0.2/('I_Inputs &amp; Assumptions'!$B$8/4))),IF('I_Budget Input Data'!$E$39="At Completion",IF(18='I_Inputs &amp; Assumptions'!$B$8,'I_Budget Input Data'!$D$39,0),'I_Budget Input Data'!$D$39/'I_Inputs &amp; Assumptions'!$B$8)))))),0)</f>
        <v>0</v>
      </c>
      <c r="U39" s="91">
        <f>IF(19&lt;='I_Inputs &amp; Assumptions'!$B$8,IF('I_Budget Input Data'!$E$39="Upfront",IF(19=1,'I_Budget Input Data'!$D$39,0),IF('I_Budget Input Data'!$E$39="Equal",'I_Budget Input Data'!$D$39/'I_Inputs &amp; Assumptions'!$B$8,IF('I_Budget Input Data'!$E$39="Front-loaded",IF(19&lt;='I_Inputs &amp; Assumptions'!$B$8/2,'I_Budget Input Data'!$D$39*0.6/('I_Inputs &amp; Assumptions'!$B$8/2),'I_Budget Input Data'!$D$39*0.4/('I_Inputs &amp; Assumptions'!$B$8/2)),IF('I_Budget Input Data'!$E$39="Back-loaded",IF(19&lt;='I_Inputs &amp; Assumptions'!$B$8/2,'I_Budget Input Data'!$D$39*0.4/('I_Inputs &amp; Assumptions'!$B$8/2),'I_Budget Input Data'!$D$39*0.6/('I_Inputs &amp; Assumptions'!$B$8/2)),IF('I_Budget Input Data'!$E$39="Mid-weighted",IF(19&lt;='I_Inputs &amp; Assumptions'!$B$8/4,'I_Budget Input Data'!$D$39*0.2/('I_Inputs &amp; Assumptions'!$B$8/4),IF(19&lt;='I_Inputs &amp; Assumptions'!$B$8*0.75,'I_Budget Input Data'!$D$39*0.6/('I_Inputs &amp; Assumptions'!$B$8/2),'I_Budget Input Data'!$D$39*0.2/('I_Inputs &amp; Assumptions'!$B$8/4))),IF('I_Budget Input Data'!$E$39="At Completion",IF(19='I_Inputs &amp; Assumptions'!$B$8,'I_Budget Input Data'!$D$39,0),'I_Budget Input Data'!$D$39/'I_Inputs &amp; Assumptions'!$B$8)))))),0)</f>
        <v>0</v>
      </c>
      <c r="V39" s="91">
        <f>IF(20&lt;='I_Inputs &amp; Assumptions'!$B$8,IF('I_Budget Input Data'!$E$39="Upfront",IF(20=1,'I_Budget Input Data'!$D$39,0),IF('I_Budget Input Data'!$E$39="Equal",'I_Budget Input Data'!$D$39/'I_Inputs &amp; Assumptions'!$B$8,IF('I_Budget Input Data'!$E$39="Front-loaded",IF(20&lt;='I_Inputs &amp; Assumptions'!$B$8/2,'I_Budget Input Data'!$D$39*0.6/('I_Inputs &amp; Assumptions'!$B$8/2),'I_Budget Input Data'!$D$39*0.4/('I_Inputs &amp; Assumptions'!$B$8/2)),IF('I_Budget Input Data'!$E$39="Back-loaded",IF(20&lt;='I_Inputs &amp; Assumptions'!$B$8/2,'I_Budget Input Data'!$D$39*0.4/('I_Inputs &amp; Assumptions'!$B$8/2),'I_Budget Input Data'!$D$39*0.6/('I_Inputs &amp; Assumptions'!$B$8/2)),IF('I_Budget Input Data'!$E$39="Mid-weighted",IF(20&lt;='I_Inputs &amp; Assumptions'!$B$8/4,'I_Budget Input Data'!$D$39*0.2/('I_Inputs &amp; Assumptions'!$B$8/4),IF(20&lt;='I_Inputs &amp; Assumptions'!$B$8*0.75,'I_Budget Input Data'!$D$39*0.6/('I_Inputs &amp; Assumptions'!$B$8/2),'I_Budget Input Data'!$D$39*0.2/('I_Inputs &amp; Assumptions'!$B$8/4))),IF('I_Budget Input Data'!$E$39="At Completion",IF(20='I_Inputs &amp; Assumptions'!$B$8,'I_Budget Input Data'!$D$39,0),'I_Budget Input Data'!$D$39/'I_Inputs &amp; Assumptions'!$B$8)))))),0)</f>
        <v>0</v>
      </c>
      <c r="W39" s="91">
        <f>IF(21&lt;='I_Inputs &amp; Assumptions'!$B$8,IF('I_Budget Input Data'!$E$39="Upfront",IF(21=1,'I_Budget Input Data'!$D$39,0),IF('I_Budget Input Data'!$E$39="Equal",'I_Budget Input Data'!$D$39/'I_Inputs &amp; Assumptions'!$B$8,IF('I_Budget Input Data'!$E$39="Front-loaded",IF(21&lt;='I_Inputs &amp; Assumptions'!$B$8/2,'I_Budget Input Data'!$D$39*0.6/('I_Inputs &amp; Assumptions'!$B$8/2),'I_Budget Input Data'!$D$39*0.4/('I_Inputs &amp; Assumptions'!$B$8/2)),IF('I_Budget Input Data'!$E$39="Back-loaded",IF(21&lt;='I_Inputs &amp; Assumptions'!$B$8/2,'I_Budget Input Data'!$D$39*0.4/('I_Inputs &amp; Assumptions'!$B$8/2),'I_Budget Input Data'!$D$39*0.6/('I_Inputs &amp; Assumptions'!$B$8/2)),IF('I_Budget Input Data'!$E$39="Mid-weighted",IF(21&lt;='I_Inputs &amp; Assumptions'!$B$8/4,'I_Budget Input Data'!$D$39*0.2/('I_Inputs &amp; Assumptions'!$B$8/4),IF(21&lt;='I_Inputs &amp; Assumptions'!$B$8*0.75,'I_Budget Input Data'!$D$39*0.6/('I_Inputs &amp; Assumptions'!$B$8/2),'I_Budget Input Data'!$D$39*0.2/('I_Inputs &amp; Assumptions'!$B$8/4))),IF('I_Budget Input Data'!$E$39="At Completion",IF(21='I_Inputs &amp; Assumptions'!$B$8,'I_Budget Input Data'!$D$39,0),'I_Budget Input Data'!$D$39/'I_Inputs &amp; Assumptions'!$B$8)))))),0)</f>
        <v>0</v>
      </c>
      <c r="X39" s="91">
        <f>IF(22&lt;='I_Inputs &amp; Assumptions'!$B$8,IF('I_Budget Input Data'!$E$39="Upfront",IF(22=1,'I_Budget Input Data'!$D$39,0),IF('I_Budget Input Data'!$E$39="Equal",'I_Budget Input Data'!$D$39/'I_Inputs &amp; Assumptions'!$B$8,IF('I_Budget Input Data'!$E$39="Front-loaded",IF(22&lt;='I_Inputs &amp; Assumptions'!$B$8/2,'I_Budget Input Data'!$D$39*0.6/('I_Inputs &amp; Assumptions'!$B$8/2),'I_Budget Input Data'!$D$39*0.4/('I_Inputs &amp; Assumptions'!$B$8/2)),IF('I_Budget Input Data'!$E$39="Back-loaded",IF(22&lt;='I_Inputs &amp; Assumptions'!$B$8/2,'I_Budget Input Data'!$D$39*0.4/('I_Inputs &amp; Assumptions'!$B$8/2),'I_Budget Input Data'!$D$39*0.6/('I_Inputs &amp; Assumptions'!$B$8/2)),IF('I_Budget Input Data'!$E$39="Mid-weighted",IF(22&lt;='I_Inputs &amp; Assumptions'!$B$8/4,'I_Budget Input Data'!$D$39*0.2/('I_Inputs &amp; Assumptions'!$B$8/4),IF(22&lt;='I_Inputs &amp; Assumptions'!$B$8*0.75,'I_Budget Input Data'!$D$39*0.6/('I_Inputs &amp; Assumptions'!$B$8/2),'I_Budget Input Data'!$D$39*0.2/('I_Inputs &amp; Assumptions'!$B$8/4))),IF('I_Budget Input Data'!$E$39="At Completion",IF(22='I_Inputs &amp; Assumptions'!$B$8,'I_Budget Input Data'!$D$39,0),'I_Budget Input Data'!$D$39/'I_Inputs &amp; Assumptions'!$B$8)))))),0)</f>
        <v>0</v>
      </c>
      <c r="Y39" s="91">
        <f>IF(23&lt;='I_Inputs &amp; Assumptions'!$B$8,IF('I_Budget Input Data'!$E$39="Upfront",IF(23=1,'I_Budget Input Data'!$D$39,0),IF('I_Budget Input Data'!$E$39="Equal",'I_Budget Input Data'!$D$39/'I_Inputs &amp; Assumptions'!$B$8,IF('I_Budget Input Data'!$E$39="Front-loaded",IF(23&lt;='I_Inputs &amp; Assumptions'!$B$8/2,'I_Budget Input Data'!$D$39*0.6/('I_Inputs &amp; Assumptions'!$B$8/2),'I_Budget Input Data'!$D$39*0.4/('I_Inputs &amp; Assumptions'!$B$8/2)),IF('I_Budget Input Data'!$E$39="Back-loaded",IF(23&lt;='I_Inputs &amp; Assumptions'!$B$8/2,'I_Budget Input Data'!$D$39*0.4/('I_Inputs &amp; Assumptions'!$B$8/2),'I_Budget Input Data'!$D$39*0.6/('I_Inputs &amp; Assumptions'!$B$8/2)),IF('I_Budget Input Data'!$E$39="Mid-weighted",IF(23&lt;='I_Inputs &amp; Assumptions'!$B$8/4,'I_Budget Input Data'!$D$39*0.2/('I_Inputs &amp; Assumptions'!$B$8/4),IF(23&lt;='I_Inputs &amp; Assumptions'!$B$8*0.75,'I_Budget Input Data'!$D$39*0.6/('I_Inputs &amp; Assumptions'!$B$8/2),'I_Budget Input Data'!$D$39*0.2/('I_Inputs &amp; Assumptions'!$B$8/4))),IF('I_Budget Input Data'!$E$39="At Completion",IF(23='I_Inputs &amp; Assumptions'!$B$8,'I_Budget Input Data'!$D$39,0),'I_Budget Input Data'!$D$39/'I_Inputs &amp; Assumptions'!$B$8)))))),0)</f>
        <v>0</v>
      </c>
      <c r="Z39" s="91">
        <f>IF(24&lt;='I_Inputs &amp; Assumptions'!$B$8,IF('I_Budget Input Data'!$E$39="Upfront",IF(24=1,'I_Budget Input Data'!$D$39,0),IF('I_Budget Input Data'!$E$39="Equal",'I_Budget Input Data'!$D$39/'I_Inputs &amp; Assumptions'!$B$8,IF('I_Budget Input Data'!$E$39="Front-loaded",IF(24&lt;='I_Inputs &amp; Assumptions'!$B$8/2,'I_Budget Input Data'!$D$39*0.6/('I_Inputs &amp; Assumptions'!$B$8/2),'I_Budget Input Data'!$D$39*0.4/('I_Inputs &amp; Assumptions'!$B$8/2)),IF('I_Budget Input Data'!$E$39="Back-loaded",IF(24&lt;='I_Inputs &amp; Assumptions'!$B$8/2,'I_Budget Input Data'!$D$39*0.4/('I_Inputs &amp; Assumptions'!$B$8/2),'I_Budget Input Data'!$D$39*0.6/('I_Inputs &amp; Assumptions'!$B$8/2)),IF('I_Budget Input Data'!$E$39="Mid-weighted",IF(24&lt;='I_Inputs &amp; Assumptions'!$B$8/4,'I_Budget Input Data'!$D$39*0.2/('I_Inputs &amp; Assumptions'!$B$8/4),IF(24&lt;='I_Inputs &amp; Assumptions'!$B$8*0.75,'I_Budget Input Data'!$D$39*0.6/('I_Inputs &amp; Assumptions'!$B$8/2),'I_Budget Input Data'!$D$39*0.2/('I_Inputs &amp; Assumptions'!$B$8/4))),IF('I_Budget Input Data'!$E$39="At Completion",IF(24='I_Inputs &amp; Assumptions'!$B$8,'I_Budget Input Data'!$D$39,0),'I_Budget Input Data'!$D$39/'I_Inputs &amp; Assumptions'!$B$8)))))),0)</f>
        <v>0</v>
      </c>
      <c r="AA39" s="91">
        <f>IF(25&lt;='I_Inputs &amp; Assumptions'!$B$8,IF('I_Budget Input Data'!$E$39="Upfront",IF(25=1,'I_Budget Input Data'!$D$39,0),IF('I_Budget Input Data'!$E$39="Equal",'I_Budget Input Data'!$D$39/'I_Inputs &amp; Assumptions'!$B$8,IF('I_Budget Input Data'!$E$39="Front-loaded",IF(25&lt;='I_Inputs &amp; Assumptions'!$B$8/2,'I_Budget Input Data'!$D$39*0.6/('I_Inputs &amp; Assumptions'!$B$8/2),'I_Budget Input Data'!$D$39*0.4/('I_Inputs &amp; Assumptions'!$B$8/2)),IF('I_Budget Input Data'!$E$39="Back-loaded",IF(25&lt;='I_Inputs &amp; Assumptions'!$B$8/2,'I_Budget Input Data'!$D$39*0.4/('I_Inputs &amp; Assumptions'!$B$8/2),'I_Budget Input Data'!$D$39*0.6/('I_Inputs &amp; Assumptions'!$B$8/2)),IF('I_Budget Input Data'!$E$39="Mid-weighted",IF(25&lt;='I_Inputs &amp; Assumptions'!$B$8/4,'I_Budget Input Data'!$D$39*0.2/('I_Inputs &amp; Assumptions'!$B$8/4),IF(25&lt;='I_Inputs &amp; Assumptions'!$B$8*0.75,'I_Budget Input Data'!$D$39*0.6/('I_Inputs &amp; Assumptions'!$B$8/2),'I_Budget Input Data'!$D$39*0.2/('I_Inputs &amp; Assumptions'!$B$8/4))),IF('I_Budget Input Data'!$E$39="At Completion",IF(25='I_Inputs &amp; Assumptions'!$B$8,'I_Budget Input Data'!$D$39,0),'I_Budget Input Data'!$D$39/'I_Inputs &amp; Assumptions'!$B$8)))))),0)</f>
        <v>0</v>
      </c>
      <c r="AB39" s="91">
        <f>IF(26&lt;='I_Inputs &amp; Assumptions'!$B$8,IF('I_Budget Input Data'!$E$39="Upfront",IF(26=1,'I_Budget Input Data'!$D$39,0),IF('I_Budget Input Data'!$E$39="Equal",'I_Budget Input Data'!$D$39/'I_Inputs &amp; Assumptions'!$B$8,IF('I_Budget Input Data'!$E$39="Front-loaded",IF(26&lt;='I_Inputs &amp; Assumptions'!$B$8/2,'I_Budget Input Data'!$D$39*0.6/('I_Inputs &amp; Assumptions'!$B$8/2),'I_Budget Input Data'!$D$39*0.4/('I_Inputs &amp; Assumptions'!$B$8/2)),IF('I_Budget Input Data'!$E$39="Back-loaded",IF(26&lt;='I_Inputs &amp; Assumptions'!$B$8/2,'I_Budget Input Data'!$D$39*0.4/('I_Inputs &amp; Assumptions'!$B$8/2),'I_Budget Input Data'!$D$39*0.6/('I_Inputs &amp; Assumptions'!$B$8/2)),IF('I_Budget Input Data'!$E$39="Mid-weighted",IF(26&lt;='I_Inputs &amp; Assumptions'!$B$8/4,'I_Budget Input Data'!$D$39*0.2/('I_Inputs &amp; Assumptions'!$B$8/4),IF(26&lt;='I_Inputs &amp; Assumptions'!$B$8*0.75,'I_Budget Input Data'!$D$39*0.6/('I_Inputs &amp; Assumptions'!$B$8/2),'I_Budget Input Data'!$D$39*0.2/('I_Inputs &amp; Assumptions'!$B$8/4))),IF('I_Budget Input Data'!$E$39="At Completion",IF(26='I_Inputs &amp; Assumptions'!$B$8,'I_Budget Input Data'!$D$39,0),'I_Budget Input Data'!$D$39/'I_Inputs &amp; Assumptions'!$B$8)))))),0)</f>
        <v>0</v>
      </c>
      <c r="AC39" s="91">
        <f>IF(27&lt;='I_Inputs &amp; Assumptions'!$B$8,IF('I_Budget Input Data'!$E$39="Upfront",IF(27=1,'I_Budget Input Data'!$D$39,0),IF('I_Budget Input Data'!$E$39="Equal",'I_Budget Input Data'!$D$39/'I_Inputs &amp; Assumptions'!$B$8,IF('I_Budget Input Data'!$E$39="Front-loaded",IF(27&lt;='I_Inputs &amp; Assumptions'!$B$8/2,'I_Budget Input Data'!$D$39*0.6/('I_Inputs &amp; Assumptions'!$B$8/2),'I_Budget Input Data'!$D$39*0.4/('I_Inputs &amp; Assumptions'!$B$8/2)),IF('I_Budget Input Data'!$E$39="Back-loaded",IF(27&lt;='I_Inputs &amp; Assumptions'!$B$8/2,'I_Budget Input Data'!$D$39*0.4/('I_Inputs &amp; Assumptions'!$B$8/2),'I_Budget Input Data'!$D$39*0.6/('I_Inputs &amp; Assumptions'!$B$8/2)),IF('I_Budget Input Data'!$E$39="Mid-weighted",IF(27&lt;='I_Inputs &amp; Assumptions'!$B$8/4,'I_Budget Input Data'!$D$39*0.2/('I_Inputs &amp; Assumptions'!$B$8/4),IF(27&lt;='I_Inputs &amp; Assumptions'!$B$8*0.75,'I_Budget Input Data'!$D$39*0.6/('I_Inputs &amp; Assumptions'!$B$8/2),'I_Budget Input Data'!$D$39*0.2/('I_Inputs &amp; Assumptions'!$B$8/4))),IF('I_Budget Input Data'!$E$39="At Completion",IF(27='I_Inputs &amp; Assumptions'!$B$8,'I_Budget Input Data'!$D$39,0),'I_Budget Input Data'!$D$39/'I_Inputs &amp; Assumptions'!$B$8)))))),0)</f>
        <v>0</v>
      </c>
      <c r="AD39" s="91">
        <f>IF(28&lt;='I_Inputs &amp; Assumptions'!$B$8,IF('I_Budget Input Data'!$E$39="Upfront",IF(28=1,'I_Budget Input Data'!$D$39,0),IF('I_Budget Input Data'!$E$39="Equal",'I_Budget Input Data'!$D$39/'I_Inputs &amp; Assumptions'!$B$8,IF('I_Budget Input Data'!$E$39="Front-loaded",IF(28&lt;='I_Inputs &amp; Assumptions'!$B$8/2,'I_Budget Input Data'!$D$39*0.6/('I_Inputs &amp; Assumptions'!$B$8/2),'I_Budget Input Data'!$D$39*0.4/('I_Inputs &amp; Assumptions'!$B$8/2)),IF('I_Budget Input Data'!$E$39="Back-loaded",IF(28&lt;='I_Inputs &amp; Assumptions'!$B$8/2,'I_Budget Input Data'!$D$39*0.4/('I_Inputs &amp; Assumptions'!$B$8/2),'I_Budget Input Data'!$D$39*0.6/('I_Inputs &amp; Assumptions'!$B$8/2)),IF('I_Budget Input Data'!$E$39="Mid-weighted",IF(28&lt;='I_Inputs &amp; Assumptions'!$B$8/4,'I_Budget Input Data'!$D$39*0.2/('I_Inputs &amp; Assumptions'!$B$8/4),IF(28&lt;='I_Inputs &amp; Assumptions'!$B$8*0.75,'I_Budget Input Data'!$D$39*0.6/('I_Inputs &amp; Assumptions'!$B$8/2),'I_Budget Input Data'!$D$39*0.2/('I_Inputs &amp; Assumptions'!$B$8/4))),IF('I_Budget Input Data'!$E$39="At Completion",IF(28='I_Inputs &amp; Assumptions'!$B$8,'I_Budget Input Data'!$D$39,0),'I_Budget Input Data'!$D$39/'I_Inputs &amp; Assumptions'!$B$8)))))),0)</f>
        <v>0</v>
      </c>
      <c r="AE39" s="91">
        <f>IF(29&lt;='I_Inputs &amp; Assumptions'!$B$8,IF('I_Budget Input Data'!$E$39="Upfront",IF(29=1,'I_Budget Input Data'!$D$39,0),IF('I_Budget Input Data'!$E$39="Equal",'I_Budget Input Data'!$D$39/'I_Inputs &amp; Assumptions'!$B$8,IF('I_Budget Input Data'!$E$39="Front-loaded",IF(29&lt;='I_Inputs &amp; Assumptions'!$B$8/2,'I_Budget Input Data'!$D$39*0.6/('I_Inputs &amp; Assumptions'!$B$8/2),'I_Budget Input Data'!$D$39*0.4/('I_Inputs &amp; Assumptions'!$B$8/2)),IF('I_Budget Input Data'!$E$39="Back-loaded",IF(29&lt;='I_Inputs &amp; Assumptions'!$B$8/2,'I_Budget Input Data'!$D$39*0.4/('I_Inputs &amp; Assumptions'!$B$8/2),'I_Budget Input Data'!$D$39*0.6/('I_Inputs &amp; Assumptions'!$B$8/2)),IF('I_Budget Input Data'!$E$39="Mid-weighted",IF(29&lt;='I_Inputs &amp; Assumptions'!$B$8/4,'I_Budget Input Data'!$D$39*0.2/('I_Inputs &amp; Assumptions'!$B$8/4),IF(29&lt;='I_Inputs &amp; Assumptions'!$B$8*0.75,'I_Budget Input Data'!$D$39*0.6/('I_Inputs &amp; Assumptions'!$B$8/2),'I_Budget Input Data'!$D$39*0.2/('I_Inputs &amp; Assumptions'!$B$8/4))),IF('I_Budget Input Data'!$E$39="At Completion",IF(29='I_Inputs &amp; Assumptions'!$B$8,'I_Budget Input Data'!$D$39,0),'I_Budget Input Data'!$D$39/'I_Inputs &amp; Assumptions'!$B$8)))))),0)</f>
        <v>0</v>
      </c>
      <c r="AF39" s="91">
        <f>IF(30&lt;='I_Inputs &amp; Assumptions'!$B$8,IF('I_Budget Input Data'!$E$39="Upfront",IF(30=1,'I_Budget Input Data'!$D$39,0),IF('I_Budget Input Data'!$E$39="Equal",'I_Budget Input Data'!$D$39/'I_Inputs &amp; Assumptions'!$B$8,IF('I_Budget Input Data'!$E$39="Front-loaded",IF(30&lt;='I_Inputs &amp; Assumptions'!$B$8/2,'I_Budget Input Data'!$D$39*0.6/('I_Inputs &amp; Assumptions'!$B$8/2),'I_Budget Input Data'!$D$39*0.4/('I_Inputs &amp; Assumptions'!$B$8/2)),IF('I_Budget Input Data'!$E$39="Back-loaded",IF(30&lt;='I_Inputs &amp; Assumptions'!$B$8/2,'I_Budget Input Data'!$D$39*0.4/('I_Inputs &amp; Assumptions'!$B$8/2),'I_Budget Input Data'!$D$39*0.6/('I_Inputs &amp; Assumptions'!$B$8/2)),IF('I_Budget Input Data'!$E$39="Mid-weighted",IF(30&lt;='I_Inputs &amp; Assumptions'!$B$8/4,'I_Budget Input Data'!$D$39*0.2/('I_Inputs &amp; Assumptions'!$B$8/4),IF(30&lt;='I_Inputs &amp; Assumptions'!$B$8*0.75,'I_Budget Input Data'!$D$39*0.6/('I_Inputs &amp; Assumptions'!$B$8/2),'I_Budget Input Data'!$D$39*0.2/('I_Inputs &amp; Assumptions'!$B$8/4))),IF('I_Budget Input Data'!$E$39="At Completion",IF(30='I_Inputs &amp; Assumptions'!$B$8,'I_Budget Input Data'!$D$39,0),'I_Budget Input Data'!$D$39/'I_Inputs &amp; Assumptions'!$B$8)))))),0)</f>
        <v>0</v>
      </c>
      <c r="AG39" s="91">
        <f>IF(31&lt;='I_Inputs &amp; Assumptions'!$B$8,IF('I_Budget Input Data'!$E$39="Upfront",IF(31=1,'I_Budget Input Data'!$D$39,0),IF('I_Budget Input Data'!$E$39="Equal",'I_Budget Input Data'!$D$39/'I_Inputs &amp; Assumptions'!$B$8,IF('I_Budget Input Data'!$E$39="Front-loaded",IF(31&lt;='I_Inputs &amp; Assumptions'!$B$8/2,'I_Budget Input Data'!$D$39*0.6/('I_Inputs &amp; Assumptions'!$B$8/2),'I_Budget Input Data'!$D$39*0.4/('I_Inputs &amp; Assumptions'!$B$8/2)),IF('I_Budget Input Data'!$E$39="Back-loaded",IF(31&lt;='I_Inputs &amp; Assumptions'!$B$8/2,'I_Budget Input Data'!$D$39*0.4/('I_Inputs &amp; Assumptions'!$B$8/2),'I_Budget Input Data'!$D$39*0.6/('I_Inputs &amp; Assumptions'!$B$8/2)),IF('I_Budget Input Data'!$E$39="Mid-weighted",IF(31&lt;='I_Inputs &amp; Assumptions'!$B$8/4,'I_Budget Input Data'!$D$39*0.2/('I_Inputs &amp; Assumptions'!$B$8/4),IF(31&lt;='I_Inputs &amp; Assumptions'!$B$8*0.75,'I_Budget Input Data'!$D$39*0.6/('I_Inputs &amp; Assumptions'!$B$8/2),'I_Budget Input Data'!$D$39*0.2/('I_Inputs &amp; Assumptions'!$B$8/4))),IF('I_Budget Input Data'!$E$39="At Completion",IF(31='I_Inputs &amp; Assumptions'!$B$8,'I_Budget Input Data'!$D$39,0),'I_Budget Input Data'!$D$39/'I_Inputs &amp; Assumptions'!$B$8)))))),0)</f>
        <v>0</v>
      </c>
      <c r="AH39" s="91">
        <f>IF(32&lt;='I_Inputs &amp; Assumptions'!$B$8,IF('I_Budget Input Data'!$E$39="Upfront",IF(32=1,'I_Budget Input Data'!$D$39,0),IF('I_Budget Input Data'!$E$39="Equal",'I_Budget Input Data'!$D$39/'I_Inputs &amp; Assumptions'!$B$8,IF('I_Budget Input Data'!$E$39="Front-loaded",IF(32&lt;='I_Inputs &amp; Assumptions'!$B$8/2,'I_Budget Input Data'!$D$39*0.6/('I_Inputs &amp; Assumptions'!$B$8/2),'I_Budget Input Data'!$D$39*0.4/('I_Inputs &amp; Assumptions'!$B$8/2)),IF('I_Budget Input Data'!$E$39="Back-loaded",IF(32&lt;='I_Inputs &amp; Assumptions'!$B$8/2,'I_Budget Input Data'!$D$39*0.4/('I_Inputs &amp; Assumptions'!$B$8/2),'I_Budget Input Data'!$D$39*0.6/('I_Inputs &amp; Assumptions'!$B$8/2)),IF('I_Budget Input Data'!$E$39="Mid-weighted",IF(32&lt;='I_Inputs &amp; Assumptions'!$B$8/4,'I_Budget Input Data'!$D$39*0.2/('I_Inputs &amp; Assumptions'!$B$8/4),IF(32&lt;='I_Inputs &amp; Assumptions'!$B$8*0.75,'I_Budget Input Data'!$D$39*0.6/('I_Inputs &amp; Assumptions'!$B$8/2),'I_Budget Input Data'!$D$39*0.2/('I_Inputs &amp; Assumptions'!$B$8/4))),IF('I_Budget Input Data'!$E$39="At Completion",IF(32='I_Inputs &amp; Assumptions'!$B$8,'I_Budget Input Data'!$D$39,0),'I_Budget Input Data'!$D$39/'I_Inputs &amp; Assumptions'!$B$8)))))),0)</f>
        <v>0</v>
      </c>
      <c r="AI39" s="91">
        <f>IF(33&lt;='I_Inputs &amp; Assumptions'!$B$8,IF('I_Budget Input Data'!$E$39="Upfront",IF(33=1,'I_Budget Input Data'!$D$39,0),IF('I_Budget Input Data'!$E$39="Equal",'I_Budget Input Data'!$D$39/'I_Inputs &amp; Assumptions'!$B$8,IF('I_Budget Input Data'!$E$39="Front-loaded",IF(33&lt;='I_Inputs &amp; Assumptions'!$B$8/2,'I_Budget Input Data'!$D$39*0.6/('I_Inputs &amp; Assumptions'!$B$8/2),'I_Budget Input Data'!$D$39*0.4/('I_Inputs &amp; Assumptions'!$B$8/2)),IF('I_Budget Input Data'!$E$39="Back-loaded",IF(33&lt;='I_Inputs &amp; Assumptions'!$B$8/2,'I_Budget Input Data'!$D$39*0.4/('I_Inputs &amp; Assumptions'!$B$8/2),'I_Budget Input Data'!$D$39*0.6/('I_Inputs &amp; Assumptions'!$B$8/2)),IF('I_Budget Input Data'!$E$39="Mid-weighted",IF(33&lt;='I_Inputs &amp; Assumptions'!$B$8/4,'I_Budget Input Data'!$D$39*0.2/('I_Inputs &amp; Assumptions'!$B$8/4),IF(33&lt;='I_Inputs &amp; Assumptions'!$B$8*0.75,'I_Budget Input Data'!$D$39*0.6/('I_Inputs &amp; Assumptions'!$B$8/2),'I_Budget Input Data'!$D$39*0.2/('I_Inputs &amp; Assumptions'!$B$8/4))),IF('I_Budget Input Data'!$E$39="At Completion",IF(33='I_Inputs &amp; Assumptions'!$B$8,'I_Budget Input Data'!$D$39,0),'I_Budget Input Data'!$D$39/'I_Inputs &amp; Assumptions'!$B$8)))))),0)</f>
        <v>0</v>
      </c>
      <c r="AJ39" s="91">
        <f>IF(34&lt;='I_Inputs &amp; Assumptions'!$B$8,IF('I_Budget Input Data'!$E$39="Upfront",IF(34=1,'I_Budget Input Data'!$D$39,0),IF('I_Budget Input Data'!$E$39="Equal",'I_Budget Input Data'!$D$39/'I_Inputs &amp; Assumptions'!$B$8,IF('I_Budget Input Data'!$E$39="Front-loaded",IF(34&lt;='I_Inputs &amp; Assumptions'!$B$8/2,'I_Budget Input Data'!$D$39*0.6/('I_Inputs &amp; Assumptions'!$B$8/2),'I_Budget Input Data'!$D$39*0.4/('I_Inputs &amp; Assumptions'!$B$8/2)),IF('I_Budget Input Data'!$E$39="Back-loaded",IF(34&lt;='I_Inputs &amp; Assumptions'!$B$8/2,'I_Budget Input Data'!$D$39*0.4/('I_Inputs &amp; Assumptions'!$B$8/2),'I_Budget Input Data'!$D$39*0.6/('I_Inputs &amp; Assumptions'!$B$8/2)),IF('I_Budget Input Data'!$E$39="Mid-weighted",IF(34&lt;='I_Inputs &amp; Assumptions'!$B$8/4,'I_Budget Input Data'!$D$39*0.2/('I_Inputs &amp; Assumptions'!$B$8/4),IF(34&lt;='I_Inputs &amp; Assumptions'!$B$8*0.75,'I_Budget Input Data'!$D$39*0.6/('I_Inputs &amp; Assumptions'!$B$8/2),'I_Budget Input Data'!$D$39*0.2/('I_Inputs &amp; Assumptions'!$B$8/4))),IF('I_Budget Input Data'!$E$39="At Completion",IF(34='I_Inputs &amp; Assumptions'!$B$8,'I_Budget Input Data'!$D$39,0),'I_Budget Input Data'!$D$39/'I_Inputs &amp; Assumptions'!$B$8)))))),0)</f>
        <v>0</v>
      </c>
      <c r="AK39" s="91">
        <f>IF(35&lt;='I_Inputs &amp; Assumptions'!$B$8,IF('I_Budget Input Data'!$E$39="Upfront",IF(35=1,'I_Budget Input Data'!$D$39,0),IF('I_Budget Input Data'!$E$39="Equal",'I_Budget Input Data'!$D$39/'I_Inputs &amp; Assumptions'!$B$8,IF('I_Budget Input Data'!$E$39="Front-loaded",IF(35&lt;='I_Inputs &amp; Assumptions'!$B$8/2,'I_Budget Input Data'!$D$39*0.6/('I_Inputs &amp; Assumptions'!$B$8/2),'I_Budget Input Data'!$D$39*0.4/('I_Inputs &amp; Assumptions'!$B$8/2)),IF('I_Budget Input Data'!$E$39="Back-loaded",IF(35&lt;='I_Inputs &amp; Assumptions'!$B$8/2,'I_Budget Input Data'!$D$39*0.4/('I_Inputs &amp; Assumptions'!$B$8/2),'I_Budget Input Data'!$D$39*0.6/('I_Inputs &amp; Assumptions'!$B$8/2)),IF('I_Budget Input Data'!$E$39="Mid-weighted",IF(35&lt;='I_Inputs &amp; Assumptions'!$B$8/4,'I_Budget Input Data'!$D$39*0.2/('I_Inputs &amp; Assumptions'!$B$8/4),IF(35&lt;='I_Inputs &amp; Assumptions'!$B$8*0.75,'I_Budget Input Data'!$D$39*0.6/('I_Inputs &amp; Assumptions'!$B$8/2),'I_Budget Input Data'!$D$39*0.2/('I_Inputs &amp; Assumptions'!$B$8/4))),IF('I_Budget Input Data'!$E$39="At Completion",IF(35='I_Inputs &amp; Assumptions'!$B$8,'I_Budget Input Data'!$D$39,0),'I_Budget Input Data'!$D$39/'I_Inputs &amp; Assumptions'!$B$8)))))),0)</f>
        <v>0</v>
      </c>
      <c r="AL39" s="91">
        <f>IF(36&lt;='I_Inputs &amp; Assumptions'!$B$8,IF('I_Budget Input Data'!$E$39="Upfront",IF(36=1,'I_Budget Input Data'!$D$39,0),IF('I_Budget Input Data'!$E$39="Equal",'I_Budget Input Data'!$D$39/'I_Inputs &amp; Assumptions'!$B$8,IF('I_Budget Input Data'!$E$39="Front-loaded",IF(36&lt;='I_Inputs &amp; Assumptions'!$B$8/2,'I_Budget Input Data'!$D$39*0.6/('I_Inputs &amp; Assumptions'!$B$8/2),'I_Budget Input Data'!$D$39*0.4/('I_Inputs &amp; Assumptions'!$B$8/2)),IF('I_Budget Input Data'!$E$39="Back-loaded",IF(36&lt;='I_Inputs &amp; Assumptions'!$B$8/2,'I_Budget Input Data'!$D$39*0.4/('I_Inputs &amp; Assumptions'!$B$8/2),'I_Budget Input Data'!$D$39*0.6/('I_Inputs &amp; Assumptions'!$B$8/2)),IF('I_Budget Input Data'!$E$39="Mid-weighted",IF(36&lt;='I_Inputs &amp; Assumptions'!$B$8/4,'I_Budget Input Data'!$D$39*0.2/('I_Inputs &amp; Assumptions'!$B$8/4),IF(36&lt;='I_Inputs &amp; Assumptions'!$B$8*0.75,'I_Budget Input Data'!$D$39*0.6/('I_Inputs &amp; Assumptions'!$B$8/2),'I_Budget Input Data'!$D$39*0.2/('I_Inputs &amp; Assumptions'!$B$8/4))),IF('I_Budget Input Data'!$E$39="At Completion",IF(36='I_Inputs &amp; Assumptions'!$B$8,'I_Budget Input Data'!$D$39,0),'I_Budget Input Data'!$D$39/'I_Inputs &amp; Assumptions'!$B$8)))))),0)</f>
        <v>0</v>
      </c>
    </row>
    <row r="40" spans="1:38" ht="15" customHeight="1" x14ac:dyDescent="0.2">
      <c r="A40" t="s">
        <v>146</v>
      </c>
      <c r="B40" t="s">
        <v>161</v>
      </c>
      <c r="C40" s="91">
        <f>IF(1&lt;='I_Inputs &amp; Assumptions'!$B$8,IF('I_Budget Input Data'!$E$40="Upfront",IF(1=1,'I_Budget Input Data'!$D$40,0),IF('I_Budget Input Data'!$E$40="Equal",'I_Budget Input Data'!$D$40/'I_Inputs &amp; Assumptions'!$B$8,IF('I_Budget Input Data'!$E$40="Front-loaded",IF(1&lt;='I_Inputs &amp; Assumptions'!$B$8/2,'I_Budget Input Data'!$D$40*0.6/('I_Inputs &amp; Assumptions'!$B$8/2),'I_Budget Input Data'!$D$40*0.4/('I_Inputs &amp; Assumptions'!$B$8/2)),IF('I_Budget Input Data'!$E$40="Back-loaded",IF(1&lt;='I_Inputs &amp; Assumptions'!$B$8/2,'I_Budget Input Data'!$D$40*0.4/('I_Inputs &amp; Assumptions'!$B$8/2),'I_Budget Input Data'!$D$40*0.6/('I_Inputs &amp; Assumptions'!$B$8/2)),IF('I_Budget Input Data'!$E$40="Mid-weighted",IF(1&lt;='I_Inputs &amp; Assumptions'!$B$8/4,'I_Budget Input Data'!$D$40*0.2/('I_Inputs &amp; Assumptions'!$B$8/4),IF(1&lt;='I_Inputs &amp; Assumptions'!$B$8*0.75,'I_Budget Input Data'!$D$40*0.6/('I_Inputs &amp; Assumptions'!$B$8/2),'I_Budget Input Data'!$D$40*0.2/('I_Inputs &amp; Assumptions'!$B$8/4))),IF('I_Budget Input Data'!$E$40="At Completion",IF(1='I_Inputs &amp; Assumptions'!$B$8,'I_Budget Input Data'!$D$40,0),'I_Budget Input Data'!$D$40/'I_Inputs &amp; Assumptions'!$B$8)))))),0)</f>
        <v>18673.076923076922</v>
      </c>
      <c r="D40" s="91">
        <f>IF(2&lt;='I_Inputs &amp; Assumptions'!$B$8,IF('I_Budget Input Data'!$E$40="Upfront",IF(2=1,'I_Budget Input Data'!$D$40,0),IF('I_Budget Input Data'!$E$40="Equal",'I_Budget Input Data'!$D$40/'I_Inputs &amp; Assumptions'!$B$8,IF('I_Budget Input Data'!$E$40="Front-loaded",IF(2&lt;='I_Inputs &amp; Assumptions'!$B$8/2,'I_Budget Input Data'!$D$40*0.6/('I_Inputs &amp; Assumptions'!$B$8/2),'I_Budget Input Data'!$D$40*0.4/('I_Inputs &amp; Assumptions'!$B$8/2)),IF('I_Budget Input Data'!$E$40="Back-loaded",IF(2&lt;='I_Inputs &amp; Assumptions'!$B$8/2,'I_Budget Input Data'!$D$40*0.4/('I_Inputs &amp; Assumptions'!$B$8/2),'I_Budget Input Data'!$D$40*0.6/('I_Inputs &amp; Assumptions'!$B$8/2)),IF('I_Budget Input Data'!$E$40="Mid-weighted",IF(2&lt;='I_Inputs &amp; Assumptions'!$B$8/4,'I_Budget Input Data'!$D$40*0.2/('I_Inputs &amp; Assumptions'!$B$8/4),IF(2&lt;='I_Inputs &amp; Assumptions'!$B$8*0.75,'I_Budget Input Data'!$D$40*0.6/('I_Inputs &amp; Assumptions'!$B$8/2),'I_Budget Input Data'!$D$40*0.2/('I_Inputs &amp; Assumptions'!$B$8/4))),IF('I_Budget Input Data'!$E$40="At Completion",IF(2='I_Inputs &amp; Assumptions'!$B$8,'I_Budget Input Data'!$D$40,0),'I_Budget Input Data'!$D$40/'I_Inputs &amp; Assumptions'!$B$8)))))),0)</f>
        <v>18673.076923076922</v>
      </c>
      <c r="E40" s="91">
        <f>IF(3&lt;='I_Inputs &amp; Assumptions'!$B$8,IF('I_Budget Input Data'!$E$40="Upfront",IF(3=1,'I_Budget Input Data'!$D$40,0),IF('I_Budget Input Data'!$E$40="Equal",'I_Budget Input Data'!$D$40/'I_Inputs &amp; Assumptions'!$B$8,IF('I_Budget Input Data'!$E$40="Front-loaded",IF(3&lt;='I_Inputs &amp; Assumptions'!$B$8/2,'I_Budget Input Data'!$D$40*0.6/('I_Inputs &amp; Assumptions'!$B$8/2),'I_Budget Input Data'!$D$40*0.4/('I_Inputs &amp; Assumptions'!$B$8/2)),IF('I_Budget Input Data'!$E$40="Back-loaded",IF(3&lt;='I_Inputs &amp; Assumptions'!$B$8/2,'I_Budget Input Data'!$D$40*0.4/('I_Inputs &amp; Assumptions'!$B$8/2),'I_Budget Input Data'!$D$40*0.6/('I_Inputs &amp; Assumptions'!$B$8/2)),IF('I_Budget Input Data'!$E$40="Mid-weighted",IF(3&lt;='I_Inputs &amp; Assumptions'!$B$8/4,'I_Budget Input Data'!$D$40*0.2/('I_Inputs &amp; Assumptions'!$B$8/4),IF(3&lt;='I_Inputs &amp; Assumptions'!$B$8*0.75,'I_Budget Input Data'!$D$40*0.6/('I_Inputs &amp; Assumptions'!$B$8/2),'I_Budget Input Data'!$D$40*0.2/('I_Inputs &amp; Assumptions'!$B$8/4))),IF('I_Budget Input Data'!$E$40="At Completion",IF(3='I_Inputs &amp; Assumptions'!$B$8,'I_Budget Input Data'!$D$40,0),'I_Budget Input Data'!$D$40/'I_Inputs &amp; Assumptions'!$B$8)))))),0)</f>
        <v>18673.076923076922</v>
      </c>
      <c r="F40" s="91">
        <f>IF(4&lt;='I_Inputs &amp; Assumptions'!$B$8,IF('I_Budget Input Data'!$E$40="Upfront",IF(4=1,'I_Budget Input Data'!$D$40,0),IF('I_Budget Input Data'!$E$40="Equal",'I_Budget Input Data'!$D$40/'I_Inputs &amp; Assumptions'!$B$8,IF('I_Budget Input Data'!$E$40="Front-loaded",IF(4&lt;='I_Inputs &amp; Assumptions'!$B$8/2,'I_Budget Input Data'!$D$40*0.6/('I_Inputs &amp; Assumptions'!$B$8/2),'I_Budget Input Data'!$D$40*0.4/('I_Inputs &amp; Assumptions'!$B$8/2)),IF('I_Budget Input Data'!$E$40="Back-loaded",IF(4&lt;='I_Inputs &amp; Assumptions'!$B$8/2,'I_Budget Input Data'!$D$40*0.4/('I_Inputs &amp; Assumptions'!$B$8/2),'I_Budget Input Data'!$D$40*0.6/('I_Inputs &amp; Assumptions'!$B$8/2)),IF('I_Budget Input Data'!$E$40="Mid-weighted",IF(4&lt;='I_Inputs &amp; Assumptions'!$B$8/4,'I_Budget Input Data'!$D$40*0.2/('I_Inputs &amp; Assumptions'!$B$8/4),IF(4&lt;='I_Inputs &amp; Assumptions'!$B$8*0.75,'I_Budget Input Data'!$D$40*0.6/('I_Inputs &amp; Assumptions'!$B$8/2),'I_Budget Input Data'!$D$40*0.2/('I_Inputs &amp; Assumptions'!$B$8/4))),IF('I_Budget Input Data'!$E$40="At Completion",IF(4='I_Inputs &amp; Assumptions'!$B$8,'I_Budget Input Data'!$D$40,0),'I_Budget Input Data'!$D$40/'I_Inputs &amp; Assumptions'!$B$8)))))),0)</f>
        <v>18673.076923076922</v>
      </c>
      <c r="G40" s="91">
        <f>IF(5&lt;='I_Inputs &amp; Assumptions'!$B$8,IF('I_Budget Input Data'!$E$40="Upfront",IF(5=1,'I_Budget Input Data'!$D$40,0),IF('I_Budget Input Data'!$E$40="Equal",'I_Budget Input Data'!$D$40/'I_Inputs &amp; Assumptions'!$B$8,IF('I_Budget Input Data'!$E$40="Front-loaded",IF(5&lt;='I_Inputs &amp; Assumptions'!$B$8/2,'I_Budget Input Data'!$D$40*0.6/('I_Inputs &amp; Assumptions'!$B$8/2),'I_Budget Input Data'!$D$40*0.4/('I_Inputs &amp; Assumptions'!$B$8/2)),IF('I_Budget Input Data'!$E$40="Back-loaded",IF(5&lt;='I_Inputs &amp; Assumptions'!$B$8/2,'I_Budget Input Data'!$D$40*0.4/('I_Inputs &amp; Assumptions'!$B$8/2),'I_Budget Input Data'!$D$40*0.6/('I_Inputs &amp; Assumptions'!$B$8/2)),IF('I_Budget Input Data'!$E$40="Mid-weighted",IF(5&lt;='I_Inputs &amp; Assumptions'!$B$8/4,'I_Budget Input Data'!$D$40*0.2/('I_Inputs &amp; Assumptions'!$B$8/4),IF(5&lt;='I_Inputs &amp; Assumptions'!$B$8*0.75,'I_Budget Input Data'!$D$40*0.6/('I_Inputs &amp; Assumptions'!$B$8/2),'I_Budget Input Data'!$D$40*0.2/('I_Inputs &amp; Assumptions'!$B$8/4))),IF('I_Budget Input Data'!$E$40="At Completion",IF(5='I_Inputs &amp; Assumptions'!$B$8,'I_Budget Input Data'!$D$40,0),'I_Budget Input Data'!$D$40/'I_Inputs &amp; Assumptions'!$B$8)))))),0)</f>
        <v>18673.076923076922</v>
      </c>
      <c r="H40" s="91">
        <f>IF(6&lt;='I_Inputs &amp; Assumptions'!$B$8,IF('I_Budget Input Data'!$E$40="Upfront",IF(6=1,'I_Budget Input Data'!$D$40,0),IF('I_Budget Input Data'!$E$40="Equal",'I_Budget Input Data'!$D$40/'I_Inputs &amp; Assumptions'!$B$8,IF('I_Budget Input Data'!$E$40="Front-loaded",IF(6&lt;='I_Inputs &amp; Assumptions'!$B$8/2,'I_Budget Input Data'!$D$40*0.6/('I_Inputs &amp; Assumptions'!$B$8/2),'I_Budget Input Data'!$D$40*0.4/('I_Inputs &amp; Assumptions'!$B$8/2)),IF('I_Budget Input Data'!$E$40="Back-loaded",IF(6&lt;='I_Inputs &amp; Assumptions'!$B$8/2,'I_Budget Input Data'!$D$40*0.4/('I_Inputs &amp; Assumptions'!$B$8/2),'I_Budget Input Data'!$D$40*0.6/('I_Inputs &amp; Assumptions'!$B$8/2)),IF('I_Budget Input Data'!$E$40="Mid-weighted",IF(6&lt;='I_Inputs &amp; Assumptions'!$B$8/4,'I_Budget Input Data'!$D$40*0.2/('I_Inputs &amp; Assumptions'!$B$8/4),IF(6&lt;='I_Inputs &amp; Assumptions'!$B$8*0.75,'I_Budget Input Data'!$D$40*0.6/('I_Inputs &amp; Assumptions'!$B$8/2),'I_Budget Input Data'!$D$40*0.2/('I_Inputs &amp; Assumptions'!$B$8/4))),IF('I_Budget Input Data'!$E$40="At Completion",IF(6='I_Inputs &amp; Assumptions'!$B$8,'I_Budget Input Data'!$D$40,0),'I_Budget Input Data'!$D$40/'I_Inputs &amp; Assumptions'!$B$8)))))),0)</f>
        <v>18673.076923076922</v>
      </c>
      <c r="I40" s="91">
        <f>IF(7&lt;='I_Inputs &amp; Assumptions'!$B$8,IF('I_Budget Input Data'!$E$40="Upfront",IF(7=1,'I_Budget Input Data'!$D$40,0),IF('I_Budget Input Data'!$E$40="Equal",'I_Budget Input Data'!$D$40/'I_Inputs &amp; Assumptions'!$B$8,IF('I_Budget Input Data'!$E$40="Front-loaded",IF(7&lt;='I_Inputs &amp; Assumptions'!$B$8/2,'I_Budget Input Data'!$D$40*0.6/('I_Inputs &amp; Assumptions'!$B$8/2),'I_Budget Input Data'!$D$40*0.4/('I_Inputs &amp; Assumptions'!$B$8/2)),IF('I_Budget Input Data'!$E$40="Back-loaded",IF(7&lt;='I_Inputs &amp; Assumptions'!$B$8/2,'I_Budget Input Data'!$D$40*0.4/('I_Inputs &amp; Assumptions'!$B$8/2),'I_Budget Input Data'!$D$40*0.6/('I_Inputs &amp; Assumptions'!$B$8/2)),IF('I_Budget Input Data'!$E$40="Mid-weighted",IF(7&lt;='I_Inputs &amp; Assumptions'!$B$8/4,'I_Budget Input Data'!$D$40*0.2/('I_Inputs &amp; Assumptions'!$B$8/4),IF(7&lt;='I_Inputs &amp; Assumptions'!$B$8*0.75,'I_Budget Input Data'!$D$40*0.6/('I_Inputs &amp; Assumptions'!$B$8/2),'I_Budget Input Data'!$D$40*0.2/('I_Inputs &amp; Assumptions'!$B$8/4))),IF('I_Budget Input Data'!$E$40="At Completion",IF(7='I_Inputs &amp; Assumptions'!$B$8,'I_Budget Input Data'!$D$40,0),'I_Budget Input Data'!$D$40/'I_Inputs &amp; Assumptions'!$B$8)))))),0)</f>
        <v>18673.076923076922</v>
      </c>
      <c r="J40" s="91">
        <f>IF(8&lt;='I_Inputs &amp; Assumptions'!$B$8,IF('I_Budget Input Data'!$E$40="Upfront",IF(8=1,'I_Budget Input Data'!$D$40,0),IF('I_Budget Input Data'!$E$40="Equal",'I_Budget Input Data'!$D$40/'I_Inputs &amp; Assumptions'!$B$8,IF('I_Budget Input Data'!$E$40="Front-loaded",IF(8&lt;='I_Inputs &amp; Assumptions'!$B$8/2,'I_Budget Input Data'!$D$40*0.6/('I_Inputs &amp; Assumptions'!$B$8/2),'I_Budget Input Data'!$D$40*0.4/('I_Inputs &amp; Assumptions'!$B$8/2)),IF('I_Budget Input Data'!$E$40="Back-loaded",IF(8&lt;='I_Inputs &amp; Assumptions'!$B$8/2,'I_Budget Input Data'!$D$40*0.4/('I_Inputs &amp; Assumptions'!$B$8/2),'I_Budget Input Data'!$D$40*0.6/('I_Inputs &amp; Assumptions'!$B$8/2)),IF('I_Budget Input Data'!$E$40="Mid-weighted",IF(8&lt;='I_Inputs &amp; Assumptions'!$B$8/4,'I_Budget Input Data'!$D$40*0.2/('I_Inputs &amp; Assumptions'!$B$8/4),IF(8&lt;='I_Inputs &amp; Assumptions'!$B$8*0.75,'I_Budget Input Data'!$D$40*0.6/('I_Inputs &amp; Assumptions'!$B$8/2),'I_Budget Input Data'!$D$40*0.2/('I_Inputs &amp; Assumptions'!$B$8/4))),IF('I_Budget Input Data'!$E$40="At Completion",IF(8='I_Inputs &amp; Assumptions'!$B$8,'I_Budget Input Data'!$D$40,0),'I_Budget Input Data'!$D$40/'I_Inputs &amp; Assumptions'!$B$8)))))),0)</f>
        <v>18673.076923076922</v>
      </c>
      <c r="K40" s="91">
        <f>IF(9&lt;='I_Inputs &amp; Assumptions'!$B$8,IF('I_Budget Input Data'!$E$40="Upfront",IF(9=1,'I_Budget Input Data'!$D$40,0),IF('I_Budget Input Data'!$E$40="Equal",'I_Budget Input Data'!$D$40/'I_Inputs &amp; Assumptions'!$B$8,IF('I_Budget Input Data'!$E$40="Front-loaded",IF(9&lt;='I_Inputs &amp; Assumptions'!$B$8/2,'I_Budget Input Data'!$D$40*0.6/('I_Inputs &amp; Assumptions'!$B$8/2),'I_Budget Input Data'!$D$40*0.4/('I_Inputs &amp; Assumptions'!$B$8/2)),IF('I_Budget Input Data'!$E$40="Back-loaded",IF(9&lt;='I_Inputs &amp; Assumptions'!$B$8/2,'I_Budget Input Data'!$D$40*0.4/('I_Inputs &amp; Assumptions'!$B$8/2),'I_Budget Input Data'!$D$40*0.6/('I_Inputs &amp; Assumptions'!$B$8/2)),IF('I_Budget Input Data'!$E$40="Mid-weighted",IF(9&lt;='I_Inputs &amp; Assumptions'!$B$8/4,'I_Budget Input Data'!$D$40*0.2/('I_Inputs &amp; Assumptions'!$B$8/4),IF(9&lt;='I_Inputs &amp; Assumptions'!$B$8*0.75,'I_Budget Input Data'!$D$40*0.6/('I_Inputs &amp; Assumptions'!$B$8/2),'I_Budget Input Data'!$D$40*0.2/('I_Inputs &amp; Assumptions'!$B$8/4))),IF('I_Budget Input Data'!$E$40="At Completion",IF(9='I_Inputs &amp; Assumptions'!$B$8,'I_Budget Input Data'!$D$40,0),'I_Budget Input Data'!$D$40/'I_Inputs &amp; Assumptions'!$B$8)))))),0)</f>
        <v>18673.076923076922</v>
      </c>
      <c r="L40" s="91">
        <f>IF(10&lt;='I_Inputs &amp; Assumptions'!$B$8,IF('I_Budget Input Data'!$E$40="Upfront",IF(10=1,'I_Budget Input Data'!$D$40,0),IF('I_Budget Input Data'!$E$40="Equal",'I_Budget Input Data'!$D$40/'I_Inputs &amp; Assumptions'!$B$8,IF('I_Budget Input Data'!$E$40="Front-loaded",IF(10&lt;='I_Inputs &amp; Assumptions'!$B$8/2,'I_Budget Input Data'!$D$40*0.6/('I_Inputs &amp; Assumptions'!$B$8/2),'I_Budget Input Data'!$D$40*0.4/('I_Inputs &amp; Assumptions'!$B$8/2)),IF('I_Budget Input Data'!$E$40="Back-loaded",IF(10&lt;='I_Inputs &amp; Assumptions'!$B$8/2,'I_Budget Input Data'!$D$40*0.4/('I_Inputs &amp; Assumptions'!$B$8/2),'I_Budget Input Data'!$D$40*0.6/('I_Inputs &amp; Assumptions'!$B$8/2)),IF('I_Budget Input Data'!$E$40="Mid-weighted",IF(10&lt;='I_Inputs &amp; Assumptions'!$B$8/4,'I_Budget Input Data'!$D$40*0.2/('I_Inputs &amp; Assumptions'!$B$8/4),IF(10&lt;='I_Inputs &amp; Assumptions'!$B$8*0.75,'I_Budget Input Data'!$D$40*0.6/('I_Inputs &amp; Assumptions'!$B$8/2),'I_Budget Input Data'!$D$40*0.2/('I_Inputs &amp; Assumptions'!$B$8/4))),IF('I_Budget Input Data'!$E$40="At Completion",IF(10='I_Inputs &amp; Assumptions'!$B$8,'I_Budget Input Data'!$D$40,0),'I_Budget Input Data'!$D$40/'I_Inputs &amp; Assumptions'!$B$8)))))),0)</f>
        <v>18673.076923076922</v>
      </c>
      <c r="M40" s="91">
        <f>IF(11&lt;='I_Inputs &amp; Assumptions'!$B$8,IF('I_Budget Input Data'!$E$40="Upfront",IF(11=1,'I_Budget Input Data'!$D$40,0),IF('I_Budget Input Data'!$E$40="Equal",'I_Budget Input Data'!$D$40/'I_Inputs &amp; Assumptions'!$B$8,IF('I_Budget Input Data'!$E$40="Front-loaded",IF(11&lt;='I_Inputs &amp; Assumptions'!$B$8/2,'I_Budget Input Data'!$D$40*0.6/('I_Inputs &amp; Assumptions'!$B$8/2),'I_Budget Input Data'!$D$40*0.4/('I_Inputs &amp; Assumptions'!$B$8/2)),IF('I_Budget Input Data'!$E$40="Back-loaded",IF(11&lt;='I_Inputs &amp; Assumptions'!$B$8/2,'I_Budget Input Data'!$D$40*0.4/('I_Inputs &amp; Assumptions'!$B$8/2),'I_Budget Input Data'!$D$40*0.6/('I_Inputs &amp; Assumptions'!$B$8/2)),IF('I_Budget Input Data'!$E$40="Mid-weighted",IF(11&lt;='I_Inputs &amp; Assumptions'!$B$8/4,'I_Budget Input Data'!$D$40*0.2/('I_Inputs &amp; Assumptions'!$B$8/4),IF(11&lt;='I_Inputs &amp; Assumptions'!$B$8*0.75,'I_Budget Input Data'!$D$40*0.6/('I_Inputs &amp; Assumptions'!$B$8/2),'I_Budget Input Data'!$D$40*0.2/('I_Inputs &amp; Assumptions'!$B$8/4))),IF('I_Budget Input Data'!$E$40="At Completion",IF(11='I_Inputs &amp; Assumptions'!$B$8,'I_Budget Input Data'!$D$40,0),'I_Budget Input Data'!$D$40/'I_Inputs &amp; Assumptions'!$B$8)))))),0)</f>
        <v>18673.076923076922</v>
      </c>
      <c r="N40" s="91">
        <f>IF(12&lt;='I_Inputs &amp; Assumptions'!$B$8,IF('I_Budget Input Data'!$E$40="Upfront",IF(12=1,'I_Budget Input Data'!$D$40,0),IF('I_Budget Input Data'!$E$40="Equal",'I_Budget Input Data'!$D$40/'I_Inputs &amp; Assumptions'!$B$8,IF('I_Budget Input Data'!$E$40="Front-loaded",IF(12&lt;='I_Inputs &amp; Assumptions'!$B$8/2,'I_Budget Input Data'!$D$40*0.6/('I_Inputs &amp; Assumptions'!$B$8/2),'I_Budget Input Data'!$D$40*0.4/('I_Inputs &amp; Assumptions'!$B$8/2)),IF('I_Budget Input Data'!$E$40="Back-loaded",IF(12&lt;='I_Inputs &amp; Assumptions'!$B$8/2,'I_Budget Input Data'!$D$40*0.4/('I_Inputs &amp; Assumptions'!$B$8/2),'I_Budget Input Data'!$D$40*0.6/('I_Inputs &amp; Assumptions'!$B$8/2)),IF('I_Budget Input Data'!$E$40="Mid-weighted",IF(12&lt;='I_Inputs &amp; Assumptions'!$B$8/4,'I_Budget Input Data'!$D$40*0.2/('I_Inputs &amp; Assumptions'!$B$8/4),IF(12&lt;='I_Inputs &amp; Assumptions'!$B$8*0.75,'I_Budget Input Data'!$D$40*0.6/('I_Inputs &amp; Assumptions'!$B$8/2),'I_Budget Input Data'!$D$40*0.2/('I_Inputs &amp; Assumptions'!$B$8/4))),IF('I_Budget Input Data'!$E$40="At Completion",IF(12='I_Inputs &amp; Assumptions'!$B$8,'I_Budget Input Data'!$D$40,0),'I_Budget Input Data'!$D$40/'I_Inputs &amp; Assumptions'!$B$8)))))),0)</f>
        <v>18673.076923076922</v>
      </c>
      <c r="O40" s="91">
        <f>IF(13&lt;='I_Inputs &amp; Assumptions'!$B$8,IF('I_Budget Input Data'!$E$40="Upfront",IF(13=1,'I_Budget Input Data'!$D$40,0),IF('I_Budget Input Data'!$E$40="Equal",'I_Budget Input Data'!$D$40/'I_Inputs &amp; Assumptions'!$B$8,IF('I_Budget Input Data'!$E$40="Front-loaded",IF(13&lt;='I_Inputs &amp; Assumptions'!$B$8/2,'I_Budget Input Data'!$D$40*0.6/('I_Inputs &amp; Assumptions'!$B$8/2),'I_Budget Input Data'!$D$40*0.4/('I_Inputs &amp; Assumptions'!$B$8/2)),IF('I_Budget Input Data'!$E$40="Back-loaded",IF(13&lt;='I_Inputs &amp; Assumptions'!$B$8/2,'I_Budget Input Data'!$D$40*0.4/('I_Inputs &amp; Assumptions'!$B$8/2),'I_Budget Input Data'!$D$40*0.6/('I_Inputs &amp; Assumptions'!$B$8/2)),IF('I_Budget Input Data'!$E$40="Mid-weighted",IF(13&lt;='I_Inputs &amp; Assumptions'!$B$8/4,'I_Budget Input Data'!$D$40*0.2/('I_Inputs &amp; Assumptions'!$B$8/4),IF(13&lt;='I_Inputs &amp; Assumptions'!$B$8*0.75,'I_Budget Input Data'!$D$40*0.6/('I_Inputs &amp; Assumptions'!$B$8/2),'I_Budget Input Data'!$D$40*0.2/('I_Inputs &amp; Assumptions'!$B$8/4))),IF('I_Budget Input Data'!$E$40="At Completion",IF(13='I_Inputs &amp; Assumptions'!$B$8,'I_Budget Input Data'!$D$40,0),'I_Budget Input Data'!$D$40/'I_Inputs &amp; Assumptions'!$B$8)))))),0)</f>
        <v>18673.076923076922</v>
      </c>
      <c r="P40" s="91">
        <f>IF(14&lt;='I_Inputs &amp; Assumptions'!$B$8,IF('I_Budget Input Data'!$E$40="Upfront",IF(14=1,'I_Budget Input Data'!$D$40,0),IF('I_Budget Input Data'!$E$40="Equal",'I_Budget Input Data'!$D$40/'I_Inputs &amp; Assumptions'!$B$8,IF('I_Budget Input Data'!$E$40="Front-loaded",IF(14&lt;='I_Inputs &amp; Assumptions'!$B$8/2,'I_Budget Input Data'!$D$40*0.6/('I_Inputs &amp; Assumptions'!$B$8/2),'I_Budget Input Data'!$D$40*0.4/('I_Inputs &amp; Assumptions'!$B$8/2)),IF('I_Budget Input Data'!$E$40="Back-loaded",IF(14&lt;='I_Inputs &amp; Assumptions'!$B$8/2,'I_Budget Input Data'!$D$40*0.4/('I_Inputs &amp; Assumptions'!$B$8/2),'I_Budget Input Data'!$D$40*0.6/('I_Inputs &amp; Assumptions'!$B$8/2)),IF('I_Budget Input Data'!$E$40="Mid-weighted",IF(14&lt;='I_Inputs &amp; Assumptions'!$B$8/4,'I_Budget Input Data'!$D$40*0.2/('I_Inputs &amp; Assumptions'!$B$8/4),IF(14&lt;='I_Inputs &amp; Assumptions'!$B$8*0.75,'I_Budget Input Data'!$D$40*0.6/('I_Inputs &amp; Assumptions'!$B$8/2),'I_Budget Input Data'!$D$40*0.2/('I_Inputs &amp; Assumptions'!$B$8/4))),IF('I_Budget Input Data'!$E$40="At Completion",IF(14='I_Inputs &amp; Assumptions'!$B$8,'I_Budget Input Data'!$D$40,0),'I_Budget Input Data'!$D$40/'I_Inputs &amp; Assumptions'!$B$8)))))),0)</f>
        <v>0</v>
      </c>
      <c r="Q40" s="91">
        <f>IF(15&lt;='I_Inputs &amp; Assumptions'!$B$8,IF('I_Budget Input Data'!$E$40="Upfront",IF(15=1,'I_Budget Input Data'!$D$40,0),IF('I_Budget Input Data'!$E$40="Equal",'I_Budget Input Data'!$D$40/'I_Inputs &amp; Assumptions'!$B$8,IF('I_Budget Input Data'!$E$40="Front-loaded",IF(15&lt;='I_Inputs &amp; Assumptions'!$B$8/2,'I_Budget Input Data'!$D$40*0.6/('I_Inputs &amp; Assumptions'!$B$8/2),'I_Budget Input Data'!$D$40*0.4/('I_Inputs &amp; Assumptions'!$B$8/2)),IF('I_Budget Input Data'!$E$40="Back-loaded",IF(15&lt;='I_Inputs &amp; Assumptions'!$B$8/2,'I_Budget Input Data'!$D$40*0.4/('I_Inputs &amp; Assumptions'!$B$8/2),'I_Budget Input Data'!$D$40*0.6/('I_Inputs &amp; Assumptions'!$B$8/2)),IF('I_Budget Input Data'!$E$40="Mid-weighted",IF(15&lt;='I_Inputs &amp; Assumptions'!$B$8/4,'I_Budget Input Data'!$D$40*0.2/('I_Inputs &amp; Assumptions'!$B$8/4),IF(15&lt;='I_Inputs &amp; Assumptions'!$B$8*0.75,'I_Budget Input Data'!$D$40*0.6/('I_Inputs &amp; Assumptions'!$B$8/2),'I_Budget Input Data'!$D$40*0.2/('I_Inputs &amp; Assumptions'!$B$8/4))),IF('I_Budget Input Data'!$E$40="At Completion",IF(15='I_Inputs &amp; Assumptions'!$B$8,'I_Budget Input Data'!$D$40,0),'I_Budget Input Data'!$D$40/'I_Inputs &amp; Assumptions'!$B$8)))))),0)</f>
        <v>0</v>
      </c>
      <c r="R40" s="91">
        <f>IF(16&lt;='I_Inputs &amp; Assumptions'!$B$8,IF('I_Budget Input Data'!$E$40="Upfront",IF(16=1,'I_Budget Input Data'!$D$40,0),IF('I_Budget Input Data'!$E$40="Equal",'I_Budget Input Data'!$D$40/'I_Inputs &amp; Assumptions'!$B$8,IF('I_Budget Input Data'!$E$40="Front-loaded",IF(16&lt;='I_Inputs &amp; Assumptions'!$B$8/2,'I_Budget Input Data'!$D$40*0.6/('I_Inputs &amp; Assumptions'!$B$8/2),'I_Budget Input Data'!$D$40*0.4/('I_Inputs &amp; Assumptions'!$B$8/2)),IF('I_Budget Input Data'!$E$40="Back-loaded",IF(16&lt;='I_Inputs &amp; Assumptions'!$B$8/2,'I_Budget Input Data'!$D$40*0.4/('I_Inputs &amp; Assumptions'!$B$8/2),'I_Budget Input Data'!$D$40*0.6/('I_Inputs &amp; Assumptions'!$B$8/2)),IF('I_Budget Input Data'!$E$40="Mid-weighted",IF(16&lt;='I_Inputs &amp; Assumptions'!$B$8/4,'I_Budget Input Data'!$D$40*0.2/('I_Inputs &amp; Assumptions'!$B$8/4),IF(16&lt;='I_Inputs &amp; Assumptions'!$B$8*0.75,'I_Budget Input Data'!$D$40*0.6/('I_Inputs &amp; Assumptions'!$B$8/2),'I_Budget Input Data'!$D$40*0.2/('I_Inputs &amp; Assumptions'!$B$8/4))),IF('I_Budget Input Data'!$E$40="At Completion",IF(16='I_Inputs &amp; Assumptions'!$B$8,'I_Budget Input Data'!$D$40,0),'I_Budget Input Data'!$D$40/'I_Inputs &amp; Assumptions'!$B$8)))))),0)</f>
        <v>0</v>
      </c>
      <c r="S40" s="91">
        <f>IF(17&lt;='I_Inputs &amp; Assumptions'!$B$8,IF('I_Budget Input Data'!$E$40="Upfront",IF(17=1,'I_Budget Input Data'!$D$40,0),IF('I_Budget Input Data'!$E$40="Equal",'I_Budget Input Data'!$D$40/'I_Inputs &amp; Assumptions'!$B$8,IF('I_Budget Input Data'!$E$40="Front-loaded",IF(17&lt;='I_Inputs &amp; Assumptions'!$B$8/2,'I_Budget Input Data'!$D$40*0.6/('I_Inputs &amp; Assumptions'!$B$8/2),'I_Budget Input Data'!$D$40*0.4/('I_Inputs &amp; Assumptions'!$B$8/2)),IF('I_Budget Input Data'!$E$40="Back-loaded",IF(17&lt;='I_Inputs &amp; Assumptions'!$B$8/2,'I_Budget Input Data'!$D$40*0.4/('I_Inputs &amp; Assumptions'!$B$8/2),'I_Budget Input Data'!$D$40*0.6/('I_Inputs &amp; Assumptions'!$B$8/2)),IF('I_Budget Input Data'!$E$40="Mid-weighted",IF(17&lt;='I_Inputs &amp; Assumptions'!$B$8/4,'I_Budget Input Data'!$D$40*0.2/('I_Inputs &amp; Assumptions'!$B$8/4),IF(17&lt;='I_Inputs &amp; Assumptions'!$B$8*0.75,'I_Budget Input Data'!$D$40*0.6/('I_Inputs &amp; Assumptions'!$B$8/2),'I_Budget Input Data'!$D$40*0.2/('I_Inputs &amp; Assumptions'!$B$8/4))),IF('I_Budget Input Data'!$E$40="At Completion",IF(17='I_Inputs &amp; Assumptions'!$B$8,'I_Budget Input Data'!$D$40,0),'I_Budget Input Data'!$D$40/'I_Inputs &amp; Assumptions'!$B$8)))))),0)</f>
        <v>0</v>
      </c>
      <c r="T40" s="91">
        <f>IF(18&lt;='I_Inputs &amp; Assumptions'!$B$8,IF('I_Budget Input Data'!$E$40="Upfront",IF(18=1,'I_Budget Input Data'!$D$40,0),IF('I_Budget Input Data'!$E$40="Equal",'I_Budget Input Data'!$D$40/'I_Inputs &amp; Assumptions'!$B$8,IF('I_Budget Input Data'!$E$40="Front-loaded",IF(18&lt;='I_Inputs &amp; Assumptions'!$B$8/2,'I_Budget Input Data'!$D$40*0.6/('I_Inputs &amp; Assumptions'!$B$8/2),'I_Budget Input Data'!$D$40*0.4/('I_Inputs &amp; Assumptions'!$B$8/2)),IF('I_Budget Input Data'!$E$40="Back-loaded",IF(18&lt;='I_Inputs &amp; Assumptions'!$B$8/2,'I_Budget Input Data'!$D$40*0.4/('I_Inputs &amp; Assumptions'!$B$8/2),'I_Budget Input Data'!$D$40*0.6/('I_Inputs &amp; Assumptions'!$B$8/2)),IF('I_Budget Input Data'!$E$40="Mid-weighted",IF(18&lt;='I_Inputs &amp; Assumptions'!$B$8/4,'I_Budget Input Data'!$D$40*0.2/('I_Inputs &amp; Assumptions'!$B$8/4),IF(18&lt;='I_Inputs &amp; Assumptions'!$B$8*0.75,'I_Budget Input Data'!$D$40*0.6/('I_Inputs &amp; Assumptions'!$B$8/2),'I_Budget Input Data'!$D$40*0.2/('I_Inputs &amp; Assumptions'!$B$8/4))),IF('I_Budget Input Data'!$E$40="At Completion",IF(18='I_Inputs &amp; Assumptions'!$B$8,'I_Budget Input Data'!$D$40,0),'I_Budget Input Data'!$D$40/'I_Inputs &amp; Assumptions'!$B$8)))))),0)</f>
        <v>0</v>
      </c>
      <c r="U40" s="91">
        <f>IF(19&lt;='I_Inputs &amp; Assumptions'!$B$8,IF('I_Budget Input Data'!$E$40="Upfront",IF(19=1,'I_Budget Input Data'!$D$40,0),IF('I_Budget Input Data'!$E$40="Equal",'I_Budget Input Data'!$D$40/'I_Inputs &amp; Assumptions'!$B$8,IF('I_Budget Input Data'!$E$40="Front-loaded",IF(19&lt;='I_Inputs &amp; Assumptions'!$B$8/2,'I_Budget Input Data'!$D$40*0.6/('I_Inputs &amp; Assumptions'!$B$8/2),'I_Budget Input Data'!$D$40*0.4/('I_Inputs &amp; Assumptions'!$B$8/2)),IF('I_Budget Input Data'!$E$40="Back-loaded",IF(19&lt;='I_Inputs &amp; Assumptions'!$B$8/2,'I_Budget Input Data'!$D$40*0.4/('I_Inputs &amp; Assumptions'!$B$8/2),'I_Budget Input Data'!$D$40*0.6/('I_Inputs &amp; Assumptions'!$B$8/2)),IF('I_Budget Input Data'!$E$40="Mid-weighted",IF(19&lt;='I_Inputs &amp; Assumptions'!$B$8/4,'I_Budget Input Data'!$D$40*0.2/('I_Inputs &amp; Assumptions'!$B$8/4),IF(19&lt;='I_Inputs &amp; Assumptions'!$B$8*0.75,'I_Budget Input Data'!$D$40*0.6/('I_Inputs &amp; Assumptions'!$B$8/2),'I_Budget Input Data'!$D$40*0.2/('I_Inputs &amp; Assumptions'!$B$8/4))),IF('I_Budget Input Data'!$E$40="At Completion",IF(19='I_Inputs &amp; Assumptions'!$B$8,'I_Budget Input Data'!$D$40,0),'I_Budget Input Data'!$D$40/'I_Inputs &amp; Assumptions'!$B$8)))))),0)</f>
        <v>0</v>
      </c>
      <c r="V40" s="91">
        <f>IF(20&lt;='I_Inputs &amp; Assumptions'!$B$8,IF('I_Budget Input Data'!$E$40="Upfront",IF(20=1,'I_Budget Input Data'!$D$40,0),IF('I_Budget Input Data'!$E$40="Equal",'I_Budget Input Data'!$D$40/'I_Inputs &amp; Assumptions'!$B$8,IF('I_Budget Input Data'!$E$40="Front-loaded",IF(20&lt;='I_Inputs &amp; Assumptions'!$B$8/2,'I_Budget Input Data'!$D$40*0.6/('I_Inputs &amp; Assumptions'!$B$8/2),'I_Budget Input Data'!$D$40*0.4/('I_Inputs &amp; Assumptions'!$B$8/2)),IF('I_Budget Input Data'!$E$40="Back-loaded",IF(20&lt;='I_Inputs &amp; Assumptions'!$B$8/2,'I_Budget Input Data'!$D$40*0.4/('I_Inputs &amp; Assumptions'!$B$8/2),'I_Budget Input Data'!$D$40*0.6/('I_Inputs &amp; Assumptions'!$B$8/2)),IF('I_Budget Input Data'!$E$40="Mid-weighted",IF(20&lt;='I_Inputs &amp; Assumptions'!$B$8/4,'I_Budget Input Data'!$D$40*0.2/('I_Inputs &amp; Assumptions'!$B$8/4),IF(20&lt;='I_Inputs &amp; Assumptions'!$B$8*0.75,'I_Budget Input Data'!$D$40*0.6/('I_Inputs &amp; Assumptions'!$B$8/2),'I_Budget Input Data'!$D$40*0.2/('I_Inputs &amp; Assumptions'!$B$8/4))),IF('I_Budget Input Data'!$E$40="At Completion",IF(20='I_Inputs &amp; Assumptions'!$B$8,'I_Budget Input Data'!$D$40,0),'I_Budget Input Data'!$D$40/'I_Inputs &amp; Assumptions'!$B$8)))))),0)</f>
        <v>0</v>
      </c>
      <c r="W40" s="91">
        <f>IF(21&lt;='I_Inputs &amp; Assumptions'!$B$8,IF('I_Budget Input Data'!$E$40="Upfront",IF(21=1,'I_Budget Input Data'!$D$40,0),IF('I_Budget Input Data'!$E$40="Equal",'I_Budget Input Data'!$D$40/'I_Inputs &amp; Assumptions'!$B$8,IF('I_Budget Input Data'!$E$40="Front-loaded",IF(21&lt;='I_Inputs &amp; Assumptions'!$B$8/2,'I_Budget Input Data'!$D$40*0.6/('I_Inputs &amp; Assumptions'!$B$8/2),'I_Budget Input Data'!$D$40*0.4/('I_Inputs &amp; Assumptions'!$B$8/2)),IF('I_Budget Input Data'!$E$40="Back-loaded",IF(21&lt;='I_Inputs &amp; Assumptions'!$B$8/2,'I_Budget Input Data'!$D$40*0.4/('I_Inputs &amp; Assumptions'!$B$8/2),'I_Budget Input Data'!$D$40*0.6/('I_Inputs &amp; Assumptions'!$B$8/2)),IF('I_Budget Input Data'!$E$40="Mid-weighted",IF(21&lt;='I_Inputs &amp; Assumptions'!$B$8/4,'I_Budget Input Data'!$D$40*0.2/('I_Inputs &amp; Assumptions'!$B$8/4),IF(21&lt;='I_Inputs &amp; Assumptions'!$B$8*0.75,'I_Budget Input Data'!$D$40*0.6/('I_Inputs &amp; Assumptions'!$B$8/2),'I_Budget Input Data'!$D$40*0.2/('I_Inputs &amp; Assumptions'!$B$8/4))),IF('I_Budget Input Data'!$E$40="At Completion",IF(21='I_Inputs &amp; Assumptions'!$B$8,'I_Budget Input Data'!$D$40,0),'I_Budget Input Data'!$D$40/'I_Inputs &amp; Assumptions'!$B$8)))))),0)</f>
        <v>0</v>
      </c>
      <c r="X40" s="91">
        <f>IF(22&lt;='I_Inputs &amp; Assumptions'!$B$8,IF('I_Budget Input Data'!$E$40="Upfront",IF(22=1,'I_Budget Input Data'!$D$40,0),IF('I_Budget Input Data'!$E$40="Equal",'I_Budget Input Data'!$D$40/'I_Inputs &amp; Assumptions'!$B$8,IF('I_Budget Input Data'!$E$40="Front-loaded",IF(22&lt;='I_Inputs &amp; Assumptions'!$B$8/2,'I_Budget Input Data'!$D$40*0.6/('I_Inputs &amp; Assumptions'!$B$8/2),'I_Budget Input Data'!$D$40*0.4/('I_Inputs &amp; Assumptions'!$B$8/2)),IF('I_Budget Input Data'!$E$40="Back-loaded",IF(22&lt;='I_Inputs &amp; Assumptions'!$B$8/2,'I_Budget Input Data'!$D$40*0.4/('I_Inputs &amp; Assumptions'!$B$8/2),'I_Budget Input Data'!$D$40*0.6/('I_Inputs &amp; Assumptions'!$B$8/2)),IF('I_Budget Input Data'!$E$40="Mid-weighted",IF(22&lt;='I_Inputs &amp; Assumptions'!$B$8/4,'I_Budget Input Data'!$D$40*0.2/('I_Inputs &amp; Assumptions'!$B$8/4),IF(22&lt;='I_Inputs &amp; Assumptions'!$B$8*0.75,'I_Budget Input Data'!$D$40*0.6/('I_Inputs &amp; Assumptions'!$B$8/2),'I_Budget Input Data'!$D$40*0.2/('I_Inputs &amp; Assumptions'!$B$8/4))),IF('I_Budget Input Data'!$E$40="At Completion",IF(22='I_Inputs &amp; Assumptions'!$B$8,'I_Budget Input Data'!$D$40,0),'I_Budget Input Data'!$D$40/'I_Inputs &amp; Assumptions'!$B$8)))))),0)</f>
        <v>0</v>
      </c>
      <c r="Y40" s="91">
        <f>IF(23&lt;='I_Inputs &amp; Assumptions'!$B$8,IF('I_Budget Input Data'!$E$40="Upfront",IF(23=1,'I_Budget Input Data'!$D$40,0),IF('I_Budget Input Data'!$E$40="Equal",'I_Budget Input Data'!$D$40/'I_Inputs &amp; Assumptions'!$B$8,IF('I_Budget Input Data'!$E$40="Front-loaded",IF(23&lt;='I_Inputs &amp; Assumptions'!$B$8/2,'I_Budget Input Data'!$D$40*0.6/('I_Inputs &amp; Assumptions'!$B$8/2),'I_Budget Input Data'!$D$40*0.4/('I_Inputs &amp; Assumptions'!$B$8/2)),IF('I_Budget Input Data'!$E$40="Back-loaded",IF(23&lt;='I_Inputs &amp; Assumptions'!$B$8/2,'I_Budget Input Data'!$D$40*0.4/('I_Inputs &amp; Assumptions'!$B$8/2),'I_Budget Input Data'!$D$40*0.6/('I_Inputs &amp; Assumptions'!$B$8/2)),IF('I_Budget Input Data'!$E$40="Mid-weighted",IF(23&lt;='I_Inputs &amp; Assumptions'!$B$8/4,'I_Budget Input Data'!$D$40*0.2/('I_Inputs &amp; Assumptions'!$B$8/4),IF(23&lt;='I_Inputs &amp; Assumptions'!$B$8*0.75,'I_Budget Input Data'!$D$40*0.6/('I_Inputs &amp; Assumptions'!$B$8/2),'I_Budget Input Data'!$D$40*0.2/('I_Inputs &amp; Assumptions'!$B$8/4))),IF('I_Budget Input Data'!$E$40="At Completion",IF(23='I_Inputs &amp; Assumptions'!$B$8,'I_Budget Input Data'!$D$40,0),'I_Budget Input Data'!$D$40/'I_Inputs &amp; Assumptions'!$B$8)))))),0)</f>
        <v>0</v>
      </c>
      <c r="Z40" s="91">
        <f>IF(24&lt;='I_Inputs &amp; Assumptions'!$B$8,IF('I_Budget Input Data'!$E$40="Upfront",IF(24=1,'I_Budget Input Data'!$D$40,0),IF('I_Budget Input Data'!$E$40="Equal",'I_Budget Input Data'!$D$40/'I_Inputs &amp; Assumptions'!$B$8,IF('I_Budget Input Data'!$E$40="Front-loaded",IF(24&lt;='I_Inputs &amp; Assumptions'!$B$8/2,'I_Budget Input Data'!$D$40*0.6/('I_Inputs &amp; Assumptions'!$B$8/2),'I_Budget Input Data'!$D$40*0.4/('I_Inputs &amp; Assumptions'!$B$8/2)),IF('I_Budget Input Data'!$E$40="Back-loaded",IF(24&lt;='I_Inputs &amp; Assumptions'!$B$8/2,'I_Budget Input Data'!$D$40*0.4/('I_Inputs &amp; Assumptions'!$B$8/2),'I_Budget Input Data'!$D$40*0.6/('I_Inputs &amp; Assumptions'!$B$8/2)),IF('I_Budget Input Data'!$E$40="Mid-weighted",IF(24&lt;='I_Inputs &amp; Assumptions'!$B$8/4,'I_Budget Input Data'!$D$40*0.2/('I_Inputs &amp; Assumptions'!$B$8/4),IF(24&lt;='I_Inputs &amp; Assumptions'!$B$8*0.75,'I_Budget Input Data'!$D$40*0.6/('I_Inputs &amp; Assumptions'!$B$8/2),'I_Budget Input Data'!$D$40*0.2/('I_Inputs &amp; Assumptions'!$B$8/4))),IF('I_Budget Input Data'!$E$40="At Completion",IF(24='I_Inputs &amp; Assumptions'!$B$8,'I_Budget Input Data'!$D$40,0),'I_Budget Input Data'!$D$40/'I_Inputs &amp; Assumptions'!$B$8)))))),0)</f>
        <v>0</v>
      </c>
      <c r="AA40" s="91">
        <f>IF(25&lt;='I_Inputs &amp; Assumptions'!$B$8,IF('I_Budget Input Data'!$E$40="Upfront",IF(25=1,'I_Budget Input Data'!$D$40,0),IF('I_Budget Input Data'!$E$40="Equal",'I_Budget Input Data'!$D$40/'I_Inputs &amp; Assumptions'!$B$8,IF('I_Budget Input Data'!$E$40="Front-loaded",IF(25&lt;='I_Inputs &amp; Assumptions'!$B$8/2,'I_Budget Input Data'!$D$40*0.6/('I_Inputs &amp; Assumptions'!$B$8/2),'I_Budget Input Data'!$D$40*0.4/('I_Inputs &amp; Assumptions'!$B$8/2)),IF('I_Budget Input Data'!$E$40="Back-loaded",IF(25&lt;='I_Inputs &amp; Assumptions'!$B$8/2,'I_Budget Input Data'!$D$40*0.4/('I_Inputs &amp; Assumptions'!$B$8/2),'I_Budget Input Data'!$D$40*0.6/('I_Inputs &amp; Assumptions'!$B$8/2)),IF('I_Budget Input Data'!$E$40="Mid-weighted",IF(25&lt;='I_Inputs &amp; Assumptions'!$B$8/4,'I_Budget Input Data'!$D$40*0.2/('I_Inputs &amp; Assumptions'!$B$8/4),IF(25&lt;='I_Inputs &amp; Assumptions'!$B$8*0.75,'I_Budget Input Data'!$D$40*0.6/('I_Inputs &amp; Assumptions'!$B$8/2),'I_Budget Input Data'!$D$40*0.2/('I_Inputs &amp; Assumptions'!$B$8/4))),IF('I_Budget Input Data'!$E$40="At Completion",IF(25='I_Inputs &amp; Assumptions'!$B$8,'I_Budget Input Data'!$D$40,0),'I_Budget Input Data'!$D$40/'I_Inputs &amp; Assumptions'!$B$8)))))),0)</f>
        <v>0</v>
      </c>
      <c r="AB40" s="91">
        <f>IF(26&lt;='I_Inputs &amp; Assumptions'!$B$8,IF('I_Budget Input Data'!$E$40="Upfront",IF(26=1,'I_Budget Input Data'!$D$40,0),IF('I_Budget Input Data'!$E$40="Equal",'I_Budget Input Data'!$D$40/'I_Inputs &amp; Assumptions'!$B$8,IF('I_Budget Input Data'!$E$40="Front-loaded",IF(26&lt;='I_Inputs &amp; Assumptions'!$B$8/2,'I_Budget Input Data'!$D$40*0.6/('I_Inputs &amp; Assumptions'!$B$8/2),'I_Budget Input Data'!$D$40*0.4/('I_Inputs &amp; Assumptions'!$B$8/2)),IF('I_Budget Input Data'!$E$40="Back-loaded",IF(26&lt;='I_Inputs &amp; Assumptions'!$B$8/2,'I_Budget Input Data'!$D$40*0.4/('I_Inputs &amp; Assumptions'!$B$8/2),'I_Budget Input Data'!$D$40*0.6/('I_Inputs &amp; Assumptions'!$B$8/2)),IF('I_Budget Input Data'!$E$40="Mid-weighted",IF(26&lt;='I_Inputs &amp; Assumptions'!$B$8/4,'I_Budget Input Data'!$D$40*0.2/('I_Inputs &amp; Assumptions'!$B$8/4),IF(26&lt;='I_Inputs &amp; Assumptions'!$B$8*0.75,'I_Budget Input Data'!$D$40*0.6/('I_Inputs &amp; Assumptions'!$B$8/2),'I_Budget Input Data'!$D$40*0.2/('I_Inputs &amp; Assumptions'!$B$8/4))),IF('I_Budget Input Data'!$E$40="At Completion",IF(26='I_Inputs &amp; Assumptions'!$B$8,'I_Budget Input Data'!$D$40,0),'I_Budget Input Data'!$D$40/'I_Inputs &amp; Assumptions'!$B$8)))))),0)</f>
        <v>0</v>
      </c>
      <c r="AC40" s="91">
        <f>IF(27&lt;='I_Inputs &amp; Assumptions'!$B$8,IF('I_Budget Input Data'!$E$40="Upfront",IF(27=1,'I_Budget Input Data'!$D$40,0),IF('I_Budget Input Data'!$E$40="Equal",'I_Budget Input Data'!$D$40/'I_Inputs &amp; Assumptions'!$B$8,IF('I_Budget Input Data'!$E$40="Front-loaded",IF(27&lt;='I_Inputs &amp; Assumptions'!$B$8/2,'I_Budget Input Data'!$D$40*0.6/('I_Inputs &amp; Assumptions'!$B$8/2),'I_Budget Input Data'!$D$40*0.4/('I_Inputs &amp; Assumptions'!$B$8/2)),IF('I_Budget Input Data'!$E$40="Back-loaded",IF(27&lt;='I_Inputs &amp; Assumptions'!$B$8/2,'I_Budget Input Data'!$D$40*0.4/('I_Inputs &amp; Assumptions'!$B$8/2),'I_Budget Input Data'!$D$40*0.6/('I_Inputs &amp; Assumptions'!$B$8/2)),IF('I_Budget Input Data'!$E$40="Mid-weighted",IF(27&lt;='I_Inputs &amp; Assumptions'!$B$8/4,'I_Budget Input Data'!$D$40*0.2/('I_Inputs &amp; Assumptions'!$B$8/4),IF(27&lt;='I_Inputs &amp; Assumptions'!$B$8*0.75,'I_Budget Input Data'!$D$40*0.6/('I_Inputs &amp; Assumptions'!$B$8/2),'I_Budget Input Data'!$D$40*0.2/('I_Inputs &amp; Assumptions'!$B$8/4))),IF('I_Budget Input Data'!$E$40="At Completion",IF(27='I_Inputs &amp; Assumptions'!$B$8,'I_Budget Input Data'!$D$40,0),'I_Budget Input Data'!$D$40/'I_Inputs &amp; Assumptions'!$B$8)))))),0)</f>
        <v>0</v>
      </c>
      <c r="AD40" s="91">
        <f>IF(28&lt;='I_Inputs &amp; Assumptions'!$B$8,IF('I_Budget Input Data'!$E$40="Upfront",IF(28=1,'I_Budget Input Data'!$D$40,0),IF('I_Budget Input Data'!$E$40="Equal",'I_Budget Input Data'!$D$40/'I_Inputs &amp; Assumptions'!$B$8,IF('I_Budget Input Data'!$E$40="Front-loaded",IF(28&lt;='I_Inputs &amp; Assumptions'!$B$8/2,'I_Budget Input Data'!$D$40*0.6/('I_Inputs &amp; Assumptions'!$B$8/2),'I_Budget Input Data'!$D$40*0.4/('I_Inputs &amp; Assumptions'!$B$8/2)),IF('I_Budget Input Data'!$E$40="Back-loaded",IF(28&lt;='I_Inputs &amp; Assumptions'!$B$8/2,'I_Budget Input Data'!$D$40*0.4/('I_Inputs &amp; Assumptions'!$B$8/2),'I_Budget Input Data'!$D$40*0.6/('I_Inputs &amp; Assumptions'!$B$8/2)),IF('I_Budget Input Data'!$E$40="Mid-weighted",IF(28&lt;='I_Inputs &amp; Assumptions'!$B$8/4,'I_Budget Input Data'!$D$40*0.2/('I_Inputs &amp; Assumptions'!$B$8/4),IF(28&lt;='I_Inputs &amp; Assumptions'!$B$8*0.75,'I_Budget Input Data'!$D$40*0.6/('I_Inputs &amp; Assumptions'!$B$8/2),'I_Budget Input Data'!$D$40*0.2/('I_Inputs &amp; Assumptions'!$B$8/4))),IF('I_Budget Input Data'!$E$40="At Completion",IF(28='I_Inputs &amp; Assumptions'!$B$8,'I_Budget Input Data'!$D$40,0),'I_Budget Input Data'!$D$40/'I_Inputs &amp; Assumptions'!$B$8)))))),0)</f>
        <v>0</v>
      </c>
      <c r="AE40" s="91">
        <f>IF(29&lt;='I_Inputs &amp; Assumptions'!$B$8,IF('I_Budget Input Data'!$E$40="Upfront",IF(29=1,'I_Budget Input Data'!$D$40,0),IF('I_Budget Input Data'!$E$40="Equal",'I_Budget Input Data'!$D$40/'I_Inputs &amp; Assumptions'!$B$8,IF('I_Budget Input Data'!$E$40="Front-loaded",IF(29&lt;='I_Inputs &amp; Assumptions'!$B$8/2,'I_Budget Input Data'!$D$40*0.6/('I_Inputs &amp; Assumptions'!$B$8/2),'I_Budget Input Data'!$D$40*0.4/('I_Inputs &amp; Assumptions'!$B$8/2)),IF('I_Budget Input Data'!$E$40="Back-loaded",IF(29&lt;='I_Inputs &amp; Assumptions'!$B$8/2,'I_Budget Input Data'!$D$40*0.4/('I_Inputs &amp; Assumptions'!$B$8/2),'I_Budget Input Data'!$D$40*0.6/('I_Inputs &amp; Assumptions'!$B$8/2)),IF('I_Budget Input Data'!$E$40="Mid-weighted",IF(29&lt;='I_Inputs &amp; Assumptions'!$B$8/4,'I_Budget Input Data'!$D$40*0.2/('I_Inputs &amp; Assumptions'!$B$8/4),IF(29&lt;='I_Inputs &amp; Assumptions'!$B$8*0.75,'I_Budget Input Data'!$D$40*0.6/('I_Inputs &amp; Assumptions'!$B$8/2),'I_Budget Input Data'!$D$40*0.2/('I_Inputs &amp; Assumptions'!$B$8/4))),IF('I_Budget Input Data'!$E$40="At Completion",IF(29='I_Inputs &amp; Assumptions'!$B$8,'I_Budget Input Data'!$D$40,0),'I_Budget Input Data'!$D$40/'I_Inputs &amp; Assumptions'!$B$8)))))),0)</f>
        <v>0</v>
      </c>
      <c r="AF40" s="91">
        <f>IF(30&lt;='I_Inputs &amp; Assumptions'!$B$8,IF('I_Budget Input Data'!$E$40="Upfront",IF(30=1,'I_Budget Input Data'!$D$40,0),IF('I_Budget Input Data'!$E$40="Equal",'I_Budget Input Data'!$D$40/'I_Inputs &amp; Assumptions'!$B$8,IF('I_Budget Input Data'!$E$40="Front-loaded",IF(30&lt;='I_Inputs &amp; Assumptions'!$B$8/2,'I_Budget Input Data'!$D$40*0.6/('I_Inputs &amp; Assumptions'!$B$8/2),'I_Budget Input Data'!$D$40*0.4/('I_Inputs &amp; Assumptions'!$B$8/2)),IF('I_Budget Input Data'!$E$40="Back-loaded",IF(30&lt;='I_Inputs &amp; Assumptions'!$B$8/2,'I_Budget Input Data'!$D$40*0.4/('I_Inputs &amp; Assumptions'!$B$8/2),'I_Budget Input Data'!$D$40*0.6/('I_Inputs &amp; Assumptions'!$B$8/2)),IF('I_Budget Input Data'!$E$40="Mid-weighted",IF(30&lt;='I_Inputs &amp; Assumptions'!$B$8/4,'I_Budget Input Data'!$D$40*0.2/('I_Inputs &amp; Assumptions'!$B$8/4),IF(30&lt;='I_Inputs &amp; Assumptions'!$B$8*0.75,'I_Budget Input Data'!$D$40*0.6/('I_Inputs &amp; Assumptions'!$B$8/2),'I_Budget Input Data'!$D$40*0.2/('I_Inputs &amp; Assumptions'!$B$8/4))),IF('I_Budget Input Data'!$E$40="At Completion",IF(30='I_Inputs &amp; Assumptions'!$B$8,'I_Budget Input Data'!$D$40,0),'I_Budget Input Data'!$D$40/'I_Inputs &amp; Assumptions'!$B$8)))))),0)</f>
        <v>0</v>
      </c>
      <c r="AG40" s="91">
        <f>IF(31&lt;='I_Inputs &amp; Assumptions'!$B$8,IF('I_Budget Input Data'!$E$40="Upfront",IF(31=1,'I_Budget Input Data'!$D$40,0),IF('I_Budget Input Data'!$E$40="Equal",'I_Budget Input Data'!$D$40/'I_Inputs &amp; Assumptions'!$B$8,IF('I_Budget Input Data'!$E$40="Front-loaded",IF(31&lt;='I_Inputs &amp; Assumptions'!$B$8/2,'I_Budget Input Data'!$D$40*0.6/('I_Inputs &amp; Assumptions'!$B$8/2),'I_Budget Input Data'!$D$40*0.4/('I_Inputs &amp; Assumptions'!$B$8/2)),IF('I_Budget Input Data'!$E$40="Back-loaded",IF(31&lt;='I_Inputs &amp; Assumptions'!$B$8/2,'I_Budget Input Data'!$D$40*0.4/('I_Inputs &amp; Assumptions'!$B$8/2),'I_Budget Input Data'!$D$40*0.6/('I_Inputs &amp; Assumptions'!$B$8/2)),IF('I_Budget Input Data'!$E$40="Mid-weighted",IF(31&lt;='I_Inputs &amp; Assumptions'!$B$8/4,'I_Budget Input Data'!$D$40*0.2/('I_Inputs &amp; Assumptions'!$B$8/4),IF(31&lt;='I_Inputs &amp; Assumptions'!$B$8*0.75,'I_Budget Input Data'!$D$40*0.6/('I_Inputs &amp; Assumptions'!$B$8/2),'I_Budget Input Data'!$D$40*0.2/('I_Inputs &amp; Assumptions'!$B$8/4))),IF('I_Budget Input Data'!$E$40="At Completion",IF(31='I_Inputs &amp; Assumptions'!$B$8,'I_Budget Input Data'!$D$40,0),'I_Budget Input Data'!$D$40/'I_Inputs &amp; Assumptions'!$B$8)))))),0)</f>
        <v>0</v>
      </c>
      <c r="AH40" s="91">
        <f>IF(32&lt;='I_Inputs &amp; Assumptions'!$B$8,IF('I_Budget Input Data'!$E$40="Upfront",IF(32=1,'I_Budget Input Data'!$D$40,0),IF('I_Budget Input Data'!$E$40="Equal",'I_Budget Input Data'!$D$40/'I_Inputs &amp; Assumptions'!$B$8,IF('I_Budget Input Data'!$E$40="Front-loaded",IF(32&lt;='I_Inputs &amp; Assumptions'!$B$8/2,'I_Budget Input Data'!$D$40*0.6/('I_Inputs &amp; Assumptions'!$B$8/2),'I_Budget Input Data'!$D$40*0.4/('I_Inputs &amp; Assumptions'!$B$8/2)),IF('I_Budget Input Data'!$E$40="Back-loaded",IF(32&lt;='I_Inputs &amp; Assumptions'!$B$8/2,'I_Budget Input Data'!$D$40*0.4/('I_Inputs &amp; Assumptions'!$B$8/2),'I_Budget Input Data'!$D$40*0.6/('I_Inputs &amp; Assumptions'!$B$8/2)),IF('I_Budget Input Data'!$E$40="Mid-weighted",IF(32&lt;='I_Inputs &amp; Assumptions'!$B$8/4,'I_Budget Input Data'!$D$40*0.2/('I_Inputs &amp; Assumptions'!$B$8/4),IF(32&lt;='I_Inputs &amp; Assumptions'!$B$8*0.75,'I_Budget Input Data'!$D$40*0.6/('I_Inputs &amp; Assumptions'!$B$8/2),'I_Budget Input Data'!$D$40*0.2/('I_Inputs &amp; Assumptions'!$B$8/4))),IF('I_Budget Input Data'!$E$40="At Completion",IF(32='I_Inputs &amp; Assumptions'!$B$8,'I_Budget Input Data'!$D$40,0),'I_Budget Input Data'!$D$40/'I_Inputs &amp; Assumptions'!$B$8)))))),0)</f>
        <v>0</v>
      </c>
      <c r="AI40" s="91">
        <f>IF(33&lt;='I_Inputs &amp; Assumptions'!$B$8,IF('I_Budget Input Data'!$E$40="Upfront",IF(33=1,'I_Budget Input Data'!$D$40,0),IF('I_Budget Input Data'!$E$40="Equal",'I_Budget Input Data'!$D$40/'I_Inputs &amp; Assumptions'!$B$8,IF('I_Budget Input Data'!$E$40="Front-loaded",IF(33&lt;='I_Inputs &amp; Assumptions'!$B$8/2,'I_Budget Input Data'!$D$40*0.6/('I_Inputs &amp; Assumptions'!$B$8/2),'I_Budget Input Data'!$D$40*0.4/('I_Inputs &amp; Assumptions'!$B$8/2)),IF('I_Budget Input Data'!$E$40="Back-loaded",IF(33&lt;='I_Inputs &amp; Assumptions'!$B$8/2,'I_Budget Input Data'!$D$40*0.4/('I_Inputs &amp; Assumptions'!$B$8/2),'I_Budget Input Data'!$D$40*0.6/('I_Inputs &amp; Assumptions'!$B$8/2)),IF('I_Budget Input Data'!$E$40="Mid-weighted",IF(33&lt;='I_Inputs &amp; Assumptions'!$B$8/4,'I_Budget Input Data'!$D$40*0.2/('I_Inputs &amp; Assumptions'!$B$8/4),IF(33&lt;='I_Inputs &amp; Assumptions'!$B$8*0.75,'I_Budget Input Data'!$D$40*0.6/('I_Inputs &amp; Assumptions'!$B$8/2),'I_Budget Input Data'!$D$40*0.2/('I_Inputs &amp; Assumptions'!$B$8/4))),IF('I_Budget Input Data'!$E$40="At Completion",IF(33='I_Inputs &amp; Assumptions'!$B$8,'I_Budget Input Data'!$D$40,0),'I_Budget Input Data'!$D$40/'I_Inputs &amp; Assumptions'!$B$8)))))),0)</f>
        <v>0</v>
      </c>
      <c r="AJ40" s="91">
        <f>IF(34&lt;='I_Inputs &amp; Assumptions'!$B$8,IF('I_Budget Input Data'!$E$40="Upfront",IF(34=1,'I_Budget Input Data'!$D$40,0),IF('I_Budget Input Data'!$E$40="Equal",'I_Budget Input Data'!$D$40/'I_Inputs &amp; Assumptions'!$B$8,IF('I_Budget Input Data'!$E$40="Front-loaded",IF(34&lt;='I_Inputs &amp; Assumptions'!$B$8/2,'I_Budget Input Data'!$D$40*0.6/('I_Inputs &amp; Assumptions'!$B$8/2),'I_Budget Input Data'!$D$40*0.4/('I_Inputs &amp; Assumptions'!$B$8/2)),IF('I_Budget Input Data'!$E$40="Back-loaded",IF(34&lt;='I_Inputs &amp; Assumptions'!$B$8/2,'I_Budget Input Data'!$D$40*0.4/('I_Inputs &amp; Assumptions'!$B$8/2),'I_Budget Input Data'!$D$40*0.6/('I_Inputs &amp; Assumptions'!$B$8/2)),IF('I_Budget Input Data'!$E$40="Mid-weighted",IF(34&lt;='I_Inputs &amp; Assumptions'!$B$8/4,'I_Budget Input Data'!$D$40*0.2/('I_Inputs &amp; Assumptions'!$B$8/4),IF(34&lt;='I_Inputs &amp; Assumptions'!$B$8*0.75,'I_Budget Input Data'!$D$40*0.6/('I_Inputs &amp; Assumptions'!$B$8/2),'I_Budget Input Data'!$D$40*0.2/('I_Inputs &amp; Assumptions'!$B$8/4))),IF('I_Budget Input Data'!$E$40="At Completion",IF(34='I_Inputs &amp; Assumptions'!$B$8,'I_Budget Input Data'!$D$40,0),'I_Budget Input Data'!$D$40/'I_Inputs &amp; Assumptions'!$B$8)))))),0)</f>
        <v>0</v>
      </c>
      <c r="AK40" s="91">
        <f>IF(35&lt;='I_Inputs &amp; Assumptions'!$B$8,IF('I_Budget Input Data'!$E$40="Upfront",IF(35=1,'I_Budget Input Data'!$D$40,0),IF('I_Budget Input Data'!$E$40="Equal",'I_Budget Input Data'!$D$40/'I_Inputs &amp; Assumptions'!$B$8,IF('I_Budget Input Data'!$E$40="Front-loaded",IF(35&lt;='I_Inputs &amp; Assumptions'!$B$8/2,'I_Budget Input Data'!$D$40*0.6/('I_Inputs &amp; Assumptions'!$B$8/2),'I_Budget Input Data'!$D$40*0.4/('I_Inputs &amp; Assumptions'!$B$8/2)),IF('I_Budget Input Data'!$E$40="Back-loaded",IF(35&lt;='I_Inputs &amp; Assumptions'!$B$8/2,'I_Budget Input Data'!$D$40*0.4/('I_Inputs &amp; Assumptions'!$B$8/2),'I_Budget Input Data'!$D$40*0.6/('I_Inputs &amp; Assumptions'!$B$8/2)),IF('I_Budget Input Data'!$E$40="Mid-weighted",IF(35&lt;='I_Inputs &amp; Assumptions'!$B$8/4,'I_Budget Input Data'!$D$40*0.2/('I_Inputs &amp; Assumptions'!$B$8/4),IF(35&lt;='I_Inputs &amp; Assumptions'!$B$8*0.75,'I_Budget Input Data'!$D$40*0.6/('I_Inputs &amp; Assumptions'!$B$8/2),'I_Budget Input Data'!$D$40*0.2/('I_Inputs &amp; Assumptions'!$B$8/4))),IF('I_Budget Input Data'!$E$40="At Completion",IF(35='I_Inputs &amp; Assumptions'!$B$8,'I_Budget Input Data'!$D$40,0),'I_Budget Input Data'!$D$40/'I_Inputs &amp; Assumptions'!$B$8)))))),0)</f>
        <v>0</v>
      </c>
      <c r="AL40" s="91">
        <f>IF(36&lt;='I_Inputs &amp; Assumptions'!$B$8,IF('I_Budget Input Data'!$E$40="Upfront",IF(36=1,'I_Budget Input Data'!$D$40,0),IF('I_Budget Input Data'!$E$40="Equal",'I_Budget Input Data'!$D$40/'I_Inputs &amp; Assumptions'!$B$8,IF('I_Budget Input Data'!$E$40="Front-loaded",IF(36&lt;='I_Inputs &amp; Assumptions'!$B$8/2,'I_Budget Input Data'!$D$40*0.6/('I_Inputs &amp; Assumptions'!$B$8/2),'I_Budget Input Data'!$D$40*0.4/('I_Inputs &amp; Assumptions'!$B$8/2)),IF('I_Budget Input Data'!$E$40="Back-loaded",IF(36&lt;='I_Inputs &amp; Assumptions'!$B$8/2,'I_Budget Input Data'!$D$40*0.4/('I_Inputs &amp; Assumptions'!$B$8/2),'I_Budget Input Data'!$D$40*0.6/('I_Inputs &amp; Assumptions'!$B$8/2)),IF('I_Budget Input Data'!$E$40="Mid-weighted",IF(36&lt;='I_Inputs &amp; Assumptions'!$B$8/4,'I_Budget Input Data'!$D$40*0.2/('I_Inputs &amp; Assumptions'!$B$8/4),IF(36&lt;='I_Inputs &amp; Assumptions'!$B$8*0.75,'I_Budget Input Data'!$D$40*0.6/('I_Inputs &amp; Assumptions'!$B$8/2),'I_Budget Input Data'!$D$40*0.2/('I_Inputs &amp; Assumptions'!$B$8/4))),IF('I_Budget Input Data'!$E$40="At Completion",IF(36='I_Inputs &amp; Assumptions'!$B$8,'I_Budget Input Data'!$D$40,0),'I_Budget Input Data'!$D$40/'I_Inputs &amp; Assumptions'!$B$8)))))),0)</f>
        <v>0</v>
      </c>
    </row>
    <row r="41" spans="1:38" ht="15" customHeight="1" x14ac:dyDescent="0.2">
      <c r="A41" t="s">
        <v>146</v>
      </c>
      <c r="B41" t="s">
        <v>162</v>
      </c>
      <c r="C41" s="91">
        <v>0</v>
      </c>
      <c r="D41" s="91">
        <v>0</v>
      </c>
      <c r="E41" s="91">
        <v>0</v>
      </c>
      <c r="F41" s="91">
        <v>0</v>
      </c>
      <c r="G41" s="91">
        <v>0</v>
      </c>
      <c r="H41" s="91">
        <v>0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  <c r="Z41" s="91">
        <v>0</v>
      </c>
      <c r="AA41" s="91">
        <v>0</v>
      </c>
      <c r="AB41" s="91">
        <v>0</v>
      </c>
      <c r="AC41" s="91">
        <v>0</v>
      </c>
      <c r="AD41" s="91">
        <v>0</v>
      </c>
      <c r="AE41" s="91">
        <v>0</v>
      </c>
      <c r="AF41" s="91">
        <v>0</v>
      </c>
      <c r="AG41" s="91">
        <v>0</v>
      </c>
      <c r="AH41" s="91">
        <v>0</v>
      </c>
      <c r="AI41" s="91">
        <v>0</v>
      </c>
      <c r="AJ41" s="91">
        <v>0</v>
      </c>
      <c r="AK41" s="91">
        <v>0</v>
      </c>
      <c r="AL41" s="91">
        <v>0</v>
      </c>
    </row>
    <row r="42" spans="1:38" ht="15" customHeight="1" x14ac:dyDescent="0.2">
      <c r="A42" t="s">
        <v>146</v>
      </c>
      <c r="B42" t="s">
        <v>163</v>
      </c>
      <c r="C42" s="91">
        <v>0</v>
      </c>
      <c r="D42" s="91">
        <v>0</v>
      </c>
      <c r="E42" s="91">
        <v>0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  <c r="Z42" s="91">
        <v>0</v>
      </c>
      <c r="AA42" s="91">
        <v>0</v>
      </c>
      <c r="AB42" s="91">
        <v>0</v>
      </c>
      <c r="AC42" s="91">
        <v>0</v>
      </c>
      <c r="AD42" s="91">
        <v>0</v>
      </c>
      <c r="AE42" s="91">
        <v>0</v>
      </c>
      <c r="AF42" s="91">
        <v>0</v>
      </c>
      <c r="AG42" s="91">
        <v>0</v>
      </c>
      <c r="AH42" s="91">
        <v>0</v>
      </c>
      <c r="AI42" s="91">
        <v>0</v>
      </c>
      <c r="AJ42" s="91">
        <v>0</v>
      </c>
      <c r="AK42" s="91">
        <v>0</v>
      </c>
      <c r="AL42" s="91">
        <v>0</v>
      </c>
    </row>
    <row r="43" spans="1:38" ht="15" customHeight="1" x14ac:dyDescent="0.2">
      <c r="A43" t="s">
        <v>146</v>
      </c>
      <c r="B43" t="s">
        <v>164</v>
      </c>
      <c r="C43" s="91">
        <f>IF(1&lt;='I_Inputs &amp; Assumptions'!$B$8,IF('I_Budget Input Data'!$E$43="Upfront",IF(1=1,'I_Budget Input Data'!$D$43,0),IF('I_Budget Input Data'!$E$43="Equal",'I_Budget Input Data'!$D$43/'I_Inputs &amp; Assumptions'!$B$8,IF('I_Budget Input Data'!$E$43="Front-loaded",IF(1&lt;='I_Inputs &amp; Assumptions'!$B$8/2,'I_Budget Input Data'!$D$43*0.6/('I_Inputs &amp; Assumptions'!$B$8/2),'I_Budget Input Data'!$D$43*0.4/('I_Inputs &amp; Assumptions'!$B$8/2)),IF('I_Budget Input Data'!$E$43="Back-loaded",IF(1&lt;='I_Inputs &amp; Assumptions'!$B$8/2,'I_Budget Input Data'!$D$43*0.4/('I_Inputs &amp; Assumptions'!$B$8/2),'I_Budget Input Data'!$D$43*0.6/('I_Inputs &amp; Assumptions'!$B$8/2)),IF('I_Budget Input Data'!$E$43="Mid-weighted",IF(1&lt;='I_Inputs &amp; Assumptions'!$B$8/4,'I_Budget Input Data'!$D$43*0.2/('I_Inputs &amp; Assumptions'!$B$8/4),IF(1&lt;='I_Inputs &amp; Assumptions'!$B$8*0.75,'I_Budget Input Data'!$D$43*0.6/('I_Inputs &amp; Assumptions'!$B$8/2),'I_Budget Input Data'!$D$43*0.2/('I_Inputs &amp; Assumptions'!$B$8/4))),IF('I_Budget Input Data'!$E$43="At Completion",IF(1='I_Inputs &amp; Assumptions'!$B$8,'I_Budget Input Data'!$D$43,0),'I_Budget Input Data'!$D$43/'I_Inputs &amp; Assumptions'!$B$8)))))),0)</f>
        <v>6759.6153846153848</v>
      </c>
      <c r="D43" s="91">
        <f>IF(2&lt;='I_Inputs &amp; Assumptions'!$B$8,IF('I_Budget Input Data'!$E$43="Upfront",IF(2=1,'I_Budget Input Data'!$D$43,0),IF('I_Budget Input Data'!$E$43="Equal",'I_Budget Input Data'!$D$43/'I_Inputs &amp; Assumptions'!$B$8,IF('I_Budget Input Data'!$E$43="Front-loaded",IF(2&lt;='I_Inputs &amp; Assumptions'!$B$8/2,'I_Budget Input Data'!$D$43*0.6/('I_Inputs &amp; Assumptions'!$B$8/2),'I_Budget Input Data'!$D$43*0.4/('I_Inputs &amp; Assumptions'!$B$8/2)),IF('I_Budget Input Data'!$E$43="Back-loaded",IF(2&lt;='I_Inputs &amp; Assumptions'!$B$8/2,'I_Budget Input Data'!$D$43*0.4/('I_Inputs &amp; Assumptions'!$B$8/2),'I_Budget Input Data'!$D$43*0.6/('I_Inputs &amp; Assumptions'!$B$8/2)),IF('I_Budget Input Data'!$E$43="Mid-weighted",IF(2&lt;='I_Inputs &amp; Assumptions'!$B$8/4,'I_Budget Input Data'!$D$43*0.2/('I_Inputs &amp; Assumptions'!$B$8/4),IF(2&lt;='I_Inputs &amp; Assumptions'!$B$8*0.75,'I_Budget Input Data'!$D$43*0.6/('I_Inputs &amp; Assumptions'!$B$8/2),'I_Budget Input Data'!$D$43*0.2/('I_Inputs &amp; Assumptions'!$B$8/4))),IF('I_Budget Input Data'!$E$43="At Completion",IF(2='I_Inputs &amp; Assumptions'!$B$8,'I_Budget Input Data'!$D$43,0),'I_Budget Input Data'!$D$43/'I_Inputs &amp; Assumptions'!$B$8)))))),0)</f>
        <v>6759.6153846153848</v>
      </c>
      <c r="E43" s="91">
        <f>IF(3&lt;='I_Inputs &amp; Assumptions'!$B$8,IF('I_Budget Input Data'!$E$43="Upfront",IF(3=1,'I_Budget Input Data'!$D$43,0),IF('I_Budget Input Data'!$E$43="Equal",'I_Budget Input Data'!$D$43/'I_Inputs &amp; Assumptions'!$B$8,IF('I_Budget Input Data'!$E$43="Front-loaded",IF(3&lt;='I_Inputs &amp; Assumptions'!$B$8/2,'I_Budget Input Data'!$D$43*0.6/('I_Inputs &amp; Assumptions'!$B$8/2),'I_Budget Input Data'!$D$43*0.4/('I_Inputs &amp; Assumptions'!$B$8/2)),IF('I_Budget Input Data'!$E$43="Back-loaded",IF(3&lt;='I_Inputs &amp; Assumptions'!$B$8/2,'I_Budget Input Data'!$D$43*0.4/('I_Inputs &amp; Assumptions'!$B$8/2),'I_Budget Input Data'!$D$43*0.6/('I_Inputs &amp; Assumptions'!$B$8/2)),IF('I_Budget Input Data'!$E$43="Mid-weighted",IF(3&lt;='I_Inputs &amp; Assumptions'!$B$8/4,'I_Budget Input Data'!$D$43*0.2/('I_Inputs &amp; Assumptions'!$B$8/4),IF(3&lt;='I_Inputs &amp; Assumptions'!$B$8*0.75,'I_Budget Input Data'!$D$43*0.6/('I_Inputs &amp; Assumptions'!$B$8/2),'I_Budget Input Data'!$D$43*0.2/('I_Inputs &amp; Assumptions'!$B$8/4))),IF('I_Budget Input Data'!$E$43="At Completion",IF(3='I_Inputs &amp; Assumptions'!$B$8,'I_Budget Input Data'!$D$43,0),'I_Budget Input Data'!$D$43/'I_Inputs &amp; Assumptions'!$B$8)))))),0)</f>
        <v>6759.6153846153848</v>
      </c>
      <c r="F43" s="91">
        <f>IF(4&lt;='I_Inputs &amp; Assumptions'!$B$8,IF('I_Budget Input Data'!$E$43="Upfront",IF(4=1,'I_Budget Input Data'!$D$43,0),IF('I_Budget Input Data'!$E$43="Equal",'I_Budget Input Data'!$D$43/'I_Inputs &amp; Assumptions'!$B$8,IF('I_Budget Input Data'!$E$43="Front-loaded",IF(4&lt;='I_Inputs &amp; Assumptions'!$B$8/2,'I_Budget Input Data'!$D$43*0.6/('I_Inputs &amp; Assumptions'!$B$8/2),'I_Budget Input Data'!$D$43*0.4/('I_Inputs &amp; Assumptions'!$B$8/2)),IF('I_Budget Input Data'!$E$43="Back-loaded",IF(4&lt;='I_Inputs &amp; Assumptions'!$B$8/2,'I_Budget Input Data'!$D$43*0.4/('I_Inputs &amp; Assumptions'!$B$8/2),'I_Budget Input Data'!$D$43*0.6/('I_Inputs &amp; Assumptions'!$B$8/2)),IF('I_Budget Input Data'!$E$43="Mid-weighted",IF(4&lt;='I_Inputs &amp; Assumptions'!$B$8/4,'I_Budget Input Data'!$D$43*0.2/('I_Inputs &amp; Assumptions'!$B$8/4),IF(4&lt;='I_Inputs &amp; Assumptions'!$B$8*0.75,'I_Budget Input Data'!$D$43*0.6/('I_Inputs &amp; Assumptions'!$B$8/2),'I_Budget Input Data'!$D$43*0.2/('I_Inputs &amp; Assumptions'!$B$8/4))),IF('I_Budget Input Data'!$E$43="At Completion",IF(4='I_Inputs &amp; Assumptions'!$B$8,'I_Budget Input Data'!$D$43,0),'I_Budget Input Data'!$D$43/'I_Inputs &amp; Assumptions'!$B$8)))))),0)</f>
        <v>6759.6153846153848</v>
      </c>
      <c r="G43" s="91">
        <f>IF(5&lt;='I_Inputs &amp; Assumptions'!$B$8,IF('I_Budget Input Data'!$E$43="Upfront",IF(5=1,'I_Budget Input Data'!$D$43,0),IF('I_Budget Input Data'!$E$43="Equal",'I_Budget Input Data'!$D$43/'I_Inputs &amp; Assumptions'!$B$8,IF('I_Budget Input Data'!$E$43="Front-loaded",IF(5&lt;='I_Inputs &amp; Assumptions'!$B$8/2,'I_Budget Input Data'!$D$43*0.6/('I_Inputs &amp; Assumptions'!$B$8/2),'I_Budget Input Data'!$D$43*0.4/('I_Inputs &amp; Assumptions'!$B$8/2)),IF('I_Budget Input Data'!$E$43="Back-loaded",IF(5&lt;='I_Inputs &amp; Assumptions'!$B$8/2,'I_Budget Input Data'!$D$43*0.4/('I_Inputs &amp; Assumptions'!$B$8/2),'I_Budget Input Data'!$D$43*0.6/('I_Inputs &amp; Assumptions'!$B$8/2)),IF('I_Budget Input Data'!$E$43="Mid-weighted",IF(5&lt;='I_Inputs &amp; Assumptions'!$B$8/4,'I_Budget Input Data'!$D$43*0.2/('I_Inputs &amp; Assumptions'!$B$8/4),IF(5&lt;='I_Inputs &amp; Assumptions'!$B$8*0.75,'I_Budget Input Data'!$D$43*0.6/('I_Inputs &amp; Assumptions'!$B$8/2),'I_Budget Input Data'!$D$43*0.2/('I_Inputs &amp; Assumptions'!$B$8/4))),IF('I_Budget Input Data'!$E$43="At Completion",IF(5='I_Inputs &amp; Assumptions'!$B$8,'I_Budget Input Data'!$D$43,0),'I_Budget Input Data'!$D$43/'I_Inputs &amp; Assumptions'!$B$8)))))),0)</f>
        <v>6759.6153846153848</v>
      </c>
      <c r="H43" s="91">
        <f>IF(6&lt;='I_Inputs &amp; Assumptions'!$B$8,IF('I_Budget Input Data'!$E$43="Upfront",IF(6=1,'I_Budget Input Data'!$D$43,0),IF('I_Budget Input Data'!$E$43="Equal",'I_Budget Input Data'!$D$43/'I_Inputs &amp; Assumptions'!$B$8,IF('I_Budget Input Data'!$E$43="Front-loaded",IF(6&lt;='I_Inputs &amp; Assumptions'!$B$8/2,'I_Budget Input Data'!$D$43*0.6/('I_Inputs &amp; Assumptions'!$B$8/2),'I_Budget Input Data'!$D$43*0.4/('I_Inputs &amp; Assumptions'!$B$8/2)),IF('I_Budget Input Data'!$E$43="Back-loaded",IF(6&lt;='I_Inputs &amp; Assumptions'!$B$8/2,'I_Budget Input Data'!$D$43*0.4/('I_Inputs &amp; Assumptions'!$B$8/2),'I_Budget Input Data'!$D$43*0.6/('I_Inputs &amp; Assumptions'!$B$8/2)),IF('I_Budget Input Data'!$E$43="Mid-weighted",IF(6&lt;='I_Inputs &amp; Assumptions'!$B$8/4,'I_Budget Input Data'!$D$43*0.2/('I_Inputs &amp; Assumptions'!$B$8/4),IF(6&lt;='I_Inputs &amp; Assumptions'!$B$8*0.75,'I_Budget Input Data'!$D$43*0.6/('I_Inputs &amp; Assumptions'!$B$8/2),'I_Budget Input Data'!$D$43*0.2/('I_Inputs &amp; Assumptions'!$B$8/4))),IF('I_Budget Input Data'!$E$43="At Completion",IF(6='I_Inputs &amp; Assumptions'!$B$8,'I_Budget Input Data'!$D$43,0),'I_Budget Input Data'!$D$43/'I_Inputs &amp; Assumptions'!$B$8)))))),0)</f>
        <v>6759.6153846153848</v>
      </c>
      <c r="I43" s="91">
        <f>IF(7&lt;='I_Inputs &amp; Assumptions'!$B$8,IF('I_Budget Input Data'!$E$43="Upfront",IF(7=1,'I_Budget Input Data'!$D$43,0),IF('I_Budget Input Data'!$E$43="Equal",'I_Budget Input Data'!$D$43/'I_Inputs &amp; Assumptions'!$B$8,IF('I_Budget Input Data'!$E$43="Front-loaded",IF(7&lt;='I_Inputs &amp; Assumptions'!$B$8/2,'I_Budget Input Data'!$D$43*0.6/('I_Inputs &amp; Assumptions'!$B$8/2),'I_Budget Input Data'!$D$43*0.4/('I_Inputs &amp; Assumptions'!$B$8/2)),IF('I_Budget Input Data'!$E$43="Back-loaded",IF(7&lt;='I_Inputs &amp; Assumptions'!$B$8/2,'I_Budget Input Data'!$D$43*0.4/('I_Inputs &amp; Assumptions'!$B$8/2),'I_Budget Input Data'!$D$43*0.6/('I_Inputs &amp; Assumptions'!$B$8/2)),IF('I_Budget Input Data'!$E$43="Mid-weighted",IF(7&lt;='I_Inputs &amp; Assumptions'!$B$8/4,'I_Budget Input Data'!$D$43*0.2/('I_Inputs &amp; Assumptions'!$B$8/4),IF(7&lt;='I_Inputs &amp; Assumptions'!$B$8*0.75,'I_Budget Input Data'!$D$43*0.6/('I_Inputs &amp; Assumptions'!$B$8/2),'I_Budget Input Data'!$D$43*0.2/('I_Inputs &amp; Assumptions'!$B$8/4))),IF('I_Budget Input Data'!$E$43="At Completion",IF(7='I_Inputs &amp; Assumptions'!$B$8,'I_Budget Input Data'!$D$43,0),'I_Budget Input Data'!$D$43/'I_Inputs &amp; Assumptions'!$B$8)))))),0)</f>
        <v>6759.6153846153848</v>
      </c>
      <c r="J43" s="91">
        <f>IF(8&lt;='I_Inputs &amp; Assumptions'!$B$8,IF('I_Budget Input Data'!$E$43="Upfront",IF(8=1,'I_Budget Input Data'!$D$43,0),IF('I_Budget Input Data'!$E$43="Equal",'I_Budget Input Data'!$D$43/'I_Inputs &amp; Assumptions'!$B$8,IF('I_Budget Input Data'!$E$43="Front-loaded",IF(8&lt;='I_Inputs &amp; Assumptions'!$B$8/2,'I_Budget Input Data'!$D$43*0.6/('I_Inputs &amp; Assumptions'!$B$8/2),'I_Budget Input Data'!$D$43*0.4/('I_Inputs &amp; Assumptions'!$B$8/2)),IF('I_Budget Input Data'!$E$43="Back-loaded",IF(8&lt;='I_Inputs &amp; Assumptions'!$B$8/2,'I_Budget Input Data'!$D$43*0.4/('I_Inputs &amp; Assumptions'!$B$8/2),'I_Budget Input Data'!$D$43*0.6/('I_Inputs &amp; Assumptions'!$B$8/2)),IF('I_Budget Input Data'!$E$43="Mid-weighted",IF(8&lt;='I_Inputs &amp; Assumptions'!$B$8/4,'I_Budget Input Data'!$D$43*0.2/('I_Inputs &amp; Assumptions'!$B$8/4),IF(8&lt;='I_Inputs &amp; Assumptions'!$B$8*0.75,'I_Budget Input Data'!$D$43*0.6/('I_Inputs &amp; Assumptions'!$B$8/2),'I_Budget Input Data'!$D$43*0.2/('I_Inputs &amp; Assumptions'!$B$8/4))),IF('I_Budget Input Data'!$E$43="At Completion",IF(8='I_Inputs &amp; Assumptions'!$B$8,'I_Budget Input Data'!$D$43,0),'I_Budget Input Data'!$D$43/'I_Inputs &amp; Assumptions'!$B$8)))))),0)</f>
        <v>6759.6153846153848</v>
      </c>
      <c r="K43" s="91">
        <f>IF(9&lt;='I_Inputs &amp; Assumptions'!$B$8,IF('I_Budget Input Data'!$E$43="Upfront",IF(9=1,'I_Budget Input Data'!$D$43,0),IF('I_Budget Input Data'!$E$43="Equal",'I_Budget Input Data'!$D$43/'I_Inputs &amp; Assumptions'!$B$8,IF('I_Budget Input Data'!$E$43="Front-loaded",IF(9&lt;='I_Inputs &amp; Assumptions'!$B$8/2,'I_Budget Input Data'!$D$43*0.6/('I_Inputs &amp; Assumptions'!$B$8/2),'I_Budget Input Data'!$D$43*0.4/('I_Inputs &amp; Assumptions'!$B$8/2)),IF('I_Budget Input Data'!$E$43="Back-loaded",IF(9&lt;='I_Inputs &amp; Assumptions'!$B$8/2,'I_Budget Input Data'!$D$43*0.4/('I_Inputs &amp; Assumptions'!$B$8/2),'I_Budget Input Data'!$D$43*0.6/('I_Inputs &amp; Assumptions'!$B$8/2)),IF('I_Budget Input Data'!$E$43="Mid-weighted",IF(9&lt;='I_Inputs &amp; Assumptions'!$B$8/4,'I_Budget Input Data'!$D$43*0.2/('I_Inputs &amp; Assumptions'!$B$8/4),IF(9&lt;='I_Inputs &amp; Assumptions'!$B$8*0.75,'I_Budget Input Data'!$D$43*0.6/('I_Inputs &amp; Assumptions'!$B$8/2),'I_Budget Input Data'!$D$43*0.2/('I_Inputs &amp; Assumptions'!$B$8/4))),IF('I_Budget Input Data'!$E$43="At Completion",IF(9='I_Inputs &amp; Assumptions'!$B$8,'I_Budget Input Data'!$D$43,0),'I_Budget Input Data'!$D$43/'I_Inputs &amp; Assumptions'!$B$8)))))),0)</f>
        <v>6759.6153846153848</v>
      </c>
      <c r="L43" s="91">
        <f>IF(10&lt;='I_Inputs &amp; Assumptions'!$B$8,IF('I_Budget Input Data'!$E$43="Upfront",IF(10=1,'I_Budget Input Data'!$D$43,0),IF('I_Budget Input Data'!$E$43="Equal",'I_Budget Input Data'!$D$43/'I_Inputs &amp; Assumptions'!$B$8,IF('I_Budget Input Data'!$E$43="Front-loaded",IF(10&lt;='I_Inputs &amp; Assumptions'!$B$8/2,'I_Budget Input Data'!$D$43*0.6/('I_Inputs &amp; Assumptions'!$B$8/2),'I_Budget Input Data'!$D$43*0.4/('I_Inputs &amp; Assumptions'!$B$8/2)),IF('I_Budget Input Data'!$E$43="Back-loaded",IF(10&lt;='I_Inputs &amp; Assumptions'!$B$8/2,'I_Budget Input Data'!$D$43*0.4/('I_Inputs &amp; Assumptions'!$B$8/2),'I_Budget Input Data'!$D$43*0.6/('I_Inputs &amp; Assumptions'!$B$8/2)),IF('I_Budget Input Data'!$E$43="Mid-weighted",IF(10&lt;='I_Inputs &amp; Assumptions'!$B$8/4,'I_Budget Input Data'!$D$43*0.2/('I_Inputs &amp; Assumptions'!$B$8/4),IF(10&lt;='I_Inputs &amp; Assumptions'!$B$8*0.75,'I_Budget Input Data'!$D$43*0.6/('I_Inputs &amp; Assumptions'!$B$8/2),'I_Budget Input Data'!$D$43*0.2/('I_Inputs &amp; Assumptions'!$B$8/4))),IF('I_Budget Input Data'!$E$43="At Completion",IF(10='I_Inputs &amp; Assumptions'!$B$8,'I_Budget Input Data'!$D$43,0),'I_Budget Input Data'!$D$43/'I_Inputs &amp; Assumptions'!$B$8)))))),0)</f>
        <v>6759.6153846153848</v>
      </c>
      <c r="M43" s="91">
        <f>IF(11&lt;='I_Inputs &amp; Assumptions'!$B$8,IF('I_Budget Input Data'!$E$43="Upfront",IF(11=1,'I_Budget Input Data'!$D$43,0),IF('I_Budget Input Data'!$E$43="Equal",'I_Budget Input Data'!$D$43/'I_Inputs &amp; Assumptions'!$B$8,IF('I_Budget Input Data'!$E$43="Front-loaded",IF(11&lt;='I_Inputs &amp; Assumptions'!$B$8/2,'I_Budget Input Data'!$D$43*0.6/('I_Inputs &amp; Assumptions'!$B$8/2),'I_Budget Input Data'!$D$43*0.4/('I_Inputs &amp; Assumptions'!$B$8/2)),IF('I_Budget Input Data'!$E$43="Back-loaded",IF(11&lt;='I_Inputs &amp; Assumptions'!$B$8/2,'I_Budget Input Data'!$D$43*0.4/('I_Inputs &amp; Assumptions'!$B$8/2),'I_Budget Input Data'!$D$43*0.6/('I_Inputs &amp; Assumptions'!$B$8/2)),IF('I_Budget Input Data'!$E$43="Mid-weighted",IF(11&lt;='I_Inputs &amp; Assumptions'!$B$8/4,'I_Budget Input Data'!$D$43*0.2/('I_Inputs &amp; Assumptions'!$B$8/4),IF(11&lt;='I_Inputs &amp; Assumptions'!$B$8*0.75,'I_Budget Input Data'!$D$43*0.6/('I_Inputs &amp; Assumptions'!$B$8/2),'I_Budget Input Data'!$D$43*0.2/('I_Inputs &amp; Assumptions'!$B$8/4))),IF('I_Budget Input Data'!$E$43="At Completion",IF(11='I_Inputs &amp; Assumptions'!$B$8,'I_Budget Input Data'!$D$43,0),'I_Budget Input Data'!$D$43/'I_Inputs &amp; Assumptions'!$B$8)))))),0)</f>
        <v>6759.6153846153848</v>
      </c>
      <c r="N43" s="91">
        <f>IF(12&lt;='I_Inputs &amp; Assumptions'!$B$8,IF('I_Budget Input Data'!$E$43="Upfront",IF(12=1,'I_Budget Input Data'!$D$43,0),IF('I_Budget Input Data'!$E$43="Equal",'I_Budget Input Data'!$D$43/'I_Inputs &amp; Assumptions'!$B$8,IF('I_Budget Input Data'!$E$43="Front-loaded",IF(12&lt;='I_Inputs &amp; Assumptions'!$B$8/2,'I_Budget Input Data'!$D$43*0.6/('I_Inputs &amp; Assumptions'!$B$8/2),'I_Budget Input Data'!$D$43*0.4/('I_Inputs &amp; Assumptions'!$B$8/2)),IF('I_Budget Input Data'!$E$43="Back-loaded",IF(12&lt;='I_Inputs &amp; Assumptions'!$B$8/2,'I_Budget Input Data'!$D$43*0.4/('I_Inputs &amp; Assumptions'!$B$8/2),'I_Budget Input Data'!$D$43*0.6/('I_Inputs &amp; Assumptions'!$B$8/2)),IF('I_Budget Input Data'!$E$43="Mid-weighted",IF(12&lt;='I_Inputs &amp; Assumptions'!$B$8/4,'I_Budget Input Data'!$D$43*0.2/('I_Inputs &amp; Assumptions'!$B$8/4),IF(12&lt;='I_Inputs &amp; Assumptions'!$B$8*0.75,'I_Budget Input Data'!$D$43*0.6/('I_Inputs &amp; Assumptions'!$B$8/2),'I_Budget Input Data'!$D$43*0.2/('I_Inputs &amp; Assumptions'!$B$8/4))),IF('I_Budget Input Data'!$E$43="At Completion",IF(12='I_Inputs &amp; Assumptions'!$B$8,'I_Budget Input Data'!$D$43,0),'I_Budget Input Data'!$D$43/'I_Inputs &amp; Assumptions'!$B$8)))))),0)</f>
        <v>6759.6153846153848</v>
      </c>
      <c r="O43" s="91">
        <f>IF(13&lt;='I_Inputs &amp; Assumptions'!$B$8,IF('I_Budget Input Data'!$E$43="Upfront",IF(13=1,'I_Budget Input Data'!$D$43,0),IF('I_Budget Input Data'!$E$43="Equal",'I_Budget Input Data'!$D$43/'I_Inputs &amp; Assumptions'!$B$8,IF('I_Budget Input Data'!$E$43="Front-loaded",IF(13&lt;='I_Inputs &amp; Assumptions'!$B$8/2,'I_Budget Input Data'!$D$43*0.6/('I_Inputs &amp; Assumptions'!$B$8/2),'I_Budget Input Data'!$D$43*0.4/('I_Inputs &amp; Assumptions'!$B$8/2)),IF('I_Budget Input Data'!$E$43="Back-loaded",IF(13&lt;='I_Inputs &amp; Assumptions'!$B$8/2,'I_Budget Input Data'!$D$43*0.4/('I_Inputs &amp; Assumptions'!$B$8/2),'I_Budget Input Data'!$D$43*0.6/('I_Inputs &amp; Assumptions'!$B$8/2)),IF('I_Budget Input Data'!$E$43="Mid-weighted",IF(13&lt;='I_Inputs &amp; Assumptions'!$B$8/4,'I_Budget Input Data'!$D$43*0.2/('I_Inputs &amp; Assumptions'!$B$8/4),IF(13&lt;='I_Inputs &amp; Assumptions'!$B$8*0.75,'I_Budget Input Data'!$D$43*0.6/('I_Inputs &amp; Assumptions'!$B$8/2),'I_Budget Input Data'!$D$43*0.2/('I_Inputs &amp; Assumptions'!$B$8/4))),IF('I_Budget Input Data'!$E$43="At Completion",IF(13='I_Inputs &amp; Assumptions'!$B$8,'I_Budget Input Data'!$D$43,0),'I_Budget Input Data'!$D$43/'I_Inputs &amp; Assumptions'!$B$8)))))),0)</f>
        <v>6759.6153846153848</v>
      </c>
      <c r="P43" s="91">
        <f>IF(14&lt;='I_Inputs &amp; Assumptions'!$B$8,IF('I_Budget Input Data'!$E$43="Upfront",IF(14=1,'I_Budget Input Data'!$D$43,0),IF('I_Budget Input Data'!$E$43="Equal",'I_Budget Input Data'!$D$43/'I_Inputs &amp; Assumptions'!$B$8,IF('I_Budget Input Data'!$E$43="Front-loaded",IF(14&lt;='I_Inputs &amp; Assumptions'!$B$8/2,'I_Budget Input Data'!$D$43*0.6/('I_Inputs &amp; Assumptions'!$B$8/2),'I_Budget Input Data'!$D$43*0.4/('I_Inputs &amp; Assumptions'!$B$8/2)),IF('I_Budget Input Data'!$E$43="Back-loaded",IF(14&lt;='I_Inputs &amp; Assumptions'!$B$8/2,'I_Budget Input Data'!$D$43*0.4/('I_Inputs &amp; Assumptions'!$B$8/2),'I_Budget Input Data'!$D$43*0.6/('I_Inputs &amp; Assumptions'!$B$8/2)),IF('I_Budget Input Data'!$E$43="Mid-weighted",IF(14&lt;='I_Inputs &amp; Assumptions'!$B$8/4,'I_Budget Input Data'!$D$43*0.2/('I_Inputs &amp; Assumptions'!$B$8/4),IF(14&lt;='I_Inputs &amp; Assumptions'!$B$8*0.75,'I_Budget Input Data'!$D$43*0.6/('I_Inputs &amp; Assumptions'!$B$8/2),'I_Budget Input Data'!$D$43*0.2/('I_Inputs &amp; Assumptions'!$B$8/4))),IF('I_Budget Input Data'!$E$43="At Completion",IF(14='I_Inputs &amp; Assumptions'!$B$8,'I_Budget Input Data'!$D$43,0),'I_Budget Input Data'!$D$43/'I_Inputs &amp; Assumptions'!$B$8)))))),0)</f>
        <v>0</v>
      </c>
      <c r="Q43" s="91">
        <f>IF(15&lt;='I_Inputs &amp; Assumptions'!$B$8,IF('I_Budget Input Data'!$E$43="Upfront",IF(15=1,'I_Budget Input Data'!$D$43,0),IF('I_Budget Input Data'!$E$43="Equal",'I_Budget Input Data'!$D$43/'I_Inputs &amp; Assumptions'!$B$8,IF('I_Budget Input Data'!$E$43="Front-loaded",IF(15&lt;='I_Inputs &amp; Assumptions'!$B$8/2,'I_Budget Input Data'!$D$43*0.6/('I_Inputs &amp; Assumptions'!$B$8/2),'I_Budget Input Data'!$D$43*0.4/('I_Inputs &amp; Assumptions'!$B$8/2)),IF('I_Budget Input Data'!$E$43="Back-loaded",IF(15&lt;='I_Inputs &amp; Assumptions'!$B$8/2,'I_Budget Input Data'!$D$43*0.4/('I_Inputs &amp; Assumptions'!$B$8/2),'I_Budget Input Data'!$D$43*0.6/('I_Inputs &amp; Assumptions'!$B$8/2)),IF('I_Budget Input Data'!$E$43="Mid-weighted",IF(15&lt;='I_Inputs &amp; Assumptions'!$B$8/4,'I_Budget Input Data'!$D$43*0.2/('I_Inputs &amp; Assumptions'!$B$8/4),IF(15&lt;='I_Inputs &amp; Assumptions'!$B$8*0.75,'I_Budget Input Data'!$D$43*0.6/('I_Inputs &amp; Assumptions'!$B$8/2),'I_Budget Input Data'!$D$43*0.2/('I_Inputs &amp; Assumptions'!$B$8/4))),IF('I_Budget Input Data'!$E$43="At Completion",IF(15='I_Inputs &amp; Assumptions'!$B$8,'I_Budget Input Data'!$D$43,0),'I_Budget Input Data'!$D$43/'I_Inputs &amp; Assumptions'!$B$8)))))),0)</f>
        <v>0</v>
      </c>
      <c r="R43" s="91">
        <f>IF(16&lt;='I_Inputs &amp; Assumptions'!$B$8,IF('I_Budget Input Data'!$E$43="Upfront",IF(16=1,'I_Budget Input Data'!$D$43,0),IF('I_Budget Input Data'!$E$43="Equal",'I_Budget Input Data'!$D$43/'I_Inputs &amp; Assumptions'!$B$8,IF('I_Budget Input Data'!$E$43="Front-loaded",IF(16&lt;='I_Inputs &amp; Assumptions'!$B$8/2,'I_Budget Input Data'!$D$43*0.6/('I_Inputs &amp; Assumptions'!$B$8/2),'I_Budget Input Data'!$D$43*0.4/('I_Inputs &amp; Assumptions'!$B$8/2)),IF('I_Budget Input Data'!$E$43="Back-loaded",IF(16&lt;='I_Inputs &amp; Assumptions'!$B$8/2,'I_Budget Input Data'!$D$43*0.4/('I_Inputs &amp; Assumptions'!$B$8/2),'I_Budget Input Data'!$D$43*0.6/('I_Inputs &amp; Assumptions'!$B$8/2)),IF('I_Budget Input Data'!$E$43="Mid-weighted",IF(16&lt;='I_Inputs &amp; Assumptions'!$B$8/4,'I_Budget Input Data'!$D$43*0.2/('I_Inputs &amp; Assumptions'!$B$8/4),IF(16&lt;='I_Inputs &amp; Assumptions'!$B$8*0.75,'I_Budget Input Data'!$D$43*0.6/('I_Inputs &amp; Assumptions'!$B$8/2),'I_Budget Input Data'!$D$43*0.2/('I_Inputs &amp; Assumptions'!$B$8/4))),IF('I_Budget Input Data'!$E$43="At Completion",IF(16='I_Inputs &amp; Assumptions'!$B$8,'I_Budget Input Data'!$D$43,0),'I_Budget Input Data'!$D$43/'I_Inputs &amp; Assumptions'!$B$8)))))),0)</f>
        <v>0</v>
      </c>
      <c r="S43" s="91">
        <f>IF(17&lt;='I_Inputs &amp; Assumptions'!$B$8,IF('I_Budget Input Data'!$E$43="Upfront",IF(17=1,'I_Budget Input Data'!$D$43,0),IF('I_Budget Input Data'!$E$43="Equal",'I_Budget Input Data'!$D$43/'I_Inputs &amp; Assumptions'!$B$8,IF('I_Budget Input Data'!$E$43="Front-loaded",IF(17&lt;='I_Inputs &amp; Assumptions'!$B$8/2,'I_Budget Input Data'!$D$43*0.6/('I_Inputs &amp; Assumptions'!$B$8/2),'I_Budget Input Data'!$D$43*0.4/('I_Inputs &amp; Assumptions'!$B$8/2)),IF('I_Budget Input Data'!$E$43="Back-loaded",IF(17&lt;='I_Inputs &amp; Assumptions'!$B$8/2,'I_Budget Input Data'!$D$43*0.4/('I_Inputs &amp; Assumptions'!$B$8/2),'I_Budget Input Data'!$D$43*0.6/('I_Inputs &amp; Assumptions'!$B$8/2)),IF('I_Budget Input Data'!$E$43="Mid-weighted",IF(17&lt;='I_Inputs &amp; Assumptions'!$B$8/4,'I_Budget Input Data'!$D$43*0.2/('I_Inputs &amp; Assumptions'!$B$8/4),IF(17&lt;='I_Inputs &amp; Assumptions'!$B$8*0.75,'I_Budget Input Data'!$D$43*0.6/('I_Inputs &amp; Assumptions'!$B$8/2),'I_Budget Input Data'!$D$43*0.2/('I_Inputs &amp; Assumptions'!$B$8/4))),IF('I_Budget Input Data'!$E$43="At Completion",IF(17='I_Inputs &amp; Assumptions'!$B$8,'I_Budget Input Data'!$D$43,0),'I_Budget Input Data'!$D$43/'I_Inputs &amp; Assumptions'!$B$8)))))),0)</f>
        <v>0</v>
      </c>
      <c r="T43" s="91">
        <f>IF(18&lt;='I_Inputs &amp; Assumptions'!$B$8,IF('I_Budget Input Data'!$E$43="Upfront",IF(18=1,'I_Budget Input Data'!$D$43,0),IF('I_Budget Input Data'!$E$43="Equal",'I_Budget Input Data'!$D$43/'I_Inputs &amp; Assumptions'!$B$8,IF('I_Budget Input Data'!$E$43="Front-loaded",IF(18&lt;='I_Inputs &amp; Assumptions'!$B$8/2,'I_Budget Input Data'!$D$43*0.6/('I_Inputs &amp; Assumptions'!$B$8/2),'I_Budget Input Data'!$D$43*0.4/('I_Inputs &amp; Assumptions'!$B$8/2)),IF('I_Budget Input Data'!$E$43="Back-loaded",IF(18&lt;='I_Inputs &amp; Assumptions'!$B$8/2,'I_Budget Input Data'!$D$43*0.4/('I_Inputs &amp; Assumptions'!$B$8/2),'I_Budget Input Data'!$D$43*0.6/('I_Inputs &amp; Assumptions'!$B$8/2)),IF('I_Budget Input Data'!$E$43="Mid-weighted",IF(18&lt;='I_Inputs &amp; Assumptions'!$B$8/4,'I_Budget Input Data'!$D$43*0.2/('I_Inputs &amp; Assumptions'!$B$8/4),IF(18&lt;='I_Inputs &amp; Assumptions'!$B$8*0.75,'I_Budget Input Data'!$D$43*0.6/('I_Inputs &amp; Assumptions'!$B$8/2),'I_Budget Input Data'!$D$43*0.2/('I_Inputs &amp; Assumptions'!$B$8/4))),IF('I_Budget Input Data'!$E$43="At Completion",IF(18='I_Inputs &amp; Assumptions'!$B$8,'I_Budget Input Data'!$D$43,0),'I_Budget Input Data'!$D$43/'I_Inputs &amp; Assumptions'!$B$8)))))),0)</f>
        <v>0</v>
      </c>
      <c r="U43" s="91">
        <f>IF(19&lt;='I_Inputs &amp; Assumptions'!$B$8,IF('I_Budget Input Data'!$E$43="Upfront",IF(19=1,'I_Budget Input Data'!$D$43,0),IF('I_Budget Input Data'!$E$43="Equal",'I_Budget Input Data'!$D$43/'I_Inputs &amp; Assumptions'!$B$8,IF('I_Budget Input Data'!$E$43="Front-loaded",IF(19&lt;='I_Inputs &amp; Assumptions'!$B$8/2,'I_Budget Input Data'!$D$43*0.6/('I_Inputs &amp; Assumptions'!$B$8/2),'I_Budget Input Data'!$D$43*0.4/('I_Inputs &amp; Assumptions'!$B$8/2)),IF('I_Budget Input Data'!$E$43="Back-loaded",IF(19&lt;='I_Inputs &amp; Assumptions'!$B$8/2,'I_Budget Input Data'!$D$43*0.4/('I_Inputs &amp; Assumptions'!$B$8/2),'I_Budget Input Data'!$D$43*0.6/('I_Inputs &amp; Assumptions'!$B$8/2)),IF('I_Budget Input Data'!$E$43="Mid-weighted",IF(19&lt;='I_Inputs &amp; Assumptions'!$B$8/4,'I_Budget Input Data'!$D$43*0.2/('I_Inputs &amp; Assumptions'!$B$8/4),IF(19&lt;='I_Inputs &amp; Assumptions'!$B$8*0.75,'I_Budget Input Data'!$D$43*0.6/('I_Inputs &amp; Assumptions'!$B$8/2),'I_Budget Input Data'!$D$43*0.2/('I_Inputs &amp; Assumptions'!$B$8/4))),IF('I_Budget Input Data'!$E$43="At Completion",IF(19='I_Inputs &amp; Assumptions'!$B$8,'I_Budget Input Data'!$D$43,0),'I_Budget Input Data'!$D$43/'I_Inputs &amp; Assumptions'!$B$8)))))),0)</f>
        <v>0</v>
      </c>
      <c r="V43" s="91">
        <f>IF(20&lt;='I_Inputs &amp; Assumptions'!$B$8,IF('I_Budget Input Data'!$E$43="Upfront",IF(20=1,'I_Budget Input Data'!$D$43,0),IF('I_Budget Input Data'!$E$43="Equal",'I_Budget Input Data'!$D$43/'I_Inputs &amp; Assumptions'!$B$8,IF('I_Budget Input Data'!$E$43="Front-loaded",IF(20&lt;='I_Inputs &amp; Assumptions'!$B$8/2,'I_Budget Input Data'!$D$43*0.6/('I_Inputs &amp; Assumptions'!$B$8/2),'I_Budget Input Data'!$D$43*0.4/('I_Inputs &amp; Assumptions'!$B$8/2)),IF('I_Budget Input Data'!$E$43="Back-loaded",IF(20&lt;='I_Inputs &amp; Assumptions'!$B$8/2,'I_Budget Input Data'!$D$43*0.4/('I_Inputs &amp; Assumptions'!$B$8/2),'I_Budget Input Data'!$D$43*0.6/('I_Inputs &amp; Assumptions'!$B$8/2)),IF('I_Budget Input Data'!$E$43="Mid-weighted",IF(20&lt;='I_Inputs &amp; Assumptions'!$B$8/4,'I_Budget Input Data'!$D$43*0.2/('I_Inputs &amp; Assumptions'!$B$8/4),IF(20&lt;='I_Inputs &amp; Assumptions'!$B$8*0.75,'I_Budget Input Data'!$D$43*0.6/('I_Inputs &amp; Assumptions'!$B$8/2),'I_Budget Input Data'!$D$43*0.2/('I_Inputs &amp; Assumptions'!$B$8/4))),IF('I_Budget Input Data'!$E$43="At Completion",IF(20='I_Inputs &amp; Assumptions'!$B$8,'I_Budget Input Data'!$D$43,0),'I_Budget Input Data'!$D$43/'I_Inputs &amp; Assumptions'!$B$8)))))),0)</f>
        <v>0</v>
      </c>
      <c r="W43" s="91">
        <f>IF(21&lt;='I_Inputs &amp; Assumptions'!$B$8,IF('I_Budget Input Data'!$E$43="Upfront",IF(21=1,'I_Budget Input Data'!$D$43,0),IF('I_Budget Input Data'!$E$43="Equal",'I_Budget Input Data'!$D$43/'I_Inputs &amp; Assumptions'!$B$8,IF('I_Budget Input Data'!$E$43="Front-loaded",IF(21&lt;='I_Inputs &amp; Assumptions'!$B$8/2,'I_Budget Input Data'!$D$43*0.6/('I_Inputs &amp; Assumptions'!$B$8/2),'I_Budget Input Data'!$D$43*0.4/('I_Inputs &amp; Assumptions'!$B$8/2)),IF('I_Budget Input Data'!$E$43="Back-loaded",IF(21&lt;='I_Inputs &amp; Assumptions'!$B$8/2,'I_Budget Input Data'!$D$43*0.4/('I_Inputs &amp; Assumptions'!$B$8/2),'I_Budget Input Data'!$D$43*0.6/('I_Inputs &amp; Assumptions'!$B$8/2)),IF('I_Budget Input Data'!$E$43="Mid-weighted",IF(21&lt;='I_Inputs &amp; Assumptions'!$B$8/4,'I_Budget Input Data'!$D$43*0.2/('I_Inputs &amp; Assumptions'!$B$8/4),IF(21&lt;='I_Inputs &amp; Assumptions'!$B$8*0.75,'I_Budget Input Data'!$D$43*0.6/('I_Inputs &amp; Assumptions'!$B$8/2),'I_Budget Input Data'!$D$43*0.2/('I_Inputs &amp; Assumptions'!$B$8/4))),IF('I_Budget Input Data'!$E$43="At Completion",IF(21='I_Inputs &amp; Assumptions'!$B$8,'I_Budget Input Data'!$D$43,0),'I_Budget Input Data'!$D$43/'I_Inputs &amp; Assumptions'!$B$8)))))),0)</f>
        <v>0</v>
      </c>
      <c r="X43" s="91">
        <f>IF(22&lt;='I_Inputs &amp; Assumptions'!$B$8,IF('I_Budget Input Data'!$E$43="Upfront",IF(22=1,'I_Budget Input Data'!$D$43,0),IF('I_Budget Input Data'!$E$43="Equal",'I_Budget Input Data'!$D$43/'I_Inputs &amp; Assumptions'!$B$8,IF('I_Budget Input Data'!$E$43="Front-loaded",IF(22&lt;='I_Inputs &amp; Assumptions'!$B$8/2,'I_Budget Input Data'!$D$43*0.6/('I_Inputs &amp; Assumptions'!$B$8/2),'I_Budget Input Data'!$D$43*0.4/('I_Inputs &amp; Assumptions'!$B$8/2)),IF('I_Budget Input Data'!$E$43="Back-loaded",IF(22&lt;='I_Inputs &amp; Assumptions'!$B$8/2,'I_Budget Input Data'!$D$43*0.4/('I_Inputs &amp; Assumptions'!$B$8/2),'I_Budget Input Data'!$D$43*0.6/('I_Inputs &amp; Assumptions'!$B$8/2)),IF('I_Budget Input Data'!$E$43="Mid-weighted",IF(22&lt;='I_Inputs &amp; Assumptions'!$B$8/4,'I_Budget Input Data'!$D$43*0.2/('I_Inputs &amp; Assumptions'!$B$8/4),IF(22&lt;='I_Inputs &amp; Assumptions'!$B$8*0.75,'I_Budget Input Data'!$D$43*0.6/('I_Inputs &amp; Assumptions'!$B$8/2),'I_Budget Input Data'!$D$43*0.2/('I_Inputs &amp; Assumptions'!$B$8/4))),IF('I_Budget Input Data'!$E$43="At Completion",IF(22='I_Inputs &amp; Assumptions'!$B$8,'I_Budget Input Data'!$D$43,0),'I_Budget Input Data'!$D$43/'I_Inputs &amp; Assumptions'!$B$8)))))),0)</f>
        <v>0</v>
      </c>
      <c r="Y43" s="91">
        <f>IF(23&lt;='I_Inputs &amp; Assumptions'!$B$8,IF('I_Budget Input Data'!$E$43="Upfront",IF(23=1,'I_Budget Input Data'!$D$43,0),IF('I_Budget Input Data'!$E$43="Equal",'I_Budget Input Data'!$D$43/'I_Inputs &amp; Assumptions'!$B$8,IF('I_Budget Input Data'!$E$43="Front-loaded",IF(23&lt;='I_Inputs &amp; Assumptions'!$B$8/2,'I_Budget Input Data'!$D$43*0.6/('I_Inputs &amp; Assumptions'!$B$8/2),'I_Budget Input Data'!$D$43*0.4/('I_Inputs &amp; Assumptions'!$B$8/2)),IF('I_Budget Input Data'!$E$43="Back-loaded",IF(23&lt;='I_Inputs &amp; Assumptions'!$B$8/2,'I_Budget Input Data'!$D$43*0.4/('I_Inputs &amp; Assumptions'!$B$8/2),'I_Budget Input Data'!$D$43*0.6/('I_Inputs &amp; Assumptions'!$B$8/2)),IF('I_Budget Input Data'!$E$43="Mid-weighted",IF(23&lt;='I_Inputs &amp; Assumptions'!$B$8/4,'I_Budget Input Data'!$D$43*0.2/('I_Inputs &amp; Assumptions'!$B$8/4),IF(23&lt;='I_Inputs &amp; Assumptions'!$B$8*0.75,'I_Budget Input Data'!$D$43*0.6/('I_Inputs &amp; Assumptions'!$B$8/2),'I_Budget Input Data'!$D$43*0.2/('I_Inputs &amp; Assumptions'!$B$8/4))),IF('I_Budget Input Data'!$E$43="At Completion",IF(23='I_Inputs &amp; Assumptions'!$B$8,'I_Budget Input Data'!$D$43,0),'I_Budget Input Data'!$D$43/'I_Inputs &amp; Assumptions'!$B$8)))))),0)</f>
        <v>0</v>
      </c>
      <c r="Z43" s="91">
        <f>IF(24&lt;='I_Inputs &amp; Assumptions'!$B$8,IF('I_Budget Input Data'!$E$43="Upfront",IF(24=1,'I_Budget Input Data'!$D$43,0),IF('I_Budget Input Data'!$E$43="Equal",'I_Budget Input Data'!$D$43/'I_Inputs &amp; Assumptions'!$B$8,IF('I_Budget Input Data'!$E$43="Front-loaded",IF(24&lt;='I_Inputs &amp; Assumptions'!$B$8/2,'I_Budget Input Data'!$D$43*0.6/('I_Inputs &amp; Assumptions'!$B$8/2),'I_Budget Input Data'!$D$43*0.4/('I_Inputs &amp; Assumptions'!$B$8/2)),IF('I_Budget Input Data'!$E$43="Back-loaded",IF(24&lt;='I_Inputs &amp; Assumptions'!$B$8/2,'I_Budget Input Data'!$D$43*0.4/('I_Inputs &amp; Assumptions'!$B$8/2),'I_Budget Input Data'!$D$43*0.6/('I_Inputs &amp; Assumptions'!$B$8/2)),IF('I_Budget Input Data'!$E$43="Mid-weighted",IF(24&lt;='I_Inputs &amp; Assumptions'!$B$8/4,'I_Budget Input Data'!$D$43*0.2/('I_Inputs &amp; Assumptions'!$B$8/4),IF(24&lt;='I_Inputs &amp; Assumptions'!$B$8*0.75,'I_Budget Input Data'!$D$43*0.6/('I_Inputs &amp; Assumptions'!$B$8/2),'I_Budget Input Data'!$D$43*0.2/('I_Inputs &amp; Assumptions'!$B$8/4))),IF('I_Budget Input Data'!$E$43="At Completion",IF(24='I_Inputs &amp; Assumptions'!$B$8,'I_Budget Input Data'!$D$43,0),'I_Budget Input Data'!$D$43/'I_Inputs &amp; Assumptions'!$B$8)))))),0)</f>
        <v>0</v>
      </c>
      <c r="AA43" s="91">
        <f>IF(25&lt;='I_Inputs &amp; Assumptions'!$B$8,IF('I_Budget Input Data'!$E$43="Upfront",IF(25=1,'I_Budget Input Data'!$D$43,0),IF('I_Budget Input Data'!$E$43="Equal",'I_Budget Input Data'!$D$43/'I_Inputs &amp; Assumptions'!$B$8,IF('I_Budget Input Data'!$E$43="Front-loaded",IF(25&lt;='I_Inputs &amp; Assumptions'!$B$8/2,'I_Budget Input Data'!$D$43*0.6/('I_Inputs &amp; Assumptions'!$B$8/2),'I_Budget Input Data'!$D$43*0.4/('I_Inputs &amp; Assumptions'!$B$8/2)),IF('I_Budget Input Data'!$E$43="Back-loaded",IF(25&lt;='I_Inputs &amp; Assumptions'!$B$8/2,'I_Budget Input Data'!$D$43*0.4/('I_Inputs &amp; Assumptions'!$B$8/2),'I_Budget Input Data'!$D$43*0.6/('I_Inputs &amp; Assumptions'!$B$8/2)),IF('I_Budget Input Data'!$E$43="Mid-weighted",IF(25&lt;='I_Inputs &amp; Assumptions'!$B$8/4,'I_Budget Input Data'!$D$43*0.2/('I_Inputs &amp; Assumptions'!$B$8/4),IF(25&lt;='I_Inputs &amp; Assumptions'!$B$8*0.75,'I_Budget Input Data'!$D$43*0.6/('I_Inputs &amp; Assumptions'!$B$8/2),'I_Budget Input Data'!$D$43*0.2/('I_Inputs &amp; Assumptions'!$B$8/4))),IF('I_Budget Input Data'!$E$43="At Completion",IF(25='I_Inputs &amp; Assumptions'!$B$8,'I_Budget Input Data'!$D$43,0),'I_Budget Input Data'!$D$43/'I_Inputs &amp; Assumptions'!$B$8)))))),0)</f>
        <v>0</v>
      </c>
      <c r="AB43" s="91">
        <f>IF(26&lt;='I_Inputs &amp; Assumptions'!$B$8,IF('I_Budget Input Data'!$E$43="Upfront",IF(26=1,'I_Budget Input Data'!$D$43,0),IF('I_Budget Input Data'!$E$43="Equal",'I_Budget Input Data'!$D$43/'I_Inputs &amp; Assumptions'!$B$8,IF('I_Budget Input Data'!$E$43="Front-loaded",IF(26&lt;='I_Inputs &amp; Assumptions'!$B$8/2,'I_Budget Input Data'!$D$43*0.6/('I_Inputs &amp; Assumptions'!$B$8/2),'I_Budget Input Data'!$D$43*0.4/('I_Inputs &amp; Assumptions'!$B$8/2)),IF('I_Budget Input Data'!$E$43="Back-loaded",IF(26&lt;='I_Inputs &amp; Assumptions'!$B$8/2,'I_Budget Input Data'!$D$43*0.4/('I_Inputs &amp; Assumptions'!$B$8/2),'I_Budget Input Data'!$D$43*0.6/('I_Inputs &amp; Assumptions'!$B$8/2)),IF('I_Budget Input Data'!$E$43="Mid-weighted",IF(26&lt;='I_Inputs &amp; Assumptions'!$B$8/4,'I_Budget Input Data'!$D$43*0.2/('I_Inputs &amp; Assumptions'!$B$8/4),IF(26&lt;='I_Inputs &amp; Assumptions'!$B$8*0.75,'I_Budget Input Data'!$D$43*0.6/('I_Inputs &amp; Assumptions'!$B$8/2),'I_Budget Input Data'!$D$43*0.2/('I_Inputs &amp; Assumptions'!$B$8/4))),IF('I_Budget Input Data'!$E$43="At Completion",IF(26='I_Inputs &amp; Assumptions'!$B$8,'I_Budget Input Data'!$D$43,0),'I_Budget Input Data'!$D$43/'I_Inputs &amp; Assumptions'!$B$8)))))),0)</f>
        <v>0</v>
      </c>
      <c r="AC43" s="91">
        <f>IF(27&lt;='I_Inputs &amp; Assumptions'!$B$8,IF('I_Budget Input Data'!$E$43="Upfront",IF(27=1,'I_Budget Input Data'!$D$43,0),IF('I_Budget Input Data'!$E$43="Equal",'I_Budget Input Data'!$D$43/'I_Inputs &amp; Assumptions'!$B$8,IF('I_Budget Input Data'!$E$43="Front-loaded",IF(27&lt;='I_Inputs &amp; Assumptions'!$B$8/2,'I_Budget Input Data'!$D$43*0.6/('I_Inputs &amp; Assumptions'!$B$8/2),'I_Budget Input Data'!$D$43*0.4/('I_Inputs &amp; Assumptions'!$B$8/2)),IF('I_Budget Input Data'!$E$43="Back-loaded",IF(27&lt;='I_Inputs &amp; Assumptions'!$B$8/2,'I_Budget Input Data'!$D$43*0.4/('I_Inputs &amp; Assumptions'!$B$8/2),'I_Budget Input Data'!$D$43*0.6/('I_Inputs &amp; Assumptions'!$B$8/2)),IF('I_Budget Input Data'!$E$43="Mid-weighted",IF(27&lt;='I_Inputs &amp; Assumptions'!$B$8/4,'I_Budget Input Data'!$D$43*0.2/('I_Inputs &amp; Assumptions'!$B$8/4),IF(27&lt;='I_Inputs &amp; Assumptions'!$B$8*0.75,'I_Budget Input Data'!$D$43*0.6/('I_Inputs &amp; Assumptions'!$B$8/2),'I_Budget Input Data'!$D$43*0.2/('I_Inputs &amp; Assumptions'!$B$8/4))),IF('I_Budget Input Data'!$E$43="At Completion",IF(27='I_Inputs &amp; Assumptions'!$B$8,'I_Budget Input Data'!$D$43,0),'I_Budget Input Data'!$D$43/'I_Inputs &amp; Assumptions'!$B$8)))))),0)</f>
        <v>0</v>
      </c>
      <c r="AD43" s="91">
        <f>IF(28&lt;='I_Inputs &amp; Assumptions'!$B$8,IF('I_Budget Input Data'!$E$43="Upfront",IF(28=1,'I_Budget Input Data'!$D$43,0),IF('I_Budget Input Data'!$E$43="Equal",'I_Budget Input Data'!$D$43/'I_Inputs &amp; Assumptions'!$B$8,IF('I_Budget Input Data'!$E$43="Front-loaded",IF(28&lt;='I_Inputs &amp; Assumptions'!$B$8/2,'I_Budget Input Data'!$D$43*0.6/('I_Inputs &amp; Assumptions'!$B$8/2),'I_Budget Input Data'!$D$43*0.4/('I_Inputs &amp; Assumptions'!$B$8/2)),IF('I_Budget Input Data'!$E$43="Back-loaded",IF(28&lt;='I_Inputs &amp; Assumptions'!$B$8/2,'I_Budget Input Data'!$D$43*0.4/('I_Inputs &amp; Assumptions'!$B$8/2),'I_Budget Input Data'!$D$43*0.6/('I_Inputs &amp; Assumptions'!$B$8/2)),IF('I_Budget Input Data'!$E$43="Mid-weighted",IF(28&lt;='I_Inputs &amp; Assumptions'!$B$8/4,'I_Budget Input Data'!$D$43*0.2/('I_Inputs &amp; Assumptions'!$B$8/4),IF(28&lt;='I_Inputs &amp; Assumptions'!$B$8*0.75,'I_Budget Input Data'!$D$43*0.6/('I_Inputs &amp; Assumptions'!$B$8/2),'I_Budget Input Data'!$D$43*0.2/('I_Inputs &amp; Assumptions'!$B$8/4))),IF('I_Budget Input Data'!$E$43="At Completion",IF(28='I_Inputs &amp; Assumptions'!$B$8,'I_Budget Input Data'!$D$43,0),'I_Budget Input Data'!$D$43/'I_Inputs &amp; Assumptions'!$B$8)))))),0)</f>
        <v>0</v>
      </c>
      <c r="AE43" s="91">
        <f>IF(29&lt;='I_Inputs &amp; Assumptions'!$B$8,IF('I_Budget Input Data'!$E$43="Upfront",IF(29=1,'I_Budget Input Data'!$D$43,0),IF('I_Budget Input Data'!$E$43="Equal",'I_Budget Input Data'!$D$43/'I_Inputs &amp; Assumptions'!$B$8,IF('I_Budget Input Data'!$E$43="Front-loaded",IF(29&lt;='I_Inputs &amp; Assumptions'!$B$8/2,'I_Budget Input Data'!$D$43*0.6/('I_Inputs &amp; Assumptions'!$B$8/2),'I_Budget Input Data'!$D$43*0.4/('I_Inputs &amp; Assumptions'!$B$8/2)),IF('I_Budget Input Data'!$E$43="Back-loaded",IF(29&lt;='I_Inputs &amp; Assumptions'!$B$8/2,'I_Budget Input Data'!$D$43*0.4/('I_Inputs &amp; Assumptions'!$B$8/2),'I_Budget Input Data'!$D$43*0.6/('I_Inputs &amp; Assumptions'!$B$8/2)),IF('I_Budget Input Data'!$E$43="Mid-weighted",IF(29&lt;='I_Inputs &amp; Assumptions'!$B$8/4,'I_Budget Input Data'!$D$43*0.2/('I_Inputs &amp; Assumptions'!$B$8/4),IF(29&lt;='I_Inputs &amp; Assumptions'!$B$8*0.75,'I_Budget Input Data'!$D$43*0.6/('I_Inputs &amp; Assumptions'!$B$8/2),'I_Budget Input Data'!$D$43*0.2/('I_Inputs &amp; Assumptions'!$B$8/4))),IF('I_Budget Input Data'!$E$43="At Completion",IF(29='I_Inputs &amp; Assumptions'!$B$8,'I_Budget Input Data'!$D$43,0),'I_Budget Input Data'!$D$43/'I_Inputs &amp; Assumptions'!$B$8)))))),0)</f>
        <v>0</v>
      </c>
      <c r="AF43" s="91">
        <f>IF(30&lt;='I_Inputs &amp; Assumptions'!$B$8,IF('I_Budget Input Data'!$E$43="Upfront",IF(30=1,'I_Budget Input Data'!$D$43,0),IF('I_Budget Input Data'!$E$43="Equal",'I_Budget Input Data'!$D$43/'I_Inputs &amp; Assumptions'!$B$8,IF('I_Budget Input Data'!$E$43="Front-loaded",IF(30&lt;='I_Inputs &amp; Assumptions'!$B$8/2,'I_Budget Input Data'!$D$43*0.6/('I_Inputs &amp; Assumptions'!$B$8/2),'I_Budget Input Data'!$D$43*0.4/('I_Inputs &amp; Assumptions'!$B$8/2)),IF('I_Budget Input Data'!$E$43="Back-loaded",IF(30&lt;='I_Inputs &amp; Assumptions'!$B$8/2,'I_Budget Input Data'!$D$43*0.4/('I_Inputs &amp; Assumptions'!$B$8/2),'I_Budget Input Data'!$D$43*0.6/('I_Inputs &amp; Assumptions'!$B$8/2)),IF('I_Budget Input Data'!$E$43="Mid-weighted",IF(30&lt;='I_Inputs &amp; Assumptions'!$B$8/4,'I_Budget Input Data'!$D$43*0.2/('I_Inputs &amp; Assumptions'!$B$8/4),IF(30&lt;='I_Inputs &amp; Assumptions'!$B$8*0.75,'I_Budget Input Data'!$D$43*0.6/('I_Inputs &amp; Assumptions'!$B$8/2),'I_Budget Input Data'!$D$43*0.2/('I_Inputs &amp; Assumptions'!$B$8/4))),IF('I_Budget Input Data'!$E$43="At Completion",IF(30='I_Inputs &amp; Assumptions'!$B$8,'I_Budget Input Data'!$D$43,0),'I_Budget Input Data'!$D$43/'I_Inputs &amp; Assumptions'!$B$8)))))),0)</f>
        <v>0</v>
      </c>
      <c r="AG43" s="91">
        <f>IF(31&lt;='I_Inputs &amp; Assumptions'!$B$8,IF('I_Budget Input Data'!$E$43="Upfront",IF(31=1,'I_Budget Input Data'!$D$43,0),IF('I_Budget Input Data'!$E$43="Equal",'I_Budget Input Data'!$D$43/'I_Inputs &amp; Assumptions'!$B$8,IF('I_Budget Input Data'!$E$43="Front-loaded",IF(31&lt;='I_Inputs &amp; Assumptions'!$B$8/2,'I_Budget Input Data'!$D$43*0.6/('I_Inputs &amp; Assumptions'!$B$8/2),'I_Budget Input Data'!$D$43*0.4/('I_Inputs &amp; Assumptions'!$B$8/2)),IF('I_Budget Input Data'!$E$43="Back-loaded",IF(31&lt;='I_Inputs &amp; Assumptions'!$B$8/2,'I_Budget Input Data'!$D$43*0.4/('I_Inputs &amp; Assumptions'!$B$8/2),'I_Budget Input Data'!$D$43*0.6/('I_Inputs &amp; Assumptions'!$B$8/2)),IF('I_Budget Input Data'!$E$43="Mid-weighted",IF(31&lt;='I_Inputs &amp; Assumptions'!$B$8/4,'I_Budget Input Data'!$D$43*0.2/('I_Inputs &amp; Assumptions'!$B$8/4),IF(31&lt;='I_Inputs &amp; Assumptions'!$B$8*0.75,'I_Budget Input Data'!$D$43*0.6/('I_Inputs &amp; Assumptions'!$B$8/2),'I_Budget Input Data'!$D$43*0.2/('I_Inputs &amp; Assumptions'!$B$8/4))),IF('I_Budget Input Data'!$E$43="At Completion",IF(31='I_Inputs &amp; Assumptions'!$B$8,'I_Budget Input Data'!$D$43,0),'I_Budget Input Data'!$D$43/'I_Inputs &amp; Assumptions'!$B$8)))))),0)</f>
        <v>0</v>
      </c>
      <c r="AH43" s="91">
        <f>IF(32&lt;='I_Inputs &amp; Assumptions'!$B$8,IF('I_Budget Input Data'!$E$43="Upfront",IF(32=1,'I_Budget Input Data'!$D$43,0),IF('I_Budget Input Data'!$E$43="Equal",'I_Budget Input Data'!$D$43/'I_Inputs &amp; Assumptions'!$B$8,IF('I_Budget Input Data'!$E$43="Front-loaded",IF(32&lt;='I_Inputs &amp; Assumptions'!$B$8/2,'I_Budget Input Data'!$D$43*0.6/('I_Inputs &amp; Assumptions'!$B$8/2),'I_Budget Input Data'!$D$43*0.4/('I_Inputs &amp; Assumptions'!$B$8/2)),IF('I_Budget Input Data'!$E$43="Back-loaded",IF(32&lt;='I_Inputs &amp; Assumptions'!$B$8/2,'I_Budget Input Data'!$D$43*0.4/('I_Inputs &amp; Assumptions'!$B$8/2),'I_Budget Input Data'!$D$43*0.6/('I_Inputs &amp; Assumptions'!$B$8/2)),IF('I_Budget Input Data'!$E$43="Mid-weighted",IF(32&lt;='I_Inputs &amp; Assumptions'!$B$8/4,'I_Budget Input Data'!$D$43*0.2/('I_Inputs &amp; Assumptions'!$B$8/4),IF(32&lt;='I_Inputs &amp; Assumptions'!$B$8*0.75,'I_Budget Input Data'!$D$43*0.6/('I_Inputs &amp; Assumptions'!$B$8/2),'I_Budget Input Data'!$D$43*0.2/('I_Inputs &amp; Assumptions'!$B$8/4))),IF('I_Budget Input Data'!$E$43="At Completion",IF(32='I_Inputs &amp; Assumptions'!$B$8,'I_Budget Input Data'!$D$43,0),'I_Budget Input Data'!$D$43/'I_Inputs &amp; Assumptions'!$B$8)))))),0)</f>
        <v>0</v>
      </c>
      <c r="AI43" s="91">
        <f>IF(33&lt;='I_Inputs &amp; Assumptions'!$B$8,IF('I_Budget Input Data'!$E$43="Upfront",IF(33=1,'I_Budget Input Data'!$D$43,0),IF('I_Budget Input Data'!$E$43="Equal",'I_Budget Input Data'!$D$43/'I_Inputs &amp; Assumptions'!$B$8,IF('I_Budget Input Data'!$E$43="Front-loaded",IF(33&lt;='I_Inputs &amp; Assumptions'!$B$8/2,'I_Budget Input Data'!$D$43*0.6/('I_Inputs &amp; Assumptions'!$B$8/2),'I_Budget Input Data'!$D$43*0.4/('I_Inputs &amp; Assumptions'!$B$8/2)),IF('I_Budget Input Data'!$E$43="Back-loaded",IF(33&lt;='I_Inputs &amp; Assumptions'!$B$8/2,'I_Budget Input Data'!$D$43*0.4/('I_Inputs &amp; Assumptions'!$B$8/2),'I_Budget Input Data'!$D$43*0.6/('I_Inputs &amp; Assumptions'!$B$8/2)),IF('I_Budget Input Data'!$E$43="Mid-weighted",IF(33&lt;='I_Inputs &amp; Assumptions'!$B$8/4,'I_Budget Input Data'!$D$43*0.2/('I_Inputs &amp; Assumptions'!$B$8/4),IF(33&lt;='I_Inputs &amp; Assumptions'!$B$8*0.75,'I_Budget Input Data'!$D$43*0.6/('I_Inputs &amp; Assumptions'!$B$8/2),'I_Budget Input Data'!$D$43*0.2/('I_Inputs &amp; Assumptions'!$B$8/4))),IF('I_Budget Input Data'!$E$43="At Completion",IF(33='I_Inputs &amp; Assumptions'!$B$8,'I_Budget Input Data'!$D$43,0),'I_Budget Input Data'!$D$43/'I_Inputs &amp; Assumptions'!$B$8)))))),0)</f>
        <v>0</v>
      </c>
      <c r="AJ43" s="91">
        <f>IF(34&lt;='I_Inputs &amp; Assumptions'!$B$8,IF('I_Budget Input Data'!$E$43="Upfront",IF(34=1,'I_Budget Input Data'!$D$43,0),IF('I_Budget Input Data'!$E$43="Equal",'I_Budget Input Data'!$D$43/'I_Inputs &amp; Assumptions'!$B$8,IF('I_Budget Input Data'!$E$43="Front-loaded",IF(34&lt;='I_Inputs &amp; Assumptions'!$B$8/2,'I_Budget Input Data'!$D$43*0.6/('I_Inputs &amp; Assumptions'!$B$8/2),'I_Budget Input Data'!$D$43*0.4/('I_Inputs &amp; Assumptions'!$B$8/2)),IF('I_Budget Input Data'!$E$43="Back-loaded",IF(34&lt;='I_Inputs &amp; Assumptions'!$B$8/2,'I_Budget Input Data'!$D$43*0.4/('I_Inputs &amp; Assumptions'!$B$8/2),'I_Budget Input Data'!$D$43*0.6/('I_Inputs &amp; Assumptions'!$B$8/2)),IF('I_Budget Input Data'!$E$43="Mid-weighted",IF(34&lt;='I_Inputs &amp; Assumptions'!$B$8/4,'I_Budget Input Data'!$D$43*0.2/('I_Inputs &amp; Assumptions'!$B$8/4),IF(34&lt;='I_Inputs &amp; Assumptions'!$B$8*0.75,'I_Budget Input Data'!$D$43*0.6/('I_Inputs &amp; Assumptions'!$B$8/2),'I_Budget Input Data'!$D$43*0.2/('I_Inputs &amp; Assumptions'!$B$8/4))),IF('I_Budget Input Data'!$E$43="At Completion",IF(34='I_Inputs &amp; Assumptions'!$B$8,'I_Budget Input Data'!$D$43,0),'I_Budget Input Data'!$D$43/'I_Inputs &amp; Assumptions'!$B$8)))))),0)</f>
        <v>0</v>
      </c>
      <c r="AK43" s="91">
        <f>IF(35&lt;='I_Inputs &amp; Assumptions'!$B$8,IF('I_Budget Input Data'!$E$43="Upfront",IF(35=1,'I_Budget Input Data'!$D$43,0),IF('I_Budget Input Data'!$E$43="Equal",'I_Budget Input Data'!$D$43/'I_Inputs &amp; Assumptions'!$B$8,IF('I_Budget Input Data'!$E$43="Front-loaded",IF(35&lt;='I_Inputs &amp; Assumptions'!$B$8/2,'I_Budget Input Data'!$D$43*0.6/('I_Inputs &amp; Assumptions'!$B$8/2),'I_Budget Input Data'!$D$43*0.4/('I_Inputs &amp; Assumptions'!$B$8/2)),IF('I_Budget Input Data'!$E$43="Back-loaded",IF(35&lt;='I_Inputs &amp; Assumptions'!$B$8/2,'I_Budget Input Data'!$D$43*0.4/('I_Inputs &amp; Assumptions'!$B$8/2),'I_Budget Input Data'!$D$43*0.6/('I_Inputs &amp; Assumptions'!$B$8/2)),IF('I_Budget Input Data'!$E$43="Mid-weighted",IF(35&lt;='I_Inputs &amp; Assumptions'!$B$8/4,'I_Budget Input Data'!$D$43*0.2/('I_Inputs &amp; Assumptions'!$B$8/4),IF(35&lt;='I_Inputs &amp; Assumptions'!$B$8*0.75,'I_Budget Input Data'!$D$43*0.6/('I_Inputs &amp; Assumptions'!$B$8/2),'I_Budget Input Data'!$D$43*0.2/('I_Inputs &amp; Assumptions'!$B$8/4))),IF('I_Budget Input Data'!$E$43="At Completion",IF(35='I_Inputs &amp; Assumptions'!$B$8,'I_Budget Input Data'!$D$43,0),'I_Budget Input Data'!$D$43/'I_Inputs &amp; Assumptions'!$B$8)))))),0)</f>
        <v>0</v>
      </c>
      <c r="AL43" s="91">
        <f>IF(36&lt;='I_Inputs &amp; Assumptions'!$B$8,IF('I_Budget Input Data'!$E$43="Upfront",IF(36=1,'I_Budget Input Data'!$D$43,0),IF('I_Budget Input Data'!$E$43="Equal",'I_Budget Input Data'!$D$43/'I_Inputs &amp; Assumptions'!$B$8,IF('I_Budget Input Data'!$E$43="Front-loaded",IF(36&lt;='I_Inputs &amp; Assumptions'!$B$8/2,'I_Budget Input Data'!$D$43*0.6/('I_Inputs &amp; Assumptions'!$B$8/2),'I_Budget Input Data'!$D$43*0.4/('I_Inputs &amp; Assumptions'!$B$8/2)),IF('I_Budget Input Data'!$E$43="Back-loaded",IF(36&lt;='I_Inputs &amp; Assumptions'!$B$8/2,'I_Budget Input Data'!$D$43*0.4/('I_Inputs &amp; Assumptions'!$B$8/2),'I_Budget Input Data'!$D$43*0.6/('I_Inputs &amp; Assumptions'!$B$8/2)),IF('I_Budget Input Data'!$E$43="Mid-weighted",IF(36&lt;='I_Inputs &amp; Assumptions'!$B$8/4,'I_Budget Input Data'!$D$43*0.2/('I_Inputs &amp; Assumptions'!$B$8/4),IF(36&lt;='I_Inputs &amp; Assumptions'!$B$8*0.75,'I_Budget Input Data'!$D$43*0.6/('I_Inputs &amp; Assumptions'!$B$8/2),'I_Budget Input Data'!$D$43*0.2/('I_Inputs &amp; Assumptions'!$B$8/4))),IF('I_Budget Input Data'!$E$43="At Completion",IF(36='I_Inputs &amp; Assumptions'!$B$8,'I_Budget Input Data'!$D$43,0),'I_Budget Input Data'!$D$43/'I_Inputs &amp; Assumptions'!$B$8)))))),0)</f>
        <v>0</v>
      </c>
    </row>
    <row r="44" spans="1:38" ht="15" customHeight="1" x14ac:dyDescent="0.2">
      <c r="A44" t="s">
        <v>146</v>
      </c>
      <c r="B44" t="s">
        <v>165</v>
      </c>
      <c r="C44" s="91">
        <f>IF(1&lt;='I_Inputs &amp; Assumptions'!$B$8,IF('I_Budget Input Data'!$E$44="Upfront",IF(1=1,'I_Budget Input Data'!$D$44,0),IF('I_Budget Input Data'!$E$44="Equal",'I_Budget Input Data'!$D$44/'I_Inputs &amp; Assumptions'!$B$8,IF('I_Budget Input Data'!$E$44="Front-loaded",IF(1&lt;='I_Inputs &amp; Assumptions'!$B$8/2,'I_Budget Input Data'!$D$44*0.6/('I_Inputs &amp; Assumptions'!$B$8/2),'I_Budget Input Data'!$D$44*0.4/('I_Inputs &amp; Assumptions'!$B$8/2)),IF('I_Budget Input Data'!$E$44="Back-loaded",IF(1&lt;='I_Inputs &amp; Assumptions'!$B$8/2,'I_Budget Input Data'!$D$44*0.4/('I_Inputs &amp; Assumptions'!$B$8/2),'I_Budget Input Data'!$D$44*0.6/('I_Inputs &amp; Assumptions'!$B$8/2)),IF('I_Budget Input Data'!$E$44="Mid-weighted",IF(1&lt;='I_Inputs &amp; Assumptions'!$B$8/4,'I_Budget Input Data'!$D$44*0.2/('I_Inputs &amp; Assumptions'!$B$8/4),IF(1&lt;='I_Inputs &amp; Assumptions'!$B$8*0.75,'I_Budget Input Data'!$D$44*0.6/('I_Inputs &amp; Assumptions'!$B$8/2),'I_Budget Input Data'!$D$44*0.2/('I_Inputs &amp; Assumptions'!$B$8/4))),IF('I_Budget Input Data'!$E$44="At Completion",IF(1='I_Inputs &amp; Assumptions'!$B$8,'I_Budget Input Data'!$D$44,0),'I_Budget Input Data'!$D$44/'I_Inputs &amp; Assumptions'!$B$8)))))),0)</f>
        <v>3961.5384615384614</v>
      </c>
      <c r="D44" s="91">
        <f>IF(2&lt;='I_Inputs &amp; Assumptions'!$B$8,IF('I_Budget Input Data'!$E$44="Upfront",IF(2=1,'I_Budget Input Data'!$D$44,0),IF('I_Budget Input Data'!$E$44="Equal",'I_Budget Input Data'!$D$44/'I_Inputs &amp; Assumptions'!$B$8,IF('I_Budget Input Data'!$E$44="Front-loaded",IF(2&lt;='I_Inputs &amp; Assumptions'!$B$8/2,'I_Budget Input Data'!$D$44*0.6/('I_Inputs &amp; Assumptions'!$B$8/2),'I_Budget Input Data'!$D$44*0.4/('I_Inputs &amp; Assumptions'!$B$8/2)),IF('I_Budget Input Data'!$E$44="Back-loaded",IF(2&lt;='I_Inputs &amp; Assumptions'!$B$8/2,'I_Budget Input Data'!$D$44*0.4/('I_Inputs &amp; Assumptions'!$B$8/2),'I_Budget Input Data'!$D$44*0.6/('I_Inputs &amp; Assumptions'!$B$8/2)),IF('I_Budget Input Data'!$E$44="Mid-weighted",IF(2&lt;='I_Inputs &amp; Assumptions'!$B$8/4,'I_Budget Input Data'!$D$44*0.2/('I_Inputs &amp; Assumptions'!$B$8/4),IF(2&lt;='I_Inputs &amp; Assumptions'!$B$8*0.75,'I_Budget Input Data'!$D$44*0.6/('I_Inputs &amp; Assumptions'!$B$8/2),'I_Budget Input Data'!$D$44*0.2/('I_Inputs &amp; Assumptions'!$B$8/4))),IF('I_Budget Input Data'!$E$44="At Completion",IF(2='I_Inputs &amp; Assumptions'!$B$8,'I_Budget Input Data'!$D$44,0),'I_Budget Input Data'!$D$44/'I_Inputs &amp; Assumptions'!$B$8)))))),0)</f>
        <v>3961.5384615384614</v>
      </c>
      <c r="E44" s="91">
        <f>IF(3&lt;='I_Inputs &amp; Assumptions'!$B$8,IF('I_Budget Input Data'!$E$44="Upfront",IF(3=1,'I_Budget Input Data'!$D$44,0),IF('I_Budget Input Data'!$E$44="Equal",'I_Budget Input Data'!$D$44/'I_Inputs &amp; Assumptions'!$B$8,IF('I_Budget Input Data'!$E$44="Front-loaded",IF(3&lt;='I_Inputs &amp; Assumptions'!$B$8/2,'I_Budget Input Data'!$D$44*0.6/('I_Inputs &amp; Assumptions'!$B$8/2),'I_Budget Input Data'!$D$44*0.4/('I_Inputs &amp; Assumptions'!$B$8/2)),IF('I_Budget Input Data'!$E$44="Back-loaded",IF(3&lt;='I_Inputs &amp; Assumptions'!$B$8/2,'I_Budget Input Data'!$D$44*0.4/('I_Inputs &amp; Assumptions'!$B$8/2),'I_Budget Input Data'!$D$44*0.6/('I_Inputs &amp; Assumptions'!$B$8/2)),IF('I_Budget Input Data'!$E$44="Mid-weighted",IF(3&lt;='I_Inputs &amp; Assumptions'!$B$8/4,'I_Budget Input Data'!$D$44*0.2/('I_Inputs &amp; Assumptions'!$B$8/4),IF(3&lt;='I_Inputs &amp; Assumptions'!$B$8*0.75,'I_Budget Input Data'!$D$44*0.6/('I_Inputs &amp; Assumptions'!$B$8/2),'I_Budget Input Data'!$D$44*0.2/('I_Inputs &amp; Assumptions'!$B$8/4))),IF('I_Budget Input Data'!$E$44="At Completion",IF(3='I_Inputs &amp; Assumptions'!$B$8,'I_Budget Input Data'!$D$44,0),'I_Budget Input Data'!$D$44/'I_Inputs &amp; Assumptions'!$B$8)))))),0)</f>
        <v>3961.5384615384614</v>
      </c>
      <c r="F44" s="91">
        <f>IF(4&lt;='I_Inputs &amp; Assumptions'!$B$8,IF('I_Budget Input Data'!$E$44="Upfront",IF(4=1,'I_Budget Input Data'!$D$44,0),IF('I_Budget Input Data'!$E$44="Equal",'I_Budget Input Data'!$D$44/'I_Inputs &amp; Assumptions'!$B$8,IF('I_Budget Input Data'!$E$44="Front-loaded",IF(4&lt;='I_Inputs &amp; Assumptions'!$B$8/2,'I_Budget Input Data'!$D$44*0.6/('I_Inputs &amp; Assumptions'!$B$8/2),'I_Budget Input Data'!$D$44*0.4/('I_Inputs &amp; Assumptions'!$B$8/2)),IF('I_Budget Input Data'!$E$44="Back-loaded",IF(4&lt;='I_Inputs &amp; Assumptions'!$B$8/2,'I_Budget Input Data'!$D$44*0.4/('I_Inputs &amp; Assumptions'!$B$8/2),'I_Budget Input Data'!$D$44*0.6/('I_Inputs &amp; Assumptions'!$B$8/2)),IF('I_Budget Input Data'!$E$44="Mid-weighted",IF(4&lt;='I_Inputs &amp; Assumptions'!$B$8/4,'I_Budget Input Data'!$D$44*0.2/('I_Inputs &amp; Assumptions'!$B$8/4),IF(4&lt;='I_Inputs &amp; Assumptions'!$B$8*0.75,'I_Budget Input Data'!$D$44*0.6/('I_Inputs &amp; Assumptions'!$B$8/2),'I_Budget Input Data'!$D$44*0.2/('I_Inputs &amp; Assumptions'!$B$8/4))),IF('I_Budget Input Data'!$E$44="At Completion",IF(4='I_Inputs &amp; Assumptions'!$B$8,'I_Budget Input Data'!$D$44,0),'I_Budget Input Data'!$D$44/'I_Inputs &amp; Assumptions'!$B$8)))))),0)</f>
        <v>3961.5384615384614</v>
      </c>
      <c r="G44" s="91">
        <f>IF(5&lt;='I_Inputs &amp; Assumptions'!$B$8,IF('I_Budget Input Data'!$E$44="Upfront",IF(5=1,'I_Budget Input Data'!$D$44,0),IF('I_Budget Input Data'!$E$44="Equal",'I_Budget Input Data'!$D$44/'I_Inputs &amp; Assumptions'!$B$8,IF('I_Budget Input Data'!$E$44="Front-loaded",IF(5&lt;='I_Inputs &amp; Assumptions'!$B$8/2,'I_Budget Input Data'!$D$44*0.6/('I_Inputs &amp; Assumptions'!$B$8/2),'I_Budget Input Data'!$D$44*0.4/('I_Inputs &amp; Assumptions'!$B$8/2)),IF('I_Budget Input Data'!$E$44="Back-loaded",IF(5&lt;='I_Inputs &amp; Assumptions'!$B$8/2,'I_Budget Input Data'!$D$44*0.4/('I_Inputs &amp; Assumptions'!$B$8/2),'I_Budget Input Data'!$D$44*0.6/('I_Inputs &amp; Assumptions'!$B$8/2)),IF('I_Budget Input Data'!$E$44="Mid-weighted",IF(5&lt;='I_Inputs &amp; Assumptions'!$B$8/4,'I_Budget Input Data'!$D$44*0.2/('I_Inputs &amp; Assumptions'!$B$8/4),IF(5&lt;='I_Inputs &amp; Assumptions'!$B$8*0.75,'I_Budget Input Data'!$D$44*0.6/('I_Inputs &amp; Assumptions'!$B$8/2),'I_Budget Input Data'!$D$44*0.2/('I_Inputs &amp; Assumptions'!$B$8/4))),IF('I_Budget Input Data'!$E$44="At Completion",IF(5='I_Inputs &amp; Assumptions'!$B$8,'I_Budget Input Data'!$D$44,0),'I_Budget Input Data'!$D$44/'I_Inputs &amp; Assumptions'!$B$8)))))),0)</f>
        <v>3961.5384615384614</v>
      </c>
      <c r="H44" s="91">
        <f>IF(6&lt;='I_Inputs &amp; Assumptions'!$B$8,IF('I_Budget Input Data'!$E$44="Upfront",IF(6=1,'I_Budget Input Data'!$D$44,0),IF('I_Budget Input Data'!$E$44="Equal",'I_Budget Input Data'!$D$44/'I_Inputs &amp; Assumptions'!$B$8,IF('I_Budget Input Data'!$E$44="Front-loaded",IF(6&lt;='I_Inputs &amp; Assumptions'!$B$8/2,'I_Budget Input Data'!$D$44*0.6/('I_Inputs &amp; Assumptions'!$B$8/2),'I_Budget Input Data'!$D$44*0.4/('I_Inputs &amp; Assumptions'!$B$8/2)),IF('I_Budget Input Data'!$E$44="Back-loaded",IF(6&lt;='I_Inputs &amp; Assumptions'!$B$8/2,'I_Budget Input Data'!$D$44*0.4/('I_Inputs &amp; Assumptions'!$B$8/2),'I_Budget Input Data'!$D$44*0.6/('I_Inputs &amp; Assumptions'!$B$8/2)),IF('I_Budget Input Data'!$E$44="Mid-weighted",IF(6&lt;='I_Inputs &amp; Assumptions'!$B$8/4,'I_Budget Input Data'!$D$44*0.2/('I_Inputs &amp; Assumptions'!$B$8/4),IF(6&lt;='I_Inputs &amp; Assumptions'!$B$8*0.75,'I_Budget Input Data'!$D$44*0.6/('I_Inputs &amp; Assumptions'!$B$8/2),'I_Budget Input Data'!$D$44*0.2/('I_Inputs &amp; Assumptions'!$B$8/4))),IF('I_Budget Input Data'!$E$44="At Completion",IF(6='I_Inputs &amp; Assumptions'!$B$8,'I_Budget Input Data'!$D$44,0),'I_Budget Input Data'!$D$44/'I_Inputs &amp; Assumptions'!$B$8)))))),0)</f>
        <v>3961.5384615384614</v>
      </c>
      <c r="I44" s="91">
        <f>IF(7&lt;='I_Inputs &amp; Assumptions'!$B$8,IF('I_Budget Input Data'!$E$44="Upfront",IF(7=1,'I_Budget Input Data'!$D$44,0),IF('I_Budget Input Data'!$E$44="Equal",'I_Budget Input Data'!$D$44/'I_Inputs &amp; Assumptions'!$B$8,IF('I_Budget Input Data'!$E$44="Front-loaded",IF(7&lt;='I_Inputs &amp; Assumptions'!$B$8/2,'I_Budget Input Data'!$D$44*0.6/('I_Inputs &amp; Assumptions'!$B$8/2),'I_Budget Input Data'!$D$44*0.4/('I_Inputs &amp; Assumptions'!$B$8/2)),IF('I_Budget Input Data'!$E$44="Back-loaded",IF(7&lt;='I_Inputs &amp; Assumptions'!$B$8/2,'I_Budget Input Data'!$D$44*0.4/('I_Inputs &amp; Assumptions'!$B$8/2),'I_Budget Input Data'!$D$44*0.6/('I_Inputs &amp; Assumptions'!$B$8/2)),IF('I_Budget Input Data'!$E$44="Mid-weighted",IF(7&lt;='I_Inputs &amp; Assumptions'!$B$8/4,'I_Budget Input Data'!$D$44*0.2/('I_Inputs &amp; Assumptions'!$B$8/4),IF(7&lt;='I_Inputs &amp; Assumptions'!$B$8*0.75,'I_Budget Input Data'!$D$44*0.6/('I_Inputs &amp; Assumptions'!$B$8/2),'I_Budget Input Data'!$D$44*0.2/('I_Inputs &amp; Assumptions'!$B$8/4))),IF('I_Budget Input Data'!$E$44="At Completion",IF(7='I_Inputs &amp; Assumptions'!$B$8,'I_Budget Input Data'!$D$44,0),'I_Budget Input Data'!$D$44/'I_Inputs &amp; Assumptions'!$B$8)))))),0)</f>
        <v>3961.5384615384614</v>
      </c>
      <c r="J44" s="91">
        <f>IF(8&lt;='I_Inputs &amp; Assumptions'!$B$8,IF('I_Budget Input Data'!$E$44="Upfront",IF(8=1,'I_Budget Input Data'!$D$44,0),IF('I_Budget Input Data'!$E$44="Equal",'I_Budget Input Data'!$D$44/'I_Inputs &amp; Assumptions'!$B$8,IF('I_Budget Input Data'!$E$44="Front-loaded",IF(8&lt;='I_Inputs &amp; Assumptions'!$B$8/2,'I_Budget Input Data'!$D$44*0.6/('I_Inputs &amp; Assumptions'!$B$8/2),'I_Budget Input Data'!$D$44*0.4/('I_Inputs &amp; Assumptions'!$B$8/2)),IF('I_Budget Input Data'!$E$44="Back-loaded",IF(8&lt;='I_Inputs &amp; Assumptions'!$B$8/2,'I_Budget Input Data'!$D$44*0.4/('I_Inputs &amp; Assumptions'!$B$8/2),'I_Budget Input Data'!$D$44*0.6/('I_Inputs &amp; Assumptions'!$B$8/2)),IF('I_Budget Input Data'!$E$44="Mid-weighted",IF(8&lt;='I_Inputs &amp; Assumptions'!$B$8/4,'I_Budget Input Data'!$D$44*0.2/('I_Inputs &amp; Assumptions'!$B$8/4),IF(8&lt;='I_Inputs &amp; Assumptions'!$B$8*0.75,'I_Budget Input Data'!$D$44*0.6/('I_Inputs &amp; Assumptions'!$B$8/2),'I_Budget Input Data'!$D$44*0.2/('I_Inputs &amp; Assumptions'!$B$8/4))),IF('I_Budget Input Data'!$E$44="At Completion",IF(8='I_Inputs &amp; Assumptions'!$B$8,'I_Budget Input Data'!$D$44,0),'I_Budget Input Data'!$D$44/'I_Inputs &amp; Assumptions'!$B$8)))))),0)</f>
        <v>3961.5384615384614</v>
      </c>
      <c r="K44" s="91">
        <f>IF(9&lt;='I_Inputs &amp; Assumptions'!$B$8,IF('I_Budget Input Data'!$E$44="Upfront",IF(9=1,'I_Budget Input Data'!$D$44,0),IF('I_Budget Input Data'!$E$44="Equal",'I_Budget Input Data'!$D$44/'I_Inputs &amp; Assumptions'!$B$8,IF('I_Budget Input Data'!$E$44="Front-loaded",IF(9&lt;='I_Inputs &amp; Assumptions'!$B$8/2,'I_Budget Input Data'!$D$44*0.6/('I_Inputs &amp; Assumptions'!$B$8/2),'I_Budget Input Data'!$D$44*0.4/('I_Inputs &amp; Assumptions'!$B$8/2)),IF('I_Budget Input Data'!$E$44="Back-loaded",IF(9&lt;='I_Inputs &amp; Assumptions'!$B$8/2,'I_Budget Input Data'!$D$44*0.4/('I_Inputs &amp; Assumptions'!$B$8/2),'I_Budget Input Data'!$D$44*0.6/('I_Inputs &amp; Assumptions'!$B$8/2)),IF('I_Budget Input Data'!$E$44="Mid-weighted",IF(9&lt;='I_Inputs &amp; Assumptions'!$B$8/4,'I_Budget Input Data'!$D$44*0.2/('I_Inputs &amp; Assumptions'!$B$8/4),IF(9&lt;='I_Inputs &amp; Assumptions'!$B$8*0.75,'I_Budget Input Data'!$D$44*0.6/('I_Inputs &amp; Assumptions'!$B$8/2),'I_Budget Input Data'!$D$44*0.2/('I_Inputs &amp; Assumptions'!$B$8/4))),IF('I_Budget Input Data'!$E$44="At Completion",IF(9='I_Inputs &amp; Assumptions'!$B$8,'I_Budget Input Data'!$D$44,0),'I_Budget Input Data'!$D$44/'I_Inputs &amp; Assumptions'!$B$8)))))),0)</f>
        <v>3961.5384615384614</v>
      </c>
      <c r="L44" s="91">
        <f>IF(10&lt;='I_Inputs &amp; Assumptions'!$B$8,IF('I_Budget Input Data'!$E$44="Upfront",IF(10=1,'I_Budget Input Data'!$D$44,0),IF('I_Budget Input Data'!$E$44="Equal",'I_Budget Input Data'!$D$44/'I_Inputs &amp; Assumptions'!$B$8,IF('I_Budget Input Data'!$E$44="Front-loaded",IF(10&lt;='I_Inputs &amp; Assumptions'!$B$8/2,'I_Budget Input Data'!$D$44*0.6/('I_Inputs &amp; Assumptions'!$B$8/2),'I_Budget Input Data'!$D$44*0.4/('I_Inputs &amp; Assumptions'!$B$8/2)),IF('I_Budget Input Data'!$E$44="Back-loaded",IF(10&lt;='I_Inputs &amp; Assumptions'!$B$8/2,'I_Budget Input Data'!$D$44*0.4/('I_Inputs &amp; Assumptions'!$B$8/2),'I_Budget Input Data'!$D$44*0.6/('I_Inputs &amp; Assumptions'!$B$8/2)),IF('I_Budget Input Data'!$E$44="Mid-weighted",IF(10&lt;='I_Inputs &amp; Assumptions'!$B$8/4,'I_Budget Input Data'!$D$44*0.2/('I_Inputs &amp; Assumptions'!$B$8/4),IF(10&lt;='I_Inputs &amp; Assumptions'!$B$8*0.75,'I_Budget Input Data'!$D$44*0.6/('I_Inputs &amp; Assumptions'!$B$8/2),'I_Budget Input Data'!$D$44*0.2/('I_Inputs &amp; Assumptions'!$B$8/4))),IF('I_Budget Input Data'!$E$44="At Completion",IF(10='I_Inputs &amp; Assumptions'!$B$8,'I_Budget Input Data'!$D$44,0),'I_Budget Input Data'!$D$44/'I_Inputs &amp; Assumptions'!$B$8)))))),0)</f>
        <v>3961.5384615384614</v>
      </c>
      <c r="M44" s="91">
        <f>IF(11&lt;='I_Inputs &amp; Assumptions'!$B$8,IF('I_Budget Input Data'!$E$44="Upfront",IF(11=1,'I_Budget Input Data'!$D$44,0),IF('I_Budget Input Data'!$E$44="Equal",'I_Budget Input Data'!$D$44/'I_Inputs &amp; Assumptions'!$B$8,IF('I_Budget Input Data'!$E$44="Front-loaded",IF(11&lt;='I_Inputs &amp; Assumptions'!$B$8/2,'I_Budget Input Data'!$D$44*0.6/('I_Inputs &amp; Assumptions'!$B$8/2),'I_Budget Input Data'!$D$44*0.4/('I_Inputs &amp; Assumptions'!$B$8/2)),IF('I_Budget Input Data'!$E$44="Back-loaded",IF(11&lt;='I_Inputs &amp; Assumptions'!$B$8/2,'I_Budget Input Data'!$D$44*0.4/('I_Inputs &amp; Assumptions'!$B$8/2),'I_Budget Input Data'!$D$44*0.6/('I_Inputs &amp; Assumptions'!$B$8/2)),IF('I_Budget Input Data'!$E$44="Mid-weighted",IF(11&lt;='I_Inputs &amp; Assumptions'!$B$8/4,'I_Budget Input Data'!$D$44*0.2/('I_Inputs &amp; Assumptions'!$B$8/4),IF(11&lt;='I_Inputs &amp; Assumptions'!$B$8*0.75,'I_Budget Input Data'!$D$44*0.6/('I_Inputs &amp; Assumptions'!$B$8/2),'I_Budget Input Data'!$D$44*0.2/('I_Inputs &amp; Assumptions'!$B$8/4))),IF('I_Budget Input Data'!$E$44="At Completion",IF(11='I_Inputs &amp; Assumptions'!$B$8,'I_Budget Input Data'!$D$44,0),'I_Budget Input Data'!$D$44/'I_Inputs &amp; Assumptions'!$B$8)))))),0)</f>
        <v>3961.5384615384614</v>
      </c>
      <c r="N44" s="91">
        <f>IF(12&lt;='I_Inputs &amp; Assumptions'!$B$8,IF('I_Budget Input Data'!$E$44="Upfront",IF(12=1,'I_Budget Input Data'!$D$44,0),IF('I_Budget Input Data'!$E$44="Equal",'I_Budget Input Data'!$D$44/'I_Inputs &amp; Assumptions'!$B$8,IF('I_Budget Input Data'!$E$44="Front-loaded",IF(12&lt;='I_Inputs &amp; Assumptions'!$B$8/2,'I_Budget Input Data'!$D$44*0.6/('I_Inputs &amp; Assumptions'!$B$8/2),'I_Budget Input Data'!$D$44*0.4/('I_Inputs &amp; Assumptions'!$B$8/2)),IF('I_Budget Input Data'!$E$44="Back-loaded",IF(12&lt;='I_Inputs &amp; Assumptions'!$B$8/2,'I_Budget Input Data'!$D$44*0.4/('I_Inputs &amp; Assumptions'!$B$8/2),'I_Budget Input Data'!$D$44*0.6/('I_Inputs &amp; Assumptions'!$B$8/2)),IF('I_Budget Input Data'!$E$44="Mid-weighted",IF(12&lt;='I_Inputs &amp; Assumptions'!$B$8/4,'I_Budget Input Data'!$D$44*0.2/('I_Inputs &amp; Assumptions'!$B$8/4),IF(12&lt;='I_Inputs &amp; Assumptions'!$B$8*0.75,'I_Budget Input Data'!$D$44*0.6/('I_Inputs &amp; Assumptions'!$B$8/2),'I_Budget Input Data'!$D$44*0.2/('I_Inputs &amp; Assumptions'!$B$8/4))),IF('I_Budget Input Data'!$E$44="At Completion",IF(12='I_Inputs &amp; Assumptions'!$B$8,'I_Budget Input Data'!$D$44,0),'I_Budget Input Data'!$D$44/'I_Inputs &amp; Assumptions'!$B$8)))))),0)</f>
        <v>3961.5384615384614</v>
      </c>
      <c r="O44" s="91">
        <f>IF(13&lt;='I_Inputs &amp; Assumptions'!$B$8,IF('I_Budget Input Data'!$E$44="Upfront",IF(13=1,'I_Budget Input Data'!$D$44,0),IF('I_Budget Input Data'!$E$44="Equal",'I_Budget Input Data'!$D$44/'I_Inputs &amp; Assumptions'!$B$8,IF('I_Budget Input Data'!$E$44="Front-loaded",IF(13&lt;='I_Inputs &amp; Assumptions'!$B$8/2,'I_Budget Input Data'!$D$44*0.6/('I_Inputs &amp; Assumptions'!$B$8/2),'I_Budget Input Data'!$D$44*0.4/('I_Inputs &amp; Assumptions'!$B$8/2)),IF('I_Budget Input Data'!$E$44="Back-loaded",IF(13&lt;='I_Inputs &amp; Assumptions'!$B$8/2,'I_Budget Input Data'!$D$44*0.4/('I_Inputs &amp; Assumptions'!$B$8/2),'I_Budget Input Data'!$D$44*0.6/('I_Inputs &amp; Assumptions'!$B$8/2)),IF('I_Budget Input Data'!$E$44="Mid-weighted",IF(13&lt;='I_Inputs &amp; Assumptions'!$B$8/4,'I_Budget Input Data'!$D$44*0.2/('I_Inputs &amp; Assumptions'!$B$8/4),IF(13&lt;='I_Inputs &amp; Assumptions'!$B$8*0.75,'I_Budget Input Data'!$D$44*0.6/('I_Inputs &amp; Assumptions'!$B$8/2),'I_Budget Input Data'!$D$44*0.2/('I_Inputs &amp; Assumptions'!$B$8/4))),IF('I_Budget Input Data'!$E$44="At Completion",IF(13='I_Inputs &amp; Assumptions'!$B$8,'I_Budget Input Data'!$D$44,0),'I_Budget Input Data'!$D$44/'I_Inputs &amp; Assumptions'!$B$8)))))),0)</f>
        <v>3961.5384615384614</v>
      </c>
      <c r="P44" s="91">
        <f>IF(14&lt;='I_Inputs &amp; Assumptions'!$B$8,IF('I_Budget Input Data'!$E$44="Upfront",IF(14=1,'I_Budget Input Data'!$D$44,0),IF('I_Budget Input Data'!$E$44="Equal",'I_Budget Input Data'!$D$44/'I_Inputs &amp; Assumptions'!$B$8,IF('I_Budget Input Data'!$E$44="Front-loaded",IF(14&lt;='I_Inputs &amp; Assumptions'!$B$8/2,'I_Budget Input Data'!$D$44*0.6/('I_Inputs &amp; Assumptions'!$B$8/2),'I_Budget Input Data'!$D$44*0.4/('I_Inputs &amp; Assumptions'!$B$8/2)),IF('I_Budget Input Data'!$E$44="Back-loaded",IF(14&lt;='I_Inputs &amp; Assumptions'!$B$8/2,'I_Budget Input Data'!$D$44*0.4/('I_Inputs &amp; Assumptions'!$B$8/2),'I_Budget Input Data'!$D$44*0.6/('I_Inputs &amp; Assumptions'!$B$8/2)),IF('I_Budget Input Data'!$E$44="Mid-weighted",IF(14&lt;='I_Inputs &amp; Assumptions'!$B$8/4,'I_Budget Input Data'!$D$44*0.2/('I_Inputs &amp; Assumptions'!$B$8/4),IF(14&lt;='I_Inputs &amp; Assumptions'!$B$8*0.75,'I_Budget Input Data'!$D$44*0.6/('I_Inputs &amp; Assumptions'!$B$8/2),'I_Budget Input Data'!$D$44*0.2/('I_Inputs &amp; Assumptions'!$B$8/4))),IF('I_Budget Input Data'!$E$44="At Completion",IF(14='I_Inputs &amp; Assumptions'!$B$8,'I_Budget Input Data'!$D$44,0),'I_Budget Input Data'!$D$44/'I_Inputs &amp; Assumptions'!$B$8)))))),0)</f>
        <v>0</v>
      </c>
      <c r="Q44" s="91">
        <f>IF(15&lt;='I_Inputs &amp; Assumptions'!$B$8,IF('I_Budget Input Data'!$E$44="Upfront",IF(15=1,'I_Budget Input Data'!$D$44,0),IF('I_Budget Input Data'!$E$44="Equal",'I_Budget Input Data'!$D$44/'I_Inputs &amp; Assumptions'!$B$8,IF('I_Budget Input Data'!$E$44="Front-loaded",IF(15&lt;='I_Inputs &amp; Assumptions'!$B$8/2,'I_Budget Input Data'!$D$44*0.6/('I_Inputs &amp; Assumptions'!$B$8/2),'I_Budget Input Data'!$D$44*0.4/('I_Inputs &amp; Assumptions'!$B$8/2)),IF('I_Budget Input Data'!$E$44="Back-loaded",IF(15&lt;='I_Inputs &amp; Assumptions'!$B$8/2,'I_Budget Input Data'!$D$44*0.4/('I_Inputs &amp; Assumptions'!$B$8/2),'I_Budget Input Data'!$D$44*0.6/('I_Inputs &amp; Assumptions'!$B$8/2)),IF('I_Budget Input Data'!$E$44="Mid-weighted",IF(15&lt;='I_Inputs &amp; Assumptions'!$B$8/4,'I_Budget Input Data'!$D$44*0.2/('I_Inputs &amp; Assumptions'!$B$8/4),IF(15&lt;='I_Inputs &amp; Assumptions'!$B$8*0.75,'I_Budget Input Data'!$D$44*0.6/('I_Inputs &amp; Assumptions'!$B$8/2),'I_Budget Input Data'!$D$44*0.2/('I_Inputs &amp; Assumptions'!$B$8/4))),IF('I_Budget Input Data'!$E$44="At Completion",IF(15='I_Inputs &amp; Assumptions'!$B$8,'I_Budget Input Data'!$D$44,0),'I_Budget Input Data'!$D$44/'I_Inputs &amp; Assumptions'!$B$8)))))),0)</f>
        <v>0</v>
      </c>
      <c r="R44" s="91">
        <f>IF(16&lt;='I_Inputs &amp; Assumptions'!$B$8,IF('I_Budget Input Data'!$E$44="Upfront",IF(16=1,'I_Budget Input Data'!$D$44,0),IF('I_Budget Input Data'!$E$44="Equal",'I_Budget Input Data'!$D$44/'I_Inputs &amp; Assumptions'!$B$8,IF('I_Budget Input Data'!$E$44="Front-loaded",IF(16&lt;='I_Inputs &amp; Assumptions'!$B$8/2,'I_Budget Input Data'!$D$44*0.6/('I_Inputs &amp; Assumptions'!$B$8/2),'I_Budget Input Data'!$D$44*0.4/('I_Inputs &amp; Assumptions'!$B$8/2)),IF('I_Budget Input Data'!$E$44="Back-loaded",IF(16&lt;='I_Inputs &amp; Assumptions'!$B$8/2,'I_Budget Input Data'!$D$44*0.4/('I_Inputs &amp; Assumptions'!$B$8/2),'I_Budget Input Data'!$D$44*0.6/('I_Inputs &amp; Assumptions'!$B$8/2)),IF('I_Budget Input Data'!$E$44="Mid-weighted",IF(16&lt;='I_Inputs &amp; Assumptions'!$B$8/4,'I_Budget Input Data'!$D$44*0.2/('I_Inputs &amp; Assumptions'!$B$8/4),IF(16&lt;='I_Inputs &amp; Assumptions'!$B$8*0.75,'I_Budget Input Data'!$D$44*0.6/('I_Inputs &amp; Assumptions'!$B$8/2),'I_Budget Input Data'!$D$44*0.2/('I_Inputs &amp; Assumptions'!$B$8/4))),IF('I_Budget Input Data'!$E$44="At Completion",IF(16='I_Inputs &amp; Assumptions'!$B$8,'I_Budget Input Data'!$D$44,0),'I_Budget Input Data'!$D$44/'I_Inputs &amp; Assumptions'!$B$8)))))),0)</f>
        <v>0</v>
      </c>
      <c r="S44" s="91">
        <f>IF(17&lt;='I_Inputs &amp; Assumptions'!$B$8,IF('I_Budget Input Data'!$E$44="Upfront",IF(17=1,'I_Budget Input Data'!$D$44,0),IF('I_Budget Input Data'!$E$44="Equal",'I_Budget Input Data'!$D$44/'I_Inputs &amp; Assumptions'!$B$8,IF('I_Budget Input Data'!$E$44="Front-loaded",IF(17&lt;='I_Inputs &amp; Assumptions'!$B$8/2,'I_Budget Input Data'!$D$44*0.6/('I_Inputs &amp; Assumptions'!$B$8/2),'I_Budget Input Data'!$D$44*0.4/('I_Inputs &amp; Assumptions'!$B$8/2)),IF('I_Budget Input Data'!$E$44="Back-loaded",IF(17&lt;='I_Inputs &amp; Assumptions'!$B$8/2,'I_Budget Input Data'!$D$44*0.4/('I_Inputs &amp; Assumptions'!$B$8/2),'I_Budget Input Data'!$D$44*0.6/('I_Inputs &amp; Assumptions'!$B$8/2)),IF('I_Budget Input Data'!$E$44="Mid-weighted",IF(17&lt;='I_Inputs &amp; Assumptions'!$B$8/4,'I_Budget Input Data'!$D$44*0.2/('I_Inputs &amp; Assumptions'!$B$8/4),IF(17&lt;='I_Inputs &amp; Assumptions'!$B$8*0.75,'I_Budget Input Data'!$D$44*0.6/('I_Inputs &amp; Assumptions'!$B$8/2),'I_Budget Input Data'!$D$44*0.2/('I_Inputs &amp; Assumptions'!$B$8/4))),IF('I_Budget Input Data'!$E$44="At Completion",IF(17='I_Inputs &amp; Assumptions'!$B$8,'I_Budget Input Data'!$D$44,0),'I_Budget Input Data'!$D$44/'I_Inputs &amp; Assumptions'!$B$8)))))),0)</f>
        <v>0</v>
      </c>
      <c r="T44" s="91">
        <f>IF(18&lt;='I_Inputs &amp; Assumptions'!$B$8,IF('I_Budget Input Data'!$E$44="Upfront",IF(18=1,'I_Budget Input Data'!$D$44,0),IF('I_Budget Input Data'!$E$44="Equal",'I_Budget Input Data'!$D$44/'I_Inputs &amp; Assumptions'!$B$8,IF('I_Budget Input Data'!$E$44="Front-loaded",IF(18&lt;='I_Inputs &amp; Assumptions'!$B$8/2,'I_Budget Input Data'!$D$44*0.6/('I_Inputs &amp; Assumptions'!$B$8/2),'I_Budget Input Data'!$D$44*0.4/('I_Inputs &amp; Assumptions'!$B$8/2)),IF('I_Budget Input Data'!$E$44="Back-loaded",IF(18&lt;='I_Inputs &amp; Assumptions'!$B$8/2,'I_Budget Input Data'!$D$44*0.4/('I_Inputs &amp; Assumptions'!$B$8/2),'I_Budget Input Data'!$D$44*0.6/('I_Inputs &amp; Assumptions'!$B$8/2)),IF('I_Budget Input Data'!$E$44="Mid-weighted",IF(18&lt;='I_Inputs &amp; Assumptions'!$B$8/4,'I_Budget Input Data'!$D$44*0.2/('I_Inputs &amp; Assumptions'!$B$8/4),IF(18&lt;='I_Inputs &amp; Assumptions'!$B$8*0.75,'I_Budget Input Data'!$D$44*0.6/('I_Inputs &amp; Assumptions'!$B$8/2),'I_Budget Input Data'!$D$44*0.2/('I_Inputs &amp; Assumptions'!$B$8/4))),IF('I_Budget Input Data'!$E$44="At Completion",IF(18='I_Inputs &amp; Assumptions'!$B$8,'I_Budget Input Data'!$D$44,0),'I_Budget Input Data'!$D$44/'I_Inputs &amp; Assumptions'!$B$8)))))),0)</f>
        <v>0</v>
      </c>
      <c r="U44" s="91">
        <f>IF(19&lt;='I_Inputs &amp; Assumptions'!$B$8,IF('I_Budget Input Data'!$E$44="Upfront",IF(19=1,'I_Budget Input Data'!$D$44,0),IF('I_Budget Input Data'!$E$44="Equal",'I_Budget Input Data'!$D$44/'I_Inputs &amp; Assumptions'!$B$8,IF('I_Budget Input Data'!$E$44="Front-loaded",IF(19&lt;='I_Inputs &amp; Assumptions'!$B$8/2,'I_Budget Input Data'!$D$44*0.6/('I_Inputs &amp; Assumptions'!$B$8/2),'I_Budget Input Data'!$D$44*0.4/('I_Inputs &amp; Assumptions'!$B$8/2)),IF('I_Budget Input Data'!$E$44="Back-loaded",IF(19&lt;='I_Inputs &amp; Assumptions'!$B$8/2,'I_Budget Input Data'!$D$44*0.4/('I_Inputs &amp; Assumptions'!$B$8/2),'I_Budget Input Data'!$D$44*0.6/('I_Inputs &amp; Assumptions'!$B$8/2)),IF('I_Budget Input Data'!$E$44="Mid-weighted",IF(19&lt;='I_Inputs &amp; Assumptions'!$B$8/4,'I_Budget Input Data'!$D$44*0.2/('I_Inputs &amp; Assumptions'!$B$8/4),IF(19&lt;='I_Inputs &amp; Assumptions'!$B$8*0.75,'I_Budget Input Data'!$D$44*0.6/('I_Inputs &amp; Assumptions'!$B$8/2),'I_Budget Input Data'!$D$44*0.2/('I_Inputs &amp; Assumptions'!$B$8/4))),IF('I_Budget Input Data'!$E$44="At Completion",IF(19='I_Inputs &amp; Assumptions'!$B$8,'I_Budget Input Data'!$D$44,0),'I_Budget Input Data'!$D$44/'I_Inputs &amp; Assumptions'!$B$8)))))),0)</f>
        <v>0</v>
      </c>
      <c r="V44" s="91">
        <f>IF(20&lt;='I_Inputs &amp; Assumptions'!$B$8,IF('I_Budget Input Data'!$E$44="Upfront",IF(20=1,'I_Budget Input Data'!$D$44,0),IF('I_Budget Input Data'!$E$44="Equal",'I_Budget Input Data'!$D$44/'I_Inputs &amp; Assumptions'!$B$8,IF('I_Budget Input Data'!$E$44="Front-loaded",IF(20&lt;='I_Inputs &amp; Assumptions'!$B$8/2,'I_Budget Input Data'!$D$44*0.6/('I_Inputs &amp; Assumptions'!$B$8/2),'I_Budget Input Data'!$D$44*0.4/('I_Inputs &amp; Assumptions'!$B$8/2)),IF('I_Budget Input Data'!$E$44="Back-loaded",IF(20&lt;='I_Inputs &amp; Assumptions'!$B$8/2,'I_Budget Input Data'!$D$44*0.4/('I_Inputs &amp; Assumptions'!$B$8/2),'I_Budget Input Data'!$D$44*0.6/('I_Inputs &amp; Assumptions'!$B$8/2)),IF('I_Budget Input Data'!$E$44="Mid-weighted",IF(20&lt;='I_Inputs &amp; Assumptions'!$B$8/4,'I_Budget Input Data'!$D$44*0.2/('I_Inputs &amp; Assumptions'!$B$8/4),IF(20&lt;='I_Inputs &amp; Assumptions'!$B$8*0.75,'I_Budget Input Data'!$D$44*0.6/('I_Inputs &amp; Assumptions'!$B$8/2),'I_Budget Input Data'!$D$44*0.2/('I_Inputs &amp; Assumptions'!$B$8/4))),IF('I_Budget Input Data'!$E$44="At Completion",IF(20='I_Inputs &amp; Assumptions'!$B$8,'I_Budget Input Data'!$D$44,0),'I_Budget Input Data'!$D$44/'I_Inputs &amp; Assumptions'!$B$8)))))),0)</f>
        <v>0</v>
      </c>
      <c r="W44" s="91">
        <f>IF(21&lt;='I_Inputs &amp; Assumptions'!$B$8,IF('I_Budget Input Data'!$E$44="Upfront",IF(21=1,'I_Budget Input Data'!$D$44,0),IF('I_Budget Input Data'!$E$44="Equal",'I_Budget Input Data'!$D$44/'I_Inputs &amp; Assumptions'!$B$8,IF('I_Budget Input Data'!$E$44="Front-loaded",IF(21&lt;='I_Inputs &amp; Assumptions'!$B$8/2,'I_Budget Input Data'!$D$44*0.6/('I_Inputs &amp; Assumptions'!$B$8/2),'I_Budget Input Data'!$D$44*0.4/('I_Inputs &amp; Assumptions'!$B$8/2)),IF('I_Budget Input Data'!$E$44="Back-loaded",IF(21&lt;='I_Inputs &amp; Assumptions'!$B$8/2,'I_Budget Input Data'!$D$44*0.4/('I_Inputs &amp; Assumptions'!$B$8/2),'I_Budget Input Data'!$D$44*0.6/('I_Inputs &amp; Assumptions'!$B$8/2)),IF('I_Budget Input Data'!$E$44="Mid-weighted",IF(21&lt;='I_Inputs &amp; Assumptions'!$B$8/4,'I_Budget Input Data'!$D$44*0.2/('I_Inputs &amp; Assumptions'!$B$8/4),IF(21&lt;='I_Inputs &amp; Assumptions'!$B$8*0.75,'I_Budget Input Data'!$D$44*0.6/('I_Inputs &amp; Assumptions'!$B$8/2),'I_Budget Input Data'!$D$44*0.2/('I_Inputs &amp; Assumptions'!$B$8/4))),IF('I_Budget Input Data'!$E$44="At Completion",IF(21='I_Inputs &amp; Assumptions'!$B$8,'I_Budget Input Data'!$D$44,0),'I_Budget Input Data'!$D$44/'I_Inputs &amp; Assumptions'!$B$8)))))),0)</f>
        <v>0</v>
      </c>
      <c r="X44" s="91">
        <f>IF(22&lt;='I_Inputs &amp; Assumptions'!$B$8,IF('I_Budget Input Data'!$E$44="Upfront",IF(22=1,'I_Budget Input Data'!$D$44,0),IF('I_Budget Input Data'!$E$44="Equal",'I_Budget Input Data'!$D$44/'I_Inputs &amp; Assumptions'!$B$8,IF('I_Budget Input Data'!$E$44="Front-loaded",IF(22&lt;='I_Inputs &amp; Assumptions'!$B$8/2,'I_Budget Input Data'!$D$44*0.6/('I_Inputs &amp; Assumptions'!$B$8/2),'I_Budget Input Data'!$D$44*0.4/('I_Inputs &amp; Assumptions'!$B$8/2)),IF('I_Budget Input Data'!$E$44="Back-loaded",IF(22&lt;='I_Inputs &amp; Assumptions'!$B$8/2,'I_Budget Input Data'!$D$44*0.4/('I_Inputs &amp; Assumptions'!$B$8/2),'I_Budget Input Data'!$D$44*0.6/('I_Inputs &amp; Assumptions'!$B$8/2)),IF('I_Budget Input Data'!$E$44="Mid-weighted",IF(22&lt;='I_Inputs &amp; Assumptions'!$B$8/4,'I_Budget Input Data'!$D$44*0.2/('I_Inputs &amp; Assumptions'!$B$8/4),IF(22&lt;='I_Inputs &amp; Assumptions'!$B$8*0.75,'I_Budget Input Data'!$D$44*0.6/('I_Inputs &amp; Assumptions'!$B$8/2),'I_Budget Input Data'!$D$44*0.2/('I_Inputs &amp; Assumptions'!$B$8/4))),IF('I_Budget Input Data'!$E$44="At Completion",IF(22='I_Inputs &amp; Assumptions'!$B$8,'I_Budget Input Data'!$D$44,0),'I_Budget Input Data'!$D$44/'I_Inputs &amp; Assumptions'!$B$8)))))),0)</f>
        <v>0</v>
      </c>
      <c r="Y44" s="91">
        <f>IF(23&lt;='I_Inputs &amp; Assumptions'!$B$8,IF('I_Budget Input Data'!$E$44="Upfront",IF(23=1,'I_Budget Input Data'!$D$44,0),IF('I_Budget Input Data'!$E$44="Equal",'I_Budget Input Data'!$D$44/'I_Inputs &amp; Assumptions'!$B$8,IF('I_Budget Input Data'!$E$44="Front-loaded",IF(23&lt;='I_Inputs &amp; Assumptions'!$B$8/2,'I_Budget Input Data'!$D$44*0.6/('I_Inputs &amp; Assumptions'!$B$8/2),'I_Budget Input Data'!$D$44*0.4/('I_Inputs &amp; Assumptions'!$B$8/2)),IF('I_Budget Input Data'!$E$44="Back-loaded",IF(23&lt;='I_Inputs &amp; Assumptions'!$B$8/2,'I_Budget Input Data'!$D$44*0.4/('I_Inputs &amp; Assumptions'!$B$8/2),'I_Budget Input Data'!$D$44*0.6/('I_Inputs &amp; Assumptions'!$B$8/2)),IF('I_Budget Input Data'!$E$44="Mid-weighted",IF(23&lt;='I_Inputs &amp; Assumptions'!$B$8/4,'I_Budget Input Data'!$D$44*0.2/('I_Inputs &amp; Assumptions'!$B$8/4),IF(23&lt;='I_Inputs &amp; Assumptions'!$B$8*0.75,'I_Budget Input Data'!$D$44*0.6/('I_Inputs &amp; Assumptions'!$B$8/2),'I_Budget Input Data'!$D$44*0.2/('I_Inputs &amp; Assumptions'!$B$8/4))),IF('I_Budget Input Data'!$E$44="At Completion",IF(23='I_Inputs &amp; Assumptions'!$B$8,'I_Budget Input Data'!$D$44,0),'I_Budget Input Data'!$D$44/'I_Inputs &amp; Assumptions'!$B$8)))))),0)</f>
        <v>0</v>
      </c>
      <c r="Z44" s="91">
        <f>IF(24&lt;='I_Inputs &amp; Assumptions'!$B$8,IF('I_Budget Input Data'!$E$44="Upfront",IF(24=1,'I_Budget Input Data'!$D$44,0),IF('I_Budget Input Data'!$E$44="Equal",'I_Budget Input Data'!$D$44/'I_Inputs &amp; Assumptions'!$B$8,IF('I_Budget Input Data'!$E$44="Front-loaded",IF(24&lt;='I_Inputs &amp; Assumptions'!$B$8/2,'I_Budget Input Data'!$D$44*0.6/('I_Inputs &amp; Assumptions'!$B$8/2),'I_Budget Input Data'!$D$44*0.4/('I_Inputs &amp; Assumptions'!$B$8/2)),IF('I_Budget Input Data'!$E$44="Back-loaded",IF(24&lt;='I_Inputs &amp; Assumptions'!$B$8/2,'I_Budget Input Data'!$D$44*0.4/('I_Inputs &amp; Assumptions'!$B$8/2),'I_Budget Input Data'!$D$44*0.6/('I_Inputs &amp; Assumptions'!$B$8/2)),IF('I_Budget Input Data'!$E$44="Mid-weighted",IF(24&lt;='I_Inputs &amp; Assumptions'!$B$8/4,'I_Budget Input Data'!$D$44*0.2/('I_Inputs &amp; Assumptions'!$B$8/4),IF(24&lt;='I_Inputs &amp; Assumptions'!$B$8*0.75,'I_Budget Input Data'!$D$44*0.6/('I_Inputs &amp; Assumptions'!$B$8/2),'I_Budget Input Data'!$D$44*0.2/('I_Inputs &amp; Assumptions'!$B$8/4))),IF('I_Budget Input Data'!$E$44="At Completion",IF(24='I_Inputs &amp; Assumptions'!$B$8,'I_Budget Input Data'!$D$44,0),'I_Budget Input Data'!$D$44/'I_Inputs &amp; Assumptions'!$B$8)))))),0)</f>
        <v>0</v>
      </c>
      <c r="AA44" s="91">
        <f>IF(25&lt;='I_Inputs &amp; Assumptions'!$B$8,IF('I_Budget Input Data'!$E$44="Upfront",IF(25=1,'I_Budget Input Data'!$D$44,0),IF('I_Budget Input Data'!$E$44="Equal",'I_Budget Input Data'!$D$44/'I_Inputs &amp; Assumptions'!$B$8,IF('I_Budget Input Data'!$E$44="Front-loaded",IF(25&lt;='I_Inputs &amp; Assumptions'!$B$8/2,'I_Budget Input Data'!$D$44*0.6/('I_Inputs &amp; Assumptions'!$B$8/2),'I_Budget Input Data'!$D$44*0.4/('I_Inputs &amp; Assumptions'!$B$8/2)),IF('I_Budget Input Data'!$E$44="Back-loaded",IF(25&lt;='I_Inputs &amp; Assumptions'!$B$8/2,'I_Budget Input Data'!$D$44*0.4/('I_Inputs &amp; Assumptions'!$B$8/2),'I_Budget Input Data'!$D$44*0.6/('I_Inputs &amp; Assumptions'!$B$8/2)),IF('I_Budget Input Data'!$E$44="Mid-weighted",IF(25&lt;='I_Inputs &amp; Assumptions'!$B$8/4,'I_Budget Input Data'!$D$44*0.2/('I_Inputs &amp; Assumptions'!$B$8/4),IF(25&lt;='I_Inputs &amp; Assumptions'!$B$8*0.75,'I_Budget Input Data'!$D$44*0.6/('I_Inputs &amp; Assumptions'!$B$8/2),'I_Budget Input Data'!$D$44*0.2/('I_Inputs &amp; Assumptions'!$B$8/4))),IF('I_Budget Input Data'!$E$44="At Completion",IF(25='I_Inputs &amp; Assumptions'!$B$8,'I_Budget Input Data'!$D$44,0),'I_Budget Input Data'!$D$44/'I_Inputs &amp; Assumptions'!$B$8)))))),0)</f>
        <v>0</v>
      </c>
      <c r="AB44" s="91">
        <f>IF(26&lt;='I_Inputs &amp; Assumptions'!$B$8,IF('I_Budget Input Data'!$E$44="Upfront",IF(26=1,'I_Budget Input Data'!$D$44,0),IF('I_Budget Input Data'!$E$44="Equal",'I_Budget Input Data'!$D$44/'I_Inputs &amp; Assumptions'!$B$8,IF('I_Budget Input Data'!$E$44="Front-loaded",IF(26&lt;='I_Inputs &amp; Assumptions'!$B$8/2,'I_Budget Input Data'!$D$44*0.6/('I_Inputs &amp; Assumptions'!$B$8/2),'I_Budget Input Data'!$D$44*0.4/('I_Inputs &amp; Assumptions'!$B$8/2)),IF('I_Budget Input Data'!$E$44="Back-loaded",IF(26&lt;='I_Inputs &amp; Assumptions'!$B$8/2,'I_Budget Input Data'!$D$44*0.4/('I_Inputs &amp; Assumptions'!$B$8/2),'I_Budget Input Data'!$D$44*0.6/('I_Inputs &amp; Assumptions'!$B$8/2)),IF('I_Budget Input Data'!$E$44="Mid-weighted",IF(26&lt;='I_Inputs &amp; Assumptions'!$B$8/4,'I_Budget Input Data'!$D$44*0.2/('I_Inputs &amp; Assumptions'!$B$8/4),IF(26&lt;='I_Inputs &amp; Assumptions'!$B$8*0.75,'I_Budget Input Data'!$D$44*0.6/('I_Inputs &amp; Assumptions'!$B$8/2),'I_Budget Input Data'!$D$44*0.2/('I_Inputs &amp; Assumptions'!$B$8/4))),IF('I_Budget Input Data'!$E$44="At Completion",IF(26='I_Inputs &amp; Assumptions'!$B$8,'I_Budget Input Data'!$D$44,0),'I_Budget Input Data'!$D$44/'I_Inputs &amp; Assumptions'!$B$8)))))),0)</f>
        <v>0</v>
      </c>
      <c r="AC44" s="91">
        <f>IF(27&lt;='I_Inputs &amp; Assumptions'!$B$8,IF('I_Budget Input Data'!$E$44="Upfront",IF(27=1,'I_Budget Input Data'!$D$44,0),IF('I_Budget Input Data'!$E$44="Equal",'I_Budget Input Data'!$D$44/'I_Inputs &amp; Assumptions'!$B$8,IF('I_Budget Input Data'!$E$44="Front-loaded",IF(27&lt;='I_Inputs &amp; Assumptions'!$B$8/2,'I_Budget Input Data'!$D$44*0.6/('I_Inputs &amp; Assumptions'!$B$8/2),'I_Budget Input Data'!$D$44*0.4/('I_Inputs &amp; Assumptions'!$B$8/2)),IF('I_Budget Input Data'!$E$44="Back-loaded",IF(27&lt;='I_Inputs &amp; Assumptions'!$B$8/2,'I_Budget Input Data'!$D$44*0.4/('I_Inputs &amp; Assumptions'!$B$8/2),'I_Budget Input Data'!$D$44*0.6/('I_Inputs &amp; Assumptions'!$B$8/2)),IF('I_Budget Input Data'!$E$44="Mid-weighted",IF(27&lt;='I_Inputs &amp; Assumptions'!$B$8/4,'I_Budget Input Data'!$D$44*0.2/('I_Inputs &amp; Assumptions'!$B$8/4),IF(27&lt;='I_Inputs &amp; Assumptions'!$B$8*0.75,'I_Budget Input Data'!$D$44*0.6/('I_Inputs &amp; Assumptions'!$B$8/2),'I_Budget Input Data'!$D$44*0.2/('I_Inputs &amp; Assumptions'!$B$8/4))),IF('I_Budget Input Data'!$E$44="At Completion",IF(27='I_Inputs &amp; Assumptions'!$B$8,'I_Budget Input Data'!$D$44,0),'I_Budget Input Data'!$D$44/'I_Inputs &amp; Assumptions'!$B$8)))))),0)</f>
        <v>0</v>
      </c>
      <c r="AD44" s="91">
        <f>IF(28&lt;='I_Inputs &amp; Assumptions'!$B$8,IF('I_Budget Input Data'!$E$44="Upfront",IF(28=1,'I_Budget Input Data'!$D$44,0),IF('I_Budget Input Data'!$E$44="Equal",'I_Budget Input Data'!$D$44/'I_Inputs &amp; Assumptions'!$B$8,IF('I_Budget Input Data'!$E$44="Front-loaded",IF(28&lt;='I_Inputs &amp; Assumptions'!$B$8/2,'I_Budget Input Data'!$D$44*0.6/('I_Inputs &amp; Assumptions'!$B$8/2),'I_Budget Input Data'!$D$44*0.4/('I_Inputs &amp; Assumptions'!$B$8/2)),IF('I_Budget Input Data'!$E$44="Back-loaded",IF(28&lt;='I_Inputs &amp; Assumptions'!$B$8/2,'I_Budget Input Data'!$D$44*0.4/('I_Inputs &amp; Assumptions'!$B$8/2),'I_Budget Input Data'!$D$44*0.6/('I_Inputs &amp; Assumptions'!$B$8/2)),IF('I_Budget Input Data'!$E$44="Mid-weighted",IF(28&lt;='I_Inputs &amp; Assumptions'!$B$8/4,'I_Budget Input Data'!$D$44*0.2/('I_Inputs &amp; Assumptions'!$B$8/4),IF(28&lt;='I_Inputs &amp; Assumptions'!$B$8*0.75,'I_Budget Input Data'!$D$44*0.6/('I_Inputs &amp; Assumptions'!$B$8/2),'I_Budget Input Data'!$D$44*0.2/('I_Inputs &amp; Assumptions'!$B$8/4))),IF('I_Budget Input Data'!$E$44="At Completion",IF(28='I_Inputs &amp; Assumptions'!$B$8,'I_Budget Input Data'!$D$44,0),'I_Budget Input Data'!$D$44/'I_Inputs &amp; Assumptions'!$B$8)))))),0)</f>
        <v>0</v>
      </c>
      <c r="AE44" s="91">
        <f>IF(29&lt;='I_Inputs &amp; Assumptions'!$B$8,IF('I_Budget Input Data'!$E$44="Upfront",IF(29=1,'I_Budget Input Data'!$D$44,0),IF('I_Budget Input Data'!$E$44="Equal",'I_Budget Input Data'!$D$44/'I_Inputs &amp; Assumptions'!$B$8,IF('I_Budget Input Data'!$E$44="Front-loaded",IF(29&lt;='I_Inputs &amp; Assumptions'!$B$8/2,'I_Budget Input Data'!$D$44*0.6/('I_Inputs &amp; Assumptions'!$B$8/2),'I_Budget Input Data'!$D$44*0.4/('I_Inputs &amp; Assumptions'!$B$8/2)),IF('I_Budget Input Data'!$E$44="Back-loaded",IF(29&lt;='I_Inputs &amp; Assumptions'!$B$8/2,'I_Budget Input Data'!$D$44*0.4/('I_Inputs &amp; Assumptions'!$B$8/2),'I_Budget Input Data'!$D$44*0.6/('I_Inputs &amp; Assumptions'!$B$8/2)),IF('I_Budget Input Data'!$E$44="Mid-weighted",IF(29&lt;='I_Inputs &amp; Assumptions'!$B$8/4,'I_Budget Input Data'!$D$44*0.2/('I_Inputs &amp; Assumptions'!$B$8/4),IF(29&lt;='I_Inputs &amp; Assumptions'!$B$8*0.75,'I_Budget Input Data'!$D$44*0.6/('I_Inputs &amp; Assumptions'!$B$8/2),'I_Budget Input Data'!$D$44*0.2/('I_Inputs &amp; Assumptions'!$B$8/4))),IF('I_Budget Input Data'!$E$44="At Completion",IF(29='I_Inputs &amp; Assumptions'!$B$8,'I_Budget Input Data'!$D$44,0),'I_Budget Input Data'!$D$44/'I_Inputs &amp; Assumptions'!$B$8)))))),0)</f>
        <v>0</v>
      </c>
      <c r="AF44" s="91">
        <f>IF(30&lt;='I_Inputs &amp; Assumptions'!$B$8,IF('I_Budget Input Data'!$E$44="Upfront",IF(30=1,'I_Budget Input Data'!$D$44,0),IF('I_Budget Input Data'!$E$44="Equal",'I_Budget Input Data'!$D$44/'I_Inputs &amp; Assumptions'!$B$8,IF('I_Budget Input Data'!$E$44="Front-loaded",IF(30&lt;='I_Inputs &amp; Assumptions'!$B$8/2,'I_Budget Input Data'!$D$44*0.6/('I_Inputs &amp; Assumptions'!$B$8/2),'I_Budget Input Data'!$D$44*0.4/('I_Inputs &amp; Assumptions'!$B$8/2)),IF('I_Budget Input Data'!$E$44="Back-loaded",IF(30&lt;='I_Inputs &amp; Assumptions'!$B$8/2,'I_Budget Input Data'!$D$44*0.4/('I_Inputs &amp; Assumptions'!$B$8/2),'I_Budget Input Data'!$D$44*0.6/('I_Inputs &amp; Assumptions'!$B$8/2)),IF('I_Budget Input Data'!$E$44="Mid-weighted",IF(30&lt;='I_Inputs &amp; Assumptions'!$B$8/4,'I_Budget Input Data'!$D$44*0.2/('I_Inputs &amp; Assumptions'!$B$8/4),IF(30&lt;='I_Inputs &amp; Assumptions'!$B$8*0.75,'I_Budget Input Data'!$D$44*0.6/('I_Inputs &amp; Assumptions'!$B$8/2),'I_Budget Input Data'!$D$44*0.2/('I_Inputs &amp; Assumptions'!$B$8/4))),IF('I_Budget Input Data'!$E$44="At Completion",IF(30='I_Inputs &amp; Assumptions'!$B$8,'I_Budget Input Data'!$D$44,0),'I_Budget Input Data'!$D$44/'I_Inputs &amp; Assumptions'!$B$8)))))),0)</f>
        <v>0</v>
      </c>
      <c r="AG44" s="91">
        <f>IF(31&lt;='I_Inputs &amp; Assumptions'!$B$8,IF('I_Budget Input Data'!$E$44="Upfront",IF(31=1,'I_Budget Input Data'!$D$44,0),IF('I_Budget Input Data'!$E$44="Equal",'I_Budget Input Data'!$D$44/'I_Inputs &amp; Assumptions'!$B$8,IF('I_Budget Input Data'!$E$44="Front-loaded",IF(31&lt;='I_Inputs &amp; Assumptions'!$B$8/2,'I_Budget Input Data'!$D$44*0.6/('I_Inputs &amp; Assumptions'!$B$8/2),'I_Budget Input Data'!$D$44*0.4/('I_Inputs &amp; Assumptions'!$B$8/2)),IF('I_Budget Input Data'!$E$44="Back-loaded",IF(31&lt;='I_Inputs &amp; Assumptions'!$B$8/2,'I_Budget Input Data'!$D$44*0.4/('I_Inputs &amp; Assumptions'!$B$8/2),'I_Budget Input Data'!$D$44*0.6/('I_Inputs &amp; Assumptions'!$B$8/2)),IF('I_Budget Input Data'!$E$44="Mid-weighted",IF(31&lt;='I_Inputs &amp; Assumptions'!$B$8/4,'I_Budget Input Data'!$D$44*0.2/('I_Inputs &amp; Assumptions'!$B$8/4),IF(31&lt;='I_Inputs &amp; Assumptions'!$B$8*0.75,'I_Budget Input Data'!$D$44*0.6/('I_Inputs &amp; Assumptions'!$B$8/2),'I_Budget Input Data'!$D$44*0.2/('I_Inputs &amp; Assumptions'!$B$8/4))),IF('I_Budget Input Data'!$E$44="At Completion",IF(31='I_Inputs &amp; Assumptions'!$B$8,'I_Budget Input Data'!$D$44,0),'I_Budget Input Data'!$D$44/'I_Inputs &amp; Assumptions'!$B$8)))))),0)</f>
        <v>0</v>
      </c>
      <c r="AH44" s="91">
        <f>IF(32&lt;='I_Inputs &amp; Assumptions'!$B$8,IF('I_Budget Input Data'!$E$44="Upfront",IF(32=1,'I_Budget Input Data'!$D$44,0),IF('I_Budget Input Data'!$E$44="Equal",'I_Budget Input Data'!$D$44/'I_Inputs &amp; Assumptions'!$B$8,IF('I_Budget Input Data'!$E$44="Front-loaded",IF(32&lt;='I_Inputs &amp; Assumptions'!$B$8/2,'I_Budget Input Data'!$D$44*0.6/('I_Inputs &amp; Assumptions'!$B$8/2),'I_Budget Input Data'!$D$44*0.4/('I_Inputs &amp; Assumptions'!$B$8/2)),IF('I_Budget Input Data'!$E$44="Back-loaded",IF(32&lt;='I_Inputs &amp; Assumptions'!$B$8/2,'I_Budget Input Data'!$D$44*0.4/('I_Inputs &amp; Assumptions'!$B$8/2),'I_Budget Input Data'!$D$44*0.6/('I_Inputs &amp; Assumptions'!$B$8/2)),IF('I_Budget Input Data'!$E$44="Mid-weighted",IF(32&lt;='I_Inputs &amp; Assumptions'!$B$8/4,'I_Budget Input Data'!$D$44*0.2/('I_Inputs &amp; Assumptions'!$B$8/4),IF(32&lt;='I_Inputs &amp; Assumptions'!$B$8*0.75,'I_Budget Input Data'!$D$44*0.6/('I_Inputs &amp; Assumptions'!$B$8/2),'I_Budget Input Data'!$D$44*0.2/('I_Inputs &amp; Assumptions'!$B$8/4))),IF('I_Budget Input Data'!$E$44="At Completion",IF(32='I_Inputs &amp; Assumptions'!$B$8,'I_Budget Input Data'!$D$44,0),'I_Budget Input Data'!$D$44/'I_Inputs &amp; Assumptions'!$B$8)))))),0)</f>
        <v>0</v>
      </c>
      <c r="AI44" s="91">
        <f>IF(33&lt;='I_Inputs &amp; Assumptions'!$B$8,IF('I_Budget Input Data'!$E$44="Upfront",IF(33=1,'I_Budget Input Data'!$D$44,0),IF('I_Budget Input Data'!$E$44="Equal",'I_Budget Input Data'!$D$44/'I_Inputs &amp; Assumptions'!$B$8,IF('I_Budget Input Data'!$E$44="Front-loaded",IF(33&lt;='I_Inputs &amp; Assumptions'!$B$8/2,'I_Budget Input Data'!$D$44*0.6/('I_Inputs &amp; Assumptions'!$B$8/2),'I_Budget Input Data'!$D$44*0.4/('I_Inputs &amp; Assumptions'!$B$8/2)),IF('I_Budget Input Data'!$E$44="Back-loaded",IF(33&lt;='I_Inputs &amp; Assumptions'!$B$8/2,'I_Budget Input Data'!$D$44*0.4/('I_Inputs &amp; Assumptions'!$B$8/2),'I_Budget Input Data'!$D$44*0.6/('I_Inputs &amp; Assumptions'!$B$8/2)),IF('I_Budget Input Data'!$E$44="Mid-weighted",IF(33&lt;='I_Inputs &amp; Assumptions'!$B$8/4,'I_Budget Input Data'!$D$44*0.2/('I_Inputs &amp; Assumptions'!$B$8/4),IF(33&lt;='I_Inputs &amp; Assumptions'!$B$8*0.75,'I_Budget Input Data'!$D$44*0.6/('I_Inputs &amp; Assumptions'!$B$8/2),'I_Budget Input Data'!$D$44*0.2/('I_Inputs &amp; Assumptions'!$B$8/4))),IF('I_Budget Input Data'!$E$44="At Completion",IF(33='I_Inputs &amp; Assumptions'!$B$8,'I_Budget Input Data'!$D$44,0),'I_Budget Input Data'!$D$44/'I_Inputs &amp; Assumptions'!$B$8)))))),0)</f>
        <v>0</v>
      </c>
      <c r="AJ44" s="91">
        <f>IF(34&lt;='I_Inputs &amp; Assumptions'!$B$8,IF('I_Budget Input Data'!$E$44="Upfront",IF(34=1,'I_Budget Input Data'!$D$44,0),IF('I_Budget Input Data'!$E$44="Equal",'I_Budget Input Data'!$D$44/'I_Inputs &amp; Assumptions'!$B$8,IF('I_Budget Input Data'!$E$44="Front-loaded",IF(34&lt;='I_Inputs &amp; Assumptions'!$B$8/2,'I_Budget Input Data'!$D$44*0.6/('I_Inputs &amp; Assumptions'!$B$8/2),'I_Budget Input Data'!$D$44*0.4/('I_Inputs &amp; Assumptions'!$B$8/2)),IF('I_Budget Input Data'!$E$44="Back-loaded",IF(34&lt;='I_Inputs &amp; Assumptions'!$B$8/2,'I_Budget Input Data'!$D$44*0.4/('I_Inputs &amp; Assumptions'!$B$8/2),'I_Budget Input Data'!$D$44*0.6/('I_Inputs &amp; Assumptions'!$B$8/2)),IF('I_Budget Input Data'!$E$44="Mid-weighted",IF(34&lt;='I_Inputs &amp; Assumptions'!$B$8/4,'I_Budget Input Data'!$D$44*0.2/('I_Inputs &amp; Assumptions'!$B$8/4),IF(34&lt;='I_Inputs &amp; Assumptions'!$B$8*0.75,'I_Budget Input Data'!$D$44*0.6/('I_Inputs &amp; Assumptions'!$B$8/2),'I_Budget Input Data'!$D$44*0.2/('I_Inputs &amp; Assumptions'!$B$8/4))),IF('I_Budget Input Data'!$E$44="At Completion",IF(34='I_Inputs &amp; Assumptions'!$B$8,'I_Budget Input Data'!$D$44,0),'I_Budget Input Data'!$D$44/'I_Inputs &amp; Assumptions'!$B$8)))))),0)</f>
        <v>0</v>
      </c>
      <c r="AK44" s="91">
        <f>IF(35&lt;='I_Inputs &amp; Assumptions'!$B$8,IF('I_Budget Input Data'!$E$44="Upfront",IF(35=1,'I_Budget Input Data'!$D$44,0),IF('I_Budget Input Data'!$E$44="Equal",'I_Budget Input Data'!$D$44/'I_Inputs &amp; Assumptions'!$B$8,IF('I_Budget Input Data'!$E$44="Front-loaded",IF(35&lt;='I_Inputs &amp; Assumptions'!$B$8/2,'I_Budget Input Data'!$D$44*0.6/('I_Inputs &amp; Assumptions'!$B$8/2),'I_Budget Input Data'!$D$44*0.4/('I_Inputs &amp; Assumptions'!$B$8/2)),IF('I_Budget Input Data'!$E$44="Back-loaded",IF(35&lt;='I_Inputs &amp; Assumptions'!$B$8/2,'I_Budget Input Data'!$D$44*0.4/('I_Inputs &amp; Assumptions'!$B$8/2),'I_Budget Input Data'!$D$44*0.6/('I_Inputs &amp; Assumptions'!$B$8/2)),IF('I_Budget Input Data'!$E$44="Mid-weighted",IF(35&lt;='I_Inputs &amp; Assumptions'!$B$8/4,'I_Budget Input Data'!$D$44*0.2/('I_Inputs &amp; Assumptions'!$B$8/4),IF(35&lt;='I_Inputs &amp; Assumptions'!$B$8*0.75,'I_Budget Input Data'!$D$44*0.6/('I_Inputs &amp; Assumptions'!$B$8/2),'I_Budget Input Data'!$D$44*0.2/('I_Inputs &amp; Assumptions'!$B$8/4))),IF('I_Budget Input Data'!$E$44="At Completion",IF(35='I_Inputs &amp; Assumptions'!$B$8,'I_Budget Input Data'!$D$44,0),'I_Budget Input Data'!$D$44/'I_Inputs &amp; Assumptions'!$B$8)))))),0)</f>
        <v>0</v>
      </c>
      <c r="AL44" s="91">
        <f>IF(36&lt;='I_Inputs &amp; Assumptions'!$B$8,IF('I_Budget Input Data'!$E$44="Upfront",IF(36=1,'I_Budget Input Data'!$D$44,0),IF('I_Budget Input Data'!$E$44="Equal",'I_Budget Input Data'!$D$44/'I_Inputs &amp; Assumptions'!$B$8,IF('I_Budget Input Data'!$E$44="Front-loaded",IF(36&lt;='I_Inputs &amp; Assumptions'!$B$8/2,'I_Budget Input Data'!$D$44*0.6/('I_Inputs &amp; Assumptions'!$B$8/2),'I_Budget Input Data'!$D$44*0.4/('I_Inputs &amp; Assumptions'!$B$8/2)),IF('I_Budget Input Data'!$E$44="Back-loaded",IF(36&lt;='I_Inputs &amp; Assumptions'!$B$8/2,'I_Budget Input Data'!$D$44*0.4/('I_Inputs &amp; Assumptions'!$B$8/2),'I_Budget Input Data'!$D$44*0.6/('I_Inputs &amp; Assumptions'!$B$8/2)),IF('I_Budget Input Data'!$E$44="Mid-weighted",IF(36&lt;='I_Inputs &amp; Assumptions'!$B$8/4,'I_Budget Input Data'!$D$44*0.2/('I_Inputs &amp; Assumptions'!$B$8/4),IF(36&lt;='I_Inputs &amp; Assumptions'!$B$8*0.75,'I_Budget Input Data'!$D$44*0.6/('I_Inputs &amp; Assumptions'!$B$8/2),'I_Budget Input Data'!$D$44*0.2/('I_Inputs &amp; Assumptions'!$B$8/4))),IF('I_Budget Input Data'!$E$44="At Completion",IF(36='I_Inputs &amp; Assumptions'!$B$8,'I_Budget Input Data'!$D$44,0),'I_Budget Input Data'!$D$44/'I_Inputs &amp; Assumptions'!$B$8)))))),0)</f>
        <v>0</v>
      </c>
    </row>
    <row r="45" spans="1:38" ht="15" customHeight="1" x14ac:dyDescent="0.2">
      <c r="A45" t="s">
        <v>146</v>
      </c>
      <c r="B45" t="s">
        <v>166</v>
      </c>
      <c r="C45" s="91">
        <f>IF(1&lt;='I_Inputs &amp; Assumptions'!$B$8,IF('I_Budget Input Data'!$E$45="Upfront",IF(1=1,'I_Budget Input Data'!$D$45,0),IF('I_Budget Input Data'!$E$45="Equal",'I_Budget Input Data'!$D$45/'I_Inputs &amp; Assumptions'!$B$8,IF('I_Budget Input Data'!$E$45="Front-loaded",IF(1&lt;='I_Inputs &amp; Assumptions'!$B$8/2,'I_Budget Input Data'!$D$45*0.6/('I_Inputs &amp; Assumptions'!$B$8/2),'I_Budget Input Data'!$D$45*0.4/('I_Inputs &amp; Assumptions'!$B$8/2)),IF('I_Budget Input Data'!$E$45="Back-loaded",IF(1&lt;='I_Inputs &amp; Assumptions'!$B$8/2,'I_Budget Input Data'!$D$45*0.4/('I_Inputs &amp; Assumptions'!$B$8/2),'I_Budget Input Data'!$D$45*0.6/('I_Inputs &amp; Assumptions'!$B$8/2)),IF('I_Budget Input Data'!$E$45="Mid-weighted",IF(1&lt;='I_Inputs &amp; Assumptions'!$B$8/4,'I_Budget Input Data'!$D$45*0.2/('I_Inputs &amp; Assumptions'!$B$8/4),IF(1&lt;='I_Inputs &amp; Assumptions'!$B$8*0.75,'I_Budget Input Data'!$D$45*0.6/('I_Inputs &amp; Assumptions'!$B$8/2),'I_Budget Input Data'!$D$45*0.2/('I_Inputs &amp; Assumptions'!$B$8/4))),IF('I_Budget Input Data'!$E$45="At Completion",IF(1='I_Inputs &amp; Assumptions'!$B$8,'I_Budget Input Data'!$D$45,0),'I_Budget Input Data'!$D$45/'I_Inputs &amp; Assumptions'!$B$8)))))),0)</f>
        <v>676.76923076923072</v>
      </c>
      <c r="D45" s="91">
        <f>IF(2&lt;='I_Inputs &amp; Assumptions'!$B$8,IF('I_Budget Input Data'!$E$45="Upfront",IF(2=1,'I_Budget Input Data'!$D$45,0),IF('I_Budget Input Data'!$E$45="Equal",'I_Budget Input Data'!$D$45/'I_Inputs &amp; Assumptions'!$B$8,IF('I_Budget Input Data'!$E$45="Front-loaded",IF(2&lt;='I_Inputs &amp; Assumptions'!$B$8/2,'I_Budget Input Data'!$D$45*0.6/('I_Inputs &amp; Assumptions'!$B$8/2),'I_Budget Input Data'!$D$45*0.4/('I_Inputs &amp; Assumptions'!$B$8/2)),IF('I_Budget Input Data'!$E$45="Back-loaded",IF(2&lt;='I_Inputs &amp; Assumptions'!$B$8/2,'I_Budget Input Data'!$D$45*0.4/('I_Inputs &amp; Assumptions'!$B$8/2),'I_Budget Input Data'!$D$45*0.6/('I_Inputs &amp; Assumptions'!$B$8/2)),IF('I_Budget Input Data'!$E$45="Mid-weighted",IF(2&lt;='I_Inputs &amp; Assumptions'!$B$8/4,'I_Budget Input Data'!$D$45*0.2/('I_Inputs &amp; Assumptions'!$B$8/4),IF(2&lt;='I_Inputs &amp; Assumptions'!$B$8*0.75,'I_Budget Input Data'!$D$45*0.6/('I_Inputs &amp; Assumptions'!$B$8/2),'I_Budget Input Data'!$D$45*0.2/('I_Inputs &amp; Assumptions'!$B$8/4))),IF('I_Budget Input Data'!$E$45="At Completion",IF(2='I_Inputs &amp; Assumptions'!$B$8,'I_Budget Input Data'!$D$45,0),'I_Budget Input Data'!$D$45/'I_Inputs &amp; Assumptions'!$B$8)))))),0)</f>
        <v>676.76923076923072</v>
      </c>
      <c r="E45" s="91">
        <f>IF(3&lt;='I_Inputs &amp; Assumptions'!$B$8,IF('I_Budget Input Data'!$E$45="Upfront",IF(3=1,'I_Budget Input Data'!$D$45,0),IF('I_Budget Input Data'!$E$45="Equal",'I_Budget Input Data'!$D$45/'I_Inputs &amp; Assumptions'!$B$8,IF('I_Budget Input Data'!$E$45="Front-loaded",IF(3&lt;='I_Inputs &amp; Assumptions'!$B$8/2,'I_Budget Input Data'!$D$45*0.6/('I_Inputs &amp; Assumptions'!$B$8/2),'I_Budget Input Data'!$D$45*0.4/('I_Inputs &amp; Assumptions'!$B$8/2)),IF('I_Budget Input Data'!$E$45="Back-loaded",IF(3&lt;='I_Inputs &amp; Assumptions'!$B$8/2,'I_Budget Input Data'!$D$45*0.4/('I_Inputs &amp; Assumptions'!$B$8/2),'I_Budget Input Data'!$D$45*0.6/('I_Inputs &amp; Assumptions'!$B$8/2)),IF('I_Budget Input Data'!$E$45="Mid-weighted",IF(3&lt;='I_Inputs &amp; Assumptions'!$B$8/4,'I_Budget Input Data'!$D$45*0.2/('I_Inputs &amp; Assumptions'!$B$8/4),IF(3&lt;='I_Inputs &amp; Assumptions'!$B$8*0.75,'I_Budget Input Data'!$D$45*0.6/('I_Inputs &amp; Assumptions'!$B$8/2),'I_Budget Input Data'!$D$45*0.2/('I_Inputs &amp; Assumptions'!$B$8/4))),IF('I_Budget Input Data'!$E$45="At Completion",IF(3='I_Inputs &amp; Assumptions'!$B$8,'I_Budget Input Data'!$D$45,0),'I_Budget Input Data'!$D$45/'I_Inputs &amp; Assumptions'!$B$8)))))),0)</f>
        <v>676.76923076923072</v>
      </c>
      <c r="F45" s="91">
        <f>IF(4&lt;='I_Inputs &amp; Assumptions'!$B$8,IF('I_Budget Input Data'!$E$45="Upfront",IF(4=1,'I_Budget Input Data'!$D$45,0),IF('I_Budget Input Data'!$E$45="Equal",'I_Budget Input Data'!$D$45/'I_Inputs &amp; Assumptions'!$B$8,IF('I_Budget Input Data'!$E$45="Front-loaded",IF(4&lt;='I_Inputs &amp; Assumptions'!$B$8/2,'I_Budget Input Data'!$D$45*0.6/('I_Inputs &amp; Assumptions'!$B$8/2),'I_Budget Input Data'!$D$45*0.4/('I_Inputs &amp; Assumptions'!$B$8/2)),IF('I_Budget Input Data'!$E$45="Back-loaded",IF(4&lt;='I_Inputs &amp; Assumptions'!$B$8/2,'I_Budget Input Data'!$D$45*0.4/('I_Inputs &amp; Assumptions'!$B$8/2),'I_Budget Input Data'!$D$45*0.6/('I_Inputs &amp; Assumptions'!$B$8/2)),IF('I_Budget Input Data'!$E$45="Mid-weighted",IF(4&lt;='I_Inputs &amp; Assumptions'!$B$8/4,'I_Budget Input Data'!$D$45*0.2/('I_Inputs &amp; Assumptions'!$B$8/4),IF(4&lt;='I_Inputs &amp; Assumptions'!$B$8*0.75,'I_Budget Input Data'!$D$45*0.6/('I_Inputs &amp; Assumptions'!$B$8/2),'I_Budget Input Data'!$D$45*0.2/('I_Inputs &amp; Assumptions'!$B$8/4))),IF('I_Budget Input Data'!$E$45="At Completion",IF(4='I_Inputs &amp; Assumptions'!$B$8,'I_Budget Input Data'!$D$45,0),'I_Budget Input Data'!$D$45/'I_Inputs &amp; Assumptions'!$B$8)))))),0)</f>
        <v>676.76923076923072</v>
      </c>
      <c r="G45" s="91">
        <f>IF(5&lt;='I_Inputs &amp; Assumptions'!$B$8,IF('I_Budget Input Data'!$E$45="Upfront",IF(5=1,'I_Budget Input Data'!$D$45,0),IF('I_Budget Input Data'!$E$45="Equal",'I_Budget Input Data'!$D$45/'I_Inputs &amp; Assumptions'!$B$8,IF('I_Budget Input Data'!$E$45="Front-loaded",IF(5&lt;='I_Inputs &amp; Assumptions'!$B$8/2,'I_Budget Input Data'!$D$45*0.6/('I_Inputs &amp; Assumptions'!$B$8/2),'I_Budget Input Data'!$D$45*0.4/('I_Inputs &amp; Assumptions'!$B$8/2)),IF('I_Budget Input Data'!$E$45="Back-loaded",IF(5&lt;='I_Inputs &amp; Assumptions'!$B$8/2,'I_Budget Input Data'!$D$45*0.4/('I_Inputs &amp; Assumptions'!$B$8/2),'I_Budget Input Data'!$D$45*0.6/('I_Inputs &amp; Assumptions'!$B$8/2)),IF('I_Budget Input Data'!$E$45="Mid-weighted",IF(5&lt;='I_Inputs &amp; Assumptions'!$B$8/4,'I_Budget Input Data'!$D$45*0.2/('I_Inputs &amp; Assumptions'!$B$8/4),IF(5&lt;='I_Inputs &amp; Assumptions'!$B$8*0.75,'I_Budget Input Data'!$D$45*0.6/('I_Inputs &amp; Assumptions'!$B$8/2),'I_Budget Input Data'!$D$45*0.2/('I_Inputs &amp; Assumptions'!$B$8/4))),IF('I_Budget Input Data'!$E$45="At Completion",IF(5='I_Inputs &amp; Assumptions'!$B$8,'I_Budget Input Data'!$D$45,0),'I_Budget Input Data'!$D$45/'I_Inputs &amp; Assumptions'!$B$8)))))),0)</f>
        <v>676.76923076923072</v>
      </c>
      <c r="H45" s="91">
        <f>IF(6&lt;='I_Inputs &amp; Assumptions'!$B$8,IF('I_Budget Input Data'!$E$45="Upfront",IF(6=1,'I_Budget Input Data'!$D$45,0),IF('I_Budget Input Data'!$E$45="Equal",'I_Budget Input Data'!$D$45/'I_Inputs &amp; Assumptions'!$B$8,IF('I_Budget Input Data'!$E$45="Front-loaded",IF(6&lt;='I_Inputs &amp; Assumptions'!$B$8/2,'I_Budget Input Data'!$D$45*0.6/('I_Inputs &amp; Assumptions'!$B$8/2),'I_Budget Input Data'!$D$45*0.4/('I_Inputs &amp; Assumptions'!$B$8/2)),IF('I_Budget Input Data'!$E$45="Back-loaded",IF(6&lt;='I_Inputs &amp; Assumptions'!$B$8/2,'I_Budget Input Data'!$D$45*0.4/('I_Inputs &amp; Assumptions'!$B$8/2),'I_Budget Input Data'!$D$45*0.6/('I_Inputs &amp; Assumptions'!$B$8/2)),IF('I_Budget Input Data'!$E$45="Mid-weighted",IF(6&lt;='I_Inputs &amp; Assumptions'!$B$8/4,'I_Budget Input Data'!$D$45*0.2/('I_Inputs &amp; Assumptions'!$B$8/4),IF(6&lt;='I_Inputs &amp; Assumptions'!$B$8*0.75,'I_Budget Input Data'!$D$45*0.6/('I_Inputs &amp; Assumptions'!$B$8/2),'I_Budget Input Data'!$D$45*0.2/('I_Inputs &amp; Assumptions'!$B$8/4))),IF('I_Budget Input Data'!$E$45="At Completion",IF(6='I_Inputs &amp; Assumptions'!$B$8,'I_Budget Input Data'!$D$45,0),'I_Budget Input Data'!$D$45/'I_Inputs &amp; Assumptions'!$B$8)))))),0)</f>
        <v>676.76923076923072</v>
      </c>
      <c r="I45" s="91">
        <f>IF(7&lt;='I_Inputs &amp; Assumptions'!$B$8,IF('I_Budget Input Data'!$E$45="Upfront",IF(7=1,'I_Budget Input Data'!$D$45,0),IF('I_Budget Input Data'!$E$45="Equal",'I_Budget Input Data'!$D$45/'I_Inputs &amp; Assumptions'!$B$8,IF('I_Budget Input Data'!$E$45="Front-loaded",IF(7&lt;='I_Inputs &amp; Assumptions'!$B$8/2,'I_Budget Input Data'!$D$45*0.6/('I_Inputs &amp; Assumptions'!$B$8/2),'I_Budget Input Data'!$D$45*0.4/('I_Inputs &amp; Assumptions'!$B$8/2)),IF('I_Budget Input Data'!$E$45="Back-loaded",IF(7&lt;='I_Inputs &amp; Assumptions'!$B$8/2,'I_Budget Input Data'!$D$45*0.4/('I_Inputs &amp; Assumptions'!$B$8/2),'I_Budget Input Data'!$D$45*0.6/('I_Inputs &amp; Assumptions'!$B$8/2)),IF('I_Budget Input Data'!$E$45="Mid-weighted",IF(7&lt;='I_Inputs &amp; Assumptions'!$B$8/4,'I_Budget Input Data'!$D$45*0.2/('I_Inputs &amp; Assumptions'!$B$8/4),IF(7&lt;='I_Inputs &amp; Assumptions'!$B$8*0.75,'I_Budget Input Data'!$D$45*0.6/('I_Inputs &amp; Assumptions'!$B$8/2),'I_Budget Input Data'!$D$45*0.2/('I_Inputs &amp; Assumptions'!$B$8/4))),IF('I_Budget Input Data'!$E$45="At Completion",IF(7='I_Inputs &amp; Assumptions'!$B$8,'I_Budget Input Data'!$D$45,0),'I_Budget Input Data'!$D$45/'I_Inputs &amp; Assumptions'!$B$8)))))),0)</f>
        <v>676.76923076923072</v>
      </c>
      <c r="J45" s="91">
        <f>IF(8&lt;='I_Inputs &amp; Assumptions'!$B$8,IF('I_Budget Input Data'!$E$45="Upfront",IF(8=1,'I_Budget Input Data'!$D$45,0),IF('I_Budget Input Data'!$E$45="Equal",'I_Budget Input Data'!$D$45/'I_Inputs &amp; Assumptions'!$B$8,IF('I_Budget Input Data'!$E$45="Front-loaded",IF(8&lt;='I_Inputs &amp; Assumptions'!$B$8/2,'I_Budget Input Data'!$D$45*0.6/('I_Inputs &amp; Assumptions'!$B$8/2),'I_Budget Input Data'!$D$45*0.4/('I_Inputs &amp; Assumptions'!$B$8/2)),IF('I_Budget Input Data'!$E$45="Back-loaded",IF(8&lt;='I_Inputs &amp; Assumptions'!$B$8/2,'I_Budget Input Data'!$D$45*0.4/('I_Inputs &amp; Assumptions'!$B$8/2),'I_Budget Input Data'!$D$45*0.6/('I_Inputs &amp; Assumptions'!$B$8/2)),IF('I_Budget Input Data'!$E$45="Mid-weighted",IF(8&lt;='I_Inputs &amp; Assumptions'!$B$8/4,'I_Budget Input Data'!$D$45*0.2/('I_Inputs &amp; Assumptions'!$B$8/4),IF(8&lt;='I_Inputs &amp; Assumptions'!$B$8*0.75,'I_Budget Input Data'!$D$45*0.6/('I_Inputs &amp; Assumptions'!$B$8/2),'I_Budget Input Data'!$D$45*0.2/('I_Inputs &amp; Assumptions'!$B$8/4))),IF('I_Budget Input Data'!$E$45="At Completion",IF(8='I_Inputs &amp; Assumptions'!$B$8,'I_Budget Input Data'!$D$45,0),'I_Budget Input Data'!$D$45/'I_Inputs &amp; Assumptions'!$B$8)))))),0)</f>
        <v>676.76923076923072</v>
      </c>
      <c r="K45" s="91">
        <f>IF(9&lt;='I_Inputs &amp; Assumptions'!$B$8,IF('I_Budget Input Data'!$E$45="Upfront",IF(9=1,'I_Budget Input Data'!$D$45,0),IF('I_Budget Input Data'!$E$45="Equal",'I_Budget Input Data'!$D$45/'I_Inputs &amp; Assumptions'!$B$8,IF('I_Budget Input Data'!$E$45="Front-loaded",IF(9&lt;='I_Inputs &amp; Assumptions'!$B$8/2,'I_Budget Input Data'!$D$45*0.6/('I_Inputs &amp; Assumptions'!$B$8/2),'I_Budget Input Data'!$D$45*0.4/('I_Inputs &amp; Assumptions'!$B$8/2)),IF('I_Budget Input Data'!$E$45="Back-loaded",IF(9&lt;='I_Inputs &amp; Assumptions'!$B$8/2,'I_Budget Input Data'!$D$45*0.4/('I_Inputs &amp; Assumptions'!$B$8/2),'I_Budget Input Data'!$D$45*0.6/('I_Inputs &amp; Assumptions'!$B$8/2)),IF('I_Budget Input Data'!$E$45="Mid-weighted",IF(9&lt;='I_Inputs &amp; Assumptions'!$B$8/4,'I_Budget Input Data'!$D$45*0.2/('I_Inputs &amp; Assumptions'!$B$8/4),IF(9&lt;='I_Inputs &amp; Assumptions'!$B$8*0.75,'I_Budget Input Data'!$D$45*0.6/('I_Inputs &amp; Assumptions'!$B$8/2),'I_Budget Input Data'!$D$45*0.2/('I_Inputs &amp; Assumptions'!$B$8/4))),IF('I_Budget Input Data'!$E$45="At Completion",IF(9='I_Inputs &amp; Assumptions'!$B$8,'I_Budget Input Data'!$D$45,0),'I_Budget Input Data'!$D$45/'I_Inputs &amp; Assumptions'!$B$8)))))),0)</f>
        <v>676.76923076923072</v>
      </c>
      <c r="L45" s="91">
        <f>IF(10&lt;='I_Inputs &amp; Assumptions'!$B$8,IF('I_Budget Input Data'!$E$45="Upfront",IF(10=1,'I_Budget Input Data'!$D$45,0),IF('I_Budget Input Data'!$E$45="Equal",'I_Budget Input Data'!$D$45/'I_Inputs &amp; Assumptions'!$B$8,IF('I_Budget Input Data'!$E$45="Front-loaded",IF(10&lt;='I_Inputs &amp; Assumptions'!$B$8/2,'I_Budget Input Data'!$D$45*0.6/('I_Inputs &amp; Assumptions'!$B$8/2),'I_Budget Input Data'!$D$45*0.4/('I_Inputs &amp; Assumptions'!$B$8/2)),IF('I_Budget Input Data'!$E$45="Back-loaded",IF(10&lt;='I_Inputs &amp; Assumptions'!$B$8/2,'I_Budget Input Data'!$D$45*0.4/('I_Inputs &amp; Assumptions'!$B$8/2),'I_Budget Input Data'!$D$45*0.6/('I_Inputs &amp; Assumptions'!$B$8/2)),IF('I_Budget Input Data'!$E$45="Mid-weighted",IF(10&lt;='I_Inputs &amp; Assumptions'!$B$8/4,'I_Budget Input Data'!$D$45*0.2/('I_Inputs &amp; Assumptions'!$B$8/4),IF(10&lt;='I_Inputs &amp; Assumptions'!$B$8*0.75,'I_Budget Input Data'!$D$45*0.6/('I_Inputs &amp; Assumptions'!$B$8/2),'I_Budget Input Data'!$D$45*0.2/('I_Inputs &amp; Assumptions'!$B$8/4))),IF('I_Budget Input Data'!$E$45="At Completion",IF(10='I_Inputs &amp; Assumptions'!$B$8,'I_Budget Input Data'!$D$45,0),'I_Budget Input Data'!$D$45/'I_Inputs &amp; Assumptions'!$B$8)))))),0)</f>
        <v>676.76923076923072</v>
      </c>
      <c r="M45" s="91">
        <f>IF(11&lt;='I_Inputs &amp; Assumptions'!$B$8,IF('I_Budget Input Data'!$E$45="Upfront",IF(11=1,'I_Budget Input Data'!$D$45,0),IF('I_Budget Input Data'!$E$45="Equal",'I_Budget Input Data'!$D$45/'I_Inputs &amp; Assumptions'!$B$8,IF('I_Budget Input Data'!$E$45="Front-loaded",IF(11&lt;='I_Inputs &amp; Assumptions'!$B$8/2,'I_Budget Input Data'!$D$45*0.6/('I_Inputs &amp; Assumptions'!$B$8/2),'I_Budget Input Data'!$D$45*0.4/('I_Inputs &amp; Assumptions'!$B$8/2)),IF('I_Budget Input Data'!$E$45="Back-loaded",IF(11&lt;='I_Inputs &amp; Assumptions'!$B$8/2,'I_Budget Input Data'!$D$45*0.4/('I_Inputs &amp; Assumptions'!$B$8/2),'I_Budget Input Data'!$D$45*0.6/('I_Inputs &amp; Assumptions'!$B$8/2)),IF('I_Budget Input Data'!$E$45="Mid-weighted",IF(11&lt;='I_Inputs &amp; Assumptions'!$B$8/4,'I_Budget Input Data'!$D$45*0.2/('I_Inputs &amp; Assumptions'!$B$8/4),IF(11&lt;='I_Inputs &amp; Assumptions'!$B$8*0.75,'I_Budget Input Data'!$D$45*0.6/('I_Inputs &amp; Assumptions'!$B$8/2),'I_Budget Input Data'!$D$45*0.2/('I_Inputs &amp; Assumptions'!$B$8/4))),IF('I_Budget Input Data'!$E$45="At Completion",IF(11='I_Inputs &amp; Assumptions'!$B$8,'I_Budget Input Data'!$D$45,0),'I_Budget Input Data'!$D$45/'I_Inputs &amp; Assumptions'!$B$8)))))),0)</f>
        <v>676.76923076923072</v>
      </c>
      <c r="N45" s="91">
        <f>IF(12&lt;='I_Inputs &amp; Assumptions'!$B$8,IF('I_Budget Input Data'!$E$45="Upfront",IF(12=1,'I_Budget Input Data'!$D$45,0),IF('I_Budget Input Data'!$E$45="Equal",'I_Budget Input Data'!$D$45/'I_Inputs &amp; Assumptions'!$B$8,IF('I_Budget Input Data'!$E$45="Front-loaded",IF(12&lt;='I_Inputs &amp; Assumptions'!$B$8/2,'I_Budget Input Data'!$D$45*0.6/('I_Inputs &amp; Assumptions'!$B$8/2),'I_Budget Input Data'!$D$45*0.4/('I_Inputs &amp; Assumptions'!$B$8/2)),IF('I_Budget Input Data'!$E$45="Back-loaded",IF(12&lt;='I_Inputs &amp; Assumptions'!$B$8/2,'I_Budget Input Data'!$D$45*0.4/('I_Inputs &amp; Assumptions'!$B$8/2),'I_Budget Input Data'!$D$45*0.6/('I_Inputs &amp; Assumptions'!$B$8/2)),IF('I_Budget Input Data'!$E$45="Mid-weighted",IF(12&lt;='I_Inputs &amp; Assumptions'!$B$8/4,'I_Budget Input Data'!$D$45*0.2/('I_Inputs &amp; Assumptions'!$B$8/4),IF(12&lt;='I_Inputs &amp; Assumptions'!$B$8*0.75,'I_Budget Input Data'!$D$45*0.6/('I_Inputs &amp; Assumptions'!$B$8/2),'I_Budget Input Data'!$D$45*0.2/('I_Inputs &amp; Assumptions'!$B$8/4))),IF('I_Budget Input Data'!$E$45="At Completion",IF(12='I_Inputs &amp; Assumptions'!$B$8,'I_Budget Input Data'!$D$45,0),'I_Budget Input Data'!$D$45/'I_Inputs &amp; Assumptions'!$B$8)))))),0)</f>
        <v>676.76923076923072</v>
      </c>
      <c r="O45" s="91">
        <f>IF(13&lt;='I_Inputs &amp; Assumptions'!$B$8,IF('I_Budget Input Data'!$E$45="Upfront",IF(13=1,'I_Budget Input Data'!$D$45,0),IF('I_Budget Input Data'!$E$45="Equal",'I_Budget Input Data'!$D$45/'I_Inputs &amp; Assumptions'!$B$8,IF('I_Budget Input Data'!$E$45="Front-loaded",IF(13&lt;='I_Inputs &amp; Assumptions'!$B$8/2,'I_Budget Input Data'!$D$45*0.6/('I_Inputs &amp; Assumptions'!$B$8/2),'I_Budget Input Data'!$D$45*0.4/('I_Inputs &amp; Assumptions'!$B$8/2)),IF('I_Budget Input Data'!$E$45="Back-loaded",IF(13&lt;='I_Inputs &amp; Assumptions'!$B$8/2,'I_Budget Input Data'!$D$45*0.4/('I_Inputs &amp; Assumptions'!$B$8/2),'I_Budget Input Data'!$D$45*0.6/('I_Inputs &amp; Assumptions'!$B$8/2)),IF('I_Budget Input Data'!$E$45="Mid-weighted",IF(13&lt;='I_Inputs &amp; Assumptions'!$B$8/4,'I_Budget Input Data'!$D$45*0.2/('I_Inputs &amp; Assumptions'!$B$8/4),IF(13&lt;='I_Inputs &amp; Assumptions'!$B$8*0.75,'I_Budget Input Data'!$D$45*0.6/('I_Inputs &amp; Assumptions'!$B$8/2),'I_Budget Input Data'!$D$45*0.2/('I_Inputs &amp; Assumptions'!$B$8/4))),IF('I_Budget Input Data'!$E$45="At Completion",IF(13='I_Inputs &amp; Assumptions'!$B$8,'I_Budget Input Data'!$D$45,0),'I_Budget Input Data'!$D$45/'I_Inputs &amp; Assumptions'!$B$8)))))),0)</f>
        <v>676.76923076923072</v>
      </c>
      <c r="P45" s="91">
        <f>IF(14&lt;='I_Inputs &amp; Assumptions'!$B$8,IF('I_Budget Input Data'!$E$45="Upfront",IF(14=1,'I_Budget Input Data'!$D$45,0),IF('I_Budget Input Data'!$E$45="Equal",'I_Budget Input Data'!$D$45/'I_Inputs &amp; Assumptions'!$B$8,IF('I_Budget Input Data'!$E$45="Front-loaded",IF(14&lt;='I_Inputs &amp; Assumptions'!$B$8/2,'I_Budget Input Data'!$D$45*0.6/('I_Inputs &amp; Assumptions'!$B$8/2),'I_Budget Input Data'!$D$45*0.4/('I_Inputs &amp; Assumptions'!$B$8/2)),IF('I_Budget Input Data'!$E$45="Back-loaded",IF(14&lt;='I_Inputs &amp; Assumptions'!$B$8/2,'I_Budget Input Data'!$D$45*0.4/('I_Inputs &amp; Assumptions'!$B$8/2),'I_Budget Input Data'!$D$45*0.6/('I_Inputs &amp; Assumptions'!$B$8/2)),IF('I_Budget Input Data'!$E$45="Mid-weighted",IF(14&lt;='I_Inputs &amp; Assumptions'!$B$8/4,'I_Budget Input Data'!$D$45*0.2/('I_Inputs &amp; Assumptions'!$B$8/4),IF(14&lt;='I_Inputs &amp; Assumptions'!$B$8*0.75,'I_Budget Input Data'!$D$45*0.6/('I_Inputs &amp; Assumptions'!$B$8/2),'I_Budget Input Data'!$D$45*0.2/('I_Inputs &amp; Assumptions'!$B$8/4))),IF('I_Budget Input Data'!$E$45="At Completion",IF(14='I_Inputs &amp; Assumptions'!$B$8,'I_Budget Input Data'!$D$45,0),'I_Budget Input Data'!$D$45/'I_Inputs &amp; Assumptions'!$B$8)))))),0)</f>
        <v>0</v>
      </c>
      <c r="Q45" s="91">
        <f>IF(15&lt;='I_Inputs &amp; Assumptions'!$B$8,IF('I_Budget Input Data'!$E$45="Upfront",IF(15=1,'I_Budget Input Data'!$D$45,0),IF('I_Budget Input Data'!$E$45="Equal",'I_Budget Input Data'!$D$45/'I_Inputs &amp; Assumptions'!$B$8,IF('I_Budget Input Data'!$E$45="Front-loaded",IF(15&lt;='I_Inputs &amp; Assumptions'!$B$8/2,'I_Budget Input Data'!$D$45*0.6/('I_Inputs &amp; Assumptions'!$B$8/2),'I_Budget Input Data'!$D$45*0.4/('I_Inputs &amp; Assumptions'!$B$8/2)),IF('I_Budget Input Data'!$E$45="Back-loaded",IF(15&lt;='I_Inputs &amp; Assumptions'!$B$8/2,'I_Budget Input Data'!$D$45*0.4/('I_Inputs &amp; Assumptions'!$B$8/2),'I_Budget Input Data'!$D$45*0.6/('I_Inputs &amp; Assumptions'!$B$8/2)),IF('I_Budget Input Data'!$E$45="Mid-weighted",IF(15&lt;='I_Inputs &amp; Assumptions'!$B$8/4,'I_Budget Input Data'!$D$45*0.2/('I_Inputs &amp; Assumptions'!$B$8/4),IF(15&lt;='I_Inputs &amp; Assumptions'!$B$8*0.75,'I_Budget Input Data'!$D$45*0.6/('I_Inputs &amp; Assumptions'!$B$8/2),'I_Budget Input Data'!$D$45*0.2/('I_Inputs &amp; Assumptions'!$B$8/4))),IF('I_Budget Input Data'!$E$45="At Completion",IF(15='I_Inputs &amp; Assumptions'!$B$8,'I_Budget Input Data'!$D$45,0),'I_Budget Input Data'!$D$45/'I_Inputs &amp; Assumptions'!$B$8)))))),0)</f>
        <v>0</v>
      </c>
      <c r="R45" s="91">
        <f>IF(16&lt;='I_Inputs &amp; Assumptions'!$B$8,IF('I_Budget Input Data'!$E$45="Upfront",IF(16=1,'I_Budget Input Data'!$D$45,0),IF('I_Budget Input Data'!$E$45="Equal",'I_Budget Input Data'!$D$45/'I_Inputs &amp; Assumptions'!$B$8,IF('I_Budget Input Data'!$E$45="Front-loaded",IF(16&lt;='I_Inputs &amp; Assumptions'!$B$8/2,'I_Budget Input Data'!$D$45*0.6/('I_Inputs &amp; Assumptions'!$B$8/2),'I_Budget Input Data'!$D$45*0.4/('I_Inputs &amp; Assumptions'!$B$8/2)),IF('I_Budget Input Data'!$E$45="Back-loaded",IF(16&lt;='I_Inputs &amp; Assumptions'!$B$8/2,'I_Budget Input Data'!$D$45*0.4/('I_Inputs &amp; Assumptions'!$B$8/2),'I_Budget Input Data'!$D$45*0.6/('I_Inputs &amp; Assumptions'!$B$8/2)),IF('I_Budget Input Data'!$E$45="Mid-weighted",IF(16&lt;='I_Inputs &amp; Assumptions'!$B$8/4,'I_Budget Input Data'!$D$45*0.2/('I_Inputs &amp; Assumptions'!$B$8/4),IF(16&lt;='I_Inputs &amp; Assumptions'!$B$8*0.75,'I_Budget Input Data'!$D$45*0.6/('I_Inputs &amp; Assumptions'!$B$8/2),'I_Budget Input Data'!$D$45*0.2/('I_Inputs &amp; Assumptions'!$B$8/4))),IF('I_Budget Input Data'!$E$45="At Completion",IF(16='I_Inputs &amp; Assumptions'!$B$8,'I_Budget Input Data'!$D$45,0),'I_Budget Input Data'!$D$45/'I_Inputs &amp; Assumptions'!$B$8)))))),0)</f>
        <v>0</v>
      </c>
      <c r="S45" s="91">
        <f>IF(17&lt;='I_Inputs &amp; Assumptions'!$B$8,IF('I_Budget Input Data'!$E$45="Upfront",IF(17=1,'I_Budget Input Data'!$D$45,0),IF('I_Budget Input Data'!$E$45="Equal",'I_Budget Input Data'!$D$45/'I_Inputs &amp; Assumptions'!$B$8,IF('I_Budget Input Data'!$E$45="Front-loaded",IF(17&lt;='I_Inputs &amp; Assumptions'!$B$8/2,'I_Budget Input Data'!$D$45*0.6/('I_Inputs &amp; Assumptions'!$B$8/2),'I_Budget Input Data'!$D$45*0.4/('I_Inputs &amp; Assumptions'!$B$8/2)),IF('I_Budget Input Data'!$E$45="Back-loaded",IF(17&lt;='I_Inputs &amp; Assumptions'!$B$8/2,'I_Budget Input Data'!$D$45*0.4/('I_Inputs &amp; Assumptions'!$B$8/2),'I_Budget Input Data'!$D$45*0.6/('I_Inputs &amp; Assumptions'!$B$8/2)),IF('I_Budget Input Data'!$E$45="Mid-weighted",IF(17&lt;='I_Inputs &amp; Assumptions'!$B$8/4,'I_Budget Input Data'!$D$45*0.2/('I_Inputs &amp; Assumptions'!$B$8/4),IF(17&lt;='I_Inputs &amp; Assumptions'!$B$8*0.75,'I_Budget Input Data'!$D$45*0.6/('I_Inputs &amp; Assumptions'!$B$8/2),'I_Budget Input Data'!$D$45*0.2/('I_Inputs &amp; Assumptions'!$B$8/4))),IF('I_Budget Input Data'!$E$45="At Completion",IF(17='I_Inputs &amp; Assumptions'!$B$8,'I_Budget Input Data'!$D$45,0),'I_Budget Input Data'!$D$45/'I_Inputs &amp; Assumptions'!$B$8)))))),0)</f>
        <v>0</v>
      </c>
      <c r="T45" s="91">
        <f>IF(18&lt;='I_Inputs &amp; Assumptions'!$B$8,IF('I_Budget Input Data'!$E$45="Upfront",IF(18=1,'I_Budget Input Data'!$D$45,0),IF('I_Budget Input Data'!$E$45="Equal",'I_Budget Input Data'!$D$45/'I_Inputs &amp; Assumptions'!$B$8,IF('I_Budget Input Data'!$E$45="Front-loaded",IF(18&lt;='I_Inputs &amp; Assumptions'!$B$8/2,'I_Budget Input Data'!$D$45*0.6/('I_Inputs &amp; Assumptions'!$B$8/2),'I_Budget Input Data'!$D$45*0.4/('I_Inputs &amp; Assumptions'!$B$8/2)),IF('I_Budget Input Data'!$E$45="Back-loaded",IF(18&lt;='I_Inputs &amp; Assumptions'!$B$8/2,'I_Budget Input Data'!$D$45*0.4/('I_Inputs &amp; Assumptions'!$B$8/2),'I_Budget Input Data'!$D$45*0.6/('I_Inputs &amp; Assumptions'!$B$8/2)),IF('I_Budget Input Data'!$E$45="Mid-weighted",IF(18&lt;='I_Inputs &amp; Assumptions'!$B$8/4,'I_Budget Input Data'!$D$45*0.2/('I_Inputs &amp; Assumptions'!$B$8/4),IF(18&lt;='I_Inputs &amp; Assumptions'!$B$8*0.75,'I_Budget Input Data'!$D$45*0.6/('I_Inputs &amp; Assumptions'!$B$8/2),'I_Budget Input Data'!$D$45*0.2/('I_Inputs &amp; Assumptions'!$B$8/4))),IF('I_Budget Input Data'!$E$45="At Completion",IF(18='I_Inputs &amp; Assumptions'!$B$8,'I_Budget Input Data'!$D$45,0),'I_Budget Input Data'!$D$45/'I_Inputs &amp; Assumptions'!$B$8)))))),0)</f>
        <v>0</v>
      </c>
      <c r="U45" s="91">
        <f>IF(19&lt;='I_Inputs &amp; Assumptions'!$B$8,IF('I_Budget Input Data'!$E$45="Upfront",IF(19=1,'I_Budget Input Data'!$D$45,0),IF('I_Budget Input Data'!$E$45="Equal",'I_Budget Input Data'!$D$45/'I_Inputs &amp; Assumptions'!$B$8,IF('I_Budget Input Data'!$E$45="Front-loaded",IF(19&lt;='I_Inputs &amp; Assumptions'!$B$8/2,'I_Budget Input Data'!$D$45*0.6/('I_Inputs &amp; Assumptions'!$B$8/2),'I_Budget Input Data'!$D$45*0.4/('I_Inputs &amp; Assumptions'!$B$8/2)),IF('I_Budget Input Data'!$E$45="Back-loaded",IF(19&lt;='I_Inputs &amp; Assumptions'!$B$8/2,'I_Budget Input Data'!$D$45*0.4/('I_Inputs &amp; Assumptions'!$B$8/2),'I_Budget Input Data'!$D$45*0.6/('I_Inputs &amp; Assumptions'!$B$8/2)),IF('I_Budget Input Data'!$E$45="Mid-weighted",IF(19&lt;='I_Inputs &amp; Assumptions'!$B$8/4,'I_Budget Input Data'!$D$45*0.2/('I_Inputs &amp; Assumptions'!$B$8/4),IF(19&lt;='I_Inputs &amp; Assumptions'!$B$8*0.75,'I_Budget Input Data'!$D$45*0.6/('I_Inputs &amp; Assumptions'!$B$8/2),'I_Budget Input Data'!$D$45*0.2/('I_Inputs &amp; Assumptions'!$B$8/4))),IF('I_Budget Input Data'!$E$45="At Completion",IF(19='I_Inputs &amp; Assumptions'!$B$8,'I_Budget Input Data'!$D$45,0),'I_Budget Input Data'!$D$45/'I_Inputs &amp; Assumptions'!$B$8)))))),0)</f>
        <v>0</v>
      </c>
      <c r="V45" s="91">
        <f>IF(20&lt;='I_Inputs &amp; Assumptions'!$B$8,IF('I_Budget Input Data'!$E$45="Upfront",IF(20=1,'I_Budget Input Data'!$D$45,0),IF('I_Budget Input Data'!$E$45="Equal",'I_Budget Input Data'!$D$45/'I_Inputs &amp; Assumptions'!$B$8,IF('I_Budget Input Data'!$E$45="Front-loaded",IF(20&lt;='I_Inputs &amp; Assumptions'!$B$8/2,'I_Budget Input Data'!$D$45*0.6/('I_Inputs &amp; Assumptions'!$B$8/2),'I_Budget Input Data'!$D$45*0.4/('I_Inputs &amp; Assumptions'!$B$8/2)),IF('I_Budget Input Data'!$E$45="Back-loaded",IF(20&lt;='I_Inputs &amp; Assumptions'!$B$8/2,'I_Budget Input Data'!$D$45*0.4/('I_Inputs &amp; Assumptions'!$B$8/2),'I_Budget Input Data'!$D$45*0.6/('I_Inputs &amp; Assumptions'!$B$8/2)),IF('I_Budget Input Data'!$E$45="Mid-weighted",IF(20&lt;='I_Inputs &amp; Assumptions'!$B$8/4,'I_Budget Input Data'!$D$45*0.2/('I_Inputs &amp; Assumptions'!$B$8/4),IF(20&lt;='I_Inputs &amp; Assumptions'!$B$8*0.75,'I_Budget Input Data'!$D$45*0.6/('I_Inputs &amp; Assumptions'!$B$8/2),'I_Budget Input Data'!$D$45*0.2/('I_Inputs &amp; Assumptions'!$B$8/4))),IF('I_Budget Input Data'!$E$45="At Completion",IF(20='I_Inputs &amp; Assumptions'!$B$8,'I_Budget Input Data'!$D$45,0),'I_Budget Input Data'!$D$45/'I_Inputs &amp; Assumptions'!$B$8)))))),0)</f>
        <v>0</v>
      </c>
      <c r="W45" s="91">
        <f>IF(21&lt;='I_Inputs &amp; Assumptions'!$B$8,IF('I_Budget Input Data'!$E$45="Upfront",IF(21=1,'I_Budget Input Data'!$D$45,0),IF('I_Budget Input Data'!$E$45="Equal",'I_Budget Input Data'!$D$45/'I_Inputs &amp; Assumptions'!$B$8,IF('I_Budget Input Data'!$E$45="Front-loaded",IF(21&lt;='I_Inputs &amp; Assumptions'!$B$8/2,'I_Budget Input Data'!$D$45*0.6/('I_Inputs &amp; Assumptions'!$B$8/2),'I_Budget Input Data'!$D$45*0.4/('I_Inputs &amp; Assumptions'!$B$8/2)),IF('I_Budget Input Data'!$E$45="Back-loaded",IF(21&lt;='I_Inputs &amp; Assumptions'!$B$8/2,'I_Budget Input Data'!$D$45*0.4/('I_Inputs &amp; Assumptions'!$B$8/2),'I_Budget Input Data'!$D$45*0.6/('I_Inputs &amp; Assumptions'!$B$8/2)),IF('I_Budget Input Data'!$E$45="Mid-weighted",IF(21&lt;='I_Inputs &amp; Assumptions'!$B$8/4,'I_Budget Input Data'!$D$45*0.2/('I_Inputs &amp; Assumptions'!$B$8/4),IF(21&lt;='I_Inputs &amp; Assumptions'!$B$8*0.75,'I_Budget Input Data'!$D$45*0.6/('I_Inputs &amp; Assumptions'!$B$8/2),'I_Budget Input Data'!$D$45*0.2/('I_Inputs &amp; Assumptions'!$B$8/4))),IF('I_Budget Input Data'!$E$45="At Completion",IF(21='I_Inputs &amp; Assumptions'!$B$8,'I_Budget Input Data'!$D$45,0),'I_Budget Input Data'!$D$45/'I_Inputs &amp; Assumptions'!$B$8)))))),0)</f>
        <v>0</v>
      </c>
      <c r="X45" s="91">
        <f>IF(22&lt;='I_Inputs &amp; Assumptions'!$B$8,IF('I_Budget Input Data'!$E$45="Upfront",IF(22=1,'I_Budget Input Data'!$D$45,0),IF('I_Budget Input Data'!$E$45="Equal",'I_Budget Input Data'!$D$45/'I_Inputs &amp; Assumptions'!$B$8,IF('I_Budget Input Data'!$E$45="Front-loaded",IF(22&lt;='I_Inputs &amp; Assumptions'!$B$8/2,'I_Budget Input Data'!$D$45*0.6/('I_Inputs &amp; Assumptions'!$B$8/2),'I_Budget Input Data'!$D$45*0.4/('I_Inputs &amp; Assumptions'!$B$8/2)),IF('I_Budget Input Data'!$E$45="Back-loaded",IF(22&lt;='I_Inputs &amp; Assumptions'!$B$8/2,'I_Budget Input Data'!$D$45*0.4/('I_Inputs &amp; Assumptions'!$B$8/2),'I_Budget Input Data'!$D$45*0.6/('I_Inputs &amp; Assumptions'!$B$8/2)),IF('I_Budget Input Data'!$E$45="Mid-weighted",IF(22&lt;='I_Inputs &amp; Assumptions'!$B$8/4,'I_Budget Input Data'!$D$45*0.2/('I_Inputs &amp; Assumptions'!$B$8/4),IF(22&lt;='I_Inputs &amp; Assumptions'!$B$8*0.75,'I_Budget Input Data'!$D$45*0.6/('I_Inputs &amp; Assumptions'!$B$8/2),'I_Budget Input Data'!$D$45*0.2/('I_Inputs &amp; Assumptions'!$B$8/4))),IF('I_Budget Input Data'!$E$45="At Completion",IF(22='I_Inputs &amp; Assumptions'!$B$8,'I_Budget Input Data'!$D$45,0),'I_Budget Input Data'!$D$45/'I_Inputs &amp; Assumptions'!$B$8)))))),0)</f>
        <v>0</v>
      </c>
      <c r="Y45" s="91">
        <f>IF(23&lt;='I_Inputs &amp; Assumptions'!$B$8,IF('I_Budget Input Data'!$E$45="Upfront",IF(23=1,'I_Budget Input Data'!$D$45,0),IF('I_Budget Input Data'!$E$45="Equal",'I_Budget Input Data'!$D$45/'I_Inputs &amp; Assumptions'!$B$8,IF('I_Budget Input Data'!$E$45="Front-loaded",IF(23&lt;='I_Inputs &amp; Assumptions'!$B$8/2,'I_Budget Input Data'!$D$45*0.6/('I_Inputs &amp; Assumptions'!$B$8/2),'I_Budget Input Data'!$D$45*0.4/('I_Inputs &amp; Assumptions'!$B$8/2)),IF('I_Budget Input Data'!$E$45="Back-loaded",IF(23&lt;='I_Inputs &amp; Assumptions'!$B$8/2,'I_Budget Input Data'!$D$45*0.4/('I_Inputs &amp; Assumptions'!$B$8/2),'I_Budget Input Data'!$D$45*0.6/('I_Inputs &amp; Assumptions'!$B$8/2)),IF('I_Budget Input Data'!$E$45="Mid-weighted",IF(23&lt;='I_Inputs &amp; Assumptions'!$B$8/4,'I_Budget Input Data'!$D$45*0.2/('I_Inputs &amp; Assumptions'!$B$8/4),IF(23&lt;='I_Inputs &amp; Assumptions'!$B$8*0.75,'I_Budget Input Data'!$D$45*0.6/('I_Inputs &amp; Assumptions'!$B$8/2),'I_Budget Input Data'!$D$45*0.2/('I_Inputs &amp; Assumptions'!$B$8/4))),IF('I_Budget Input Data'!$E$45="At Completion",IF(23='I_Inputs &amp; Assumptions'!$B$8,'I_Budget Input Data'!$D$45,0),'I_Budget Input Data'!$D$45/'I_Inputs &amp; Assumptions'!$B$8)))))),0)</f>
        <v>0</v>
      </c>
      <c r="Z45" s="91">
        <f>IF(24&lt;='I_Inputs &amp; Assumptions'!$B$8,IF('I_Budget Input Data'!$E$45="Upfront",IF(24=1,'I_Budget Input Data'!$D$45,0),IF('I_Budget Input Data'!$E$45="Equal",'I_Budget Input Data'!$D$45/'I_Inputs &amp; Assumptions'!$B$8,IF('I_Budget Input Data'!$E$45="Front-loaded",IF(24&lt;='I_Inputs &amp; Assumptions'!$B$8/2,'I_Budget Input Data'!$D$45*0.6/('I_Inputs &amp; Assumptions'!$B$8/2),'I_Budget Input Data'!$D$45*0.4/('I_Inputs &amp; Assumptions'!$B$8/2)),IF('I_Budget Input Data'!$E$45="Back-loaded",IF(24&lt;='I_Inputs &amp; Assumptions'!$B$8/2,'I_Budget Input Data'!$D$45*0.4/('I_Inputs &amp; Assumptions'!$B$8/2),'I_Budget Input Data'!$D$45*0.6/('I_Inputs &amp; Assumptions'!$B$8/2)),IF('I_Budget Input Data'!$E$45="Mid-weighted",IF(24&lt;='I_Inputs &amp; Assumptions'!$B$8/4,'I_Budget Input Data'!$D$45*0.2/('I_Inputs &amp; Assumptions'!$B$8/4),IF(24&lt;='I_Inputs &amp; Assumptions'!$B$8*0.75,'I_Budget Input Data'!$D$45*0.6/('I_Inputs &amp; Assumptions'!$B$8/2),'I_Budget Input Data'!$D$45*0.2/('I_Inputs &amp; Assumptions'!$B$8/4))),IF('I_Budget Input Data'!$E$45="At Completion",IF(24='I_Inputs &amp; Assumptions'!$B$8,'I_Budget Input Data'!$D$45,0),'I_Budget Input Data'!$D$45/'I_Inputs &amp; Assumptions'!$B$8)))))),0)</f>
        <v>0</v>
      </c>
      <c r="AA45" s="91">
        <f>IF(25&lt;='I_Inputs &amp; Assumptions'!$B$8,IF('I_Budget Input Data'!$E$45="Upfront",IF(25=1,'I_Budget Input Data'!$D$45,0),IF('I_Budget Input Data'!$E$45="Equal",'I_Budget Input Data'!$D$45/'I_Inputs &amp; Assumptions'!$B$8,IF('I_Budget Input Data'!$E$45="Front-loaded",IF(25&lt;='I_Inputs &amp; Assumptions'!$B$8/2,'I_Budget Input Data'!$D$45*0.6/('I_Inputs &amp; Assumptions'!$B$8/2),'I_Budget Input Data'!$D$45*0.4/('I_Inputs &amp; Assumptions'!$B$8/2)),IF('I_Budget Input Data'!$E$45="Back-loaded",IF(25&lt;='I_Inputs &amp; Assumptions'!$B$8/2,'I_Budget Input Data'!$D$45*0.4/('I_Inputs &amp; Assumptions'!$B$8/2),'I_Budget Input Data'!$D$45*0.6/('I_Inputs &amp; Assumptions'!$B$8/2)),IF('I_Budget Input Data'!$E$45="Mid-weighted",IF(25&lt;='I_Inputs &amp; Assumptions'!$B$8/4,'I_Budget Input Data'!$D$45*0.2/('I_Inputs &amp; Assumptions'!$B$8/4),IF(25&lt;='I_Inputs &amp; Assumptions'!$B$8*0.75,'I_Budget Input Data'!$D$45*0.6/('I_Inputs &amp; Assumptions'!$B$8/2),'I_Budget Input Data'!$D$45*0.2/('I_Inputs &amp; Assumptions'!$B$8/4))),IF('I_Budget Input Data'!$E$45="At Completion",IF(25='I_Inputs &amp; Assumptions'!$B$8,'I_Budget Input Data'!$D$45,0),'I_Budget Input Data'!$D$45/'I_Inputs &amp; Assumptions'!$B$8)))))),0)</f>
        <v>0</v>
      </c>
      <c r="AB45" s="91">
        <f>IF(26&lt;='I_Inputs &amp; Assumptions'!$B$8,IF('I_Budget Input Data'!$E$45="Upfront",IF(26=1,'I_Budget Input Data'!$D$45,0),IF('I_Budget Input Data'!$E$45="Equal",'I_Budget Input Data'!$D$45/'I_Inputs &amp; Assumptions'!$B$8,IF('I_Budget Input Data'!$E$45="Front-loaded",IF(26&lt;='I_Inputs &amp; Assumptions'!$B$8/2,'I_Budget Input Data'!$D$45*0.6/('I_Inputs &amp; Assumptions'!$B$8/2),'I_Budget Input Data'!$D$45*0.4/('I_Inputs &amp; Assumptions'!$B$8/2)),IF('I_Budget Input Data'!$E$45="Back-loaded",IF(26&lt;='I_Inputs &amp; Assumptions'!$B$8/2,'I_Budget Input Data'!$D$45*0.4/('I_Inputs &amp; Assumptions'!$B$8/2),'I_Budget Input Data'!$D$45*0.6/('I_Inputs &amp; Assumptions'!$B$8/2)),IF('I_Budget Input Data'!$E$45="Mid-weighted",IF(26&lt;='I_Inputs &amp; Assumptions'!$B$8/4,'I_Budget Input Data'!$D$45*0.2/('I_Inputs &amp; Assumptions'!$B$8/4),IF(26&lt;='I_Inputs &amp; Assumptions'!$B$8*0.75,'I_Budget Input Data'!$D$45*0.6/('I_Inputs &amp; Assumptions'!$B$8/2),'I_Budget Input Data'!$D$45*0.2/('I_Inputs &amp; Assumptions'!$B$8/4))),IF('I_Budget Input Data'!$E$45="At Completion",IF(26='I_Inputs &amp; Assumptions'!$B$8,'I_Budget Input Data'!$D$45,0),'I_Budget Input Data'!$D$45/'I_Inputs &amp; Assumptions'!$B$8)))))),0)</f>
        <v>0</v>
      </c>
      <c r="AC45" s="91">
        <f>IF(27&lt;='I_Inputs &amp; Assumptions'!$B$8,IF('I_Budget Input Data'!$E$45="Upfront",IF(27=1,'I_Budget Input Data'!$D$45,0),IF('I_Budget Input Data'!$E$45="Equal",'I_Budget Input Data'!$D$45/'I_Inputs &amp; Assumptions'!$B$8,IF('I_Budget Input Data'!$E$45="Front-loaded",IF(27&lt;='I_Inputs &amp; Assumptions'!$B$8/2,'I_Budget Input Data'!$D$45*0.6/('I_Inputs &amp; Assumptions'!$B$8/2),'I_Budget Input Data'!$D$45*0.4/('I_Inputs &amp; Assumptions'!$B$8/2)),IF('I_Budget Input Data'!$E$45="Back-loaded",IF(27&lt;='I_Inputs &amp; Assumptions'!$B$8/2,'I_Budget Input Data'!$D$45*0.4/('I_Inputs &amp; Assumptions'!$B$8/2),'I_Budget Input Data'!$D$45*0.6/('I_Inputs &amp; Assumptions'!$B$8/2)),IF('I_Budget Input Data'!$E$45="Mid-weighted",IF(27&lt;='I_Inputs &amp; Assumptions'!$B$8/4,'I_Budget Input Data'!$D$45*0.2/('I_Inputs &amp; Assumptions'!$B$8/4),IF(27&lt;='I_Inputs &amp; Assumptions'!$B$8*0.75,'I_Budget Input Data'!$D$45*0.6/('I_Inputs &amp; Assumptions'!$B$8/2),'I_Budget Input Data'!$D$45*0.2/('I_Inputs &amp; Assumptions'!$B$8/4))),IF('I_Budget Input Data'!$E$45="At Completion",IF(27='I_Inputs &amp; Assumptions'!$B$8,'I_Budget Input Data'!$D$45,0),'I_Budget Input Data'!$D$45/'I_Inputs &amp; Assumptions'!$B$8)))))),0)</f>
        <v>0</v>
      </c>
      <c r="AD45" s="91">
        <f>IF(28&lt;='I_Inputs &amp; Assumptions'!$B$8,IF('I_Budget Input Data'!$E$45="Upfront",IF(28=1,'I_Budget Input Data'!$D$45,0),IF('I_Budget Input Data'!$E$45="Equal",'I_Budget Input Data'!$D$45/'I_Inputs &amp; Assumptions'!$B$8,IF('I_Budget Input Data'!$E$45="Front-loaded",IF(28&lt;='I_Inputs &amp; Assumptions'!$B$8/2,'I_Budget Input Data'!$D$45*0.6/('I_Inputs &amp; Assumptions'!$B$8/2),'I_Budget Input Data'!$D$45*0.4/('I_Inputs &amp; Assumptions'!$B$8/2)),IF('I_Budget Input Data'!$E$45="Back-loaded",IF(28&lt;='I_Inputs &amp; Assumptions'!$B$8/2,'I_Budget Input Data'!$D$45*0.4/('I_Inputs &amp; Assumptions'!$B$8/2),'I_Budget Input Data'!$D$45*0.6/('I_Inputs &amp; Assumptions'!$B$8/2)),IF('I_Budget Input Data'!$E$45="Mid-weighted",IF(28&lt;='I_Inputs &amp; Assumptions'!$B$8/4,'I_Budget Input Data'!$D$45*0.2/('I_Inputs &amp; Assumptions'!$B$8/4),IF(28&lt;='I_Inputs &amp; Assumptions'!$B$8*0.75,'I_Budget Input Data'!$D$45*0.6/('I_Inputs &amp; Assumptions'!$B$8/2),'I_Budget Input Data'!$D$45*0.2/('I_Inputs &amp; Assumptions'!$B$8/4))),IF('I_Budget Input Data'!$E$45="At Completion",IF(28='I_Inputs &amp; Assumptions'!$B$8,'I_Budget Input Data'!$D$45,0),'I_Budget Input Data'!$D$45/'I_Inputs &amp; Assumptions'!$B$8)))))),0)</f>
        <v>0</v>
      </c>
      <c r="AE45" s="91">
        <f>IF(29&lt;='I_Inputs &amp; Assumptions'!$B$8,IF('I_Budget Input Data'!$E$45="Upfront",IF(29=1,'I_Budget Input Data'!$D$45,0),IF('I_Budget Input Data'!$E$45="Equal",'I_Budget Input Data'!$D$45/'I_Inputs &amp; Assumptions'!$B$8,IF('I_Budget Input Data'!$E$45="Front-loaded",IF(29&lt;='I_Inputs &amp; Assumptions'!$B$8/2,'I_Budget Input Data'!$D$45*0.6/('I_Inputs &amp; Assumptions'!$B$8/2),'I_Budget Input Data'!$D$45*0.4/('I_Inputs &amp; Assumptions'!$B$8/2)),IF('I_Budget Input Data'!$E$45="Back-loaded",IF(29&lt;='I_Inputs &amp; Assumptions'!$B$8/2,'I_Budget Input Data'!$D$45*0.4/('I_Inputs &amp; Assumptions'!$B$8/2),'I_Budget Input Data'!$D$45*0.6/('I_Inputs &amp; Assumptions'!$B$8/2)),IF('I_Budget Input Data'!$E$45="Mid-weighted",IF(29&lt;='I_Inputs &amp; Assumptions'!$B$8/4,'I_Budget Input Data'!$D$45*0.2/('I_Inputs &amp; Assumptions'!$B$8/4),IF(29&lt;='I_Inputs &amp; Assumptions'!$B$8*0.75,'I_Budget Input Data'!$D$45*0.6/('I_Inputs &amp; Assumptions'!$B$8/2),'I_Budget Input Data'!$D$45*0.2/('I_Inputs &amp; Assumptions'!$B$8/4))),IF('I_Budget Input Data'!$E$45="At Completion",IF(29='I_Inputs &amp; Assumptions'!$B$8,'I_Budget Input Data'!$D$45,0),'I_Budget Input Data'!$D$45/'I_Inputs &amp; Assumptions'!$B$8)))))),0)</f>
        <v>0</v>
      </c>
      <c r="AF45" s="91">
        <f>IF(30&lt;='I_Inputs &amp; Assumptions'!$B$8,IF('I_Budget Input Data'!$E$45="Upfront",IF(30=1,'I_Budget Input Data'!$D$45,0),IF('I_Budget Input Data'!$E$45="Equal",'I_Budget Input Data'!$D$45/'I_Inputs &amp; Assumptions'!$B$8,IF('I_Budget Input Data'!$E$45="Front-loaded",IF(30&lt;='I_Inputs &amp; Assumptions'!$B$8/2,'I_Budget Input Data'!$D$45*0.6/('I_Inputs &amp; Assumptions'!$B$8/2),'I_Budget Input Data'!$D$45*0.4/('I_Inputs &amp; Assumptions'!$B$8/2)),IF('I_Budget Input Data'!$E$45="Back-loaded",IF(30&lt;='I_Inputs &amp; Assumptions'!$B$8/2,'I_Budget Input Data'!$D$45*0.4/('I_Inputs &amp; Assumptions'!$B$8/2),'I_Budget Input Data'!$D$45*0.6/('I_Inputs &amp; Assumptions'!$B$8/2)),IF('I_Budget Input Data'!$E$45="Mid-weighted",IF(30&lt;='I_Inputs &amp; Assumptions'!$B$8/4,'I_Budget Input Data'!$D$45*0.2/('I_Inputs &amp; Assumptions'!$B$8/4),IF(30&lt;='I_Inputs &amp; Assumptions'!$B$8*0.75,'I_Budget Input Data'!$D$45*0.6/('I_Inputs &amp; Assumptions'!$B$8/2),'I_Budget Input Data'!$D$45*0.2/('I_Inputs &amp; Assumptions'!$B$8/4))),IF('I_Budget Input Data'!$E$45="At Completion",IF(30='I_Inputs &amp; Assumptions'!$B$8,'I_Budget Input Data'!$D$45,0),'I_Budget Input Data'!$D$45/'I_Inputs &amp; Assumptions'!$B$8)))))),0)</f>
        <v>0</v>
      </c>
      <c r="AG45" s="91">
        <f>IF(31&lt;='I_Inputs &amp; Assumptions'!$B$8,IF('I_Budget Input Data'!$E$45="Upfront",IF(31=1,'I_Budget Input Data'!$D$45,0),IF('I_Budget Input Data'!$E$45="Equal",'I_Budget Input Data'!$D$45/'I_Inputs &amp; Assumptions'!$B$8,IF('I_Budget Input Data'!$E$45="Front-loaded",IF(31&lt;='I_Inputs &amp; Assumptions'!$B$8/2,'I_Budget Input Data'!$D$45*0.6/('I_Inputs &amp; Assumptions'!$B$8/2),'I_Budget Input Data'!$D$45*0.4/('I_Inputs &amp; Assumptions'!$B$8/2)),IF('I_Budget Input Data'!$E$45="Back-loaded",IF(31&lt;='I_Inputs &amp; Assumptions'!$B$8/2,'I_Budget Input Data'!$D$45*0.4/('I_Inputs &amp; Assumptions'!$B$8/2),'I_Budget Input Data'!$D$45*0.6/('I_Inputs &amp; Assumptions'!$B$8/2)),IF('I_Budget Input Data'!$E$45="Mid-weighted",IF(31&lt;='I_Inputs &amp; Assumptions'!$B$8/4,'I_Budget Input Data'!$D$45*0.2/('I_Inputs &amp; Assumptions'!$B$8/4),IF(31&lt;='I_Inputs &amp; Assumptions'!$B$8*0.75,'I_Budget Input Data'!$D$45*0.6/('I_Inputs &amp; Assumptions'!$B$8/2),'I_Budget Input Data'!$D$45*0.2/('I_Inputs &amp; Assumptions'!$B$8/4))),IF('I_Budget Input Data'!$E$45="At Completion",IF(31='I_Inputs &amp; Assumptions'!$B$8,'I_Budget Input Data'!$D$45,0),'I_Budget Input Data'!$D$45/'I_Inputs &amp; Assumptions'!$B$8)))))),0)</f>
        <v>0</v>
      </c>
      <c r="AH45" s="91">
        <f>IF(32&lt;='I_Inputs &amp; Assumptions'!$B$8,IF('I_Budget Input Data'!$E$45="Upfront",IF(32=1,'I_Budget Input Data'!$D$45,0),IF('I_Budget Input Data'!$E$45="Equal",'I_Budget Input Data'!$D$45/'I_Inputs &amp; Assumptions'!$B$8,IF('I_Budget Input Data'!$E$45="Front-loaded",IF(32&lt;='I_Inputs &amp; Assumptions'!$B$8/2,'I_Budget Input Data'!$D$45*0.6/('I_Inputs &amp; Assumptions'!$B$8/2),'I_Budget Input Data'!$D$45*0.4/('I_Inputs &amp; Assumptions'!$B$8/2)),IF('I_Budget Input Data'!$E$45="Back-loaded",IF(32&lt;='I_Inputs &amp; Assumptions'!$B$8/2,'I_Budget Input Data'!$D$45*0.4/('I_Inputs &amp; Assumptions'!$B$8/2),'I_Budget Input Data'!$D$45*0.6/('I_Inputs &amp; Assumptions'!$B$8/2)),IF('I_Budget Input Data'!$E$45="Mid-weighted",IF(32&lt;='I_Inputs &amp; Assumptions'!$B$8/4,'I_Budget Input Data'!$D$45*0.2/('I_Inputs &amp; Assumptions'!$B$8/4),IF(32&lt;='I_Inputs &amp; Assumptions'!$B$8*0.75,'I_Budget Input Data'!$D$45*0.6/('I_Inputs &amp; Assumptions'!$B$8/2),'I_Budget Input Data'!$D$45*0.2/('I_Inputs &amp; Assumptions'!$B$8/4))),IF('I_Budget Input Data'!$E$45="At Completion",IF(32='I_Inputs &amp; Assumptions'!$B$8,'I_Budget Input Data'!$D$45,0),'I_Budget Input Data'!$D$45/'I_Inputs &amp; Assumptions'!$B$8)))))),0)</f>
        <v>0</v>
      </c>
      <c r="AI45" s="91">
        <f>IF(33&lt;='I_Inputs &amp; Assumptions'!$B$8,IF('I_Budget Input Data'!$E$45="Upfront",IF(33=1,'I_Budget Input Data'!$D$45,0),IF('I_Budget Input Data'!$E$45="Equal",'I_Budget Input Data'!$D$45/'I_Inputs &amp; Assumptions'!$B$8,IF('I_Budget Input Data'!$E$45="Front-loaded",IF(33&lt;='I_Inputs &amp; Assumptions'!$B$8/2,'I_Budget Input Data'!$D$45*0.6/('I_Inputs &amp; Assumptions'!$B$8/2),'I_Budget Input Data'!$D$45*0.4/('I_Inputs &amp; Assumptions'!$B$8/2)),IF('I_Budget Input Data'!$E$45="Back-loaded",IF(33&lt;='I_Inputs &amp; Assumptions'!$B$8/2,'I_Budget Input Data'!$D$45*0.4/('I_Inputs &amp; Assumptions'!$B$8/2),'I_Budget Input Data'!$D$45*0.6/('I_Inputs &amp; Assumptions'!$B$8/2)),IF('I_Budget Input Data'!$E$45="Mid-weighted",IF(33&lt;='I_Inputs &amp; Assumptions'!$B$8/4,'I_Budget Input Data'!$D$45*0.2/('I_Inputs &amp; Assumptions'!$B$8/4),IF(33&lt;='I_Inputs &amp; Assumptions'!$B$8*0.75,'I_Budget Input Data'!$D$45*0.6/('I_Inputs &amp; Assumptions'!$B$8/2),'I_Budget Input Data'!$D$45*0.2/('I_Inputs &amp; Assumptions'!$B$8/4))),IF('I_Budget Input Data'!$E$45="At Completion",IF(33='I_Inputs &amp; Assumptions'!$B$8,'I_Budget Input Data'!$D$45,0),'I_Budget Input Data'!$D$45/'I_Inputs &amp; Assumptions'!$B$8)))))),0)</f>
        <v>0</v>
      </c>
      <c r="AJ45" s="91">
        <f>IF(34&lt;='I_Inputs &amp; Assumptions'!$B$8,IF('I_Budget Input Data'!$E$45="Upfront",IF(34=1,'I_Budget Input Data'!$D$45,0),IF('I_Budget Input Data'!$E$45="Equal",'I_Budget Input Data'!$D$45/'I_Inputs &amp; Assumptions'!$B$8,IF('I_Budget Input Data'!$E$45="Front-loaded",IF(34&lt;='I_Inputs &amp; Assumptions'!$B$8/2,'I_Budget Input Data'!$D$45*0.6/('I_Inputs &amp; Assumptions'!$B$8/2),'I_Budget Input Data'!$D$45*0.4/('I_Inputs &amp; Assumptions'!$B$8/2)),IF('I_Budget Input Data'!$E$45="Back-loaded",IF(34&lt;='I_Inputs &amp; Assumptions'!$B$8/2,'I_Budget Input Data'!$D$45*0.4/('I_Inputs &amp; Assumptions'!$B$8/2),'I_Budget Input Data'!$D$45*0.6/('I_Inputs &amp; Assumptions'!$B$8/2)),IF('I_Budget Input Data'!$E$45="Mid-weighted",IF(34&lt;='I_Inputs &amp; Assumptions'!$B$8/4,'I_Budget Input Data'!$D$45*0.2/('I_Inputs &amp; Assumptions'!$B$8/4),IF(34&lt;='I_Inputs &amp; Assumptions'!$B$8*0.75,'I_Budget Input Data'!$D$45*0.6/('I_Inputs &amp; Assumptions'!$B$8/2),'I_Budget Input Data'!$D$45*0.2/('I_Inputs &amp; Assumptions'!$B$8/4))),IF('I_Budget Input Data'!$E$45="At Completion",IF(34='I_Inputs &amp; Assumptions'!$B$8,'I_Budget Input Data'!$D$45,0),'I_Budget Input Data'!$D$45/'I_Inputs &amp; Assumptions'!$B$8)))))),0)</f>
        <v>0</v>
      </c>
      <c r="AK45" s="91">
        <f>IF(35&lt;='I_Inputs &amp; Assumptions'!$B$8,IF('I_Budget Input Data'!$E$45="Upfront",IF(35=1,'I_Budget Input Data'!$D$45,0),IF('I_Budget Input Data'!$E$45="Equal",'I_Budget Input Data'!$D$45/'I_Inputs &amp; Assumptions'!$B$8,IF('I_Budget Input Data'!$E$45="Front-loaded",IF(35&lt;='I_Inputs &amp; Assumptions'!$B$8/2,'I_Budget Input Data'!$D$45*0.6/('I_Inputs &amp; Assumptions'!$B$8/2),'I_Budget Input Data'!$D$45*0.4/('I_Inputs &amp; Assumptions'!$B$8/2)),IF('I_Budget Input Data'!$E$45="Back-loaded",IF(35&lt;='I_Inputs &amp; Assumptions'!$B$8/2,'I_Budget Input Data'!$D$45*0.4/('I_Inputs &amp; Assumptions'!$B$8/2),'I_Budget Input Data'!$D$45*0.6/('I_Inputs &amp; Assumptions'!$B$8/2)),IF('I_Budget Input Data'!$E$45="Mid-weighted",IF(35&lt;='I_Inputs &amp; Assumptions'!$B$8/4,'I_Budget Input Data'!$D$45*0.2/('I_Inputs &amp; Assumptions'!$B$8/4),IF(35&lt;='I_Inputs &amp; Assumptions'!$B$8*0.75,'I_Budget Input Data'!$D$45*0.6/('I_Inputs &amp; Assumptions'!$B$8/2),'I_Budget Input Data'!$D$45*0.2/('I_Inputs &amp; Assumptions'!$B$8/4))),IF('I_Budget Input Data'!$E$45="At Completion",IF(35='I_Inputs &amp; Assumptions'!$B$8,'I_Budget Input Data'!$D$45,0),'I_Budget Input Data'!$D$45/'I_Inputs &amp; Assumptions'!$B$8)))))),0)</f>
        <v>0</v>
      </c>
      <c r="AL45" s="91">
        <f>IF(36&lt;='I_Inputs &amp; Assumptions'!$B$8,IF('I_Budget Input Data'!$E$45="Upfront",IF(36=1,'I_Budget Input Data'!$D$45,0),IF('I_Budget Input Data'!$E$45="Equal",'I_Budget Input Data'!$D$45/'I_Inputs &amp; Assumptions'!$B$8,IF('I_Budget Input Data'!$E$45="Front-loaded",IF(36&lt;='I_Inputs &amp; Assumptions'!$B$8/2,'I_Budget Input Data'!$D$45*0.6/('I_Inputs &amp; Assumptions'!$B$8/2),'I_Budget Input Data'!$D$45*0.4/('I_Inputs &amp; Assumptions'!$B$8/2)),IF('I_Budget Input Data'!$E$45="Back-loaded",IF(36&lt;='I_Inputs &amp; Assumptions'!$B$8/2,'I_Budget Input Data'!$D$45*0.4/('I_Inputs &amp; Assumptions'!$B$8/2),'I_Budget Input Data'!$D$45*0.6/('I_Inputs &amp; Assumptions'!$B$8/2)),IF('I_Budget Input Data'!$E$45="Mid-weighted",IF(36&lt;='I_Inputs &amp; Assumptions'!$B$8/4,'I_Budget Input Data'!$D$45*0.2/('I_Inputs &amp; Assumptions'!$B$8/4),IF(36&lt;='I_Inputs &amp; Assumptions'!$B$8*0.75,'I_Budget Input Data'!$D$45*0.6/('I_Inputs &amp; Assumptions'!$B$8/2),'I_Budget Input Data'!$D$45*0.2/('I_Inputs &amp; Assumptions'!$B$8/4))),IF('I_Budget Input Data'!$E$45="At Completion",IF(36='I_Inputs &amp; Assumptions'!$B$8,'I_Budget Input Data'!$D$45,0),'I_Budget Input Data'!$D$45/'I_Inputs &amp; Assumptions'!$B$8)))))),0)</f>
        <v>0</v>
      </c>
    </row>
    <row r="46" spans="1:38" ht="15" customHeight="1" x14ac:dyDescent="0.2">
      <c r="A46" t="s">
        <v>146</v>
      </c>
      <c r="B46" t="s">
        <v>167</v>
      </c>
      <c r="C46" s="91">
        <f>IF(1&lt;='I_Inputs &amp; Assumptions'!$B$8,IF('I_Budget Input Data'!$E$46="Upfront",IF(1=1,'I_Budget Input Data'!$D$46,0),IF('I_Budget Input Data'!$E$46="Equal",'I_Budget Input Data'!$D$46/'I_Inputs &amp; Assumptions'!$B$8,IF('I_Budget Input Data'!$E$46="Front-loaded",IF(1&lt;='I_Inputs &amp; Assumptions'!$B$8/2,'I_Budget Input Data'!$D$46*0.6/('I_Inputs &amp; Assumptions'!$B$8/2),'I_Budget Input Data'!$D$46*0.4/('I_Inputs &amp; Assumptions'!$B$8/2)),IF('I_Budget Input Data'!$E$46="Back-loaded",IF(1&lt;='I_Inputs &amp; Assumptions'!$B$8/2,'I_Budget Input Data'!$D$46*0.4/('I_Inputs &amp; Assumptions'!$B$8/2),'I_Budget Input Data'!$D$46*0.6/('I_Inputs &amp; Assumptions'!$B$8/2)),IF('I_Budget Input Data'!$E$46="Mid-weighted",IF(1&lt;='I_Inputs &amp; Assumptions'!$B$8/4,'I_Budget Input Data'!$D$46*0.2/('I_Inputs &amp; Assumptions'!$B$8/4),IF(1&lt;='I_Inputs &amp; Assumptions'!$B$8*0.75,'I_Budget Input Data'!$D$46*0.6/('I_Inputs &amp; Assumptions'!$B$8/2),'I_Budget Input Data'!$D$46*0.2/('I_Inputs &amp; Assumptions'!$B$8/4))),IF('I_Budget Input Data'!$E$46="At Completion",IF(1='I_Inputs &amp; Assumptions'!$B$8,'I_Budget Input Data'!$D$46,0),'I_Budget Input Data'!$D$46/'I_Inputs &amp; Assumptions'!$B$8)))))),0)</f>
        <v>4326.3076923076924</v>
      </c>
      <c r="D46" s="91">
        <f>IF(2&lt;='I_Inputs &amp; Assumptions'!$B$8,IF('I_Budget Input Data'!$E$46="Upfront",IF(2=1,'I_Budget Input Data'!$D$46,0),IF('I_Budget Input Data'!$E$46="Equal",'I_Budget Input Data'!$D$46/'I_Inputs &amp; Assumptions'!$B$8,IF('I_Budget Input Data'!$E$46="Front-loaded",IF(2&lt;='I_Inputs &amp; Assumptions'!$B$8/2,'I_Budget Input Data'!$D$46*0.6/('I_Inputs &amp; Assumptions'!$B$8/2),'I_Budget Input Data'!$D$46*0.4/('I_Inputs &amp; Assumptions'!$B$8/2)),IF('I_Budget Input Data'!$E$46="Back-loaded",IF(2&lt;='I_Inputs &amp; Assumptions'!$B$8/2,'I_Budget Input Data'!$D$46*0.4/('I_Inputs &amp; Assumptions'!$B$8/2),'I_Budget Input Data'!$D$46*0.6/('I_Inputs &amp; Assumptions'!$B$8/2)),IF('I_Budget Input Data'!$E$46="Mid-weighted",IF(2&lt;='I_Inputs &amp; Assumptions'!$B$8/4,'I_Budget Input Data'!$D$46*0.2/('I_Inputs &amp; Assumptions'!$B$8/4),IF(2&lt;='I_Inputs &amp; Assumptions'!$B$8*0.75,'I_Budget Input Data'!$D$46*0.6/('I_Inputs &amp; Assumptions'!$B$8/2),'I_Budget Input Data'!$D$46*0.2/('I_Inputs &amp; Assumptions'!$B$8/4))),IF('I_Budget Input Data'!$E$46="At Completion",IF(2='I_Inputs &amp; Assumptions'!$B$8,'I_Budget Input Data'!$D$46,0),'I_Budget Input Data'!$D$46/'I_Inputs &amp; Assumptions'!$B$8)))))),0)</f>
        <v>4326.3076923076924</v>
      </c>
      <c r="E46" s="91">
        <f>IF(3&lt;='I_Inputs &amp; Assumptions'!$B$8,IF('I_Budget Input Data'!$E$46="Upfront",IF(3=1,'I_Budget Input Data'!$D$46,0),IF('I_Budget Input Data'!$E$46="Equal",'I_Budget Input Data'!$D$46/'I_Inputs &amp; Assumptions'!$B$8,IF('I_Budget Input Data'!$E$46="Front-loaded",IF(3&lt;='I_Inputs &amp; Assumptions'!$B$8/2,'I_Budget Input Data'!$D$46*0.6/('I_Inputs &amp; Assumptions'!$B$8/2),'I_Budget Input Data'!$D$46*0.4/('I_Inputs &amp; Assumptions'!$B$8/2)),IF('I_Budget Input Data'!$E$46="Back-loaded",IF(3&lt;='I_Inputs &amp; Assumptions'!$B$8/2,'I_Budget Input Data'!$D$46*0.4/('I_Inputs &amp; Assumptions'!$B$8/2),'I_Budget Input Data'!$D$46*0.6/('I_Inputs &amp; Assumptions'!$B$8/2)),IF('I_Budget Input Data'!$E$46="Mid-weighted",IF(3&lt;='I_Inputs &amp; Assumptions'!$B$8/4,'I_Budget Input Data'!$D$46*0.2/('I_Inputs &amp; Assumptions'!$B$8/4),IF(3&lt;='I_Inputs &amp; Assumptions'!$B$8*0.75,'I_Budget Input Data'!$D$46*0.6/('I_Inputs &amp; Assumptions'!$B$8/2),'I_Budget Input Data'!$D$46*0.2/('I_Inputs &amp; Assumptions'!$B$8/4))),IF('I_Budget Input Data'!$E$46="At Completion",IF(3='I_Inputs &amp; Assumptions'!$B$8,'I_Budget Input Data'!$D$46,0),'I_Budget Input Data'!$D$46/'I_Inputs &amp; Assumptions'!$B$8)))))),0)</f>
        <v>4326.3076923076924</v>
      </c>
      <c r="F46" s="91">
        <f>IF(4&lt;='I_Inputs &amp; Assumptions'!$B$8,IF('I_Budget Input Data'!$E$46="Upfront",IF(4=1,'I_Budget Input Data'!$D$46,0),IF('I_Budget Input Data'!$E$46="Equal",'I_Budget Input Data'!$D$46/'I_Inputs &amp; Assumptions'!$B$8,IF('I_Budget Input Data'!$E$46="Front-loaded",IF(4&lt;='I_Inputs &amp; Assumptions'!$B$8/2,'I_Budget Input Data'!$D$46*0.6/('I_Inputs &amp; Assumptions'!$B$8/2),'I_Budget Input Data'!$D$46*0.4/('I_Inputs &amp; Assumptions'!$B$8/2)),IF('I_Budget Input Data'!$E$46="Back-loaded",IF(4&lt;='I_Inputs &amp; Assumptions'!$B$8/2,'I_Budget Input Data'!$D$46*0.4/('I_Inputs &amp; Assumptions'!$B$8/2),'I_Budget Input Data'!$D$46*0.6/('I_Inputs &amp; Assumptions'!$B$8/2)),IF('I_Budget Input Data'!$E$46="Mid-weighted",IF(4&lt;='I_Inputs &amp; Assumptions'!$B$8/4,'I_Budget Input Data'!$D$46*0.2/('I_Inputs &amp; Assumptions'!$B$8/4),IF(4&lt;='I_Inputs &amp; Assumptions'!$B$8*0.75,'I_Budget Input Data'!$D$46*0.6/('I_Inputs &amp; Assumptions'!$B$8/2),'I_Budget Input Data'!$D$46*0.2/('I_Inputs &amp; Assumptions'!$B$8/4))),IF('I_Budget Input Data'!$E$46="At Completion",IF(4='I_Inputs &amp; Assumptions'!$B$8,'I_Budget Input Data'!$D$46,0),'I_Budget Input Data'!$D$46/'I_Inputs &amp; Assumptions'!$B$8)))))),0)</f>
        <v>4326.3076923076924</v>
      </c>
      <c r="G46" s="91">
        <f>IF(5&lt;='I_Inputs &amp; Assumptions'!$B$8,IF('I_Budget Input Data'!$E$46="Upfront",IF(5=1,'I_Budget Input Data'!$D$46,0),IF('I_Budget Input Data'!$E$46="Equal",'I_Budget Input Data'!$D$46/'I_Inputs &amp; Assumptions'!$B$8,IF('I_Budget Input Data'!$E$46="Front-loaded",IF(5&lt;='I_Inputs &amp; Assumptions'!$B$8/2,'I_Budget Input Data'!$D$46*0.6/('I_Inputs &amp; Assumptions'!$B$8/2),'I_Budget Input Data'!$D$46*0.4/('I_Inputs &amp; Assumptions'!$B$8/2)),IF('I_Budget Input Data'!$E$46="Back-loaded",IF(5&lt;='I_Inputs &amp; Assumptions'!$B$8/2,'I_Budget Input Data'!$D$46*0.4/('I_Inputs &amp; Assumptions'!$B$8/2),'I_Budget Input Data'!$D$46*0.6/('I_Inputs &amp; Assumptions'!$B$8/2)),IF('I_Budget Input Data'!$E$46="Mid-weighted",IF(5&lt;='I_Inputs &amp; Assumptions'!$B$8/4,'I_Budget Input Data'!$D$46*0.2/('I_Inputs &amp; Assumptions'!$B$8/4),IF(5&lt;='I_Inputs &amp; Assumptions'!$B$8*0.75,'I_Budget Input Data'!$D$46*0.6/('I_Inputs &amp; Assumptions'!$B$8/2),'I_Budget Input Data'!$D$46*0.2/('I_Inputs &amp; Assumptions'!$B$8/4))),IF('I_Budget Input Data'!$E$46="At Completion",IF(5='I_Inputs &amp; Assumptions'!$B$8,'I_Budget Input Data'!$D$46,0),'I_Budget Input Data'!$D$46/'I_Inputs &amp; Assumptions'!$B$8)))))),0)</f>
        <v>4326.3076923076924</v>
      </c>
      <c r="H46" s="91">
        <f>IF(6&lt;='I_Inputs &amp; Assumptions'!$B$8,IF('I_Budget Input Data'!$E$46="Upfront",IF(6=1,'I_Budget Input Data'!$D$46,0),IF('I_Budget Input Data'!$E$46="Equal",'I_Budget Input Data'!$D$46/'I_Inputs &amp; Assumptions'!$B$8,IF('I_Budget Input Data'!$E$46="Front-loaded",IF(6&lt;='I_Inputs &amp; Assumptions'!$B$8/2,'I_Budget Input Data'!$D$46*0.6/('I_Inputs &amp; Assumptions'!$B$8/2),'I_Budget Input Data'!$D$46*0.4/('I_Inputs &amp; Assumptions'!$B$8/2)),IF('I_Budget Input Data'!$E$46="Back-loaded",IF(6&lt;='I_Inputs &amp; Assumptions'!$B$8/2,'I_Budget Input Data'!$D$46*0.4/('I_Inputs &amp; Assumptions'!$B$8/2),'I_Budget Input Data'!$D$46*0.6/('I_Inputs &amp; Assumptions'!$B$8/2)),IF('I_Budget Input Data'!$E$46="Mid-weighted",IF(6&lt;='I_Inputs &amp; Assumptions'!$B$8/4,'I_Budget Input Data'!$D$46*0.2/('I_Inputs &amp; Assumptions'!$B$8/4),IF(6&lt;='I_Inputs &amp; Assumptions'!$B$8*0.75,'I_Budget Input Data'!$D$46*0.6/('I_Inputs &amp; Assumptions'!$B$8/2),'I_Budget Input Data'!$D$46*0.2/('I_Inputs &amp; Assumptions'!$B$8/4))),IF('I_Budget Input Data'!$E$46="At Completion",IF(6='I_Inputs &amp; Assumptions'!$B$8,'I_Budget Input Data'!$D$46,0),'I_Budget Input Data'!$D$46/'I_Inputs &amp; Assumptions'!$B$8)))))),0)</f>
        <v>4326.3076923076924</v>
      </c>
      <c r="I46" s="91">
        <f>IF(7&lt;='I_Inputs &amp; Assumptions'!$B$8,IF('I_Budget Input Data'!$E$46="Upfront",IF(7=1,'I_Budget Input Data'!$D$46,0),IF('I_Budget Input Data'!$E$46="Equal",'I_Budget Input Data'!$D$46/'I_Inputs &amp; Assumptions'!$B$8,IF('I_Budget Input Data'!$E$46="Front-loaded",IF(7&lt;='I_Inputs &amp; Assumptions'!$B$8/2,'I_Budget Input Data'!$D$46*0.6/('I_Inputs &amp; Assumptions'!$B$8/2),'I_Budget Input Data'!$D$46*0.4/('I_Inputs &amp; Assumptions'!$B$8/2)),IF('I_Budget Input Data'!$E$46="Back-loaded",IF(7&lt;='I_Inputs &amp; Assumptions'!$B$8/2,'I_Budget Input Data'!$D$46*0.4/('I_Inputs &amp; Assumptions'!$B$8/2),'I_Budget Input Data'!$D$46*0.6/('I_Inputs &amp; Assumptions'!$B$8/2)),IF('I_Budget Input Data'!$E$46="Mid-weighted",IF(7&lt;='I_Inputs &amp; Assumptions'!$B$8/4,'I_Budget Input Data'!$D$46*0.2/('I_Inputs &amp; Assumptions'!$B$8/4),IF(7&lt;='I_Inputs &amp; Assumptions'!$B$8*0.75,'I_Budget Input Data'!$D$46*0.6/('I_Inputs &amp; Assumptions'!$B$8/2),'I_Budget Input Data'!$D$46*0.2/('I_Inputs &amp; Assumptions'!$B$8/4))),IF('I_Budget Input Data'!$E$46="At Completion",IF(7='I_Inputs &amp; Assumptions'!$B$8,'I_Budget Input Data'!$D$46,0),'I_Budget Input Data'!$D$46/'I_Inputs &amp; Assumptions'!$B$8)))))),0)</f>
        <v>4326.3076923076924</v>
      </c>
      <c r="J46" s="91">
        <f>IF(8&lt;='I_Inputs &amp; Assumptions'!$B$8,IF('I_Budget Input Data'!$E$46="Upfront",IF(8=1,'I_Budget Input Data'!$D$46,0),IF('I_Budget Input Data'!$E$46="Equal",'I_Budget Input Data'!$D$46/'I_Inputs &amp; Assumptions'!$B$8,IF('I_Budget Input Data'!$E$46="Front-loaded",IF(8&lt;='I_Inputs &amp; Assumptions'!$B$8/2,'I_Budget Input Data'!$D$46*0.6/('I_Inputs &amp; Assumptions'!$B$8/2),'I_Budget Input Data'!$D$46*0.4/('I_Inputs &amp; Assumptions'!$B$8/2)),IF('I_Budget Input Data'!$E$46="Back-loaded",IF(8&lt;='I_Inputs &amp; Assumptions'!$B$8/2,'I_Budget Input Data'!$D$46*0.4/('I_Inputs &amp; Assumptions'!$B$8/2),'I_Budget Input Data'!$D$46*0.6/('I_Inputs &amp; Assumptions'!$B$8/2)),IF('I_Budget Input Data'!$E$46="Mid-weighted",IF(8&lt;='I_Inputs &amp; Assumptions'!$B$8/4,'I_Budget Input Data'!$D$46*0.2/('I_Inputs &amp; Assumptions'!$B$8/4),IF(8&lt;='I_Inputs &amp; Assumptions'!$B$8*0.75,'I_Budget Input Data'!$D$46*0.6/('I_Inputs &amp; Assumptions'!$B$8/2),'I_Budget Input Data'!$D$46*0.2/('I_Inputs &amp; Assumptions'!$B$8/4))),IF('I_Budget Input Data'!$E$46="At Completion",IF(8='I_Inputs &amp; Assumptions'!$B$8,'I_Budget Input Data'!$D$46,0),'I_Budget Input Data'!$D$46/'I_Inputs &amp; Assumptions'!$B$8)))))),0)</f>
        <v>4326.3076923076924</v>
      </c>
      <c r="K46" s="91">
        <f>IF(9&lt;='I_Inputs &amp; Assumptions'!$B$8,IF('I_Budget Input Data'!$E$46="Upfront",IF(9=1,'I_Budget Input Data'!$D$46,0),IF('I_Budget Input Data'!$E$46="Equal",'I_Budget Input Data'!$D$46/'I_Inputs &amp; Assumptions'!$B$8,IF('I_Budget Input Data'!$E$46="Front-loaded",IF(9&lt;='I_Inputs &amp; Assumptions'!$B$8/2,'I_Budget Input Data'!$D$46*0.6/('I_Inputs &amp; Assumptions'!$B$8/2),'I_Budget Input Data'!$D$46*0.4/('I_Inputs &amp; Assumptions'!$B$8/2)),IF('I_Budget Input Data'!$E$46="Back-loaded",IF(9&lt;='I_Inputs &amp; Assumptions'!$B$8/2,'I_Budget Input Data'!$D$46*0.4/('I_Inputs &amp; Assumptions'!$B$8/2),'I_Budget Input Data'!$D$46*0.6/('I_Inputs &amp; Assumptions'!$B$8/2)),IF('I_Budget Input Data'!$E$46="Mid-weighted",IF(9&lt;='I_Inputs &amp; Assumptions'!$B$8/4,'I_Budget Input Data'!$D$46*0.2/('I_Inputs &amp; Assumptions'!$B$8/4),IF(9&lt;='I_Inputs &amp; Assumptions'!$B$8*0.75,'I_Budget Input Data'!$D$46*0.6/('I_Inputs &amp; Assumptions'!$B$8/2),'I_Budget Input Data'!$D$46*0.2/('I_Inputs &amp; Assumptions'!$B$8/4))),IF('I_Budget Input Data'!$E$46="At Completion",IF(9='I_Inputs &amp; Assumptions'!$B$8,'I_Budget Input Data'!$D$46,0),'I_Budget Input Data'!$D$46/'I_Inputs &amp; Assumptions'!$B$8)))))),0)</f>
        <v>4326.3076923076924</v>
      </c>
      <c r="L46" s="91">
        <f>IF(10&lt;='I_Inputs &amp; Assumptions'!$B$8,IF('I_Budget Input Data'!$E$46="Upfront",IF(10=1,'I_Budget Input Data'!$D$46,0),IF('I_Budget Input Data'!$E$46="Equal",'I_Budget Input Data'!$D$46/'I_Inputs &amp; Assumptions'!$B$8,IF('I_Budget Input Data'!$E$46="Front-loaded",IF(10&lt;='I_Inputs &amp; Assumptions'!$B$8/2,'I_Budget Input Data'!$D$46*0.6/('I_Inputs &amp; Assumptions'!$B$8/2),'I_Budget Input Data'!$D$46*0.4/('I_Inputs &amp; Assumptions'!$B$8/2)),IF('I_Budget Input Data'!$E$46="Back-loaded",IF(10&lt;='I_Inputs &amp; Assumptions'!$B$8/2,'I_Budget Input Data'!$D$46*0.4/('I_Inputs &amp; Assumptions'!$B$8/2),'I_Budget Input Data'!$D$46*0.6/('I_Inputs &amp; Assumptions'!$B$8/2)),IF('I_Budget Input Data'!$E$46="Mid-weighted",IF(10&lt;='I_Inputs &amp; Assumptions'!$B$8/4,'I_Budget Input Data'!$D$46*0.2/('I_Inputs &amp; Assumptions'!$B$8/4),IF(10&lt;='I_Inputs &amp; Assumptions'!$B$8*0.75,'I_Budget Input Data'!$D$46*0.6/('I_Inputs &amp; Assumptions'!$B$8/2),'I_Budget Input Data'!$D$46*0.2/('I_Inputs &amp; Assumptions'!$B$8/4))),IF('I_Budget Input Data'!$E$46="At Completion",IF(10='I_Inputs &amp; Assumptions'!$B$8,'I_Budget Input Data'!$D$46,0),'I_Budget Input Data'!$D$46/'I_Inputs &amp; Assumptions'!$B$8)))))),0)</f>
        <v>4326.3076923076924</v>
      </c>
      <c r="M46" s="91">
        <f>IF(11&lt;='I_Inputs &amp; Assumptions'!$B$8,IF('I_Budget Input Data'!$E$46="Upfront",IF(11=1,'I_Budget Input Data'!$D$46,0),IF('I_Budget Input Data'!$E$46="Equal",'I_Budget Input Data'!$D$46/'I_Inputs &amp; Assumptions'!$B$8,IF('I_Budget Input Data'!$E$46="Front-loaded",IF(11&lt;='I_Inputs &amp; Assumptions'!$B$8/2,'I_Budget Input Data'!$D$46*0.6/('I_Inputs &amp; Assumptions'!$B$8/2),'I_Budget Input Data'!$D$46*0.4/('I_Inputs &amp; Assumptions'!$B$8/2)),IF('I_Budget Input Data'!$E$46="Back-loaded",IF(11&lt;='I_Inputs &amp; Assumptions'!$B$8/2,'I_Budget Input Data'!$D$46*0.4/('I_Inputs &amp; Assumptions'!$B$8/2),'I_Budget Input Data'!$D$46*0.6/('I_Inputs &amp; Assumptions'!$B$8/2)),IF('I_Budget Input Data'!$E$46="Mid-weighted",IF(11&lt;='I_Inputs &amp; Assumptions'!$B$8/4,'I_Budget Input Data'!$D$46*0.2/('I_Inputs &amp; Assumptions'!$B$8/4),IF(11&lt;='I_Inputs &amp; Assumptions'!$B$8*0.75,'I_Budget Input Data'!$D$46*0.6/('I_Inputs &amp; Assumptions'!$B$8/2),'I_Budget Input Data'!$D$46*0.2/('I_Inputs &amp; Assumptions'!$B$8/4))),IF('I_Budget Input Data'!$E$46="At Completion",IF(11='I_Inputs &amp; Assumptions'!$B$8,'I_Budget Input Data'!$D$46,0),'I_Budget Input Data'!$D$46/'I_Inputs &amp; Assumptions'!$B$8)))))),0)</f>
        <v>4326.3076923076924</v>
      </c>
      <c r="N46" s="91">
        <f>IF(12&lt;='I_Inputs &amp; Assumptions'!$B$8,IF('I_Budget Input Data'!$E$46="Upfront",IF(12=1,'I_Budget Input Data'!$D$46,0),IF('I_Budget Input Data'!$E$46="Equal",'I_Budget Input Data'!$D$46/'I_Inputs &amp; Assumptions'!$B$8,IF('I_Budget Input Data'!$E$46="Front-loaded",IF(12&lt;='I_Inputs &amp; Assumptions'!$B$8/2,'I_Budget Input Data'!$D$46*0.6/('I_Inputs &amp; Assumptions'!$B$8/2),'I_Budget Input Data'!$D$46*0.4/('I_Inputs &amp; Assumptions'!$B$8/2)),IF('I_Budget Input Data'!$E$46="Back-loaded",IF(12&lt;='I_Inputs &amp; Assumptions'!$B$8/2,'I_Budget Input Data'!$D$46*0.4/('I_Inputs &amp; Assumptions'!$B$8/2),'I_Budget Input Data'!$D$46*0.6/('I_Inputs &amp; Assumptions'!$B$8/2)),IF('I_Budget Input Data'!$E$46="Mid-weighted",IF(12&lt;='I_Inputs &amp; Assumptions'!$B$8/4,'I_Budget Input Data'!$D$46*0.2/('I_Inputs &amp; Assumptions'!$B$8/4),IF(12&lt;='I_Inputs &amp; Assumptions'!$B$8*0.75,'I_Budget Input Data'!$D$46*0.6/('I_Inputs &amp; Assumptions'!$B$8/2),'I_Budget Input Data'!$D$46*0.2/('I_Inputs &amp; Assumptions'!$B$8/4))),IF('I_Budget Input Data'!$E$46="At Completion",IF(12='I_Inputs &amp; Assumptions'!$B$8,'I_Budget Input Data'!$D$46,0),'I_Budget Input Data'!$D$46/'I_Inputs &amp; Assumptions'!$B$8)))))),0)</f>
        <v>4326.3076923076924</v>
      </c>
      <c r="O46" s="91">
        <f>IF(13&lt;='I_Inputs &amp; Assumptions'!$B$8,IF('I_Budget Input Data'!$E$46="Upfront",IF(13=1,'I_Budget Input Data'!$D$46,0),IF('I_Budget Input Data'!$E$46="Equal",'I_Budget Input Data'!$D$46/'I_Inputs &amp; Assumptions'!$B$8,IF('I_Budget Input Data'!$E$46="Front-loaded",IF(13&lt;='I_Inputs &amp; Assumptions'!$B$8/2,'I_Budget Input Data'!$D$46*0.6/('I_Inputs &amp; Assumptions'!$B$8/2),'I_Budget Input Data'!$D$46*0.4/('I_Inputs &amp; Assumptions'!$B$8/2)),IF('I_Budget Input Data'!$E$46="Back-loaded",IF(13&lt;='I_Inputs &amp; Assumptions'!$B$8/2,'I_Budget Input Data'!$D$46*0.4/('I_Inputs &amp; Assumptions'!$B$8/2),'I_Budget Input Data'!$D$46*0.6/('I_Inputs &amp; Assumptions'!$B$8/2)),IF('I_Budget Input Data'!$E$46="Mid-weighted",IF(13&lt;='I_Inputs &amp; Assumptions'!$B$8/4,'I_Budget Input Data'!$D$46*0.2/('I_Inputs &amp; Assumptions'!$B$8/4),IF(13&lt;='I_Inputs &amp; Assumptions'!$B$8*0.75,'I_Budget Input Data'!$D$46*0.6/('I_Inputs &amp; Assumptions'!$B$8/2),'I_Budget Input Data'!$D$46*0.2/('I_Inputs &amp; Assumptions'!$B$8/4))),IF('I_Budget Input Data'!$E$46="At Completion",IF(13='I_Inputs &amp; Assumptions'!$B$8,'I_Budget Input Data'!$D$46,0),'I_Budget Input Data'!$D$46/'I_Inputs &amp; Assumptions'!$B$8)))))),0)</f>
        <v>4326.3076923076924</v>
      </c>
      <c r="P46" s="91">
        <f>IF(14&lt;='I_Inputs &amp; Assumptions'!$B$8,IF('I_Budget Input Data'!$E$46="Upfront",IF(14=1,'I_Budget Input Data'!$D$46,0),IF('I_Budget Input Data'!$E$46="Equal",'I_Budget Input Data'!$D$46/'I_Inputs &amp; Assumptions'!$B$8,IF('I_Budget Input Data'!$E$46="Front-loaded",IF(14&lt;='I_Inputs &amp; Assumptions'!$B$8/2,'I_Budget Input Data'!$D$46*0.6/('I_Inputs &amp; Assumptions'!$B$8/2),'I_Budget Input Data'!$D$46*0.4/('I_Inputs &amp; Assumptions'!$B$8/2)),IF('I_Budget Input Data'!$E$46="Back-loaded",IF(14&lt;='I_Inputs &amp; Assumptions'!$B$8/2,'I_Budget Input Data'!$D$46*0.4/('I_Inputs &amp; Assumptions'!$B$8/2),'I_Budget Input Data'!$D$46*0.6/('I_Inputs &amp; Assumptions'!$B$8/2)),IF('I_Budget Input Data'!$E$46="Mid-weighted",IF(14&lt;='I_Inputs &amp; Assumptions'!$B$8/4,'I_Budget Input Data'!$D$46*0.2/('I_Inputs &amp; Assumptions'!$B$8/4),IF(14&lt;='I_Inputs &amp; Assumptions'!$B$8*0.75,'I_Budget Input Data'!$D$46*0.6/('I_Inputs &amp; Assumptions'!$B$8/2),'I_Budget Input Data'!$D$46*0.2/('I_Inputs &amp; Assumptions'!$B$8/4))),IF('I_Budget Input Data'!$E$46="At Completion",IF(14='I_Inputs &amp; Assumptions'!$B$8,'I_Budget Input Data'!$D$46,0),'I_Budget Input Data'!$D$46/'I_Inputs &amp; Assumptions'!$B$8)))))),0)</f>
        <v>0</v>
      </c>
      <c r="Q46" s="91">
        <f>IF(15&lt;='I_Inputs &amp; Assumptions'!$B$8,IF('I_Budget Input Data'!$E$46="Upfront",IF(15=1,'I_Budget Input Data'!$D$46,0),IF('I_Budget Input Data'!$E$46="Equal",'I_Budget Input Data'!$D$46/'I_Inputs &amp; Assumptions'!$B$8,IF('I_Budget Input Data'!$E$46="Front-loaded",IF(15&lt;='I_Inputs &amp; Assumptions'!$B$8/2,'I_Budget Input Data'!$D$46*0.6/('I_Inputs &amp; Assumptions'!$B$8/2),'I_Budget Input Data'!$D$46*0.4/('I_Inputs &amp; Assumptions'!$B$8/2)),IF('I_Budget Input Data'!$E$46="Back-loaded",IF(15&lt;='I_Inputs &amp; Assumptions'!$B$8/2,'I_Budget Input Data'!$D$46*0.4/('I_Inputs &amp; Assumptions'!$B$8/2),'I_Budget Input Data'!$D$46*0.6/('I_Inputs &amp; Assumptions'!$B$8/2)),IF('I_Budget Input Data'!$E$46="Mid-weighted",IF(15&lt;='I_Inputs &amp; Assumptions'!$B$8/4,'I_Budget Input Data'!$D$46*0.2/('I_Inputs &amp; Assumptions'!$B$8/4),IF(15&lt;='I_Inputs &amp; Assumptions'!$B$8*0.75,'I_Budget Input Data'!$D$46*0.6/('I_Inputs &amp; Assumptions'!$B$8/2),'I_Budget Input Data'!$D$46*0.2/('I_Inputs &amp; Assumptions'!$B$8/4))),IF('I_Budget Input Data'!$E$46="At Completion",IF(15='I_Inputs &amp; Assumptions'!$B$8,'I_Budget Input Data'!$D$46,0),'I_Budget Input Data'!$D$46/'I_Inputs &amp; Assumptions'!$B$8)))))),0)</f>
        <v>0</v>
      </c>
      <c r="R46" s="91">
        <f>IF(16&lt;='I_Inputs &amp; Assumptions'!$B$8,IF('I_Budget Input Data'!$E$46="Upfront",IF(16=1,'I_Budget Input Data'!$D$46,0),IF('I_Budget Input Data'!$E$46="Equal",'I_Budget Input Data'!$D$46/'I_Inputs &amp; Assumptions'!$B$8,IF('I_Budget Input Data'!$E$46="Front-loaded",IF(16&lt;='I_Inputs &amp; Assumptions'!$B$8/2,'I_Budget Input Data'!$D$46*0.6/('I_Inputs &amp; Assumptions'!$B$8/2),'I_Budget Input Data'!$D$46*0.4/('I_Inputs &amp; Assumptions'!$B$8/2)),IF('I_Budget Input Data'!$E$46="Back-loaded",IF(16&lt;='I_Inputs &amp; Assumptions'!$B$8/2,'I_Budget Input Data'!$D$46*0.4/('I_Inputs &amp; Assumptions'!$B$8/2),'I_Budget Input Data'!$D$46*0.6/('I_Inputs &amp; Assumptions'!$B$8/2)),IF('I_Budget Input Data'!$E$46="Mid-weighted",IF(16&lt;='I_Inputs &amp; Assumptions'!$B$8/4,'I_Budget Input Data'!$D$46*0.2/('I_Inputs &amp; Assumptions'!$B$8/4),IF(16&lt;='I_Inputs &amp; Assumptions'!$B$8*0.75,'I_Budget Input Data'!$D$46*0.6/('I_Inputs &amp; Assumptions'!$B$8/2),'I_Budget Input Data'!$D$46*0.2/('I_Inputs &amp; Assumptions'!$B$8/4))),IF('I_Budget Input Data'!$E$46="At Completion",IF(16='I_Inputs &amp; Assumptions'!$B$8,'I_Budget Input Data'!$D$46,0),'I_Budget Input Data'!$D$46/'I_Inputs &amp; Assumptions'!$B$8)))))),0)</f>
        <v>0</v>
      </c>
      <c r="S46" s="91">
        <f>IF(17&lt;='I_Inputs &amp; Assumptions'!$B$8,IF('I_Budget Input Data'!$E$46="Upfront",IF(17=1,'I_Budget Input Data'!$D$46,0),IF('I_Budget Input Data'!$E$46="Equal",'I_Budget Input Data'!$D$46/'I_Inputs &amp; Assumptions'!$B$8,IF('I_Budget Input Data'!$E$46="Front-loaded",IF(17&lt;='I_Inputs &amp; Assumptions'!$B$8/2,'I_Budget Input Data'!$D$46*0.6/('I_Inputs &amp; Assumptions'!$B$8/2),'I_Budget Input Data'!$D$46*0.4/('I_Inputs &amp; Assumptions'!$B$8/2)),IF('I_Budget Input Data'!$E$46="Back-loaded",IF(17&lt;='I_Inputs &amp; Assumptions'!$B$8/2,'I_Budget Input Data'!$D$46*0.4/('I_Inputs &amp; Assumptions'!$B$8/2),'I_Budget Input Data'!$D$46*0.6/('I_Inputs &amp; Assumptions'!$B$8/2)),IF('I_Budget Input Data'!$E$46="Mid-weighted",IF(17&lt;='I_Inputs &amp; Assumptions'!$B$8/4,'I_Budget Input Data'!$D$46*0.2/('I_Inputs &amp; Assumptions'!$B$8/4),IF(17&lt;='I_Inputs &amp; Assumptions'!$B$8*0.75,'I_Budget Input Data'!$D$46*0.6/('I_Inputs &amp; Assumptions'!$B$8/2),'I_Budget Input Data'!$D$46*0.2/('I_Inputs &amp; Assumptions'!$B$8/4))),IF('I_Budget Input Data'!$E$46="At Completion",IF(17='I_Inputs &amp; Assumptions'!$B$8,'I_Budget Input Data'!$D$46,0),'I_Budget Input Data'!$D$46/'I_Inputs &amp; Assumptions'!$B$8)))))),0)</f>
        <v>0</v>
      </c>
      <c r="T46" s="91">
        <f>IF(18&lt;='I_Inputs &amp; Assumptions'!$B$8,IF('I_Budget Input Data'!$E$46="Upfront",IF(18=1,'I_Budget Input Data'!$D$46,0),IF('I_Budget Input Data'!$E$46="Equal",'I_Budget Input Data'!$D$46/'I_Inputs &amp; Assumptions'!$B$8,IF('I_Budget Input Data'!$E$46="Front-loaded",IF(18&lt;='I_Inputs &amp; Assumptions'!$B$8/2,'I_Budget Input Data'!$D$46*0.6/('I_Inputs &amp; Assumptions'!$B$8/2),'I_Budget Input Data'!$D$46*0.4/('I_Inputs &amp; Assumptions'!$B$8/2)),IF('I_Budget Input Data'!$E$46="Back-loaded",IF(18&lt;='I_Inputs &amp; Assumptions'!$B$8/2,'I_Budget Input Data'!$D$46*0.4/('I_Inputs &amp; Assumptions'!$B$8/2),'I_Budget Input Data'!$D$46*0.6/('I_Inputs &amp; Assumptions'!$B$8/2)),IF('I_Budget Input Data'!$E$46="Mid-weighted",IF(18&lt;='I_Inputs &amp; Assumptions'!$B$8/4,'I_Budget Input Data'!$D$46*0.2/('I_Inputs &amp; Assumptions'!$B$8/4),IF(18&lt;='I_Inputs &amp; Assumptions'!$B$8*0.75,'I_Budget Input Data'!$D$46*0.6/('I_Inputs &amp; Assumptions'!$B$8/2),'I_Budget Input Data'!$D$46*0.2/('I_Inputs &amp; Assumptions'!$B$8/4))),IF('I_Budget Input Data'!$E$46="At Completion",IF(18='I_Inputs &amp; Assumptions'!$B$8,'I_Budget Input Data'!$D$46,0),'I_Budget Input Data'!$D$46/'I_Inputs &amp; Assumptions'!$B$8)))))),0)</f>
        <v>0</v>
      </c>
      <c r="U46" s="91">
        <f>IF(19&lt;='I_Inputs &amp; Assumptions'!$B$8,IF('I_Budget Input Data'!$E$46="Upfront",IF(19=1,'I_Budget Input Data'!$D$46,0),IF('I_Budget Input Data'!$E$46="Equal",'I_Budget Input Data'!$D$46/'I_Inputs &amp; Assumptions'!$B$8,IF('I_Budget Input Data'!$E$46="Front-loaded",IF(19&lt;='I_Inputs &amp; Assumptions'!$B$8/2,'I_Budget Input Data'!$D$46*0.6/('I_Inputs &amp; Assumptions'!$B$8/2),'I_Budget Input Data'!$D$46*0.4/('I_Inputs &amp; Assumptions'!$B$8/2)),IF('I_Budget Input Data'!$E$46="Back-loaded",IF(19&lt;='I_Inputs &amp; Assumptions'!$B$8/2,'I_Budget Input Data'!$D$46*0.4/('I_Inputs &amp; Assumptions'!$B$8/2),'I_Budget Input Data'!$D$46*0.6/('I_Inputs &amp; Assumptions'!$B$8/2)),IF('I_Budget Input Data'!$E$46="Mid-weighted",IF(19&lt;='I_Inputs &amp; Assumptions'!$B$8/4,'I_Budget Input Data'!$D$46*0.2/('I_Inputs &amp; Assumptions'!$B$8/4),IF(19&lt;='I_Inputs &amp; Assumptions'!$B$8*0.75,'I_Budget Input Data'!$D$46*0.6/('I_Inputs &amp; Assumptions'!$B$8/2),'I_Budget Input Data'!$D$46*0.2/('I_Inputs &amp; Assumptions'!$B$8/4))),IF('I_Budget Input Data'!$E$46="At Completion",IF(19='I_Inputs &amp; Assumptions'!$B$8,'I_Budget Input Data'!$D$46,0),'I_Budget Input Data'!$D$46/'I_Inputs &amp; Assumptions'!$B$8)))))),0)</f>
        <v>0</v>
      </c>
      <c r="V46" s="91">
        <f>IF(20&lt;='I_Inputs &amp; Assumptions'!$B$8,IF('I_Budget Input Data'!$E$46="Upfront",IF(20=1,'I_Budget Input Data'!$D$46,0),IF('I_Budget Input Data'!$E$46="Equal",'I_Budget Input Data'!$D$46/'I_Inputs &amp; Assumptions'!$B$8,IF('I_Budget Input Data'!$E$46="Front-loaded",IF(20&lt;='I_Inputs &amp; Assumptions'!$B$8/2,'I_Budget Input Data'!$D$46*0.6/('I_Inputs &amp; Assumptions'!$B$8/2),'I_Budget Input Data'!$D$46*0.4/('I_Inputs &amp; Assumptions'!$B$8/2)),IF('I_Budget Input Data'!$E$46="Back-loaded",IF(20&lt;='I_Inputs &amp; Assumptions'!$B$8/2,'I_Budget Input Data'!$D$46*0.4/('I_Inputs &amp; Assumptions'!$B$8/2),'I_Budget Input Data'!$D$46*0.6/('I_Inputs &amp; Assumptions'!$B$8/2)),IF('I_Budget Input Data'!$E$46="Mid-weighted",IF(20&lt;='I_Inputs &amp; Assumptions'!$B$8/4,'I_Budget Input Data'!$D$46*0.2/('I_Inputs &amp; Assumptions'!$B$8/4),IF(20&lt;='I_Inputs &amp; Assumptions'!$B$8*0.75,'I_Budget Input Data'!$D$46*0.6/('I_Inputs &amp; Assumptions'!$B$8/2),'I_Budget Input Data'!$D$46*0.2/('I_Inputs &amp; Assumptions'!$B$8/4))),IF('I_Budget Input Data'!$E$46="At Completion",IF(20='I_Inputs &amp; Assumptions'!$B$8,'I_Budget Input Data'!$D$46,0),'I_Budget Input Data'!$D$46/'I_Inputs &amp; Assumptions'!$B$8)))))),0)</f>
        <v>0</v>
      </c>
      <c r="W46" s="91">
        <f>IF(21&lt;='I_Inputs &amp; Assumptions'!$B$8,IF('I_Budget Input Data'!$E$46="Upfront",IF(21=1,'I_Budget Input Data'!$D$46,0),IF('I_Budget Input Data'!$E$46="Equal",'I_Budget Input Data'!$D$46/'I_Inputs &amp; Assumptions'!$B$8,IF('I_Budget Input Data'!$E$46="Front-loaded",IF(21&lt;='I_Inputs &amp; Assumptions'!$B$8/2,'I_Budget Input Data'!$D$46*0.6/('I_Inputs &amp; Assumptions'!$B$8/2),'I_Budget Input Data'!$D$46*0.4/('I_Inputs &amp; Assumptions'!$B$8/2)),IF('I_Budget Input Data'!$E$46="Back-loaded",IF(21&lt;='I_Inputs &amp; Assumptions'!$B$8/2,'I_Budget Input Data'!$D$46*0.4/('I_Inputs &amp; Assumptions'!$B$8/2),'I_Budget Input Data'!$D$46*0.6/('I_Inputs &amp; Assumptions'!$B$8/2)),IF('I_Budget Input Data'!$E$46="Mid-weighted",IF(21&lt;='I_Inputs &amp; Assumptions'!$B$8/4,'I_Budget Input Data'!$D$46*0.2/('I_Inputs &amp; Assumptions'!$B$8/4),IF(21&lt;='I_Inputs &amp; Assumptions'!$B$8*0.75,'I_Budget Input Data'!$D$46*0.6/('I_Inputs &amp; Assumptions'!$B$8/2),'I_Budget Input Data'!$D$46*0.2/('I_Inputs &amp; Assumptions'!$B$8/4))),IF('I_Budget Input Data'!$E$46="At Completion",IF(21='I_Inputs &amp; Assumptions'!$B$8,'I_Budget Input Data'!$D$46,0),'I_Budget Input Data'!$D$46/'I_Inputs &amp; Assumptions'!$B$8)))))),0)</f>
        <v>0</v>
      </c>
      <c r="X46" s="91">
        <f>IF(22&lt;='I_Inputs &amp; Assumptions'!$B$8,IF('I_Budget Input Data'!$E$46="Upfront",IF(22=1,'I_Budget Input Data'!$D$46,0),IF('I_Budget Input Data'!$E$46="Equal",'I_Budget Input Data'!$D$46/'I_Inputs &amp; Assumptions'!$B$8,IF('I_Budget Input Data'!$E$46="Front-loaded",IF(22&lt;='I_Inputs &amp; Assumptions'!$B$8/2,'I_Budget Input Data'!$D$46*0.6/('I_Inputs &amp; Assumptions'!$B$8/2),'I_Budget Input Data'!$D$46*0.4/('I_Inputs &amp; Assumptions'!$B$8/2)),IF('I_Budget Input Data'!$E$46="Back-loaded",IF(22&lt;='I_Inputs &amp; Assumptions'!$B$8/2,'I_Budget Input Data'!$D$46*0.4/('I_Inputs &amp; Assumptions'!$B$8/2),'I_Budget Input Data'!$D$46*0.6/('I_Inputs &amp; Assumptions'!$B$8/2)),IF('I_Budget Input Data'!$E$46="Mid-weighted",IF(22&lt;='I_Inputs &amp; Assumptions'!$B$8/4,'I_Budget Input Data'!$D$46*0.2/('I_Inputs &amp; Assumptions'!$B$8/4),IF(22&lt;='I_Inputs &amp; Assumptions'!$B$8*0.75,'I_Budget Input Data'!$D$46*0.6/('I_Inputs &amp; Assumptions'!$B$8/2),'I_Budget Input Data'!$D$46*0.2/('I_Inputs &amp; Assumptions'!$B$8/4))),IF('I_Budget Input Data'!$E$46="At Completion",IF(22='I_Inputs &amp; Assumptions'!$B$8,'I_Budget Input Data'!$D$46,0),'I_Budget Input Data'!$D$46/'I_Inputs &amp; Assumptions'!$B$8)))))),0)</f>
        <v>0</v>
      </c>
      <c r="Y46" s="91">
        <f>IF(23&lt;='I_Inputs &amp; Assumptions'!$B$8,IF('I_Budget Input Data'!$E$46="Upfront",IF(23=1,'I_Budget Input Data'!$D$46,0),IF('I_Budget Input Data'!$E$46="Equal",'I_Budget Input Data'!$D$46/'I_Inputs &amp; Assumptions'!$B$8,IF('I_Budget Input Data'!$E$46="Front-loaded",IF(23&lt;='I_Inputs &amp; Assumptions'!$B$8/2,'I_Budget Input Data'!$D$46*0.6/('I_Inputs &amp; Assumptions'!$B$8/2),'I_Budget Input Data'!$D$46*0.4/('I_Inputs &amp; Assumptions'!$B$8/2)),IF('I_Budget Input Data'!$E$46="Back-loaded",IF(23&lt;='I_Inputs &amp; Assumptions'!$B$8/2,'I_Budget Input Data'!$D$46*0.4/('I_Inputs &amp; Assumptions'!$B$8/2),'I_Budget Input Data'!$D$46*0.6/('I_Inputs &amp; Assumptions'!$B$8/2)),IF('I_Budget Input Data'!$E$46="Mid-weighted",IF(23&lt;='I_Inputs &amp; Assumptions'!$B$8/4,'I_Budget Input Data'!$D$46*0.2/('I_Inputs &amp; Assumptions'!$B$8/4),IF(23&lt;='I_Inputs &amp; Assumptions'!$B$8*0.75,'I_Budget Input Data'!$D$46*0.6/('I_Inputs &amp; Assumptions'!$B$8/2),'I_Budget Input Data'!$D$46*0.2/('I_Inputs &amp; Assumptions'!$B$8/4))),IF('I_Budget Input Data'!$E$46="At Completion",IF(23='I_Inputs &amp; Assumptions'!$B$8,'I_Budget Input Data'!$D$46,0),'I_Budget Input Data'!$D$46/'I_Inputs &amp; Assumptions'!$B$8)))))),0)</f>
        <v>0</v>
      </c>
      <c r="Z46" s="91">
        <f>IF(24&lt;='I_Inputs &amp; Assumptions'!$B$8,IF('I_Budget Input Data'!$E$46="Upfront",IF(24=1,'I_Budget Input Data'!$D$46,0),IF('I_Budget Input Data'!$E$46="Equal",'I_Budget Input Data'!$D$46/'I_Inputs &amp; Assumptions'!$B$8,IF('I_Budget Input Data'!$E$46="Front-loaded",IF(24&lt;='I_Inputs &amp; Assumptions'!$B$8/2,'I_Budget Input Data'!$D$46*0.6/('I_Inputs &amp; Assumptions'!$B$8/2),'I_Budget Input Data'!$D$46*0.4/('I_Inputs &amp; Assumptions'!$B$8/2)),IF('I_Budget Input Data'!$E$46="Back-loaded",IF(24&lt;='I_Inputs &amp; Assumptions'!$B$8/2,'I_Budget Input Data'!$D$46*0.4/('I_Inputs &amp; Assumptions'!$B$8/2),'I_Budget Input Data'!$D$46*0.6/('I_Inputs &amp; Assumptions'!$B$8/2)),IF('I_Budget Input Data'!$E$46="Mid-weighted",IF(24&lt;='I_Inputs &amp; Assumptions'!$B$8/4,'I_Budget Input Data'!$D$46*0.2/('I_Inputs &amp; Assumptions'!$B$8/4),IF(24&lt;='I_Inputs &amp; Assumptions'!$B$8*0.75,'I_Budget Input Data'!$D$46*0.6/('I_Inputs &amp; Assumptions'!$B$8/2),'I_Budget Input Data'!$D$46*0.2/('I_Inputs &amp; Assumptions'!$B$8/4))),IF('I_Budget Input Data'!$E$46="At Completion",IF(24='I_Inputs &amp; Assumptions'!$B$8,'I_Budget Input Data'!$D$46,0),'I_Budget Input Data'!$D$46/'I_Inputs &amp; Assumptions'!$B$8)))))),0)</f>
        <v>0</v>
      </c>
      <c r="AA46" s="91">
        <f>IF(25&lt;='I_Inputs &amp; Assumptions'!$B$8,IF('I_Budget Input Data'!$E$46="Upfront",IF(25=1,'I_Budget Input Data'!$D$46,0),IF('I_Budget Input Data'!$E$46="Equal",'I_Budget Input Data'!$D$46/'I_Inputs &amp; Assumptions'!$B$8,IF('I_Budget Input Data'!$E$46="Front-loaded",IF(25&lt;='I_Inputs &amp; Assumptions'!$B$8/2,'I_Budget Input Data'!$D$46*0.6/('I_Inputs &amp; Assumptions'!$B$8/2),'I_Budget Input Data'!$D$46*0.4/('I_Inputs &amp; Assumptions'!$B$8/2)),IF('I_Budget Input Data'!$E$46="Back-loaded",IF(25&lt;='I_Inputs &amp; Assumptions'!$B$8/2,'I_Budget Input Data'!$D$46*0.4/('I_Inputs &amp; Assumptions'!$B$8/2),'I_Budget Input Data'!$D$46*0.6/('I_Inputs &amp; Assumptions'!$B$8/2)),IF('I_Budget Input Data'!$E$46="Mid-weighted",IF(25&lt;='I_Inputs &amp; Assumptions'!$B$8/4,'I_Budget Input Data'!$D$46*0.2/('I_Inputs &amp; Assumptions'!$B$8/4),IF(25&lt;='I_Inputs &amp; Assumptions'!$B$8*0.75,'I_Budget Input Data'!$D$46*0.6/('I_Inputs &amp; Assumptions'!$B$8/2),'I_Budget Input Data'!$D$46*0.2/('I_Inputs &amp; Assumptions'!$B$8/4))),IF('I_Budget Input Data'!$E$46="At Completion",IF(25='I_Inputs &amp; Assumptions'!$B$8,'I_Budget Input Data'!$D$46,0),'I_Budget Input Data'!$D$46/'I_Inputs &amp; Assumptions'!$B$8)))))),0)</f>
        <v>0</v>
      </c>
      <c r="AB46" s="91">
        <f>IF(26&lt;='I_Inputs &amp; Assumptions'!$B$8,IF('I_Budget Input Data'!$E$46="Upfront",IF(26=1,'I_Budget Input Data'!$D$46,0),IF('I_Budget Input Data'!$E$46="Equal",'I_Budget Input Data'!$D$46/'I_Inputs &amp; Assumptions'!$B$8,IF('I_Budget Input Data'!$E$46="Front-loaded",IF(26&lt;='I_Inputs &amp; Assumptions'!$B$8/2,'I_Budget Input Data'!$D$46*0.6/('I_Inputs &amp; Assumptions'!$B$8/2),'I_Budget Input Data'!$D$46*0.4/('I_Inputs &amp; Assumptions'!$B$8/2)),IF('I_Budget Input Data'!$E$46="Back-loaded",IF(26&lt;='I_Inputs &amp; Assumptions'!$B$8/2,'I_Budget Input Data'!$D$46*0.4/('I_Inputs &amp; Assumptions'!$B$8/2),'I_Budget Input Data'!$D$46*0.6/('I_Inputs &amp; Assumptions'!$B$8/2)),IF('I_Budget Input Data'!$E$46="Mid-weighted",IF(26&lt;='I_Inputs &amp; Assumptions'!$B$8/4,'I_Budget Input Data'!$D$46*0.2/('I_Inputs &amp; Assumptions'!$B$8/4),IF(26&lt;='I_Inputs &amp; Assumptions'!$B$8*0.75,'I_Budget Input Data'!$D$46*0.6/('I_Inputs &amp; Assumptions'!$B$8/2),'I_Budget Input Data'!$D$46*0.2/('I_Inputs &amp; Assumptions'!$B$8/4))),IF('I_Budget Input Data'!$E$46="At Completion",IF(26='I_Inputs &amp; Assumptions'!$B$8,'I_Budget Input Data'!$D$46,0),'I_Budget Input Data'!$D$46/'I_Inputs &amp; Assumptions'!$B$8)))))),0)</f>
        <v>0</v>
      </c>
      <c r="AC46" s="91">
        <f>IF(27&lt;='I_Inputs &amp; Assumptions'!$B$8,IF('I_Budget Input Data'!$E$46="Upfront",IF(27=1,'I_Budget Input Data'!$D$46,0),IF('I_Budget Input Data'!$E$46="Equal",'I_Budget Input Data'!$D$46/'I_Inputs &amp; Assumptions'!$B$8,IF('I_Budget Input Data'!$E$46="Front-loaded",IF(27&lt;='I_Inputs &amp; Assumptions'!$B$8/2,'I_Budget Input Data'!$D$46*0.6/('I_Inputs &amp; Assumptions'!$B$8/2),'I_Budget Input Data'!$D$46*0.4/('I_Inputs &amp; Assumptions'!$B$8/2)),IF('I_Budget Input Data'!$E$46="Back-loaded",IF(27&lt;='I_Inputs &amp; Assumptions'!$B$8/2,'I_Budget Input Data'!$D$46*0.4/('I_Inputs &amp; Assumptions'!$B$8/2),'I_Budget Input Data'!$D$46*0.6/('I_Inputs &amp; Assumptions'!$B$8/2)),IF('I_Budget Input Data'!$E$46="Mid-weighted",IF(27&lt;='I_Inputs &amp; Assumptions'!$B$8/4,'I_Budget Input Data'!$D$46*0.2/('I_Inputs &amp; Assumptions'!$B$8/4),IF(27&lt;='I_Inputs &amp; Assumptions'!$B$8*0.75,'I_Budget Input Data'!$D$46*0.6/('I_Inputs &amp; Assumptions'!$B$8/2),'I_Budget Input Data'!$D$46*0.2/('I_Inputs &amp; Assumptions'!$B$8/4))),IF('I_Budget Input Data'!$E$46="At Completion",IF(27='I_Inputs &amp; Assumptions'!$B$8,'I_Budget Input Data'!$D$46,0),'I_Budget Input Data'!$D$46/'I_Inputs &amp; Assumptions'!$B$8)))))),0)</f>
        <v>0</v>
      </c>
      <c r="AD46" s="91">
        <f>IF(28&lt;='I_Inputs &amp; Assumptions'!$B$8,IF('I_Budget Input Data'!$E$46="Upfront",IF(28=1,'I_Budget Input Data'!$D$46,0),IF('I_Budget Input Data'!$E$46="Equal",'I_Budget Input Data'!$D$46/'I_Inputs &amp; Assumptions'!$B$8,IF('I_Budget Input Data'!$E$46="Front-loaded",IF(28&lt;='I_Inputs &amp; Assumptions'!$B$8/2,'I_Budget Input Data'!$D$46*0.6/('I_Inputs &amp; Assumptions'!$B$8/2),'I_Budget Input Data'!$D$46*0.4/('I_Inputs &amp; Assumptions'!$B$8/2)),IF('I_Budget Input Data'!$E$46="Back-loaded",IF(28&lt;='I_Inputs &amp; Assumptions'!$B$8/2,'I_Budget Input Data'!$D$46*0.4/('I_Inputs &amp; Assumptions'!$B$8/2),'I_Budget Input Data'!$D$46*0.6/('I_Inputs &amp; Assumptions'!$B$8/2)),IF('I_Budget Input Data'!$E$46="Mid-weighted",IF(28&lt;='I_Inputs &amp; Assumptions'!$B$8/4,'I_Budget Input Data'!$D$46*0.2/('I_Inputs &amp; Assumptions'!$B$8/4),IF(28&lt;='I_Inputs &amp; Assumptions'!$B$8*0.75,'I_Budget Input Data'!$D$46*0.6/('I_Inputs &amp; Assumptions'!$B$8/2),'I_Budget Input Data'!$D$46*0.2/('I_Inputs &amp; Assumptions'!$B$8/4))),IF('I_Budget Input Data'!$E$46="At Completion",IF(28='I_Inputs &amp; Assumptions'!$B$8,'I_Budget Input Data'!$D$46,0),'I_Budget Input Data'!$D$46/'I_Inputs &amp; Assumptions'!$B$8)))))),0)</f>
        <v>0</v>
      </c>
      <c r="AE46" s="91">
        <f>IF(29&lt;='I_Inputs &amp; Assumptions'!$B$8,IF('I_Budget Input Data'!$E$46="Upfront",IF(29=1,'I_Budget Input Data'!$D$46,0),IF('I_Budget Input Data'!$E$46="Equal",'I_Budget Input Data'!$D$46/'I_Inputs &amp; Assumptions'!$B$8,IF('I_Budget Input Data'!$E$46="Front-loaded",IF(29&lt;='I_Inputs &amp; Assumptions'!$B$8/2,'I_Budget Input Data'!$D$46*0.6/('I_Inputs &amp; Assumptions'!$B$8/2),'I_Budget Input Data'!$D$46*0.4/('I_Inputs &amp; Assumptions'!$B$8/2)),IF('I_Budget Input Data'!$E$46="Back-loaded",IF(29&lt;='I_Inputs &amp; Assumptions'!$B$8/2,'I_Budget Input Data'!$D$46*0.4/('I_Inputs &amp; Assumptions'!$B$8/2),'I_Budget Input Data'!$D$46*0.6/('I_Inputs &amp; Assumptions'!$B$8/2)),IF('I_Budget Input Data'!$E$46="Mid-weighted",IF(29&lt;='I_Inputs &amp; Assumptions'!$B$8/4,'I_Budget Input Data'!$D$46*0.2/('I_Inputs &amp; Assumptions'!$B$8/4),IF(29&lt;='I_Inputs &amp; Assumptions'!$B$8*0.75,'I_Budget Input Data'!$D$46*0.6/('I_Inputs &amp; Assumptions'!$B$8/2),'I_Budget Input Data'!$D$46*0.2/('I_Inputs &amp; Assumptions'!$B$8/4))),IF('I_Budget Input Data'!$E$46="At Completion",IF(29='I_Inputs &amp; Assumptions'!$B$8,'I_Budget Input Data'!$D$46,0),'I_Budget Input Data'!$D$46/'I_Inputs &amp; Assumptions'!$B$8)))))),0)</f>
        <v>0</v>
      </c>
      <c r="AF46" s="91">
        <f>IF(30&lt;='I_Inputs &amp; Assumptions'!$B$8,IF('I_Budget Input Data'!$E$46="Upfront",IF(30=1,'I_Budget Input Data'!$D$46,0),IF('I_Budget Input Data'!$E$46="Equal",'I_Budget Input Data'!$D$46/'I_Inputs &amp; Assumptions'!$B$8,IF('I_Budget Input Data'!$E$46="Front-loaded",IF(30&lt;='I_Inputs &amp; Assumptions'!$B$8/2,'I_Budget Input Data'!$D$46*0.6/('I_Inputs &amp; Assumptions'!$B$8/2),'I_Budget Input Data'!$D$46*0.4/('I_Inputs &amp; Assumptions'!$B$8/2)),IF('I_Budget Input Data'!$E$46="Back-loaded",IF(30&lt;='I_Inputs &amp; Assumptions'!$B$8/2,'I_Budget Input Data'!$D$46*0.4/('I_Inputs &amp; Assumptions'!$B$8/2),'I_Budget Input Data'!$D$46*0.6/('I_Inputs &amp; Assumptions'!$B$8/2)),IF('I_Budget Input Data'!$E$46="Mid-weighted",IF(30&lt;='I_Inputs &amp; Assumptions'!$B$8/4,'I_Budget Input Data'!$D$46*0.2/('I_Inputs &amp; Assumptions'!$B$8/4),IF(30&lt;='I_Inputs &amp; Assumptions'!$B$8*0.75,'I_Budget Input Data'!$D$46*0.6/('I_Inputs &amp; Assumptions'!$B$8/2),'I_Budget Input Data'!$D$46*0.2/('I_Inputs &amp; Assumptions'!$B$8/4))),IF('I_Budget Input Data'!$E$46="At Completion",IF(30='I_Inputs &amp; Assumptions'!$B$8,'I_Budget Input Data'!$D$46,0),'I_Budget Input Data'!$D$46/'I_Inputs &amp; Assumptions'!$B$8)))))),0)</f>
        <v>0</v>
      </c>
      <c r="AG46" s="91">
        <f>IF(31&lt;='I_Inputs &amp; Assumptions'!$B$8,IF('I_Budget Input Data'!$E$46="Upfront",IF(31=1,'I_Budget Input Data'!$D$46,0),IF('I_Budget Input Data'!$E$46="Equal",'I_Budget Input Data'!$D$46/'I_Inputs &amp; Assumptions'!$B$8,IF('I_Budget Input Data'!$E$46="Front-loaded",IF(31&lt;='I_Inputs &amp; Assumptions'!$B$8/2,'I_Budget Input Data'!$D$46*0.6/('I_Inputs &amp; Assumptions'!$B$8/2),'I_Budget Input Data'!$D$46*0.4/('I_Inputs &amp; Assumptions'!$B$8/2)),IF('I_Budget Input Data'!$E$46="Back-loaded",IF(31&lt;='I_Inputs &amp; Assumptions'!$B$8/2,'I_Budget Input Data'!$D$46*0.4/('I_Inputs &amp; Assumptions'!$B$8/2),'I_Budget Input Data'!$D$46*0.6/('I_Inputs &amp; Assumptions'!$B$8/2)),IF('I_Budget Input Data'!$E$46="Mid-weighted",IF(31&lt;='I_Inputs &amp; Assumptions'!$B$8/4,'I_Budget Input Data'!$D$46*0.2/('I_Inputs &amp; Assumptions'!$B$8/4),IF(31&lt;='I_Inputs &amp; Assumptions'!$B$8*0.75,'I_Budget Input Data'!$D$46*0.6/('I_Inputs &amp; Assumptions'!$B$8/2),'I_Budget Input Data'!$D$46*0.2/('I_Inputs &amp; Assumptions'!$B$8/4))),IF('I_Budget Input Data'!$E$46="At Completion",IF(31='I_Inputs &amp; Assumptions'!$B$8,'I_Budget Input Data'!$D$46,0),'I_Budget Input Data'!$D$46/'I_Inputs &amp; Assumptions'!$B$8)))))),0)</f>
        <v>0</v>
      </c>
      <c r="AH46" s="91">
        <f>IF(32&lt;='I_Inputs &amp; Assumptions'!$B$8,IF('I_Budget Input Data'!$E$46="Upfront",IF(32=1,'I_Budget Input Data'!$D$46,0),IF('I_Budget Input Data'!$E$46="Equal",'I_Budget Input Data'!$D$46/'I_Inputs &amp; Assumptions'!$B$8,IF('I_Budget Input Data'!$E$46="Front-loaded",IF(32&lt;='I_Inputs &amp; Assumptions'!$B$8/2,'I_Budget Input Data'!$D$46*0.6/('I_Inputs &amp; Assumptions'!$B$8/2),'I_Budget Input Data'!$D$46*0.4/('I_Inputs &amp; Assumptions'!$B$8/2)),IF('I_Budget Input Data'!$E$46="Back-loaded",IF(32&lt;='I_Inputs &amp; Assumptions'!$B$8/2,'I_Budget Input Data'!$D$46*0.4/('I_Inputs &amp; Assumptions'!$B$8/2),'I_Budget Input Data'!$D$46*0.6/('I_Inputs &amp; Assumptions'!$B$8/2)),IF('I_Budget Input Data'!$E$46="Mid-weighted",IF(32&lt;='I_Inputs &amp; Assumptions'!$B$8/4,'I_Budget Input Data'!$D$46*0.2/('I_Inputs &amp; Assumptions'!$B$8/4),IF(32&lt;='I_Inputs &amp; Assumptions'!$B$8*0.75,'I_Budget Input Data'!$D$46*0.6/('I_Inputs &amp; Assumptions'!$B$8/2),'I_Budget Input Data'!$D$46*0.2/('I_Inputs &amp; Assumptions'!$B$8/4))),IF('I_Budget Input Data'!$E$46="At Completion",IF(32='I_Inputs &amp; Assumptions'!$B$8,'I_Budget Input Data'!$D$46,0),'I_Budget Input Data'!$D$46/'I_Inputs &amp; Assumptions'!$B$8)))))),0)</f>
        <v>0</v>
      </c>
      <c r="AI46" s="91">
        <f>IF(33&lt;='I_Inputs &amp; Assumptions'!$B$8,IF('I_Budget Input Data'!$E$46="Upfront",IF(33=1,'I_Budget Input Data'!$D$46,0),IF('I_Budget Input Data'!$E$46="Equal",'I_Budget Input Data'!$D$46/'I_Inputs &amp; Assumptions'!$B$8,IF('I_Budget Input Data'!$E$46="Front-loaded",IF(33&lt;='I_Inputs &amp; Assumptions'!$B$8/2,'I_Budget Input Data'!$D$46*0.6/('I_Inputs &amp; Assumptions'!$B$8/2),'I_Budget Input Data'!$D$46*0.4/('I_Inputs &amp; Assumptions'!$B$8/2)),IF('I_Budget Input Data'!$E$46="Back-loaded",IF(33&lt;='I_Inputs &amp; Assumptions'!$B$8/2,'I_Budget Input Data'!$D$46*0.4/('I_Inputs &amp; Assumptions'!$B$8/2),'I_Budget Input Data'!$D$46*0.6/('I_Inputs &amp; Assumptions'!$B$8/2)),IF('I_Budget Input Data'!$E$46="Mid-weighted",IF(33&lt;='I_Inputs &amp; Assumptions'!$B$8/4,'I_Budget Input Data'!$D$46*0.2/('I_Inputs &amp; Assumptions'!$B$8/4),IF(33&lt;='I_Inputs &amp; Assumptions'!$B$8*0.75,'I_Budget Input Data'!$D$46*0.6/('I_Inputs &amp; Assumptions'!$B$8/2),'I_Budget Input Data'!$D$46*0.2/('I_Inputs &amp; Assumptions'!$B$8/4))),IF('I_Budget Input Data'!$E$46="At Completion",IF(33='I_Inputs &amp; Assumptions'!$B$8,'I_Budget Input Data'!$D$46,0),'I_Budget Input Data'!$D$46/'I_Inputs &amp; Assumptions'!$B$8)))))),0)</f>
        <v>0</v>
      </c>
      <c r="AJ46" s="91">
        <f>IF(34&lt;='I_Inputs &amp; Assumptions'!$B$8,IF('I_Budget Input Data'!$E$46="Upfront",IF(34=1,'I_Budget Input Data'!$D$46,0),IF('I_Budget Input Data'!$E$46="Equal",'I_Budget Input Data'!$D$46/'I_Inputs &amp; Assumptions'!$B$8,IF('I_Budget Input Data'!$E$46="Front-loaded",IF(34&lt;='I_Inputs &amp; Assumptions'!$B$8/2,'I_Budget Input Data'!$D$46*0.6/('I_Inputs &amp; Assumptions'!$B$8/2),'I_Budget Input Data'!$D$46*0.4/('I_Inputs &amp; Assumptions'!$B$8/2)),IF('I_Budget Input Data'!$E$46="Back-loaded",IF(34&lt;='I_Inputs &amp; Assumptions'!$B$8/2,'I_Budget Input Data'!$D$46*0.4/('I_Inputs &amp; Assumptions'!$B$8/2),'I_Budget Input Data'!$D$46*0.6/('I_Inputs &amp; Assumptions'!$B$8/2)),IF('I_Budget Input Data'!$E$46="Mid-weighted",IF(34&lt;='I_Inputs &amp; Assumptions'!$B$8/4,'I_Budget Input Data'!$D$46*0.2/('I_Inputs &amp; Assumptions'!$B$8/4),IF(34&lt;='I_Inputs &amp; Assumptions'!$B$8*0.75,'I_Budget Input Data'!$D$46*0.6/('I_Inputs &amp; Assumptions'!$B$8/2),'I_Budget Input Data'!$D$46*0.2/('I_Inputs &amp; Assumptions'!$B$8/4))),IF('I_Budget Input Data'!$E$46="At Completion",IF(34='I_Inputs &amp; Assumptions'!$B$8,'I_Budget Input Data'!$D$46,0),'I_Budget Input Data'!$D$46/'I_Inputs &amp; Assumptions'!$B$8)))))),0)</f>
        <v>0</v>
      </c>
      <c r="AK46" s="91">
        <f>IF(35&lt;='I_Inputs &amp; Assumptions'!$B$8,IF('I_Budget Input Data'!$E$46="Upfront",IF(35=1,'I_Budget Input Data'!$D$46,0),IF('I_Budget Input Data'!$E$46="Equal",'I_Budget Input Data'!$D$46/'I_Inputs &amp; Assumptions'!$B$8,IF('I_Budget Input Data'!$E$46="Front-loaded",IF(35&lt;='I_Inputs &amp; Assumptions'!$B$8/2,'I_Budget Input Data'!$D$46*0.6/('I_Inputs &amp; Assumptions'!$B$8/2),'I_Budget Input Data'!$D$46*0.4/('I_Inputs &amp; Assumptions'!$B$8/2)),IF('I_Budget Input Data'!$E$46="Back-loaded",IF(35&lt;='I_Inputs &amp; Assumptions'!$B$8/2,'I_Budget Input Data'!$D$46*0.4/('I_Inputs &amp; Assumptions'!$B$8/2),'I_Budget Input Data'!$D$46*0.6/('I_Inputs &amp; Assumptions'!$B$8/2)),IF('I_Budget Input Data'!$E$46="Mid-weighted",IF(35&lt;='I_Inputs &amp; Assumptions'!$B$8/4,'I_Budget Input Data'!$D$46*0.2/('I_Inputs &amp; Assumptions'!$B$8/4),IF(35&lt;='I_Inputs &amp; Assumptions'!$B$8*0.75,'I_Budget Input Data'!$D$46*0.6/('I_Inputs &amp; Assumptions'!$B$8/2),'I_Budget Input Data'!$D$46*0.2/('I_Inputs &amp; Assumptions'!$B$8/4))),IF('I_Budget Input Data'!$E$46="At Completion",IF(35='I_Inputs &amp; Assumptions'!$B$8,'I_Budget Input Data'!$D$46,0),'I_Budget Input Data'!$D$46/'I_Inputs &amp; Assumptions'!$B$8)))))),0)</f>
        <v>0</v>
      </c>
      <c r="AL46" s="91">
        <f>IF(36&lt;='I_Inputs &amp; Assumptions'!$B$8,IF('I_Budget Input Data'!$E$46="Upfront",IF(36=1,'I_Budget Input Data'!$D$46,0),IF('I_Budget Input Data'!$E$46="Equal",'I_Budget Input Data'!$D$46/'I_Inputs &amp; Assumptions'!$B$8,IF('I_Budget Input Data'!$E$46="Front-loaded",IF(36&lt;='I_Inputs &amp; Assumptions'!$B$8/2,'I_Budget Input Data'!$D$46*0.6/('I_Inputs &amp; Assumptions'!$B$8/2),'I_Budget Input Data'!$D$46*0.4/('I_Inputs &amp; Assumptions'!$B$8/2)),IF('I_Budget Input Data'!$E$46="Back-loaded",IF(36&lt;='I_Inputs &amp; Assumptions'!$B$8/2,'I_Budget Input Data'!$D$46*0.4/('I_Inputs &amp; Assumptions'!$B$8/2),'I_Budget Input Data'!$D$46*0.6/('I_Inputs &amp; Assumptions'!$B$8/2)),IF('I_Budget Input Data'!$E$46="Mid-weighted",IF(36&lt;='I_Inputs &amp; Assumptions'!$B$8/4,'I_Budget Input Data'!$D$46*0.2/('I_Inputs &amp; Assumptions'!$B$8/4),IF(36&lt;='I_Inputs &amp; Assumptions'!$B$8*0.75,'I_Budget Input Data'!$D$46*0.6/('I_Inputs &amp; Assumptions'!$B$8/2),'I_Budget Input Data'!$D$46*0.2/('I_Inputs &amp; Assumptions'!$B$8/4))),IF('I_Budget Input Data'!$E$46="At Completion",IF(36='I_Inputs &amp; Assumptions'!$B$8,'I_Budget Input Data'!$D$46,0),'I_Budget Input Data'!$D$46/'I_Inputs &amp; Assumptions'!$B$8)))))),0)</f>
        <v>0</v>
      </c>
    </row>
    <row r="47" spans="1:38" ht="15" customHeight="1" x14ac:dyDescent="0.2">
      <c r="A47" t="s">
        <v>146</v>
      </c>
      <c r="B47" t="s">
        <v>168</v>
      </c>
      <c r="C47" s="91">
        <f>IF(1&lt;='I_Inputs &amp; Assumptions'!$B$8,IF('I_Budget Input Data'!$E$47="Upfront",IF(1=1,'I_Budget Input Data'!$D$47,0),IF('I_Budget Input Data'!$E$47="Equal",'I_Budget Input Data'!$D$47/'I_Inputs &amp; Assumptions'!$B$8,IF('I_Budget Input Data'!$E$47="Front-loaded",IF(1&lt;='I_Inputs &amp; Assumptions'!$B$8/2,'I_Budget Input Data'!$D$47*0.6/('I_Inputs &amp; Assumptions'!$B$8/2),'I_Budget Input Data'!$D$47*0.4/('I_Inputs &amp; Assumptions'!$B$8/2)),IF('I_Budget Input Data'!$E$47="Back-loaded",IF(1&lt;='I_Inputs &amp; Assumptions'!$B$8/2,'I_Budget Input Data'!$D$47*0.4/('I_Inputs &amp; Assumptions'!$B$8/2),'I_Budget Input Data'!$D$47*0.6/('I_Inputs &amp; Assumptions'!$B$8/2)),IF('I_Budget Input Data'!$E$47="Mid-weighted",IF(1&lt;='I_Inputs &amp; Assumptions'!$B$8/4,'I_Budget Input Data'!$D$47*0.2/('I_Inputs &amp; Assumptions'!$B$8/4),IF(1&lt;='I_Inputs &amp; Assumptions'!$B$8*0.75,'I_Budget Input Data'!$D$47*0.6/('I_Inputs &amp; Assumptions'!$B$8/2),'I_Budget Input Data'!$D$47*0.2/('I_Inputs &amp; Assumptions'!$B$8/4))),IF('I_Budget Input Data'!$E$47="At Completion",IF(1='I_Inputs &amp; Assumptions'!$B$8,'I_Budget Input Data'!$D$47,0),'I_Budget Input Data'!$D$47/'I_Inputs &amp; Assumptions'!$B$8)))))),0)</f>
        <v>67833.846153846156</v>
      </c>
      <c r="D47" s="91">
        <f>IF(2&lt;='I_Inputs &amp; Assumptions'!$B$8,IF('I_Budget Input Data'!$E$47="Upfront",IF(2=1,'I_Budget Input Data'!$D$47,0),IF('I_Budget Input Data'!$E$47="Equal",'I_Budget Input Data'!$D$47/'I_Inputs &amp; Assumptions'!$B$8,IF('I_Budget Input Data'!$E$47="Front-loaded",IF(2&lt;='I_Inputs &amp; Assumptions'!$B$8/2,'I_Budget Input Data'!$D$47*0.6/('I_Inputs &amp; Assumptions'!$B$8/2),'I_Budget Input Data'!$D$47*0.4/('I_Inputs &amp; Assumptions'!$B$8/2)),IF('I_Budget Input Data'!$E$47="Back-loaded",IF(2&lt;='I_Inputs &amp; Assumptions'!$B$8/2,'I_Budget Input Data'!$D$47*0.4/('I_Inputs &amp; Assumptions'!$B$8/2),'I_Budget Input Data'!$D$47*0.6/('I_Inputs &amp; Assumptions'!$B$8/2)),IF('I_Budget Input Data'!$E$47="Mid-weighted",IF(2&lt;='I_Inputs &amp; Assumptions'!$B$8/4,'I_Budget Input Data'!$D$47*0.2/('I_Inputs &amp; Assumptions'!$B$8/4),IF(2&lt;='I_Inputs &amp; Assumptions'!$B$8*0.75,'I_Budget Input Data'!$D$47*0.6/('I_Inputs &amp; Assumptions'!$B$8/2),'I_Budget Input Data'!$D$47*0.2/('I_Inputs &amp; Assumptions'!$B$8/4))),IF('I_Budget Input Data'!$E$47="At Completion",IF(2='I_Inputs &amp; Assumptions'!$B$8,'I_Budget Input Data'!$D$47,0),'I_Budget Input Data'!$D$47/'I_Inputs &amp; Assumptions'!$B$8)))))),0)</f>
        <v>67833.846153846156</v>
      </c>
      <c r="E47" s="91">
        <f>IF(3&lt;='I_Inputs &amp; Assumptions'!$B$8,IF('I_Budget Input Data'!$E$47="Upfront",IF(3=1,'I_Budget Input Data'!$D$47,0),IF('I_Budget Input Data'!$E$47="Equal",'I_Budget Input Data'!$D$47/'I_Inputs &amp; Assumptions'!$B$8,IF('I_Budget Input Data'!$E$47="Front-loaded",IF(3&lt;='I_Inputs &amp; Assumptions'!$B$8/2,'I_Budget Input Data'!$D$47*0.6/('I_Inputs &amp; Assumptions'!$B$8/2),'I_Budget Input Data'!$D$47*0.4/('I_Inputs &amp; Assumptions'!$B$8/2)),IF('I_Budget Input Data'!$E$47="Back-loaded",IF(3&lt;='I_Inputs &amp; Assumptions'!$B$8/2,'I_Budget Input Data'!$D$47*0.4/('I_Inputs &amp; Assumptions'!$B$8/2),'I_Budget Input Data'!$D$47*0.6/('I_Inputs &amp; Assumptions'!$B$8/2)),IF('I_Budget Input Data'!$E$47="Mid-weighted",IF(3&lt;='I_Inputs &amp; Assumptions'!$B$8/4,'I_Budget Input Data'!$D$47*0.2/('I_Inputs &amp; Assumptions'!$B$8/4),IF(3&lt;='I_Inputs &amp; Assumptions'!$B$8*0.75,'I_Budget Input Data'!$D$47*0.6/('I_Inputs &amp; Assumptions'!$B$8/2),'I_Budget Input Data'!$D$47*0.2/('I_Inputs &amp; Assumptions'!$B$8/4))),IF('I_Budget Input Data'!$E$47="At Completion",IF(3='I_Inputs &amp; Assumptions'!$B$8,'I_Budget Input Data'!$D$47,0),'I_Budget Input Data'!$D$47/'I_Inputs &amp; Assumptions'!$B$8)))))),0)</f>
        <v>67833.846153846156</v>
      </c>
      <c r="F47" s="91">
        <f>IF(4&lt;='I_Inputs &amp; Assumptions'!$B$8,IF('I_Budget Input Data'!$E$47="Upfront",IF(4=1,'I_Budget Input Data'!$D$47,0),IF('I_Budget Input Data'!$E$47="Equal",'I_Budget Input Data'!$D$47/'I_Inputs &amp; Assumptions'!$B$8,IF('I_Budget Input Data'!$E$47="Front-loaded",IF(4&lt;='I_Inputs &amp; Assumptions'!$B$8/2,'I_Budget Input Data'!$D$47*0.6/('I_Inputs &amp; Assumptions'!$B$8/2),'I_Budget Input Data'!$D$47*0.4/('I_Inputs &amp; Assumptions'!$B$8/2)),IF('I_Budget Input Data'!$E$47="Back-loaded",IF(4&lt;='I_Inputs &amp; Assumptions'!$B$8/2,'I_Budget Input Data'!$D$47*0.4/('I_Inputs &amp; Assumptions'!$B$8/2),'I_Budget Input Data'!$D$47*0.6/('I_Inputs &amp; Assumptions'!$B$8/2)),IF('I_Budget Input Data'!$E$47="Mid-weighted",IF(4&lt;='I_Inputs &amp; Assumptions'!$B$8/4,'I_Budget Input Data'!$D$47*0.2/('I_Inputs &amp; Assumptions'!$B$8/4),IF(4&lt;='I_Inputs &amp; Assumptions'!$B$8*0.75,'I_Budget Input Data'!$D$47*0.6/('I_Inputs &amp; Assumptions'!$B$8/2),'I_Budget Input Data'!$D$47*0.2/('I_Inputs &amp; Assumptions'!$B$8/4))),IF('I_Budget Input Data'!$E$47="At Completion",IF(4='I_Inputs &amp; Assumptions'!$B$8,'I_Budget Input Data'!$D$47,0),'I_Budget Input Data'!$D$47/'I_Inputs &amp; Assumptions'!$B$8)))))),0)</f>
        <v>67833.846153846156</v>
      </c>
      <c r="G47" s="91">
        <f>IF(5&lt;='I_Inputs &amp; Assumptions'!$B$8,IF('I_Budget Input Data'!$E$47="Upfront",IF(5=1,'I_Budget Input Data'!$D$47,0),IF('I_Budget Input Data'!$E$47="Equal",'I_Budget Input Data'!$D$47/'I_Inputs &amp; Assumptions'!$B$8,IF('I_Budget Input Data'!$E$47="Front-loaded",IF(5&lt;='I_Inputs &amp; Assumptions'!$B$8/2,'I_Budget Input Data'!$D$47*0.6/('I_Inputs &amp; Assumptions'!$B$8/2),'I_Budget Input Data'!$D$47*0.4/('I_Inputs &amp; Assumptions'!$B$8/2)),IF('I_Budget Input Data'!$E$47="Back-loaded",IF(5&lt;='I_Inputs &amp; Assumptions'!$B$8/2,'I_Budget Input Data'!$D$47*0.4/('I_Inputs &amp; Assumptions'!$B$8/2),'I_Budget Input Data'!$D$47*0.6/('I_Inputs &amp; Assumptions'!$B$8/2)),IF('I_Budget Input Data'!$E$47="Mid-weighted",IF(5&lt;='I_Inputs &amp; Assumptions'!$B$8/4,'I_Budget Input Data'!$D$47*0.2/('I_Inputs &amp; Assumptions'!$B$8/4),IF(5&lt;='I_Inputs &amp; Assumptions'!$B$8*0.75,'I_Budget Input Data'!$D$47*0.6/('I_Inputs &amp; Assumptions'!$B$8/2),'I_Budget Input Data'!$D$47*0.2/('I_Inputs &amp; Assumptions'!$B$8/4))),IF('I_Budget Input Data'!$E$47="At Completion",IF(5='I_Inputs &amp; Assumptions'!$B$8,'I_Budget Input Data'!$D$47,0),'I_Budget Input Data'!$D$47/'I_Inputs &amp; Assumptions'!$B$8)))))),0)</f>
        <v>67833.846153846156</v>
      </c>
      <c r="H47" s="91">
        <f>IF(6&lt;='I_Inputs &amp; Assumptions'!$B$8,IF('I_Budget Input Data'!$E$47="Upfront",IF(6=1,'I_Budget Input Data'!$D$47,0),IF('I_Budget Input Data'!$E$47="Equal",'I_Budget Input Data'!$D$47/'I_Inputs &amp; Assumptions'!$B$8,IF('I_Budget Input Data'!$E$47="Front-loaded",IF(6&lt;='I_Inputs &amp; Assumptions'!$B$8/2,'I_Budget Input Data'!$D$47*0.6/('I_Inputs &amp; Assumptions'!$B$8/2),'I_Budget Input Data'!$D$47*0.4/('I_Inputs &amp; Assumptions'!$B$8/2)),IF('I_Budget Input Data'!$E$47="Back-loaded",IF(6&lt;='I_Inputs &amp; Assumptions'!$B$8/2,'I_Budget Input Data'!$D$47*0.4/('I_Inputs &amp; Assumptions'!$B$8/2),'I_Budget Input Data'!$D$47*0.6/('I_Inputs &amp; Assumptions'!$B$8/2)),IF('I_Budget Input Data'!$E$47="Mid-weighted",IF(6&lt;='I_Inputs &amp; Assumptions'!$B$8/4,'I_Budget Input Data'!$D$47*0.2/('I_Inputs &amp; Assumptions'!$B$8/4),IF(6&lt;='I_Inputs &amp; Assumptions'!$B$8*0.75,'I_Budget Input Data'!$D$47*0.6/('I_Inputs &amp; Assumptions'!$B$8/2),'I_Budget Input Data'!$D$47*0.2/('I_Inputs &amp; Assumptions'!$B$8/4))),IF('I_Budget Input Data'!$E$47="At Completion",IF(6='I_Inputs &amp; Assumptions'!$B$8,'I_Budget Input Data'!$D$47,0),'I_Budget Input Data'!$D$47/'I_Inputs &amp; Assumptions'!$B$8)))))),0)</f>
        <v>67833.846153846156</v>
      </c>
      <c r="I47" s="91">
        <f>IF(7&lt;='I_Inputs &amp; Assumptions'!$B$8,IF('I_Budget Input Data'!$E$47="Upfront",IF(7=1,'I_Budget Input Data'!$D$47,0),IF('I_Budget Input Data'!$E$47="Equal",'I_Budget Input Data'!$D$47/'I_Inputs &amp; Assumptions'!$B$8,IF('I_Budget Input Data'!$E$47="Front-loaded",IF(7&lt;='I_Inputs &amp; Assumptions'!$B$8/2,'I_Budget Input Data'!$D$47*0.6/('I_Inputs &amp; Assumptions'!$B$8/2),'I_Budget Input Data'!$D$47*0.4/('I_Inputs &amp; Assumptions'!$B$8/2)),IF('I_Budget Input Data'!$E$47="Back-loaded",IF(7&lt;='I_Inputs &amp; Assumptions'!$B$8/2,'I_Budget Input Data'!$D$47*0.4/('I_Inputs &amp; Assumptions'!$B$8/2),'I_Budget Input Data'!$D$47*0.6/('I_Inputs &amp; Assumptions'!$B$8/2)),IF('I_Budget Input Data'!$E$47="Mid-weighted",IF(7&lt;='I_Inputs &amp; Assumptions'!$B$8/4,'I_Budget Input Data'!$D$47*0.2/('I_Inputs &amp; Assumptions'!$B$8/4),IF(7&lt;='I_Inputs &amp; Assumptions'!$B$8*0.75,'I_Budget Input Data'!$D$47*0.6/('I_Inputs &amp; Assumptions'!$B$8/2),'I_Budget Input Data'!$D$47*0.2/('I_Inputs &amp; Assumptions'!$B$8/4))),IF('I_Budget Input Data'!$E$47="At Completion",IF(7='I_Inputs &amp; Assumptions'!$B$8,'I_Budget Input Data'!$D$47,0),'I_Budget Input Data'!$D$47/'I_Inputs &amp; Assumptions'!$B$8)))))),0)</f>
        <v>67833.846153846156</v>
      </c>
      <c r="J47" s="91">
        <f>IF(8&lt;='I_Inputs &amp; Assumptions'!$B$8,IF('I_Budget Input Data'!$E$47="Upfront",IF(8=1,'I_Budget Input Data'!$D$47,0),IF('I_Budget Input Data'!$E$47="Equal",'I_Budget Input Data'!$D$47/'I_Inputs &amp; Assumptions'!$B$8,IF('I_Budget Input Data'!$E$47="Front-loaded",IF(8&lt;='I_Inputs &amp; Assumptions'!$B$8/2,'I_Budget Input Data'!$D$47*0.6/('I_Inputs &amp; Assumptions'!$B$8/2),'I_Budget Input Data'!$D$47*0.4/('I_Inputs &amp; Assumptions'!$B$8/2)),IF('I_Budget Input Data'!$E$47="Back-loaded",IF(8&lt;='I_Inputs &amp; Assumptions'!$B$8/2,'I_Budget Input Data'!$D$47*0.4/('I_Inputs &amp; Assumptions'!$B$8/2),'I_Budget Input Data'!$D$47*0.6/('I_Inputs &amp; Assumptions'!$B$8/2)),IF('I_Budget Input Data'!$E$47="Mid-weighted",IF(8&lt;='I_Inputs &amp; Assumptions'!$B$8/4,'I_Budget Input Data'!$D$47*0.2/('I_Inputs &amp; Assumptions'!$B$8/4),IF(8&lt;='I_Inputs &amp; Assumptions'!$B$8*0.75,'I_Budget Input Data'!$D$47*0.6/('I_Inputs &amp; Assumptions'!$B$8/2),'I_Budget Input Data'!$D$47*0.2/('I_Inputs &amp; Assumptions'!$B$8/4))),IF('I_Budget Input Data'!$E$47="At Completion",IF(8='I_Inputs &amp; Assumptions'!$B$8,'I_Budget Input Data'!$D$47,0),'I_Budget Input Data'!$D$47/'I_Inputs &amp; Assumptions'!$B$8)))))),0)</f>
        <v>67833.846153846156</v>
      </c>
      <c r="K47" s="91">
        <f>IF(9&lt;='I_Inputs &amp; Assumptions'!$B$8,IF('I_Budget Input Data'!$E$47="Upfront",IF(9=1,'I_Budget Input Data'!$D$47,0),IF('I_Budget Input Data'!$E$47="Equal",'I_Budget Input Data'!$D$47/'I_Inputs &amp; Assumptions'!$B$8,IF('I_Budget Input Data'!$E$47="Front-loaded",IF(9&lt;='I_Inputs &amp; Assumptions'!$B$8/2,'I_Budget Input Data'!$D$47*0.6/('I_Inputs &amp; Assumptions'!$B$8/2),'I_Budget Input Data'!$D$47*0.4/('I_Inputs &amp; Assumptions'!$B$8/2)),IF('I_Budget Input Data'!$E$47="Back-loaded",IF(9&lt;='I_Inputs &amp; Assumptions'!$B$8/2,'I_Budget Input Data'!$D$47*0.4/('I_Inputs &amp; Assumptions'!$B$8/2),'I_Budget Input Data'!$D$47*0.6/('I_Inputs &amp; Assumptions'!$B$8/2)),IF('I_Budget Input Data'!$E$47="Mid-weighted",IF(9&lt;='I_Inputs &amp; Assumptions'!$B$8/4,'I_Budget Input Data'!$D$47*0.2/('I_Inputs &amp; Assumptions'!$B$8/4),IF(9&lt;='I_Inputs &amp; Assumptions'!$B$8*0.75,'I_Budget Input Data'!$D$47*0.6/('I_Inputs &amp; Assumptions'!$B$8/2),'I_Budget Input Data'!$D$47*0.2/('I_Inputs &amp; Assumptions'!$B$8/4))),IF('I_Budget Input Data'!$E$47="At Completion",IF(9='I_Inputs &amp; Assumptions'!$B$8,'I_Budget Input Data'!$D$47,0),'I_Budget Input Data'!$D$47/'I_Inputs &amp; Assumptions'!$B$8)))))),0)</f>
        <v>67833.846153846156</v>
      </c>
      <c r="L47" s="91">
        <f>IF(10&lt;='I_Inputs &amp; Assumptions'!$B$8,IF('I_Budget Input Data'!$E$47="Upfront",IF(10=1,'I_Budget Input Data'!$D$47,0),IF('I_Budget Input Data'!$E$47="Equal",'I_Budget Input Data'!$D$47/'I_Inputs &amp; Assumptions'!$B$8,IF('I_Budget Input Data'!$E$47="Front-loaded",IF(10&lt;='I_Inputs &amp; Assumptions'!$B$8/2,'I_Budget Input Data'!$D$47*0.6/('I_Inputs &amp; Assumptions'!$B$8/2),'I_Budget Input Data'!$D$47*0.4/('I_Inputs &amp; Assumptions'!$B$8/2)),IF('I_Budget Input Data'!$E$47="Back-loaded",IF(10&lt;='I_Inputs &amp; Assumptions'!$B$8/2,'I_Budget Input Data'!$D$47*0.4/('I_Inputs &amp; Assumptions'!$B$8/2),'I_Budget Input Data'!$D$47*0.6/('I_Inputs &amp; Assumptions'!$B$8/2)),IF('I_Budget Input Data'!$E$47="Mid-weighted",IF(10&lt;='I_Inputs &amp; Assumptions'!$B$8/4,'I_Budget Input Data'!$D$47*0.2/('I_Inputs &amp; Assumptions'!$B$8/4),IF(10&lt;='I_Inputs &amp; Assumptions'!$B$8*0.75,'I_Budget Input Data'!$D$47*0.6/('I_Inputs &amp; Assumptions'!$B$8/2),'I_Budget Input Data'!$D$47*0.2/('I_Inputs &amp; Assumptions'!$B$8/4))),IF('I_Budget Input Data'!$E$47="At Completion",IF(10='I_Inputs &amp; Assumptions'!$B$8,'I_Budget Input Data'!$D$47,0),'I_Budget Input Data'!$D$47/'I_Inputs &amp; Assumptions'!$B$8)))))),0)</f>
        <v>67833.846153846156</v>
      </c>
      <c r="M47" s="91">
        <f>IF(11&lt;='I_Inputs &amp; Assumptions'!$B$8,IF('I_Budget Input Data'!$E$47="Upfront",IF(11=1,'I_Budget Input Data'!$D$47,0),IF('I_Budget Input Data'!$E$47="Equal",'I_Budget Input Data'!$D$47/'I_Inputs &amp; Assumptions'!$B$8,IF('I_Budget Input Data'!$E$47="Front-loaded",IF(11&lt;='I_Inputs &amp; Assumptions'!$B$8/2,'I_Budget Input Data'!$D$47*0.6/('I_Inputs &amp; Assumptions'!$B$8/2),'I_Budget Input Data'!$D$47*0.4/('I_Inputs &amp; Assumptions'!$B$8/2)),IF('I_Budget Input Data'!$E$47="Back-loaded",IF(11&lt;='I_Inputs &amp; Assumptions'!$B$8/2,'I_Budget Input Data'!$D$47*0.4/('I_Inputs &amp; Assumptions'!$B$8/2),'I_Budget Input Data'!$D$47*0.6/('I_Inputs &amp; Assumptions'!$B$8/2)),IF('I_Budget Input Data'!$E$47="Mid-weighted",IF(11&lt;='I_Inputs &amp; Assumptions'!$B$8/4,'I_Budget Input Data'!$D$47*0.2/('I_Inputs &amp; Assumptions'!$B$8/4),IF(11&lt;='I_Inputs &amp; Assumptions'!$B$8*0.75,'I_Budget Input Data'!$D$47*0.6/('I_Inputs &amp; Assumptions'!$B$8/2),'I_Budget Input Data'!$D$47*0.2/('I_Inputs &amp; Assumptions'!$B$8/4))),IF('I_Budget Input Data'!$E$47="At Completion",IF(11='I_Inputs &amp; Assumptions'!$B$8,'I_Budget Input Data'!$D$47,0),'I_Budget Input Data'!$D$47/'I_Inputs &amp; Assumptions'!$B$8)))))),0)</f>
        <v>67833.846153846156</v>
      </c>
      <c r="N47" s="91">
        <f>IF(12&lt;='I_Inputs &amp; Assumptions'!$B$8,IF('I_Budget Input Data'!$E$47="Upfront",IF(12=1,'I_Budget Input Data'!$D$47,0),IF('I_Budget Input Data'!$E$47="Equal",'I_Budget Input Data'!$D$47/'I_Inputs &amp; Assumptions'!$B$8,IF('I_Budget Input Data'!$E$47="Front-loaded",IF(12&lt;='I_Inputs &amp; Assumptions'!$B$8/2,'I_Budget Input Data'!$D$47*0.6/('I_Inputs &amp; Assumptions'!$B$8/2),'I_Budget Input Data'!$D$47*0.4/('I_Inputs &amp; Assumptions'!$B$8/2)),IF('I_Budget Input Data'!$E$47="Back-loaded",IF(12&lt;='I_Inputs &amp; Assumptions'!$B$8/2,'I_Budget Input Data'!$D$47*0.4/('I_Inputs &amp; Assumptions'!$B$8/2),'I_Budget Input Data'!$D$47*0.6/('I_Inputs &amp; Assumptions'!$B$8/2)),IF('I_Budget Input Data'!$E$47="Mid-weighted",IF(12&lt;='I_Inputs &amp; Assumptions'!$B$8/4,'I_Budget Input Data'!$D$47*0.2/('I_Inputs &amp; Assumptions'!$B$8/4),IF(12&lt;='I_Inputs &amp; Assumptions'!$B$8*0.75,'I_Budget Input Data'!$D$47*0.6/('I_Inputs &amp; Assumptions'!$B$8/2),'I_Budget Input Data'!$D$47*0.2/('I_Inputs &amp; Assumptions'!$B$8/4))),IF('I_Budget Input Data'!$E$47="At Completion",IF(12='I_Inputs &amp; Assumptions'!$B$8,'I_Budget Input Data'!$D$47,0),'I_Budget Input Data'!$D$47/'I_Inputs &amp; Assumptions'!$B$8)))))),0)</f>
        <v>67833.846153846156</v>
      </c>
      <c r="O47" s="91">
        <f>IF(13&lt;='I_Inputs &amp; Assumptions'!$B$8,IF('I_Budget Input Data'!$E$47="Upfront",IF(13=1,'I_Budget Input Data'!$D$47,0),IF('I_Budget Input Data'!$E$47="Equal",'I_Budget Input Data'!$D$47/'I_Inputs &amp; Assumptions'!$B$8,IF('I_Budget Input Data'!$E$47="Front-loaded",IF(13&lt;='I_Inputs &amp; Assumptions'!$B$8/2,'I_Budget Input Data'!$D$47*0.6/('I_Inputs &amp; Assumptions'!$B$8/2),'I_Budget Input Data'!$D$47*0.4/('I_Inputs &amp; Assumptions'!$B$8/2)),IF('I_Budget Input Data'!$E$47="Back-loaded",IF(13&lt;='I_Inputs &amp; Assumptions'!$B$8/2,'I_Budget Input Data'!$D$47*0.4/('I_Inputs &amp; Assumptions'!$B$8/2),'I_Budget Input Data'!$D$47*0.6/('I_Inputs &amp; Assumptions'!$B$8/2)),IF('I_Budget Input Data'!$E$47="Mid-weighted",IF(13&lt;='I_Inputs &amp; Assumptions'!$B$8/4,'I_Budget Input Data'!$D$47*0.2/('I_Inputs &amp; Assumptions'!$B$8/4),IF(13&lt;='I_Inputs &amp; Assumptions'!$B$8*0.75,'I_Budget Input Data'!$D$47*0.6/('I_Inputs &amp; Assumptions'!$B$8/2),'I_Budget Input Data'!$D$47*0.2/('I_Inputs &amp; Assumptions'!$B$8/4))),IF('I_Budget Input Data'!$E$47="At Completion",IF(13='I_Inputs &amp; Assumptions'!$B$8,'I_Budget Input Data'!$D$47,0),'I_Budget Input Data'!$D$47/'I_Inputs &amp; Assumptions'!$B$8)))))),0)</f>
        <v>67833.846153846156</v>
      </c>
      <c r="P47" s="91">
        <f>IF(14&lt;='I_Inputs &amp; Assumptions'!$B$8,IF('I_Budget Input Data'!$E$47="Upfront",IF(14=1,'I_Budget Input Data'!$D$47,0),IF('I_Budget Input Data'!$E$47="Equal",'I_Budget Input Data'!$D$47/'I_Inputs &amp; Assumptions'!$B$8,IF('I_Budget Input Data'!$E$47="Front-loaded",IF(14&lt;='I_Inputs &amp; Assumptions'!$B$8/2,'I_Budget Input Data'!$D$47*0.6/('I_Inputs &amp; Assumptions'!$B$8/2),'I_Budget Input Data'!$D$47*0.4/('I_Inputs &amp; Assumptions'!$B$8/2)),IF('I_Budget Input Data'!$E$47="Back-loaded",IF(14&lt;='I_Inputs &amp; Assumptions'!$B$8/2,'I_Budget Input Data'!$D$47*0.4/('I_Inputs &amp; Assumptions'!$B$8/2),'I_Budget Input Data'!$D$47*0.6/('I_Inputs &amp; Assumptions'!$B$8/2)),IF('I_Budget Input Data'!$E$47="Mid-weighted",IF(14&lt;='I_Inputs &amp; Assumptions'!$B$8/4,'I_Budget Input Data'!$D$47*0.2/('I_Inputs &amp; Assumptions'!$B$8/4),IF(14&lt;='I_Inputs &amp; Assumptions'!$B$8*0.75,'I_Budget Input Data'!$D$47*0.6/('I_Inputs &amp; Assumptions'!$B$8/2),'I_Budget Input Data'!$D$47*0.2/('I_Inputs &amp; Assumptions'!$B$8/4))),IF('I_Budget Input Data'!$E$47="At Completion",IF(14='I_Inputs &amp; Assumptions'!$B$8,'I_Budget Input Data'!$D$47,0),'I_Budget Input Data'!$D$47/'I_Inputs &amp; Assumptions'!$B$8)))))),0)</f>
        <v>0</v>
      </c>
      <c r="Q47" s="91">
        <f>IF(15&lt;='I_Inputs &amp; Assumptions'!$B$8,IF('I_Budget Input Data'!$E$47="Upfront",IF(15=1,'I_Budget Input Data'!$D$47,0),IF('I_Budget Input Data'!$E$47="Equal",'I_Budget Input Data'!$D$47/'I_Inputs &amp; Assumptions'!$B$8,IF('I_Budget Input Data'!$E$47="Front-loaded",IF(15&lt;='I_Inputs &amp; Assumptions'!$B$8/2,'I_Budget Input Data'!$D$47*0.6/('I_Inputs &amp; Assumptions'!$B$8/2),'I_Budget Input Data'!$D$47*0.4/('I_Inputs &amp; Assumptions'!$B$8/2)),IF('I_Budget Input Data'!$E$47="Back-loaded",IF(15&lt;='I_Inputs &amp; Assumptions'!$B$8/2,'I_Budget Input Data'!$D$47*0.4/('I_Inputs &amp; Assumptions'!$B$8/2),'I_Budget Input Data'!$D$47*0.6/('I_Inputs &amp; Assumptions'!$B$8/2)),IF('I_Budget Input Data'!$E$47="Mid-weighted",IF(15&lt;='I_Inputs &amp; Assumptions'!$B$8/4,'I_Budget Input Data'!$D$47*0.2/('I_Inputs &amp; Assumptions'!$B$8/4),IF(15&lt;='I_Inputs &amp; Assumptions'!$B$8*0.75,'I_Budget Input Data'!$D$47*0.6/('I_Inputs &amp; Assumptions'!$B$8/2),'I_Budget Input Data'!$D$47*0.2/('I_Inputs &amp; Assumptions'!$B$8/4))),IF('I_Budget Input Data'!$E$47="At Completion",IF(15='I_Inputs &amp; Assumptions'!$B$8,'I_Budget Input Data'!$D$47,0),'I_Budget Input Data'!$D$47/'I_Inputs &amp; Assumptions'!$B$8)))))),0)</f>
        <v>0</v>
      </c>
      <c r="R47" s="91">
        <f>IF(16&lt;='I_Inputs &amp; Assumptions'!$B$8,IF('I_Budget Input Data'!$E$47="Upfront",IF(16=1,'I_Budget Input Data'!$D$47,0),IF('I_Budget Input Data'!$E$47="Equal",'I_Budget Input Data'!$D$47/'I_Inputs &amp; Assumptions'!$B$8,IF('I_Budget Input Data'!$E$47="Front-loaded",IF(16&lt;='I_Inputs &amp; Assumptions'!$B$8/2,'I_Budget Input Data'!$D$47*0.6/('I_Inputs &amp; Assumptions'!$B$8/2),'I_Budget Input Data'!$D$47*0.4/('I_Inputs &amp; Assumptions'!$B$8/2)),IF('I_Budget Input Data'!$E$47="Back-loaded",IF(16&lt;='I_Inputs &amp; Assumptions'!$B$8/2,'I_Budget Input Data'!$D$47*0.4/('I_Inputs &amp; Assumptions'!$B$8/2),'I_Budget Input Data'!$D$47*0.6/('I_Inputs &amp; Assumptions'!$B$8/2)),IF('I_Budget Input Data'!$E$47="Mid-weighted",IF(16&lt;='I_Inputs &amp; Assumptions'!$B$8/4,'I_Budget Input Data'!$D$47*0.2/('I_Inputs &amp; Assumptions'!$B$8/4),IF(16&lt;='I_Inputs &amp; Assumptions'!$B$8*0.75,'I_Budget Input Data'!$D$47*0.6/('I_Inputs &amp; Assumptions'!$B$8/2),'I_Budget Input Data'!$D$47*0.2/('I_Inputs &amp; Assumptions'!$B$8/4))),IF('I_Budget Input Data'!$E$47="At Completion",IF(16='I_Inputs &amp; Assumptions'!$B$8,'I_Budget Input Data'!$D$47,0),'I_Budget Input Data'!$D$47/'I_Inputs &amp; Assumptions'!$B$8)))))),0)</f>
        <v>0</v>
      </c>
      <c r="S47" s="91">
        <f>IF(17&lt;='I_Inputs &amp; Assumptions'!$B$8,IF('I_Budget Input Data'!$E$47="Upfront",IF(17=1,'I_Budget Input Data'!$D$47,0),IF('I_Budget Input Data'!$E$47="Equal",'I_Budget Input Data'!$D$47/'I_Inputs &amp; Assumptions'!$B$8,IF('I_Budget Input Data'!$E$47="Front-loaded",IF(17&lt;='I_Inputs &amp; Assumptions'!$B$8/2,'I_Budget Input Data'!$D$47*0.6/('I_Inputs &amp; Assumptions'!$B$8/2),'I_Budget Input Data'!$D$47*0.4/('I_Inputs &amp; Assumptions'!$B$8/2)),IF('I_Budget Input Data'!$E$47="Back-loaded",IF(17&lt;='I_Inputs &amp; Assumptions'!$B$8/2,'I_Budget Input Data'!$D$47*0.4/('I_Inputs &amp; Assumptions'!$B$8/2),'I_Budget Input Data'!$D$47*0.6/('I_Inputs &amp; Assumptions'!$B$8/2)),IF('I_Budget Input Data'!$E$47="Mid-weighted",IF(17&lt;='I_Inputs &amp; Assumptions'!$B$8/4,'I_Budget Input Data'!$D$47*0.2/('I_Inputs &amp; Assumptions'!$B$8/4),IF(17&lt;='I_Inputs &amp; Assumptions'!$B$8*0.75,'I_Budget Input Data'!$D$47*0.6/('I_Inputs &amp; Assumptions'!$B$8/2),'I_Budget Input Data'!$D$47*0.2/('I_Inputs &amp; Assumptions'!$B$8/4))),IF('I_Budget Input Data'!$E$47="At Completion",IF(17='I_Inputs &amp; Assumptions'!$B$8,'I_Budget Input Data'!$D$47,0),'I_Budget Input Data'!$D$47/'I_Inputs &amp; Assumptions'!$B$8)))))),0)</f>
        <v>0</v>
      </c>
      <c r="T47" s="91">
        <f>IF(18&lt;='I_Inputs &amp; Assumptions'!$B$8,IF('I_Budget Input Data'!$E$47="Upfront",IF(18=1,'I_Budget Input Data'!$D$47,0),IF('I_Budget Input Data'!$E$47="Equal",'I_Budget Input Data'!$D$47/'I_Inputs &amp; Assumptions'!$B$8,IF('I_Budget Input Data'!$E$47="Front-loaded",IF(18&lt;='I_Inputs &amp; Assumptions'!$B$8/2,'I_Budget Input Data'!$D$47*0.6/('I_Inputs &amp; Assumptions'!$B$8/2),'I_Budget Input Data'!$D$47*0.4/('I_Inputs &amp; Assumptions'!$B$8/2)),IF('I_Budget Input Data'!$E$47="Back-loaded",IF(18&lt;='I_Inputs &amp; Assumptions'!$B$8/2,'I_Budget Input Data'!$D$47*0.4/('I_Inputs &amp; Assumptions'!$B$8/2),'I_Budget Input Data'!$D$47*0.6/('I_Inputs &amp; Assumptions'!$B$8/2)),IF('I_Budget Input Data'!$E$47="Mid-weighted",IF(18&lt;='I_Inputs &amp; Assumptions'!$B$8/4,'I_Budget Input Data'!$D$47*0.2/('I_Inputs &amp; Assumptions'!$B$8/4),IF(18&lt;='I_Inputs &amp; Assumptions'!$B$8*0.75,'I_Budget Input Data'!$D$47*0.6/('I_Inputs &amp; Assumptions'!$B$8/2),'I_Budget Input Data'!$D$47*0.2/('I_Inputs &amp; Assumptions'!$B$8/4))),IF('I_Budget Input Data'!$E$47="At Completion",IF(18='I_Inputs &amp; Assumptions'!$B$8,'I_Budget Input Data'!$D$47,0),'I_Budget Input Data'!$D$47/'I_Inputs &amp; Assumptions'!$B$8)))))),0)</f>
        <v>0</v>
      </c>
      <c r="U47" s="91">
        <f>IF(19&lt;='I_Inputs &amp; Assumptions'!$B$8,IF('I_Budget Input Data'!$E$47="Upfront",IF(19=1,'I_Budget Input Data'!$D$47,0),IF('I_Budget Input Data'!$E$47="Equal",'I_Budget Input Data'!$D$47/'I_Inputs &amp; Assumptions'!$B$8,IF('I_Budget Input Data'!$E$47="Front-loaded",IF(19&lt;='I_Inputs &amp; Assumptions'!$B$8/2,'I_Budget Input Data'!$D$47*0.6/('I_Inputs &amp; Assumptions'!$B$8/2),'I_Budget Input Data'!$D$47*0.4/('I_Inputs &amp; Assumptions'!$B$8/2)),IF('I_Budget Input Data'!$E$47="Back-loaded",IF(19&lt;='I_Inputs &amp; Assumptions'!$B$8/2,'I_Budget Input Data'!$D$47*0.4/('I_Inputs &amp; Assumptions'!$B$8/2),'I_Budget Input Data'!$D$47*0.6/('I_Inputs &amp; Assumptions'!$B$8/2)),IF('I_Budget Input Data'!$E$47="Mid-weighted",IF(19&lt;='I_Inputs &amp; Assumptions'!$B$8/4,'I_Budget Input Data'!$D$47*0.2/('I_Inputs &amp; Assumptions'!$B$8/4),IF(19&lt;='I_Inputs &amp; Assumptions'!$B$8*0.75,'I_Budget Input Data'!$D$47*0.6/('I_Inputs &amp; Assumptions'!$B$8/2),'I_Budget Input Data'!$D$47*0.2/('I_Inputs &amp; Assumptions'!$B$8/4))),IF('I_Budget Input Data'!$E$47="At Completion",IF(19='I_Inputs &amp; Assumptions'!$B$8,'I_Budget Input Data'!$D$47,0),'I_Budget Input Data'!$D$47/'I_Inputs &amp; Assumptions'!$B$8)))))),0)</f>
        <v>0</v>
      </c>
      <c r="V47" s="91">
        <f>IF(20&lt;='I_Inputs &amp; Assumptions'!$B$8,IF('I_Budget Input Data'!$E$47="Upfront",IF(20=1,'I_Budget Input Data'!$D$47,0),IF('I_Budget Input Data'!$E$47="Equal",'I_Budget Input Data'!$D$47/'I_Inputs &amp; Assumptions'!$B$8,IF('I_Budget Input Data'!$E$47="Front-loaded",IF(20&lt;='I_Inputs &amp; Assumptions'!$B$8/2,'I_Budget Input Data'!$D$47*0.6/('I_Inputs &amp; Assumptions'!$B$8/2),'I_Budget Input Data'!$D$47*0.4/('I_Inputs &amp; Assumptions'!$B$8/2)),IF('I_Budget Input Data'!$E$47="Back-loaded",IF(20&lt;='I_Inputs &amp; Assumptions'!$B$8/2,'I_Budget Input Data'!$D$47*0.4/('I_Inputs &amp; Assumptions'!$B$8/2),'I_Budget Input Data'!$D$47*0.6/('I_Inputs &amp; Assumptions'!$B$8/2)),IF('I_Budget Input Data'!$E$47="Mid-weighted",IF(20&lt;='I_Inputs &amp; Assumptions'!$B$8/4,'I_Budget Input Data'!$D$47*0.2/('I_Inputs &amp; Assumptions'!$B$8/4),IF(20&lt;='I_Inputs &amp; Assumptions'!$B$8*0.75,'I_Budget Input Data'!$D$47*0.6/('I_Inputs &amp; Assumptions'!$B$8/2),'I_Budget Input Data'!$D$47*0.2/('I_Inputs &amp; Assumptions'!$B$8/4))),IF('I_Budget Input Data'!$E$47="At Completion",IF(20='I_Inputs &amp; Assumptions'!$B$8,'I_Budget Input Data'!$D$47,0),'I_Budget Input Data'!$D$47/'I_Inputs &amp; Assumptions'!$B$8)))))),0)</f>
        <v>0</v>
      </c>
      <c r="W47" s="91">
        <f>IF(21&lt;='I_Inputs &amp; Assumptions'!$B$8,IF('I_Budget Input Data'!$E$47="Upfront",IF(21=1,'I_Budget Input Data'!$D$47,0),IF('I_Budget Input Data'!$E$47="Equal",'I_Budget Input Data'!$D$47/'I_Inputs &amp; Assumptions'!$B$8,IF('I_Budget Input Data'!$E$47="Front-loaded",IF(21&lt;='I_Inputs &amp; Assumptions'!$B$8/2,'I_Budget Input Data'!$D$47*0.6/('I_Inputs &amp; Assumptions'!$B$8/2),'I_Budget Input Data'!$D$47*0.4/('I_Inputs &amp; Assumptions'!$B$8/2)),IF('I_Budget Input Data'!$E$47="Back-loaded",IF(21&lt;='I_Inputs &amp; Assumptions'!$B$8/2,'I_Budget Input Data'!$D$47*0.4/('I_Inputs &amp; Assumptions'!$B$8/2),'I_Budget Input Data'!$D$47*0.6/('I_Inputs &amp; Assumptions'!$B$8/2)),IF('I_Budget Input Data'!$E$47="Mid-weighted",IF(21&lt;='I_Inputs &amp; Assumptions'!$B$8/4,'I_Budget Input Data'!$D$47*0.2/('I_Inputs &amp; Assumptions'!$B$8/4),IF(21&lt;='I_Inputs &amp; Assumptions'!$B$8*0.75,'I_Budget Input Data'!$D$47*0.6/('I_Inputs &amp; Assumptions'!$B$8/2),'I_Budget Input Data'!$D$47*0.2/('I_Inputs &amp; Assumptions'!$B$8/4))),IF('I_Budget Input Data'!$E$47="At Completion",IF(21='I_Inputs &amp; Assumptions'!$B$8,'I_Budget Input Data'!$D$47,0),'I_Budget Input Data'!$D$47/'I_Inputs &amp; Assumptions'!$B$8)))))),0)</f>
        <v>0</v>
      </c>
      <c r="X47" s="91">
        <f>IF(22&lt;='I_Inputs &amp; Assumptions'!$B$8,IF('I_Budget Input Data'!$E$47="Upfront",IF(22=1,'I_Budget Input Data'!$D$47,0),IF('I_Budget Input Data'!$E$47="Equal",'I_Budget Input Data'!$D$47/'I_Inputs &amp; Assumptions'!$B$8,IF('I_Budget Input Data'!$E$47="Front-loaded",IF(22&lt;='I_Inputs &amp; Assumptions'!$B$8/2,'I_Budget Input Data'!$D$47*0.6/('I_Inputs &amp; Assumptions'!$B$8/2),'I_Budget Input Data'!$D$47*0.4/('I_Inputs &amp; Assumptions'!$B$8/2)),IF('I_Budget Input Data'!$E$47="Back-loaded",IF(22&lt;='I_Inputs &amp; Assumptions'!$B$8/2,'I_Budget Input Data'!$D$47*0.4/('I_Inputs &amp; Assumptions'!$B$8/2),'I_Budget Input Data'!$D$47*0.6/('I_Inputs &amp; Assumptions'!$B$8/2)),IF('I_Budget Input Data'!$E$47="Mid-weighted",IF(22&lt;='I_Inputs &amp; Assumptions'!$B$8/4,'I_Budget Input Data'!$D$47*0.2/('I_Inputs &amp; Assumptions'!$B$8/4),IF(22&lt;='I_Inputs &amp; Assumptions'!$B$8*0.75,'I_Budget Input Data'!$D$47*0.6/('I_Inputs &amp; Assumptions'!$B$8/2),'I_Budget Input Data'!$D$47*0.2/('I_Inputs &amp; Assumptions'!$B$8/4))),IF('I_Budget Input Data'!$E$47="At Completion",IF(22='I_Inputs &amp; Assumptions'!$B$8,'I_Budget Input Data'!$D$47,0),'I_Budget Input Data'!$D$47/'I_Inputs &amp; Assumptions'!$B$8)))))),0)</f>
        <v>0</v>
      </c>
      <c r="Y47" s="91">
        <f>IF(23&lt;='I_Inputs &amp; Assumptions'!$B$8,IF('I_Budget Input Data'!$E$47="Upfront",IF(23=1,'I_Budget Input Data'!$D$47,0),IF('I_Budget Input Data'!$E$47="Equal",'I_Budget Input Data'!$D$47/'I_Inputs &amp; Assumptions'!$B$8,IF('I_Budget Input Data'!$E$47="Front-loaded",IF(23&lt;='I_Inputs &amp; Assumptions'!$B$8/2,'I_Budget Input Data'!$D$47*0.6/('I_Inputs &amp; Assumptions'!$B$8/2),'I_Budget Input Data'!$D$47*0.4/('I_Inputs &amp; Assumptions'!$B$8/2)),IF('I_Budget Input Data'!$E$47="Back-loaded",IF(23&lt;='I_Inputs &amp; Assumptions'!$B$8/2,'I_Budget Input Data'!$D$47*0.4/('I_Inputs &amp; Assumptions'!$B$8/2),'I_Budget Input Data'!$D$47*0.6/('I_Inputs &amp; Assumptions'!$B$8/2)),IF('I_Budget Input Data'!$E$47="Mid-weighted",IF(23&lt;='I_Inputs &amp; Assumptions'!$B$8/4,'I_Budget Input Data'!$D$47*0.2/('I_Inputs &amp; Assumptions'!$B$8/4),IF(23&lt;='I_Inputs &amp; Assumptions'!$B$8*0.75,'I_Budget Input Data'!$D$47*0.6/('I_Inputs &amp; Assumptions'!$B$8/2),'I_Budget Input Data'!$D$47*0.2/('I_Inputs &amp; Assumptions'!$B$8/4))),IF('I_Budget Input Data'!$E$47="At Completion",IF(23='I_Inputs &amp; Assumptions'!$B$8,'I_Budget Input Data'!$D$47,0),'I_Budget Input Data'!$D$47/'I_Inputs &amp; Assumptions'!$B$8)))))),0)</f>
        <v>0</v>
      </c>
      <c r="Z47" s="91">
        <f>IF(24&lt;='I_Inputs &amp; Assumptions'!$B$8,IF('I_Budget Input Data'!$E$47="Upfront",IF(24=1,'I_Budget Input Data'!$D$47,0),IF('I_Budget Input Data'!$E$47="Equal",'I_Budget Input Data'!$D$47/'I_Inputs &amp; Assumptions'!$B$8,IF('I_Budget Input Data'!$E$47="Front-loaded",IF(24&lt;='I_Inputs &amp; Assumptions'!$B$8/2,'I_Budget Input Data'!$D$47*0.6/('I_Inputs &amp; Assumptions'!$B$8/2),'I_Budget Input Data'!$D$47*0.4/('I_Inputs &amp; Assumptions'!$B$8/2)),IF('I_Budget Input Data'!$E$47="Back-loaded",IF(24&lt;='I_Inputs &amp; Assumptions'!$B$8/2,'I_Budget Input Data'!$D$47*0.4/('I_Inputs &amp; Assumptions'!$B$8/2),'I_Budget Input Data'!$D$47*0.6/('I_Inputs &amp; Assumptions'!$B$8/2)),IF('I_Budget Input Data'!$E$47="Mid-weighted",IF(24&lt;='I_Inputs &amp; Assumptions'!$B$8/4,'I_Budget Input Data'!$D$47*0.2/('I_Inputs &amp; Assumptions'!$B$8/4),IF(24&lt;='I_Inputs &amp; Assumptions'!$B$8*0.75,'I_Budget Input Data'!$D$47*0.6/('I_Inputs &amp; Assumptions'!$B$8/2),'I_Budget Input Data'!$D$47*0.2/('I_Inputs &amp; Assumptions'!$B$8/4))),IF('I_Budget Input Data'!$E$47="At Completion",IF(24='I_Inputs &amp; Assumptions'!$B$8,'I_Budget Input Data'!$D$47,0),'I_Budget Input Data'!$D$47/'I_Inputs &amp; Assumptions'!$B$8)))))),0)</f>
        <v>0</v>
      </c>
      <c r="AA47" s="91">
        <f>IF(25&lt;='I_Inputs &amp; Assumptions'!$B$8,IF('I_Budget Input Data'!$E$47="Upfront",IF(25=1,'I_Budget Input Data'!$D$47,0),IF('I_Budget Input Data'!$E$47="Equal",'I_Budget Input Data'!$D$47/'I_Inputs &amp; Assumptions'!$B$8,IF('I_Budget Input Data'!$E$47="Front-loaded",IF(25&lt;='I_Inputs &amp; Assumptions'!$B$8/2,'I_Budget Input Data'!$D$47*0.6/('I_Inputs &amp; Assumptions'!$B$8/2),'I_Budget Input Data'!$D$47*0.4/('I_Inputs &amp; Assumptions'!$B$8/2)),IF('I_Budget Input Data'!$E$47="Back-loaded",IF(25&lt;='I_Inputs &amp; Assumptions'!$B$8/2,'I_Budget Input Data'!$D$47*0.4/('I_Inputs &amp; Assumptions'!$B$8/2),'I_Budget Input Data'!$D$47*0.6/('I_Inputs &amp; Assumptions'!$B$8/2)),IF('I_Budget Input Data'!$E$47="Mid-weighted",IF(25&lt;='I_Inputs &amp; Assumptions'!$B$8/4,'I_Budget Input Data'!$D$47*0.2/('I_Inputs &amp; Assumptions'!$B$8/4),IF(25&lt;='I_Inputs &amp; Assumptions'!$B$8*0.75,'I_Budget Input Data'!$D$47*0.6/('I_Inputs &amp; Assumptions'!$B$8/2),'I_Budget Input Data'!$D$47*0.2/('I_Inputs &amp; Assumptions'!$B$8/4))),IF('I_Budget Input Data'!$E$47="At Completion",IF(25='I_Inputs &amp; Assumptions'!$B$8,'I_Budget Input Data'!$D$47,0),'I_Budget Input Data'!$D$47/'I_Inputs &amp; Assumptions'!$B$8)))))),0)</f>
        <v>0</v>
      </c>
      <c r="AB47" s="91">
        <f>IF(26&lt;='I_Inputs &amp; Assumptions'!$B$8,IF('I_Budget Input Data'!$E$47="Upfront",IF(26=1,'I_Budget Input Data'!$D$47,0),IF('I_Budget Input Data'!$E$47="Equal",'I_Budget Input Data'!$D$47/'I_Inputs &amp; Assumptions'!$B$8,IF('I_Budget Input Data'!$E$47="Front-loaded",IF(26&lt;='I_Inputs &amp; Assumptions'!$B$8/2,'I_Budget Input Data'!$D$47*0.6/('I_Inputs &amp; Assumptions'!$B$8/2),'I_Budget Input Data'!$D$47*0.4/('I_Inputs &amp; Assumptions'!$B$8/2)),IF('I_Budget Input Data'!$E$47="Back-loaded",IF(26&lt;='I_Inputs &amp; Assumptions'!$B$8/2,'I_Budget Input Data'!$D$47*0.4/('I_Inputs &amp; Assumptions'!$B$8/2),'I_Budget Input Data'!$D$47*0.6/('I_Inputs &amp; Assumptions'!$B$8/2)),IF('I_Budget Input Data'!$E$47="Mid-weighted",IF(26&lt;='I_Inputs &amp; Assumptions'!$B$8/4,'I_Budget Input Data'!$D$47*0.2/('I_Inputs &amp; Assumptions'!$B$8/4),IF(26&lt;='I_Inputs &amp; Assumptions'!$B$8*0.75,'I_Budget Input Data'!$D$47*0.6/('I_Inputs &amp; Assumptions'!$B$8/2),'I_Budget Input Data'!$D$47*0.2/('I_Inputs &amp; Assumptions'!$B$8/4))),IF('I_Budget Input Data'!$E$47="At Completion",IF(26='I_Inputs &amp; Assumptions'!$B$8,'I_Budget Input Data'!$D$47,0),'I_Budget Input Data'!$D$47/'I_Inputs &amp; Assumptions'!$B$8)))))),0)</f>
        <v>0</v>
      </c>
      <c r="AC47" s="91">
        <f>IF(27&lt;='I_Inputs &amp; Assumptions'!$B$8,IF('I_Budget Input Data'!$E$47="Upfront",IF(27=1,'I_Budget Input Data'!$D$47,0),IF('I_Budget Input Data'!$E$47="Equal",'I_Budget Input Data'!$D$47/'I_Inputs &amp; Assumptions'!$B$8,IF('I_Budget Input Data'!$E$47="Front-loaded",IF(27&lt;='I_Inputs &amp; Assumptions'!$B$8/2,'I_Budget Input Data'!$D$47*0.6/('I_Inputs &amp; Assumptions'!$B$8/2),'I_Budget Input Data'!$D$47*0.4/('I_Inputs &amp; Assumptions'!$B$8/2)),IF('I_Budget Input Data'!$E$47="Back-loaded",IF(27&lt;='I_Inputs &amp; Assumptions'!$B$8/2,'I_Budget Input Data'!$D$47*0.4/('I_Inputs &amp; Assumptions'!$B$8/2),'I_Budget Input Data'!$D$47*0.6/('I_Inputs &amp; Assumptions'!$B$8/2)),IF('I_Budget Input Data'!$E$47="Mid-weighted",IF(27&lt;='I_Inputs &amp; Assumptions'!$B$8/4,'I_Budget Input Data'!$D$47*0.2/('I_Inputs &amp; Assumptions'!$B$8/4),IF(27&lt;='I_Inputs &amp; Assumptions'!$B$8*0.75,'I_Budget Input Data'!$D$47*0.6/('I_Inputs &amp; Assumptions'!$B$8/2),'I_Budget Input Data'!$D$47*0.2/('I_Inputs &amp; Assumptions'!$B$8/4))),IF('I_Budget Input Data'!$E$47="At Completion",IF(27='I_Inputs &amp; Assumptions'!$B$8,'I_Budget Input Data'!$D$47,0),'I_Budget Input Data'!$D$47/'I_Inputs &amp; Assumptions'!$B$8)))))),0)</f>
        <v>0</v>
      </c>
      <c r="AD47" s="91">
        <f>IF(28&lt;='I_Inputs &amp; Assumptions'!$B$8,IF('I_Budget Input Data'!$E$47="Upfront",IF(28=1,'I_Budget Input Data'!$D$47,0),IF('I_Budget Input Data'!$E$47="Equal",'I_Budget Input Data'!$D$47/'I_Inputs &amp; Assumptions'!$B$8,IF('I_Budget Input Data'!$E$47="Front-loaded",IF(28&lt;='I_Inputs &amp; Assumptions'!$B$8/2,'I_Budget Input Data'!$D$47*0.6/('I_Inputs &amp; Assumptions'!$B$8/2),'I_Budget Input Data'!$D$47*0.4/('I_Inputs &amp; Assumptions'!$B$8/2)),IF('I_Budget Input Data'!$E$47="Back-loaded",IF(28&lt;='I_Inputs &amp; Assumptions'!$B$8/2,'I_Budget Input Data'!$D$47*0.4/('I_Inputs &amp; Assumptions'!$B$8/2),'I_Budget Input Data'!$D$47*0.6/('I_Inputs &amp; Assumptions'!$B$8/2)),IF('I_Budget Input Data'!$E$47="Mid-weighted",IF(28&lt;='I_Inputs &amp; Assumptions'!$B$8/4,'I_Budget Input Data'!$D$47*0.2/('I_Inputs &amp; Assumptions'!$B$8/4),IF(28&lt;='I_Inputs &amp; Assumptions'!$B$8*0.75,'I_Budget Input Data'!$D$47*0.6/('I_Inputs &amp; Assumptions'!$B$8/2),'I_Budget Input Data'!$D$47*0.2/('I_Inputs &amp; Assumptions'!$B$8/4))),IF('I_Budget Input Data'!$E$47="At Completion",IF(28='I_Inputs &amp; Assumptions'!$B$8,'I_Budget Input Data'!$D$47,0),'I_Budget Input Data'!$D$47/'I_Inputs &amp; Assumptions'!$B$8)))))),0)</f>
        <v>0</v>
      </c>
      <c r="AE47" s="91">
        <f>IF(29&lt;='I_Inputs &amp; Assumptions'!$B$8,IF('I_Budget Input Data'!$E$47="Upfront",IF(29=1,'I_Budget Input Data'!$D$47,0),IF('I_Budget Input Data'!$E$47="Equal",'I_Budget Input Data'!$D$47/'I_Inputs &amp; Assumptions'!$B$8,IF('I_Budget Input Data'!$E$47="Front-loaded",IF(29&lt;='I_Inputs &amp; Assumptions'!$B$8/2,'I_Budget Input Data'!$D$47*0.6/('I_Inputs &amp; Assumptions'!$B$8/2),'I_Budget Input Data'!$D$47*0.4/('I_Inputs &amp; Assumptions'!$B$8/2)),IF('I_Budget Input Data'!$E$47="Back-loaded",IF(29&lt;='I_Inputs &amp; Assumptions'!$B$8/2,'I_Budget Input Data'!$D$47*0.4/('I_Inputs &amp; Assumptions'!$B$8/2),'I_Budget Input Data'!$D$47*0.6/('I_Inputs &amp; Assumptions'!$B$8/2)),IF('I_Budget Input Data'!$E$47="Mid-weighted",IF(29&lt;='I_Inputs &amp; Assumptions'!$B$8/4,'I_Budget Input Data'!$D$47*0.2/('I_Inputs &amp; Assumptions'!$B$8/4),IF(29&lt;='I_Inputs &amp; Assumptions'!$B$8*0.75,'I_Budget Input Data'!$D$47*0.6/('I_Inputs &amp; Assumptions'!$B$8/2),'I_Budget Input Data'!$D$47*0.2/('I_Inputs &amp; Assumptions'!$B$8/4))),IF('I_Budget Input Data'!$E$47="At Completion",IF(29='I_Inputs &amp; Assumptions'!$B$8,'I_Budget Input Data'!$D$47,0),'I_Budget Input Data'!$D$47/'I_Inputs &amp; Assumptions'!$B$8)))))),0)</f>
        <v>0</v>
      </c>
      <c r="AF47" s="91">
        <f>IF(30&lt;='I_Inputs &amp; Assumptions'!$B$8,IF('I_Budget Input Data'!$E$47="Upfront",IF(30=1,'I_Budget Input Data'!$D$47,0),IF('I_Budget Input Data'!$E$47="Equal",'I_Budget Input Data'!$D$47/'I_Inputs &amp; Assumptions'!$B$8,IF('I_Budget Input Data'!$E$47="Front-loaded",IF(30&lt;='I_Inputs &amp; Assumptions'!$B$8/2,'I_Budget Input Data'!$D$47*0.6/('I_Inputs &amp; Assumptions'!$B$8/2),'I_Budget Input Data'!$D$47*0.4/('I_Inputs &amp; Assumptions'!$B$8/2)),IF('I_Budget Input Data'!$E$47="Back-loaded",IF(30&lt;='I_Inputs &amp; Assumptions'!$B$8/2,'I_Budget Input Data'!$D$47*0.4/('I_Inputs &amp; Assumptions'!$B$8/2),'I_Budget Input Data'!$D$47*0.6/('I_Inputs &amp; Assumptions'!$B$8/2)),IF('I_Budget Input Data'!$E$47="Mid-weighted",IF(30&lt;='I_Inputs &amp; Assumptions'!$B$8/4,'I_Budget Input Data'!$D$47*0.2/('I_Inputs &amp; Assumptions'!$B$8/4),IF(30&lt;='I_Inputs &amp; Assumptions'!$B$8*0.75,'I_Budget Input Data'!$D$47*0.6/('I_Inputs &amp; Assumptions'!$B$8/2),'I_Budget Input Data'!$D$47*0.2/('I_Inputs &amp; Assumptions'!$B$8/4))),IF('I_Budget Input Data'!$E$47="At Completion",IF(30='I_Inputs &amp; Assumptions'!$B$8,'I_Budget Input Data'!$D$47,0),'I_Budget Input Data'!$D$47/'I_Inputs &amp; Assumptions'!$B$8)))))),0)</f>
        <v>0</v>
      </c>
      <c r="AG47" s="91">
        <f>IF(31&lt;='I_Inputs &amp; Assumptions'!$B$8,IF('I_Budget Input Data'!$E$47="Upfront",IF(31=1,'I_Budget Input Data'!$D$47,0),IF('I_Budget Input Data'!$E$47="Equal",'I_Budget Input Data'!$D$47/'I_Inputs &amp; Assumptions'!$B$8,IF('I_Budget Input Data'!$E$47="Front-loaded",IF(31&lt;='I_Inputs &amp; Assumptions'!$B$8/2,'I_Budget Input Data'!$D$47*0.6/('I_Inputs &amp; Assumptions'!$B$8/2),'I_Budget Input Data'!$D$47*0.4/('I_Inputs &amp; Assumptions'!$B$8/2)),IF('I_Budget Input Data'!$E$47="Back-loaded",IF(31&lt;='I_Inputs &amp; Assumptions'!$B$8/2,'I_Budget Input Data'!$D$47*0.4/('I_Inputs &amp; Assumptions'!$B$8/2),'I_Budget Input Data'!$D$47*0.6/('I_Inputs &amp; Assumptions'!$B$8/2)),IF('I_Budget Input Data'!$E$47="Mid-weighted",IF(31&lt;='I_Inputs &amp; Assumptions'!$B$8/4,'I_Budget Input Data'!$D$47*0.2/('I_Inputs &amp; Assumptions'!$B$8/4),IF(31&lt;='I_Inputs &amp; Assumptions'!$B$8*0.75,'I_Budget Input Data'!$D$47*0.6/('I_Inputs &amp; Assumptions'!$B$8/2),'I_Budget Input Data'!$D$47*0.2/('I_Inputs &amp; Assumptions'!$B$8/4))),IF('I_Budget Input Data'!$E$47="At Completion",IF(31='I_Inputs &amp; Assumptions'!$B$8,'I_Budget Input Data'!$D$47,0),'I_Budget Input Data'!$D$47/'I_Inputs &amp; Assumptions'!$B$8)))))),0)</f>
        <v>0</v>
      </c>
      <c r="AH47" s="91">
        <f>IF(32&lt;='I_Inputs &amp; Assumptions'!$B$8,IF('I_Budget Input Data'!$E$47="Upfront",IF(32=1,'I_Budget Input Data'!$D$47,0),IF('I_Budget Input Data'!$E$47="Equal",'I_Budget Input Data'!$D$47/'I_Inputs &amp; Assumptions'!$B$8,IF('I_Budget Input Data'!$E$47="Front-loaded",IF(32&lt;='I_Inputs &amp; Assumptions'!$B$8/2,'I_Budget Input Data'!$D$47*0.6/('I_Inputs &amp; Assumptions'!$B$8/2),'I_Budget Input Data'!$D$47*0.4/('I_Inputs &amp; Assumptions'!$B$8/2)),IF('I_Budget Input Data'!$E$47="Back-loaded",IF(32&lt;='I_Inputs &amp; Assumptions'!$B$8/2,'I_Budget Input Data'!$D$47*0.4/('I_Inputs &amp; Assumptions'!$B$8/2),'I_Budget Input Data'!$D$47*0.6/('I_Inputs &amp; Assumptions'!$B$8/2)),IF('I_Budget Input Data'!$E$47="Mid-weighted",IF(32&lt;='I_Inputs &amp; Assumptions'!$B$8/4,'I_Budget Input Data'!$D$47*0.2/('I_Inputs &amp; Assumptions'!$B$8/4),IF(32&lt;='I_Inputs &amp; Assumptions'!$B$8*0.75,'I_Budget Input Data'!$D$47*0.6/('I_Inputs &amp; Assumptions'!$B$8/2),'I_Budget Input Data'!$D$47*0.2/('I_Inputs &amp; Assumptions'!$B$8/4))),IF('I_Budget Input Data'!$E$47="At Completion",IF(32='I_Inputs &amp; Assumptions'!$B$8,'I_Budget Input Data'!$D$47,0),'I_Budget Input Data'!$D$47/'I_Inputs &amp; Assumptions'!$B$8)))))),0)</f>
        <v>0</v>
      </c>
      <c r="AI47" s="91">
        <f>IF(33&lt;='I_Inputs &amp; Assumptions'!$B$8,IF('I_Budget Input Data'!$E$47="Upfront",IF(33=1,'I_Budget Input Data'!$D$47,0),IF('I_Budget Input Data'!$E$47="Equal",'I_Budget Input Data'!$D$47/'I_Inputs &amp; Assumptions'!$B$8,IF('I_Budget Input Data'!$E$47="Front-loaded",IF(33&lt;='I_Inputs &amp; Assumptions'!$B$8/2,'I_Budget Input Data'!$D$47*0.6/('I_Inputs &amp; Assumptions'!$B$8/2),'I_Budget Input Data'!$D$47*0.4/('I_Inputs &amp; Assumptions'!$B$8/2)),IF('I_Budget Input Data'!$E$47="Back-loaded",IF(33&lt;='I_Inputs &amp; Assumptions'!$B$8/2,'I_Budget Input Data'!$D$47*0.4/('I_Inputs &amp; Assumptions'!$B$8/2),'I_Budget Input Data'!$D$47*0.6/('I_Inputs &amp; Assumptions'!$B$8/2)),IF('I_Budget Input Data'!$E$47="Mid-weighted",IF(33&lt;='I_Inputs &amp; Assumptions'!$B$8/4,'I_Budget Input Data'!$D$47*0.2/('I_Inputs &amp; Assumptions'!$B$8/4),IF(33&lt;='I_Inputs &amp; Assumptions'!$B$8*0.75,'I_Budget Input Data'!$D$47*0.6/('I_Inputs &amp; Assumptions'!$B$8/2),'I_Budget Input Data'!$D$47*0.2/('I_Inputs &amp; Assumptions'!$B$8/4))),IF('I_Budget Input Data'!$E$47="At Completion",IF(33='I_Inputs &amp; Assumptions'!$B$8,'I_Budget Input Data'!$D$47,0),'I_Budget Input Data'!$D$47/'I_Inputs &amp; Assumptions'!$B$8)))))),0)</f>
        <v>0</v>
      </c>
      <c r="AJ47" s="91">
        <f>IF(34&lt;='I_Inputs &amp; Assumptions'!$B$8,IF('I_Budget Input Data'!$E$47="Upfront",IF(34=1,'I_Budget Input Data'!$D$47,0),IF('I_Budget Input Data'!$E$47="Equal",'I_Budget Input Data'!$D$47/'I_Inputs &amp; Assumptions'!$B$8,IF('I_Budget Input Data'!$E$47="Front-loaded",IF(34&lt;='I_Inputs &amp; Assumptions'!$B$8/2,'I_Budget Input Data'!$D$47*0.6/('I_Inputs &amp; Assumptions'!$B$8/2),'I_Budget Input Data'!$D$47*0.4/('I_Inputs &amp; Assumptions'!$B$8/2)),IF('I_Budget Input Data'!$E$47="Back-loaded",IF(34&lt;='I_Inputs &amp; Assumptions'!$B$8/2,'I_Budget Input Data'!$D$47*0.4/('I_Inputs &amp; Assumptions'!$B$8/2),'I_Budget Input Data'!$D$47*0.6/('I_Inputs &amp; Assumptions'!$B$8/2)),IF('I_Budget Input Data'!$E$47="Mid-weighted",IF(34&lt;='I_Inputs &amp; Assumptions'!$B$8/4,'I_Budget Input Data'!$D$47*0.2/('I_Inputs &amp; Assumptions'!$B$8/4),IF(34&lt;='I_Inputs &amp; Assumptions'!$B$8*0.75,'I_Budget Input Data'!$D$47*0.6/('I_Inputs &amp; Assumptions'!$B$8/2),'I_Budget Input Data'!$D$47*0.2/('I_Inputs &amp; Assumptions'!$B$8/4))),IF('I_Budget Input Data'!$E$47="At Completion",IF(34='I_Inputs &amp; Assumptions'!$B$8,'I_Budget Input Data'!$D$47,0),'I_Budget Input Data'!$D$47/'I_Inputs &amp; Assumptions'!$B$8)))))),0)</f>
        <v>0</v>
      </c>
      <c r="AK47" s="91">
        <f>IF(35&lt;='I_Inputs &amp; Assumptions'!$B$8,IF('I_Budget Input Data'!$E$47="Upfront",IF(35=1,'I_Budget Input Data'!$D$47,0),IF('I_Budget Input Data'!$E$47="Equal",'I_Budget Input Data'!$D$47/'I_Inputs &amp; Assumptions'!$B$8,IF('I_Budget Input Data'!$E$47="Front-loaded",IF(35&lt;='I_Inputs &amp; Assumptions'!$B$8/2,'I_Budget Input Data'!$D$47*0.6/('I_Inputs &amp; Assumptions'!$B$8/2),'I_Budget Input Data'!$D$47*0.4/('I_Inputs &amp; Assumptions'!$B$8/2)),IF('I_Budget Input Data'!$E$47="Back-loaded",IF(35&lt;='I_Inputs &amp; Assumptions'!$B$8/2,'I_Budget Input Data'!$D$47*0.4/('I_Inputs &amp; Assumptions'!$B$8/2),'I_Budget Input Data'!$D$47*0.6/('I_Inputs &amp; Assumptions'!$B$8/2)),IF('I_Budget Input Data'!$E$47="Mid-weighted",IF(35&lt;='I_Inputs &amp; Assumptions'!$B$8/4,'I_Budget Input Data'!$D$47*0.2/('I_Inputs &amp; Assumptions'!$B$8/4),IF(35&lt;='I_Inputs &amp; Assumptions'!$B$8*0.75,'I_Budget Input Data'!$D$47*0.6/('I_Inputs &amp; Assumptions'!$B$8/2),'I_Budget Input Data'!$D$47*0.2/('I_Inputs &amp; Assumptions'!$B$8/4))),IF('I_Budget Input Data'!$E$47="At Completion",IF(35='I_Inputs &amp; Assumptions'!$B$8,'I_Budget Input Data'!$D$47,0),'I_Budget Input Data'!$D$47/'I_Inputs &amp; Assumptions'!$B$8)))))),0)</f>
        <v>0</v>
      </c>
      <c r="AL47" s="91">
        <f>IF(36&lt;='I_Inputs &amp; Assumptions'!$B$8,IF('I_Budget Input Data'!$E$47="Upfront",IF(36=1,'I_Budget Input Data'!$D$47,0),IF('I_Budget Input Data'!$E$47="Equal",'I_Budget Input Data'!$D$47/'I_Inputs &amp; Assumptions'!$B$8,IF('I_Budget Input Data'!$E$47="Front-loaded",IF(36&lt;='I_Inputs &amp; Assumptions'!$B$8/2,'I_Budget Input Data'!$D$47*0.6/('I_Inputs &amp; Assumptions'!$B$8/2),'I_Budget Input Data'!$D$47*0.4/('I_Inputs &amp; Assumptions'!$B$8/2)),IF('I_Budget Input Data'!$E$47="Back-loaded",IF(36&lt;='I_Inputs &amp; Assumptions'!$B$8/2,'I_Budget Input Data'!$D$47*0.4/('I_Inputs &amp; Assumptions'!$B$8/2),'I_Budget Input Data'!$D$47*0.6/('I_Inputs &amp; Assumptions'!$B$8/2)),IF('I_Budget Input Data'!$E$47="Mid-weighted",IF(36&lt;='I_Inputs &amp; Assumptions'!$B$8/4,'I_Budget Input Data'!$D$47*0.2/('I_Inputs &amp; Assumptions'!$B$8/4),IF(36&lt;='I_Inputs &amp; Assumptions'!$B$8*0.75,'I_Budget Input Data'!$D$47*0.6/('I_Inputs &amp; Assumptions'!$B$8/2),'I_Budget Input Data'!$D$47*0.2/('I_Inputs &amp; Assumptions'!$B$8/4))),IF('I_Budget Input Data'!$E$47="At Completion",IF(36='I_Inputs &amp; Assumptions'!$B$8,'I_Budget Input Data'!$D$47,0),'I_Budget Input Data'!$D$47/'I_Inputs &amp; Assumptions'!$B$8)))))),0)</f>
        <v>0</v>
      </c>
    </row>
    <row r="48" spans="1:38" ht="15" customHeight="1" x14ac:dyDescent="0.2">
      <c r="A48" t="s">
        <v>146</v>
      </c>
      <c r="B48" t="s">
        <v>169</v>
      </c>
      <c r="C48" s="91">
        <f>IF(1&lt;='I_Inputs &amp; Assumptions'!$B$8,IF('I_Budget Input Data'!$E$48="Upfront",IF(1=1,'I_Budget Input Data'!$D$48,0),IF('I_Budget Input Data'!$E$48="Equal",'I_Budget Input Data'!$D$48/'I_Inputs &amp; Assumptions'!$B$8,IF('I_Budget Input Data'!$E$48="Front-loaded",IF(1&lt;='I_Inputs &amp; Assumptions'!$B$8/2,'I_Budget Input Data'!$D$48*0.6/('I_Inputs &amp; Assumptions'!$B$8/2),'I_Budget Input Data'!$D$48*0.4/('I_Inputs &amp; Assumptions'!$B$8/2)),IF('I_Budget Input Data'!$E$48="Back-loaded",IF(1&lt;='I_Inputs &amp; Assumptions'!$B$8/2,'I_Budget Input Data'!$D$48*0.4/('I_Inputs &amp; Assumptions'!$B$8/2),'I_Budget Input Data'!$D$48*0.6/('I_Inputs &amp; Assumptions'!$B$8/2)),IF('I_Budget Input Data'!$E$48="Mid-weighted",IF(1&lt;='I_Inputs &amp; Assumptions'!$B$8/4,'I_Budget Input Data'!$D$48*0.2/('I_Inputs &amp; Assumptions'!$B$8/4),IF(1&lt;='I_Inputs &amp; Assumptions'!$B$8*0.75,'I_Budget Input Data'!$D$48*0.6/('I_Inputs &amp; Assumptions'!$B$8/2),'I_Budget Input Data'!$D$48*0.2/('I_Inputs &amp; Assumptions'!$B$8/4))),IF('I_Budget Input Data'!$E$48="At Completion",IF(1='I_Inputs &amp; Assumptions'!$B$8,'I_Budget Input Data'!$D$48,0),'I_Budget Input Data'!$D$48/'I_Inputs &amp; Assumptions'!$B$8)))))),0)</f>
        <v>2230.7692307692309</v>
      </c>
      <c r="D48" s="91">
        <f>IF(2&lt;='I_Inputs &amp; Assumptions'!$B$8,IF('I_Budget Input Data'!$E$48="Upfront",IF(2=1,'I_Budget Input Data'!$D$48,0),IF('I_Budget Input Data'!$E$48="Equal",'I_Budget Input Data'!$D$48/'I_Inputs &amp; Assumptions'!$B$8,IF('I_Budget Input Data'!$E$48="Front-loaded",IF(2&lt;='I_Inputs &amp; Assumptions'!$B$8/2,'I_Budget Input Data'!$D$48*0.6/('I_Inputs &amp; Assumptions'!$B$8/2),'I_Budget Input Data'!$D$48*0.4/('I_Inputs &amp; Assumptions'!$B$8/2)),IF('I_Budget Input Data'!$E$48="Back-loaded",IF(2&lt;='I_Inputs &amp; Assumptions'!$B$8/2,'I_Budget Input Data'!$D$48*0.4/('I_Inputs &amp; Assumptions'!$B$8/2),'I_Budget Input Data'!$D$48*0.6/('I_Inputs &amp; Assumptions'!$B$8/2)),IF('I_Budget Input Data'!$E$48="Mid-weighted",IF(2&lt;='I_Inputs &amp; Assumptions'!$B$8/4,'I_Budget Input Data'!$D$48*0.2/('I_Inputs &amp; Assumptions'!$B$8/4),IF(2&lt;='I_Inputs &amp; Assumptions'!$B$8*0.75,'I_Budget Input Data'!$D$48*0.6/('I_Inputs &amp; Assumptions'!$B$8/2),'I_Budget Input Data'!$D$48*0.2/('I_Inputs &amp; Assumptions'!$B$8/4))),IF('I_Budget Input Data'!$E$48="At Completion",IF(2='I_Inputs &amp; Assumptions'!$B$8,'I_Budget Input Data'!$D$48,0),'I_Budget Input Data'!$D$48/'I_Inputs &amp; Assumptions'!$B$8)))))),0)</f>
        <v>2230.7692307692309</v>
      </c>
      <c r="E48" s="91">
        <f>IF(3&lt;='I_Inputs &amp; Assumptions'!$B$8,IF('I_Budget Input Data'!$E$48="Upfront",IF(3=1,'I_Budget Input Data'!$D$48,0),IF('I_Budget Input Data'!$E$48="Equal",'I_Budget Input Data'!$D$48/'I_Inputs &amp; Assumptions'!$B$8,IF('I_Budget Input Data'!$E$48="Front-loaded",IF(3&lt;='I_Inputs &amp; Assumptions'!$B$8/2,'I_Budget Input Data'!$D$48*0.6/('I_Inputs &amp; Assumptions'!$B$8/2),'I_Budget Input Data'!$D$48*0.4/('I_Inputs &amp; Assumptions'!$B$8/2)),IF('I_Budget Input Data'!$E$48="Back-loaded",IF(3&lt;='I_Inputs &amp; Assumptions'!$B$8/2,'I_Budget Input Data'!$D$48*0.4/('I_Inputs &amp; Assumptions'!$B$8/2),'I_Budget Input Data'!$D$48*0.6/('I_Inputs &amp; Assumptions'!$B$8/2)),IF('I_Budget Input Data'!$E$48="Mid-weighted",IF(3&lt;='I_Inputs &amp; Assumptions'!$B$8/4,'I_Budget Input Data'!$D$48*0.2/('I_Inputs &amp; Assumptions'!$B$8/4),IF(3&lt;='I_Inputs &amp; Assumptions'!$B$8*0.75,'I_Budget Input Data'!$D$48*0.6/('I_Inputs &amp; Assumptions'!$B$8/2),'I_Budget Input Data'!$D$48*0.2/('I_Inputs &amp; Assumptions'!$B$8/4))),IF('I_Budget Input Data'!$E$48="At Completion",IF(3='I_Inputs &amp; Assumptions'!$B$8,'I_Budget Input Data'!$D$48,0),'I_Budget Input Data'!$D$48/'I_Inputs &amp; Assumptions'!$B$8)))))),0)</f>
        <v>2230.7692307692309</v>
      </c>
      <c r="F48" s="91">
        <f>IF(4&lt;='I_Inputs &amp; Assumptions'!$B$8,IF('I_Budget Input Data'!$E$48="Upfront",IF(4=1,'I_Budget Input Data'!$D$48,0),IF('I_Budget Input Data'!$E$48="Equal",'I_Budget Input Data'!$D$48/'I_Inputs &amp; Assumptions'!$B$8,IF('I_Budget Input Data'!$E$48="Front-loaded",IF(4&lt;='I_Inputs &amp; Assumptions'!$B$8/2,'I_Budget Input Data'!$D$48*0.6/('I_Inputs &amp; Assumptions'!$B$8/2),'I_Budget Input Data'!$D$48*0.4/('I_Inputs &amp; Assumptions'!$B$8/2)),IF('I_Budget Input Data'!$E$48="Back-loaded",IF(4&lt;='I_Inputs &amp; Assumptions'!$B$8/2,'I_Budget Input Data'!$D$48*0.4/('I_Inputs &amp; Assumptions'!$B$8/2),'I_Budget Input Data'!$D$48*0.6/('I_Inputs &amp; Assumptions'!$B$8/2)),IF('I_Budget Input Data'!$E$48="Mid-weighted",IF(4&lt;='I_Inputs &amp; Assumptions'!$B$8/4,'I_Budget Input Data'!$D$48*0.2/('I_Inputs &amp; Assumptions'!$B$8/4),IF(4&lt;='I_Inputs &amp; Assumptions'!$B$8*0.75,'I_Budget Input Data'!$D$48*0.6/('I_Inputs &amp; Assumptions'!$B$8/2),'I_Budget Input Data'!$D$48*0.2/('I_Inputs &amp; Assumptions'!$B$8/4))),IF('I_Budget Input Data'!$E$48="At Completion",IF(4='I_Inputs &amp; Assumptions'!$B$8,'I_Budget Input Data'!$D$48,0),'I_Budget Input Data'!$D$48/'I_Inputs &amp; Assumptions'!$B$8)))))),0)</f>
        <v>2230.7692307692309</v>
      </c>
      <c r="G48" s="91">
        <f>IF(5&lt;='I_Inputs &amp; Assumptions'!$B$8,IF('I_Budget Input Data'!$E$48="Upfront",IF(5=1,'I_Budget Input Data'!$D$48,0),IF('I_Budget Input Data'!$E$48="Equal",'I_Budget Input Data'!$D$48/'I_Inputs &amp; Assumptions'!$B$8,IF('I_Budget Input Data'!$E$48="Front-loaded",IF(5&lt;='I_Inputs &amp; Assumptions'!$B$8/2,'I_Budget Input Data'!$D$48*0.6/('I_Inputs &amp; Assumptions'!$B$8/2),'I_Budget Input Data'!$D$48*0.4/('I_Inputs &amp; Assumptions'!$B$8/2)),IF('I_Budget Input Data'!$E$48="Back-loaded",IF(5&lt;='I_Inputs &amp; Assumptions'!$B$8/2,'I_Budget Input Data'!$D$48*0.4/('I_Inputs &amp; Assumptions'!$B$8/2),'I_Budget Input Data'!$D$48*0.6/('I_Inputs &amp; Assumptions'!$B$8/2)),IF('I_Budget Input Data'!$E$48="Mid-weighted",IF(5&lt;='I_Inputs &amp; Assumptions'!$B$8/4,'I_Budget Input Data'!$D$48*0.2/('I_Inputs &amp; Assumptions'!$B$8/4),IF(5&lt;='I_Inputs &amp; Assumptions'!$B$8*0.75,'I_Budget Input Data'!$D$48*0.6/('I_Inputs &amp; Assumptions'!$B$8/2),'I_Budget Input Data'!$D$48*0.2/('I_Inputs &amp; Assumptions'!$B$8/4))),IF('I_Budget Input Data'!$E$48="At Completion",IF(5='I_Inputs &amp; Assumptions'!$B$8,'I_Budget Input Data'!$D$48,0),'I_Budget Input Data'!$D$48/'I_Inputs &amp; Assumptions'!$B$8)))))),0)</f>
        <v>2230.7692307692309</v>
      </c>
      <c r="H48" s="91">
        <f>IF(6&lt;='I_Inputs &amp; Assumptions'!$B$8,IF('I_Budget Input Data'!$E$48="Upfront",IF(6=1,'I_Budget Input Data'!$D$48,0),IF('I_Budget Input Data'!$E$48="Equal",'I_Budget Input Data'!$D$48/'I_Inputs &amp; Assumptions'!$B$8,IF('I_Budget Input Data'!$E$48="Front-loaded",IF(6&lt;='I_Inputs &amp; Assumptions'!$B$8/2,'I_Budget Input Data'!$D$48*0.6/('I_Inputs &amp; Assumptions'!$B$8/2),'I_Budget Input Data'!$D$48*0.4/('I_Inputs &amp; Assumptions'!$B$8/2)),IF('I_Budget Input Data'!$E$48="Back-loaded",IF(6&lt;='I_Inputs &amp; Assumptions'!$B$8/2,'I_Budget Input Data'!$D$48*0.4/('I_Inputs &amp; Assumptions'!$B$8/2),'I_Budget Input Data'!$D$48*0.6/('I_Inputs &amp; Assumptions'!$B$8/2)),IF('I_Budget Input Data'!$E$48="Mid-weighted",IF(6&lt;='I_Inputs &amp; Assumptions'!$B$8/4,'I_Budget Input Data'!$D$48*0.2/('I_Inputs &amp; Assumptions'!$B$8/4),IF(6&lt;='I_Inputs &amp; Assumptions'!$B$8*0.75,'I_Budget Input Data'!$D$48*0.6/('I_Inputs &amp; Assumptions'!$B$8/2),'I_Budget Input Data'!$D$48*0.2/('I_Inputs &amp; Assumptions'!$B$8/4))),IF('I_Budget Input Data'!$E$48="At Completion",IF(6='I_Inputs &amp; Assumptions'!$B$8,'I_Budget Input Data'!$D$48,0),'I_Budget Input Data'!$D$48/'I_Inputs &amp; Assumptions'!$B$8)))))),0)</f>
        <v>2230.7692307692309</v>
      </c>
      <c r="I48" s="91">
        <f>IF(7&lt;='I_Inputs &amp; Assumptions'!$B$8,IF('I_Budget Input Data'!$E$48="Upfront",IF(7=1,'I_Budget Input Data'!$D$48,0),IF('I_Budget Input Data'!$E$48="Equal",'I_Budget Input Data'!$D$48/'I_Inputs &amp; Assumptions'!$B$8,IF('I_Budget Input Data'!$E$48="Front-loaded",IF(7&lt;='I_Inputs &amp; Assumptions'!$B$8/2,'I_Budget Input Data'!$D$48*0.6/('I_Inputs &amp; Assumptions'!$B$8/2),'I_Budget Input Data'!$D$48*0.4/('I_Inputs &amp; Assumptions'!$B$8/2)),IF('I_Budget Input Data'!$E$48="Back-loaded",IF(7&lt;='I_Inputs &amp; Assumptions'!$B$8/2,'I_Budget Input Data'!$D$48*0.4/('I_Inputs &amp; Assumptions'!$B$8/2),'I_Budget Input Data'!$D$48*0.6/('I_Inputs &amp; Assumptions'!$B$8/2)),IF('I_Budget Input Data'!$E$48="Mid-weighted",IF(7&lt;='I_Inputs &amp; Assumptions'!$B$8/4,'I_Budget Input Data'!$D$48*0.2/('I_Inputs &amp; Assumptions'!$B$8/4),IF(7&lt;='I_Inputs &amp; Assumptions'!$B$8*0.75,'I_Budget Input Data'!$D$48*0.6/('I_Inputs &amp; Assumptions'!$B$8/2),'I_Budget Input Data'!$D$48*0.2/('I_Inputs &amp; Assumptions'!$B$8/4))),IF('I_Budget Input Data'!$E$48="At Completion",IF(7='I_Inputs &amp; Assumptions'!$B$8,'I_Budget Input Data'!$D$48,0),'I_Budget Input Data'!$D$48/'I_Inputs &amp; Assumptions'!$B$8)))))),0)</f>
        <v>2230.7692307692309</v>
      </c>
      <c r="J48" s="91">
        <f>IF(8&lt;='I_Inputs &amp; Assumptions'!$B$8,IF('I_Budget Input Data'!$E$48="Upfront",IF(8=1,'I_Budget Input Data'!$D$48,0),IF('I_Budget Input Data'!$E$48="Equal",'I_Budget Input Data'!$D$48/'I_Inputs &amp; Assumptions'!$B$8,IF('I_Budget Input Data'!$E$48="Front-loaded",IF(8&lt;='I_Inputs &amp; Assumptions'!$B$8/2,'I_Budget Input Data'!$D$48*0.6/('I_Inputs &amp; Assumptions'!$B$8/2),'I_Budget Input Data'!$D$48*0.4/('I_Inputs &amp; Assumptions'!$B$8/2)),IF('I_Budget Input Data'!$E$48="Back-loaded",IF(8&lt;='I_Inputs &amp; Assumptions'!$B$8/2,'I_Budget Input Data'!$D$48*0.4/('I_Inputs &amp; Assumptions'!$B$8/2),'I_Budget Input Data'!$D$48*0.6/('I_Inputs &amp; Assumptions'!$B$8/2)),IF('I_Budget Input Data'!$E$48="Mid-weighted",IF(8&lt;='I_Inputs &amp; Assumptions'!$B$8/4,'I_Budget Input Data'!$D$48*0.2/('I_Inputs &amp; Assumptions'!$B$8/4),IF(8&lt;='I_Inputs &amp; Assumptions'!$B$8*0.75,'I_Budget Input Data'!$D$48*0.6/('I_Inputs &amp; Assumptions'!$B$8/2),'I_Budget Input Data'!$D$48*0.2/('I_Inputs &amp; Assumptions'!$B$8/4))),IF('I_Budget Input Data'!$E$48="At Completion",IF(8='I_Inputs &amp; Assumptions'!$B$8,'I_Budget Input Data'!$D$48,0),'I_Budget Input Data'!$D$48/'I_Inputs &amp; Assumptions'!$B$8)))))),0)</f>
        <v>2230.7692307692309</v>
      </c>
      <c r="K48" s="91">
        <f>IF(9&lt;='I_Inputs &amp; Assumptions'!$B$8,IF('I_Budget Input Data'!$E$48="Upfront",IF(9=1,'I_Budget Input Data'!$D$48,0),IF('I_Budget Input Data'!$E$48="Equal",'I_Budget Input Data'!$D$48/'I_Inputs &amp; Assumptions'!$B$8,IF('I_Budget Input Data'!$E$48="Front-loaded",IF(9&lt;='I_Inputs &amp; Assumptions'!$B$8/2,'I_Budget Input Data'!$D$48*0.6/('I_Inputs &amp; Assumptions'!$B$8/2),'I_Budget Input Data'!$D$48*0.4/('I_Inputs &amp; Assumptions'!$B$8/2)),IF('I_Budget Input Data'!$E$48="Back-loaded",IF(9&lt;='I_Inputs &amp; Assumptions'!$B$8/2,'I_Budget Input Data'!$D$48*0.4/('I_Inputs &amp; Assumptions'!$B$8/2),'I_Budget Input Data'!$D$48*0.6/('I_Inputs &amp; Assumptions'!$B$8/2)),IF('I_Budget Input Data'!$E$48="Mid-weighted",IF(9&lt;='I_Inputs &amp; Assumptions'!$B$8/4,'I_Budget Input Data'!$D$48*0.2/('I_Inputs &amp; Assumptions'!$B$8/4),IF(9&lt;='I_Inputs &amp; Assumptions'!$B$8*0.75,'I_Budget Input Data'!$D$48*0.6/('I_Inputs &amp; Assumptions'!$B$8/2),'I_Budget Input Data'!$D$48*0.2/('I_Inputs &amp; Assumptions'!$B$8/4))),IF('I_Budget Input Data'!$E$48="At Completion",IF(9='I_Inputs &amp; Assumptions'!$B$8,'I_Budget Input Data'!$D$48,0),'I_Budget Input Data'!$D$48/'I_Inputs &amp; Assumptions'!$B$8)))))),0)</f>
        <v>2230.7692307692309</v>
      </c>
      <c r="L48" s="91">
        <f>IF(10&lt;='I_Inputs &amp; Assumptions'!$B$8,IF('I_Budget Input Data'!$E$48="Upfront",IF(10=1,'I_Budget Input Data'!$D$48,0),IF('I_Budget Input Data'!$E$48="Equal",'I_Budget Input Data'!$D$48/'I_Inputs &amp; Assumptions'!$B$8,IF('I_Budget Input Data'!$E$48="Front-loaded",IF(10&lt;='I_Inputs &amp; Assumptions'!$B$8/2,'I_Budget Input Data'!$D$48*0.6/('I_Inputs &amp; Assumptions'!$B$8/2),'I_Budget Input Data'!$D$48*0.4/('I_Inputs &amp; Assumptions'!$B$8/2)),IF('I_Budget Input Data'!$E$48="Back-loaded",IF(10&lt;='I_Inputs &amp; Assumptions'!$B$8/2,'I_Budget Input Data'!$D$48*0.4/('I_Inputs &amp; Assumptions'!$B$8/2),'I_Budget Input Data'!$D$48*0.6/('I_Inputs &amp; Assumptions'!$B$8/2)),IF('I_Budget Input Data'!$E$48="Mid-weighted",IF(10&lt;='I_Inputs &amp; Assumptions'!$B$8/4,'I_Budget Input Data'!$D$48*0.2/('I_Inputs &amp; Assumptions'!$B$8/4),IF(10&lt;='I_Inputs &amp; Assumptions'!$B$8*0.75,'I_Budget Input Data'!$D$48*0.6/('I_Inputs &amp; Assumptions'!$B$8/2),'I_Budget Input Data'!$D$48*0.2/('I_Inputs &amp; Assumptions'!$B$8/4))),IF('I_Budget Input Data'!$E$48="At Completion",IF(10='I_Inputs &amp; Assumptions'!$B$8,'I_Budget Input Data'!$D$48,0),'I_Budget Input Data'!$D$48/'I_Inputs &amp; Assumptions'!$B$8)))))),0)</f>
        <v>2230.7692307692309</v>
      </c>
      <c r="M48" s="91">
        <f>IF(11&lt;='I_Inputs &amp; Assumptions'!$B$8,IF('I_Budget Input Data'!$E$48="Upfront",IF(11=1,'I_Budget Input Data'!$D$48,0),IF('I_Budget Input Data'!$E$48="Equal",'I_Budget Input Data'!$D$48/'I_Inputs &amp; Assumptions'!$B$8,IF('I_Budget Input Data'!$E$48="Front-loaded",IF(11&lt;='I_Inputs &amp; Assumptions'!$B$8/2,'I_Budget Input Data'!$D$48*0.6/('I_Inputs &amp; Assumptions'!$B$8/2),'I_Budget Input Data'!$D$48*0.4/('I_Inputs &amp; Assumptions'!$B$8/2)),IF('I_Budget Input Data'!$E$48="Back-loaded",IF(11&lt;='I_Inputs &amp; Assumptions'!$B$8/2,'I_Budget Input Data'!$D$48*0.4/('I_Inputs &amp; Assumptions'!$B$8/2),'I_Budget Input Data'!$D$48*0.6/('I_Inputs &amp; Assumptions'!$B$8/2)),IF('I_Budget Input Data'!$E$48="Mid-weighted",IF(11&lt;='I_Inputs &amp; Assumptions'!$B$8/4,'I_Budget Input Data'!$D$48*0.2/('I_Inputs &amp; Assumptions'!$B$8/4),IF(11&lt;='I_Inputs &amp; Assumptions'!$B$8*0.75,'I_Budget Input Data'!$D$48*0.6/('I_Inputs &amp; Assumptions'!$B$8/2),'I_Budget Input Data'!$D$48*0.2/('I_Inputs &amp; Assumptions'!$B$8/4))),IF('I_Budget Input Data'!$E$48="At Completion",IF(11='I_Inputs &amp; Assumptions'!$B$8,'I_Budget Input Data'!$D$48,0),'I_Budget Input Data'!$D$48/'I_Inputs &amp; Assumptions'!$B$8)))))),0)</f>
        <v>2230.7692307692309</v>
      </c>
      <c r="N48" s="91">
        <f>IF(12&lt;='I_Inputs &amp; Assumptions'!$B$8,IF('I_Budget Input Data'!$E$48="Upfront",IF(12=1,'I_Budget Input Data'!$D$48,0),IF('I_Budget Input Data'!$E$48="Equal",'I_Budget Input Data'!$D$48/'I_Inputs &amp; Assumptions'!$B$8,IF('I_Budget Input Data'!$E$48="Front-loaded",IF(12&lt;='I_Inputs &amp; Assumptions'!$B$8/2,'I_Budget Input Data'!$D$48*0.6/('I_Inputs &amp; Assumptions'!$B$8/2),'I_Budget Input Data'!$D$48*0.4/('I_Inputs &amp; Assumptions'!$B$8/2)),IF('I_Budget Input Data'!$E$48="Back-loaded",IF(12&lt;='I_Inputs &amp; Assumptions'!$B$8/2,'I_Budget Input Data'!$D$48*0.4/('I_Inputs &amp; Assumptions'!$B$8/2),'I_Budget Input Data'!$D$48*0.6/('I_Inputs &amp; Assumptions'!$B$8/2)),IF('I_Budget Input Data'!$E$48="Mid-weighted",IF(12&lt;='I_Inputs &amp; Assumptions'!$B$8/4,'I_Budget Input Data'!$D$48*0.2/('I_Inputs &amp; Assumptions'!$B$8/4),IF(12&lt;='I_Inputs &amp; Assumptions'!$B$8*0.75,'I_Budget Input Data'!$D$48*0.6/('I_Inputs &amp; Assumptions'!$B$8/2),'I_Budget Input Data'!$D$48*0.2/('I_Inputs &amp; Assumptions'!$B$8/4))),IF('I_Budget Input Data'!$E$48="At Completion",IF(12='I_Inputs &amp; Assumptions'!$B$8,'I_Budget Input Data'!$D$48,0),'I_Budget Input Data'!$D$48/'I_Inputs &amp; Assumptions'!$B$8)))))),0)</f>
        <v>2230.7692307692309</v>
      </c>
      <c r="O48" s="91">
        <f>IF(13&lt;='I_Inputs &amp; Assumptions'!$B$8,IF('I_Budget Input Data'!$E$48="Upfront",IF(13=1,'I_Budget Input Data'!$D$48,0),IF('I_Budget Input Data'!$E$48="Equal",'I_Budget Input Data'!$D$48/'I_Inputs &amp; Assumptions'!$B$8,IF('I_Budget Input Data'!$E$48="Front-loaded",IF(13&lt;='I_Inputs &amp; Assumptions'!$B$8/2,'I_Budget Input Data'!$D$48*0.6/('I_Inputs &amp; Assumptions'!$B$8/2),'I_Budget Input Data'!$D$48*0.4/('I_Inputs &amp; Assumptions'!$B$8/2)),IF('I_Budget Input Data'!$E$48="Back-loaded",IF(13&lt;='I_Inputs &amp; Assumptions'!$B$8/2,'I_Budget Input Data'!$D$48*0.4/('I_Inputs &amp; Assumptions'!$B$8/2),'I_Budget Input Data'!$D$48*0.6/('I_Inputs &amp; Assumptions'!$B$8/2)),IF('I_Budget Input Data'!$E$48="Mid-weighted",IF(13&lt;='I_Inputs &amp; Assumptions'!$B$8/4,'I_Budget Input Data'!$D$48*0.2/('I_Inputs &amp; Assumptions'!$B$8/4),IF(13&lt;='I_Inputs &amp; Assumptions'!$B$8*0.75,'I_Budget Input Data'!$D$48*0.6/('I_Inputs &amp; Assumptions'!$B$8/2),'I_Budget Input Data'!$D$48*0.2/('I_Inputs &amp; Assumptions'!$B$8/4))),IF('I_Budget Input Data'!$E$48="At Completion",IF(13='I_Inputs &amp; Assumptions'!$B$8,'I_Budget Input Data'!$D$48,0),'I_Budget Input Data'!$D$48/'I_Inputs &amp; Assumptions'!$B$8)))))),0)</f>
        <v>2230.7692307692309</v>
      </c>
      <c r="P48" s="91">
        <f>IF(14&lt;='I_Inputs &amp; Assumptions'!$B$8,IF('I_Budget Input Data'!$E$48="Upfront",IF(14=1,'I_Budget Input Data'!$D$48,0),IF('I_Budget Input Data'!$E$48="Equal",'I_Budget Input Data'!$D$48/'I_Inputs &amp; Assumptions'!$B$8,IF('I_Budget Input Data'!$E$48="Front-loaded",IF(14&lt;='I_Inputs &amp; Assumptions'!$B$8/2,'I_Budget Input Data'!$D$48*0.6/('I_Inputs &amp; Assumptions'!$B$8/2),'I_Budget Input Data'!$D$48*0.4/('I_Inputs &amp; Assumptions'!$B$8/2)),IF('I_Budget Input Data'!$E$48="Back-loaded",IF(14&lt;='I_Inputs &amp; Assumptions'!$B$8/2,'I_Budget Input Data'!$D$48*0.4/('I_Inputs &amp; Assumptions'!$B$8/2),'I_Budget Input Data'!$D$48*0.6/('I_Inputs &amp; Assumptions'!$B$8/2)),IF('I_Budget Input Data'!$E$48="Mid-weighted",IF(14&lt;='I_Inputs &amp; Assumptions'!$B$8/4,'I_Budget Input Data'!$D$48*0.2/('I_Inputs &amp; Assumptions'!$B$8/4),IF(14&lt;='I_Inputs &amp; Assumptions'!$B$8*0.75,'I_Budget Input Data'!$D$48*0.6/('I_Inputs &amp; Assumptions'!$B$8/2),'I_Budget Input Data'!$D$48*0.2/('I_Inputs &amp; Assumptions'!$B$8/4))),IF('I_Budget Input Data'!$E$48="At Completion",IF(14='I_Inputs &amp; Assumptions'!$B$8,'I_Budget Input Data'!$D$48,0),'I_Budget Input Data'!$D$48/'I_Inputs &amp; Assumptions'!$B$8)))))),0)</f>
        <v>0</v>
      </c>
      <c r="Q48" s="91">
        <f>IF(15&lt;='I_Inputs &amp; Assumptions'!$B$8,IF('I_Budget Input Data'!$E$48="Upfront",IF(15=1,'I_Budget Input Data'!$D$48,0),IF('I_Budget Input Data'!$E$48="Equal",'I_Budget Input Data'!$D$48/'I_Inputs &amp; Assumptions'!$B$8,IF('I_Budget Input Data'!$E$48="Front-loaded",IF(15&lt;='I_Inputs &amp; Assumptions'!$B$8/2,'I_Budget Input Data'!$D$48*0.6/('I_Inputs &amp; Assumptions'!$B$8/2),'I_Budget Input Data'!$D$48*0.4/('I_Inputs &amp; Assumptions'!$B$8/2)),IF('I_Budget Input Data'!$E$48="Back-loaded",IF(15&lt;='I_Inputs &amp; Assumptions'!$B$8/2,'I_Budget Input Data'!$D$48*0.4/('I_Inputs &amp; Assumptions'!$B$8/2),'I_Budget Input Data'!$D$48*0.6/('I_Inputs &amp; Assumptions'!$B$8/2)),IF('I_Budget Input Data'!$E$48="Mid-weighted",IF(15&lt;='I_Inputs &amp; Assumptions'!$B$8/4,'I_Budget Input Data'!$D$48*0.2/('I_Inputs &amp; Assumptions'!$B$8/4),IF(15&lt;='I_Inputs &amp; Assumptions'!$B$8*0.75,'I_Budget Input Data'!$D$48*0.6/('I_Inputs &amp; Assumptions'!$B$8/2),'I_Budget Input Data'!$D$48*0.2/('I_Inputs &amp; Assumptions'!$B$8/4))),IF('I_Budget Input Data'!$E$48="At Completion",IF(15='I_Inputs &amp; Assumptions'!$B$8,'I_Budget Input Data'!$D$48,0),'I_Budget Input Data'!$D$48/'I_Inputs &amp; Assumptions'!$B$8)))))),0)</f>
        <v>0</v>
      </c>
      <c r="R48" s="91">
        <f>IF(16&lt;='I_Inputs &amp; Assumptions'!$B$8,IF('I_Budget Input Data'!$E$48="Upfront",IF(16=1,'I_Budget Input Data'!$D$48,0),IF('I_Budget Input Data'!$E$48="Equal",'I_Budget Input Data'!$D$48/'I_Inputs &amp; Assumptions'!$B$8,IF('I_Budget Input Data'!$E$48="Front-loaded",IF(16&lt;='I_Inputs &amp; Assumptions'!$B$8/2,'I_Budget Input Data'!$D$48*0.6/('I_Inputs &amp; Assumptions'!$B$8/2),'I_Budget Input Data'!$D$48*0.4/('I_Inputs &amp; Assumptions'!$B$8/2)),IF('I_Budget Input Data'!$E$48="Back-loaded",IF(16&lt;='I_Inputs &amp; Assumptions'!$B$8/2,'I_Budget Input Data'!$D$48*0.4/('I_Inputs &amp; Assumptions'!$B$8/2),'I_Budget Input Data'!$D$48*0.6/('I_Inputs &amp; Assumptions'!$B$8/2)),IF('I_Budget Input Data'!$E$48="Mid-weighted",IF(16&lt;='I_Inputs &amp; Assumptions'!$B$8/4,'I_Budget Input Data'!$D$48*0.2/('I_Inputs &amp; Assumptions'!$B$8/4),IF(16&lt;='I_Inputs &amp; Assumptions'!$B$8*0.75,'I_Budget Input Data'!$D$48*0.6/('I_Inputs &amp; Assumptions'!$B$8/2),'I_Budget Input Data'!$D$48*0.2/('I_Inputs &amp; Assumptions'!$B$8/4))),IF('I_Budget Input Data'!$E$48="At Completion",IF(16='I_Inputs &amp; Assumptions'!$B$8,'I_Budget Input Data'!$D$48,0),'I_Budget Input Data'!$D$48/'I_Inputs &amp; Assumptions'!$B$8)))))),0)</f>
        <v>0</v>
      </c>
      <c r="S48" s="91">
        <f>IF(17&lt;='I_Inputs &amp; Assumptions'!$B$8,IF('I_Budget Input Data'!$E$48="Upfront",IF(17=1,'I_Budget Input Data'!$D$48,0),IF('I_Budget Input Data'!$E$48="Equal",'I_Budget Input Data'!$D$48/'I_Inputs &amp; Assumptions'!$B$8,IF('I_Budget Input Data'!$E$48="Front-loaded",IF(17&lt;='I_Inputs &amp; Assumptions'!$B$8/2,'I_Budget Input Data'!$D$48*0.6/('I_Inputs &amp; Assumptions'!$B$8/2),'I_Budget Input Data'!$D$48*0.4/('I_Inputs &amp; Assumptions'!$B$8/2)),IF('I_Budget Input Data'!$E$48="Back-loaded",IF(17&lt;='I_Inputs &amp; Assumptions'!$B$8/2,'I_Budget Input Data'!$D$48*0.4/('I_Inputs &amp; Assumptions'!$B$8/2),'I_Budget Input Data'!$D$48*0.6/('I_Inputs &amp; Assumptions'!$B$8/2)),IF('I_Budget Input Data'!$E$48="Mid-weighted",IF(17&lt;='I_Inputs &amp; Assumptions'!$B$8/4,'I_Budget Input Data'!$D$48*0.2/('I_Inputs &amp; Assumptions'!$B$8/4),IF(17&lt;='I_Inputs &amp; Assumptions'!$B$8*0.75,'I_Budget Input Data'!$D$48*0.6/('I_Inputs &amp; Assumptions'!$B$8/2),'I_Budget Input Data'!$D$48*0.2/('I_Inputs &amp; Assumptions'!$B$8/4))),IF('I_Budget Input Data'!$E$48="At Completion",IF(17='I_Inputs &amp; Assumptions'!$B$8,'I_Budget Input Data'!$D$48,0),'I_Budget Input Data'!$D$48/'I_Inputs &amp; Assumptions'!$B$8)))))),0)</f>
        <v>0</v>
      </c>
      <c r="T48" s="91">
        <f>IF(18&lt;='I_Inputs &amp; Assumptions'!$B$8,IF('I_Budget Input Data'!$E$48="Upfront",IF(18=1,'I_Budget Input Data'!$D$48,0),IF('I_Budget Input Data'!$E$48="Equal",'I_Budget Input Data'!$D$48/'I_Inputs &amp; Assumptions'!$B$8,IF('I_Budget Input Data'!$E$48="Front-loaded",IF(18&lt;='I_Inputs &amp; Assumptions'!$B$8/2,'I_Budget Input Data'!$D$48*0.6/('I_Inputs &amp; Assumptions'!$B$8/2),'I_Budget Input Data'!$D$48*0.4/('I_Inputs &amp; Assumptions'!$B$8/2)),IF('I_Budget Input Data'!$E$48="Back-loaded",IF(18&lt;='I_Inputs &amp; Assumptions'!$B$8/2,'I_Budget Input Data'!$D$48*0.4/('I_Inputs &amp; Assumptions'!$B$8/2),'I_Budget Input Data'!$D$48*0.6/('I_Inputs &amp; Assumptions'!$B$8/2)),IF('I_Budget Input Data'!$E$48="Mid-weighted",IF(18&lt;='I_Inputs &amp; Assumptions'!$B$8/4,'I_Budget Input Data'!$D$48*0.2/('I_Inputs &amp; Assumptions'!$B$8/4),IF(18&lt;='I_Inputs &amp; Assumptions'!$B$8*0.75,'I_Budget Input Data'!$D$48*0.6/('I_Inputs &amp; Assumptions'!$B$8/2),'I_Budget Input Data'!$D$48*0.2/('I_Inputs &amp; Assumptions'!$B$8/4))),IF('I_Budget Input Data'!$E$48="At Completion",IF(18='I_Inputs &amp; Assumptions'!$B$8,'I_Budget Input Data'!$D$48,0),'I_Budget Input Data'!$D$48/'I_Inputs &amp; Assumptions'!$B$8)))))),0)</f>
        <v>0</v>
      </c>
      <c r="U48" s="91">
        <f>IF(19&lt;='I_Inputs &amp; Assumptions'!$B$8,IF('I_Budget Input Data'!$E$48="Upfront",IF(19=1,'I_Budget Input Data'!$D$48,0),IF('I_Budget Input Data'!$E$48="Equal",'I_Budget Input Data'!$D$48/'I_Inputs &amp; Assumptions'!$B$8,IF('I_Budget Input Data'!$E$48="Front-loaded",IF(19&lt;='I_Inputs &amp; Assumptions'!$B$8/2,'I_Budget Input Data'!$D$48*0.6/('I_Inputs &amp; Assumptions'!$B$8/2),'I_Budget Input Data'!$D$48*0.4/('I_Inputs &amp; Assumptions'!$B$8/2)),IF('I_Budget Input Data'!$E$48="Back-loaded",IF(19&lt;='I_Inputs &amp; Assumptions'!$B$8/2,'I_Budget Input Data'!$D$48*0.4/('I_Inputs &amp; Assumptions'!$B$8/2),'I_Budget Input Data'!$D$48*0.6/('I_Inputs &amp; Assumptions'!$B$8/2)),IF('I_Budget Input Data'!$E$48="Mid-weighted",IF(19&lt;='I_Inputs &amp; Assumptions'!$B$8/4,'I_Budget Input Data'!$D$48*0.2/('I_Inputs &amp; Assumptions'!$B$8/4),IF(19&lt;='I_Inputs &amp; Assumptions'!$B$8*0.75,'I_Budget Input Data'!$D$48*0.6/('I_Inputs &amp; Assumptions'!$B$8/2),'I_Budget Input Data'!$D$48*0.2/('I_Inputs &amp; Assumptions'!$B$8/4))),IF('I_Budget Input Data'!$E$48="At Completion",IF(19='I_Inputs &amp; Assumptions'!$B$8,'I_Budget Input Data'!$D$48,0),'I_Budget Input Data'!$D$48/'I_Inputs &amp; Assumptions'!$B$8)))))),0)</f>
        <v>0</v>
      </c>
      <c r="V48" s="91">
        <f>IF(20&lt;='I_Inputs &amp; Assumptions'!$B$8,IF('I_Budget Input Data'!$E$48="Upfront",IF(20=1,'I_Budget Input Data'!$D$48,0),IF('I_Budget Input Data'!$E$48="Equal",'I_Budget Input Data'!$D$48/'I_Inputs &amp; Assumptions'!$B$8,IF('I_Budget Input Data'!$E$48="Front-loaded",IF(20&lt;='I_Inputs &amp; Assumptions'!$B$8/2,'I_Budget Input Data'!$D$48*0.6/('I_Inputs &amp; Assumptions'!$B$8/2),'I_Budget Input Data'!$D$48*0.4/('I_Inputs &amp; Assumptions'!$B$8/2)),IF('I_Budget Input Data'!$E$48="Back-loaded",IF(20&lt;='I_Inputs &amp; Assumptions'!$B$8/2,'I_Budget Input Data'!$D$48*0.4/('I_Inputs &amp; Assumptions'!$B$8/2),'I_Budget Input Data'!$D$48*0.6/('I_Inputs &amp; Assumptions'!$B$8/2)),IF('I_Budget Input Data'!$E$48="Mid-weighted",IF(20&lt;='I_Inputs &amp; Assumptions'!$B$8/4,'I_Budget Input Data'!$D$48*0.2/('I_Inputs &amp; Assumptions'!$B$8/4),IF(20&lt;='I_Inputs &amp; Assumptions'!$B$8*0.75,'I_Budget Input Data'!$D$48*0.6/('I_Inputs &amp; Assumptions'!$B$8/2),'I_Budget Input Data'!$D$48*0.2/('I_Inputs &amp; Assumptions'!$B$8/4))),IF('I_Budget Input Data'!$E$48="At Completion",IF(20='I_Inputs &amp; Assumptions'!$B$8,'I_Budget Input Data'!$D$48,0),'I_Budget Input Data'!$D$48/'I_Inputs &amp; Assumptions'!$B$8)))))),0)</f>
        <v>0</v>
      </c>
      <c r="W48" s="91">
        <f>IF(21&lt;='I_Inputs &amp; Assumptions'!$B$8,IF('I_Budget Input Data'!$E$48="Upfront",IF(21=1,'I_Budget Input Data'!$D$48,0),IF('I_Budget Input Data'!$E$48="Equal",'I_Budget Input Data'!$D$48/'I_Inputs &amp; Assumptions'!$B$8,IF('I_Budget Input Data'!$E$48="Front-loaded",IF(21&lt;='I_Inputs &amp; Assumptions'!$B$8/2,'I_Budget Input Data'!$D$48*0.6/('I_Inputs &amp; Assumptions'!$B$8/2),'I_Budget Input Data'!$D$48*0.4/('I_Inputs &amp; Assumptions'!$B$8/2)),IF('I_Budget Input Data'!$E$48="Back-loaded",IF(21&lt;='I_Inputs &amp; Assumptions'!$B$8/2,'I_Budget Input Data'!$D$48*0.4/('I_Inputs &amp; Assumptions'!$B$8/2),'I_Budget Input Data'!$D$48*0.6/('I_Inputs &amp; Assumptions'!$B$8/2)),IF('I_Budget Input Data'!$E$48="Mid-weighted",IF(21&lt;='I_Inputs &amp; Assumptions'!$B$8/4,'I_Budget Input Data'!$D$48*0.2/('I_Inputs &amp; Assumptions'!$B$8/4),IF(21&lt;='I_Inputs &amp; Assumptions'!$B$8*0.75,'I_Budget Input Data'!$D$48*0.6/('I_Inputs &amp; Assumptions'!$B$8/2),'I_Budget Input Data'!$D$48*0.2/('I_Inputs &amp; Assumptions'!$B$8/4))),IF('I_Budget Input Data'!$E$48="At Completion",IF(21='I_Inputs &amp; Assumptions'!$B$8,'I_Budget Input Data'!$D$48,0),'I_Budget Input Data'!$D$48/'I_Inputs &amp; Assumptions'!$B$8)))))),0)</f>
        <v>0</v>
      </c>
      <c r="X48" s="91">
        <f>IF(22&lt;='I_Inputs &amp; Assumptions'!$B$8,IF('I_Budget Input Data'!$E$48="Upfront",IF(22=1,'I_Budget Input Data'!$D$48,0),IF('I_Budget Input Data'!$E$48="Equal",'I_Budget Input Data'!$D$48/'I_Inputs &amp; Assumptions'!$B$8,IF('I_Budget Input Data'!$E$48="Front-loaded",IF(22&lt;='I_Inputs &amp; Assumptions'!$B$8/2,'I_Budget Input Data'!$D$48*0.6/('I_Inputs &amp; Assumptions'!$B$8/2),'I_Budget Input Data'!$D$48*0.4/('I_Inputs &amp; Assumptions'!$B$8/2)),IF('I_Budget Input Data'!$E$48="Back-loaded",IF(22&lt;='I_Inputs &amp; Assumptions'!$B$8/2,'I_Budget Input Data'!$D$48*0.4/('I_Inputs &amp; Assumptions'!$B$8/2),'I_Budget Input Data'!$D$48*0.6/('I_Inputs &amp; Assumptions'!$B$8/2)),IF('I_Budget Input Data'!$E$48="Mid-weighted",IF(22&lt;='I_Inputs &amp; Assumptions'!$B$8/4,'I_Budget Input Data'!$D$48*0.2/('I_Inputs &amp; Assumptions'!$B$8/4),IF(22&lt;='I_Inputs &amp; Assumptions'!$B$8*0.75,'I_Budget Input Data'!$D$48*0.6/('I_Inputs &amp; Assumptions'!$B$8/2),'I_Budget Input Data'!$D$48*0.2/('I_Inputs &amp; Assumptions'!$B$8/4))),IF('I_Budget Input Data'!$E$48="At Completion",IF(22='I_Inputs &amp; Assumptions'!$B$8,'I_Budget Input Data'!$D$48,0),'I_Budget Input Data'!$D$48/'I_Inputs &amp; Assumptions'!$B$8)))))),0)</f>
        <v>0</v>
      </c>
      <c r="Y48" s="91">
        <f>IF(23&lt;='I_Inputs &amp; Assumptions'!$B$8,IF('I_Budget Input Data'!$E$48="Upfront",IF(23=1,'I_Budget Input Data'!$D$48,0),IF('I_Budget Input Data'!$E$48="Equal",'I_Budget Input Data'!$D$48/'I_Inputs &amp; Assumptions'!$B$8,IF('I_Budget Input Data'!$E$48="Front-loaded",IF(23&lt;='I_Inputs &amp; Assumptions'!$B$8/2,'I_Budget Input Data'!$D$48*0.6/('I_Inputs &amp; Assumptions'!$B$8/2),'I_Budget Input Data'!$D$48*0.4/('I_Inputs &amp; Assumptions'!$B$8/2)),IF('I_Budget Input Data'!$E$48="Back-loaded",IF(23&lt;='I_Inputs &amp; Assumptions'!$B$8/2,'I_Budget Input Data'!$D$48*0.4/('I_Inputs &amp; Assumptions'!$B$8/2),'I_Budget Input Data'!$D$48*0.6/('I_Inputs &amp; Assumptions'!$B$8/2)),IF('I_Budget Input Data'!$E$48="Mid-weighted",IF(23&lt;='I_Inputs &amp; Assumptions'!$B$8/4,'I_Budget Input Data'!$D$48*0.2/('I_Inputs &amp; Assumptions'!$B$8/4),IF(23&lt;='I_Inputs &amp; Assumptions'!$B$8*0.75,'I_Budget Input Data'!$D$48*0.6/('I_Inputs &amp; Assumptions'!$B$8/2),'I_Budget Input Data'!$D$48*0.2/('I_Inputs &amp; Assumptions'!$B$8/4))),IF('I_Budget Input Data'!$E$48="At Completion",IF(23='I_Inputs &amp; Assumptions'!$B$8,'I_Budget Input Data'!$D$48,0),'I_Budget Input Data'!$D$48/'I_Inputs &amp; Assumptions'!$B$8)))))),0)</f>
        <v>0</v>
      </c>
      <c r="Z48" s="91">
        <f>IF(24&lt;='I_Inputs &amp; Assumptions'!$B$8,IF('I_Budget Input Data'!$E$48="Upfront",IF(24=1,'I_Budget Input Data'!$D$48,0),IF('I_Budget Input Data'!$E$48="Equal",'I_Budget Input Data'!$D$48/'I_Inputs &amp; Assumptions'!$B$8,IF('I_Budget Input Data'!$E$48="Front-loaded",IF(24&lt;='I_Inputs &amp; Assumptions'!$B$8/2,'I_Budget Input Data'!$D$48*0.6/('I_Inputs &amp; Assumptions'!$B$8/2),'I_Budget Input Data'!$D$48*0.4/('I_Inputs &amp; Assumptions'!$B$8/2)),IF('I_Budget Input Data'!$E$48="Back-loaded",IF(24&lt;='I_Inputs &amp; Assumptions'!$B$8/2,'I_Budget Input Data'!$D$48*0.4/('I_Inputs &amp; Assumptions'!$B$8/2),'I_Budget Input Data'!$D$48*0.6/('I_Inputs &amp; Assumptions'!$B$8/2)),IF('I_Budget Input Data'!$E$48="Mid-weighted",IF(24&lt;='I_Inputs &amp; Assumptions'!$B$8/4,'I_Budget Input Data'!$D$48*0.2/('I_Inputs &amp; Assumptions'!$B$8/4),IF(24&lt;='I_Inputs &amp; Assumptions'!$B$8*0.75,'I_Budget Input Data'!$D$48*0.6/('I_Inputs &amp; Assumptions'!$B$8/2),'I_Budget Input Data'!$D$48*0.2/('I_Inputs &amp; Assumptions'!$B$8/4))),IF('I_Budget Input Data'!$E$48="At Completion",IF(24='I_Inputs &amp; Assumptions'!$B$8,'I_Budget Input Data'!$D$48,0),'I_Budget Input Data'!$D$48/'I_Inputs &amp; Assumptions'!$B$8)))))),0)</f>
        <v>0</v>
      </c>
      <c r="AA48" s="91">
        <f>IF(25&lt;='I_Inputs &amp; Assumptions'!$B$8,IF('I_Budget Input Data'!$E$48="Upfront",IF(25=1,'I_Budget Input Data'!$D$48,0),IF('I_Budget Input Data'!$E$48="Equal",'I_Budget Input Data'!$D$48/'I_Inputs &amp; Assumptions'!$B$8,IF('I_Budget Input Data'!$E$48="Front-loaded",IF(25&lt;='I_Inputs &amp; Assumptions'!$B$8/2,'I_Budget Input Data'!$D$48*0.6/('I_Inputs &amp; Assumptions'!$B$8/2),'I_Budget Input Data'!$D$48*0.4/('I_Inputs &amp; Assumptions'!$B$8/2)),IF('I_Budget Input Data'!$E$48="Back-loaded",IF(25&lt;='I_Inputs &amp; Assumptions'!$B$8/2,'I_Budget Input Data'!$D$48*0.4/('I_Inputs &amp; Assumptions'!$B$8/2),'I_Budget Input Data'!$D$48*0.6/('I_Inputs &amp; Assumptions'!$B$8/2)),IF('I_Budget Input Data'!$E$48="Mid-weighted",IF(25&lt;='I_Inputs &amp; Assumptions'!$B$8/4,'I_Budget Input Data'!$D$48*0.2/('I_Inputs &amp; Assumptions'!$B$8/4),IF(25&lt;='I_Inputs &amp; Assumptions'!$B$8*0.75,'I_Budget Input Data'!$D$48*0.6/('I_Inputs &amp; Assumptions'!$B$8/2),'I_Budget Input Data'!$D$48*0.2/('I_Inputs &amp; Assumptions'!$B$8/4))),IF('I_Budget Input Data'!$E$48="At Completion",IF(25='I_Inputs &amp; Assumptions'!$B$8,'I_Budget Input Data'!$D$48,0),'I_Budget Input Data'!$D$48/'I_Inputs &amp; Assumptions'!$B$8)))))),0)</f>
        <v>0</v>
      </c>
      <c r="AB48" s="91">
        <f>IF(26&lt;='I_Inputs &amp; Assumptions'!$B$8,IF('I_Budget Input Data'!$E$48="Upfront",IF(26=1,'I_Budget Input Data'!$D$48,0),IF('I_Budget Input Data'!$E$48="Equal",'I_Budget Input Data'!$D$48/'I_Inputs &amp; Assumptions'!$B$8,IF('I_Budget Input Data'!$E$48="Front-loaded",IF(26&lt;='I_Inputs &amp; Assumptions'!$B$8/2,'I_Budget Input Data'!$D$48*0.6/('I_Inputs &amp; Assumptions'!$B$8/2),'I_Budget Input Data'!$D$48*0.4/('I_Inputs &amp; Assumptions'!$B$8/2)),IF('I_Budget Input Data'!$E$48="Back-loaded",IF(26&lt;='I_Inputs &amp; Assumptions'!$B$8/2,'I_Budget Input Data'!$D$48*0.4/('I_Inputs &amp; Assumptions'!$B$8/2),'I_Budget Input Data'!$D$48*0.6/('I_Inputs &amp; Assumptions'!$B$8/2)),IF('I_Budget Input Data'!$E$48="Mid-weighted",IF(26&lt;='I_Inputs &amp; Assumptions'!$B$8/4,'I_Budget Input Data'!$D$48*0.2/('I_Inputs &amp; Assumptions'!$B$8/4),IF(26&lt;='I_Inputs &amp; Assumptions'!$B$8*0.75,'I_Budget Input Data'!$D$48*0.6/('I_Inputs &amp; Assumptions'!$B$8/2),'I_Budget Input Data'!$D$48*0.2/('I_Inputs &amp; Assumptions'!$B$8/4))),IF('I_Budget Input Data'!$E$48="At Completion",IF(26='I_Inputs &amp; Assumptions'!$B$8,'I_Budget Input Data'!$D$48,0),'I_Budget Input Data'!$D$48/'I_Inputs &amp; Assumptions'!$B$8)))))),0)</f>
        <v>0</v>
      </c>
      <c r="AC48" s="91">
        <f>IF(27&lt;='I_Inputs &amp; Assumptions'!$B$8,IF('I_Budget Input Data'!$E$48="Upfront",IF(27=1,'I_Budget Input Data'!$D$48,0),IF('I_Budget Input Data'!$E$48="Equal",'I_Budget Input Data'!$D$48/'I_Inputs &amp; Assumptions'!$B$8,IF('I_Budget Input Data'!$E$48="Front-loaded",IF(27&lt;='I_Inputs &amp; Assumptions'!$B$8/2,'I_Budget Input Data'!$D$48*0.6/('I_Inputs &amp; Assumptions'!$B$8/2),'I_Budget Input Data'!$D$48*0.4/('I_Inputs &amp; Assumptions'!$B$8/2)),IF('I_Budget Input Data'!$E$48="Back-loaded",IF(27&lt;='I_Inputs &amp; Assumptions'!$B$8/2,'I_Budget Input Data'!$D$48*0.4/('I_Inputs &amp; Assumptions'!$B$8/2),'I_Budget Input Data'!$D$48*0.6/('I_Inputs &amp; Assumptions'!$B$8/2)),IF('I_Budget Input Data'!$E$48="Mid-weighted",IF(27&lt;='I_Inputs &amp; Assumptions'!$B$8/4,'I_Budget Input Data'!$D$48*0.2/('I_Inputs &amp; Assumptions'!$B$8/4),IF(27&lt;='I_Inputs &amp; Assumptions'!$B$8*0.75,'I_Budget Input Data'!$D$48*0.6/('I_Inputs &amp; Assumptions'!$B$8/2),'I_Budget Input Data'!$D$48*0.2/('I_Inputs &amp; Assumptions'!$B$8/4))),IF('I_Budget Input Data'!$E$48="At Completion",IF(27='I_Inputs &amp; Assumptions'!$B$8,'I_Budget Input Data'!$D$48,0),'I_Budget Input Data'!$D$48/'I_Inputs &amp; Assumptions'!$B$8)))))),0)</f>
        <v>0</v>
      </c>
      <c r="AD48" s="91">
        <f>IF(28&lt;='I_Inputs &amp; Assumptions'!$B$8,IF('I_Budget Input Data'!$E$48="Upfront",IF(28=1,'I_Budget Input Data'!$D$48,0),IF('I_Budget Input Data'!$E$48="Equal",'I_Budget Input Data'!$D$48/'I_Inputs &amp; Assumptions'!$B$8,IF('I_Budget Input Data'!$E$48="Front-loaded",IF(28&lt;='I_Inputs &amp; Assumptions'!$B$8/2,'I_Budget Input Data'!$D$48*0.6/('I_Inputs &amp; Assumptions'!$B$8/2),'I_Budget Input Data'!$D$48*0.4/('I_Inputs &amp; Assumptions'!$B$8/2)),IF('I_Budget Input Data'!$E$48="Back-loaded",IF(28&lt;='I_Inputs &amp; Assumptions'!$B$8/2,'I_Budget Input Data'!$D$48*0.4/('I_Inputs &amp; Assumptions'!$B$8/2),'I_Budget Input Data'!$D$48*0.6/('I_Inputs &amp; Assumptions'!$B$8/2)),IF('I_Budget Input Data'!$E$48="Mid-weighted",IF(28&lt;='I_Inputs &amp; Assumptions'!$B$8/4,'I_Budget Input Data'!$D$48*0.2/('I_Inputs &amp; Assumptions'!$B$8/4),IF(28&lt;='I_Inputs &amp; Assumptions'!$B$8*0.75,'I_Budget Input Data'!$D$48*0.6/('I_Inputs &amp; Assumptions'!$B$8/2),'I_Budget Input Data'!$D$48*0.2/('I_Inputs &amp; Assumptions'!$B$8/4))),IF('I_Budget Input Data'!$E$48="At Completion",IF(28='I_Inputs &amp; Assumptions'!$B$8,'I_Budget Input Data'!$D$48,0),'I_Budget Input Data'!$D$48/'I_Inputs &amp; Assumptions'!$B$8)))))),0)</f>
        <v>0</v>
      </c>
      <c r="AE48" s="91">
        <f>IF(29&lt;='I_Inputs &amp; Assumptions'!$B$8,IF('I_Budget Input Data'!$E$48="Upfront",IF(29=1,'I_Budget Input Data'!$D$48,0),IF('I_Budget Input Data'!$E$48="Equal",'I_Budget Input Data'!$D$48/'I_Inputs &amp; Assumptions'!$B$8,IF('I_Budget Input Data'!$E$48="Front-loaded",IF(29&lt;='I_Inputs &amp; Assumptions'!$B$8/2,'I_Budget Input Data'!$D$48*0.6/('I_Inputs &amp; Assumptions'!$B$8/2),'I_Budget Input Data'!$D$48*0.4/('I_Inputs &amp; Assumptions'!$B$8/2)),IF('I_Budget Input Data'!$E$48="Back-loaded",IF(29&lt;='I_Inputs &amp; Assumptions'!$B$8/2,'I_Budget Input Data'!$D$48*0.4/('I_Inputs &amp; Assumptions'!$B$8/2),'I_Budget Input Data'!$D$48*0.6/('I_Inputs &amp; Assumptions'!$B$8/2)),IF('I_Budget Input Data'!$E$48="Mid-weighted",IF(29&lt;='I_Inputs &amp; Assumptions'!$B$8/4,'I_Budget Input Data'!$D$48*0.2/('I_Inputs &amp; Assumptions'!$B$8/4),IF(29&lt;='I_Inputs &amp; Assumptions'!$B$8*0.75,'I_Budget Input Data'!$D$48*0.6/('I_Inputs &amp; Assumptions'!$B$8/2),'I_Budget Input Data'!$D$48*0.2/('I_Inputs &amp; Assumptions'!$B$8/4))),IF('I_Budget Input Data'!$E$48="At Completion",IF(29='I_Inputs &amp; Assumptions'!$B$8,'I_Budget Input Data'!$D$48,0),'I_Budget Input Data'!$D$48/'I_Inputs &amp; Assumptions'!$B$8)))))),0)</f>
        <v>0</v>
      </c>
      <c r="AF48" s="91">
        <f>IF(30&lt;='I_Inputs &amp; Assumptions'!$B$8,IF('I_Budget Input Data'!$E$48="Upfront",IF(30=1,'I_Budget Input Data'!$D$48,0),IF('I_Budget Input Data'!$E$48="Equal",'I_Budget Input Data'!$D$48/'I_Inputs &amp; Assumptions'!$B$8,IF('I_Budget Input Data'!$E$48="Front-loaded",IF(30&lt;='I_Inputs &amp; Assumptions'!$B$8/2,'I_Budget Input Data'!$D$48*0.6/('I_Inputs &amp; Assumptions'!$B$8/2),'I_Budget Input Data'!$D$48*0.4/('I_Inputs &amp; Assumptions'!$B$8/2)),IF('I_Budget Input Data'!$E$48="Back-loaded",IF(30&lt;='I_Inputs &amp; Assumptions'!$B$8/2,'I_Budget Input Data'!$D$48*0.4/('I_Inputs &amp; Assumptions'!$B$8/2),'I_Budget Input Data'!$D$48*0.6/('I_Inputs &amp; Assumptions'!$B$8/2)),IF('I_Budget Input Data'!$E$48="Mid-weighted",IF(30&lt;='I_Inputs &amp; Assumptions'!$B$8/4,'I_Budget Input Data'!$D$48*0.2/('I_Inputs &amp; Assumptions'!$B$8/4),IF(30&lt;='I_Inputs &amp; Assumptions'!$B$8*0.75,'I_Budget Input Data'!$D$48*0.6/('I_Inputs &amp; Assumptions'!$B$8/2),'I_Budget Input Data'!$D$48*0.2/('I_Inputs &amp; Assumptions'!$B$8/4))),IF('I_Budget Input Data'!$E$48="At Completion",IF(30='I_Inputs &amp; Assumptions'!$B$8,'I_Budget Input Data'!$D$48,0),'I_Budget Input Data'!$D$48/'I_Inputs &amp; Assumptions'!$B$8)))))),0)</f>
        <v>0</v>
      </c>
      <c r="AG48" s="91">
        <f>IF(31&lt;='I_Inputs &amp; Assumptions'!$B$8,IF('I_Budget Input Data'!$E$48="Upfront",IF(31=1,'I_Budget Input Data'!$D$48,0),IF('I_Budget Input Data'!$E$48="Equal",'I_Budget Input Data'!$D$48/'I_Inputs &amp; Assumptions'!$B$8,IF('I_Budget Input Data'!$E$48="Front-loaded",IF(31&lt;='I_Inputs &amp; Assumptions'!$B$8/2,'I_Budget Input Data'!$D$48*0.6/('I_Inputs &amp; Assumptions'!$B$8/2),'I_Budget Input Data'!$D$48*0.4/('I_Inputs &amp; Assumptions'!$B$8/2)),IF('I_Budget Input Data'!$E$48="Back-loaded",IF(31&lt;='I_Inputs &amp; Assumptions'!$B$8/2,'I_Budget Input Data'!$D$48*0.4/('I_Inputs &amp; Assumptions'!$B$8/2),'I_Budget Input Data'!$D$48*0.6/('I_Inputs &amp; Assumptions'!$B$8/2)),IF('I_Budget Input Data'!$E$48="Mid-weighted",IF(31&lt;='I_Inputs &amp; Assumptions'!$B$8/4,'I_Budget Input Data'!$D$48*0.2/('I_Inputs &amp; Assumptions'!$B$8/4),IF(31&lt;='I_Inputs &amp; Assumptions'!$B$8*0.75,'I_Budget Input Data'!$D$48*0.6/('I_Inputs &amp; Assumptions'!$B$8/2),'I_Budget Input Data'!$D$48*0.2/('I_Inputs &amp; Assumptions'!$B$8/4))),IF('I_Budget Input Data'!$E$48="At Completion",IF(31='I_Inputs &amp; Assumptions'!$B$8,'I_Budget Input Data'!$D$48,0),'I_Budget Input Data'!$D$48/'I_Inputs &amp; Assumptions'!$B$8)))))),0)</f>
        <v>0</v>
      </c>
      <c r="AH48" s="91">
        <f>IF(32&lt;='I_Inputs &amp; Assumptions'!$B$8,IF('I_Budget Input Data'!$E$48="Upfront",IF(32=1,'I_Budget Input Data'!$D$48,0),IF('I_Budget Input Data'!$E$48="Equal",'I_Budget Input Data'!$D$48/'I_Inputs &amp; Assumptions'!$B$8,IF('I_Budget Input Data'!$E$48="Front-loaded",IF(32&lt;='I_Inputs &amp; Assumptions'!$B$8/2,'I_Budget Input Data'!$D$48*0.6/('I_Inputs &amp; Assumptions'!$B$8/2),'I_Budget Input Data'!$D$48*0.4/('I_Inputs &amp; Assumptions'!$B$8/2)),IF('I_Budget Input Data'!$E$48="Back-loaded",IF(32&lt;='I_Inputs &amp; Assumptions'!$B$8/2,'I_Budget Input Data'!$D$48*0.4/('I_Inputs &amp; Assumptions'!$B$8/2),'I_Budget Input Data'!$D$48*0.6/('I_Inputs &amp; Assumptions'!$B$8/2)),IF('I_Budget Input Data'!$E$48="Mid-weighted",IF(32&lt;='I_Inputs &amp; Assumptions'!$B$8/4,'I_Budget Input Data'!$D$48*0.2/('I_Inputs &amp; Assumptions'!$B$8/4),IF(32&lt;='I_Inputs &amp; Assumptions'!$B$8*0.75,'I_Budget Input Data'!$D$48*0.6/('I_Inputs &amp; Assumptions'!$B$8/2),'I_Budget Input Data'!$D$48*0.2/('I_Inputs &amp; Assumptions'!$B$8/4))),IF('I_Budget Input Data'!$E$48="At Completion",IF(32='I_Inputs &amp; Assumptions'!$B$8,'I_Budget Input Data'!$D$48,0),'I_Budget Input Data'!$D$48/'I_Inputs &amp; Assumptions'!$B$8)))))),0)</f>
        <v>0</v>
      </c>
      <c r="AI48" s="91">
        <f>IF(33&lt;='I_Inputs &amp; Assumptions'!$B$8,IF('I_Budget Input Data'!$E$48="Upfront",IF(33=1,'I_Budget Input Data'!$D$48,0),IF('I_Budget Input Data'!$E$48="Equal",'I_Budget Input Data'!$D$48/'I_Inputs &amp; Assumptions'!$B$8,IF('I_Budget Input Data'!$E$48="Front-loaded",IF(33&lt;='I_Inputs &amp; Assumptions'!$B$8/2,'I_Budget Input Data'!$D$48*0.6/('I_Inputs &amp; Assumptions'!$B$8/2),'I_Budget Input Data'!$D$48*0.4/('I_Inputs &amp; Assumptions'!$B$8/2)),IF('I_Budget Input Data'!$E$48="Back-loaded",IF(33&lt;='I_Inputs &amp; Assumptions'!$B$8/2,'I_Budget Input Data'!$D$48*0.4/('I_Inputs &amp; Assumptions'!$B$8/2),'I_Budget Input Data'!$D$48*0.6/('I_Inputs &amp; Assumptions'!$B$8/2)),IF('I_Budget Input Data'!$E$48="Mid-weighted",IF(33&lt;='I_Inputs &amp; Assumptions'!$B$8/4,'I_Budget Input Data'!$D$48*0.2/('I_Inputs &amp; Assumptions'!$B$8/4),IF(33&lt;='I_Inputs &amp; Assumptions'!$B$8*0.75,'I_Budget Input Data'!$D$48*0.6/('I_Inputs &amp; Assumptions'!$B$8/2),'I_Budget Input Data'!$D$48*0.2/('I_Inputs &amp; Assumptions'!$B$8/4))),IF('I_Budget Input Data'!$E$48="At Completion",IF(33='I_Inputs &amp; Assumptions'!$B$8,'I_Budget Input Data'!$D$48,0),'I_Budget Input Data'!$D$48/'I_Inputs &amp; Assumptions'!$B$8)))))),0)</f>
        <v>0</v>
      </c>
      <c r="AJ48" s="91">
        <f>IF(34&lt;='I_Inputs &amp; Assumptions'!$B$8,IF('I_Budget Input Data'!$E$48="Upfront",IF(34=1,'I_Budget Input Data'!$D$48,0),IF('I_Budget Input Data'!$E$48="Equal",'I_Budget Input Data'!$D$48/'I_Inputs &amp; Assumptions'!$B$8,IF('I_Budget Input Data'!$E$48="Front-loaded",IF(34&lt;='I_Inputs &amp; Assumptions'!$B$8/2,'I_Budget Input Data'!$D$48*0.6/('I_Inputs &amp; Assumptions'!$B$8/2),'I_Budget Input Data'!$D$48*0.4/('I_Inputs &amp; Assumptions'!$B$8/2)),IF('I_Budget Input Data'!$E$48="Back-loaded",IF(34&lt;='I_Inputs &amp; Assumptions'!$B$8/2,'I_Budget Input Data'!$D$48*0.4/('I_Inputs &amp; Assumptions'!$B$8/2),'I_Budget Input Data'!$D$48*0.6/('I_Inputs &amp; Assumptions'!$B$8/2)),IF('I_Budget Input Data'!$E$48="Mid-weighted",IF(34&lt;='I_Inputs &amp; Assumptions'!$B$8/4,'I_Budget Input Data'!$D$48*0.2/('I_Inputs &amp; Assumptions'!$B$8/4),IF(34&lt;='I_Inputs &amp; Assumptions'!$B$8*0.75,'I_Budget Input Data'!$D$48*0.6/('I_Inputs &amp; Assumptions'!$B$8/2),'I_Budget Input Data'!$D$48*0.2/('I_Inputs &amp; Assumptions'!$B$8/4))),IF('I_Budget Input Data'!$E$48="At Completion",IF(34='I_Inputs &amp; Assumptions'!$B$8,'I_Budget Input Data'!$D$48,0),'I_Budget Input Data'!$D$48/'I_Inputs &amp; Assumptions'!$B$8)))))),0)</f>
        <v>0</v>
      </c>
      <c r="AK48" s="91">
        <f>IF(35&lt;='I_Inputs &amp; Assumptions'!$B$8,IF('I_Budget Input Data'!$E$48="Upfront",IF(35=1,'I_Budget Input Data'!$D$48,0),IF('I_Budget Input Data'!$E$48="Equal",'I_Budget Input Data'!$D$48/'I_Inputs &amp; Assumptions'!$B$8,IF('I_Budget Input Data'!$E$48="Front-loaded",IF(35&lt;='I_Inputs &amp; Assumptions'!$B$8/2,'I_Budget Input Data'!$D$48*0.6/('I_Inputs &amp; Assumptions'!$B$8/2),'I_Budget Input Data'!$D$48*0.4/('I_Inputs &amp; Assumptions'!$B$8/2)),IF('I_Budget Input Data'!$E$48="Back-loaded",IF(35&lt;='I_Inputs &amp; Assumptions'!$B$8/2,'I_Budget Input Data'!$D$48*0.4/('I_Inputs &amp; Assumptions'!$B$8/2),'I_Budget Input Data'!$D$48*0.6/('I_Inputs &amp; Assumptions'!$B$8/2)),IF('I_Budget Input Data'!$E$48="Mid-weighted",IF(35&lt;='I_Inputs &amp; Assumptions'!$B$8/4,'I_Budget Input Data'!$D$48*0.2/('I_Inputs &amp; Assumptions'!$B$8/4),IF(35&lt;='I_Inputs &amp; Assumptions'!$B$8*0.75,'I_Budget Input Data'!$D$48*0.6/('I_Inputs &amp; Assumptions'!$B$8/2),'I_Budget Input Data'!$D$48*0.2/('I_Inputs &amp; Assumptions'!$B$8/4))),IF('I_Budget Input Data'!$E$48="At Completion",IF(35='I_Inputs &amp; Assumptions'!$B$8,'I_Budget Input Data'!$D$48,0),'I_Budget Input Data'!$D$48/'I_Inputs &amp; Assumptions'!$B$8)))))),0)</f>
        <v>0</v>
      </c>
      <c r="AL48" s="91">
        <f>IF(36&lt;='I_Inputs &amp; Assumptions'!$B$8,IF('I_Budget Input Data'!$E$48="Upfront",IF(36=1,'I_Budget Input Data'!$D$48,0),IF('I_Budget Input Data'!$E$48="Equal",'I_Budget Input Data'!$D$48/'I_Inputs &amp; Assumptions'!$B$8,IF('I_Budget Input Data'!$E$48="Front-loaded",IF(36&lt;='I_Inputs &amp; Assumptions'!$B$8/2,'I_Budget Input Data'!$D$48*0.6/('I_Inputs &amp; Assumptions'!$B$8/2),'I_Budget Input Data'!$D$48*0.4/('I_Inputs &amp; Assumptions'!$B$8/2)),IF('I_Budget Input Data'!$E$48="Back-loaded",IF(36&lt;='I_Inputs &amp; Assumptions'!$B$8/2,'I_Budget Input Data'!$D$48*0.4/('I_Inputs &amp; Assumptions'!$B$8/2),'I_Budget Input Data'!$D$48*0.6/('I_Inputs &amp; Assumptions'!$B$8/2)),IF('I_Budget Input Data'!$E$48="Mid-weighted",IF(36&lt;='I_Inputs &amp; Assumptions'!$B$8/4,'I_Budget Input Data'!$D$48*0.2/('I_Inputs &amp; Assumptions'!$B$8/4),IF(36&lt;='I_Inputs &amp; Assumptions'!$B$8*0.75,'I_Budget Input Data'!$D$48*0.6/('I_Inputs &amp; Assumptions'!$B$8/2),'I_Budget Input Data'!$D$48*0.2/('I_Inputs &amp; Assumptions'!$B$8/4))),IF('I_Budget Input Data'!$E$48="At Completion",IF(36='I_Inputs &amp; Assumptions'!$B$8,'I_Budget Input Data'!$D$48,0),'I_Budget Input Data'!$D$48/'I_Inputs &amp; Assumptions'!$B$8)))))),0)</f>
        <v>0</v>
      </c>
    </row>
    <row r="49" spans="1:38" ht="15" customHeight="1" x14ac:dyDescent="0.2">
      <c r="A49" t="s">
        <v>146</v>
      </c>
      <c r="B49" t="s">
        <v>170</v>
      </c>
      <c r="C49" s="91">
        <v>0</v>
      </c>
      <c r="D49" s="91">
        <v>0</v>
      </c>
      <c r="E49" s="91">
        <v>0</v>
      </c>
      <c r="F49" s="91">
        <v>0</v>
      </c>
      <c r="G49" s="91">
        <v>0</v>
      </c>
      <c r="H49" s="91">
        <v>0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0</v>
      </c>
      <c r="AC49" s="91">
        <v>0</v>
      </c>
      <c r="AD49" s="91">
        <v>0</v>
      </c>
      <c r="AE49" s="91">
        <v>0</v>
      </c>
      <c r="AF49" s="91">
        <v>0</v>
      </c>
      <c r="AG49" s="91">
        <v>0</v>
      </c>
      <c r="AH49" s="91">
        <v>0</v>
      </c>
      <c r="AI49" s="91">
        <v>0</v>
      </c>
      <c r="AJ49" s="91">
        <v>0</v>
      </c>
      <c r="AK49" s="91">
        <v>0</v>
      </c>
      <c r="AL49" s="91">
        <v>0</v>
      </c>
    </row>
    <row r="50" spans="1:38" ht="15" customHeight="1" x14ac:dyDescent="0.2">
      <c r="A50" t="s">
        <v>146</v>
      </c>
      <c r="B50" t="s">
        <v>171</v>
      </c>
      <c r="C50" s="91">
        <f>IF(1&lt;='I_Inputs &amp; Assumptions'!$B$8,IF('I_Budget Input Data'!$E$50="Upfront",IF(1=1,'I_Budget Input Data'!$D$50,0),IF('I_Budget Input Data'!$E$50="Equal",'I_Budget Input Data'!$D$50/'I_Inputs &amp; Assumptions'!$B$8,IF('I_Budget Input Data'!$E$50="Front-loaded",IF(1&lt;='I_Inputs &amp; Assumptions'!$B$8/2,'I_Budget Input Data'!$D$50*0.6/('I_Inputs &amp; Assumptions'!$B$8/2),'I_Budget Input Data'!$D$50*0.4/('I_Inputs &amp; Assumptions'!$B$8/2)),IF('I_Budget Input Data'!$E$50="Back-loaded",IF(1&lt;='I_Inputs &amp; Assumptions'!$B$8/2,'I_Budget Input Data'!$D$50*0.4/('I_Inputs &amp; Assumptions'!$B$8/2),'I_Budget Input Data'!$D$50*0.6/('I_Inputs &amp; Assumptions'!$B$8/2)),IF('I_Budget Input Data'!$E$50="Mid-weighted",IF(1&lt;='I_Inputs &amp; Assumptions'!$B$8/4,'I_Budget Input Data'!$D$50*0.2/('I_Inputs &amp; Assumptions'!$B$8/4),IF(1&lt;='I_Inputs &amp; Assumptions'!$B$8*0.75,'I_Budget Input Data'!$D$50*0.6/('I_Inputs &amp; Assumptions'!$B$8/2),'I_Budget Input Data'!$D$50*0.2/('I_Inputs &amp; Assumptions'!$B$8/4))),IF('I_Budget Input Data'!$E$50="At Completion",IF(1='I_Inputs &amp; Assumptions'!$B$8,'I_Budget Input Data'!$D$50,0),'I_Budget Input Data'!$D$50/'I_Inputs &amp; Assumptions'!$B$8)))))),0)</f>
        <v>11382.076923076924</v>
      </c>
      <c r="D50" s="91">
        <f>IF(2&lt;='I_Inputs &amp; Assumptions'!$B$8,IF('I_Budget Input Data'!$E$50="Upfront",IF(2=1,'I_Budget Input Data'!$D$50,0),IF('I_Budget Input Data'!$E$50="Equal",'I_Budget Input Data'!$D$50/'I_Inputs &amp; Assumptions'!$B$8,IF('I_Budget Input Data'!$E$50="Front-loaded",IF(2&lt;='I_Inputs &amp; Assumptions'!$B$8/2,'I_Budget Input Data'!$D$50*0.6/('I_Inputs &amp; Assumptions'!$B$8/2),'I_Budget Input Data'!$D$50*0.4/('I_Inputs &amp; Assumptions'!$B$8/2)),IF('I_Budget Input Data'!$E$50="Back-loaded",IF(2&lt;='I_Inputs &amp; Assumptions'!$B$8/2,'I_Budget Input Data'!$D$50*0.4/('I_Inputs &amp; Assumptions'!$B$8/2),'I_Budget Input Data'!$D$50*0.6/('I_Inputs &amp; Assumptions'!$B$8/2)),IF('I_Budget Input Data'!$E$50="Mid-weighted",IF(2&lt;='I_Inputs &amp; Assumptions'!$B$8/4,'I_Budget Input Data'!$D$50*0.2/('I_Inputs &amp; Assumptions'!$B$8/4),IF(2&lt;='I_Inputs &amp; Assumptions'!$B$8*0.75,'I_Budget Input Data'!$D$50*0.6/('I_Inputs &amp; Assumptions'!$B$8/2),'I_Budget Input Data'!$D$50*0.2/('I_Inputs &amp; Assumptions'!$B$8/4))),IF('I_Budget Input Data'!$E$50="At Completion",IF(2='I_Inputs &amp; Assumptions'!$B$8,'I_Budget Input Data'!$D$50,0),'I_Budget Input Data'!$D$50/'I_Inputs &amp; Assumptions'!$B$8)))))),0)</f>
        <v>11382.076923076924</v>
      </c>
      <c r="E50" s="91">
        <f>IF(3&lt;='I_Inputs &amp; Assumptions'!$B$8,IF('I_Budget Input Data'!$E$50="Upfront",IF(3=1,'I_Budget Input Data'!$D$50,0),IF('I_Budget Input Data'!$E$50="Equal",'I_Budget Input Data'!$D$50/'I_Inputs &amp; Assumptions'!$B$8,IF('I_Budget Input Data'!$E$50="Front-loaded",IF(3&lt;='I_Inputs &amp; Assumptions'!$B$8/2,'I_Budget Input Data'!$D$50*0.6/('I_Inputs &amp; Assumptions'!$B$8/2),'I_Budget Input Data'!$D$50*0.4/('I_Inputs &amp; Assumptions'!$B$8/2)),IF('I_Budget Input Data'!$E$50="Back-loaded",IF(3&lt;='I_Inputs &amp; Assumptions'!$B$8/2,'I_Budget Input Data'!$D$50*0.4/('I_Inputs &amp; Assumptions'!$B$8/2),'I_Budget Input Data'!$D$50*0.6/('I_Inputs &amp; Assumptions'!$B$8/2)),IF('I_Budget Input Data'!$E$50="Mid-weighted",IF(3&lt;='I_Inputs &amp; Assumptions'!$B$8/4,'I_Budget Input Data'!$D$50*0.2/('I_Inputs &amp; Assumptions'!$B$8/4),IF(3&lt;='I_Inputs &amp; Assumptions'!$B$8*0.75,'I_Budget Input Data'!$D$50*0.6/('I_Inputs &amp; Assumptions'!$B$8/2),'I_Budget Input Data'!$D$50*0.2/('I_Inputs &amp; Assumptions'!$B$8/4))),IF('I_Budget Input Data'!$E$50="At Completion",IF(3='I_Inputs &amp; Assumptions'!$B$8,'I_Budget Input Data'!$D$50,0),'I_Budget Input Data'!$D$50/'I_Inputs &amp; Assumptions'!$B$8)))))),0)</f>
        <v>11382.076923076924</v>
      </c>
      <c r="F50" s="91">
        <f>IF(4&lt;='I_Inputs &amp; Assumptions'!$B$8,IF('I_Budget Input Data'!$E$50="Upfront",IF(4=1,'I_Budget Input Data'!$D$50,0),IF('I_Budget Input Data'!$E$50="Equal",'I_Budget Input Data'!$D$50/'I_Inputs &amp; Assumptions'!$B$8,IF('I_Budget Input Data'!$E$50="Front-loaded",IF(4&lt;='I_Inputs &amp; Assumptions'!$B$8/2,'I_Budget Input Data'!$D$50*0.6/('I_Inputs &amp; Assumptions'!$B$8/2),'I_Budget Input Data'!$D$50*0.4/('I_Inputs &amp; Assumptions'!$B$8/2)),IF('I_Budget Input Data'!$E$50="Back-loaded",IF(4&lt;='I_Inputs &amp; Assumptions'!$B$8/2,'I_Budget Input Data'!$D$50*0.4/('I_Inputs &amp; Assumptions'!$B$8/2),'I_Budget Input Data'!$D$50*0.6/('I_Inputs &amp; Assumptions'!$B$8/2)),IF('I_Budget Input Data'!$E$50="Mid-weighted",IF(4&lt;='I_Inputs &amp; Assumptions'!$B$8/4,'I_Budget Input Data'!$D$50*0.2/('I_Inputs &amp; Assumptions'!$B$8/4),IF(4&lt;='I_Inputs &amp; Assumptions'!$B$8*0.75,'I_Budget Input Data'!$D$50*0.6/('I_Inputs &amp; Assumptions'!$B$8/2),'I_Budget Input Data'!$D$50*0.2/('I_Inputs &amp; Assumptions'!$B$8/4))),IF('I_Budget Input Data'!$E$50="At Completion",IF(4='I_Inputs &amp; Assumptions'!$B$8,'I_Budget Input Data'!$D$50,0),'I_Budget Input Data'!$D$50/'I_Inputs &amp; Assumptions'!$B$8)))))),0)</f>
        <v>11382.076923076924</v>
      </c>
      <c r="G50" s="91">
        <f>IF(5&lt;='I_Inputs &amp; Assumptions'!$B$8,IF('I_Budget Input Data'!$E$50="Upfront",IF(5=1,'I_Budget Input Data'!$D$50,0),IF('I_Budget Input Data'!$E$50="Equal",'I_Budget Input Data'!$D$50/'I_Inputs &amp; Assumptions'!$B$8,IF('I_Budget Input Data'!$E$50="Front-loaded",IF(5&lt;='I_Inputs &amp; Assumptions'!$B$8/2,'I_Budget Input Data'!$D$50*0.6/('I_Inputs &amp; Assumptions'!$B$8/2),'I_Budget Input Data'!$D$50*0.4/('I_Inputs &amp; Assumptions'!$B$8/2)),IF('I_Budget Input Data'!$E$50="Back-loaded",IF(5&lt;='I_Inputs &amp; Assumptions'!$B$8/2,'I_Budget Input Data'!$D$50*0.4/('I_Inputs &amp; Assumptions'!$B$8/2),'I_Budget Input Data'!$D$50*0.6/('I_Inputs &amp; Assumptions'!$B$8/2)),IF('I_Budget Input Data'!$E$50="Mid-weighted",IF(5&lt;='I_Inputs &amp; Assumptions'!$B$8/4,'I_Budget Input Data'!$D$50*0.2/('I_Inputs &amp; Assumptions'!$B$8/4),IF(5&lt;='I_Inputs &amp; Assumptions'!$B$8*0.75,'I_Budget Input Data'!$D$50*0.6/('I_Inputs &amp; Assumptions'!$B$8/2),'I_Budget Input Data'!$D$50*0.2/('I_Inputs &amp; Assumptions'!$B$8/4))),IF('I_Budget Input Data'!$E$50="At Completion",IF(5='I_Inputs &amp; Assumptions'!$B$8,'I_Budget Input Data'!$D$50,0),'I_Budget Input Data'!$D$50/'I_Inputs &amp; Assumptions'!$B$8)))))),0)</f>
        <v>11382.076923076924</v>
      </c>
      <c r="H50" s="91">
        <f>IF(6&lt;='I_Inputs &amp; Assumptions'!$B$8,IF('I_Budget Input Data'!$E$50="Upfront",IF(6=1,'I_Budget Input Data'!$D$50,0),IF('I_Budget Input Data'!$E$50="Equal",'I_Budget Input Data'!$D$50/'I_Inputs &amp; Assumptions'!$B$8,IF('I_Budget Input Data'!$E$50="Front-loaded",IF(6&lt;='I_Inputs &amp; Assumptions'!$B$8/2,'I_Budget Input Data'!$D$50*0.6/('I_Inputs &amp; Assumptions'!$B$8/2),'I_Budget Input Data'!$D$50*0.4/('I_Inputs &amp; Assumptions'!$B$8/2)),IF('I_Budget Input Data'!$E$50="Back-loaded",IF(6&lt;='I_Inputs &amp; Assumptions'!$B$8/2,'I_Budget Input Data'!$D$50*0.4/('I_Inputs &amp; Assumptions'!$B$8/2),'I_Budget Input Data'!$D$50*0.6/('I_Inputs &amp; Assumptions'!$B$8/2)),IF('I_Budget Input Data'!$E$50="Mid-weighted",IF(6&lt;='I_Inputs &amp; Assumptions'!$B$8/4,'I_Budget Input Data'!$D$50*0.2/('I_Inputs &amp; Assumptions'!$B$8/4),IF(6&lt;='I_Inputs &amp; Assumptions'!$B$8*0.75,'I_Budget Input Data'!$D$50*0.6/('I_Inputs &amp; Assumptions'!$B$8/2),'I_Budget Input Data'!$D$50*0.2/('I_Inputs &amp; Assumptions'!$B$8/4))),IF('I_Budget Input Data'!$E$50="At Completion",IF(6='I_Inputs &amp; Assumptions'!$B$8,'I_Budget Input Data'!$D$50,0),'I_Budget Input Data'!$D$50/'I_Inputs &amp; Assumptions'!$B$8)))))),0)</f>
        <v>11382.076923076924</v>
      </c>
      <c r="I50" s="91">
        <f>IF(7&lt;='I_Inputs &amp; Assumptions'!$B$8,IF('I_Budget Input Data'!$E$50="Upfront",IF(7=1,'I_Budget Input Data'!$D$50,0),IF('I_Budget Input Data'!$E$50="Equal",'I_Budget Input Data'!$D$50/'I_Inputs &amp; Assumptions'!$B$8,IF('I_Budget Input Data'!$E$50="Front-loaded",IF(7&lt;='I_Inputs &amp; Assumptions'!$B$8/2,'I_Budget Input Data'!$D$50*0.6/('I_Inputs &amp; Assumptions'!$B$8/2),'I_Budget Input Data'!$D$50*0.4/('I_Inputs &amp; Assumptions'!$B$8/2)),IF('I_Budget Input Data'!$E$50="Back-loaded",IF(7&lt;='I_Inputs &amp; Assumptions'!$B$8/2,'I_Budget Input Data'!$D$50*0.4/('I_Inputs &amp; Assumptions'!$B$8/2),'I_Budget Input Data'!$D$50*0.6/('I_Inputs &amp; Assumptions'!$B$8/2)),IF('I_Budget Input Data'!$E$50="Mid-weighted",IF(7&lt;='I_Inputs &amp; Assumptions'!$B$8/4,'I_Budget Input Data'!$D$50*0.2/('I_Inputs &amp; Assumptions'!$B$8/4),IF(7&lt;='I_Inputs &amp; Assumptions'!$B$8*0.75,'I_Budget Input Data'!$D$50*0.6/('I_Inputs &amp; Assumptions'!$B$8/2),'I_Budget Input Data'!$D$50*0.2/('I_Inputs &amp; Assumptions'!$B$8/4))),IF('I_Budget Input Data'!$E$50="At Completion",IF(7='I_Inputs &amp; Assumptions'!$B$8,'I_Budget Input Data'!$D$50,0),'I_Budget Input Data'!$D$50/'I_Inputs &amp; Assumptions'!$B$8)))))),0)</f>
        <v>11382.076923076924</v>
      </c>
      <c r="J50" s="91">
        <f>IF(8&lt;='I_Inputs &amp; Assumptions'!$B$8,IF('I_Budget Input Data'!$E$50="Upfront",IF(8=1,'I_Budget Input Data'!$D$50,0),IF('I_Budget Input Data'!$E$50="Equal",'I_Budget Input Data'!$D$50/'I_Inputs &amp; Assumptions'!$B$8,IF('I_Budget Input Data'!$E$50="Front-loaded",IF(8&lt;='I_Inputs &amp; Assumptions'!$B$8/2,'I_Budget Input Data'!$D$50*0.6/('I_Inputs &amp; Assumptions'!$B$8/2),'I_Budget Input Data'!$D$50*0.4/('I_Inputs &amp; Assumptions'!$B$8/2)),IF('I_Budget Input Data'!$E$50="Back-loaded",IF(8&lt;='I_Inputs &amp; Assumptions'!$B$8/2,'I_Budget Input Data'!$D$50*0.4/('I_Inputs &amp; Assumptions'!$B$8/2),'I_Budget Input Data'!$D$50*0.6/('I_Inputs &amp; Assumptions'!$B$8/2)),IF('I_Budget Input Data'!$E$50="Mid-weighted",IF(8&lt;='I_Inputs &amp; Assumptions'!$B$8/4,'I_Budget Input Data'!$D$50*0.2/('I_Inputs &amp; Assumptions'!$B$8/4),IF(8&lt;='I_Inputs &amp; Assumptions'!$B$8*0.75,'I_Budget Input Data'!$D$50*0.6/('I_Inputs &amp; Assumptions'!$B$8/2),'I_Budget Input Data'!$D$50*0.2/('I_Inputs &amp; Assumptions'!$B$8/4))),IF('I_Budget Input Data'!$E$50="At Completion",IF(8='I_Inputs &amp; Assumptions'!$B$8,'I_Budget Input Data'!$D$50,0),'I_Budget Input Data'!$D$50/'I_Inputs &amp; Assumptions'!$B$8)))))),0)</f>
        <v>11382.076923076924</v>
      </c>
      <c r="K50" s="91">
        <f>IF(9&lt;='I_Inputs &amp; Assumptions'!$B$8,IF('I_Budget Input Data'!$E$50="Upfront",IF(9=1,'I_Budget Input Data'!$D$50,0),IF('I_Budget Input Data'!$E$50="Equal",'I_Budget Input Data'!$D$50/'I_Inputs &amp; Assumptions'!$B$8,IF('I_Budget Input Data'!$E$50="Front-loaded",IF(9&lt;='I_Inputs &amp; Assumptions'!$B$8/2,'I_Budget Input Data'!$D$50*0.6/('I_Inputs &amp; Assumptions'!$B$8/2),'I_Budget Input Data'!$D$50*0.4/('I_Inputs &amp; Assumptions'!$B$8/2)),IF('I_Budget Input Data'!$E$50="Back-loaded",IF(9&lt;='I_Inputs &amp; Assumptions'!$B$8/2,'I_Budget Input Data'!$D$50*0.4/('I_Inputs &amp; Assumptions'!$B$8/2),'I_Budget Input Data'!$D$50*0.6/('I_Inputs &amp; Assumptions'!$B$8/2)),IF('I_Budget Input Data'!$E$50="Mid-weighted",IF(9&lt;='I_Inputs &amp; Assumptions'!$B$8/4,'I_Budget Input Data'!$D$50*0.2/('I_Inputs &amp; Assumptions'!$B$8/4),IF(9&lt;='I_Inputs &amp; Assumptions'!$B$8*0.75,'I_Budget Input Data'!$D$50*0.6/('I_Inputs &amp; Assumptions'!$B$8/2),'I_Budget Input Data'!$D$50*0.2/('I_Inputs &amp; Assumptions'!$B$8/4))),IF('I_Budget Input Data'!$E$50="At Completion",IF(9='I_Inputs &amp; Assumptions'!$B$8,'I_Budget Input Data'!$D$50,0),'I_Budget Input Data'!$D$50/'I_Inputs &amp; Assumptions'!$B$8)))))),0)</f>
        <v>11382.076923076924</v>
      </c>
      <c r="L50" s="91">
        <f>IF(10&lt;='I_Inputs &amp; Assumptions'!$B$8,IF('I_Budget Input Data'!$E$50="Upfront",IF(10=1,'I_Budget Input Data'!$D$50,0),IF('I_Budget Input Data'!$E$50="Equal",'I_Budget Input Data'!$D$50/'I_Inputs &amp; Assumptions'!$B$8,IF('I_Budget Input Data'!$E$50="Front-loaded",IF(10&lt;='I_Inputs &amp; Assumptions'!$B$8/2,'I_Budget Input Data'!$D$50*0.6/('I_Inputs &amp; Assumptions'!$B$8/2),'I_Budget Input Data'!$D$50*0.4/('I_Inputs &amp; Assumptions'!$B$8/2)),IF('I_Budget Input Data'!$E$50="Back-loaded",IF(10&lt;='I_Inputs &amp; Assumptions'!$B$8/2,'I_Budget Input Data'!$D$50*0.4/('I_Inputs &amp; Assumptions'!$B$8/2),'I_Budget Input Data'!$D$50*0.6/('I_Inputs &amp; Assumptions'!$B$8/2)),IF('I_Budget Input Data'!$E$50="Mid-weighted",IF(10&lt;='I_Inputs &amp; Assumptions'!$B$8/4,'I_Budget Input Data'!$D$50*0.2/('I_Inputs &amp; Assumptions'!$B$8/4),IF(10&lt;='I_Inputs &amp; Assumptions'!$B$8*0.75,'I_Budget Input Data'!$D$50*0.6/('I_Inputs &amp; Assumptions'!$B$8/2),'I_Budget Input Data'!$D$50*0.2/('I_Inputs &amp; Assumptions'!$B$8/4))),IF('I_Budget Input Data'!$E$50="At Completion",IF(10='I_Inputs &amp; Assumptions'!$B$8,'I_Budget Input Data'!$D$50,0),'I_Budget Input Data'!$D$50/'I_Inputs &amp; Assumptions'!$B$8)))))),0)</f>
        <v>11382.076923076924</v>
      </c>
      <c r="M50" s="91">
        <f>IF(11&lt;='I_Inputs &amp; Assumptions'!$B$8,IF('I_Budget Input Data'!$E$50="Upfront",IF(11=1,'I_Budget Input Data'!$D$50,0),IF('I_Budget Input Data'!$E$50="Equal",'I_Budget Input Data'!$D$50/'I_Inputs &amp; Assumptions'!$B$8,IF('I_Budget Input Data'!$E$50="Front-loaded",IF(11&lt;='I_Inputs &amp; Assumptions'!$B$8/2,'I_Budget Input Data'!$D$50*0.6/('I_Inputs &amp; Assumptions'!$B$8/2),'I_Budget Input Data'!$D$50*0.4/('I_Inputs &amp; Assumptions'!$B$8/2)),IF('I_Budget Input Data'!$E$50="Back-loaded",IF(11&lt;='I_Inputs &amp; Assumptions'!$B$8/2,'I_Budget Input Data'!$D$50*0.4/('I_Inputs &amp; Assumptions'!$B$8/2),'I_Budget Input Data'!$D$50*0.6/('I_Inputs &amp; Assumptions'!$B$8/2)),IF('I_Budget Input Data'!$E$50="Mid-weighted",IF(11&lt;='I_Inputs &amp; Assumptions'!$B$8/4,'I_Budget Input Data'!$D$50*0.2/('I_Inputs &amp; Assumptions'!$B$8/4),IF(11&lt;='I_Inputs &amp; Assumptions'!$B$8*0.75,'I_Budget Input Data'!$D$50*0.6/('I_Inputs &amp; Assumptions'!$B$8/2),'I_Budget Input Data'!$D$50*0.2/('I_Inputs &amp; Assumptions'!$B$8/4))),IF('I_Budget Input Data'!$E$50="At Completion",IF(11='I_Inputs &amp; Assumptions'!$B$8,'I_Budget Input Data'!$D$50,0),'I_Budget Input Data'!$D$50/'I_Inputs &amp; Assumptions'!$B$8)))))),0)</f>
        <v>11382.076923076924</v>
      </c>
      <c r="N50" s="91">
        <f>IF(12&lt;='I_Inputs &amp; Assumptions'!$B$8,IF('I_Budget Input Data'!$E$50="Upfront",IF(12=1,'I_Budget Input Data'!$D$50,0),IF('I_Budget Input Data'!$E$50="Equal",'I_Budget Input Data'!$D$50/'I_Inputs &amp; Assumptions'!$B$8,IF('I_Budget Input Data'!$E$50="Front-loaded",IF(12&lt;='I_Inputs &amp; Assumptions'!$B$8/2,'I_Budget Input Data'!$D$50*0.6/('I_Inputs &amp; Assumptions'!$B$8/2),'I_Budget Input Data'!$D$50*0.4/('I_Inputs &amp; Assumptions'!$B$8/2)),IF('I_Budget Input Data'!$E$50="Back-loaded",IF(12&lt;='I_Inputs &amp; Assumptions'!$B$8/2,'I_Budget Input Data'!$D$50*0.4/('I_Inputs &amp; Assumptions'!$B$8/2),'I_Budget Input Data'!$D$50*0.6/('I_Inputs &amp; Assumptions'!$B$8/2)),IF('I_Budget Input Data'!$E$50="Mid-weighted",IF(12&lt;='I_Inputs &amp; Assumptions'!$B$8/4,'I_Budget Input Data'!$D$50*0.2/('I_Inputs &amp; Assumptions'!$B$8/4),IF(12&lt;='I_Inputs &amp; Assumptions'!$B$8*0.75,'I_Budget Input Data'!$D$50*0.6/('I_Inputs &amp; Assumptions'!$B$8/2),'I_Budget Input Data'!$D$50*0.2/('I_Inputs &amp; Assumptions'!$B$8/4))),IF('I_Budget Input Data'!$E$50="At Completion",IF(12='I_Inputs &amp; Assumptions'!$B$8,'I_Budget Input Data'!$D$50,0),'I_Budget Input Data'!$D$50/'I_Inputs &amp; Assumptions'!$B$8)))))),0)</f>
        <v>11382.076923076924</v>
      </c>
      <c r="O50" s="91">
        <f>IF(13&lt;='I_Inputs &amp; Assumptions'!$B$8,IF('I_Budget Input Data'!$E$50="Upfront",IF(13=1,'I_Budget Input Data'!$D$50,0),IF('I_Budget Input Data'!$E$50="Equal",'I_Budget Input Data'!$D$50/'I_Inputs &amp; Assumptions'!$B$8,IF('I_Budget Input Data'!$E$50="Front-loaded",IF(13&lt;='I_Inputs &amp; Assumptions'!$B$8/2,'I_Budget Input Data'!$D$50*0.6/('I_Inputs &amp; Assumptions'!$B$8/2),'I_Budget Input Data'!$D$50*0.4/('I_Inputs &amp; Assumptions'!$B$8/2)),IF('I_Budget Input Data'!$E$50="Back-loaded",IF(13&lt;='I_Inputs &amp; Assumptions'!$B$8/2,'I_Budget Input Data'!$D$50*0.4/('I_Inputs &amp; Assumptions'!$B$8/2),'I_Budget Input Data'!$D$50*0.6/('I_Inputs &amp; Assumptions'!$B$8/2)),IF('I_Budget Input Data'!$E$50="Mid-weighted",IF(13&lt;='I_Inputs &amp; Assumptions'!$B$8/4,'I_Budget Input Data'!$D$50*0.2/('I_Inputs &amp; Assumptions'!$B$8/4),IF(13&lt;='I_Inputs &amp; Assumptions'!$B$8*0.75,'I_Budget Input Data'!$D$50*0.6/('I_Inputs &amp; Assumptions'!$B$8/2),'I_Budget Input Data'!$D$50*0.2/('I_Inputs &amp; Assumptions'!$B$8/4))),IF('I_Budget Input Data'!$E$50="At Completion",IF(13='I_Inputs &amp; Assumptions'!$B$8,'I_Budget Input Data'!$D$50,0),'I_Budget Input Data'!$D$50/'I_Inputs &amp; Assumptions'!$B$8)))))),0)</f>
        <v>11382.076923076924</v>
      </c>
      <c r="P50" s="91">
        <f>IF(14&lt;='I_Inputs &amp; Assumptions'!$B$8,IF('I_Budget Input Data'!$E$50="Upfront",IF(14=1,'I_Budget Input Data'!$D$50,0),IF('I_Budget Input Data'!$E$50="Equal",'I_Budget Input Data'!$D$50/'I_Inputs &amp; Assumptions'!$B$8,IF('I_Budget Input Data'!$E$50="Front-loaded",IF(14&lt;='I_Inputs &amp; Assumptions'!$B$8/2,'I_Budget Input Data'!$D$50*0.6/('I_Inputs &amp; Assumptions'!$B$8/2),'I_Budget Input Data'!$D$50*0.4/('I_Inputs &amp; Assumptions'!$B$8/2)),IF('I_Budget Input Data'!$E$50="Back-loaded",IF(14&lt;='I_Inputs &amp; Assumptions'!$B$8/2,'I_Budget Input Data'!$D$50*0.4/('I_Inputs &amp; Assumptions'!$B$8/2),'I_Budget Input Data'!$D$50*0.6/('I_Inputs &amp; Assumptions'!$B$8/2)),IF('I_Budget Input Data'!$E$50="Mid-weighted",IF(14&lt;='I_Inputs &amp; Assumptions'!$B$8/4,'I_Budget Input Data'!$D$50*0.2/('I_Inputs &amp; Assumptions'!$B$8/4),IF(14&lt;='I_Inputs &amp; Assumptions'!$B$8*0.75,'I_Budget Input Data'!$D$50*0.6/('I_Inputs &amp; Assumptions'!$B$8/2),'I_Budget Input Data'!$D$50*0.2/('I_Inputs &amp; Assumptions'!$B$8/4))),IF('I_Budget Input Data'!$E$50="At Completion",IF(14='I_Inputs &amp; Assumptions'!$B$8,'I_Budget Input Data'!$D$50,0),'I_Budget Input Data'!$D$50/'I_Inputs &amp; Assumptions'!$B$8)))))),0)</f>
        <v>0</v>
      </c>
      <c r="Q50" s="91">
        <f>IF(15&lt;='I_Inputs &amp; Assumptions'!$B$8,IF('I_Budget Input Data'!$E$50="Upfront",IF(15=1,'I_Budget Input Data'!$D$50,0),IF('I_Budget Input Data'!$E$50="Equal",'I_Budget Input Data'!$D$50/'I_Inputs &amp; Assumptions'!$B$8,IF('I_Budget Input Data'!$E$50="Front-loaded",IF(15&lt;='I_Inputs &amp; Assumptions'!$B$8/2,'I_Budget Input Data'!$D$50*0.6/('I_Inputs &amp; Assumptions'!$B$8/2),'I_Budget Input Data'!$D$50*0.4/('I_Inputs &amp; Assumptions'!$B$8/2)),IF('I_Budget Input Data'!$E$50="Back-loaded",IF(15&lt;='I_Inputs &amp; Assumptions'!$B$8/2,'I_Budget Input Data'!$D$50*0.4/('I_Inputs &amp; Assumptions'!$B$8/2),'I_Budget Input Data'!$D$50*0.6/('I_Inputs &amp; Assumptions'!$B$8/2)),IF('I_Budget Input Data'!$E$50="Mid-weighted",IF(15&lt;='I_Inputs &amp; Assumptions'!$B$8/4,'I_Budget Input Data'!$D$50*0.2/('I_Inputs &amp; Assumptions'!$B$8/4),IF(15&lt;='I_Inputs &amp; Assumptions'!$B$8*0.75,'I_Budget Input Data'!$D$50*0.6/('I_Inputs &amp; Assumptions'!$B$8/2),'I_Budget Input Data'!$D$50*0.2/('I_Inputs &amp; Assumptions'!$B$8/4))),IF('I_Budget Input Data'!$E$50="At Completion",IF(15='I_Inputs &amp; Assumptions'!$B$8,'I_Budget Input Data'!$D$50,0),'I_Budget Input Data'!$D$50/'I_Inputs &amp; Assumptions'!$B$8)))))),0)</f>
        <v>0</v>
      </c>
      <c r="R50" s="91">
        <f>IF(16&lt;='I_Inputs &amp; Assumptions'!$B$8,IF('I_Budget Input Data'!$E$50="Upfront",IF(16=1,'I_Budget Input Data'!$D$50,0),IF('I_Budget Input Data'!$E$50="Equal",'I_Budget Input Data'!$D$50/'I_Inputs &amp; Assumptions'!$B$8,IF('I_Budget Input Data'!$E$50="Front-loaded",IF(16&lt;='I_Inputs &amp; Assumptions'!$B$8/2,'I_Budget Input Data'!$D$50*0.6/('I_Inputs &amp; Assumptions'!$B$8/2),'I_Budget Input Data'!$D$50*0.4/('I_Inputs &amp; Assumptions'!$B$8/2)),IF('I_Budget Input Data'!$E$50="Back-loaded",IF(16&lt;='I_Inputs &amp; Assumptions'!$B$8/2,'I_Budget Input Data'!$D$50*0.4/('I_Inputs &amp; Assumptions'!$B$8/2),'I_Budget Input Data'!$D$50*0.6/('I_Inputs &amp; Assumptions'!$B$8/2)),IF('I_Budget Input Data'!$E$50="Mid-weighted",IF(16&lt;='I_Inputs &amp; Assumptions'!$B$8/4,'I_Budget Input Data'!$D$50*0.2/('I_Inputs &amp; Assumptions'!$B$8/4),IF(16&lt;='I_Inputs &amp; Assumptions'!$B$8*0.75,'I_Budget Input Data'!$D$50*0.6/('I_Inputs &amp; Assumptions'!$B$8/2),'I_Budget Input Data'!$D$50*0.2/('I_Inputs &amp; Assumptions'!$B$8/4))),IF('I_Budget Input Data'!$E$50="At Completion",IF(16='I_Inputs &amp; Assumptions'!$B$8,'I_Budget Input Data'!$D$50,0),'I_Budget Input Data'!$D$50/'I_Inputs &amp; Assumptions'!$B$8)))))),0)</f>
        <v>0</v>
      </c>
      <c r="S50" s="91">
        <f>IF(17&lt;='I_Inputs &amp; Assumptions'!$B$8,IF('I_Budget Input Data'!$E$50="Upfront",IF(17=1,'I_Budget Input Data'!$D$50,0),IF('I_Budget Input Data'!$E$50="Equal",'I_Budget Input Data'!$D$50/'I_Inputs &amp; Assumptions'!$B$8,IF('I_Budget Input Data'!$E$50="Front-loaded",IF(17&lt;='I_Inputs &amp; Assumptions'!$B$8/2,'I_Budget Input Data'!$D$50*0.6/('I_Inputs &amp; Assumptions'!$B$8/2),'I_Budget Input Data'!$D$50*0.4/('I_Inputs &amp; Assumptions'!$B$8/2)),IF('I_Budget Input Data'!$E$50="Back-loaded",IF(17&lt;='I_Inputs &amp; Assumptions'!$B$8/2,'I_Budget Input Data'!$D$50*0.4/('I_Inputs &amp; Assumptions'!$B$8/2),'I_Budget Input Data'!$D$50*0.6/('I_Inputs &amp; Assumptions'!$B$8/2)),IF('I_Budget Input Data'!$E$50="Mid-weighted",IF(17&lt;='I_Inputs &amp; Assumptions'!$B$8/4,'I_Budget Input Data'!$D$50*0.2/('I_Inputs &amp; Assumptions'!$B$8/4),IF(17&lt;='I_Inputs &amp; Assumptions'!$B$8*0.75,'I_Budget Input Data'!$D$50*0.6/('I_Inputs &amp; Assumptions'!$B$8/2),'I_Budget Input Data'!$D$50*0.2/('I_Inputs &amp; Assumptions'!$B$8/4))),IF('I_Budget Input Data'!$E$50="At Completion",IF(17='I_Inputs &amp; Assumptions'!$B$8,'I_Budget Input Data'!$D$50,0),'I_Budget Input Data'!$D$50/'I_Inputs &amp; Assumptions'!$B$8)))))),0)</f>
        <v>0</v>
      </c>
      <c r="T50" s="91">
        <f>IF(18&lt;='I_Inputs &amp; Assumptions'!$B$8,IF('I_Budget Input Data'!$E$50="Upfront",IF(18=1,'I_Budget Input Data'!$D$50,0),IF('I_Budget Input Data'!$E$50="Equal",'I_Budget Input Data'!$D$50/'I_Inputs &amp; Assumptions'!$B$8,IF('I_Budget Input Data'!$E$50="Front-loaded",IF(18&lt;='I_Inputs &amp; Assumptions'!$B$8/2,'I_Budget Input Data'!$D$50*0.6/('I_Inputs &amp; Assumptions'!$B$8/2),'I_Budget Input Data'!$D$50*0.4/('I_Inputs &amp; Assumptions'!$B$8/2)),IF('I_Budget Input Data'!$E$50="Back-loaded",IF(18&lt;='I_Inputs &amp; Assumptions'!$B$8/2,'I_Budget Input Data'!$D$50*0.4/('I_Inputs &amp; Assumptions'!$B$8/2),'I_Budget Input Data'!$D$50*0.6/('I_Inputs &amp; Assumptions'!$B$8/2)),IF('I_Budget Input Data'!$E$50="Mid-weighted",IF(18&lt;='I_Inputs &amp; Assumptions'!$B$8/4,'I_Budget Input Data'!$D$50*0.2/('I_Inputs &amp; Assumptions'!$B$8/4),IF(18&lt;='I_Inputs &amp; Assumptions'!$B$8*0.75,'I_Budget Input Data'!$D$50*0.6/('I_Inputs &amp; Assumptions'!$B$8/2),'I_Budget Input Data'!$D$50*0.2/('I_Inputs &amp; Assumptions'!$B$8/4))),IF('I_Budget Input Data'!$E$50="At Completion",IF(18='I_Inputs &amp; Assumptions'!$B$8,'I_Budget Input Data'!$D$50,0),'I_Budget Input Data'!$D$50/'I_Inputs &amp; Assumptions'!$B$8)))))),0)</f>
        <v>0</v>
      </c>
      <c r="U50" s="91">
        <f>IF(19&lt;='I_Inputs &amp; Assumptions'!$B$8,IF('I_Budget Input Data'!$E$50="Upfront",IF(19=1,'I_Budget Input Data'!$D$50,0),IF('I_Budget Input Data'!$E$50="Equal",'I_Budget Input Data'!$D$50/'I_Inputs &amp; Assumptions'!$B$8,IF('I_Budget Input Data'!$E$50="Front-loaded",IF(19&lt;='I_Inputs &amp; Assumptions'!$B$8/2,'I_Budget Input Data'!$D$50*0.6/('I_Inputs &amp; Assumptions'!$B$8/2),'I_Budget Input Data'!$D$50*0.4/('I_Inputs &amp; Assumptions'!$B$8/2)),IF('I_Budget Input Data'!$E$50="Back-loaded",IF(19&lt;='I_Inputs &amp; Assumptions'!$B$8/2,'I_Budget Input Data'!$D$50*0.4/('I_Inputs &amp; Assumptions'!$B$8/2),'I_Budget Input Data'!$D$50*0.6/('I_Inputs &amp; Assumptions'!$B$8/2)),IF('I_Budget Input Data'!$E$50="Mid-weighted",IF(19&lt;='I_Inputs &amp; Assumptions'!$B$8/4,'I_Budget Input Data'!$D$50*0.2/('I_Inputs &amp; Assumptions'!$B$8/4),IF(19&lt;='I_Inputs &amp; Assumptions'!$B$8*0.75,'I_Budget Input Data'!$D$50*0.6/('I_Inputs &amp; Assumptions'!$B$8/2),'I_Budget Input Data'!$D$50*0.2/('I_Inputs &amp; Assumptions'!$B$8/4))),IF('I_Budget Input Data'!$E$50="At Completion",IF(19='I_Inputs &amp; Assumptions'!$B$8,'I_Budget Input Data'!$D$50,0),'I_Budget Input Data'!$D$50/'I_Inputs &amp; Assumptions'!$B$8)))))),0)</f>
        <v>0</v>
      </c>
      <c r="V50" s="91">
        <f>IF(20&lt;='I_Inputs &amp; Assumptions'!$B$8,IF('I_Budget Input Data'!$E$50="Upfront",IF(20=1,'I_Budget Input Data'!$D$50,0),IF('I_Budget Input Data'!$E$50="Equal",'I_Budget Input Data'!$D$50/'I_Inputs &amp; Assumptions'!$B$8,IF('I_Budget Input Data'!$E$50="Front-loaded",IF(20&lt;='I_Inputs &amp; Assumptions'!$B$8/2,'I_Budget Input Data'!$D$50*0.6/('I_Inputs &amp; Assumptions'!$B$8/2),'I_Budget Input Data'!$D$50*0.4/('I_Inputs &amp; Assumptions'!$B$8/2)),IF('I_Budget Input Data'!$E$50="Back-loaded",IF(20&lt;='I_Inputs &amp; Assumptions'!$B$8/2,'I_Budget Input Data'!$D$50*0.4/('I_Inputs &amp; Assumptions'!$B$8/2),'I_Budget Input Data'!$D$50*0.6/('I_Inputs &amp; Assumptions'!$B$8/2)),IF('I_Budget Input Data'!$E$50="Mid-weighted",IF(20&lt;='I_Inputs &amp; Assumptions'!$B$8/4,'I_Budget Input Data'!$D$50*0.2/('I_Inputs &amp; Assumptions'!$B$8/4),IF(20&lt;='I_Inputs &amp; Assumptions'!$B$8*0.75,'I_Budget Input Data'!$D$50*0.6/('I_Inputs &amp; Assumptions'!$B$8/2),'I_Budget Input Data'!$D$50*0.2/('I_Inputs &amp; Assumptions'!$B$8/4))),IF('I_Budget Input Data'!$E$50="At Completion",IF(20='I_Inputs &amp; Assumptions'!$B$8,'I_Budget Input Data'!$D$50,0),'I_Budget Input Data'!$D$50/'I_Inputs &amp; Assumptions'!$B$8)))))),0)</f>
        <v>0</v>
      </c>
      <c r="W50" s="91">
        <f>IF(21&lt;='I_Inputs &amp; Assumptions'!$B$8,IF('I_Budget Input Data'!$E$50="Upfront",IF(21=1,'I_Budget Input Data'!$D$50,0),IF('I_Budget Input Data'!$E$50="Equal",'I_Budget Input Data'!$D$50/'I_Inputs &amp; Assumptions'!$B$8,IF('I_Budget Input Data'!$E$50="Front-loaded",IF(21&lt;='I_Inputs &amp; Assumptions'!$B$8/2,'I_Budget Input Data'!$D$50*0.6/('I_Inputs &amp; Assumptions'!$B$8/2),'I_Budget Input Data'!$D$50*0.4/('I_Inputs &amp; Assumptions'!$B$8/2)),IF('I_Budget Input Data'!$E$50="Back-loaded",IF(21&lt;='I_Inputs &amp; Assumptions'!$B$8/2,'I_Budget Input Data'!$D$50*0.4/('I_Inputs &amp; Assumptions'!$B$8/2),'I_Budget Input Data'!$D$50*0.6/('I_Inputs &amp; Assumptions'!$B$8/2)),IF('I_Budget Input Data'!$E$50="Mid-weighted",IF(21&lt;='I_Inputs &amp; Assumptions'!$B$8/4,'I_Budget Input Data'!$D$50*0.2/('I_Inputs &amp; Assumptions'!$B$8/4),IF(21&lt;='I_Inputs &amp; Assumptions'!$B$8*0.75,'I_Budget Input Data'!$D$50*0.6/('I_Inputs &amp; Assumptions'!$B$8/2),'I_Budget Input Data'!$D$50*0.2/('I_Inputs &amp; Assumptions'!$B$8/4))),IF('I_Budget Input Data'!$E$50="At Completion",IF(21='I_Inputs &amp; Assumptions'!$B$8,'I_Budget Input Data'!$D$50,0),'I_Budget Input Data'!$D$50/'I_Inputs &amp; Assumptions'!$B$8)))))),0)</f>
        <v>0</v>
      </c>
      <c r="X50" s="91">
        <f>IF(22&lt;='I_Inputs &amp; Assumptions'!$B$8,IF('I_Budget Input Data'!$E$50="Upfront",IF(22=1,'I_Budget Input Data'!$D$50,0),IF('I_Budget Input Data'!$E$50="Equal",'I_Budget Input Data'!$D$50/'I_Inputs &amp; Assumptions'!$B$8,IF('I_Budget Input Data'!$E$50="Front-loaded",IF(22&lt;='I_Inputs &amp; Assumptions'!$B$8/2,'I_Budget Input Data'!$D$50*0.6/('I_Inputs &amp; Assumptions'!$B$8/2),'I_Budget Input Data'!$D$50*0.4/('I_Inputs &amp; Assumptions'!$B$8/2)),IF('I_Budget Input Data'!$E$50="Back-loaded",IF(22&lt;='I_Inputs &amp; Assumptions'!$B$8/2,'I_Budget Input Data'!$D$50*0.4/('I_Inputs &amp; Assumptions'!$B$8/2),'I_Budget Input Data'!$D$50*0.6/('I_Inputs &amp; Assumptions'!$B$8/2)),IF('I_Budget Input Data'!$E$50="Mid-weighted",IF(22&lt;='I_Inputs &amp; Assumptions'!$B$8/4,'I_Budget Input Data'!$D$50*0.2/('I_Inputs &amp; Assumptions'!$B$8/4),IF(22&lt;='I_Inputs &amp; Assumptions'!$B$8*0.75,'I_Budget Input Data'!$D$50*0.6/('I_Inputs &amp; Assumptions'!$B$8/2),'I_Budget Input Data'!$D$50*0.2/('I_Inputs &amp; Assumptions'!$B$8/4))),IF('I_Budget Input Data'!$E$50="At Completion",IF(22='I_Inputs &amp; Assumptions'!$B$8,'I_Budget Input Data'!$D$50,0),'I_Budget Input Data'!$D$50/'I_Inputs &amp; Assumptions'!$B$8)))))),0)</f>
        <v>0</v>
      </c>
      <c r="Y50" s="91">
        <f>IF(23&lt;='I_Inputs &amp; Assumptions'!$B$8,IF('I_Budget Input Data'!$E$50="Upfront",IF(23=1,'I_Budget Input Data'!$D$50,0),IF('I_Budget Input Data'!$E$50="Equal",'I_Budget Input Data'!$D$50/'I_Inputs &amp; Assumptions'!$B$8,IF('I_Budget Input Data'!$E$50="Front-loaded",IF(23&lt;='I_Inputs &amp; Assumptions'!$B$8/2,'I_Budget Input Data'!$D$50*0.6/('I_Inputs &amp; Assumptions'!$B$8/2),'I_Budget Input Data'!$D$50*0.4/('I_Inputs &amp; Assumptions'!$B$8/2)),IF('I_Budget Input Data'!$E$50="Back-loaded",IF(23&lt;='I_Inputs &amp; Assumptions'!$B$8/2,'I_Budget Input Data'!$D$50*0.4/('I_Inputs &amp; Assumptions'!$B$8/2),'I_Budget Input Data'!$D$50*0.6/('I_Inputs &amp; Assumptions'!$B$8/2)),IF('I_Budget Input Data'!$E$50="Mid-weighted",IF(23&lt;='I_Inputs &amp; Assumptions'!$B$8/4,'I_Budget Input Data'!$D$50*0.2/('I_Inputs &amp; Assumptions'!$B$8/4),IF(23&lt;='I_Inputs &amp; Assumptions'!$B$8*0.75,'I_Budget Input Data'!$D$50*0.6/('I_Inputs &amp; Assumptions'!$B$8/2),'I_Budget Input Data'!$D$50*0.2/('I_Inputs &amp; Assumptions'!$B$8/4))),IF('I_Budget Input Data'!$E$50="At Completion",IF(23='I_Inputs &amp; Assumptions'!$B$8,'I_Budget Input Data'!$D$50,0),'I_Budget Input Data'!$D$50/'I_Inputs &amp; Assumptions'!$B$8)))))),0)</f>
        <v>0</v>
      </c>
      <c r="Z50" s="91">
        <f>IF(24&lt;='I_Inputs &amp; Assumptions'!$B$8,IF('I_Budget Input Data'!$E$50="Upfront",IF(24=1,'I_Budget Input Data'!$D$50,0),IF('I_Budget Input Data'!$E$50="Equal",'I_Budget Input Data'!$D$50/'I_Inputs &amp; Assumptions'!$B$8,IF('I_Budget Input Data'!$E$50="Front-loaded",IF(24&lt;='I_Inputs &amp; Assumptions'!$B$8/2,'I_Budget Input Data'!$D$50*0.6/('I_Inputs &amp; Assumptions'!$B$8/2),'I_Budget Input Data'!$D$50*0.4/('I_Inputs &amp; Assumptions'!$B$8/2)),IF('I_Budget Input Data'!$E$50="Back-loaded",IF(24&lt;='I_Inputs &amp; Assumptions'!$B$8/2,'I_Budget Input Data'!$D$50*0.4/('I_Inputs &amp; Assumptions'!$B$8/2),'I_Budget Input Data'!$D$50*0.6/('I_Inputs &amp; Assumptions'!$B$8/2)),IF('I_Budget Input Data'!$E$50="Mid-weighted",IF(24&lt;='I_Inputs &amp; Assumptions'!$B$8/4,'I_Budget Input Data'!$D$50*0.2/('I_Inputs &amp; Assumptions'!$B$8/4),IF(24&lt;='I_Inputs &amp; Assumptions'!$B$8*0.75,'I_Budget Input Data'!$D$50*0.6/('I_Inputs &amp; Assumptions'!$B$8/2),'I_Budget Input Data'!$D$50*0.2/('I_Inputs &amp; Assumptions'!$B$8/4))),IF('I_Budget Input Data'!$E$50="At Completion",IF(24='I_Inputs &amp; Assumptions'!$B$8,'I_Budget Input Data'!$D$50,0),'I_Budget Input Data'!$D$50/'I_Inputs &amp; Assumptions'!$B$8)))))),0)</f>
        <v>0</v>
      </c>
      <c r="AA50" s="91">
        <f>IF(25&lt;='I_Inputs &amp; Assumptions'!$B$8,IF('I_Budget Input Data'!$E$50="Upfront",IF(25=1,'I_Budget Input Data'!$D$50,0),IF('I_Budget Input Data'!$E$50="Equal",'I_Budget Input Data'!$D$50/'I_Inputs &amp; Assumptions'!$B$8,IF('I_Budget Input Data'!$E$50="Front-loaded",IF(25&lt;='I_Inputs &amp; Assumptions'!$B$8/2,'I_Budget Input Data'!$D$50*0.6/('I_Inputs &amp; Assumptions'!$B$8/2),'I_Budget Input Data'!$D$50*0.4/('I_Inputs &amp; Assumptions'!$B$8/2)),IF('I_Budget Input Data'!$E$50="Back-loaded",IF(25&lt;='I_Inputs &amp; Assumptions'!$B$8/2,'I_Budget Input Data'!$D$50*0.4/('I_Inputs &amp; Assumptions'!$B$8/2),'I_Budget Input Data'!$D$50*0.6/('I_Inputs &amp; Assumptions'!$B$8/2)),IF('I_Budget Input Data'!$E$50="Mid-weighted",IF(25&lt;='I_Inputs &amp; Assumptions'!$B$8/4,'I_Budget Input Data'!$D$50*0.2/('I_Inputs &amp; Assumptions'!$B$8/4),IF(25&lt;='I_Inputs &amp; Assumptions'!$B$8*0.75,'I_Budget Input Data'!$D$50*0.6/('I_Inputs &amp; Assumptions'!$B$8/2),'I_Budget Input Data'!$D$50*0.2/('I_Inputs &amp; Assumptions'!$B$8/4))),IF('I_Budget Input Data'!$E$50="At Completion",IF(25='I_Inputs &amp; Assumptions'!$B$8,'I_Budget Input Data'!$D$50,0),'I_Budget Input Data'!$D$50/'I_Inputs &amp; Assumptions'!$B$8)))))),0)</f>
        <v>0</v>
      </c>
      <c r="AB50" s="91">
        <f>IF(26&lt;='I_Inputs &amp; Assumptions'!$B$8,IF('I_Budget Input Data'!$E$50="Upfront",IF(26=1,'I_Budget Input Data'!$D$50,0),IF('I_Budget Input Data'!$E$50="Equal",'I_Budget Input Data'!$D$50/'I_Inputs &amp; Assumptions'!$B$8,IF('I_Budget Input Data'!$E$50="Front-loaded",IF(26&lt;='I_Inputs &amp; Assumptions'!$B$8/2,'I_Budget Input Data'!$D$50*0.6/('I_Inputs &amp; Assumptions'!$B$8/2),'I_Budget Input Data'!$D$50*0.4/('I_Inputs &amp; Assumptions'!$B$8/2)),IF('I_Budget Input Data'!$E$50="Back-loaded",IF(26&lt;='I_Inputs &amp; Assumptions'!$B$8/2,'I_Budget Input Data'!$D$50*0.4/('I_Inputs &amp; Assumptions'!$B$8/2),'I_Budget Input Data'!$D$50*0.6/('I_Inputs &amp; Assumptions'!$B$8/2)),IF('I_Budget Input Data'!$E$50="Mid-weighted",IF(26&lt;='I_Inputs &amp; Assumptions'!$B$8/4,'I_Budget Input Data'!$D$50*0.2/('I_Inputs &amp; Assumptions'!$B$8/4),IF(26&lt;='I_Inputs &amp; Assumptions'!$B$8*0.75,'I_Budget Input Data'!$D$50*0.6/('I_Inputs &amp; Assumptions'!$B$8/2),'I_Budget Input Data'!$D$50*0.2/('I_Inputs &amp; Assumptions'!$B$8/4))),IF('I_Budget Input Data'!$E$50="At Completion",IF(26='I_Inputs &amp; Assumptions'!$B$8,'I_Budget Input Data'!$D$50,0),'I_Budget Input Data'!$D$50/'I_Inputs &amp; Assumptions'!$B$8)))))),0)</f>
        <v>0</v>
      </c>
      <c r="AC50" s="91">
        <f>IF(27&lt;='I_Inputs &amp; Assumptions'!$B$8,IF('I_Budget Input Data'!$E$50="Upfront",IF(27=1,'I_Budget Input Data'!$D$50,0),IF('I_Budget Input Data'!$E$50="Equal",'I_Budget Input Data'!$D$50/'I_Inputs &amp; Assumptions'!$B$8,IF('I_Budget Input Data'!$E$50="Front-loaded",IF(27&lt;='I_Inputs &amp; Assumptions'!$B$8/2,'I_Budget Input Data'!$D$50*0.6/('I_Inputs &amp; Assumptions'!$B$8/2),'I_Budget Input Data'!$D$50*0.4/('I_Inputs &amp; Assumptions'!$B$8/2)),IF('I_Budget Input Data'!$E$50="Back-loaded",IF(27&lt;='I_Inputs &amp; Assumptions'!$B$8/2,'I_Budget Input Data'!$D$50*0.4/('I_Inputs &amp; Assumptions'!$B$8/2),'I_Budget Input Data'!$D$50*0.6/('I_Inputs &amp; Assumptions'!$B$8/2)),IF('I_Budget Input Data'!$E$50="Mid-weighted",IF(27&lt;='I_Inputs &amp; Assumptions'!$B$8/4,'I_Budget Input Data'!$D$50*0.2/('I_Inputs &amp; Assumptions'!$B$8/4),IF(27&lt;='I_Inputs &amp; Assumptions'!$B$8*0.75,'I_Budget Input Data'!$D$50*0.6/('I_Inputs &amp; Assumptions'!$B$8/2),'I_Budget Input Data'!$D$50*0.2/('I_Inputs &amp; Assumptions'!$B$8/4))),IF('I_Budget Input Data'!$E$50="At Completion",IF(27='I_Inputs &amp; Assumptions'!$B$8,'I_Budget Input Data'!$D$50,0),'I_Budget Input Data'!$D$50/'I_Inputs &amp; Assumptions'!$B$8)))))),0)</f>
        <v>0</v>
      </c>
      <c r="AD50" s="91">
        <f>IF(28&lt;='I_Inputs &amp; Assumptions'!$B$8,IF('I_Budget Input Data'!$E$50="Upfront",IF(28=1,'I_Budget Input Data'!$D$50,0),IF('I_Budget Input Data'!$E$50="Equal",'I_Budget Input Data'!$D$50/'I_Inputs &amp; Assumptions'!$B$8,IF('I_Budget Input Data'!$E$50="Front-loaded",IF(28&lt;='I_Inputs &amp; Assumptions'!$B$8/2,'I_Budget Input Data'!$D$50*0.6/('I_Inputs &amp; Assumptions'!$B$8/2),'I_Budget Input Data'!$D$50*0.4/('I_Inputs &amp; Assumptions'!$B$8/2)),IF('I_Budget Input Data'!$E$50="Back-loaded",IF(28&lt;='I_Inputs &amp; Assumptions'!$B$8/2,'I_Budget Input Data'!$D$50*0.4/('I_Inputs &amp; Assumptions'!$B$8/2),'I_Budget Input Data'!$D$50*0.6/('I_Inputs &amp; Assumptions'!$B$8/2)),IF('I_Budget Input Data'!$E$50="Mid-weighted",IF(28&lt;='I_Inputs &amp; Assumptions'!$B$8/4,'I_Budget Input Data'!$D$50*0.2/('I_Inputs &amp; Assumptions'!$B$8/4),IF(28&lt;='I_Inputs &amp; Assumptions'!$B$8*0.75,'I_Budget Input Data'!$D$50*0.6/('I_Inputs &amp; Assumptions'!$B$8/2),'I_Budget Input Data'!$D$50*0.2/('I_Inputs &amp; Assumptions'!$B$8/4))),IF('I_Budget Input Data'!$E$50="At Completion",IF(28='I_Inputs &amp; Assumptions'!$B$8,'I_Budget Input Data'!$D$50,0),'I_Budget Input Data'!$D$50/'I_Inputs &amp; Assumptions'!$B$8)))))),0)</f>
        <v>0</v>
      </c>
      <c r="AE50" s="91">
        <f>IF(29&lt;='I_Inputs &amp; Assumptions'!$B$8,IF('I_Budget Input Data'!$E$50="Upfront",IF(29=1,'I_Budget Input Data'!$D$50,0),IF('I_Budget Input Data'!$E$50="Equal",'I_Budget Input Data'!$D$50/'I_Inputs &amp; Assumptions'!$B$8,IF('I_Budget Input Data'!$E$50="Front-loaded",IF(29&lt;='I_Inputs &amp; Assumptions'!$B$8/2,'I_Budget Input Data'!$D$50*0.6/('I_Inputs &amp; Assumptions'!$B$8/2),'I_Budget Input Data'!$D$50*0.4/('I_Inputs &amp; Assumptions'!$B$8/2)),IF('I_Budget Input Data'!$E$50="Back-loaded",IF(29&lt;='I_Inputs &amp; Assumptions'!$B$8/2,'I_Budget Input Data'!$D$50*0.4/('I_Inputs &amp; Assumptions'!$B$8/2),'I_Budget Input Data'!$D$50*0.6/('I_Inputs &amp; Assumptions'!$B$8/2)),IF('I_Budget Input Data'!$E$50="Mid-weighted",IF(29&lt;='I_Inputs &amp; Assumptions'!$B$8/4,'I_Budget Input Data'!$D$50*0.2/('I_Inputs &amp; Assumptions'!$B$8/4),IF(29&lt;='I_Inputs &amp; Assumptions'!$B$8*0.75,'I_Budget Input Data'!$D$50*0.6/('I_Inputs &amp; Assumptions'!$B$8/2),'I_Budget Input Data'!$D$50*0.2/('I_Inputs &amp; Assumptions'!$B$8/4))),IF('I_Budget Input Data'!$E$50="At Completion",IF(29='I_Inputs &amp; Assumptions'!$B$8,'I_Budget Input Data'!$D$50,0),'I_Budget Input Data'!$D$50/'I_Inputs &amp; Assumptions'!$B$8)))))),0)</f>
        <v>0</v>
      </c>
      <c r="AF50" s="91">
        <f>IF(30&lt;='I_Inputs &amp; Assumptions'!$B$8,IF('I_Budget Input Data'!$E$50="Upfront",IF(30=1,'I_Budget Input Data'!$D$50,0),IF('I_Budget Input Data'!$E$50="Equal",'I_Budget Input Data'!$D$50/'I_Inputs &amp; Assumptions'!$B$8,IF('I_Budget Input Data'!$E$50="Front-loaded",IF(30&lt;='I_Inputs &amp; Assumptions'!$B$8/2,'I_Budget Input Data'!$D$50*0.6/('I_Inputs &amp; Assumptions'!$B$8/2),'I_Budget Input Data'!$D$50*0.4/('I_Inputs &amp; Assumptions'!$B$8/2)),IF('I_Budget Input Data'!$E$50="Back-loaded",IF(30&lt;='I_Inputs &amp; Assumptions'!$B$8/2,'I_Budget Input Data'!$D$50*0.4/('I_Inputs &amp; Assumptions'!$B$8/2),'I_Budget Input Data'!$D$50*0.6/('I_Inputs &amp; Assumptions'!$B$8/2)),IF('I_Budget Input Data'!$E$50="Mid-weighted",IF(30&lt;='I_Inputs &amp; Assumptions'!$B$8/4,'I_Budget Input Data'!$D$50*0.2/('I_Inputs &amp; Assumptions'!$B$8/4),IF(30&lt;='I_Inputs &amp; Assumptions'!$B$8*0.75,'I_Budget Input Data'!$D$50*0.6/('I_Inputs &amp; Assumptions'!$B$8/2),'I_Budget Input Data'!$D$50*0.2/('I_Inputs &amp; Assumptions'!$B$8/4))),IF('I_Budget Input Data'!$E$50="At Completion",IF(30='I_Inputs &amp; Assumptions'!$B$8,'I_Budget Input Data'!$D$50,0),'I_Budget Input Data'!$D$50/'I_Inputs &amp; Assumptions'!$B$8)))))),0)</f>
        <v>0</v>
      </c>
      <c r="AG50" s="91">
        <f>IF(31&lt;='I_Inputs &amp; Assumptions'!$B$8,IF('I_Budget Input Data'!$E$50="Upfront",IF(31=1,'I_Budget Input Data'!$D$50,0),IF('I_Budget Input Data'!$E$50="Equal",'I_Budget Input Data'!$D$50/'I_Inputs &amp; Assumptions'!$B$8,IF('I_Budget Input Data'!$E$50="Front-loaded",IF(31&lt;='I_Inputs &amp; Assumptions'!$B$8/2,'I_Budget Input Data'!$D$50*0.6/('I_Inputs &amp; Assumptions'!$B$8/2),'I_Budget Input Data'!$D$50*0.4/('I_Inputs &amp; Assumptions'!$B$8/2)),IF('I_Budget Input Data'!$E$50="Back-loaded",IF(31&lt;='I_Inputs &amp; Assumptions'!$B$8/2,'I_Budget Input Data'!$D$50*0.4/('I_Inputs &amp; Assumptions'!$B$8/2),'I_Budget Input Data'!$D$50*0.6/('I_Inputs &amp; Assumptions'!$B$8/2)),IF('I_Budget Input Data'!$E$50="Mid-weighted",IF(31&lt;='I_Inputs &amp; Assumptions'!$B$8/4,'I_Budget Input Data'!$D$50*0.2/('I_Inputs &amp; Assumptions'!$B$8/4),IF(31&lt;='I_Inputs &amp; Assumptions'!$B$8*0.75,'I_Budget Input Data'!$D$50*0.6/('I_Inputs &amp; Assumptions'!$B$8/2),'I_Budget Input Data'!$D$50*0.2/('I_Inputs &amp; Assumptions'!$B$8/4))),IF('I_Budget Input Data'!$E$50="At Completion",IF(31='I_Inputs &amp; Assumptions'!$B$8,'I_Budget Input Data'!$D$50,0),'I_Budget Input Data'!$D$50/'I_Inputs &amp; Assumptions'!$B$8)))))),0)</f>
        <v>0</v>
      </c>
      <c r="AH50" s="91">
        <f>IF(32&lt;='I_Inputs &amp; Assumptions'!$B$8,IF('I_Budget Input Data'!$E$50="Upfront",IF(32=1,'I_Budget Input Data'!$D$50,0),IF('I_Budget Input Data'!$E$50="Equal",'I_Budget Input Data'!$D$50/'I_Inputs &amp; Assumptions'!$B$8,IF('I_Budget Input Data'!$E$50="Front-loaded",IF(32&lt;='I_Inputs &amp; Assumptions'!$B$8/2,'I_Budget Input Data'!$D$50*0.6/('I_Inputs &amp; Assumptions'!$B$8/2),'I_Budget Input Data'!$D$50*0.4/('I_Inputs &amp; Assumptions'!$B$8/2)),IF('I_Budget Input Data'!$E$50="Back-loaded",IF(32&lt;='I_Inputs &amp; Assumptions'!$B$8/2,'I_Budget Input Data'!$D$50*0.4/('I_Inputs &amp; Assumptions'!$B$8/2),'I_Budget Input Data'!$D$50*0.6/('I_Inputs &amp; Assumptions'!$B$8/2)),IF('I_Budget Input Data'!$E$50="Mid-weighted",IF(32&lt;='I_Inputs &amp; Assumptions'!$B$8/4,'I_Budget Input Data'!$D$50*0.2/('I_Inputs &amp; Assumptions'!$B$8/4),IF(32&lt;='I_Inputs &amp; Assumptions'!$B$8*0.75,'I_Budget Input Data'!$D$50*0.6/('I_Inputs &amp; Assumptions'!$B$8/2),'I_Budget Input Data'!$D$50*0.2/('I_Inputs &amp; Assumptions'!$B$8/4))),IF('I_Budget Input Data'!$E$50="At Completion",IF(32='I_Inputs &amp; Assumptions'!$B$8,'I_Budget Input Data'!$D$50,0),'I_Budget Input Data'!$D$50/'I_Inputs &amp; Assumptions'!$B$8)))))),0)</f>
        <v>0</v>
      </c>
      <c r="AI50" s="91">
        <f>IF(33&lt;='I_Inputs &amp; Assumptions'!$B$8,IF('I_Budget Input Data'!$E$50="Upfront",IF(33=1,'I_Budget Input Data'!$D$50,0),IF('I_Budget Input Data'!$E$50="Equal",'I_Budget Input Data'!$D$50/'I_Inputs &amp; Assumptions'!$B$8,IF('I_Budget Input Data'!$E$50="Front-loaded",IF(33&lt;='I_Inputs &amp; Assumptions'!$B$8/2,'I_Budget Input Data'!$D$50*0.6/('I_Inputs &amp; Assumptions'!$B$8/2),'I_Budget Input Data'!$D$50*0.4/('I_Inputs &amp; Assumptions'!$B$8/2)),IF('I_Budget Input Data'!$E$50="Back-loaded",IF(33&lt;='I_Inputs &amp; Assumptions'!$B$8/2,'I_Budget Input Data'!$D$50*0.4/('I_Inputs &amp; Assumptions'!$B$8/2),'I_Budget Input Data'!$D$50*0.6/('I_Inputs &amp; Assumptions'!$B$8/2)),IF('I_Budget Input Data'!$E$50="Mid-weighted",IF(33&lt;='I_Inputs &amp; Assumptions'!$B$8/4,'I_Budget Input Data'!$D$50*0.2/('I_Inputs &amp; Assumptions'!$B$8/4),IF(33&lt;='I_Inputs &amp; Assumptions'!$B$8*0.75,'I_Budget Input Data'!$D$50*0.6/('I_Inputs &amp; Assumptions'!$B$8/2),'I_Budget Input Data'!$D$50*0.2/('I_Inputs &amp; Assumptions'!$B$8/4))),IF('I_Budget Input Data'!$E$50="At Completion",IF(33='I_Inputs &amp; Assumptions'!$B$8,'I_Budget Input Data'!$D$50,0),'I_Budget Input Data'!$D$50/'I_Inputs &amp; Assumptions'!$B$8)))))),0)</f>
        <v>0</v>
      </c>
      <c r="AJ50" s="91">
        <f>IF(34&lt;='I_Inputs &amp; Assumptions'!$B$8,IF('I_Budget Input Data'!$E$50="Upfront",IF(34=1,'I_Budget Input Data'!$D$50,0),IF('I_Budget Input Data'!$E$50="Equal",'I_Budget Input Data'!$D$50/'I_Inputs &amp; Assumptions'!$B$8,IF('I_Budget Input Data'!$E$50="Front-loaded",IF(34&lt;='I_Inputs &amp; Assumptions'!$B$8/2,'I_Budget Input Data'!$D$50*0.6/('I_Inputs &amp; Assumptions'!$B$8/2),'I_Budget Input Data'!$D$50*0.4/('I_Inputs &amp; Assumptions'!$B$8/2)),IF('I_Budget Input Data'!$E$50="Back-loaded",IF(34&lt;='I_Inputs &amp; Assumptions'!$B$8/2,'I_Budget Input Data'!$D$50*0.4/('I_Inputs &amp; Assumptions'!$B$8/2),'I_Budget Input Data'!$D$50*0.6/('I_Inputs &amp; Assumptions'!$B$8/2)),IF('I_Budget Input Data'!$E$50="Mid-weighted",IF(34&lt;='I_Inputs &amp; Assumptions'!$B$8/4,'I_Budget Input Data'!$D$50*0.2/('I_Inputs &amp; Assumptions'!$B$8/4),IF(34&lt;='I_Inputs &amp; Assumptions'!$B$8*0.75,'I_Budget Input Data'!$D$50*0.6/('I_Inputs &amp; Assumptions'!$B$8/2),'I_Budget Input Data'!$D$50*0.2/('I_Inputs &amp; Assumptions'!$B$8/4))),IF('I_Budget Input Data'!$E$50="At Completion",IF(34='I_Inputs &amp; Assumptions'!$B$8,'I_Budget Input Data'!$D$50,0),'I_Budget Input Data'!$D$50/'I_Inputs &amp; Assumptions'!$B$8)))))),0)</f>
        <v>0</v>
      </c>
      <c r="AK50" s="91">
        <f>IF(35&lt;='I_Inputs &amp; Assumptions'!$B$8,IF('I_Budget Input Data'!$E$50="Upfront",IF(35=1,'I_Budget Input Data'!$D$50,0),IF('I_Budget Input Data'!$E$50="Equal",'I_Budget Input Data'!$D$50/'I_Inputs &amp; Assumptions'!$B$8,IF('I_Budget Input Data'!$E$50="Front-loaded",IF(35&lt;='I_Inputs &amp; Assumptions'!$B$8/2,'I_Budget Input Data'!$D$50*0.6/('I_Inputs &amp; Assumptions'!$B$8/2),'I_Budget Input Data'!$D$50*0.4/('I_Inputs &amp; Assumptions'!$B$8/2)),IF('I_Budget Input Data'!$E$50="Back-loaded",IF(35&lt;='I_Inputs &amp; Assumptions'!$B$8/2,'I_Budget Input Data'!$D$50*0.4/('I_Inputs &amp; Assumptions'!$B$8/2),'I_Budget Input Data'!$D$50*0.6/('I_Inputs &amp; Assumptions'!$B$8/2)),IF('I_Budget Input Data'!$E$50="Mid-weighted",IF(35&lt;='I_Inputs &amp; Assumptions'!$B$8/4,'I_Budget Input Data'!$D$50*0.2/('I_Inputs &amp; Assumptions'!$B$8/4),IF(35&lt;='I_Inputs &amp; Assumptions'!$B$8*0.75,'I_Budget Input Data'!$D$50*0.6/('I_Inputs &amp; Assumptions'!$B$8/2),'I_Budget Input Data'!$D$50*0.2/('I_Inputs &amp; Assumptions'!$B$8/4))),IF('I_Budget Input Data'!$E$50="At Completion",IF(35='I_Inputs &amp; Assumptions'!$B$8,'I_Budget Input Data'!$D$50,0),'I_Budget Input Data'!$D$50/'I_Inputs &amp; Assumptions'!$B$8)))))),0)</f>
        <v>0</v>
      </c>
      <c r="AL50" s="91">
        <f>IF(36&lt;='I_Inputs &amp; Assumptions'!$B$8,IF('I_Budget Input Data'!$E$50="Upfront",IF(36=1,'I_Budget Input Data'!$D$50,0),IF('I_Budget Input Data'!$E$50="Equal",'I_Budget Input Data'!$D$50/'I_Inputs &amp; Assumptions'!$B$8,IF('I_Budget Input Data'!$E$50="Front-loaded",IF(36&lt;='I_Inputs &amp; Assumptions'!$B$8/2,'I_Budget Input Data'!$D$50*0.6/('I_Inputs &amp; Assumptions'!$B$8/2),'I_Budget Input Data'!$D$50*0.4/('I_Inputs &amp; Assumptions'!$B$8/2)),IF('I_Budget Input Data'!$E$50="Back-loaded",IF(36&lt;='I_Inputs &amp; Assumptions'!$B$8/2,'I_Budget Input Data'!$D$50*0.4/('I_Inputs &amp; Assumptions'!$B$8/2),'I_Budget Input Data'!$D$50*0.6/('I_Inputs &amp; Assumptions'!$B$8/2)),IF('I_Budget Input Data'!$E$50="Mid-weighted",IF(36&lt;='I_Inputs &amp; Assumptions'!$B$8/4,'I_Budget Input Data'!$D$50*0.2/('I_Inputs &amp; Assumptions'!$B$8/4),IF(36&lt;='I_Inputs &amp; Assumptions'!$B$8*0.75,'I_Budget Input Data'!$D$50*0.6/('I_Inputs &amp; Assumptions'!$B$8/2),'I_Budget Input Data'!$D$50*0.2/('I_Inputs &amp; Assumptions'!$B$8/4))),IF('I_Budget Input Data'!$E$50="At Completion",IF(36='I_Inputs &amp; Assumptions'!$B$8,'I_Budget Input Data'!$D$50,0),'I_Budget Input Data'!$D$50/'I_Inputs &amp; Assumptions'!$B$8)))))),0)</f>
        <v>0</v>
      </c>
    </row>
    <row r="51" spans="1:38" ht="15" customHeight="1" x14ac:dyDescent="0.2">
      <c r="A51" t="s">
        <v>146</v>
      </c>
      <c r="B51" t="s">
        <v>172</v>
      </c>
      <c r="C51" s="91">
        <v>0</v>
      </c>
      <c r="D51" s="91">
        <v>0</v>
      </c>
      <c r="E51" s="91">
        <v>0</v>
      </c>
      <c r="F51" s="91">
        <v>0</v>
      </c>
      <c r="G51" s="91">
        <v>0</v>
      </c>
      <c r="H51" s="91">
        <v>0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0</v>
      </c>
      <c r="AC51" s="91">
        <v>0</v>
      </c>
      <c r="AD51" s="91">
        <v>0</v>
      </c>
      <c r="AE51" s="91">
        <v>0</v>
      </c>
      <c r="AF51" s="91">
        <v>0</v>
      </c>
      <c r="AG51" s="91">
        <v>0</v>
      </c>
      <c r="AH51" s="91">
        <v>0</v>
      </c>
      <c r="AI51" s="91">
        <v>0</v>
      </c>
      <c r="AJ51" s="91">
        <v>0</v>
      </c>
      <c r="AK51" s="91">
        <v>0</v>
      </c>
      <c r="AL51" s="91">
        <v>0</v>
      </c>
    </row>
    <row r="52" spans="1:38" ht="15" customHeight="1" x14ac:dyDescent="0.2">
      <c r="A52" t="s">
        <v>146</v>
      </c>
      <c r="B52" t="s">
        <v>173</v>
      </c>
      <c r="C52" s="91">
        <f>IF(1&lt;='I_Inputs &amp; Assumptions'!$B$8,IF('I_Budget Input Data'!$E$52="Upfront",IF(1=1,'I_Budget Input Data'!$D$52,0),IF('I_Budget Input Data'!$E$52="Equal",'I_Budget Input Data'!$D$52/'I_Inputs &amp; Assumptions'!$B$8,IF('I_Budget Input Data'!$E$52="Front-loaded",IF(1&lt;='I_Inputs &amp; Assumptions'!$B$8/2,'I_Budget Input Data'!$D$52*0.6/('I_Inputs &amp; Assumptions'!$B$8/2),'I_Budget Input Data'!$D$52*0.4/('I_Inputs &amp; Assumptions'!$B$8/2)),IF('I_Budget Input Data'!$E$52="Back-loaded",IF(1&lt;='I_Inputs &amp; Assumptions'!$B$8/2,'I_Budget Input Data'!$D$52*0.4/('I_Inputs &amp; Assumptions'!$B$8/2),'I_Budget Input Data'!$D$52*0.6/('I_Inputs &amp; Assumptions'!$B$8/2)),IF('I_Budget Input Data'!$E$52="Mid-weighted",IF(1&lt;='I_Inputs &amp; Assumptions'!$B$8/4,'I_Budget Input Data'!$D$52*0.2/('I_Inputs &amp; Assumptions'!$B$8/4),IF(1&lt;='I_Inputs &amp; Assumptions'!$B$8*0.75,'I_Budget Input Data'!$D$52*0.6/('I_Inputs &amp; Assumptions'!$B$8/2),'I_Budget Input Data'!$D$52*0.2/('I_Inputs &amp; Assumptions'!$B$8/4))),IF('I_Budget Input Data'!$E$52="At Completion",IF(1='I_Inputs &amp; Assumptions'!$B$8,'I_Budget Input Data'!$D$52,0),'I_Budget Input Data'!$D$52/'I_Inputs &amp; Assumptions'!$B$8)))))),0)</f>
        <v>500</v>
      </c>
      <c r="D52" s="91">
        <f>IF(2&lt;='I_Inputs &amp; Assumptions'!$B$8,IF('I_Budget Input Data'!$E$52="Upfront",IF(2=1,'I_Budget Input Data'!$D$52,0),IF('I_Budget Input Data'!$E$52="Equal",'I_Budget Input Data'!$D$52/'I_Inputs &amp; Assumptions'!$B$8,IF('I_Budget Input Data'!$E$52="Front-loaded",IF(2&lt;='I_Inputs &amp; Assumptions'!$B$8/2,'I_Budget Input Data'!$D$52*0.6/('I_Inputs &amp; Assumptions'!$B$8/2),'I_Budget Input Data'!$D$52*0.4/('I_Inputs &amp; Assumptions'!$B$8/2)),IF('I_Budget Input Data'!$E$52="Back-loaded",IF(2&lt;='I_Inputs &amp; Assumptions'!$B$8/2,'I_Budget Input Data'!$D$52*0.4/('I_Inputs &amp; Assumptions'!$B$8/2),'I_Budget Input Data'!$D$52*0.6/('I_Inputs &amp; Assumptions'!$B$8/2)),IF('I_Budget Input Data'!$E$52="Mid-weighted",IF(2&lt;='I_Inputs &amp; Assumptions'!$B$8/4,'I_Budget Input Data'!$D$52*0.2/('I_Inputs &amp; Assumptions'!$B$8/4),IF(2&lt;='I_Inputs &amp; Assumptions'!$B$8*0.75,'I_Budget Input Data'!$D$52*0.6/('I_Inputs &amp; Assumptions'!$B$8/2),'I_Budget Input Data'!$D$52*0.2/('I_Inputs &amp; Assumptions'!$B$8/4))),IF('I_Budget Input Data'!$E$52="At Completion",IF(2='I_Inputs &amp; Assumptions'!$B$8,'I_Budget Input Data'!$D$52,0),'I_Budget Input Data'!$D$52/'I_Inputs &amp; Assumptions'!$B$8)))))),0)</f>
        <v>500</v>
      </c>
      <c r="E52" s="91">
        <f>IF(3&lt;='I_Inputs &amp; Assumptions'!$B$8,IF('I_Budget Input Data'!$E$52="Upfront",IF(3=1,'I_Budget Input Data'!$D$52,0),IF('I_Budget Input Data'!$E$52="Equal",'I_Budget Input Data'!$D$52/'I_Inputs &amp; Assumptions'!$B$8,IF('I_Budget Input Data'!$E$52="Front-loaded",IF(3&lt;='I_Inputs &amp; Assumptions'!$B$8/2,'I_Budget Input Data'!$D$52*0.6/('I_Inputs &amp; Assumptions'!$B$8/2),'I_Budget Input Data'!$D$52*0.4/('I_Inputs &amp; Assumptions'!$B$8/2)),IF('I_Budget Input Data'!$E$52="Back-loaded",IF(3&lt;='I_Inputs &amp; Assumptions'!$B$8/2,'I_Budget Input Data'!$D$52*0.4/('I_Inputs &amp; Assumptions'!$B$8/2),'I_Budget Input Data'!$D$52*0.6/('I_Inputs &amp; Assumptions'!$B$8/2)),IF('I_Budget Input Data'!$E$52="Mid-weighted",IF(3&lt;='I_Inputs &amp; Assumptions'!$B$8/4,'I_Budget Input Data'!$D$52*0.2/('I_Inputs &amp; Assumptions'!$B$8/4),IF(3&lt;='I_Inputs &amp; Assumptions'!$B$8*0.75,'I_Budget Input Data'!$D$52*0.6/('I_Inputs &amp; Assumptions'!$B$8/2),'I_Budget Input Data'!$D$52*0.2/('I_Inputs &amp; Assumptions'!$B$8/4))),IF('I_Budget Input Data'!$E$52="At Completion",IF(3='I_Inputs &amp; Assumptions'!$B$8,'I_Budget Input Data'!$D$52,0),'I_Budget Input Data'!$D$52/'I_Inputs &amp; Assumptions'!$B$8)))))),0)</f>
        <v>500</v>
      </c>
      <c r="F52" s="91">
        <f>IF(4&lt;='I_Inputs &amp; Assumptions'!$B$8,IF('I_Budget Input Data'!$E$52="Upfront",IF(4=1,'I_Budget Input Data'!$D$52,0),IF('I_Budget Input Data'!$E$52="Equal",'I_Budget Input Data'!$D$52/'I_Inputs &amp; Assumptions'!$B$8,IF('I_Budget Input Data'!$E$52="Front-loaded",IF(4&lt;='I_Inputs &amp; Assumptions'!$B$8/2,'I_Budget Input Data'!$D$52*0.6/('I_Inputs &amp; Assumptions'!$B$8/2),'I_Budget Input Data'!$D$52*0.4/('I_Inputs &amp; Assumptions'!$B$8/2)),IF('I_Budget Input Data'!$E$52="Back-loaded",IF(4&lt;='I_Inputs &amp; Assumptions'!$B$8/2,'I_Budget Input Data'!$D$52*0.4/('I_Inputs &amp; Assumptions'!$B$8/2),'I_Budget Input Data'!$D$52*0.6/('I_Inputs &amp; Assumptions'!$B$8/2)),IF('I_Budget Input Data'!$E$52="Mid-weighted",IF(4&lt;='I_Inputs &amp; Assumptions'!$B$8/4,'I_Budget Input Data'!$D$52*0.2/('I_Inputs &amp; Assumptions'!$B$8/4),IF(4&lt;='I_Inputs &amp; Assumptions'!$B$8*0.75,'I_Budget Input Data'!$D$52*0.6/('I_Inputs &amp; Assumptions'!$B$8/2),'I_Budget Input Data'!$D$52*0.2/('I_Inputs &amp; Assumptions'!$B$8/4))),IF('I_Budget Input Data'!$E$52="At Completion",IF(4='I_Inputs &amp; Assumptions'!$B$8,'I_Budget Input Data'!$D$52,0),'I_Budget Input Data'!$D$52/'I_Inputs &amp; Assumptions'!$B$8)))))),0)</f>
        <v>500</v>
      </c>
      <c r="G52" s="91">
        <f>IF(5&lt;='I_Inputs &amp; Assumptions'!$B$8,IF('I_Budget Input Data'!$E$52="Upfront",IF(5=1,'I_Budget Input Data'!$D$52,0),IF('I_Budget Input Data'!$E$52="Equal",'I_Budget Input Data'!$D$52/'I_Inputs &amp; Assumptions'!$B$8,IF('I_Budget Input Data'!$E$52="Front-loaded",IF(5&lt;='I_Inputs &amp; Assumptions'!$B$8/2,'I_Budget Input Data'!$D$52*0.6/('I_Inputs &amp; Assumptions'!$B$8/2),'I_Budget Input Data'!$D$52*0.4/('I_Inputs &amp; Assumptions'!$B$8/2)),IF('I_Budget Input Data'!$E$52="Back-loaded",IF(5&lt;='I_Inputs &amp; Assumptions'!$B$8/2,'I_Budget Input Data'!$D$52*0.4/('I_Inputs &amp; Assumptions'!$B$8/2),'I_Budget Input Data'!$D$52*0.6/('I_Inputs &amp; Assumptions'!$B$8/2)),IF('I_Budget Input Data'!$E$52="Mid-weighted",IF(5&lt;='I_Inputs &amp; Assumptions'!$B$8/4,'I_Budget Input Data'!$D$52*0.2/('I_Inputs &amp; Assumptions'!$B$8/4),IF(5&lt;='I_Inputs &amp; Assumptions'!$B$8*0.75,'I_Budget Input Data'!$D$52*0.6/('I_Inputs &amp; Assumptions'!$B$8/2),'I_Budget Input Data'!$D$52*0.2/('I_Inputs &amp; Assumptions'!$B$8/4))),IF('I_Budget Input Data'!$E$52="At Completion",IF(5='I_Inputs &amp; Assumptions'!$B$8,'I_Budget Input Data'!$D$52,0),'I_Budget Input Data'!$D$52/'I_Inputs &amp; Assumptions'!$B$8)))))),0)</f>
        <v>500</v>
      </c>
      <c r="H52" s="91">
        <f>IF(6&lt;='I_Inputs &amp; Assumptions'!$B$8,IF('I_Budget Input Data'!$E$52="Upfront",IF(6=1,'I_Budget Input Data'!$D$52,0),IF('I_Budget Input Data'!$E$52="Equal",'I_Budget Input Data'!$D$52/'I_Inputs &amp; Assumptions'!$B$8,IF('I_Budget Input Data'!$E$52="Front-loaded",IF(6&lt;='I_Inputs &amp; Assumptions'!$B$8/2,'I_Budget Input Data'!$D$52*0.6/('I_Inputs &amp; Assumptions'!$B$8/2),'I_Budget Input Data'!$D$52*0.4/('I_Inputs &amp; Assumptions'!$B$8/2)),IF('I_Budget Input Data'!$E$52="Back-loaded",IF(6&lt;='I_Inputs &amp; Assumptions'!$B$8/2,'I_Budget Input Data'!$D$52*0.4/('I_Inputs &amp; Assumptions'!$B$8/2),'I_Budget Input Data'!$D$52*0.6/('I_Inputs &amp; Assumptions'!$B$8/2)),IF('I_Budget Input Data'!$E$52="Mid-weighted",IF(6&lt;='I_Inputs &amp; Assumptions'!$B$8/4,'I_Budget Input Data'!$D$52*0.2/('I_Inputs &amp; Assumptions'!$B$8/4),IF(6&lt;='I_Inputs &amp; Assumptions'!$B$8*0.75,'I_Budget Input Data'!$D$52*0.6/('I_Inputs &amp; Assumptions'!$B$8/2),'I_Budget Input Data'!$D$52*0.2/('I_Inputs &amp; Assumptions'!$B$8/4))),IF('I_Budget Input Data'!$E$52="At Completion",IF(6='I_Inputs &amp; Assumptions'!$B$8,'I_Budget Input Data'!$D$52,0),'I_Budget Input Data'!$D$52/'I_Inputs &amp; Assumptions'!$B$8)))))),0)</f>
        <v>500</v>
      </c>
      <c r="I52" s="91">
        <f>IF(7&lt;='I_Inputs &amp; Assumptions'!$B$8,IF('I_Budget Input Data'!$E$52="Upfront",IF(7=1,'I_Budget Input Data'!$D$52,0),IF('I_Budget Input Data'!$E$52="Equal",'I_Budget Input Data'!$D$52/'I_Inputs &amp; Assumptions'!$B$8,IF('I_Budget Input Data'!$E$52="Front-loaded",IF(7&lt;='I_Inputs &amp; Assumptions'!$B$8/2,'I_Budget Input Data'!$D$52*0.6/('I_Inputs &amp; Assumptions'!$B$8/2),'I_Budget Input Data'!$D$52*0.4/('I_Inputs &amp; Assumptions'!$B$8/2)),IF('I_Budget Input Data'!$E$52="Back-loaded",IF(7&lt;='I_Inputs &amp; Assumptions'!$B$8/2,'I_Budget Input Data'!$D$52*0.4/('I_Inputs &amp; Assumptions'!$B$8/2),'I_Budget Input Data'!$D$52*0.6/('I_Inputs &amp; Assumptions'!$B$8/2)),IF('I_Budget Input Data'!$E$52="Mid-weighted",IF(7&lt;='I_Inputs &amp; Assumptions'!$B$8/4,'I_Budget Input Data'!$D$52*0.2/('I_Inputs &amp; Assumptions'!$B$8/4),IF(7&lt;='I_Inputs &amp; Assumptions'!$B$8*0.75,'I_Budget Input Data'!$D$52*0.6/('I_Inputs &amp; Assumptions'!$B$8/2),'I_Budget Input Data'!$D$52*0.2/('I_Inputs &amp; Assumptions'!$B$8/4))),IF('I_Budget Input Data'!$E$52="At Completion",IF(7='I_Inputs &amp; Assumptions'!$B$8,'I_Budget Input Data'!$D$52,0),'I_Budget Input Data'!$D$52/'I_Inputs &amp; Assumptions'!$B$8)))))),0)</f>
        <v>500</v>
      </c>
      <c r="J52" s="91">
        <f>IF(8&lt;='I_Inputs &amp; Assumptions'!$B$8,IF('I_Budget Input Data'!$E$52="Upfront",IF(8=1,'I_Budget Input Data'!$D$52,0),IF('I_Budget Input Data'!$E$52="Equal",'I_Budget Input Data'!$D$52/'I_Inputs &amp; Assumptions'!$B$8,IF('I_Budget Input Data'!$E$52="Front-loaded",IF(8&lt;='I_Inputs &amp; Assumptions'!$B$8/2,'I_Budget Input Data'!$D$52*0.6/('I_Inputs &amp; Assumptions'!$B$8/2),'I_Budget Input Data'!$D$52*0.4/('I_Inputs &amp; Assumptions'!$B$8/2)),IF('I_Budget Input Data'!$E$52="Back-loaded",IF(8&lt;='I_Inputs &amp; Assumptions'!$B$8/2,'I_Budget Input Data'!$D$52*0.4/('I_Inputs &amp; Assumptions'!$B$8/2),'I_Budget Input Data'!$D$52*0.6/('I_Inputs &amp; Assumptions'!$B$8/2)),IF('I_Budget Input Data'!$E$52="Mid-weighted",IF(8&lt;='I_Inputs &amp; Assumptions'!$B$8/4,'I_Budget Input Data'!$D$52*0.2/('I_Inputs &amp; Assumptions'!$B$8/4),IF(8&lt;='I_Inputs &amp; Assumptions'!$B$8*0.75,'I_Budget Input Data'!$D$52*0.6/('I_Inputs &amp; Assumptions'!$B$8/2),'I_Budget Input Data'!$D$52*0.2/('I_Inputs &amp; Assumptions'!$B$8/4))),IF('I_Budget Input Data'!$E$52="At Completion",IF(8='I_Inputs &amp; Assumptions'!$B$8,'I_Budget Input Data'!$D$52,0),'I_Budget Input Data'!$D$52/'I_Inputs &amp; Assumptions'!$B$8)))))),0)</f>
        <v>500</v>
      </c>
      <c r="K52" s="91">
        <f>IF(9&lt;='I_Inputs &amp; Assumptions'!$B$8,IF('I_Budget Input Data'!$E$52="Upfront",IF(9=1,'I_Budget Input Data'!$D$52,0),IF('I_Budget Input Data'!$E$52="Equal",'I_Budget Input Data'!$D$52/'I_Inputs &amp; Assumptions'!$B$8,IF('I_Budget Input Data'!$E$52="Front-loaded",IF(9&lt;='I_Inputs &amp; Assumptions'!$B$8/2,'I_Budget Input Data'!$D$52*0.6/('I_Inputs &amp; Assumptions'!$B$8/2),'I_Budget Input Data'!$D$52*0.4/('I_Inputs &amp; Assumptions'!$B$8/2)),IF('I_Budget Input Data'!$E$52="Back-loaded",IF(9&lt;='I_Inputs &amp; Assumptions'!$B$8/2,'I_Budget Input Data'!$D$52*0.4/('I_Inputs &amp; Assumptions'!$B$8/2),'I_Budget Input Data'!$D$52*0.6/('I_Inputs &amp; Assumptions'!$B$8/2)),IF('I_Budget Input Data'!$E$52="Mid-weighted",IF(9&lt;='I_Inputs &amp; Assumptions'!$B$8/4,'I_Budget Input Data'!$D$52*0.2/('I_Inputs &amp; Assumptions'!$B$8/4),IF(9&lt;='I_Inputs &amp; Assumptions'!$B$8*0.75,'I_Budget Input Data'!$D$52*0.6/('I_Inputs &amp; Assumptions'!$B$8/2),'I_Budget Input Data'!$D$52*0.2/('I_Inputs &amp; Assumptions'!$B$8/4))),IF('I_Budget Input Data'!$E$52="At Completion",IF(9='I_Inputs &amp; Assumptions'!$B$8,'I_Budget Input Data'!$D$52,0),'I_Budget Input Data'!$D$52/'I_Inputs &amp; Assumptions'!$B$8)))))),0)</f>
        <v>500</v>
      </c>
      <c r="L52" s="91">
        <f>IF(10&lt;='I_Inputs &amp; Assumptions'!$B$8,IF('I_Budget Input Data'!$E$52="Upfront",IF(10=1,'I_Budget Input Data'!$D$52,0),IF('I_Budget Input Data'!$E$52="Equal",'I_Budget Input Data'!$D$52/'I_Inputs &amp; Assumptions'!$B$8,IF('I_Budget Input Data'!$E$52="Front-loaded",IF(10&lt;='I_Inputs &amp; Assumptions'!$B$8/2,'I_Budget Input Data'!$D$52*0.6/('I_Inputs &amp; Assumptions'!$B$8/2),'I_Budget Input Data'!$D$52*0.4/('I_Inputs &amp; Assumptions'!$B$8/2)),IF('I_Budget Input Data'!$E$52="Back-loaded",IF(10&lt;='I_Inputs &amp; Assumptions'!$B$8/2,'I_Budget Input Data'!$D$52*0.4/('I_Inputs &amp; Assumptions'!$B$8/2),'I_Budget Input Data'!$D$52*0.6/('I_Inputs &amp; Assumptions'!$B$8/2)),IF('I_Budget Input Data'!$E$52="Mid-weighted",IF(10&lt;='I_Inputs &amp; Assumptions'!$B$8/4,'I_Budget Input Data'!$D$52*0.2/('I_Inputs &amp; Assumptions'!$B$8/4),IF(10&lt;='I_Inputs &amp; Assumptions'!$B$8*0.75,'I_Budget Input Data'!$D$52*0.6/('I_Inputs &amp; Assumptions'!$B$8/2),'I_Budget Input Data'!$D$52*0.2/('I_Inputs &amp; Assumptions'!$B$8/4))),IF('I_Budget Input Data'!$E$52="At Completion",IF(10='I_Inputs &amp; Assumptions'!$B$8,'I_Budget Input Data'!$D$52,0),'I_Budget Input Data'!$D$52/'I_Inputs &amp; Assumptions'!$B$8)))))),0)</f>
        <v>500</v>
      </c>
      <c r="M52" s="91">
        <f>IF(11&lt;='I_Inputs &amp; Assumptions'!$B$8,IF('I_Budget Input Data'!$E$52="Upfront",IF(11=1,'I_Budget Input Data'!$D$52,0),IF('I_Budget Input Data'!$E$52="Equal",'I_Budget Input Data'!$D$52/'I_Inputs &amp; Assumptions'!$B$8,IF('I_Budget Input Data'!$E$52="Front-loaded",IF(11&lt;='I_Inputs &amp; Assumptions'!$B$8/2,'I_Budget Input Data'!$D$52*0.6/('I_Inputs &amp; Assumptions'!$B$8/2),'I_Budget Input Data'!$D$52*0.4/('I_Inputs &amp; Assumptions'!$B$8/2)),IF('I_Budget Input Data'!$E$52="Back-loaded",IF(11&lt;='I_Inputs &amp; Assumptions'!$B$8/2,'I_Budget Input Data'!$D$52*0.4/('I_Inputs &amp; Assumptions'!$B$8/2),'I_Budget Input Data'!$D$52*0.6/('I_Inputs &amp; Assumptions'!$B$8/2)),IF('I_Budget Input Data'!$E$52="Mid-weighted",IF(11&lt;='I_Inputs &amp; Assumptions'!$B$8/4,'I_Budget Input Data'!$D$52*0.2/('I_Inputs &amp; Assumptions'!$B$8/4),IF(11&lt;='I_Inputs &amp; Assumptions'!$B$8*0.75,'I_Budget Input Data'!$D$52*0.6/('I_Inputs &amp; Assumptions'!$B$8/2),'I_Budget Input Data'!$D$52*0.2/('I_Inputs &amp; Assumptions'!$B$8/4))),IF('I_Budget Input Data'!$E$52="At Completion",IF(11='I_Inputs &amp; Assumptions'!$B$8,'I_Budget Input Data'!$D$52,0),'I_Budget Input Data'!$D$52/'I_Inputs &amp; Assumptions'!$B$8)))))),0)</f>
        <v>500</v>
      </c>
      <c r="N52" s="91">
        <f>IF(12&lt;='I_Inputs &amp; Assumptions'!$B$8,IF('I_Budget Input Data'!$E$52="Upfront",IF(12=1,'I_Budget Input Data'!$D$52,0),IF('I_Budget Input Data'!$E$52="Equal",'I_Budget Input Data'!$D$52/'I_Inputs &amp; Assumptions'!$B$8,IF('I_Budget Input Data'!$E$52="Front-loaded",IF(12&lt;='I_Inputs &amp; Assumptions'!$B$8/2,'I_Budget Input Data'!$D$52*0.6/('I_Inputs &amp; Assumptions'!$B$8/2),'I_Budget Input Data'!$D$52*0.4/('I_Inputs &amp; Assumptions'!$B$8/2)),IF('I_Budget Input Data'!$E$52="Back-loaded",IF(12&lt;='I_Inputs &amp; Assumptions'!$B$8/2,'I_Budget Input Data'!$D$52*0.4/('I_Inputs &amp; Assumptions'!$B$8/2),'I_Budget Input Data'!$D$52*0.6/('I_Inputs &amp; Assumptions'!$B$8/2)),IF('I_Budget Input Data'!$E$52="Mid-weighted",IF(12&lt;='I_Inputs &amp; Assumptions'!$B$8/4,'I_Budget Input Data'!$D$52*0.2/('I_Inputs &amp; Assumptions'!$B$8/4),IF(12&lt;='I_Inputs &amp; Assumptions'!$B$8*0.75,'I_Budget Input Data'!$D$52*0.6/('I_Inputs &amp; Assumptions'!$B$8/2),'I_Budget Input Data'!$D$52*0.2/('I_Inputs &amp; Assumptions'!$B$8/4))),IF('I_Budget Input Data'!$E$52="At Completion",IF(12='I_Inputs &amp; Assumptions'!$B$8,'I_Budget Input Data'!$D$52,0),'I_Budget Input Data'!$D$52/'I_Inputs &amp; Assumptions'!$B$8)))))),0)</f>
        <v>500</v>
      </c>
      <c r="O52" s="91">
        <f>IF(13&lt;='I_Inputs &amp; Assumptions'!$B$8,IF('I_Budget Input Data'!$E$52="Upfront",IF(13=1,'I_Budget Input Data'!$D$52,0),IF('I_Budget Input Data'!$E$52="Equal",'I_Budget Input Data'!$D$52/'I_Inputs &amp; Assumptions'!$B$8,IF('I_Budget Input Data'!$E$52="Front-loaded",IF(13&lt;='I_Inputs &amp; Assumptions'!$B$8/2,'I_Budget Input Data'!$D$52*0.6/('I_Inputs &amp; Assumptions'!$B$8/2),'I_Budget Input Data'!$D$52*0.4/('I_Inputs &amp; Assumptions'!$B$8/2)),IF('I_Budget Input Data'!$E$52="Back-loaded",IF(13&lt;='I_Inputs &amp; Assumptions'!$B$8/2,'I_Budget Input Data'!$D$52*0.4/('I_Inputs &amp; Assumptions'!$B$8/2),'I_Budget Input Data'!$D$52*0.6/('I_Inputs &amp; Assumptions'!$B$8/2)),IF('I_Budget Input Data'!$E$52="Mid-weighted",IF(13&lt;='I_Inputs &amp; Assumptions'!$B$8/4,'I_Budget Input Data'!$D$52*0.2/('I_Inputs &amp; Assumptions'!$B$8/4),IF(13&lt;='I_Inputs &amp; Assumptions'!$B$8*0.75,'I_Budget Input Data'!$D$52*0.6/('I_Inputs &amp; Assumptions'!$B$8/2),'I_Budget Input Data'!$D$52*0.2/('I_Inputs &amp; Assumptions'!$B$8/4))),IF('I_Budget Input Data'!$E$52="At Completion",IF(13='I_Inputs &amp; Assumptions'!$B$8,'I_Budget Input Data'!$D$52,0),'I_Budget Input Data'!$D$52/'I_Inputs &amp; Assumptions'!$B$8)))))),0)</f>
        <v>500</v>
      </c>
      <c r="P52" s="91">
        <f>IF(14&lt;='I_Inputs &amp; Assumptions'!$B$8,IF('I_Budget Input Data'!$E$52="Upfront",IF(14=1,'I_Budget Input Data'!$D$52,0),IF('I_Budget Input Data'!$E$52="Equal",'I_Budget Input Data'!$D$52/'I_Inputs &amp; Assumptions'!$B$8,IF('I_Budget Input Data'!$E$52="Front-loaded",IF(14&lt;='I_Inputs &amp; Assumptions'!$B$8/2,'I_Budget Input Data'!$D$52*0.6/('I_Inputs &amp; Assumptions'!$B$8/2),'I_Budget Input Data'!$D$52*0.4/('I_Inputs &amp; Assumptions'!$B$8/2)),IF('I_Budget Input Data'!$E$52="Back-loaded",IF(14&lt;='I_Inputs &amp; Assumptions'!$B$8/2,'I_Budget Input Data'!$D$52*0.4/('I_Inputs &amp; Assumptions'!$B$8/2),'I_Budget Input Data'!$D$52*0.6/('I_Inputs &amp; Assumptions'!$B$8/2)),IF('I_Budget Input Data'!$E$52="Mid-weighted",IF(14&lt;='I_Inputs &amp; Assumptions'!$B$8/4,'I_Budget Input Data'!$D$52*0.2/('I_Inputs &amp; Assumptions'!$B$8/4),IF(14&lt;='I_Inputs &amp; Assumptions'!$B$8*0.75,'I_Budget Input Data'!$D$52*0.6/('I_Inputs &amp; Assumptions'!$B$8/2),'I_Budget Input Data'!$D$52*0.2/('I_Inputs &amp; Assumptions'!$B$8/4))),IF('I_Budget Input Data'!$E$52="At Completion",IF(14='I_Inputs &amp; Assumptions'!$B$8,'I_Budget Input Data'!$D$52,0),'I_Budget Input Data'!$D$52/'I_Inputs &amp; Assumptions'!$B$8)))))),0)</f>
        <v>0</v>
      </c>
      <c r="Q52" s="91">
        <f>IF(15&lt;='I_Inputs &amp; Assumptions'!$B$8,IF('I_Budget Input Data'!$E$52="Upfront",IF(15=1,'I_Budget Input Data'!$D$52,0),IF('I_Budget Input Data'!$E$52="Equal",'I_Budget Input Data'!$D$52/'I_Inputs &amp; Assumptions'!$B$8,IF('I_Budget Input Data'!$E$52="Front-loaded",IF(15&lt;='I_Inputs &amp; Assumptions'!$B$8/2,'I_Budget Input Data'!$D$52*0.6/('I_Inputs &amp; Assumptions'!$B$8/2),'I_Budget Input Data'!$D$52*0.4/('I_Inputs &amp; Assumptions'!$B$8/2)),IF('I_Budget Input Data'!$E$52="Back-loaded",IF(15&lt;='I_Inputs &amp; Assumptions'!$B$8/2,'I_Budget Input Data'!$D$52*0.4/('I_Inputs &amp; Assumptions'!$B$8/2),'I_Budget Input Data'!$D$52*0.6/('I_Inputs &amp; Assumptions'!$B$8/2)),IF('I_Budget Input Data'!$E$52="Mid-weighted",IF(15&lt;='I_Inputs &amp; Assumptions'!$B$8/4,'I_Budget Input Data'!$D$52*0.2/('I_Inputs &amp; Assumptions'!$B$8/4),IF(15&lt;='I_Inputs &amp; Assumptions'!$B$8*0.75,'I_Budget Input Data'!$D$52*0.6/('I_Inputs &amp; Assumptions'!$B$8/2),'I_Budget Input Data'!$D$52*0.2/('I_Inputs &amp; Assumptions'!$B$8/4))),IF('I_Budget Input Data'!$E$52="At Completion",IF(15='I_Inputs &amp; Assumptions'!$B$8,'I_Budget Input Data'!$D$52,0),'I_Budget Input Data'!$D$52/'I_Inputs &amp; Assumptions'!$B$8)))))),0)</f>
        <v>0</v>
      </c>
      <c r="R52" s="91">
        <f>IF(16&lt;='I_Inputs &amp; Assumptions'!$B$8,IF('I_Budget Input Data'!$E$52="Upfront",IF(16=1,'I_Budget Input Data'!$D$52,0),IF('I_Budget Input Data'!$E$52="Equal",'I_Budget Input Data'!$D$52/'I_Inputs &amp; Assumptions'!$B$8,IF('I_Budget Input Data'!$E$52="Front-loaded",IF(16&lt;='I_Inputs &amp; Assumptions'!$B$8/2,'I_Budget Input Data'!$D$52*0.6/('I_Inputs &amp; Assumptions'!$B$8/2),'I_Budget Input Data'!$D$52*0.4/('I_Inputs &amp; Assumptions'!$B$8/2)),IF('I_Budget Input Data'!$E$52="Back-loaded",IF(16&lt;='I_Inputs &amp; Assumptions'!$B$8/2,'I_Budget Input Data'!$D$52*0.4/('I_Inputs &amp; Assumptions'!$B$8/2),'I_Budget Input Data'!$D$52*0.6/('I_Inputs &amp; Assumptions'!$B$8/2)),IF('I_Budget Input Data'!$E$52="Mid-weighted",IF(16&lt;='I_Inputs &amp; Assumptions'!$B$8/4,'I_Budget Input Data'!$D$52*0.2/('I_Inputs &amp; Assumptions'!$B$8/4),IF(16&lt;='I_Inputs &amp; Assumptions'!$B$8*0.75,'I_Budget Input Data'!$D$52*0.6/('I_Inputs &amp; Assumptions'!$B$8/2),'I_Budget Input Data'!$D$52*0.2/('I_Inputs &amp; Assumptions'!$B$8/4))),IF('I_Budget Input Data'!$E$52="At Completion",IF(16='I_Inputs &amp; Assumptions'!$B$8,'I_Budget Input Data'!$D$52,0),'I_Budget Input Data'!$D$52/'I_Inputs &amp; Assumptions'!$B$8)))))),0)</f>
        <v>0</v>
      </c>
      <c r="S52" s="91">
        <f>IF(17&lt;='I_Inputs &amp; Assumptions'!$B$8,IF('I_Budget Input Data'!$E$52="Upfront",IF(17=1,'I_Budget Input Data'!$D$52,0),IF('I_Budget Input Data'!$E$52="Equal",'I_Budget Input Data'!$D$52/'I_Inputs &amp; Assumptions'!$B$8,IF('I_Budget Input Data'!$E$52="Front-loaded",IF(17&lt;='I_Inputs &amp; Assumptions'!$B$8/2,'I_Budget Input Data'!$D$52*0.6/('I_Inputs &amp; Assumptions'!$B$8/2),'I_Budget Input Data'!$D$52*0.4/('I_Inputs &amp; Assumptions'!$B$8/2)),IF('I_Budget Input Data'!$E$52="Back-loaded",IF(17&lt;='I_Inputs &amp; Assumptions'!$B$8/2,'I_Budget Input Data'!$D$52*0.4/('I_Inputs &amp; Assumptions'!$B$8/2),'I_Budget Input Data'!$D$52*0.6/('I_Inputs &amp; Assumptions'!$B$8/2)),IF('I_Budget Input Data'!$E$52="Mid-weighted",IF(17&lt;='I_Inputs &amp; Assumptions'!$B$8/4,'I_Budget Input Data'!$D$52*0.2/('I_Inputs &amp; Assumptions'!$B$8/4),IF(17&lt;='I_Inputs &amp; Assumptions'!$B$8*0.75,'I_Budget Input Data'!$D$52*0.6/('I_Inputs &amp; Assumptions'!$B$8/2),'I_Budget Input Data'!$D$52*0.2/('I_Inputs &amp; Assumptions'!$B$8/4))),IF('I_Budget Input Data'!$E$52="At Completion",IF(17='I_Inputs &amp; Assumptions'!$B$8,'I_Budget Input Data'!$D$52,0),'I_Budget Input Data'!$D$52/'I_Inputs &amp; Assumptions'!$B$8)))))),0)</f>
        <v>0</v>
      </c>
      <c r="T52" s="91">
        <f>IF(18&lt;='I_Inputs &amp; Assumptions'!$B$8,IF('I_Budget Input Data'!$E$52="Upfront",IF(18=1,'I_Budget Input Data'!$D$52,0),IF('I_Budget Input Data'!$E$52="Equal",'I_Budget Input Data'!$D$52/'I_Inputs &amp; Assumptions'!$B$8,IF('I_Budget Input Data'!$E$52="Front-loaded",IF(18&lt;='I_Inputs &amp; Assumptions'!$B$8/2,'I_Budget Input Data'!$D$52*0.6/('I_Inputs &amp; Assumptions'!$B$8/2),'I_Budget Input Data'!$D$52*0.4/('I_Inputs &amp; Assumptions'!$B$8/2)),IF('I_Budget Input Data'!$E$52="Back-loaded",IF(18&lt;='I_Inputs &amp; Assumptions'!$B$8/2,'I_Budget Input Data'!$D$52*0.4/('I_Inputs &amp; Assumptions'!$B$8/2),'I_Budget Input Data'!$D$52*0.6/('I_Inputs &amp; Assumptions'!$B$8/2)),IF('I_Budget Input Data'!$E$52="Mid-weighted",IF(18&lt;='I_Inputs &amp; Assumptions'!$B$8/4,'I_Budget Input Data'!$D$52*0.2/('I_Inputs &amp; Assumptions'!$B$8/4),IF(18&lt;='I_Inputs &amp; Assumptions'!$B$8*0.75,'I_Budget Input Data'!$D$52*0.6/('I_Inputs &amp; Assumptions'!$B$8/2),'I_Budget Input Data'!$D$52*0.2/('I_Inputs &amp; Assumptions'!$B$8/4))),IF('I_Budget Input Data'!$E$52="At Completion",IF(18='I_Inputs &amp; Assumptions'!$B$8,'I_Budget Input Data'!$D$52,0),'I_Budget Input Data'!$D$52/'I_Inputs &amp; Assumptions'!$B$8)))))),0)</f>
        <v>0</v>
      </c>
      <c r="U52" s="91">
        <f>IF(19&lt;='I_Inputs &amp; Assumptions'!$B$8,IF('I_Budget Input Data'!$E$52="Upfront",IF(19=1,'I_Budget Input Data'!$D$52,0),IF('I_Budget Input Data'!$E$52="Equal",'I_Budget Input Data'!$D$52/'I_Inputs &amp; Assumptions'!$B$8,IF('I_Budget Input Data'!$E$52="Front-loaded",IF(19&lt;='I_Inputs &amp; Assumptions'!$B$8/2,'I_Budget Input Data'!$D$52*0.6/('I_Inputs &amp; Assumptions'!$B$8/2),'I_Budget Input Data'!$D$52*0.4/('I_Inputs &amp; Assumptions'!$B$8/2)),IF('I_Budget Input Data'!$E$52="Back-loaded",IF(19&lt;='I_Inputs &amp; Assumptions'!$B$8/2,'I_Budget Input Data'!$D$52*0.4/('I_Inputs &amp; Assumptions'!$B$8/2),'I_Budget Input Data'!$D$52*0.6/('I_Inputs &amp; Assumptions'!$B$8/2)),IF('I_Budget Input Data'!$E$52="Mid-weighted",IF(19&lt;='I_Inputs &amp; Assumptions'!$B$8/4,'I_Budget Input Data'!$D$52*0.2/('I_Inputs &amp; Assumptions'!$B$8/4),IF(19&lt;='I_Inputs &amp; Assumptions'!$B$8*0.75,'I_Budget Input Data'!$D$52*0.6/('I_Inputs &amp; Assumptions'!$B$8/2),'I_Budget Input Data'!$D$52*0.2/('I_Inputs &amp; Assumptions'!$B$8/4))),IF('I_Budget Input Data'!$E$52="At Completion",IF(19='I_Inputs &amp; Assumptions'!$B$8,'I_Budget Input Data'!$D$52,0),'I_Budget Input Data'!$D$52/'I_Inputs &amp; Assumptions'!$B$8)))))),0)</f>
        <v>0</v>
      </c>
      <c r="V52" s="91">
        <f>IF(20&lt;='I_Inputs &amp; Assumptions'!$B$8,IF('I_Budget Input Data'!$E$52="Upfront",IF(20=1,'I_Budget Input Data'!$D$52,0),IF('I_Budget Input Data'!$E$52="Equal",'I_Budget Input Data'!$D$52/'I_Inputs &amp; Assumptions'!$B$8,IF('I_Budget Input Data'!$E$52="Front-loaded",IF(20&lt;='I_Inputs &amp; Assumptions'!$B$8/2,'I_Budget Input Data'!$D$52*0.6/('I_Inputs &amp; Assumptions'!$B$8/2),'I_Budget Input Data'!$D$52*0.4/('I_Inputs &amp; Assumptions'!$B$8/2)),IF('I_Budget Input Data'!$E$52="Back-loaded",IF(20&lt;='I_Inputs &amp; Assumptions'!$B$8/2,'I_Budget Input Data'!$D$52*0.4/('I_Inputs &amp; Assumptions'!$B$8/2),'I_Budget Input Data'!$D$52*0.6/('I_Inputs &amp; Assumptions'!$B$8/2)),IF('I_Budget Input Data'!$E$52="Mid-weighted",IF(20&lt;='I_Inputs &amp; Assumptions'!$B$8/4,'I_Budget Input Data'!$D$52*0.2/('I_Inputs &amp; Assumptions'!$B$8/4),IF(20&lt;='I_Inputs &amp; Assumptions'!$B$8*0.75,'I_Budget Input Data'!$D$52*0.6/('I_Inputs &amp; Assumptions'!$B$8/2),'I_Budget Input Data'!$D$52*0.2/('I_Inputs &amp; Assumptions'!$B$8/4))),IF('I_Budget Input Data'!$E$52="At Completion",IF(20='I_Inputs &amp; Assumptions'!$B$8,'I_Budget Input Data'!$D$52,0),'I_Budget Input Data'!$D$52/'I_Inputs &amp; Assumptions'!$B$8)))))),0)</f>
        <v>0</v>
      </c>
      <c r="W52" s="91">
        <f>IF(21&lt;='I_Inputs &amp; Assumptions'!$B$8,IF('I_Budget Input Data'!$E$52="Upfront",IF(21=1,'I_Budget Input Data'!$D$52,0),IF('I_Budget Input Data'!$E$52="Equal",'I_Budget Input Data'!$D$52/'I_Inputs &amp; Assumptions'!$B$8,IF('I_Budget Input Data'!$E$52="Front-loaded",IF(21&lt;='I_Inputs &amp; Assumptions'!$B$8/2,'I_Budget Input Data'!$D$52*0.6/('I_Inputs &amp; Assumptions'!$B$8/2),'I_Budget Input Data'!$D$52*0.4/('I_Inputs &amp; Assumptions'!$B$8/2)),IF('I_Budget Input Data'!$E$52="Back-loaded",IF(21&lt;='I_Inputs &amp; Assumptions'!$B$8/2,'I_Budget Input Data'!$D$52*0.4/('I_Inputs &amp; Assumptions'!$B$8/2),'I_Budget Input Data'!$D$52*0.6/('I_Inputs &amp; Assumptions'!$B$8/2)),IF('I_Budget Input Data'!$E$52="Mid-weighted",IF(21&lt;='I_Inputs &amp; Assumptions'!$B$8/4,'I_Budget Input Data'!$D$52*0.2/('I_Inputs &amp; Assumptions'!$B$8/4),IF(21&lt;='I_Inputs &amp; Assumptions'!$B$8*0.75,'I_Budget Input Data'!$D$52*0.6/('I_Inputs &amp; Assumptions'!$B$8/2),'I_Budget Input Data'!$D$52*0.2/('I_Inputs &amp; Assumptions'!$B$8/4))),IF('I_Budget Input Data'!$E$52="At Completion",IF(21='I_Inputs &amp; Assumptions'!$B$8,'I_Budget Input Data'!$D$52,0),'I_Budget Input Data'!$D$52/'I_Inputs &amp; Assumptions'!$B$8)))))),0)</f>
        <v>0</v>
      </c>
      <c r="X52" s="91">
        <f>IF(22&lt;='I_Inputs &amp; Assumptions'!$B$8,IF('I_Budget Input Data'!$E$52="Upfront",IF(22=1,'I_Budget Input Data'!$D$52,0),IF('I_Budget Input Data'!$E$52="Equal",'I_Budget Input Data'!$D$52/'I_Inputs &amp; Assumptions'!$B$8,IF('I_Budget Input Data'!$E$52="Front-loaded",IF(22&lt;='I_Inputs &amp; Assumptions'!$B$8/2,'I_Budget Input Data'!$D$52*0.6/('I_Inputs &amp; Assumptions'!$B$8/2),'I_Budget Input Data'!$D$52*0.4/('I_Inputs &amp; Assumptions'!$B$8/2)),IF('I_Budget Input Data'!$E$52="Back-loaded",IF(22&lt;='I_Inputs &amp; Assumptions'!$B$8/2,'I_Budget Input Data'!$D$52*0.4/('I_Inputs &amp; Assumptions'!$B$8/2),'I_Budget Input Data'!$D$52*0.6/('I_Inputs &amp; Assumptions'!$B$8/2)),IF('I_Budget Input Data'!$E$52="Mid-weighted",IF(22&lt;='I_Inputs &amp; Assumptions'!$B$8/4,'I_Budget Input Data'!$D$52*0.2/('I_Inputs &amp; Assumptions'!$B$8/4),IF(22&lt;='I_Inputs &amp; Assumptions'!$B$8*0.75,'I_Budget Input Data'!$D$52*0.6/('I_Inputs &amp; Assumptions'!$B$8/2),'I_Budget Input Data'!$D$52*0.2/('I_Inputs &amp; Assumptions'!$B$8/4))),IF('I_Budget Input Data'!$E$52="At Completion",IF(22='I_Inputs &amp; Assumptions'!$B$8,'I_Budget Input Data'!$D$52,0),'I_Budget Input Data'!$D$52/'I_Inputs &amp; Assumptions'!$B$8)))))),0)</f>
        <v>0</v>
      </c>
      <c r="Y52" s="91">
        <f>IF(23&lt;='I_Inputs &amp; Assumptions'!$B$8,IF('I_Budget Input Data'!$E$52="Upfront",IF(23=1,'I_Budget Input Data'!$D$52,0),IF('I_Budget Input Data'!$E$52="Equal",'I_Budget Input Data'!$D$52/'I_Inputs &amp; Assumptions'!$B$8,IF('I_Budget Input Data'!$E$52="Front-loaded",IF(23&lt;='I_Inputs &amp; Assumptions'!$B$8/2,'I_Budget Input Data'!$D$52*0.6/('I_Inputs &amp; Assumptions'!$B$8/2),'I_Budget Input Data'!$D$52*0.4/('I_Inputs &amp; Assumptions'!$B$8/2)),IF('I_Budget Input Data'!$E$52="Back-loaded",IF(23&lt;='I_Inputs &amp; Assumptions'!$B$8/2,'I_Budget Input Data'!$D$52*0.4/('I_Inputs &amp; Assumptions'!$B$8/2),'I_Budget Input Data'!$D$52*0.6/('I_Inputs &amp; Assumptions'!$B$8/2)),IF('I_Budget Input Data'!$E$52="Mid-weighted",IF(23&lt;='I_Inputs &amp; Assumptions'!$B$8/4,'I_Budget Input Data'!$D$52*0.2/('I_Inputs &amp; Assumptions'!$B$8/4),IF(23&lt;='I_Inputs &amp; Assumptions'!$B$8*0.75,'I_Budget Input Data'!$D$52*0.6/('I_Inputs &amp; Assumptions'!$B$8/2),'I_Budget Input Data'!$D$52*0.2/('I_Inputs &amp; Assumptions'!$B$8/4))),IF('I_Budget Input Data'!$E$52="At Completion",IF(23='I_Inputs &amp; Assumptions'!$B$8,'I_Budget Input Data'!$D$52,0),'I_Budget Input Data'!$D$52/'I_Inputs &amp; Assumptions'!$B$8)))))),0)</f>
        <v>0</v>
      </c>
      <c r="Z52" s="91">
        <f>IF(24&lt;='I_Inputs &amp; Assumptions'!$B$8,IF('I_Budget Input Data'!$E$52="Upfront",IF(24=1,'I_Budget Input Data'!$D$52,0),IF('I_Budget Input Data'!$E$52="Equal",'I_Budget Input Data'!$D$52/'I_Inputs &amp; Assumptions'!$B$8,IF('I_Budget Input Data'!$E$52="Front-loaded",IF(24&lt;='I_Inputs &amp; Assumptions'!$B$8/2,'I_Budget Input Data'!$D$52*0.6/('I_Inputs &amp; Assumptions'!$B$8/2),'I_Budget Input Data'!$D$52*0.4/('I_Inputs &amp; Assumptions'!$B$8/2)),IF('I_Budget Input Data'!$E$52="Back-loaded",IF(24&lt;='I_Inputs &amp; Assumptions'!$B$8/2,'I_Budget Input Data'!$D$52*0.4/('I_Inputs &amp; Assumptions'!$B$8/2),'I_Budget Input Data'!$D$52*0.6/('I_Inputs &amp; Assumptions'!$B$8/2)),IF('I_Budget Input Data'!$E$52="Mid-weighted",IF(24&lt;='I_Inputs &amp; Assumptions'!$B$8/4,'I_Budget Input Data'!$D$52*0.2/('I_Inputs &amp; Assumptions'!$B$8/4),IF(24&lt;='I_Inputs &amp; Assumptions'!$B$8*0.75,'I_Budget Input Data'!$D$52*0.6/('I_Inputs &amp; Assumptions'!$B$8/2),'I_Budget Input Data'!$D$52*0.2/('I_Inputs &amp; Assumptions'!$B$8/4))),IF('I_Budget Input Data'!$E$52="At Completion",IF(24='I_Inputs &amp; Assumptions'!$B$8,'I_Budget Input Data'!$D$52,0),'I_Budget Input Data'!$D$52/'I_Inputs &amp; Assumptions'!$B$8)))))),0)</f>
        <v>0</v>
      </c>
      <c r="AA52" s="91">
        <f>IF(25&lt;='I_Inputs &amp; Assumptions'!$B$8,IF('I_Budget Input Data'!$E$52="Upfront",IF(25=1,'I_Budget Input Data'!$D$52,0),IF('I_Budget Input Data'!$E$52="Equal",'I_Budget Input Data'!$D$52/'I_Inputs &amp; Assumptions'!$B$8,IF('I_Budget Input Data'!$E$52="Front-loaded",IF(25&lt;='I_Inputs &amp; Assumptions'!$B$8/2,'I_Budget Input Data'!$D$52*0.6/('I_Inputs &amp; Assumptions'!$B$8/2),'I_Budget Input Data'!$D$52*0.4/('I_Inputs &amp; Assumptions'!$B$8/2)),IF('I_Budget Input Data'!$E$52="Back-loaded",IF(25&lt;='I_Inputs &amp; Assumptions'!$B$8/2,'I_Budget Input Data'!$D$52*0.4/('I_Inputs &amp; Assumptions'!$B$8/2),'I_Budget Input Data'!$D$52*0.6/('I_Inputs &amp; Assumptions'!$B$8/2)),IF('I_Budget Input Data'!$E$52="Mid-weighted",IF(25&lt;='I_Inputs &amp; Assumptions'!$B$8/4,'I_Budget Input Data'!$D$52*0.2/('I_Inputs &amp; Assumptions'!$B$8/4),IF(25&lt;='I_Inputs &amp; Assumptions'!$B$8*0.75,'I_Budget Input Data'!$D$52*0.6/('I_Inputs &amp; Assumptions'!$B$8/2),'I_Budget Input Data'!$D$52*0.2/('I_Inputs &amp; Assumptions'!$B$8/4))),IF('I_Budget Input Data'!$E$52="At Completion",IF(25='I_Inputs &amp; Assumptions'!$B$8,'I_Budget Input Data'!$D$52,0),'I_Budget Input Data'!$D$52/'I_Inputs &amp; Assumptions'!$B$8)))))),0)</f>
        <v>0</v>
      </c>
      <c r="AB52" s="91">
        <f>IF(26&lt;='I_Inputs &amp; Assumptions'!$B$8,IF('I_Budget Input Data'!$E$52="Upfront",IF(26=1,'I_Budget Input Data'!$D$52,0),IF('I_Budget Input Data'!$E$52="Equal",'I_Budget Input Data'!$D$52/'I_Inputs &amp; Assumptions'!$B$8,IF('I_Budget Input Data'!$E$52="Front-loaded",IF(26&lt;='I_Inputs &amp; Assumptions'!$B$8/2,'I_Budget Input Data'!$D$52*0.6/('I_Inputs &amp; Assumptions'!$B$8/2),'I_Budget Input Data'!$D$52*0.4/('I_Inputs &amp; Assumptions'!$B$8/2)),IF('I_Budget Input Data'!$E$52="Back-loaded",IF(26&lt;='I_Inputs &amp; Assumptions'!$B$8/2,'I_Budget Input Data'!$D$52*0.4/('I_Inputs &amp; Assumptions'!$B$8/2),'I_Budget Input Data'!$D$52*0.6/('I_Inputs &amp; Assumptions'!$B$8/2)),IF('I_Budget Input Data'!$E$52="Mid-weighted",IF(26&lt;='I_Inputs &amp; Assumptions'!$B$8/4,'I_Budget Input Data'!$D$52*0.2/('I_Inputs &amp; Assumptions'!$B$8/4),IF(26&lt;='I_Inputs &amp; Assumptions'!$B$8*0.75,'I_Budget Input Data'!$D$52*0.6/('I_Inputs &amp; Assumptions'!$B$8/2),'I_Budget Input Data'!$D$52*0.2/('I_Inputs &amp; Assumptions'!$B$8/4))),IF('I_Budget Input Data'!$E$52="At Completion",IF(26='I_Inputs &amp; Assumptions'!$B$8,'I_Budget Input Data'!$D$52,0),'I_Budget Input Data'!$D$52/'I_Inputs &amp; Assumptions'!$B$8)))))),0)</f>
        <v>0</v>
      </c>
      <c r="AC52" s="91">
        <f>IF(27&lt;='I_Inputs &amp; Assumptions'!$B$8,IF('I_Budget Input Data'!$E$52="Upfront",IF(27=1,'I_Budget Input Data'!$D$52,0),IF('I_Budget Input Data'!$E$52="Equal",'I_Budget Input Data'!$D$52/'I_Inputs &amp; Assumptions'!$B$8,IF('I_Budget Input Data'!$E$52="Front-loaded",IF(27&lt;='I_Inputs &amp; Assumptions'!$B$8/2,'I_Budget Input Data'!$D$52*0.6/('I_Inputs &amp; Assumptions'!$B$8/2),'I_Budget Input Data'!$D$52*0.4/('I_Inputs &amp; Assumptions'!$B$8/2)),IF('I_Budget Input Data'!$E$52="Back-loaded",IF(27&lt;='I_Inputs &amp; Assumptions'!$B$8/2,'I_Budget Input Data'!$D$52*0.4/('I_Inputs &amp; Assumptions'!$B$8/2),'I_Budget Input Data'!$D$52*0.6/('I_Inputs &amp; Assumptions'!$B$8/2)),IF('I_Budget Input Data'!$E$52="Mid-weighted",IF(27&lt;='I_Inputs &amp; Assumptions'!$B$8/4,'I_Budget Input Data'!$D$52*0.2/('I_Inputs &amp; Assumptions'!$B$8/4),IF(27&lt;='I_Inputs &amp; Assumptions'!$B$8*0.75,'I_Budget Input Data'!$D$52*0.6/('I_Inputs &amp; Assumptions'!$B$8/2),'I_Budget Input Data'!$D$52*0.2/('I_Inputs &amp; Assumptions'!$B$8/4))),IF('I_Budget Input Data'!$E$52="At Completion",IF(27='I_Inputs &amp; Assumptions'!$B$8,'I_Budget Input Data'!$D$52,0),'I_Budget Input Data'!$D$52/'I_Inputs &amp; Assumptions'!$B$8)))))),0)</f>
        <v>0</v>
      </c>
      <c r="AD52" s="91">
        <f>IF(28&lt;='I_Inputs &amp; Assumptions'!$B$8,IF('I_Budget Input Data'!$E$52="Upfront",IF(28=1,'I_Budget Input Data'!$D$52,0),IF('I_Budget Input Data'!$E$52="Equal",'I_Budget Input Data'!$D$52/'I_Inputs &amp; Assumptions'!$B$8,IF('I_Budget Input Data'!$E$52="Front-loaded",IF(28&lt;='I_Inputs &amp; Assumptions'!$B$8/2,'I_Budget Input Data'!$D$52*0.6/('I_Inputs &amp; Assumptions'!$B$8/2),'I_Budget Input Data'!$D$52*0.4/('I_Inputs &amp; Assumptions'!$B$8/2)),IF('I_Budget Input Data'!$E$52="Back-loaded",IF(28&lt;='I_Inputs &amp; Assumptions'!$B$8/2,'I_Budget Input Data'!$D$52*0.4/('I_Inputs &amp; Assumptions'!$B$8/2),'I_Budget Input Data'!$D$52*0.6/('I_Inputs &amp; Assumptions'!$B$8/2)),IF('I_Budget Input Data'!$E$52="Mid-weighted",IF(28&lt;='I_Inputs &amp; Assumptions'!$B$8/4,'I_Budget Input Data'!$D$52*0.2/('I_Inputs &amp; Assumptions'!$B$8/4),IF(28&lt;='I_Inputs &amp; Assumptions'!$B$8*0.75,'I_Budget Input Data'!$D$52*0.6/('I_Inputs &amp; Assumptions'!$B$8/2),'I_Budget Input Data'!$D$52*0.2/('I_Inputs &amp; Assumptions'!$B$8/4))),IF('I_Budget Input Data'!$E$52="At Completion",IF(28='I_Inputs &amp; Assumptions'!$B$8,'I_Budget Input Data'!$D$52,0),'I_Budget Input Data'!$D$52/'I_Inputs &amp; Assumptions'!$B$8)))))),0)</f>
        <v>0</v>
      </c>
      <c r="AE52" s="91">
        <f>IF(29&lt;='I_Inputs &amp; Assumptions'!$B$8,IF('I_Budget Input Data'!$E$52="Upfront",IF(29=1,'I_Budget Input Data'!$D$52,0),IF('I_Budget Input Data'!$E$52="Equal",'I_Budget Input Data'!$D$52/'I_Inputs &amp; Assumptions'!$B$8,IF('I_Budget Input Data'!$E$52="Front-loaded",IF(29&lt;='I_Inputs &amp; Assumptions'!$B$8/2,'I_Budget Input Data'!$D$52*0.6/('I_Inputs &amp; Assumptions'!$B$8/2),'I_Budget Input Data'!$D$52*0.4/('I_Inputs &amp; Assumptions'!$B$8/2)),IF('I_Budget Input Data'!$E$52="Back-loaded",IF(29&lt;='I_Inputs &amp; Assumptions'!$B$8/2,'I_Budget Input Data'!$D$52*0.4/('I_Inputs &amp; Assumptions'!$B$8/2),'I_Budget Input Data'!$D$52*0.6/('I_Inputs &amp; Assumptions'!$B$8/2)),IF('I_Budget Input Data'!$E$52="Mid-weighted",IF(29&lt;='I_Inputs &amp; Assumptions'!$B$8/4,'I_Budget Input Data'!$D$52*0.2/('I_Inputs &amp; Assumptions'!$B$8/4),IF(29&lt;='I_Inputs &amp; Assumptions'!$B$8*0.75,'I_Budget Input Data'!$D$52*0.6/('I_Inputs &amp; Assumptions'!$B$8/2),'I_Budget Input Data'!$D$52*0.2/('I_Inputs &amp; Assumptions'!$B$8/4))),IF('I_Budget Input Data'!$E$52="At Completion",IF(29='I_Inputs &amp; Assumptions'!$B$8,'I_Budget Input Data'!$D$52,0),'I_Budget Input Data'!$D$52/'I_Inputs &amp; Assumptions'!$B$8)))))),0)</f>
        <v>0</v>
      </c>
      <c r="AF52" s="91">
        <f>IF(30&lt;='I_Inputs &amp; Assumptions'!$B$8,IF('I_Budget Input Data'!$E$52="Upfront",IF(30=1,'I_Budget Input Data'!$D$52,0),IF('I_Budget Input Data'!$E$52="Equal",'I_Budget Input Data'!$D$52/'I_Inputs &amp; Assumptions'!$B$8,IF('I_Budget Input Data'!$E$52="Front-loaded",IF(30&lt;='I_Inputs &amp; Assumptions'!$B$8/2,'I_Budget Input Data'!$D$52*0.6/('I_Inputs &amp; Assumptions'!$B$8/2),'I_Budget Input Data'!$D$52*0.4/('I_Inputs &amp; Assumptions'!$B$8/2)),IF('I_Budget Input Data'!$E$52="Back-loaded",IF(30&lt;='I_Inputs &amp; Assumptions'!$B$8/2,'I_Budget Input Data'!$D$52*0.4/('I_Inputs &amp; Assumptions'!$B$8/2),'I_Budget Input Data'!$D$52*0.6/('I_Inputs &amp; Assumptions'!$B$8/2)),IF('I_Budget Input Data'!$E$52="Mid-weighted",IF(30&lt;='I_Inputs &amp; Assumptions'!$B$8/4,'I_Budget Input Data'!$D$52*0.2/('I_Inputs &amp; Assumptions'!$B$8/4),IF(30&lt;='I_Inputs &amp; Assumptions'!$B$8*0.75,'I_Budget Input Data'!$D$52*0.6/('I_Inputs &amp; Assumptions'!$B$8/2),'I_Budget Input Data'!$D$52*0.2/('I_Inputs &amp; Assumptions'!$B$8/4))),IF('I_Budget Input Data'!$E$52="At Completion",IF(30='I_Inputs &amp; Assumptions'!$B$8,'I_Budget Input Data'!$D$52,0),'I_Budget Input Data'!$D$52/'I_Inputs &amp; Assumptions'!$B$8)))))),0)</f>
        <v>0</v>
      </c>
      <c r="AG52" s="91">
        <f>IF(31&lt;='I_Inputs &amp; Assumptions'!$B$8,IF('I_Budget Input Data'!$E$52="Upfront",IF(31=1,'I_Budget Input Data'!$D$52,0),IF('I_Budget Input Data'!$E$52="Equal",'I_Budget Input Data'!$D$52/'I_Inputs &amp; Assumptions'!$B$8,IF('I_Budget Input Data'!$E$52="Front-loaded",IF(31&lt;='I_Inputs &amp; Assumptions'!$B$8/2,'I_Budget Input Data'!$D$52*0.6/('I_Inputs &amp; Assumptions'!$B$8/2),'I_Budget Input Data'!$D$52*0.4/('I_Inputs &amp; Assumptions'!$B$8/2)),IF('I_Budget Input Data'!$E$52="Back-loaded",IF(31&lt;='I_Inputs &amp; Assumptions'!$B$8/2,'I_Budget Input Data'!$D$52*0.4/('I_Inputs &amp; Assumptions'!$B$8/2),'I_Budget Input Data'!$D$52*0.6/('I_Inputs &amp; Assumptions'!$B$8/2)),IF('I_Budget Input Data'!$E$52="Mid-weighted",IF(31&lt;='I_Inputs &amp; Assumptions'!$B$8/4,'I_Budget Input Data'!$D$52*0.2/('I_Inputs &amp; Assumptions'!$B$8/4),IF(31&lt;='I_Inputs &amp; Assumptions'!$B$8*0.75,'I_Budget Input Data'!$D$52*0.6/('I_Inputs &amp; Assumptions'!$B$8/2),'I_Budget Input Data'!$D$52*0.2/('I_Inputs &amp; Assumptions'!$B$8/4))),IF('I_Budget Input Data'!$E$52="At Completion",IF(31='I_Inputs &amp; Assumptions'!$B$8,'I_Budget Input Data'!$D$52,0),'I_Budget Input Data'!$D$52/'I_Inputs &amp; Assumptions'!$B$8)))))),0)</f>
        <v>0</v>
      </c>
      <c r="AH52" s="91">
        <f>IF(32&lt;='I_Inputs &amp; Assumptions'!$B$8,IF('I_Budget Input Data'!$E$52="Upfront",IF(32=1,'I_Budget Input Data'!$D$52,0),IF('I_Budget Input Data'!$E$52="Equal",'I_Budget Input Data'!$D$52/'I_Inputs &amp; Assumptions'!$B$8,IF('I_Budget Input Data'!$E$52="Front-loaded",IF(32&lt;='I_Inputs &amp; Assumptions'!$B$8/2,'I_Budget Input Data'!$D$52*0.6/('I_Inputs &amp; Assumptions'!$B$8/2),'I_Budget Input Data'!$D$52*0.4/('I_Inputs &amp; Assumptions'!$B$8/2)),IF('I_Budget Input Data'!$E$52="Back-loaded",IF(32&lt;='I_Inputs &amp; Assumptions'!$B$8/2,'I_Budget Input Data'!$D$52*0.4/('I_Inputs &amp; Assumptions'!$B$8/2),'I_Budget Input Data'!$D$52*0.6/('I_Inputs &amp; Assumptions'!$B$8/2)),IF('I_Budget Input Data'!$E$52="Mid-weighted",IF(32&lt;='I_Inputs &amp; Assumptions'!$B$8/4,'I_Budget Input Data'!$D$52*0.2/('I_Inputs &amp; Assumptions'!$B$8/4),IF(32&lt;='I_Inputs &amp; Assumptions'!$B$8*0.75,'I_Budget Input Data'!$D$52*0.6/('I_Inputs &amp; Assumptions'!$B$8/2),'I_Budget Input Data'!$D$52*0.2/('I_Inputs &amp; Assumptions'!$B$8/4))),IF('I_Budget Input Data'!$E$52="At Completion",IF(32='I_Inputs &amp; Assumptions'!$B$8,'I_Budget Input Data'!$D$52,0),'I_Budget Input Data'!$D$52/'I_Inputs &amp; Assumptions'!$B$8)))))),0)</f>
        <v>0</v>
      </c>
      <c r="AI52" s="91">
        <f>IF(33&lt;='I_Inputs &amp; Assumptions'!$B$8,IF('I_Budget Input Data'!$E$52="Upfront",IF(33=1,'I_Budget Input Data'!$D$52,0),IF('I_Budget Input Data'!$E$52="Equal",'I_Budget Input Data'!$D$52/'I_Inputs &amp; Assumptions'!$B$8,IF('I_Budget Input Data'!$E$52="Front-loaded",IF(33&lt;='I_Inputs &amp; Assumptions'!$B$8/2,'I_Budget Input Data'!$D$52*0.6/('I_Inputs &amp; Assumptions'!$B$8/2),'I_Budget Input Data'!$D$52*0.4/('I_Inputs &amp; Assumptions'!$B$8/2)),IF('I_Budget Input Data'!$E$52="Back-loaded",IF(33&lt;='I_Inputs &amp; Assumptions'!$B$8/2,'I_Budget Input Data'!$D$52*0.4/('I_Inputs &amp; Assumptions'!$B$8/2),'I_Budget Input Data'!$D$52*0.6/('I_Inputs &amp; Assumptions'!$B$8/2)),IF('I_Budget Input Data'!$E$52="Mid-weighted",IF(33&lt;='I_Inputs &amp; Assumptions'!$B$8/4,'I_Budget Input Data'!$D$52*0.2/('I_Inputs &amp; Assumptions'!$B$8/4),IF(33&lt;='I_Inputs &amp; Assumptions'!$B$8*0.75,'I_Budget Input Data'!$D$52*0.6/('I_Inputs &amp; Assumptions'!$B$8/2),'I_Budget Input Data'!$D$52*0.2/('I_Inputs &amp; Assumptions'!$B$8/4))),IF('I_Budget Input Data'!$E$52="At Completion",IF(33='I_Inputs &amp; Assumptions'!$B$8,'I_Budget Input Data'!$D$52,0),'I_Budget Input Data'!$D$52/'I_Inputs &amp; Assumptions'!$B$8)))))),0)</f>
        <v>0</v>
      </c>
      <c r="AJ52" s="91">
        <f>IF(34&lt;='I_Inputs &amp; Assumptions'!$B$8,IF('I_Budget Input Data'!$E$52="Upfront",IF(34=1,'I_Budget Input Data'!$D$52,0),IF('I_Budget Input Data'!$E$52="Equal",'I_Budget Input Data'!$D$52/'I_Inputs &amp; Assumptions'!$B$8,IF('I_Budget Input Data'!$E$52="Front-loaded",IF(34&lt;='I_Inputs &amp; Assumptions'!$B$8/2,'I_Budget Input Data'!$D$52*0.6/('I_Inputs &amp; Assumptions'!$B$8/2),'I_Budget Input Data'!$D$52*0.4/('I_Inputs &amp; Assumptions'!$B$8/2)),IF('I_Budget Input Data'!$E$52="Back-loaded",IF(34&lt;='I_Inputs &amp; Assumptions'!$B$8/2,'I_Budget Input Data'!$D$52*0.4/('I_Inputs &amp; Assumptions'!$B$8/2),'I_Budget Input Data'!$D$52*0.6/('I_Inputs &amp; Assumptions'!$B$8/2)),IF('I_Budget Input Data'!$E$52="Mid-weighted",IF(34&lt;='I_Inputs &amp; Assumptions'!$B$8/4,'I_Budget Input Data'!$D$52*0.2/('I_Inputs &amp; Assumptions'!$B$8/4),IF(34&lt;='I_Inputs &amp; Assumptions'!$B$8*0.75,'I_Budget Input Data'!$D$52*0.6/('I_Inputs &amp; Assumptions'!$B$8/2),'I_Budget Input Data'!$D$52*0.2/('I_Inputs &amp; Assumptions'!$B$8/4))),IF('I_Budget Input Data'!$E$52="At Completion",IF(34='I_Inputs &amp; Assumptions'!$B$8,'I_Budget Input Data'!$D$52,0),'I_Budget Input Data'!$D$52/'I_Inputs &amp; Assumptions'!$B$8)))))),0)</f>
        <v>0</v>
      </c>
      <c r="AK52" s="91">
        <f>IF(35&lt;='I_Inputs &amp; Assumptions'!$B$8,IF('I_Budget Input Data'!$E$52="Upfront",IF(35=1,'I_Budget Input Data'!$D$52,0),IF('I_Budget Input Data'!$E$52="Equal",'I_Budget Input Data'!$D$52/'I_Inputs &amp; Assumptions'!$B$8,IF('I_Budget Input Data'!$E$52="Front-loaded",IF(35&lt;='I_Inputs &amp; Assumptions'!$B$8/2,'I_Budget Input Data'!$D$52*0.6/('I_Inputs &amp; Assumptions'!$B$8/2),'I_Budget Input Data'!$D$52*0.4/('I_Inputs &amp; Assumptions'!$B$8/2)),IF('I_Budget Input Data'!$E$52="Back-loaded",IF(35&lt;='I_Inputs &amp; Assumptions'!$B$8/2,'I_Budget Input Data'!$D$52*0.4/('I_Inputs &amp; Assumptions'!$B$8/2),'I_Budget Input Data'!$D$52*0.6/('I_Inputs &amp; Assumptions'!$B$8/2)),IF('I_Budget Input Data'!$E$52="Mid-weighted",IF(35&lt;='I_Inputs &amp; Assumptions'!$B$8/4,'I_Budget Input Data'!$D$52*0.2/('I_Inputs &amp; Assumptions'!$B$8/4),IF(35&lt;='I_Inputs &amp; Assumptions'!$B$8*0.75,'I_Budget Input Data'!$D$52*0.6/('I_Inputs &amp; Assumptions'!$B$8/2),'I_Budget Input Data'!$D$52*0.2/('I_Inputs &amp; Assumptions'!$B$8/4))),IF('I_Budget Input Data'!$E$52="At Completion",IF(35='I_Inputs &amp; Assumptions'!$B$8,'I_Budget Input Data'!$D$52,0),'I_Budget Input Data'!$D$52/'I_Inputs &amp; Assumptions'!$B$8)))))),0)</f>
        <v>0</v>
      </c>
      <c r="AL52" s="91">
        <f>IF(36&lt;='I_Inputs &amp; Assumptions'!$B$8,IF('I_Budget Input Data'!$E$52="Upfront",IF(36=1,'I_Budget Input Data'!$D$52,0),IF('I_Budget Input Data'!$E$52="Equal",'I_Budget Input Data'!$D$52/'I_Inputs &amp; Assumptions'!$B$8,IF('I_Budget Input Data'!$E$52="Front-loaded",IF(36&lt;='I_Inputs &amp; Assumptions'!$B$8/2,'I_Budget Input Data'!$D$52*0.6/('I_Inputs &amp; Assumptions'!$B$8/2),'I_Budget Input Data'!$D$52*0.4/('I_Inputs &amp; Assumptions'!$B$8/2)),IF('I_Budget Input Data'!$E$52="Back-loaded",IF(36&lt;='I_Inputs &amp; Assumptions'!$B$8/2,'I_Budget Input Data'!$D$52*0.4/('I_Inputs &amp; Assumptions'!$B$8/2),'I_Budget Input Data'!$D$52*0.6/('I_Inputs &amp; Assumptions'!$B$8/2)),IF('I_Budget Input Data'!$E$52="Mid-weighted",IF(36&lt;='I_Inputs &amp; Assumptions'!$B$8/4,'I_Budget Input Data'!$D$52*0.2/('I_Inputs &amp; Assumptions'!$B$8/4),IF(36&lt;='I_Inputs &amp; Assumptions'!$B$8*0.75,'I_Budget Input Data'!$D$52*0.6/('I_Inputs &amp; Assumptions'!$B$8/2),'I_Budget Input Data'!$D$52*0.2/('I_Inputs &amp; Assumptions'!$B$8/4))),IF('I_Budget Input Data'!$E$52="At Completion",IF(36='I_Inputs &amp; Assumptions'!$B$8,'I_Budget Input Data'!$D$52,0),'I_Budget Input Data'!$D$52/'I_Inputs &amp; Assumptions'!$B$8)))))),0)</f>
        <v>0</v>
      </c>
    </row>
    <row r="53" spans="1:38" ht="15" customHeight="1" x14ac:dyDescent="0.2">
      <c r="A53" t="s">
        <v>146</v>
      </c>
      <c r="B53" t="s">
        <v>174</v>
      </c>
      <c r="C53" s="91">
        <f>IF(1&lt;='I_Inputs &amp; Assumptions'!$B$8,IF('I_Budget Input Data'!$E$53="Upfront",IF(1=1,'I_Budget Input Data'!$D$53,0),IF('I_Budget Input Data'!$E$53="Equal",'I_Budget Input Data'!$D$53/'I_Inputs &amp; Assumptions'!$B$8,IF('I_Budget Input Data'!$E$53="Front-loaded",IF(1&lt;='I_Inputs &amp; Assumptions'!$B$8/2,'I_Budget Input Data'!$D$53*0.6/('I_Inputs &amp; Assumptions'!$B$8/2),'I_Budget Input Data'!$D$53*0.4/('I_Inputs &amp; Assumptions'!$B$8/2)),IF('I_Budget Input Data'!$E$53="Back-loaded",IF(1&lt;='I_Inputs &amp; Assumptions'!$B$8/2,'I_Budget Input Data'!$D$53*0.4/('I_Inputs &amp; Assumptions'!$B$8/2),'I_Budget Input Data'!$D$53*0.6/('I_Inputs &amp; Assumptions'!$B$8/2)),IF('I_Budget Input Data'!$E$53="Mid-weighted",IF(1&lt;='I_Inputs &amp; Assumptions'!$B$8/4,'I_Budget Input Data'!$D$53*0.2/('I_Inputs &amp; Assumptions'!$B$8/4),IF(1&lt;='I_Inputs &amp; Assumptions'!$B$8*0.75,'I_Budget Input Data'!$D$53*0.6/('I_Inputs &amp; Assumptions'!$B$8/2),'I_Budget Input Data'!$D$53*0.2/('I_Inputs &amp; Assumptions'!$B$8/4))),IF('I_Budget Input Data'!$E$53="At Completion",IF(1='I_Inputs &amp; Assumptions'!$B$8,'I_Budget Input Data'!$D$53,0),'I_Budget Input Data'!$D$53/'I_Inputs &amp; Assumptions'!$B$8)))))),0)</f>
        <v>4622.6153846153848</v>
      </c>
      <c r="D53" s="91">
        <f>IF(2&lt;='I_Inputs &amp; Assumptions'!$B$8,IF('I_Budget Input Data'!$E$53="Upfront",IF(2=1,'I_Budget Input Data'!$D$53,0),IF('I_Budget Input Data'!$E$53="Equal",'I_Budget Input Data'!$D$53/'I_Inputs &amp; Assumptions'!$B$8,IF('I_Budget Input Data'!$E$53="Front-loaded",IF(2&lt;='I_Inputs &amp; Assumptions'!$B$8/2,'I_Budget Input Data'!$D$53*0.6/('I_Inputs &amp; Assumptions'!$B$8/2),'I_Budget Input Data'!$D$53*0.4/('I_Inputs &amp; Assumptions'!$B$8/2)),IF('I_Budget Input Data'!$E$53="Back-loaded",IF(2&lt;='I_Inputs &amp; Assumptions'!$B$8/2,'I_Budget Input Data'!$D$53*0.4/('I_Inputs &amp; Assumptions'!$B$8/2),'I_Budget Input Data'!$D$53*0.6/('I_Inputs &amp; Assumptions'!$B$8/2)),IF('I_Budget Input Data'!$E$53="Mid-weighted",IF(2&lt;='I_Inputs &amp; Assumptions'!$B$8/4,'I_Budget Input Data'!$D$53*0.2/('I_Inputs &amp; Assumptions'!$B$8/4),IF(2&lt;='I_Inputs &amp; Assumptions'!$B$8*0.75,'I_Budget Input Data'!$D$53*0.6/('I_Inputs &amp; Assumptions'!$B$8/2),'I_Budget Input Data'!$D$53*0.2/('I_Inputs &amp; Assumptions'!$B$8/4))),IF('I_Budget Input Data'!$E$53="At Completion",IF(2='I_Inputs &amp; Assumptions'!$B$8,'I_Budget Input Data'!$D$53,0),'I_Budget Input Data'!$D$53/'I_Inputs &amp; Assumptions'!$B$8)))))),0)</f>
        <v>4622.6153846153848</v>
      </c>
      <c r="E53" s="91">
        <f>IF(3&lt;='I_Inputs &amp; Assumptions'!$B$8,IF('I_Budget Input Data'!$E$53="Upfront",IF(3=1,'I_Budget Input Data'!$D$53,0),IF('I_Budget Input Data'!$E$53="Equal",'I_Budget Input Data'!$D$53/'I_Inputs &amp; Assumptions'!$B$8,IF('I_Budget Input Data'!$E$53="Front-loaded",IF(3&lt;='I_Inputs &amp; Assumptions'!$B$8/2,'I_Budget Input Data'!$D$53*0.6/('I_Inputs &amp; Assumptions'!$B$8/2),'I_Budget Input Data'!$D$53*0.4/('I_Inputs &amp; Assumptions'!$B$8/2)),IF('I_Budget Input Data'!$E$53="Back-loaded",IF(3&lt;='I_Inputs &amp; Assumptions'!$B$8/2,'I_Budget Input Data'!$D$53*0.4/('I_Inputs &amp; Assumptions'!$B$8/2),'I_Budget Input Data'!$D$53*0.6/('I_Inputs &amp; Assumptions'!$B$8/2)),IF('I_Budget Input Data'!$E$53="Mid-weighted",IF(3&lt;='I_Inputs &amp; Assumptions'!$B$8/4,'I_Budget Input Data'!$D$53*0.2/('I_Inputs &amp; Assumptions'!$B$8/4),IF(3&lt;='I_Inputs &amp; Assumptions'!$B$8*0.75,'I_Budget Input Data'!$D$53*0.6/('I_Inputs &amp; Assumptions'!$B$8/2),'I_Budget Input Data'!$D$53*0.2/('I_Inputs &amp; Assumptions'!$B$8/4))),IF('I_Budget Input Data'!$E$53="At Completion",IF(3='I_Inputs &amp; Assumptions'!$B$8,'I_Budget Input Data'!$D$53,0),'I_Budget Input Data'!$D$53/'I_Inputs &amp; Assumptions'!$B$8)))))),0)</f>
        <v>4622.6153846153848</v>
      </c>
      <c r="F53" s="91">
        <f>IF(4&lt;='I_Inputs &amp; Assumptions'!$B$8,IF('I_Budget Input Data'!$E$53="Upfront",IF(4=1,'I_Budget Input Data'!$D$53,0),IF('I_Budget Input Data'!$E$53="Equal",'I_Budget Input Data'!$D$53/'I_Inputs &amp; Assumptions'!$B$8,IF('I_Budget Input Data'!$E$53="Front-loaded",IF(4&lt;='I_Inputs &amp; Assumptions'!$B$8/2,'I_Budget Input Data'!$D$53*0.6/('I_Inputs &amp; Assumptions'!$B$8/2),'I_Budget Input Data'!$D$53*0.4/('I_Inputs &amp; Assumptions'!$B$8/2)),IF('I_Budget Input Data'!$E$53="Back-loaded",IF(4&lt;='I_Inputs &amp; Assumptions'!$B$8/2,'I_Budget Input Data'!$D$53*0.4/('I_Inputs &amp; Assumptions'!$B$8/2),'I_Budget Input Data'!$D$53*0.6/('I_Inputs &amp; Assumptions'!$B$8/2)),IF('I_Budget Input Data'!$E$53="Mid-weighted",IF(4&lt;='I_Inputs &amp; Assumptions'!$B$8/4,'I_Budget Input Data'!$D$53*0.2/('I_Inputs &amp; Assumptions'!$B$8/4),IF(4&lt;='I_Inputs &amp; Assumptions'!$B$8*0.75,'I_Budget Input Data'!$D$53*0.6/('I_Inputs &amp; Assumptions'!$B$8/2),'I_Budget Input Data'!$D$53*0.2/('I_Inputs &amp; Assumptions'!$B$8/4))),IF('I_Budget Input Data'!$E$53="At Completion",IF(4='I_Inputs &amp; Assumptions'!$B$8,'I_Budget Input Data'!$D$53,0),'I_Budget Input Data'!$D$53/'I_Inputs &amp; Assumptions'!$B$8)))))),0)</f>
        <v>4622.6153846153848</v>
      </c>
      <c r="G53" s="91">
        <f>IF(5&lt;='I_Inputs &amp; Assumptions'!$B$8,IF('I_Budget Input Data'!$E$53="Upfront",IF(5=1,'I_Budget Input Data'!$D$53,0),IF('I_Budget Input Data'!$E$53="Equal",'I_Budget Input Data'!$D$53/'I_Inputs &amp; Assumptions'!$B$8,IF('I_Budget Input Data'!$E$53="Front-loaded",IF(5&lt;='I_Inputs &amp; Assumptions'!$B$8/2,'I_Budget Input Data'!$D$53*0.6/('I_Inputs &amp; Assumptions'!$B$8/2),'I_Budget Input Data'!$D$53*0.4/('I_Inputs &amp; Assumptions'!$B$8/2)),IF('I_Budget Input Data'!$E$53="Back-loaded",IF(5&lt;='I_Inputs &amp; Assumptions'!$B$8/2,'I_Budget Input Data'!$D$53*0.4/('I_Inputs &amp; Assumptions'!$B$8/2),'I_Budget Input Data'!$D$53*0.6/('I_Inputs &amp; Assumptions'!$B$8/2)),IF('I_Budget Input Data'!$E$53="Mid-weighted",IF(5&lt;='I_Inputs &amp; Assumptions'!$B$8/4,'I_Budget Input Data'!$D$53*0.2/('I_Inputs &amp; Assumptions'!$B$8/4),IF(5&lt;='I_Inputs &amp; Assumptions'!$B$8*0.75,'I_Budget Input Data'!$D$53*0.6/('I_Inputs &amp; Assumptions'!$B$8/2),'I_Budget Input Data'!$D$53*0.2/('I_Inputs &amp; Assumptions'!$B$8/4))),IF('I_Budget Input Data'!$E$53="At Completion",IF(5='I_Inputs &amp; Assumptions'!$B$8,'I_Budget Input Data'!$D$53,0),'I_Budget Input Data'!$D$53/'I_Inputs &amp; Assumptions'!$B$8)))))),0)</f>
        <v>4622.6153846153848</v>
      </c>
      <c r="H53" s="91">
        <f>IF(6&lt;='I_Inputs &amp; Assumptions'!$B$8,IF('I_Budget Input Data'!$E$53="Upfront",IF(6=1,'I_Budget Input Data'!$D$53,0),IF('I_Budget Input Data'!$E$53="Equal",'I_Budget Input Data'!$D$53/'I_Inputs &amp; Assumptions'!$B$8,IF('I_Budget Input Data'!$E$53="Front-loaded",IF(6&lt;='I_Inputs &amp; Assumptions'!$B$8/2,'I_Budget Input Data'!$D$53*0.6/('I_Inputs &amp; Assumptions'!$B$8/2),'I_Budget Input Data'!$D$53*0.4/('I_Inputs &amp; Assumptions'!$B$8/2)),IF('I_Budget Input Data'!$E$53="Back-loaded",IF(6&lt;='I_Inputs &amp; Assumptions'!$B$8/2,'I_Budget Input Data'!$D$53*0.4/('I_Inputs &amp; Assumptions'!$B$8/2),'I_Budget Input Data'!$D$53*0.6/('I_Inputs &amp; Assumptions'!$B$8/2)),IF('I_Budget Input Data'!$E$53="Mid-weighted",IF(6&lt;='I_Inputs &amp; Assumptions'!$B$8/4,'I_Budget Input Data'!$D$53*0.2/('I_Inputs &amp; Assumptions'!$B$8/4),IF(6&lt;='I_Inputs &amp; Assumptions'!$B$8*0.75,'I_Budget Input Data'!$D$53*0.6/('I_Inputs &amp; Assumptions'!$B$8/2),'I_Budget Input Data'!$D$53*0.2/('I_Inputs &amp; Assumptions'!$B$8/4))),IF('I_Budget Input Data'!$E$53="At Completion",IF(6='I_Inputs &amp; Assumptions'!$B$8,'I_Budget Input Data'!$D$53,0),'I_Budget Input Data'!$D$53/'I_Inputs &amp; Assumptions'!$B$8)))))),0)</f>
        <v>4622.6153846153848</v>
      </c>
      <c r="I53" s="91">
        <f>IF(7&lt;='I_Inputs &amp; Assumptions'!$B$8,IF('I_Budget Input Data'!$E$53="Upfront",IF(7=1,'I_Budget Input Data'!$D$53,0),IF('I_Budget Input Data'!$E$53="Equal",'I_Budget Input Data'!$D$53/'I_Inputs &amp; Assumptions'!$B$8,IF('I_Budget Input Data'!$E$53="Front-loaded",IF(7&lt;='I_Inputs &amp; Assumptions'!$B$8/2,'I_Budget Input Data'!$D$53*0.6/('I_Inputs &amp; Assumptions'!$B$8/2),'I_Budget Input Data'!$D$53*0.4/('I_Inputs &amp; Assumptions'!$B$8/2)),IF('I_Budget Input Data'!$E$53="Back-loaded",IF(7&lt;='I_Inputs &amp; Assumptions'!$B$8/2,'I_Budget Input Data'!$D$53*0.4/('I_Inputs &amp; Assumptions'!$B$8/2),'I_Budget Input Data'!$D$53*0.6/('I_Inputs &amp; Assumptions'!$B$8/2)),IF('I_Budget Input Data'!$E$53="Mid-weighted",IF(7&lt;='I_Inputs &amp; Assumptions'!$B$8/4,'I_Budget Input Data'!$D$53*0.2/('I_Inputs &amp; Assumptions'!$B$8/4),IF(7&lt;='I_Inputs &amp; Assumptions'!$B$8*0.75,'I_Budget Input Data'!$D$53*0.6/('I_Inputs &amp; Assumptions'!$B$8/2),'I_Budget Input Data'!$D$53*0.2/('I_Inputs &amp; Assumptions'!$B$8/4))),IF('I_Budget Input Data'!$E$53="At Completion",IF(7='I_Inputs &amp; Assumptions'!$B$8,'I_Budget Input Data'!$D$53,0),'I_Budget Input Data'!$D$53/'I_Inputs &amp; Assumptions'!$B$8)))))),0)</f>
        <v>4622.6153846153848</v>
      </c>
      <c r="J53" s="91">
        <f>IF(8&lt;='I_Inputs &amp; Assumptions'!$B$8,IF('I_Budget Input Data'!$E$53="Upfront",IF(8=1,'I_Budget Input Data'!$D$53,0),IF('I_Budget Input Data'!$E$53="Equal",'I_Budget Input Data'!$D$53/'I_Inputs &amp; Assumptions'!$B$8,IF('I_Budget Input Data'!$E$53="Front-loaded",IF(8&lt;='I_Inputs &amp; Assumptions'!$B$8/2,'I_Budget Input Data'!$D$53*0.6/('I_Inputs &amp; Assumptions'!$B$8/2),'I_Budget Input Data'!$D$53*0.4/('I_Inputs &amp; Assumptions'!$B$8/2)),IF('I_Budget Input Data'!$E$53="Back-loaded",IF(8&lt;='I_Inputs &amp; Assumptions'!$B$8/2,'I_Budget Input Data'!$D$53*0.4/('I_Inputs &amp; Assumptions'!$B$8/2),'I_Budget Input Data'!$D$53*0.6/('I_Inputs &amp; Assumptions'!$B$8/2)),IF('I_Budget Input Data'!$E$53="Mid-weighted",IF(8&lt;='I_Inputs &amp; Assumptions'!$B$8/4,'I_Budget Input Data'!$D$53*0.2/('I_Inputs &amp; Assumptions'!$B$8/4),IF(8&lt;='I_Inputs &amp; Assumptions'!$B$8*0.75,'I_Budget Input Data'!$D$53*0.6/('I_Inputs &amp; Assumptions'!$B$8/2),'I_Budget Input Data'!$D$53*0.2/('I_Inputs &amp; Assumptions'!$B$8/4))),IF('I_Budget Input Data'!$E$53="At Completion",IF(8='I_Inputs &amp; Assumptions'!$B$8,'I_Budget Input Data'!$D$53,0),'I_Budget Input Data'!$D$53/'I_Inputs &amp; Assumptions'!$B$8)))))),0)</f>
        <v>4622.6153846153848</v>
      </c>
      <c r="K53" s="91">
        <f>IF(9&lt;='I_Inputs &amp; Assumptions'!$B$8,IF('I_Budget Input Data'!$E$53="Upfront",IF(9=1,'I_Budget Input Data'!$D$53,0),IF('I_Budget Input Data'!$E$53="Equal",'I_Budget Input Data'!$D$53/'I_Inputs &amp; Assumptions'!$B$8,IF('I_Budget Input Data'!$E$53="Front-loaded",IF(9&lt;='I_Inputs &amp; Assumptions'!$B$8/2,'I_Budget Input Data'!$D$53*0.6/('I_Inputs &amp; Assumptions'!$B$8/2),'I_Budget Input Data'!$D$53*0.4/('I_Inputs &amp; Assumptions'!$B$8/2)),IF('I_Budget Input Data'!$E$53="Back-loaded",IF(9&lt;='I_Inputs &amp; Assumptions'!$B$8/2,'I_Budget Input Data'!$D$53*0.4/('I_Inputs &amp; Assumptions'!$B$8/2),'I_Budget Input Data'!$D$53*0.6/('I_Inputs &amp; Assumptions'!$B$8/2)),IF('I_Budget Input Data'!$E$53="Mid-weighted",IF(9&lt;='I_Inputs &amp; Assumptions'!$B$8/4,'I_Budget Input Data'!$D$53*0.2/('I_Inputs &amp; Assumptions'!$B$8/4),IF(9&lt;='I_Inputs &amp; Assumptions'!$B$8*0.75,'I_Budget Input Data'!$D$53*0.6/('I_Inputs &amp; Assumptions'!$B$8/2),'I_Budget Input Data'!$D$53*0.2/('I_Inputs &amp; Assumptions'!$B$8/4))),IF('I_Budget Input Data'!$E$53="At Completion",IF(9='I_Inputs &amp; Assumptions'!$B$8,'I_Budget Input Data'!$D$53,0),'I_Budget Input Data'!$D$53/'I_Inputs &amp; Assumptions'!$B$8)))))),0)</f>
        <v>4622.6153846153848</v>
      </c>
      <c r="L53" s="91">
        <f>IF(10&lt;='I_Inputs &amp; Assumptions'!$B$8,IF('I_Budget Input Data'!$E$53="Upfront",IF(10=1,'I_Budget Input Data'!$D$53,0),IF('I_Budget Input Data'!$E$53="Equal",'I_Budget Input Data'!$D$53/'I_Inputs &amp; Assumptions'!$B$8,IF('I_Budget Input Data'!$E$53="Front-loaded",IF(10&lt;='I_Inputs &amp; Assumptions'!$B$8/2,'I_Budget Input Data'!$D$53*0.6/('I_Inputs &amp; Assumptions'!$B$8/2),'I_Budget Input Data'!$D$53*0.4/('I_Inputs &amp; Assumptions'!$B$8/2)),IF('I_Budget Input Data'!$E$53="Back-loaded",IF(10&lt;='I_Inputs &amp; Assumptions'!$B$8/2,'I_Budget Input Data'!$D$53*0.4/('I_Inputs &amp; Assumptions'!$B$8/2),'I_Budget Input Data'!$D$53*0.6/('I_Inputs &amp; Assumptions'!$B$8/2)),IF('I_Budget Input Data'!$E$53="Mid-weighted",IF(10&lt;='I_Inputs &amp; Assumptions'!$B$8/4,'I_Budget Input Data'!$D$53*0.2/('I_Inputs &amp; Assumptions'!$B$8/4),IF(10&lt;='I_Inputs &amp; Assumptions'!$B$8*0.75,'I_Budget Input Data'!$D$53*0.6/('I_Inputs &amp; Assumptions'!$B$8/2),'I_Budget Input Data'!$D$53*0.2/('I_Inputs &amp; Assumptions'!$B$8/4))),IF('I_Budget Input Data'!$E$53="At Completion",IF(10='I_Inputs &amp; Assumptions'!$B$8,'I_Budget Input Data'!$D$53,0),'I_Budget Input Data'!$D$53/'I_Inputs &amp; Assumptions'!$B$8)))))),0)</f>
        <v>4622.6153846153848</v>
      </c>
      <c r="M53" s="91">
        <f>IF(11&lt;='I_Inputs &amp; Assumptions'!$B$8,IF('I_Budget Input Data'!$E$53="Upfront",IF(11=1,'I_Budget Input Data'!$D$53,0),IF('I_Budget Input Data'!$E$53="Equal",'I_Budget Input Data'!$D$53/'I_Inputs &amp; Assumptions'!$B$8,IF('I_Budget Input Data'!$E$53="Front-loaded",IF(11&lt;='I_Inputs &amp; Assumptions'!$B$8/2,'I_Budget Input Data'!$D$53*0.6/('I_Inputs &amp; Assumptions'!$B$8/2),'I_Budget Input Data'!$D$53*0.4/('I_Inputs &amp; Assumptions'!$B$8/2)),IF('I_Budget Input Data'!$E$53="Back-loaded",IF(11&lt;='I_Inputs &amp; Assumptions'!$B$8/2,'I_Budget Input Data'!$D$53*0.4/('I_Inputs &amp; Assumptions'!$B$8/2),'I_Budget Input Data'!$D$53*0.6/('I_Inputs &amp; Assumptions'!$B$8/2)),IF('I_Budget Input Data'!$E$53="Mid-weighted",IF(11&lt;='I_Inputs &amp; Assumptions'!$B$8/4,'I_Budget Input Data'!$D$53*0.2/('I_Inputs &amp; Assumptions'!$B$8/4),IF(11&lt;='I_Inputs &amp; Assumptions'!$B$8*0.75,'I_Budget Input Data'!$D$53*0.6/('I_Inputs &amp; Assumptions'!$B$8/2),'I_Budget Input Data'!$D$53*0.2/('I_Inputs &amp; Assumptions'!$B$8/4))),IF('I_Budget Input Data'!$E$53="At Completion",IF(11='I_Inputs &amp; Assumptions'!$B$8,'I_Budget Input Data'!$D$53,0),'I_Budget Input Data'!$D$53/'I_Inputs &amp; Assumptions'!$B$8)))))),0)</f>
        <v>4622.6153846153848</v>
      </c>
      <c r="N53" s="91">
        <f>IF(12&lt;='I_Inputs &amp; Assumptions'!$B$8,IF('I_Budget Input Data'!$E$53="Upfront",IF(12=1,'I_Budget Input Data'!$D$53,0),IF('I_Budget Input Data'!$E$53="Equal",'I_Budget Input Data'!$D$53/'I_Inputs &amp; Assumptions'!$B$8,IF('I_Budget Input Data'!$E$53="Front-loaded",IF(12&lt;='I_Inputs &amp; Assumptions'!$B$8/2,'I_Budget Input Data'!$D$53*0.6/('I_Inputs &amp; Assumptions'!$B$8/2),'I_Budget Input Data'!$D$53*0.4/('I_Inputs &amp; Assumptions'!$B$8/2)),IF('I_Budget Input Data'!$E$53="Back-loaded",IF(12&lt;='I_Inputs &amp; Assumptions'!$B$8/2,'I_Budget Input Data'!$D$53*0.4/('I_Inputs &amp; Assumptions'!$B$8/2),'I_Budget Input Data'!$D$53*0.6/('I_Inputs &amp; Assumptions'!$B$8/2)),IF('I_Budget Input Data'!$E$53="Mid-weighted",IF(12&lt;='I_Inputs &amp; Assumptions'!$B$8/4,'I_Budget Input Data'!$D$53*0.2/('I_Inputs &amp; Assumptions'!$B$8/4),IF(12&lt;='I_Inputs &amp; Assumptions'!$B$8*0.75,'I_Budget Input Data'!$D$53*0.6/('I_Inputs &amp; Assumptions'!$B$8/2),'I_Budget Input Data'!$D$53*0.2/('I_Inputs &amp; Assumptions'!$B$8/4))),IF('I_Budget Input Data'!$E$53="At Completion",IF(12='I_Inputs &amp; Assumptions'!$B$8,'I_Budget Input Data'!$D$53,0),'I_Budget Input Data'!$D$53/'I_Inputs &amp; Assumptions'!$B$8)))))),0)</f>
        <v>4622.6153846153848</v>
      </c>
      <c r="O53" s="91">
        <f>IF(13&lt;='I_Inputs &amp; Assumptions'!$B$8,IF('I_Budget Input Data'!$E$53="Upfront",IF(13=1,'I_Budget Input Data'!$D$53,0),IF('I_Budget Input Data'!$E$53="Equal",'I_Budget Input Data'!$D$53/'I_Inputs &amp; Assumptions'!$B$8,IF('I_Budget Input Data'!$E$53="Front-loaded",IF(13&lt;='I_Inputs &amp; Assumptions'!$B$8/2,'I_Budget Input Data'!$D$53*0.6/('I_Inputs &amp; Assumptions'!$B$8/2),'I_Budget Input Data'!$D$53*0.4/('I_Inputs &amp; Assumptions'!$B$8/2)),IF('I_Budget Input Data'!$E$53="Back-loaded",IF(13&lt;='I_Inputs &amp; Assumptions'!$B$8/2,'I_Budget Input Data'!$D$53*0.4/('I_Inputs &amp; Assumptions'!$B$8/2),'I_Budget Input Data'!$D$53*0.6/('I_Inputs &amp; Assumptions'!$B$8/2)),IF('I_Budget Input Data'!$E$53="Mid-weighted",IF(13&lt;='I_Inputs &amp; Assumptions'!$B$8/4,'I_Budget Input Data'!$D$53*0.2/('I_Inputs &amp; Assumptions'!$B$8/4),IF(13&lt;='I_Inputs &amp; Assumptions'!$B$8*0.75,'I_Budget Input Data'!$D$53*0.6/('I_Inputs &amp; Assumptions'!$B$8/2),'I_Budget Input Data'!$D$53*0.2/('I_Inputs &amp; Assumptions'!$B$8/4))),IF('I_Budget Input Data'!$E$53="At Completion",IF(13='I_Inputs &amp; Assumptions'!$B$8,'I_Budget Input Data'!$D$53,0),'I_Budget Input Data'!$D$53/'I_Inputs &amp; Assumptions'!$B$8)))))),0)</f>
        <v>4622.6153846153848</v>
      </c>
      <c r="P53" s="91">
        <f>IF(14&lt;='I_Inputs &amp; Assumptions'!$B$8,IF('I_Budget Input Data'!$E$53="Upfront",IF(14=1,'I_Budget Input Data'!$D$53,0),IF('I_Budget Input Data'!$E$53="Equal",'I_Budget Input Data'!$D$53/'I_Inputs &amp; Assumptions'!$B$8,IF('I_Budget Input Data'!$E$53="Front-loaded",IF(14&lt;='I_Inputs &amp; Assumptions'!$B$8/2,'I_Budget Input Data'!$D$53*0.6/('I_Inputs &amp; Assumptions'!$B$8/2),'I_Budget Input Data'!$D$53*0.4/('I_Inputs &amp; Assumptions'!$B$8/2)),IF('I_Budget Input Data'!$E$53="Back-loaded",IF(14&lt;='I_Inputs &amp; Assumptions'!$B$8/2,'I_Budget Input Data'!$D$53*0.4/('I_Inputs &amp; Assumptions'!$B$8/2),'I_Budget Input Data'!$D$53*0.6/('I_Inputs &amp; Assumptions'!$B$8/2)),IF('I_Budget Input Data'!$E$53="Mid-weighted",IF(14&lt;='I_Inputs &amp; Assumptions'!$B$8/4,'I_Budget Input Data'!$D$53*0.2/('I_Inputs &amp; Assumptions'!$B$8/4),IF(14&lt;='I_Inputs &amp; Assumptions'!$B$8*0.75,'I_Budget Input Data'!$D$53*0.6/('I_Inputs &amp; Assumptions'!$B$8/2),'I_Budget Input Data'!$D$53*0.2/('I_Inputs &amp; Assumptions'!$B$8/4))),IF('I_Budget Input Data'!$E$53="At Completion",IF(14='I_Inputs &amp; Assumptions'!$B$8,'I_Budget Input Data'!$D$53,0),'I_Budget Input Data'!$D$53/'I_Inputs &amp; Assumptions'!$B$8)))))),0)</f>
        <v>0</v>
      </c>
      <c r="Q53" s="91">
        <f>IF(15&lt;='I_Inputs &amp; Assumptions'!$B$8,IF('I_Budget Input Data'!$E$53="Upfront",IF(15=1,'I_Budget Input Data'!$D$53,0),IF('I_Budget Input Data'!$E$53="Equal",'I_Budget Input Data'!$D$53/'I_Inputs &amp; Assumptions'!$B$8,IF('I_Budget Input Data'!$E$53="Front-loaded",IF(15&lt;='I_Inputs &amp; Assumptions'!$B$8/2,'I_Budget Input Data'!$D$53*0.6/('I_Inputs &amp; Assumptions'!$B$8/2),'I_Budget Input Data'!$D$53*0.4/('I_Inputs &amp; Assumptions'!$B$8/2)),IF('I_Budget Input Data'!$E$53="Back-loaded",IF(15&lt;='I_Inputs &amp; Assumptions'!$B$8/2,'I_Budget Input Data'!$D$53*0.4/('I_Inputs &amp; Assumptions'!$B$8/2),'I_Budget Input Data'!$D$53*0.6/('I_Inputs &amp; Assumptions'!$B$8/2)),IF('I_Budget Input Data'!$E$53="Mid-weighted",IF(15&lt;='I_Inputs &amp; Assumptions'!$B$8/4,'I_Budget Input Data'!$D$53*0.2/('I_Inputs &amp; Assumptions'!$B$8/4),IF(15&lt;='I_Inputs &amp; Assumptions'!$B$8*0.75,'I_Budget Input Data'!$D$53*0.6/('I_Inputs &amp; Assumptions'!$B$8/2),'I_Budget Input Data'!$D$53*0.2/('I_Inputs &amp; Assumptions'!$B$8/4))),IF('I_Budget Input Data'!$E$53="At Completion",IF(15='I_Inputs &amp; Assumptions'!$B$8,'I_Budget Input Data'!$D$53,0),'I_Budget Input Data'!$D$53/'I_Inputs &amp; Assumptions'!$B$8)))))),0)</f>
        <v>0</v>
      </c>
      <c r="R53" s="91">
        <f>IF(16&lt;='I_Inputs &amp; Assumptions'!$B$8,IF('I_Budget Input Data'!$E$53="Upfront",IF(16=1,'I_Budget Input Data'!$D$53,0),IF('I_Budget Input Data'!$E$53="Equal",'I_Budget Input Data'!$D$53/'I_Inputs &amp; Assumptions'!$B$8,IF('I_Budget Input Data'!$E$53="Front-loaded",IF(16&lt;='I_Inputs &amp; Assumptions'!$B$8/2,'I_Budget Input Data'!$D$53*0.6/('I_Inputs &amp; Assumptions'!$B$8/2),'I_Budget Input Data'!$D$53*0.4/('I_Inputs &amp; Assumptions'!$B$8/2)),IF('I_Budget Input Data'!$E$53="Back-loaded",IF(16&lt;='I_Inputs &amp; Assumptions'!$B$8/2,'I_Budget Input Data'!$D$53*0.4/('I_Inputs &amp; Assumptions'!$B$8/2),'I_Budget Input Data'!$D$53*0.6/('I_Inputs &amp; Assumptions'!$B$8/2)),IF('I_Budget Input Data'!$E$53="Mid-weighted",IF(16&lt;='I_Inputs &amp; Assumptions'!$B$8/4,'I_Budget Input Data'!$D$53*0.2/('I_Inputs &amp; Assumptions'!$B$8/4),IF(16&lt;='I_Inputs &amp; Assumptions'!$B$8*0.75,'I_Budget Input Data'!$D$53*0.6/('I_Inputs &amp; Assumptions'!$B$8/2),'I_Budget Input Data'!$D$53*0.2/('I_Inputs &amp; Assumptions'!$B$8/4))),IF('I_Budget Input Data'!$E$53="At Completion",IF(16='I_Inputs &amp; Assumptions'!$B$8,'I_Budget Input Data'!$D$53,0),'I_Budget Input Data'!$D$53/'I_Inputs &amp; Assumptions'!$B$8)))))),0)</f>
        <v>0</v>
      </c>
      <c r="S53" s="91">
        <f>IF(17&lt;='I_Inputs &amp; Assumptions'!$B$8,IF('I_Budget Input Data'!$E$53="Upfront",IF(17=1,'I_Budget Input Data'!$D$53,0),IF('I_Budget Input Data'!$E$53="Equal",'I_Budget Input Data'!$D$53/'I_Inputs &amp; Assumptions'!$B$8,IF('I_Budget Input Data'!$E$53="Front-loaded",IF(17&lt;='I_Inputs &amp; Assumptions'!$B$8/2,'I_Budget Input Data'!$D$53*0.6/('I_Inputs &amp; Assumptions'!$B$8/2),'I_Budget Input Data'!$D$53*0.4/('I_Inputs &amp; Assumptions'!$B$8/2)),IF('I_Budget Input Data'!$E$53="Back-loaded",IF(17&lt;='I_Inputs &amp; Assumptions'!$B$8/2,'I_Budget Input Data'!$D$53*0.4/('I_Inputs &amp; Assumptions'!$B$8/2),'I_Budget Input Data'!$D$53*0.6/('I_Inputs &amp; Assumptions'!$B$8/2)),IF('I_Budget Input Data'!$E$53="Mid-weighted",IF(17&lt;='I_Inputs &amp; Assumptions'!$B$8/4,'I_Budget Input Data'!$D$53*0.2/('I_Inputs &amp; Assumptions'!$B$8/4),IF(17&lt;='I_Inputs &amp; Assumptions'!$B$8*0.75,'I_Budget Input Data'!$D$53*0.6/('I_Inputs &amp; Assumptions'!$B$8/2),'I_Budget Input Data'!$D$53*0.2/('I_Inputs &amp; Assumptions'!$B$8/4))),IF('I_Budget Input Data'!$E$53="At Completion",IF(17='I_Inputs &amp; Assumptions'!$B$8,'I_Budget Input Data'!$D$53,0),'I_Budget Input Data'!$D$53/'I_Inputs &amp; Assumptions'!$B$8)))))),0)</f>
        <v>0</v>
      </c>
      <c r="T53" s="91">
        <f>IF(18&lt;='I_Inputs &amp; Assumptions'!$B$8,IF('I_Budget Input Data'!$E$53="Upfront",IF(18=1,'I_Budget Input Data'!$D$53,0),IF('I_Budget Input Data'!$E$53="Equal",'I_Budget Input Data'!$D$53/'I_Inputs &amp; Assumptions'!$B$8,IF('I_Budget Input Data'!$E$53="Front-loaded",IF(18&lt;='I_Inputs &amp; Assumptions'!$B$8/2,'I_Budget Input Data'!$D$53*0.6/('I_Inputs &amp; Assumptions'!$B$8/2),'I_Budget Input Data'!$D$53*0.4/('I_Inputs &amp; Assumptions'!$B$8/2)),IF('I_Budget Input Data'!$E$53="Back-loaded",IF(18&lt;='I_Inputs &amp; Assumptions'!$B$8/2,'I_Budget Input Data'!$D$53*0.4/('I_Inputs &amp; Assumptions'!$B$8/2),'I_Budget Input Data'!$D$53*0.6/('I_Inputs &amp; Assumptions'!$B$8/2)),IF('I_Budget Input Data'!$E$53="Mid-weighted",IF(18&lt;='I_Inputs &amp; Assumptions'!$B$8/4,'I_Budget Input Data'!$D$53*0.2/('I_Inputs &amp; Assumptions'!$B$8/4),IF(18&lt;='I_Inputs &amp; Assumptions'!$B$8*0.75,'I_Budget Input Data'!$D$53*0.6/('I_Inputs &amp; Assumptions'!$B$8/2),'I_Budget Input Data'!$D$53*0.2/('I_Inputs &amp; Assumptions'!$B$8/4))),IF('I_Budget Input Data'!$E$53="At Completion",IF(18='I_Inputs &amp; Assumptions'!$B$8,'I_Budget Input Data'!$D$53,0),'I_Budget Input Data'!$D$53/'I_Inputs &amp; Assumptions'!$B$8)))))),0)</f>
        <v>0</v>
      </c>
      <c r="U53" s="91">
        <f>IF(19&lt;='I_Inputs &amp; Assumptions'!$B$8,IF('I_Budget Input Data'!$E$53="Upfront",IF(19=1,'I_Budget Input Data'!$D$53,0),IF('I_Budget Input Data'!$E$53="Equal",'I_Budget Input Data'!$D$53/'I_Inputs &amp; Assumptions'!$B$8,IF('I_Budget Input Data'!$E$53="Front-loaded",IF(19&lt;='I_Inputs &amp; Assumptions'!$B$8/2,'I_Budget Input Data'!$D$53*0.6/('I_Inputs &amp; Assumptions'!$B$8/2),'I_Budget Input Data'!$D$53*0.4/('I_Inputs &amp; Assumptions'!$B$8/2)),IF('I_Budget Input Data'!$E$53="Back-loaded",IF(19&lt;='I_Inputs &amp; Assumptions'!$B$8/2,'I_Budget Input Data'!$D$53*0.4/('I_Inputs &amp; Assumptions'!$B$8/2),'I_Budget Input Data'!$D$53*0.6/('I_Inputs &amp; Assumptions'!$B$8/2)),IF('I_Budget Input Data'!$E$53="Mid-weighted",IF(19&lt;='I_Inputs &amp; Assumptions'!$B$8/4,'I_Budget Input Data'!$D$53*0.2/('I_Inputs &amp; Assumptions'!$B$8/4),IF(19&lt;='I_Inputs &amp; Assumptions'!$B$8*0.75,'I_Budget Input Data'!$D$53*0.6/('I_Inputs &amp; Assumptions'!$B$8/2),'I_Budget Input Data'!$D$53*0.2/('I_Inputs &amp; Assumptions'!$B$8/4))),IF('I_Budget Input Data'!$E$53="At Completion",IF(19='I_Inputs &amp; Assumptions'!$B$8,'I_Budget Input Data'!$D$53,0),'I_Budget Input Data'!$D$53/'I_Inputs &amp; Assumptions'!$B$8)))))),0)</f>
        <v>0</v>
      </c>
      <c r="V53" s="91">
        <f>IF(20&lt;='I_Inputs &amp; Assumptions'!$B$8,IF('I_Budget Input Data'!$E$53="Upfront",IF(20=1,'I_Budget Input Data'!$D$53,0),IF('I_Budget Input Data'!$E$53="Equal",'I_Budget Input Data'!$D$53/'I_Inputs &amp; Assumptions'!$B$8,IF('I_Budget Input Data'!$E$53="Front-loaded",IF(20&lt;='I_Inputs &amp; Assumptions'!$B$8/2,'I_Budget Input Data'!$D$53*0.6/('I_Inputs &amp; Assumptions'!$B$8/2),'I_Budget Input Data'!$D$53*0.4/('I_Inputs &amp; Assumptions'!$B$8/2)),IF('I_Budget Input Data'!$E$53="Back-loaded",IF(20&lt;='I_Inputs &amp; Assumptions'!$B$8/2,'I_Budget Input Data'!$D$53*0.4/('I_Inputs &amp; Assumptions'!$B$8/2),'I_Budget Input Data'!$D$53*0.6/('I_Inputs &amp; Assumptions'!$B$8/2)),IF('I_Budget Input Data'!$E$53="Mid-weighted",IF(20&lt;='I_Inputs &amp; Assumptions'!$B$8/4,'I_Budget Input Data'!$D$53*0.2/('I_Inputs &amp; Assumptions'!$B$8/4),IF(20&lt;='I_Inputs &amp; Assumptions'!$B$8*0.75,'I_Budget Input Data'!$D$53*0.6/('I_Inputs &amp; Assumptions'!$B$8/2),'I_Budget Input Data'!$D$53*0.2/('I_Inputs &amp; Assumptions'!$B$8/4))),IF('I_Budget Input Data'!$E$53="At Completion",IF(20='I_Inputs &amp; Assumptions'!$B$8,'I_Budget Input Data'!$D$53,0),'I_Budget Input Data'!$D$53/'I_Inputs &amp; Assumptions'!$B$8)))))),0)</f>
        <v>0</v>
      </c>
      <c r="W53" s="91">
        <f>IF(21&lt;='I_Inputs &amp; Assumptions'!$B$8,IF('I_Budget Input Data'!$E$53="Upfront",IF(21=1,'I_Budget Input Data'!$D$53,0),IF('I_Budget Input Data'!$E$53="Equal",'I_Budget Input Data'!$D$53/'I_Inputs &amp; Assumptions'!$B$8,IF('I_Budget Input Data'!$E$53="Front-loaded",IF(21&lt;='I_Inputs &amp; Assumptions'!$B$8/2,'I_Budget Input Data'!$D$53*0.6/('I_Inputs &amp; Assumptions'!$B$8/2),'I_Budget Input Data'!$D$53*0.4/('I_Inputs &amp; Assumptions'!$B$8/2)),IF('I_Budget Input Data'!$E$53="Back-loaded",IF(21&lt;='I_Inputs &amp; Assumptions'!$B$8/2,'I_Budget Input Data'!$D$53*0.4/('I_Inputs &amp; Assumptions'!$B$8/2),'I_Budget Input Data'!$D$53*0.6/('I_Inputs &amp; Assumptions'!$B$8/2)),IF('I_Budget Input Data'!$E$53="Mid-weighted",IF(21&lt;='I_Inputs &amp; Assumptions'!$B$8/4,'I_Budget Input Data'!$D$53*0.2/('I_Inputs &amp; Assumptions'!$B$8/4),IF(21&lt;='I_Inputs &amp; Assumptions'!$B$8*0.75,'I_Budget Input Data'!$D$53*0.6/('I_Inputs &amp; Assumptions'!$B$8/2),'I_Budget Input Data'!$D$53*0.2/('I_Inputs &amp; Assumptions'!$B$8/4))),IF('I_Budget Input Data'!$E$53="At Completion",IF(21='I_Inputs &amp; Assumptions'!$B$8,'I_Budget Input Data'!$D$53,0),'I_Budget Input Data'!$D$53/'I_Inputs &amp; Assumptions'!$B$8)))))),0)</f>
        <v>0</v>
      </c>
      <c r="X53" s="91">
        <f>IF(22&lt;='I_Inputs &amp; Assumptions'!$B$8,IF('I_Budget Input Data'!$E$53="Upfront",IF(22=1,'I_Budget Input Data'!$D$53,0),IF('I_Budget Input Data'!$E$53="Equal",'I_Budget Input Data'!$D$53/'I_Inputs &amp; Assumptions'!$B$8,IF('I_Budget Input Data'!$E$53="Front-loaded",IF(22&lt;='I_Inputs &amp; Assumptions'!$B$8/2,'I_Budget Input Data'!$D$53*0.6/('I_Inputs &amp; Assumptions'!$B$8/2),'I_Budget Input Data'!$D$53*0.4/('I_Inputs &amp; Assumptions'!$B$8/2)),IF('I_Budget Input Data'!$E$53="Back-loaded",IF(22&lt;='I_Inputs &amp; Assumptions'!$B$8/2,'I_Budget Input Data'!$D$53*0.4/('I_Inputs &amp; Assumptions'!$B$8/2),'I_Budget Input Data'!$D$53*0.6/('I_Inputs &amp; Assumptions'!$B$8/2)),IF('I_Budget Input Data'!$E$53="Mid-weighted",IF(22&lt;='I_Inputs &amp; Assumptions'!$B$8/4,'I_Budget Input Data'!$D$53*0.2/('I_Inputs &amp; Assumptions'!$B$8/4),IF(22&lt;='I_Inputs &amp; Assumptions'!$B$8*0.75,'I_Budget Input Data'!$D$53*0.6/('I_Inputs &amp; Assumptions'!$B$8/2),'I_Budget Input Data'!$D$53*0.2/('I_Inputs &amp; Assumptions'!$B$8/4))),IF('I_Budget Input Data'!$E$53="At Completion",IF(22='I_Inputs &amp; Assumptions'!$B$8,'I_Budget Input Data'!$D$53,0),'I_Budget Input Data'!$D$53/'I_Inputs &amp; Assumptions'!$B$8)))))),0)</f>
        <v>0</v>
      </c>
      <c r="Y53" s="91">
        <f>IF(23&lt;='I_Inputs &amp; Assumptions'!$B$8,IF('I_Budget Input Data'!$E$53="Upfront",IF(23=1,'I_Budget Input Data'!$D$53,0),IF('I_Budget Input Data'!$E$53="Equal",'I_Budget Input Data'!$D$53/'I_Inputs &amp; Assumptions'!$B$8,IF('I_Budget Input Data'!$E$53="Front-loaded",IF(23&lt;='I_Inputs &amp; Assumptions'!$B$8/2,'I_Budget Input Data'!$D$53*0.6/('I_Inputs &amp; Assumptions'!$B$8/2),'I_Budget Input Data'!$D$53*0.4/('I_Inputs &amp; Assumptions'!$B$8/2)),IF('I_Budget Input Data'!$E$53="Back-loaded",IF(23&lt;='I_Inputs &amp; Assumptions'!$B$8/2,'I_Budget Input Data'!$D$53*0.4/('I_Inputs &amp; Assumptions'!$B$8/2),'I_Budget Input Data'!$D$53*0.6/('I_Inputs &amp; Assumptions'!$B$8/2)),IF('I_Budget Input Data'!$E$53="Mid-weighted",IF(23&lt;='I_Inputs &amp; Assumptions'!$B$8/4,'I_Budget Input Data'!$D$53*0.2/('I_Inputs &amp; Assumptions'!$B$8/4),IF(23&lt;='I_Inputs &amp; Assumptions'!$B$8*0.75,'I_Budget Input Data'!$D$53*0.6/('I_Inputs &amp; Assumptions'!$B$8/2),'I_Budget Input Data'!$D$53*0.2/('I_Inputs &amp; Assumptions'!$B$8/4))),IF('I_Budget Input Data'!$E$53="At Completion",IF(23='I_Inputs &amp; Assumptions'!$B$8,'I_Budget Input Data'!$D$53,0),'I_Budget Input Data'!$D$53/'I_Inputs &amp; Assumptions'!$B$8)))))),0)</f>
        <v>0</v>
      </c>
      <c r="Z53" s="91">
        <f>IF(24&lt;='I_Inputs &amp; Assumptions'!$B$8,IF('I_Budget Input Data'!$E$53="Upfront",IF(24=1,'I_Budget Input Data'!$D$53,0),IF('I_Budget Input Data'!$E$53="Equal",'I_Budget Input Data'!$D$53/'I_Inputs &amp; Assumptions'!$B$8,IF('I_Budget Input Data'!$E$53="Front-loaded",IF(24&lt;='I_Inputs &amp; Assumptions'!$B$8/2,'I_Budget Input Data'!$D$53*0.6/('I_Inputs &amp; Assumptions'!$B$8/2),'I_Budget Input Data'!$D$53*0.4/('I_Inputs &amp; Assumptions'!$B$8/2)),IF('I_Budget Input Data'!$E$53="Back-loaded",IF(24&lt;='I_Inputs &amp; Assumptions'!$B$8/2,'I_Budget Input Data'!$D$53*0.4/('I_Inputs &amp; Assumptions'!$B$8/2),'I_Budget Input Data'!$D$53*0.6/('I_Inputs &amp; Assumptions'!$B$8/2)),IF('I_Budget Input Data'!$E$53="Mid-weighted",IF(24&lt;='I_Inputs &amp; Assumptions'!$B$8/4,'I_Budget Input Data'!$D$53*0.2/('I_Inputs &amp; Assumptions'!$B$8/4),IF(24&lt;='I_Inputs &amp; Assumptions'!$B$8*0.75,'I_Budget Input Data'!$D$53*0.6/('I_Inputs &amp; Assumptions'!$B$8/2),'I_Budget Input Data'!$D$53*0.2/('I_Inputs &amp; Assumptions'!$B$8/4))),IF('I_Budget Input Data'!$E$53="At Completion",IF(24='I_Inputs &amp; Assumptions'!$B$8,'I_Budget Input Data'!$D$53,0),'I_Budget Input Data'!$D$53/'I_Inputs &amp; Assumptions'!$B$8)))))),0)</f>
        <v>0</v>
      </c>
      <c r="AA53" s="91">
        <f>IF(25&lt;='I_Inputs &amp; Assumptions'!$B$8,IF('I_Budget Input Data'!$E$53="Upfront",IF(25=1,'I_Budget Input Data'!$D$53,0),IF('I_Budget Input Data'!$E$53="Equal",'I_Budget Input Data'!$D$53/'I_Inputs &amp; Assumptions'!$B$8,IF('I_Budget Input Data'!$E$53="Front-loaded",IF(25&lt;='I_Inputs &amp; Assumptions'!$B$8/2,'I_Budget Input Data'!$D$53*0.6/('I_Inputs &amp; Assumptions'!$B$8/2),'I_Budget Input Data'!$D$53*0.4/('I_Inputs &amp; Assumptions'!$B$8/2)),IF('I_Budget Input Data'!$E$53="Back-loaded",IF(25&lt;='I_Inputs &amp; Assumptions'!$B$8/2,'I_Budget Input Data'!$D$53*0.4/('I_Inputs &amp; Assumptions'!$B$8/2),'I_Budget Input Data'!$D$53*0.6/('I_Inputs &amp; Assumptions'!$B$8/2)),IF('I_Budget Input Data'!$E$53="Mid-weighted",IF(25&lt;='I_Inputs &amp; Assumptions'!$B$8/4,'I_Budget Input Data'!$D$53*0.2/('I_Inputs &amp; Assumptions'!$B$8/4),IF(25&lt;='I_Inputs &amp; Assumptions'!$B$8*0.75,'I_Budget Input Data'!$D$53*0.6/('I_Inputs &amp; Assumptions'!$B$8/2),'I_Budget Input Data'!$D$53*0.2/('I_Inputs &amp; Assumptions'!$B$8/4))),IF('I_Budget Input Data'!$E$53="At Completion",IF(25='I_Inputs &amp; Assumptions'!$B$8,'I_Budget Input Data'!$D$53,0),'I_Budget Input Data'!$D$53/'I_Inputs &amp; Assumptions'!$B$8)))))),0)</f>
        <v>0</v>
      </c>
      <c r="AB53" s="91">
        <f>IF(26&lt;='I_Inputs &amp; Assumptions'!$B$8,IF('I_Budget Input Data'!$E$53="Upfront",IF(26=1,'I_Budget Input Data'!$D$53,0),IF('I_Budget Input Data'!$E$53="Equal",'I_Budget Input Data'!$D$53/'I_Inputs &amp; Assumptions'!$B$8,IF('I_Budget Input Data'!$E$53="Front-loaded",IF(26&lt;='I_Inputs &amp; Assumptions'!$B$8/2,'I_Budget Input Data'!$D$53*0.6/('I_Inputs &amp; Assumptions'!$B$8/2),'I_Budget Input Data'!$D$53*0.4/('I_Inputs &amp; Assumptions'!$B$8/2)),IF('I_Budget Input Data'!$E$53="Back-loaded",IF(26&lt;='I_Inputs &amp; Assumptions'!$B$8/2,'I_Budget Input Data'!$D$53*0.4/('I_Inputs &amp; Assumptions'!$B$8/2),'I_Budget Input Data'!$D$53*0.6/('I_Inputs &amp; Assumptions'!$B$8/2)),IF('I_Budget Input Data'!$E$53="Mid-weighted",IF(26&lt;='I_Inputs &amp; Assumptions'!$B$8/4,'I_Budget Input Data'!$D$53*0.2/('I_Inputs &amp; Assumptions'!$B$8/4),IF(26&lt;='I_Inputs &amp; Assumptions'!$B$8*0.75,'I_Budget Input Data'!$D$53*0.6/('I_Inputs &amp; Assumptions'!$B$8/2),'I_Budget Input Data'!$D$53*0.2/('I_Inputs &amp; Assumptions'!$B$8/4))),IF('I_Budget Input Data'!$E$53="At Completion",IF(26='I_Inputs &amp; Assumptions'!$B$8,'I_Budget Input Data'!$D$53,0),'I_Budget Input Data'!$D$53/'I_Inputs &amp; Assumptions'!$B$8)))))),0)</f>
        <v>0</v>
      </c>
      <c r="AC53" s="91">
        <f>IF(27&lt;='I_Inputs &amp; Assumptions'!$B$8,IF('I_Budget Input Data'!$E$53="Upfront",IF(27=1,'I_Budget Input Data'!$D$53,0),IF('I_Budget Input Data'!$E$53="Equal",'I_Budget Input Data'!$D$53/'I_Inputs &amp; Assumptions'!$B$8,IF('I_Budget Input Data'!$E$53="Front-loaded",IF(27&lt;='I_Inputs &amp; Assumptions'!$B$8/2,'I_Budget Input Data'!$D$53*0.6/('I_Inputs &amp; Assumptions'!$B$8/2),'I_Budget Input Data'!$D$53*0.4/('I_Inputs &amp; Assumptions'!$B$8/2)),IF('I_Budget Input Data'!$E$53="Back-loaded",IF(27&lt;='I_Inputs &amp; Assumptions'!$B$8/2,'I_Budget Input Data'!$D$53*0.4/('I_Inputs &amp; Assumptions'!$B$8/2),'I_Budget Input Data'!$D$53*0.6/('I_Inputs &amp; Assumptions'!$B$8/2)),IF('I_Budget Input Data'!$E$53="Mid-weighted",IF(27&lt;='I_Inputs &amp; Assumptions'!$B$8/4,'I_Budget Input Data'!$D$53*0.2/('I_Inputs &amp; Assumptions'!$B$8/4),IF(27&lt;='I_Inputs &amp; Assumptions'!$B$8*0.75,'I_Budget Input Data'!$D$53*0.6/('I_Inputs &amp; Assumptions'!$B$8/2),'I_Budget Input Data'!$D$53*0.2/('I_Inputs &amp; Assumptions'!$B$8/4))),IF('I_Budget Input Data'!$E$53="At Completion",IF(27='I_Inputs &amp; Assumptions'!$B$8,'I_Budget Input Data'!$D$53,0),'I_Budget Input Data'!$D$53/'I_Inputs &amp; Assumptions'!$B$8)))))),0)</f>
        <v>0</v>
      </c>
      <c r="AD53" s="91">
        <f>IF(28&lt;='I_Inputs &amp; Assumptions'!$B$8,IF('I_Budget Input Data'!$E$53="Upfront",IF(28=1,'I_Budget Input Data'!$D$53,0),IF('I_Budget Input Data'!$E$53="Equal",'I_Budget Input Data'!$D$53/'I_Inputs &amp; Assumptions'!$B$8,IF('I_Budget Input Data'!$E$53="Front-loaded",IF(28&lt;='I_Inputs &amp; Assumptions'!$B$8/2,'I_Budget Input Data'!$D$53*0.6/('I_Inputs &amp; Assumptions'!$B$8/2),'I_Budget Input Data'!$D$53*0.4/('I_Inputs &amp; Assumptions'!$B$8/2)),IF('I_Budget Input Data'!$E$53="Back-loaded",IF(28&lt;='I_Inputs &amp; Assumptions'!$B$8/2,'I_Budget Input Data'!$D$53*0.4/('I_Inputs &amp; Assumptions'!$B$8/2),'I_Budget Input Data'!$D$53*0.6/('I_Inputs &amp; Assumptions'!$B$8/2)),IF('I_Budget Input Data'!$E$53="Mid-weighted",IF(28&lt;='I_Inputs &amp; Assumptions'!$B$8/4,'I_Budget Input Data'!$D$53*0.2/('I_Inputs &amp; Assumptions'!$B$8/4),IF(28&lt;='I_Inputs &amp; Assumptions'!$B$8*0.75,'I_Budget Input Data'!$D$53*0.6/('I_Inputs &amp; Assumptions'!$B$8/2),'I_Budget Input Data'!$D$53*0.2/('I_Inputs &amp; Assumptions'!$B$8/4))),IF('I_Budget Input Data'!$E$53="At Completion",IF(28='I_Inputs &amp; Assumptions'!$B$8,'I_Budget Input Data'!$D$53,0),'I_Budget Input Data'!$D$53/'I_Inputs &amp; Assumptions'!$B$8)))))),0)</f>
        <v>0</v>
      </c>
      <c r="AE53" s="91">
        <f>IF(29&lt;='I_Inputs &amp; Assumptions'!$B$8,IF('I_Budget Input Data'!$E$53="Upfront",IF(29=1,'I_Budget Input Data'!$D$53,0),IF('I_Budget Input Data'!$E$53="Equal",'I_Budget Input Data'!$D$53/'I_Inputs &amp; Assumptions'!$B$8,IF('I_Budget Input Data'!$E$53="Front-loaded",IF(29&lt;='I_Inputs &amp; Assumptions'!$B$8/2,'I_Budget Input Data'!$D$53*0.6/('I_Inputs &amp; Assumptions'!$B$8/2),'I_Budget Input Data'!$D$53*0.4/('I_Inputs &amp; Assumptions'!$B$8/2)),IF('I_Budget Input Data'!$E$53="Back-loaded",IF(29&lt;='I_Inputs &amp; Assumptions'!$B$8/2,'I_Budget Input Data'!$D$53*0.4/('I_Inputs &amp; Assumptions'!$B$8/2),'I_Budget Input Data'!$D$53*0.6/('I_Inputs &amp; Assumptions'!$B$8/2)),IF('I_Budget Input Data'!$E$53="Mid-weighted",IF(29&lt;='I_Inputs &amp; Assumptions'!$B$8/4,'I_Budget Input Data'!$D$53*0.2/('I_Inputs &amp; Assumptions'!$B$8/4),IF(29&lt;='I_Inputs &amp; Assumptions'!$B$8*0.75,'I_Budget Input Data'!$D$53*0.6/('I_Inputs &amp; Assumptions'!$B$8/2),'I_Budget Input Data'!$D$53*0.2/('I_Inputs &amp; Assumptions'!$B$8/4))),IF('I_Budget Input Data'!$E$53="At Completion",IF(29='I_Inputs &amp; Assumptions'!$B$8,'I_Budget Input Data'!$D$53,0),'I_Budget Input Data'!$D$53/'I_Inputs &amp; Assumptions'!$B$8)))))),0)</f>
        <v>0</v>
      </c>
      <c r="AF53" s="91">
        <f>IF(30&lt;='I_Inputs &amp; Assumptions'!$B$8,IF('I_Budget Input Data'!$E$53="Upfront",IF(30=1,'I_Budget Input Data'!$D$53,0),IF('I_Budget Input Data'!$E$53="Equal",'I_Budget Input Data'!$D$53/'I_Inputs &amp; Assumptions'!$B$8,IF('I_Budget Input Data'!$E$53="Front-loaded",IF(30&lt;='I_Inputs &amp; Assumptions'!$B$8/2,'I_Budget Input Data'!$D$53*0.6/('I_Inputs &amp; Assumptions'!$B$8/2),'I_Budget Input Data'!$D$53*0.4/('I_Inputs &amp; Assumptions'!$B$8/2)),IF('I_Budget Input Data'!$E$53="Back-loaded",IF(30&lt;='I_Inputs &amp; Assumptions'!$B$8/2,'I_Budget Input Data'!$D$53*0.4/('I_Inputs &amp; Assumptions'!$B$8/2),'I_Budget Input Data'!$D$53*0.6/('I_Inputs &amp; Assumptions'!$B$8/2)),IF('I_Budget Input Data'!$E$53="Mid-weighted",IF(30&lt;='I_Inputs &amp; Assumptions'!$B$8/4,'I_Budget Input Data'!$D$53*0.2/('I_Inputs &amp; Assumptions'!$B$8/4),IF(30&lt;='I_Inputs &amp; Assumptions'!$B$8*0.75,'I_Budget Input Data'!$D$53*0.6/('I_Inputs &amp; Assumptions'!$B$8/2),'I_Budget Input Data'!$D$53*0.2/('I_Inputs &amp; Assumptions'!$B$8/4))),IF('I_Budget Input Data'!$E$53="At Completion",IF(30='I_Inputs &amp; Assumptions'!$B$8,'I_Budget Input Data'!$D$53,0),'I_Budget Input Data'!$D$53/'I_Inputs &amp; Assumptions'!$B$8)))))),0)</f>
        <v>0</v>
      </c>
      <c r="AG53" s="91">
        <f>IF(31&lt;='I_Inputs &amp; Assumptions'!$B$8,IF('I_Budget Input Data'!$E$53="Upfront",IF(31=1,'I_Budget Input Data'!$D$53,0),IF('I_Budget Input Data'!$E$53="Equal",'I_Budget Input Data'!$D$53/'I_Inputs &amp; Assumptions'!$B$8,IF('I_Budget Input Data'!$E$53="Front-loaded",IF(31&lt;='I_Inputs &amp; Assumptions'!$B$8/2,'I_Budget Input Data'!$D$53*0.6/('I_Inputs &amp; Assumptions'!$B$8/2),'I_Budget Input Data'!$D$53*0.4/('I_Inputs &amp; Assumptions'!$B$8/2)),IF('I_Budget Input Data'!$E$53="Back-loaded",IF(31&lt;='I_Inputs &amp; Assumptions'!$B$8/2,'I_Budget Input Data'!$D$53*0.4/('I_Inputs &amp; Assumptions'!$B$8/2),'I_Budget Input Data'!$D$53*0.6/('I_Inputs &amp; Assumptions'!$B$8/2)),IF('I_Budget Input Data'!$E$53="Mid-weighted",IF(31&lt;='I_Inputs &amp; Assumptions'!$B$8/4,'I_Budget Input Data'!$D$53*0.2/('I_Inputs &amp; Assumptions'!$B$8/4),IF(31&lt;='I_Inputs &amp; Assumptions'!$B$8*0.75,'I_Budget Input Data'!$D$53*0.6/('I_Inputs &amp; Assumptions'!$B$8/2),'I_Budget Input Data'!$D$53*0.2/('I_Inputs &amp; Assumptions'!$B$8/4))),IF('I_Budget Input Data'!$E$53="At Completion",IF(31='I_Inputs &amp; Assumptions'!$B$8,'I_Budget Input Data'!$D$53,0),'I_Budget Input Data'!$D$53/'I_Inputs &amp; Assumptions'!$B$8)))))),0)</f>
        <v>0</v>
      </c>
      <c r="AH53" s="91">
        <f>IF(32&lt;='I_Inputs &amp; Assumptions'!$B$8,IF('I_Budget Input Data'!$E$53="Upfront",IF(32=1,'I_Budget Input Data'!$D$53,0),IF('I_Budget Input Data'!$E$53="Equal",'I_Budget Input Data'!$D$53/'I_Inputs &amp; Assumptions'!$B$8,IF('I_Budget Input Data'!$E$53="Front-loaded",IF(32&lt;='I_Inputs &amp; Assumptions'!$B$8/2,'I_Budget Input Data'!$D$53*0.6/('I_Inputs &amp; Assumptions'!$B$8/2),'I_Budget Input Data'!$D$53*0.4/('I_Inputs &amp; Assumptions'!$B$8/2)),IF('I_Budget Input Data'!$E$53="Back-loaded",IF(32&lt;='I_Inputs &amp; Assumptions'!$B$8/2,'I_Budget Input Data'!$D$53*0.4/('I_Inputs &amp; Assumptions'!$B$8/2),'I_Budget Input Data'!$D$53*0.6/('I_Inputs &amp; Assumptions'!$B$8/2)),IF('I_Budget Input Data'!$E$53="Mid-weighted",IF(32&lt;='I_Inputs &amp; Assumptions'!$B$8/4,'I_Budget Input Data'!$D$53*0.2/('I_Inputs &amp; Assumptions'!$B$8/4),IF(32&lt;='I_Inputs &amp; Assumptions'!$B$8*0.75,'I_Budget Input Data'!$D$53*0.6/('I_Inputs &amp; Assumptions'!$B$8/2),'I_Budget Input Data'!$D$53*0.2/('I_Inputs &amp; Assumptions'!$B$8/4))),IF('I_Budget Input Data'!$E$53="At Completion",IF(32='I_Inputs &amp; Assumptions'!$B$8,'I_Budget Input Data'!$D$53,0),'I_Budget Input Data'!$D$53/'I_Inputs &amp; Assumptions'!$B$8)))))),0)</f>
        <v>0</v>
      </c>
      <c r="AI53" s="91">
        <f>IF(33&lt;='I_Inputs &amp; Assumptions'!$B$8,IF('I_Budget Input Data'!$E$53="Upfront",IF(33=1,'I_Budget Input Data'!$D$53,0),IF('I_Budget Input Data'!$E$53="Equal",'I_Budget Input Data'!$D$53/'I_Inputs &amp; Assumptions'!$B$8,IF('I_Budget Input Data'!$E$53="Front-loaded",IF(33&lt;='I_Inputs &amp; Assumptions'!$B$8/2,'I_Budget Input Data'!$D$53*0.6/('I_Inputs &amp; Assumptions'!$B$8/2),'I_Budget Input Data'!$D$53*0.4/('I_Inputs &amp; Assumptions'!$B$8/2)),IF('I_Budget Input Data'!$E$53="Back-loaded",IF(33&lt;='I_Inputs &amp; Assumptions'!$B$8/2,'I_Budget Input Data'!$D$53*0.4/('I_Inputs &amp; Assumptions'!$B$8/2),'I_Budget Input Data'!$D$53*0.6/('I_Inputs &amp; Assumptions'!$B$8/2)),IF('I_Budget Input Data'!$E$53="Mid-weighted",IF(33&lt;='I_Inputs &amp; Assumptions'!$B$8/4,'I_Budget Input Data'!$D$53*0.2/('I_Inputs &amp; Assumptions'!$B$8/4),IF(33&lt;='I_Inputs &amp; Assumptions'!$B$8*0.75,'I_Budget Input Data'!$D$53*0.6/('I_Inputs &amp; Assumptions'!$B$8/2),'I_Budget Input Data'!$D$53*0.2/('I_Inputs &amp; Assumptions'!$B$8/4))),IF('I_Budget Input Data'!$E$53="At Completion",IF(33='I_Inputs &amp; Assumptions'!$B$8,'I_Budget Input Data'!$D$53,0),'I_Budget Input Data'!$D$53/'I_Inputs &amp; Assumptions'!$B$8)))))),0)</f>
        <v>0</v>
      </c>
      <c r="AJ53" s="91">
        <f>IF(34&lt;='I_Inputs &amp; Assumptions'!$B$8,IF('I_Budget Input Data'!$E$53="Upfront",IF(34=1,'I_Budget Input Data'!$D$53,0),IF('I_Budget Input Data'!$E$53="Equal",'I_Budget Input Data'!$D$53/'I_Inputs &amp; Assumptions'!$B$8,IF('I_Budget Input Data'!$E$53="Front-loaded",IF(34&lt;='I_Inputs &amp; Assumptions'!$B$8/2,'I_Budget Input Data'!$D$53*0.6/('I_Inputs &amp; Assumptions'!$B$8/2),'I_Budget Input Data'!$D$53*0.4/('I_Inputs &amp; Assumptions'!$B$8/2)),IF('I_Budget Input Data'!$E$53="Back-loaded",IF(34&lt;='I_Inputs &amp; Assumptions'!$B$8/2,'I_Budget Input Data'!$D$53*0.4/('I_Inputs &amp; Assumptions'!$B$8/2),'I_Budget Input Data'!$D$53*0.6/('I_Inputs &amp; Assumptions'!$B$8/2)),IF('I_Budget Input Data'!$E$53="Mid-weighted",IF(34&lt;='I_Inputs &amp; Assumptions'!$B$8/4,'I_Budget Input Data'!$D$53*0.2/('I_Inputs &amp; Assumptions'!$B$8/4),IF(34&lt;='I_Inputs &amp; Assumptions'!$B$8*0.75,'I_Budget Input Data'!$D$53*0.6/('I_Inputs &amp; Assumptions'!$B$8/2),'I_Budget Input Data'!$D$53*0.2/('I_Inputs &amp; Assumptions'!$B$8/4))),IF('I_Budget Input Data'!$E$53="At Completion",IF(34='I_Inputs &amp; Assumptions'!$B$8,'I_Budget Input Data'!$D$53,0),'I_Budget Input Data'!$D$53/'I_Inputs &amp; Assumptions'!$B$8)))))),0)</f>
        <v>0</v>
      </c>
      <c r="AK53" s="91">
        <f>IF(35&lt;='I_Inputs &amp; Assumptions'!$B$8,IF('I_Budget Input Data'!$E$53="Upfront",IF(35=1,'I_Budget Input Data'!$D$53,0),IF('I_Budget Input Data'!$E$53="Equal",'I_Budget Input Data'!$D$53/'I_Inputs &amp; Assumptions'!$B$8,IF('I_Budget Input Data'!$E$53="Front-loaded",IF(35&lt;='I_Inputs &amp; Assumptions'!$B$8/2,'I_Budget Input Data'!$D$53*0.6/('I_Inputs &amp; Assumptions'!$B$8/2),'I_Budget Input Data'!$D$53*0.4/('I_Inputs &amp; Assumptions'!$B$8/2)),IF('I_Budget Input Data'!$E$53="Back-loaded",IF(35&lt;='I_Inputs &amp; Assumptions'!$B$8/2,'I_Budget Input Data'!$D$53*0.4/('I_Inputs &amp; Assumptions'!$B$8/2),'I_Budget Input Data'!$D$53*0.6/('I_Inputs &amp; Assumptions'!$B$8/2)),IF('I_Budget Input Data'!$E$53="Mid-weighted",IF(35&lt;='I_Inputs &amp; Assumptions'!$B$8/4,'I_Budget Input Data'!$D$53*0.2/('I_Inputs &amp; Assumptions'!$B$8/4),IF(35&lt;='I_Inputs &amp; Assumptions'!$B$8*0.75,'I_Budget Input Data'!$D$53*0.6/('I_Inputs &amp; Assumptions'!$B$8/2),'I_Budget Input Data'!$D$53*0.2/('I_Inputs &amp; Assumptions'!$B$8/4))),IF('I_Budget Input Data'!$E$53="At Completion",IF(35='I_Inputs &amp; Assumptions'!$B$8,'I_Budget Input Data'!$D$53,0),'I_Budget Input Data'!$D$53/'I_Inputs &amp; Assumptions'!$B$8)))))),0)</f>
        <v>0</v>
      </c>
      <c r="AL53" s="91">
        <f>IF(36&lt;='I_Inputs &amp; Assumptions'!$B$8,IF('I_Budget Input Data'!$E$53="Upfront",IF(36=1,'I_Budget Input Data'!$D$53,0),IF('I_Budget Input Data'!$E$53="Equal",'I_Budget Input Data'!$D$53/'I_Inputs &amp; Assumptions'!$B$8,IF('I_Budget Input Data'!$E$53="Front-loaded",IF(36&lt;='I_Inputs &amp; Assumptions'!$B$8/2,'I_Budget Input Data'!$D$53*0.6/('I_Inputs &amp; Assumptions'!$B$8/2),'I_Budget Input Data'!$D$53*0.4/('I_Inputs &amp; Assumptions'!$B$8/2)),IF('I_Budget Input Data'!$E$53="Back-loaded",IF(36&lt;='I_Inputs &amp; Assumptions'!$B$8/2,'I_Budget Input Data'!$D$53*0.4/('I_Inputs &amp; Assumptions'!$B$8/2),'I_Budget Input Data'!$D$53*0.6/('I_Inputs &amp; Assumptions'!$B$8/2)),IF('I_Budget Input Data'!$E$53="Mid-weighted",IF(36&lt;='I_Inputs &amp; Assumptions'!$B$8/4,'I_Budget Input Data'!$D$53*0.2/('I_Inputs &amp; Assumptions'!$B$8/4),IF(36&lt;='I_Inputs &amp; Assumptions'!$B$8*0.75,'I_Budget Input Data'!$D$53*0.6/('I_Inputs &amp; Assumptions'!$B$8/2),'I_Budget Input Data'!$D$53*0.2/('I_Inputs &amp; Assumptions'!$B$8/4))),IF('I_Budget Input Data'!$E$53="At Completion",IF(36='I_Inputs &amp; Assumptions'!$B$8,'I_Budget Input Data'!$D$53,0),'I_Budget Input Data'!$D$53/'I_Inputs &amp; Assumptions'!$B$8)))))),0)</f>
        <v>0</v>
      </c>
    </row>
    <row r="54" spans="1:38" ht="15" customHeight="1" x14ac:dyDescent="0.2">
      <c r="A54" t="s">
        <v>146</v>
      </c>
      <c r="B54" t="s">
        <v>175</v>
      </c>
      <c r="C54" s="91">
        <f>IF(1&lt;='I_Inputs &amp; Assumptions'!$B$8,IF('I_Budget Input Data'!$E$54="Upfront",IF(1=1,'I_Budget Input Data'!$D$54,0),IF('I_Budget Input Data'!$E$54="Equal",'I_Budget Input Data'!$D$54/'I_Inputs &amp; Assumptions'!$B$8,IF('I_Budget Input Data'!$E$54="Front-loaded",IF(1&lt;='I_Inputs &amp; Assumptions'!$B$8/2,'I_Budget Input Data'!$D$54*0.6/('I_Inputs &amp; Assumptions'!$B$8/2),'I_Budget Input Data'!$D$54*0.4/('I_Inputs &amp; Assumptions'!$B$8/2)),IF('I_Budget Input Data'!$E$54="Back-loaded",IF(1&lt;='I_Inputs &amp; Assumptions'!$B$8/2,'I_Budget Input Data'!$D$54*0.4/('I_Inputs &amp; Assumptions'!$B$8/2),'I_Budget Input Data'!$D$54*0.6/('I_Inputs &amp; Assumptions'!$B$8/2)),IF('I_Budget Input Data'!$E$54="Mid-weighted",IF(1&lt;='I_Inputs &amp; Assumptions'!$B$8/4,'I_Budget Input Data'!$D$54*0.2/('I_Inputs &amp; Assumptions'!$B$8/4),IF(1&lt;='I_Inputs &amp; Assumptions'!$B$8*0.75,'I_Budget Input Data'!$D$54*0.6/('I_Inputs &amp; Assumptions'!$B$8/2),'I_Budget Input Data'!$D$54*0.2/('I_Inputs &amp; Assumptions'!$B$8/4))),IF('I_Budget Input Data'!$E$54="At Completion",IF(1='I_Inputs &amp; Assumptions'!$B$8,'I_Budget Input Data'!$D$54,0),'I_Budget Input Data'!$D$54/'I_Inputs &amp; Assumptions'!$B$8)))))),0)</f>
        <v>4138.4615384615381</v>
      </c>
      <c r="D54" s="91">
        <f>IF(2&lt;='I_Inputs &amp; Assumptions'!$B$8,IF('I_Budget Input Data'!$E$54="Upfront",IF(2=1,'I_Budget Input Data'!$D$54,0),IF('I_Budget Input Data'!$E$54="Equal",'I_Budget Input Data'!$D$54/'I_Inputs &amp; Assumptions'!$B$8,IF('I_Budget Input Data'!$E$54="Front-loaded",IF(2&lt;='I_Inputs &amp; Assumptions'!$B$8/2,'I_Budget Input Data'!$D$54*0.6/('I_Inputs &amp; Assumptions'!$B$8/2),'I_Budget Input Data'!$D$54*0.4/('I_Inputs &amp; Assumptions'!$B$8/2)),IF('I_Budget Input Data'!$E$54="Back-loaded",IF(2&lt;='I_Inputs &amp; Assumptions'!$B$8/2,'I_Budget Input Data'!$D$54*0.4/('I_Inputs &amp; Assumptions'!$B$8/2),'I_Budget Input Data'!$D$54*0.6/('I_Inputs &amp; Assumptions'!$B$8/2)),IF('I_Budget Input Data'!$E$54="Mid-weighted",IF(2&lt;='I_Inputs &amp; Assumptions'!$B$8/4,'I_Budget Input Data'!$D$54*0.2/('I_Inputs &amp; Assumptions'!$B$8/4),IF(2&lt;='I_Inputs &amp; Assumptions'!$B$8*0.75,'I_Budget Input Data'!$D$54*0.6/('I_Inputs &amp; Assumptions'!$B$8/2),'I_Budget Input Data'!$D$54*0.2/('I_Inputs &amp; Assumptions'!$B$8/4))),IF('I_Budget Input Data'!$E$54="At Completion",IF(2='I_Inputs &amp; Assumptions'!$B$8,'I_Budget Input Data'!$D$54,0),'I_Budget Input Data'!$D$54/'I_Inputs &amp; Assumptions'!$B$8)))))),0)</f>
        <v>4138.4615384615381</v>
      </c>
      <c r="E54" s="91">
        <f>IF(3&lt;='I_Inputs &amp; Assumptions'!$B$8,IF('I_Budget Input Data'!$E$54="Upfront",IF(3=1,'I_Budget Input Data'!$D$54,0),IF('I_Budget Input Data'!$E$54="Equal",'I_Budget Input Data'!$D$54/'I_Inputs &amp; Assumptions'!$B$8,IF('I_Budget Input Data'!$E$54="Front-loaded",IF(3&lt;='I_Inputs &amp; Assumptions'!$B$8/2,'I_Budget Input Data'!$D$54*0.6/('I_Inputs &amp; Assumptions'!$B$8/2),'I_Budget Input Data'!$D$54*0.4/('I_Inputs &amp; Assumptions'!$B$8/2)),IF('I_Budget Input Data'!$E$54="Back-loaded",IF(3&lt;='I_Inputs &amp; Assumptions'!$B$8/2,'I_Budget Input Data'!$D$54*0.4/('I_Inputs &amp; Assumptions'!$B$8/2),'I_Budget Input Data'!$D$54*0.6/('I_Inputs &amp; Assumptions'!$B$8/2)),IF('I_Budget Input Data'!$E$54="Mid-weighted",IF(3&lt;='I_Inputs &amp; Assumptions'!$B$8/4,'I_Budget Input Data'!$D$54*0.2/('I_Inputs &amp; Assumptions'!$B$8/4),IF(3&lt;='I_Inputs &amp; Assumptions'!$B$8*0.75,'I_Budget Input Data'!$D$54*0.6/('I_Inputs &amp; Assumptions'!$B$8/2),'I_Budget Input Data'!$D$54*0.2/('I_Inputs &amp; Assumptions'!$B$8/4))),IF('I_Budget Input Data'!$E$54="At Completion",IF(3='I_Inputs &amp; Assumptions'!$B$8,'I_Budget Input Data'!$D$54,0),'I_Budget Input Data'!$D$54/'I_Inputs &amp; Assumptions'!$B$8)))))),0)</f>
        <v>4138.4615384615381</v>
      </c>
      <c r="F54" s="91">
        <f>IF(4&lt;='I_Inputs &amp; Assumptions'!$B$8,IF('I_Budget Input Data'!$E$54="Upfront",IF(4=1,'I_Budget Input Data'!$D$54,0),IF('I_Budget Input Data'!$E$54="Equal",'I_Budget Input Data'!$D$54/'I_Inputs &amp; Assumptions'!$B$8,IF('I_Budget Input Data'!$E$54="Front-loaded",IF(4&lt;='I_Inputs &amp; Assumptions'!$B$8/2,'I_Budget Input Data'!$D$54*0.6/('I_Inputs &amp; Assumptions'!$B$8/2),'I_Budget Input Data'!$D$54*0.4/('I_Inputs &amp; Assumptions'!$B$8/2)),IF('I_Budget Input Data'!$E$54="Back-loaded",IF(4&lt;='I_Inputs &amp; Assumptions'!$B$8/2,'I_Budget Input Data'!$D$54*0.4/('I_Inputs &amp; Assumptions'!$B$8/2),'I_Budget Input Data'!$D$54*0.6/('I_Inputs &amp; Assumptions'!$B$8/2)),IF('I_Budget Input Data'!$E$54="Mid-weighted",IF(4&lt;='I_Inputs &amp; Assumptions'!$B$8/4,'I_Budget Input Data'!$D$54*0.2/('I_Inputs &amp; Assumptions'!$B$8/4),IF(4&lt;='I_Inputs &amp; Assumptions'!$B$8*0.75,'I_Budget Input Data'!$D$54*0.6/('I_Inputs &amp; Assumptions'!$B$8/2),'I_Budget Input Data'!$D$54*0.2/('I_Inputs &amp; Assumptions'!$B$8/4))),IF('I_Budget Input Data'!$E$54="At Completion",IF(4='I_Inputs &amp; Assumptions'!$B$8,'I_Budget Input Data'!$D$54,0),'I_Budget Input Data'!$D$54/'I_Inputs &amp; Assumptions'!$B$8)))))),0)</f>
        <v>4138.4615384615381</v>
      </c>
      <c r="G54" s="91">
        <f>IF(5&lt;='I_Inputs &amp; Assumptions'!$B$8,IF('I_Budget Input Data'!$E$54="Upfront",IF(5=1,'I_Budget Input Data'!$D$54,0),IF('I_Budget Input Data'!$E$54="Equal",'I_Budget Input Data'!$D$54/'I_Inputs &amp; Assumptions'!$B$8,IF('I_Budget Input Data'!$E$54="Front-loaded",IF(5&lt;='I_Inputs &amp; Assumptions'!$B$8/2,'I_Budget Input Data'!$D$54*0.6/('I_Inputs &amp; Assumptions'!$B$8/2),'I_Budget Input Data'!$D$54*0.4/('I_Inputs &amp; Assumptions'!$B$8/2)),IF('I_Budget Input Data'!$E$54="Back-loaded",IF(5&lt;='I_Inputs &amp; Assumptions'!$B$8/2,'I_Budget Input Data'!$D$54*0.4/('I_Inputs &amp; Assumptions'!$B$8/2),'I_Budget Input Data'!$D$54*0.6/('I_Inputs &amp; Assumptions'!$B$8/2)),IF('I_Budget Input Data'!$E$54="Mid-weighted",IF(5&lt;='I_Inputs &amp; Assumptions'!$B$8/4,'I_Budget Input Data'!$D$54*0.2/('I_Inputs &amp; Assumptions'!$B$8/4),IF(5&lt;='I_Inputs &amp; Assumptions'!$B$8*0.75,'I_Budget Input Data'!$D$54*0.6/('I_Inputs &amp; Assumptions'!$B$8/2),'I_Budget Input Data'!$D$54*0.2/('I_Inputs &amp; Assumptions'!$B$8/4))),IF('I_Budget Input Data'!$E$54="At Completion",IF(5='I_Inputs &amp; Assumptions'!$B$8,'I_Budget Input Data'!$D$54,0),'I_Budget Input Data'!$D$54/'I_Inputs &amp; Assumptions'!$B$8)))))),0)</f>
        <v>4138.4615384615381</v>
      </c>
      <c r="H54" s="91">
        <f>IF(6&lt;='I_Inputs &amp; Assumptions'!$B$8,IF('I_Budget Input Data'!$E$54="Upfront",IF(6=1,'I_Budget Input Data'!$D$54,0),IF('I_Budget Input Data'!$E$54="Equal",'I_Budget Input Data'!$D$54/'I_Inputs &amp; Assumptions'!$B$8,IF('I_Budget Input Data'!$E$54="Front-loaded",IF(6&lt;='I_Inputs &amp; Assumptions'!$B$8/2,'I_Budget Input Data'!$D$54*0.6/('I_Inputs &amp; Assumptions'!$B$8/2),'I_Budget Input Data'!$D$54*0.4/('I_Inputs &amp; Assumptions'!$B$8/2)),IF('I_Budget Input Data'!$E$54="Back-loaded",IF(6&lt;='I_Inputs &amp; Assumptions'!$B$8/2,'I_Budget Input Data'!$D$54*0.4/('I_Inputs &amp; Assumptions'!$B$8/2),'I_Budget Input Data'!$D$54*0.6/('I_Inputs &amp; Assumptions'!$B$8/2)),IF('I_Budget Input Data'!$E$54="Mid-weighted",IF(6&lt;='I_Inputs &amp; Assumptions'!$B$8/4,'I_Budget Input Data'!$D$54*0.2/('I_Inputs &amp; Assumptions'!$B$8/4),IF(6&lt;='I_Inputs &amp; Assumptions'!$B$8*0.75,'I_Budget Input Data'!$D$54*0.6/('I_Inputs &amp; Assumptions'!$B$8/2),'I_Budget Input Data'!$D$54*0.2/('I_Inputs &amp; Assumptions'!$B$8/4))),IF('I_Budget Input Data'!$E$54="At Completion",IF(6='I_Inputs &amp; Assumptions'!$B$8,'I_Budget Input Data'!$D$54,0),'I_Budget Input Data'!$D$54/'I_Inputs &amp; Assumptions'!$B$8)))))),0)</f>
        <v>4138.4615384615381</v>
      </c>
      <c r="I54" s="91">
        <f>IF(7&lt;='I_Inputs &amp; Assumptions'!$B$8,IF('I_Budget Input Data'!$E$54="Upfront",IF(7=1,'I_Budget Input Data'!$D$54,0),IF('I_Budget Input Data'!$E$54="Equal",'I_Budget Input Data'!$D$54/'I_Inputs &amp; Assumptions'!$B$8,IF('I_Budget Input Data'!$E$54="Front-loaded",IF(7&lt;='I_Inputs &amp; Assumptions'!$B$8/2,'I_Budget Input Data'!$D$54*0.6/('I_Inputs &amp; Assumptions'!$B$8/2),'I_Budget Input Data'!$D$54*0.4/('I_Inputs &amp; Assumptions'!$B$8/2)),IF('I_Budget Input Data'!$E$54="Back-loaded",IF(7&lt;='I_Inputs &amp; Assumptions'!$B$8/2,'I_Budget Input Data'!$D$54*0.4/('I_Inputs &amp; Assumptions'!$B$8/2),'I_Budget Input Data'!$D$54*0.6/('I_Inputs &amp; Assumptions'!$B$8/2)),IF('I_Budget Input Data'!$E$54="Mid-weighted",IF(7&lt;='I_Inputs &amp; Assumptions'!$B$8/4,'I_Budget Input Data'!$D$54*0.2/('I_Inputs &amp; Assumptions'!$B$8/4),IF(7&lt;='I_Inputs &amp; Assumptions'!$B$8*0.75,'I_Budget Input Data'!$D$54*0.6/('I_Inputs &amp; Assumptions'!$B$8/2),'I_Budget Input Data'!$D$54*0.2/('I_Inputs &amp; Assumptions'!$B$8/4))),IF('I_Budget Input Data'!$E$54="At Completion",IF(7='I_Inputs &amp; Assumptions'!$B$8,'I_Budget Input Data'!$D$54,0),'I_Budget Input Data'!$D$54/'I_Inputs &amp; Assumptions'!$B$8)))))),0)</f>
        <v>4138.4615384615381</v>
      </c>
      <c r="J54" s="91">
        <f>IF(8&lt;='I_Inputs &amp; Assumptions'!$B$8,IF('I_Budget Input Data'!$E$54="Upfront",IF(8=1,'I_Budget Input Data'!$D$54,0),IF('I_Budget Input Data'!$E$54="Equal",'I_Budget Input Data'!$D$54/'I_Inputs &amp; Assumptions'!$B$8,IF('I_Budget Input Data'!$E$54="Front-loaded",IF(8&lt;='I_Inputs &amp; Assumptions'!$B$8/2,'I_Budget Input Data'!$D$54*0.6/('I_Inputs &amp; Assumptions'!$B$8/2),'I_Budget Input Data'!$D$54*0.4/('I_Inputs &amp; Assumptions'!$B$8/2)),IF('I_Budget Input Data'!$E$54="Back-loaded",IF(8&lt;='I_Inputs &amp; Assumptions'!$B$8/2,'I_Budget Input Data'!$D$54*0.4/('I_Inputs &amp; Assumptions'!$B$8/2),'I_Budget Input Data'!$D$54*0.6/('I_Inputs &amp; Assumptions'!$B$8/2)),IF('I_Budget Input Data'!$E$54="Mid-weighted",IF(8&lt;='I_Inputs &amp; Assumptions'!$B$8/4,'I_Budget Input Data'!$D$54*0.2/('I_Inputs &amp; Assumptions'!$B$8/4),IF(8&lt;='I_Inputs &amp; Assumptions'!$B$8*0.75,'I_Budget Input Data'!$D$54*0.6/('I_Inputs &amp; Assumptions'!$B$8/2),'I_Budget Input Data'!$D$54*0.2/('I_Inputs &amp; Assumptions'!$B$8/4))),IF('I_Budget Input Data'!$E$54="At Completion",IF(8='I_Inputs &amp; Assumptions'!$B$8,'I_Budget Input Data'!$D$54,0),'I_Budget Input Data'!$D$54/'I_Inputs &amp; Assumptions'!$B$8)))))),0)</f>
        <v>4138.4615384615381</v>
      </c>
      <c r="K54" s="91">
        <f>IF(9&lt;='I_Inputs &amp; Assumptions'!$B$8,IF('I_Budget Input Data'!$E$54="Upfront",IF(9=1,'I_Budget Input Data'!$D$54,0),IF('I_Budget Input Data'!$E$54="Equal",'I_Budget Input Data'!$D$54/'I_Inputs &amp; Assumptions'!$B$8,IF('I_Budget Input Data'!$E$54="Front-loaded",IF(9&lt;='I_Inputs &amp; Assumptions'!$B$8/2,'I_Budget Input Data'!$D$54*0.6/('I_Inputs &amp; Assumptions'!$B$8/2),'I_Budget Input Data'!$D$54*0.4/('I_Inputs &amp; Assumptions'!$B$8/2)),IF('I_Budget Input Data'!$E$54="Back-loaded",IF(9&lt;='I_Inputs &amp; Assumptions'!$B$8/2,'I_Budget Input Data'!$D$54*0.4/('I_Inputs &amp; Assumptions'!$B$8/2),'I_Budget Input Data'!$D$54*0.6/('I_Inputs &amp; Assumptions'!$B$8/2)),IF('I_Budget Input Data'!$E$54="Mid-weighted",IF(9&lt;='I_Inputs &amp; Assumptions'!$B$8/4,'I_Budget Input Data'!$D$54*0.2/('I_Inputs &amp; Assumptions'!$B$8/4),IF(9&lt;='I_Inputs &amp; Assumptions'!$B$8*0.75,'I_Budget Input Data'!$D$54*0.6/('I_Inputs &amp; Assumptions'!$B$8/2),'I_Budget Input Data'!$D$54*0.2/('I_Inputs &amp; Assumptions'!$B$8/4))),IF('I_Budget Input Data'!$E$54="At Completion",IF(9='I_Inputs &amp; Assumptions'!$B$8,'I_Budget Input Data'!$D$54,0),'I_Budget Input Data'!$D$54/'I_Inputs &amp; Assumptions'!$B$8)))))),0)</f>
        <v>4138.4615384615381</v>
      </c>
      <c r="L54" s="91">
        <f>IF(10&lt;='I_Inputs &amp; Assumptions'!$B$8,IF('I_Budget Input Data'!$E$54="Upfront",IF(10=1,'I_Budget Input Data'!$D$54,0),IF('I_Budget Input Data'!$E$54="Equal",'I_Budget Input Data'!$D$54/'I_Inputs &amp; Assumptions'!$B$8,IF('I_Budget Input Data'!$E$54="Front-loaded",IF(10&lt;='I_Inputs &amp; Assumptions'!$B$8/2,'I_Budget Input Data'!$D$54*0.6/('I_Inputs &amp; Assumptions'!$B$8/2),'I_Budget Input Data'!$D$54*0.4/('I_Inputs &amp; Assumptions'!$B$8/2)),IF('I_Budget Input Data'!$E$54="Back-loaded",IF(10&lt;='I_Inputs &amp; Assumptions'!$B$8/2,'I_Budget Input Data'!$D$54*0.4/('I_Inputs &amp; Assumptions'!$B$8/2),'I_Budget Input Data'!$D$54*0.6/('I_Inputs &amp; Assumptions'!$B$8/2)),IF('I_Budget Input Data'!$E$54="Mid-weighted",IF(10&lt;='I_Inputs &amp; Assumptions'!$B$8/4,'I_Budget Input Data'!$D$54*0.2/('I_Inputs &amp; Assumptions'!$B$8/4),IF(10&lt;='I_Inputs &amp; Assumptions'!$B$8*0.75,'I_Budget Input Data'!$D$54*0.6/('I_Inputs &amp; Assumptions'!$B$8/2),'I_Budget Input Data'!$D$54*0.2/('I_Inputs &amp; Assumptions'!$B$8/4))),IF('I_Budget Input Data'!$E$54="At Completion",IF(10='I_Inputs &amp; Assumptions'!$B$8,'I_Budget Input Data'!$D$54,0),'I_Budget Input Data'!$D$54/'I_Inputs &amp; Assumptions'!$B$8)))))),0)</f>
        <v>4138.4615384615381</v>
      </c>
      <c r="M54" s="91">
        <f>IF(11&lt;='I_Inputs &amp; Assumptions'!$B$8,IF('I_Budget Input Data'!$E$54="Upfront",IF(11=1,'I_Budget Input Data'!$D$54,0),IF('I_Budget Input Data'!$E$54="Equal",'I_Budget Input Data'!$D$54/'I_Inputs &amp; Assumptions'!$B$8,IF('I_Budget Input Data'!$E$54="Front-loaded",IF(11&lt;='I_Inputs &amp; Assumptions'!$B$8/2,'I_Budget Input Data'!$D$54*0.6/('I_Inputs &amp; Assumptions'!$B$8/2),'I_Budget Input Data'!$D$54*0.4/('I_Inputs &amp; Assumptions'!$B$8/2)),IF('I_Budget Input Data'!$E$54="Back-loaded",IF(11&lt;='I_Inputs &amp; Assumptions'!$B$8/2,'I_Budget Input Data'!$D$54*0.4/('I_Inputs &amp; Assumptions'!$B$8/2),'I_Budget Input Data'!$D$54*0.6/('I_Inputs &amp; Assumptions'!$B$8/2)),IF('I_Budget Input Data'!$E$54="Mid-weighted",IF(11&lt;='I_Inputs &amp; Assumptions'!$B$8/4,'I_Budget Input Data'!$D$54*0.2/('I_Inputs &amp; Assumptions'!$B$8/4),IF(11&lt;='I_Inputs &amp; Assumptions'!$B$8*0.75,'I_Budget Input Data'!$D$54*0.6/('I_Inputs &amp; Assumptions'!$B$8/2),'I_Budget Input Data'!$D$54*0.2/('I_Inputs &amp; Assumptions'!$B$8/4))),IF('I_Budget Input Data'!$E$54="At Completion",IF(11='I_Inputs &amp; Assumptions'!$B$8,'I_Budget Input Data'!$D$54,0),'I_Budget Input Data'!$D$54/'I_Inputs &amp; Assumptions'!$B$8)))))),0)</f>
        <v>4138.4615384615381</v>
      </c>
      <c r="N54" s="91">
        <f>IF(12&lt;='I_Inputs &amp; Assumptions'!$B$8,IF('I_Budget Input Data'!$E$54="Upfront",IF(12=1,'I_Budget Input Data'!$D$54,0),IF('I_Budget Input Data'!$E$54="Equal",'I_Budget Input Data'!$D$54/'I_Inputs &amp; Assumptions'!$B$8,IF('I_Budget Input Data'!$E$54="Front-loaded",IF(12&lt;='I_Inputs &amp; Assumptions'!$B$8/2,'I_Budget Input Data'!$D$54*0.6/('I_Inputs &amp; Assumptions'!$B$8/2),'I_Budget Input Data'!$D$54*0.4/('I_Inputs &amp; Assumptions'!$B$8/2)),IF('I_Budget Input Data'!$E$54="Back-loaded",IF(12&lt;='I_Inputs &amp; Assumptions'!$B$8/2,'I_Budget Input Data'!$D$54*0.4/('I_Inputs &amp; Assumptions'!$B$8/2),'I_Budget Input Data'!$D$54*0.6/('I_Inputs &amp; Assumptions'!$B$8/2)),IF('I_Budget Input Data'!$E$54="Mid-weighted",IF(12&lt;='I_Inputs &amp; Assumptions'!$B$8/4,'I_Budget Input Data'!$D$54*0.2/('I_Inputs &amp; Assumptions'!$B$8/4),IF(12&lt;='I_Inputs &amp; Assumptions'!$B$8*0.75,'I_Budget Input Data'!$D$54*0.6/('I_Inputs &amp; Assumptions'!$B$8/2),'I_Budget Input Data'!$D$54*0.2/('I_Inputs &amp; Assumptions'!$B$8/4))),IF('I_Budget Input Data'!$E$54="At Completion",IF(12='I_Inputs &amp; Assumptions'!$B$8,'I_Budget Input Data'!$D$54,0),'I_Budget Input Data'!$D$54/'I_Inputs &amp; Assumptions'!$B$8)))))),0)</f>
        <v>4138.4615384615381</v>
      </c>
      <c r="O54" s="91">
        <f>IF(13&lt;='I_Inputs &amp; Assumptions'!$B$8,IF('I_Budget Input Data'!$E$54="Upfront",IF(13=1,'I_Budget Input Data'!$D$54,0),IF('I_Budget Input Data'!$E$54="Equal",'I_Budget Input Data'!$D$54/'I_Inputs &amp; Assumptions'!$B$8,IF('I_Budget Input Data'!$E$54="Front-loaded",IF(13&lt;='I_Inputs &amp; Assumptions'!$B$8/2,'I_Budget Input Data'!$D$54*0.6/('I_Inputs &amp; Assumptions'!$B$8/2),'I_Budget Input Data'!$D$54*0.4/('I_Inputs &amp; Assumptions'!$B$8/2)),IF('I_Budget Input Data'!$E$54="Back-loaded",IF(13&lt;='I_Inputs &amp; Assumptions'!$B$8/2,'I_Budget Input Data'!$D$54*0.4/('I_Inputs &amp; Assumptions'!$B$8/2),'I_Budget Input Data'!$D$54*0.6/('I_Inputs &amp; Assumptions'!$B$8/2)),IF('I_Budget Input Data'!$E$54="Mid-weighted",IF(13&lt;='I_Inputs &amp; Assumptions'!$B$8/4,'I_Budget Input Data'!$D$54*0.2/('I_Inputs &amp; Assumptions'!$B$8/4),IF(13&lt;='I_Inputs &amp; Assumptions'!$B$8*0.75,'I_Budget Input Data'!$D$54*0.6/('I_Inputs &amp; Assumptions'!$B$8/2),'I_Budget Input Data'!$D$54*0.2/('I_Inputs &amp; Assumptions'!$B$8/4))),IF('I_Budget Input Data'!$E$54="At Completion",IF(13='I_Inputs &amp; Assumptions'!$B$8,'I_Budget Input Data'!$D$54,0),'I_Budget Input Data'!$D$54/'I_Inputs &amp; Assumptions'!$B$8)))))),0)</f>
        <v>4138.4615384615381</v>
      </c>
      <c r="P54" s="91">
        <f>IF(14&lt;='I_Inputs &amp; Assumptions'!$B$8,IF('I_Budget Input Data'!$E$54="Upfront",IF(14=1,'I_Budget Input Data'!$D$54,0),IF('I_Budget Input Data'!$E$54="Equal",'I_Budget Input Data'!$D$54/'I_Inputs &amp; Assumptions'!$B$8,IF('I_Budget Input Data'!$E$54="Front-loaded",IF(14&lt;='I_Inputs &amp; Assumptions'!$B$8/2,'I_Budget Input Data'!$D$54*0.6/('I_Inputs &amp; Assumptions'!$B$8/2),'I_Budget Input Data'!$D$54*0.4/('I_Inputs &amp; Assumptions'!$B$8/2)),IF('I_Budget Input Data'!$E$54="Back-loaded",IF(14&lt;='I_Inputs &amp; Assumptions'!$B$8/2,'I_Budget Input Data'!$D$54*0.4/('I_Inputs &amp; Assumptions'!$B$8/2),'I_Budget Input Data'!$D$54*0.6/('I_Inputs &amp; Assumptions'!$B$8/2)),IF('I_Budget Input Data'!$E$54="Mid-weighted",IF(14&lt;='I_Inputs &amp; Assumptions'!$B$8/4,'I_Budget Input Data'!$D$54*0.2/('I_Inputs &amp; Assumptions'!$B$8/4),IF(14&lt;='I_Inputs &amp; Assumptions'!$B$8*0.75,'I_Budget Input Data'!$D$54*0.6/('I_Inputs &amp; Assumptions'!$B$8/2),'I_Budget Input Data'!$D$54*0.2/('I_Inputs &amp; Assumptions'!$B$8/4))),IF('I_Budget Input Data'!$E$54="At Completion",IF(14='I_Inputs &amp; Assumptions'!$B$8,'I_Budget Input Data'!$D$54,0),'I_Budget Input Data'!$D$54/'I_Inputs &amp; Assumptions'!$B$8)))))),0)</f>
        <v>0</v>
      </c>
      <c r="Q54" s="91">
        <f>IF(15&lt;='I_Inputs &amp; Assumptions'!$B$8,IF('I_Budget Input Data'!$E$54="Upfront",IF(15=1,'I_Budget Input Data'!$D$54,0),IF('I_Budget Input Data'!$E$54="Equal",'I_Budget Input Data'!$D$54/'I_Inputs &amp; Assumptions'!$B$8,IF('I_Budget Input Data'!$E$54="Front-loaded",IF(15&lt;='I_Inputs &amp; Assumptions'!$B$8/2,'I_Budget Input Data'!$D$54*0.6/('I_Inputs &amp; Assumptions'!$B$8/2),'I_Budget Input Data'!$D$54*0.4/('I_Inputs &amp; Assumptions'!$B$8/2)),IF('I_Budget Input Data'!$E$54="Back-loaded",IF(15&lt;='I_Inputs &amp; Assumptions'!$B$8/2,'I_Budget Input Data'!$D$54*0.4/('I_Inputs &amp; Assumptions'!$B$8/2),'I_Budget Input Data'!$D$54*0.6/('I_Inputs &amp; Assumptions'!$B$8/2)),IF('I_Budget Input Data'!$E$54="Mid-weighted",IF(15&lt;='I_Inputs &amp; Assumptions'!$B$8/4,'I_Budget Input Data'!$D$54*0.2/('I_Inputs &amp; Assumptions'!$B$8/4),IF(15&lt;='I_Inputs &amp; Assumptions'!$B$8*0.75,'I_Budget Input Data'!$D$54*0.6/('I_Inputs &amp; Assumptions'!$B$8/2),'I_Budget Input Data'!$D$54*0.2/('I_Inputs &amp; Assumptions'!$B$8/4))),IF('I_Budget Input Data'!$E$54="At Completion",IF(15='I_Inputs &amp; Assumptions'!$B$8,'I_Budget Input Data'!$D$54,0),'I_Budget Input Data'!$D$54/'I_Inputs &amp; Assumptions'!$B$8)))))),0)</f>
        <v>0</v>
      </c>
      <c r="R54" s="91">
        <f>IF(16&lt;='I_Inputs &amp; Assumptions'!$B$8,IF('I_Budget Input Data'!$E$54="Upfront",IF(16=1,'I_Budget Input Data'!$D$54,0),IF('I_Budget Input Data'!$E$54="Equal",'I_Budget Input Data'!$D$54/'I_Inputs &amp; Assumptions'!$B$8,IF('I_Budget Input Data'!$E$54="Front-loaded",IF(16&lt;='I_Inputs &amp; Assumptions'!$B$8/2,'I_Budget Input Data'!$D$54*0.6/('I_Inputs &amp; Assumptions'!$B$8/2),'I_Budget Input Data'!$D$54*0.4/('I_Inputs &amp; Assumptions'!$B$8/2)),IF('I_Budget Input Data'!$E$54="Back-loaded",IF(16&lt;='I_Inputs &amp; Assumptions'!$B$8/2,'I_Budget Input Data'!$D$54*0.4/('I_Inputs &amp; Assumptions'!$B$8/2),'I_Budget Input Data'!$D$54*0.6/('I_Inputs &amp; Assumptions'!$B$8/2)),IF('I_Budget Input Data'!$E$54="Mid-weighted",IF(16&lt;='I_Inputs &amp; Assumptions'!$B$8/4,'I_Budget Input Data'!$D$54*0.2/('I_Inputs &amp; Assumptions'!$B$8/4),IF(16&lt;='I_Inputs &amp; Assumptions'!$B$8*0.75,'I_Budget Input Data'!$D$54*0.6/('I_Inputs &amp; Assumptions'!$B$8/2),'I_Budget Input Data'!$D$54*0.2/('I_Inputs &amp; Assumptions'!$B$8/4))),IF('I_Budget Input Data'!$E$54="At Completion",IF(16='I_Inputs &amp; Assumptions'!$B$8,'I_Budget Input Data'!$D$54,0),'I_Budget Input Data'!$D$54/'I_Inputs &amp; Assumptions'!$B$8)))))),0)</f>
        <v>0</v>
      </c>
      <c r="S54" s="91">
        <f>IF(17&lt;='I_Inputs &amp; Assumptions'!$B$8,IF('I_Budget Input Data'!$E$54="Upfront",IF(17=1,'I_Budget Input Data'!$D$54,0),IF('I_Budget Input Data'!$E$54="Equal",'I_Budget Input Data'!$D$54/'I_Inputs &amp; Assumptions'!$B$8,IF('I_Budget Input Data'!$E$54="Front-loaded",IF(17&lt;='I_Inputs &amp; Assumptions'!$B$8/2,'I_Budget Input Data'!$D$54*0.6/('I_Inputs &amp; Assumptions'!$B$8/2),'I_Budget Input Data'!$D$54*0.4/('I_Inputs &amp; Assumptions'!$B$8/2)),IF('I_Budget Input Data'!$E$54="Back-loaded",IF(17&lt;='I_Inputs &amp; Assumptions'!$B$8/2,'I_Budget Input Data'!$D$54*0.4/('I_Inputs &amp; Assumptions'!$B$8/2),'I_Budget Input Data'!$D$54*0.6/('I_Inputs &amp; Assumptions'!$B$8/2)),IF('I_Budget Input Data'!$E$54="Mid-weighted",IF(17&lt;='I_Inputs &amp; Assumptions'!$B$8/4,'I_Budget Input Data'!$D$54*0.2/('I_Inputs &amp; Assumptions'!$B$8/4),IF(17&lt;='I_Inputs &amp; Assumptions'!$B$8*0.75,'I_Budget Input Data'!$D$54*0.6/('I_Inputs &amp; Assumptions'!$B$8/2),'I_Budget Input Data'!$D$54*0.2/('I_Inputs &amp; Assumptions'!$B$8/4))),IF('I_Budget Input Data'!$E$54="At Completion",IF(17='I_Inputs &amp; Assumptions'!$B$8,'I_Budget Input Data'!$D$54,0),'I_Budget Input Data'!$D$54/'I_Inputs &amp; Assumptions'!$B$8)))))),0)</f>
        <v>0</v>
      </c>
      <c r="T54" s="91">
        <f>IF(18&lt;='I_Inputs &amp; Assumptions'!$B$8,IF('I_Budget Input Data'!$E$54="Upfront",IF(18=1,'I_Budget Input Data'!$D$54,0),IF('I_Budget Input Data'!$E$54="Equal",'I_Budget Input Data'!$D$54/'I_Inputs &amp; Assumptions'!$B$8,IF('I_Budget Input Data'!$E$54="Front-loaded",IF(18&lt;='I_Inputs &amp; Assumptions'!$B$8/2,'I_Budget Input Data'!$D$54*0.6/('I_Inputs &amp; Assumptions'!$B$8/2),'I_Budget Input Data'!$D$54*0.4/('I_Inputs &amp; Assumptions'!$B$8/2)),IF('I_Budget Input Data'!$E$54="Back-loaded",IF(18&lt;='I_Inputs &amp; Assumptions'!$B$8/2,'I_Budget Input Data'!$D$54*0.4/('I_Inputs &amp; Assumptions'!$B$8/2),'I_Budget Input Data'!$D$54*0.6/('I_Inputs &amp; Assumptions'!$B$8/2)),IF('I_Budget Input Data'!$E$54="Mid-weighted",IF(18&lt;='I_Inputs &amp; Assumptions'!$B$8/4,'I_Budget Input Data'!$D$54*0.2/('I_Inputs &amp; Assumptions'!$B$8/4),IF(18&lt;='I_Inputs &amp; Assumptions'!$B$8*0.75,'I_Budget Input Data'!$D$54*0.6/('I_Inputs &amp; Assumptions'!$B$8/2),'I_Budget Input Data'!$D$54*0.2/('I_Inputs &amp; Assumptions'!$B$8/4))),IF('I_Budget Input Data'!$E$54="At Completion",IF(18='I_Inputs &amp; Assumptions'!$B$8,'I_Budget Input Data'!$D$54,0),'I_Budget Input Data'!$D$54/'I_Inputs &amp; Assumptions'!$B$8)))))),0)</f>
        <v>0</v>
      </c>
      <c r="U54" s="91">
        <f>IF(19&lt;='I_Inputs &amp; Assumptions'!$B$8,IF('I_Budget Input Data'!$E$54="Upfront",IF(19=1,'I_Budget Input Data'!$D$54,0),IF('I_Budget Input Data'!$E$54="Equal",'I_Budget Input Data'!$D$54/'I_Inputs &amp; Assumptions'!$B$8,IF('I_Budget Input Data'!$E$54="Front-loaded",IF(19&lt;='I_Inputs &amp; Assumptions'!$B$8/2,'I_Budget Input Data'!$D$54*0.6/('I_Inputs &amp; Assumptions'!$B$8/2),'I_Budget Input Data'!$D$54*0.4/('I_Inputs &amp; Assumptions'!$B$8/2)),IF('I_Budget Input Data'!$E$54="Back-loaded",IF(19&lt;='I_Inputs &amp; Assumptions'!$B$8/2,'I_Budget Input Data'!$D$54*0.4/('I_Inputs &amp; Assumptions'!$B$8/2),'I_Budget Input Data'!$D$54*0.6/('I_Inputs &amp; Assumptions'!$B$8/2)),IF('I_Budget Input Data'!$E$54="Mid-weighted",IF(19&lt;='I_Inputs &amp; Assumptions'!$B$8/4,'I_Budget Input Data'!$D$54*0.2/('I_Inputs &amp; Assumptions'!$B$8/4),IF(19&lt;='I_Inputs &amp; Assumptions'!$B$8*0.75,'I_Budget Input Data'!$D$54*0.6/('I_Inputs &amp; Assumptions'!$B$8/2),'I_Budget Input Data'!$D$54*0.2/('I_Inputs &amp; Assumptions'!$B$8/4))),IF('I_Budget Input Data'!$E$54="At Completion",IF(19='I_Inputs &amp; Assumptions'!$B$8,'I_Budget Input Data'!$D$54,0),'I_Budget Input Data'!$D$54/'I_Inputs &amp; Assumptions'!$B$8)))))),0)</f>
        <v>0</v>
      </c>
      <c r="V54" s="91">
        <f>IF(20&lt;='I_Inputs &amp; Assumptions'!$B$8,IF('I_Budget Input Data'!$E$54="Upfront",IF(20=1,'I_Budget Input Data'!$D$54,0),IF('I_Budget Input Data'!$E$54="Equal",'I_Budget Input Data'!$D$54/'I_Inputs &amp; Assumptions'!$B$8,IF('I_Budget Input Data'!$E$54="Front-loaded",IF(20&lt;='I_Inputs &amp; Assumptions'!$B$8/2,'I_Budget Input Data'!$D$54*0.6/('I_Inputs &amp; Assumptions'!$B$8/2),'I_Budget Input Data'!$D$54*0.4/('I_Inputs &amp; Assumptions'!$B$8/2)),IF('I_Budget Input Data'!$E$54="Back-loaded",IF(20&lt;='I_Inputs &amp; Assumptions'!$B$8/2,'I_Budget Input Data'!$D$54*0.4/('I_Inputs &amp; Assumptions'!$B$8/2),'I_Budget Input Data'!$D$54*0.6/('I_Inputs &amp; Assumptions'!$B$8/2)),IF('I_Budget Input Data'!$E$54="Mid-weighted",IF(20&lt;='I_Inputs &amp; Assumptions'!$B$8/4,'I_Budget Input Data'!$D$54*0.2/('I_Inputs &amp; Assumptions'!$B$8/4),IF(20&lt;='I_Inputs &amp; Assumptions'!$B$8*0.75,'I_Budget Input Data'!$D$54*0.6/('I_Inputs &amp; Assumptions'!$B$8/2),'I_Budget Input Data'!$D$54*0.2/('I_Inputs &amp; Assumptions'!$B$8/4))),IF('I_Budget Input Data'!$E$54="At Completion",IF(20='I_Inputs &amp; Assumptions'!$B$8,'I_Budget Input Data'!$D$54,0),'I_Budget Input Data'!$D$54/'I_Inputs &amp; Assumptions'!$B$8)))))),0)</f>
        <v>0</v>
      </c>
      <c r="W54" s="91">
        <f>IF(21&lt;='I_Inputs &amp; Assumptions'!$B$8,IF('I_Budget Input Data'!$E$54="Upfront",IF(21=1,'I_Budget Input Data'!$D$54,0),IF('I_Budget Input Data'!$E$54="Equal",'I_Budget Input Data'!$D$54/'I_Inputs &amp; Assumptions'!$B$8,IF('I_Budget Input Data'!$E$54="Front-loaded",IF(21&lt;='I_Inputs &amp; Assumptions'!$B$8/2,'I_Budget Input Data'!$D$54*0.6/('I_Inputs &amp; Assumptions'!$B$8/2),'I_Budget Input Data'!$D$54*0.4/('I_Inputs &amp; Assumptions'!$B$8/2)),IF('I_Budget Input Data'!$E$54="Back-loaded",IF(21&lt;='I_Inputs &amp; Assumptions'!$B$8/2,'I_Budget Input Data'!$D$54*0.4/('I_Inputs &amp; Assumptions'!$B$8/2),'I_Budget Input Data'!$D$54*0.6/('I_Inputs &amp; Assumptions'!$B$8/2)),IF('I_Budget Input Data'!$E$54="Mid-weighted",IF(21&lt;='I_Inputs &amp; Assumptions'!$B$8/4,'I_Budget Input Data'!$D$54*0.2/('I_Inputs &amp; Assumptions'!$B$8/4),IF(21&lt;='I_Inputs &amp; Assumptions'!$B$8*0.75,'I_Budget Input Data'!$D$54*0.6/('I_Inputs &amp; Assumptions'!$B$8/2),'I_Budget Input Data'!$D$54*0.2/('I_Inputs &amp; Assumptions'!$B$8/4))),IF('I_Budget Input Data'!$E$54="At Completion",IF(21='I_Inputs &amp; Assumptions'!$B$8,'I_Budget Input Data'!$D$54,0),'I_Budget Input Data'!$D$54/'I_Inputs &amp; Assumptions'!$B$8)))))),0)</f>
        <v>0</v>
      </c>
      <c r="X54" s="91">
        <f>IF(22&lt;='I_Inputs &amp; Assumptions'!$B$8,IF('I_Budget Input Data'!$E$54="Upfront",IF(22=1,'I_Budget Input Data'!$D$54,0),IF('I_Budget Input Data'!$E$54="Equal",'I_Budget Input Data'!$D$54/'I_Inputs &amp; Assumptions'!$B$8,IF('I_Budget Input Data'!$E$54="Front-loaded",IF(22&lt;='I_Inputs &amp; Assumptions'!$B$8/2,'I_Budget Input Data'!$D$54*0.6/('I_Inputs &amp; Assumptions'!$B$8/2),'I_Budget Input Data'!$D$54*0.4/('I_Inputs &amp; Assumptions'!$B$8/2)),IF('I_Budget Input Data'!$E$54="Back-loaded",IF(22&lt;='I_Inputs &amp; Assumptions'!$B$8/2,'I_Budget Input Data'!$D$54*0.4/('I_Inputs &amp; Assumptions'!$B$8/2),'I_Budget Input Data'!$D$54*0.6/('I_Inputs &amp; Assumptions'!$B$8/2)),IF('I_Budget Input Data'!$E$54="Mid-weighted",IF(22&lt;='I_Inputs &amp; Assumptions'!$B$8/4,'I_Budget Input Data'!$D$54*0.2/('I_Inputs &amp; Assumptions'!$B$8/4),IF(22&lt;='I_Inputs &amp; Assumptions'!$B$8*0.75,'I_Budget Input Data'!$D$54*0.6/('I_Inputs &amp; Assumptions'!$B$8/2),'I_Budget Input Data'!$D$54*0.2/('I_Inputs &amp; Assumptions'!$B$8/4))),IF('I_Budget Input Data'!$E$54="At Completion",IF(22='I_Inputs &amp; Assumptions'!$B$8,'I_Budget Input Data'!$D$54,0),'I_Budget Input Data'!$D$54/'I_Inputs &amp; Assumptions'!$B$8)))))),0)</f>
        <v>0</v>
      </c>
      <c r="Y54" s="91">
        <f>IF(23&lt;='I_Inputs &amp; Assumptions'!$B$8,IF('I_Budget Input Data'!$E$54="Upfront",IF(23=1,'I_Budget Input Data'!$D$54,0),IF('I_Budget Input Data'!$E$54="Equal",'I_Budget Input Data'!$D$54/'I_Inputs &amp; Assumptions'!$B$8,IF('I_Budget Input Data'!$E$54="Front-loaded",IF(23&lt;='I_Inputs &amp; Assumptions'!$B$8/2,'I_Budget Input Data'!$D$54*0.6/('I_Inputs &amp; Assumptions'!$B$8/2),'I_Budget Input Data'!$D$54*0.4/('I_Inputs &amp; Assumptions'!$B$8/2)),IF('I_Budget Input Data'!$E$54="Back-loaded",IF(23&lt;='I_Inputs &amp; Assumptions'!$B$8/2,'I_Budget Input Data'!$D$54*0.4/('I_Inputs &amp; Assumptions'!$B$8/2),'I_Budget Input Data'!$D$54*0.6/('I_Inputs &amp; Assumptions'!$B$8/2)),IF('I_Budget Input Data'!$E$54="Mid-weighted",IF(23&lt;='I_Inputs &amp; Assumptions'!$B$8/4,'I_Budget Input Data'!$D$54*0.2/('I_Inputs &amp; Assumptions'!$B$8/4),IF(23&lt;='I_Inputs &amp; Assumptions'!$B$8*0.75,'I_Budget Input Data'!$D$54*0.6/('I_Inputs &amp; Assumptions'!$B$8/2),'I_Budget Input Data'!$D$54*0.2/('I_Inputs &amp; Assumptions'!$B$8/4))),IF('I_Budget Input Data'!$E$54="At Completion",IF(23='I_Inputs &amp; Assumptions'!$B$8,'I_Budget Input Data'!$D$54,0),'I_Budget Input Data'!$D$54/'I_Inputs &amp; Assumptions'!$B$8)))))),0)</f>
        <v>0</v>
      </c>
      <c r="Z54" s="91">
        <f>IF(24&lt;='I_Inputs &amp; Assumptions'!$B$8,IF('I_Budget Input Data'!$E$54="Upfront",IF(24=1,'I_Budget Input Data'!$D$54,0),IF('I_Budget Input Data'!$E$54="Equal",'I_Budget Input Data'!$D$54/'I_Inputs &amp; Assumptions'!$B$8,IF('I_Budget Input Data'!$E$54="Front-loaded",IF(24&lt;='I_Inputs &amp; Assumptions'!$B$8/2,'I_Budget Input Data'!$D$54*0.6/('I_Inputs &amp; Assumptions'!$B$8/2),'I_Budget Input Data'!$D$54*0.4/('I_Inputs &amp; Assumptions'!$B$8/2)),IF('I_Budget Input Data'!$E$54="Back-loaded",IF(24&lt;='I_Inputs &amp; Assumptions'!$B$8/2,'I_Budget Input Data'!$D$54*0.4/('I_Inputs &amp; Assumptions'!$B$8/2),'I_Budget Input Data'!$D$54*0.6/('I_Inputs &amp; Assumptions'!$B$8/2)),IF('I_Budget Input Data'!$E$54="Mid-weighted",IF(24&lt;='I_Inputs &amp; Assumptions'!$B$8/4,'I_Budget Input Data'!$D$54*0.2/('I_Inputs &amp; Assumptions'!$B$8/4),IF(24&lt;='I_Inputs &amp; Assumptions'!$B$8*0.75,'I_Budget Input Data'!$D$54*0.6/('I_Inputs &amp; Assumptions'!$B$8/2),'I_Budget Input Data'!$D$54*0.2/('I_Inputs &amp; Assumptions'!$B$8/4))),IF('I_Budget Input Data'!$E$54="At Completion",IF(24='I_Inputs &amp; Assumptions'!$B$8,'I_Budget Input Data'!$D$54,0),'I_Budget Input Data'!$D$54/'I_Inputs &amp; Assumptions'!$B$8)))))),0)</f>
        <v>0</v>
      </c>
      <c r="AA54" s="91">
        <f>IF(25&lt;='I_Inputs &amp; Assumptions'!$B$8,IF('I_Budget Input Data'!$E$54="Upfront",IF(25=1,'I_Budget Input Data'!$D$54,0),IF('I_Budget Input Data'!$E$54="Equal",'I_Budget Input Data'!$D$54/'I_Inputs &amp; Assumptions'!$B$8,IF('I_Budget Input Data'!$E$54="Front-loaded",IF(25&lt;='I_Inputs &amp; Assumptions'!$B$8/2,'I_Budget Input Data'!$D$54*0.6/('I_Inputs &amp; Assumptions'!$B$8/2),'I_Budget Input Data'!$D$54*0.4/('I_Inputs &amp; Assumptions'!$B$8/2)),IF('I_Budget Input Data'!$E$54="Back-loaded",IF(25&lt;='I_Inputs &amp; Assumptions'!$B$8/2,'I_Budget Input Data'!$D$54*0.4/('I_Inputs &amp; Assumptions'!$B$8/2),'I_Budget Input Data'!$D$54*0.6/('I_Inputs &amp; Assumptions'!$B$8/2)),IF('I_Budget Input Data'!$E$54="Mid-weighted",IF(25&lt;='I_Inputs &amp; Assumptions'!$B$8/4,'I_Budget Input Data'!$D$54*0.2/('I_Inputs &amp; Assumptions'!$B$8/4),IF(25&lt;='I_Inputs &amp; Assumptions'!$B$8*0.75,'I_Budget Input Data'!$D$54*0.6/('I_Inputs &amp; Assumptions'!$B$8/2),'I_Budget Input Data'!$D$54*0.2/('I_Inputs &amp; Assumptions'!$B$8/4))),IF('I_Budget Input Data'!$E$54="At Completion",IF(25='I_Inputs &amp; Assumptions'!$B$8,'I_Budget Input Data'!$D$54,0),'I_Budget Input Data'!$D$54/'I_Inputs &amp; Assumptions'!$B$8)))))),0)</f>
        <v>0</v>
      </c>
      <c r="AB54" s="91">
        <f>IF(26&lt;='I_Inputs &amp; Assumptions'!$B$8,IF('I_Budget Input Data'!$E$54="Upfront",IF(26=1,'I_Budget Input Data'!$D$54,0),IF('I_Budget Input Data'!$E$54="Equal",'I_Budget Input Data'!$D$54/'I_Inputs &amp; Assumptions'!$B$8,IF('I_Budget Input Data'!$E$54="Front-loaded",IF(26&lt;='I_Inputs &amp; Assumptions'!$B$8/2,'I_Budget Input Data'!$D$54*0.6/('I_Inputs &amp; Assumptions'!$B$8/2),'I_Budget Input Data'!$D$54*0.4/('I_Inputs &amp; Assumptions'!$B$8/2)),IF('I_Budget Input Data'!$E$54="Back-loaded",IF(26&lt;='I_Inputs &amp; Assumptions'!$B$8/2,'I_Budget Input Data'!$D$54*0.4/('I_Inputs &amp; Assumptions'!$B$8/2),'I_Budget Input Data'!$D$54*0.6/('I_Inputs &amp; Assumptions'!$B$8/2)),IF('I_Budget Input Data'!$E$54="Mid-weighted",IF(26&lt;='I_Inputs &amp; Assumptions'!$B$8/4,'I_Budget Input Data'!$D$54*0.2/('I_Inputs &amp; Assumptions'!$B$8/4),IF(26&lt;='I_Inputs &amp; Assumptions'!$B$8*0.75,'I_Budget Input Data'!$D$54*0.6/('I_Inputs &amp; Assumptions'!$B$8/2),'I_Budget Input Data'!$D$54*0.2/('I_Inputs &amp; Assumptions'!$B$8/4))),IF('I_Budget Input Data'!$E$54="At Completion",IF(26='I_Inputs &amp; Assumptions'!$B$8,'I_Budget Input Data'!$D$54,0),'I_Budget Input Data'!$D$54/'I_Inputs &amp; Assumptions'!$B$8)))))),0)</f>
        <v>0</v>
      </c>
      <c r="AC54" s="91">
        <f>IF(27&lt;='I_Inputs &amp; Assumptions'!$B$8,IF('I_Budget Input Data'!$E$54="Upfront",IF(27=1,'I_Budget Input Data'!$D$54,0),IF('I_Budget Input Data'!$E$54="Equal",'I_Budget Input Data'!$D$54/'I_Inputs &amp; Assumptions'!$B$8,IF('I_Budget Input Data'!$E$54="Front-loaded",IF(27&lt;='I_Inputs &amp; Assumptions'!$B$8/2,'I_Budget Input Data'!$D$54*0.6/('I_Inputs &amp; Assumptions'!$B$8/2),'I_Budget Input Data'!$D$54*0.4/('I_Inputs &amp; Assumptions'!$B$8/2)),IF('I_Budget Input Data'!$E$54="Back-loaded",IF(27&lt;='I_Inputs &amp; Assumptions'!$B$8/2,'I_Budget Input Data'!$D$54*0.4/('I_Inputs &amp; Assumptions'!$B$8/2),'I_Budget Input Data'!$D$54*0.6/('I_Inputs &amp; Assumptions'!$B$8/2)),IF('I_Budget Input Data'!$E$54="Mid-weighted",IF(27&lt;='I_Inputs &amp; Assumptions'!$B$8/4,'I_Budget Input Data'!$D$54*0.2/('I_Inputs &amp; Assumptions'!$B$8/4),IF(27&lt;='I_Inputs &amp; Assumptions'!$B$8*0.75,'I_Budget Input Data'!$D$54*0.6/('I_Inputs &amp; Assumptions'!$B$8/2),'I_Budget Input Data'!$D$54*0.2/('I_Inputs &amp; Assumptions'!$B$8/4))),IF('I_Budget Input Data'!$E$54="At Completion",IF(27='I_Inputs &amp; Assumptions'!$B$8,'I_Budget Input Data'!$D$54,0),'I_Budget Input Data'!$D$54/'I_Inputs &amp; Assumptions'!$B$8)))))),0)</f>
        <v>0</v>
      </c>
      <c r="AD54" s="91">
        <f>IF(28&lt;='I_Inputs &amp; Assumptions'!$B$8,IF('I_Budget Input Data'!$E$54="Upfront",IF(28=1,'I_Budget Input Data'!$D$54,0),IF('I_Budget Input Data'!$E$54="Equal",'I_Budget Input Data'!$D$54/'I_Inputs &amp; Assumptions'!$B$8,IF('I_Budget Input Data'!$E$54="Front-loaded",IF(28&lt;='I_Inputs &amp; Assumptions'!$B$8/2,'I_Budget Input Data'!$D$54*0.6/('I_Inputs &amp; Assumptions'!$B$8/2),'I_Budget Input Data'!$D$54*0.4/('I_Inputs &amp; Assumptions'!$B$8/2)),IF('I_Budget Input Data'!$E$54="Back-loaded",IF(28&lt;='I_Inputs &amp; Assumptions'!$B$8/2,'I_Budget Input Data'!$D$54*0.4/('I_Inputs &amp; Assumptions'!$B$8/2),'I_Budget Input Data'!$D$54*0.6/('I_Inputs &amp; Assumptions'!$B$8/2)),IF('I_Budget Input Data'!$E$54="Mid-weighted",IF(28&lt;='I_Inputs &amp; Assumptions'!$B$8/4,'I_Budget Input Data'!$D$54*0.2/('I_Inputs &amp; Assumptions'!$B$8/4),IF(28&lt;='I_Inputs &amp; Assumptions'!$B$8*0.75,'I_Budget Input Data'!$D$54*0.6/('I_Inputs &amp; Assumptions'!$B$8/2),'I_Budget Input Data'!$D$54*0.2/('I_Inputs &amp; Assumptions'!$B$8/4))),IF('I_Budget Input Data'!$E$54="At Completion",IF(28='I_Inputs &amp; Assumptions'!$B$8,'I_Budget Input Data'!$D$54,0),'I_Budget Input Data'!$D$54/'I_Inputs &amp; Assumptions'!$B$8)))))),0)</f>
        <v>0</v>
      </c>
      <c r="AE54" s="91">
        <f>IF(29&lt;='I_Inputs &amp; Assumptions'!$B$8,IF('I_Budget Input Data'!$E$54="Upfront",IF(29=1,'I_Budget Input Data'!$D$54,0),IF('I_Budget Input Data'!$E$54="Equal",'I_Budget Input Data'!$D$54/'I_Inputs &amp; Assumptions'!$B$8,IF('I_Budget Input Data'!$E$54="Front-loaded",IF(29&lt;='I_Inputs &amp; Assumptions'!$B$8/2,'I_Budget Input Data'!$D$54*0.6/('I_Inputs &amp; Assumptions'!$B$8/2),'I_Budget Input Data'!$D$54*0.4/('I_Inputs &amp; Assumptions'!$B$8/2)),IF('I_Budget Input Data'!$E$54="Back-loaded",IF(29&lt;='I_Inputs &amp; Assumptions'!$B$8/2,'I_Budget Input Data'!$D$54*0.4/('I_Inputs &amp; Assumptions'!$B$8/2),'I_Budget Input Data'!$D$54*0.6/('I_Inputs &amp; Assumptions'!$B$8/2)),IF('I_Budget Input Data'!$E$54="Mid-weighted",IF(29&lt;='I_Inputs &amp; Assumptions'!$B$8/4,'I_Budget Input Data'!$D$54*0.2/('I_Inputs &amp; Assumptions'!$B$8/4),IF(29&lt;='I_Inputs &amp; Assumptions'!$B$8*0.75,'I_Budget Input Data'!$D$54*0.6/('I_Inputs &amp; Assumptions'!$B$8/2),'I_Budget Input Data'!$D$54*0.2/('I_Inputs &amp; Assumptions'!$B$8/4))),IF('I_Budget Input Data'!$E$54="At Completion",IF(29='I_Inputs &amp; Assumptions'!$B$8,'I_Budget Input Data'!$D$54,0),'I_Budget Input Data'!$D$54/'I_Inputs &amp; Assumptions'!$B$8)))))),0)</f>
        <v>0</v>
      </c>
      <c r="AF54" s="91">
        <f>IF(30&lt;='I_Inputs &amp; Assumptions'!$B$8,IF('I_Budget Input Data'!$E$54="Upfront",IF(30=1,'I_Budget Input Data'!$D$54,0),IF('I_Budget Input Data'!$E$54="Equal",'I_Budget Input Data'!$D$54/'I_Inputs &amp; Assumptions'!$B$8,IF('I_Budget Input Data'!$E$54="Front-loaded",IF(30&lt;='I_Inputs &amp; Assumptions'!$B$8/2,'I_Budget Input Data'!$D$54*0.6/('I_Inputs &amp; Assumptions'!$B$8/2),'I_Budget Input Data'!$D$54*0.4/('I_Inputs &amp; Assumptions'!$B$8/2)),IF('I_Budget Input Data'!$E$54="Back-loaded",IF(30&lt;='I_Inputs &amp; Assumptions'!$B$8/2,'I_Budget Input Data'!$D$54*0.4/('I_Inputs &amp; Assumptions'!$B$8/2),'I_Budget Input Data'!$D$54*0.6/('I_Inputs &amp; Assumptions'!$B$8/2)),IF('I_Budget Input Data'!$E$54="Mid-weighted",IF(30&lt;='I_Inputs &amp; Assumptions'!$B$8/4,'I_Budget Input Data'!$D$54*0.2/('I_Inputs &amp; Assumptions'!$B$8/4),IF(30&lt;='I_Inputs &amp; Assumptions'!$B$8*0.75,'I_Budget Input Data'!$D$54*0.6/('I_Inputs &amp; Assumptions'!$B$8/2),'I_Budget Input Data'!$D$54*0.2/('I_Inputs &amp; Assumptions'!$B$8/4))),IF('I_Budget Input Data'!$E$54="At Completion",IF(30='I_Inputs &amp; Assumptions'!$B$8,'I_Budget Input Data'!$D$54,0),'I_Budget Input Data'!$D$54/'I_Inputs &amp; Assumptions'!$B$8)))))),0)</f>
        <v>0</v>
      </c>
      <c r="AG54" s="91">
        <f>IF(31&lt;='I_Inputs &amp; Assumptions'!$B$8,IF('I_Budget Input Data'!$E$54="Upfront",IF(31=1,'I_Budget Input Data'!$D$54,0),IF('I_Budget Input Data'!$E$54="Equal",'I_Budget Input Data'!$D$54/'I_Inputs &amp; Assumptions'!$B$8,IF('I_Budget Input Data'!$E$54="Front-loaded",IF(31&lt;='I_Inputs &amp; Assumptions'!$B$8/2,'I_Budget Input Data'!$D$54*0.6/('I_Inputs &amp; Assumptions'!$B$8/2),'I_Budget Input Data'!$D$54*0.4/('I_Inputs &amp; Assumptions'!$B$8/2)),IF('I_Budget Input Data'!$E$54="Back-loaded",IF(31&lt;='I_Inputs &amp; Assumptions'!$B$8/2,'I_Budget Input Data'!$D$54*0.4/('I_Inputs &amp; Assumptions'!$B$8/2),'I_Budget Input Data'!$D$54*0.6/('I_Inputs &amp; Assumptions'!$B$8/2)),IF('I_Budget Input Data'!$E$54="Mid-weighted",IF(31&lt;='I_Inputs &amp; Assumptions'!$B$8/4,'I_Budget Input Data'!$D$54*0.2/('I_Inputs &amp; Assumptions'!$B$8/4),IF(31&lt;='I_Inputs &amp; Assumptions'!$B$8*0.75,'I_Budget Input Data'!$D$54*0.6/('I_Inputs &amp; Assumptions'!$B$8/2),'I_Budget Input Data'!$D$54*0.2/('I_Inputs &amp; Assumptions'!$B$8/4))),IF('I_Budget Input Data'!$E$54="At Completion",IF(31='I_Inputs &amp; Assumptions'!$B$8,'I_Budget Input Data'!$D$54,0),'I_Budget Input Data'!$D$54/'I_Inputs &amp; Assumptions'!$B$8)))))),0)</f>
        <v>0</v>
      </c>
      <c r="AH54" s="91">
        <f>IF(32&lt;='I_Inputs &amp; Assumptions'!$B$8,IF('I_Budget Input Data'!$E$54="Upfront",IF(32=1,'I_Budget Input Data'!$D$54,0),IF('I_Budget Input Data'!$E$54="Equal",'I_Budget Input Data'!$D$54/'I_Inputs &amp; Assumptions'!$B$8,IF('I_Budget Input Data'!$E$54="Front-loaded",IF(32&lt;='I_Inputs &amp; Assumptions'!$B$8/2,'I_Budget Input Data'!$D$54*0.6/('I_Inputs &amp; Assumptions'!$B$8/2),'I_Budget Input Data'!$D$54*0.4/('I_Inputs &amp; Assumptions'!$B$8/2)),IF('I_Budget Input Data'!$E$54="Back-loaded",IF(32&lt;='I_Inputs &amp; Assumptions'!$B$8/2,'I_Budget Input Data'!$D$54*0.4/('I_Inputs &amp; Assumptions'!$B$8/2),'I_Budget Input Data'!$D$54*0.6/('I_Inputs &amp; Assumptions'!$B$8/2)),IF('I_Budget Input Data'!$E$54="Mid-weighted",IF(32&lt;='I_Inputs &amp; Assumptions'!$B$8/4,'I_Budget Input Data'!$D$54*0.2/('I_Inputs &amp; Assumptions'!$B$8/4),IF(32&lt;='I_Inputs &amp; Assumptions'!$B$8*0.75,'I_Budget Input Data'!$D$54*0.6/('I_Inputs &amp; Assumptions'!$B$8/2),'I_Budget Input Data'!$D$54*0.2/('I_Inputs &amp; Assumptions'!$B$8/4))),IF('I_Budget Input Data'!$E$54="At Completion",IF(32='I_Inputs &amp; Assumptions'!$B$8,'I_Budget Input Data'!$D$54,0),'I_Budget Input Data'!$D$54/'I_Inputs &amp; Assumptions'!$B$8)))))),0)</f>
        <v>0</v>
      </c>
      <c r="AI54" s="91">
        <f>IF(33&lt;='I_Inputs &amp; Assumptions'!$B$8,IF('I_Budget Input Data'!$E$54="Upfront",IF(33=1,'I_Budget Input Data'!$D$54,0),IF('I_Budget Input Data'!$E$54="Equal",'I_Budget Input Data'!$D$54/'I_Inputs &amp; Assumptions'!$B$8,IF('I_Budget Input Data'!$E$54="Front-loaded",IF(33&lt;='I_Inputs &amp; Assumptions'!$B$8/2,'I_Budget Input Data'!$D$54*0.6/('I_Inputs &amp; Assumptions'!$B$8/2),'I_Budget Input Data'!$D$54*0.4/('I_Inputs &amp; Assumptions'!$B$8/2)),IF('I_Budget Input Data'!$E$54="Back-loaded",IF(33&lt;='I_Inputs &amp; Assumptions'!$B$8/2,'I_Budget Input Data'!$D$54*0.4/('I_Inputs &amp; Assumptions'!$B$8/2),'I_Budget Input Data'!$D$54*0.6/('I_Inputs &amp; Assumptions'!$B$8/2)),IF('I_Budget Input Data'!$E$54="Mid-weighted",IF(33&lt;='I_Inputs &amp; Assumptions'!$B$8/4,'I_Budget Input Data'!$D$54*0.2/('I_Inputs &amp; Assumptions'!$B$8/4),IF(33&lt;='I_Inputs &amp; Assumptions'!$B$8*0.75,'I_Budget Input Data'!$D$54*0.6/('I_Inputs &amp; Assumptions'!$B$8/2),'I_Budget Input Data'!$D$54*0.2/('I_Inputs &amp; Assumptions'!$B$8/4))),IF('I_Budget Input Data'!$E$54="At Completion",IF(33='I_Inputs &amp; Assumptions'!$B$8,'I_Budget Input Data'!$D$54,0),'I_Budget Input Data'!$D$54/'I_Inputs &amp; Assumptions'!$B$8)))))),0)</f>
        <v>0</v>
      </c>
      <c r="AJ54" s="91">
        <f>IF(34&lt;='I_Inputs &amp; Assumptions'!$B$8,IF('I_Budget Input Data'!$E$54="Upfront",IF(34=1,'I_Budget Input Data'!$D$54,0),IF('I_Budget Input Data'!$E$54="Equal",'I_Budget Input Data'!$D$54/'I_Inputs &amp; Assumptions'!$B$8,IF('I_Budget Input Data'!$E$54="Front-loaded",IF(34&lt;='I_Inputs &amp; Assumptions'!$B$8/2,'I_Budget Input Data'!$D$54*0.6/('I_Inputs &amp; Assumptions'!$B$8/2),'I_Budget Input Data'!$D$54*0.4/('I_Inputs &amp; Assumptions'!$B$8/2)),IF('I_Budget Input Data'!$E$54="Back-loaded",IF(34&lt;='I_Inputs &amp; Assumptions'!$B$8/2,'I_Budget Input Data'!$D$54*0.4/('I_Inputs &amp; Assumptions'!$B$8/2),'I_Budget Input Data'!$D$54*0.6/('I_Inputs &amp; Assumptions'!$B$8/2)),IF('I_Budget Input Data'!$E$54="Mid-weighted",IF(34&lt;='I_Inputs &amp; Assumptions'!$B$8/4,'I_Budget Input Data'!$D$54*0.2/('I_Inputs &amp; Assumptions'!$B$8/4),IF(34&lt;='I_Inputs &amp; Assumptions'!$B$8*0.75,'I_Budget Input Data'!$D$54*0.6/('I_Inputs &amp; Assumptions'!$B$8/2),'I_Budget Input Data'!$D$54*0.2/('I_Inputs &amp; Assumptions'!$B$8/4))),IF('I_Budget Input Data'!$E$54="At Completion",IF(34='I_Inputs &amp; Assumptions'!$B$8,'I_Budget Input Data'!$D$54,0),'I_Budget Input Data'!$D$54/'I_Inputs &amp; Assumptions'!$B$8)))))),0)</f>
        <v>0</v>
      </c>
      <c r="AK54" s="91">
        <f>IF(35&lt;='I_Inputs &amp; Assumptions'!$B$8,IF('I_Budget Input Data'!$E$54="Upfront",IF(35=1,'I_Budget Input Data'!$D$54,0),IF('I_Budget Input Data'!$E$54="Equal",'I_Budget Input Data'!$D$54/'I_Inputs &amp; Assumptions'!$B$8,IF('I_Budget Input Data'!$E$54="Front-loaded",IF(35&lt;='I_Inputs &amp; Assumptions'!$B$8/2,'I_Budget Input Data'!$D$54*0.6/('I_Inputs &amp; Assumptions'!$B$8/2),'I_Budget Input Data'!$D$54*0.4/('I_Inputs &amp; Assumptions'!$B$8/2)),IF('I_Budget Input Data'!$E$54="Back-loaded",IF(35&lt;='I_Inputs &amp; Assumptions'!$B$8/2,'I_Budget Input Data'!$D$54*0.4/('I_Inputs &amp; Assumptions'!$B$8/2),'I_Budget Input Data'!$D$54*0.6/('I_Inputs &amp; Assumptions'!$B$8/2)),IF('I_Budget Input Data'!$E$54="Mid-weighted",IF(35&lt;='I_Inputs &amp; Assumptions'!$B$8/4,'I_Budget Input Data'!$D$54*0.2/('I_Inputs &amp; Assumptions'!$B$8/4),IF(35&lt;='I_Inputs &amp; Assumptions'!$B$8*0.75,'I_Budget Input Data'!$D$54*0.6/('I_Inputs &amp; Assumptions'!$B$8/2),'I_Budget Input Data'!$D$54*0.2/('I_Inputs &amp; Assumptions'!$B$8/4))),IF('I_Budget Input Data'!$E$54="At Completion",IF(35='I_Inputs &amp; Assumptions'!$B$8,'I_Budget Input Data'!$D$54,0),'I_Budget Input Data'!$D$54/'I_Inputs &amp; Assumptions'!$B$8)))))),0)</f>
        <v>0</v>
      </c>
      <c r="AL54" s="91">
        <f>IF(36&lt;='I_Inputs &amp; Assumptions'!$B$8,IF('I_Budget Input Data'!$E$54="Upfront",IF(36=1,'I_Budget Input Data'!$D$54,0),IF('I_Budget Input Data'!$E$54="Equal",'I_Budget Input Data'!$D$54/'I_Inputs &amp; Assumptions'!$B$8,IF('I_Budget Input Data'!$E$54="Front-loaded",IF(36&lt;='I_Inputs &amp; Assumptions'!$B$8/2,'I_Budget Input Data'!$D$54*0.6/('I_Inputs &amp; Assumptions'!$B$8/2),'I_Budget Input Data'!$D$54*0.4/('I_Inputs &amp; Assumptions'!$B$8/2)),IF('I_Budget Input Data'!$E$54="Back-loaded",IF(36&lt;='I_Inputs &amp; Assumptions'!$B$8/2,'I_Budget Input Data'!$D$54*0.4/('I_Inputs &amp; Assumptions'!$B$8/2),'I_Budget Input Data'!$D$54*0.6/('I_Inputs &amp; Assumptions'!$B$8/2)),IF('I_Budget Input Data'!$E$54="Mid-weighted",IF(36&lt;='I_Inputs &amp; Assumptions'!$B$8/4,'I_Budget Input Data'!$D$54*0.2/('I_Inputs &amp; Assumptions'!$B$8/4),IF(36&lt;='I_Inputs &amp; Assumptions'!$B$8*0.75,'I_Budget Input Data'!$D$54*0.6/('I_Inputs &amp; Assumptions'!$B$8/2),'I_Budget Input Data'!$D$54*0.2/('I_Inputs &amp; Assumptions'!$B$8/4))),IF('I_Budget Input Data'!$E$54="At Completion",IF(36='I_Inputs &amp; Assumptions'!$B$8,'I_Budget Input Data'!$D$54,0),'I_Budget Input Data'!$D$54/'I_Inputs &amp; Assumptions'!$B$8)))))),0)</f>
        <v>0</v>
      </c>
    </row>
    <row r="55" spans="1:38" ht="15" customHeight="1" x14ac:dyDescent="0.2">
      <c r="A55" t="s">
        <v>146</v>
      </c>
      <c r="B55" t="s">
        <v>176</v>
      </c>
      <c r="C55" s="91">
        <f>IF(1&lt;='I_Inputs &amp; Assumptions'!$B$8,IF('I_Budget Input Data'!$E$55="Upfront",IF(1=1,'I_Budget Input Data'!$D$55,0),IF('I_Budget Input Data'!$E$55="Equal",'I_Budget Input Data'!$D$55/'I_Inputs &amp; Assumptions'!$B$8,IF('I_Budget Input Data'!$E$55="Front-loaded",IF(1&lt;='I_Inputs &amp; Assumptions'!$B$8/2,'I_Budget Input Data'!$D$55*0.6/('I_Inputs &amp; Assumptions'!$B$8/2),'I_Budget Input Data'!$D$55*0.4/('I_Inputs &amp; Assumptions'!$B$8/2)),IF('I_Budget Input Data'!$E$55="Back-loaded",IF(1&lt;='I_Inputs &amp; Assumptions'!$B$8/2,'I_Budget Input Data'!$D$55*0.4/('I_Inputs &amp; Assumptions'!$B$8/2),'I_Budget Input Data'!$D$55*0.6/('I_Inputs &amp; Assumptions'!$B$8/2)),IF('I_Budget Input Data'!$E$55="Mid-weighted",IF(1&lt;='I_Inputs &amp; Assumptions'!$B$8/4,'I_Budget Input Data'!$D$55*0.2/('I_Inputs &amp; Assumptions'!$B$8/4),IF(1&lt;='I_Inputs &amp; Assumptions'!$B$8*0.75,'I_Budget Input Data'!$D$55*0.6/('I_Inputs &amp; Assumptions'!$B$8/2),'I_Budget Input Data'!$D$55*0.2/('I_Inputs &amp; Assumptions'!$B$8/4))),IF('I_Budget Input Data'!$E$55="At Completion",IF(1='I_Inputs &amp; Assumptions'!$B$8,'I_Budget Input Data'!$D$55,0),'I_Budget Input Data'!$D$55/'I_Inputs &amp; Assumptions'!$B$8)))))),0)</f>
        <v>7584.6153846153848</v>
      </c>
      <c r="D55" s="91">
        <f>IF(2&lt;='I_Inputs &amp; Assumptions'!$B$8,IF('I_Budget Input Data'!$E$55="Upfront",IF(2=1,'I_Budget Input Data'!$D$55,0),IF('I_Budget Input Data'!$E$55="Equal",'I_Budget Input Data'!$D$55/'I_Inputs &amp; Assumptions'!$B$8,IF('I_Budget Input Data'!$E$55="Front-loaded",IF(2&lt;='I_Inputs &amp; Assumptions'!$B$8/2,'I_Budget Input Data'!$D$55*0.6/('I_Inputs &amp; Assumptions'!$B$8/2),'I_Budget Input Data'!$D$55*0.4/('I_Inputs &amp; Assumptions'!$B$8/2)),IF('I_Budget Input Data'!$E$55="Back-loaded",IF(2&lt;='I_Inputs &amp; Assumptions'!$B$8/2,'I_Budget Input Data'!$D$55*0.4/('I_Inputs &amp; Assumptions'!$B$8/2),'I_Budget Input Data'!$D$55*0.6/('I_Inputs &amp; Assumptions'!$B$8/2)),IF('I_Budget Input Data'!$E$55="Mid-weighted",IF(2&lt;='I_Inputs &amp; Assumptions'!$B$8/4,'I_Budget Input Data'!$D$55*0.2/('I_Inputs &amp; Assumptions'!$B$8/4),IF(2&lt;='I_Inputs &amp; Assumptions'!$B$8*0.75,'I_Budget Input Data'!$D$55*0.6/('I_Inputs &amp; Assumptions'!$B$8/2),'I_Budget Input Data'!$D$55*0.2/('I_Inputs &amp; Assumptions'!$B$8/4))),IF('I_Budget Input Data'!$E$55="At Completion",IF(2='I_Inputs &amp; Assumptions'!$B$8,'I_Budget Input Data'!$D$55,0),'I_Budget Input Data'!$D$55/'I_Inputs &amp; Assumptions'!$B$8)))))),0)</f>
        <v>7584.6153846153848</v>
      </c>
      <c r="E55" s="91">
        <f>IF(3&lt;='I_Inputs &amp; Assumptions'!$B$8,IF('I_Budget Input Data'!$E$55="Upfront",IF(3=1,'I_Budget Input Data'!$D$55,0),IF('I_Budget Input Data'!$E$55="Equal",'I_Budget Input Data'!$D$55/'I_Inputs &amp; Assumptions'!$B$8,IF('I_Budget Input Data'!$E$55="Front-loaded",IF(3&lt;='I_Inputs &amp; Assumptions'!$B$8/2,'I_Budget Input Data'!$D$55*0.6/('I_Inputs &amp; Assumptions'!$B$8/2),'I_Budget Input Data'!$D$55*0.4/('I_Inputs &amp; Assumptions'!$B$8/2)),IF('I_Budget Input Data'!$E$55="Back-loaded",IF(3&lt;='I_Inputs &amp; Assumptions'!$B$8/2,'I_Budget Input Data'!$D$55*0.4/('I_Inputs &amp; Assumptions'!$B$8/2),'I_Budget Input Data'!$D$55*0.6/('I_Inputs &amp; Assumptions'!$B$8/2)),IF('I_Budget Input Data'!$E$55="Mid-weighted",IF(3&lt;='I_Inputs &amp; Assumptions'!$B$8/4,'I_Budget Input Data'!$D$55*0.2/('I_Inputs &amp; Assumptions'!$B$8/4),IF(3&lt;='I_Inputs &amp; Assumptions'!$B$8*0.75,'I_Budget Input Data'!$D$55*0.6/('I_Inputs &amp; Assumptions'!$B$8/2),'I_Budget Input Data'!$D$55*0.2/('I_Inputs &amp; Assumptions'!$B$8/4))),IF('I_Budget Input Data'!$E$55="At Completion",IF(3='I_Inputs &amp; Assumptions'!$B$8,'I_Budget Input Data'!$D$55,0),'I_Budget Input Data'!$D$55/'I_Inputs &amp; Assumptions'!$B$8)))))),0)</f>
        <v>7584.6153846153848</v>
      </c>
      <c r="F55" s="91">
        <f>IF(4&lt;='I_Inputs &amp; Assumptions'!$B$8,IF('I_Budget Input Data'!$E$55="Upfront",IF(4=1,'I_Budget Input Data'!$D$55,0),IF('I_Budget Input Data'!$E$55="Equal",'I_Budget Input Data'!$D$55/'I_Inputs &amp; Assumptions'!$B$8,IF('I_Budget Input Data'!$E$55="Front-loaded",IF(4&lt;='I_Inputs &amp; Assumptions'!$B$8/2,'I_Budget Input Data'!$D$55*0.6/('I_Inputs &amp; Assumptions'!$B$8/2),'I_Budget Input Data'!$D$55*0.4/('I_Inputs &amp; Assumptions'!$B$8/2)),IF('I_Budget Input Data'!$E$55="Back-loaded",IF(4&lt;='I_Inputs &amp; Assumptions'!$B$8/2,'I_Budget Input Data'!$D$55*0.4/('I_Inputs &amp; Assumptions'!$B$8/2),'I_Budget Input Data'!$D$55*0.6/('I_Inputs &amp; Assumptions'!$B$8/2)),IF('I_Budget Input Data'!$E$55="Mid-weighted",IF(4&lt;='I_Inputs &amp; Assumptions'!$B$8/4,'I_Budget Input Data'!$D$55*0.2/('I_Inputs &amp; Assumptions'!$B$8/4),IF(4&lt;='I_Inputs &amp; Assumptions'!$B$8*0.75,'I_Budget Input Data'!$D$55*0.6/('I_Inputs &amp; Assumptions'!$B$8/2),'I_Budget Input Data'!$D$55*0.2/('I_Inputs &amp; Assumptions'!$B$8/4))),IF('I_Budget Input Data'!$E$55="At Completion",IF(4='I_Inputs &amp; Assumptions'!$B$8,'I_Budget Input Data'!$D$55,0),'I_Budget Input Data'!$D$55/'I_Inputs &amp; Assumptions'!$B$8)))))),0)</f>
        <v>7584.6153846153848</v>
      </c>
      <c r="G55" s="91">
        <f>IF(5&lt;='I_Inputs &amp; Assumptions'!$B$8,IF('I_Budget Input Data'!$E$55="Upfront",IF(5=1,'I_Budget Input Data'!$D$55,0),IF('I_Budget Input Data'!$E$55="Equal",'I_Budget Input Data'!$D$55/'I_Inputs &amp; Assumptions'!$B$8,IF('I_Budget Input Data'!$E$55="Front-loaded",IF(5&lt;='I_Inputs &amp; Assumptions'!$B$8/2,'I_Budget Input Data'!$D$55*0.6/('I_Inputs &amp; Assumptions'!$B$8/2),'I_Budget Input Data'!$D$55*0.4/('I_Inputs &amp; Assumptions'!$B$8/2)),IF('I_Budget Input Data'!$E$55="Back-loaded",IF(5&lt;='I_Inputs &amp; Assumptions'!$B$8/2,'I_Budget Input Data'!$D$55*0.4/('I_Inputs &amp; Assumptions'!$B$8/2),'I_Budget Input Data'!$D$55*0.6/('I_Inputs &amp; Assumptions'!$B$8/2)),IF('I_Budget Input Data'!$E$55="Mid-weighted",IF(5&lt;='I_Inputs &amp; Assumptions'!$B$8/4,'I_Budget Input Data'!$D$55*0.2/('I_Inputs &amp; Assumptions'!$B$8/4),IF(5&lt;='I_Inputs &amp; Assumptions'!$B$8*0.75,'I_Budget Input Data'!$D$55*0.6/('I_Inputs &amp; Assumptions'!$B$8/2),'I_Budget Input Data'!$D$55*0.2/('I_Inputs &amp; Assumptions'!$B$8/4))),IF('I_Budget Input Data'!$E$55="At Completion",IF(5='I_Inputs &amp; Assumptions'!$B$8,'I_Budget Input Data'!$D$55,0),'I_Budget Input Data'!$D$55/'I_Inputs &amp; Assumptions'!$B$8)))))),0)</f>
        <v>7584.6153846153848</v>
      </c>
      <c r="H55" s="91">
        <f>IF(6&lt;='I_Inputs &amp; Assumptions'!$B$8,IF('I_Budget Input Data'!$E$55="Upfront",IF(6=1,'I_Budget Input Data'!$D$55,0),IF('I_Budget Input Data'!$E$55="Equal",'I_Budget Input Data'!$D$55/'I_Inputs &amp; Assumptions'!$B$8,IF('I_Budget Input Data'!$E$55="Front-loaded",IF(6&lt;='I_Inputs &amp; Assumptions'!$B$8/2,'I_Budget Input Data'!$D$55*0.6/('I_Inputs &amp; Assumptions'!$B$8/2),'I_Budget Input Data'!$D$55*0.4/('I_Inputs &amp; Assumptions'!$B$8/2)),IF('I_Budget Input Data'!$E$55="Back-loaded",IF(6&lt;='I_Inputs &amp; Assumptions'!$B$8/2,'I_Budget Input Data'!$D$55*0.4/('I_Inputs &amp; Assumptions'!$B$8/2),'I_Budget Input Data'!$D$55*0.6/('I_Inputs &amp; Assumptions'!$B$8/2)),IF('I_Budget Input Data'!$E$55="Mid-weighted",IF(6&lt;='I_Inputs &amp; Assumptions'!$B$8/4,'I_Budget Input Data'!$D$55*0.2/('I_Inputs &amp; Assumptions'!$B$8/4),IF(6&lt;='I_Inputs &amp; Assumptions'!$B$8*0.75,'I_Budget Input Data'!$D$55*0.6/('I_Inputs &amp; Assumptions'!$B$8/2),'I_Budget Input Data'!$D$55*0.2/('I_Inputs &amp; Assumptions'!$B$8/4))),IF('I_Budget Input Data'!$E$55="At Completion",IF(6='I_Inputs &amp; Assumptions'!$B$8,'I_Budget Input Data'!$D$55,0),'I_Budget Input Data'!$D$55/'I_Inputs &amp; Assumptions'!$B$8)))))),0)</f>
        <v>7584.6153846153848</v>
      </c>
      <c r="I55" s="91">
        <f>IF(7&lt;='I_Inputs &amp; Assumptions'!$B$8,IF('I_Budget Input Data'!$E$55="Upfront",IF(7=1,'I_Budget Input Data'!$D$55,0),IF('I_Budget Input Data'!$E$55="Equal",'I_Budget Input Data'!$D$55/'I_Inputs &amp; Assumptions'!$B$8,IF('I_Budget Input Data'!$E$55="Front-loaded",IF(7&lt;='I_Inputs &amp; Assumptions'!$B$8/2,'I_Budget Input Data'!$D$55*0.6/('I_Inputs &amp; Assumptions'!$B$8/2),'I_Budget Input Data'!$D$55*0.4/('I_Inputs &amp; Assumptions'!$B$8/2)),IF('I_Budget Input Data'!$E$55="Back-loaded",IF(7&lt;='I_Inputs &amp; Assumptions'!$B$8/2,'I_Budget Input Data'!$D$55*0.4/('I_Inputs &amp; Assumptions'!$B$8/2),'I_Budget Input Data'!$D$55*0.6/('I_Inputs &amp; Assumptions'!$B$8/2)),IF('I_Budget Input Data'!$E$55="Mid-weighted",IF(7&lt;='I_Inputs &amp; Assumptions'!$B$8/4,'I_Budget Input Data'!$D$55*0.2/('I_Inputs &amp; Assumptions'!$B$8/4),IF(7&lt;='I_Inputs &amp; Assumptions'!$B$8*0.75,'I_Budget Input Data'!$D$55*0.6/('I_Inputs &amp; Assumptions'!$B$8/2),'I_Budget Input Data'!$D$55*0.2/('I_Inputs &amp; Assumptions'!$B$8/4))),IF('I_Budget Input Data'!$E$55="At Completion",IF(7='I_Inputs &amp; Assumptions'!$B$8,'I_Budget Input Data'!$D$55,0),'I_Budget Input Data'!$D$55/'I_Inputs &amp; Assumptions'!$B$8)))))),0)</f>
        <v>7584.6153846153848</v>
      </c>
      <c r="J55" s="91">
        <f>IF(8&lt;='I_Inputs &amp; Assumptions'!$B$8,IF('I_Budget Input Data'!$E$55="Upfront",IF(8=1,'I_Budget Input Data'!$D$55,0),IF('I_Budget Input Data'!$E$55="Equal",'I_Budget Input Data'!$D$55/'I_Inputs &amp; Assumptions'!$B$8,IF('I_Budget Input Data'!$E$55="Front-loaded",IF(8&lt;='I_Inputs &amp; Assumptions'!$B$8/2,'I_Budget Input Data'!$D$55*0.6/('I_Inputs &amp; Assumptions'!$B$8/2),'I_Budget Input Data'!$D$55*0.4/('I_Inputs &amp; Assumptions'!$B$8/2)),IF('I_Budget Input Data'!$E$55="Back-loaded",IF(8&lt;='I_Inputs &amp; Assumptions'!$B$8/2,'I_Budget Input Data'!$D$55*0.4/('I_Inputs &amp; Assumptions'!$B$8/2),'I_Budget Input Data'!$D$55*0.6/('I_Inputs &amp; Assumptions'!$B$8/2)),IF('I_Budget Input Data'!$E$55="Mid-weighted",IF(8&lt;='I_Inputs &amp; Assumptions'!$B$8/4,'I_Budget Input Data'!$D$55*0.2/('I_Inputs &amp; Assumptions'!$B$8/4),IF(8&lt;='I_Inputs &amp; Assumptions'!$B$8*0.75,'I_Budget Input Data'!$D$55*0.6/('I_Inputs &amp; Assumptions'!$B$8/2),'I_Budget Input Data'!$D$55*0.2/('I_Inputs &amp; Assumptions'!$B$8/4))),IF('I_Budget Input Data'!$E$55="At Completion",IF(8='I_Inputs &amp; Assumptions'!$B$8,'I_Budget Input Data'!$D$55,0),'I_Budget Input Data'!$D$55/'I_Inputs &amp; Assumptions'!$B$8)))))),0)</f>
        <v>7584.6153846153848</v>
      </c>
      <c r="K55" s="91">
        <f>IF(9&lt;='I_Inputs &amp; Assumptions'!$B$8,IF('I_Budget Input Data'!$E$55="Upfront",IF(9=1,'I_Budget Input Data'!$D$55,0),IF('I_Budget Input Data'!$E$55="Equal",'I_Budget Input Data'!$D$55/'I_Inputs &amp; Assumptions'!$B$8,IF('I_Budget Input Data'!$E$55="Front-loaded",IF(9&lt;='I_Inputs &amp; Assumptions'!$B$8/2,'I_Budget Input Data'!$D$55*0.6/('I_Inputs &amp; Assumptions'!$B$8/2),'I_Budget Input Data'!$D$55*0.4/('I_Inputs &amp; Assumptions'!$B$8/2)),IF('I_Budget Input Data'!$E$55="Back-loaded",IF(9&lt;='I_Inputs &amp; Assumptions'!$B$8/2,'I_Budget Input Data'!$D$55*0.4/('I_Inputs &amp; Assumptions'!$B$8/2),'I_Budget Input Data'!$D$55*0.6/('I_Inputs &amp; Assumptions'!$B$8/2)),IF('I_Budget Input Data'!$E$55="Mid-weighted",IF(9&lt;='I_Inputs &amp; Assumptions'!$B$8/4,'I_Budget Input Data'!$D$55*0.2/('I_Inputs &amp; Assumptions'!$B$8/4),IF(9&lt;='I_Inputs &amp; Assumptions'!$B$8*0.75,'I_Budget Input Data'!$D$55*0.6/('I_Inputs &amp; Assumptions'!$B$8/2),'I_Budget Input Data'!$D$55*0.2/('I_Inputs &amp; Assumptions'!$B$8/4))),IF('I_Budget Input Data'!$E$55="At Completion",IF(9='I_Inputs &amp; Assumptions'!$B$8,'I_Budget Input Data'!$D$55,0),'I_Budget Input Data'!$D$55/'I_Inputs &amp; Assumptions'!$B$8)))))),0)</f>
        <v>7584.6153846153848</v>
      </c>
      <c r="L55" s="91">
        <f>IF(10&lt;='I_Inputs &amp; Assumptions'!$B$8,IF('I_Budget Input Data'!$E$55="Upfront",IF(10=1,'I_Budget Input Data'!$D$55,0),IF('I_Budget Input Data'!$E$55="Equal",'I_Budget Input Data'!$D$55/'I_Inputs &amp; Assumptions'!$B$8,IF('I_Budget Input Data'!$E$55="Front-loaded",IF(10&lt;='I_Inputs &amp; Assumptions'!$B$8/2,'I_Budget Input Data'!$D$55*0.6/('I_Inputs &amp; Assumptions'!$B$8/2),'I_Budget Input Data'!$D$55*0.4/('I_Inputs &amp; Assumptions'!$B$8/2)),IF('I_Budget Input Data'!$E$55="Back-loaded",IF(10&lt;='I_Inputs &amp; Assumptions'!$B$8/2,'I_Budget Input Data'!$D$55*0.4/('I_Inputs &amp; Assumptions'!$B$8/2),'I_Budget Input Data'!$D$55*0.6/('I_Inputs &amp; Assumptions'!$B$8/2)),IF('I_Budget Input Data'!$E$55="Mid-weighted",IF(10&lt;='I_Inputs &amp; Assumptions'!$B$8/4,'I_Budget Input Data'!$D$55*0.2/('I_Inputs &amp; Assumptions'!$B$8/4),IF(10&lt;='I_Inputs &amp; Assumptions'!$B$8*0.75,'I_Budget Input Data'!$D$55*0.6/('I_Inputs &amp; Assumptions'!$B$8/2),'I_Budget Input Data'!$D$55*0.2/('I_Inputs &amp; Assumptions'!$B$8/4))),IF('I_Budget Input Data'!$E$55="At Completion",IF(10='I_Inputs &amp; Assumptions'!$B$8,'I_Budget Input Data'!$D$55,0),'I_Budget Input Data'!$D$55/'I_Inputs &amp; Assumptions'!$B$8)))))),0)</f>
        <v>7584.6153846153848</v>
      </c>
      <c r="M55" s="91">
        <f>IF(11&lt;='I_Inputs &amp; Assumptions'!$B$8,IF('I_Budget Input Data'!$E$55="Upfront",IF(11=1,'I_Budget Input Data'!$D$55,0),IF('I_Budget Input Data'!$E$55="Equal",'I_Budget Input Data'!$D$55/'I_Inputs &amp; Assumptions'!$B$8,IF('I_Budget Input Data'!$E$55="Front-loaded",IF(11&lt;='I_Inputs &amp; Assumptions'!$B$8/2,'I_Budget Input Data'!$D$55*0.6/('I_Inputs &amp; Assumptions'!$B$8/2),'I_Budget Input Data'!$D$55*0.4/('I_Inputs &amp; Assumptions'!$B$8/2)),IF('I_Budget Input Data'!$E$55="Back-loaded",IF(11&lt;='I_Inputs &amp; Assumptions'!$B$8/2,'I_Budget Input Data'!$D$55*0.4/('I_Inputs &amp; Assumptions'!$B$8/2),'I_Budget Input Data'!$D$55*0.6/('I_Inputs &amp; Assumptions'!$B$8/2)),IF('I_Budget Input Data'!$E$55="Mid-weighted",IF(11&lt;='I_Inputs &amp; Assumptions'!$B$8/4,'I_Budget Input Data'!$D$55*0.2/('I_Inputs &amp; Assumptions'!$B$8/4),IF(11&lt;='I_Inputs &amp; Assumptions'!$B$8*0.75,'I_Budget Input Data'!$D$55*0.6/('I_Inputs &amp; Assumptions'!$B$8/2),'I_Budget Input Data'!$D$55*0.2/('I_Inputs &amp; Assumptions'!$B$8/4))),IF('I_Budget Input Data'!$E$55="At Completion",IF(11='I_Inputs &amp; Assumptions'!$B$8,'I_Budget Input Data'!$D$55,0),'I_Budget Input Data'!$D$55/'I_Inputs &amp; Assumptions'!$B$8)))))),0)</f>
        <v>7584.6153846153848</v>
      </c>
      <c r="N55" s="91">
        <f>IF(12&lt;='I_Inputs &amp; Assumptions'!$B$8,IF('I_Budget Input Data'!$E$55="Upfront",IF(12=1,'I_Budget Input Data'!$D$55,0),IF('I_Budget Input Data'!$E$55="Equal",'I_Budget Input Data'!$D$55/'I_Inputs &amp; Assumptions'!$B$8,IF('I_Budget Input Data'!$E$55="Front-loaded",IF(12&lt;='I_Inputs &amp; Assumptions'!$B$8/2,'I_Budget Input Data'!$D$55*0.6/('I_Inputs &amp; Assumptions'!$B$8/2),'I_Budget Input Data'!$D$55*0.4/('I_Inputs &amp; Assumptions'!$B$8/2)),IF('I_Budget Input Data'!$E$55="Back-loaded",IF(12&lt;='I_Inputs &amp; Assumptions'!$B$8/2,'I_Budget Input Data'!$D$55*0.4/('I_Inputs &amp; Assumptions'!$B$8/2),'I_Budget Input Data'!$D$55*0.6/('I_Inputs &amp; Assumptions'!$B$8/2)),IF('I_Budget Input Data'!$E$55="Mid-weighted",IF(12&lt;='I_Inputs &amp; Assumptions'!$B$8/4,'I_Budget Input Data'!$D$55*0.2/('I_Inputs &amp; Assumptions'!$B$8/4),IF(12&lt;='I_Inputs &amp; Assumptions'!$B$8*0.75,'I_Budget Input Data'!$D$55*0.6/('I_Inputs &amp; Assumptions'!$B$8/2),'I_Budget Input Data'!$D$55*0.2/('I_Inputs &amp; Assumptions'!$B$8/4))),IF('I_Budget Input Data'!$E$55="At Completion",IF(12='I_Inputs &amp; Assumptions'!$B$8,'I_Budget Input Data'!$D$55,0),'I_Budget Input Data'!$D$55/'I_Inputs &amp; Assumptions'!$B$8)))))),0)</f>
        <v>7584.6153846153848</v>
      </c>
      <c r="O55" s="91">
        <f>IF(13&lt;='I_Inputs &amp; Assumptions'!$B$8,IF('I_Budget Input Data'!$E$55="Upfront",IF(13=1,'I_Budget Input Data'!$D$55,0),IF('I_Budget Input Data'!$E$55="Equal",'I_Budget Input Data'!$D$55/'I_Inputs &amp; Assumptions'!$B$8,IF('I_Budget Input Data'!$E$55="Front-loaded",IF(13&lt;='I_Inputs &amp; Assumptions'!$B$8/2,'I_Budget Input Data'!$D$55*0.6/('I_Inputs &amp; Assumptions'!$B$8/2),'I_Budget Input Data'!$D$55*0.4/('I_Inputs &amp; Assumptions'!$B$8/2)),IF('I_Budget Input Data'!$E$55="Back-loaded",IF(13&lt;='I_Inputs &amp; Assumptions'!$B$8/2,'I_Budget Input Data'!$D$55*0.4/('I_Inputs &amp; Assumptions'!$B$8/2),'I_Budget Input Data'!$D$55*0.6/('I_Inputs &amp; Assumptions'!$B$8/2)),IF('I_Budget Input Data'!$E$55="Mid-weighted",IF(13&lt;='I_Inputs &amp; Assumptions'!$B$8/4,'I_Budget Input Data'!$D$55*0.2/('I_Inputs &amp; Assumptions'!$B$8/4),IF(13&lt;='I_Inputs &amp; Assumptions'!$B$8*0.75,'I_Budget Input Data'!$D$55*0.6/('I_Inputs &amp; Assumptions'!$B$8/2),'I_Budget Input Data'!$D$55*0.2/('I_Inputs &amp; Assumptions'!$B$8/4))),IF('I_Budget Input Data'!$E$55="At Completion",IF(13='I_Inputs &amp; Assumptions'!$B$8,'I_Budget Input Data'!$D$55,0),'I_Budget Input Data'!$D$55/'I_Inputs &amp; Assumptions'!$B$8)))))),0)</f>
        <v>7584.6153846153848</v>
      </c>
      <c r="P55" s="91">
        <f>IF(14&lt;='I_Inputs &amp; Assumptions'!$B$8,IF('I_Budget Input Data'!$E$55="Upfront",IF(14=1,'I_Budget Input Data'!$D$55,0),IF('I_Budget Input Data'!$E$55="Equal",'I_Budget Input Data'!$D$55/'I_Inputs &amp; Assumptions'!$B$8,IF('I_Budget Input Data'!$E$55="Front-loaded",IF(14&lt;='I_Inputs &amp; Assumptions'!$B$8/2,'I_Budget Input Data'!$D$55*0.6/('I_Inputs &amp; Assumptions'!$B$8/2),'I_Budget Input Data'!$D$55*0.4/('I_Inputs &amp; Assumptions'!$B$8/2)),IF('I_Budget Input Data'!$E$55="Back-loaded",IF(14&lt;='I_Inputs &amp; Assumptions'!$B$8/2,'I_Budget Input Data'!$D$55*0.4/('I_Inputs &amp; Assumptions'!$B$8/2),'I_Budget Input Data'!$D$55*0.6/('I_Inputs &amp; Assumptions'!$B$8/2)),IF('I_Budget Input Data'!$E$55="Mid-weighted",IF(14&lt;='I_Inputs &amp; Assumptions'!$B$8/4,'I_Budget Input Data'!$D$55*0.2/('I_Inputs &amp; Assumptions'!$B$8/4),IF(14&lt;='I_Inputs &amp; Assumptions'!$B$8*0.75,'I_Budget Input Data'!$D$55*0.6/('I_Inputs &amp; Assumptions'!$B$8/2),'I_Budget Input Data'!$D$55*0.2/('I_Inputs &amp; Assumptions'!$B$8/4))),IF('I_Budget Input Data'!$E$55="At Completion",IF(14='I_Inputs &amp; Assumptions'!$B$8,'I_Budget Input Data'!$D$55,0),'I_Budget Input Data'!$D$55/'I_Inputs &amp; Assumptions'!$B$8)))))),0)</f>
        <v>0</v>
      </c>
      <c r="Q55" s="91">
        <f>IF(15&lt;='I_Inputs &amp; Assumptions'!$B$8,IF('I_Budget Input Data'!$E$55="Upfront",IF(15=1,'I_Budget Input Data'!$D$55,0),IF('I_Budget Input Data'!$E$55="Equal",'I_Budget Input Data'!$D$55/'I_Inputs &amp; Assumptions'!$B$8,IF('I_Budget Input Data'!$E$55="Front-loaded",IF(15&lt;='I_Inputs &amp; Assumptions'!$B$8/2,'I_Budget Input Data'!$D$55*0.6/('I_Inputs &amp; Assumptions'!$B$8/2),'I_Budget Input Data'!$D$55*0.4/('I_Inputs &amp; Assumptions'!$B$8/2)),IF('I_Budget Input Data'!$E$55="Back-loaded",IF(15&lt;='I_Inputs &amp; Assumptions'!$B$8/2,'I_Budget Input Data'!$D$55*0.4/('I_Inputs &amp; Assumptions'!$B$8/2),'I_Budget Input Data'!$D$55*0.6/('I_Inputs &amp; Assumptions'!$B$8/2)),IF('I_Budget Input Data'!$E$55="Mid-weighted",IF(15&lt;='I_Inputs &amp; Assumptions'!$B$8/4,'I_Budget Input Data'!$D$55*0.2/('I_Inputs &amp; Assumptions'!$B$8/4),IF(15&lt;='I_Inputs &amp; Assumptions'!$B$8*0.75,'I_Budget Input Data'!$D$55*0.6/('I_Inputs &amp; Assumptions'!$B$8/2),'I_Budget Input Data'!$D$55*0.2/('I_Inputs &amp; Assumptions'!$B$8/4))),IF('I_Budget Input Data'!$E$55="At Completion",IF(15='I_Inputs &amp; Assumptions'!$B$8,'I_Budget Input Data'!$D$55,0),'I_Budget Input Data'!$D$55/'I_Inputs &amp; Assumptions'!$B$8)))))),0)</f>
        <v>0</v>
      </c>
      <c r="R55" s="91">
        <f>IF(16&lt;='I_Inputs &amp; Assumptions'!$B$8,IF('I_Budget Input Data'!$E$55="Upfront",IF(16=1,'I_Budget Input Data'!$D$55,0),IF('I_Budget Input Data'!$E$55="Equal",'I_Budget Input Data'!$D$55/'I_Inputs &amp; Assumptions'!$B$8,IF('I_Budget Input Data'!$E$55="Front-loaded",IF(16&lt;='I_Inputs &amp; Assumptions'!$B$8/2,'I_Budget Input Data'!$D$55*0.6/('I_Inputs &amp; Assumptions'!$B$8/2),'I_Budget Input Data'!$D$55*0.4/('I_Inputs &amp; Assumptions'!$B$8/2)),IF('I_Budget Input Data'!$E$55="Back-loaded",IF(16&lt;='I_Inputs &amp; Assumptions'!$B$8/2,'I_Budget Input Data'!$D$55*0.4/('I_Inputs &amp; Assumptions'!$B$8/2),'I_Budget Input Data'!$D$55*0.6/('I_Inputs &amp; Assumptions'!$B$8/2)),IF('I_Budget Input Data'!$E$55="Mid-weighted",IF(16&lt;='I_Inputs &amp; Assumptions'!$B$8/4,'I_Budget Input Data'!$D$55*0.2/('I_Inputs &amp; Assumptions'!$B$8/4),IF(16&lt;='I_Inputs &amp; Assumptions'!$B$8*0.75,'I_Budget Input Data'!$D$55*0.6/('I_Inputs &amp; Assumptions'!$B$8/2),'I_Budget Input Data'!$D$55*0.2/('I_Inputs &amp; Assumptions'!$B$8/4))),IF('I_Budget Input Data'!$E$55="At Completion",IF(16='I_Inputs &amp; Assumptions'!$B$8,'I_Budget Input Data'!$D$55,0),'I_Budget Input Data'!$D$55/'I_Inputs &amp; Assumptions'!$B$8)))))),0)</f>
        <v>0</v>
      </c>
      <c r="S55" s="91">
        <f>IF(17&lt;='I_Inputs &amp; Assumptions'!$B$8,IF('I_Budget Input Data'!$E$55="Upfront",IF(17=1,'I_Budget Input Data'!$D$55,0),IF('I_Budget Input Data'!$E$55="Equal",'I_Budget Input Data'!$D$55/'I_Inputs &amp; Assumptions'!$B$8,IF('I_Budget Input Data'!$E$55="Front-loaded",IF(17&lt;='I_Inputs &amp; Assumptions'!$B$8/2,'I_Budget Input Data'!$D$55*0.6/('I_Inputs &amp; Assumptions'!$B$8/2),'I_Budget Input Data'!$D$55*0.4/('I_Inputs &amp; Assumptions'!$B$8/2)),IF('I_Budget Input Data'!$E$55="Back-loaded",IF(17&lt;='I_Inputs &amp; Assumptions'!$B$8/2,'I_Budget Input Data'!$D$55*0.4/('I_Inputs &amp; Assumptions'!$B$8/2),'I_Budget Input Data'!$D$55*0.6/('I_Inputs &amp; Assumptions'!$B$8/2)),IF('I_Budget Input Data'!$E$55="Mid-weighted",IF(17&lt;='I_Inputs &amp; Assumptions'!$B$8/4,'I_Budget Input Data'!$D$55*0.2/('I_Inputs &amp; Assumptions'!$B$8/4),IF(17&lt;='I_Inputs &amp; Assumptions'!$B$8*0.75,'I_Budget Input Data'!$D$55*0.6/('I_Inputs &amp; Assumptions'!$B$8/2),'I_Budget Input Data'!$D$55*0.2/('I_Inputs &amp; Assumptions'!$B$8/4))),IF('I_Budget Input Data'!$E$55="At Completion",IF(17='I_Inputs &amp; Assumptions'!$B$8,'I_Budget Input Data'!$D$55,0),'I_Budget Input Data'!$D$55/'I_Inputs &amp; Assumptions'!$B$8)))))),0)</f>
        <v>0</v>
      </c>
      <c r="T55" s="91">
        <f>IF(18&lt;='I_Inputs &amp; Assumptions'!$B$8,IF('I_Budget Input Data'!$E$55="Upfront",IF(18=1,'I_Budget Input Data'!$D$55,0),IF('I_Budget Input Data'!$E$55="Equal",'I_Budget Input Data'!$D$55/'I_Inputs &amp; Assumptions'!$B$8,IF('I_Budget Input Data'!$E$55="Front-loaded",IF(18&lt;='I_Inputs &amp; Assumptions'!$B$8/2,'I_Budget Input Data'!$D$55*0.6/('I_Inputs &amp; Assumptions'!$B$8/2),'I_Budget Input Data'!$D$55*0.4/('I_Inputs &amp; Assumptions'!$B$8/2)),IF('I_Budget Input Data'!$E$55="Back-loaded",IF(18&lt;='I_Inputs &amp; Assumptions'!$B$8/2,'I_Budget Input Data'!$D$55*0.4/('I_Inputs &amp; Assumptions'!$B$8/2),'I_Budget Input Data'!$D$55*0.6/('I_Inputs &amp; Assumptions'!$B$8/2)),IF('I_Budget Input Data'!$E$55="Mid-weighted",IF(18&lt;='I_Inputs &amp; Assumptions'!$B$8/4,'I_Budget Input Data'!$D$55*0.2/('I_Inputs &amp; Assumptions'!$B$8/4),IF(18&lt;='I_Inputs &amp; Assumptions'!$B$8*0.75,'I_Budget Input Data'!$D$55*0.6/('I_Inputs &amp; Assumptions'!$B$8/2),'I_Budget Input Data'!$D$55*0.2/('I_Inputs &amp; Assumptions'!$B$8/4))),IF('I_Budget Input Data'!$E$55="At Completion",IF(18='I_Inputs &amp; Assumptions'!$B$8,'I_Budget Input Data'!$D$55,0),'I_Budget Input Data'!$D$55/'I_Inputs &amp; Assumptions'!$B$8)))))),0)</f>
        <v>0</v>
      </c>
      <c r="U55" s="91">
        <f>IF(19&lt;='I_Inputs &amp; Assumptions'!$B$8,IF('I_Budget Input Data'!$E$55="Upfront",IF(19=1,'I_Budget Input Data'!$D$55,0),IF('I_Budget Input Data'!$E$55="Equal",'I_Budget Input Data'!$D$55/'I_Inputs &amp; Assumptions'!$B$8,IF('I_Budget Input Data'!$E$55="Front-loaded",IF(19&lt;='I_Inputs &amp; Assumptions'!$B$8/2,'I_Budget Input Data'!$D$55*0.6/('I_Inputs &amp; Assumptions'!$B$8/2),'I_Budget Input Data'!$D$55*0.4/('I_Inputs &amp; Assumptions'!$B$8/2)),IF('I_Budget Input Data'!$E$55="Back-loaded",IF(19&lt;='I_Inputs &amp; Assumptions'!$B$8/2,'I_Budget Input Data'!$D$55*0.4/('I_Inputs &amp; Assumptions'!$B$8/2),'I_Budget Input Data'!$D$55*0.6/('I_Inputs &amp; Assumptions'!$B$8/2)),IF('I_Budget Input Data'!$E$55="Mid-weighted",IF(19&lt;='I_Inputs &amp; Assumptions'!$B$8/4,'I_Budget Input Data'!$D$55*0.2/('I_Inputs &amp; Assumptions'!$B$8/4),IF(19&lt;='I_Inputs &amp; Assumptions'!$B$8*0.75,'I_Budget Input Data'!$D$55*0.6/('I_Inputs &amp; Assumptions'!$B$8/2),'I_Budget Input Data'!$D$55*0.2/('I_Inputs &amp; Assumptions'!$B$8/4))),IF('I_Budget Input Data'!$E$55="At Completion",IF(19='I_Inputs &amp; Assumptions'!$B$8,'I_Budget Input Data'!$D$55,0),'I_Budget Input Data'!$D$55/'I_Inputs &amp; Assumptions'!$B$8)))))),0)</f>
        <v>0</v>
      </c>
      <c r="V55" s="91">
        <f>IF(20&lt;='I_Inputs &amp; Assumptions'!$B$8,IF('I_Budget Input Data'!$E$55="Upfront",IF(20=1,'I_Budget Input Data'!$D$55,0),IF('I_Budget Input Data'!$E$55="Equal",'I_Budget Input Data'!$D$55/'I_Inputs &amp; Assumptions'!$B$8,IF('I_Budget Input Data'!$E$55="Front-loaded",IF(20&lt;='I_Inputs &amp; Assumptions'!$B$8/2,'I_Budget Input Data'!$D$55*0.6/('I_Inputs &amp; Assumptions'!$B$8/2),'I_Budget Input Data'!$D$55*0.4/('I_Inputs &amp; Assumptions'!$B$8/2)),IF('I_Budget Input Data'!$E$55="Back-loaded",IF(20&lt;='I_Inputs &amp; Assumptions'!$B$8/2,'I_Budget Input Data'!$D$55*0.4/('I_Inputs &amp; Assumptions'!$B$8/2),'I_Budget Input Data'!$D$55*0.6/('I_Inputs &amp; Assumptions'!$B$8/2)),IF('I_Budget Input Data'!$E$55="Mid-weighted",IF(20&lt;='I_Inputs &amp; Assumptions'!$B$8/4,'I_Budget Input Data'!$D$55*0.2/('I_Inputs &amp; Assumptions'!$B$8/4),IF(20&lt;='I_Inputs &amp; Assumptions'!$B$8*0.75,'I_Budget Input Data'!$D$55*0.6/('I_Inputs &amp; Assumptions'!$B$8/2),'I_Budget Input Data'!$D$55*0.2/('I_Inputs &amp; Assumptions'!$B$8/4))),IF('I_Budget Input Data'!$E$55="At Completion",IF(20='I_Inputs &amp; Assumptions'!$B$8,'I_Budget Input Data'!$D$55,0),'I_Budget Input Data'!$D$55/'I_Inputs &amp; Assumptions'!$B$8)))))),0)</f>
        <v>0</v>
      </c>
      <c r="W55" s="91">
        <f>IF(21&lt;='I_Inputs &amp; Assumptions'!$B$8,IF('I_Budget Input Data'!$E$55="Upfront",IF(21=1,'I_Budget Input Data'!$D$55,0),IF('I_Budget Input Data'!$E$55="Equal",'I_Budget Input Data'!$D$55/'I_Inputs &amp; Assumptions'!$B$8,IF('I_Budget Input Data'!$E$55="Front-loaded",IF(21&lt;='I_Inputs &amp; Assumptions'!$B$8/2,'I_Budget Input Data'!$D$55*0.6/('I_Inputs &amp; Assumptions'!$B$8/2),'I_Budget Input Data'!$D$55*0.4/('I_Inputs &amp; Assumptions'!$B$8/2)),IF('I_Budget Input Data'!$E$55="Back-loaded",IF(21&lt;='I_Inputs &amp; Assumptions'!$B$8/2,'I_Budget Input Data'!$D$55*0.4/('I_Inputs &amp; Assumptions'!$B$8/2),'I_Budget Input Data'!$D$55*0.6/('I_Inputs &amp; Assumptions'!$B$8/2)),IF('I_Budget Input Data'!$E$55="Mid-weighted",IF(21&lt;='I_Inputs &amp; Assumptions'!$B$8/4,'I_Budget Input Data'!$D$55*0.2/('I_Inputs &amp; Assumptions'!$B$8/4),IF(21&lt;='I_Inputs &amp; Assumptions'!$B$8*0.75,'I_Budget Input Data'!$D$55*0.6/('I_Inputs &amp; Assumptions'!$B$8/2),'I_Budget Input Data'!$D$55*0.2/('I_Inputs &amp; Assumptions'!$B$8/4))),IF('I_Budget Input Data'!$E$55="At Completion",IF(21='I_Inputs &amp; Assumptions'!$B$8,'I_Budget Input Data'!$D$55,0),'I_Budget Input Data'!$D$55/'I_Inputs &amp; Assumptions'!$B$8)))))),0)</f>
        <v>0</v>
      </c>
      <c r="X55" s="91">
        <f>IF(22&lt;='I_Inputs &amp; Assumptions'!$B$8,IF('I_Budget Input Data'!$E$55="Upfront",IF(22=1,'I_Budget Input Data'!$D$55,0),IF('I_Budget Input Data'!$E$55="Equal",'I_Budget Input Data'!$D$55/'I_Inputs &amp; Assumptions'!$B$8,IF('I_Budget Input Data'!$E$55="Front-loaded",IF(22&lt;='I_Inputs &amp; Assumptions'!$B$8/2,'I_Budget Input Data'!$D$55*0.6/('I_Inputs &amp; Assumptions'!$B$8/2),'I_Budget Input Data'!$D$55*0.4/('I_Inputs &amp; Assumptions'!$B$8/2)),IF('I_Budget Input Data'!$E$55="Back-loaded",IF(22&lt;='I_Inputs &amp; Assumptions'!$B$8/2,'I_Budget Input Data'!$D$55*0.4/('I_Inputs &amp; Assumptions'!$B$8/2),'I_Budget Input Data'!$D$55*0.6/('I_Inputs &amp; Assumptions'!$B$8/2)),IF('I_Budget Input Data'!$E$55="Mid-weighted",IF(22&lt;='I_Inputs &amp; Assumptions'!$B$8/4,'I_Budget Input Data'!$D$55*0.2/('I_Inputs &amp; Assumptions'!$B$8/4),IF(22&lt;='I_Inputs &amp; Assumptions'!$B$8*0.75,'I_Budget Input Data'!$D$55*0.6/('I_Inputs &amp; Assumptions'!$B$8/2),'I_Budget Input Data'!$D$55*0.2/('I_Inputs &amp; Assumptions'!$B$8/4))),IF('I_Budget Input Data'!$E$55="At Completion",IF(22='I_Inputs &amp; Assumptions'!$B$8,'I_Budget Input Data'!$D$55,0),'I_Budget Input Data'!$D$55/'I_Inputs &amp; Assumptions'!$B$8)))))),0)</f>
        <v>0</v>
      </c>
      <c r="Y55" s="91">
        <f>IF(23&lt;='I_Inputs &amp; Assumptions'!$B$8,IF('I_Budget Input Data'!$E$55="Upfront",IF(23=1,'I_Budget Input Data'!$D$55,0),IF('I_Budget Input Data'!$E$55="Equal",'I_Budget Input Data'!$D$55/'I_Inputs &amp; Assumptions'!$B$8,IF('I_Budget Input Data'!$E$55="Front-loaded",IF(23&lt;='I_Inputs &amp; Assumptions'!$B$8/2,'I_Budget Input Data'!$D$55*0.6/('I_Inputs &amp; Assumptions'!$B$8/2),'I_Budget Input Data'!$D$55*0.4/('I_Inputs &amp; Assumptions'!$B$8/2)),IF('I_Budget Input Data'!$E$55="Back-loaded",IF(23&lt;='I_Inputs &amp; Assumptions'!$B$8/2,'I_Budget Input Data'!$D$55*0.4/('I_Inputs &amp; Assumptions'!$B$8/2),'I_Budget Input Data'!$D$55*0.6/('I_Inputs &amp; Assumptions'!$B$8/2)),IF('I_Budget Input Data'!$E$55="Mid-weighted",IF(23&lt;='I_Inputs &amp; Assumptions'!$B$8/4,'I_Budget Input Data'!$D$55*0.2/('I_Inputs &amp; Assumptions'!$B$8/4),IF(23&lt;='I_Inputs &amp; Assumptions'!$B$8*0.75,'I_Budget Input Data'!$D$55*0.6/('I_Inputs &amp; Assumptions'!$B$8/2),'I_Budget Input Data'!$D$55*0.2/('I_Inputs &amp; Assumptions'!$B$8/4))),IF('I_Budget Input Data'!$E$55="At Completion",IF(23='I_Inputs &amp; Assumptions'!$B$8,'I_Budget Input Data'!$D$55,0),'I_Budget Input Data'!$D$55/'I_Inputs &amp; Assumptions'!$B$8)))))),0)</f>
        <v>0</v>
      </c>
      <c r="Z55" s="91">
        <f>IF(24&lt;='I_Inputs &amp; Assumptions'!$B$8,IF('I_Budget Input Data'!$E$55="Upfront",IF(24=1,'I_Budget Input Data'!$D$55,0),IF('I_Budget Input Data'!$E$55="Equal",'I_Budget Input Data'!$D$55/'I_Inputs &amp; Assumptions'!$B$8,IF('I_Budget Input Data'!$E$55="Front-loaded",IF(24&lt;='I_Inputs &amp; Assumptions'!$B$8/2,'I_Budget Input Data'!$D$55*0.6/('I_Inputs &amp; Assumptions'!$B$8/2),'I_Budget Input Data'!$D$55*0.4/('I_Inputs &amp; Assumptions'!$B$8/2)),IF('I_Budget Input Data'!$E$55="Back-loaded",IF(24&lt;='I_Inputs &amp; Assumptions'!$B$8/2,'I_Budget Input Data'!$D$55*0.4/('I_Inputs &amp; Assumptions'!$B$8/2),'I_Budget Input Data'!$D$55*0.6/('I_Inputs &amp; Assumptions'!$B$8/2)),IF('I_Budget Input Data'!$E$55="Mid-weighted",IF(24&lt;='I_Inputs &amp; Assumptions'!$B$8/4,'I_Budget Input Data'!$D$55*0.2/('I_Inputs &amp; Assumptions'!$B$8/4),IF(24&lt;='I_Inputs &amp; Assumptions'!$B$8*0.75,'I_Budget Input Data'!$D$55*0.6/('I_Inputs &amp; Assumptions'!$B$8/2),'I_Budget Input Data'!$D$55*0.2/('I_Inputs &amp; Assumptions'!$B$8/4))),IF('I_Budget Input Data'!$E$55="At Completion",IF(24='I_Inputs &amp; Assumptions'!$B$8,'I_Budget Input Data'!$D$55,0),'I_Budget Input Data'!$D$55/'I_Inputs &amp; Assumptions'!$B$8)))))),0)</f>
        <v>0</v>
      </c>
      <c r="AA55" s="91">
        <f>IF(25&lt;='I_Inputs &amp; Assumptions'!$B$8,IF('I_Budget Input Data'!$E$55="Upfront",IF(25=1,'I_Budget Input Data'!$D$55,0),IF('I_Budget Input Data'!$E$55="Equal",'I_Budget Input Data'!$D$55/'I_Inputs &amp; Assumptions'!$B$8,IF('I_Budget Input Data'!$E$55="Front-loaded",IF(25&lt;='I_Inputs &amp; Assumptions'!$B$8/2,'I_Budget Input Data'!$D$55*0.6/('I_Inputs &amp; Assumptions'!$B$8/2),'I_Budget Input Data'!$D$55*0.4/('I_Inputs &amp; Assumptions'!$B$8/2)),IF('I_Budget Input Data'!$E$55="Back-loaded",IF(25&lt;='I_Inputs &amp; Assumptions'!$B$8/2,'I_Budget Input Data'!$D$55*0.4/('I_Inputs &amp; Assumptions'!$B$8/2),'I_Budget Input Data'!$D$55*0.6/('I_Inputs &amp; Assumptions'!$B$8/2)),IF('I_Budget Input Data'!$E$55="Mid-weighted",IF(25&lt;='I_Inputs &amp; Assumptions'!$B$8/4,'I_Budget Input Data'!$D$55*0.2/('I_Inputs &amp; Assumptions'!$B$8/4),IF(25&lt;='I_Inputs &amp; Assumptions'!$B$8*0.75,'I_Budget Input Data'!$D$55*0.6/('I_Inputs &amp; Assumptions'!$B$8/2),'I_Budget Input Data'!$D$55*0.2/('I_Inputs &amp; Assumptions'!$B$8/4))),IF('I_Budget Input Data'!$E$55="At Completion",IF(25='I_Inputs &amp; Assumptions'!$B$8,'I_Budget Input Data'!$D$55,0),'I_Budget Input Data'!$D$55/'I_Inputs &amp; Assumptions'!$B$8)))))),0)</f>
        <v>0</v>
      </c>
      <c r="AB55" s="91">
        <f>IF(26&lt;='I_Inputs &amp; Assumptions'!$B$8,IF('I_Budget Input Data'!$E$55="Upfront",IF(26=1,'I_Budget Input Data'!$D$55,0),IF('I_Budget Input Data'!$E$55="Equal",'I_Budget Input Data'!$D$55/'I_Inputs &amp; Assumptions'!$B$8,IF('I_Budget Input Data'!$E$55="Front-loaded",IF(26&lt;='I_Inputs &amp; Assumptions'!$B$8/2,'I_Budget Input Data'!$D$55*0.6/('I_Inputs &amp; Assumptions'!$B$8/2),'I_Budget Input Data'!$D$55*0.4/('I_Inputs &amp; Assumptions'!$B$8/2)),IF('I_Budget Input Data'!$E$55="Back-loaded",IF(26&lt;='I_Inputs &amp; Assumptions'!$B$8/2,'I_Budget Input Data'!$D$55*0.4/('I_Inputs &amp; Assumptions'!$B$8/2),'I_Budget Input Data'!$D$55*0.6/('I_Inputs &amp; Assumptions'!$B$8/2)),IF('I_Budget Input Data'!$E$55="Mid-weighted",IF(26&lt;='I_Inputs &amp; Assumptions'!$B$8/4,'I_Budget Input Data'!$D$55*0.2/('I_Inputs &amp; Assumptions'!$B$8/4),IF(26&lt;='I_Inputs &amp; Assumptions'!$B$8*0.75,'I_Budget Input Data'!$D$55*0.6/('I_Inputs &amp; Assumptions'!$B$8/2),'I_Budget Input Data'!$D$55*0.2/('I_Inputs &amp; Assumptions'!$B$8/4))),IF('I_Budget Input Data'!$E$55="At Completion",IF(26='I_Inputs &amp; Assumptions'!$B$8,'I_Budget Input Data'!$D$55,0),'I_Budget Input Data'!$D$55/'I_Inputs &amp; Assumptions'!$B$8)))))),0)</f>
        <v>0</v>
      </c>
      <c r="AC55" s="91">
        <f>IF(27&lt;='I_Inputs &amp; Assumptions'!$B$8,IF('I_Budget Input Data'!$E$55="Upfront",IF(27=1,'I_Budget Input Data'!$D$55,0),IF('I_Budget Input Data'!$E$55="Equal",'I_Budget Input Data'!$D$55/'I_Inputs &amp; Assumptions'!$B$8,IF('I_Budget Input Data'!$E$55="Front-loaded",IF(27&lt;='I_Inputs &amp; Assumptions'!$B$8/2,'I_Budget Input Data'!$D$55*0.6/('I_Inputs &amp; Assumptions'!$B$8/2),'I_Budget Input Data'!$D$55*0.4/('I_Inputs &amp; Assumptions'!$B$8/2)),IF('I_Budget Input Data'!$E$55="Back-loaded",IF(27&lt;='I_Inputs &amp; Assumptions'!$B$8/2,'I_Budget Input Data'!$D$55*0.4/('I_Inputs &amp; Assumptions'!$B$8/2),'I_Budget Input Data'!$D$55*0.6/('I_Inputs &amp; Assumptions'!$B$8/2)),IF('I_Budget Input Data'!$E$55="Mid-weighted",IF(27&lt;='I_Inputs &amp; Assumptions'!$B$8/4,'I_Budget Input Data'!$D$55*0.2/('I_Inputs &amp; Assumptions'!$B$8/4),IF(27&lt;='I_Inputs &amp; Assumptions'!$B$8*0.75,'I_Budget Input Data'!$D$55*0.6/('I_Inputs &amp; Assumptions'!$B$8/2),'I_Budget Input Data'!$D$55*0.2/('I_Inputs &amp; Assumptions'!$B$8/4))),IF('I_Budget Input Data'!$E$55="At Completion",IF(27='I_Inputs &amp; Assumptions'!$B$8,'I_Budget Input Data'!$D$55,0),'I_Budget Input Data'!$D$55/'I_Inputs &amp; Assumptions'!$B$8)))))),0)</f>
        <v>0</v>
      </c>
      <c r="AD55" s="91">
        <f>IF(28&lt;='I_Inputs &amp; Assumptions'!$B$8,IF('I_Budget Input Data'!$E$55="Upfront",IF(28=1,'I_Budget Input Data'!$D$55,0),IF('I_Budget Input Data'!$E$55="Equal",'I_Budget Input Data'!$D$55/'I_Inputs &amp; Assumptions'!$B$8,IF('I_Budget Input Data'!$E$55="Front-loaded",IF(28&lt;='I_Inputs &amp; Assumptions'!$B$8/2,'I_Budget Input Data'!$D$55*0.6/('I_Inputs &amp; Assumptions'!$B$8/2),'I_Budget Input Data'!$D$55*0.4/('I_Inputs &amp; Assumptions'!$B$8/2)),IF('I_Budget Input Data'!$E$55="Back-loaded",IF(28&lt;='I_Inputs &amp; Assumptions'!$B$8/2,'I_Budget Input Data'!$D$55*0.4/('I_Inputs &amp; Assumptions'!$B$8/2),'I_Budget Input Data'!$D$55*0.6/('I_Inputs &amp; Assumptions'!$B$8/2)),IF('I_Budget Input Data'!$E$55="Mid-weighted",IF(28&lt;='I_Inputs &amp; Assumptions'!$B$8/4,'I_Budget Input Data'!$D$55*0.2/('I_Inputs &amp; Assumptions'!$B$8/4),IF(28&lt;='I_Inputs &amp; Assumptions'!$B$8*0.75,'I_Budget Input Data'!$D$55*0.6/('I_Inputs &amp; Assumptions'!$B$8/2),'I_Budget Input Data'!$D$55*0.2/('I_Inputs &amp; Assumptions'!$B$8/4))),IF('I_Budget Input Data'!$E$55="At Completion",IF(28='I_Inputs &amp; Assumptions'!$B$8,'I_Budget Input Data'!$D$55,0),'I_Budget Input Data'!$D$55/'I_Inputs &amp; Assumptions'!$B$8)))))),0)</f>
        <v>0</v>
      </c>
      <c r="AE55" s="91">
        <f>IF(29&lt;='I_Inputs &amp; Assumptions'!$B$8,IF('I_Budget Input Data'!$E$55="Upfront",IF(29=1,'I_Budget Input Data'!$D$55,0),IF('I_Budget Input Data'!$E$55="Equal",'I_Budget Input Data'!$D$55/'I_Inputs &amp; Assumptions'!$B$8,IF('I_Budget Input Data'!$E$55="Front-loaded",IF(29&lt;='I_Inputs &amp; Assumptions'!$B$8/2,'I_Budget Input Data'!$D$55*0.6/('I_Inputs &amp; Assumptions'!$B$8/2),'I_Budget Input Data'!$D$55*0.4/('I_Inputs &amp; Assumptions'!$B$8/2)),IF('I_Budget Input Data'!$E$55="Back-loaded",IF(29&lt;='I_Inputs &amp; Assumptions'!$B$8/2,'I_Budget Input Data'!$D$55*0.4/('I_Inputs &amp; Assumptions'!$B$8/2),'I_Budget Input Data'!$D$55*0.6/('I_Inputs &amp; Assumptions'!$B$8/2)),IF('I_Budget Input Data'!$E$55="Mid-weighted",IF(29&lt;='I_Inputs &amp; Assumptions'!$B$8/4,'I_Budget Input Data'!$D$55*0.2/('I_Inputs &amp; Assumptions'!$B$8/4),IF(29&lt;='I_Inputs &amp; Assumptions'!$B$8*0.75,'I_Budget Input Data'!$D$55*0.6/('I_Inputs &amp; Assumptions'!$B$8/2),'I_Budget Input Data'!$D$55*0.2/('I_Inputs &amp; Assumptions'!$B$8/4))),IF('I_Budget Input Data'!$E$55="At Completion",IF(29='I_Inputs &amp; Assumptions'!$B$8,'I_Budget Input Data'!$D$55,0),'I_Budget Input Data'!$D$55/'I_Inputs &amp; Assumptions'!$B$8)))))),0)</f>
        <v>0</v>
      </c>
      <c r="AF55" s="91">
        <f>IF(30&lt;='I_Inputs &amp; Assumptions'!$B$8,IF('I_Budget Input Data'!$E$55="Upfront",IF(30=1,'I_Budget Input Data'!$D$55,0),IF('I_Budget Input Data'!$E$55="Equal",'I_Budget Input Data'!$D$55/'I_Inputs &amp; Assumptions'!$B$8,IF('I_Budget Input Data'!$E$55="Front-loaded",IF(30&lt;='I_Inputs &amp; Assumptions'!$B$8/2,'I_Budget Input Data'!$D$55*0.6/('I_Inputs &amp; Assumptions'!$B$8/2),'I_Budget Input Data'!$D$55*0.4/('I_Inputs &amp; Assumptions'!$B$8/2)),IF('I_Budget Input Data'!$E$55="Back-loaded",IF(30&lt;='I_Inputs &amp; Assumptions'!$B$8/2,'I_Budget Input Data'!$D$55*0.4/('I_Inputs &amp; Assumptions'!$B$8/2),'I_Budget Input Data'!$D$55*0.6/('I_Inputs &amp; Assumptions'!$B$8/2)),IF('I_Budget Input Data'!$E$55="Mid-weighted",IF(30&lt;='I_Inputs &amp; Assumptions'!$B$8/4,'I_Budget Input Data'!$D$55*0.2/('I_Inputs &amp; Assumptions'!$B$8/4),IF(30&lt;='I_Inputs &amp; Assumptions'!$B$8*0.75,'I_Budget Input Data'!$D$55*0.6/('I_Inputs &amp; Assumptions'!$B$8/2),'I_Budget Input Data'!$D$55*0.2/('I_Inputs &amp; Assumptions'!$B$8/4))),IF('I_Budget Input Data'!$E$55="At Completion",IF(30='I_Inputs &amp; Assumptions'!$B$8,'I_Budget Input Data'!$D$55,0),'I_Budget Input Data'!$D$55/'I_Inputs &amp; Assumptions'!$B$8)))))),0)</f>
        <v>0</v>
      </c>
      <c r="AG55" s="91">
        <f>IF(31&lt;='I_Inputs &amp; Assumptions'!$B$8,IF('I_Budget Input Data'!$E$55="Upfront",IF(31=1,'I_Budget Input Data'!$D$55,0),IF('I_Budget Input Data'!$E$55="Equal",'I_Budget Input Data'!$D$55/'I_Inputs &amp; Assumptions'!$B$8,IF('I_Budget Input Data'!$E$55="Front-loaded",IF(31&lt;='I_Inputs &amp; Assumptions'!$B$8/2,'I_Budget Input Data'!$D$55*0.6/('I_Inputs &amp; Assumptions'!$B$8/2),'I_Budget Input Data'!$D$55*0.4/('I_Inputs &amp; Assumptions'!$B$8/2)),IF('I_Budget Input Data'!$E$55="Back-loaded",IF(31&lt;='I_Inputs &amp; Assumptions'!$B$8/2,'I_Budget Input Data'!$D$55*0.4/('I_Inputs &amp; Assumptions'!$B$8/2),'I_Budget Input Data'!$D$55*0.6/('I_Inputs &amp; Assumptions'!$B$8/2)),IF('I_Budget Input Data'!$E$55="Mid-weighted",IF(31&lt;='I_Inputs &amp; Assumptions'!$B$8/4,'I_Budget Input Data'!$D$55*0.2/('I_Inputs &amp; Assumptions'!$B$8/4),IF(31&lt;='I_Inputs &amp; Assumptions'!$B$8*0.75,'I_Budget Input Data'!$D$55*0.6/('I_Inputs &amp; Assumptions'!$B$8/2),'I_Budget Input Data'!$D$55*0.2/('I_Inputs &amp; Assumptions'!$B$8/4))),IF('I_Budget Input Data'!$E$55="At Completion",IF(31='I_Inputs &amp; Assumptions'!$B$8,'I_Budget Input Data'!$D$55,0),'I_Budget Input Data'!$D$55/'I_Inputs &amp; Assumptions'!$B$8)))))),0)</f>
        <v>0</v>
      </c>
      <c r="AH55" s="91">
        <f>IF(32&lt;='I_Inputs &amp; Assumptions'!$B$8,IF('I_Budget Input Data'!$E$55="Upfront",IF(32=1,'I_Budget Input Data'!$D$55,0),IF('I_Budget Input Data'!$E$55="Equal",'I_Budget Input Data'!$D$55/'I_Inputs &amp; Assumptions'!$B$8,IF('I_Budget Input Data'!$E$55="Front-loaded",IF(32&lt;='I_Inputs &amp; Assumptions'!$B$8/2,'I_Budget Input Data'!$D$55*0.6/('I_Inputs &amp; Assumptions'!$B$8/2),'I_Budget Input Data'!$D$55*0.4/('I_Inputs &amp; Assumptions'!$B$8/2)),IF('I_Budget Input Data'!$E$55="Back-loaded",IF(32&lt;='I_Inputs &amp; Assumptions'!$B$8/2,'I_Budget Input Data'!$D$55*0.4/('I_Inputs &amp; Assumptions'!$B$8/2),'I_Budget Input Data'!$D$55*0.6/('I_Inputs &amp; Assumptions'!$B$8/2)),IF('I_Budget Input Data'!$E$55="Mid-weighted",IF(32&lt;='I_Inputs &amp; Assumptions'!$B$8/4,'I_Budget Input Data'!$D$55*0.2/('I_Inputs &amp; Assumptions'!$B$8/4),IF(32&lt;='I_Inputs &amp; Assumptions'!$B$8*0.75,'I_Budget Input Data'!$D$55*0.6/('I_Inputs &amp; Assumptions'!$B$8/2),'I_Budget Input Data'!$D$55*0.2/('I_Inputs &amp; Assumptions'!$B$8/4))),IF('I_Budget Input Data'!$E$55="At Completion",IF(32='I_Inputs &amp; Assumptions'!$B$8,'I_Budget Input Data'!$D$55,0),'I_Budget Input Data'!$D$55/'I_Inputs &amp; Assumptions'!$B$8)))))),0)</f>
        <v>0</v>
      </c>
      <c r="AI55" s="91">
        <f>IF(33&lt;='I_Inputs &amp; Assumptions'!$B$8,IF('I_Budget Input Data'!$E$55="Upfront",IF(33=1,'I_Budget Input Data'!$D$55,0),IF('I_Budget Input Data'!$E$55="Equal",'I_Budget Input Data'!$D$55/'I_Inputs &amp; Assumptions'!$B$8,IF('I_Budget Input Data'!$E$55="Front-loaded",IF(33&lt;='I_Inputs &amp; Assumptions'!$B$8/2,'I_Budget Input Data'!$D$55*0.6/('I_Inputs &amp; Assumptions'!$B$8/2),'I_Budget Input Data'!$D$55*0.4/('I_Inputs &amp; Assumptions'!$B$8/2)),IF('I_Budget Input Data'!$E$55="Back-loaded",IF(33&lt;='I_Inputs &amp; Assumptions'!$B$8/2,'I_Budget Input Data'!$D$55*0.4/('I_Inputs &amp; Assumptions'!$B$8/2),'I_Budget Input Data'!$D$55*0.6/('I_Inputs &amp; Assumptions'!$B$8/2)),IF('I_Budget Input Data'!$E$55="Mid-weighted",IF(33&lt;='I_Inputs &amp; Assumptions'!$B$8/4,'I_Budget Input Data'!$D$55*0.2/('I_Inputs &amp; Assumptions'!$B$8/4),IF(33&lt;='I_Inputs &amp; Assumptions'!$B$8*0.75,'I_Budget Input Data'!$D$55*0.6/('I_Inputs &amp; Assumptions'!$B$8/2),'I_Budget Input Data'!$D$55*0.2/('I_Inputs &amp; Assumptions'!$B$8/4))),IF('I_Budget Input Data'!$E$55="At Completion",IF(33='I_Inputs &amp; Assumptions'!$B$8,'I_Budget Input Data'!$D$55,0),'I_Budget Input Data'!$D$55/'I_Inputs &amp; Assumptions'!$B$8)))))),0)</f>
        <v>0</v>
      </c>
      <c r="AJ55" s="91">
        <f>IF(34&lt;='I_Inputs &amp; Assumptions'!$B$8,IF('I_Budget Input Data'!$E$55="Upfront",IF(34=1,'I_Budget Input Data'!$D$55,0),IF('I_Budget Input Data'!$E$55="Equal",'I_Budget Input Data'!$D$55/'I_Inputs &amp; Assumptions'!$B$8,IF('I_Budget Input Data'!$E$55="Front-loaded",IF(34&lt;='I_Inputs &amp; Assumptions'!$B$8/2,'I_Budget Input Data'!$D$55*0.6/('I_Inputs &amp; Assumptions'!$B$8/2),'I_Budget Input Data'!$D$55*0.4/('I_Inputs &amp; Assumptions'!$B$8/2)),IF('I_Budget Input Data'!$E$55="Back-loaded",IF(34&lt;='I_Inputs &amp; Assumptions'!$B$8/2,'I_Budget Input Data'!$D$55*0.4/('I_Inputs &amp; Assumptions'!$B$8/2),'I_Budget Input Data'!$D$55*0.6/('I_Inputs &amp; Assumptions'!$B$8/2)),IF('I_Budget Input Data'!$E$55="Mid-weighted",IF(34&lt;='I_Inputs &amp; Assumptions'!$B$8/4,'I_Budget Input Data'!$D$55*0.2/('I_Inputs &amp; Assumptions'!$B$8/4),IF(34&lt;='I_Inputs &amp; Assumptions'!$B$8*0.75,'I_Budget Input Data'!$D$55*0.6/('I_Inputs &amp; Assumptions'!$B$8/2),'I_Budget Input Data'!$D$55*0.2/('I_Inputs &amp; Assumptions'!$B$8/4))),IF('I_Budget Input Data'!$E$55="At Completion",IF(34='I_Inputs &amp; Assumptions'!$B$8,'I_Budget Input Data'!$D$55,0),'I_Budget Input Data'!$D$55/'I_Inputs &amp; Assumptions'!$B$8)))))),0)</f>
        <v>0</v>
      </c>
      <c r="AK55" s="91">
        <f>IF(35&lt;='I_Inputs &amp; Assumptions'!$B$8,IF('I_Budget Input Data'!$E$55="Upfront",IF(35=1,'I_Budget Input Data'!$D$55,0),IF('I_Budget Input Data'!$E$55="Equal",'I_Budget Input Data'!$D$55/'I_Inputs &amp; Assumptions'!$B$8,IF('I_Budget Input Data'!$E$55="Front-loaded",IF(35&lt;='I_Inputs &amp; Assumptions'!$B$8/2,'I_Budget Input Data'!$D$55*0.6/('I_Inputs &amp; Assumptions'!$B$8/2),'I_Budget Input Data'!$D$55*0.4/('I_Inputs &amp; Assumptions'!$B$8/2)),IF('I_Budget Input Data'!$E$55="Back-loaded",IF(35&lt;='I_Inputs &amp; Assumptions'!$B$8/2,'I_Budget Input Data'!$D$55*0.4/('I_Inputs &amp; Assumptions'!$B$8/2),'I_Budget Input Data'!$D$55*0.6/('I_Inputs &amp; Assumptions'!$B$8/2)),IF('I_Budget Input Data'!$E$55="Mid-weighted",IF(35&lt;='I_Inputs &amp; Assumptions'!$B$8/4,'I_Budget Input Data'!$D$55*0.2/('I_Inputs &amp; Assumptions'!$B$8/4),IF(35&lt;='I_Inputs &amp; Assumptions'!$B$8*0.75,'I_Budget Input Data'!$D$55*0.6/('I_Inputs &amp; Assumptions'!$B$8/2),'I_Budget Input Data'!$D$55*0.2/('I_Inputs &amp; Assumptions'!$B$8/4))),IF('I_Budget Input Data'!$E$55="At Completion",IF(35='I_Inputs &amp; Assumptions'!$B$8,'I_Budget Input Data'!$D$55,0),'I_Budget Input Data'!$D$55/'I_Inputs &amp; Assumptions'!$B$8)))))),0)</f>
        <v>0</v>
      </c>
      <c r="AL55" s="91">
        <f>IF(36&lt;='I_Inputs &amp; Assumptions'!$B$8,IF('I_Budget Input Data'!$E$55="Upfront",IF(36=1,'I_Budget Input Data'!$D$55,0),IF('I_Budget Input Data'!$E$55="Equal",'I_Budget Input Data'!$D$55/'I_Inputs &amp; Assumptions'!$B$8,IF('I_Budget Input Data'!$E$55="Front-loaded",IF(36&lt;='I_Inputs &amp; Assumptions'!$B$8/2,'I_Budget Input Data'!$D$55*0.6/('I_Inputs &amp; Assumptions'!$B$8/2),'I_Budget Input Data'!$D$55*0.4/('I_Inputs &amp; Assumptions'!$B$8/2)),IF('I_Budget Input Data'!$E$55="Back-loaded",IF(36&lt;='I_Inputs &amp; Assumptions'!$B$8/2,'I_Budget Input Data'!$D$55*0.4/('I_Inputs &amp; Assumptions'!$B$8/2),'I_Budget Input Data'!$D$55*0.6/('I_Inputs &amp; Assumptions'!$B$8/2)),IF('I_Budget Input Data'!$E$55="Mid-weighted",IF(36&lt;='I_Inputs &amp; Assumptions'!$B$8/4,'I_Budget Input Data'!$D$55*0.2/('I_Inputs &amp; Assumptions'!$B$8/4),IF(36&lt;='I_Inputs &amp; Assumptions'!$B$8*0.75,'I_Budget Input Data'!$D$55*0.6/('I_Inputs &amp; Assumptions'!$B$8/2),'I_Budget Input Data'!$D$55*0.2/('I_Inputs &amp; Assumptions'!$B$8/4))),IF('I_Budget Input Data'!$E$55="At Completion",IF(36='I_Inputs &amp; Assumptions'!$B$8,'I_Budget Input Data'!$D$55,0),'I_Budget Input Data'!$D$55/'I_Inputs &amp; Assumptions'!$B$8)))))),0)</f>
        <v>0</v>
      </c>
    </row>
    <row r="56" spans="1:38" ht="15" customHeight="1" x14ac:dyDescent="0.2">
      <c r="A56" t="s">
        <v>146</v>
      </c>
      <c r="B56" t="s">
        <v>177</v>
      </c>
      <c r="C56" s="91">
        <f>IF(1&lt;='I_Inputs &amp; Assumptions'!$B$8,IF('I_Budget Input Data'!$E$56="Upfront",IF(1=1,'I_Budget Input Data'!$D$56,0),IF('I_Budget Input Data'!$E$56="Equal",'I_Budget Input Data'!$D$56/'I_Inputs &amp; Assumptions'!$B$8,IF('I_Budget Input Data'!$E$56="Front-loaded",IF(1&lt;='I_Inputs &amp; Assumptions'!$B$8/2,'I_Budget Input Data'!$D$56*0.6/('I_Inputs &amp; Assumptions'!$B$8/2),'I_Budget Input Data'!$D$56*0.4/('I_Inputs &amp; Assumptions'!$B$8/2)),IF('I_Budget Input Data'!$E$56="Back-loaded",IF(1&lt;='I_Inputs &amp; Assumptions'!$B$8/2,'I_Budget Input Data'!$D$56*0.4/('I_Inputs &amp; Assumptions'!$B$8/2),'I_Budget Input Data'!$D$56*0.6/('I_Inputs &amp; Assumptions'!$B$8/2)),IF('I_Budget Input Data'!$E$56="Mid-weighted",IF(1&lt;='I_Inputs &amp; Assumptions'!$B$8/4,'I_Budget Input Data'!$D$56*0.2/('I_Inputs &amp; Assumptions'!$B$8/4),IF(1&lt;='I_Inputs &amp; Assumptions'!$B$8*0.75,'I_Budget Input Data'!$D$56*0.6/('I_Inputs &amp; Assumptions'!$B$8/2),'I_Budget Input Data'!$D$56*0.2/('I_Inputs &amp; Assumptions'!$B$8/4))),IF('I_Budget Input Data'!$E$56="At Completion",IF(1='I_Inputs &amp; Assumptions'!$B$8,'I_Budget Input Data'!$D$56,0),'I_Budget Input Data'!$D$56/'I_Inputs &amp; Assumptions'!$B$8)))))),0)</f>
        <v>2723.6153846153848</v>
      </c>
      <c r="D56" s="91">
        <f>IF(2&lt;='I_Inputs &amp; Assumptions'!$B$8,IF('I_Budget Input Data'!$E$56="Upfront",IF(2=1,'I_Budget Input Data'!$D$56,0),IF('I_Budget Input Data'!$E$56="Equal",'I_Budget Input Data'!$D$56/'I_Inputs &amp; Assumptions'!$B$8,IF('I_Budget Input Data'!$E$56="Front-loaded",IF(2&lt;='I_Inputs &amp; Assumptions'!$B$8/2,'I_Budget Input Data'!$D$56*0.6/('I_Inputs &amp; Assumptions'!$B$8/2),'I_Budget Input Data'!$D$56*0.4/('I_Inputs &amp; Assumptions'!$B$8/2)),IF('I_Budget Input Data'!$E$56="Back-loaded",IF(2&lt;='I_Inputs &amp; Assumptions'!$B$8/2,'I_Budget Input Data'!$D$56*0.4/('I_Inputs &amp; Assumptions'!$B$8/2),'I_Budget Input Data'!$D$56*0.6/('I_Inputs &amp; Assumptions'!$B$8/2)),IF('I_Budget Input Data'!$E$56="Mid-weighted",IF(2&lt;='I_Inputs &amp; Assumptions'!$B$8/4,'I_Budget Input Data'!$D$56*0.2/('I_Inputs &amp; Assumptions'!$B$8/4),IF(2&lt;='I_Inputs &amp; Assumptions'!$B$8*0.75,'I_Budget Input Data'!$D$56*0.6/('I_Inputs &amp; Assumptions'!$B$8/2),'I_Budget Input Data'!$D$56*0.2/('I_Inputs &amp; Assumptions'!$B$8/4))),IF('I_Budget Input Data'!$E$56="At Completion",IF(2='I_Inputs &amp; Assumptions'!$B$8,'I_Budget Input Data'!$D$56,0),'I_Budget Input Data'!$D$56/'I_Inputs &amp; Assumptions'!$B$8)))))),0)</f>
        <v>2723.6153846153848</v>
      </c>
      <c r="E56" s="91">
        <f>IF(3&lt;='I_Inputs &amp; Assumptions'!$B$8,IF('I_Budget Input Data'!$E$56="Upfront",IF(3=1,'I_Budget Input Data'!$D$56,0),IF('I_Budget Input Data'!$E$56="Equal",'I_Budget Input Data'!$D$56/'I_Inputs &amp; Assumptions'!$B$8,IF('I_Budget Input Data'!$E$56="Front-loaded",IF(3&lt;='I_Inputs &amp; Assumptions'!$B$8/2,'I_Budget Input Data'!$D$56*0.6/('I_Inputs &amp; Assumptions'!$B$8/2),'I_Budget Input Data'!$D$56*0.4/('I_Inputs &amp; Assumptions'!$B$8/2)),IF('I_Budget Input Data'!$E$56="Back-loaded",IF(3&lt;='I_Inputs &amp; Assumptions'!$B$8/2,'I_Budget Input Data'!$D$56*0.4/('I_Inputs &amp; Assumptions'!$B$8/2),'I_Budget Input Data'!$D$56*0.6/('I_Inputs &amp; Assumptions'!$B$8/2)),IF('I_Budget Input Data'!$E$56="Mid-weighted",IF(3&lt;='I_Inputs &amp; Assumptions'!$B$8/4,'I_Budget Input Data'!$D$56*0.2/('I_Inputs &amp; Assumptions'!$B$8/4),IF(3&lt;='I_Inputs &amp; Assumptions'!$B$8*0.75,'I_Budget Input Data'!$D$56*0.6/('I_Inputs &amp; Assumptions'!$B$8/2),'I_Budget Input Data'!$D$56*0.2/('I_Inputs &amp; Assumptions'!$B$8/4))),IF('I_Budget Input Data'!$E$56="At Completion",IF(3='I_Inputs &amp; Assumptions'!$B$8,'I_Budget Input Data'!$D$56,0),'I_Budget Input Data'!$D$56/'I_Inputs &amp; Assumptions'!$B$8)))))),0)</f>
        <v>2723.6153846153848</v>
      </c>
      <c r="F56" s="91">
        <f>IF(4&lt;='I_Inputs &amp; Assumptions'!$B$8,IF('I_Budget Input Data'!$E$56="Upfront",IF(4=1,'I_Budget Input Data'!$D$56,0),IF('I_Budget Input Data'!$E$56="Equal",'I_Budget Input Data'!$D$56/'I_Inputs &amp; Assumptions'!$B$8,IF('I_Budget Input Data'!$E$56="Front-loaded",IF(4&lt;='I_Inputs &amp; Assumptions'!$B$8/2,'I_Budget Input Data'!$D$56*0.6/('I_Inputs &amp; Assumptions'!$B$8/2),'I_Budget Input Data'!$D$56*0.4/('I_Inputs &amp; Assumptions'!$B$8/2)),IF('I_Budget Input Data'!$E$56="Back-loaded",IF(4&lt;='I_Inputs &amp; Assumptions'!$B$8/2,'I_Budget Input Data'!$D$56*0.4/('I_Inputs &amp; Assumptions'!$B$8/2),'I_Budget Input Data'!$D$56*0.6/('I_Inputs &amp; Assumptions'!$B$8/2)),IF('I_Budget Input Data'!$E$56="Mid-weighted",IF(4&lt;='I_Inputs &amp; Assumptions'!$B$8/4,'I_Budget Input Data'!$D$56*0.2/('I_Inputs &amp; Assumptions'!$B$8/4),IF(4&lt;='I_Inputs &amp; Assumptions'!$B$8*0.75,'I_Budget Input Data'!$D$56*0.6/('I_Inputs &amp; Assumptions'!$B$8/2),'I_Budget Input Data'!$D$56*0.2/('I_Inputs &amp; Assumptions'!$B$8/4))),IF('I_Budget Input Data'!$E$56="At Completion",IF(4='I_Inputs &amp; Assumptions'!$B$8,'I_Budget Input Data'!$D$56,0),'I_Budget Input Data'!$D$56/'I_Inputs &amp; Assumptions'!$B$8)))))),0)</f>
        <v>2723.6153846153848</v>
      </c>
      <c r="G56" s="91">
        <f>IF(5&lt;='I_Inputs &amp; Assumptions'!$B$8,IF('I_Budget Input Data'!$E$56="Upfront",IF(5=1,'I_Budget Input Data'!$D$56,0),IF('I_Budget Input Data'!$E$56="Equal",'I_Budget Input Data'!$D$56/'I_Inputs &amp; Assumptions'!$B$8,IF('I_Budget Input Data'!$E$56="Front-loaded",IF(5&lt;='I_Inputs &amp; Assumptions'!$B$8/2,'I_Budget Input Data'!$D$56*0.6/('I_Inputs &amp; Assumptions'!$B$8/2),'I_Budget Input Data'!$D$56*0.4/('I_Inputs &amp; Assumptions'!$B$8/2)),IF('I_Budget Input Data'!$E$56="Back-loaded",IF(5&lt;='I_Inputs &amp; Assumptions'!$B$8/2,'I_Budget Input Data'!$D$56*0.4/('I_Inputs &amp; Assumptions'!$B$8/2),'I_Budget Input Data'!$D$56*0.6/('I_Inputs &amp; Assumptions'!$B$8/2)),IF('I_Budget Input Data'!$E$56="Mid-weighted",IF(5&lt;='I_Inputs &amp; Assumptions'!$B$8/4,'I_Budget Input Data'!$D$56*0.2/('I_Inputs &amp; Assumptions'!$B$8/4),IF(5&lt;='I_Inputs &amp; Assumptions'!$B$8*0.75,'I_Budget Input Data'!$D$56*0.6/('I_Inputs &amp; Assumptions'!$B$8/2),'I_Budget Input Data'!$D$56*0.2/('I_Inputs &amp; Assumptions'!$B$8/4))),IF('I_Budget Input Data'!$E$56="At Completion",IF(5='I_Inputs &amp; Assumptions'!$B$8,'I_Budget Input Data'!$D$56,0),'I_Budget Input Data'!$D$56/'I_Inputs &amp; Assumptions'!$B$8)))))),0)</f>
        <v>2723.6153846153848</v>
      </c>
      <c r="H56" s="91">
        <f>IF(6&lt;='I_Inputs &amp; Assumptions'!$B$8,IF('I_Budget Input Data'!$E$56="Upfront",IF(6=1,'I_Budget Input Data'!$D$56,0),IF('I_Budget Input Data'!$E$56="Equal",'I_Budget Input Data'!$D$56/'I_Inputs &amp; Assumptions'!$B$8,IF('I_Budget Input Data'!$E$56="Front-loaded",IF(6&lt;='I_Inputs &amp; Assumptions'!$B$8/2,'I_Budget Input Data'!$D$56*0.6/('I_Inputs &amp; Assumptions'!$B$8/2),'I_Budget Input Data'!$D$56*0.4/('I_Inputs &amp; Assumptions'!$B$8/2)),IF('I_Budget Input Data'!$E$56="Back-loaded",IF(6&lt;='I_Inputs &amp; Assumptions'!$B$8/2,'I_Budget Input Data'!$D$56*0.4/('I_Inputs &amp; Assumptions'!$B$8/2),'I_Budget Input Data'!$D$56*0.6/('I_Inputs &amp; Assumptions'!$B$8/2)),IF('I_Budget Input Data'!$E$56="Mid-weighted",IF(6&lt;='I_Inputs &amp; Assumptions'!$B$8/4,'I_Budget Input Data'!$D$56*0.2/('I_Inputs &amp; Assumptions'!$B$8/4),IF(6&lt;='I_Inputs &amp; Assumptions'!$B$8*0.75,'I_Budget Input Data'!$D$56*0.6/('I_Inputs &amp; Assumptions'!$B$8/2),'I_Budget Input Data'!$D$56*0.2/('I_Inputs &amp; Assumptions'!$B$8/4))),IF('I_Budget Input Data'!$E$56="At Completion",IF(6='I_Inputs &amp; Assumptions'!$B$8,'I_Budget Input Data'!$D$56,0),'I_Budget Input Data'!$D$56/'I_Inputs &amp; Assumptions'!$B$8)))))),0)</f>
        <v>2723.6153846153848</v>
      </c>
      <c r="I56" s="91">
        <f>IF(7&lt;='I_Inputs &amp; Assumptions'!$B$8,IF('I_Budget Input Data'!$E$56="Upfront",IF(7=1,'I_Budget Input Data'!$D$56,0),IF('I_Budget Input Data'!$E$56="Equal",'I_Budget Input Data'!$D$56/'I_Inputs &amp; Assumptions'!$B$8,IF('I_Budget Input Data'!$E$56="Front-loaded",IF(7&lt;='I_Inputs &amp; Assumptions'!$B$8/2,'I_Budget Input Data'!$D$56*0.6/('I_Inputs &amp; Assumptions'!$B$8/2),'I_Budget Input Data'!$D$56*0.4/('I_Inputs &amp; Assumptions'!$B$8/2)),IF('I_Budget Input Data'!$E$56="Back-loaded",IF(7&lt;='I_Inputs &amp; Assumptions'!$B$8/2,'I_Budget Input Data'!$D$56*0.4/('I_Inputs &amp; Assumptions'!$B$8/2),'I_Budget Input Data'!$D$56*0.6/('I_Inputs &amp; Assumptions'!$B$8/2)),IF('I_Budget Input Data'!$E$56="Mid-weighted",IF(7&lt;='I_Inputs &amp; Assumptions'!$B$8/4,'I_Budget Input Data'!$D$56*0.2/('I_Inputs &amp; Assumptions'!$B$8/4),IF(7&lt;='I_Inputs &amp; Assumptions'!$B$8*0.75,'I_Budget Input Data'!$D$56*0.6/('I_Inputs &amp; Assumptions'!$B$8/2),'I_Budget Input Data'!$D$56*0.2/('I_Inputs &amp; Assumptions'!$B$8/4))),IF('I_Budget Input Data'!$E$56="At Completion",IF(7='I_Inputs &amp; Assumptions'!$B$8,'I_Budget Input Data'!$D$56,0),'I_Budget Input Data'!$D$56/'I_Inputs &amp; Assumptions'!$B$8)))))),0)</f>
        <v>2723.6153846153848</v>
      </c>
      <c r="J56" s="91">
        <f>IF(8&lt;='I_Inputs &amp; Assumptions'!$B$8,IF('I_Budget Input Data'!$E$56="Upfront",IF(8=1,'I_Budget Input Data'!$D$56,0),IF('I_Budget Input Data'!$E$56="Equal",'I_Budget Input Data'!$D$56/'I_Inputs &amp; Assumptions'!$B$8,IF('I_Budget Input Data'!$E$56="Front-loaded",IF(8&lt;='I_Inputs &amp; Assumptions'!$B$8/2,'I_Budget Input Data'!$D$56*0.6/('I_Inputs &amp; Assumptions'!$B$8/2),'I_Budget Input Data'!$D$56*0.4/('I_Inputs &amp; Assumptions'!$B$8/2)),IF('I_Budget Input Data'!$E$56="Back-loaded",IF(8&lt;='I_Inputs &amp; Assumptions'!$B$8/2,'I_Budget Input Data'!$D$56*0.4/('I_Inputs &amp; Assumptions'!$B$8/2),'I_Budget Input Data'!$D$56*0.6/('I_Inputs &amp; Assumptions'!$B$8/2)),IF('I_Budget Input Data'!$E$56="Mid-weighted",IF(8&lt;='I_Inputs &amp; Assumptions'!$B$8/4,'I_Budget Input Data'!$D$56*0.2/('I_Inputs &amp; Assumptions'!$B$8/4),IF(8&lt;='I_Inputs &amp; Assumptions'!$B$8*0.75,'I_Budget Input Data'!$D$56*0.6/('I_Inputs &amp; Assumptions'!$B$8/2),'I_Budget Input Data'!$D$56*0.2/('I_Inputs &amp; Assumptions'!$B$8/4))),IF('I_Budget Input Data'!$E$56="At Completion",IF(8='I_Inputs &amp; Assumptions'!$B$8,'I_Budget Input Data'!$D$56,0),'I_Budget Input Data'!$D$56/'I_Inputs &amp; Assumptions'!$B$8)))))),0)</f>
        <v>2723.6153846153848</v>
      </c>
      <c r="K56" s="91">
        <f>IF(9&lt;='I_Inputs &amp; Assumptions'!$B$8,IF('I_Budget Input Data'!$E$56="Upfront",IF(9=1,'I_Budget Input Data'!$D$56,0),IF('I_Budget Input Data'!$E$56="Equal",'I_Budget Input Data'!$D$56/'I_Inputs &amp; Assumptions'!$B$8,IF('I_Budget Input Data'!$E$56="Front-loaded",IF(9&lt;='I_Inputs &amp; Assumptions'!$B$8/2,'I_Budget Input Data'!$D$56*0.6/('I_Inputs &amp; Assumptions'!$B$8/2),'I_Budget Input Data'!$D$56*0.4/('I_Inputs &amp; Assumptions'!$B$8/2)),IF('I_Budget Input Data'!$E$56="Back-loaded",IF(9&lt;='I_Inputs &amp; Assumptions'!$B$8/2,'I_Budget Input Data'!$D$56*0.4/('I_Inputs &amp; Assumptions'!$B$8/2),'I_Budget Input Data'!$D$56*0.6/('I_Inputs &amp; Assumptions'!$B$8/2)),IF('I_Budget Input Data'!$E$56="Mid-weighted",IF(9&lt;='I_Inputs &amp; Assumptions'!$B$8/4,'I_Budget Input Data'!$D$56*0.2/('I_Inputs &amp; Assumptions'!$B$8/4),IF(9&lt;='I_Inputs &amp; Assumptions'!$B$8*0.75,'I_Budget Input Data'!$D$56*0.6/('I_Inputs &amp; Assumptions'!$B$8/2),'I_Budget Input Data'!$D$56*0.2/('I_Inputs &amp; Assumptions'!$B$8/4))),IF('I_Budget Input Data'!$E$56="At Completion",IF(9='I_Inputs &amp; Assumptions'!$B$8,'I_Budget Input Data'!$D$56,0),'I_Budget Input Data'!$D$56/'I_Inputs &amp; Assumptions'!$B$8)))))),0)</f>
        <v>2723.6153846153848</v>
      </c>
      <c r="L56" s="91">
        <f>IF(10&lt;='I_Inputs &amp; Assumptions'!$B$8,IF('I_Budget Input Data'!$E$56="Upfront",IF(10=1,'I_Budget Input Data'!$D$56,0),IF('I_Budget Input Data'!$E$56="Equal",'I_Budget Input Data'!$D$56/'I_Inputs &amp; Assumptions'!$B$8,IF('I_Budget Input Data'!$E$56="Front-loaded",IF(10&lt;='I_Inputs &amp; Assumptions'!$B$8/2,'I_Budget Input Data'!$D$56*0.6/('I_Inputs &amp; Assumptions'!$B$8/2),'I_Budget Input Data'!$D$56*0.4/('I_Inputs &amp; Assumptions'!$B$8/2)),IF('I_Budget Input Data'!$E$56="Back-loaded",IF(10&lt;='I_Inputs &amp; Assumptions'!$B$8/2,'I_Budget Input Data'!$D$56*0.4/('I_Inputs &amp; Assumptions'!$B$8/2),'I_Budget Input Data'!$D$56*0.6/('I_Inputs &amp; Assumptions'!$B$8/2)),IF('I_Budget Input Data'!$E$56="Mid-weighted",IF(10&lt;='I_Inputs &amp; Assumptions'!$B$8/4,'I_Budget Input Data'!$D$56*0.2/('I_Inputs &amp; Assumptions'!$B$8/4),IF(10&lt;='I_Inputs &amp; Assumptions'!$B$8*0.75,'I_Budget Input Data'!$D$56*0.6/('I_Inputs &amp; Assumptions'!$B$8/2),'I_Budget Input Data'!$D$56*0.2/('I_Inputs &amp; Assumptions'!$B$8/4))),IF('I_Budget Input Data'!$E$56="At Completion",IF(10='I_Inputs &amp; Assumptions'!$B$8,'I_Budget Input Data'!$D$56,0),'I_Budget Input Data'!$D$56/'I_Inputs &amp; Assumptions'!$B$8)))))),0)</f>
        <v>2723.6153846153848</v>
      </c>
      <c r="M56" s="91">
        <f>IF(11&lt;='I_Inputs &amp; Assumptions'!$B$8,IF('I_Budget Input Data'!$E$56="Upfront",IF(11=1,'I_Budget Input Data'!$D$56,0),IF('I_Budget Input Data'!$E$56="Equal",'I_Budget Input Data'!$D$56/'I_Inputs &amp; Assumptions'!$B$8,IF('I_Budget Input Data'!$E$56="Front-loaded",IF(11&lt;='I_Inputs &amp; Assumptions'!$B$8/2,'I_Budget Input Data'!$D$56*0.6/('I_Inputs &amp; Assumptions'!$B$8/2),'I_Budget Input Data'!$D$56*0.4/('I_Inputs &amp; Assumptions'!$B$8/2)),IF('I_Budget Input Data'!$E$56="Back-loaded",IF(11&lt;='I_Inputs &amp; Assumptions'!$B$8/2,'I_Budget Input Data'!$D$56*0.4/('I_Inputs &amp; Assumptions'!$B$8/2),'I_Budget Input Data'!$D$56*0.6/('I_Inputs &amp; Assumptions'!$B$8/2)),IF('I_Budget Input Data'!$E$56="Mid-weighted",IF(11&lt;='I_Inputs &amp; Assumptions'!$B$8/4,'I_Budget Input Data'!$D$56*0.2/('I_Inputs &amp; Assumptions'!$B$8/4),IF(11&lt;='I_Inputs &amp; Assumptions'!$B$8*0.75,'I_Budget Input Data'!$D$56*0.6/('I_Inputs &amp; Assumptions'!$B$8/2),'I_Budget Input Data'!$D$56*0.2/('I_Inputs &amp; Assumptions'!$B$8/4))),IF('I_Budget Input Data'!$E$56="At Completion",IF(11='I_Inputs &amp; Assumptions'!$B$8,'I_Budget Input Data'!$D$56,0),'I_Budget Input Data'!$D$56/'I_Inputs &amp; Assumptions'!$B$8)))))),0)</f>
        <v>2723.6153846153848</v>
      </c>
      <c r="N56" s="91">
        <f>IF(12&lt;='I_Inputs &amp; Assumptions'!$B$8,IF('I_Budget Input Data'!$E$56="Upfront",IF(12=1,'I_Budget Input Data'!$D$56,0),IF('I_Budget Input Data'!$E$56="Equal",'I_Budget Input Data'!$D$56/'I_Inputs &amp; Assumptions'!$B$8,IF('I_Budget Input Data'!$E$56="Front-loaded",IF(12&lt;='I_Inputs &amp; Assumptions'!$B$8/2,'I_Budget Input Data'!$D$56*0.6/('I_Inputs &amp; Assumptions'!$B$8/2),'I_Budget Input Data'!$D$56*0.4/('I_Inputs &amp; Assumptions'!$B$8/2)),IF('I_Budget Input Data'!$E$56="Back-loaded",IF(12&lt;='I_Inputs &amp; Assumptions'!$B$8/2,'I_Budget Input Data'!$D$56*0.4/('I_Inputs &amp; Assumptions'!$B$8/2),'I_Budget Input Data'!$D$56*0.6/('I_Inputs &amp; Assumptions'!$B$8/2)),IF('I_Budget Input Data'!$E$56="Mid-weighted",IF(12&lt;='I_Inputs &amp; Assumptions'!$B$8/4,'I_Budget Input Data'!$D$56*0.2/('I_Inputs &amp; Assumptions'!$B$8/4),IF(12&lt;='I_Inputs &amp; Assumptions'!$B$8*0.75,'I_Budget Input Data'!$D$56*0.6/('I_Inputs &amp; Assumptions'!$B$8/2),'I_Budget Input Data'!$D$56*0.2/('I_Inputs &amp; Assumptions'!$B$8/4))),IF('I_Budget Input Data'!$E$56="At Completion",IF(12='I_Inputs &amp; Assumptions'!$B$8,'I_Budget Input Data'!$D$56,0),'I_Budget Input Data'!$D$56/'I_Inputs &amp; Assumptions'!$B$8)))))),0)</f>
        <v>2723.6153846153848</v>
      </c>
      <c r="O56" s="91">
        <f>IF(13&lt;='I_Inputs &amp; Assumptions'!$B$8,IF('I_Budget Input Data'!$E$56="Upfront",IF(13=1,'I_Budget Input Data'!$D$56,0),IF('I_Budget Input Data'!$E$56="Equal",'I_Budget Input Data'!$D$56/'I_Inputs &amp; Assumptions'!$B$8,IF('I_Budget Input Data'!$E$56="Front-loaded",IF(13&lt;='I_Inputs &amp; Assumptions'!$B$8/2,'I_Budget Input Data'!$D$56*0.6/('I_Inputs &amp; Assumptions'!$B$8/2),'I_Budget Input Data'!$D$56*0.4/('I_Inputs &amp; Assumptions'!$B$8/2)),IF('I_Budget Input Data'!$E$56="Back-loaded",IF(13&lt;='I_Inputs &amp; Assumptions'!$B$8/2,'I_Budget Input Data'!$D$56*0.4/('I_Inputs &amp; Assumptions'!$B$8/2),'I_Budget Input Data'!$D$56*0.6/('I_Inputs &amp; Assumptions'!$B$8/2)),IF('I_Budget Input Data'!$E$56="Mid-weighted",IF(13&lt;='I_Inputs &amp; Assumptions'!$B$8/4,'I_Budget Input Data'!$D$56*0.2/('I_Inputs &amp; Assumptions'!$B$8/4),IF(13&lt;='I_Inputs &amp; Assumptions'!$B$8*0.75,'I_Budget Input Data'!$D$56*0.6/('I_Inputs &amp; Assumptions'!$B$8/2),'I_Budget Input Data'!$D$56*0.2/('I_Inputs &amp; Assumptions'!$B$8/4))),IF('I_Budget Input Data'!$E$56="At Completion",IF(13='I_Inputs &amp; Assumptions'!$B$8,'I_Budget Input Data'!$D$56,0),'I_Budget Input Data'!$D$56/'I_Inputs &amp; Assumptions'!$B$8)))))),0)</f>
        <v>2723.6153846153848</v>
      </c>
      <c r="P56" s="91">
        <f>IF(14&lt;='I_Inputs &amp; Assumptions'!$B$8,IF('I_Budget Input Data'!$E$56="Upfront",IF(14=1,'I_Budget Input Data'!$D$56,0),IF('I_Budget Input Data'!$E$56="Equal",'I_Budget Input Data'!$D$56/'I_Inputs &amp; Assumptions'!$B$8,IF('I_Budget Input Data'!$E$56="Front-loaded",IF(14&lt;='I_Inputs &amp; Assumptions'!$B$8/2,'I_Budget Input Data'!$D$56*0.6/('I_Inputs &amp; Assumptions'!$B$8/2),'I_Budget Input Data'!$D$56*0.4/('I_Inputs &amp; Assumptions'!$B$8/2)),IF('I_Budget Input Data'!$E$56="Back-loaded",IF(14&lt;='I_Inputs &amp; Assumptions'!$B$8/2,'I_Budget Input Data'!$D$56*0.4/('I_Inputs &amp; Assumptions'!$B$8/2),'I_Budget Input Data'!$D$56*0.6/('I_Inputs &amp; Assumptions'!$B$8/2)),IF('I_Budget Input Data'!$E$56="Mid-weighted",IF(14&lt;='I_Inputs &amp; Assumptions'!$B$8/4,'I_Budget Input Data'!$D$56*0.2/('I_Inputs &amp; Assumptions'!$B$8/4),IF(14&lt;='I_Inputs &amp; Assumptions'!$B$8*0.75,'I_Budget Input Data'!$D$56*0.6/('I_Inputs &amp; Assumptions'!$B$8/2),'I_Budget Input Data'!$D$56*0.2/('I_Inputs &amp; Assumptions'!$B$8/4))),IF('I_Budget Input Data'!$E$56="At Completion",IF(14='I_Inputs &amp; Assumptions'!$B$8,'I_Budget Input Data'!$D$56,0),'I_Budget Input Data'!$D$56/'I_Inputs &amp; Assumptions'!$B$8)))))),0)</f>
        <v>0</v>
      </c>
      <c r="Q56" s="91">
        <f>IF(15&lt;='I_Inputs &amp; Assumptions'!$B$8,IF('I_Budget Input Data'!$E$56="Upfront",IF(15=1,'I_Budget Input Data'!$D$56,0),IF('I_Budget Input Data'!$E$56="Equal",'I_Budget Input Data'!$D$56/'I_Inputs &amp; Assumptions'!$B$8,IF('I_Budget Input Data'!$E$56="Front-loaded",IF(15&lt;='I_Inputs &amp; Assumptions'!$B$8/2,'I_Budget Input Data'!$D$56*0.6/('I_Inputs &amp; Assumptions'!$B$8/2),'I_Budget Input Data'!$D$56*0.4/('I_Inputs &amp; Assumptions'!$B$8/2)),IF('I_Budget Input Data'!$E$56="Back-loaded",IF(15&lt;='I_Inputs &amp; Assumptions'!$B$8/2,'I_Budget Input Data'!$D$56*0.4/('I_Inputs &amp; Assumptions'!$B$8/2),'I_Budget Input Data'!$D$56*0.6/('I_Inputs &amp; Assumptions'!$B$8/2)),IF('I_Budget Input Data'!$E$56="Mid-weighted",IF(15&lt;='I_Inputs &amp; Assumptions'!$B$8/4,'I_Budget Input Data'!$D$56*0.2/('I_Inputs &amp; Assumptions'!$B$8/4),IF(15&lt;='I_Inputs &amp; Assumptions'!$B$8*0.75,'I_Budget Input Data'!$D$56*0.6/('I_Inputs &amp; Assumptions'!$B$8/2),'I_Budget Input Data'!$D$56*0.2/('I_Inputs &amp; Assumptions'!$B$8/4))),IF('I_Budget Input Data'!$E$56="At Completion",IF(15='I_Inputs &amp; Assumptions'!$B$8,'I_Budget Input Data'!$D$56,0),'I_Budget Input Data'!$D$56/'I_Inputs &amp; Assumptions'!$B$8)))))),0)</f>
        <v>0</v>
      </c>
      <c r="R56" s="91">
        <f>IF(16&lt;='I_Inputs &amp; Assumptions'!$B$8,IF('I_Budget Input Data'!$E$56="Upfront",IF(16=1,'I_Budget Input Data'!$D$56,0),IF('I_Budget Input Data'!$E$56="Equal",'I_Budget Input Data'!$D$56/'I_Inputs &amp; Assumptions'!$B$8,IF('I_Budget Input Data'!$E$56="Front-loaded",IF(16&lt;='I_Inputs &amp; Assumptions'!$B$8/2,'I_Budget Input Data'!$D$56*0.6/('I_Inputs &amp; Assumptions'!$B$8/2),'I_Budget Input Data'!$D$56*0.4/('I_Inputs &amp; Assumptions'!$B$8/2)),IF('I_Budget Input Data'!$E$56="Back-loaded",IF(16&lt;='I_Inputs &amp; Assumptions'!$B$8/2,'I_Budget Input Data'!$D$56*0.4/('I_Inputs &amp; Assumptions'!$B$8/2),'I_Budget Input Data'!$D$56*0.6/('I_Inputs &amp; Assumptions'!$B$8/2)),IF('I_Budget Input Data'!$E$56="Mid-weighted",IF(16&lt;='I_Inputs &amp; Assumptions'!$B$8/4,'I_Budget Input Data'!$D$56*0.2/('I_Inputs &amp; Assumptions'!$B$8/4),IF(16&lt;='I_Inputs &amp; Assumptions'!$B$8*0.75,'I_Budget Input Data'!$D$56*0.6/('I_Inputs &amp; Assumptions'!$B$8/2),'I_Budget Input Data'!$D$56*0.2/('I_Inputs &amp; Assumptions'!$B$8/4))),IF('I_Budget Input Data'!$E$56="At Completion",IF(16='I_Inputs &amp; Assumptions'!$B$8,'I_Budget Input Data'!$D$56,0),'I_Budget Input Data'!$D$56/'I_Inputs &amp; Assumptions'!$B$8)))))),0)</f>
        <v>0</v>
      </c>
      <c r="S56" s="91">
        <f>IF(17&lt;='I_Inputs &amp; Assumptions'!$B$8,IF('I_Budget Input Data'!$E$56="Upfront",IF(17=1,'I_Budget Input Data'!$D$56,0),IF('I_Budget Input Data'!$E$56="Equal",'I_Budget Input Data'!$D$56/'I_Inputs &amp; Assumptions'!$B$8,IF('I_Budget Input Data'!$E$56="Front-loaded",IF(17&lt;='I_Inputs &amp; Assumptions'!$B$8/2,'I_Budget Input Data'!$D$56*0.6/('I_Inputs &amp; Assumptions'!$B$8/2),'I_Budget Input Data'!$D$56*0.4/('I_Inputs &amp; Assumptions'!$B$8/2)),IF('I_Budget Input Data'!$E$56="Back-loaded",IF(17&lt;='I_Inputs &amp; Assumptions'!$B$8/2,'I_Budget Input Data'!$D$56*0.4/('I_Inputs &amp; Assumptions'!$B$8/2),'I_Budget Input Data'!$D$56*0.6/('I_Inputs &amp; Assumptions'!$B$8/2)),IF('I_Budget Input Data'!$E$56="Mid-weighted",IF(17&lt;='I_Inputs &amp; Assumptions'!$B$8/4,'I_Budget Input Data'!$D$56*0.2/('I_Inputs &amp; Assumptions'!$B$8/4),IF(17&lt;='I_Inputs &amp; Assumptions'!$B$8*0.75,'I_Budget Input Data'!$D$56*0.6/('I_Inputs &amp; Assumptions'!$B$8/2),'I_Budget Input Data'!$D$56*0.2/('I_Inputs &amp; Assumptions'!$B$8/4))),IF('I_Budget Input Data'!$E$56="At Completion",IF(17='I_Inputs &amp; Assumptions'!$B$8,'I_Budget Input Data'!$D$56,0),'I_Budget Input Data'!$D$56/'I_Inputs &amp; Assumptions'!$B$8)))))),0)</f>
        <v>0</v>
      </c>
      <c r="T56" s="91">
        <f>IF(18&lt;='I_Inputs &amp; Assumptions'!$B$8,IF('I_Budget Input Data'!$E$56="Upfront",IF(18=1,'I_Budget Input Data'!$D$56,0),IF('I_Budget Input Data'!$E$56="Equal",'I_Budget Input Data'!$D$56/'I_Inputs &amp; Assumptions'!$B$8,IF('I_Budget Input Data'!$E$56="Front-loaded",IF(18&lt;='I_Inputs &amp; Assumptions'!$B$8/2,'I_Budget Input Data'!$D$56*0.6/('I_Inputs &amp; Assumptions'!$B$8/2),'I_Budget Input Data'!$D$56*0.4/('I_Inputs &amp; Assumptions'!$B$8/2)),IF('I_Budget Input Data'!$E$56="Back-loaded",IF(18&lt;='I_Inputs &amp; Assumptions'!$B$8/2,'I_Budget Input Data'!$D$56*0.4/('I_Inputs &amp; Assumptions'!$B$8/2),'I_Budget Input Data'!$D$56*0.6/('I_Inputs &amp; Assumptions'!$B$8/2)),IF('I_Budget Input Data'!$E$56="Mid-weighted",IF(18&lt;='I_Inputs &amp; Assumptions'!$B$8/4,'I_Budget Input Data'!$D$56*0.2/('I_Inputs &amp; Assumptions'!$B$8/4),IF(18&lt;='I_Inputs &amp; Assumptions'!$B$8*0.75,'I_Budget Input Data'!$D$56*0.6/('I_Inputs &amp; Assumptions'!$B$8/2),'I_Budget Input Data'!$D$56*0.2/('I_Inputs &amp; Assumptions'!$B$8/4))),IF('I_Budget Input Data'!$E$56="At Completion",IF(18='I_Inputs &amp; Assumptions'!$B$8,'I_Budget Input Data'!$D$56,0),'I_Budget Input Data'!$D$56/'I_Inputs &amp; Assumptions'!$B$8)))))),0)</f>
        <v>0</v>
      </c>
      <c r="U56" s="91">
        <f>IF(19&lt;='I_Inputs &amp; Assumptions'!$B$8,IF('I_Budget Input Data'!$E$56="Upfront",IF(19=1,'I_Budget Input Data'!$D$56,0),IF('I_Budget Input Data'!$E$56="Equal",'I_Budget Input Data'!$D$56/'I_Inputs &amp; Assumptions'!$B$8,IF('I_Budget Input Data'!$E$56="Front-loaded",IF(19&lt;='I_Inputs &amp; Assumptions'!$B$8/2,'I_Budget Input Data'!$D$56*0.6/('I_Inputs &amp; Assumptions'!$B$8/2),'I_Budget Input Data'!$D$56*0.4/('I_Inputs &amp; Assumptions'!$B$8/2)),IF('I_Budget Input Data'!$E$56="Back-loaded",IF(19&lt;='I_Inputs &amp; Assumptions'!$B$8/2,'I_Budget Input Data'!$D$56*0.4/('I_Inputs &amp; Assumptions'!$B$8/2),'I_Budget Input Data'!$D$56*0.6/('I_Inputs &amp; Assumptions'!$B$8/2)),IF('I_Budget Input Data'!$E$56="Mid-weighted",IF(19&lt;='I_Inputs &amp; Assumptions'!$B$8/4,'I_Budget Input Data'!$D$56*0.2/('I_Inputs &amp; Assumptions'!$B$8/4),IF(19&lt;='I_Inputs &amp; Assumptions'!$B$8*0.75,'I_Budget Input Data'!$D$56*0.6/('I_Inputs &amp; Assumptions'!$B$8/2),'I_Budget Input Data'!$D$56*0.2/('I_Inputs &amp; Assumptions'!$B$8/4))),IF('I_Budget Input Data'!$E$56="At Completion",IF(19='I_Inputs &amp; Assumptions'!$B$8,'I_Budget Input Data'!$D$56,0),'I_Budget Input Data'!$D$56/'I_Inputs &amp; Assumptions'!$B$8)))))),0)</f>
        <v>0</v>
      </c>
      <c r="V56" s="91">
        <f>IF(20&lt;='I_Inputs &amp; Assumptions'!$B$8,IF('I_Budget Input Data'!$E$56="Upfront",IF(20=1,'I_Budget Input Data'!$D$56,0),IF('I_Budget Input Data'!$E$56="Equal",'I_Budget Input Data'!$D$56/'I_Inputs &amp; Assumptions'!$B$8,IF('I_Budget Input Data'!$E$56="Front-loaded",IF(20&lt;='I_Inputs &amp; Assumptions'!$B$8/2,'I_Budget Input Data'!$D$56*0.6/('I_Inputs &amp; Assumptions'!$B$8/2),'I_Budget Input Data'!$D$56*0.4/('I_Inputs &amp; Assumptions'!$B$8/2)),IF('I_Budget Input Data'!$E$56="Back-loaded",IF(20&lt;='I_Inputs &amp; Assumptions'!$B$8/2,'I_Budget Input Data'!$D$56*0.4/('I_Inputs &amp; Assumptions'!$B$8/2),'I_Budget Input Data'!$D$56*0.6/('I_Inputs &amp; Assumptions'!$B$8/2)),IF('I_Budget Input Data'!$E$56="Mid-weighted",IF(20&lt;='I_Inputs &amp; Assumptions'!$B$8/4,'I_Budget Input Data'!$D$56*0.2/('I_Inputs &amp; Assumptions'!$B$8/4),IF(20&lt;='I_Inputs &amp; Assumptions'!$B$8*0.75,'I_Budget Input Data'!$D$56*0.6/('I_Inputs &amp; Assumptions'!$B$8/2),'I_Budget Input Data'!$D$56*0.2/('I_Inputs &amp; Assumptions'!$B$8/4))),IF('I_Budget Input Data'!$E$56="At Completion",IF(20='I_Inputs &amp; Assumptions'!$B$8,'I_Budget Input Data'!$D$56,0),'I_Budget Input Data'!$D$56/'I_Inputs &amp; Assumptions'!$B$8)))))),0)</f>
        <v>0</v>
      </c>
      <c r="W56" s="91">
        <f>IF(21&lt;='I_Inputs &amp; Assumptions'!$B$8,IF('I_Budget Input Data'!$E$56="Upfront",IF(21=1,'I_Budget Input Data'!$D$56,0),IF('I_Budget Input Data'!$E$56="Equal",'I_Budget Input Data'!$D$56/'I_Inputs &amp; Assumptions'!$B$8,IF('I_Budget Input Data'!$E$56="Front-loaded",IF(21&lt;='I_Inputs &amp; Assumptions'!$B$8/2,'I_Budget Input Data'!$D$56*0.6/('I_Inputs &amp; Assumptions'!$B$8/2),'I_Budget Input Data'!$D$56*0.4/('I_Inputs &amp; Assumptions'!$B$8/2)),IF('I_Budget Input Data'!$E$56="Back-loaded",IF(21&lt;='I_Inputs &amp; Assumptions'!$B$8/2,'I_Budget Input Data'!$D$56*0.4/('I_Inputs &amp; Assumptions'!$B$8/2),'I_Budget Input Data'!$D$56*0.6/('I_Inputs &amp; Assumptions'!$B$8/2)),IF('I_Budget Input Data'!$E$56="Mid-weighted",IF(21&lt;='I_Inputs &amp; Assumptions'!$B$8/4,'I_Budget Input Data'!$D$56*0.2/('I_Inputs &amp; Assumptions'!$B$8/4),IF(21&lt;='I_Inputs &amp; Assumptions'!$B$8*0.75,'I_Budget Input Data'!$D$56*0.6/('I_Inputs &amp; Assumptions'!$B$8/2),'I_Budget Input Data'!$D$56*0.2/('I_Inputs &amp; Assumptions'!$B$8/4))),IF('I_Budget Input Data'!$E$56="At Completion",IF(21='I_Inputs &amp; Assumptions'!$B$8,'I_Budget Input Data'!$D$56,0),'I_Budget Input Data'!$D$56/'I_Inputs &amp; Assumptions'!$B$8)))))),0)</f>
        <v>0</v>
      </c>
      <c r="X56" s="91">
        <f>IF(22&lt;='I_Inputs &amp; Assumptions'!$B$8,IF('I_Budget Input Data'!$E$56="Upfront",IF(22=1,'I_Budget Input Data'!$D$56,0),IF('I_Budget Input Data'!$E$56="Equal",'I_Budget Input Data'!$D$56/'I_Inputs &amp; Assumptions'!$B$8,IF('I_Budget Input Data'!$E$56="Front-loaded",IF(22&lt;='I_Inputs &amp; Assumptions'!$B$8/2,'I_Budget Input Data'!$D$56*0.6/('I_Inputs &amp; Assumptions'!$B$8/2),'I_Budget Input Data'!$D$56*0.4/('I_Inputs &amp; Assumptions'!$B$8/2)),IF('I_Budget Input Data'!$E$56="Back-loaded",IF(22&lt;='I_Inputs &amp; Assumptions'!$B$8/2,'I_Budget Input Data'!$D$56*0.4/('I_Inputs &amp; Assumptions'!$B$8/2),'I_Budget Input Data'!$D$56*0.6/('I_Inputs &amp; Assumptions'!$B$8/2)),IF('I_Budget Input Data'!$E$56="Mid-weighted",IF(22&lt;='I_Inputs &amp; Assumptions'!$B$8/4,'I_Budget Input Data'!$D$56*0.2/('I_Inputs &amp; Assumptions'!$B$8/4),IF(22&lt;='I_Inputs &amp; Assumptions'!$B$8*0.75,'I_Budget Input Data'!$D$56*0.6/('I_Inputs &amp; Assumptions'!$B$8/2),'I_Budget Input Data'!$D$56*0.2/('I_Inputs &amp; Assumptions'!$B$8/4))),IF('I_Budget Input Data'!$E$56="At Completion",IF(22='I_Inputs &amp; Assumptions'!$B$8,'I_Budget Input Data'!$D$56,0),'I_Budget Input Data'!$D$56/'I_Inputs &amp; Assumptions'!$B$8)))))),0)</f>
        <v>0</v>
      </c>
      <c r="Y56" s="91">
        <f>IF(23&lt;='I_Inputs &amp; Assumptions'!$B$8,IF('I_Budget Input Data'!$E$56="Upfront",IF(23=1,'I_Budget Input Data'!$D$56,0),IF('I_Budget Input Data'!$E$56="Equal",'I_Budget Input Data'!$D$56/'I_Inputs &amp; Assumptions'!$B$8,IF('I_Budget Input Data'!$E$56="Front-loaded",IF(23&lt;='I_Inputs &amp; Assumptions'!$B$8/2,'I_Budget Input Data'!$D$56*0.6/('I_Inputs &amp; Assumptions'!$B$8/2),'I_Budget Input Data'!$D$56*0.4/('I_Inputs &amp; Assumptions'!$B$8/2)),IF('I_Budget Input Data'!$E$56="Back-loaded",IF(23&lt;='I_Inputs &amp; Assumptions'!$B$8/2,'I_Budget Input Data'!$D$56*0.4/('I_Inputs &amp; Assumptions'!$B$8/2),'I_Budget Input Data'!$D$56*0.6/('I_Inputs &amp; Assumptions'!$B$8/2)),IF('I_Budget Input Data'!$E$56="Mid-weighted",IF(23&lt;='I_Inputs &amp; Assumptions'!$B$8/4,'I_Budget Input Data'!$D$56*0.2/('I_Inputs &amp; Assumptions'!$B$8/4),IF(23&lt;='I_Inputs &amp; Assumptions'!$B$8*0.75,'I_Budget Input Data'!$D$56*0.6/('I_Inputs &amp; Assumptions'!$B$8/2),'I_Budget Input Data'!$D$56*0.2/('I_Inputs &amp; Assumptions'!$B$8/4))),IF('I_Budget Input Data'!$E$56="At Completion",IF(23='I_Inputs &amp; Assumptions'!$B$8,'I_Budget Input Data'!$D$56,0),'I_Budget Input Data'!$D$56/'I_Inputs &amp; Assumptions'!$B$8)))))),0)</f>
        <v>0</v>
      </c>
      <c r="Z56" s="91">
        <f>IF(24&lt;='I_Inputs &amp; Assumptions'!$B$8,IF('I_Budget Input Data'!$E$56="Upfront",IF(24=1,'I_Budget Input Data'!$D$56,0),IF('I_Budget Input Data'!$E$56="Equal",'I_Budget Input Data'!$D$56/'I_Inputs &amp; Assumptions'!$B$8,IF('I_Budget Input Data'!$E$56="Front-loaded",IF(24&lt;='I_Inputs &amp; Assumptions'!$B$8/2,'I_Budget Input Data'!$D$56*0.6/('I_Inputs &amp; Assumptions'!$B$8/2),'I_Budget Input Data'!$D$56*0.4/('I_Inputs &amp; Assumptions'!$B$8/2)),IF('I_Budget Input Data'!$E$56="Back-loaded",IF(24&lt;='I_Inputs &amp; Assumptions'!$B$8/2,'I_Budget Input Data'!$D$56*0.4/('I_Inputs &amp; Assumptions'!$B$8/2),'I_Budget Input Data'!$D$56*0.6/('I_Inputs &amp; Assumptions'!$B$8/2)),IF('I_Budget Input Data'!$E$56="Mid-weighted",IF(24&lt;='I_Inputs &amp; Assumptions'!$B$8/4,'I_Budget Input Data'!$D$56*0.2/('I_Inputs &amp; Assumptions'!$B$8/4),IF(24&lt;='I_Inputs &amp; Assumptions'!$B$8*0.75,'I_Budget Input Data'!$D$56*0.6/('I_Inputs &amp; Assumptions'!$B$8/2),'I_Budget Input Data'!$D$56*0.2/('I_Inputs &amp; Assumptions'!$B$8/4))),IF('I_Budget Input Data'!$E$56="At Completion",IF(24='I_Inputs &amp; Assumptions'!$B$8,'I_Budget Input Data'!$D$56,0),'I_Budget Input Data'!$D$56/'I_Inputs &amp; Assumptions'!$B$8)))))),0)</f>
        <v>0</v>
      </c>
      <c r="AA56" s="91">
        <f>IF(25&lt;='I_Inputs &amp; Assumptions'!$B$8,IF('I_Budget Input Data'!$E$56="Upfront",IF(25=1,'I_Budget Input Data'!$D$56,0),IF('I_Budget Input Data'!$E$56="Equal",'I_Budget Input Data'!$D$56/'I_Inputs &amp; Assumptions'!$B$8,IF('I_Budget Input Data'!$E$56="Front-loaded",IF(25&lt;='I_Inputs &amp; Assumptions'!$B$8/2,'I_Budget Input Data'!$D$56*0.6/('I_Inputs &amp; Assumptions'!$B$8/2),'I_Budget Input Data'!$D$56*0.4/('I_Inputs &amp; Assumptions'!$B$8/2)),IF('I_Budget Input Data'!$E$56="Back-loaded",IF(25&lt;='I_Inputs &amp; Assumptions'!$B$8/2,'I_Budget Input Data'!$D$56*0.4/('I_Inputs &amp; Assumptions'!$B$8/2),'I_Budget Input Data'!$D$56*0.6/('I_Inputs &amp; Assumptions'!$B$8/2)),IF('I_Budget Input Data'!$E$56="Mid-weighted",IF(25&lt;='I_Inputs &amp; Assumptions'!$B$8/4,'I_Budget Input Data'!$D$56*0.2/('I_Inputs &amp; Assumptions'!$B$8/4),IF(25&lt;='I_Inputs &amp; Assumptions'!$B$8*0.75,'I_Budget Input Data'!$D$56*0.6/('I_Inputs &amp; Assumptions'!$B$8/2),'I_Budget Input Data'!$D$56*0.2/('I_Inputs &amp; Assumptions'!$B$8/4))),IF('I_Budget Input Data'!$E$56="At Completion",IF(25='I_Inputs &amp; Assumptions'!$B$8,'I_Budget Input Data'!$D$56,0),'I_Budget Input Data'!$D$56/'I_Inputs &amp; Assumptions'!$B$8)))))),0)</f>
        <v>0</v>
      </c>
      <c r="AB56" s="91">
        <f>IF(26&lt;='I_Inputs &amp; Assumptions'!$B$8,IF('I_Budget Input Data'!$E$56="Upfront",IF(26=1,'I_Budget Input Data'!$D$56,0),IF('I_Budget Input Data'!$E$56="Equal",'I_Budget Input Data'!$D$56/'I_Inputs &amp; Assumptions'!$B$8,IF('I_Budget Input Data'!$E$56="Front-loaded",IF(26&lt;='I_Inputs &amp; Assumptions'!$B$8/2,'I_Budget Input Data'!$D$56*0.6/('I_Inputs &amp; Assumptions'!$B$8/2),'I_Budget Input Data'!$D$56*0.4/('I_Inputs &amp; Assumptions'!$B$8/2)),IF('I_Budget Input Data'!$E$56="Back-loaded",IF(26&lt;='I_Inputs &amp; Assumptions'!$B$8/2,'I_Budget Input Data'!$D$56*0.4/('I_Inputs &amp; Assumptions'!$B$8/2),'I_Budget Input Data'!$D$56*0.6/('I_Inputs &amp; Assumptions'!$B$8/2)),IF('I_Budget Input Data'!$E$56="Mid-weighted",IF(26&lt;='I_Inputs &amp; Assumptions'!$B$8/4,'I_Budget Input Data'!$D$56*0.2/('I_Inputs &amp; Assumptions'!$B$8/4),IF(26&lt;='I_Inputs &amp; Assumptions'!$B$8*0.75,'I_Budget Input Data'!$D$56*0.6/('I_Inputs &amp; Assumptions'!$B$8/2),'I_Budget Input Data'!$D$56*0.2/('I_Inputs &amp; Assumptions'!$B$8/4))),IF('I_Budget Input Data'!$E$56="At Completion",IF(26='I_Inputs &amp; Assumptions'!$B$8,'I_Budget Input Data'!$D$56,0),'I_Budget Input Data'!$D$56/'I_Inputs &amp; Assumptions'!$B$8)))))),0)</f>
        <v>0</v>
      </c>
      <c r="AC56" s="91">
        <f>IF(27&lt;='I_Inputs &amp; Assumptions'!$B$8,IF('I_Budget Input Data'!$E$56="Upfront",IF(27=1,'I_Budget Input Data'!$D$56,0),IF('I_Budget Input Data'!$E$56="Equal",'I_Budget Input Data'!$D$56/'I_Inputs &amp; Assumptions'!$B$8,IF('I_Budget Input Data'!$E$56="Front-loaded",IF(27&lt;='I_Inputs &amp; Assumptions'!$B$8/2,'I_Budget Input Data'!$D$56*0.6/('I_Inputs &amp; Assumptions'!$B$8/2),'I_Budget Input Data'!$D$56*0.4/('I_Inputs &amp; Assumptions'!$B$8/2)),IF('I_Budget Input Data'!$E$56="Back-loaded",IF(27&lt;='I_Inputs &amp; Assumptions'!$B$8/2,'I_Budget Input Data'!$D$56*0.4/('I_Inputs &amp; Assumptions'!$B$8/2),'I_Budget Input Data'!$D$56*0.6/('I_Inputs &amp; Assumptions'!$B$8/2)),IF('I_Budget Input Data'!$E$56="Mid-weighted",IF(27&lt;='I_Inputs &amp; Assumptions'!$B$8/4,'I_Budget Input Data'!$D$56*0.2/('I_Inputs &amp; Assumptions'!$B$8/4),IF(27&lt;='I_Inputs &amp; Assumptions'!$B$8*0.75,'I_Budget Input Data'!$D$56*0.6/('I_Inputs &amp; Assumptions'!$B$8/2),'I_Budget Input Data'!$D$56*0.2/('I_Inputs &amp; Assumptions'!$B$8/4))),IF('I_Budget Input Data'!$E$56="At Completion",IF(27='I_Inputs &amp; Assumptions'!$B$8,'I_Budget Input Data'!$D$56,0),'I_Budget Input Data'!$D$56/'I_Inputs &amp; Assumptions'!$B$8)))))),0)</f>
        <v>0</v>
      </c>
      <c r="AD56" s="91">
        <f>IF(28&lt;='I_Inputs &amp; Assumptions'!$B$8,IF('I_Budget Input Data'!$E$56="Upfront",IF(28=1,'I_Budget Input Data'!$D$56,0),IF('I_Budget Input Data'!$E$56="Equal",'I_Budget Input Data'!$D$56/'I_Inputs &amp; Assumptions'!$B$8,IF('I_Budget Input Data'!$E$56="Front-loaded",IF(28&lt;='I_Inputs &amp; Assumptions'!$B$8/2,'I_Budget Input Data'!$D$56*0.6/('I_Inputs &amp; Assumptions'!$B$8/2),'I_Budget Input Data'!$D$56*0.4/('I_Inputs &amp; Assumptions'!$B$8/2)),IF('I_Budget Input Data'!$E$56="Back-loaded",IF(28&lt;='I_Inputs &amp; Assumptions'!$B$8/2,'I_Budget Input Data'!$D$56*0.4/('I_Inputs &amp; Assumptions'!$B$8/2),'I_Budget Input Data'!$D$56*0.6/('I_Inputs &amp; Assumptions'!$B$8/2)),IF('I_Budget Input Data'!$E$56="Mid-weighted",IF(28&lt;='I_Inputs &amp; Assumptions'!$B$8/4,'I_Budget Input Data'!$D$56*0.2/('I_Inputs &amp; Assumptions'!$B$8/4),IF(28&lt;='I_Inputs &amp; Assumptions'!$B$8*0.75,'I_Budget Input Data'!$D$56*0.6/('I_Inputs &amp; Assumptions'!$B$8/2),'I_Budget Input Data'!$D$56*0.2/('I_Inputs &amp; Assumptions'!$B$8/4))),IF('I_Budget Input Data'!$E$56="At Completion",IF(28='I_Inputs &amp; Assumptions'!$B$8,'I_Budget Input Data'!$D$56,0),'I_Budget Input Data'!$D$56/'I_Inputs &amp; Assumptions'!$B$8)))))),0)</f>
        <v>0</v>
      </c>
      <c r="AE56" s="91">
        <f>IF(29&lt;='I_Inputs &amp; Assumptions'!$B$8,IF('I_Budget Input Data'!$E$56="Upfront",IF(29=1,'I_Budget Input Data'!$D$56,0),IF('I_Budget Input Data'!$E$56="Equal",'I_Budget Input Data'!$D$56/'I_Inputs &amp; Assumptions'!$B$8,IF('I_Budget Input Data'!$E$56="Front-loaded",IF(29&lt;='I_Inputs &amp; Assumptions'!$B$8/2,'I_Budget Input Data'!$D$56*0.6/('I_Inputs &amp; Assumptions'!$B$8/2),'I_Budget Input Data'!$D$56*0.4/('I_Inputs &amp; Assumptions'!$B$8/2)),IF('I_Budget Input Data'!$E$56="Back-loaded",IF(29&lt;='I_Inputs &amp; Assumptions'!$B$8/2,'I_Budget Input Data'!$D$56*0.4/('I_Inputs &amp; Assumptions'!$B$8/2),'I_Budget Input Data'!$D$56*0.6/('I_Inputs &amp; Assumptions'!$B$8/2)),IF('I_Budget Input Data'!$E$56="Mid-weighted",IF(29&lt;='I_Inputs &amp; Assumptions'!$B$8/4,'I_Budget Input Data'!$D$56*0.2/('I_Inputs &amp; Assumptions'!$B$8/4),IF(29&lt;='I_Inputs &amp; Assumptions'!$B$8*0.75,'I_Budget Input Data'!$D$56*0.6/('I_Inputs &amp; Assumptions'!$B$8/2),'I_Budget Input Data'!$D$56*0.2/('I_Inputs &amp; Assumptions'!$B$8/4))),IF('I_Budget Input Data'!$E$56="At Completion",IF(29='I_Inputs &amp; Assumptions'!$B$8,'I_Budget Input Data'!$D$56,0),'I_Budget Input Data'!$D$56/'I_Inputs &amp; Assumptions'!$B$8)))))),0)</f>
        <v>0</v>
      </c>
      <c r="AF56" s="91">
        <f>IF(30&lt;='I_Inputs &amp; Assumptions'!$B$8,IF('I_Budget Input Data'!$E$56="Upfront",IF(30=1,'I_Budget Input Data'!$D$56,0),IF('I_Budget Input Data'!$E$56="Equal",'I_Budget Input Data'!$D$56/'I_Inputs &amp; Assumptions'!$B$8,IF('I_Budget Input Data'!$E$56="Front-loaded",IF(30&lt;='I_Inputs &amp; Assumptions'!$B$8/2,'I_Budget Input Data'!$D$56*0.6/('I_Inputs &amp; Assumptions'!$B$8/2),'I_Budget Input Data'!$D$56*0.4/('I_Inputs &amp; Assumptions'!$B$8/2)),IF('I_Budget Input Data'!$E$56="Back-loaded",IF(30&lt;='I_Inputs &amp; Assumptions'!$B$8/2,'I_Budget Input Data'!$D$56*0.4/('I_Inputs &amp; Assumptions'!$B$8/2),'I_Budget Input Data'!$D$56*0.6/('I_Inputs &amp; Assumptions'!$B$8/2)),IF('I_Budget Input Data'!$E$56="Mid-weighted",IF(30&lt;='I_Inputs &amp; Assumptions'!$B$8/4,'I_Budget Input Data'!$D$56*0.2/('I_Inputs &amp; Assumptions'!$B$8/4),IF(30&lt;='I_Inputs &amp; Assumptions'!$B$8*0.75,'I_Budget Input Data'!$D$56*0.6/('I_Inputs &amp; Assumptions'!$B$8/2),'I_Budget Input Data'!$D$56*0.2/('I_Inputs &amp; Assumptions'!$B$8/4))),IF('I_Budget Input Data'!$E$56="At Completion",IF(30='I_Inputs &amp; Assumptions'!$B$8,'I_Budget Input Data'!$D$56,0),'I_Budget Input Data'!$D$56/'I_Inputs &amp; Assumptions'!$B$8)))))),0)</f>
        <v>0</v>
      </c>
      <c r="AG56" s="91">
        <f>IF(31&lt;='I_Inputs &amp; Assumptions'!$B$8,IF('I_Budget Input Data'!$E$56="Upfront",IF(31=1,'I_Budget Input Data'!$D$56,0),IF('I_Budget Input Data'!$E$56="Equal",'I_Budget Input Data'!$D$56/'I_Inputs &amp; Assumptions'!$B$8,IF('I_Budget Input Data'!$E$56="Front-loaded",IF(31&lt;='I_Inputs &amp; Assumptions'!$B$8/2,'I_Budget Input Data'!$D$56*0.6/('I_Inputs &amp; Assumptions'!$B$8/2),'I_Budget Input Data'!$D$56*0.4/('I_Inputs &amp; Assumptions'!$B$8/2)),IF('I_Budget Input Data'!$E$56="Back-loaded",IF(31&lt;='I_Inputs &amp; Assumptions'!$B$8/2,'I_Budget Input Data'!$D$56*0.4/('I_Inputs &amp; Assumptions'!$B$8/2),'I_Budget Input Data'!$D$56*0.6/('I_Inputs &amp; Assumptions'!$B$8/2)),IF('I_Budget Input Data'!$E$56="Mid-weighted",IF(31&lt;='I_Inputs &amp; Assumptions'!$B$8/4,'I_Budget Input Data'!$D$56*0.2/('I_Inputs &amp; Assumptions'!$B$8/4),IF(31&lt;='I_Inputs &amp; Assumptions'!$B$8*0.75,'I_Budget Input Data'!$D$56*0.6/('I_Inputs &amp; Assumptions'!$B$8/2),'I_Budget Input Data'!$D$56*0.2/('I_Inputs &amp; Assumptions'!$B$8/4))),IF('I_Budget Input Data'!$E$56="At Completion",IF(31='I_Inputs &amp; Assumptions'!$B$8,'I_Budget Input Data'!$D$56,0),'I_Budget Input Data'!$D$56/'I_Inputs &amp; Assumptions'!$B$8)))))),0)</f>
        <v>0</v>
      </c>
      <c r="AH56" s="91">
        <f>IF(32&lt;='I_Inputs &amp; Assumptions'!$B$8,IF('I_Budget Input Data'!$E$56="Upfront",IF(32=1,'I_Budget Input Data'!$D$56,0),IF('I_Budget Input Data'!$E$56="Equal",'I_Budget Input Data'!$D$56/'I_Inputs &amp; Assumptions'!$B$8,IF('I_Budget Input Data'!$E$56="Front-loaded",IF(32&lt;='I_Inputs &amp; Assumptions'!$B$8/2,'I_Budget Input Data'!$D$56*0.6/('I_Inputs &amp; Assumptions'!$B$8/2),'I_Budget Input Data'!$D$56*0.4/('I_Inputs &amp; Assumptions'!$B$8/2)),IF('I_Budget Input Data'!$E$56="Back-loaded",IF(32&lt;='I_Inputs &amp; Assumptions'!$B$8/2,'I_Budget Input Data'!$D$56*0.4/('I_Inputs &amp; Assumptions'!$B$8/2),'I_Budget Input Data'!$D$56*0.6/('I_Inputs &amp; Assumptions'!$B$8/2)),IF('I_Budget Input Data'!$E$56="Mid-weighted",IF(32&lt;='I_Inputs &amp; Assumptions'!$B$8/4,'I_Budget Input Data'!$D$56*0.2/('I_Inputs &amp; Assumptions'!$B$8/4),IF(32&lt;='I_Inputs &amp; Assumptions'!$B$8*0.75,'I_Budget Input Data'!$D$56*0.6/('I_Inputs &amp; Assumptions'!$B$8/2),'I_Budget Input Data'!$D$56*0.2/('I_Inputs &amp; Assumptions'!$B$8/4))),IF('I_Budget Input Data'!$E$56="At Completion",IF(32='I_Inputs &amp; Assumptions'!$B$8,'I_Budget Input Data'!$D$56,0),'I_Budget Input Data'!$D$56/'I_Inputs &amp; Assumptions'!$B$8)))))),0)</f>
        <v>0</v>
      </c>
      <c r="AI56" s="91">
        <f>IF(33&lt;='I_Inputs &amp; Assumptions'!$B$8,IF('I_Budget Input Data'!$E$56="Upfront",IF(33=1,'I_Budget Input Data'!$D$56,0),IF('I_Budget Input Data'!$E$56="Equal",'I_Budget Input Data'!$D$56/'I_Inputs &amp; Assumptions'!$B$8,IF('I_Budget Input Data'!$E$56="Front-loaded",IF(33&lt;='I_Inputs &amp; Assumptions'!$B$8/2,'I_Budget Input Data'!$D$56*0.6/('I_Inputs &amp; Assumptions'!$B$8/2),'I_Budget Input Data'!$D$56*0.4/('I_Inputs &amp; Assumptions'!$B$8/2)),IF('I_Budget Input Data'!$E$56="Back-loaded",IF(33&lt;='I_Inputs &amp; Assumptions'!$B$8/2,'I_Budget Input Data'!$D$56*0.4/('I_Inputs &amp; Assumptions'!$B$8/2),'I_Budget Input Data'!$D$56*0.6/('I_Inputs &amp; Assumptions'!$B$8/2)),IF('I_Budget Input Data'!$E$56="Mid-weighted",IF(33&lt;='I_Inputs &amp; Assumptions'!$B$8/4,'I_Budget Input Data'!$D$56*0.2/('I_Inputs &amp; Assumptions'!$B$8/4),IF(33&lt;='I_Inputs &amp; Assumptions'!$B$8*0.75,'I_Budget Input Data'!$D$56*0.6/('I_Inputs &amp; Assumptions'!$B$8/2),'I_Budget Input Data'!$D$56*0.2/('I_Inputs &amp; Assumptions'!$B$8/4))),IF('I_Budget Input Data'!$E$56="At Completion",IF(33='I_Inputs &amp; Assumptions'!$B$8,'I_Budget Input Data'!$D$56,0),'I_Budget Input Data'!$D$56/'I_Inputs &amp; Assumptions'!$B$8)))))),0)</f>
        <v>0</v>
      </c>
      <c r="AJ56" s="91">
        <f>IF(34&lt;='I_Inputs &amp; Assumptions'!$B$8,IF('I_Budget Input Data'!$E$56="Upfront",IF(34=1,'I_Budget Input Data'!$D$56,0),IF('I_Budget Input Data'!$E$56="Equal",'I_Budget Input Data'!$D$56/'I_Inputs &amp; Assumptions'!$B$8,IF('I_Budget Input Data'!$E$56="Front-loaded",IF(34&lt;='I_Inputs &amp; Assumptions'!$B$8/2,'I_Budget Input Data'!$D$56*0.6/('I_Inputs &amp; Assumptions'!$B$8/2),'I_Budget Input Data'!$D$56*0.4/('I_Inputs &amp; Assumptions'!$B$8/2)),IF('I_Budget Input Data'!$E$56="Back-loaded",IF(34&lt;='I_Inputs &amp; Assumptions'!$B$8/2,'I_Budget Input Data'!$D$56*0.4/('I_Inputs &amp; Assumptions'!$B$8/2),'I_Budget Input Data'!$D$56*0.6/('I_Inputs &amp; Assumptions'!$B$8/2)),IF('I_Budget Input Data'!$E$56="Mid-weighted",IF(34&lt;='I_Inputs &amp; Assumptions'!$B$8/4,'I_Budget Input Data'!$D$56*0.2/('I_Inputs &amp; Assumptions'!$B$8/4),IF(34&lt;='I_Inputs &amp; Assumptions'!$B$8*0.75,'I_Budget Input Data'!$D$56*0.6/('I_Inputs &amp; Assumptions'!$B$8/2),'I_Budget Input Data'!$D$56*0.2/('I_Inputs &amp; Assumptions'!$B$8/4))),IF('I_Budget Input Data'!$E$56="At Completion",IF(34='I_Inputs &amp; Assumptions'!$B$8,'I_Budget Input Data'!$D$56,0),'I_Budget Input Data'!$D$56/'I_Inputs &amp; Assumptions'!$B$8)))))),0)</f>
        <v>0</v>
      </c>
      <c r="AK56" s="91">
        <f>IF(35&lt;='I_Inputs &amp; Assumptions'!$B$8,IF('I_Budget Input Data'!$E$56="Upfront",IF(35=1,'I_Budget Input Data'!$D$56,0),IF('I_Budget Input Data'!$E$56="Equal",'I_Budget Input Data'!$D$56/'I_Inputs &amp; Assumptions'!$B$8,IF('I_Budget Input Data'!$E$56="Front-loaded",IF(35&lt;='I_Inputs &amp; Assumptions'!$B$8/2,'I_Budget Input Data'!$D$56*0.6/('I_Inputs &amp; Assumptions'!$B$8/2),'I_Budget Input Data'!$D$56*0.4/('I_Inputs &amp; Assumptions'!$B$8/2)),IF('I_Budget Input Data'!$E$56="Back-loaded",IF(35&lt;='I_Inputs &amp; Assumptions'!$B$8/2,'I_Budget Input Data'!$D$56*0.4/('I_Inputs &amp; Assumptions'!$B$8/2),'I_Budget Input Data'!$D$56*0.6/('I_Inputs &amp; Assumptions'!$B$8/2)),IF('I_Budget Input Data'!$E$56="Mid-weighted",IF(35&lt;='I_Inputs &amp; Assumptions'!$B$8/4,'I_Budget Input Data'!$D$56*0.2/('I_Inputs &amp; Assumptions'!$B$8/4),IF(35&lt;='I_Inputs &amp; Assumptions'!$B$8*0.75,'I_Budget Input Data'!$D$56*0.6/('I_Inputs &amp; Assumptions'!$B$8/2),'I_Budget Input Data'!$D$56*0.2/('I_Inputs &amp; Assumptions'!$B$8/4))),IF('I_Budget Input Data'!$E$56="At Completion",IF(35='I_Inputs &amp; Assumptions'!$B$8,'I_Budget Input Data'!$D$56,0),'I_Budget Input Data'!$D$56/'I_Inputs &amp; Assumptions'!$B$8)))))),0)</f>
        <v>0</v>
      </c>
      <c r="AL56" s="91">
        <f>IF(36&lt;='I_Inputs &amp; Assumptions'!$B$8,IF('I_Budget Input Data'!$E$56="Upfront",IF(36=1,'I_Budget Input Data'!$D$56,0),IF('I_Budget Input Data'!$E$56="Equal",'I_Budget Input Data'!$D$56/'I_Inputs &amp; Assumptions'!$B$8,IF('I_Budget Input Data'!$E$56="Front-loaded",IF(36&lt;='I_Inputs &amp; Assumptions'!$B$8/2,'I_Budget Input Data'!$D$56*0.6/('I_Inputs &amp; Assumptions'!$B$8/2),'I_Budget Input Data'!$D$56*0.4/('I_Inputs &amp; Assumptions'!$B$8/2)),IF('I_Budget Input Data'!$E$56="Back-loaded",IF(36&lt;='I_Inputs &amp; Assumptions'!$B$8/2,'I_Budget Input Data'!$D$56*0.4/('I_Inputs &amp; Assumptions'!$B$8/2),'I_Budget Input Data'!$D$56*0.6/('I_Inputs &amp; Assumptions'!$B$8/2)),IF('I_Budget Input Data'!$E$56="Mid-weighted",IF(36&lt;='I_Inputs &amp; Assumptions'!$B$8/4,'I_Budget Input Data'!$D$56*0.2/('I_Inputs &amp; Assumptions'!$B$8/4),IF(36&lt;='I_Inputs &amp; Assumptions'!$B$8*0.75,'I_Budget Input Data'!$D$56*0.6/('I_Inputs &amp; Assumptions'!$B$8/2),'I_Budget Input Data'!$D$56*0.2/('I_Inputs &amp; Assumptions'!$B$8/4))),IF('I_Budget Input Data'!$E$56="At Completion",IF(36='I_Inputs &amp; Assumptions'!$B$8,'I_Budget Input Data'!$D$56,0),'I_Budget Input Data'!$D$56/'I_Inputs &amp; Assumptions'!$B$8)))))),0)</f>
        <v>0</v>
      </c>
    </row>
    <row r="57" spans="1:38" ht="15" customHeight="1" x14ac:dyDescent="0.2">
      <c r="A57" t="s">
        <v>146</v>
      </c>
      <c r="B57" t="s">
        <v>178</v>
      </c>
      <c r="C57" s="91">
        <f>IF(1&lt;='I_Inputs &amp; Assumptions'!$B$8,IF('I_Budget Input Data'!$E$57="Upfront",IF(1=1,'I_Budget Input Data'!$D$57,0),IF('I_Budget Input Data'!$E$57="Equal",'I_Budget Input Data'!$D$57/'I_Inputs &amp; Assumptions'!$B$8,IF('I_Budget Input Data'!$E$57="Front-loaded",IF(1&lt;='I_Inputs &amp; Assumptions'!$B$8/2,'I_Budget Input Data'!$D$57*0.6/('I_Inputs &amp; Assumptions'!$B$8/2),'I_Budget Input Data'!$D$57*0.4/('I_Inputs &amp; Assumptions'!$B$8/2)),IF('I_Budget Input Data'!$E$57="Back-loaded",IF(1&lt;='I_Inputs &amp; Assumptions'!$B$8/2,'I_Budget Input Data'!$D$57*0.4/('I_Inputs &amp; Assumptions'!$B$8/2),'I_Budget Input Data'!$D$57*0.6/('I_Inputs &amp; Assumptions'!$B$8/2)),IF('I_Budget Input Data'!$E$57="Mid-weighted",IF(1&lt;='I_Inputs &amp; Assumptions'!$B$8/4,'I_Budget Input Data'!$D$57*0.2/('I_Inputs &amp; Assumptions'!$B$8/4),IF(1&lt;='I_Inputs &amp; Assumptions'!$B$8*0.75,'I_Budget Input Data'!$D$57*0.6/('I_Inputs &amp; Assumptions'!$B$8/2),'I_Budget Input Data'!$D$57*0.2/('I_Inputs &amp; Assumptions'!$B$8/4))),IF('I_Budget Input Data'!$E$57="At Completion",IF(1='I_Inputs &amp; Assumptions'!$B$8,'I_Budget Input Data'!$D$57,0),'I_Budget Input Data'!$D$57/'I_Inputs &amp; Assumptions'!$B$8)))))),0)</f>
        <v>13986.923076923076</v>
      </c>
      <c r="D57" s="91">
        <f>IF(2&lt;='I_Inputs &amp; Assumptions'!$B$8,IF('I_Budget Input Data'!$E$57="Upfront",IF(2=1,'I_Budget Input Data'!$D$57,0),IF('I_Budget Input Data'!$E$57="Equal",'I_Budget Input Data'!$D$57/'I_Inputs &amp; Assumptions'!$B$8,IF('I_Budget Input Data'!$E$57="Front-loaded",IF(2&lt;='I_Inputs &amp; Assumptions'!$B$8/2,'I_Budget Input Data'!$D$57*0.6/('I_Inputs &amp; Assumptions'!$B$8/2),'I_Budget Input Data'!$D$57*0.4/('I_Inputs &amp; Assumptions'!$B$8/2)),IF('I_Budget Input Data'!$E$57="Back-loaded",IF(2&lt;='I_Inputs &amp; Assumptions'!$B$8/2,'I_Budget Input Data'!$D$57*0.4/('I_Inputs &amp; Assumptions'!$B$8/2),'I_Budget Input Data'!$D$57*0.6/('I_Inputs &amp; Assumptions'!$B$8/2)),IF('I_Budget Input Data'!$E$57="Mid-weighted",IF(2&lt;='I_Inputs &amp; Assumptions'!$B$8/4,'I_Budget Input Data'!$D$57*0.2/('I_Inputs &amp; Assumptions'!$B$8/4),IF(2&lt;='I_Inputs &amp; Assumptions'!$B$8*0.75,'I_Budget Input Data'!$D$57*0.6/('I_Inputs &amp; Assumptions'!$B$8/2),'I_Budget Input Data'!$D$57*0.2/('I_Inputs &amp; Assumptions'!$B$8/4))),IF('I_Budget Input Data'!$E$57="At Completion",IF(2='I_Inputs &amp; Assumptions'!$B$8,'I_Budget Input Data'!$D$57,0),'I_Budget Input Data'!$D$57/'I_Inputs &amp; Assumptions'!$B$8)))))),0)</f>
        <v>13986.923076923076</v>
      </c>
      <c r="E57" s="91">
        <f>IF(3&lt;='I_Inputs &amp; Assumptions'!$B$8,IF('I_Budget Input Data'!$E$57="Upfront",IF(3=1,'I_Budget Input Data'!$D$57,0),IF('I_Budget Input Data'!$E$57="Equal",'I_Budget Input Data'!$D$57/'I_Inputs &amp; Assumptions'!$B$8,IF('I_Budget Input Data'!$E$57="Front-loaded",IF(3&lt;='I_Inputs &amp; Assumptions'!$B$8/2,'I_Budget Input Data'!$D$57*0.6/('I_Inputs &amp; Assumptions'!$B$8/2),'I_Budget Input Data'!$D$57*0.4/('I_Inputs &amp; Assumptions'!$B$8/2)),IF('I_Budget Input Data'!$E$57="Back-loaded",IF(3&lt;='I_Inputs &amp; Assumptions'!$B$8/2,'I_Budget Input Data'!$D$57*0.4/('I_Inputs &amp; Assumptions'!$B$8/2),'I_Budget Input Data'!$D$57*0.6/('I_Inputs &amp; Assumptions'!$B$8/2)),IF('I_Budget Input Data'!$E$57="Mid-weighted",IF(3&lt;='I_Inputs &amp; Assumptions'!$B$8/4,'I_Budget Input Data'!$D$57*0.2/('I_Inputs &amp; Assumptions'!$B$8/4),IF(3&lt;='I_Inputs &amp; Assumptions'!$B$8*0.75,'I_Budget Input Data'!$D$57*0.6/('I_Inputs &amp; Assumptions'!$B$8/2),'I_Budget Input Data'!$D$57*0.2/('I_Inputs &amp; Assumptions'!$B$8/4))),IF('I_Budget Input Data'!$E$57="At Completion",IF(3='I_Inputs &amp; Assumptions'!$B$8,'I_Budget Input Data'!$D$57,0),'I_Budget Input Data'!$D$57/'I_Inputs &amp; Assumptions'!$B$8)))))),0)</f>
        <v>13986.923076923076</v>
      </c>
      <c r="F57" s="91">
        <f>IF(4&lt;='I_Inputs &amp; Assumptions'!$B$8,IF('I_Budget Input Data'!$E$57="Upfront",IF(4=1,'I_Budget Input Data'!$D$57,0),IF('I_Budget Input Data'!$E$57="Equal",'I_Budget Input Data'!$D$57/'I_Inputs &amp; Assumptions'!$B$8,IF('I_Budget Input Data'!$E$57="Front-loaded",IF(4&lt;='I_Inputs &amp; Assumptions'!$B$8/2,'I_Budget Input Data'!$D$57*0.6/('I_Inputs &amp; Assumptions'!$B$8/2),'I_Budget Input Data'!$D$57*0.4/('I_Inputs &amp; Assumptions'!$B$8/2)),IF('I_Budget Input Data'!$E$57="Back-loaded",IF(4&lt;='I_Inputs &amp; Assumptions'!$B$8/2,'I_Budget Input Data'!$D$57*0.4/('I_Inputs &amp; Assumptions'!$B$8/2),'I_Budget Input Data'!$D$57*0.6/('I_Inputs &amp; Assumptions'!$B$8/2)),IF('I_Budget Input Data'!$E$57="Mid-weighted",IF(4&lt;='I_Inputs &amp; Assumptions'!$B$8/4,'I_Budget Input Data'!$D$57*0.2/('I_Inputs &amp; Assumptions'!$B$8/4),IF(4&lt;='I_Inputs &amp; Assumptions'!$B$8*0.75,'I_Budget Input Data'!$D$57*0.6/('I_Inputs &amp; Assumptions'!$B$8/2),'I_Budget Input Data'!$D$57*0.2/('I_Inputs &amp; Assumptions'!$B$8/4))),IF('I_Budget Input Data'!$E$57="At Completion",IF(4='I_Inputs &amp; Assumptions'!$B$8,'I_Budget Input Data'!$D$57,0),'I_Budget Input Data'!$D$57/'I_Inputs &amp; Assumptions'!$B$8)))))),0)</f>
        <v>13986.923076923076</v>
      </c>
      <c r="G57" s="91">
        <f>IF(5&lt;='I_Inputs &amp; Assumptions'!$B$8,IF('I_Budget Input Data'!$E$57="Upfront",IF(5=1,'I_Budget Input Data'!$D$57,0),IF('I_Budget Input Data'!$E$57="Equal",'I_Budget Input Data'!$D$57/'I_Inputs &amp; Assumptions'!$B$8,IF('I_Budget Input Data'!$E$57="Front-loaded",IF(5&lt;='I_Inputs &amp; Assumptions'!$B$8/2,'I_Budget Input Data'!$D$57*0.6/('I_Inputs &amp; Assumptions'!$B$8/2),'I_Budget Input Data'!$D$57*0.4/('I_Inputs &amp; Assumptions'!$B$8/2)),IF('I_Budget Input Data'!$E$57="Back-loaded",IF(5&lt;='I_Inputs &amp; Assumptions'!$B$8/2,'I_Budget Input Data'!$D$57*0.4/('I_Inputs &amp; Assumptions'!$B$8/2),'I_Budget Input Data'!$D$57*0.6/('I_Inputs &amp; Assumptions'!$B$8/2)),IF('I_Budget Input Data'!$E$57="Mid-weighted",IF(5&lt;='I_Inputs &amp; Assumptions'!$B$8/4,'I_Budget Input Data'!$D$57*0.2/('I_Inputs &amp; Assumptions'!$B$8/4),IF(5&lt;='I_Inputs &amp; Assumptions'!$B$8*0.75,'I_Budget Input Data'!$D$57*0.6/('I_Inputs &amp; Assumptions'!$B$8/2),'I_Budget Input Data'!$D$57*0.2/('I_Inputs &amp; Assumptions'!$B$8/4))),IF('I_Budget Input Data'!$E$57="At Completion",IF(5='I_Inputs &amp; Assumptions'!$B$8,'I_Budget Input Data'!$D$57,0),'I_Budget Input Data'!$D$57/'I_Inputs &amp; Assumptions'!$B$8)))))),0)</f>
        <v>13986.923076923076</v>
      </c>
      <c r="H57" s="91">
        <f>IF(6&lt;='I_Inputs &amp; Assumptions'!$B$8,IF('I_Budget Input Data'!$E$57="Upfront",IF(6=1,'I_Budget Input Data'!$D$57,0),IF('I_Budget Input Data'!$E$57="Equal",'I_Budget Input Data'!$D$57/'I_Inputs &amp; Assumptions'!$B$8,IF('I_Budget Input Data'!$E$57="Front-loaded",IF(6&lt;='I_Inputs &amp; Assumptions'!$B$8/2,'I_Budget Input Data'!$D$57*0.6/('I_Inputs &amp; Assumptions'!$B$8/2),'I_Budget Input Data'!$D$57*0.4/('I_Inputs &amp; Assumptions'!$B$8/2)),IF('I_Budget Input Data'!$E$57="Back-loaded",IF(6&lt;='I_Inputs &amp; Assumptions'!$B$8/2,'I_Budget Input Data'!$D$57*0.4/('I_Inputs &amp; Assumptions'!$B$8/2),'I_Budget Input Data'!$D$57*0.6/('I_Inputs &amp; Assumptions'!$B$8/2)),IF('I_Budget Input Data'!$E$57="Mid-weighted",IF(6&lt;='I_Inputs &amp; Assumptions'!$B$8/4,'I_Budget Input Data'!$D$57*0.2/('I_Inputs &amp; Assumptions'!$B$8/4),IF(6&lt;='I_Inputs &amp; Assumptions'!$B$8*0.75,'I_Budget Input Data'!$D$57*0.6/('I_Inputs &amp; Assumptions'!$B$8/2),'I_Budget Input Data'!$D$57*0.2/('I_Inputs &amp; Assumptions'!$B$8/4))),IF('I_Budget Input Data'!$E$57="At Completion",IF(6='I_Inputs &amp; Assumptions'!$B$8,'I_Budget Input Data'!$D$57,0),'I_Budget Input Data'!$D$57/'I_Inputs &amp; Assumptions'!$B$8)))))),0)</f>
        <v>13986.923076923076</v>
      </c>
      <c r="I57" s="91">
        <f>IF(7&lt;='I_Inputs &amp; Assumptions'!$B$8,IF('I_Budget Input Data'!$E$57="Upfront",IF(7=1,'I_Budget Input Data'!$D$57,0),IF('I_Budget Input Data'!$E$57="Equal",'I_Budget Input Data'!$D$57/'I_Inputs &amp; Assumptions'!$B$8,IF('I_Budget Input Data'!$E$57="Front-loaded",IF(7&lt;='I_Inputs &amp; Assumptions'!$B$8/2,'I_Budget Input Data'!$D$57*0.6/('I_Inputs &amp; Assumptions'!$B$8/2),'I_Budget Input Data'!$D$57*0.4/('I_Inputs &amp; Assumptions'!$B$8/2)),IF('I_Budget Input Data'!$E$57="Back-loaded",IF(7&lt;='I_Inputs &amp; Assumptions'!$B$8/2,'I_Budget Input Data'!$D$57*0.4/('I_Inputs &amp; Assumptions'!$B$8/2),'I_Budget Input Data'!$D$57*0.6/('I_Inputs &amp; Assumptions'!$B$8/2)),IF('I_Budget Input Data'!$E$57="Mid-weighted",IF(7&lt;='I_Inputs &amp; Assumptions'!$B$8/4,'I_Budget Input Data'!$D$57*0.2/('I_Inputs &amp; Assumptions'!$B$8/4),IF(7&lt;='I_Inputs &amp; Assumptions'!$B$8*0.75,'I_Budget Input Data'!$D$57*0.6/('I_Inputs &amp; Assumptions'!$B$8/2),'I_Budget Input Data'!$D$57*0.2/('I_Inputs &amp; Assumptions'!$B$8/4))),IF('I_Budget Input Data'!$E$57="At Completion",IF(7='I_Inputs &amp; Assumptions'!$B$8,'I_Budget Input Data'!$D$57,0),'I_Budget Input Data'!$D$57/'I_Inputs &amp; Assumptions'!$B$8)))))),0)</f>
        <v>13986.923076923076</v>
      </c>
      <c r="J57" s="91">
        <f>IF(8&lt;='I_Inputs &amp; Assumptions'!$B$8,IF('I_Budget Input Data'!$E$57="Upfront",IF(8=1,'I_Budget Input Data'!$D$57,0),IF('I_Budget Input Data'!$E$57="Equal",'I_Budget Input Data'!$D$57/'I_Inputs &amp; Assumptions'!$B$8,IF('I_Budget Input Data'!$E$57="Front-loaded",IF(8&lt;='I_Inputs &amp; Assumptions'!$B$8/2,'I_Budget Input Data'!$D$57*0.6/('I_Inputs &amp; Assumptions'!$B$8/2),'I_Budget Input Data'!$D$57*0.4/('I_Inputs &amp; Assumptions'!$B$8/2)),IF('I_Budget Input Data'!$E$57="Back-loaded",IF(8&lt;='I_Inputs &amp; Assumptions'!$B$8/2,'I_Budget Input Data'!$D$57*0.4/('I_Inputs &amp; Assumptions'!$B$8/2),'I_Budget Input Data'!$D$57*0.6/('I_Inputs &amp; Assumptions'!$B$8/2)),IF('I_Budget Input Data'!$E$57="Mid-weighted",IF(8&lt;='I_Inputs &amp; Assumptions'!$B$8/4,'I_Budget Input Data'!$D$57*0.2/('I_Inputs &amp; Assumptions'!$B$8/4),IF(8&lt;='I_Inputs &amp; Assumptions'!$B$8*0.75,'I_Budget Input Data'!$D$57*0.6/('I_Inputs &amp; Assumptions'!$B$8/2),'I_Budget Input Data'!$D$57*0.2/('I_Inputs &amp; Assumptions'!$B$8/4))),IF('I_Budget Input Data'!$E$57="At Completion",IF(8='I_Inputs &amp; Assumptions'!$B$8,'I_Budget Input Data'!$D$57,0),'I_Budget Input Data'!$D$57/'I_Inputs &amp; Assumptions'!$B$8)))))),0)</f>
        <v>13986.923076923076</v>
      </c>
      <c r="K57" s="91">
        <f>IF(9&lt;='I_Inputs &amp; Assumptions'!$B$8,IF('I_Budget Input Data'!$E$57="Upfront",IF(9=1,'I_Budget Input Data'!$D$57,0),IF('I_Budget Input Data'!$E$57="Equal",'I_Budget Input Data'!$D$57/'I_Inputs &amp; Assumptions'!$B$8,IF('I_Budget Input Data'!$E$57="Front-loaded",IF(9&lt;='I_Inputs &amp; Assumptions'!$B$8/2,'I_Budget Input Data'!$D$57*0.6/('I_Inputs &amp; Assumptions'!$B$8/2),'I_Budget Input Data'!$D$57*0.4/('I_Inputs &amp; Assumptions'!$B$8/2)),IF('I_Budget Input Data'!$E$57="Back-loaded",IF(9&lt;='I_Inputs &amp; Assumptions'!$B$8/2,'I_Budget Input Data'!$D$57*0.4/('I_Inputs &amp; Assumptions'!$B$8/2),'I_Budget Input Data'!$D$57*0.6/('I_Inputs &amp; Assumptions'!$B$8/2)),IF('I_Budget Input Data'!$E$57="Mid-weighted",IF(9&lt;='I_Inputs &amp; Assumptions'!$B$8/4,'I_Budget Input Data'!$D$57*0.2/('I_Inputs &amp; Assumptions'!$B$8/4),IF(9&lt;='I_Inputs &amp; Assumptions'!$B$8*0.75,'I_Budget Input Data'!$D$57*0.6/('I_Inputs &amp; Assumptions'!$B$8/2),'I_Budget Input Data'!$D$57*0.2/('I_Inputs &amp; Assumptions'!$B$8/4))),IF('I_Budget Input Data'!$E$57="At Completion",IF(9='I_Inputs &amp; Assumptions'!$B$8,'I_Budget Input Data'!$D$57,0),'I_Budget Input Data'!$D$57/'I_Inputs &amp; Assumptions'!$B$8)))))),0)</f>
        <v>13986.923076923076</v>
      </c>
      <c r="L57" s="91">
        <f>IF(10&lt;='I_Inputs &amp; Assumptions'!$B$8,IF('I_Budget Input Data'!$E$57="Upfront",IF(10=1,'I_Budget Input Data'!$D$57,0),IF('I_Budget Input Data'!$E$57="Equal",'I_Budget Input Data'!$D$57/'I_Inputs &amp; Assumptions'!$B$8,IF('I_Budget Input Data'!$E$57="Front-loaded",IF(10&lt;='I_Inputs &amp; Assumptions'!$B$8/2,'I_Budget Input Data'!$D$57*0.6/('I_Inputs &amp; Assumptions'!$B$8/2),'I_Budget Input Data'!$D$57*0.4/('I_Inputs &amp; Assumptions'!$B$8/2)),IF('I_Budget Input Data'!$E$57="Back-loaded",IF(10&lt;='I_Inputs &amp; Assumptions'!$B$8/2,'I_Budget Input Data'!$D$57*0.4/('I_Inputs &amp; Assumptions'!$B$8/2),'I_Budget Input Data'!$D$57*0.6/('I_Inputs &amp; Assumptions'!$B$8/2)),IF('I_Budget Input Data'!$E$57="Mid-weighted",IF(10&lt;='I_Inputs &amp; Assumptions'!$B$8/4,'I_Budget Input Data'!$D$57*0.2/('I_Inputs &amp; Assumptions'!$B$8/4),IF(10&lt;='I_Inputs &amp; Assumptions'!$B$8*0.75,'I_Budget Input Data'!$D$57*0.6/('I_Inputs &amp; Assumptions'!$B$8/2),'I_Budget Input Data'!$D$57*0.2/('I_Inputs &amp; Assumptions'!$B$8/4))),IF('I_Budget Input Data'!$E$57="At Completion",IF(10='I_Inputs &amp; Assumptions'!$B$8,'I_Budget Input Data'!$D$57,0),'I_Budget Input Data'!$D$57/'I_Inputs &amp; Assumptions'!$B$8)))))),0)</f>
        <v>13986.923076923076</v>
      </c>
      <c r="M57" s="91">
        <f>IF(11&lt;='I_Inputs &amp; Assumptions'!$B$8,IF('I_Budget Input Data'!$E$57="Upfront",IF(11=1,'I_Budget Input Data'!$D$57,0),IF('I_Budget Input Data'!$E$57="Equal",'I_Budget Input Data'!$D$57/'I_Inputs &amp; Assumptions'!$B$8,IF('I_Budget Input Data'!$E$57="Front-loaded",IF(11&lt;='I_Inputs &amp; Assumptions'!$B$8/2,'I_Budget Input Data'!$D$57*0.6/('I_Inputs &amp; Assumptions'!$B$8/2),'I_Budget Input Data'!$D$57*0.4/('I_Inputs &amp; Assumptions'!$B$8/2)),IF('I_Budget Input Data'!$E$57="Back-loaded",IF(11&lt;='I_Inputs &amp; Assumptions'!$B$8/2,'I_Budget Input Data'!$D$57*0.4/('I_Inputs &amp; Assumptions'!$B$8/2),'I_Budget Input Data'!$D$57*0.6/('I_Inputs &amp; Assumptions'!$B$8/2)),IF('I_Budget Input Data'!$E$57="Mid-weighted",IF(11&lt;='I_Inputs &amp; Assumptions'!$B$8/4,'I_Budget Input Data'!$D$57*0.2/('I_Inputs &amp; Assumptions'!$B$8/4),IF(11&lt;='I_Inputs &amp; Assumptions'!$B$8*0.75,'I_Budget Input Data'!$D$57*0.6/('I_Inputs &amp; Assumptions'!$B$8/2),'I_Budget Input Data'!$D$57*0.2/('I_Inputs &amp; Assumptions'!$B$8/4))),IF('I_Budget Input Data'!$E$57="At Completion",IF(11='I_Inputs &amp; Assumptions'!$B$8,'I_Budget Input Data'!$D$57,0),'I_Budget Input Data'!$D$57/'I_Inputs &amp; Assumptions'!$B$8)))))),0)</f>
        <v>13986.923076923076</v>
      </c>
      <c r="N57" s="91">
        <f>IF(12&lt;='I_Inputs &amp; Assumptions'!$B$8,IF('I_Budget Input Data'!$E$57="Upfront",IF(12=1,'I_Budget Input Data'!$D$57,0),IF('I_Budget Input Data'!$E$57="Equal",'I_Budget Input Data'!$D$57/'I_Inputs &amp; Assumptions'!$B$8,IF('I_Budget Input Data'!$E$57="Front-loaded",IF(12&lt;='I_Inputs &amp; Assumptions'!$B$8/2,'I_Budget Input Data'!$D$57*0.6/('I_Inputs &amp; Assumptions'!$B$8/2),'I_Budget Input Data'!$D$57*0.4/('I_Inputs &amp; Assumptions'!$B$8/2)),IF('I_Budget Input Data'!$E$57="Back-loaded",IF(12&lt;='I_Inputs &amp; Assumptions'!$B$8/2,'I_Budget Input Data'!$D$57*0.4/('I_Inputs &amp; Assumptions'!$B$8/2),'I_Budget Input Data'!$D$57*0.6/('I_Inputs &amp; Assumptions'!$B$8/2)),IF('I_Budget Input Data'!$E$57="Mid-weighted",IF(12&lt;='I_Inputs &amp; Assumptions'!$B$8/4,'I_Budget Input Data'!$D$57*0.2/('I_Inputs &amp; Assumptions'!$B$8/4),IF(12&lt;='I_Inputs &amp; Assumptions'!$B$8*0.75,'I_Budget Input Data'!$D$57*0.6/('I_Inputs &amp; Assumptions'!$B$8/2),'I_Budget Input Data'!$D$57*0.2/('I_Inputs &amp; Assumptions'!$B$8/4))),IF('I_Budget Input Data'!$E$57="At Completion",IF(12='I_Inputs &amp; Assumptions'!$B$8,'I_Budget Input Data'!$D$57,0),'I_Budget Input Data'!$D$57/'I_Inputs &amp; Assumptions'!$B$8)))))),0)</f>
        <v>13986.923076923076</v>
      </c>
      <c r="O57" s="91">
        <f>IF(13&lt;='I_Inputs &amp; Assumptions'!$B$8,IF('I_Budget Input Data'!$E$57="Upfront",IF(13=1,'I_Budget Input Data'!$D$57,0),IF('I_Budget Input Data'!$E$57="Equal",'I_Budget Input Data'!$D$57/'I_Inputs &amp; Assumptions'!$B$8,IF('I_Budget Input Data'!$E$57="Front-loaded",IF(13&lt;='I_Inputs &amp; Assumptions'!$B$8/2,'I_Budget Input Data'!$D$57*0.6/('I_Inputs &amp; Assumptions'!$B$8/2),'I_Budget Input Data'!$D$57*0.4/('I_Inputs &amp; Assumptions'!$B$8/2)),IF('I_Budget Input Data'!$E$57="Back-loaded",IF(13&lt;='I_Inputs &amp; Assumptions'!$B$8/2,'I_Budget Input Data'!$D$57*0.4/('I_Inputs &amp; Assumptions'!$B$8/2),'I_Budget Input Data'!$D$57*0.6/('I_Inputs &amp; Assumptions'!$B$8/2)),IF('I_Budget Input Data'!$E$57="Mid-weighted",IF(13&lt;='I_Inputs &amp; Assumptions'!$B$8/4,'I_Budget Input Data'!$D$57*0.2/('I_Inputs &amp; Assumptions'!$B$8/4),IF(13&lt;='I_Inputs &amp; Assumptions'!$B$8*0.75,'I_Budget Input Data'!$D$57*0.6/('I_Inputs &amp; Assumptions'!$B$8/2),'I_Budget Input Data'!$D$57*0.2/('I_Inputs &amp; Assumptions'!$B$8/4))),IF('I_Budget Input Data'!$E$57="At Completion",IF(13='I_Inputs &amp; Assumptions'!$B$8,'I_Budget Input Data'!$D$57,0),'I_Budget Input Data'!$D$57/'I_Inputs &amp; Assumptions'!$B$8)))))),0)</f>
        <v>13986.923076923076</v>
      </c>
      <c r="P57" s="91">
        <f>IF(14&lt;='I_Inputs &amp; Assumptions'!$B$8,IF('I_Budget Input Data'!$E$57="Upfront",IF(14=1,'I_Budget Input Data'!$D$57,0),IF('I_Budget Input Data'!$E$57="Equal",'I_Budget Input Data'!$D$57/'I_Inputs &amp; Assumptions'!$B$8,IF('I_Budget Input Data'!$E$57="Front-loaded",IF(14&lt;='I_Inputs &amp; Assumptions'!$B$8/2,'I_Budget Input Data'!$D$57*0.6/('I_Inputs &amp; Assumptions'!$B$8/2),'I_Budget Input Data'!$D$57*0.4/('I_Inputs &amp; Assumptions'!$B$8/2)),IF('I_Budget Input Data'!$E$57="Back-loaded",IF(14&lt;='I_Inputs &amp; Assumptions'!$B$8/2,'I_Budget Input Data'!$D$57*0.4/('I_Inputs &amp; Assumptions'!$B$8/2),'I_Budget Input Data'!$D$57*0.6/('I_Inputs &amp; Assumptions'!$B$8/2)),IF('I_Budget Input Data'!$E$57="Mid-weighted",IF(14&lt;='I_Inputs &amp; Assumptions'!$B$8/4,'I_Budget Input Data'!$D$57*0.2/('I_Inputs &amp; Assumptions'!$B$8/4),IF(14&lt;='I_Inputs &amp; Assumptions'!$B$8*0.75,'I_Budget Input Data'!$D$57*0.6/('I_Inputs &amp; Assumptions'!$B$8/2),'I_Budget Input Data'!$D$57*0.2/('I_Inputs &amp; Assumptions'!$B$8/4))),IF('I_Budget Input Data'!$E$57="At Completion",IF(14='I_Inputs &amp; Assumptions'!$B$8,'I_Budget Input Data'!$D$57,0),'I_Budget Input Data'!$D$57/'I_Inputs &amp; Assumptions'!$B$8)))))),0)</f>
        <v>0</v>
      </c>
      <c r="Q57" s="91">
        <f>IF(15&lt;='I_Inputs &amp; Assumptions'!$B$8,IF('I_Budget Input Data'!$E$57="Upfront",IF(15=1,'I_Budget Input Data'!$D$57,0),IF('I_Budget Input Data'!$E$57="Equal",'I_Budget Input Data'!$D$57/'I_Inputs &amp; Assumptions'!$B$8,IF('I_Budget Input Data'!$E$57="Front-loaded",IF(15&lt;='I_Inputs &amp; Assumptions'!$B$8/2,'I_Budget Input Data'!$D$57*0.6/('I_Inputs &amp; Assumptions'!$B$8/2),'I_Budget Input Data'!$D$57*0.4/('I_Inputs &amp; Assumptions'!$B$8/2)),IF('I_Budget Input Data'!$E$57="Back-loaded",IF(15&lt;='I_Inputs &amp; Assumptions'!$B$8/2,'I_Budget Input Data'!$D$57*0.4/('I_Inputs &amp; Assumptions'!$B$8/2),'I_Budget Input Data'!$D$57*0.6/('I_Inputs &amp; Assumptions'!$B$8/2)),IF('I_Budget Input Data'!$E$57="Mid-weighted",IF(15&lt;='I_Inputs &amp; Assumptions'!$B$8/4,'I_Budget Input Data'!$D$57*0.2/('I_Inputs &amp; Assumptions'!$B$8/4),IF(15&lt;='I_Inputs &amp; Assumptions'!$B$8*0.75,'I_Budget Input Data'!$D$57*0.6/('I_Inputs &amp; Assumptions'!$B$8/2),'I_Budget Input Data'!$D$57*0.2/('I_Inputs &amp; Assumptions'!$B$8/4))),IF('I_Budget Input Data'!$E$57="At Completion",IF(15='I_Inputs &amp; Assumptions'!$B$8,'I_Budget Input Data'!$D$57,0),'I_Budget Input Data'!$D$57/'I_Inputs &amp; Assumptions'!$B$8)))))),0)</f>
        <v>0</v>
      </c>
      <c r="R57" s="91">
        <f>IF(16&lt;='I_Inputs &amp; Assumptions'!$B$8,IF('I_Budget Input Data'!$E$57="Upfront",IF(16=1,'I_Budget Input Data'!$D$57,0),IF('I_Budget Input Data'!$E$57="Equal",'I_Budget Input Data'!$D$57/'I_Inputs &amp; Assumptions'!$B$8,IF('I_Budget Input Data'!$E$57="Front-loaded",IF(16&lt;='I_Inputs &amp; Assumptions'!$B$8/2,'I_Budget Input Data'!$D$57*0.6/('I_Inputs &amp; Assumptions'!$B$8/2),'I_Budget Input Data'!$D$57*0.4/('I_Inputs &amp; Assumptions'!$B$8/2)),IF('I_Budget Input Data'!$E$57="Back-loaded",IF(16&lt;='I_Inputs &amp; Assumptions'!$B$8/2,'I_Budget Input Data'!$D$57*0.4/('I_Inputs &amp; Assumptions'!$B$8/2),'I_Budget Input Data'!$D$57*0.6/('I_Inputs &amp; Assumptions'!$B$8/2)),IF('I_Budget Input Data'!$E$57="Mid-weighted",IF(16&lt;='I_Inputs &amp; Assumptions'!$B$8/4,'I_Budget Input Data'!$D$57*0.2/('I_Inputs &amp; Assumptions'!$B$8/4),IF(16&lt;='I_Inputs &amp; Assumptions'!$B$8*0.75,'I_Budget Input Data'!$D$57*0.6/('I_Inputs &amp; Assumptions'!$B$8/2),'I_Budget Input Data'!$D$57*0.2/('I_Inputs &amp; Assumptions'!$B$8/4))),IF('I_Budget Input Data'!$E$57="At Completion",IF(16='I_Inputs &amp; Assumptions'!$B$8,'I_Budget Input Data'!$D$57,0),'I_Budget Input Data'!$D$57/'I_Inputs &amp; Assumptions'!$B$8)))))),0)</f>
        <v>0</v>
      </c>
      <c r="S57" s="91">
        <f>IF(17&lt;='I_Inputs &amp; Assumptions'!$B$8,IF('I_Budget Input Data'!$E$57="Upfront",IF(17=1,'I_Budget Input Data'!$D$57,0),IF('I_Budget Input Data'!$E$57="Equal",'I_Budget Input Data'!$D$57/'I_Inputs &amp; Assumptions'!$B$8,IF('I_Budget Input Data'!$E$57="Front-loaded",IF(17&lt;='I_Inputs &amp; Assumptions'!$B$8/2,'I_Budget Input Data'!$D$57*0.6/('I_Inputs &amp; Assumptions'!$B$8/2),'I_Budget Input Data'!$D$57*0.4/('I_Inputs &amp; Assumptions'!$B$8/2)),IF('I_Budget Input Data'!$E$57="Back-loaded",IF(17&lt;='I_Inputs &amp; Assumptions'!$B$8/2,'I_Budget Input Data'!$D$57*0.4/('I_Inputs &amp; Assumptions'!$B$8/2),'I_Budget Input Data'!$D$57*0.6/('I_Inputs &amp; Assumptions'!$B$8/2)),IF('I_Budget Input Data'!$E$57="Mid-weighted",IF(17&lt;='I_Inputs &amp; Assumptions'!$B$8/4,'I_Budget Input Data'!$D$57*0.2/('I_Inputs &amp; Assumptions'!$B$8/4),IF(17&lt;='I_Inputs &amp; Assumptions'!$B$8*0.75,'I_Budget Input Data'!$D$57*0.6/('I_Inputs &amp; Assumptions'!$B$8/2),'I_Budget Input Data'!$D$57*0.2/('I_Inputs &amp; Assumptions'!$B$8/4))),IF('I_Budget Input Data'!$E$57="At Completion",IF(17='I_Inputs &amp; Assumptions'!$B$8,'I_Budget Input Data'!$D$57,0),'I_Budget Input Data'!$D$57/'I_Inputs &amp; Assumptions'!$B$8)))))),0)</f>
        <v>0</v>
      </c>
      <c r="T57" s="91">
        <f>IF(18&lt;='I_Inputs &amp; Assumptions'!$B$8,IF('I_Budget Input Data'!$E$57="Upfront",IF(18=1,'I_Budget Input Data'!$D$57,0),IF('I_Budget Input Data'!$E$57="Equal",'I_Budget Input Data'!$D$57/'I_Inputs &amp; Assumptions'!$B$8,IF('I_Budget Input Data'!$E$57="Front-loaded",IF(18&lt;='I_Inputs &amp; Assumptions'!$B$8/2,'I_Budget Input Data'!$D$57*0.6/('I_Inputs &amp; Assumptions'!$B$8/2),'I_Budget Input Data'!$D$57*0.4/('I_Inputs &amp; Assumptions'!$B$8/2)),IF('I_Budget Input Data'!$E$57="Back-loaded",IF(18&lt;='I_Inputs &amp; Assumptions'!$B$8/2,'I_Budget Input Data'!$D$57*0.4/('I_Inputs &amp; Assumptions'!$B$8/2),'I_Budget Input Data'!$D$57*0.6/('I_Inputs &amp; Assumptions'!$B$8/2)),IF('I_Budget Input Data'!$E$57="Mid-weighted",IF(18&lt;='I_Inputs &amp; Assumptions'!$B$8/4,'I_Budget Input Data'!$D$57*0.2/('I_Inputs &amp; Assumptions'!$B$8/4),IF(18&lt;='I_Inputs &amp; Assumptions'!$B$8*0.75,'I_Budget Input Data'!$D$57*0.6/('I_Inputs &amp; Assumptions'!$B$8/2),'I_Budget Input Data'!$D$57*0.2/('I_Inputs &amp; Assumptions'!$B$8/4))),IF('I_Budget Input Data'!$E$57="At Completion",IF(18='I_Inputs &amp; Assumptions'!$B$8,'I_Budget Input Data'!$D$57,0),'I_Budget Input Data'!$D$57/'I_Inputs &amp; Assumptions'!$B$8)))))),0)</f>
        <v>0</v>
      </c>
      <c r="U57" s="91">
        <f>IF(19&lt;='I_Inputs &amp; Assumptions'!$B$8,IF('I_Budget Input Data'!$E$57="Upfront",IF(19=1,'I_Budget Input Data'!$D$57,0),IF('I_Budget Input Data'!$E$57="Equal",'I_Budget Input Data'!$D$57/'I_Inputs &amp; Assumptions'!$B$8,IF('I_Budget Input Data'!$E$57="Front-loaded",IF(19&lt;='I_Inputs &amp; Assumptions'!$B$8/2,'I_Budget Input Data'!$D$57*0.6/('I_Inputs &amp; Assumptions'!$B$8/2),'I_Budget Input Data'!$D$57*0.4/('I_Inputs &amp; Assumptions'!$B$8/2)),IF('I_Budget Input Data'!$E$57="Back-loaded",IF(19&lt;='I_Inputs &amp; Assumptions'!$B$8/2,'I_Budget Input Data'!$D$57*0.4/('I_Inputs &amp; Assumptions'!$B$8/2),'I_Budget Input Data'!$D$57*0.6/('I_Inputs &amp; Assumptions'!$B$8/2)),IF('I_Budget Input Data'!$E$57="Mid-weighted",IF(19&lt;='I_Inputs &amp; Assumptions'!$B$8/4,'I_Budget Input Data'!$D$57*0.2/('I_Inputs &amp; Assumptions'!$B$8/4),IF(19&lt;='I_Inputs &amp; Assumptions'!$B$8*0.75,'I_Budget Input Data'!$D$57*0.6/('I_Inputs &amp; Assumptions'!$B$8/2),'I_Budget Input Data'!$D$57*0.2/('I_Inputs &amp; Assumptions'!$B$8/4))),IF('I_Budget Input Data'!$E$57="At Completion",IF(19='I_Inputs &amp; Assumptions'!$B$8,'I_Budget Input Data'!$D$57,0),'I_Budget Input Data'!$D$57/'I_Inputs &amp; Assumptions'!$B$8)))))),0)</f>
        <v>0</v>
      </c>
      <c r="V57" s="91">
        <f>IF(20&lt;='I_Inputs &amp; Assumptions'!$B$8,IF('I_Budget Input Data'!$E$57="Upfront",IF(20=1,'I_Budget Input Data'!$D$57,0),IF('I_Budget Input Data'!$E$57="Equal",'I_Budget Input Data'!$D$57/'I_Inputs &amp; Assumptions'!$B$8,IF('I_Budget Input Data'!$E$57="Front-loaded",IF(20&lt;='I_Inputs &amp; Assumptions'!$B$8/2,'I_Budget Input Data'!$D$57*0.6/('I_Inputs &amp; Assumptions'!$B$8/2),'I_Budget Input Data'!$D$57*0.4/('I_Inputs &amp; Assumptions'!$B$8/2)),IF('I_Budget Input Data'!$E$57="Back-loaded",IF(20&lt;='I_Inputs &amp; Assumptions'!$B$8/2,'I_Budget Input Data'!$D$57*0.4/('I_Inputs &amp; Assumptions'!$B$8/2),'I_Budget Input Data'!$D$57*0.6/('I_Inputs &amp; Assumptions'!$B$8/2)),IF('I_Budget Input Data'!$E$57="Mid-weighted",IF(20&lt;='I_Inputs &amp; Assumptions'!$B$8/4,'I_Budget Input Data'!$D$57*0.2/('I_Inputs &amp; Assumptions'!$B$8/4),IF(20&lt;='I_Inputs &amp; Assumptions'!$B$8*0.75,'I_Budget Input Data'!$D$57*0.6/('I_Inputs &amp; Assumptions'!$B$8/2),'I_Budget Input Data'!$D$57*0.2/('I_Inputs &amp; Assumptions'!$B$8/4))),IF('I_Budget Input Data'!$E$57="At Completion",IF(20='I_Inputs &amp; Assumptions'!$B$8,'I_Budget Input Data'!$D$57,0),'I_Budget Input Data'!$D$57/'I_Inputs &amp; Assumptions'!$B$8)))))),0)</f>
        <v>0</v>
      </c>
      <c r="W57" s="91">
        <f>IF(21&lt;='I_Inputs &amp; Assumptions'!$B$8,IF('I_Budget Input Data'!$E$57="Upfront",IF(21=1,'I_Budget Input Data'!$D$57,0),IF('I_Budget Input Data'!$E$57="Equal",'I_Budget Input Data'!$D$57/'I_Inputs &amp; Assumptions'!$B$8,IF('I_Budget Input Data'!$E$57="Front-loaded",IF(21&lt;='I_Inputs &amp; Assumptions'!$B$8/2,'I_Budget Input Data'!$D$57*0.6/('I_Inputs &amp; Assumptions'!$B$8/2),'I_Budget Input Data'!$D$57*0.4/('I_Inputs &amp; Assumptions'!$B$8/2)),IF('I_Budget Input Data'!$E$57="Back-loaded",IF(21&lt;='I_Inputs &amp; Assumptions'!$B$8/2,'I_Budget Input Data'!$D$57*0.4/('I_Inputs &amp; Assumptions'!$B$8/2),'I_Budget Input Data'!$D$57*0.6/('I_Inputs &amp; Assumptions'!$B$8/2)),IF('I_Budget Input Data'!$E$57="Mid-weighted",IF(21&lt;='I_Inputs &amp; Assumptions'!$B$8/4,'I_Budget Input Data'!$D$57*0.2/('I_Inputs &amp; Assumptions'!$B$8/4),IF(21&lt;='I_Inputs &amp; Assumptions'!$B$8*0.75,'I_Budget Input Data'!$D$57*0.6/('I_Inputs &amp; Assumptions'!$B$8/2),'I_Budget Input Data'!$D$57*0.2/('I_Inputs &amp; Assumptions'!$B$8/4))),IF('I_Budget Input Data'!$E$57="At Completion",IF(21='I_Inputs &amp; Assumptions'!$B$8,'I_Budget Input Data'!$D$57,0),'I_Budget Input Data'!$D$57/'I_Inputs &amp; Assumptions'!$B$8)))))),0)</f>
        <v>0</v>
      </c>
      <c r="X57" s="91">
        <f>IF(22&lt;='I_Inputs &amp; Assumptions'!$B$8,IF('I_Budget Input Data'!$E$57="Upfront",IF(22=1,'I_Budget Input Data'!$D$57,0),IF('I_Budget Input Data'!$E$57="Equal",'I_Budget Input Data'!$D$57/'I_Inputs &amp; Assumptions'!$B$8,IF('I_Budget Input Data'!$E$57="Front-loaded",IF(22&lt;='I_Inputs &amp; Assumptions'!$B$8/2,'I_Budget Input Data'!$D$57*0.6/('I_Inputs &amp; Assumptions'!$B$8/2),'I_Budget Input Data'!$D$57*0.4/('I_Inputs &amp; Assumptions'!$B$8/2)),IF('I_Budget Input Data'!$E$57="Back-loaded",IF(22&lt;='I_Inputs &amp; Assumptions'!$B$8/2,'I_Budget Input Data'!$D$57*0.4/('I_Inputs &amp; Assumptions'!$B$8/2),'I_Budget Input Data'!$D$57*0.6/('I_Inputs &amp; Assumptions'!$B$8/2)),IF('I_Budget Input Data'!$E$57="Mid-weighted",IF(22&lt;='I_Inputs &amp; Assumptions'!$B$8/4,'I_Budget Input Data'!$D$57*0.2/('I_Inputs &amp; Assumptions'!$B$8/4),IF(22&lt;='I_Inputs &amp; Assumptions'!$B$8*0.75,'I_Budget Input Data'!$D$57*0.6/('I_Inputs &amp; Assumptions'!$B$8/2),'I_Budget Input Data'!$D$57*0.2/('I_Inputs &amp; Assumptions'!$B$8/4))),IF('I_Budget Input Data'!$E$57="At Completion",IF(22='I_Inputs &amp; Assumptions'!$B$8,'I_Budget Input Data'!$D$57,0),'I_Budget Input Data'!$D$57/'I_Inputs &amp; Assumptions'!$B$8)))))),0)</f>
        <v>0</v>
      </c>
      <c r="Y57" s="91">
        <f>IF(23&lt;='I_Inputs &amp; Assumptions'!$B$8,IF('I_Budget Input Data'!$E$57="Upfront",IF(23=1,'I_Budget Input Data'!$D$57,0),IF('I_Budget Input Data'!$E$57="Equal",'I_Budget Input Data'!$D$57/'I_Inputs &amp; Assumptions'!$B$8,IF('I_Budget Input Data'!$E$57="Front-loaded",IF(23&lt;='I_Inputs &amp; Assumptions'!$B$8/2,'I_Budget Input Data'!$D$57*0.6/('I_Inputs &amp; Assumptions'!$B$8/2),'I_Budget Input Data'!$D$57*0.4/('I_Inputs &amp; Assumptions'!$B$8/2)),IF('I_Budget Input Data'!$E$57="Back-loaded",IF(23&lt;='I_Inputs &amp; Assumptions'!$B$8/2,'I_Budget Input Data'!$D$57*0.4/('I_Inputs &amp; Assumptions'!$B$8/2),'I_Budget Input Data'!$D$57*0.6/('I_Inputs &amp; Assumptions'!$B$8/2)),IF('I_Budget Input Data'!$E$57="Mid-weighted",IF(23&lt;='I_Inputs &amp; Assumptions'!$B$8/4,'I_Budget Input Data'!$D$57*0.2/('I_Inputs &amp; Assumptions'!$B$8/4),IF(23&lt;='I_Inputs &amp; Assumptions'!$B$8*0.75,'I_Budget Input Data'!$D$57*0.6/('I_Inputs &amp; Assumptions'!$B$8/2),'I_Budget Input Data'!$D$57*0.2/('I_Inputs &amp; Assumptions'!$B$8/4))),IF('I_Budget Input Data'!$E$57="At Completion",IF(23='I_Inputs &amp; Assumptions'!$B$8,'I_Budget Input Data'!$D$57,0),'I_Budget Input Data'!$D$57/'I_Inputs &amp; Assumptions'!$B$8)))))),0)</f>
        <v>0</v>
      </c>
      <c r="Z57" s="91">
        <f>IF(24&lt;='I_Inputs &amp; Assumptions'!$B$8,IF('I_Budget Input Data'!$E$57="Upfront",IF(24=1,'I_Budget Input Data'!$D$57,0),IF('I_Budget Input Data'!$E$57="Equal",'I_Budget Input Data'!$D$57/'I_Inputs &amp; Assumptions'!$B$8,IF('I_Budget Input Data'!$E$57="Front-loaded",IF(24&lt;='I_Inputs &amp; Assumptions'!$B$8/2,'I_Budget Input Data'!$D$57*0.6/('I_Inputs &amp; Assumptions'!$B$8/2),'I_Budget Input Data'!$D$57*0.4/('I_Inputs &amp; Assumptions'!$B$8/2)),IF('I_Budget Input Data'!$E$57="Back-loaded",IF(24&lt;='I_Inputs &amp; Assumptions'!$B$8/2,'I_Budget Input Data'!$D$57*0.4/('I_Inputs &amp; Assumptions'!$B$8/2),'I_Budget Input Data'!$D$57*0.6/('I_Inputs &amp; Assumptions'!$B$8/2)),IF('I_Budget Input Data'!$E$57="Mid-weighted",IF(24&lt;='I_Inputs &amp; Assumptions'!$B$8/4,'I_Budget Input Data'!$D$57*0.2/('I_Inputs &amp; Assumptions'!$B$8/4),IF(24&lt;='I_Inputs &amp; Assumptions'!$B$8*0.75,'I_Budget Input Data'!$D$57*0.6/('I_Inputs &amp; Assumptions'!$B$8/2),'I_Budget Input Data'!$D$57*0.2/('I_Inputs &amp; Assumptions'!$B$8/4))),IF('I_Budget Input Data'!$E$57="At Completion",IF(24='I_Inputs &amp; Assumptions'!$B$8,'I_Budget Input Data'!$D$57,0),'I_Budget Input Data'!$D$57/'I_Inputs &amp; Assumptions'!$B$8)))))),0)</f>
        <v>0</v>
      </c>
      <c r="AA57" s="91">
        <f>IF(25&lt;='I_Inputs &amp; Assumptions'!$B$8,IF('I_Budget Input Data'!$E$57="Upfront",IF(25=1,'I_Budget Input Data'!$D$57,0),IF('I_Budget Input Data'!$E$57="Equal",'I_Budget Input Data'!$D$57/'I_Inputs &amp; Assumptions'!$B$8,IF('I_Budget Input Data'!$E$57="Front-loaded",IF(25&lt;='I_Inputs &amp; Assumptions'!$B$8/2,'I_Budget Input Data'!$D$57*0.6/('I_Inputs &amp; Assumptions'!$B$8/2),'I_Budget Input Data'!$D$57*0.4/('I_Inputs &amp; Assumptions'!$B$8/2)),IF('I_Budget Input Data'!$E$57="Back-loaded",IF(25&lt;='I_Inputs &amp; Assumptions'!$B$8/2,'I_Budget Input Data'!$D$57*0.4/('I_Inputs &amp; Assumptions'!$B$8/2),'I_Budget Input Data'!$D$57*0.6/('I_Inputs &amp; Assumptions'!$B$8/2)),IF('I_Budget Input Data'!$E$57="Mid-weighted",IF(25&lt;='I_Inputs &amp; Assumptions'!$B$8/4,'I_Budget Input Data'!$D$57*0.2/('I_Inputs &amp; Assumptions'!$B$8/4),IF(25&lt;='I_Inputs &amp; Assumptions'!$B$8*0.75,'I_Budget Input Data'!$D$57*0.6/('I_Inputs &amp; Assumptions'!$B$8/2),'I_Budget Input Data'!$D$57*0.2/('I_Inputs &amp; Assumptions'!$B$8/4))),IF('I_Budget Input Data'!$E$57="At Completion",IF(25='I_Inputs &amp; Assumptions'!$B$8,'I_Budget Input Data'!$D$57,0),'I_Budget Input Data'!$D$57/'I_Inputs &amp; Assumptions'!$B$8)))))),0)</f>
        <v>0</v>
      </c>
      <c r="AB57" s="91">
        <f>IF(26&lt;='I_Inputs &amp; Assumptions'!$B$8,IF('I_Budget Input Data'!$E$57="Upfront",IF(26=1,'I_Budget Input Data'!$D$57,0),IF('I_Budget Input Data'!$E$57="Equal",'I_Budget Input Data'!$D$57/'I_Inputs &amp; Assumptions'!$B$8,IF('I_Budget Input Data'!$E$57="Front-loaded",IF(26&lt;='I_Inputs &amp; Assumptions'!$B$8/2,'I_Budget Input Data'!$D$57*0.6/('I_Inputs &amp; Assumptions'!$B$8/2),'I_Budget Input Data'!$D$57*0.4/('I_Inputs &amp; Assumptions'!$B$8/2)),IF('I_Budget Input Data'!$E$57="Back-loaded",IF(26&lt;='I_Inputs &amp; Assumptions'!$B$8/2,'I_Budget Input Data'!$D$57*0.4/('I_Inputs &amp; Assumptions'!$B$8/2),'I_Budget Input Data'!$D$57*0.6/('I_Inputs &amp; Assumptions'!$B$8/2)),IF('I_Budget Input Data'!$E$57="Mid-weighted",IF(26&lt;='I_Inputs &amp; Assumptions'!$B$8/4,'I_Budget Input Data'!$D$57*0.2/('I_Inputs &amp; Assumptions'!$B$8/4),IF(26&lt;='I_Inputs &amp; Assumptions'!$B$8*0.75,'I_Budget Input Data'!$D$57*0.6/('I_Inputs &amp; Assumptions'!$B$8/2),'I_Budget Input Data'!$D$57*0.2/('I_Inputs &amp; Assumptions'!$B$8/4))),IF('I_Budget Input Data'!$E$57="At Completion",IF(26='I_Inputs &amp; Assumptions'!$B$8,'I_Budget Input Data'!$D$57,0),'I_Budget Input Data'!$D$57/'I_Inputs &amp; Assumptions'!$B$8)))))),0)</f>
        <v>0</v>
      </c>
      <c r="AC57" s="91">
        <f>IF(27&lt;='I_Inputs &amp; Assumptions'!$B$8,IF('I_Budget Input Data'!$E$57="Upfront",IF(27=1,'I_Budget Input Data'!$D$57,0),IF('I_Budget Input Data'!$E$57="Equal",'I_Budget Input Data'!$D$57/'I_Inputs &amp; Assumptions'!$B$8,IF('I_Budget Input Data'!$E$57="Front-loaded",IF(27&lt;='I_Inputs &amp; Assumptions'!$B$8/2,'I_Budget Input Data'!$D$57*0.6/('I_Inputs &amp; Assumptions'!$B$8/2),'I_Budget Input Data'!$D$57*0.4/('I_Inputs &amp; Assumptions'!$B$8/2)),IF('I_Budget Input Data'!$E$57="Back-loaded",IF(27&lt;='I_Inputs &amp; Assumptions'!$B$8/2,'I_Budget Input Data'!$D$57*0.4/('I_Inputs &amp; Assumptions'!$B$8/2),'I_Budget Input Data'!$D$57*0.6/('I_Inputs &amp; Assumptions'!$B$8/2)),IF('I_Budget Input Data'!$E$57="Mid-weighted",IF(27&lt;='I_Inputs &amp; Assumptions'!$B$8/4,'I_Budget Input Data'!$D$57*0.2/('I_Inputs &amp; Assumptions'!$B$8/4),IF(27&lt;='I_Inputs &amp; Assumptions'!$B$8*0.75,'I_Budget Input Data'!$D$57*0.6/('I_Inputs &amp; Assumptions'!$B$8/2),'I_Budget Input Data'!$D$57*0.2/('I_Inputs &amp; Assumptions'!$B$8/4))),IF('I_Budget Input Data'!$E$57="At Completion",IF(27='I_Inputs &amp; Assumptions'!$B$8,'I_Budget Input Data'!$D$57,0),'I_Budget Input Data'!$D$57/'I_Inputs &amp; Assumptions'!$B$8)))))),0)</f>
        <v>0</v>
      </c>
      <c r="AD57" s="91">
        <f>IF(28&lt;='I_Inputs &amp; Assumptions'!$B$8,IF('I_Budget Input Data'!$E$57="Upfront",IF(28=1,'I_Budget Input Data'!$D$57,0),IF('I_Budget Input Data'!$E$57="Equal",'I_Budget Input Data'!$D$57/'I_Inputs &amp; Assumptions'!$B$8,IF('I_Budget Input Data'!$E$57="Front-loaded",IF(28&lt;='I_Inputs &amp; Assumptions'!$B$8/2,'I_Budget Input Data'!$D$57*0.6/('I_Inputs &amp; Assumptions'!$B$8/2),'I_Budget Input Data'!$D$57*0.4/('I_Inputs &amp; Assumptions'!$B$8/2)),IF('I_Budget Input Data'!$E$57="Back-loaded",IF(28&lt;='I_Inputs &amp; Assumptions'!$B$8/2,'I_Budget Input Data'!$D$57*0.4/('I_Inputs &amp; Assumptions'!$B$8/2),'I_Budget Input Data'!$D$57*0.6/('I_Inputs &amp; Assumptions'!$B$8/2)),IF('I_Budget Input Data'!$E$57="Mid-weighted",IF(28&lt;='I_Inputs &amp; Assumptions'!$B$8/4,'I_Budget Input Data'!$D$57*0.2/('I_Inputs &amp; Assumptions'!$B$8/4),IF(28&lt;='I_Inputs &amp; Assumptions'!$B$8*0.75,'I_Budget Input Data'!$D$57*0.6/('I_Inputs &amp; Assumptions'!$B$8/2),'I_Budget Input Data'!$D$57*0.2/('I_Inputs &amp; Assumptions'!$B$8/4))),IF('I_Budget Input Data'!$E$57="At Completion",IF(28='I_Inputs &amp; Assumptions'!$B$8,'I_Budget Input Data'!$D$57,0),'I_Budget Input Data'!$D$57/'I_Inputs &amp; Assumptions'!$B$8)))))),0)</f>
        <v>0</v>
      </c>
      <c r="AE57" s="91">
        <f>IF(29&lt;='I_Inputs &amp; Assumptions'!$B$8,IF('I_Budget Input Data'!$E$57="Upfront",IF(29=1,'I_Budget Input Data'!$D$57,0),IF('I_Budget Input Data'!$E$57="Equal",'I_Budget Input Data'!$D$57/'I_Inputs &amp; Assumptions'!$B$8,IF('I_Budget Input Data'!$E$57="Front-loaded",IF(29&lt;='I_Inputs &amp; Assumptions'!$B$8/2,'I_Budget Input Data'!$D$57*0.6/('I_Inputs &amp; Assumptions'!$B$8/2),'I_Budget Input Data'!$D$57*0.4/('I_Inputs &amp; Assumptions'!$B$8/2)),IF('I_Budget Input Data'!$E$57="Back-loaded",IF(29&lt;='I_Inputs &amp; Assumptions'!$B$8/2,'I_Budget Input Data'!$D$57*0.4/('I_Inputs &amp; Assumptions'!$B$8/2),'I_Budget Input Data'!$D$57*0.6/('I_Inputs &amp; Assumptions'!$B$8/2)),IF('I_Budget Input Data'!$E$57="Mid-weighted",IF(29&lt;='I_Inputs &amp; Assumptions'!$B$8/4,'I_Budget Input Data'!$D$57*0.2/('I_Inputs &amp; Assumptions'!$B$8/4),IF(29&lt;='I_Inputs &amp; Assumptions'!$B$8*0.75,'I_Budget Input Data'!$D$57*0.6/('I_Inputs &amp; Assumptions'!$B$8/2),'I_Budget Input Data'!$D$57*0.2/('I_Inputs &amp; Assumptions'!$B$8/4))),IF('I_Budget Input Data'!$E$57="At Completion",IF(29='I_Inputs &amp; Assumptions'!$B$8,'I_Budget Input Data'!$D$57,0),'I_Budget Input Data'!$D$57/'I_Inputs &amp; Assumptions'!$B$8)))))),0)</f>
        <v>0</v>
      </c>
      <c r="AF57" s="91">
        <f>IF(30&lt;='I_Inputs &amp; Assumptions'!$B$8,IF('I_Budget Input Data'!$E$57="Upfront",IF(30=1,'I_Budget Input Data'!$D$57,0),IF('I_Budget Input Data'!$E$57="Equal",'I_Budget Input Data'!$D$57/'I_Inputs &amp; Assumptions'!$B$8,IF('I_Budget Input Data'!$E$57="Front-loaded",IF(30&lt;='I_Inputs &amp; Assumptions'!$B$8/2,'I_Budget Input Data'!$D$57*0.6/('I_Inputs &amp; Assumptions'!$B$8/2),'I_Budget Input Data'!$D$57*0.4/('I_Inputs &amp; Assumptions'!$B$8/2)),IF('I_Budget Input Data'!$E$57="Back-loaded",IF(30&lt;='I_Inputs &amp; Assumptions'!$B$8/2,'I_Budget Input Data'!$D$57*0.4/('I_Inputs &amp; Assumptions'!$B$8/2),'I_Budget Input Data'!$D$57*0.6/('I_Inputs &amp; Assumptions'!$B$8/2)),IF('I_Budget Input Data'!$E$57="Mid-weighted",IF(30&lt;='I_Inputs &amp; Assumptions'!$B$8/4,'I_Budget Input Data'!$D$57*0.2/('I_Inputs &amp; Assumptions'!$B$8/4),IF(30&lt;='I_Inputs &amp; Assumptions'!$B$8*0.75,'I_Budget Input Data'!$D$57*0.6/('I_Inputs &amp; Assumptions'!$B$8/2),'I_Budget Input Data'!$D$57*0.2/('I_Inputs &amp; Assumptions'!$B$8/4))),IF('I_Budget Input Data'!$E$57="At Completion",IF(30='I_Inputs &amp; Assumptions'!$B$8,'I_Budget Input Data'!$D$57,0),'I_Budget Input Data'!$D$57/'I_Inputs &amp; Assumptions'!$B$8)))))),0)</f>
        <v>0</v>
      </c>
      <c r="AG57" s="91">
        <f>IF(31&lt;='I_Inputs &amp; Assumptions'!$B$8,IF('I_Budget Input Data'!$E$57="Upfront",IF(31=1,'I_Budget Input Data'!$D$57,0),IF('I_Budget Input Data'!$E$57="Equal",'I_Budget Input Data'!$D$57/'I_Inputs &amp; Assumptions'!$B$8,IF('I_Budget Input Data'!$E$57="Front-loaded",IF(31&lt;='I_Inputs &amp; Assumptions'!$B$8/2,'I_Budget Input Data'!$D$57*0.6/('I_Inputs &amp; Assumptions'!$B$8/2),'I_Budget Input Data'!$D$57*0.4/('I_Inputs &amp; Assumptions'!$B$8/2)),IF('I_Budget Input Data'!$E$57="Back-loaded",IF(31&lt;='I_Inputs &amp; Assumptions'!$B$8/2,'I_Budget Input Data'!$D$57*0.4/('I_Inputs &amp; Assumptions'!$B$8/2),'I_Budget Input Data'!$D$57*0.6/('I_Inputs &amp; Assumptions'!$B$8/2)),IF('I_Budget Input Data'!$E$57="Mid-weighted",IF(31&lt;='I_Inputs &amp; Assumptions'!$B$8/4,'I_Budget Input Data'!$D$57*0.2/('I_Inputs &amp; Assumptions'!$B$8/4),IF(31&lt;='I_Inputs &amp; Assumptions'!$B$8*0.75,'I_Budget Input Data'!$D$57*0.6/('I_Inputs &amp; Assumptions'!$B$8/2),'I_Budget Input Data'!$D$57*0.2/('I_Inputs &amp; Assumptions'!$B$8/4))),IF('I_Budget Input Data'!$E$57="At Completion",IF(31='I_Inputs &amp; Assumptions'!$B$8,'I_Budget Input Data'!$D$57,0),'I_Budget Input Data'!$D$57/'I_Inputs &amp; Assumptions'!$B$8)))))),0)</f>
        <v>0</v>
      </c>
      <c r="AH57" s="91">
        <f>IF(32&lt;='I_Inputs &amp; Assumptions'!$B$8,IF('I_Budget Input Data'!$E$57="Upfront",IF(32=1,'I_Budget Input Data'!$D$57,0),IF('I_Budget Input Data'!$E$57="Equal",'I_Budget Input Data'!$D$57/'I_Inputs &amp; Assumptions'!$B$8,IF('I_Budget Input Data'!$E$57="Front-loaded",IF(32&lt;='I_Inputs &amp; Assumptions'!$B$8/2,'I_Budget Input Data'!$D$57*0.6/('I_Inputs &amp; Assumptions'!$B$8/2),'I_Budget Input Data'!$D$57*0.4/('I_Inputs &amp; Assumptions'!$B$8/2)),IF('I_Budget Input Data'!$E$57="Back-loaded",IF(32&lt;='I_Inputs &amp; Assumptions'!$B$8/2,'I_Budget Input Data'!$D$57*0.4/('I_Inputs &amp; Assumptions'!$B$8/2),'I_Budget Input Data'!$D$57*0.6/('I_Inputs &amp; Assumptions'!$B$8/2)),IF('I_Budget Input Data'!$E$57="Mid-weighted",IF(32&lt;='I_Inputs &amp; Assumptions'!$B$8/4,'I_Budget Input Data'!$D$57*0.2/('I_Inputs &amp; Assumptions'!$B$8/4),IF(32&lt;='I_Inputs &amp; Assumptions'!$B$8*0.75,'I_Budget Input Data'!$D$57*0.6/('I_Inputs &amp; Assumptions'!$B$8/2),'I_Budget Input Data'!$D$57*0.2/('I_Inputs &amp; Assumptions'!$B$8/4))),IF('I_Budget Input Data'!$E$57="At Completion",IF(32='I_Inputs &amp; Assumptions'!$B$8,'I_Budget Input Data'!$D$57,0),'I_Budget Input Data'!$D$57/'I_Inputs &amp; Assumptions'!$B$8)))))),0)</f>
        <v>0</v>
      </c>
      <c r="AI57" s="91">
        <f>IF(33&lt;='I_Inputs &amp; Assumptions'!$B$8,IF('I_Budget Input Data'!$E$57="Upfront",IF(33=1,'I_Budget Input Data'!$D$57,0),IF('I_Budget Input Data'!$E$57="Equal",'I_Budget Input Data'!$D$57/'I_Inputs &amp; Assumptions'!$B$8,IF('I_Budget Input Data'!$E$57="Front-loaded",IF(33&lt;='I_Inputs &amp; Assumptions'!$B$8/2,'I_Budget Input Data'!$D$57*0.6/('I_Inputs &amp; Assumptions'!$B$8/2),'I_Budget Input Data'!$D$57*0.4/('I_Inputs &amp; Assumptions'!$B$8/2)),IF('I_Budget Input Data'!$E$57="Back-loaded",IF(33&lt;='I_Inputs &amp; Assumptions'!$B$8/2,'I_Budget Input Data'!$D$57*0.4/('I_Inputs &amp; Assumptions'!$B$8/2),'I_Budget Input Data'!$D$57*0.6/('I_Inputs &amp; Assumptions'!$B$8/2)),IF('I_Budget Input Data'!$E$57="Mid-weighted",IF(33&lt;='I_Inputs &amp; Assumptions'!$B$8/4,'I_Budget Input Data'!$D$57*0.2/('I_Inputs &amp; Assumptions'!$B$8/4),IF(33&lt;='I_Inputs &amp; Assumptions'!$B$8*0.75,'I_Budget Input Data'!$D$57*0.6/('I_Inputs &amp; Assumptions'!$B$8/2),'I_Budget Input Data'!$D$57*0.2/('I_Inputs &amp; Assumptions'!$B$8/4))),IF('I_Budget Input Data'!$E$57="At Completion",IF(33='I_Inputs &amp; Assumptions'!$B$8,'I_Budget Input Data'!$D$57,0),'I_Budget Input Data'!$D$57/'I_Inputs &amp; Assumptions'!$B$8)))))),0)</f>
        <v>0</v>
      </c>
      <c r="AJ57" s="91">
        <f>IF(34&lt;='I_Inputs &amp; Assumptions'!$B$8,IF('I_Budget Input Data'!$E$57="Upfront",IF(34=1,'I_Budget Input Data'!$D$57,0),IF('I_Budget Input Data'!$E$57="Equal",'I_Budget Input Data'!$D$57/'I_Inputs &amp; Assumptions'!$B$8,IF('I_Budget Input Data'!$E$57="Front-loaded",IF(34&lt;='I_Inputs &amp; Assumptions'!$B$8/2,'I_Budget Input Data'!$D$57*0.6/('I_Inputs &amp; Assumptions'!$B$8/2),'I_Budget Input Data'!$D$57*0.4/('I_Inputs &amp; Assumptions'!$B$8/2)),IF('I_Budget Input Data'!$E$57="Back-loaded",IF(34&lt;='I_Inputs &amp; Assumptions'!$B$8/2,'I_Budget Input Data'!$D$57*0.4/('I_Inputs &amp; Assumptions'!$B$8/2),'I_Budget Input Data'!$D$57*0.6/('I_Inputs &amp; Assumptions'!$B$8/2)),IF('I_Budget Input Data'!$E$57="Mid-weighted",IF(34&lt;='I_Inputs &amp; Assumptions'!$B$8/4,'I_Budget Input Data'!$D$57*0.2/('I_Inputs &amp; Assumptions'!$B$8/4),IF(34&lt;='I_Inputs &amp; Assumptions'!$B$8*0.75,'I_Budget Input Data'!$D$57*0.6/('I_Inputs &amp; Assumptions'!$B$8/2),'I_Budget Input Data'!$D$57*0.2/('I_Inputs &amp; Assumptions'!$B$8/4))),IF('I_Budget Input Data'!$E$57="At Completion",IF(34='I_Inputs &amp; Assumptions'!$B$8,'I_Budget Input Data'!$D$57,0),'I_Budget Input Data'!$D$57/'I_Inputs &amp; Assumptions'!$B$8)))))),0)</f>
        <v>0</v>
      </c>
      <c r="AK57" s="91">
        <f>IF(35&lt;='I_Inputs &amp; Assumptions'!$B$8,IF('I_Budget Input Data'!$E$57="Upfront",IF(35=1,'I_Budget Input Data'!$D$57,0),IF('I_Budget Input Data'!$E$57="Equal",'I_Budget Input Data'!$D$57/'I_Inputs &amp; Assumptions'!$B$8,IF('I_Budget Input Data'!$E$57="Front-loaded",IF(35&lt;='I_Inputs &amp; Assumptions'!$B$8/2,'I_Budget Input Data'!$D$57*0.6/('I_Inputs &amp; Assumptions'!$B$8/2),'I_Budget Input Data'!$D$57*0.4/('I_Inputs &amp; Assumptions'!$B$8/2)),IF('I_Budget Input Data'!$E$57="Back-loaded",IF(35&lt;='I_Inputs &amp; Assumptions'!$B$8/2,'I_Budget Input Data'!$D$57*0.4/('I_Inputs &amp; Assumptions'!$B$8/2),'I_Budget Input Data'!$D$57*0.6/('I_Inputs &amp; Assumptions'!$B$8/2)),IF('I_Budget Input Data'!$E$57="Mid-weighted",IF(35&lt;='I_Inputs &amp; Assumptions'!$B$8/4,'I_Budget Input Data'!$D$57*0.2/('I_Inputs &amp; Assumptions'!$B$8/4),IF(35&lt;='I_Inputs &amp; Assumptions'!$B$8*0.75,'I_Budget Input Data'!$D$57*0.6/('I_Inputs &amp; Assumptions'!$B$8/2),'I_Budget Input Data'!$D$57*0.2/('I_Inputs &amp; Assumptions'!$B$8/4))),IF('I_Budget Input Data'!$E$57="At Completion",IF(35='I_Inputs &amp; Assumptions'!$B$8,'I_Budget Input Data'!$D$57,0),'I_Budget Input Data'!$D$57/'I_Inputs &amp; Assumptions'!$B$8)))))),0)</f>
        <v>0</v>
      </c>
      <c r="AL57" s="91">
        <f>IF(36&lt;='I_Inputs &amp; Assumptions'!$B$8,IF('I_Budget Input Data'!$E$57="Upfront",IF(36=1,'I_Budget Input Data'!$D$57,0),IF('I_Budget Input Data'!$E$57="Equal",'I_Budget Input Data'!$D$57/'I_Inputs &amp; Assumptions'!$B$8,IF('I_Budget Input Data'!$E$57="Front-loaded",IF(36&lt;='I_Inputs &amp; Assumptions'!$B$8/2,'I_Budget Input Data'!$D$57*0.6/('I_Inputs &amp; Assumptions'!$B$8/2),'I_Budget Input Data'!$D$57*0.4/('I_Inputs &amp; Assumptions'!$B$8/2)),IF('I_Budget Input Data'!$E$57="Back-loaded",IF(36&lt;='I_Inputs &amp; Assumptions'!$B$8/2,'I_Budget Input Data'!$D$57*0.4/('I_Inputs &amp; Assumptions'!$B$8/2),'I_Budget Input Data'!$D$57*0.6/('I_Inputs &amp; Assumptions'!$B$8/2)),IF('I_Budget Input Data'!$E$57="Mid-weighted",IF(36&lt;='I_Inputs &amp; Assumptions'!$B$8/4,'I_Budget Input Data'!$D$57*0.2/('I_Inputs &amp; Assumptions'!$B$8/4),IF(36&lt;='I_Inputs &amp; Assumptions'!$B$8*0.75,'I_Budget Input Data'!$D$57*0.6/('I_Inputs &amp; Assumptions'!$B$8/2),'I_Budget Input Data'!$D$57*0.2/('I_Inputs &amp; Assumptions'!$B$8/4))),IF('I_Budget Input Data'!$E$57="At Completion",IF(36='I_Inputs &amp; Assumptions'!$B$8,'I_Budget Input Data'!$D$57,0),'I_Budget Input Data'!$D$57/'I_Inputs &amp; Assumptions'!$B$8)))))),0)</f>
        <v>0</v>
      </c>
    </row>
    <row r="58" spans="1:38" ht="15" customHeight="1" x14ac:dyDescent="0.2">
      <c r="A58" t="s">
        <v>146</v>
      </c>
      <c r="C58" s="91">
        <f>IF(1&lt;='I_Inputs &amp; Assumptions'!$B$8,IF('I_Budget Input Data'!$E$58="Upfront",IF(1=1,'I_Budget Input Data'!$D$58,0),IF('I_Budget Input Data'!$E$58="Equal",'I_Budget Input Data'!$D$58/'I_Inputs &amp; Assumptions'!$B$8,IF('I_Budget Input Data'!$E$58="Front-loaded",IF(1&lt;='I_Inputs &amp; Assumptions'!$B$8/2,'I_Budget Input Data'!$D$58*0.6/('I_Inputs &amp; Assumptions'!$B$8/2),'I_Budget Input Data'!$D$58*0.4/('I_Inputs &amp; Assumptions'!$B$8/2)),IF('I_Budget Input Data'!$E$58="Back-loaded",IF(1&lt;='I_Inputs &amp; Assumptions'!$B$8/2,'I_Budget Input Data'!$D$58*0.4/('I_Inputs &amp; Assumptions'!$B$8/2),'I_Budget Input Data'!$D$58*0.6/('I_Inputs &amp; Assumptions'!$B$8/2)),IF('I_Budget Input Data'!$E$58="Mid-weighted",IF(1&lt;='I_Inputs &amp; Assumptions'!$B$8/4,'I_Budget Input Data'!$D$58*0.2/('I_Inputs &amp; Assumptions'!$B$8/4),IF(1&lt;='I_Inputs &amp; Assumptions'!$B$8*0.75,'I_Budget Input Data'!$D$58*0.6/('I_Inputs &amp; Assumptions'!$B$8/2),'I_Budget Input Data'!$D$58*0.2/('I_Inputs &amp; Assumptions'!$B$8/4))),IF('I_Budget Input Data'!$E$58="At Completion",IF(1='I_Inputs &amp; Assumptions'!$B$8,'I_Budget Input Data'!$D$58,0),'I_Budget Input Data'!$D$58/'I_Inputs &amp; Assumptions'!$B$8)))))),0)</f>
        <v>461.53846153846155</v>
      </c>
      <c r="D58" s="91">
        <f>IF(2&lt;='I_Inputs &amp; Assumptions'!$B$8,IF('I_Budget Input Data'!$E$58="Upfront",IF(2=1,'I_Budget Input Data'!$D$58,0),IF('I_Budget Input Data'!$E$58="Equal",'I_Budget Input Data'!$D$58/'I_Inputs &amp; Assumptions'!$B$8,IF('I_Budget Input Data'!$E$58="Front-loaded",IF(2&lt;='I_Inputs &amp; Assumptions'!$B$8/2,'I_Budget Input Data'!$D$58*0.6/('I_Inputs &amp; Assumptions'!$B$8/2),'I_Budget Input Data'!$D$58*0.4/('I_Inputs &amp; Assumptions'!$B$8/2)),IF('I_Budget Input Data'!$E$58="Back-loaded",IF(2&lt;='I_Inputs &amp; Assumptions'!$B$8/2,'I_Budget Input Data'!$D$58*0.4/('I_Inputs &amp; Assumptions'!$B$8/2),'I_Budget Input Data'!$D$58*0.6/('I_Inputs &amp; Assumptions'!$B$8/2)),IF('I_Budget Input Data'!$E$58="Mid-weighted",IF(2&lt;='I_Inputs &amp; Assumptions'!$B$8/4,'I_Budget Input Data'!$D$58*0.2/('I_Inputs &amp; Assumptions'!$B$8/4),IF(2&lt;='I_Inputs &amp; Assumptions'!$B$8*0.75,'I_Budget Input Data'!$D$58*0.6/('I_Inputs &amp; Assumptions'!$B$8/2),'I_Budget Input Data'!$D$58*0.2/('I_Inputs &amp; Assumptions'!$B$8/4))),IF('I_Budget Input Data'!$E$58="At Completion",IF(2='I_Inputs &amp; Assumptions'!$B$8,'I_Budget Input Data'!$D$58,0),'I_Budget Input Data'!$D$58/'I_Inputs &amp; Assumptions'!$B$8)))))),0)</f>
        <v>461.53846153846155</v>
      </c>
      <c r="E58" s="91">
        <f>IF(3&lt;='I_Inputs &amp; Assumptions'!$B$8,IF('I_Budget Input Data'!$E$58="Upfront",IF(3=1,'I_Budget Input Data'!$D$58,0),IF('I_Budget Input Data'!$E$58="Equal",'I_Budget Input Data'!$D$58/'I_Inputs &amp; Assumptions'!$B$8,IF('I_Budget Input Data'!$E$58="Front-loaded",IF(3&lt;='I_Inputs &amp; Assumptions'!$B$8/2,'I_Budget Input Data'!$D$58*0.6/('I_Inputs &amp; Assumptions'!$B$8/2),'I_Budget Input Data'!$D$58*0.4/('I_Inputs &amp; Assumptions'!$B$8/2)),IF('I_Budget Input Data'!$E$58="Back-loaded",IF(3&lt;='I_Inputs &amp; Assumptions'!$B$8/2,'I_Budget Input Data'!$D$58*0.4/('I_Inputs &amp; Assumptions'!$B$8/2),'I_Budget Input Data'!$D$58*0.6/('I_Inputs &amp; Assumptions'!$B$8/2)),IF('I_Budget Input Data'!$E$58="Mid-weighted",IF(3&lt;='I_Inputs &amp; Assumptions'!$B$8/4,'I_Budget Input Data'!$D$58*0.2/('I_Inputs &amp; Assumptions'!$B$8/4),IF(3&lt;='I_Inputs &amp; Assumptions'!$B$8*0.75,'I_Budget Input Data'!$D$58*0.6/('I_Inputs &amp; Assumptions'!$B$8/2),'I_Budget Input Data'!$D$58*0.2/('I_Inputs &amp; Assumptions'!$B$8/4))),IF('I_Budget Input Data'!$E$58="At Completion",IF(3='I_Inputs &amp; Assumptions'!$B$8,'I_Budget Input Data'!$D$58,0),'I_Budget Input Data'!$D$58/'I_Inputs &amp; Assumptions'!$B$8)))))),0)</f>
        <v>461.53846153846155</v>
      </c>
      <c r="F58" s="91">
        <f>IF(4&lt;='I_Inputs &amp; Assumptions'!$B$8,IF('I_Budget Input Data'!$E$58="Upfront",IF(4=1,'I_Budget Input Data'!$D$58,0),IF('I_Budget Input Data'!$E$58="Equal",'I_Budget Input Data'!$D$58/'I_Inputs &amp; Assumptions'!$B$8,IF('I_Budget Input Data'!$E$58="Front-loaded",IF(4&lt;='I_Inputs &amp; Assumptions'!$B$8/2,'I_Budget Input Data'!$D$58*0.6/('I_Inputs &amp; Assumptions'!$B$8/2),'I_Budget Input Data'!$D$58*0.4/('I_Inputs &amp; Assumptions'!$B$8/2)),IF('I_Budget Input Data'!$E$58="Back-loaded",IF(4&lt;='I_Inputs &amp; Assumptions'!$B$8/2,'I_Budget Input Data'!$D$58*0.4/('I_Inputs &amp; Assumptions'!$B$8/2),'I_Budget Input Data'!$D$58*0.6/('I_Inputs &amp; Assumptions'!$B$8/2)),IF('I_Budget Input Data'!$E$58="Mid-weighted",IF(4&lt;='I_Inputs &amp; Assumptions'!$B$8/4,'I_Budget Input Data'!$D$58*0.2/('I_Inputs &amp; Assumptions'!$B$8/4),IF(4&lt;='I_Inputs &amp; Assumptions'!$B$8*0.75,'I_Budget Input Data'!$D$58*0.6/('I_Inputs &amp; Assumptions'!$B$8/2),'I_Budget Input Data'!$D$58*0.2/('I_Inputs &amp; Assumptions'!$B$8/4))),IF('I_Budget Input Data'!$E$58="At Completion",IF(4='I_Inputs &amp; Assumptions'!$B$8,'I_Budget Input Data'!$D$58,0),'I_Budget Input Data'!$D$58/'I_Inputs &amp; Assumptions'!$B$8)))))),0)</f>
        <v>461.53846153846155</v>
      </c>
      <c r="G58" s="91">
        <f>IF(5&lt;='I_Inputs &amp; Assumptions'!$B$8,IF('I_Budget Input Data'!$E$58="Upfront",IF(5=1,'I_Budget Input Data'!$D$58,0),IF('I_Budget Input Data'!$E$58="Equal",'I_Budget Input Data'!$D$58/'I_Inputs &amp; Assumptions'!$B$8,IF('I_Budget Input Data'!$E$58="Front-loaded",IF(5&lt;='I_Inputs &amp; Assumptions'!$B$8/2,'I_Budget Input Data'!$D$58*0.6/('I_Inputs &amp; Assumptions'!$B$8/2),'I_Budget Input Data'!$D$58*0.4/('I_Inputs &amp; Assumptions'!$B$8/2)),IF('I_Budget Input Data'!$E$58="Back-loaded",IF(5&lt;='I_Inputs &amp; Assumptions'!$B$8/2,'I_Budget Input Data'!$D$58*0.4/('I_Inputs &amp; Assumptions'!$B$8/2),'I_Budget Input Data'!$D$58*0.6/('I_Inputs &amp; Assumptions'!$B$8/2)),IF('I_Budget Input Data'!$E$58="Mid-weighted",IF(5&lt;='I_Inputs &amp; Assumptions'!$B$8/4,'I_Budget Input Data'!$D$58*0.2/('I_Inputs &amp; Assumptions'!$B$8/4),IF(5&lt;='I_Inputs &amp; Assumptions'!$B$8*0.75,'I_Budget Input Data'!$D$58*0.6/('I_Inputs &amp; Assumptions'!$B$8/2),'I_Budget Input Data'!$D$58*0.2/('I_Inputs &amp; Assumptions'!$B$8/4))),IF('I_Budget Input Data'!$E$58="At Completion",IF(5='I_Inputs &amp; Assumptions'!$B$8,'I_Budget Input Data'!$D$58,0),'I_Budget Input Data'!$D$58/'I_Inputs &amp; Assumptions'!$B$8)))))),0)</f>
        <v>461.53846153846155</v>
      </c>
      <c r="H58" s="91">
        <f>IF(6&lt;='I_Inputs &amp; Assumptions'!$B$8,IF('I_Budget Input Data'!$E$58="Upfront",IF(6=1,'I_Budget Input Data'!$D$58,0),IF('I_Budget Input Data'!$E$58="Equal",'I_Budget Input Data'!$D$58/'I_Inputs &amp; Assumptions'!$B$8,IF('I_Budget Input Data'!$E$58="Front-loaded",IF(6&lt;='I_Inputs &amp; Assumptions'!$B$8/2,'I_Budget Input Data'!$D$58*0.6/('I_Inputs &amp; Assumptions'!$B$8/2),'I_Budget Input Data'!$D$58*0.4/('I_Inputs &amp; Assumptions'!$B$8/2)),IF('I_Budget Input Data'!$E$58="Back-loaded",IF(6&lt;='I_Inputs &amp; Assumptions'!$B$8/2,'I_Budget Input Data'!$D$58*0.4/('I_Inputs &amp; Assumptions'!$B$8/2),'I_Budget Input Data'!$D$58*0.6/('I_Inputs &amp; Assumptions'!$B$8/2)),IF('I_Budget Input Data'!$E$58="Mid-weighted",IF(6&lt;='I_Inputs &amp; Assumptions'!$B$8/4,'I_Budget Input Data'!$D$58*0.2/('I_Inputs &amp; Assumptions'!$B$8/4),IF(6&lt;='I_Inputs &amp; Assumptions'!$B$8*0.75,'I_Budget Input Data'!$D$58*0.6/('I_Inputs &amp; Assumptions'!$B$8/2),'I_Budget Input Data'!$D$58*0.2/('I_Inputs &amp; Assumptions'!$B$8/4))),IF('I_Budget Input Data'!$E$58="At Completion",IF(6='I_Inputs &amp; Assumptions'!$B$8,'I_Budget Input Data'!$D$58,0),'I_Budget Input Data'!$D$58/'I_Inputs &amp; Assumptions'!$B$8)))))),0)</f>
        <v>461.53846153846155</v>
      </c>
      <c r="I58" s="91">
        <f>IF(7&lt;='I_Inputs &amp; Assumptions'!$B$8,IF('I_Budget Input Data'!$E$58="Upfront",IF(7=1,'I_Budget Input Data'!$D$58,0),IF('I_Budget Input Data'!$E$58="Equal",'I_Budget Input Data'!$D$58/'I_Inputs &amp; Assumptions'!$B$8,IF('I_Budget Input Data'!$E$58="Front-loaded",IF(7&lt;='I_Inputs &amp; Assumptions'!$B$8/2,'I_Budget Input Data'!$D$58*0.6/('I_Inputs &amp; Assumptions'!$B$8/2),'I_Budget Input Data'!$D$58*0.4/('I_Inputs &amp; Assumptions'!$B$8/2)),IF('I_Budget Input Data'!$E$58="Back-loaded",IF(7&lt;='I_Inputs &amp; Assumptions'!$B$8/2,'I_Budget Input Data'!$D$58*0.4/('I_Inputs &amp; Assumptions'!$B$8/2),'I_Budget Input Data'!$D$58*0.6/('I_Inputs &amp; Assumptions'!$B$8/2)),IF('I_Budget Input Data'!$E$58="Mid-weighted",IF(7&lt;='I_Inputs &amp; Assumptions'!$B$8/4,'I_Budget Input Data'!$D$58*0.2/('I_Inputs &amp; Assumptions'!$B$8/4),IF(7&lt;='I_Inputs &amp; Assumptions'!$B$8*0.75,'I_Budget Input Data'!$D$58*0.6/('I_Inputs &amp; Assumptions'!$B$8/2),'I_Budget Input Data'!$D$58*0.2/('I_Inputs &amp; Assumptions'!$B$8/4))),IF('I_Budget Input Data'!$E$58="At Completion",IF(7='I_Inputs &amp; Assumptions'!$B$8,'I_Budget Input Data'!$D$58,0),'I_Budget Input Data'!$D$58/'I_Inputs &amp; Assumptions'!$B$8)))))),0)</f>
        <v>461.53846153846155</v>
      </c>
      <c r="J58" s="91">
        <f>IF(8&lt;='I_Inputs &amp; Assumptions'!$B$8,IF('I_Budget Input Data'!$E$58="Upfront",IF(8=1,'I_Budget Input Data'!$D$58,0),IF('I_Budget Input Data'!$E$58="Equal",'I_Budget Input Data'!$D$58/'I_Inputs &amp; Assumptions'!$B$8,IF('I_Budget Input Data'!$E$58="Front-loaded",IF(8&lt;='I_Inputs &amp; Assumptions'!$B$8/2,'I_Budget Input Data'!$D$58*0.6/('I_Inputs &amp; Assumptions'!$B$8/2),'I_Budget Input Data'!$D$58*0.4/('I_Inputs &amp; Assumptions'!$B$8/2)),IF('I_Budget Input Data'!$E$58="Back-loaded",IF(8&lt;='I_Inputs &amp; Assumptions'!$B$8/2,'I_Budget Input Data'!$D$58*0.4/('I_Inputs &amp; Assumptions'!$B$8/2),'I_Budget Input Data'!$D$58*0.6/('I_Inputs &amp; Assumptions'!$B$8/2)),IF('I_Budget Input Data'!$E$58="Mid-weighted",IF(8&lt;='I_Inputs &amp; Assumptions'!$B$8/4,'I_Budget Input Data'!$D$58*0.2/('I_Inputs &amp; Assumptions'!$B$8/4),IF(8&lt;='I_Inputs &amp; Assumptions'!$B$8*0.75,'I_Budget Input Data'!$D$58*0.6/('I_Inputs &amp; Assumptions'!$B$8/2),'I_Budget Input Data'!$D$58*0.2/('I_Inputs &amp; Assumptions'!$B$8/4))),IF('I_Budget Input Data'!$E$58="At Completion",IF(8='I_Inputs &amp; Assumptions'!$B$8,'I_Budget Input Data'!$D$58,0),'I_Budget Input Data'!$D$58/'I_Inputs &amp; Assumptions'!$B$8)))))),0)</f>
        <v>461.53846153846155</v>
      </c>
      <c r="K58" s="91">
        <f>IF(9&lt;='I_Inputs &amp; Assumptions'!$B$8,IF('I_Budget Input Data'!$E$58="Upfront",IF(9=1,'I_Budget Input Data'!$D$58,0),IF('I_Budget Input Data'!$E$58="Equal",'I_Budget Input Data'!$D$58/'I_Inputs &amp; Assumptions'!$B$8,IF('I_Budget Input Data'!$E$58="Front-loaded",IF(9&lt;='I_Inputs &amp; Assumptions'!$B$8/2,'I_Budget Input Data'!$D$58*0.6/('I_Inputs &amp; Assumptions'!$B$8/2),'I_Budget Input Data'!$D$58*0.4/('I_Inputs &amp; Assumptions'!$B$8/2)),IF('I_Budget Input Data'!$E$58="Back-loaded",IF(9&lt;='I_Inputs &amp; Assumptions'!$B$8/2,'I_Budget Input Data'!$D$58*0.4/('I_Inputs &amp; Assumptions'!$B$8/2),'I_Budget Input Data'!$D$58*0.6/('I_Inputs &amp; Assumptions'!$B$8/2)),IF('I_Budget Input Data'!$E$58="Mid-weighted",IF(9&lt;='I_Inputs &amp; Assumptions'!$B$8/4,'I_Budget Input Data'!$D$58*0.2/('I_Inputs &amp; Assumptions'!$B$8/4),IF(9&lt;='I_Inputs &amp; Assumptions'!$B$8*0.75,'I_Budget Input Data'!$D$58*0.6/('I_Inputs &amp; Assumptions'!$B$8/2),'I_Budget Input Data'!$D$58*0.2/('I_Inputs &amp; Assumptions'!$B$8/4))),IF('I_Budget Input Data'!$E$58="At Completion",IF(9='I_Inputs &amp; Assumptions'!$B$8,'I_Budget Input Data'!$D$58,0),'I_Budget Input Data'!$D$58/'I_Inputs &amp; Assumptions'!$B$8)))))),0)</f>
        <v>461.53846153846155</v>
      </c>
      <c r="L58" s="91">
        <f>IF(10&lt;='I_Inputs &amp; Assumptions'!$B$8,IF('I_Budget Input Data'!$E$58="Upfront",IF(10=1,'I_Budget Input Data'!$D$58,0),IF('I_Budget Input Data'!$E$58="Equal",'I_Budget Input Data'!$D$58/'I_Inputs &amp; Assumptions'!$B$8,IF('I_Budget Input Data'!$E$58="Front-loaded",IF(10&lt;='I_Inputs &amp; Assumptions'!$B$8/2,'I_Budget Input Data'!$D$58*0.6/('I_Inputs &amp; Assumptions'!$B$8/2),'I_Budget Input Data'!$D$58*0.4/('I_Inputs &amp; Assumptions'!$B$8/2)),IF('I_Budget Input Data'!$E$58="Back-loaded",IF(10&lt;='I_Inputs &amp; Assumptions'!$B$8/2,'I_Budget Input Data'!$D$58*0.4/('I_Inputs &amp; Assumptions'!$B$8/2),'I_Budget Input Data'!$D$58*0.6/('I_Inputs &amp; Assumptions'!$B$8/2)),IF('I_Budget Input Data'!$E$58="Mid-weighted",IF(10&lt;='I_Inputs &amp; Assumptions'!$B$8/4,'I_Budget Input Data'!$D$58*0.2/('I_Inputs &amp; Assumptions'!$B$8/4),IF(10&lt;='I_Inputs &amp; Assumptions'!$B$8*0.75,'I_Budget Input Data'!$D$58*0.6/('I_Inputs &amp; Assumptions'!$B$8/2),'I_Budget Input Data'!$D$58*0.2/('I_Inputs &amp; Assumptions'!$B$8/4))),IF('I_Budget Input Data'!$E$58="At Completion",IF(10='I_Inputs &amp; Assumptions'!$B$8,'I_Budget Input Data'!$D$58,0),'I_Budget Input Data'!$D$58/'I_Inputs &amp; Assumptions'!$B$8)))))),0)</f>
        <v>461.53846153846155</v>
      </c>
      <c r="M58" s="91">
        <f>IF(11&lt;='I_Inputs &amp; Assumptions'!$B$8,IF('I_Budget Input Data'!$E$58="Upfront",IF(11=1,'I_Budget Input Data'!$D$58,0),IF('I_Budget Input Data'!$E$58="Equal",'I_Budget Input Data'!$D$58/'I_Inputs &amp; Assumptions'!$B$8,IF('I_Budget Input Data'!$E$58="Front-loaded",IF(11&lt;='I_Inputs &amp; Assumptions'!$B$8/2,'I_Budget Input Data'!$D$58*0.6/('I_Inputs &amp; Assumptions'!$B$8/2),'I_Budget Input Data'!$D$58*0.4/('I_Inputs &amp; Assumptions'!$B$8/2)),IF('I_Budget Input Data'!$E$58="Back-loaded",IF(11&lt;='I_Inputs &amp; Assumptions'!$B$8/2,'I_Budget Input Data'!$D$58*0.4/('I_Inputs &amp; Assumptions'!$B$8/2),'I_Budget Input Data'!$D$58*0.6/('I_Inputs &amp; Assumptions'!$B$8/2)),IF('I_Budget Input Data'!$E$58="Mid-weighted",IF(11&lt;='I_Inputs &amp; Assumptions'!$B$8/4,'I_Budget Input Data'!$D$58*0.2/('I_Inputs &amp; Assumptions'!$B$8/4),IF(11&lt;='I_Inputs &amp; Assumptions'!$B$8*0.75,'I_Budget Input Data'!$D$58*0.6/('I_Inputs &amp; Assumptions'!$B$8/2),'I_Budget Input Data'!$D$58*0.2/('I_Inputs &amp; Assumptions'!$B$8/4))),IF('I_Budget Input Data'!$E$58="At Completion",IF(11='I_Inputs &amp; Assumptions'!$B$8,'I_Budget Input Data'!$D$58,0),'I_Budget Input Data'!$D$58/'I_Inputs &amp; Assumptions'!$B$8)))))),0)</f>
        <v>461.53846153846155</v>
      </c>
      <c r="N58" s="91">
        <f>IF(12&lt;='I_Inputs &amp; Assumptions'!$B$8,IF('I_Budget Input Data'!$E$58="Upfront",IF(12=1,'I_Budget Input Data'!$D$58,0),IF('I_Budget Input Data'!$E$58="Equal",'I_Budget Input Data'!$D$58/'I_Inputs &amp; Assumptions'!$B$8,IF('I_Budget Input Data'!$E$58="Front-loaded",IF(12&lt;='I_Inputs &amp; Assumptions'!$B$8/2,'I_Budget Input Data'!$D$58*0.6/('I_Inputs &amp; Assumptions'!$B$8/2),'I_Budget Input Data'!$D$58*0.4/('I_Inputs &amp; Assumptions'!$B$8/2)),IF('I_Budget Input Data'!$E$58="Back-loaded",IF(12&lt;='I_Inputs &amp; Assumptions'!$B$8/2,'I_Budget Input Data'!$D$58*0.4/('I_Inputs &amp; Assumptions'!$B$8/2),'I_Budget Input Data'!$D$58*0.6/('I_Inputs &amp; Assumptions'!$B$8/2)),IF('I_Budget Input Data'!$E$58="Mid-weighted",IF(12&lt;='I_Inputs &amp; Assumptions'!$B$8/4,'I_Budget Input Data'!$D$58*0.2/('I_Inputs &amp; Assumptions'!$B$8/4),IF(12&lt;='I_Inputs &amp; Assumptions'!$B$8*0.75,'I_Budget Input Data'!$D$58*0.6/('I_Inputs &amp; Assumptions'!$B$8/2),'I_Budget Input Data'!$D$58*0.2/('I_Inputs &amp; Assumptions'!$B$8/4))),IF('I_Budget Input Data'!$E$58="At Completion",IF(12='I_Inputs &amp; Assumptions'!$B$8,'I_Budget Input Data'!$D$58,0),'I_Budget Input Data'!$D$58/'I_Inputs &amp; Assumptions'!$B$8)))))),0)</f>
        <v>461.53846153846155</v>
      </c>
      <c r="O58" s="91">
        <f>IF(13&lt;='I_Inputs &amp; Assumptions'!$B$8,IF('I_Budget Input Data'!$E$58="Upfront",IF(13=1,'I_Budget Input Data'!$D$58,0),IF('I_Budget Input Data'!$E$58="Equal",'I_Budget Input Data'!$D$58/'I_Inputs &amp; Assumptions'!$B$8,IF('I_Budget Input Data'!$E$58="Front-loaded",IF(13&lt;='I_Inputs &amp; Assumptions'!$B$8/2,'I_Budget Input Data'!$D$58*0.6/('I_Inputs &amp; Assumptions'!$B$8/2),'I_Budget Input Data'!$D$58*0.4/('I_Inputs &amp; Assumptions'!$B$8/2)),IF('I_Budget Input Data'!$E$58="Back-loaded",IF(13&lt;='I_Inputs &amp; Assumptions'!$B$8/2,'I_Budget Input Data'!$D$58*0.4/('I_Inputs &amp; Assumptions'!$B$8/2),'I_Budget Input Data'!$D$58*0.6/('I_Inputs &amp; Assumptions'!$B$8/2)),IF('I_Budget Input Data'!$E$58="Mid-weighted",IF(13&lt;='I_Inputs &amp; Assumptions'!$B$8/4,'I_Budget Input Data'!$D$58*0.2/('I_Inputs &amp; Assumptions'!$B$8/4),IF(13&lt;='I_Inputs &amp; Assumptions'!$B$8*0.75,'I_Budget Input Data'!$D$58*0.6/('I_Inputs &amp; Assumptions'!$B$8/2),'I_Budget Input Data'!$D$58*0.2/('I_Inputs &amp; Assumptions'!$B$8/4))),IF('I_Budget Input Data'!$E$58="At Completion",IF(13='I_Inputs &amp; Assumptions'!$B$8,'I_Budget Input Data'!$D$58,0),'I_Budget Input Data'!$D$58/'I_Inputs &amp; Assumptions'!$B$8)))))),0)</f>
        <v>461.53846153846155</v>
      </c>
      <c r="P58" s="91">
        <f>IF(14&lt;='I_Inputs &amp; Assumptions'!$B$8,IF('I_Budget Input Data'!$E$58="Upfront",IF(14=1,'I_Budget Input Data'!$D$58,0),IF('I_Budget Input Data'!$E$58="Equal",'I_Budget Input Data'!$D$58/'I_Inputs &amp; Assumptions'!$B$8,IF('I_Budget Input Data'!$E$58="Front-loaded",IF(14&lt;='I_Inputs &amp; Assumptions'!$B$8/2,'I_Budget Input Data'!$D$58*0.6/('I_Inputs &amp; Assumptions'!$B$8/2),'I_Budget Input Data'!$D$58*0.4/('I_Inputs &amp; Assumptions'!$B$8/2)),IF('I_Budget Input Data'!$E$58="Back-loaded",IF(14&lt;='I_Inputs &amp; Assumptions'!$B$8/2,'I_Budget Input Data'!$D$58*0.4/('I_Inputs &amp; Assumptions'!$B$8/2),'I_Budget Input Data'!$D$58*0.6/('I_Inputs &amp; Assumptions'!$B$8/2)),IF('I_Budget Input Data'!$E$58="Mid-weighted",IF(14&lt;='I_Inputs &amp; Assumptions'!$B$8/4,'I_Budget Input Data'!$D$58*0.2/('I_Inputs &amp; Assumptions'!$B$8/4),IF(14&lt;='I_Inputs &amp; Assumptions'!$B$8*0.75,'I_Budget Input Data'!$D$58*0.6/('I_Inputs &amp; Assumptions'!$B$8/2),'I_Budget Input Data'!$D$58*0.2/('I_Inputs &amp; Assumptions'!$B$8/4))),IF('I_Budget Input Data'!$E$58="At Completion",IF(14='I_Inputs &amp; Assumptions'!$B$8,'I_Budget Input Data'!$D$58,0),'I_Budget Input Data'!$D$58/'I_Inputs &amp; Assumptions'!$B$8)))))),0)</f>
        <v>0</v>
      </c>
      <c r="Q58" s="91">
        <f>IF(15&lt;='I_Inputs &amp; Assumptions'!$B$8,IF('I_Budget Input Data'!$E$58="Upfront",IF(15=1,'I_Budget Input Data'!$D$58,0),IF('I_Budget Input Data'!$E$58="Equal",'I_Budget Input Data'!$D$58/'I_Inputs &amp; Assumptions'!$B$8,IF('I_Budget Input Data'!$E$58="Front-loaded",IF(15&lt;='I_Inputs &amp; Assumptions'!$B$8/2,'I_Budget Input Data'!$D$58*0.6/('I_Inputs &amp; Assumptions'!$B$8/2),'I_Budget Input Data'!$D$58*0.4/('I_Inputs &amp; Assumptions'!$B$8/2)),IF('I_Budget Input Data'!$E$58="Back-loaded",IF(15&lt;='I_Inputs &amp; Assumptions'!$B$8/2,'I_Budget Input Data'!$D$58*0.4/('I_Inputs &amp; Assumptions'!$B$8/2),'I_Budget Input Data'!$D$58*0.6/('I_Inputs &amp; Assumptions'!$B$8/2)),IF('I_Budget Input Data'!$E$58="Mid-weighted",IF(15&lt;='I_Inputs &amp; Assumptions'!$B$8/4,'I_Budget Input Data'!$D$58*0.2/('I_Inputs &amp; Assumptions'!$B$8/4),IF(15&lt;='I_Inputs &amp; Assumptions'!$B$8*0.75,'I_Budget Input Data'!$D$58*0.6/('I_Inputs &amp; Assumptions'!$B$8/2),'I_Budget Input Data'!$D$58*0.2/('I_Inputs &amp; Assumptions'!$B$8/4))),IF('I_Budget Input Data'!$E$58="At Completion",IF(15='I_Inputs &amp; Assumptions'!$B$8,'I_Budget Input Data'!$D$58,0),'I_Budget Input Data'!$D$58/'I_Inputs &amp; Assumptions'!$B$8)))))),0)</f>
        <v>0</v>
      </c>
      <c r="R58" s="91">
        <f>IF(16&lt;='I_Inputs &amp; Assumptions'!$B$8,IF('I_Budget Input Data'!$E$58="Upfront",IF(16=1,'I_Budget Input Data'!$D$58,0),IF('I_Budget Input Data'!$E$58="Equal",'I_Budget Input Data'!$D$58/'I_Inputs &amp; Assumptions'!$B$8,IF('I_Budget Input Data'!$E$58="Front-loaded",IF(16&lt;='I_Inputs &amp; Assumptions'!$B$8/2,'I_Budget Input Data'!$D$58*0.6/('I_Inputs &amp; Assumptions'!$B$8/2),'I_Budget Input Data'!$D$58*0.4/('I_Inputs &amp; Assumptions'!$B$8/2)),IF('I_Budget Input Data'!$E$58="Back-loaded",IF(16&lt;='I_Inputs &amp; Assumptions'!$B$8/2,'I_Budget Input Data'!$D$58*0.4/('I_Inputs &amp; Assumptions'!$B$8/2),'I_Budget Input Data'!$D$58*0.6/('I_Inputs &amp; Assumptions'!$B$8/2)),IF('I_Budget Input Data'!$E$58="Mid-weighted",IF(16&lt;='I_Inputs &amp; Assumptions'!$B$8/4,'I_Budget Input Data'!$D$58*0.2/('I_Inputs &amp; Assumptions'!$B$8/4),IF(16&lt;='I_Inputs &amp; Assumptions'!$B$8*0.75,'I_Budget Input Data'!$D$58*0.6/('I_Inputs &amp; Assumptions'!$B$8/2),'I_Budget Input Data'!$D$58*0.2/('I_Inputs &amp; Assumptions'!$B$8/4))),IF('I_Budget Input Data'!$E$58="At Completion",IF(16='I_Inputs &amp; Assumptions'!$B$8,'I_Budget Input Data'!$D$58,0),'I_Budget Input Data'!$D$58/'I_Inputs &amp; Assumptions'!$B$8)))))),0)</f>
        <v>0</v>
      </c>
      <c r="S58" s="91">
        <f>IF(17&lt;='I_Inputs &amp; Assumptions'!$B$8,IF('I_Budget Input Data'!$E$58="Upfront",IF(17=1,'I_Budget Input Data'!$D$58,0),IF('I_Budget Input Data'!$E$58="Equal",'I_Budget Input Data'!$D$58/'I_Inputs &amp; Assumptions'!$B$8,IF('I_Budget Input Data'!$E$58="Front-loaded",IF(17&lt;='I_Inputs &amp; Assumptions'!$B$8/2,'I_Budget Input Data'!$D$58*0.6/('I_Inputs &amp; Assumptions'!$B$8/2),'I_Budget Input Data'!$D$58*0.4/('I_Inputs &amp; Assumptions'!$B$8/2)),IF('I_Budget Input Data'!$E$58="Back-loaded",IF(17&lt;='I_Inputs &amp; Assumptions'!$B$8/2,'I_Budget Input Data'!$D$58*0.4/('I_Inputs &amp; Assumptions'!$B$8/2),'I_Budget Input Data'!$D$58*0.6/('I_Inputs &amp; Assumptions'!$B$8/2)),IF('I_Budget Input Data'!$E$58="Mid-weighted",IF(17&lt;='I_Inputs &amp; Assumptions'!$B$8/4,'I_Budget Input Data'!$D$58*0.2/('I_Inputs &amp; Assumptions'!$B$8/4),IF(17&lt;='I_Inputs &amp; Assumptions'!$B$8*0.75,'I_Budget Input Data'!$D$58*0.6/('I_Inputs &amp; Assumptions'!$B$8/2),'I_Budget Input Data'!$D$58*0.2/('I_Inputs &amp; Assumptions'!$B$8/4))),IF('I_Budget Input Data'!$E$58="At Completion",IF(17='I_Inputs &amp; Assumptions'!$B$8,'I_Budget Input Data'!$D$58,0),'I_Budget Input Data'!$D$58/'I_Inputs &amp; Assumptions'!$B$8)))))),0)</f>
        <v>0</v>
      </c>
      <c r="T58" s="91">
        <f>IF(18&lt;='I_Inputs &amp; Assumptions'!$B$8,IF('I_Budget Input Data'!$E$58="Upfront",IF(18=1,'I_Budget Input Data'!$D$58,0),IF('I_Budget Input Data'!$E$58="Equal",'I_Budget Input Data'!$D$58/'I_Inputs &amp; Assumptions'!$B$8,IF('I_Budget Input Data'!$E$58="Front-loaded",IF(18&lt;='I_Inputs &amp; Assumptions'!$B$8/2,'I_Budget Input Data'!$D$58*0.6/('I_Inputs &amp; Assumptions'!$B$8/2),'I_Budget Input Data'!$D$58*0.4/('I_Inputs &amp; Assumptions'!$B$8/2)),IF('I_Budget Input Data'!$E$58="Back-loaded",IF(18&lt;='I_Inputs &amp; Assumptions'!$B$8/2,'I_Budget Input Data'!$D$58*0.4/('I_Inputs &amp; Assumptions'!$B$8/2),'I_Budget Input Data'!$D$58*0.6/('I_Inputs &amp; Assumptions'!$B$8/2)),IF('I_Budget Input Data'!$E$58="Mid-weighted",IF(18&lt;='I_Inputs &amp; Assumptions'!$B$8/4,'I_Budget Input Data'!$D$58*0.2/('I_Inputs &amp; Assumptions'!$B$8/4),IF(18&lt;='I_Inputs &amp; Assumptions'!$B$8*0.75,'I_Budget Input Data'!$D$58*0.6/('I_Inputs &amp; Assumptions'!$B$8/2),'I_Budget Input Data'!$D$58*0.2/('I_Inputs &amp; Assumptions'!$B$8/4))),IF('I_Budget Input Data'!$E$58="At Completion",IF(18='I_Inputs &amp; Assumptions'!$B$8,'I_Budget Input Data'!$D$58,0),'I_Budget Input Data'!$D$58/'I_Inputs &amp; Assumptions'!$B$8)))))),0)</f>
        <v>0</v>
      </c>
      <c r="U58" s="91">
        <f>IF(19&lt;='I_Inputs &amp; Assumptions'!$B$8,IF('I_Budget Input Data'!$E$58="Upfront",IF(19=1,'I_Budget Input Data'!$D$58,0),IF('I_Budget Input Data'!$E$58="Equal",'I_Budget Input Data'!$D$58/'I_Inputs &amp; Assumptions'!$B$8,IF('I_Budget Input Data'!$E$58="Front-loaded",IF(19&lt;='I_Inputs &amp; Assumptions'!$B$8/2,'I_Budget Input Data'!$D$58*0.6/('I_Inputs &amp; Assumptions'!$B$8/2),'I_Budget Input Data'!$D$58*0.4/('I_Inputs &amp; Assumptions'!$B$8/2)),IF('I_Budget Input Data'!$E$58="Back-loaded",IF(19&lt;='I_Inputs &amp; Assumptions'!$B$8/2,'I_Budget Input Data'!$D$58*0.4/('I_Inputs &amp; Assumptions'!$B$8/2),'I_Budget Input Data'!$D$58*0.6/('I_Inputs &amp; Assumptions'!$B$8/2)),IF('I_Budget Input Data'!$E$58="Mid-weighted",IF(19&lt;='I_Inputs &amp; Assumptions'!$B$8/4,'I_Budget Input Data'!$D$58*0.2/('I_Inputs &amp; Assumptions'!$B$8/4),IF(19&lt;='I_Inputs &amp; Assumptions'!$B$8*0.75,'I_Budget Input Data'!$D$58*0.6/('I_Inputs &amp; Assumptions'!$B$8/2),'I_Budget Input Data'!$D$58*0.2/('I_Inputs &amp; Assumptions'!$B$8/4))),IF('I_Budget Input Data'!$E$58="At Completion",IF(19='I_Inputs &amp; Assumptions'!$B$8,'I_Budget Input Data'!$D$58,0),'I_Budget Input Data'!$D$58/'I_Inputs &amp; Assumptions'!$B$8)))))),0)</f>
        <v>0</v>
      </c>
      <c r="V58" s="91">
        <f>IF(20&lt;='I_Inputs &amp; Assumptions'!$B$8,IF('I_Budget Input Data'!$E$58="Upfront",IF(20=1,'I_Budget Input Data'!$D$58,0),IF('I_Budget Input Data'!$E$58="Equal",'I_Budget Input Data'!$D$58/'I_Inputs &amp; Assumptions'!$B$8,IF('I_Budget Input Data'!$E$58="Front-loaded",IF(20&lt;='I_Inputs &amp; Assumptions'!$B$8/2,'I_Budget Input Data'!$D$58*0.6/('I_Inputs &amp; Assumptions'!$B$8/2),'I_Budget Input Data'!$D$58*0.4/('I_Inputs &amp; Assumptions'!$B$8/2)),IF('I_Budget Input Data'!$E$58="Back-loaded",IF(20&lt;='I_Inputs &amp; Assumptions'!$B$8/2,'I_Budget Input Data'!$D$58*0.4/('I_Inputs &amp; Assumptions'!$B$8/2),'I_Budget Input Data'!$D$58*0.6/('I_Inputs &amp; Assumptions'!$B$8/2)),IF('I_Budget Input Data'!$E$58="Mid-weighted",IF(20&lt;='I_Inputs &amp; Assumptions'!$B$8/4,'I_Budget Input Data'!$D$58*0.2/('I_Inputs &amp; Assumptions'!$B$8/4),IF(20&lt;='I_Inputs &amp; Assumptions'!$B$8*0.75,'I_Budget Input Data'!$D$58*0.6/('I_Inputs &amp; Assumptions'!$B$8/2),'I_Budget Input Data'!$D$58*0.2/('I_Inputs &amp; Assumptions'!$B$8/4))),IF('I_Budget Input Data'!$E$58="At Completion",IF(20='I_Inputs &amp; Assumptions'!$B$8,'I_Budget Input Data'!$D$58,0),'I_Budget Input Data'!$D$58/'I_Inputs &amp; Assumptions'!$B$8)))))),0)</f>
        <v>0</v>
      </c>
      <c r="W58" s="91">
        <f>IF(21&lt;='I_Inputs &amp; Assumptions'!$B$8,IF('I_Budget Input Data'!$E$58="Upfront",IF(21=1,'I_Budget Input Data'!$D$58,0),IF('I_Budget Input Data'!$E$58="Equal",'I_Budget Input Data'!$D$58/'I_Inputs &amp; Assumptions'!$B$8,IF('I_Budget Input Data'!$E$58="Front-loaded",IF(21&lt;='I_Inputs &amp; Assumptions'!$B$8/2,'I_Budget Input Data'!$D$58*0.6/('I_Inputs &amp; Assumptions'!$B$8/2),'I_Budget Input Data'!$D$58*0.4/('I_Inputs &amp; Assumptions'!$B$8/2)),IF('I_Budget Input Data'!$E$58="Back-loaded",IF(21&lt;='I_Inputs &amp; Assumptions'!$B$8/2,'I_Budget Input Data'!$D$58*0.4/('I_Inputs &amp; Assumptions'!$B$8/2),'I_Budget Input Data'!$D$58*0.6/('I_Inputs &amp; Assumptions'!$B$8/2)),IF('I_Budget Input Data'!$E$58="Mid-weighted",IF(21&lt;='I_Inputs &amp; Assumptions'!$B$8/4,'I_Budget Input Data'!$D$58*0.2/('I_Inputs &amp; Assumptions'!$B$8/4),IF(21&lt;='I_Inputs &amp; Assumptions'!$B$8*0.75,'I_Budget Input Data'!$D$58*0.6/('I_Inputs &amp; Assumptions'!$B$8/2),'I_Budget Input Data'!$D$58*0.2/('I_Inputs &amp; Assumptions'!$B$8/4))),IF('I_Budget Input Data'!$E$58="At Completion",IF(21='I_Inputs &amp; Assumptions'!$B$8,'I_Budget Input Data'!$D$58,0),'I_Budget Input Data'!$D$58/'I_Inputs &amp; Assumptions'!$B$8)))))),0)</f>
        <v>0</v>
      </c>
      <c r="X58" s="91">
        <f>IF(22&lt;='I_Inputs &amp; Assumptions'!$B$8,IF('I_Budget Input Data'!$E$58="Upfront",IF(22=1,'I_Budget Input Data'!$D$58,0),IF('I_Budget Input Data'!$E$58="Equal",'I_Budget Input Data'!$D$58/'I_Inputs &amp; Assumptions'!$B$8,IF('I_Budget Input Data'!$E$58="Front-loaded",IF(22&lt;='I_Inputs &amp; Assumptions'!$B$8/2,'I_Budget Input Data'!$D$58*0.6/('I_Inputs &amp; Assumptions'!$B$8/2),'I_Budget Input Data'!$D$58*0.4/('I_Inputs &amp; Assumptions'!$B$8/2)),IF('I_Budget Input Data'!$E$58="Back-loaded",IF(22&lt;='I_Inputs &amp; Assumptions'!$B$8/2,'I_Budget Input Data'!$D$58*0.4/('I_Inputs &amp; Assumptions'!$B$8/2),'I_Budget Input Data'!$D$58*0.6/('I_Inputs &amp; Assumptions'!$B$8/2)),IF('I_Budget Input Data'!$E$58="Mid-weighted",IF(22&lt;='I_Inputs &amp; Assumptions'!$B$8/4,'I_Budget Input Data'!$D$58*0.2/('I_Inputs &amp; Assumptions'!$B$8/4),IF(22&lt;='I_Inputs &amp; Assumptions'!$B$8*0.75,'I_Budget Input Data'!$D$58*0.6/('I_Inputs &amp; Assumptions'!$B$8/2),'I_Budget Input Data'!$D$58*0.2/('I_Inputs &amp; Assumptions'!$B$8/4))),IF('I_Budget Input Data'!$E$58="At Completion",IF(22='I_Inputs &amp; Assumptions'!$B$8,'I_Budget Input Data'!$D$58,0),'I_Budget Input Data'!$D$58/'I_Inputs &amp; Assumptions'!$B$8)))))),0)</f>
        <v>0</v>
      </c>
      <c r="Y58" s="91">
        <f>IF(23&lt;='I_Inputs &amp; Assumptions'!$B$8,IF('I_Budget Input Data'!$E$58="Upfront",IF(23=1,'I_Budget Input Data'!$D$58,0),IF('I_Budget Input Data'!$E$58="Equal",'I_Budget Input Data'!$D$58/'I_Inputs &amp; Assumptions'!$B$8,IF('I_Budget Input Data'!$E$58="Front-loaded",IF(23&lt;='I_Inputs &amp; Assumptions'!$B$8/2,'I_Budget Input Data'!$D$58*0.6/('I_Inputs &amp; Assumptions'!$B$8/2),'I_Budget Input Data'!$D$58*0.4/('I_Inputs &amp; Assumptions'!$B$8/2)),IF('I_Budget Input Data'!$E$58="Back-loaded",IF(23&lt;='I_Inputs &amp; Assumptions'!$B$8/2,'I_Budget Input Data'!$D$58*0.4/('I_Inputs &amp; Assumptions'!$B$8/2),'I_Budget Input Data'!$D$58*0.6/('I_Inputs &amp; Assumptions'!$B$8/2)),IF('I_Budget Input Data'!$E$58="Mid-weighted",IF(23&lt;='I_Inputs &amp; Assumptions'!$B$8/4,'I_Budget Input Data'!$D$58*0.2/('I_Inputs &amp; Assumptions'!$B$8/4),IF(23&lt;='I_Inputs &amp; Assumptions'!$B$8*0.75,'I_Budget Input Data'!$D$58*0.6/('I_Inputs &amp; Assumptions'!$B$8/2),'I_Budget Input Data'!$D$58*0.2/('I_Inputs &amp; Assumptions'!$B$8/4))),IF('I_Budget Input Data'!$E$58="At Completion",IF(23='I_Inputs &amp; Assumptions'!$B$8,'I_Budget Input Data'!$D$58,0),'I_Budget Input Data'!$D$58/'I_Inputs &amp; Assumptions'!$B$8)))))),0)</f>
        <v>0</v>
      </c>
      <c r="Z58" s="91">
        <f>IF(24&lt;='I_Inputs &amp; Assumptions'!$B$8,IF('I_Budget Input Data'!$E$58="Upfront",IF(24=1,'I_Budget Input Data'!$D$58,0),IF('I_Budget Input Data'!$E$58="Equal",'I_Budget Input Data'!$D$58/'I_Inputs &amp; Assumptions'!$B$8,IF('I_Budget Input Data'!$E$58="Front-loaded",IF(24&lt;='I_Inputs &amp; Assumptions'!$B$8/2,'I_Budget Input Data'!$D$58*0.6/('I_Inputs &amp; Assumptions'!$B$8/2),'I_Budget Input Data'!$D$58*0.4/('I_Inputs &amp; Assumptions'!$B$8/2)),IF('I_Budget Input Data'!$E$58="Back-loaded",IF(24&lt;='I_Inputs &amp; Assumptions'!$B$8/2,'I_Budget Input Data'!$D$58*0.4/('I_Inputs &amp; Assumptions'!$B$8/2),'I_Budget Input Data'!$D$58*0.6/('I_Inputs &amp; Assumptions'!$B$8/2)),IF('I_Budget Input Data'!$E$58="Mid-weighted",IF(24&lt;='I_Inputs &amp; Assumptions'!$B$8/4,'I_Budget Input Data'!$D$58*0.2/('I_Inputs &amp; Assumptions'!$B$8/4),IF(24&lt;='I_Inputs &amp; Assumptions'!$B$8*0.75,'I_Budget Input Data'!$D$58*0.6/('I_Inputs &amp; Assumptions'!$B$8/2),'I_Budget Input Data'!$D$58*0.2/('I_Inputs &amp; Assumptions'!$B$8/4))),IF('I_Budget Input Data'!$E$58="At Completion",IF(24='I_Inputs &amp; Assumptions'!$B$8,'I_Budget Input Data'!$D$58,0),'I_Budget Input Data'!$D$58/'I_Inputs &amp; Assumptions'!$B$8)))))),0)</f>
        <v>0</v>
      </c>
      <c r="AA58" s="91">
        <f>IF(25&lt;='I_Inputs &amp; Assumptions'!$B$8,IF('I_Budget Input Data'!$E$58="Upfront",IF(25=1,'I_Budget Input Data'!$D$58,0),IF('I_Budget Input Data'!$E$58="Equal",'I_Budget Input Data'!$D$58/'I_Inputs &amp; Assumptions'!$B$8,IF('I_Budget Input Data'!$E$58="Front-loaded",IF(25&lt;='I_Inputs &amp; Assumptions'!$B$8/2,'I_Budget Input Data'!$D$58*0.6/('I_Inputs &amp; Assumptions'!$B$8/2),'I_Budget Input Data'!$D$58*0.4/('I_Inputs &amp; Assumptions'!$B$8/2)),IF('I_Budget Input Data'!$E$58="Back-loaded",IF(25&lt;='I_Inputs &amp; Assumptions'!$B$8/2,'I_Budget Input Data'!$D$58*0.4/('I_Inputs &amp; Assumptions'!$B$8/2),'I_Budget Input Data'!$D$58*0.6/('I_Inputs &amp; Assumptions'!$B$8/2)),IF('I_Budget Input Data'!$E$58="Mid-weighted",IF(25&lt;='I_Inputs &amp; Assumptions'!$B$8/4,'I_Budget Input Data'!$D$58*0.2/('I_Inputs &amp; Assumptions'!$B$8/4),IF(25&lt;='I_Inputs &amp; Assumptions'!$B$8*0.75,'I_Budget Input Data'!$D$58*0.6/('I_Inputs &amp; Assumptions'!$B$8/2),'I_Budget Input Data'!$D$58*0.2/('I_Inputs &amp; Assumptions'!$B$8/4))),IF('I_Budget Input Data'!$E$58="At Completion",IF(25='I_Inputs &amp; Assumptions'!$B$8,'I_Budget Input Data'!$D$58,0),'I_Budget Input Data'!$D$58/'I_Inputs &amp; Assumptions'!$B$8)))))),0)</f>
        <v>0</v>
      </c>
      <c r="AB58" s="91">
        <f>IF(26&lt;='I_Inputs &amp; Assumptions'!$B$8,IF('I_Budget Input Data'!$E$58="Upfront",IF(26=1,'I_Budget Input Data'!$D$58,0),IF('I_Budget Input Data'!$E$58="Equal",'I_Budget Input Data'!$D$58/'I_Inputs &amp; Assumptions'!$B$8,IF('I_Budget Input Data'!$E$58="Front-loaded",IF(26&lt;='I_Inputs &amp; Assumptions'!$B$8/2,'I_Budget Input Data'!$D$58*0.6/('I_Inputs &amp; Assumptions'!$B$8/2),'I_Budget Input Data'!$D$58*0.4/('I_Inputs &amp; Assumptions'!$B$8/2)),IF('I_Budget Input Data'!$E$58="Back-loaded",IF(26&lt;='I_Inputs &amp; Assumptions'!$B$8/2,'I_Budget Input Data'!$D$58*0.4/('I_Inputs &amp; Assumptions'!$B$8/2),'I_Budget Input Data'!$D$58*0.6/('I_Inputs &amp; Assumptions'!$B$8/2)),IF('I_Budget Input Data'!$E$58="Mid-weighted",IF(26&lt;='I_Inputs &amp; Assumptions'!$B$8/4,'I_Budget Input Data'!$D$58*0.2/('I_Inputs &amp; Assumptions'!$B$8/4),IF(26&lt;='I_Inputs &amp; Assumptions'!$B$8*0.75,'I_Budget Input Data'!$D$58*0.6/('I_Inputs &amp; Assumptions'!$B$8/2),'I_Budget Input Data'!$D$58*0.2/('I_Inputs &amp; Assumptions'!$B$8/4))),IF('I_Budget Input Data'!$E$58="At Completion",IF(26='I_Inputs &amp; Assumptions'!$B$8,'I_Budget Input Data'!$D$58,0),'I_Budget Input Data'!$D$58/'I_Inputs &amp; Assumptions'!$B$8)))))),0)</f>
        <v>0</v>
      </c>
      <c r="AC58" s="91">
        <f>IF(27&lt;='I_Inputs &amp; Assumptions'!$B$8,IF('I_Budget Input Data'!$E$58="Upfront",IF(27=1,'I_Budget Input Data'!$D$58,0),IF('I_Budget Input Data'!$E$58="Equal",'I_Budget Input Data'!$D$58/'I_Inputs &amp; Assumptions'!$B$8,IF('I_Budget Input Data'!$E$58="Front-loaded",IF(27&lt;='I_Inputs &amp; Assumptions'!$B$8/2,'I_Budget Input Data'!$D$58*0.6/('I_Inputs &amp; Assumptions'!$B$8/2),'I_Budget Input Data'!$D$58*0.4/('I_Inputs &amp; Assumptions'!$B$8/2)),IF('I_Budget Input Data'!$E$58="Back-loaded",IF(27&lt;='I_Inputs &amp; Assumptions'!$B$8/2,'I_Budget Input Data'!$D$58*0.4/('I_Inputs &amp; Assumptions'!$B$8/2),'I_Budget Input Data'!$D$58*0.6/('I_Inputs &amp; Assumptions'!$B$8/2)),IF('I_Budget Input Data'!$E$58="Mid-weighted",IF(27&lt;='I_Inputs &amp; Assumptions'!$B$8/4,'I_Budget Input Data'!$D$58*0.2/('I_Inputs &amp; Assumptions'!$B$8/4),IF(27&lt;='I_Inputs &amp; Assumptions'!$B$8*0.75,'I_Budget Input Data'!$D$58*0.6/('I_Inputs &amp; Assumptions'!$B$8/2),'I_Budget Input Data'!$D$58*0.2/('I_Inputs &amp; Assumptions'!$B$8/4))),IF('I_Budget Input Data'!$E$58="At Completion",IF(27='I_Inputs &amp; Assumptions'!$B$8,'I_Budget Input Data'!$D$58,0),'I_Budget Input Data'!$D$58/'I_Inputs &amp; Assumptions'!$B$8)))))),0)</f>
        <v>0</v>
      </c>
      <c r="AD58" s="91">
        <f>IF(28&lt;='I_Inputs &amp; Assumptions'!$B$8,IF('I_Budget Input Data'!$E$58="Upfront",IF(28=1,'I_Budget Input Data'!$D$58,0),IF('I_Budget Input Data'!$E$58="Equal",'I_Budget Input Data'!$D$58/'I_Inputs &amp; Assumptions'!$B$8,IF('I_Budget Input Data'!$E$58="Front-loaded",IF(28&lt;='I_Inputs &amp; Assumptions'!$B$8/2,'I_Budget Input Data'!$D$58*0.6/('I_Inputs &amp; Assumptions'!$B$8/2),'I_Budget Input Data'!$D$58*0.4/('I_Inputs &amp; Assumptions'!$B$8/2)),IF('I_Budget Input Data'!$E$58="Back-loaded",IF(28&lt;='I_Inputs &amp; Assumptions'!$B$8/2,'I_Budget Input Data'!$D$58*0.4/('I_Inputs &amp; Assumptions'!$B$8/2),'I_Budget Input Data'!$D$58*0.6/('I_Inputs &amp; Assumptions'!$B$8/2)),IF('I_Budget Input Data'!$E$58="Mid-weighted",IF(28&lt;='I_Inputs &amp; Assumptions'!$B$8/4,'I_Budget Input Data'!$D$58*0.2/('I_Inputs &amp; Assumptions'!$B$8/4),IF(28&lt;='I_Inputs &amp; Assumptions'!$B$8*0.75,'I_Budget Input Data'!$D$58*0.6/('I_Inputs &amp; Assumptions'!$B$8/2),'I_Budget Input Data'!$D$58*0.2/('I_Inputs &amp; Assumptions'!$B$8/4))),IF('I_Budget Input Data'!$E$58="At Completion",IF(28='I_Inputs &amp; Assumptions'!$B$8,'I_Budget Input Data'!$D$58,0),'I_Budget Input Data'!$D$58/'I_Inputs &amp; Assumptions'!$B$8)))))),0)</f>
        <v>0</v>
      </c>
      <c r="AE58" s="91">
        <f>IF(29&lt;='I_Inputs &amp; Assumptions'!$B$8,IF('I_Budget Input Data'!$E$58="Upfront",IF(29=1,'I_Budget Input Data'!$D$58,0),IF('I_Budget Input Data'!$E$58="Equal",'I_Budget Input Data'!$D$58/'I_Inputs &amp; Assumptions'!$B$8,IF('I_Budget Input Data'!$E$58="Front-loaded",IF(29&lt;='I_Inputs &amp; Assumptions'!$B$8/2,'I_Budget Input Data'!$D$58*0.6/('I_Inputs &amp; Assumptions'!$B$8/2),'I_Budget Input Data'!$D$58*0.4/('I_Inputs &amp; Assumptions'!$B$8/2)),IF('I_Budget Input Data'!$E$58="Back-loaded",IF(29&lt;='I_Inputs &amp; Assumptions'!$B$8/2,'I_Budget Input Data'!$D$58*0.4/('I_Inputs &amp; Assumptions'!$B$8/2),'I_Budget Input Data'!$D$58*0.6/('I_Inputs &amp; Assumptions'!$B$8/2)),IF('I_Budget Input Data'!$E$58="Mid-weighted",IF(29&lt;='I_Inputs &amp; Assumptions'!$B$8/4,'I_Budget Input Data'!$D$58*0.2/('I_Inputs &amp; Assumptions'!$B$8/4),IF(29&lt;='I_Inputs &amp; Assumptions'!$B$8*0.75,'I_Budget Input Data'!$D$58*0.6/('I_Inputs &amp; Assumptions'!$B$8/2),'I_Budget Input Data'!$D$58*0.2/('I_Inputs &amp; Assumptions'!$B$8/4))),IF('I_Budget Input Data'!$E$58="At Completion",IF(29='I_Inputs &amp; Assumptions'!$B$8,'I_Budget Input Data'!$D$58,0),'I_Budget Input Data'!$D$58/'I_Inputs &amp; Assumptions'!$B$8)))))),0)</f>
        <v>0</v>
      </c>
      <c r="AF58" s="91">
        <f>IF(30&lt;='I_Inputs &amp; Assumptions'!$B$8,IF('I_Budget Input Data'!$E$58="Upfront",IF(30=1,'I_Budget Input Data'!$D$58,0),IF('I_Budget Input Data'!$E$58="Equal",'I_Budget Input Data'!$D$58/'I_Inputs &amp; Assumptions'!$B$8,IF('I_Budget Input Data'!$E$58="Front-loaded",IF(30&lt;='I_Inputs &amp; Assumptions'!$B$8/2,'I_Budget Input Data'!$D$58*0.6/('I_Inputs &amp; Assumptions'!$B$8/2),'I_Budget Input Data'!$D$58*0.4/('I_Inputs &amp; Assumptions'!$B$8/2)),IF('I_Budget Input Data'!$E$58="Back-loaded",IF(30&lt;='I_Inputs &amp; Assumptions'!$B$8/2,'I_Budget Input Data'!$D$58*0.4/('I_Inputs &amp; Assumptions'!$B$8/2),'I_Budget Input Data'!$D$58*0.6/('I_Inputs &amp; Assumptions'!$B$8/2)),IF('I_Budget Input Data'!$E$58="Mid-weighted",IF(30&lt;='I_Inputs &amp; Assumptions'!$B$8/4,'I_Budget Input Data'!$D$58*0.2/('I_Inputs &amp; Assumptions'!$B$8/4),IF(30&lt;='I_Inputs &amp; Assumptions'!$B$8*0.75,'I_Budget Input Data'!$D$58*0.6/('I_Inputs &amp; Assumptions'!$B$8/2),'I_Budget Input Data'!$D$58*0.2/('I_Inputs &amp; Assumptions'!$B$8/4))),IF('I_Budget Input Data'!$E$58="At Completion",IF(30='I_Inputs &amp; Assumptions'!$B$8,'I_Budget Input Data'!$D$58,0),'I_Budget Input Data'!$D$58/'I_Inputs &amp; Assumptions'!$B$8)))))),0)</f>
        <v>0</v>
      </c>
      <c r="AG58" s="91">
        <f>IF(31&lt;='I_Inputs &amp; Assumptions'!$B$8,IF('I_Budget Input Data'!$E$58="Upfront",IF(31=1,'I_Budget Input Data'!$D$58,0),IF('I_Budget Input Data'!$E$58="Equal",'I_Budget Input Data'!$D$58/'I_Inputs &amp; Assumptions'!$B$8,IF('I_Budget Input Data'!$E$58="Front-loaded",IF(31&lt;='I_Inputs &amp; Assumptions'!$B$8/2,'I_Budget Input Data'!$D$58*0.6/('I_Inputs &amp; Assumptions'!$B$8/2),'I_Budget Input Data'!$D$58*0.4/('I_Inputs &amp; Assumptions'!$B$8/2)),IF('I_Budget Input Data'!$E$58="Back-loaded",IF(31&lt;='I_Inputs &amp; Assumptions'!$B$8/2,'I_Budget Input Data'!$D$58*0.4/('I_Inputs &amp; Assumptions'!$B$8/2),'I_Budget Input Data'!$D$58*0.6/('I_Inputs &amp; Assumptions'!$B$8/2)),IF('I_Budget Input Data'!$E$58="Mid-weighted",IF(31&lt;='I_Inputs &amp; Assumptions'!$B$8/4,'I_Budget Input Data'!$D$58*0.2/('I_Inputs &amp; Assumptions'!$B$8/4),IF(31&lt;='I_Inputs &amp; Assumptions'!$B$8*0.75,'I_Budget Input Data'!$D$58*0.6/('I_Inputs &amp; Assumptions'!$B$8/2),'I_Budget Input Data'!$D$58*0.2/('I_Inputs &amp; Assumptions'!$B$8/4))),IF('I_Budget Input Data'!$E$58="At Completion",IF(31='I_Inputs &amp; Assumptions'!$B$8,'I_Budget Input Data'!$D$58,0),'I_Budget Input Data'!$D$58/'I_Inputs &amp; Assumptions'!$B$8)))))),0)</f>
        <v>0</v>
      </c>
      <c r="AH58" s="91">
        <f>IF(32&lt;='I_Inputs &amp; Assumptions'!$B$8,IF('I_Budget Input Data'!$E$58="Upfront",IF(32=1,'I_Budget Input Data'!$D$58,0),IF('I_Budget Input Data'!$E$58="Equal",'I_Budget Input Data'!$D$58/'I_Inputs &amp; Assumptions'!$B$8,IF('I_Budget Input Data'!$E$58="Front-loaded",IF(32&lt;='I_Inputs &amp; Assumptions'!$B$8/2,'I_Budget Input Data'!$D$58*0.6/('I_Inputs &amp; Assumptions'!$B$8/2),'I_Budget Input Data'!$D$58*0.4/('I_Inputs &amp; Assumptions'!$B$8/2)),IF('I_Budget Input Data'!$E$58="Back-loaded",IF(32&lt;='I_Inputs &amp; Assumptions'!$B$8/2,'I_Budget Input Data'!$D$58*0.4/('I_Inputs &amp; Assumptions'!$B$8/2),'I_Budget Input Data'!$D$58*0.6/('I_Inputs &amp; Assumptions'!$B$8/2)),IF('I_Budget Input Data'!$E$58="Mid-weighted",IF(32&lt;='I_Inputs &amp; Assumptions'!$B$8/4,'I_Budget Input Data'!$D$58*0.2/('I_Inputs &amp; Assumptions'!$B$8/4),IF(32&lt;='I_Inputs &amp; Assumptions'!$B$8*0.75,'I_Budget Input Data'!$D$58*0.6/('I_Inputs &amp; Assumptions'!$B$8/2),'I_Budget Input Data'!$D$58*0.2/('I_Inputs &amp; Assumptions'!$B$8/4))),IF('I_Budget Input Data'!$E$58="At Completion",IF(32='I_Inputs &amp; Assumptions'!$B$8,'I_Budget Input Data'!$D$58,0),'I_Budget Input Data'!$D$58/'I_Inputs &amp; Assumptions'!$B$8)))))),0)</f>
        <v>0</v>
      </c>
      <c r="AI58" s="91">
        <f>IF(33&lt;='I_Inputs &amp; Assumptions'!$B$8,IF('I_Budget Input Data'!$E$58="Upfront",IF(33=1,'I_Budget Input Data'!$D$58,0),IF('I_Budget Input Data'!$E$58="Equal",'I_Budget Input Data'!$D$58/'I_Inputs &amp; Assumptions'!$B$8,IF('I_Budget Input Data'!$E$58="Front-loaded",IF(33&lt;='I_Inputs &amp; Assumptions'!$B$8/2,'I_Budget Input Data'!$D$58*0.6/('I_Inputs &amp; Assumptions'!$B$8/2),'I_Budget Input Data'!$D$58*0.4/('I_Inputs &amp; Assumptions'!$B$8/2)),IF('I_Budget Input Data'!$E$58="Back-loaded",IF(33&lt;='I_Inputs &amp; Assumptions'!$B$8/2,'I_Budget Input Data'!$D$58*0.4/('I_Inputs &amp; Assumptions'!$B$8/2),'I_Budget Input Data'!$D$58*0.6/('I_Inputs &amp; Assumptions'!$B$8/2)),IF('I_Budget Input Data'!$E$58="Mid-weighted",IF(33&lt;='I_Inputs &amp; Assumptions'!$B$8/4,'I_Budget Input Data'!$D$58*0.2/('I_Inputs &amp; Assumptions'!$B$8/4),IF(33&lt;='I_Inputs &amp; Assumptions'!$B$8*0.75,'I_Budget Input Data'!$D$58*0.6/('I_Inputs &amp; Assumptions'!$B$8/2),'I_Budget Input Data'!$D$58*0.2/('I_Inputs &amp; Assumptions'!$B$8/4))),IF('I_Budget Input Data'!$E$58="At Completion",IF(33='I_Inputs &amp; Assumptions'!$B$8,'I_Budget Input Data'!$D$58,0),'I_Budget Input Data'!$D$58/'I_Inputs &amp; Assumptions'!$B$8)))))),0)</f>
        <v>0</v>
      </c>
      <c r="AJ58" s="91">
        <f>IF(34&lt;='I_Inputs &amp; Assumptions'!$B$8,IF('I_Budget Input Data'!$E$58="Upfront",IF(34=1,'I_Budget Input Data'!$D$58,0),IF('I_Budget Input Data'!$E$58="Equal",'I_Budget Input Data'!$D$58/'I_Inputs &amp; Assumptions'!$B$8,IF('I_Budget Input Data'!$E$58="Front-loaded",IF(34&lt;='I_Inputs &amp; Assumptions'!$B$8/2,'I_Budget Input Data'!$D$58*0.6/('I_Inputs &amp; Assumptions'!$B$8/2),'I_Budget Input Data'!$D$58*0.4/('I_Inputs &amp; Assumptions'!$B$8/2)),IF('I_Budget Input Data'!$E$58="Back-loaded",IF(34&lt;='I_Inputs &amp; Assumptions'!$B$8/2,'I_Budget Input Data'!$D$58*0.4/('I_Inputs &amp; Assumptions'!$B$8/2),'I_Budget Input Data'!$D$58*0.6/('I_Inputs &amp; Assumptions'!$B$8/2)),IF('I_Budget Input Data'!$E$58="Mid-weighted",IF(34&lt;='I_Inputs &amp; Assumptions'!$B$8/4,'I_Budget Input Data'!$D$58*0.2/('I_Inputs &amp; Assumptions'!$B$8/4),IF(34&lt;='I_Inputs &amp; Assumptions'!$B$8*0.75,'I_Budget Input Data'!$D$58*0.6/('I_Inputs &amp; Assumptions'!$B$8/2),'I_Budget Input Data'!$D$58*0.2/('I_Inputs &amp; Assumptions'!$B$8/4))),IF('I_Budget Input Data'!$E$58="At Completion",IF(34='I_Inputs &amp; Assumptions'!$B$8,'I_Budget Input Data'!$D$58,0),'I_Budget Input Data'!$D$58/'I_Inputs &amp; Assumptions'!$B$8)))))),0)</f>
        <v>0</v>
      </c>
      <c r="AK58" s="91">
        <f>IF(35&lt;='I_Inputs &amp; Assumptions'!$B$8,IF('I_Budget Input Data'!$E$58="Upfront",IF(35=1,'I_Budget Input Data'!$D$58,0),IF('I_Budget Input Data'!$E$58="Equal",'I_Budget Input Data'!$D$58/'I_Inputs &amp; Assumptions'!$B$8,IF('I_Budget Input Data'!$E$58="Front-loaded",IF(35&lt;='I_Inputs &amp; Assumptions'!$B$8/2,'I_Budget Input Data'!$D$58*0.6/('I_Inputs &amp; Assumptions'!$B$8/2),'I_Budget Input Data'!$D$58*0.4/('I_Inputs &amp; Assumptions'!$B$8/2)),IF('I_Budget Input Data'!$E$58="Back-loaded",IF(35&lt;='I_Inputs &amp; Assumptions'!$B$8/2,'I_Budget Input Data'!$D$58*0.4/('I_Inputs &amp; Assumptions'!$B$8/2),'I_Budget Input Data'!$D$58*0.6/('I_Inputs &amp; Assumptions'!$B$8/2)),IF('I_Budget Input Data'!$E$58="Mid-weighted",IF(35&lt;='I_Inputs &amp; Assumptions'!$B$8/4,'I_Budget Input Data'!$D$58*0.2/('I_Inputs &amp; Assumptions'!$B$8/4),IF(35&lt;='I_Inputs &amp; Assumptions'!$B$8*0.75,'I_Budget Input Data'!$D$58*0.6/('I_Inputs &amp; Assumptions'!$B$8/2),'I_Budget Input Data'!$D$58*0.2/('I_Inputs &amp; Assumptions'!$B$8/4))),IF('I_Budget Input Data'!$E$58="At Completion",IF(35='I_Inputs &amp; Assumptions'!$B$8,'I_Budget Input Data'!$D$58,0),'I_Budget Input Data'!$D$58/'I_Inputs &amp; Assumptions'!$B$8)))))),0)</f>
        <v>0</v>
      </c>
      <c r="AL58" s="91">
        <f>IF(36&lt;='I_Inputs &amp; Assumptions'!$B$8,IF('I_Budget Input Data'!$E$58="Upfront",IF(36=1,'I_Budget Input Data'!$D$58,0),IF('I_Budget Input Data'!$E$58="Equal",'I_Budget Input Data'!$D$58/'I_Inputs &amp; Assumptions'!$B$8,IF('I_Budget Input Data'!$E$58="Front-loaded",IF(36&lt;='I_Inputs &amp; Assumptions'!$B$8/2,'I_Budget Input Data'!$D$58*0.6/('I_Inputs &amp; Assumptions'!$B$8/2),'I_Budget Input Data'!$D$58*0.4/('I_Inputs &amp; Assumptions'!$B$8/2)),IF('I_Budget Input Data'!$E$58="Back-loaded",IF(36&lt;='I_Inputs &amp; Assumptions'!$B$8/2,'I_Budget Input Data'!$D$58*0.4/('I_Inputs &amp; Assumptions'!$B$8/2),'I_Budget Input Data'!$D$58*0.6/('I_Inputs &amp; Assumptions'!$B$8/2)),IF('I_Budget Input Data'!$E$58="Mid-weighted",IF(36&lt;='I_Inputs &amp; Assumptions'!$B$8/4,'I_Budget Input Data'!$D$58*0.2/('I_Inputs &amp; Assumptions'!$B$8/4),IF(36&lt;='I_Inputs &amp; Assumptions'!$B$8*0.75,'I_Budget Input Data'!$D$58*0.6/('I_Inputs &amp; Assumptions'!$B$8/2),'I_Budget Input Data'!$D$58*0.2/('I_Inputs &amp; Assumptions'!$B$8/4))),IF('I_Budget Input Data'!$E$58="At Completion",IF(36='I_Inputs &amp; Assumptions'!$B$8,'I_Budget Input Data'!$D$58,0),'I_Budget Input Data'!$D$58/'I_Inputs &amp; Assumptions'!$B$8)))))),0)</f>
        <v>0</v>
      </c>
    </row>
    <row r="59" spans="1:38" ht="15" customHeight="1" x14ac:dyDescent="0.2">
      <c r="A59" t="s">
        <v>146</v>
      </c>
      <c r="B59" t="s">
        <v>179</v>
      </c>
      <c r="C59" s="91">
        <f>IF(1&lt;='I_Inputs &amp; Assumptions'!$B$8,IF('I_Budget Input Data'!$E$59="Upfront",IF(1=1,'I_Budget Input Data'!$D$59,0),IF('I_Budget Input Data'!$E$59="Equal",'I_Budget Input Data'!$D$59/'I_Inputs &amp; Assumptions'!$B$8,IF('I_Budget Input Data'!$E$59="Front-loaded",IF(1&lt;='I_Inputs &amp; Assumptions'!$B$8/2,'I_Budget Input Data'!$D$59*0.6/('I_Inputs &amp; Assumptions'!$B$8/2),'I_Budget Input Data'!$D$59*0.4/('I_Inputs &amp; Assumptions'!$B$8/2)),IF('I_Budget Input Data'!$E$59="Back-loaded",IF(1&lt;='I_Inputs &amp; Assumptions'!$B$8/2,'I_Budget Input Data'!$D$59*0.4/('I_Inputs &amp; Assumptions'!$B$8/2),'I_Budget Input Data'!$D$59*0.6/('I_Inputs &amp; Assumptions'!$B$8/2)),IF('I_Budget Input Data'!$E$59="Mid-weighted",IF(1&lt;='I_Inputs &amp; Assumptions'!$B$8/4,'I_Budget Input Data'!$D$59*0.2/('I_Inputs &amp; Assumptions'!$B$8/4),IF(1&lt;='I_Inputs &amp; Assumptions'!$B$8*0.75,'I_Budget Input Data'!$D$59*0.6/('I_Inputs &amp; Assumptions'!$B$8/2),'I_Budget Input Data'!$D$59*0.2/('I_Inputs &amp; Assumptions'!$B$8/4))),IF('I_Budget Input Data'!$E$59="At Completion",IF(1='I_Inputs &amp; Assumptions'!$B$8,'I_Budget Input Data'!$D$59,0),'I_Budget Input Data'!$D$59/'I_Inputs &amp; Assumptions'!$B$8)))))),0)</f>
        <v>146.23076923076923</v>
      </c>
      <c r="D59" s="91">
        <f>IF(2&lt;='I_Inputs &amp; Assumptions'!$B$8,IF('I_Budget Input Data'!$E$59="Upfront",IF(2=1,'I_Budget Input Data'!$D$59,0),IF('I_Budget Input Data'!$E$59="Equal",'I_Budget Input Data'!$D$59/'I_Inputs &amp; Assumptions'!$B$8,IF('I_Budget Input Data'!$E$59="Front-loaded",IF(2&lt;='I_Inputs &amp; Assumptions'!$B$8/2,'I_Budget Input Data'!$D$59*0.6/('I_Inputs &amp; Assumptions'!$B$8/2),'I_Budget Input Data'!$D$59*0.4/('I_Inputs &amp; Assumptions'!$B$8/2)),IF('I_Budget Input Data'!$E$59="Back-loaded",IF(2&lt;='I_Inputs &amp; Assumptions'!$B$8/2,'I_Budget Input Data'!$D$59*0.4/('I_Inputs &amp; Assumptions'!$B$8/2),'I_Budget Input Data'!$D$59*0.6/('I_Inputs &amp; Assumptions'!$B$8/2)),IF('I_Budget Input Data'!$E$59="Mid-weighted",IF(2&lt;='I_Inputs &amp; Assumptions'!$B$8/4,'I_Budget Input Data'!$D$59*0.2/('I_Inputs &amp; Assumptions'!$B$8/4),IF(2&lt;='I_Inputs &amp; Assumptions'!$B$8*0.75,'I_Budget Input Data'!$D$59*0.6/('I_Inputs &amp; Assumptions'!$B$8/2),'I_Budget Input Data'!$D$59*0.2/('I_Inputs &amp; Assumptions'!$B$8/4))),IF('I_Budget Input Data'!$E$59="At Completion",IF(2='I_Inputs &amp; Assumptions'!$B$8,'I_Budget Input Data'!$D$59,0),'I_Budget Input Data'!$D$59/'I_Inputs &amp; Assumptions'!$B$8)))))),0)</f>
        <v>146.23076923076923</v>
      </c>
      <c r="E59" s="91">
        <f>IF(3&lt;='I_Inputs &amp; Assumptions'!$B$8,IF('I_Budget Input Data'!$E$59="Upfront",IF(3=1,'I_Budget Input Data'!$D$59,0),IF('I_Budget Input Data'!$E$59="Equal",'I_Budget Input Data'!$D$59/'I_Inputs &amp; Assumptions'!$B$8,IF('I_Budget Input Data'!$E$59="Front-loaded",IF(3&lt;='I_Inputs &amp; Assumptions'!$B$8/2,'I_Budget Input Data'!$D$59*0.6/('I_Inputs &amp; Assumptions'!$B$8/2),'I_Budget Input Data'!$D$59*0.4/('I_Inputs &amp; Assumptions'!$B$8/2)),IF('I_Budget Input Data'!$E$59="Back-loaded",IF(3&lt;='I_Inputs &amp; Assumptions'!$B$8/2,'I_Budget Input Data'!$D$59*0.4/('I_Inputs &amp; Assumptions'!$B$8/2),'I_Budget Input Data'!$D$59*0.6/('I_Inputs &amp; Assumptions'!$B$8/2)),IF('I_Budget Input Data'!$E$59="Mid-weighted",IF(3&lt;='I_Inputs &amp; Assumptions'!$B$8/4,'I_Budget Input Data'!$D$59*0.2/('I_Inputs &amp; Assumptions'!$B$8/4),IF(3&lt;='I_Inputs &amp; Assumptions'!$B$8*0.75,'I_Budget Input Data'!$D$59*0.6/('I_Inputs &amp; Assumptions'!$B$8/2),'I_Budget Input Data'!$D$59*0.2/('I_Inputs &amp; Assumptions'!$B$8/4))),IF('I_Budget Input Data'!$E$59="At Completion",IF(3='I_Inputs &amp; Assumptions'!$B$8,'I_Budget Input Data'!$D$59,0),'I_Budget Input Data'!$D$59/'I_Inputs &amp; Assumptions'!$B$8)))))),0)</f>
        <v>146.23076923076923</v>
      </c>
      <c r="F59" s="91">
        <f>IF(4&lt;='I_Inputs &amp; Assumptions'!$B$8,IF('I_Budget Input Data'!$E$59="Upfront",IF(4=1,'I_Budget Input Data'!$D$59,0),IF('I_Budget Input Data'!$E$59="Equal",'I_Budget Input Data'!$D$59/'I_Inputs &amp; Assumptions'!$B$8,IF('I_Budget Input Data'!$E$59="Front-loaded",IF(4&lt;='I_Inputs &amp; Assumptions'!$B$8/2,'I_Budget Input Data'!$D$59*0.6/('I_Inputs &amp; Assumptions'!$B$8/2),'I_Budget Input Data'!$D$59*0.4/('I_Inputs &amp; Assumptions'!$B$8/2)),IF('I_Budget Input Data'!$E$59="Back-loaded",IF(4&lt;='I_Inputs &amp; Assumptions'!$B$8/2,'I_Budget Input Data'!$D$59*0.4/('I_Inputs &amp; Assumptions'!$B$8/2),'I_Budget Input Data'!$D$59*0.6/('I_Inputs &amp; Assumptions'!$B$8/2)),IF('I_Budget Input Data'!$E$59="Mid-weighted",IF(4&lt;='I_Inputs &amp; Assumptions'!$B$8/4,'I_Budget Input Data'!$D$59*0.2/('I_Inputs &amp; Assumptions'!$B$8/4),IF(4&lt;='I_Inputs &amp; Assumptions'!$B$8*0.75,'I_Budget Input Data'!$D$59*0.6/('I_Inputs &amp; Assumptions'!$B$8/2),'I_Budget Input Data'!$D$59*0.2/('I_Inputs &amp; Assumptions'!$B$8/4))),IF('I_Budget Input Data'!$E$59="At Completion",IF(4='I_Inputs &amp; Assumptions'!$B$8,'I_Budget Input Data'!$D$59,0),'I_Budget Input Data'!$D$59/'I_Inputs &amp; Assumptions'!$B$8)))))),0)</f>
        <v>146.23076923076923</v>
      </c>
      <c r="G59" s="91">
        <f>IF(5&lt;='I_Inputs &amp; Assumptions'!$B$8,IF('I_Budget Input Data'!$E$59="Upfront",IF(5=1,'I_Budget Input Data'!$D$59,0),IF('I_Budget Input Data'!$E$59="Equal",'I_Budget Input Data'!$D$59/'I_Inputs &amp; Assumptions'!$B$8,IF('I_Budget Input Data'!$E$59="Front-loaded",IF(5&lt;='I_Inputs &amp; Assumptions'!$B$8/2,'I_Budget Input Data'!$D$59*0.6/('I_Inputs &amp; Assumptions'!$B$8/2),'I_Budget Input Data'!$D$59*0.4/('I_Inputs &amp; Assumptions'!$B$8/2)),IF('I_Budget Input Data'!$E$59="Back-loaded",IF(5&lt;='I_Inputs &amp; Assumptions'!$B$8/2,'I_Budget Input Data'!$D$59*0.4/('I_Inputs &amp; Assumptions'!$B$8/2),'I_Budget Input Data'!$D$59*0.6/('I_Inputs &amp; Assumptions'!$B$8/2)),IF('I_Budget Input Data'!$E$59="Mid-weighted",IF(5&lt;='I_Inputs &amp; Assumptions'!$B$8/4,'I_Budget Input Data'!$D$59*0.2/('I_Inputs &amp; Assumptions'!$B$8/4),IF(5&lt;='I_Inputs &amp; Assumptions'!$B$8*0.75,'I_Budget Input Data'!$D$59*0.6/('I_Inputs &amp; Assumptions'!$B$8/2),'I_Budget Input Data'!$D$59*0.2/('I_Inputs &amp; Assumptions'!$B$8/4))),IF('I_Budget Input Data'!$E$59="At Completion",IF(5='I_Inputs &amp; Assumptions'!$B$8,'I_Budget Input Data'!$D$59,0),'I_Budget Input Data'!$D$59/'I_Inputs &amp; Assumptions'!$B$8)))))),0)</f>
        <v>146.23076923076923</v>
      </c>
      <c r="H59" s="91">
        <f>IF(6&lt;='I_Inputs &amp; Assumptions'!$B$8,IF('I_Budget Input Data'!$E$59="Upfront",IF(6=1,'I_Budget Input Data'!$D$59,0),IF('I_Budget Input Data'!$E$59="Equal",'I_Budget Input Data'!$D$59/'I_Inputs &amp; Assumptions'!$B$8,IF('I_Budget Input Data'!$E$59="Front-loaded",IF(6&lt;='I_Inputs &amp; Assumptions'!$B$8/2,'I_Budget Input Data'!$D$59*0.6/('I_Inputs &amp; Assumptions'!$B$8/2),'I_Budget Input Data'!$D$59*0.4/('I_Inputs &amp; Assumptions'!$B$8/2)),IF('I_Budget Input Data'!$E$59="Back-loaded",IF(6&lt;='I_Inputs &amp; Assumptions'!$B$8/2,'I_Budget Input Data'!$D$59*0.4/('I_Inputs &amp; Assumptions'!$B$8/2),'I_Budget Input Data'!$D$59*0.6/('I_Inputs &amp; Assumptions'!$B$8/2)),IF('I_Budget Input Data'!$E$59="Mid-weighted",IF(6&lt;='I_Inputs &amp; Assumptions'!$B$8/4,'I_Budget Input Data'!$D$59*0.2/('I_Inputs &amp; Assumptions'!$B$8/4),IF(6&lt;='I_Inputs &amp; Assumptions'!$B$8*0.75,'I_Budget Input Data'!$D$59*0.6/('I_Inputs &amp; Assumptions'!$B$8/2),'I_Budget Input Data'!$D$59*0.2/('I_Inputs &amp; Assumptions'!$B$8/4))),IF('I_Budget Input Data'!$E$59="At Completion",IF(6='I_Inputs &amp; Assumptions'!$B$8,'I_Budget Input Data'!$D$59,0),'I_Budget Input Data'!$D$59/'I_Inputs &amp; Assumptions'!$B$8)))))),0)</f>
        <v>146.23076923076923</v>
      </c>
      <c r="I59" s="91">
        <f>IF(7&lt;='I_Inputs &amp; Assumptions'!$B$8,IF('I_Budget Input Data'!$E$59="Upfront",IF(7=1,'I_Budget Input Data'!$D$59,0),IF('I_Budget Input Data'!$E$59="Equal",'I_Budget Input Data'!$D$59/'I_Inputs &amp; Assumptions'!$B$8,IF('I_Budget Input Data'!$E$59="Front-loaded",IF(7&lt;='I_Inputs &amp; Assumptions'!$B$8/2,'I_Budget Input Data'!$D$59*0.6/('I_Inputs &amp; Assumptions'!$B$8/2),'I_Budget Input Data'!$D$59*0.4/('I_Inputs &amp; Assumptions'!$B$8/2)),IF('I_Budget Input Data'!$E$59="Back-loaded",IF(7&lt;='I_Inputs &amp; Assumptions'!$B$8/2,'I_Budget Input Data'!$D$59*0.4/('I_Inputs &amp; Assumptions'!$B$8/2),'I_Budget Input Data'!$D$59*0.6/('I_Inputs &amp; Assumptions'!$B$8/2)),IF('I_Budget Input Data'!$E$59="Mid-weighted",IF(7&lt;='I_Inputs &amp; Assumptions'!$B$8/4,'I_Budget Input Data'!$D$59*0.2/('I_Inputs &amp; Assumptions'!$B$8/4),IF(7&lt;='I_Inputs &amp; Assumptions'!$B$8*0.75,'I_Budget Input Data'!$D$59*0.6/('I_Inputs &amp; Assumptions'!$B$8/2),'I_Budget Input Data'!$D$59*0.2/('I_Inputs &amp; Assumptions'!$B$8/4))),IF('I_Budget Input Data'!$E$59="At Completion",IF(7='I_Inputs &amp; Assumptions'!$B$8,'I_Budget Input Data'!$D$59,0),'I_Budget Input Data'!$D$59/'I_Inputs &amp; Assumptions'!$B$8)))))),0)</f>
        <v>146.23076923076923</v>
      </c>
      <c r="J59" s="91">
        <f>IF(8&lt;='I_Inputs &amp; Assumptions'!$B$8,IF('I_Budget Input Data'!$E$59="Upfront",IF(8=1,'I_Budget Input Data'!$D$59,0),IF('I_Budget Input Data'!$E$59="Equal",'I_Budget Input Data'!$D$59/'I_Inputs &amp; Assumptions'!$B$8,IF('I_Budget Input Data'!$E$59="Front-loaded",IF(8&lt;='I_Inputs &amp; Assumptions'!$B$8/2,'I_Budget Input Data'!$D$59*0.6/('I_Inputs &amp; Assumptions'!$B$8/2),'I_Budget Input Data'!$D$59*0.4/('I_Inputs &amp; Assumptions'!$B$8/2)),IF('I_Budget Input Data'!$E$59="Back-loaded",IF(8&lt;='I_Inputs &amp; Assumptions'!$B$8/2,'I_Budget Input Data'!$D$59*0.4/('I_Inputs &amp; Assumptions'!$B$8/2),'I_Budget Input Data'!$D$59*0.6/('I_Inputs &amp; Assumptions'!$B$8/2)),IF('I_Budget Input Data'!$E$59="Mid-weighted",IF(8&lt;='I_Inputs &amp; Assumptions'!$B$8/4,'I_Budget Input Data'!$D$59*0.2/('I_Inputs &amp; Assumptions'!$B$8/4),IF(8&lt;='I_Inputs &amp; Assumptions'!$B$8*0.75,'I_Budget Input Data'!$D$59*0.6/('I_Inputs &amp; Assumptions'!$B$8/2),'I_Budget Input Data'!$D$59*0.2/('I_Inputs &amp; Assumptions'!$B$8/4))),IF('I_Budget Input Data'!$E$59="At Completion",IF(8='I_Inputs &amp; Assumptions'!$B$8,'I_Budget Input Data'!$D$59,0),'I_Budget Input Data'!$D$59/'I_Inputs &amp; Assumptions'!$B$8)))))),0)</f>
        <v>146.23076923076923</v>
      </c>
      <c r="K59" s="91">
        <f>IF(9&lt;='I_Inputs &amp; Assumptions'!$B$8,IF('I_Budget Input Data'!$E$59="Upfront",IF(9=1,'I_Budget Input Data'!$D$59,0),IF('I_Budget Input Data'!$E$59="Equal",'I_Budget Input Data'!$D$59/'I_Inputs &amp; Assumptions'!$B$8,IF('I_Budget Input Data'!$E$59="Front-loaded",IF(9&lt;='I_Inputs &amp; Assumptions'!$B$8/2,'I_Budget Input Data'!$D$59*0.6/('I_Inputs &amp; Assumptions'!$B$8/2),'I_Budget Input Data'!$D$59*0.4/('I_Inputs &amp; Assumptions'!$B$8/2)),IF('I_Budget Input Data'!$E$59="Back-loaded",IF(9&lt;='I_Inputs &amp; Assumptions'!$B$8/2,'I_Budget Input Data'!$D$59*0.4/('I_Inputs &amp; Assumptions'!$B$8/2),'I_Budget Input Data'!$D$59*0.6/('I_Inputs &amp; Assumptions'!$B$8/2)),IF('I_Budget Input Data'!$E$59="Mid-weighted",IF(9&lt;='I_Inputs &amp; Assumptions'!$B$8/4,'I_Budget Input Data'!$D$59*0.2/('I_Inputs &amp; Assumptions'!$B$8/4),IF(9&lt;='I_Inputs &amp; Assumptions'!$B$8*0.75,'I_Budget Input Data'!$D$59*0.6/('I_Inputs &amp; Assumptions'!$B$8/2),'I_Budget Input Data'!$D$59*0.2/('I_Inputs &amp; Assumptions'!$B$8/4))),IF('I_Budget Input Data'!$E$59="At Completion",IF(9='I_Inputs &amp; Assumptions'!$B$8,'I_Budget Input Data'!$D$59,0),'I_Budget Input Data'!$D$59/'I_Inputs &amp; Assumptions'!$B$8)))))),0)</f>
        <v>146.23076923076923</v>
      </c>
      <c r="L59" s="91">
        <f>IF(10&lt;='I_Inputs &amp; Assumptions'!$B$8,IF('I_Budget Input Data'!$E$59="Upfront",IF(10=1,'I_Budget Input Data'!$D$59,0),IF('I_Budget Input Data'!$E$59="Equal",'I_Budget Input Data'!$D$59/'I_Inputs &amp; Assumptions'!$B$8,IF('I_Budget Input Data'!$E$59="Front-loaded",IF(10&lt;='I_Inputs &amp; Assumptions'!$B$8/2,'I_Budget Input Data'!$D$59*0.6/('I_Inputs &amp; Assumptions'!$B$8/2),'I_Budget Input Data'!$D$59*0.4/('I_Inputs &amp; Assumptions'!$B$8/2)),IF('I_Budget Input Data'!$E$59="Back-loaded",IF(10&lt;='I_Inputs &amp; Assumptions'!$B$8/2,'I_Budget Input Data'!$D$59*0.4/('I_Inputs &amp; Assumptions'!$B$8/2),'I_Budget Input Data'!$D$59*0.6/('I_Inputs &amp; Assumptions'!$B$8/2)),IF('I_Budget Input Data'!$E$59="Mid-weighted",IF(10&lt;='I_Inputs &amp; Assumptions'!$B$8/4,'I_Budget Input Data'!$D$59*0.2/('I_Inputs &amp; Assumptions'!$B$8/4),IF(10&lt;='I_Inputs &amp; Assumptions'!$B$8*0.75,'I_Budget Input Data'!$D$59*0.6/('I_Inputs &amp; Assumptions'!$B$8/2),'I_Budget Input Data'!$D$59*0.2/('I_Inputs &amp; Assumptions'!$B$8/4))),IF('I_Budget Input Data'!$E$59="At Completion",IF(10='I_Inputs &amp; Assumptions'!$B$8,'I_Budget Input Data'!$D$59,0),'I_Budget Input Data'!$D$59/'I_Inputs &amp; Assumptions'!$B$8)))))),0)</f>
        <v>146.23076923076923</v>
      </c>
      <c r="M59" s="91">
        <f>IF(11&lt;='I_Inputs &amp; Assumptions'!$B$8,IF('I_Budget Input Data'!$E$59="Upfront",IF(11=1,'I_Budget Input Data'!$D$59,0),IF('I_Budget Input Data'!$E$59="Equal",'I_Budget Input Data'!$D$59/'I_Inputs &amp; Assumptions'!$B$8,IF('I_Budget Input Data'!$E$59="Front-loaded",IF(11&lt;='I_Inputs &amp; Assumptions'!$B$8/2,'I_Budget Input Data'!$D$59*0.6/('I_Inputs &amp; Assumptions'!$B$8/2),'I_Budget Input Data'!$D$59*0.4/('I_Inputs &amp; Assumptions'!$B$8/2)),IF('I_Budget Input Data'!$E$59="Back-loaded",IF(11&lt;='I_Inputs &amp; Assumptions'!$B$8/2,'I_Budget Input Data'!$D$59*0.4/('I_Inputs &amp; Assumptions'!$B$8/2),'I_Budget Input Data'!$D$59*0.6/('I_Inputs &amp; Assumptions'!$B$8/2)),IF('I_Budget Input Data'!$E$59="Mid-weighted",IF(11&lt;='I_Inputs &amp; Assumptions'!$B$8/4,'I_Budget Input Data'!$D$59*0.2/('I_Inputs &amp; Assumptions'!$B$8/4),IF(11&lt;='I_Inputs &amp; Assumptions'!$B$8*0.75,'I_Budget Input Data'!$D$59*0.6/('I_Inputs &amp; Assumptions'!$B$8/2),'I_Budget Input Data'!$D$59*0.2/('I_Inputs &amp; Assumptions'!$B$8/4))),IF('I_Budget Input Data'!$E$59="At Completion",IF(11='I_Inputs &amp; Assumptions'!$B$8,'I_Budget Input Data'!$D$59,0),'I_Budget Input Data'!$D$59/'I_Inputs &amp; Assumptions'!$B$8)))))),0)</f>
        <v>146.23076923076923</v>
      </c>
      <c r="N59" s="91">
        <f>IF(12&lt;='I_Inputs &amp; Assumptions'!$B$8,IF('I_Budget Input Data'!$E$59="Upfront",IF(12=1,'I_Budget Input Data'!$D$59,0),IF('I_Budget Input Data'!$E$59="Equal",'I_Budget Input Data'!$D$59/'I_Inputs &amp; Assumptions'!$B$8,IF('I_Budget Input Data'!$E$59="Front-loaded",IF(12&lt;='I_Inputs &amp; Assumptions'!$B$8/2,'I_Budget Input Data'!$D$59*0.6/('I_Inputs &amp; Assumptions'!$B$8/2),'I_Budget Input Data'!$D$59*0.4/('I_Inputs &amp; Assumptions'!$B$8/2)),IF('I_Budget Input Data'!$E$59="Back-loaded",IF(12&lt;='I_Inputs &amp; Assumptions'!$B$8/2,'I_Budget Input Data'!$D$59*0.4/('I_Inputs &amp; Assumptions'!$B$8/2),'I_Budget Input Data'!$D$59*0.6/('I_Inputs &amp; Assumptions'!$B$8/2)),IF('I_Budget Input Data'!$E$59="Mid-weighted",IF(12&lt;='I_Inputs &amp; Assumptions'!$B$8/4,'I_Budget Input Data'!$D$59*0.2/('I_Inputs &amp; Assumptions'!$B$8/4),IF(12&lt;='I_Inputs &amp; Assumptions'!$B$8*0.75,'I_Budget Input Data'!$D$59*0.6/('I_Inputs &amp; Assumptions'!$B$8/2),'I_Budget Input Data'!$D$59*0.2/('I_Inputs &amp; Assumptions'!$B$8/4))),IF('I_Budget Input Data'!$E$59="At Completion",IF(12='I_Inputs &amp; Assumptions'!$B$8,'I_Budget Input Data'!$D$59,0),'I_Budget Input Data'!$D$59/'I_Inputs &amp; Assumptions'!$B$8)))))),0)</f>
        <v>146.23076923076923</v>
      </c>
      <c r="O59" s="91">
        <f>IF(13&lt;='I_Inputs &amp; Assumptions'!$B$8,IF('I_Budget Input Data'!$E$59="Upfront",IF(13=1,'I_Budget Input Data'!$D$59,0),IF('I_Budget Input Data'!$E$59="Equal",'I_Budget Input Data'!$D$59/'I_Inputs &amp; Assumptions'!$B$8,IF('I_Budget Input Data'!$E$59="Front-loaded",IF(13&lt;='I_Inputs &amp; Assumptions'!$B$8/2,'I_Budget Input Data'!$D$59*0.6/('I_Inputs &amp; Assumptions'!$B$8/2),'I_Budget Input Data'!$D$59*0.4/('I_Inputs &amp; Assumptions'!$B$8/2)),IF('I_Budget Input Data'!$E$59="Back-loaded",IF(13&lt;='I_Inputs &amp; Assumptions'!$B$8/2,'I_Budget Input Data'!$D$59*0.4/('I_Inputs &amp; Assumptions'!$B$8/2),'I_Budget Input Data'!$D$59*0.6/('I_Inputs &amp; Assumptions'!$B$8/2)),IF('I_Budget Input Data'!$E$59="Mid-weighted",IF(13&lt;='I_Inputs &amp; Assumptions'!$B$8/4,'I_Budget Input Data'!$D$59*0.2/('I_Inputs &amp; Assumptions'!$B$8/4),IF(13&lt;='I_Inputs &amp; Assumptions'!$B$8*0.75,'I_Budget Input Data'!$D$59*0.6/('I_Inputs &amp; Assumptions'!$B$8/2),'I_Budget Input Data'!$D$59*0.2/('I_Inputs &amp; Assumptions'!$B$8/4))),IF('I_Budget Input Data'!$E$59="At Completion",IF(13='I_Inputs &amp; Assumptions'!$B$8,'I_Budget Input Data'!$D$59,0),'I_Budget Input Data'!$D$59/'I_Inputs &amp; Assumptions'!$B$8)))))),0)</f>
        <v>146.23076923076923</v>
      </c>
      <c r="P59" s="91">
        <f>IF(14&lt;='I_Inputs &amp; Assumptions'!$B$8,IF('I_Budget Input Data'!$E$59="Upfront",IF(14=1,'I_Budget Input Data'!$D$59,0),IF('I_Budget Input Data'!$E$59="Equal",'I_Budget Input Data'!$D$59/'I_Inputs &amp; Assumptions'!$B$8,IF('I_Budget Input Data'!$E$59="Front-loaded",IF(14&lt;='I_Inputs &amp; Assumptions'!$B$8/2,'I_Budget Input Data'!$D$59*0.6/('I_Inputs &amp; Assumptions'!$B$8/2),'I_Budget Input Data'!$D$59*0.4/('I_Inputs &amp; Assumptions'!$B$8/2)),IF('I_Budget Input Data'!$E$59="Back-loaded",IF(14&lt;='I_Inputs &amp; Assumptions'!$B$8/2,'I_Budget Input Data'!$D$59*0.4/('I_Inputs &amp; Assumptions'!$B$8/2),'I_Budget Input Data'!$D$59*0.6/('I_Inputs &amp; Assumptions'!$B$8/2)),IF('I_Budget Input Data'!$E$59="Mid-weighted",IF(14&lt;='I_Inputs &amp; Assumptions'!$B$8/4,'I_Budget Input Data'!$D$59*0.2/('I_Inputs &amp; Assumptions'!$B$8/4),IF(14&lt;='I_Inputs &amp; Assumptions'!$B$8*0.75,'I_Budget Input Data'!$D$59*0.6/('I_Inputs &amp; Assumptions'!$B$8/2),'I_Budget Input Data'!$D$59*0.2/('I_Inputs &amp; Assumptions'!$B$8/4))),IF('I_Budget Input Data'!$E$59="At Completion",IF(14='I_Inputs &amp; Assumptions'!$B$8,'I_Budget Input Data'!$D$59,0),'I_Budget Input Data'!$D$59/'I_Inputs &amp; Assumptions'!$B$8)))))),0)</f>
        <v>0</v>
      </c>
      <c r="Q59" s="91">
        <f>IF(15&lt;='I_Inputs &amp; Assumptions'!$B$8,IF('I_Budget Input Data'!$E$59="Upfront",IF(15=1,'I_Budget Input Data'!$D$59,0),IF('I_Budget Input Data'!$E$59="Equal",'I_Budget Input Data'!$D$59/'I_Inputs &amp; Assumptions'!$B$8,IF('I_Budget Input Data'!$E$59="Front-loaded",IF(15&lt;='I_Inputs &amp; Assumptions'!$B$8/2,'I_Budget Input Data'!$D$59*0.6/('I_Inputs &amp; Assumptions'!$B$8/2),'I_Budget Input Data'!$D$59*0.4/('I_Inputs &amp; Assumptions'!$B$8/2)),IF('I_Budget Input Data'!$E$59="Back-loaded",IF(15&lt;='I_Inputs &amp; Assumptions'!$B$8/2,'I_Budget Input Data'!$D$59*0.4/('I_Inputs &amp; Assumptions'!$B$8/2),'I_Budget Input Data'!$D$59*0.6/('I_Inputs &amp; Assumptions'!$B$8/2)),IF('I_Budget Input Data'!$E$59="Mid-weighted",IF(15&lt;='I_Inputs &amp; Assumptions'!$B$8/4,'I_Budget Input Data'!$D$59*0.2/('I_Inputs &amp; Assumptions'!$B$8/4),IF(15&lt;='I_Inputs &amp; Assumptions'!$B$8*0.75,'I_Budget Input Data'!$D$59*0.6/('I_Inputs &amp; Assumptions'!$B$8/2),'I_Budget Input Data'!$D$59*0.2/('I_Inputs &amp; Assumptions'!$B$8/4))),IF('I_Budget Input Data'!$E$59="At Completion",IF(15='I_Inputs &amp; Assumptions'!$B$8,'I_Budget Input Data'!$D$59,0),'I_Budget Input Data'!$D$59/'I_Inputs &amp; Assumptions'!$B$8)))))),0)</f>
        <v>0</v>
      </c>
      <c r="R59" s="91">
        <f>IF(16&lt;='I_Inputs &amp; Assumptions'!$B$8,IF('I_Budget Input Data'!$E$59="Upfront",IF(16=1,'I_Budget Input Data'!$D$59,0),IF('I_Budget Input Data'!$E$59="Equal",'I_Budget Input Data'!$D$59/'I_Inputs &amp; Assumptions'!$B$8,IF('I_Budget Input Data'!$E$59="Front-loaded",IF(16&lt;='I_Inputs &amp; Assumptions'!$B$8/2,'I_Budget Input Data'!$D$59*0.6/('I_Inputs &amp; Assumptions'!$B$8/2),'I_Budget Input Data'!$D$59*0.4/('I_Inputs &amp; Assumptions'!$B$8/2)),IF('I_Budget Input Data'!$E$59="Back-loaded",IF(16&lt;='I_Inputs &amp; Assumptions'!$B$8/2,'I_Budget Input Data'!$D$59*0.4/('I_Inputs &amp; Assumptions'!$B$8/2),'I_Budget Input Data'!$D$59*0.6/('I_Inputs &amp; Assumptions'!$B$8/2)),IF('I_Budget Input Data'!$E$59="Mid-weighted",IF(16&lt;='I_Inputs &amp; Assumptions'!$B$8/4,'I_Budget Input Data'!$D$59*0.2/('I_Inputs &amp; Assumptions'!$B$8/4),IF(16&lt;='I_Inputs &amp; Assumptions'!$B$8*0.75,'I_Budget Input Data'!$D$59*0.6/('I_Inputs &amp; Assumptions'!$B$8/2),'I_Budget Input Data'!$D$59*0.2/('I_Inputs &amp; Assumptions'!$B$8/4))),IF('I_Budget Input Data'!$E$59="At Completion",IF(16='I_Inputs &amp; Assumptions'!$B$8,'I_Budget Input Data'!$D$59,0),'I_Budget Input Data'!$D$59/'I_Inputs &amp; Assumptions'!$B$8)))))),0)</f>
        <v>0</v>
      </c>
      <c r="S59" s="91">
        <f>IF(17&lt;='I_Inputs &amp; Assumptions'!$B$8,IF('I_Budget Input Data'!$E$59="Upfront",IF(17=1,'I_Budget Input Data'!$D$59,0),IF('I_Budget Input Data'!$E$59="Equal",'I_Budget Input Data'!$D$59/'I_Inputs &amp; Assumptions'!$B$8,IF('I_Budget Input Data'!$E$59="Front-loaded",IF(17&lt;='I_Inputs &amp; Assumptions'!$B$8/2,'I_Budget Input Data'!$D$59*0.6/('I_Inputs &amp; Assumptions'!$B$8/2),'I_Budget Input Data'!$D$59*0.4/('I_Inputs &amp; Assumptions'!$B$8/2)),IF('I_Budget Input Data'!$E$59="Back-loaded",IF(17&lt;='I_Inputs &amp; Assumptions'!$B$8/2,'I_Budget Input Data'!$D$59*0.4/('I_Inputs &amp; Assumptions'!$B$8/2),'I_Budget Input Data'!$D$59*0.6/('I_Inputs &amp; Assumptions'!$B$8/2)),IF('I_Budget Input Data'!$E$59="Mid-weighted",IF(17&lt;='I_Inputs &amp; Assumptions'!$B$8/4,'I_Budget Input Data'!$D$59*0.2/('I_Inputs &amp; Assumptions'!$B$8/4),IF(17&lt;='I_Inputs &amp; Assumptions'!$B$8*0.75,'I_Budget Input Data'!$D$59*0.6/('I_Inputs &amp; Assumptions'!$B$8/2),'I_Budget Input Data'!$D$59*0.2/('I_Inputs &amp; Assumptions'!$B$8/4))),IF('I_Budget Input Data'!$E$59="At Completion",IF(17='I_Inputs &amp; Assumptions'!$B$8,'I_Budget Input Data'!$D$59,0),'I_Budget Input Data'!$D$59/'I_Inputs &amp; Assumptions'!$B$8)))))),0)</f>
        <v>0</v>
      </c>
      <c r="T59" s="91">
        <f>IF(18&lt;='I_Inputs &amp; Assumptions'!$B$8,IF('I_Budget Input Data'!$E$59="Upfront",IF(18=1,'I_Budget Input Data'!$D$59,0),IF('I_Budget Input Data'!$E$59="Equal",'I_Budget Input Data'!$D$59/'I_Inputs &amp; Assumptions'!$B$8,IF('I_Budget Input Data'!$E$59="Front-loaded",IF(18&lt;='I_Inputs &amp; Assumptions'!$B$8/2,'I_Budget Input Data'!$D$59*0.6/('I_Inputs &amp; Assumptions'!$B$8/2),'I_Budget Input Data'!$D$59*0.4/('I_Inputs &amp; Assumptions'!$B$8/2)),IF('I_Budget Input Data'!$E$59="Back-loaded",IF(18&lt;='I_Inputs &amp; Assumptions'!$B$8/2,'I_Budget Input Data'!$D$59*0.4/('I_Inputs &amp; Assumptions'!$B$8/2),'I_Budget Input Data'!$D$59*0.6/('I_Inputs &amp; Assumptions'!$B$8/2)),IF('I_Budget Input Data'!$E$59="Mid-weighted",IF(18&lt;='I_Inputs &amp; Assumptions'!$B$8/4,'I_Budget Input Data'!$D$59*0.2/('I_Inputs &amp; Assumptions'!$B$8/4),IF(18&lt;='I_Inputs &amp; Assumptions'!$B$8*0.75,'I_Budget Input Data'!$D$59*0.6/('I_Inputs &amp; Assumptions'!$B$8/2),'I_Budget Input Data'!$D$59*0.2/('I_Inputs &amp; Assumptions'!$B$8/4))),IF('I_Budget Input Data'!$E$59="At Completion",IF(18='I_Inputs &amp; Assumptions'!$B$8,'I_Budget Input Data'!$D$59,0),'I_Budget Input Data'!$D$59/'I_Inputs &amp; Assumptions'!$B$8)))))),0)</f>
        <v>0</v>
      </c>
      <c r="U59" s="91">
        <f>IF(19&lt;='I_Inputs &amp; Assumptions'!$B$8,IF('I_Budget Input Data'!$E$59="Upfront",IF(19=1,'I_Budget Input Data'!$D$59,0),IF('I_Budget Input Data'!$E$59="Equal",'I_Budget Input Data'!$D$59/'I_Inputs &amp; Assumptions'!$B$8,IF('I_Budget Input Data'!$E$59="Front-loaded",IF(19&lt;='I_Inputs &amp; Assumptions'!$B$8/2,'I_Budget Input Data'!$D$59*0.6/('I_Inputs &amp; Assumptions'!$B$8/2),'I_Budget Input Data'!$D$59*0.4/('I_Inputs &amp; Assumptions'!$B$8/2)),IF('I_Budget Input Data'!$E$59="Back-loaded",IF(19&lt;='I_Inputs &amp; Assumptions'!$B$8/2,'I_Budget Input Data'!$D$59*0.4/('I_Inputs &amp; Assumptions'!$B$8/2),'I_Budget Input Data'!$D$59*0.6/('I_Inputs &amp; Assumptions'!$B$8/2)),IF('I_Budget Input Data'!$E$59="Mid-weighted",IF(19&lt;='I_Inputs &amp; Assumptions'!$B$8/4,'I_Budget Input Data'!$D$59*0.2/('I_Inputs &amp; Assumptions'!$B$8/4),IF(19&lt;='I_Inputs &amp; Assumptions'!$B$8*0.75,'I_Budget Input Data'!$D$59*0.6/('I_Inputs &amp; Assumptions'!$B$8/2),'I_Budget Input Data'!$D$59*0.2/('I_Inputs &amp; Assumptions'!$B$8/4))),IF('I_Budget Input Data'!$E$59="At Completion",IF(19='I_Inputs &amp; Assumptions'!$B$8,'I_Budget Input Data'!$D$59,0),'I_Budget Input Data'!$D$59/'I_Inputs &amp; Assumptions'!$B$8)))))),0)</f>
        <v>0</v>
      </c>
      <c r="V59" s="91">
        <f>IF(20&lt;='I_Inputs &amp; Assumptions'!$B$8,IF('I_Budget Input Data'!$E$59="Upfront",IF(20=1,'I_Budget Input Data'!$D$59,0),IF('I_Budget Input Data'!$E$59="Equal",'I_Budget Input Data'!$D$59/'I_Inputs &amp; Assumptions'!$B$8,IF('I_Budget Input Data'!$E$59="Front-loaded",IF(20&lt;='I_Inputs &amp; Assumptions'!$B$8/2,'I_Budget Input Data'!$D$59*0.6/('I_Inputs &amp; Assumptions'!$B$8/2),'I_Budget Input Data'!$D$59*0.4/('I_Inputs &amp; Assumptions'!$B$8/2)),IF('I_Budget Input Data'!$E$59="Back-loaded",IF(20&lt;='I_Inputs &amp; Assumptions'!$B$8/2,'I_Budget Input Data'!$D$59*0.4/('I_Inputs &amp; Assumptions'!$B$8/2),'I_Budget Input Data'!$D$59*0.6/('I_Inputs &amp; Assumptions'!$B$8/2)),IF('I_Budget Input Data'!$E$59="Mid-weighted",IF(20&lt;='I_Inputs &amp; Assumptions'!$B$8/4,'I_Budget Input Data'!$D$59*0.2/('I_Inputs &amp; Assumptions'!$B$8/4),IF(20&lt;='I_Inputs &amp; Assumptions'!$B$8*0.75,'I_Budget Input Data'!$D$59*0.6/('I_Inputs &amp; Assumptions'!$B$8/2),'I_Budget Input Data'!$D$59*0.2/('I_Inputs &amp; Assumptions'!$B$8/4))),IF('I_Budget Input Data'!$E$59="At Completion",IF(20='I_Inputs &amp; Assumptions'!$B$8,'I_Budget Input Data'!$D$59,0),'I_Budget Input Data'!$D$59/'I_Inputs &amp; Assumptions'!$B$8)))))),0)</f>
        <v>0</v>
      </c>
      <c r="W59" s="91">
        <f>IF(21&lt;='I_Inputs &amp; Assumptions'!$B$8,IF('I_Budget Input Data'!$E$59="Upfront",IF(21=1,'I_Budget Input Data'!$D$59,0),IF('I_Budget Input Data'!$E$59="Equal",'I_Budget Input Data'!$D$59/'I_Inputs &amp; Assumptions'!$B$8,IF('I_Budget Input Data'!$E$59="Front-loaded",IF(21&lt;='I_Inputs &amp; Assumptions'!$B$8/2,'I_Budget Input Data'!$D$59*0.6/('I_Inputs &amp; Assumptions'!$B$8/2),'I_Budget Input Data'!$D$59*0.4/('I_Inputs &amp; Assumptions'!$B$8/2)),IF('I_Budget Input Data'!$E$59="Back-loaded",IF(21&lt;='I_Inputs &amp; Assumptions'!$B$8/2,'I_Budget Input Data'!$D$59*0.4/('I_Inputs &amp; Assumptions'!$B$8/2),'I_Budget Input Data'!$D$59*0.6/('I_Inputs &amp; Assumptions'!$B$8/2)),IF('I_Budget Input Data'!$E$59="Mid-weighted",IF(21&lt;='I_Inputs &amp; Assumptions'!$B$8/4,'I_Budget Input Data'!$D$59*0.2/('I_Inputs &amp; Assumptions'!$B$8/4),IF(21&lt;='I_Inputs &amp; Assumptions'!$B$8*0.75,'I_Budget Input Data'!$D$59*0.6/('I_Inputs &amp; Assumptions'!$B$8/2),'I_Budget Input Data'!$D$59*0.2/('I_Inputs &amp; Assumptions'!$B$8/4))),IF('I_Budget Input Data'!$E$59="At Completion",IF(21='I_Inputs &amp; Assumptions'!$B$8,'I_Budget Input Data'!$D$59,0),'I_Budget Input Data'!$D$59/'I_Inputs &amp; Assumptions'!$B$8)))))),0)</f>
        <v>0</v>
      </c>
      <c r="X59" s="91">
        <f>IF(22&lt;='I_Inputs &amp; Assumptions'!$B$8,IF('I_Budget Input Data'!$E$59="Upfront",IF(22=1,'I_Budget Input Data'!$D$59,0),IF('I_Budget Input Data'!$E$59="Equal",'I_Budget Input Data'!$D$59/'I_Inputs &amp; Assumptions'!$B$8,IF('I_Budget Input Data'!$E$59="Front-loaded",IF(22&lt;='I_Inputs &amp; Assumptions'!$B$8/2,'I_Budget Input Data'!$D$59*0.6/('I_Inputs &amp; Assumptions'!$B$8/2),'I_Budget Input Data'!$D$59*0.4/('I_Inputs &amp; Assumptions'!$B$8/2)),IF('I_Budget Input Data'!$E$59="Back-loaded",IF(22&lt;='I_Inputs &amp; Assumptions'!$B$8/2,'I_Budget Input Data'!$D$59*0.4/('I_Inputs &amp; Assumptions'!$B$8/2),'I_Budget Input Data'!$D$59*0.6/('I_Inputs &amp; Assumptions'!$B$8/2)),IF('I_Budget Input Data'!$E$59="Mid-weighted",IF(22&lt;='I_Inputs &amp; Assumptions'!$B$8/4,'I_Budget Input Data'!$D$59*0.2/('I_Inputs &amp; Assumptions'!$B$8/4),IF(22&lt;='I_Inputs &amp; Assumptions'!$B$8*0.75,'I_Budget Input Data'!$D$59*0.6/('I_Inputs &amp; Assumptions'!$B$8/2),'I_Budget Input Data'!$D$59*0.2/('I_Inputs &amp; Assumptions'!$B$8/4))),IF('I_Budget Input Data'!$E$59="At Completion",IF(22='I_Inputs &amp; Assumptions'!$B$8,'I_Budget Input Data'!$D$59,0),'I_Budget Input Data'!$D$59/'I_Inputs &amp; Assumptions'!$B$8)))))),0)</f>
        <v>0</v>
      </c>
      <c r="Y59" s="91">
        <f>IF(23&lt;='I_Inputs &amp; Assumptions'!$B$8,IF('I_Budget Input Data'!$E$59="Upfront",IF(23=1,'I_Budget Input Data'!$D$59,0),IF('I_Budget Input Data'!$E$59="Equal",'I_Budget Input Data'!$D$59/'I_Inputs &amp; Assumptions'!$B$8,IF('I_Budget Input Data'!$E$59="Front-loaded",IF(23&lt;='I_Inputs &amp; Assumptions'!$B$8/2,'I_Budget Input Data'!$D$59*0.6/('I_Inputs &amp; Assumptions'!$B$8/2),'I_Budget Input Data'!$D$59*0.4/('I_Inputs &amp; Assumptions'!$B$8/2)),IF('I_Budget Input Data'!$E$59="Back-loaded",IF(23&lt;='I_Inputs &amp; Assumptions'!$B$8/2,'I_Budget Input Data'!$D$59*0.4/('I_Inputs &amp; Assumptions'!$B$8/2),'I_Budget Input Data'!$D$59*0.6/('I_Inputs &amp; Assumptions'!$B$8/2)),IF('I_Budget Input Data'!$E$59="Mid-weighted",IF(23&lt;='I_Inputs &amp; Assumptions'!$B$8/4,'I_Budget Input Data'!$D$59*0.2/('I_Inputs &amp; Assumptions'!$B$8/4),IF(23&lt;='I_Inputs &amp; Assumptions'!$B$8*0.75,'I_Budget Input Data'!$D$59*0.6/('I_Inputs &amp; Assumptions'!$B$8/2),'I_Budget Input Data'!$D$59*0.2/('I_Inputs &amp; Assumptions'!$B$8/4))),IF('I_Budget Input Data'!$E$59="At Completion",IF(23='I_Inputs &amp; Assumptions'!$B$8,'I_Budget Input Data'!$D$59,0),'I_Budget Input Data'!$D$59/'I_Inputs &amp; Assumptions'!$B$8)))))),0)</f>
        <v>0</v>
      </c>
      <c r="Z59" s="91">
        <f>IF(24&lt;='I_Inputs &amp; Assumptions'!$B$8,IF('I_Budget Input Data'!$E$59="Upfront",IF(24=1,'I_Budget Input Data'!$D$59,0),IF('I_Budget Input Data'!$E$59="Equal",'I_Budget Input Data'!$D$59/'I_Inputs &amp; Assumptions'!$B$8,IF('I_Budget Input Data'!$E$59="Front-loaded",IF(24&lt;='I_Inputs &amp; Assumptions'!$B$8/2,'I_Budget Input Data'!$D$59*0.6/('I_Inputs &amp; Assumptions'!$B$8/2),'I_Budget Input Data'!$D$59*0.4/('I_Inputs &amp; Assumptions'!$B$8/2)),IF('I_Budget Input Data'!$E$59="Back-loaded",IF(24&lt;='I_Inputs &amp; Assumptions'!$B$8/2,'I_Budget Input Data'!$D$59*0.4/('I_Inputs &amp; Assumptions'!$B$8/2),'I_Budget Input Data'!$D$59*0.6/('I_Inputs &amp; Assumptions'!$B$8/2)),IF('I_Budget Input Data'!$E$59="Mid-weighted",IF(24&lt;='I_Inputs &amp; Assumptions'!$B$8/4,'I_Budget Input Data'!$D$59*0.2/('I_Inputs &amp; Assumptions'!$B$8/4),IF(24&lt;='I_Inputs &amp; Assumptions'!$B$8*0.75,'I_Budget Input Data'!$D$59*0.6/('I_Inputs &amp; Assumptions'!$B$8/2),'I_Budget Input Data'!$D$59*0.2/('I_Inputs &amp; Assumptions'!$B$8/4))),IF('I_Budget Input Data'!$E$59="At Completion",IF(24='I_Inputs &amp; Assumptions'!$B$8,'I_Budget Input Data'!$D$59,0),'I_Budget Input Data'!$D$59/'I_Inputs &amp; Assumptions'!$B$8)))))),0)</f>
        <v>0</v>
      </c>
      <c r="AA59" s="91">
        <f>IF(25&lt;='I_Inputs &amp; Assumptions'!$B$8,IF('I_Budget Input Data'!$E$59="Upfront",IF(25=1,'I_Budget Input Data'!$D$59,0),IF('I_Budget Input Data'!$E$59="Equal",'I_Budget Input Data'!$D$59/'I_Inputs &amp; Assumptions'!$B$8,IF('I_Budget Input Data'!$E$59="Front-loaded",IF(25&lt;='I_Inputs &amp; Assumptions'!$B$8/2,'I_Budget Input Data'!$D$59*0.6/('I_Inputs &amp; Assumptions'!$B$8/2),'I_Budget Input Data'!$D$59*0.4/('I_Inputs &amp; Assumptions'!$B$8/2)),IF('I_Budget Input Data'!$E$59="Back-loaded",IF(25&lt;='I_Inputs &amp; Assumptions'!$B$8/2,'I_Budget Input Data'!$D$59*0.4/('I_Inputs &amp; Assumptions'!$B$8/2),'I_Budget Input Data'!$D$59*0.6/('I_Inputs &amp; Assumptions'!$B$8/2)),IF('I_Budget Input Data'!$E$59="Mid-weighted",IF(25&lt;='I_Inputs &amp; Assumptions'!$B$8/4,'I_Budget Input Data'!$D$59*0.2/('I_Inputs &amp; Assumptions'!$B$8/4),IF(25&lt;='I_Inputs &amp; Assumptions'!$B$8*0.75,'I_Budget Input Data'!$D$59*0.6/('I_Inputs &amp; Assumptions'!$B$8/2),'I_Budget Input Data'!$D$59*0.2/('I_Inputs &amp; Assumptions'!$B$8/4))),IF('I_Budget Input Data'!$E$59="At Completion",IF(25='I_Inputs &amp; Assumptions'!$B$8,'I_Budget Input Data'!$D$59,0),'I_Budget Input Data'!$D$59/'I_Inputs &amp; Assumptions'!$B$8)))))),0)</f>
        <v>0</v>
      </c>
      <c r="AB59" s="91">
        <f>IF(26&lt;='I_Inputs &amp; Assumptions'!$B$8,IF('I_Budget Input Data'!$E$59="Upfront",IF(26=1,'I_Budget Input Data'!$D$59,0),IF('I_Budget Input Data'!$E$59="Equal",'I_Budget Input Data'!$D$59/'I_Inputs &amp; Assumptions'!$B$8,IF('I_Budget Input Data'!$E$59="Front-loaded",IF(26&lt;='I_Inputs &amp; Assumptions'!$B$8/2,'I_Budget Input Data'!$D$59*0.6/('I_Inputs &amp; Assumptions'!$B$8/2),'I_Budget Input Data'!$D$59*0.4/('I_Inputs &amp; Assumptions'!$B$8/2)),IF('I_Budget Input Data'!$E$59="Back-loaded",IF(26&lt;='I_Inputs &amp; Assumptions'!$B$8/2,'I_Budget Input Data'!$D$59*0.4/('I_Inputs &amp; Assumptions'!$B$8/2),'I_Budget Input Data'!$D$59*0.6/('I_Inputs &amp; Assumptions'!$B$8/2)),IF('I_Budget Input Data'!$E$59="Mid-weighted",IF(26&lt;='I_Inputs &amp; Assumptions'!$B$8/4,'I_Budget Input Data'!$D$59*0.2/('I_Inputs &amp; Assumptions'!$B$8/4),IF(26&lt;='I_Inputs &amp; Assumptions'!$B$8*0.75,'I_Budget Input Data'!$D$59*0.6/('I_Inputs &amp; Assumptions'!$B$8/2),'I_Budget Input Data'!$D$59*0.2/('I_Inputs &amp; Assumptions'!$B$8/4))),IF('I_Budget Input Data'!$E$59="At Completion",IF(26='I_Inputs &amp; Assumptions'!$B$8,'I_Budget Input Data'!$D$59,0),'I_Budget Input Data'!$D$59/'I_Inputs &amp; Assumptions'!$B$8)))))),0)</f>
        <v>0</v>
      </c>
      <c r="AC59" s="91">
        <f>IF(27&lt;='I_Inputs &amp; Assumptions'!$B$8,IF('I_Budget Input Data'!$E$59="Upfront",IF(27=1,'I_Budget Input Data'!$D$59,0),IF('I_Budget Input Data'!$E$59="Equal",'I_Budget Input Data'!$D$59/'I_Inputs &amp; Assumptions'!$B$8,IF('I_Budget Input Data'!$E$59="Front-loaded",IF(27&lt;='I_Inputs &amp; Assumptions'!$B$8/2,'I_Budget Input Data'!$D$59*0.6/('I_Inputs &amp; Assumptions'!$B$8/2),'I_Budget Input Data'!$D$59*0.4/('I_Inputs &amp; Assumptions'!$B$8/2)),IF('I_Budget Input Data'!$E$59="Back-loaded",IF(27&lt;='I_Inputs &amp; Assumptions'!$B$8/2,'I_Budget Input Data'!$D$59*0.4/('I_Inputs &amp; Assumptions'!$B$8/2),'I_Budget Input Data'!$D$59*0.6/('I_Inputs &amp; Assumptions'!$B$8/2)),IF('I_Budget Input Data'!$E$59="Mid-weighted",IF(27&lt;='I_Inputs &amp; Assumptions'!$B$8/4,'I_Budget Input Data'!$D$59*0.2/('I_Inputs &amp; Assumptions'!$B$8/4),IF(27&lt;='I_Inputs &amp; Assumptions'!$B$8*0.75,'I_Budget Input Data'!$D$59*0.6/('I_Inputs &amp; Assumptions'!$B$8/2),'I_Budget Input Data'!$D$59*0.2/('I_Inputs &amp; Assumptions'!$B$8/4))),IF('I_Budget Input Data'!$E$59="At Completion",IF(27='I_Inputs &amp; Assumptions'!$B$8,'I_Budget Input Data'!$D$59,0),'I_Budget Input Data'!$D$59/'I_Inputs &amp; Assumptions'!$B$8)))))),0)</f>
        <v>0</v>
      </c>
      <c r="AD59" s="91">
        <f>IF(28&lt;='I_Inputs &amp; Assumptions'!$B$8,IF('I_Budget Input Data'!$E$59="Upfront",IF(28=1,'I_Budget Input Data'!$D$59,0),IF('I_Budget Input Data'!$E$59="Equal",'I_Budget Input Data'!$D$59/'I_Inputs &amp; Assumptions'!$B$8,IF('I_Budget Input Data'!$E$59="Front-loaded",IF(28&lt;='I_Inputs &amp; Assumptions'!$B$8/2,'I_Budget Input Data'!$D$59*0.6/('I_Inputs &amp; Assumptions'!$B$8/2),'I_Budget Input Data'!$D$59*0.4/('I_Inputs &amp; Assumptions'!$B$8/2)),IF('I_Budget Input Data'!$E$59="Back-loaded",IF(28&lt;='I_Inputs &amp; Assumptions'!$B$8/2,'I_Budget Input Data'!$D$59*0.4/('I_Inputs &amp; Assumptions'!$B$8/2),'I_Budget Input Data'!$D$59*0.6/('I_Inputs &amp; Assumptions'!$B$8/2)),IF('I_Budget Input Data'!$E$59="Mid-weighted",IF(28&lt;='I_Inputs &amp; Assumptions'!$B$8/4,'I_Budget Input Data'!$D$59*0.2/('I_Inputs &amp; Assumptions'!$B$8/4),IF(28&lt;='I_Inputs &amp; Assumptions'!$B$8*0.75,'I_Budget Input Data'!$D$59*0.6/('I_Inputs &amp; Assumptions'!$B$8/2),'I_Budget Input Data'!$D$59*0.2/('I_Inputs &amp; Assumptions'!$B$8/4))),IF('I_Budget Input Data'!$E$59="At Completion",IF(28='I_Inputs &amp; Assumptions'!$B$8,'I_Budget Input Data'!$D$59,0),'I_Budget Input Data'!$D$59/'I_Inputs &amp; Assumptions'!$B$8)))))),0)</f>
        <v>0</v>
      </c>
      <c r="AE59" s="91">
        <f>IF(29&lt;='I_Inputs &amp; Assumptions'!$B$8,IF('I_Budget Input Data'!$E$59="Upfront",IF(29=1,'I_Budget Input Data'!$D$59,0),IF('I_Budget Input Data'!$E$59="Equal",'I_Budget Input Data'!$D$59/'I_Inputs &amp; Assumptions'!$B$8,IF('I_Budget Input Data'!$E$59="Front-loaded",IF(29&lt;='I_Inputs &amp; Assumptions'!$B$8/2,'I_Budget Input Data'!$D$59*0.6/('I_Inputs &amp; Assumptions'!$B$8/2),'I_Budget Input Data'!$D$59*0.4/('I_Inputs &amp; Assumptions'!$B$8/2)),IF('I_Budget Input Data'!$E$59="Back-loaded",IF(29&lt;='I_Inputs &amp; Assumptions'!$B$8/2,'I_Budget Input Data'!$D$59*0.4/('I_Inputs &amp; Assumptions'!$B$8/2),'I_Budget Input Data'!$D$59*0.6/('I_Inputs &amp; Assumptions'!$B$8/2)),IF('I_Budget Input Data'!$E$59="Mid-weighted",IF(29&lt;='I_Inputs &amp; Assumptions'!$B$8/4,'I_Budget Input Data'!$D$59*0.2/('I_Inputs &amp; Assumptions'!$B$8/4),IF(29&lt;='I_Inputs &amp; Assumptions'!$B$8*0.75,'I_Budget Input Data'!$D$59*0.6/('I_Inputs &amp; Assumptions'!$B$8/2),'I_Budget Input Data'!$D$59*0.2/('I_Inputs &amp; Assumptions'!$B$8/4))),IF('I_Budget Input Data'!$E$59="At Completion",IF(29='I_Inputs &amp; Assumptions'!$B$8,'I_Budget Input Data'!$D$59,0),'I_Budget Input Data'!$D$59/'I_Inputs &amp; Assumptions'!$B$8)))))),0)</f>
        <v>0</v>
      </c>
      <c r="AF59" s="91">
        <f>IF(30&lt;='I_Inputs &amp; Assumptions'!$B$8,IF('I_Budget Input Data'!$E$59="Upfront",IF(30=1,'I_Budget Input Data'!$D$59,0),IF('I_Budget Input Data'!$E$59="Equal",'I_Budget Input Data'!$D$59/'I_Inputs &amp; Assumptions'!$B$8,IF('I_Budget Input Data'!$E$59="Front-loaded",IF(30&lt;='I_Inputs &amp; Assumptions'!$B$8/2,'I_Budget Input Data'!$D$59*0.6/('I_Inputs &amp; Assumptions'!$B$8/2),'I_Budget Input Data'!$D$59*0.4/('I_Inputs &amp; Assumptions'!$B$8/2)),IF('I_Budget Input Data'!$E$59="Back-loaded",IF(30&lt;='I_Inputs &amp; Assumptions'!$B$8/2,'I_Budget Input Data'!$D$59*0.4/('I_Inputs &amp; Assumptions'!$B$8/2),'I_Budget Input Data'!$D$59*0.6/('I_Inputs &amp; Assumptions'!$B$8/2)),IF('I_Budget Input Data'!$E$59="Mid-weighted",IF(30&lt;='I_Inputs &amp; Assumptions'!$B$8/4,'I_Budget Input Data'!$D$59*0.2/('I_Inputs &amp; Assumptions'!$B$8/4),IF(30&lt;='I_Inputs &amp; Assumptions'!$B$8*0.75,'I_Budget Input Data'!$D$59*0.6/('I_Inputs &amp; Assumptions'!$B$8/2),'I_Budget Input Data'!$D$59*0.2/('I_Inputs &amp; Assumptions'!$B$8/4))),IF('I_Budget Input Data'!$E$59="At Completion",IF(30='I_Inputs &amp; Assumptions'!$B$8,'I_Budget Input Data'!$D$59,0),'I_Budget Input Data'!$D$59/'I_Inputs &amp; Assumptions'!$B$8)))))),0)</f>
        <v>0</v>
      </c>
      <c r="AG59" s="91">
        <f>IF(31&lt;='I_Inputs &amp; Assumptions'!$B$8,IF('I_Budget Input Data'!$E$59="Upfront",IF(31=1,'I_Budget Input Data'!$D$59,0),IF('I_Budget Input Data'!$E$59="Equal",'I_Budget Input Data'!$D$59/'I_Inputs &amp; Assumptions'!$B$8,IF('I_Budget Input Data'!$E$59="Front-loaded",IF(31&lt;='I_Inputs &amp; Assumptions'!$B$8/2,'I_Budget Input Data'!$D$59*0.6/('I_Inputs &amp; Assumptions'!$B$8/2),'I_Budget Input Data'!$D$59*0.4/('I_Inputs &amp; Assumptions'!$B$8/2)),IF('I_Budget Input Data'!$E$59="Back-loaded",IF(31&lt;='I_Inputs &amp; Assumptions'!$B$8/2,'I_Budget Input Data'!$D$59*0.4/('I_Inputs &amp; Assumptions'!$B$8/2),'I_Budget Input Data'!$D$59*0.6/('I_Inputs &amp; Assumptions'!$B$8/2)),IF('I_Budget Input Data'!$E$59="Mid-weighted",IF(31&lt;='I_Inputs &amp; Assumptions'!$B$8/4,'I_Budget Input Data'!$D$59*0.2/('I_Inputs &amp; Assumptions'!$B$8/4),IF(31&lt;='I_Inputs &amp; Assumptions'!$B$8*0.75,'I_Budget Input Data'!$D$59*0.6/('I_Inputs &amp; Assumptions'!$B$8/2),'I_Budget Input Data'!$D$59*0.2/('I_Inputs &amp; Assumptions'!$B$8/4))),IF('I_Budget Input Data'!$E$59="At Completion",IF(31='I_Inputs &amp; Assumptions'!$B$8,'I_Budget Input Data'!$D$59,0),'I_Budget Input Data'!$D$59/'I_Inputs &amp; Assumptions'!$B$8)))))),0)</f>
        <v>0</v>
      </c>
      <c r="AH59" s="91">
        <f>IF(32&lt;='I_Inputs &amp; Assumptions'!$B$8,IF('I_Budget Input Data'!$E$59="Upfront",IF(32=1,'I_Budget Input Data'!$D$59,0),IF('I_Budget Input Data'!$E$59="Equal",'I_Budget Input Data'!$D$59/'I_Inputs &amp; Assumptions'!$B$8,IF('I_Budget Input Data'!$E$59="Front-loaded",IF(32&lt;='I_Inputs &amp; Assumptions'!$B$8/2,'I_Budget Input Data'!$D$59*0.6/('I_Inputs &amp; Assumptions'!$B$8/2),'I_Budget Input Data'!$D$59*0.4/('I_Inputs &amp; Assumptions'!$B$8/2)),IF('I_Budget Input Data'!$E$59="Back-loaded",IF(32&lt;='I_Inputs &amp; Assumptions'!$B$8/2,'I_Budget Input Data'!$D$59*0.4/('I_Inputs &amp; Assumptions'!$B$8/2),'I_Budget Input Data'!$D$59*0.6/('I_Inputs &amp; Assumptions'!$B$8/2)),IF('I_Budget Input Data'!$E$59="Mid-weighted",IF(32&lt;='I_Inputs &amp; Assumptions'!$B$8/4,'I_Budget Input Data'!$D$59*0.2/('I_Inputs &amp; Assumptions'!$B$8/4),IF(32&lt;='I_Inputs &amp; Assumptions'!$B$8*0.75,'I_Budget Input Data'!$D$59*0.6/('I_Inputs &amp; Assumptions'!$B$8/2),'I_Budget Input Data'!$D$59*0.2/('I_Inputs &amp; Assumptions'!$B$8/4))),IF('I_Budget Input Data'!$E$59="At Completion",IF(32='I_Inputs &amp; Assumptions'!$B$8,'I_Budget Input Data'!$D$59,0),'I_Budget Input Data'!$D$59/'I_Inputs &amp; Assumptions'!$B$8)))))),0)</f>
        <v>0</v>
      </c>
      <c r="AI59" s="91">
        <f>IF(33&lt;='I_Inputs &amp; Assumptions'!$B$8,IF('I_Budget Input Data'!$E$59="Upfront",IF(33=1,'I_Budget Input Data'!$D$59,0),IF('I_Budget Input Data'!$E$59="Equal",'I_Budget Input Data'!$D$59/'I_Inputs &amp; Assumptions'!$B$8,IF('I_Budget Input Data'!$E$59="Front-loaded",IF(33&lt;='I_Inputs &amp; Assumptions'!$B$8/2,'I_Budget Input Data'!$D$59*0.6/('I_Inputs &amp; Assumptions'!$B$8/2),'I_Budget Input Data'!$D$59*0.4/('I_Inputs &amp; Assumptions'!$B$8/2)),IF('I_Budget Input Data'!$E$59="Back-loaded",IF(33&lt;='I_Inputs &amp; Assumptions'!$B$8/2,'I_Budget Input Data'!$D$59*0.4/('I_Inputs &amp; Assumptions'!$B$8/2),'I_Budget Input Data'!$D$59*0.6/('I_Inputs &amp; Assumptions'!$B$8/2)),IF('I_Budget Input Data'!$E$59="Mid-weighted",IF(33&lt;='I_Inputs &amp; Assumptions'!$B$8/4,'I_Budget Input Data'!$D$59*0.2/('I_Inputs &amp; Assumptions'!$B$8/4),IF(33&lt;='I_Inputs &amp; Assumptions'!$B$8*0.75,'I_Budget Input Data'!$D$59*0.6/('I_Inputs &amp; Assumptions'!$B$8/2),'I_Budget Input Data'!$D$59*0.2/('I_Inputs &amp; Assumptions'!$B$8/4))),IF('I_Budget Input Data'!$E$59="At Completion",IF(33='I_Inputs &amp; Assumptions'!$B$8,'I_Budget Input Data'!$D$59,0),'I_Budget Input Data'!$D$59/'I_Inputs &amp; Assumptions'!$B$8)))))),0)</f>
        <v>0</v>
      </c>
      <c r="AJ59" s="91">
        <f>IF(34&lt;='I_Inputs &amp; Assumptions'!$B$8,IF('I_Budget Input Data'!$E$59="Upfront",IF(34=1,'I_Budget Input Data'!$D$59,0),IF('I_Budget Input Data'!$E$59="Equal",'I_Budget Input Data'!$D$59/'I_Inputs &amp; Assumptions'!$B$8,IF('I_Budget Input Data'!$E$59="Front-loaded",IF(34&lt;='I_Inputs &amp; Assumptions'!$B$8/2,'I_Budget Input Data'!$D$59*0.6/('I_Inputs &amp; Assumptions'!$B$8/2),'I_Budget Input Data'!$D$59*0.4/('I_Inputs &amp; Assumptions'!$B$8/2)),IF('I_Budget Input Data'!$E$59="Back-loaded",IF(34&lt;='I_Inputs &amp; Assumptions'!$B$8/2,'I_Budget Input Data'!$D$59*0.4/('I_Inputs &amp; Assumptions'!$B$8/2),'I_Budget Input Data'!$D$59*0.6/('I_Inputs &amp; Assumptions'!$B$8/2)),IF('I_Budget Input Data'!$E$59="Mid-weighted",IF(34&lt;='I_Inputs &amp; Assumptions'!$B$8/4,'I_Budget Input Data'!$D$59*0.2/('I_Inputs &amp; Assumptions'!$B$8/4),IF(34&lt;='I_Inputs &amp; Assumptions'!$B$8*0.75,'I_Budget Input Data'!$D$59*0.6/('I_Inputs &amp; Assumptions'!$B$8/2),'I_Budget Input Data'!$D$59*0.2/('I_Inputs &amp; Assumptions'!$B$8/4))),IF('I_Budget Input Data'!$E$59="At Completion",IF(34='I_Inputs &amp; Assumptions'!$B$8,'I_Budget Input Data'!$D$59,0),'I_Budget Input Data'!$D$59/'I_Inputs &amp; Assumptions'!$B$8)))))),0)</f>
        <v>0</v>
      </c>
      <c r="AK59" s="91">
        <f>IF(35&lt;='I_Inputs &amp; Assumptions'!$B$8,IF('I_Budget Input Data'!$E$59="Upfront",IF(35=1,'I_Budget Input Data'!$D$59,0),IF('I_Budget Input Data'!$E$59="Equal",'I_Budget Input Data'!$D$59/'I_Inputs &amp; Assumptions'!$B$8,IF('I_Budget Input Data'!$E$59="Front-loaded",IF(35&lt;='I_Inputs &amp; Assumptions'!$B$8/2,'I_Budget Input Data'!$D$59*0.6/('I_Inputs &amp; Assumptions'!$B$8/2),'I_Budget Input Data'!$D$59*0.4/('I_Inputs &amp; Assumptions'!$B$8/2)),IF('I_Budget Input Data'!$E$59="Back-loaded",IF(35&lt;='I_Inputs &amp; Assumptions'!$B$8/2,'I_Budget Input Data'!$D$59*0.4/('I_Inputs &amp; Assumptions'!$B$8/2),'I_Budget Input Data'!$D$59*0.6/('I_Inputs &amp; Assumptions'!$B$8/2)),IF('I_Budget Input Data'!$E$59="Mid-weighted",IF(35&lt;='I_Inputs &amp; Assumptions'!$B$8/4,'I_Budget Input Data'!$D$59*0.2/('I_Inputs &amp; Assumptions'!$B$8/4),IF(35&lt;='I_Inputs &amp; Assumptions'!$B$8*0.75,'I_Budget Input Data'!$D$59*0.6/('I_Inputs &amp; Assumptions'!$B$8/2),'I_Budget Input Data'!$D$59*0.2/('I_Inputs &amp; Assumptions'!$B$8/4))),IF('I_Budget Input Data'!$E$59="At Completion",IF(35='I_Inputs &amp; Assumptions'!$B$8,'I_Budget Input Data'!$D$59,0),'I_Budget Input Data'!$D$59/'I_Inputs &amp; Assumptions'!$B$8)))))),0)</f>
        <v>0</v>
      </c>
      <c r="AL59" s="91">
        <f>IF(36&lt;='I_Inputs &amp; Assumptions'!$B$8,IF('I_Budget Input Data'!$E$59="Upfront",IF(36=1,'I_Budget Input Data'!$D$59,0),IF('I_Budget Input Data'!$E$59="Equal",'I_Budget Input Data'!$D$59/'I_Inputs &amp; Assumptions'!$B$8,IF('I_Budget Input Data'!$E$59="Front-loaded",IF(36&lt;='I_Inputs &amp; Assumptions'!$B$8/2,'I_Budget Input Data'!$D$59*0.6/('I_Inputs &amp; Assumptions'!$B$8/2),'I_Budget Input Data'!$D$59*0.4/('I_Inputs &amp; Assumptions'!$B$8/2)),IF('I_Budget Input Data'!$E$59="Back-loaded",IF(36&lt;='I_Inputs &amp; Assumptions'!$B$8/2,'I_Budget Input Data'!$D$59*0.4/('I_Inputs &amp; Assumptions'!$B$8/2),'I_Budget Input Data'!$D$59*0.6/('I_Inputs &amp; Assumptions'!$B$8/2)),IF('I_Budget Input Data'!$E$59="Mid-weighted",IF(36&lt;='I_Inputs &amp; Assumptions'!$B$8/4,'I_Budget Input Data'!$D$59*0.2/('I_Inputs &amp; Assumptions'!$B$8/4),IF(36&lt;='I_Inputs &amp; Assumptions'!$B$8*0.75,'I_Budget Input Data'!$D$59*0.6/('I_Inputs &amp; Assumptions'!$B$8/2),'I_Budget Input Data'!$D$59*0.2/('I_Inputs &amp; Assumptions'!$B$8/4))),IF('I_Budget Input Data'!$E$59="At Completion",IF(36='I_Inputs &amp; Assumptions'!$B$8,'I_Budget Input Data'!$D$59,0),'I_Budget Input Data'!$D$59/'I_Inputs &amp; Assumptions'!$B$8)))))),0)</f>
        <v>0</v>
      </c>
    </row>
    <row r="60" spans="1:38" ht="15" customHeight="1" x14ac:dyDescent="0.2">
      <c r="A60" t="s">
        <v>146</v>
      </c>
      <c r="B60" t="s">
        <v>180</v>
      </c>
      <c r="C60" s="91">
        <f>IF(1&lt;='I_Inputs &amp; Assumptions'!$B$8,IF('I_Budget Input Data'!$E$60="Upfront",IF(1=1,'I_Budget Input Data'!$D$60,0),IF('I_Budget Input Data'!$E$60="Equal",'I_Budget Input Data'!$D$60/'I_Inputs &amp; Assumptions'!$B$8,IF('I_Budget Input Data'!$E$60="Front-loaded",IF(1&lt;='I_Inputs &amp; Assumptions'!$B$8/2,'I_Budget Input Data'!$D$60*0.6/('I_Inputs &amp; Assumptions'!$B$8/2),'I_Budget Input Data'!$D$60*0.4/('I_Inputs &amp; Assumptions'!$B$8/2)),IF('I_Budget Input Data'!$E$60="Back-loaded",IF(1&lt;='I_Inputs &amp; Assumptions'!$B$8/2,'I_Budget Input Data'!$D$60*0.4/('I_Inputs &amp; Assumptions'!$B$8/2),'I_Budget Input Data'!$D$60*0.6/('I_Inputs &amp; Assumptions'!$B$8/2)),IF('I_Budget Input Data'!$E$60="Mid-weighted",IF(1&lt;='I_Inputs &amp; Assumptions'!$B$8/4,'I_Budget Input Data'!$D$60*0.2/('I_Inputs &amp; Assumptions'!$B$8/4),IF(1&lt;='I_Inputs &amp; Assumptions'!$B$8*0.75,'I_Budget Input Data'!$D$60*0.6/('I_Inputs &amp; Assumptions'!$B$8/2),'I_Budget Input Data'!$D$60*0.2/('I_Inputs &amp; Assumptions'!$B$8/4))),IF('I_Budget Input Data'!$E$60="At Completion",IF(1='I_Inputs &amp; Assumptions'!$B$8,'I_Budget Input Data'!$D$60,0),'I_Budget Input Data'!$D$60/'I_Inputs &amp; Assumptions'!$B$8)))))),0)</f>
        <v>8702.4</v>
      </c>
      <c r="D60" s="91">
        <f>IF(2&lt;='I_Inputs &amp; Assumptions'!$B$8,IF('I_Budget Input Data'!$E$60="Upfront",IF(2=1,'I_Budget Input Data'!$D$60,0),IF('I_Budget Input Data'!$E$60="Equal",'I_Budget Input Data'!$D$60/'I_Inputs &amp; Assumptions'!$B$8,IF('I_Budget Input Data'!$E$60="Front-loaded",IF(2&lt;='I_Inputs &amp; Assumptions'!$B$8/2,'I_Budget Input Data'!$D$60*0.6/('I_Inputs &amp; Assumptions'!$B$8/2),'I_Budget Input Data'!$D$60*0.4/('I_Inputs &amp; Assumptions'!$B$8/2)),IF('I_Budget Input Data'!$E$60="Back-loaded",IF(2&lt;='I_Inputs &amp; Assumptions'!$B$8/2,'I_Budget Input Data'!$D$60*0.4/('I_Inputs &amp; Assumptions'!$B$8/2),'I_Budget Input Data'!$D$60*0.6/('I_Inputs &amp; Assumptions'!$B$8/2)),IF('I_Budget Input Data'!$E$60="Mid-weighted",IF(2&lt;='I_Inputs &amp; Assumptions'!$B$8/4,'I_Budget Input Data'!$D$60*0.2/('I_Inputs &amp; Assumptions'!$B$8/4),IF(2&lt;='I_Inputs &amp; Assumptions'!$B$8*0.75,'I_Budget Input Data'!$D$60*0.6/('I_Inputs &amp; Assumptions'!$B$8/2),'I_Budget Input Data'!$D$60*0.2/('I_Inputs &amp; Assumptions'!$B$8/4))),IF('I_Budget Input Data'!$E$60="At Completion",IF(2='I_Inputs &amp; Assumptions'!$B$8,'I_Budget Input Data'!$D$60,0),'I_Budget Input Data'!$D$60/'I_Inputs &amp; Assumptions'!$B$8)))))),0)</f>
        <v>8702.4</v>
      </c>
      <c r="E60" s="91">
        <f>IF(3&lt;='I_Inputs &amp; Assumptions'!$B$8,IF('I_Budget Input Data'!$E$60="Upfront",IF(3=1,'I_Budget Input Data'!$D$60,0),IF('I_Budget Input Data'!$E$60="Equal",'I_Budget Input Data'!$D$60/'I_Inputs &amp; Assumptions'!$B$8,IF('I_Budget Input Data'!$E$60="Front-loaded",IF(3&lt;='I_Inputs &amp; Assumptions'!$B$8/2,'I_Budget Input Data'!$D$60*0.6/('I_Inputs &amp; Assumptions'!$B$8/2),'I_Budget Input Data'!$D$60*0.4/('I_Inputs &amp; Assumptions'!$B$8/2)),IF('I_Budget Input Data'!$E$60="Back-loaded",IF(3&lt;='I_Inputs &amp; Assumptions'!$B$8/2,'I_Budget Input Data'!$D$60*0.4/('I_Inputs &amp; Assumptions'!$B$8/2),'I_Budget Input Data'!$D$60*0.6/('I_Inputs &amp; Assumptions'!$B$8/2)),IF('I_Budget Input Data'!$E$60="Mid-weighted",IF(3&lt;='I_Inputs &amp; Assumptions'!$B$8/4,'I_Budget Input Data'!$D$60*0.2/('I_Inputs &amp; Assumptions'!$B$8/4),IF(3&lt;='I_Inputs &amp; Assumptions'!$B$8*0.75,'I_Budget Input Data'!$D$60*0.6/('I_Inputs &amp; Assumptions'!$B$8/2),'I_Budget Input Data'!$D$60*0.2/('I_Inputs &amp; Assumptions'!$B$8/4))),IF('I_Budget Input Data'!$E$60="At Completion",IF(3='I_Inputs &amp; Assumptions'!$B$8,'I_Budget Input Data'!$D$60,0),'I_Budget Input Data'!$D$60/'I_Inputs &amp; Assumptions'!$B$8)))))),0)</f>
        <v>8702.4</v>
      </c>
      <c r="F60" s="91">
        <f>IF(4&lt;='I_Inputs &amp; Assumptions'!$B$8,IF('I_Budget Input Data'!$E$60="Upfront",IF(4=1,'I_Budget Input Data'!$D$60,0),IF('I_Budget Input Data'!$E$60="Equal",'I_Budget Input Data'!$D$60/'I_Inputs &amp; Assumptions'!$B$8,IF('I_Budget Input Data'!$E$60="Front-loaded",IF(4&lt;='I_Inputs &amp; Assumptions'!$B$8/2,'I_Budget Input Data'!$D$60*0.6/('I_Inputs &amp; Assumptions'!$B$8/2),'I_Budget Input Data'!$D$60*0.4/('I_Inputs &amp; Assumptions'!$B$8/2)),IF('I_Budget Input Data'!$E$60="Back-loaded",IF(4&lt;='I_Inputs &amp; Assumptions'!$B$8/2,'I_Budget Input Data'!$D$60*0.4/('I_Inputs &amp; Assumptions'!$B$8/2),'I_Budget Input Data'!$D$60*0.6/('I_Inputs &amp; Assumptions'!$B$8/2)),IF('I_Budget Input Data'!$E$60="Mid-weighted",IF(4&lt;='I_Inputs &amp; Assumptions'!$B$8/4,'I_Budget Input Data'!$D$60*0.2/('I_Inputs &amp; Assumptions'!$B$8/4),IF(4&lt;='I_Inputs &amp; Assumptions'!$B$8*0.75,'I_Budget Input Data'!$D$60*0.6/('I_Inputs &amp; Assumptions'!$B$8/2),'I_Budget Input Data'!$D$60*0.2/('I_Inputs &amp; Assumptions'!$B$8/4))),IF('I_Budget Input Data'!$E$60="At Completion",IF(4='I_Inputs &amp; Assumptions'!$B$8,'I_Budget Input Data'!$D$60,0),'I_Budget Input Data'!$D$60/'I_Inputs &amp; Assumptions'!$B$8)))))),0)</f>
        <v>8702.4</v>
      </c>
      <c r="G60" s="91">
        <f>IF(5&lt;='I_Inputs &amp; Assumptions'!$B$8,IF('I_Budget Input Data'!$E$60="Upfront",IF(5=1,'I_Budget Input Data'!$D$60,0),IF('I_Budget Input Data'!$E$60="Equal",'I_Budget Input Data'!$D$60/'I_Inputs &amp; Assumptions'!$B$8,IF('I_Budget Input Data'!$E$60="Front-loaded",IF(5&lt;='I_Inputs &amp; Assumptions'!$B$8/2,'I_Budget Input Data'!$D$60*0.6/('I_Inputs &amp; Assumptions'!$B$8/2),'I_Budget Input Data'!$D$60*0.4/('I_Inputs &amp; Assumptions'!$B$8/2)),IF('I_Budget Input Data'!$E$60="Back-loaded",IF(5&lt;='I_Inputs &amp; Assumptions'!$B$8/2,'I_Budget Input Data'!$D$60*0.4/('I_Inputs &amp; Assumptions'!$B$8/2),'I_Budget Input Data'!$D$60*0.6/('I_Inputs &amp; Assumptions'!$B$8/2)),IF('I_Budget Input Data'!$E$60="Mid-weighted",IF(5&lt;='I_Inputs &amp; Assumptions'!$B$8/4,'I_Budget Input Data'!$D$60*0.2/('I_Inputs &amp; Assumptions'!$B$8/4),IF(5&lt;='I_Inputs &amp; Assumptions'!$B$8*0.75,'I_Budget Input Data'!$D$60*0.6/('I_Inputs &amp; Assumptions'!$B$8/2),'I_Budget Input Data'!$D$60*0.2/('I_Inputs &amp; Assumptions'!$B$8/4))),IF('I_Budget Input Data'!$E$60="At Completion",IF(5='I_Inputs &amp; Assumptions'!$B$8,'I_Budget Input Data'!$D$60,0),'I_Budget Input Data'!$D$60/'I_Inputs &amp; Assumptions'!$B$8)))))),0)</f>
        <v>8702.4</v>
      </c>
      <c r="H60" s="91">
        <f>IF(6&lt;='I_Inputs &amp; Assumptions'!$B$8,IF('I_Budget Input Data'!$E$60="Upfront",IF(6=1,'I_Budget Input Data'!$D$60,0),IF('I_Budget Input Data'!$E$60="Equal",'I_Budget Input Data'!$D$60/'I_Inputs &amp; Assumptions'!$B$8,IF('I_Budget Input Data'!$E$60="Front-loaded",IF(6&lt;='I_Inputs &amp; Assumptions'!$B$8/2,'I_Budget Input Data'!$D$60*0.6/('I_Inputs &amp; Assumptions'!$B$8/2),'I_Budget Input Data'!$D$60*0.4/('I_Inputs &amp; Assumptions'!$B$8/2)),IF('I_Budget Input Data'!$E$60="Back-loaded",IF(6&lt;='I_Inputs &amp; Assumptions'!$B$8/2,'I_Budget Input Data'!$D$60*0.4/('I_Inputs &amp; Assumptions'!$B$8/2),'I_Budget Input Data'!$D$60*0.6/('I_Inputs &amp; Assumptions'!$B$8/2)),IF('I_Budget Input Data'!$E$60="Mid-weighted",IF(6&lt;='I_Inputs &amp; Assumptions'!$B$8/4,'I_Budget Input Data'!$D$60*0.2/('I_Inputs &amp; Assumptions'!$B$8/4),IF(6&lt;='I_Inputs &amp; Assumptions'!$B$8*0.75,'I_Budget Input Data'!$D$60*0.6/('I_Inputs &amp; Assumptions'!$B$8/2),'I_Budget Input Data'!$D$60*0.2/('I_Inputs &amp; Assumptions'!$B$8/4))),IF('I_Budget Input Data'!$E$60="At Completion",IF(6='I_Inputs &amp; Assumptions'!$B$8,'I_Budget Input Data'!$D$60,0),'I_Budget Input Data'!$D$60/'I_Inputs &amp; Assumptions'!$B$8)))))),0)</f>
        <v>8702.4</v>
      </c>
      <c r="I60" s="91">
        <f>IF(7&lt;='I_Inputs &amp; Assumptions'!$B$8,IF('I_Budget Input Data'!$E$60="Upfront",IF(7=1,'I_Budget Input Data'!$D$60,0),IF('I_Budget Input Data'!$E$60="Equal",'I_Budget Input Data'!$D$60/'I_Inputs &amp; Assumptions'!$B$8,IF('I_Budget Input Data'!$E$60="Front-loaded",IF(7&lt;='I_Inputs &amp; Assumptions'!$B$8/2,'I_Budget Input Data'!$D$60*0.6/('I_Inputs &amp; Assumptions'!$B$8/2),'I_Budget Input Data'!$D$60*0.4/('I_Inputs &amp; Assumptions'!$B$8/2)),IF('I_Budget Input Data'!$E$60="Back-loaded",IF(7&lt;='I_Inputs &amp; Assumptions'!$B$8/2,'I_Budget Input Data'!$D$60*0.4/('I_Inputs &amp; Assumptions'!$B$8/2),'I_Budget Input Data'!$D$60*0.6/('I_Inputs &amp; Assumptions'!$B$8/2)),IF('I_Budget Input Data'!$E$60="Mid-weighted",IF(7&lt;='I_Inputs &amp; Assumptions'!$B$8/4,'I_Budget Input Data'!$D$60*0.2/('I_Inputs &amp; Assumptions'!$B$8/4),IF(7&lt;='I_Inputs &amp; Assumptions'!$B$8*0.75,'I_Budget Input Data'!$D$60*0.6/('I_Inputs &amp; Assumptions'!$B$8/2),'I_Budget Input Data'!$D$60*0.2/('I_Inputs &amp; Assumptions'!$B$8/4))),IF('I_Budget Input Data'!$E$60="At Completion",IF(7='I_Inputs &amp; Assumptions'!$B$8,'I_Budget Input Data'!$D$60,0),'I_Budget Input Data'!$D$60/'I_Inputs &amp; Assumptions'!$B$8)))))),0)</f>
        <v>5801.6</v>
      </c>
      <c r="J60" s="91">
        <f>IF(8&lt;='I_Inputs &amp; Assumptions'!$B$8,IF('I_Budget Input Data'!$E$60="Upfront",IF(8=1,'I_Budget Input Data'!$D$60,0),IF('I_Budget Input Data'!$E$60="Equal",'I_Budget Input Data'!$D$60/'I_Inputs &amp; Assumptions'!$B$8,IF('I_Budget Input Data'!$E$60="Front-loaded",IF(8&lt;='I_Inputs &amp; Assumptions'!$B$8/2,'I_Budget Input Data'!$D$60*0.6/('I_Inputs &amp; Assumptions'!$B$8/2),'I_Budget Input Data'!$D$60*0.4/('I_Inputs &amp; Assumptions'!$B$8/2)),IF('I_Budget Input Data'!$E$60="Back-loaded",IF(8&lt;='I_Inputs &amp; Assumptions'!$B$8/2,'I_Budget Input Data'!$D$60*0.4/('I_Inputs &amp; Assumptions'!$B$8/2),'I_Budget Input Data'!$D$60*0.6/('I_Inputs &amp; Assumptions'!$B$8/2)),IF('I_Budget Input Data'!$E$60="Mid-weighted",IF(8&lt;='I_Inputs &amp; Assumptions'!$B$8/4,'I_Budget Input Data'!$D$60*0.2/('I_Inputs &amp; Assumptions'!$B$8/4),IF(8&lt;='I_Inputs &amp; Assumptions'!$B$8*0.75,'I_Budget Input Data'!$D$60*0.6/('I_Inputs &amp; Assumptions'!$B$8/2),'I_Budget Input Data'!$D$60*0.2/('I_Inputs &amp; Assumptions'!$B$8/4))),IF('I_Budget Input Data'!$E$60="At Completion",IF(8='I_Inputs &amp; Assumptions'!$B$8,'I_Budget Input Data'!$D$60,0),'I_Budget Input Data'!$D$60/'I_Inputs &amp; Assumptions'!$B$8)))))),0)</f>
        <v>5801.6</v>
      </c>
      <c r="K60" s="91">
        <f>IF(9&lt;='I_Inputs &amp; Assumptions'!$B$8,IF('I_Budget Input Data'!$E$60="Upfront",IF(9=1,'I_Budget Input Data'!$D$60,0),IF('I_Budget Input Data'!$E$60="Equal",'I_Budget Input Data'!$D$60/'I_Inputs &amp; Assumptions'!$B$8,IF('I_Budget Input Data'!$E$60="Front-loaded",IF(9&lt;='I_Inputs &amp; Assumptions'!$B$8/2,'I_Budget Input Data'!$D$60*0.6/('I_Inputs &amp; Assumptions'!$B$8/2),'I_Budget Input Data'!$D$60*0.4/('I_Inputs &amp; Assumptions'!$B$8/2)),IF('I_Budget Input Data'!$E$60="Back-loaded",IF(9&lt;='I_Inputs &amp; Assumptions'!$B$8/2,'I_Budget Input Data'!$D$60*0.4/('I_Inputs &amp; Assumptions'!$B$8/2),'I_Budget Input Data'!$D$60*0.6/('I_Inputs &amp; Assumptions'!$B$8/2)),IF('I_Budget Input Data'!$E$60="Mid-weighted",IF(9&lt;='I_Inputs &amp; Assumptions'!$B$8/4,'I_Budget Input Data'!$D$60*0.2/('I_Inputs &amp; Assumptions'!$B$8/4),IF(9&lt;='I_Inputs &amp; Assumptions'!$B$8*0.75,'I_Budget Input Data'!$D$60*0.6/('I_Inputs &amp; Assumptions'!$B$8/2),'I_Budget Input Data'!$D$60*0.2/('I_Inputs &amp; Assumptions'!$B$8/4))),IF('I_Budget Input Data'!$E$60="At Completion",IF(9='I_Inputs &amp; Assumptions'!$B$8,'I_Budget Input Data'!$D$60,0),'I_Budget Input Data'!$D$60/'I_Inputs &amp; Assumptions'!$B$8)))))),0)</f>
        <v>5801.6</v>
      </c>
      <c r="L60" s="91">
        <f>IF(10&lt;='I_Inputs &amp; Assumptions'!$B$8,IF('I_Budget Input Data'!$E$60="Upfront",IF(10=1,'I_Budget Input Data'!$D$60,0),IF('I_Budget Input Data'!$E$60="Equal",'I_Budget Input Data'!$D$60/'I_Inputs &amp; Assumptions'!$B$8,IF('I_Budget Input Data'!$E$60="Front-loaded",IF(10&lt;='I_Inputs &amp; Assumptions'!$B$8/2,'I_Budget Input Data'!$D$60*0.6/('I_Inputs &amp; Assumptions'!$B$8/2),'I_Budget Input Data'!$D$60*0.4/('I_Inputs &amp; Assumptions'!$B$8/2)),IF('I_Budget Input Data'!$E$60="Back-loaded",IF(10&lt;='I_Inputs &amp; Assumptions'!$B$8/2,'I_Budget Input Data'!$D$60*0.4/('I_Inputs &amp; Assumptions'!$B$8/2),'I_Budget Input Data'!$D$60*0.6/('I_Inputs &amp; Assumptions'!$B$8/2)),IF('I_Budget Input Data'!$E$60="Mid-weighted",IF(10&lt;='I_Inputs &amp; Assumptions'!$B$8/4,'I_Budget Input Data'!$D$60*0.2/('I_Inputs &amp; Assumptions'!$B$8/4),IF(10&lt;='I_Inputs &amp; Assumptions'!$B$8*0.75,'I_Budget Input Data'!$D$60*0.6/('I_Inputs &amp; Assumptions'!$B$8/2),'I_Budget Input Data'!$D$60*0.2/('I_Inputs &amp; Assumptions'!$B$8/4))),IF('I_Budget Input Data'!$E$60="At Completion",IF(10='I_Inputs &amp; Assumptions'!$B$8,'I_Budget Input Data'!$D$60,0),'I_Budget Input Data'!$D$60/'I_Inputs &amp; Assumptions'!$B$8)))))),0)</f>
        <v>5801.6</v>
      </c>
      <c r="M60" s="91">
        <f>IF(11&lt;='I_Inputs &amp; Assumptions'!$B$8,IF('I_Budget Input Data'!$E$60="Upfront",IF(11=1,'I_Budget Input Data'!$D$60,0),IF('I_Budget Input Data'!$E$60="Equal",'I_Budget Input Data'!$D$60/'I_Inputs &amp; Assumptions'!$B$8,IF('I_Budget Input Data'!$E$60="Front-loaded",IF(11&lt;='I_Inputs &amp; Assumptions'!$B$8/2,'I_Budget Input Data'!$D$60*0.6/('I_Inputs &amp; Assumptions'!$B$8/2),'I_Budget Input Data'!$D$60*0.4/('I_Inputs &amp; Assumptions'!$B$8/2)),IF('I_Budget Input Data'!$E$60="Back-loaded",IF(11&lt;='I_Inputs &amp; Assumptions'!$B$8/2,'I_Budget Input Data'!$D$60*0.4/('I_Inputs &amp; Assumptions'!$B$8/2),'I_Budget Input Data'!$D$60*0.6/('I_Inputs &amp; Assumptions'!$B$8/2)),IF('I_Budget Input Data'!$E$60="Mid-weighted",IF(11&lt;='I_Inputs &amp; Assumptions'!$B$8/4,'I_Budget Input Data'!$D$60*0.2/('I_Inputs &amp; Assumptions'!$B$8/4),IF(11&lt;='I_Inputs &amp; Assumptions'!$B$8*0.75,'I_Budget Input Data'!$D$60*0.6/('I_Inputs &amp; Assumptions'!$B$8/2),'I_Budget Input Data'!$D$60*0.2/('I_Inputs &amp; Assumptions'!$B$8/4))),IF('I_Budget Input Data'!$E$60="At Completion",IF(11='I_Inputs &amp; Assumptions'!$B$8,'I_Budget Input Data'!$D$60,0),'I_Budget Input Data'!$D$60/'I_Inputs &amp; Assumptions'!$B$8)))))),0)</f>
        <v>5801.6</v>
      </c>
      <c r="N60" s="91">
        <f>IF(12&lt;='I_Inputs &amp; Assumptions'!$B$8,IF('I_Budget Input Data'!$E$60="Upfront",IF(12=1,'I_Budget Input Data'!$D$60,0),IF('I_Budget Input Data'!$E$60="Equal",'I_Budget Input Data'!$D$60/'I_Inputs &amp; Assumptions'!$B$8,IF('I_Budget Input Data'!$E$60="Front-loaded",IF(12&lt;='I_Inputs &amp; Assumptions'!$B$8/2,'I_Budget Input Data'!$D$60*0.6/('I_Inputs &amp; Assumptions'!$B$8/2),'I_Budget Input Data'!$D$60*0.4/('I_Inputs &amp; Assumptions'!$B$8/2)),IF('I_Budget Input Data'!$E$60="Back-loaded",IF(12&lt;='I_Inputs &amp; Assumptions'!$B$8/2,'I_Budget Input Data'!$D$60*0.4/('I_Inputs &amp; Assumptions'!$B$8/2),'I_Budget Input Data'!$D$60*0.6/('I_Inputs &amp; Assumptions'!$B$8/2)),IF('I_Budget Input Data'!$E$60="Mid-weighted",IF(12&lt;='I_Inputs &amp; Assumptions'!$B$8/4,'I_Budget Input Data'!$D$60*0.2/('I_Inputs &amp; Assumptions'!$B$8/4),IF(12&lt;='I_Inputs &amp; Assumptions'!$B$8*0.75,'I_Budget Input Data'!$D$60*0.6/('I_Inputs &amp; Assumptions'!$B$8/2),'I_Budget Input Data'!$D$60*0.2/('I_Inputs &amp; Assumptions'!$B$8/4))),IF('I_Budget Input Data'!$E$60="At Completion",IF(12='I_Inputs &amp; Assumptions'!$B$8,'I_Budget Input Data'!$D$60,0),'I_Budget Input Data'!$D$60/'I_Inputs &amp; Assumptions'!$B$8)))))),0)</f>
        <v>5801.6</v>
      </c>
      <c r="O60" s="91">
        <f>IF(13&lt;='I_Inputs &amp; Assumptions'!$B$8,IF('I_Budget Input Data'!$E$60="Upfront",IF(13=1,'I_Budget Input Data'!$D$60,0),IF('I_Budget Input Data'!$E$60="Equal",'I_Budget Input Data'!$D$60/'I_Inputs &amp; Assumptions'!$B$8,IF('I_Budget Input Data'!$E$60="Front-loaded",IF(13&lt;='I_Inputs &amp; Assumptions'!$B$8/2,'I_Budget Input Data'!$D$60*0.6/('I_Inputs &amp; Assumptions'!$B$8/2),'I_Budget Input Data'!$D$60*0.4/('I_Inputs &amp; Assumptions'!$B$8/2)),IF('I_Budget Input Data'!$E$60="Back-loaded",IF(13&lt;='I_Inputs &amp; Assumptions'!$B$8/2,'I_Budget Input Data'!$D$60*0.4/('I_Inputs &amp; Assumptions'!$B$8/2),'I_Budget Input Data'!$D$60*0.6/('I_Inputs &amp; Assumptions'!$B$8/2)),IF('I_Budget Input Data'!$E$60="Mid-weighted",IF(13&lt;='I_Inputs &amp; Assumptions'!$B$8/4,'I_Budget Input Data'!$D$60*0.2/('I_Inputs &amp; Assumptions'!$B$8/4),IF(13&lt;='I_Inputs &amp; Assumptions'!$B$8*0.75,'I_Budget Input Data'!$D$60*0.6/('I_Inputs &amp; Assumptions'!$B$8/2),'I_Budget Input Data'!$D$60*0.2/('I_Inputs &amp; Assumptions'!$B$8/4))),IF('I_Budget Input Data'!$E$60="At Completion",IF(13='I_Inputs &amp; Assumptions'!$B$8,'I_Budget Input Data'!$D$60,0),'I_Budget Input Data'!$D$60/'I_Inputs &amp; Assumptions'!$B$8)))))),0)</f>
        <v>5801.6</v>
      </c>
      <c r="P60" s="91">
        <f>IF(14&lt;='I_Inputs &amp; Assumptions'!$B$8,IF('I_Budget Input Data'!$E$60="Upfront",IF(14=1,'I_Budget Input Data'!$D$60,0),IF('I_Budget Input Data'!$E$60="Equal",'I_Budget Input Data'!$D$60/'I_Inputs &amp; Assumptions'!$B$8,IF('I_Budget Input Data'!$E$60="Front-loaded",IF(14&lt;='I_Inputs &amp; Assumptions'!$B$8/2,'I_Budget Input Data'!$D$60*0.6/('I_Inputs &amp; Assumptions'!$B$8/2),'I_Budget Input Data'!$D$60*0.4/('I_Inputs &amp; Assumptions'!$B$8/2)),IF('I_Budget Input Data'!$E$60="Back-loaded",IF(14&lt;='I_Inputs &amp; Assumptions'!$B$8/2,'I_Budget Input Data'!$D$60*0.4/('I_Inputs &amp; Assumptions'!$B$8/2),'I_Budget Input Data'!$D$60*0.6/('I_Inputs &amp; Assumptions'!$B$8/2)),IF('I_Budget Input Data'!$E$60="Mid-weighted",IF(14&lt;='I_Inputs &amp; Assumptions'!$B$8/4,'I_Budget Input Data'!$D$60*0.2/('I_Inputs &amp; Assumptions'!$B$8/4),IF(14&lt;='I_Inputs &amp; Assumptions'!$B$8*0.75,'I_Budget Input Data'!$D$60*0.6/('I_Inputs &amp; Assumptions'!$B$8/2),'I_Budget Input Data'!$D$60*0.2/('I_Inputs &amp; Assumptions'!$B$8/4))),IF('I_Budget Input Data'!$E$60="At Completion",IF(14='I_Inputs &amp; Assumptions'!$B$8,'I_Budget Input Data'!$D$60,0),'I_Budget Input Data'!$D$60/'I_Inputs &amp; Assumptions'!$B$8)))))),0)</f>
        <v>0</v>
      </c>
      <c r="Q60" s="91">
        <f>IF(15&lt;='I_Inputs &amp; Assumptions'!$B$8,IF('I_Budget Input Data'!$E$60="Upfront",IF(15=1,'I_Budget Input Data'!$D$60,0),IF('I_Budget Input Data'!$E$60="Equal",'I_Budget Input Data'!$D$60/'I_Inputs &amp; Assumptions'!$B$8,IF('I_Budget Input Data'!$E$60="Front-loaded",IF(15&lt;='I_Inputs &amp; Assumptions'!$B$8/2,'I_Budget Input Data'!$D$60*0.6/('I_Inputs &amp; Assumptions'!$B$8/2),'I_Budget Input Data'!$D$60*0.4/('I_Inputs &amp; Assumptions'!$B$8/2)),IF('I_Budget Input Data'!$E$60="Back-loaded",IF(15&lt;='I_Inputs &amp; Assumptions'!$B$8/2,'I_Budget Input Data'!$D$60*0.4/('I_Inputs &amp; Assumptions'!$B$8/2),'I_Budget Input Data'!$D$60*0.6/('I_Inputs &amp; Assumptions'!$B$8/2)),IF('I_Budget Input Data'!$E$60="Mid-weighted",IF(15&lt;='I_Inputs &amp; Assumptions'!$B$8/4,'I_Budget Input Data'!$D$60*0.2/('I_Inputs &amp; Assumptions'!$B$8/4),IF(15&lt;='I_Inputs &amp; Assumptions'!$B$8*0.75,'I_Budget Input Data'!$D$60*0.6/('I_Inputs &amp; Assumptions'!$B$8/2),'I_Budget Input Data'!$D$60*0.2/('I_Inputs &amp; Assumptions'!$B$8/4))),IF('I_Budget Input Data'!$E$60="At Completion",IF(15='I_Inputs &amp; Assumptions'!$B$8,'I_Budget Input Data'!$D$60,0),'I_Budget Input Data'!$D$60/'I_Inputs &amp; Assumptions'!$B$8)))))),0)</f>
        <v>0</v>
      </c>
      <c r="R60" s="91">
        <f>IF(16&lt;='I_Inputs &amp; Assumptions'!$B$8,IF('I_Budget Input Data'!$E$60="Upfront",IF(16=1,'I_Budget Input Data'!$D$60,0),IF('I_Budget Input Data'!$E$60="Equal",'I_Budget Input Data'!$D$60/'I_Inputs &amp; Assumptions'!$B$8,IF('I_Budget Input Data'!$E$60="Front-loaded",IF(16&lt;='I_Inputs &amp; Assumptions'!$B$8/2,'I_Budget Input Data'!$D$60*0.6/('I_Inputs &amp; Assumptions'!$B$8/2),'I_Budget Input Data'!$D$60*0.4/('I_Inputs &amp; Assumptions'!$B$8/2)),IF('I_Budget Input Data'!$E$60="Back-loaded",IF(16&lt;='I_Inputs &amp; Assumptions'!$B$8/2,'I_Budget Input Data'!$D$60*0.4/('I_Inputs &amp; Assumptions'!$B$8/2),'I_Budget Input Data'!$D$60*0.6/('I_Inputs &amp; Assumptions'!$B$8/2)),IF('I_Budget Input Data'!$E$60="Mid-weighted",IF(16&lt;='I_Inputs &amp; Assumptions'!$B$8/4,'I_Budget Input Data'!$D$60*0.2/('I_Inputs &amp; Assumptions'!$B$8/4),IF(16&lt;='I_Inputs &amp; Assumptions'!$B$8*0.75,'I_Budget Input Data'!$D$60*0.6/('I_Inputs &amp; Assumptions'!$B$8/2),'I_Budget Input Data'!$D$60*0.2/('I_Inputs &amp; Assumptions'!$B$8/4))),IF('I_Budget Input Data'!$E$60="At Completion",IF(16='I_Inputs &amp; Assumptions'!$B$8,'I_Budget Input Data'!$D$60,0),'I_Budget Input Data'!$D$60/'I_Inputs &amp; Assumptions'!$B$8)))))),0)</f>
        <v>0</v>
      </c>
      <c r="S60" s="91">
        <f>IF(17&lt;='I_Inputs &amp; Assumptions'!$B$8,IF('I_Budget Input Data'!$E$60="Upfront",IF(17=1,'I_Budget Input Data'!$D$60,0),IF('I_Budget Input Data'!$E$60="Equal",'I_Budget Input Data'!$D$60/'I_Inputs &amp; Assumptions'!$B$8,IF('I_Budget Input Data'!$E$60="Front-loaded",IF(17&lt;='I_Inputs &amp; Assumptions'!$B$8/2,'I_Budget Input Data'!$D$60*0.6/('I_Inputs &amp; Assumptions'!$B$8/2),'I_Budget Input Data'!$D$60*0.4/('I_Inputs &amp; Assumptions'!$B$8/2)),IF('I_Budget Input Data'!$E$60="Back-loaded",IF(17&lt;='I_Inputs &amp; Assumptions'!$B$8/2,'I_Budget Input Data'!$D$60*0.4/('I_Inputs &amp; Assumptions'!$B$8/2),'I_Budget Input Data'!$D$60*0.6/('I_Inputs &amp; Assumptions'!$B$8/2)),IF('I_Budget Input Data'!$E$60="Mid-weighted",IF(17&lt;='I_Inputs &amp; Assumptions'!$B$8/4,'I_Budget Input Data'!$D$60*0.2/('I_Inputs &amp; Assumptions'!$B$8/4),IF(17&lt;='I_Inputs &amp; Assumptions'!$B$8*0.75,'I_Budget Input Data'!$D$60*0.6/('I_Inputs &amp; Assumptions'!$B$8/2),'I_Budget Input Data'!$D$60*0.2/('I_Inputs &amp; Assumptions'!$B$8/4))),IF('I_Budget Input Data'!$E$60="At Completion",IF(17='I_Inputs &amp; Assumptions'!$B$8,'I_Budget Input Data'!$D$60,0),'I_Budget Input Data'!$D$60/'I_Inputs &amp; Assumptions'!$B$8)))))),0)</f>
        <v>0</v>
      </c>
      <c r="T60" s="91">
        <f>IF(18&lt;='I_Inputs &amp; Assumptions'!$B$8,IF('I_Budget Input Data'!$E$60="Upfront",IF(18=1,'I_Budget Input Data'!$D$60,0),IF('I_Budget Input Data'!$E$60="Equal",'I_Budget Input Data'!$D$60/'I_Inputs &amp; Assumptions'!$B$8,IF('I_Budget Input Data'!$E$60="Front-loaded",IF(18&lt;='I_Inputs &amp; Assumptions'!$B$8/2,'I_Budget Input Data'!$D$60*0.6/('I_Inputs &amp; Assumptions'!$B$8/2),'I_Budget Input Data'!$D$60*0.4/('I_Inputs &amp; Assumptions'!$B$8/2)),IF('I_Budget Input Data'!$E$60="Back-loaded",IF(18&lt;='I_Inputs &amp; Assumptions'!$B$8/2,'I_Budget Input Data'!$D$60*0.4/('I_Inputs &amp; Assumptions'!$B$8/2),'I_Budget Input Data'!$D$60*0.6/('I_Inputs &amp; Assumptions'!$B$8/2)),IF('I_Budget Input Data'!$E$60="Mid-weighted",IF(18&lt;='I_Inputs &amp; Assumptions'!$B$8/4,'I_Budget Input Data'!$D$60*0.2/('I_Inputs &amp; Assumptions'!$B$8/4),IF(18&lt;='I_Inputs &amp; Assumptions'!$B$8*0.75,'I_Budget Input Data'!$D$60*0.6/('I_Inputs &amp; Assumptions'!$B$8/2),'I_Budget Input Data'!$D$60*0.2/('I_Inputs &amp; Assumptions'!$B$8/4))),IF('I_Budget Input Data'!$E$60="At Completion",IF(18='I_Inputs &amp; Assumptions'!$B$8,'I_Budget Input Data'!$D$60,0),'I_Budget Input Data'!$D$60/'I_Inputs &amp; Assumptions'!$B$8)))))),0)</f>
        <v>0</v>
      </c>
      <c r="U60" s="91">
        <f>IF(19&lt;='I_Inputs &amp; Assumptions'!$B$8,IF('I_Budget Input Data'!$E$60="Upfront",IF(19=1,'I_Budget Input Data'!$D$60,0),IF('I_Budget Input Data'!$E$60="Equal",'I_Budget Input Data'!$D$60/'I_Inputs &amp; Assumptions'!$B$8,IF('I_Budget Input Data'!$E$60="Front-loaded",IF(19&lt;='I_Inputs &amp; Assumptions'!$B$8/2,'I_Budget Input Data'!$D$60*0.6/('I_Inputs &amp; Assumptions'!$B$8/2),'I_Budget Input Data'!$D$60*0.4/('I_Inputs &amp; Assumptions'!$B$8/2)),IF('I_Budget Input Data'!$E$60="Back-loaded",IF(19&lt;='I_Inputs &amp; Assumptions'!$B$8/2,'I_Budget Input Data'!$D$60*0.4/('I_Inputs &amp; Assumptions'!$B$8/2),'I_Budget Input Data'!$D$60*0.6/('I_Inputs &amp; Assumptions'!$B$8/2)),IF('I_Budget Input Data'!$E$60="Mid-weighted",IF(19&lt;='I_Inputs &amp; Assumptions'!$B$8/4,'I_Budget Input Data'!$D$60*0.2/('I_Inputs &amp; Assumptions'!$B$8/4),IF(19&lt;='I_Inputs &amp; Assumptions'!$B$8*0.75,'I_Budget Input Data'!$D$60*0.6/('I_Inputs &amp; Assumptions'!$B$8/2),'I_Budget Input Data'!$D$60*0.2/('I_Inputs &amp; Assumptions'!$B$8/4))),IF('I_Budget Input Data'!$E$60="At Completion",IF(19='I_Inputs &amp; Assumptions'!$B$8,'I_Budget Input Data'!$D$60,0),'I_Budget Input Data'!$D$60/'I_Inputs &amp; Assumptions'!$B$8)))))),0)</f>
        <v>0</v>
      </c>
      <c r="V60" s="91">
        <f>IF(20&lt;='I_Inputs &amp; Assumptions'!$B$8,IF('I_Budget Input Data'!$E$60="Upfront",IF(20=1,'I_Budget Input Data'!$D$60,0),IF('I_Budget Input Data'!$E$60="Equal",'I_Budget Input Data'!$D$60/'I_Inputs &amp; Assumptions'!$B$8,IF('I_Budget Input Data'!$E$60="Front-loaded",IF(20&lt;='I_Inputs &amp; Assumptions'!$B$8/2,'I_Budget Input Data'!$D$60*0.6/('I_Inputs &amp; Assumptions'!$B$8/2),'I_Budget Input Data'!$D$60*0.4/('I_Inputs &amp; Assumptions'!$B$8/2)),IF('I_Budget Input Data'!$E$60="Back-loaded",IF(20&lt;='I_Inputs &amp; Assumptions'!$B$8/2,'I_Budget Input Data'!$D$60*0.4/('I_Inputs &amp; Assumptions'!$B$8/2),'I_Budget Input Data'!$D$60*0.6/('I_Inputs &amp; Assumptions'!$B$8/2)),IF('I_Budget Input Data'!$E$60="Mid-weighted",IF(20&lt;='I_Inputs &amp; Assumptions'!$B$8/4,'I_Budget Input Data'!$D$60*0.2/('I_Inputs &amp; Assumptions'!$B$8/4),IF(20&lt;='I_Inputs &amp; Assumptions'!$B$8*0.75,'I_Budget Input Data'!$D$60*0.6/('I_Inputs &amp; Assumptions'!$B$8/2),'I_Budget Input Data'!$D$60*0.2/('I_Inputs &amp; Assumptions'!$B$8/4))),IF('I_Budget Input Data'!$E$60="At Completion",IF(20='I_Inputs &amp; Assumptions'!$B$8,'I_Budget Input Data'!$D$60,0),'I_Budget Input Data'!$D$60/'I_Inputs &amp; Assumptions'!$B$8)))))),0)</f>
        <v>0</v>
      </c>
      <c r="W60" s="91">
        <f>IF(21&lt;='I_Inputs &amp; Assumptions'!$B$8,IF('I_Budget Input Data'!$E$60="Upfront",IF(21=1,'I_Budget Input Data'!$D$60,0),IF('I_Budget Input Data'!$E$60="Equal",'I_Budget Input Data'!$D$60/'I_Inputs &amp; Assumptions'!$B$8,IF('I_Budget Input Data'!$E$60="Front-loaded",IF(21&lt;='I_Inputs &amp; Assumptions'!$B$8/2,'I_Budget Input Data'!$D$60*0.6/('I_Inputs &amp; Assumptions'!$B$8/2),'I_Budget Input Data'!$D$60*0.4/('I_Inputs &amp; Assumptions'!$B$8/2)),IF('I_Budget Input Data'!$E$60="Back-loaded",IF(21&lt;='I_Inputs &amp; Assumptions'!$B$8/2,'I_Budget Input Data'!$D$60*0.4/('I_Inputs &amp; Assumptions'!$B$8/2),'I_Budget Input Data'!$D$60*0.6/('I_Inputs &amp; Assumptions'!$B$8/2)),IF('I_Budget Input Data'!$E$60="Mid-weighted",IF(21&lt;='I_Inputs &amp; Assumptions'!$B$8/4,'I_Budget Input Data'!$D$60*0.2/('I_Inputs &amp; Assumptions'!$B$8/4),IF(21&lt;='I_Inputs &amp; Assumptions'!$B$8*0.75,'I_Budget Input Data'!$D$60*0.6/('I_Inputs &amp; Assumptions'!$B$8/2),'I_Budget Input Data'!$D$60*0.2/('I_Inputs &amp; Assumptions'!$B$8/4))),IF('I_Budget Input Data'!$E$60="At Completion",IF(21='I_Inputs &amp; Assumptions'!$B$8,'I_Budget Input Data'!$D$60,0),'I_Budget Input Data'!$D$60/'I_Inputs &amp; Assumptions'!$B$8)))))),0)</f>
        <v>0</v>
      </c>
      <c r="X60" s="91">
        <f>IF(22&lt;='I_Inputs &amp; Assumptions'!$B$8,IF('I_Budget Input Data'!$E$60="Upfront",IF(22=1,'I_Budget Input Data'!$D$60,0),IF('I_Budget Input Data'!$E$60="Equal",'I_Budget Input Data'!$D$60/'I_Inputs &amp; Assumptions'!$B$8,IF('I_Budget Input Data'!$E$60="Front-loaded",IF(22&lt;='I_Inputs &amp; Assumptions'!$B$8/2,'I_Budget Input Data'!$D$60*0.6/('I_Inputs &amp; Assumptions'!$B$8/2),'I_Budget Input Data'!$D$60*0.4/('I_Inputs &amp; Assumptions'!$B$8/2)),IF('I_Budget Input Data'!$E$60="Back-loaded",IF(22&lt;='I_Inputs &amp; Assumptions'!$B$8/2,'I_Budget Input Data'!$D$60*0.4/('I_Inputs &amp; Assumptions'!$B$8/2),'I_Budget Input Data'!$D$60*0.6/('I_Inputs &amp; Assumptions'!$B$8/2)),IF('I_Budget Input Data'!$E$60="Mid-weighted",IF(22&lt;='I_Inputs &amp; Assumptions'!$B$8/4,'I_Budget Input Data'!$D$60*0.2/('I_Inputs &amp; Assumptions'!$B$8/4),IF(22&lt;='I_Inputs &amp; Assumptions'!$B$8*0.75,'I_Budget Input Data'!$D$60*0.6/('I_Inputs &amp; Assumptions'!$B$8/2),'I_Budget Input Data'!$D$60*0.2/('I_Inputs &amp; Assumptions'!$B$8/4))),IF('I_Budget Input Data'!$E$60="At Completion",IF(22='I_Inputs &amp; Assumptions'!$B$8,'I_Budget Input Data'!$D$60,0),'I_Budget Input Data'!$D$60/'I_Inputs &amp; Assumptions'!$B$8)))))),0)</f>
        <v>0</v>
      </c>
      <c r="Y60" s="91">
        <f>IF(23&lt;='I_Inputs &amp; Assumptions'!$B$8,IF('I_Budget Input Data'!$E$60="Upfront",IF(23=1,'I_Budget Input Data'!$D$60,0),IF('I_Budget Input Data'!$E$60="Equal",'I_Budget Input Data'!$D$60/'I_Inputs &amp; Assumptions'!$B$8,IF('I_Budget Input Data'!$E$60="Front-loaded",IF(23&lt;='I_Inputs &amp; Assumptions'!$B$8/2,'I_Budget Input Data'!$D$60*0.6/('I_Inputs &amp; Assumptions'!$B$8/2),'I_Budget Input Data'!$D$60*0.4/('I_Inputs &amp; Assumptions'!$B$8/2)),IF('I_Budget Input Data'!$E$60="Back-loaded",IF(23&lt;='I_Inputs &amp; Assumptions'!$B$8/2,'I_Budget Input Data'!$D$60*0.4/('I_Inputs &amp; Assumptions'!$B$8/2),'I_Budget Input Data'!$D$60*0.6/('I_Inputs &amp; Assumptions'!$B$8/2)),IF('I_Budget Input Data'!$E$60="Mid-weighted",IF(23&lt;='I_Inputs &amp; Assumptions'!$B$8/4,'I_Budget Input Data'!$D$60*0.2/('I_Inputs &amp; Assumptions'!$B$8/4),IF(23&lt;='I_Inputs &amp; Assumptions'!$B$8*0.75,'I_Budget Input Data'!$D$60*0.6/('I_Inputs &amp; Assumptions'!$B$8/2),'I_Budget Input Data'!$D$60*0.2/('I_Inputs &amp; Assumptions'!$B$8/4))),IF('I_Budget Input Data'!$E$60="At Completion",IF(23='I_Inputs &amp; Assumptions'!$B$8,'I_Budget Input Data'!$D$60,0),'I_Budget Input Data'!$D$60/'I_Inputs &amp; Assumptions'!$B$8)))))),0)</f>
        <v>0</v>
      </c>
      <c r="Z60" s="91">
        <f>IF(24&lt;='I_Inputs &amp; Assumptions'!$B$8,IF('I_Budget Input Data'!$E$60="Upfront",IF(24=1,'I_Budget Input Data'!$D$60,0),IF('I_Budget Input Data'!$E$60="Equal",'I_Budget Input Data'!$D$60/'I_Inputs &amp; Assumptions'!$B$8,IF('I_Budget Input Data'!$E$60="Front-loaded",IF(24&lt;='I_Inputs &amp; Assumptions'!$B$8/2,'I_Budget Input Data'!$D$60*0.6/('I_Inputs &amp; Assumptions'!$B$8/2),'I_Budget Input Data'!$D$60*0.4/('I_Inputs &amp; Assumptions'!$B$8/2)),IF('I_Budget Input Data'!$E$60="Back-loaded",IF(24&lt;='I_Inputs &amp; Assumptions'!$B$8/2,'I_Budget Input Data'!$D$60*0.4/('I_Inputs &amp; Assumptions'!$B$8/2),'I_Budget Input Data'!$D$60*0.6/('I_Inputs &amp; Assumptions'!$B$8/2)),IF('I_Budget Input Data'!$E$60="Mid-weighted",IF(24&lt;='I_Inputs &amp; Assumptions'!$B$8/4,'I_Budget Input Data'!$D$60*0.2/('I_Inputs &amp; Assumptions'!$B$8/4),IF(24&lt;='I_Inputs &amp; Assumptions'!$B$8*0.75,'I_Budget Input Data'!$D$60*0.6/('I_Inputs &amp; Assumptions'!$B$8/2),'I_Budget Input Data'!$D$60*0.2/('I_Inputs &amp; Assumptions'!$B$8/4))),IF('I_Budget Input Data'!$E$60="At Completion",IF(24='I_Inputs &amp; Assumptions'!$B$8,'I_Budget Input Data'!$D$60,0),'I_Budget Input Data'!$D$60/'I_Inputs &amp; Assumptions'!$B$8)))))),0)</f>
        <v>0</v>
      </c>
      <c r="AA60" s="91">
        <f>IF(25&lt;='I_Inputs &amp; Assumptions'!$B$8,IF('I_Budget Input Data'!$E$60="Upfront",IF(25=1,'I_Budget Input Data'!$D$60,0),IF('I_Budget Input Data'!$E$60="Equal",'I_Budget Input Data'!$D$60/'I_Inputs &amp; Assumptions'!$B$8,IF('I_Budget Input Data'!$E$60="Front-loaded",IF(25&lt;='I_Inputs &amp; Assumptions'!$B$8/2,'I_Budget Input Data'!$D$60*0.6/('I_Inputs &amp; Assumptions'!$B$8/2),'I_Budget Input Data'!$D$60*0.4/('I_Inputs &amp; Assumptions'!$B$8/2)),IF('I_Budget Input Data'!$E$60="Back-loaded",IF(25&lt;='I_Inputs &amp; Assumptions'!$B$8/2,'I_Budget Input Data'!$D$60*0.4/('I_Inputs &amp; Assumptions'!$B$8/2),'I_Budget Input Data'!$D$60*0.6/('I_Inputs &amp; Assumptions'!$B$8/2)),IF('I_Budget Input Data'!$E$60="Mid-weighted",IF(25&lt;='I_Inputs &amp; Assumptions'!$B$8/4,'I_Budget Input Data'!$D$60*0.2/('I_Inputs &amp; Assumptions'!$B$8/4),IF(25&lt;='I_Inputs &amp; Assumptions'!$B$8*0.75,'I_Budget Input Data'!$D$60*0.6/('I_Inputs &amp; Assumptions'!$B$8/2),'I_Budget Input Data'!$D$60*0.2/('I_Inputs &amp; Assumptions'!$B$8/4))),IF('I_Budget Input Data'!$E$60="At Completion",IF(25='I_Inputs &amp; Assumptions'!$B$8,'I_Budget Input Data'!$D$60,0),'I_Budget Input Data'!$D$60/'I_Inputs &amp; Assumptions'!$B$8)))))),0)</f>
        <v>0</v>
      </c>
      <c r="AB60" s="91">
        <f>IF(26&lt;='I_Inputs &amp; Assumptions'!$B$8,IF('I_Budget Input Data'!$E$60="Upfront",IF(26=1,'I_Budget Input Data'!$D$60,0),IF('I_Budget Input Data'!$E$60="Equal",'I_Budget Input Data'!$D$60/'I_Inputs &amp; Assumptions'!$B$8,IF('I_Budget Input Data'!$E$60="Front-loaded",IF(26&lt;='I_Inputs &amp; Assumptions'!$B$8/2,'I_Budget Input Data'!$D$60*0.6/('I_Inputs &amp; Assumptions'!$B$8/2),'I_Budget Input Data'!$D$60*0.4/('I_Inputs &amp; Assumptions'!$B$8/2)),IF('I_Budget Input Data'!$E$60="Back-loaded",IF(26&lt;='I_Inputs &amp; Assumptions'!$B$8/2,'I_Budget Input Data'!$D$60*0.4/('I_Inputs &amp; Assumptions'!$B$8/2),'I_Budget Input Data'!$D$60*0.6/('I_Inputs &amp; Assumptions'!$B$8/2)),IF('I_Budget Input Data'!$E$60="Mid-weighted",IF(26&lt;='I_Inputs &amp; Assumptions'!$B$8/4,'I_Budget Input Data'!$D$60*0.2/('I_Inputs &amp; Assumptions'!$B$8/4),IF(26&lt;='I_Inputs &amp; Assumptions'!$B$8*0.75,'I_Budget Input Data'!$D$60*0.6/('I_Inputs &amp; Assumptions'!$B$8/2),'I_Budget Input Data'!$D$60*0.2/('I_Inputs &amp; Assumptions'!$B$8/4))),IF('I_Budget Input Data'!$E$60="At Completion",IF(26='I_Inputs &amp; Assumptions'!$B$8,'I_Budget Input Data'!$D$60,0),'I_Budget Input Data'!$D$60/'I_Inputs &amp; Assumptions'!$B$8)))))),0)</f>
        <v>0</v>
      </c>
      <c r="AC60" s="91">
        <f>IF(27&lt;='I_Inputs &amp; Assumptions'!$B$8,IF('I_Budget Input Data'!$E$60="Upfront",IF(27=1,'I_Budget Input Data'!$D$60,0),IF('I_Budget Input Data'!$E$60="Equal",'I_Budget Input Data'!$D$60/'I_Inputs &amp; Assumptions'!$B$8,IF('I_Budget Input Data'!$E$60="Front-loaded",IF(27&lt;='I_Inputs &amp; Assumptions'!$B$8/2,'I_Budget Input Data'!$D$60*0.6/('I_Inputs &amp; Assumptions'!$B$8/2),'I_Budget Input Data'!$D$60*0.4/('I_Inputs &amp; Assumptions'!$B$8/2)),IF('I_Budget Input Data'!$E$60="Back-loaded",IF(27&lt;='I_Inputs &amp; Assumptions'!$B$8/2,'I_Budget Input Data'!$D$60*0.4/('I_Inputs &amp; Assumptions'!$B$8/2),'I_Budget Input Data'!$D$60*0.6/('I_Inputs &amp; Assumptions'!$B$8/2)),IF('I_Budget Input Data'!$E$60="Mid-weighted",IF(27&lt;='I_Inputs &amp; Assumptions'!$B$8/4,'I_Budget Input Data'!$D$60*0.2/('I_Inputs &amp; Assumptions'!$B$8/4),IF(27&lt;='I_Inputs &amp; Assumptions'!$B$8*0.75,'I_Budget Input Data'!$D$60*0.6/('I_Inputs &amp; Assumptions'!$B$8/2),'I_Budget Input Data'!$D$60*0.2/('I_Inputs &amp; Assumptions'!$B$8/4))),IF('I_Budget Input Data'!$E$60="At Completion",IF(27='I_Inputs &amp; Assumptions'!$B$8,'I_Budget Input Data'!$D$60,0),'I_Budget Input Data'!$D$60/'I_Inputs &amp; Assumptions'!$B$8)))))),0)</f>
        <v>0</v>
      </c>
      <c r="AD60" s="91">
        <f>IF(28&lt;='I_Inputs &amp; Assumptions'!$B$8,IF('I_Budget Input Data'!$E$60="Upfront",IF(28=1,'I_Budget Input Data'!$D$60,0),IF('I_Budget Input Data'!$E$60="Equal",'I_Budget Input Data'!$D$60/'I_Inputs &amp; Assumptions'!$B$8,IF('I_Budget Input Data'!$E$60="Front-loaded",IF(28&lt;='I_Inputs &amp; Assumptions'!$B$8/2,'I_Budget Input Data'!$D$60*0.6/('I_Inputs &amp; Assumptions'!$B$8/2),'I_Budget Input Data'!$D$60*0.4/('I_Inputs &amp; Assumptions'!$B$8/2)),IF('I_Budget Input Data'!$E$60="Back-loaded",IF(28&lt;='I_Inputs &amp; Assumptions'!$B$8/2,'I_Budget Input Data'!$D$60*0.4/('I_Inputs &amp; Assumptions'!$B$8/2),'I_Budget Input Data'!$D$60*0.6/('I_Inputs &amp; Assumptions'!$B$8/2)),IF('I_Budget Input Data'!$E$60="Mid-weighted",IF(28&lt;='I_Inputs &amp; Assumptions'!$B$8/4,'I_Budget Input Data'!$D$60*0.2/('I_Inputs &amp; Assumptions'!$B$8/4),IF(28&lt;='I_Inputs &amp; Assumptions'!$B$8*0.75,'I_Budget Input Data'!$D$60*0.6/('I_Inputs &amp; Assumptions'!$B$8/2),'I_Budget Input Data'!$D$60*0.2/('I_Inputs &amp; Assumptions'!$B$8/4))),IF('I_Budget Input Data'!$E$60="At Completion",IF(28='I_Inputs &amp; Assumptions'!$B$8,'I_Budget Input Data'!$D$60,0),'I_Budget Input Data'!$D$60/'I_Inputs &amp; Assumptions'!$B$8)))))),0)</f>
        <v>0</v>
      </c>
      <c r="AE60" s="91">
        <f>IF(29&lt;='I_Inputs &amp; Assumptions'!$B$8,IF('I_Budget Input Data'!$E$60="Upfront",IF(29=1,'I_Budget Input Data'!$D$60,0),IF('I_Budget Input Data'!$E$60="Equal",'I_Budget Input Data'!$D$60/'I_Inputs &amp; Assumptions'!$B$8,IF('I_Budget Input Data'!$E$60="Front-loaded",IF(29&lt;='I_Inputs &amp; Assumptions'!$B$8/2,'I_Budget Input Data'!$D$60*0.6/('I_Inputs &amp; Assumptions'!$B$8/2),'I_Budget Input Data'!$D$60*0.4/('I_Inputs &amp; Assumptions'!$B$8/2)),IF('I_Budget Input Data'!$E$60="Back-loaded",IF(29&lt;='I_Inputs &amp; Assumptions'!$B$8/2,'I_Budget Input Data'!$D$60*0.4/('I_Inputs &amp; Assumptions'!$B$8/2),'I_Budget Input Data'!$D$60*0.6/('I_Inputs &amp; Assumptions'!$B$8/2)),IF('I_Budget Input Data'!$E$60="Mid-weighted",IF(29&lt;='I_Inputs &amp; Assumptions'!$B$8/4,'I_Budget Input Data'!$D$60*0.2/('I_Inputs &amp; Assumptions'!$B$8/4),IF(29&lt;='I_Inputs &amp; Assumptions'!$B$8*0.75,'I_Budget Input Data'!$D$60*0.6/('I_Inputs &amp; Assumptions'!$B$8/2),'I_Budget Input Data'!$D$60*0.2/('I_Inputs &amp; Assumptions'!$B$8/4))),IF('I_Budget Input Data'!$E$60="At Completion",IF(29='I_Inputs &amp; Assumptions'!$B$8,'I_Budget Input Data'!$D$60,0),'I_Budget Input Data'!$D$60/'I_Inputs &amp; Assumptions'!$B$8)))))),0)</f>
        <v>0</v>
      </c>
      <c r="AF60" s="91">
        <f>IF(30&lt;='I_Inputs &amp; Assumptions'!$B$8,IF('I_Budget Input Data'!$E$60="Upfront",IF(30=1,'I_Budget Input Data'!$D$60,0),IF('I_Budget Input Data'!$E$60="Equal",'I_Budget Input Data'!$D$60/'I_Inputs &amp; Assumptions'!$B$8,IF('I_Budget Input Data'!$E$60="Front-loaded",IF(30&lt;='I_Inputs &amp; Assumptions'!$B$8/2,'I_Budget Input Data'!$D$60*0.6/('I_Inputs &amp; Assumptions'!$B$8/2),'I_Budget Input Data'!$D$60*0.4/('I_Inputs &amp; Assumptions'!$B$8/2)),IF('I_Budget Input Data'!$E$60="Back-loaded",IF(30&lt;='I_Inputs &amp; Assumptions'!$B$8/2,'I_Budget Input Data'!$D$60*0.4/('I_Inputs &amp; Assumptions'!$B$8/2),'I_Budget Input Data'!$D$60*0.6/('I_Inputs &amp; Assumptions'!$B$8/2)),IF('I_Budget Input Data'!$E$60="Mid-weighted",IF(30&lt;='I_Inputs &amp; Assumptions'!$B$8/4,'I_Budget Input Data'!$D$60*0.2/('I_Inputs &amp; Assumptions'!$B$8/4),IF(30&lt;='I_Inputs &amp; Assumptions'!$B$8*0.75,'I_Budget Input Data'!$D$60*0.6/('I_Inputs &amp; Assumptions'!$B$8/2),'I_Budget Input Data'!$D$60*0.2/('I_Inputs &amp; Assumptions'!$B$8/4))),IF('I_Budget Input Data'!$E$60="At Completion",IF(30='I_Inputs &amp; Assumptions'!$B$8,'I_Budget Input Data'!$D$60,0),'I_Budget Input Data'!$D$60/'I_Inputs &amp; Assumptions'!$B$8)))))),0)</f>
        <v>0</v>
      </c>
      <c r="AG60" s="91">
        <f>IF(31&lt;='I_Inputs &amp; Assumptions'!$B$8,IF('I_Budget Input Data'!$E$60="Upfront",IF(31=1,'I_Budget Input Data'!$D$60,0),IF('I_Budget Input Data'!$E$60="Equal",'I_Budget Input Data'!$D$60/'I_Inputs &amp; Assumptions'!$B$8,IF('I_Budget Input Data'!$E$60="Front-loaded",IF(31&lt;='I_Inputs &amp; Assumptions'!$B$8/2,'I_Budget Input Data'!$D$60*0.6/('I_Inputs &amp; Assumptions'!$B$8/2),'I_Budget Input Data'!$D$60*0.4/('I_Inputs &amp; Assumptions'!$B$8/2)),IF('I_Budget Input Data'!$E$60="Back-loaded",IF(31&lt;='I_Inputs &amp; Assumptions'!$B$8/2,'I_Budget Input Data'!$D$60*0.4/('I_Inputs &amp; Assumptions'!$B$8/2),'I_Budget Input Data'!$D$60*0.6/('I_Inputs &amp; Assumptions'!$B$8/2)),IF('I_Budget Input Data'!$E$60="Mid-weighted",IF(31&lt;='I_Inputs &amp; Assumptions'!$B$8/4,'I_Budget Input Data'!$D$60*0.2/('I_Inputs &amp; Assumptions'!$B$8/4),IF(31&lt;='I_Inputs &amp; Assumptions'!$B$8*0.75,'I_Budget Input Data'!$D$60*0.6/('I_Inputs &amp; Assumptions'!$B$8/2),'I_Budget Input Data'!$D$60*0.2/('I_Inputs &amp; Assumptions'!$B$8/4))),IF('I_Budget Input Data'!$E$60="At Completion",IF(31='I_Inputs &amp; Assumptions'!$B$8,'I_Budget Input Data'!$D$60,0),'I_Budget Input Data'!$D$60/'I_Inputs &amp; Assumptions'!$B$8)))))),0)</f>
        <v>0</v>
      </c>
      <c r="AH60" s="91">
        <f>IF(32&lt;='I_Inputs &amp; Assumptions'!$B$8,IF('I_Budget Input Data'!$E$60="Upfront",IF(32=1,'I_Budget Input Data'!$D$60,0),IF('I_Budget Input Data'!$E$60="Equal",'I_Budget Input Data'!$D$60/'I_Inputs &amp; Assumptions'!$B$8,IF('I_Budget Input Data'!$E$60="Front-loaded",IF(32&lt;='I_Inputs &amp; Assumptions'!$B$8/2,'I_Budget Input Data'!$D$60*0.6/('I_Inputs &amp; Assumptions'!$B$8/2),'I_Budget Input Data'!$D$60*0.4/('I_Inputs &amp; Assumptions'!$B$8/2)),IF('I_Budget Input Data'!$E$60="Back-loaded",IF(32&lt;='I_Inputs &amp; Assumptions'!$B$8/2,'I_Budget Input Data'!$D$60*0.4/('I_Inputs &amp; Assumptions'!$B$8/2),'I_Budget Input Data'!$D$60*0.6/('I_Inputs &amp; Assumptions'!$B$8/2)),IF('I_Budget Input Data'!$E$60="Mid-weighted",IF(32&lt;='I_Inputs &amp; Assumptions'!$B$8/4,'I_Budget Input Data'!$D$60*0.2/('I_Inputs &amp; Assumptions'!$B$8/4),IF(32&lt;='I_Inputs &amp; Assumptions'!$B$8*0.75,'I_Budget Input Data'!$D$60*0.6/('I_Inputs &amp; Assumptions'!$B$8/2),'I_Budget Input Data'!$D$60*0.2/('I_Inputs &amp; Assumptions'!$B$8/4))),IF('I_Budget Input Data'!$E$60="At Completion",IF(32='I_Inputs &amp; Assumptions'!$B$8,'I_Budget Input Data'!$D$60,0),'I_Budget Input Data'!$D$60/'I_Inputs &amp; Assumptions'!$B$8)))))),0)</f>
        <v>0</v>
      </c>
      <c r="AI60" s="91">
        <f>IF(33&lt;='I_Inputs &amp; Assumptions'!$B$8,IF('I_Budget Input Data'!$E$60="Upfront",IF(33=1,'I_Budget Input Data'!$D$60,0),IF('I_Budget Input Data'!$E$60="Equal",'I_Budget Input Data'!$D$60/'I_Inputs &amp; Assumptions'!$B$8,IF('I_Budget Input Data'!$E$60="Front-loaded",IF(33&lt;='I_Inputs &amp; Assumptions'!$B$8/2,'I_Budget Input Data'!$D$60*0.6/('I_Inputs &amp; Assumptions'!$B$8/2),'I_Budget Input Data'!$D$60*0.4/('I_Inputs &amp; Assumptions'!$B$8/2)),IF('I_Budget Input Data'!$E$60="Back-loaded",IF(33&lt;='I_Inputs &amp; Assumptions'!$B$8/2,'I_Budget Input Data'!$D$60*0.4/('I_Inputs &amp; Assumptions'!$B$8/2),'I_Budget Input Data'!$D$60*0.6/('I_Inputs &amp; Assumptions'!$B$8/2)),IF('I_Budget Input Data'!$E$60="Mid-weighted",IF(33&lt;='I_Inputs &amp; Assumptions'!$B$8/4,'I_Budget Input Data'!$D$60*0.2/('I_Inputs &amp; Assumptions'!$B$8/4),IF(33&lt;='I_Inputs &amp; Assumptions'!$B$8*0.75,'I_Budget Input Data'!$D$60*0.6/('I_Inputs &amp; Assumptions'!$B$8/2),'I_Budget Input Data'!$D$60*0.2/('I_Inputs &amp; Assumptions'!$B$8/4))),IF('I_Budget Input Data'!$E$60="At Completion",IF(33='I_Inputs &amp; Assumptions'!$B$8,'I_Budget Input Data'!$D$60,0),'I_Budget Input Data'!$D$60/'I_Inputs &amp; Assumptions'!$B$8)))))),0)</f>
        <v>0</v>
      </c>
      <c r="AJ60" s="91">
        <f>IF(34&lt;='I_Inputs &amp; Assumptions'!$B$8,IF('I_Budget Input Data'!$E$60="Upfront",IF(34=1,'I_Budget Input Data'!$D$60,0),IF('I_Budget Input Data'!$E$60="Equal",'I_Budget Input Data'!$D$60/'I_Inputs &amp; Assumptions'!$B$8,IF('I_Budget Input Data'!$E$60="Front-loaded",IF(34&lt;='I_Inputs &amp; Assumptions'!$B$8/2,'I_Budget Input Data'!$D$60*0.6/('I_Inputs &amp; Assumptions'!$B$8/2),'I_Budget Input Data'!$D$60*0.4/('I_Inputs &amp; Assumptions'!$B$8/2)),IF('I_Budget Input Data'!$E$60="Back-loaded",IF(34&lt;='I_Inputs &amp; Assumptions'!$B$8/2,'I_Budget Input Data'!$D$60*0.4/('I_Inputs &amp; Assumptions'!$B$8/2),'I_Budget Input Data'!$D$60*0.6/('I_Inputs &amp; Assumptions'!$B$8/2)),IF('I_Budget Input Data'!$E$60="Mid-weighted",IF(34&lt;='I_Inputs &amp; Assumptions'!$B$8/4,'I_Budget Input Data'!$D$60*0.2/('I_Inputs &amp; Assumptions'!$B$8/4),IF(34&lt;='I_Inputs &amp; Assumptions'!$B$8*0.75,'I_Budget Input Data'!$D$60*0.6/('I_Inputs &amp; Assumptions'!$B$8/2),'I_Budget Input Data'!$D$60*0.2/('I_Inputs &amp; Assumptions'!$B$8/4))),IF('I_Budget Input Data'!$E$60="At Completion",IF(34='I_Inputs &amp; Assumptions'!$B$8,'I_Budget Input Data'!$D$60,0),'I_Budget Input Data'!$D$60/'I_Inputs &amp; Assumptions'!$B$8)))))),0)</f>
        <v>0</v>
      </c>
      <c r="AK60" s="91">
        <f>IF(35&lt;='I_Inputs &amp; Assumptions'!$B$8,IF('I_Budget Input Data'!$E$60="Upfront",IF(35=1,'I_Budget Input Data'!$D$60,0),IF('I_Budget Input Data'!$E$60="Equal",'I_Budget Input Data'!$D$60/'I_Inputs &amp; Assumptions'!$B$8,IF('I_Budget Input Data'!$E$60="Front-loaded",IF(35&lt;='I_Inputs &amp; Assumptions'!$B$8/2,'I_Budget Input Data'!$D$60*0.6/('I_Inputs &amp; Assumptions'!$B$8/2),'I_Budget Input Data'!$D$60*0.4/('I_Inputs &amp; Assumptions'!$B$8/2)),IF('I_Budget Input Data'!$E$60="Back-loaded",IF(35&lt;='I_Inputs &amp; Assumptions'!$B$8/2,'I_Budget Input Data'!$D$60*0.4/('I_Inputs &amp; Assumptions'!$B$8/2),'I_Budget Input Data'!$D$60*0.6/('I_Inputs &amp; Assumptions'!$B$8/2)),IF('I_Budget Input Data'!$E$60="Mid-weighted",IF(35&lt;='I_Inputs &amp; Assumptions'!$B$8/4,'I_Budget Input Data'!$D$60*0.2/('I_Inputs &amp; Assumptions'!$B$8/4),IF(35&lt;='I_Inputs &amp; Assumptions'!$B$8*0.75,'I_Budget Input Data'!$D$60*0.6/('I_Inputs &amp; Assumptions'!$B$8/2),'I_Budget Input Data'!$D$60*0.2/('I_Inputs &amp; Assumptions'!$B$8/4))),IF('I_Budget Input Data'!$E$60="At Completion",IF(35='I_Inputs &amp; Assumptions'!$B$8,'I_Budget Input Data'!$D$60,0),'I_Budget Input Data'!$D$60/'I_Inputs &amp; Assumptions'!$B$8)))))),0)</f>
        <v>0</v>
      </c>
      <c r="AL60" s="91">
        <f>IF(36&lt;='I_Inputs &amp; Assumptions'!$B$8,IF('I_Budget Input Data'!$E$60="Upfront",IF(36=1,'I_Budget Input Data'!$D$60,0),IF('I_Budget Input Data'!$E$60="Equal",'I_Budget Input Data'!$D$60/'I_Inputs &amp; Assumptions'!$B$8,IF('I_Budget Input Data'!$E$60="Front-loaded",IF(36&lt;='I_Inputs &amp; Assumptions'!$B$8/2,'I_Budget Input Data'!$D$60*0.6/('I_Inputs &amp; Assumptions'!$B$8/2),'I_Budget Input Data'!$D$60*0.4/('I_Inputs &amp; Assumptions'!$B$8/2)),IF('I_Budget Input Data'!$E$60="Back-loaded",IF(36&lt;='I_Inputs &amp; Assumptions'!$B$8/2,'I_Budget Input Data'!$D$60*0.4/('I_Inputs &amp; Assumptions'!$B$8/2),'I_Budget Input Data'!$D$60*0.6/('I_Inputs &amp; Assumptions'!$B$8/2)),IF('I_Budget Input Data'!$E$60="Mid-weighted",IF(36&lt;='I_Inputs &amp; Assumptions'!$B$8/4,'I_Budget Input Data'!$D$60*0.2/('I_Inputs &amp; Assumptions'!$B$8/4),IF(36&lt;='I_Inputs &amp; Assumptions'!$B$8*0.75,'I_Budget Input Data'!$D$60*0.6/('I_Inputs &amp; Assumptions'!$B$8/2),'I_Budget Input Data'!$D$60*0.2/('I_Inputs &amp; Assumptions'!$B$8/4))),IF('I_Budget Input Data'!$E$60="At Completion",IF(36='I_Inputs &amp; Assumptions'!$B$8,'I_Budget Input Data'!$D$60,0),'I_Budget Input Data'!$D$60/'I_Inputs &amp; Assumptions'!$B$8)))))),0)</f>
        <v>0</v>
      </c>
    </row>
    <row r="61" spans="1:38" ht="15" customHeight="1" x14ac:dyDescent="0.2">
      <c r="A61" t="s">
        <v>146</v>
      </c>
      <c r="B61" t="s">
        <v>181</v>
      </c>
      <c r="C61" s="91">
        <f>IF(1&lt;='I_Inputs &amp; Assumptions'!$B$8,IF('I_Budget Input Data'!$E$61="Upfront",IF(1=1,'I_Budget Input Data'!$D$61,0),IF('I_Budget Input Data'!$E$61="Equal",'I_Budget Input Data'!$D$61/'I_Inputs &amp; Assumptions'!$B$8,IF('I_Budget Input Data'!$E$61="Front-loaded",IF(1&lt;='I_Inputs &amp; Assumptions'!$B$8/2,'I_Budget Input Data'!$D$61*0.6/('I_Inputs &amp; Assumptions'!$B$8/2),'I_Budget Input Data'!$D$61*0.4/('I_Inputs &amp; Assumptions'!$B$8/2)),IF('I_Budget Input Data'!$E$61="Back-loaded",IF(1&lt;='I_Inputs &amp; Assumptions'!$B$8/2,'I_Budget Input Data'!$D$61*0.4/('I_Inputs &amp; Assumptions'!$B$8/2),'I_Budget Input Data'!$D$61*0.6/('I_Inputs &amp; Assumptions'!$B$8/2)),IF('I_Budget Input Data'!$E$61="Mid-weighted",IF(1&lt;='I_Inputs &amp; Assumptions'!$B$8/4,'I_Budget Input Data'!$D$61*0.2/('I_Inputs &amp; Assumptions'!$B$8/4),IF(1&lt;='I_Inputs &amp; Assumptions'!$B$8*0.75,'I_Budget Input Data'!$D$61*0.6/('I_Inputs &amp; Assumptions'!$B$8/2),'I_Budget Input Data'!$D$61*0.2/('I_Inputs &amp; Assumptions'!$B$8/4))),IF('I_Budget Input Data'!$E$61="At Completion",IF(1='I_Inputs &amp; Assumptions'!$B$8,'I_Budget Input Data'!$D$61,0),'I_Budget Input Data'!$D$61/'I_Inputs &amp; Assumptions'!$B$8)))))),0)</f>
        <v>2555.1692307692306</v>
      </c>
      <c r="D61" s="91">
        <f>IF(2&lt;='I_Inputs &amp; Assumptions'!$B$8,IF('I_Budget Input Data'!$E$61="Upfront",IF(2=1,'I_Budget Input Data'!$D$61,0),IF('I_Budget Input Data'!$E$61="Equal",'I_Budget Input Data'!$D$61/'I_Inputs &amp; Assumptions'!$B$8,IF('I_Budget Input Data'!$E$61="Front-loaded",IF(2&lt;='I_Inputs &amp; Assumptions'!$B$8/2,'I_Budget Input Data'!$D$61*0.6/('I_Inputs &amp; Assumptions'!$B$8/2),'I_Budget Input Data'!$D$61*0.4/('I_Inputs &amp; Assumptions'!$B$8/2)),IF('I_Budget Input Data'!$E$61="Back-loaded",IF(2&lt;='I_Inputs &amp; Assumptions'!$B$8/2,'I_Budget Input Data'!$D$61*0.4/('I_Inputs &amp; Assumptions'!$B$8/2),'I_Budget Input Data'!$D$61*0.6/('I_Inputs &amp; Assumptions'!$B$8/2)),IF('I_Budget Input Data'!$E$61="Mid-weighted",IF(2&lt;='I_Inputs &amp; Assumptions'!$B$8/4,'I_Budget Input Data'!$D$61*0.2/('I_Inputs &amp; Assumptions'!$B$8/4),IF(2&lt;='I_Inputs &amp; Assumptions'!$B$8*0.75,'I_Budget Input Data'!$D$61*0.6/('I_Inputs &amp; Assumptions'!$B$8/2),'I_Budget Input Data'!$D$61*0.2/('I_Inputs &amp; Assumptions'!$B$8/4))),IF('I_Budget Input Data'!$E$61="At Completion",IF(2='I_Inputs &amp; Assumptions'!$B$8,'I_Budget Input Data'!$D$61,0),'I_Budget Input Data'!$D$61/'I_Inputs &amp; Assumptions'!$B$8)))))),0)</f>
        <v>2555.1692307692306</v>
      </c>
      <c r="E61" s="91">
        <f>IF(3&lt;='I_Inputs &amp; Assumptions'!$B$8,IF('I_Budget Input Data'!$E$61="Upfront",IF(3=1,'I_Budget Input Data'!$D$61,0),IF('I_Budget Input Data'!$E$61="Equal",'I_Budget Input Data'!$D$61/'I_Inputs &amp; Assumptions'!$B$8,IF('I_Budget Input Data'!$E$61="Front-loaded",IF(3&lt;='I_Inputs &amp; Assumptions'!$B$8/2,'I_Budget Input Data'!$D$61*0.6/('I_Inputs &amp; Assumptions'!$B$8/2),'I_Budget Input Data'!$D$61*0.4/('I_Inputs &amp; Assumptions'!$B$8/2)),IF('I_Budget Input Data'!$E$61="Back-loaded",IF(3&lt;='I_Inputs &amp; Assumptions'!$B$8/2,'I_Budget Input Data'!$D$61*0.4/('I_Inputs &amp; Assumptions'!$B$8/2),'I_Budget Input Data'!$D$61*0.6/('I_Inputs &amp; Assumptions'!$B$8/2)),IF('I_Budget Input Data'!$E$61="Mid-weighted",IF(3&lt;='I_Inputs &amp; Assumptions'!$B$8/4,'I_Budget Input Data'!$D$61*0.2/('I_Inputs &amp; Assumptions'!$B$8/4),IF(3&lt;='I_Inputs &amp; Assumptions'!$B$8*0.75,'I_Budget Input Data'!$D$61*0.6/('I_Inputs &amp; Assumptions'!$B$8/2),'I_Budget Input Data'!$D$61*0.2/('I_Inputs &amp; Assumptions'!$B$8/4))),IF('I_Budget Input Data'!$E$61="At Completion",IF(3='I_Inputs &amp; Assumptions'!$B$8,'I_Budget Input Data'!$D$61,0),'I_Budget Input Data'!$D$61/'I_Inputs &amp; Assumptions'!$B$8)))))),0)</f>
        <v>2555.1692307692306</v>
      </c>
      <c r="F61" s="91">
        <f>IF(4&lt;='I_Inputs &amp; Assumptions'!$B$8,IF('I_Budget Input Data'!$E$61="Upfront",IF(4=1,'I_Budget Input Data'!$D$61,0),IF('I_Budget Input Data'!$E$61="Equal",'I_Budget Input Data'!$D$61/'I_Inputs &amp; Assumptions'!$B$8,IF('I_Budget Input Data'!$E$61="Front-loaded",IF(4&lt;='I_Inputs &amp; Assumptions'!$B$8/2,'I_Budget Input Data'!$D$61*0.6/('I_Inputs &amp; Assumptions'!$B$8/2),'I_Budget Input Data'!$D$61*0.4/('I_Inputs &amp; Assumptions'!$B$8/2)),IF('I_Budget Input Data'!$E$61="Back-loaded",IF(4&lt;='I_Inputs &amp; Assumptions'!$B$8/2,'I_Budget Input Data'!$D$61*0.4/('I_Inputs &amp; Assumptions'!$B$8/2),'I_Budget Input Data'!$D$61*0.6/('I_Inputs &amp; Assumptions'!$B$8/2)),IF('I_Budget Input Data'!$E$61="Mid-weighted",IF(4&lt;='I_Inputs &amp; Assumptions'!$B$8/4,'I_Budget Input Data'!$D$61*0.2/('I_Inputs &amp; Assumptions'!$B$8/4),IF(4&lt;='I_Inputs &amp; Assumptions'!$B$8*0.75,'I_Budget Input Data'!$D$61*0.6/('I_Inputs &amp; Assumptions'!$B$8/2),'I_Budget Input Data'!$D$61*0.2/('I_Inputs &amp; Assumptions'!$B$8/4))),IF('I_Budget Input Data'!$E$61="At Completion",IF(4='I_Inputs &amp; Assumptions'!$B$8,'I_Budget Input Data'!$D$61,0),'I_Budget Input Data'!$D$61/'I_Inputs &amp; Assumptions'!$B$8)))))),0)</f>
        <v>2555.1692307692306</v>
      </c>
      <c r="G61" s="91">
        <f>IF(5&lt;='I_Inputs &amp; Assumptions'!$B$8,IF('I_Budget Input Data'!$E$61="Upfront",IF(5=1,'I_Budget Input Data'!$D$61,0),IF('I_Budget Input Data'!$E$61="Equal",'I_Budget Input Data'!$D$61/'I_Inputs &amp; Assumptions'!$B$8,IF('I_Budget Input Data'!$E$61="Front-loaded",IF(5&lt;='I_Inputs &amp; Assumptions'!$B$8/2,'I_Budget Input Data'!$D$61*0.6/('I_Inputs &amp; Assumptions'!$B$8/2),'I_Budget Input Data'!$D$61*0.4/('I_Inputs &amp; Assumptions'!$B$8/2)),IF('I_Budget Input Data'!$E$61="Back-loaded",IF(5&lt;='I_Inputs &amp; Assumptions'!$B$8/2,'I_Budget Input Data'!$D$61*0.4/('I_Inputs &amp; Assumptions'!$B$8/2),'I_Budget Input Data'!$D$61*0.6/('I_Inputs &amp; Assumptions'!$B$8/2)),IF('I_Budget Input Data'!$E$61="Mid-weighted",IF(5&lt;='I_Inputs &amp; Assumptions'!$B$8/4,'I_Budget Input Data'!$D$61*0.2/('I_Inputs &amp; Assumptions'!$B$8/4),IF(5&lt;='I_Inputs &amp; Assumptions'!$B$8*0.75,'I_Budget Input Data'!$D$61*0.6/('I_Inputs &amp; Assumptions'!$B$8/2),'I_Budget Input Data'!$D$61*0.2/('I_Inputs &amp; Assumptions'!$B$8/4))),IF('I_Budget Input Data'!$E$61="At Completion",IF(5='I_Inputs &amp; Assumptions'!$B$8,'I_Budget Input Data'!$D$61,0),'I_Budget Input Data'!$D$61/'I_Inputs &amp; Assumptions'!$B$8)))))),0)</f>
        <v>2555.1692307692306</v>
      </c>
      <c r="H61" s="91">
        <f>IF(6&lt;='I_Inputs &amp; Assumptions'!$B$8,IF('I_Budget Input Data'!$E$61="Upfront",IF(6=1,'I_Budget Input Data'!$D$61,0),IF('I_Budget Input Data'!$E$61="Equal",'I_Budget Input Data'!$D$61/'I_Inputs &amp; Assumptions'!$B$8,IF('I_Budget Input Data'!$E$61="Front-loaded",IF(6&lt;='I_Inputs &amp; Assumptions'!$B$8/2,'I_Budget Input Data'!$D$61*0.6/('I_Inputs &amp; Assumptions'!$B$8/2),'I_Budget Input Data'!$D$61*0.4/('I_Inputs &amp; Assumptions'!$B$8/2)),IF('I_Budget Input Data'!$E$61="Back-loaded",IF(6&lt;='I_Inputs &amp; Assumptions'!$B$8/2,'I_Budget Input Data'!$D$61*0.4/('I_Inputs &amp; Assumptions'!$B$8/2),'I_Budget Input Data'!$D$61*0.6/('I_Inputs &amp; Assumptions'!$B$8/2)),IF('I_Budget Input Data'!$E$61="Mid-weighted",IF(6&lt;='I_Inputs &amp; Assumptions'!$B$8/4,'I_Budget Input Data'!$D$61*0.2/('I_Inputs &amp; Assumptions'!$B$8/4),IF(6&lt;='I_Inputs &amp; Assumptions'!$B$8*0.75,'I_Budget Input Data'!$D$61*0.6/('I_Inputs &amp; Assumptions'!$B$8/2),'I_Budget Input Data'!$D$61*0.2/('I_Inputs &amp; Assumptions'!$B$8/4))),IF('I_Budget Input Data'!$E$61="At Completion",IF(6='I_Inputs &amp; Assumptions'!$B$8,'I_Budget Input Data'!$D$61,0),'I_Budget Input Data'!$D$61/'I_Inputs &amp; Assumptions'!$B$8)))))),0)</f>
        <v>2555.1692307692306</v>
      </c>
      <c r="I61" s="91">
        <f>IF(7&lt;='I_Inputs &amp; Assumptions'!$B$8,IF('I_Budget Input Data'!$E$61="Upfront",IF(7=1,'I_Budget Input Data'!$D$61,0),IF('I_Budget Input Data'!$E$61="Equal",'I_Budget Input Data'!$D$61/'I_Inputs &amp; Assumptions'!$B$8,IF('I_Budget Input Data'!$E$61="Front-loaded",IF(7&lt;='I_Inputs &amp; Assumptions'!$B$8/2,'I_Budget Input Data'!$D$61*0.6/('I_Inputs &amp; Assumptions'!$B$8/2),'I_Budget Input Data'!$D$61*0.4/('I_Inputs &amp; Assumptions'!$B$8/2)),IF('I_Budget Input Data'!$E$61="Back-loaded",IF(7&lt;='I_Inputs &amp; Assumptions'!$B$8/2,'I_Budget Input Data'!$D$61*0.4/('I_Inputs &amp; Assumptions'!$B$8/2),'I_Budget Input Data'!$D$61*0.6/('I_Inputs &amp; Assumptions'!$B$8/2)),IF('I_Budget Input Data'!$E$61="Mid-weighted",IF(7&lt;='I_Inputs &amp; Assumptions'!$B$8/4,'I_Budget Input Data'!$D$61*0.2/('I_Inputs &amp; Assumptions'!$B$8/4),IF(7&lt;='I_Inputs &amp; Assumptions'!$B$8*0.75,'I_Budget Input Data'!$D$61*0.6/('I_Inputs &amp; Assumptions'!$B$8/2),'I_Budget Input Data'!$D$61*0.2/('I_Inputs &amp; Assumptions'!$B$8/4))),IF('I_Budget Input Data'!$E$61="At Completion",IF(7='I_Inputs &amp; Assumptions'!$B$8,'I_Budget Input Data'!$D$61,0),'I_Budget Input Data'!$D$61/'I_Inputs &amp; Assumptions'!$B$8)))))),0)</f>
        <v>1703.4461538461542</v>
      </c>
      <c r="J61" s="91">
        <f>IF(8&lt;='I_Inputs &amp; Assumptions'!$B$8,IF('I_Budget Input Data'!$E$61="Upfront",IF(8=1,'I_Budget Input Data'!$D$61,0),IF('I_Budget Input Data'!$E$61="Equal",'I_Budget Input Data'!$D$61/'I_Inputs &amp; Assumptions'!$B$8,IF('I_Budget Input Data'!$E$61="Front-loaded",IF(8&lt;='I_Inputs &amp; Assumptions'!$B$8/2,'I_Budget Input Data'!$D$61*0.6/('I_Inputs &amp; Assumptions'!$B$8/2),'I_Budget Input Data'!$D$61*0.4/('I_Inputs &amp; Assumptions'!$B$8/2)),IF('I_Budget Input Data'!$E$61="Back-loaded",IF(8&lt;='I_Inputs &amp; Assumptions'!$B$8/2,'I_Budget Input Data'!$D$61*0.4/('I_Inputs &amp; Assumptions'!$B$8/2),'I_Budget Input Data'!$D$61*0.6/('I_Inputs &amp; Assumptions'!$B$8/2)),IF('I_Budget Input Data'!$E$61="Mid-weighted",IF(8&lt;='I_Inputs &amp; Assumptions'!$B$8/4,'I_Budget Input Data'!$D$61*0.2/('I_Inputs &amp; Assumptions'!$B$8/4),IF(8&lt;='I_Inputs &amp; Assumptions'!$B$8*0.75,'I_Budget Input Data'!$D$61*0.6/('I_Inputs &amp; Assumptions'!$B$8/2),'I_Budget Input Data'!$D$61*0.2/('I_Inputs &amp; Assumptions'!$B$8/4))),IF('I_Budget Input Data'!$E$61="At Completion",IF(8='I_Inputs &amp; Assumptions'!$B$8,'I_Budget Input Data'!$D$61,0),'I_Budget Input Data'!$D$61/'I_Inputs &amp; Assumptions'!$B$8)))))),0)</f>
        <v>1703.4461538461542</v>
      </c>
      <c r="K61" s="91">
        <f>IF(9&lt;='I_Inputs &amp; Assumptions'!$B$8,IF('I_Budget Input Data'!$E$61="Upfront",IF(9=1,'I_Budget Input Data'!$D$61,0),IF('I_Budget Input Data'!$E$61="Equal",'I_Budget Input Data'!$D$61/'I_Inputs &amp; Assumptions'!$B$8,IF('I_Budget Input Data'!$E$61="Front-loaded",IF(9&lt;='I_Inputs &amp; Assumptions'!$B$8/2,'I_Budget Input Data'!$D$61*0.6/('I_Inputs &amp; Assumptions'!$B$8/2),'I_Budget Input Data'!$D$61*0.4/('I_Inputs &amp; Assumptions'!$B$8/2)),IF('I_Budget Input Data'!$E$61="Back-loaded",IF(9&lt;='I_Inputs &amp; Assumptions'!$B$8/2,'I_Budget Input Data'!$D$61*0.4/('I_Inputs &amp; Assumptions'!$B$8/2),'I_Budget Input Data'!$D$61*0.6/('I_Inputs &amp; Assumptions'!$B$8/2)),IF('I_Budget Input Data'!$E$61="Mid-weighted",IF(9&lt;='I_Inputs &amp; Assumptions'!$B$8/4,'I_Budget Input Data'!$D$61*0.2/('I_Inputs &amp; Assumptions'!$B$8/4),IF(9&lt;='I_Inputs &amp; Assumptions'!$B$8*0.75,'I_Budget Input Data'!$D$61*0.6/('I_Inputs &amp; Assumptions'!$B$8/2),'I_Budget Input Data'!$D$61*0.2/('I_Inputs &amp; Assumptions'!$B$8/4))),IF('I_Budget Input Data'!$E$61="At Completion",IF(9='I_Inputs &amp; Assumptions'!$B$8,'I_Budget Input Data'!$D$61,0),'I_Budget Input Data'!$D$61/'I_Inputs &amp; Assumptions'!$B$8)))))),0)</f>
        <v>1703.4461538461542</v>
      </c>
      <c r="L61" s="91">
        <f>IF(10&lt;='I_Inputs &amp; Assumptions'!$B$8,IF('I_Budget Input Data'!$E$61="Upfront",IF(10=1,'I_Budget Input Data'!$D$61,0),IF('I_Budget Input Data'!$E$61="Equal",'I_Budget Input Data'!$D$61/'I_Inputs &amp; Assumptions'!$B$8,IF('I_Budget Input Data'!$E$61="Front-loaded",IF(10&lt;='I_Inputs &amp; Assumptions'!$B$8/2,'I_Budget Input Data'!$D$61*0.6/('I_Inputs &amp; Assumptions'!$B$8/2),'I_Budget Input Data'!$D$61*0.4/('I_Inputs &amp; Assumptions'!$B$8/2)),IF('I_Budget Input Data'!$E$61="Back-loaded",IF(10&lt;='I_Inputs &amp; Assumptions'!$B$8/2,'I_Budget Input Data'!$D$61*0.4/('I_Inputs &amp; Assumptions'!$B$8/2),'I_Budget Input Data'!$D$61*0.6/('I_Inputs &amp; Assumptions'!$B$8/2)),IF('I_Budget Input Data'!$E$61="Mid-weighted",IF(10&lt;='I_Inputs &amp; Assumptions'!$B$8/4,'I_Budget Input Data'!$D$61*0.2/('I_Inputs &amp; Assumptions'!$B$8/4),IF(10&lt;='I_Inputs &amp; Assumptions'!$B$8*0.75,'I_Budget Input Data'!$D$61*0.6/('I_Inputs &amp; Assumptions'!$B$8/2),'I_Budget Input Data'!$D$61*0.2/('I_Inputs &amp; Assumptions'!$B$8/4))),IF('I_Budget Input Data'!$E$61="At Completion",IF(10='I_Inputs &amp; Assumptions'!$B$8,'I_Budget Input Data'!$D$61,0),'I_Budget Input Data'!$D$61/'I_Inputs &amp; Assumptions'!$B$8)))))),0)</f>
        <v>1703.4461538461542</v>
      </c>
      <c r="M61" s="91">
        <f>IF(11&lt;='I_Inputs &amp; Assumptions'!$B$8,IF('I_Budget Input Data'!$E$61="Upfront",IF(11=1,'I_Budget Input Data'!$D$61,0),IF('I_Budget Input Data'!$E$61="Equal",'I_Budget Input Data'!$D$61/'I_Inputs &amp; Assumptions'!$B$8,IF('I_Budget Input Data'!$E$61="Front-loaded",IF(11&lt;='I_Inputs &amp; Assumptions'!$B$8/2,'I_Budget Input Data'!$D$61*0.6/('I_Inputs &amp; Assumptions'!$B$8/2),'I_Budget Input Data'!$D$61*0.4/('I_Inputs &amp; Assumptions'!$B$8/2)),IF('I_Budget Input Data'!$E$61="Back-loaded",IF(11&lt;='I_Inputs &amp; Assumptions'!$B$8/2,'I_Budget Input Data'!$D$61*0.4/('I_Inputs &amp; Assumptions'!$B$8/2),'I_Budget Input Data'!$D$61*0.6/('I_Inputs &amp; Assumptions'!$B$8/2)),IF('I_Budget Input Data'!$E$61="Mid-weighted",IF(11&lt;='I_Inputs &amp; Assumptions'!$B$8/4,'I_Budget Input Data'!$D$61*0.2/('I_Inputs &amp; Assumptions'!$B$8/4),IF(11&lt;='I_Inputs &amp; Assumptions'!$B$8*0.75,'I_Budget Input Data'!$D$61*0.6/('I_Inputs &amp; Assumptions'!$B$8/2),'I_Budget Input Data'!$D$61*0.2/('I_Inputs &amp; Assumptions'!$B$8/4))),IF('I_Budget Input Data'!$E$61="At Completion",IF(11='I_Inputs &amp; Assumptions'!$B$8,'I_Budget Input Data'!$D$61,0),'I_Budget Input Data'!$D$61/'I_Inputs &amp; Assumptions'!$B$8)))))),0)</f>
        <v>1703.4461538461542</v>
      </c>
      <c r="N61" s="91">
        <f>IF(12&lt;='I_Inputs &amp; Assumptions'!$B$8,IF('I_Budget Input Data'!$E$61="Upfront",IF(12=1,'I_Budget Input Data'!$D$61,0),IF('I_Budget Input Data'!$E$61="Equal",'I_Budget Input Data'!$D$61/'I_Inputs &amp; Assumptions'!$B$8,IF('I_Budget Input Data'!$E$61="Front-loaded",IF(12&lt;='I_Inputs &amp; Assumptions'!$B$8/2,'I_Budget Input Data'!$D$61*0.6/('I_Inputs &amp; Assumptions'!$B$8/2),'I_Budget Input Data'!$D$61*0.4/('I_Inputs &amp; Assumptions'!$B$8/2)),IF('I_Budget Input Data'!$E$61="Back-loaded",IF(12&lt;='I_Inputs &amp; Assumptions'!$B$8/2,'I_Budget Input Data'!$D$61*0.4/('I_Inputs &amp; Assumptions'!$B$8/2),'I_Budget Input Data'!$D$61*0.6/('I_Inputs &amp; Assumptions'!$B$8/2)),IF('I_Budget Input Data'!$E$61="Mid-weighted",IF(12&lt;='I_Inputs &amp; Assumptions'!$B$8/4,'I_Budget Input Data'!$D$61*0.2/('I_Inputs &amp; Assumptions'!$B$8/4),IF(12&lt;='I_Inputs &amp; Assumptions'!$B$8*0.75,'I_Budget Input Data'!$D$61*0.6/('I_Inputs &amp; Assumptions'!$B$8/2),'I_Budget Input Data'!$D$61*0.2/('I_Inputs &amp; Assumptions'!$B$8/4))),IF('I_Budget Input Data'!$E$61="At Completion",IF(12='I_Inputs &amp; Assumptions'!$B$8,'I_Budget Input Data'!$D$61,0),'I_Budget Input Data'!$D$61/'I_Inputs &amp; Assumptions'!$B$8)))))),0)</f>
        <v>1703.4461538461542</v>
      </c>
      <c r="O61" s="91">
        <f>IF(13&lt;='I_Inputs &amp; Assumptions'!$B$8,IF('I_Budget Input Data'!$E$61="Upfront",IF(13=1,'I_Budget Input Data'!$D$61,0),IF('I_Budget Input Data'!$E$61="Equal",'I_Budget Input Data'!$D$61/'I_Inputs &amp; Assumptions'!$B$8,IF('I_Budget Input Data'!$E$61="Front-loaded",IF(13&lt;='I_Inputs &amp; Assumptions'!$B$8/2,'I_Budget Input Data'!$D$61*0.6/('I_Inputs &amp; Assumptions'!$B$8/2),'I_Budget Input Data'!$D$61*0.4/('I_Inputs &amp; Assumptions'!$B$8/2)),IF('I_Budget Input Data'!$E$61="Back-loaded",IF(13&lt;='I_Inputs &amp; Assumptions'!$B$8/2,'I_Budget Input Data'!$D$61*0.4/('I_Inputs &amp; Assumptions'!$B$8/2),'I_Budget Input Data'!$D$61*0.6/('I_Inputs &amp; Assumptions'!$B$8/2)),IF('I_Budget Input Data'!$E$61="Mid-weighted",IF(13&lt;='I_Inputs &amp; Assumptions'!$B$8/4,'I_Budget Input Data'!$D$61*0.2/('I_Inputs &amp; Assumptions'!$B$8/4),IF(13&lt;='I_Inputs &amp; Assumptions'!$B$8*0.75,'I_Budget Input Data'!$D$61*0.6/('I_Inputs &amp; Assumptions'!$B$8/2),'I_Budget Input Data'!$D$61*0.2/('I_Inputs &amp; Assumptions'!$B$8/4))),IF('I_Budget Input Data'!$E$61="At Completion",IF(13='I_Inputs &amp; Assumptions'!$B$8,'I_Budget Input Data'!$D$61,0),'I_Budget Input Data'!$D$61/'I_Inputs &amp; Assumptions'!$B$8)))))),0)</f>
        <v>1703.4461538461542</v>
      </c>
      <c r="P61" s="91">
        <f>IF(14&lt;='I_Inputs &amp; Assumptions'!$B$8,IF('I_Budget Input Data'!$E$61="Upfront",IF(14=1,'I_Budget Input Data'!$D$61,0),IF('I_Budget Input Data'!$E$61="Equal",'I_Budget Input Data'!$D$61/'I_Inputs &amp; Assumptions'!$B$8,IF('I_Budget Input Data'!$E$61="Front-loaded",IF(14&lt;='I_Inputs &amp; Assumptions'!$B$8/2,'I_Budget Input Data'!$D$61*0.6/('I_Inputs &amp; Assumptions'!$B$8/2),'I_Budget Input Data'!$D$61*0.4/('I_Inputs &amp; Assumptions'!$B$8/2)),IF('I_Budget Input Data'!$E$61="Back-loaded",IF(14&lt;='I_Inputs &amp; Assumptions'!$B$8/2,'I_Budget Input Data'!$D$61*0.4/('I_Inputs &amp; Assumptions'!$B$8/2),'I_Budget Input Data'!$D$61*0.6/('I_Inputs &amp; Assumptions'!$B$8/2)),IF('I_Budget Input Data'!$E$61="Mid-weighted",IF(14&lt;='I_Inputs &amp; Assumptions'!$B$8/4,'I_Budget Input Data'!$D$61*0.2/('I_Inputs &amp; Assumptions'!$B$8/4),IF(14&lt;='I_Inputs &amp; Assumptions'!$B$8*0.75,'I_Budget Input Data'!$D$61*0.6/('I_Inputs &amp; Assumptions'!$B$8/2),'I_Budget Input Data'!$D$61*0.2/('I_Inputs &amp; Assumptions'!$B$8/4))),IF('I_Budget Input Data'!$E$61="At Completion",IF(14='I_Inputs &amp; Assumptions'!$B$8,'I_Budget Input Data'!$D$61,0),'I_Budget Input Data'!$D$61/'I_Inputs &amp; Assumptions'!$B$8)))))),0)</f>
        <v>0</v>
      </c>
      <c r="Q61" s="91">
        <f>IF(15&lt;='I_Inputs &amp; Assumptions'!$B$8,IF('I_Budget Input Data'!$E$61="Upfront",IF(15=1,'I_Budget Input Data'!$D$61,0),IF('I_Budget Input Data'!$E$61="Equal",'I_Budget Input Data'!$D$61/'I_Inputs &amp; Assumptions'!$B$8,IF('I_Budget Input Data'!$E$61="Front-loaded",IF(15&lt;='I_Inputs &amp; Assumptions'!$B$8/2,'I_Budget Input Data'!$D$61*0.6/('I_Inputs &amp; Assumptions'!$B$8/2),'I_Budget Input Data'!$D$61*0.4/('I_Inputs &amp; Assumptions'!$B$8/2)),IF('I_Budget Input Data'!$E$61="Back-loaded",IF(15&lt;='I_Inputs &amp; Assumptions'!$B$8/2,'I_Budget Input Data'!$D$61*0.4/('I_Inputs &amp; Assumptions'!$B$8/2),'I_Budget Input Data'!$D$61*0.6/('I_Inputs &amp; Assumptions'!$B$8/2)),IF('I_Budget Input Data'!$E$61="Mid-weighted",IF(15&lt;='I_Inputs &amp; Assumptions'!$B$8/4,'I_Budget Input Data'!$D$61*0.2/('I_Inputs &amp; Assumptions'!$B$8/4),IF(15&lt;='I_Inputs &amp; Assumptions'!$B$8*0.75,'I_Budget Input Data'!$D$61*0.6/('I_Inputs &amp; Assumptions'!$B$8/2),'I_Budget Input Data'!$D$61*0.2/('I_Inputs &amp; Assumptions'!$B$8/4))),IF('I_Budget Input Data'!$E$61="At Completion",IF(15='I_Inputs &amp; Assumptions'!$B$8,'I_Budget Input Data'!$D$61,0),'I_Budget Input Data'!$D$61/'I_Inputs &amp; Assumptions'!$B$8)))))),0)</f>
        <v>0</v>
      </c>
      <c r="R61" s="91">
        <f>IF(16&lt;='I_Inputs &amp; Assumptions'!$B$8,IF('I_Budget Input Data'!$E$61="Upfront",IF(16=1,'I_Budget Input Data'!$D$61,0),IF('I_Budget Input Data'!$E$61="Equal",'I_Budget Input Data'!$D$61/'I_Inputs &amp; Assumptions'!$B$8,IF('I_Budget Input Data'!$E$61="Front-loaded",IF(16&lt;='I_Inputs &amp; Assumptions'!$B$8/2,'I_Budget Input Data'!$D$61*0.6/('I_Inputs &amp; Assumptions'!$B$8/2),'I_Budget Input Data'!$D$61*0.4/('I_Inputs &amp; Assumptions'!$B$8/2)),IF('I_Budget Input Data'!$E$61="Back-loaded",IF(16&lt;='I_Inputs &amp; Assumptions'!$B$8/2,'I_Budget Input Data'!$D$61*0.4/('I_Inputs &amp; Assumptions'!$B$8/2),'I_Budget Input Data'!$D$61*0.6/('I_Inputs &amp; Assumptions'!$B$8/2)),IF('I_Budget Input Data'!$E$61="Mid-weighted",IF(16&lt;='I_Inputs &amp; Assumptions'!$B$8/4,'I_Budget Input Data'!$D$61*0.2/('I_Inputs &amp; Assumptions'!$B$8/4),IF(16&lt;='I_Inputs &amp; Assumptions'!$B$8*0.75,'I_Budget Input Data'!$D$61*0.6/('I_Inputs &amp; Assumptions'!$B$8/2),'I_Budget Input Data'!$D$61*0.2/('I_Inputs &amp; Assumptions'!$B$8/4))),IF('I_Budget Input Data'!$E$61="At Completion",IF(16='I_Inputs &amp; Assumptions'!$B$8,'I_Budget Input Data'!$D$61,0),'I_Budget Input Data'!$D$61/'I_Inputs &amp; Assumptions'!$B$8)))))),0)</f>
        <v>0</v>
      </c>
      <c r="S61" s="91">
        <f>IF(17&lt;='I_Inputs &amp; Assumptions'!$B$8,IF('I_Budget Input Data'!$E$61="Upfront",IF(17=1,'I_Budget Input Data'!$D$61,0),IF('I_Budget Input Data'!$E$61="Equal",'I_Budget Input Data'!$D$61/'I_Inputs &amp; Assumptions'!$B$8,IF('I_Budget Input Data'!$E$61="Front-loaded",IF(17&lt;='I_Inputs &amp; Assumptions'!$B$8/2,'I_Budget Input Data'!$D$61*0.6/('I_Inputs &amp; Assumptions'!$B$8/2),'I_Budget Input Data'!$D$61*0.4/('I_Inputs &amp; Assumptions'!$B$8/2)),IF('I_Budget Input Data'!$E$61="Back-loaded",IF(17&lt;='I_Inputs &amp; Assumptions'!$B$8/2,'I_Budget Input Data'!$D$61*0.4/('I_Inputs &amp; Assumptions'!$B$8/2),'I_Budget Input Data'!$D$61*0.6/('I_Inputs &amp; Assumptions'!$B$8/2)),IF('I_Budget Input Data'!$E$61="Mid-weighted",IF(17&lt;='I_Inputs &amp; Assumptions'!$B$8/4,'I_Budget Input Data'!$D$61*0.2/('I_Inputs &amp; Assumptions'!$B$8/4),IF(17&lt;='I_Inputs &amp; Assumptions'!$B$8*0.75,'I_Budget Input Data'!$D$61*0.6/('I_Inputs &amp; Assumptions'!$B$8/2),'I_Budget Input Data'!$D$61*0.2/('I_Inputs &amp; Assumptions'!$B$8/4))),IF('I_Budget Input Data'!$E$61="At Completion",IF(17='I_Inputs &amp; Assumptions'!$B$8,'I_Budget Input Data'!$D$61,0),'I_Budget Input Data'!$D$61/'I_Inputs &amp; Assumptions'!$B$8)))))),0)</f>
        <v>0</v>
      </c>
      <c r="T61" s="91">
        <f>IF(18&lt;='I_Inputs &amp; Assumptions'!$B$8,IF('I_Budget Input Data'!$E$61="Upfront",IF(18=1,'I_Budget Input Data'!$D$61,0),IF('I_Budget Input Data'!$E$61="Equal",'I_Budget Input Data'!$D$61/'I_Inputs &amp; Assumptions'!$B$8,IF('I_Budget Input Data'!$E$61="Front-loaded",IF(18&lt;='I_Inputs &amp; Assumptions'!$B$8/2,'I_Budget Input Data'!$D$61*0.6/('I_Inputs &amp; Assumptions'!$B$8/2),'I_Budget Input Data'!$D$61*0.4/('I_Inputs &amp; Assumptions'!$B$8/2)),IF('I_Budget Input Data'!$E$61="Back-loaded",IF(18&lt;='I_Inputs &amp; Assumptions'!$B$8/2,'I_Budget Input Data'!$D$61*0.4/('I_Inputs &amp; Assumptions'!$B$8/2),'I_Budget Input Data'!$D$61*0.6/('I_Inputs &amp; Assumptions'!$B$8/2)),IF('I_Budget Input Data'!$E$61="Mid-weighted",IF(18&lt;='I_Inputs &amp; Assumptions'!$B$8/4,'I_Budget Input Data'!$D$61*0.2/('I_Inputs &amp; Assumptions'!$B$8/4),IF(18&lt;='I_Inputs &amp; Assumptions'!$B$8*0.75,'I_Budget Input Data'!$D$61*0.6/('I_Inputs &amp; Assumptions'!$B$8/2),'I_Budget Input Data'!$D$61*0.2/('I_Inputs &amp; Assumptions'!$B$8/4))),IF('I_Budget Input Data'!$E$61="At Completion",IF(18='I_Inputs &amp; Assumptions'!$B$8,'I_Budget Input Data'!$D$61,0),'I_Budget Input Data'!$D$61/'I_Inputs &amp; Assumptions'!$B$8)))))),0)</f>
        <v>0</v>
      </c>
      <c r="U61" s="91">
        <f>IF(19&lt;='I_Inputs &amp; Assumptions'!$B$8,IF('I_Budget Input Data'!$E$61="Upfront",IF(19=1,'I_Budget Input Data'!$D$61,0),IF('I_Budget Input Data'!$E$61="Equal",'I_Budget Input Data'!$D$61/'I_Inputs &amp; Assumptions'!$B$8,IF('I_Budget Input Data'!$E$61="Front-loaded",IF(19&lt;='I_Inputs &amp; Assumptions'!$B$8/2,'I_Budget Input Data'!$D$61*0.6/('I_Inputs &amp; Assumptions'!$B$8/2),'I_Budget Input Data'!$D$61*0.4/('I_Inputs &amp; Assumptions'!$B$8/2)),IF('I_Budget Input Data'!$E$61="Back-loaded",IF(19&lt;='I_Inputs &amp; Assumptions'!$B$8/2,'I_Budget Input Data'!$D$61*0.4/('I_Inputs &amp; Assumptions'!$B$8/2),'I_Budget Input Data'!$D$61*0.6/('I_Inputs &amp; Assumptions'!$B$8/2)),IF('I_Budget Input Data'!$E$61="Mid-weighted",IF(19&lt;='I_Inputs &amp; Assumptions'!$B$8/4,'I_Budget Input Data'!$D$61*0.2/('I_Inputs &amp; Assumptions'!$B$8/4),IF(19&lt;='I_Inputs &amp; Assumptions'!$B$8*0.75,'I_Budget Input Data'!$D$61*0.6/('I_Inputs &amp; Assumptions'!$B$8/2),'I_Budget Input Data'!$D$61*0.2/('I_Inputs &amp; Assumptions'!$B$8/4))),IF('I_Budget Input Data'!$E$61="At Completion",IF(19='I_Inputs &amp; Assumptions'!$B$8,'I_Budget Input Data'!$D$61,0),'I_Budget Input Data'!$D$61/'I_Inputs &amp; Assumptions'!$B$8)))))),0)</f>
        <v>0</v>
      </c>
      <c r="V61" s="91">
        <f>IF(20&lt;='I_Inputs &amp; Assumptions'!$B$8,IF('I_Budget Input Data'!$E$61="Upfront",IF(20=1,'I_Budget Input Data'!$D$61,0),IF('I_Budget Input Data'!$E$61="Equal",'I_Budget Input Data'!$D$61/'I_Inputs &amp; Assumptions'!$B$8,IF('I_Budget Input Data'!$E$61="Front-loaded",IF(20&lt;='I_Inputs &amp; Assumptions'!$B$8/2,'I_Budget Input Data'!$D$61*0.6/('I_Inputs &amp; Assumptions'!$B$8/2),'I_Budget Input Data'!$D$61*0.4/('I_Inputs &amp; Assumptions'!$B$8/2)),IF('I_Budget Input Data'!$E$61="Back-loaded",IF(20&lt;='I_Inputs &amp; Assumptions'!$B$8/2,'I_Budget Input Data'!$D$61*0.4/('I_Inputs &amp; Assumptions'!$B$8/2),'I_Budget Input Data'!$D$61*0.6/('I_Inputs &amp; Assumptions'!$B$8/2)),IF('I_Budget Input Data'!$E$61="Mid-weighted",IF(20&lt;='I_Inputs &amp; Assumptions'!$B$8/4,'I_Budget Input Data'!$D$61*0.2/('I_Inputs &amp; Assumptions'!$B$8/4),IF(20&lt;='I_Inputs &amp; Assumptions'!$B$8*0.75,'I_Budget Input Data'!$D$61*0.6/('I_Inputs &amp; Assumptions'!$B$8/2),'I_Budget Input Data'!$D$61*0.2/('I_Inputs &amp; Assumptions'!$B$8/4))),IF('I_Budget Input Data'!$E$61="At Completion",IF(20='I_Inputs &amp; Assumptions'!$B$8,'I_Budget Input Data'!$D$61,0),'I_Budget Input Data'!$D$61/'I_Inputs &amp; Assumptions'!$B$8)))))),0)</f>
        <v>0</v>
      </c>
      <c r="W61" s="91">
        <f>IF(21&lt;='I_Inputs &amp; Assumptions'!$B$8,IF('I_Budget Input Data'!$E$61="Upfront",IF(21=1,'I_Budget Input Data'!$D$61,0),IF('I_Budget Input Data'!$E$61="Equal",'I_Budget Input Data'!$D$61/'I_Inputs &amp; Assumptions'!$B$8,IF('I_Budget Input Data'!$E$61="Front-loaded",IF(21&lt;='I_Inputs &amp; Assumptions'!$B$8/2,'I_Budget Input Data'!$D$61*0.6/('I_Inputs &amp; Assumptions'!$B$8/2),'I_Budget Input Data'!$D$61*0.4/('I_Inputs &amp; Assumptions'!$B$8/2)),IF('I_Budget Input Data'!$E$61="Back-loaded",IF(21&lt;='I_Inputs &amp; Assumptions'!$B$8/2,'I_Budget Input Data'!$D$61*0.4/('I_Inputs &amp; Assumptions'!$B$8/2),'I_Budget Input Data'!$D$61*0.6/('I_Inputs &amp; Assumptions'!$B$8/2)),IF('I_Budget Input Data'!$E$61="Mid-weighted",IF(21&lt;='I_Inputs &amp; Assumptions'!$B$8/4,'I_Budget Input Data'!$D$61*0.2/('I_Inputs &amp; Assumptions'!$B$8/4),IF(21&lt;='I_Inputs &amp; Assumptions'!$B$8*0.75,'I_Budget Input Data'!$D$61*0.6/('I_Inputs &amp; Assumptions'!$B$8/2),'I_Budget Input Data'!$D$61*0.2/('I_Inputs &amp; Assumptions'!$B$8/4))),IF('I_Budget Input Data'!$E$61="At Completion",IF(21='I_Inputs &amp; Assumptions'!$B$8,'I_Budget Input Data'!$D$61,0),'I_Budget Input Data'!$D$61/'I_Inputs &amp; Assumptions'!$B$8)))))),0)</f>
        <v>0</v>
      </c>
      <c r="X61" s="91">
        <f>IF(22&lt;='I_Inputs &amp; Assumptions'!$B$8,IF('I_Budget Input Data'!$E$61="Upfront",IF(22=1,'I_Budget Input Data'!$D$61,0),IF('I_Budget Input Data'!$E$61="Equal",'I_Budget Input Data'!$D$61/'I_Inputs &amp; Assumptions'!$B$8,IF('I_Budget Input Data'!$E$61="Front-loaded",IF(22&lt;='I_Inputs &amp; Assumptions'!$B$8/2,'I_Budget Input Data'!$D$61*0.6/('I_Inputs &amp; Assumptions'!$B$8/2),'I_Budget Input Data'!$D$61*0.4/('I_Inputs &amp; Assumptions'!$B$8/2)),IF('I_Budget Input Data'!$E$61="Back-loaded",IF(22&lt;='I_Inputs &amp; Assumptions'!$B$8/2,'I_Budget Input Data'!$D$61*0.4/('I_Inputs &amp; Assumptions'!$B$8/2),'I_Budget Input Data'!$D$61*0.6/('I_Inputs &amp; Assumptions'!$B$8/2)),IF('I_Budget Input Data'!$E$61="Mid-weighted",IF(22&lt;='I_Inputs &amp; Assumptions'!$B$8/4,'I_Budget Input Data'!$D$61*0.2/('I_Inputs &amp; Assumptions'!$B$8/4),IF(22&lt;='I_Inputs &amp; Assumptions'!$B$8*0.75,'I_Budget Input Data'!$D$61*0.6/('I_Inputs &amp; Assumptions'!$B$8/2),'I_Budget Input Data'!$D$61*0.2/('I_Inputs &amp; Assumptions'!$B$8/4))),IF('I_Budget Input Data'!$E$61="At Completion",IF(22='I_Inputs &amp; Assumptions'!$B$8,'I_Budget Input Data'!$D$61,0),'I_Budget Input Data'!$D$61/'I_Inputs &amp; Assumptions'!$B$8)))))),0)</f>
        <v>0</v>
      </c>
      <c r="Y61" s="91">
        <f>IF(23&lt;='I_Inputs &amp; Assumptions'!$B$8,IF('I_Budget Input Data'!$E$61="Upfront",IF(23=1,'I_Budget Input Data'!$D$61,0),IF('I_Budget Input Data'!$E$61="Equal",'I_Budget Input Data'!$D$61/'I_Inputs &amp; Assumptions'!$B$8,IF('I_Budget Input Data'!$E$61="Front-loaded",IF(23&lt;='I_Inputs &amp; Assumptions'!$B$8/2,'I_Budget Input Data'!$D$61*0.6/('I_Inputs &amp; Assumptions'!$B$8/2),'I_Budget Input Data'!$D$61*0.4/('I_Inputs &amp; Assumptions'!$B$8/2)),IF('I_Budget Input Data'!$E$61="Back-loaded",IF(23&lt;='I_Inputs &amp; Assumptions'!$B$8/2,'I_Budget Input Data'!$D$61*0.4/('I_Inputs &amp; Assumptions'!$B$8/2),'I_Budget Input Data'!$D$61*0.6/('I_Inputs &amp; Assumptions'!$B$8/2)),IF('I_Budget Input Data'!$E$61="Mid-weighted",IF(23&lt;='I_Inputs &amp; Assumptions'!$B$8/4,'I_Budget Input Data'!$D$61*0.2/('I_Inputs &amp; Assumptions'!$B$8/4),IF(23&lt;='I_Inputs &amp; Assumptions'!$B$8*0.75,'I_Budget Input Data'!$D$61*0.6/('I_Inputs &amp; Assumptions'!$B$8/2),'I_Budget Input Data'!$D$61*0.2/('I_Inputs &amp; Assumptions'!$B$8/4))),IF('I_Budget Input Data'!$E$61="At Completion",IF(23='I_Inputs &amp; Assumptions'!$B$8,'I_Budget Input Data'!$D$61,0),'I_Budget Input Data'!$D$61/'I_Inputs &amp; Assumptions'!$B$8)))))),0)</f>
        <v>0</v>
      </c>
      <c r="Z61" s="91">
        <f>IF(24&lt;='I_Inputs &amp; Assumptions'!$B$8,IF('I_Budget Input Data'!$E$61="Upfront",IF(24=1,'I_Budget Input Data'!$D$61,0),IF('I_Budget Input Data'!$E$61="Equal",'I_Budget Input Data'!$D$61/'I_Inputs &amp; Assumptions'!$B$8,IF('I_Budget Input Data'!$E$61="Front-loaded",IF(24&lt;='I_Inputs &amp; Assumptions'!$B$8/2,'I_Budget Input Data'!$D$61*0.6/('I_Inputs &amp; Assumptions'!$B$8/2),'I_Budget Input Data'!$D$61*0.4/('I_Inputs &amp; Assumptions'!$B$8/2)),IF('I_Budget Input Data'!$E$61="Back-loaded",IF(24&lt;='I_Inputs &amp; Assumptions'!$B$8/2,'I_Budget Input Data'!$D$61*0.4/('I_Inputs &amp; Assumptions'!$B$8/2),'I_Budget Input Data'!$D$61*0.6/('I_Inputs &amp; Assumptions'!$B$8/2)),IF('I_Budget Input Data'!$E$61="Mid-weighted",IF(24&lt;='I_Inputs &amp; Assumptions'!$B$8/4,'I_Budget Input Data'!$D$61*0.2/('I_Inputs &amp; Assumptions'!$B$8/4),IF(24&lt;='I_Inputs &amp; Assumptions'!$B$8*0.75,'I_Budget Input Data'!$D$61*0.6/('I_Inputs &amp; Assumptions'!$B$8/2),'I_Budget Input Data'!$D$61*0.2/('I_Inputs &amp; Assumptions'!$B$8/4))),IF('I_Budget Input Data'!$E$61="At Completion",IF(24='I_Inputs &amp; Assumptions'!$B$8,'I_Budget Input Data'!$D$61,0),'I_Budget Input Data'!$D$61/'I_Inputs &amp; Assumptions'!$B$8)))))),0)</f>
        <v>0</v>
      </c>
      <c r="AA61" s="91">
        <f>IF(25&lt;='I_Inputs &amp; Assumptions'!$B$8,IF('I_Budget Input Data'!$E$61="Upfront",IF(25=1,'I_Budget Input Data'!$D$61,0),IF('I_Budget Input Data'!$E$61="Equal",'I_Budget Input Data'!$D$61/'I_Inputs &amp; Assumptions'!$B$8,IF('I_Budget Input Data'!$E$61="Front-loaded",IF(25&lt;='I_Inputs &amp; Assumptions'!$B$8/2,'I_Budget Input Data'!$D$61*0.6/('I_Inputs &amp; Assumptions'!$B$8/2),'I_Budget Input Data'!$D$61*0.4/('I_Inputs &amp; Assumptions'!$B$8/2)),IF('I_Budget Input Data'!$E$61="Back-loaded",IF(25&lt;='I_Inputs &amp; Assumptions'!$B$8/2,'I_Budget Input Data'!$D$61*0.4/('I_Inputs &amp; Assumptions'!$B$8/2),'I_Budget Input Data'!$D$61*0.6/('I_Inputs &amp; Assumptions'!$B$8/2)),IF('I_Budget Input Data'!$E$61="Mid-weighted",IF(25&lt;='I_Inputs &amp; Assumptions'!$B$8/4,'I_Budget Input Data'!$D$61*0.2/('I_Inputs &amp; Assumptions'!$B$8/4),IF(25&lt;='I_Inputs &amp; Assumptions'!$B$8*0.75,'I_Budget Input Data'!$D$61*0.6/('I_Inputs &amp; Assumptions'!$B$8/2),'I_Budget Input Data'!$D$61*0.2/('I_Inputs &amp; Assumptions'!$B$8/4))),IF('I_Budget Input Data'!$E$61="At Completion",IF(25='I_Inputs &amp; Assumptions'!$B$8,'I_Budget Input Data'!$D$61,0),'I_Budget Input Data'!$D$61/'I_Inputs &amp; Assumptions'!$B$8)))))),0)</f>
        <v>0</v>
      </c>
      <c r="AB61" s="91">
        <f>IF(26&lt;='I_Inputs &amp; Assumptions'!$B$8,IF('I_Budget Input Data'!$E$61="Upfront",IF(26=1,'I_Budget Input Data'!$D$61,0),IF('I_Budget Input Data'!$E$61="Equal",'I_Budget Input Data'!$D$61/'I_Inputs &amp; Assumptions'!$B$8,IF('I_Budget Input Data'!$E$61="Front-loaded",IF(26&lt;='I_Inputs &amp; Assumptions'!$B$8/2,'I_Budget Input Data'!$D$61*0.6/('I_Inputs &amp; Assumptions'!$B$8/2),'I_Budget Input Data'!$D$61*0.4/('I_Inputs &amp; Assumptions'!$B$8/2)),IF('I_Budget Input Data'!$E$61="Back-loaded",IF(26&lt;='I_Inputs &amp; Assumptions'!$B$8/2,'I_Budget Input Data'!$D$61*0.4/('I_Inputs &amp; Assumptions'!$B$8/2),'I_Budget Input Data'!$D$61*0.6/('I_Inputs &amp; Assumptions'!$B$8/2)),IF('I_Budget Input Data'!$E$61="Mid-weighted",IF(26&lt;='I_Inputs &amp; Assumptions'!$B$8/4,'I_Budget Input Data'!$D$61*0.2/('I_Inputs &amp; Assumptions'!$B$8/4),IF(26&lt;='I_Inputs &amp; Assumptions'!$B$8*0.75,'I_Budget Input Data'!$D$61*0.6/('I_Inputs &amp; Assumptions'!$B$8/2),'I_Budget Input Data'!$D$61*0.2/('I_Inputs &amp; Assumptions'!$B$8/4))),IF('I_Budget Input Data'!$E$61="At Completion",IF(26='I_Inputs &amp; Assumptions'!$B$8,'I_Budget Input Data'!$D$61,0),'I_Budget Input Data'!$D$61/'I_Inputs &amp; Assumptions'!$B$8)))))),0)</f>
        <v>0</v>
      </c>
      <c r="AC61" s="91">
        <f>IF(27&lt;='I_Inputs &amp; Assumptions'!$B$8,IF('I_Budget Input Data'!$E$61="Upfront",IF(27=1,'I_Budget Input Data'!$D$61,0),IF('I_Budget Input Data'!$E$61="Equal",'I_Budget Input Data'!$D$61/'I_Inputs &amp; Assumptions'!$B$8,IF('I_Budget Input Data'!$E$61="Front-loaded",IF(27&lt;='I_Inputs &amp; Assumptions'!$B$8/2,'I_Budget Input Data'!$D$61*0.6/('I_Inputs &amp; Assumptions'!$B$8/2),'I_Budget Input Data'!$D$61*0.4/('I_Inputs &amp; Assumptions'!$B$8/2)),IF('I_Budget Input Data'!$E$61="Back-loaded",IF(27&lt;='I_Inputs &amp; Assumptions'!$B$8/2,'I_Budget Input Data'!$D$61*0.4/('I_Inputs &amp; Assumptions'!$B$8/2),'I_Budget Input Data'!$D$61*0.6/('I_Inputs &amp; Assumptions'!$B$8/2)),IF('I_Budget Input Data'!$E$61="Mid-weighted",IF(27&lt;='I_Inputs &amp; Assumptions'!$B$8/4,'I_Budget Input Data'!$D$61*0.2/('I_Inputs &amp; Assumptions'!$B$8/4),IF(27&lt;='I_Inputs &amp; Assumptions'!$B$8*0.75,'I_Budget Input Data'!$D$61*0.6/('I_Inputs &amp; Assumptions'!$B$8/2),'I_Budget Input Data'!$D$61*0.2/('I_Inputs &amp; Assumptions'!$B$8/4))),IF('I_Budget Input Data'!$E$61="At Completion",IF(27='I_Inputs &amp; Assumptions'!$B$8,'I_Budget Input Data'!$D$61,0),'I_Budget Input Data'!$D$61/'I_Inputs &amp; Assumptions'!$B$8)))))),0)</f>
        <v>0</v>
      </c>
      <c r="AD61" s="91">
        <f>IF(28&lt;='I_Inputs &amp; Assumptions'!$B$8,IF('I_Budget Input Data'!$E$61="Upfront",IF(28=1,'I_Budget Input Data'!$D$61,0),IF('I_Budget Input Data'!$E$61="Equal",'I_Budget Input Data'!$D$61/'I_Inputs &amp; Assumptions'!$B$8,IF('I_Budget Input Data'!$E$61="Front-loaded",IF(28&lt;='I_Inputs &amp; Assumptions'!$B$8/2,'I_Budget Input Data'!$D$61*0.6/('I_Inputs &amp; Assumptions'!$B$8/2),'I_Budget Input Data'!$D$61*0.4/('I_Inputs &amp; Assumptions'!$B$8/2)),IF('I_Budget Input Data'!$E$61="Back-loaded",IF(28&lt;='I_Inputs &amp; Assumptions'!$B$8/2,'I_Budget Input Data'!$D$61*0.4/('I_Inputs &amp; Assumptions'!$B$8/2),'I_Budget Input Data'!$D$61*0.6/('I_Inputs &amp; Assumptions'!$B$8/2)),IF('I_Budget Input Data'!$E$61="Mid-weighted",IF(28&lt;='I_Inputs &amp; Assumptions'!$B$8/4,'I_Budget Input Data'!$D$61*0.2/('I_Inputs &amp; Assumptions'!$B$8/4),IF(28&lt;='I_Inputs &amp; Assumptions'!$B$8*0.75,'I_Budget Input Data'!$D$61*0.6/('I_Inputs &amp; Assumptions'!$B$8/2),'I_Budget Input Data'!$D$61*0.2/('I_Inputs &amp; Assumptions'!$B$8/4))),IF('I_Budget Input Data'!$E$61="At Completion",IF(28='I_Inputs &amp; Assumptions'!$B$8,'I_Budget Input Data'!$D$61,0),'I_Budget Input Data'!$D$61/'I_Inputs &amp; Assumptions'!$B$8)))))),0)</f>
        <v>0</v>
      </c>
      <c r="AE61" s="91">
        <f>IF(29&lt;='I_Inputs &amp; Assumptions'!$B$8,IF('I_Budget Input Data'!$E$61="Upfront",IF(29=1,'I_Budget Input Data'!$D$61,0),IF('I_Budget Input Data'!$E$61="Equal",'I_Budget Input Data'!$D$61/'I_Inputs &amp; Assumptions'!$B$8,IF('I_Budget Input Data'!$E$61="Front-loaded",IF(29&lt;='I_Inputs &amp; Assumptions'!$B$8/2,'I_Budget Input Data'!$D$61*0.6/('I_Inputs &amp; Assumptions'!$B$8/2),'I_Budget Input Data'!$D$61*0.4/('I_Inputs &amp; Assumptions'!$B$8/2)),IF('I_Budget Input Data'!$E$61="Back-loaded",IF(29&lt;='I_Inputs &amp; Assumptions'!$B$8/2,'I_Budget Input Data'!$D$61*0.4/('I_Inputs &amp; Assumptions'!$B$8/2),'I_Budget Input Data'!$D$61*0.6/('I_Inputs &amp; Assumptions'!$B$8/2)),IF('I_Budget Input Data'!$E$61="Mid-weighted",IF(29&lt;='I_Inputs &amp; Assumptions'!$B$8/4,'I_Budget Input Data'!$D$61*0.2/('I_Inputs &amp; Assumptions'!$B$8/4),IF(29&lt;='I_Inputs &amp; Assumptions'!$B$8*0.75,'I_Budget Input Data'!$D$61*0.6/('I_Inputs &amp; Assumptions'!$B$8/2),'I_Budget Input Data'!$D$61*0.2/('I_Inputs &amp; Assumptions'!$B$8/4))),IF('I_Budget Input Data'!$E$61="At Completion",IF(29='I_Inputs &amp; Assumptions'!$B$8,'I_Budget Input Data'!$D$61,0),'I_Budget Input Data'!$D$61/'I_Inputs &amp; Assumptions'!$B$8)))))),0)</f>
        <v>0</v>
      </c>
      <c r="AF61" s="91">
        <f>IF(30&lt;='I_Inputs &amp; Assumptions'!$B$8,IF('I_Budget Input Data'!$E$61="Upfront",IF(30=1,'I_Budget Input Data'!$D$61,0),IF('I_Budget Input Data'!$E$61="Equal",'I_Budget Input Data'!$D$61/'I_Inputs &amp; Assumptions'!$B$8,IF('I_Budget Input Data'!$E$61="Front-loaded",IF(30&lt;='I_Inputs &amp; Assumptions'!$B$8/2,'I_Budget Input Data'!$D$61*0.6/('I_Inputs &amp; Assumptions'!$B$8/2),'I_Budget Input Data'!$D$61*0.4/('I_Inputs &amp; Assumptions'!$B$8/2)),IF('I_Budget Input Data'!$E$61="Back-loaded",IF(30&lt;='I_Inputs &amp; Assumptions'!$B$8/2,'I_Budget Input Data'!$D$61*0.4/('I_Inputs &amp; Assumptions'!$B$8/2),'I_Budget Input Data'!$D$61*0.6/('I_Inputs &amp; Assumptions'!$B$8/2)),IF('I_Budget Input Data'!$E$61="Mid-weighted",IF(30&lt;='I_Inputs &amp; Assumptions'!$B$8/4,'I_Budget Input Data'!$D$61*0.2/('I_Inputs &amp; Assumptions'!$B$8/4),IF(30&lt;='I_Inputs &amp; Assumptions'!$B$8*0.75,'I_Budget Input Data'!$D$61*0.6/('I_Inputs &amp; Assumptions'!$B$8/2),'I_Budget Input Data'!$D$61*0.2/('I_Inputs &amp; Assumptions'!$B$8/4))),IF('I_Budget Input Data'!$E$61="At Completion",IF(30='I_Inputs &amp; Assumptions'!$B$8,'I_Budget Input Data'!$D$61,0),'I_Budget Input Data'!$D$61/'I_Inputs &amp; Assumptions'!$B$8)))))),0)</f>
        <v>0</v>
      </c>
      <c r="AG61" s="91">
        <f>IF(31&lt;='I_Inputs &amp; Assumptions'!$B$8,IF('I_Budget Input Data'!$E$61="Upfront",IF(31=1,'I_Budget Input Data'!$D$61,0),IF('I_Budget Input Data'!$E$61="Equal",'I_Budget Input Data'!$D$61/'I_Inputs &amp; Assumptions'!$B$8,IF('I_Budget Input Data'!$E$61="Front-loaded",IF(31&lt;='I_Inputs &amp; Assumptions'!$B$8/2,'I_Budget Input Data'!$D$61*0.6/('I_Inputs &amp; Assumptions'!$B$8/2),'I_Budget Input Data'!$D$61*0.4/('I_Inputs &amp; Assumptions'!$B$8/2)),IF('I_Budget Input Data'!$E$61="Back-loaded",IF(31&lt;='I_Inputs &amp; Assumptions'!$B$8/2,'I_Budget Input Data'!$D$61*0.4/('I_Inputs &amp; Assumptions'!$B$8/2),'I_Budget Input Data'!$D$61*0.6/('I_Inputs &amp; Assumptions'!$B$8/2)),IF('I_Budget Input Data'!$E$61="Mid-weighted",IF(31&lt;='I_Inputs &amp; Assumptions'!$B$8/4,'I_Budget Input Data'!$D$61*0.2/('I_Inputs &amp; Assumptions'!$B$8/4),IF(31&lt;='I_Inputs &amp; Assumptions'!$B$8*0.75,'I_Budget Input Data'!$D$61*0.6/('I_Inputs &amp; Assumptions'!$B$8/2),'I_Budget Input Data'!$D$61*0.2/('I_Inputs &amp; Assumptions'!$B$8/4))),IF('I_Budget Input Data'!$E$61="At Completion",IF(31='I_Inputs &amp; Assumptions'!$B$8,'I_Budget Input Data'!$D$61,0),'I_Budget Input Data'!$D$61/'I_Inputs &amp; Assumptions'!$B$8)))))),0)</f>
        <v>0</v>
      </c>
      <c r="AH61" s="91">
        <f>IF(32&lt;='I_Inputs &amp; Assumptions'!$B$8,IF('I_Budget Input Data'!$E$61="Upfront",IF(32=1,'I_Budget Input Data'!$D$61,0),IF('I_Budget Input Data'!$E$61="Equal",'I_Budget Input Data'!$D$61/'I_Inputs &amp; Assumptions'!$B$8,IF('I_Budget Input Data'!$E$61="Front-loaded",IF(32&lt;='I_Inputs &amp; Assumptions'!$B$8/2,'I_Budget Input Data'!$D$61*0.6/('I_Inputs &amp; Assumptions'!$B$8/2),'I_Budget Input Data'!$D$61*0.4/('I_Inputs &amp; Assumptions'!$B$8/2)),IF('I_Budget Input Data'!$E$61="Back-loaded",IF(32&lt;='I_Inputs &amp; Assumptions'!$B$8/2,'I_Budget Input Data'!$D$61*0.4/('I_Inputs &amp; Assumptions'!$B$8/2),'I_Budget Input Data'!$D$61*0.6/('I_Inputs &amp; Assumptions'!$B$8/2)),IF('I_Budget Input Data'!$E$61="Mid-weighted",IF(32&lt;='I_Inputs &amp; Assumptions'!$B$8/4,'I_Budget Input Data'!$D$61*0.2/('I_Inputs &amp; Assumptions'!$B$8/4),IF(32&lt;='I_Inputs &amp; Assumptions'!$B$8*0.75,'I_Budget Input Data'!$D$61*0.6/('I_Inputs &amp; Assumptions'!$B$8/2),'I_Budget Input Data'!$D$61*0.2/('I_Inputs &amp; Assumptions'!$B$8/4))),IF('I_Budget Input Data'!$E$61="At Completion",IF(32='I_Inputs &amp; Assumptions'!$B$8,'I_Budget Input Data'!$D$61,0),'I_Budget Input Data'!$D$61/'I_Inputs &amp; Assumptions'!$B$8)))))),0)</f>
        <v>0</v>
      </c>
      <c r="AI61" s="91">
        <f>IF(33&lt;='I_Inputs &amp; Assumptions'!$B$8,IF('I_Budget Input Data'!$E$61="Upfront",IF(33=1,'I_Budget Input Data'!$D$61,0),IF('I_Budget Input Data'!$E$61="Equal",'I_Budget Input Data'!$D$61/'I_Inputs &amp; Assumptions'!$B$8,IF('I_Budget Input Data'!$E$61="Front-loaded",IF(33&lt;='I_Inputs &amp; Assumptions'!$B$8/2,'I_Budget Input Data'!$D$61*0.6/('I_Inputs &amp; Assumptions'!$B$8/2),'I_Budget Input Data'!$D$61*0.4/('I_Inputs &amp; Assumptions'!$B$8/2)),IF('I_Budget Input Data'!$E$61="Back-loaded",IF(33&lt;='I_Inputs &amp; Assumptions'!$B$8/2,'I_Budget Input Data'!$D$61*0.4/('I_Inputs &amp; Assumptions'!$B$8/2),'I_Budget Input Data'!$D$61*0.6/('I_Inputs &amp; Assumptions'!$B$8/2)),IF('I_Budget Input Data'!$E$61="Mid-weighted",IF(33&lt;='I_Inputs &amp; Assumptions'!$B$8/4,'I_Budget Input Data'!$D$61*0.2/('I_Inputs &amp; Assumptions'!$B$8/4),IF(33&lt;='I_Inputs &amp; Assumptions'!$B$8*0.75,'I_Budget Input Data'!$D$61*0.6/('I_Inputs &amp; Assumptions'!$B$8/2),'I_Budget Input Data'!$D$61*0.2/('I_Inputs &amp; Assumptions'!$B$8/4))),IF('I_Budget Input Data'!$E$61="At Completion",IF(33='I_Inputs &amp; Assumptions'!$B$8,'I_Budget Input Data'!$D$61,0),'I_Budget Input Data'!$D$61/'I_Inputs &amp; Assumptions'!$B$8)))))),0)</f>
        <v>0</v>
      </c>
      <c r="AJ61" s="91">
        <f>IF(34&lt;='I_Inputs &amp; Assumptions'!$B$8,IF('I_Budget Input Data'!$E$61="Upfront",IF(34=1,'I_Budget Input Data'!$D$61,0),IF('I_Budget Input Data'!$E$61="Equal",'I_Budget Input Data'!$D$61/'I_Inputs &amp; Assumptions'!$B$8,IF('I_Budget Input Data'!$E$61="Front-loaded",IF(34&lt;='I_Inputs &amp; Assumptions'!$B$8/2,'I_Budget Input Data'!$D$61*0.6/('I_Inputs &amp; Assumptions'!$B$8/2),'I_Budget Input Data'!$D$61*0.4/('I_Inputs &amp; Assumptions'!$B$8/2)),IF('I_Budget Input Data'!$E$61="Back-loaded",IF(34&lt;='I_Inputs &amp; Assumptions'!$B$8/2,'I_Budget Input Data'!$D$61*0.4/('I_Inputs &amp; Assumptions'!$B$8/2),'I_Budget Input Data'!$D$61*0.6/('I_Inputs &amp; Assumptions'!$B$8/2)),IF('I_Budget Input Data'!$E$61="Mid-weighted",IF(34&lt;='I_Inputs &amp; Assumptions'!$B$8/4,'I_Budget Input Data'!$D$61*0.2/('I_Inputs &amp; Assumptions'!$B$8/4),IF(34&lt;='I_Inputs &amp; Assumptions'!$B$8*0.75,'I_Budget Input Data'!$D$61*0.6/('I_Inputs &amp; Assumptions'!$B$8/2),'I_Budget Input Data'!$D$61*0.2/('I_Inputs &amp; Assumptions'!$B$8/4))),IF('I_Budget Input Data'!$E$61="At Completion",IF(34='I_Inputs &amp; Assumptions'!$B$8,'I_Budget Input Data'!$D$61,0),'I_Budget Input Data'!$D$61/'I_Inputs &amp; Assumptions'!$B$8)))))),0)</f>
        <v>0</v>
      </c>
      <c r="AK61" s="91">
        <f>IF(35&lt;='I_Inputs &amp; Assumptions'!$B$8,IF('I_Budget Input Data'!$E$61="Upfront",IF(35=1,'I_Budget Input Data'!$D$61,0),IF('I_Budget Input Data'!$E$61="Equal",'I_Budget Input Data'!$D$61/'I_Inputs &amp; Assumptions'!$B$8,IF('I_Budget Input Data'!$E$61="Front-loaded",IF(35&lt;='I_Inputs &amp; Assumptions'!$B$8/2,'I_Budget Input Data'!$D$61*0.6/('I_Inputs &amp; Assumptions'!$B$8/2),'I_Budget Input Data'!$D$61*0.4/('I_Inputs &amp; Assumptions'!$B$8/2)),IF('I_Budget Input Data'!$E$61="Back-loaded",IF(35&lt;='I_Inputs &amp; Assumptions'!$B$8/2,'I_Budget Input Data'!$D$61*0.4/('I_Inputs &amp; Assumptions'!$B$8/2),'I_Budget Input Data'!$D$61*0.6/('I_Inputs &amp; Assumptions'!$B$8/2)),IF('I_Budget Input Data'!$E$61="Mid-weighted",IF(35&lt;='I_Inputs &amp; Assumptions'!$B$8/4,'I_Budget Input Data'!$D$61*0.2/('I_Inputs &amp; Assumptions'!$B$8/4),IF(35&lt;='I_Inputs &amp; Assumptions'!$B$8*0.75,'I_Budget Input Data'!$D$61*0.6/('I_Inputs &amp; Assumptions'!$B$8/2),'I_Budget Input Data'!$D$61*0.2/('I_Inputs &amp; Assumptions'!$B$8/4))),IF('I_Budget Input Data'!$E$61="At Completion",IF(35='I_Inputs &amp; Assumptions'!$B$8,'I_Budget Input Data'!$D$61,0),'I_Budget Input Data'!$D$61/'I_Inputs &amp; Assumptions'!$B$8)))))),0)</f>
        <v>0</v>
      </c>
      <c r="AL61" s="91">
        <f>IF(36&lt;='I_Inputs &amp; Assumptions'!$B$8,IF('I_Budget Input Data'!$E$61="Upfront",IF(36=1,'I_Budget Input Data'!$D$61,0),IF('I_Budget Input Data'!$E$61="Equal",'I_Budget Input Data'!$D$61/'I_Inputs &amp; Assumptions'!$B$8,IF('I_Budget Input Data'!$E$61="Front-loaded",IF(36&lt;='I_Inputs &amp; Assumptions'!$B$8/2,'I_Budget Input Data'!$D$61*0.6/('I_Inputs &amp; Assumptions'!$B$8/2),'I_Budget Input Data'!$D$61*0.4/('I_Inputs &amp; Assumptions'!$B$8/2)),IF('I_Budget Input Data'!$E$61="Back-loaded",IF(36&lt;='I_Inputs &amp; Assumptions'!$B$8/2,'I_Budget Input Data'!$D$61*0.4/('I_Inputs &amp; Assumptions'!$B$8/2),'I_Budget Input Data'!$D$61*0.6/('I_Inputs &amp; Assumptions'!$B$8/2)),IF('I_Budget Input Data'!$E$61="Mid-weighted",IF(36&lt;='I_Inputs &amp; Assumptions'!$B$8/4,'I_Budget Input Data'!$D$61*0.2/('I_Inputs &amp; Assumptions'!$B$8/4),IF(36&lt;='I_Inputs &amp; Assumptions'!$B$8*0.75,'I_Budget Input Data'!$D$61*0.6/('I_Inputs &amp; Assumptions'!$B$8/2),'I_Budget Input Data'!$D$61*0.2/('I_Inputs &amp; Assumptions'!$B$8/4))),IF('I_Budget Input Data'!$E$61="At Completion",IF(36='I_Inputs &amp; Assumptions'!$B$8,'I_Budget Input Data'!$D$61,0),'I_Budget Input Data'!$D$61/'I_Inputs &amp; Assumptions'!$B$8)))))),0)</f>
        <v>0</v>
      </c>
    </row>
    <row r="62" spans="1:38" ht="15" customHeight="1" x14ac:dyDescent="0.2">
      <c r="A62" t="s">
        <v>146</v>
      </c>
      <c r="B62" t="s">
        <v>182</v>
      </c>
      <c r="C62" s="91">
        <f>IF(1&lt;='I_Inputs &amp; Assumptions'!$B$8,IF('I_Budget Input Data'!$E$62="Upfront",IF(1=1,'I_Budget Input Data'!$D$62,0),IF('I_Budget Input Data'!$E$62="Equal",'I_Budget Input Data'!$D$62/'I_Inputs &amp; Assumptions'!$B$8,IF('I_Budget Input Data'!$E$62="Front-loaded",IF(1&lt;='I_Inputs &amp; Assumptions'!$B$8/2,'I_Budget Input Data'!$D$62*0.6/('I_Inputs &amp; Assumptions'!$B$8/2),'I_Budget Input Data'!$D$62*0.4/('I_Inputs &amp; Assumptions'!$B$8/2)),IF('I_Budget Input Data'!$E$62="Back-loaded",IF(1&lt;='I_Inputs &amp; Assumptions'!$B$8/2,'I_Budget Input Data'!$D$62*0.4/('I_Inputs &amp; Assumptions'!$B$8/2),'I_Budget Input Data'!$D$62*0.6/('I_Inputs &amp; Assumptions'!$B$8/2)),IF('I_Budget Input Data'!$E$62="Mid-weighted",IF(1&lt;='I_Inputs &amp; Assumptions'!$B$8/4,'I_Budget Input Data'!$D$62*0.2/('I_Inputs &amp; Assumptions'!$B$8/4),IF(1&lt;='I_Inputs &amp; Assumptions'!$B$8*0.75,'I_Budget Input Data'!$D$62*0.6/('I_Inputs &amp; Assumptions'!$B$8/2),'I_Budget Input Data'!$D$62*0.2/('I_Inputs &amp; Assumptions'!$B$8/4))),IF('I_Budget Input Data'!$E$62="At Completion",IF(1='I_Inputs &amp; Assumptions'!$B$8,'I_Budget Input Data'!$D$62,0),'I_Budget Input Data'!$D$62/'I_Inputs &amp; Assumptions'!$B$8)))))),0)</f>
        <v>9040.7076923076929</v>
      </c>
      <c r="D62" s="91">
        <f>IF(2&lt;='I_Inputs &amp; Assumptions'!$B$8,IF('I_Budget Input Data'!$E$62="Upfront",IF(2=1,'I_Budget Input Data'!$D$62,0),IF('I_Budget Input Data'!$E$62="Equal",'I_Budget Input Data'!$D$62/'I_Inputs &amp; Assumptions'!$B$8,IF('I_Budget Input Data'!$E$62="Front-loaded",IF(2&lt;='I_Inputs &amp; Assumptions'!$B$8/2,'I_Budget Input Data'!$D$62*0.6/('I_Inputs &amp; Assumptions'!$B$8/2),'I_Budget Input Data'!$D$62*0.4/('I_Inputs &amp; Assumptions'!$B$8/2)),IF('I_Budget Input Data'!$E$62="Back-loaded",IF(2&lt;='I_Inputs &amp; Assumptions'!$B$8/2,'I_Budget Input Data'!$D$62*0.4/('I_Inputs &amp; Assumptions'!$B$8/2),'I_Budget Input Data'!$D$62*0.6/('I_Inputs &amp; Assumptions'!$B$8/2)),IF('I_Budget Input Data'!$E$62="Mid-weighted",IF(2&lt;='I_Inputs &amp; Assumptions'!$B$8/4,'I_Budget Input Data'!$D$62*0.2/('I_Inputs &amp; Assumptions'!$B$8/4),IF(2&lt;='I_Inputs &amp; Assumptions'!$B$8*0.75,'I_Budget Input Data'!$D$62*0.6/('I_Inputs &amp; Assumptions'!$B$8/2),'I_Budget Input Data'!$D$62*0.2/('I_Inputs &amp; Assumptions'!$B$8/4))),IF('I_Budget Input Data'!$E$62="At Completion",IF(2='I_Inputs &amp; Assumptions'!$B$8,'I_Budget Input Data'!$D$62,0),'I_Budget Input Data'!$D$62/'I_Inputs &amp; Assumptions'!$B$8)))))),0)</f>
        <v>9040.7076923076929</v>
      </c>
      <c r="E62" s="91">
        <f>IF(3&lt;='I_Inputs &amp; Assumptions'!$B$8,IF('I_Budget Input Data'!$E$62="Upfront",IF(3=1,'I_Budget Input Data'!$D$62,0),IF('I_Budget Input Data'!$E$62="Equal",'I_Budget Input Data'!$D$62/'I_Inputs &amp; Assumptions'!$B$8,IF('I_Budget Input Data'!$E$62="Front-loaded",IF(3&lt;='I_Inputs &amp; Assumptions'!$B$8/2,'I_Budget Input Data'!$D$62*0.6/('I_Inputs &amp; Assumptions'!$B$8/2),'I_Budget Input Data'!$D$62*0.4/('I_Inputs &amp; Assumptions'!$B$8/2)),IF('I_Budget Input Data'!$E$62="Back-loaded",IF(3&lt;='I_Inputs &amp; Assumptions'!$B$8/2,'I_Budget Input Data'!$D$62*0.4/('I_Inputs &amp; Assumptions'!$B$8/2),'I_Budget Input Data'!$D$62*0.6/('I_Inputs &amp; Assumptions'!$B$8/2)),IF('I_Budget Input Data'!$E$62="Mid-weighted",IF(3&lt;='I_Inputs &amp; Assumptions'!$B$8/4,'I_Budget Input Data'!$D$62*0.2/('I_Inputs &amp; Assumptions'!$B$8/4),IF(3&lt;='I_Inputs &amp; Assumptions'!$B$8*0.75,'I_Budget Input Data'!$D$62*0.6/('I_Inputs &amp; Assumptions'!$B$8/2),'I_Budget Input Data'!$D$62*0.2/('I_Inputs &amp; Assumptions'!$B$8/4))),IF('I_Budget Input Data'!$E$62="At Completion",IF(3='I_Inputs &amp; Assumptions'!$B$8,'I_Budget Input Data'!$D$62,0),'I_Budget Input Data'!$D$62/'I_Inputs &amp; Assumptions'!$B$8)))))),0)</f>
        <v>9040.7076923076929</v>
      </c>
      <c r="F62" s="91">
        <f>IF(4&lt;='I_Inputs &amp; Assumptions'!$B$8,IF('I_Budget Input Data'!$E$62="Upfront",IF(4=1,'I_Budget Input Data'!$D$62,0),IF('I_Budget Input Data'!$E$62="Equal",'I_Budget Input Data'!$D$62/'I_Inputs &amp; Assumptions'!$B$8,IF('I_Budget Input Data'!$E$62="Front-loaded",IF(4&lt;='I_Inputs &amp; Assumptions'!$B$8/2,'I_Budget Input Data'!$D$62*0.6/('I_Inputs &amp; Assumptions'!$B$8/2),'I_Budget Input Data'!$D$62*0.4/('I_Inputs &amp; Assumptions'!$B$8/2)),IF('I_Budget Input Data'!$E$62="Back-loaded",IF(4&lt;='I_Inputs &amp; Assumptions'!$B$8/2,'I_Budget Input Data'!$D$62*0.4/('I_Inputs &amp; Assumptions'!$B$8/2),'I_Budget Input Data'!$D$62*0.6/('I_Inputs &amp; Assumptions'!$B$8/2)),IF('I_Budget Input Data'!$E$62="Mid-weighted",IF(4&lt;='I_Inputs &amp; Assumptions'!$B$8/4,'I_Budget Input Data'!$D$62*0.2/('I_Inputs &amp; Assumptions'!$B$8/4),IF(4&lt;='I_Inputs &amp; Assumptions'!$B$8*0.75,'I_Budget Input Data'!$D$62*0.6/('I_Inputs &amp; Assumptions'!$B$8/2),'I_Budget Input Data'!$D$62*0.2/('I_Inputs &amp; Assumptions'!$B$8/4))),IF('I_Budget Input Data'!$E$62="At Completion",IF(4='I_Inputs &amp; Assumptions'!$B$8,'I_Budget Input Data'!$D$62,0),'I_Budget Input Data'!$D$62/'I_Inputs &amp; Assumptions'!$B$8)))))),0)</f>
        <v>9040.7076923076929</v>
      </c>
      <c r="G62" s="91">
        <f>IF(5&lt;='I_Inputs &amp; Assumptions'!$B$8,IF('I_Budget Input Data'!$E$62="Upfront",IF(5=1,'I_Budget Input Data'!$D$62,0),IF('I_Budget Input Data'!$E$62="Equal",'I_Budget Input Data'!$D$62/'I_Inputs &amp; Assumptions'!$B$8,IF('I_Budget Input Data'!$E$62="Front-loaded",IF(5&lt;='I_Inputs &amp; Assumptions'!$B$8/2,'I_Budget Input Data'!$D$62*0.6/('I_Inputs &amp; Assumptions'!$B$8/2),'I_Budget Input Data'!$D$62*0.4/('I_Inputs &amp; Assumptions'!$B$8/2)),IF('I_Budget Input Data'!$E$62="Back-loaded",IF(5&lt;='I_Inputs &amp; Assumptions'!$B$8/2,'I_Budget Input Data'!$D$62*0.4/('I_Inputs &amp; Assumptions'!$B$8/2),'I_Budget Input Data'!$D$62*0.6/('I_Inputs &amp; Assumptions'!$B$8/2)),IF('I_Budget Input Data'!$E$62="Mid-weighted",IF(5&lt;='I_Inputs &amp; Assumptions'!$B$8/4,'I_Budget Input Data'!$D$62*0.2/('I_Inputs &amp; Assumptions'!$B$8/4),IF(5&lt;='I_Inputs &amp; Assumptions'!$B$8*0.75,'I_Budget Input Data'!$D$62*0.6/('I_Inputs &amp; Assumptions'!$B$8/2),'I_Budget Input Data'!$D$62*0.2/('I_Inputs &amp; Assumptions'!$B$8/4))),IF('I_Budget Input Data'!$E$62="At Completion",IF(5='I_Inputs &amp; Assumptions'!$B$8,'I_Budget Input Data'!$D$62,0),'I_Budget Input Data'!$D$62/'I_Inputs &amp; Assumptions'!$B$8)))))),0)</f>
        <v>9040.7076923076929</v>
      </c>
      <c r="H62" s="91">
        <f>IF(6&lt;='I_Inputs &amp; Assumptions'!$B$8,IF('I_Budget Input Data'!$E$62="Upfront",IF(6=1,'I_Budget Input Data'!$D$62,0),IF('I_Budget Input Data'!$E$62="Equal",'I_Budget Input Data'!$D$62/'I_Inputs &amp; Assumptions'!$B$8,IF('I_Budget Input Data'!$E$62="Front-loaded",IF(6&lt;='I_Inputs &amp; Assumptions'!$B$8/2,'I_Budget Input Data'!$D$62*0.6/('I_Inputs &amp; Assumptions'!$B$8/2),'I_Budget Input Data'!$D$62*0.4/('I_Inputs &amp; Assumptions'!$B$8/2)),IF('I_Budget Input Data'!$E$62="Back-loaded",IF(6&lt;='I_Inputs &amp; Assumptions'!$B$8/2,'I_Budget Input Data'!$D$62*0.4/('I_Inputs &amp; Assumptions'!$B$8/2),'I_Budget Input Data'!$D$62*0.6/('I_Inputs &amp; Assumptions'!$B$8/2)),IF('I_Budget Input Data'!$E$62="Mid-weighted",IF(6&lt;='I_Inputs &amp; Assumptions'!$B$8/4,'I_Budget Input Data'!$D$62*0.2/('I_Inputs &amp; Assumptions'!$B$8/4),IF(6&lt;='I_Inputs &amp; Assumptions'!$B$8*0.75,'I_Budget Input Data'!$D$62*0.6/('I_Inputs &amp; Assumptions'!$B$8/2),'I_Budget Input Data'!$D$62*0.2/('I_Inputs &amp; Assumptions'!$B$8/4))),IF('I_Budget Input Data'!$E$62="At Completion",IF(6='I_Inputs &amp; Assumptions'!$B$8,'I_Budget Input Data'!$D$62,0),'I_Budget Input Data'!$D$62/'I_Inputs &amp; Assumptions'!$B$8)))))),0)</f>
        <v>9040.7076923076929</v>
      </c>
      <c r="I62" s="91">
        <f>IF(7&lt;='I_Inputs &amp; Assumptions'!$B$8,IF('I_Budget Input Data'!$E$62="Upfront",IF(7=1,'I_Budget Input Data'!$D$62,0),IF('I_Budget Input Data'!$E$62="Equal",'I_Budget Input Data'!$D$62/'I_Inputs &amp; Assumptions'!$B$8,IF('I_Budget Input Data'!$E$62="Front-loaded",IF(7&lt;='I_Inputs &amp; Assumptions'!$B$8/2,'I_Budget Input Data'!$D$62*0.6/('I_Inputs &amp; Assumptions'!$B$8/2),'I_Budget Input Data'!$D$62*0.4/('I_Inputs &amp; Assumptions'!$B$8/2)),IF('I_Budget Input Data'!$E$62="Back-loaded",IF(7&lt;='I_Inputs &amp; Assumptions'!$B$8/2,'I_Budget Input Data'!$D$62*0.4/('I_Inputs &amp; Assumptions'!$B$8/2),'I_Budget Input Data'!$D$62*0.6/('I_Inputs &amp; Assumptions'!$B$8/2)),IF('I_Budget Input Data'!$E$62="Mid-weighted",IF(7&lt;='I_Inputs &amp; Assumptions'!$B$8/4,'I_Budget Input Data'!$D$62*0.2/('I_Inputs &amp; Assumptions'!$B$8/4),IF(7&lt;='I_Inputs &amp; Assumptions'!$B$8*0.75,'I_Budget Input Data'!$D$62*0.6/('I_Inputs &amp; Assumptions'!$B$8/2),'I_Budget Input Data'!$D$62*0.2/('I_Inputs &amp; Assumptions'!$B$8/4))),IF('I_Budget Input Data'!$E$62="At Completion",IF(7='I_Inputs &amp; Assumptions'!$B$8,'I_Budget Input Data'!$D$62,0),'I_Budget Input Data'!$D$62/'I_Inputs &amp; Assumptions'!$B$8)))))),0)</f>
        <v>6027.1384615384613</v>
      </c>
      <c r="J62" s="91">
        <f>IF(8&lt;='I_Inputs &amp; Assumptions'!$B$8,IF('I_Budget Input Data'!$E$62="Upfront",IF(8=1,'I_Budget Input Data'!$D$62,0),IF('I_Budget Input Data'!$E$62="Equal",'I_Budget Input Data'!$D$62/'I_Inputs &amp; Assumptions'!$B$8,IF('I_Budget Input Data'!$E$62="Front-loaded",IF(8&lt;='I_Inputs &amp; Assumptions'!$B$8/2,'I_Budget Input Data'!$D$62*0.6/('I_Inputs &amp; Assumptions'!$B$8/2),'I_Budget Input Data'!$D$62*0.4/('I_Inputs &amp; Assumptions'!$B$8/2)),IF('I_Budget Input Data'!$E$62="Back-loaded",IF(8&lt;='I_Inputs &amp; Assumptions'!$B$8/2,'I_Budget Input Data'!$D$62*0.4/('I_Inputs &amp; Assumptions'!$B$8/2),'I_Budget Input Data'!$D$62*0.6/('I_Inputs &amp; Assumptions'!$B$8/2)),IF('I_Budget Input Data'!$E$62="Mid-weighted",IF(8&lt;='I_Inputs &amp; Assumptions'!$B$8/4,'I_Budget Input Data'!$D$62*0.2/('I_Inputs &amp; Assumptions'!$B$8/4),IF(8&lt;='I_Inputs &amp; Assumptions'!$B$8*0.75,'I_Budget Input Data'!$D$62*0.6/('I_Inputs &amp; Assumptions'!$B$8/2),'I_Budget Input Data'!$D$62*0.2/('I_Inputs &amp; Assumptions'!$B$8/4))),IF('I_Budget Input Data'!$E$62="At Completion",IF(8='I_Inputs &amp; Assumptions'!$B$8,'I_Budget Input Data'!$D$62,0),'I_Budget Input Data'!$D$62/'I_Inputs &amp; Assumptions'!$B$8)))))),0)</f>
        <v>6027.1384615384613</v>
      </c>
      <c r="K62" s="91">
        <f>IF(9&lt;='I_Inputs &amp; Assumptions'!$B$8,IF('I_Budget Input Data'!$E$62="Upfront",IF(9=1,'I_Budget Input Data'!$D$62,0),IF('I_Budget Input Data'!$E$62="Equal",'I_Budget Input Data'!$D$62/'I_Inputs &amp; Assumptions'!$B$8,IF('I_Budget Input Data'!$E$62="Front-loaded",IF(9&lt;='I_Inputs &amp; Assumptions'!$B$8/2,'I_Budget Input Data'!$D$62*0.6/('I_Inputs &amp; Assumptions'!$B$8/2),'I_Budget Input Data'!$D$62*0.4/('I_Inputs &amp; Assumptions'!$B$8/2)),IF('I_Budget Input Data'!$E$62="Back-loaded",IF(9&lt;='I_Inputs &amp; Assumptions'!$B$8/2,'I_Budget Input Data'!$D$62*0.4/('I_Inputs &amp; Assumptions'!$B$8/2),'I_Budget Input Data'!$D$62*0.6/('I_Inputs &amp; Assumptions'!$B$8/2)),IF('I_Budget Input Data'!$E$62="Mid-weighted",IF(9&lt;='I_Inputs &amp; Assumptions'!$B$8/4,'I_Budget Input Data'!$D$62*0.2/('I_Inputs &amp; Assumptions'!$B$8/4),IF(9&lt;='I_Inputs &amp; Assumptions'!$B$8*0.75,'I_Budget Input Data'!$D$62*0.6/('I_Inputs &amp; Assumptions'!$B$8/2),'I_Budget Input Data'!$D$62*0.2/('I_Inputs &amp; Assumptions'!$B$8/4))),IF('I_Budget Input Data'!$E$62="At Completion",IF(9='I_Inputs &amp; Assumptions'!$B$8,'I_Budget Input Data'!$D$62,0),'I_Budget Input Data'!$D$62/'I_Inputs &amp; Assumptions'!$B$8)))))),0)</f>
        <v>6027.1384615384613</v>
      </c>
      <c r="L62" s="91">
        <f>IF(10&lt;='I_Inputs &amp; Assumptions'!$B$8,IF('I_Budget Input Data'!$E$62="Upfront",IF(10=1,'I_Budget Input Data'!$D$62,0),IF('I_Budget Input Data'!$E$62="Equal",'I_Budget Input Data'!$D$62/'I_Inputs &amp; Assumptions'!$B$8,IF('I_Budget Input Data'!$E$62="Front-loaded",IF(10&lt;='I_Inputs &amp; Assumptions'!$B$8/2,'I_Budget Input Data'!$D$62*0.6/('I_Inputs &amp; Assumptions'!$B$8/2),'I_Budget Input Data'!$D$62*0.4/('I_Inputs &amp; Assumptions'!$B$8/2)),IF('I_Budget Input Data'!$E$62="Back-loaded",IF(10&lt;='I_Inputs &amp; Assumptions'!$B$8/2,'I_Budget Input Data'!$D$62*0.4/('I_Inputs &amp; Assumptions'!$B$8/2),'I_Budget Input Data'!$D$62*0.6/('I_Inputs &amp; Assumptions'!$B$8/2)),IF('I_Budget Input Data'!$E$62="Mid-weighted",IF(10&lt;='I_Inputs &amp; Assumptions'!$B$8/4,'I_Budget Input Data'!$D$62*0.2/('I_Inputs &amp; Assumptions'!$B$8/4),IF(10&lt;='I_Inputs &amp; Assumptions'!$B$8*0.75,'I_Budget Input Data'!$D$62*0.6/('I_Inputs &amp; Assumptions'!$B$8/2),'I_Budget Input Data'!$D$62*0.2/('I_Inputs &amp; Assumptions'!$B$8/4))),IF('I_Budget Input Data'!$E$62="At Completion",IF(10='I_Inputs &amp; Assumptions'!$B$8,'I_Budget Input Data'!$D$62,0),'I_Budget Input Data'!$D$62/'I_Inputs &amp; Assumptions'!$B$8)))))),0)</f>
        <v>6027.1384615384613</v>
      </c>
      <c r="M62" s="91">
        <f>IF(11&lt;='I_Inputs &amp; Assumptions'!$B$8,IF('I_Budget Input Data'!$E$62="Upfront",IF(11=1,'I_Budget Input Data'!$D$62,0),IF('I_Budget Input Data'!$E$62="Equal",'I_Budget Input Data'!$D$62/'I_Inputs &amp; Assumptions'!$B$8,IF('I_Budget Input Data'!$E$62="Front-loaded",IF(11&lt;='I_Inputs &amp; Assumptions'!$B$8/2,'I_Budget Input Data'!$D$62*0.6/('I_Inputs &amp; Assumptions'!$B$8/2),'I_Budget Input Data'!$D$62*0.4/('I_Inputs &amp; Assumptions'!$B$8/2)),IF('I_Budget Input Data'!$E$62="Back-loaded",IF(11&lt;='I_Inputs &amp; Assumptions'!$B$8/2,'I_Budget Input Data'!$D$62*0.4/('I_Inputs &amp; Assumptions'!$B$8/2),'I_Budget Input Data'!$D$62*0.6/('I_Inputs &amp; Assumptions'!$B$8/2)),IF('I_Budget Input Data'!$E$62="Mid-weighted",IF(11&lt;='I_Inputs &amp; Assumptions'!$B$8/4,'I_Budget Input Data'!$D$62*0.2/('I_Inputs &amp; Assumptions'!$B$8/4),IF(11&lt;='I_Inputs &amp; Assumptions'!$B$8*0.75,'I_Budget Input Data'!$D$62*0.6/('I_Inputs &amp; Assumptions'!$B$8/2),'I_Budget Input Data'!$D$62*0.2/('I_Inputs &amp; Assumptions'!$B$8/4))),IF('I_Budget Input Data'!$E$62="At Completion",IF(11='I_Inputs &amp; Assumptions'!$B$8,'I_Budget Input Data'!$D$62,0),'I_Budget Input Data'!$D$62/'I_Inputs &amp; Assumptions'!$B$8)))))),0)</f>
        <v>6027.1384615384613</v>
      </c>
      <c r="N62" s="91">
        <f>IF(12&lt;='I_Inputs &amp; Assumptions'!$B$8,IF('I_Budget Input Data'!$E$62="Upfront",IF(12=1,'I_Budget Input Data'!$D$62,0),IF('I_Budget Input Data'!$E$62="Equal",'I_Budget Input Data'!$D$62/'I_Inputs &amp; Assumptions'!$B$8,IF('I_Budget Input Data'!$E$62="Front-loaded",IF(12&lt;='I_Inputs &amp; Assumptions'!$B$8/2,'I_Budget Input Data'!$D$62*0.6/('I_Inputs &amp; Assumptions'!$B$8/2),'I_Budget Input Data'!$D$62*0.4/('I_Inputs &amp; Assumptions'!$B$8/2)),IF('I_Budget Input Data'!$E$62="Back-loaded",IF(12&lt;='I_Inputs &amp; Assumptions'!$B$8/2,'I_Budget Input Data'!$D$62*0.4/('I_Inputs &amp; Assumptions'!$B$8/2),'I_Budget Input Data'!$D$62*0.6/('I_Inputs &amp; Assumptions'!$B$8/2)),IF('I_Budget Input Data'!$E$62="Mid-weighted",IF(12&lt;='I_Inputs &amp; Assumptions'!$B$8/4,'I_Budget Input Data'!$D$62*0.2/('I_Inputs &amp; Assumptions'!$B$8/4),IF(12&lt;='I_Inputs &amp; Assumptions'!$B$8*0.75,'I_Budget Input Data'!$D$62*0.6/('I_Inputs &amp; Assumptions'!$B$8/2),'I_Budget Input Data'!$D$62*0.2/('I_Inputs &amp; Assumptions'!$B$8/4))),IF('I_Budget Input Data'!$E$62="At Completion",IF(12='I_Inputs &amp; Assumptions'!$B$8,'I_Budget Input Data'!$D$62,0),'I_Budget Input Data'!$D$62/'I_Inputs &amp; Assumptions'!$B$8)))))),0)</f>
        <v>6027.1384615384613</v>
      </c>
      <c r="O62" s="91">
        <f>IF(13&lt;='I_Inputs &amp; Assumptions'!$B$8,IF('I_Budget Input Data'!$E$62="Upfront",IF(13=1,'I_Budget Input Data'!$D$62,0),IF('I_Budget Input Data'!$E$62="Equal",'I_Budget Input Data'!$D$62/'I_Inputs &amp; Assumptions'!$B$8,IF('I_Budget Input Data'!$E$62="Front-loaded",IF(13&lt;='I_Inputs &amp; Assumptions'!$B$8/2,'I_Budget Input Data'!$D$62*0.6/('I_Inputs &amp; Assumptions'!$B$8/2),'I_Budget Input Data'!$D$62*0.4/('I_Inputs &amp; Assumptions'!$B$8/2)),IF('I_Budget Input Data'!$E$62="Back-loaded",IF(13&lt;='I_Inputs &amp; Assumptions'!$B$8/2,'I_Budget Input Data'!$D$62*0.4/('I_Inputs &amp; Assumptions'!$B$8/2),'I_Budget Input Data'!$D$62*0.6/('I_Inputs &amp; Assumptions'!$B$8/2)),IF('I_Budget Input Data'!$E$62="Mid-weighted",IF(13&lt;='I_Inputs &amp; Assumptions'!$B$8/4,'I_Budget Input Data'!$D$62*0.2/('I_Inputs &amp; Assumptions'!$B$8/4),IF(13&lt;='I_Inputs &amp; Assumptions'!$B$8*0.75,'I_Budget Input Data'!$D$62*0.6/('I_Inputs &amp; Assumptions'!$B$8/2),'I_Budget Input Data'!$D$62*0.2/('I_Inputs &amp; Assumptions'!$B$8/4))),IF('I_Budget Input Data'!$E$62="At Completion",IF(13='I_Inputs &amp; Assumptions'!$B$8,'I_Budget Input Data'!$D$62,0),'I_Budget Input Data'!$D$62/'I_Inputs &amp; Assumptions'!$B$8)))))),0)</f>
        <v>6027.1384615384613</v>
      </c>
      <c r="P62" s="91">
        <f>IF(14&lt;='I_Inputs &amp; Assumptions'!$B$8,IF('I_Budget Input Data'!$E$62="Upfront",IF(14=1,'I_Budget Input Data'!$D$62,0),IF('I_Budget Input Data'!$E$62="Equal",'I_Budget Input Data'!$D$62/'I_Inputs &amp; Assumptions'!$B$8,IF('I_Budget Input Data'!$E$62="Front-loaded",IF(14&lt;='I_Inputs &amp; Assumptions'!$B$8/2,'I_Budget Input Data'!$D$62*0.6/('I_Inputs &amp; Assumptions'!$B$8/2),'I_Budget Input Data'!$D$62*0.4/('I_Inputs &amp; Assumptions'!$B$8/2)),IF('I_Budget Input Data'!$E$62="Back-loaded",IF(14&lt;='I_Inputs &amp; Assumptions'!$B$8/2,'I_Budget Input Data'!$D$62*0.4/('I_Inputs &amp; Assumptions'!$B$8/2),'I_Budget Input Data'!$D$62*0.6/('I_Inputs &amp; Assumptions'!$B$8/2)),IF('I_Budget Input Data'!$E$62="Mid-weighted",IF(14&lt;='I_Inputs &amp; Assumptions'!$B$8/4,'I_Budget Input Data'!$D$62*0.2/('I_Inputs &amp; Assumptions'!$B$8/4),IF(14&lt;='I_Inputs &amp; Assumptions'!$B$8*0.75,'I_Budget Input Data'!$D$62*0.6/('I_Inputs &amp; Assumptions'!$B$8/2),'I_Budget Input Data'!$D$62*0.2/('I_Inputs &amp; Assumptions'!$B$8/4))),IF('I_Budget Input Data'!$E$62="At Completion",IF(14='I_Inputs &amp; Assumptions'!$B$8,'I_Budget Input Data'!$D$62,0),'I_Budget Input Data'!$D$62/'I_Inputs &amp; Assumptions'!$B$8)))))),0)</f>
        <v>0</v>
      </c>
      <c r="Q62" s="91">
        <f>IF(15&lt;='I_Inputs &amp; Assumptions'!$B$8,IF('I_Budget Input Data'!$E$62="Upfront",IF(15=1,'I_Budget Input Data'!$D$62,0),IF('I_Budget Input Data'!$E$62="Equal",'I_Budget Input Data'!$D$62/'I_Inputs &amp; Assumptions'!$B$8,IF('I_Budget Input Data'!$E$62="Front-loaded",IF(15&lt;='I_Inputs &amp; Assumptions'!$B$8/2,'I_Budget Input Data'!$D$62*0.6/('I_Inputs &amp; Assumptions'!$B$8/2),'I_Budget Input Data'!$D$62*0.4/('I_Inputs &amp; Assumptions'!$B$8/2)),IF('I_Budget Input Data'!$E$62="Back-loaded",IF(15&lt;='I_Inputs &amp; Assumptions'!$B$8/2,'I_Budget Input Data'!$D$62*0.4/('I_Inputs &amp; Assumptions'!$B$8/2),'I_Budget Input Data'!$D$62*0.6/('I_Inputs &amp; Assumptions'!$B$8/2)),IF('I_Budget Input Data'!$E$62="Mid-weighted",IF(15&lt;='I_Inputs &amp; Assumptions'!$B$8/4,'I_Budget Input Data'!$D$62*0.2/('I_Inputs &amp; Assumptions'!$B$8/4),IF(15&lt;='I_Inputs &amp; Assumptions'!$B$8*0.75,'I_Budget Input Data'!$D$62*0.6/('I_Inputs &amp; Assumptions'!$B$8/2),'I_Budget Input Data'!$D$62*0.2/('I_Inputs &amp; Assumptions'!$B$8/4))),IF('I_Budget Input Data'!$E$62="At Completion",IF(15='I_Inputs &amp; Assumptions'!$B$8,'I_Budget Input Data'!$D$62,0),'I_Budget Input Data'!$D$62/'I_Inputs &amp; Assumptions'!$B$8)))))),0)</f>
        <v>0</v>
      </c>
      <c r="R62" s="91">
        <f>IF(16&lt;='I_Inputs &amp; Assumptions'!$B$8,IF('I_Budget Input Data'!$E$62="Upfront",IF(16=1,'I_Budget Input Data'!$D$62,0),IF('I_Budget Input Data'!$E$62="Equal",'I_Budget Input Data'!$D$62/'I_Inputs &amp; Assumptions'!$B$8,IF('I_Budget Input Data'!$E$62="Front-loaded",IF(16&lt;='I_Inputs &amp; Assumptions'!$B$8/2,'I_Budget Input Data'!$D$62*0.6/('I_Inputs &amp; Assumptions'!$B$8/2),'I_Budget Input Data'!$D$62*0.4/('I_Inputs &amp; Assumptions'!$B$8/2)),IF('I_Budget Input Data'!$E$62="Back-loaded",IF(16&lt;='I_Inputs &amp; Assumptions'!$B$8/2,'I_Budget Input Data'!$D$62*0.4/('I_Inputs &amp; Assumptions'!$B$8/2),'I_Budget Input Data'!$D$62*0.6/('I_Inputs &amp; Assumptions'!$B$8/2)),IF('I_Budget Input Data'!$E$62="Mid-weighted",IF(16&lt;='I_Inputs &amp; Assumptions'!$B$8/4,'I_Budget Input Data'!$D$62*0.2/('I_Inputs &amp; Assumptions'!$B$8/4),IF(16&lt;='I_Inputs &amp; Assumptions'!$B$8*0.75,'I_Budget Input Data'!$D$62*0.6/('I_Inputs &amp; Assumptions'!$B$8/2),'I_Budget Input Data'!$D$62*0.2/('I_Inputs &amp; Assumptions'!$B$8/4))),IF('I_Budget Input Data'!$E$62="At Completion",IF(16='I_Inputs &amp; Assumptions'!$B$8,'I_Budget Input Data'!$D$62,0),'I_Budget Input Data'!$D$62/'I_Inputs &amp; Assumptions'!$B$8)))))),0)</f>
        <v>0</v>
      </c>
      <c r="S62" s="91">
        <f>IF(17&lt;='I_Inputs &amp; Assumptions'!$B$8,IF('I_Budget Input Data'!$E$62="Upfront",IF(17=1,'I_Budget Input Data'!$D$62,0),IF('I_Budget Input Data'!$E$62="Equal",'I_Budget Input Data'!$D$62/'I_Inputs &amp; Assumptions'!$B$8,IF('I_Budget Input Data'!$E$62="Front-loaded",IF(17&lt;='I_Inputs &amp; Assumptions'!$B$8/2,'I_Budget Input Data'!$D$62*0.6/('I_Inputs &amp; Assumptions'!$B$8/2),'I_Budget Input Data'!$D$62*0.4/('I_Inputs &amp; Assumptions'!$B$8/2)),IF('I_Budget Input Data'!$E$62="Back-loaded",IF(17&lt;='I_Inputs &amp; Assumptions'!$B$8/2,'I_Budget Input Data'!$D$62*0.4/('I_Inputs &amp; Assumptions'!$B$8/2),'I_Budget Input Data'!$D$62*0.6/('I_Inputs &amp; Assumptions'!$B$8/2)),IF('I_Budget Input Data'!$E$62="Mid-weighted",IF(17&lt;='I_Inputs &amp; Assumptions'!$B$8/4,'I_Budget Input Data'!$D$62*0.2/('I_Inputs &amp; Assumptions'!$B$8/4),IF(17&lt;='I_Inputs &amp; Assumptions'!$B$8*0.75,'I_Budget Input Data'!$D$62*0.6/('I_Inputs &amp; Assumptions'!$B$8/2),'I_Budget Input Data'!$D$62*0.2/('I_Inputs &amp; Assumptions'!$B$8/4))),IF('I_Budget Input Data'!$E$62="At Completion",IF(17='I_Inputs &amp; Assumptions'!$B$8,'I_Budget Input Data'!$D$62,0),'I_Budget Input Data'!$D$62/'I_Inputs &amp; Assumptions'!$B$8)))))),0)</f>
        <v>0</v>
      </c>
      <c r="T62" s="91">
        <f>IF(18&lt;='I_Inputs &amp; Assumptions'!$B$8,IF('I_Budget Input Data'!$E$62="Upfront",IF(18=1,'I_Budget Input Data'!$D$62,0),IF('I_Budget Input Data'!$E$62="Equal",'I_Budget Input Data'!$D$62/'I_Inputs &amp; Assumptions'!$B$8,IF('I_Budget Input Data'!$E$62="Front-loaded",IF(18&lt;='I_Inputs &amp; Assumptions'!$B$8/2,'I_Budget Input Data'!$D$62*0.6/('I_Inputs &amp; Assumptions'!$B$8/2),'I_Budget Input Data'!$D$62*0.4/('I_Inputs &amp; Assumptions'!$B$8/2)),IF('I_Budget Input Data'!$E$62="Back-loaded",IF(18&lt;='I_Inputs &amp; Assumptions'!$B$8/2,'I_Budget Input Data'!$D$62*0.4/('I_Inputs &amp; Assumptions'!$B$8/2),'I_Budget Input Data'!$D$62*0.6/('I_Inputs &amp; Assumptions'!$B$8/2)),IF('I_Budget Input Data'!$E$62="Mid-weighted",IF(18&lt;='I_Inputs &amp; Assumptions'!$B$8/4,'I_Budget Input Data'!$D$62*0.2/('I_Inputs &amp; Assumptions'!$B$8/4),IF(18&lt;='I_Inputs &amp; Assumptions'!$B$8*0.75,'I_Budget Input Data'!$D$62*0.6/('I_Inputs &amp; Assumptions'!$B$8/2),'I_Budget Input Data'!$D$62*0.2/('I_Inputs &amp; Assumptions'!$B$8/4))),IF('I_Budget Input Data'!$E$62="At Completion",IF(18='I_Inputs &amp; Assumptions'!$B$8,'I_Budget Input Data'!$D$62,0),'I_Budget Input Data'!$D$62/'I_Inputs &amp; Assumptions'!$B$8)))))),0)</f>
        <v>0</v>
      </c>
      <c r="U62" s="91">
        <f>IF(19&lt;='I_Inputs &amp; Assumptions'!$B$8,IF('I_Budget Input Data'!$E$62="Upfront",IF(19=1,'I_Budget Input Data'!$D$62,0),IF('I_Budget Input Data'!$E$62="Equal",'I_Budget Input Data'!$D$62/'I_Inputs &amp; Assumptions'!$B$8,IF('I_Budget Input Data'!$E$62="Front-loaded",IF(19&lt;='I_Inputs &amp; Assumptions'!$B$8/2,'I_Budget Input Data'!$D$62*0.6/('I_Inputs &amp; Assumptions'!$B$8/2),'I_Budget Input Data'!$D$62*0.4/('I_Inputs &amp; Assumptions'!$B$8/2)),IF('I_Budget Input Data'!$E$62="Back-loaded",IF(19&lt;='I_Inputs &amp; Assumptions'!$B$8/2,'I_Budget Input Data'!$D$62*0.4/('I_Inputs &amp; Assumptions'!$B$8/2),'I_Budget Input Data'!$D$62*0.6/('I_Inputs &amp; Assumptions'!$B$8/2)),IF('I_Budget Input Data'!$E$62="Mid-weighted",IF(19&lt;='I_Inputs &amp; Assumptions'!$B$8/4,'I_Budget Input Data'!$D$62*0.2/('I_Inputs &amp; Assumptions'!$B$8/4),IF(19&lt;='I_Inputs &amp; Assumptions'!$B$8*0.75,'I_Budget Input Data'!$D$62*0.6/('I_Inputs &amp; Assumptions'!$B$8/2),'I_Budget Input Data'!$D$62*0.2/('I_Inputs &amp; Assumptions'!$B$8/4))),IF('I_Budget Input Data'!$E$62="At Completion",IF(19='I_Inputs &amp; Assumptions'!$B$8,'I_Budget Input Data'!$D$62,0),'I_Budget Input Data'!$D$62/'I_Inputs &amp; Assumptions'!$B$8)))))),0)</f>
        <v>0</v>
      </c>
      <c r="V62" s="91">
        <f>IF(20&lt;='I_Inputs &amp; Assumptions'!$B$8,IF('I_Budget Input Data'!$E$62="Upfront",IF(20=1,'I_Budget Input Data'!$D$62,0),IF('I_Budget Input Data'!$E$62="Equal",'I_Budget Input Data'!$D$62/'I_Inputs &amp; Assumptions'!$B$8,IF('I_Budget Input Data'!$E$62="Front-loaded",IF(20&lt;='I_Inputs &amp; Assumptions'!$B$8/2,'I_Budget Input Data'!$D$62*0.6/('I_Inputs &amp; Assumptions'!$B$8/2),'I_Budget Input Data'!$D$62*0.4/('I_Inputs &amp; Assumptions'!$B$8/2)),IF('I_Budget Input Data'!$E$62="Back-loaded",IF(20&lt;='I_Inputs &amp; Assumptions'!$B$8/2,'I_Budget Input Data'!$D$62*0.4/('I_Inputs &amp; Assumptions'!$B$8/2),'I_Budget Input Data'!$D$62*0.6/('I_Inputs &amp; Assumptions'!$B$8/2)),IF('I_Budget Input Data'!$E$62="Mid-weighted",IF(20&lt;='I_Inputs &amp; Assumptions'!$B$8/4,'I_Budget Input Data'!$D$62*0.2/('I_Inputs &amp; Assumptions'!$B$8/4),IF(20&lt;='I_Inputs &amp; Assumptions'!$B$8*0.75,'I_Budget Input Data'!$D$62*0.6/('I_Inputs &amp; Assumptions'!$B$8/2),'I_Budget Input Data'!$D$62*0.2/('I_Inputs &amp; Assumptions'!$B$8/4))),IF('I_Budget Input Data'!$E$62="At Completion",IF(20='I_Inputs &amp; Assumptions'!$B$8,'I_Budget Input Data'!$D$62,0),'I_Budget Input Data'!$D$62/'I_Inputs &amp; Assumptions'!$B$8)))))),0)</f>
        <v>0</v>
      </c>
      <c r="W62" s="91">
        <f>IF(21&lt;='I_Inputs &amp; Assumptions'!$B$8,IF('I_Budget Input Data'!$E$62="Upfront",IF(21=1,'I_Budget Input Data'!$D$62,0),IF('I_Budget Input Data'!$E$62="Equal",'I_Budget Input Data'!$D$62/'I_Inputs &amp; Assumptions'!$B$8,IF('I_Budget Input Data'!$E$62="Front-loaded",IF(21&lt;='I_Inputs &amp; Assumptions'!$B$8/2,'I_Budget Input Data'!$D$62*0.6/('I_Inputs &amp; Assumptions'!$B$8/2),'I_Budget Input Data'!$D$62*0.4/('I_Inputs &amp; Assumptions'!$B$8/2)),IF('I_Budget Input Data'!$E$62="Back-loaded",IF(21&lt;='I_Inputs &amp; Assumptions'!$B$8/2,'I_Budget Input Data'!$D$62*0.4/('I_Inputs &amp; Assumptions'!$B$8/2),'I_Budget Input Data'!$D$62*0.6/('I_Inputs &amp; Assumptions'!$B$8/2)),IF('I_Budget Input Data'!$E$62="Mid-weighted",IF(21&lt;='I_Inputs &amp; Assumptions'!$B$8/4,'I_Budget Input Data'!$D$62*0.2/('I_Inputs &amp; Assumptions'!$B$8/4),IF(21&lt;='I_Inputs &amp; Assumptions'!$B$8*0.75,'I_Budget Input Data'!$D$62*0.6/('I_Inputs &amp; Assumptions'!$B$8/2),'I_Budget Input Data'!$D$62*0.2/('I_Inputs &amp; Assumptions'!$B$8/4))),IF('I_Budget Input Data'!$E$62="At Completion",IF(21='I_Inputs &amp; Assumptions'!$B$8,'I_Budget Input Data'!$D$62,0),'I_Budget Input Data'!$D$62/'I_Inputs &amp; Assumptions'!$B$8)))))),0)</f>
        <v>0</v>
      </c>
      <c r="X62" s="91">
        <f>IF(22&lt;='I_Inputs &amp; Assumptions'!$B$8,IF('I_Budget Input Data'!$E$62="Upfront",IF(22=1,'I_Budget Input Data'!$D$62,0),IF('I_Budget Input Data'!$E$62="Equal",'I_Budget Input Data'!$D$62/'I_Inputs &amp; Assumptions'!$B$8,IF('I_Budget Input Data'!$E$62="Front-loaded",IF(22&lt;='I_Inputs &amp; Assumptions'!$B$8/2,'I_Budget Input Data'!$D$62*0.6/('I_Inputs &amp; Assumptions'!$B$8/2),'I_Budget Input Data'!$D$62*0.4/('I_Inputs &amp; Assumptions'!$B$8/2)),IF('I_Budget Input Data'!$E$62="Back-loaded",IF(22&lt;='I_Inputs &amp; Assumptions'!$B$8/2,'I_Budget Input Data'!$D$62*0.4/('I_Inputs &amp; Assumptions'!$B$8/2),'I_Budget Input Data'!$D$62*0.6/('I_Inputs &amp; Assumptions'!$B$8/2)),IF('I_Budget Input Data'!$E$62="Mid-weighted",IF(22&lt;='I_Inputs &amp; Assumptions'!$B$8/4,'I_Budget Input Data'!$D$62*0.2/('I_Inputs &amp; Assumptions'!$B$8/4),IF(22&lt;='I_Inputs &amp; Assumptions'!$B$8*0.75,'I_Budget Input Data'!$D$62*0.6/('I_Inputs &amp; Assumptions'!$B$8/2),'I_Budget Input Data'!$D$62*0.2/('I_Inputs &amp; Assumptions'!$B$8/4))),IF('I_Budget Input Data'!$E$62="At Completion",IF(22='I_Inputs &amp; Assumptions'!$B$8,'I_Budget Input Data'!$D$62,0),'I_Budget Input Data'!$D$62/'I_Inputs &amp; Assumptions'!$B$8)))))),0)</f>
        <v>0</v>
      </c>
      <c r="Y62" s="91">
        <f>IF(23&lt;='I_Inputs &amp; Assumptions'!$B$8,IF('I_Budget Input Data'!$E$62="Upfront",IF(23=1,'I_Budget Input Data'!$D$62,0),IF('I_Budget Input Data'!$E$62="Equal",'I_Budget Input Data'!$D$62/'I_Inputs &amp; Assumptions'!$B$8,IF('I_Budget Input Data'!$E$62="Front-loaded",IF(23&lt;='I_Inputs &amp; Assumptions'!$B$8/2,'I_Budget Input Data'!$D$62*0.6/('I_Inputs &amp; Assumptions'!$B$8/2),'I_Budget Input Data'!$D$62*0.4/('I_Inputs &amp; Assumptions'!$B$8/2)),IF('I_Budget Input Data'!$E$62="Back-loaded",IF(23&lt;='I_Inputs &amp; Assumptions'!$B$8/2,'I_Budget Input Data'!$D$62*0.4/('I_Inputs &amp; Assumptions'!$B$8/2),'I_Budget Input Data'!$D$62*0.6/('I_Inputs &amp; Assumptions'!$B$8/2)),IF('I_Budget Input Data'!$E$62="Mid-weighted",IF(23&lt;='I_Inputs &amp; Assumptions'!$B$8/4,'I_Budget Input Data'!$D$62*0.2/('I_Inputs &amp; Assumptions'!$B$8/4),IF(23&lt;='I_Inputs &amp; Assumptions'!$B$8*0.75,'I_Budget Input Data'!$D$62*0.6/('I_Inputs &amp; Assumptions'!$B$8/2),'I_Budget Input Data'!$D$62*0.2/('I_Inputs &amp; Assumptions'!$B$8/4))),IF('I_Budget Input Data'!$E$62="At Completion",IF(23='I_Inputs &amp; Assumptions'!$B$8,'I_Budget Input Data'!$D$62,0),'I_Budget Input Data'!$D$62/'I_Inputs &amp; Assumptions'!$B$8)))))),0)</f>
        <v>0</v>
      </c>
      <c r="Z62" s="91">
        <f>IF(24&lt;='I_Inputs &amp; Assumptions'!$B$8,IF('I_Budget Input Data'!$E$62="Upfront",IF(24=1,'I_Budget Input Data'!$D$62,0),IF('I_Budget Input Data'!$E$62="Equal",'I_Budget Input Data'!$D$62/'I_Inputs &amp; Assumptions'!$B$8,IF('I_Budget Input Data'!$E$62="Front-loaded",IF(24&lt;='I_Inputs &amp; Assumptions'!$B$8/2,'I_Budget Input Data'!$D$62*0.6/('I_Inputs &amp; Assumptions'!$B$8/2),'I_Budget Input Data'!$D$62*0.4/('I_Inputs &amp; Assumptions'!$B$8/2)),IF('I_Budget Input Data'!$E$62="Back-loaded",IF(24&lt;='I_Inputs &amp; Assumptions'!$B$8/2,'I_Budget Input Data'!$D$62*0.4/('I_Inputs &amp; Assumptions'!$B$8/2),'I_Budget Input Data'!$D$62*0.6/('I_Inputs &amp; Assumptions'!$B$8/2)),IF('I_Budget Input Data'!$E$62="Mid-weighted",IF(24&lt;='I_Inputs &amp; Assumptions'!$B$8/4,'I_Budget Input Data'!$D$62*0.2/('I_Inputs &amp; Assumptions'!$B$8/4),IF(24&lt;='I_Inputs &amp; Assumptions'!$B$8*0.75,'I_Budget Input Data'!$D$62*0.6/('I_Inputs &amp; Assumptions'!$B$8/2),'I_Budget Input Data'!$D$62*0.2/('I_Inputs &amp; Assumptions'!$B$8/4))),IF('I_Budget Input Data'!$E$62="At Completion",IF(24='I_Inputs &amp; Assumptions'!$B$8,'I_Budget Input Data'!$D$62,0),'I_Budget Input Data'!$D$62/'I_Inputs &amp; Assumptions'!$B$8)))))),0)</f>
        <v>0</v>
      </c>
      <c r="AA62" s="91">
        <f>IF(25&lt;='I_Inputs &amp; Assumptions'!$B$8,IF('I_Budget Input Data'!$E$62="Upfront",IF(25=1,'I_Budget Input Data'!$D$62,0),IF('I_Budget Input Data'!$E$62="Equal",'I_Budget Input Data'!$D$62/'I_Inputs &amp; Assumptions'!$B$8,IF('I_Budget Input Data'!$E$62="Front-loaded",IF(25&lt;='I_Inputs &amp; Assumptions'!$B$8/2,'I_Budget Input Data'!$D$62*0.6/('I_Inputs &amp; Assumptions'!$B$8/2),'I_Budget Input Data'!$D$62*0.4/('I_Inputs &amp; Assumptions'!$B$8/2)),IF('I_Budget Input Data'!$E$62="Back-loaded",IF(25&lt;='I_Inputs &amp; Assumptions'!$B$8/2,'I_Budget Input Data'!$D$62*0.4/('I_Inputs &amp; Assumptions'!$B$8/2),'I_Budget Input Data'!$D$62*0.6/('I_Inputs &amp; Assumptions'!$B$8/2)),IF('I_Budget Input Data'!$E$62="Mid-weighted",IF(25&lt;='I_Inputs &amp; Assumptions'!$B$8/4,'I_Budget Input Data'!$D$62*0.2/('I_Inputs &amp; Assumptions'!$B$8/4),IF(25&lt;='I_Inputs &amp; Assumptions'!$B$8*0.75,'I_Budget Input Data'!$D$62*0.6/('I_Inputs &amp; Assumptions'!$B$8/2),'I_Budget Input Data'!$D$62*0.2/('I_Inputs &amp; Assumptions'!$B$8/4))),IF('I_Budget Input Data'!$E$62="At Completion",IF(25='I_Inputs &amp; Assumptions'!$B$8,'I_Budget Input Data'!$D$62,0),'I_Budget Input Data'!$D$62/'I_Inputs &amp; Assumptions'!$B$8)))))),0)</f>
        <v>0</v>
      </c>
      <c r="AB62" s="91">
        <f>IF(26&lt;='I_Inputs &amp; Assumptions'!$B$8,IF('I_Budget Input Data'!$E$62="Upfront",IF(26=1,'I_Budget Input Data'!$D$62,0),IF('I_Budget Input Data'!$E$62="Equal",'I_Budget Input Data'!$D$62/'I_Inputs &amp; Assumptions'!$B$8,IF('I_Budget Input Data'!$E$62="Front-loaded",IF(26&lt;='I_Inputs &amp; Assumptions'!$B$8/2,'I_Budget Input Data'!$D$62*0.6/('I_Inputs &amp; Assumptions'!$B$8/2),'I_Budget Input Data'!$D$62*0.4/('I_Inputs &amp; Assumptions'!$B$8/2)),IF('I_Budget Input Data'!$E$62="Back-loaded",IF(26&lt;='I_Inputs &amp; Assumptions'!$B$8/2,'I_Budget Input Data'!$D$62*0.4/('I_Inputs &amp; Assumptions'!$B$8/2),'I_Budget Input Data'!$D$62*0.6/('I_Inputs &amp; Assumptions'!$B$8/2)),IF('I_Budget Input Data'!$E$62="Mid-weighted",IF(26&lt;='I_Inputs &amp; Assumptions'!$B$8/4,'I_Budget Input Data'!$D$62*0.2/('I_Inputs &amp; Assumptions'!$B$8/4),IF(26&lt;='I_Inputs &amp; Assumptions'!$B$8*0.75,'I_Budget Input Data'!$D$62*0.6/('I_Inputs &amp; Assumptions'!$B$8/2),'I_Budget Input Data'!$D$62*0.2/('I_Inputs &amp; Assumptions'!$B$8/4))),IF('I_Budget Input Data'!$E$62="At Completion",IF(26='I_Inputs &amp; Assumptions'!$B$8,'I_Budget Input Data'!$D$62,0),'I_Budget Input Data'!$D$62/'I_Inputs &amp; Assumptions'!$B$8)))))),0)</f>
        <v>0</v>
      </c>
      <c r="AC62" s="91">
        <f>IF(27&lt;='I_Inputs &amp; Assumptions'!$B$8,IF('I_Budget Input Data'!$E$62="Upfront",IF(27=1,'I_Budget Input Data'!$D$62,0),IF('I_Budget Input Data'!$E$62="Equal",'I_Budget Input Data'!$D$62/'I_Inputs &amp; Assumptions'!$B$8,IF('I_Budget Input Data'!$E$62="Front-loaded",IF(27&lt;='I_Inputs &amp; Assumptions'!$B$8/2,'I_Budget Input Data'!$D$62*0.6/('I_Inputs &amp; Assumptions'!$B$8/2),'I_Budget Input Data'!$D$62*0.4/('I_Inputs &amp; Assumptions'!$B$8/2)),IF('I_Budget Input Data'!$E$62="Back-loaded",IF(27&lt;='I_Inputs &amp; Assumptions'!$B$8/2,'I_Budget Input Data'!$D$62*0.4/('I_Inputs &amp; Assumptions'!$B$8/2),'I_Budget Input Data'!$D$62*0.6/('I_Inputs &amp; Assumptions'!$B$8/2)),IF('I_Budget Input Data'!$E$62="Mid-weighted",IF(27&lt;='I_Inputs &amp; Assumptions'!$B$8/4,'I_Budget Input Data'!$D$62*0.2/('I_Inputs &amp; Assumptions'!$B$8/4),IF(27&lt;='I_Inputs &amp; Assumptions'!$B$8*0.75,'I_Budget Input Data'!$D$62*0.6/('I_Inputs &amp; Assumptions'!$B$8/2),'I_Budget Input Data'!$D$62*0.2/('I_Inputs &amp; Assumptions'!$B$8/4))),IF('I_Budget Input Data'!$E$62="At Completion",IF(27='I_Inputs &amp; Assumptions'!$B$8,'I_Budget Input Data'!$D$62,0),'I_Budget Input Data'!$D$62/'I_Inputs &amp; Assumptions'!$B$8)))))),0)</f>
        <v>0</v>
      </c>
      <c r="AD62" s="91">
        <f>IF(28&lt;='I_Inputs &amp; Assumptions'!$B$8,IF('I_Budget Input Data'!$E$62="Upfront",IF(28=1,'I_Budget Input Data'!$D$62,0),IF('I_Budget Input Data'!$E$62="Equal",'I_Budget Input Data'!$D$62/'I_Inputs &amp; Assumptions'!$B$8,IF('I_Budget Input Data'!$E$62="Front-loaded",IF(28&lt;='I_Inputs &amp; Assumptions'!$B$8/2,'I_Budget Input Data'!$D$62*0.6/('I_Inputs &amp; Assumptions'!$B$8/2),'I_Budget Input Data'!$D$62*0.4/('I_Inputs &amp; Assumptions'!$B$8/2)),IF('I_Budget Input Data'!$E$62="Back-loaded",IF(28&lt;='I_Inputs &amp; Assumptions'!$B$8/2,'I_Budget Input Data'!$D$62*0.4/('I_Inputs &amp; Assumptions'!$B$8/2),'I_Budget Input Data'!$D$62*0.6/('I_Inputs &amp; Assumptions'!$B$8/2)),IF('I_Budget Input Data'!$E$62="Mid-weighted",IF(28&lt;='I_Inputs &amp; Assumptions'!$B$8/4,'I_Budget Input Data'!$D$62*0.2/('I_Inputs &amp; Assumptions'!$B$8/4),IF(28&lt;='I_Inputs &amp; Assumptions'!$B$8*0.75,'I_Budget Input Data'!$D$62*0.6/('I_Inputs &amp; Assumptions'!$B$8/2),'I_Budget Input Data'!$D$62*0.2/('I_Inputs &amp; Assumptions'!$B$8/4))),IF('I_Budget Input Data'!$E$62="At Completion",IF(28='I_Inputs &amp; Assumptions'!$B$8,'I_Budget Input Data'!$D$62,0),'I_Budget Input Data'!$D$62/'I_Inputs &amp; Assumptions'!$B$8)))))),0)</f>
        <v>0</v>
      </c>
      <c r="AE62" s="91">
        <f>IF(29&lt;='I_Inputs &amp; Assumptions'!$B$8,IF('I_Budget Input Data'!$E$62="Upfront",IF(29=1,'I_Budget Input Data'!$D$62,0),IF('I_Budget Input Data'!$E$62="Equal",'I_Budget Input Data'!$D$62/'I_Inputs &amp; Assumptions'!$B$8,IF('I_Budget Input Data'!$E$62="Front-loaded",IF(29&lt;='I_Inputs &amp; Assumptions'!$B$8/2,'I_Budget Input Data'!$D$62*0.6/('I_Inputs &amp; Assumptions'!$B$8/2),'I_Budget Input Data'!$D$62*0.4/('I_Inputs &amp; Assumptions'!$B$8/2)),IF('I_Budget Input Data'!$E$62="Back-loaded",IF(29&lt;='I_Inputs &amp; Assumptions'!$B$8/2,'I_Budget Input Data'!$D$62*0.4/('I_Inputs &amp; Assumptions'!$B$8/2),'I_Budget Input Data'!$D$62*0.6/('I_Inputs &amp; Assumptions'!$B$8/2)),IF('I_Budget Input Data'!$E$62="Mid-weighted",IF(29&lt;='I_Inputs &amp; Assumptions'!$B$8/4,'I_Budget Input Data'!$D$62*0.2/('I_Inputs &amp; Assumptions'!$B$8/4),IF(29&lt;='I_Inputs &amp; Assumptions'!$B$8*0.75,'I_Budget Input Data'!$D$62*0.6/('I_Inputs &amp; Assumptions'!$B$8/2),'I_Budget Input Data'!$D$62*0.2/('I_Inputs &amp; Assumptions'!$B$8/4))),IF('I_Budget Input Data'!$E$62="At Completion",IF(29='I_Inputs &amp; Assumptions'!$B$8,'I_Budget Input Data'!$D$62,0),'I_Budget Input Data'!$D$62/'I_Inputs &amp; Assumptions'!$B$8)))))),0)</f>
        <v>0</v>
      </c>
      <c r="AF62" s="91">
        <f>IF(30&lt;='I_Inputs &amp; Assumptions'!$B$8,IF('I_Budget Input Data'!$E$62="Upfront",IF(30=1,'I_Budget Input Data'!$D$62,0),IF('I_Budget Input Data'!$E$62="Equal",'I_Budget Input Data'!$D$62/'I_Inputs &amp; Assumptions'!$B$8,IF('I_Budget Input Data'!$E$62="Front-loaded",IF(30&lt;='I_Inputs &amp; Assumptions'!$B$8/2,'I_Budget Input Data'!$D$62*0.6/('I_Inputs &amp; Assumptions'!$B$8/2),'I_Budget Input Data'!$D$62*0.4/('I_Inputs &amp; Assumptions'!$B$8/2)),IF('I_Budget Input Data'!$E$62="Back-loaded",IF(30&lt;='I_Inputs &amp; Assumptions'!$B$8/2,'I_Budget Input Data'!$D$62*0.4/('I_Inputs &amp; Assumptions'!$B$8/2),'I_Budget Input Data'!$D$62*0.6/('I_Inputs &amp; Assumptions'!$B$8/2)),IF('I_Budget Input Data'!$E$62="Mid-weighted",IF(30&lt;='I_Inputs &amp; Assumptions'!$B$8/4,'I_Budget Input Data'!$D$62*0.2/('I_Inputs &amp; Assumptions'!$B$8/4),IF(30&lt;='I_Inputs &amp; Assumptions'!$B$8*0.75,'I_Budget Input Data'!$D$62*0.6/('I_Inputs &amp; Assumptions'!$B$8/2),'I_Budget Input Data'!$D$62*0.2/('I_Inputs &amp; Assumptions'!$B$8/4))),IF('I_Budget Input Data'!$E$62="At Completion",IF(30='I_Inputs &amp; Assumptions'!$B$8,'I_Budget Input Data'!$D$62,0),'I_Budget Input Data'!$D$62/'I_Inputs &amp; Assumptions'!$B$8)))))),0)</f>
        <v>0</v>
      </c>
      <c r="AG62" s="91">
        <f>IF(31&lt;='I_Inputs &amp; Assumptions'!$B$8,IF('I_Budget Input Data'!$E$62="Upfront",IF(31=1,'I_Budget Input Data'!$D$62,0),IF('I_Budget Input Data'!$E$62="Equal",'I_Budget Input Data'!$D$62/'I_Inputs &amp; Assumptions'!$B$8,IF('I_Budget Input Data'!$E$62="Front-loaded",IF(31&lt;='I_Inputs &amp; Assumptions'!$B$8/2,'I_Budget Input Data'!$D$62*0.6/('I_Inputs &amp; Assumptions'!$B$8/2),'I_Budget Input Data'!$D$62*0.4/('I_Inputs &amp; Assumptions'!$B$8/2)),IF('I_Budget Input Data'!$E$62="Back-loaded",IF(31&lt;='I_Inputs &amp; Assumptions'!$B$8/2,'I_Budget Input Data'!$D$62*0.4/('I_Inputs &amp; Assumptions'!$B$8/2),'I_Budget Input Data'!$D$62*0.6/('I_Inputs &amp; Assumptions'!$B$8/2)),IF('I_Budget Input Data'!$E$62="Mid-weighted",IF(31&lt;='I_Inputs &amp; Assumptions'!$B$8/4,'I_Budget Input Data'!$D$62*0.2/('I_Inputs &amp; Assumptions'!$B$8/4),IF(31&lt;='I_Inputs &amp; Assumptions'!$B$8*0.75,'I_Budget Input Data'!$D$62*0.6/('I_Inputs &amp; Assumptions'!$B$8/2),'I_Budget Input Data'!$D$62*0.2/('I_Inputs &amp; Assumptions'!$B$8/4))),IF('I_Budget Input Data'!$E$62="At Completion",IF(31='I_Inputs &amp; Assumptions'!$B$8,'I_Budget Input Data'!$D$62,0),'I_Budget Input Data'!$D$62/'I_Inputs &amp; Assumptions'!$B$8)))))),0)</f>
        <v>0</v>
      </c>
      <c r="AH62" s="91">
        <f>IF(32&lt;='I_Inputs &amp; Assumptions'!$B$8,IF('I_Budget Input Data'!$E$62="Upfront",IF(32=1,'I_Budget Input Data'!$D$62,0),IF('I_Budget Input Data'!$E$62="Equal",'I_Budget Input Data'!$D$62/'I_Inputs &amp; Assumptions'!$B$8,IF('I_Budget Input Data'!$E$62="Front-loaded",IF(32&lt;='I_Inputs &amp; Assumptions'!$B$8/2,'I_Budget Input Data'!$D$62*0.6/('I_Inputs &amp; Assumptions'!$B$8/2),'I_Budget Input Data'!$D$62*0.4/('I_Inputs &amp; Assumptions'!$B$8/2)),IF('I_Budget Input Data'!$E$62="Back-loaded",IF(32&lt;='I_Inputs &amp; Assumptions'!$B$8/2,'I_Budget Input Data'!$D$62*0.4/('I_Inputs &amp; Assumptions'!$B$8/2),'I_Budget Input Data'!$D$62*0.6/('I_Inputs &amp; Assumptions'!$B$8/2)),IF('I_Budget Input Data'!$E$62="Mid-weighted",IF(32&lt;='I_Inputs &amp; Assumptions'!$B$8/4,'I_Budget Input Data'!$D$62*0.2/('I_Inputs &amp; Assumptions'!$B$8/4),IF(32&lt;='I_Inputs &amp; Assumptions'!$B$8*0.75,'I_Budget Input Data'!$D$62*0.6/('I_Inputs &amp; Assumptions'!$B$8/2),'I_Budget Input Data'!$D$62*0.2/('I_Inputs &amp; Assumptions'!$B$8/4))),IF('I_Budget Input Data'!$E$62="At Completion",IF(32='I_Inputs &amp; Assumptions'!$B$8,'I_Budget Input Data'!$D$62,0),'I_Budget Input Data'!$D$62/'I_Inputs &amp; Assumptions'!$B$8)))))),0)</f>
        <v>0</v>
      </c>
      <c r="AI62" s="91">
        <f>IF(33&lt;='I_Inputs &amp; Assumptions'!$B$8,IF('I_Budget Input Data'!$E$62="Upfront",IF(33=1,'I_Budget Input Data'!$D$62,0),IF('I_Budget Input Data'!$E$62="Equal",'I_Budget Input Data'!$D$62/'I_Inputs &amp; Assumptions'!$B$8,IF('I_Budget Input Data'!$E$62="Front-loaded",IF(33&lt;='I_Inputs &amp; Assumptions'!$B$8/2,'I_Budget Input Data'!$D$62*0.6/('I_Inputs &amp; Assumptions'!$B$8/2),'I_Budget Input Data'!$D$62*0.4/('I_Inputs &amp; Assumptions'!$B$8/2)),IF('I_Budget Input Data'!$E$62="Back-loaded",IF(33&lt;='I_Inputs &amp; Assumptions'!$B$8/2,'I_Budget Input Data'!$D$62*0.4/('I_Inputs &amp; Assumptions'!$B$8/2),'I_Budget Input Data'!$D$62*0.6/('I_Inputs &amp; Assumptions'!$B$8/2)),IF('I_Budget Input Data'!$E$62="Mid-weighted",IF(33&lt;='I_Inputs &amp; Assumptions'!$B$8/4,'I_Budget Input Data'!$D$62*0.2/('I_Inputs &amp; Assumptions'!$B$8/4),IF(33&lt;='I_Inputs &amp; Assumptions'!$B$8*0.75,'I_Budget Input Data'!$D$62*0.6/('I_Inputs &amp; Assumptions'!$B$8/2),'I_Budget Input Data'!$D$62*0.2/('I_Inputs &amp; Assumptions'!$B$8/4))),IF('I_Budget Input Data'!$E$62="At Completion",IF(33='I_Inputs &amp; Assumptions'!$B$8,'I_Budget Input Data'!$D$62,0),'I_Budget Input Data'!$D$62/'I_Inputs &amp; Assumptions'!$B$8)))))),0)</f>
        <v>0</v>
      </c>
      <c r="AJ62" s="91">
        <f>IF(34&lt;='I_Inputs &amp; Assumptions'!$B$8,IF('I_Budget Input Data'!$E$62="Upfront",IF(34=1,'I_Budget Input Data'!$D$62,0),IF('I_Budget Input Data'!$E$62="Equal",'I_Budget Input Data'!$D$62/'I_Inputs &amp; Assumptions'!$B$8,IF('I_Budget Input Data'!$E$62="Front-loaded",IF(34&lt;='I_Inputs &amp; Assumptions'!$B$8/2,'I_Budget Input Data'!$D$62*0.6/('I_Inputs &amp; Assumptions'!$B$8/2),'I_Budget Input Data'!$D$62*0.4/('I_Inputs &amp; Assumptions'!$B$8/2)),IF('I_Budget Input Data'!$E$62="Back-loaded",IF(34&lt;='I_Inputs &amp; Assumptions'!$B$8/2,'I_Budget Input Data'!$D$62*0.4/('I_Inputs &amp; Assumptions'!$B$8/2),'I_Budget Input Data'!$D$62*0.6/('I_Inputs &amp; Assumptions'!$B$8/2)),IF('I_Budget Input Data'!$E$62="Mid-weighted",IF(34&lt;='I_Inputs &amp; Assumptions'!$B$8/4,'I_Budget Input Data'!$D$62*0.2/('I_Inputs &amp; Assumptions'!$B$8/4),IF(34&lt;='I_Inputs &amp; Assumptions'!$B$8*0.75,'I_Budget Input Data'!$D$62*0.6/('I_Inputs &amp; Assumptions'!$B$8/2),'I_Budget Input Data'!$D$62*0.2/('I_Inputs &amp; Assumptions'!$B$8/4))),IF('I_Budget Input Data'!$E$62="At Completion",IF(34='I_Inputs &amp; Assumptions'!$B$8,'I_Budget Input Data'!$D$62,0),'I_Budget Input Data'!$D$62/'I_Inputs &amp; Assumptions'!$B$8)))))),0)</f>
        <v>0</v>
      </c>
      <c r="AK62" s="91">
        <f>IF(35&lt;='I_Inputs &amp; Assumptions'!$B$8,IF('I_Budget Input Data'!$E$62="Upfront",IF(35=1,'I_Budget Input Data'!$D$62,0),IF('I_Budget Input Data'!$E$62="Equal",'I_Budget Input Data'!$D$62/'I_Inputs &amp; Assumptions'!$B$8,IF('I_Budget Input Data'!$E$62="Front-loaded",IF(35&lt;='I_Inputs &amp; Assumptions'!$B$8/2,'I_Budget Input Data'!$D$62*0.6/('I_Inputs &amp; Assumptions'!$B$8/2),'I_Budget Input Data'!$D$62*0.4/('I_Inputs &amp; Assumptions'!$B$8/2)),IF('I_Budget Input Data'!$E$62="Back-loaded",IF(35&lt;='I_Inputs &amp; Assumptions'!$B$8/2,'I_Budget Input Data'!$D$62*0.4/('I_Inputs &amp; Assumptions'!$B$8/2),'I_Budget Input Data'!$D$62*0.6/('I_Inputs &amp; Assumptions'!$B$8/2)),IF('I_Budget Input Data'!$E$62="Mid-weighted",IF(35&lt;='I_Inputs &amp; Assumptions'!$B$8/4,'I_Budget Input Data'!$D$62*0.2/('I_Inputs &amp; Assumptions'!$B$8/4),IF(35&lt;='I_Inputs &amp; Assumptions'!$B$8*0.75,'I_Budget Input Data'!$D$62*0.6/('I_Inputs &amp; Assumptions'!$B$8/2),'I_Budget Input Data'!$D$62*0.2/('I_Inputs &amp; Assumptions'!$B$8/4))),IF('I_Budget Input Data'!$E$62="At Completion",IF(35='I_Inputs &amp; Assumptions'!$B$8,'I_Budget Input Data'!$D$62,0),'I_Budget Input Data'!$D$62/'I_Inputs &amp; Assumptions'!$B$8)))))),0)</f>
        <v>0</v>
      </c>
      <c r="AL62" s="91">
        <f>IF(36&lt;='I_Inputs &amp; Assumptions'!$B$8,IF('I_Budget Input Data'!$E$62="Upfront",IF(36=1,'I_Budget Input Data'!$D$62,0),IF('I_Budget Input Data'!$E$62="Equal",'I_Budget Input Data'!$D$62/'I_Inputs &amp; Assumptions'!$B$8,IF('I_Budget Input Data'!$E$62="Front-loaded",IF(36&lt;='I_Inputs &amp; Assumptions'!$B$8/2,'I_Budget Input Data'!$D$62*0.6/('I_Inputs &amp; Assumptions'!$B$8/2),'I_Budget Input Data'!$D$62*0.4/('I_Inputs &amp; Assumptions'!$B$8/2)),IF('I_Budget Input Data'!$E$62="Back-loaded",IF(36&lt;='I_Inputs &amp; Assumptions'!$B$8/2,'I_Budget Input Data'!$D$62*0.4/('I_Inputs &amp; Assumptions'!$B$8/2),'I_Budget Input Data'!$D$62*0.6/('I_Inputs &amp; Assumptions'!$B$8/2)),IF('I_Budget Input Data'!$E$62="Mid-weighted",IF(36&lt;='I_Inputs &amp; Assumptions'!$B$8/4,'I_Budget Input Data'!$D$62*0.2/('I_Inputs &amp; Assumptions'!$B$8/4),IF(36&lt;='I_Inputs &amp; Assumptions'!$B$8*0.75,'I_Budget Input Data'!$D$62*0.6/('I_Inputs &amp; Assumptions'!$B$8/2),'I_Budget Input Data'!$D$62*0.2/('I_Inputs &amp; Assumptions'!$B$8/4))),IF('I_Budget Input Data'!$E$62="At Completion",IF(36='I_Inputs &amp; Assumptions'!$B$8,'I_Budget Input Data'!$D$62,0),'I_Budget Input Data'!$D$62/'I_Inputs &amp; Assumptions'!$B$8)))))),0)</f>
        <v>0</v>
      </c>
    </row>
    <row r="63" spans="1:38" ht="15" customHeight="1" x14ac:dyDescent="0.2">
      <c r="A63" t="s">
        <v>146</v>
      </c>
      <c r="B63" t="s">
        <v>183</v>
      </c>
      <c r="C63" s="91">
        <f>IF(1&lt;='I_Inputs &amp; Assumptions'!$B$8,IF('I_Budget Input Data'!$E$63="Upfront",IF(1=1,'I_Budget Input Data'!$D$63,0),IF('I_Budget Input Data'!$E$63="Equal",'I_Budget Input Data'!$D$63/'I_Inputs &amp; Assumptions'!$B$8,IF('I_Budget Input Data'!$E$63="Front-loaded",IF(1&lt;='I_Inputs &amp; Assumptions'!$B$8/2,'I_Budget Input Data'!$D$63*0.6/('I_Inputs &amp; Assumptions'!$B$8/2),'I_Budget Input Data'!$D$63*0.4/('I_Inputs &amp; Assumptions'!$B$8/2)),IF('I_Budget Input Data'!$E$63="Back-loaded",IF(1&lt;='I_Inputs &amp; Assumptions'!$B$8/2,'I_Budget Input Data'!$D$63*0.4/('I_Inputs &amp; Assumptions'!$B$8/2),'I_Budget Input Data'!$D$63*0.6/('I_Inputs &amp; Assumptions'!$B$8/2)),IF('I_Budget Input Data'!$E$63="Mid-weighted",IF(1&lt;='I_Inputs &amp; Assumptions'!$B$8/4,'I_Budget Input Data'!$D$63*0.2/('I_Inputs &amp; Assumptions'!$B$8/4),IF(1&lt;='I_Inputs &amp; Assumptions'!$B$8*0.75,'I_Budget Input Data'!$D$63*0.6/('I_Inputs &amp; Assumptions'!$B$8/2),'I_Budget Input Data'!$D$63*0.2/('I_Inputs &amp; Assumptions'!$B$8/4))),IF('I_Budget Input Data'!$E$63="At Completion",IF(1='I_Inputs &amp; Assumptions'!$B$8,'I_Budget Input Data'!$D$63,0),'I_Budget Input Data'!$D$63/'I_Inputs &amp; Assumptions'!$B$8)))))),0)</f>
        <v>247524.73846153848</v>
      </c>
      <c r="D63" s="91">
        <f>IF(2&lt;='I_Inputs &amp; Assumptions'!$B$8,IF('I_Budget Input Data'!$E$63="Upfront",IF(2=1,'I_Budget Input Data'!$D$63,0),IF('I_Budget Input Data'!$E$63="Equal",'I_Budget Input Data'!$D$63/'I_Inputs &amp; Assumptions'!$B$8,IF('I_Budget Input Data'!$E$63="Front-loaded",IF(2&lt;='I_Inputs &amp; Assumptions'!$B$8/2,'I_Budget Input Data'!$D$63*0.6/('I_Inputs &amp; Assumptions'!$B$8/2),'I_Budget Input Data'!$D$63*0.4/('I_Inputs &amp; Assumptions'!$B$8/2)),IF('I_Budget Input Data'!$E$63="Back-loaded",IF(2&lt;='I_Inputs &amp; Assumptions'!$B$8/2,'I_Budget Input Data'!$D$63*0.4/('I_Inputs &amp; Assumptions'!$B$8/2),'I_Budget Input Data'!$D$63*0.6/('I_Inputs &amp; Assumptions'!$B$8/2)),IF('I_Budget Input Data'!$E$63="Mid-weighted",IF(2&lt;='I_Inputs &amp; Assumptions'!$B$8/4,'I_Budget Input Data'!$D$63*0.2/('I_Inputs &amp; Assumptions'!$B$8/4),IF(2&lt;='I_Inputs &amp; Assumptions'!$B$8*0.75,'I_Budget Input Data'!$D$63*0.6/('I_Inputs &amp; Assumptions'!$B$8/2),'I_Budget Input Data'!$D$63*0.2/('I_Inputs &amp; Assumptions'!$B$8/4))),IF('I_Budget Input Data'!$E$63="At Completion",IF(2='I_Inputs &amp; Assumptions'!$B$8,'I_Budget Input Data'!$D$63,0),'I_Budget Input Data'!$D$63/'I_Inputs &amp; Assumptions'!$B$8)))))),0)</f>
        <v>247524.73846153848</v>
      </c>
      <c r="E63" s="91">
        <f>IF(3&lt;='I_Inputs &amp; Assumptions'!$B$8,IF('I_Budget Input Data'!$E$63="Upfront",IF(3=1,'I_Budget Input Data'!$D$63,0),IF('I_Budget Input Data'!$E$63="Equal",'I_Budget Input Data'!$D$63/'I_Inputs &amp; Assumptions'!$B$8,IF('I_Budget Input Data'!$E$63="Front-loaded",IF(3&lt;='I_Inputs &amp; Assumptions'!$B$8/2,'I_Budget Input Data'!$D$63*0.6/('I_Inputs &amp; Assumptions'!$B$8/2),'I_Budget Input Data'!$D$63*0.4/('I_Inputs &amp; Assumptions'!$B$8/2)),IF('I_Budget Input Data'!$E$63="Back-loaded",IF(3&lt;='I_Inputs &amp; Assumptions'!$B$8/2,'I_Budget Input Data'!$D$63*0.4/('I_Inputs &amp; Assumptions'!$B$8/2),'I_Budget Input Data'!$D$63*0.6/('I_Inputs &amp; Assumptions'!$B$8/2)),IF('I_Budget Input Data'!$E$63="Mid-weighted",IF(3&lt;='I_Inputs &amp; Assumptions'!$B$8/4,'I_Budget Input Data'!$D$63*0.2/('I_Inputs &amp; Assumptions'!$B$8/4),IF(3&lt;='I_Inputs &amp; Assumptions'!$B$8*0.75,'I_Budget Input Data'!$D$63*0.6/('I_Inputs &amp; Assumptions'!$B$8/2),'I_Budget Input Data'!$D$63*0.2/('I_Inputs &amp; Assumptions'!$B$8/4))),IF('I_Budget Input Data'!$E$63="At Completion",IF(3='I_Inputs &amp; Assumptions'!$B$8,'I_Budget Input Data'!$D$63,0),'I_Budget Input Data'!$D$63/'I_Inputs &amp; Assumptions'!$B$8)))))),0)</f>
        <v>247524.73846153848</v>
      </c>
      <c r="F63" s="91">
        <f>IF(4&lt;='I_Inputs &amp; Assumptions'!$B$8,IF('I_Budget Input Data'!$E$63="Upfront",IF(4=1,'I_Budget Input Data'!$D$63,0),IF('I_Budget Input Data'!$E$63="Equal",'I_Budget Input Data'!$D$63/'I_Inputs &amp; Assumptions'!$B$8,IF('I_Budget Input Data'!$E$63="Front-loaded",IF(4&lt;='I_Inputs &amp; Assumptions'!$B$8/2,'I_Budget Input Data'!$D$63*0.6/('I_Inputs &amp; Assumptions'!$B$8/2),'I_Budget Input Data'!$D$63*0.4/('I_Inputs &amp; Assumptions'!$B$8/2)),IF('I_Budget Input Data'!$E$63="Back-loaded",IF(4&lt;='I_Inputs &amp; Assumptions'!$B$8/2,'I_Budget Input Data'!$D$63*0.4/('I_Inputs &amp; Assumptions'!$B$8/2),'I_Budget Input Data'!$D$63*0.6/('I_Inputs &amp; Assumptions'!$B$8/2)),IF('I_Budget Input Data'!$E$63="Mid-weighted",IF(4&lt;='I_Inputs &amp; Assumptions'!$B$8/4,'I_Budget Input Data'!$D$63*0.2/('I_Inputs &amp; Assumptions'!$B$8/4),IF(4&lt;='I_Inputs &amp; Assumptions'!$B$8*0.75,'I_Budget Input Data'!$D$63*0.6/('I_Inputs &amp; Assumptions'!$B$8/2),'I_Budget Input Data'!$D$63*0.2/('I_Inputs &amp; Assumptions'!$B$8/4))),IF('I_Budget Input Data'!$E$63="At Completion",IF(4='I_Inputs &amp; Assumptions'!$B$8,'I_Budget Input Data'!$D$63,0),'I_Budget Input Data'!$D$63/'I_Inputs &amp; Assumptions'!$B$8)))))),0)</f>
        <v>247524.73846153848</v>
      </c>
      <c r="G63" s="91">
        <f>IF(5&lt;='I_Inputs &amp; Assumptions'!$B$8,IF('I_Budget Input Data'!$E$63="Upfront",IF(5=1,'I_Budget Input Data'!$D$63,0),IF('I_Budget Input Data'!$E$63="Equal",'I_Budget Input Data'!$D$63/'I_Inputs &amp; Assumptions'!$B$8,IF('I_Budget Input Data'!$E$63="Front-loaded",IF(5&lt;='I_Inputs &amp; Assumptions'!$B$8/2,'I_Budget Input Data'!$D$63*0.6/('I_Inputs &amp; Assumptions'!$B$8/2),'I_Budget Input Data'!$D$63*0.4/('I_Inputs &amp; Assumptions'!$B$8/2)),IF('I_Budget Input Data'!$E$63="Back-loaded",IF(5&lt;='I_Inputs &amp; Assumptions'!$B$8/2,'I_Budget Input Data'!$D$63*0.4/('I_Inputs &amp; Assumptions'!$B$8/2),'I_Budget Input Data'!$D$63*0.6/('I_Inputs &amp; Assumptions'!$B$8/2)),IF('I_Budget Input Data'!$E$63="Mid-weighted",IF(5&lt;='I_Inputs &amp; Assumptions'!$B$8/4,'I_Budget Input Data'!$D$63*0.2/('I_Inputs &amp; Assumptions'!$B$8/4),IF(5&lt;='I_Inputs &amp; Assumptions'!$B$8*0.75,'I_Budget Input Data'!$D$63*0.6/('I_Inputs &amp; Assumptions'!$B$8/2),'I_Budget Input Data'!$D$63*0.2/('I_Inputs &amp; Assumptions'!$B$8/4))),IF('I_Budget Input Data'!$E$63="At Completion",IF(5='I_Inputs &amp; Assumptions'!$B$8,'I_Budget Input Data'!$D$63,0),'I_Budget Input Data'!$D$63/'I_Inputs &amp; Assumptions'!$B$8)))))),0)</f>
        <v>247524.73846153848</v>
      </c>
      <c r="H63" s="91">
        <f>IF(6&lt;='I_Inputs &amp; Assumptions'!$B$8,IF('I_Budget Input Data'!$E$63="Upfront",IF(6=1,'I_Budget Input Data'!$D$63,0),IF('I_Budget Input Data'!$E$63="Equal",'I_Budget Input Data'!$D$63/'I_Inputs &amp; Assumptions'!$B$8,IF('I_Budget Input Data'!$E$63="Front-loaded",IF(6&lt;='I_Inputs &amp; Assumptions'!$B$8/2,'I_Budget Input Data'!$D$63*0.6/('I_Inputs &amp; Assumptions'!$B$8/2),'I_Budget Input Data'!$D$63*0.4/('I_Inputs &amp; Assumptions'!$B$8/2)),IF('I_Budget Input Data'!$E$63="Back-loaded",IF(6&lt;='I_Inputs &amp; Assumptions'!$B$8/2,'I_Budget Input Data'!$D$63*0.4/('I_Inputs &amp; Assumptions'!$B$8/2),'I_Budget Input Data'!$D$63*0.6/('I_Inputs &amp; Assumptions'!$B$8/2)),IF('I_Budget Input Data'!$E$63="Mid-weighted",IF(6&lt;='I_Inputs &amp; Assumptions'!$B$8/4,'I_Budget Input Data'!$D$63*0.2/('I_Inputs &amp; Assumptions'!$B$8/4),IF(6&lt;='I_Inputs &amp; Assumptions'!$B$8*0.75,'I_Budget Input Data'!$D$63*0.6/('I_Inputs &amp; Assumptions'!$B$8/2),'I_Budget Input Data'!$D$63*0.2/('I_Inputs &amp; Assumptions'!$B$8/4))),IF('I_Budget Input Data'!$E$63="At Completion",IF(6='I_Inputs &amp; Assumptions'!$B$8,'I_Budget Input Data'!$D$63,0),'I_Budget Input Data'!$D$63/'I_Inputs &amp; Assumptions'!$B$8)))))),0)</f>
        <v>247524.73846153848</v>
      </c>
      <c r="I63" s="91">
        <f>IF(7&lt;='I_Inputs &amp; Assumptions'!$B$8,IF('I_Budget Input Data'!$E$63="Upfront",IF(7=1,'I_Budget Input Data'!$D$63,0),IF('I_Budget Input Data'!$E$63="Equal",'I_Budget Input Data'!$D$63/'I_Inputs &amp; Assumptions'!$B$8,IF('I_Budget Input Data'!$E$63="Front-loaded",IF(7&lt;='I_Inputs &amp; Assumptions'!$B$8/2,'I_Budget Input Data'!$D$63*0.6/('I_Inputs &amp; Assumptions'!$B$8/2),'I_Budget Input Data'!$D$63*0.4/('I_Inputs &amp; Assumptions'!$B$8/2)),IF('I_Budget Input Data'!$E$63="Back-loaded",IF(7&lt;='I_Inputs &amp; Assumptions'!$B$8/2,'I_Budget Input Data'!$D$63*0.4/('I_Inputs &amp; Assumptions'!$B$8/2),'I_Budget Input Data'!$D$63*0.6/('I_Inputs &amp; Assumptions'!$B$8/2)),IF('I_Budget Input Data'!$E$63="Mid-weighted",IF(7&lt;='I_Inputs &amp; Assumptions'!$B$8/4,'I_Budget Input Data'!$D$63*0.2/('I_Inputs &amp; Assumptions'!$B$8/4),IF(7&lt;='I_Inputs &amp; Assumptions'!$B$8*0.75,'I_Budget Input Data'!$D$63*0.6/('I_Inputs &amp; Assumptions'!$B$8/2),'I_Budget Input Data'!$D$63*0.2/('I_Inputs &amp; Assumptions'!$B$8/4))),IF('I_Budget Input Data'!$E$63="At Completion",IF(7='I_Inputs &amp; Assumptions'!$B$8,'I_Budget Input Data'!$D$63,0),'I_Budget Input Data'!$D$63/'I_Inputs &amp; Assumptions'!$B$8)))))),0)</f>
        <v>165016.4923076923</v>
      </c>
      <c r="J63" s="91">
        <f>IF(8&lt;='I_Inputs &amp; Assumptions'!$B$8,IF('I_Budget Input Data'!$E$63="Upfront",IF(8=1,'I_Budget Input Data'!$D$63,0),IF('I_Budget Input Data'!$E$63="Equal",'I_Budget Input Data'!$D$63/'I_Inputs &amp; Assumptions'!$B$8,IF('I_Budget Input Data'!$E$63="Front-loaded",IF(8&lt;='I_Inputs &amp; Assumptions'!$B$8/2,'I_Budget Input Data'!$D$63*0.6/('I_Inputs &amp; Assumptions'!$B$8/2),'I_Budget Input Data'!$D$63*0.4/('I_Inputs &amp; Assumptions'!$B$8/2)),IF('I_Budget Input Data'!$E$63="Back-loaded",IF(8&lt;='I_Inputs &amp; Assumptions'!$B$8/2,'I_Budget Input Data'!$D$63*0.4/('I_Inputs &amp; Assumptions'!$B$8/2),'I_Budget Input Data'!$D$63*0.6/('I_Inputs &amp; Assumptions'!$B$8/2)),IF('I_Budget Input Data'!$E$63="Mid-weighted",IF(8&lt;='I_Inputs &amp; Assumptions'!$B$8/4,'I_Budget Input Data'!$D$63*0.2/('I_Inputs &amp; Assumptions'!$B$8/4),IF(8&lt;='I_Inputs &amp; Assumptions'!$B$8*0.75,'I_Budget Input Data'!$D$63*0.6/('I_Inputs &amp; Assumptions'!$B$8/2),'I_Budget Input Data'!$D$63*0.2/('I_Inputs &amp; Assumptions'!$B$8/4))),IF('I_Budget Input Data'!$E$63="At Completion",IF(8='I_Inputs &amp; Assumptions'!$B$8,'I_Budget Input Data'!$D$63,0),'I_Budget Input Data'!$D$63/'I_Inputs &amp; Assumptions'!$B$8)))))),0)</f>
        <v>165016.4923076923</v>
      </c>
      <c r="K63" s="91">
        <f>IF(9&lt;='I_Inputs &amp; Assumptions'!$B$8,IF('I_Budget Input Data'!$E$63="Upfront",IF(9=1,'I_Budget Input Data'!$D$63,0),IF('I_Budget Input Data'!$E$63="Equal",'I_Budget Input Data'!$D$63/'I_Inputs &amp; Assumptions'!$B$8,IF('I_Budget Input Data'!$E$63="Front-loaded",IF(9&lt;='I_Inputs &amp; Assumptions'!$B$8/2,'I_Budget Input Data'!$D$63*0.6/('I_Inputs &amp; Assumptions'!$B$8/2),'I_Budget Input Data'!$D$63*0.4/('I_Inputs &amp; Assumptions'!$B$8/2)),IF('I_Budget Input Data'!$E$63="Back-loaded",IF(9&lt;='I_Inputs &amp; Assumptions'!$B$8/2,'I_Budget Input Data'!$D$63*0.4/('I_Inputs &amp; Assumptions'!$B$8/2),'I_Budget Input Data'!$D$63*0.6/('I_Inputs &amp; Assumptions'!$B$8/2)),IF('I_Budget Input Data'!$E$63="Mid-weighted",IF(9&lt;='I_Inputs &amp; Assumptions'!$B$8/4,'I_Budget Input Data'!$D$63*0.2/('I_Inputs &amp; Assumptions'!$B$8/4),IF(9&lt;='I_Inputs &amp; Assumptions'!$B$8*0.75,'I_Budget Input Data'!$D$63*0.6/('I_Inputs &amp; Assumptions'!$B$8/2),'I_Budget Input Data'!$D$63*0.2/('I_Inputs &amp; Assumptions'!$B$8/4))),IF('I_Budget Input Data'!$E$63="At Completion",IF(9='I_Inputs &amp; Assumptions'!$B$8,'I_Budget Input Data'!$D$63,0),'I_Budget Input Data'!$D$63/'I_Inputs &amp; Assumptions'!$B$8)))))),0)</f>
        <v>165016.4923076923</v>
      </c>
      <c r="L63" s="91">
        <f>IF(10&lt;='I_Inputs &amp; Assumptions'!$B$8,IF('I_Budget Input Data'!$E$63="Upfront",IF(10=1,'I_Budget Input Data'!$D$63,0),IF('I_Budget Input Data'!$E$63="Equal",'I_Budget Input Data'!$D$63/'I_Inputs &amp; Assumptions'!$B$8,IF('I_Budget Input Data'!$E$63="Front-loaded",IF(10&lt;='I_Inputs &amp; Assumptions'!$B$8/2,'I_Budget Input Data'!$D$63*0.6/('I_Inputs &amp; Assumptions'!$B$8/2),'I_Budget Input Data'!$D$63*0.4/('I_Inputs &amp; Assumptions'!$B$8/2)),IF('I_Budget Input Data'!$E$63="Back-loaded",IF(10&lt;='I_Inputs &amp; Assumptions'!$B$8/2,'I_Budget Input Data'!$D$63*0.4/('I_Inputs &amp; Assumptions'!$B$8/2),'I_Budget Input Data'!$D$63*0.6/('I_Inputs &amp; Assumptions'!$B$8/2)),IF('I_Budget Input Data'!$E$63="Mid-weighted",IF(10&lt;='I_Inputs &amp; Assumptions'!$B$8/4,'I_Budget Input Data'!$D$63*0.2/('I_Inputs &amp; Assumptions'!$B$8/4),IF(10&lt;='I_Inputs &amp; Assumptions'!$B$8*0.75,'I_Budget Input Data'!$D$63*0.6/('I_Inputs &amp; Assumptions'!$B$8/2),'I_Budget Input Data'!$D$63*0.2/('I_Inputs &amp; Assumptions'!$B$8/4))),IF('I_Budget Input Data'!$E$63="At Completion",IF(10='I_Inputs &amp; Assumptions'!$B$8,'I_Budget Input Data'!$D$63,0),'I_Budget Input Data'!$D$63/'I_Inputs &amp; Assumptions'!$B$8)))))),0)</f>
        <v>165016.4923076923</v>
      </c>
      <c r="M63" s="91">
        <f>IF(11&lt;='I_Inputs &amp; Assumptions'!$B$8,IF('I_Budget Input Data'!$E$63="Upfront",IF(11=1,'I_Budget Input Data'!$D$63,0),IF('I_Budget Input Data'!$E$63="Equal",'I_Budget Input Data'!$D$63/'I_Inputs &amp; Assumptions'!$B$8,IF('I_Budget Input Data'!$E$63="Front-loaded",IF(11&lt;='I_Inputs &amp; Assumptions'!$B$8/2,'I_Budget Input Data'!$D$63*0.6/('I_Inputs &amp; Assumptions'!$B$8/2),'I_Budget Input Data'!$D$63*0.4/('I_Inputs &amp; Assumptions'!$B$8/2)),IF('I_Budget Input Data'!$E$63="Back-loaded",IF(11&lt;='I_Inputs &amp; Assumptions'!$B$8/2,'I_Budget Input Data'!$D$63*0.4/('I_Inputs &amp; Assumptions'!$B$8/2),'I_Budget Input Data'!$D$63*0.6/('I_Inputs &amp; Assumptions'!$B$8/2)),IF('I_Budget Input Data'!$E$63="Mid-weighted",IF(11&lt;='I_Inputs &amp; Assumptions'!$B$8/4,'I_Budget Input Data'!$D$63*0.2/('I_Inputs &amp; Assumptions'!$B$8/4),IF(11&lt;='I_Inputs &amp; Assumptions'!$B$8*0.75,'I_Budget Input Data'!$D$63*0.6/('I_Inputs &amp; Assumptions'!$B$8/2),'I_Budget Input Data'!$D$63*0.2/('I_Inputs &amp; Assumptions'!$B$8/4))),IF('I_Budget Input Data'!$E$63="At Completion",IF(11='I_Inputs &amp; Assumptions'!$B$8,'I_Budget Input Data'!$D$63,0),'I_Budget Input Data'!$D$63/'I_Inputs &amp; Assumptions'!$B$8)))))),0)</f>
        <v>165016.4923076923</v>
      </c>
      <c r="N63" s="91">
        <f>IF(12&lt;='I_Inputs &amp; Assumptions'!$B$8,IF('I_Budget Input Data'!$E$63="Upfront",IF(12=1,'I_Budget Input Data'!$D$63,0),IF('I_Budget Input Data'!$E$63="Equal",'I_Budget Input Data'!$D$63/'I_Inputs &amp; Assumptions'!$B$8,IF('I_Budget Input Data'!$E$63="Front-loaded",IF(12&lt;='I_Inputs &amp; Assumptions'!$B$8/2,'I_Budget Input Data'!$D$63*0.6/('I_Inputs &amp; Assumptions'!$B$8/2),'I_Budget Input Data'!$D$63*0.4/('I_Inputs &amp; Assumptions'!$B$8/2)),IF('I_Budget Input Data'!$E$63="Back-loaded",IF(12&lt;='I_Inputs &amp; Assumptions'!$B$8/2,'I_Budget Input Data'!$D$63*0.4/('I_Inputs &amp; Assumptions'!$B$8/2),'I_Budget Input Data'!$D$63*0.6/('I_Inputs &amp; Assumptions'!$B$8/2)),IF('I_Budget Input Data'!$E$63="Mid-weighted",IF(12&lt;='I_Inputs &amp; Assumptions'!$B$8/4,'I_Budget Input Data'!$D$63*0.2/('I_Inputs &amp; Assumptions'!$B$8/4),IF(12&lt;='I_Inputs &amp; Assumptions'!$B$8*0.75,'I_Budget Input Data'!$D$63*0.6/('I_Inputs &amp; Assumptions'!$B$8/2),'I_Budget Input Data'!$D$63*0.2/('I_Inputs &amp; Assumptions'!$B$8/4))),IF('I_Budget Input Data'!$E$63="At Completion",IF(12='I_Inputs &amp; Assumptions'!$B$8,'I_Budget Input Data'!$D$63,0),'I_Budget Input Data'!$D$63/'I_Inputs &amp; Assumptions'!$B$8)))))),0)</f>
        <v>165016.4923076923</v>
      </c>
      <c r="O63" s="91">
        <f>IF(13&lt;='I_Inputs &amp; Assumptions'!$B$8,IF('I_Budget Input Data'!$E$63="Upfront",IF(13=1,'I_Budget Input Data'!$D$63,0),IF('I_Budget Input Data'!$E$63="Equal",'I_Budget Input Data'!$D$63/'I_Inputs &amp; Assumptions'!$B$8,IF('I_Budget Input Data'!$E$63="Front-loaded",IF(13&lt;='I_Inputs &amp; Assumptions'!$B$8/2,'I_Budget Input Data'!$D$63*0.6/('I_Inputs &amp; Assumptions'!$B$8/2),'I_Budget Input Data'!$D$63*0.4/('I_Inputs &amp; Assumptions'!$B$8/2)),IF('I_Budget Input Data'!$E$63="Back-loaded",IF(13&lt;='I_Inputs &amp; Assumptions'!$B$8/2,'I_Budget Input Data'!$D$63*0.4/('I_Inputs &amp; Assumptions'!$B$8/2),'I_Budget Input Data'!$D$63*0.6/('I_Inputs &amp; Assumptions'!$B$8/2)),IF('I_Budget Input Data'!$E$63="Mid-weighted",IF(13&lt;='I_Inputs &amp; Assumptions'!$B$8/4,'I_Budget Input Data'!$D$63*0.2/('I_Inputs &amp; Assumptions'!$B$8/4),IF(13&lt;='I_Inputs &amp; Assumptions'!$B$8*0.75,'I_Budget Input Data'!$D$63*0.6/('I_Inputs &amp; Assumptions'!$B$8/2),'I_Budget Input Data'!$D$63*0.2/('I_Inputs &amp; Assumptions'!$B$8/4))),IF('I_Budget Input Data'!$E$63="At Completion",IF(13='I_Inputs &amp; Assumptions'!$B$8,'I_Budget Input Data'!$D$63,0),'I_Budget Input Data'!$D$63/'I_Inputs &amp; Assumptions'!$B$8)))))),0)</f>
        <v>165016.4923076923</v>
      </c>
      <c r="P63" s="91">
        <f>IF(14&lt;='I_Inputs &amp; Assumptions'!$B$8,IF('I_Budget Input Data'!$E$63="Upfront",IF(14=1,'I_Budget Input Data'!$D$63,0),IF('I_Budget Input Data'!$E$63="Equal",'I_Budget Input Data'!$D$63/'I_Inputs &amp; Assumptions'!$B$8,IF('I_Budget Input Data'!$E$63="Front-loaded",IF(14&lt;='I_Inputs &amp; Assumptions'!$B$8/2,'I_Budget Input Data'!$D$63*0.6/('I_Inputs &amp; Assumptions'!$B$8/2),'I_Budget Input Data'!$D$63*0.4/('I_Inputs &amp; Assumptions'!$B$8/2)),IF('I_Budget Input Data'!$E$63="Back-loaded",IF(14&lt;='I_Inputs &amp; Assumptions'!$B$8/2,'I_Budget Input Data'!$D$63*0.4/('I_Inputs &amp; Assumptions'!$B$8/2),'I_Budget Input Data'!$D$63*0.6/('I_Inputs &amp; Assumptions'!$B$8/2)),IF('I_Budget Input Data'!$E$63="Mid-weighted",IF(14&lt;='I_Inputs &amp; Assumptions'!$B$8/4,'I_Budget Input Data'!$D$63*0.2/('I_Inputs &amp; Assumptions'!$B$8/4),IF(14&lt;='I_Inputs &amp; Assumptions'!$B$8*0.75,'I_Budget Input Data'!$D$63*0.6/('I_Inputs &amp; Assumptions'!$B$8/2),'I_Budget Input Data'!$D$63*0.2/('I_Inputs &amp; Assumptions'!$B$8/4))),IF('I_Budget Input Data'!$E$63="At Completion",IF(14='I_Inputs &amp; Assumptions'!$B$8,'I_Budget Input Data'!$D$63,0),'I_Budget Input Data'!$D$63/'I_Inputs &amp; Assumptions'!$B$8)))))),0)</f>
        <v>0</v>
      </c>
      <c r="Q63" s="91">
        <f>IF(15&lt;='I_Inputs &amp; Assumptions'!$B$8,IF('I_Budget Input Data'!$E$63="Upfront",IF(15=1,'I_Budget Input Data'!$D$63,0),IF('I_Budget Input Data'!$E$63="Equal",'I_Budget Input Data'!$D$63/'I_Inputs &amp; Assumptions'!$B$8,IF('I_Budget Input Data'!$E$63="Front-loaded",IF(15&lt;='I_Inputs &amp; Assumptions'!$B$8/2,'I_Budget Input Data'!$D$63*0.6/('I_Inputs &amp; Assumptions'!$B$8/2),'I_Budget Input Data'!$D$63*0.4/('I_Inputs &amp; Assumptions'!$B$8/2)),IF('I_Budget Input Data'!$E$63="Back-loaded",IF(15&lt;='I_Inputs &amp; Assumptions'!$B$8/2,'I_Budget Input Data'!$D$63*0.4/('I_Inputs &amp; Assumptions'!$B$8/2),'I_Budget Input Data'!$D$63*0.6/('I_Inputs &amp; Assumptions'!$B$8/2)),IF('I_Budget Input Data'!$E$63="Mid-weighted",IF(15&lt;='I_Inputs &amp; Assumptions'!$B$8/4,'I_Budget Input Data'!$D$63*0.2/('I_Inputs &amp; Assumptions'!$B$8/4),IF(15&lt;='I_Inputs &amp; Assumptions'!$B$8*0.75,'I_Budget Input Data'!$D$63*0.6/('I_Inputs &amp; Assumptions'!$B$8/2),'I_Budget Input Data'!$D$63*0.2/('I_Inputs &amp; Assumptions'!$B$8/4))),IF('I_Budget Input Data'!$E$63="At Completion",IF(15='I_Inputs &amp; Assumptions'!$B$8,'I_Budget Input Data'!$D$63,0),'I_Budget Input Data'!$D$63/'I_Inputs &amp; Assumptions'!$B$8)))))),0)</f>
        <v>0</v>
      </c>
      <c r="R63" s="91">
        <f>IF(16&lt;='I_Inputs &amp; Assumptions'!$B$8,IF('I_Budget Input Data'!$E$63="Upfront",IF(16=1,'I_Budget Input Data'!$D$63,0),IF('I_Budget Input Data'!$E$63="Equal",'I_Budget Input Data'!$D$63/'I_Inputs &amp; Assumptions'!$B$8,IF('I_Budget Input Data'!$E$63="Front-loaded",IF(16&lt;='I_Inputs &amp; Assumptions'!$B$8/2,'I_Budget Input Data'!$D$63*0.6/('I_Inputs &amp; Assumptions'!$B$8/2),'I_Budget Input Data'!$D$63*0.4/('I_Inputs &amp; Assumptions'!$B$8/2)),IF('I_Budget Input Data'!$E$63="Back-loaded",IF(16&lt;='I_Inputs &amp; Assumptions'!$B$8/2,'I_Budget Input Data'!$D$63*0.4/('I_Inputs &amp; Assumptions'!$B$8/2),'I_Budget Input Data'!$D$63*0.6/('I_Inputs &amp; Assumptions'!$B$8/2)),IF('I_Budget Input Data'!$E$63="Mid-weighted",IF(16&lt;='I_Inputs &amp; Assumptions'!$B$8/4,'I_Budget Input Data'!$D$63*0.2/('I_Inputs &amp; Assumptions'!$B$8/4),IF(16&lt;='I_Inputs &amp; Assumptions'!$B$8*0.75,'I_Budget Input Data'!$D$63*0.6/('I_Inputs &amp; Assumptions'!$B$8/2),'I_Budget Input Data'!$D$63*0.2/('I_Inputs &amp; Assumptions'!$B$8/4))),IF('I_Budget Input Data'!$E$63="At Completion",IF(16='I_Inputs &amp; Assumptions'!$B$8,'I_Budget Input Data'!$D$63,0),'I_Budget Input Data'!$D$63/'I_Inputs &amp; Assumptions'!$B$8)))))),0)</f>
        <v>0</v>
      </c>
      <c r="S63" s="91">
        <f>IF(17&lt;='I_Inputs &amp; Assumptions'!$B$8,IF('I_Budget Input Data'!$E$63="Upfront",IF(17=1,'I_Budget Input Data'!$D$63,0),IF('I_Budget Input Data'!$E$63="Equal",'I_Budget Input Data'!$D$63/'I_Inputs &amp; Assumptions'!$B$8,IF('I_Budget Input Data'!$E$63="Front-loaded",IF(17&lt;='I_Inputs &amp; Assumptions'!$B$8/2,'I_Budget Input Data'!$D$63*0.6/('I_Inputs &amp; Assumptions'!$B$8/2),'I_Budget Input Data'!$D$63*0.4/('I_Inputs &amp; Assumptions'!$B$8/2)),IF('I_Budget Input Data'!$E$63="Back-loaded",IF(17&lt;='I_Inputs &amp; Assumptions'!$B$8/2,'I_Budget Input Data'!$D$63*0.4/('I_Inputs &amp; Assumptions'!$B$8/2),'I_Budget Input Data'!$D$63*0.6/('I_Inputs &amp; Assumptions'!$B$8/2)),IF('I_Budget Input Data'!$E$63="Mid-weighted",IF(17&lt;='I_Inputs &amp; Assumptions'!$B$8/4,'I_Budget Input Data'!$D$63*0.2/('I_Inputs &amp; Assumptions'!$B$8/4),IF(17&lt;='I_Inputs &amp; Assumptions'!$B$8*0.75,'I_Budget Input Data'!$D$63*0.6/('I_Inputs &amp; Assumptions'!$B$8/2),'I_Budget Input Data'!$D$63*0.2/('I_Inputs &amp; Assumptions'!$B$8/4))),IF('I_Budget Input Data'!$E$63="At Completion",IF(17='I_Inputs &amp; Assumptions'!$B$8,'I_Budget Input Data'!$D$63,0),'I_Budget Input Data'!$D$63/'I_Inputs &amp; Assumptions'!$B$8)))))),0)</f>
        <v>0</v>
      </c>
      <c r="T63" s="91">
        <f>IF(18&lt;='I_Inputs &amp; Assumptions'!$B$8,IF('I_Budget Input Data'!$E$63="Upfront",IF(18=1,'I_Budget Input Data'!$D$63,0),IF('I_Budget Input Data'!$E$63="Equal",'I_Budget Input Data'!$D$63/'I_Inputs &amp; Assumptions'!$B$8,IF('I_Budget Input Data'!$E$63="Front-loaded",IF(18&lt;='I_Inputs &amp; Assumptions'!$B$8/2,'I_Budget Input Data'!$D$63*0.6/('I_Inputs &amp; Assumptions'!$B$8/2),'I_Budget Input Data'!$D$63*0.4/('I_Inputs &amp; Assumptions'!$B$8/2)),IF('I_Budget Input Data'!$E$63="Back-loaded",IF(18&lt;='I_Inputs &amp; Assumptions'!$B$8/2,'I_Budget Input Data'!$D$63*0.4/('I_Inputs &amp; Assumptions'!$B$8/2),'I_Budget Input Data'!$D$63*0.6/('I_Inputs &amp; Assumptions'!$B$8/2)),IF('I_Budget Input Data'!$E$63="Mid-weighted",IF(18&lt;='I_Inputs &amp; Assumptions'!$B$8/4,'I_Budget Input Data'!$D$63*0.2/('I_Inputs &amp; Assumptions'!$B$8/4),IF(18&lt;='I_Inputs &amp; Assumptions'!$B$8*0.75,'I_Budget Input Data'!$D$63*0.6/('I_Inputs &amp; Assumptions'!$B$8/2),'I_Budget Input Data'!$D$63*0.2/('I_Inputs &amp; Assumptions'!$B$8/4))),IF('I_Budget Input Data'!$E$63="At Completion",IF(18='I_Inputs &amp; Assumptions'!$B$8,'I_Budget Input Data'!$D$63,0),'I_Budget Input Data'!$D$63/'I_Inputs &amp; Assumptions'!$B$8)))))),0)</f>
        <v>0</v>
      </c>
      <c r="U63" s="91">
        <f>IF(19&lt;='I_Inputs &amp; Assumptions'!$B$8,IF('I_Budget Input Data'!$E$63="Upfront",IF(19=1,'I_Budget Input Data'!$D$63,0),IF('I_Budget Input Data'!$E$63="Equal",'I_Budget Input Data'!$D$63/'I_Inputs &amp; Assumptions'!$B$8,IF('I_Budget Input Data'!$E$63="Front-loaded",IF(19&lt;='I_Inputs &amp; Assumptions'!$B$8/2,'I_Budget Input Data'!$D$63*0.6/('I_Inputs &amp; Assumptions'!$B$8/2),'I_Budget Input Data'!$D$63*0.4/('I_Inputs &amp; Assumptions'!$B$8/2)),IF('I_Budget Input Data'!$E$63="Back-loaded",IF(19&lt;='I_Inputs &amp; Assumptions'!$B$8/2,'I_Budget Input Data'!$D$63*0.4/('I_Inputs &amp; Assumptions'!$B$8/2),'I_Budget Input Data'!$D$63*0.6/('I_Inputs &amp; Assumptions'!$B$8/2)),IF('I_Budget Input Data'!$E$63="Mid-weighted",IF(19&lt;='I_Inputs &amp; Assumptions'!$B$8/4,'I_Budget Input Data'!$D$63*0.2/('I_Inputs &amp; Assumptions'!$B$8/4),IF(19&lt;='I_Inputs &amp; Assumptions'!$B$8*0.75,'I_Budget Input Data'!$D$63*0.6/('I_Inputs &amp; Assumptions'!$B$8/2),'I_Budget Input Data'!$D$63*0.2/('I_Inputs &amp; Assumptions'!$B$8/4))),IF('I_Budget Input Data'!$E$63="At Completion",IF(19='I_Inputs &amp; Assumptions'!$B$8,'I_Budget Input Data'!$D$63,0),'I_Budget Input Data'!$D$63/'I_Inputs &amp; Assumptions'!$B$8)))))),0)</f>
        <v>0</v>
      </c>
      <c r="V63" s="91">
        <f>IF(20&lt;='I_Inputs &amp; Assumptions'!$B$8,IF('I_Budget Input Data'!$E$63="Upfront",IF(20=1,'I_Budget Input Data'!$D$63,0),IF('I_Budget Input Data'!$E$63="Equal",'I_Budget Input Data'!$D$63/'I_Inputs &amp; Assumptions'!$B$8,IF('I_Budget Input Data'!$E$63="Front-loaded",IF(20&lt;='I_Inputs &amp; Assumptions'!$B$8/2,'I_Budget Input Data'!$D$63*0.6/('I_Inputs &amp; Assumptions'!$B$8/2),'I_Budget Input Data'!$D$63*0.4/('I_Inputs &amp; Assumptions'!$B$8/2)),IF('I_Budget Input Data'!$E$63="Back-loaded",IF(20&lt;='I_Inputs &amp; Assumptions'!$B$8/2,'I_Budget Input Data'!$D$63*0.4/('I_Inputs &amp; Assumptions'!$B$8/2),'I_Budget Input Data'!$D$63*0.6/('I_Inputs &amp; Assumptions'!$B$8/2)),IF('I_Budget Input Data'!$E$63="Mid-weighted",IF(20&lt;='I_Inputs &amp; Assumptions'!$B$8/4,'I_Budget Input Data'!$D$63*0.2/('I_Inputs &amp; Assumptions'!$B$8/4),IF(20&lt;='I_Inputs &amp; Assumptions'!$B$8*0.75,'I_Budget Input Data'!$D$63*0.6/('I_Inputs &amp; Assumptions'!$B$8/2),'I_Budget Input Data'!$D$63*0.2/('I_Inputs &amp; Assumptions'!$B$8/4))),IF('I_Budget Input Data'!$E$63="At Completion",IF(20='I_Inputs &amp; Assumptions'!$B$8,'I_Budget Input Data'!$D$63,0),'I_Budget Input Data'!$D$63/'I_Inputs &amp; Assumptions'!$B$8)))))),0)</f>
        <v>0</v>
      </c>
      <c r="W63" s="91">
        <f>IF(21&lt;='I_Inputs &amp; Assumptions'!$B$8,IF('I_Budget Input Data'!$E$63="Upfront",IF(21=1,'I_Budget Input Data'!$D$63,0),IF('I_Budget Input Data'!$E$63="Equal",'I_Budget Input Data'!$D$63/'I_Inputs &amp; Assumptions'!$B$8,IF('I_Budget Input Data'!$E$63="Front-loaded",IF(21&lt;='I_Inputs &amp; Assumptions'!$B$8/2,'I_Budget Input Data'!$D$63*0.6/('I_Inputs &amp; Assumptions'!$B$8/2),'I_Budget Input Data'!$D$63*0.4/('I_Inputs &amp; Assumptions'!$B$8/2)),IF('I_Budget Input Data'!$E$63="Back-loaded",IF(21&lt;='I_Inputs &amp; Assumptions'!$B$8/2,'I_Budget Input Data'!$D$63*0.4/('I_Inputs &amp; Assumptions'!$B$8/2),'I_Budget Input Data'!$D$63*0.6/('I_Inputs &amp; Assumptions'!$B$8/2)),IF('I_Budget Input Data'!$E$63="Mid-weighted",IF(21&lt;='I_Inputs &amp; Assumptions'!$B$8/4,'I_Budget Input Data'!$D$63*0.2/('I_Inputs &amp; Assumptions'!$B$8/4),IF(21&lt;='I_Inputs &amp; Assumptions'!$B$8*0.75,'I_Budget Input Data'!$D$63*0.6/('I_Inputs &amp; Assumptions'!$B$8/2),'I_Budget Input Data'!$D$63*0.2/('I_Inputs &amp; Assumptions'!$B$8/4))),IF('I_Budget Input Data'!$E$63="At Completion",IF(21='I_Inputs &amp; Assumptions'!$B$8,'I_Budget Input Data'!$D$63,0),'I_Budget Input Data'!$D$63/'I_Inputs &amp; Assumptions'!$B$8)))))),0)</f>
        <v>0</v>
      </c>
      <c r="X63" s="91">
        <f>IF(22&lt;='I_Inputs &amp; Assumptions'!$B$8,IF('I_Budget Input Data'!$E$63="Upfront",IF(22=1,'I_Budget Input Data'!$D$63,0),IF('I_Budget Input Data'!$E$63="Equal",'I_Budget Input Data'!$D$63/'I_Inputs &amp; Assumptions'!$B$8,IF('I_Budget Input Data'!$E$63="Front-loaded",IF(22&lt;='I_Inputs &amp; Assumptions'!$B$8/2,'I_Budget Input Data'!$D$63*0.6/('I_Inputs &amp; Assumptions'!$B$8/2),'I_Budget Input Data'!$D$63*0.4/('I_Inputs &amp; Assumptions'!$B$8/2)),IF('I_Budget Input Data'!$E$63="Back-loaded",IF(22&lt;='I_Inputs &amp; Assumptions'!$B$8/2,'I_Budget Input Data'!$D$63*0.4/('I_Inputs &amp; Assumptions'!$B$8/2),'I_Budget Input Data'!$D$63*0.6/('I_Inputs &amp; Assumptions'!$B$8/2)),IF('I_Budget Input Data'!$E$63="Mid-weighted",IF(22&lt;='I_Inputs &amp; Assumptions'!$B$8/4,'I_Budget Input Data'!$D$63*0.2/('I_Inputs &amp; Assumptions'!$B$8/4),IF(22&lt;='I_Inputs &amp; Assumptions'!$B$8*0.75,'I_Budget Input Data'!$D$63*0.6/('I_Inputs &amp; Assumptions'!$B$8/2),'I_Budget Input Data'!$D$63*0.2/('I_Inputs &amp; Assumptions'!$B$8/4))),IF('I_Budget Input Data'!$E$63="At Completion",IF(22='I_Inputs &amp; Assumptions'!$B$8,'I_Budget Input Data'!$D$63,0),'I_Budget Input Data'!$D$63/'I_Inputs &amp; Assumptions'!$B$8)))))),0)</f>
        <v>0</v>
      </c>
      <c r="Y63" s="91">
        <f>IF(23&lt;='I_Inputs &amp; Assumptions'!$B$8,IF('I_Budget Input Data'!$E$63="Upfront",IF(23=1,'I_Budget Input Data'!$D$63,0),IF('I_Budget Input Data'!$E$63="Equal",'I_Budget Input Data'!$D$63/'I_Inputs &amp; Assumptions'!$B$8,IF('I_Budget Input Data'!$E$63="Front-loaded",IF(23&lt;='I_Inputs &amp; Assumptions'!$B$8/2,'I_Budget Input Data'!$D$63*0.6/('I_Inputs &amp; Assumptions'!$B$8/2),'I_Budget Input Data'!$D$63*0.4/('I_Inputs &amp; Assumptions'!$B$8/2)),IF('I_Budget Input Data'!$E$63="Back-loaded",IF(23&lt;='I_Inputs &amp; Assumptions'!$B$8/2,'I_Budget Input Data'!$D$63*0.4/('I_Inputs &amp; Assumptions'!$B$8/2),'I_Budget Input Data'!$D$63*0.6/('I_Inputs &amp; Assumptions'!$B$8/2)),IF('I_Budget Input Data'!$E$63="Mid-weighted",IF(23&lt;='I_Inputs &amp; Assumptions'!$B$8/4,'I_Budget Input Data'!$D$63*0.2/('I_Inputs &amp; Assumptions'!$B$8/4),IF(23&lt;='I_Inputs &amp; Assumptions'!$B$8*0.75,'I_Budget Input Data'!$D$63*0.6/('I_Inputs &amp; Assumptions'!$B$8/2),'I_Budget Input Data'!$D$63*0.2/('I_Inputs &amp; Assumptions'!$B$8/4))),IF('I_Budget Input Data'!$E$63="At Completion",IF(23='I_Inputs &amp; Assumptions'!$B$8,'I_Budget Input Data'!$D$63,0),'I_Budget Input Data'!$D$63/'I_Inputs &amp; Assumptions'!$B$8)))))),0)</f>
        <v>0</v>
      </c>
      <c r="Z63" s="91">
        <f>IF(24&lt;='I_Inputs &amp; Assumptions'!$B$8,IF('I_Budget Input Data'!$E$63="Upfront",IF(24=1,'I_Budget Input Data'!$D$63,0),IF('I_Budget Input Data'!$E$63="Equal",'I_Budget Input Data'!$D$63/'I_Inputs &amp; Assumptions'!$B$8,IF('I_Budget Input Data'!$E$63="Front-loaded",IF(24&lt;='I_Inputs &amp; Assumptions'!$B$8/2,'I_Budget Input Data'!$D$63*0.6/('I_Inputs &amp; Assumptions'!$B$8/2),'I_Budget Input Data'!$D$63*0.4/('I_Inputs &amp; Assumptions'!$B$8/2)),IF('I_Budget Input Data'!$E$63="Back-loaded",IF(24&lt;='I_Inputs &amp; Assumptions'!$B$8/2,'I_Budget Input Data'!$D$63*0.4/('I_Inputs &amp; Assumptions'!$B$8/2),'I_Budget Input Data'!$D$63*0.6/('I_Inputs &amp; Assumptions'!$B$8/2)),IF('I_Budget Input Data'!$E$63="Mid-weighted",IF(24&lt;='I_Inputs &amp; Assumptions'!$B$8/4,'I_Budget Input Data'!$D$63*0.2/('I_Inputs &amp; Assumptions'!$B$8/4),IF(24&lt;='I_Inputs &amp; Assumptions'!$B$8*0.75,'I_Budget Input Data'!$D$63*0.6/('I_Inputs &amp; Assumptions'!$B$8/2),'I_Budget Input Data'!$D$63*0.2/('I_Inputs &amp; Assumptions'!$B$8/4))),IF('I_Budget Input Data'!$E$63="At Completion",IF(24='I_Inputs &amp; Assumptions'!$B$8,'I_Budget Input Data'!$D$63,0),'I_Budget Input Data'!$D$63/'I_Inputs &amp; Assumptions'!$B$8)))))),0)</f>
        <v>0</v>
      </c>
      <c r="AA63" s="91">
        <f>IF(25&lt;='I_Inputs &amp; Assumptions'!$B$8,IF('I_Budget Input Data'!$E$63="Upfront",IF(25=1,'I_Budget Input Data'!$D$63,0),IF('I_Budget Input Data'!$E$63="Equal",'I_Budget Input Data'!$D$63/'I_Inputs &amp; Assumptions'!$B$8,IF('I_Budget Input Data'!$E$63="Front-loaded",IF(25&lt;='I_Inputs &amp; Assumptions'!$B$8/2,'I_Budget Input Data'!$D$63*0.6/('I_Inputs &amp; Assumptions'!$B$8/2),'I_Budget Input Data'!$D$63*0.4/('I_Inputs &amp; Assumptions'!$B$8/2)),IF('I_Budget Input Data'!$E$63="Back-loaded",IF(25&lt;='I_Inputs &amp; Assumptions'!$B$8/2,'I_Budget Input Data'!$D$63*0.4/('I_Inputs &amp; Assumptions'!$B$8/2),'I_Budget Input Data'!$D$63*0.6/('I_Inputs &amp; Assumptions'!$B$8/2)),IF('I_Budget Input Data'!$E$63="Mid-weighted",IF(25&lt;='I_Inputs &amp; Assumptions'!$B$8/4,'I_Budget Input Data'!$D$63*0.2/('I_Inputs &amp; Assumptions'!$B$8/4),IF(25&lt;='I_Inputs &amp; Assumptions'!$B$8*0.75,'I_Budget Input Data'!$D$63*0.6/('I_Inputs &amp; Assumptions'!$B$8/2),'I_Budget Input Data'!$D$63*0.2/('I_Inputs &amp; Assumptions'!$B$8/4))),IF('I_Budget Input Data'!$E$63="At Completion",IF(25='I_Inputs &amp; Assumptions'!$B$8,'I_Budget Input Data'!$D$63,0),'I_Budget Input Data'!$D$63/'I_Inputs &amp; Assumptions'!$B$8)))))),0)</f>
        <v>0</v>
      </c>
      <c r="AB63" s="91">
        <f>IF(26&lt;='I_Inputs &amp; Assumptions'!$B$8,IF('I_Budget Input Data'!$E$63="Upfront",IF(26=1,'I_Budget Input Data'!$D$63,0),IF('I_Budget Input Data'!$E$63="Equal",'I_Budget Input Data'!$D$63/'I_Inputs &amp; Assumptions'!$B$8,IF('I_Budget Input Data'!$E$63="Front-loaded",IF(26&lt;='I_Inputs &amp; Assumptions'!$B$8/2,'I_Budget Input Data'!$D$63*0.6/('I_Inputs &amp; Assumptions'!$B$8/2),'I_Budget Input Data'!$D$63*0.4/('I_Inputs &amp; Assumptions'!$B$8/2)),IF('I_Budget Input Data'!$E$63="Back-loaded",IF(26&lt;='I_Inputs &amp; Assumptions'!$B$8/2,'I_Budget Input Data'!$D$63*0.4/('I_Inputs &amp; Assumptions'!$B$8/2),'I_Budget Input Data'!$D$63*0.6/('I_Inputs &amp; Assumptions'!$B$8/2)),IF('I_Budget Input Data'!$E$63="Mid-weighted",IF(26&lt;='I_Inputs &amp; Assumptions'!$B$8/4,'I_Budget Input Data'!$D$63*0.2/('I_Inputs &amp; Assumptions'!$B$8/4),IF(26&lt;='I_Inputs &amp; Assumptions'!$B$8*0.75,'I_Budget Input Data'!$D$63*0.6/('I_Inputs &amp; Assumptions'!$B$8/2),'I_Budget Input Data'!$D$63*0.2/('I_Inputs &amp; Assumptions'!$B$8/4))),IF('I_Budget Input Data'!$E$63="At Completion",IF(26='I_Inputs &amp; Assumptions'!$B$8,'I_Budget Input Data'!$D$63,0),'I_Budget Input Data'!$D$63/'I_Inputs &amp; Assumptions'!$B$8)))))),0)</f>
        <v>0</v>
      </c>
      <c r="AC63" s="91">
        <f>IF(27&lt;='I_Inputs &amp; Assumptions'!$B$8,IF('I_Budget Input Data'!$E$63="Upfront",IF(27=1,'I_Budget Input Data'!$D$63,0),IF('I_Budget Input Data'!$E$63="Equal",'I_Budget Input Data'!$D$63/'I_Inputs &amp; Assumptions'!$B$8,IF('I_Budget Input Data'!$E$63="Front-loaded",IF(27&lt;='I_Inputs &amp; Assumptions'!$B$8/2,'I_Budget Input Data'!$D$63*0.6/('I_Inputs &amp; Assumptions'!$B$8/2),'I_Budget Input Data'!$D$63*0.4/('I_Inputs &amp; Assumptions'!$B$8/2)),IF('I_Budget Input Data'!$E$63="Back-loaded",IF(27&lt;='I_Inputs &amp; Assumptions'!$B$8/2,'I_Budget Input Data'!$D$63*0.4/('I_Inputs &amp; Assumptions'!$B$8/2),'I_Budget Input Data'!$D$63*0.6/('I_Inputs &amp; Assumptions'!$B$8/2)),IF('I_Budget Input Data'!$E$63="Mid-weighted",IF(27&lt;='I_Inputs &amp; Assumptions'!$B$8/4,'I_Budget Input Data'!$D$63*0.2/('I_Inputs &amp; Assumptions'!$B$8/4),IF(27&lt;='I_Inputs &amp; Assumptions'!$B$8*0.75,'I_Budget Input Data'!$D$63*0.6/('I_Inputs &amp; Assumptions'!$B$8/2),'I_Budget Input Data'!$D$63*0.2/('I_Inputs &amp; Assumptions'!$B$8/4))),IF('I_Budget Input Data'!$E$63="At Completion",IF(27='I_Inputs &amp; Assumptions'!$B$8,'I_Budget Input Data'!$D$63,0),'I_Budget Input Data'!$D$63/'I_Inputs &amp; Assumptions'!$B$8)))))),0)</f>
        <v>0</v>
      </c>
      <c r="AD63" s="91">
        <f>IF(28&lt;='I_Inputs &amp; Assumptions'!$B$8,IF('I_Budget Input Data'!$E$63="Upfront",IF(28=1,'I_Budget Input Data'!$D$63,0),IF('I_Budget Input Data'!$E$63="Equal",'I_Budget Input Data'!$D$63/'I_Inputs &amp; Assumptions'!$B$8,IF('I_Budget Input Data'!$E$63="Front-loaded",IF(28&lt;='I_Inputs &amp; Assumptions'!$B$8/2,'I_Budget Input Data'!$D$63*0.6/('I_Inputs &amp; Assumptions'!$B$8/2),'I_Budget Input Data'!$D$63*0.4/('I_Inputs &amp; Assumptions'!$B$8/2)),IF('I_Budget Input Data'!$E$63="Back-loaded",IF(28&lt;='I_Inputs &amp; Assumptions'!$B$8/2,'I_Budget Input Data'!$D$63*0.4/('I_Inputs &amp; Assumptions'!$B$8/2),'I_Budget Input Data'!$D$63*0.6/('I_Inputs &amp; Assumptions'!$B$8/2)),IF('I_Budget Input Data'!$E$63="Mid-weighted",IF(28&lt;='I_Inputs &amp; Assumptions'!$B$8/4,'I_Budget Input Data'!$D$63*0.2/('I_Inputs &amp; Assumptions'!$B$8/4),IF(28&lt;='I_Inputs &amp; Assumptions'!$B$8*0.75,'I_Budget Input Data'!$D$63*0.6/('I_Inputs &amp; Assumptions'!$B$8/2),'I_Budget Input Data'!$D$63*0.2/('I_Inputs &amp; Assumptions'!$B$8/4))),IF('I_Budget Input Data'!$E$63="At Completion",IF(28='I_Inputs &amp; Assumptions'!$B$8,'I_Budget Input Data'!$D$63,0),'I_Budget Input Data'!$D$63/'I_Inputs &amp; Assumptions'!$B$8)))))),0)</f>
        <v>0</v>
      </c>
      <c r="AE63" s="91">
        <f>IF(29&lt;='I_Inputs &amp; Assumptions'!$B$8,IF('I_Budget Input Data'!$E$63="Upfront",IF(29=1,'I_Budget Input Data'!$D$63,0),IF('I_Budget Input Data'!$E$63="Equal",'I_Budget Input Data'!$D$63/'I_Inputs &amp; Assumptions'!$B$8,IF('I_Budget Input Data'!$E$63="Front-loaded",IF(29&lt;='I_Inputs &amp; Assumptions'!$B$8/2,'I_Budget Input Data'!$D$63*0.6/('I_Inputs &amp; Assumptions'!$B$8/2),'I_Budget Input Data'!$D$63*0.4/('I_Inputs &amp; Assumptions'!$B$8/2)),IF('I_Budget Input Data'!$E$63="Back-loaded",IF(29&lt;='I_Inputs &amp; Assumptions'!$B$8/2,'I_Budget Input Data'!$D$63*0.4/('I_Inputs &amp; Assumptions'!$B$8/2),'I_Budget Input Data'!$D$63*0.6/('I_Inputs &amp; Assumptions'!$B$8/2)),IF('I_Budget Input Data'!$E$63="Mid-weighted",IF(29&lt;='I_Inputs &amp; Assumptions'!$B$8/4,'I_Budget Input Data'!$D$63*0.2/('I_Inputs &amp; Assumptions'!$B$8/4),IF(29&lt;='I_Inputs &amp; Assumptions'!$B$8*0.75,'I_Budget Input Data'!$D$63*0.6/('I_Inputs &amp; Assumptions'!$B$8/2),'I_Budget Input Data'!$D$63*0.2/('I_Inputs &amp; Assumptions'!$B$8/4))),IF('I_Budget Input Data'!$E$63="At Completion",IF(29='I_Inputs &amp; Assumptions'!$B$8,'I_Budget Input Data'!$D$63,0),'I_Budget Input Data'!$D$63/'I_Inputs &amp; Assumptions'!$B$8)))))),0)</f>
        <v>0</v>
      </c>
      <c r="AF63" s="91">
        <f>IF(30&lt;='I_Inputs &amp; Assumptions'!$B$8,IF('I_Budget Input Data'!$E$63="Upfront",IF(30=1,'I_Budget Input Data'!$D$63,0),IF('I_Budget Input Data'!$E$63="Equal",'I_Budget Input Data'!$D$63/'I_Inputs &amp; Assumptions'!$B$8,IF('I_Budget Input Data'!$E$63="Front-loaded",IF(30&lt;='I_Inputs &amp; Assumptions'!$B$8/2,'I_Budget Input Data'!$D$63*0.6/('I_Inputs &amp; Assumptions'!$B$8/2),'I_Budget Input Data'!$D$63*0.4/('I_Inputs &amp; Assumptions'!$B$8/2)),IF('I_Budget Input Data'!$E$63="Back-loaded",IF(30&lt;='I_Inputs &amp; Assumptions'!$B$8/2,'I_Budget Input Data'!$D$63*0.4/('I_Inputs &amp; Assumptions'!$B$8/2),'I_Budget Input Data'!$D$63*0.6/('I_Inputs &amp; Assumptions'!$B$8/2)),IF('I_Budget Input Data'!$E$63="Mid-weighted",IF(30&lt;='I_Inputs &amp; Assumptions'!$B$8/4,'I_Budget Input Data'!$D$63*0.2/('I_Inputs &amp; Assumptions'!$B$8/4),IF(30&lt;='I_Inputs &amp; Assumptions'!$B$8*0.75,'I_Budget Input Data'!$D$63*0.6/('I_Inputs &amp; Assumptions'!$B$8/2),'I_Budget Input Data'!$D$63*0.2/('I_Inputs &amp; Assumptions'!$B$8/4))),IF('I_Budget Input Data'!$E$63="At Completion",IF(30='I_Inputs &amp; Assumptions'!$B$8,'I_Budget Input Data'!$D$63,0),'I_Budget Input Data'!$D$63/'I_Inputs &amp; Assumptions'!$B$8)))))),0)</f>
        <v>0</v>
      </c>
      <c r="AG63" s="91">
        <f>IF(31&lt;='I_Inputs &amp; Assumptions'!$B$8,IF('I_Budget Input Data'!$E$63="Upfront",IF(31=1,'I_Budget Input Data'!$D$63,0),IF('I_Budget Input Data'!$E$63="Equal",'I_Budget Input Data'!$D$63/'I_Inputs &amp; Assumptions'!$B$8,IF('I_Budget Input Data'!$E$63="Front-loaded",IF(31&lt;='I_Inputs &amp; Assumptions'!$B$8/2,'I_Budget Input Data'!$D$63*0.6/('I_Inputs &amp; Assumptions'!$B$8/2),'I_Budget Input Data'!$D$63*0.4/('I_Inputs &amp; Assumptions'!$B$8/2)),IF('I_Budget Input Data'!$E$63="Back-loaded",IF(31&lt;='I_Inputs &amp; Assumptions'!$B$8/2,'I_Budget Input Data'!$D$63*0.4/('I_Inputs &amp; Assumptions'!$B$8/2),'I_Budget Input Data'!$D$63*0.6/('I_Inputs &amp; Assumptions'!$B$8/2)),IF('I_Budget Input Data'!$E$63="Mid-weighted",IF(31&lt;='I_Inputs &amp; Assumptions'!$B$8/4,'I_Budget Input Data'!$D$63*0.2/('I_Inputs &amp; Assumptions'!$B$8/4),IF(31&lt;='I_Inputs &amp; Assumptions'!$B$8*0.75,'I_Budget Input Data'!$D$63*0.6/('I_Inputs &amp; Assumptions'!$B$8/2),'I_Budget Input Data'!$D$63*0.2/('I_Inputs &amp; Assumptions'!$B$8/4))),IF('I_Budget Input Data'!$E$63="At Completion",IF(31='I_Inputs &amp; Assumptions'!$B$8,'I_Budget Input Data'!$D$63,0),'I_Budget Input Data'!$D$63/'I_Inputs &amp; Assumptions'!$B$8)))))),0)</f>
        <v>0</v>
      </c>
      <c r="AH63" s="91">
        <f>IF(32&lt;='I_Inputs &amp; Assumptions'!$B$8,IF('I_Budget Input Data'!$E$63="Upfront",IF(32=1,'I_Budget Input Data'!$D$63,0),IF('I_Budget Input Data'!$E$63="Equal",'I_Budget Input Data'!$D$63/'I_Inputs &amp; Assumptions'!$B$8,IF('I_Budget Input Data'!$E$63="Front-loaded",IF(32&lt;='I_Inputs &amp; Assumptions'!$B$8/2,'I_Budget Input Data'!$D$63*0.6/('I_Inputs &amp; Assumptions'!$B$8/2),'I_Budget Input Data'!$D$63*0.4/('I_Inputs &amp; Assumptions'!$B$8/2)),IF('I_Budget Input Data'!$E$63="Back-loaded",IF(32&lt;='I_Inputs &amp; Assumptions'!$B$8/2,'I_Budget Input Data'!$D$63*0.4/('I_Inputs &amp; Assumptions'!$B$8/2),'I_Budget Input Data'!$D$63*0.6/('I_Inputs &amp; Assumptions'!$B$8/2)),IF('I_Budget Input Data'!$E$63="Mid-weighted",IF(32&lt;='I_Inputs &amp; Assumptions'!$B$8/4,'I_Budget Input Data'!$D$63*0.2/('I_Inputs &amp; Assumptions'!$B$8/4),IF(32&lt;='I_Inputs &amp; Assumptions'!$B$8*0.75,'I_Budget Input Data'!$D$63*0.6/('I_Inputs &amp; Assumptions'!$B$8/2),'I_Budget Input Data'!$D$63*0.2/('I_Inputs &amp; Assumptions'!$B$8/4))),IF('I_Budget Input Data'!$E$63="At Completion",IF(32='I_Inputs &amp; Assumptions'!$B$8,'I_Budget Input Data'!$D$63,0),'I_Budget Input Data'!$D$63/'I_Inputs &amp; Assumptions'!$B$8)))))),0)</f>
        <v>0</v>
      </c>
      <c r="AI63" s="91">
        <f>IF(33&lt;='I_Inputs &amp; Assumptions'!$B$8,IF('I_Budget Input Data'!$E$63="Upfront",IF(33=1,'I_Budget Input Data'!$D$63,0),IF('I_Budget Input Data'!$E$63="Equal",'I_Budget Input Data'!$D$63/'I_Inputs &amp; Assumptions'!$B$8,IF('I_Budget Input Data'!$E$63="Front-loaded",IF(33&lt;='I_Inputs &amp; Assumptions'!$B$8/2,'I_Budget Input Data'!$D$63*0.6/('I_Inputs &amp; Assumptions'!$B$8/2),'I_Budget Input Data'!$D$63*0.4/('I_Inputs &amp; Assumptions'!$B$8/2)),IF('I_Budget Input Data'!$E$63="Back-loaded",IF(33&lt;='I_Inputs &amp; Assumptions'!$B$8/2,'I_Budget Input Data'!$D$63*0.4/('I_Inputs &amp; Assumptions'!$B$8/2),'I_Budget Input Data'!$D$63*0.6/('I_Inputs &amp; Assumptions'!$B$8/2)),IF('I_Budget Input Data'!$E$63="Mid-weighted",IF(33&lt;='I_Inputs &amp; Assumptions'!$B$8/4,'I_Budget Input Data'!$D$63*0.2/('I_Inputs &amp; Assumptions'!$B$8/4),IF(33&lt;='I_Inputs &amp; Assumptions'!$B$8*0.75,'I_Budget Input Data'!$D$63*0.6/('I_Inputs &amp; Assumptions'!$B$8/2),'I_Budget Input Data'!$D$63*0.2/('I_Inputs &amp; Assumptions'!$B$8/4))),IF('I_Budget Input Data'!$E$63="At Completion",IF(33='I_Inputs &amp; Assumptions'!$B$8,'I_Budget Input Data'!$D$63,0),'I_Budget Input Data'!$D$63/'I_Inputs &amp; Assumptions'!$B$8)))))),0)</f>
        <v>0</v>
      </c>
      <c r="AJ63" s="91">
        <f>IF(34&lt;='I_Inputs &amp; Assumptions'!$B$8,IF('I_Budget Input Data'!$E$63="Upfront",IF(34=1,'I_Budget Input Data'!$D$63,0),IF('I_Budget Input Data'!$E$63="Equal",'I_Budget Input Data'!$D$63/'I_Inputs &amp; Assumptions'!$B$8,IF('I_Budget Input Data'!$E$63="Front-loaded",IF(34&lt;='I_Inputs &amp; Assumptions'!$B$8/2,'I_Budget Input Data'!$D$63*0.6/('I_Inputs &amp; Assumptions'!$B$8/2),'I_Budget Input Data'!$D$63*0.4/('I_Inputs &amp; Assumptions'!$B$8/2)),IF('I_Budget Input Data'!$E$63="Back-loaded",IF(34&lt;='I_Inputs &amp; Assumptions'!$B$8/2,'I_Budget Input Data'!$D$63*0.4/('I_Inputs &amp; Assumptions'!$B$8/2),'I_Budget Input Data'!$D$63*0.6/('I_Inputs &amp; Assumptions'!$B$8/2)),IF('I_Budget Input Data'!$E$63="Mid-weighted",IF(34&lt;='I_Inputs &amp; Assumptions'!$B$8/4,'I_Budget Input Data'!$D$63*0.2/('I_Inputs &amp; Assumptions'!$B$8/4),IF(34&lt;='I_Inputs &amp; Assumptions'!$B$8*0.75,'I_Budget Input Data'!$D$63*0.6/('I_Inputs &amp; Assumptions'!$B$8/2),'I_Budget Input Data'!$D$63*0.2/('I_Inputs &amp; Assumptions'!$B$8/4))),IF('I_Budget Input Data'!$E$63="At Completion",IF(34='I_Inputs &amp; Assumptions'!$B$8,'I_Budget Input Data'!$D$63,0),'I_Budget Input Data'!$D$63/'I_Inputs &amp; Assumptions'!$B$8)))))),0)</f>
        <v>0</v>
      </c>
      <c r="AK63" s="91">
        <f>IF(35&lt;='I_Inputs &amp; Assumptions'!$B$8,IF('I_Budget Input Data'!$E$63="Upfront",IF(35=1,'I_Budget Input Data'!$D$63,0),IF('I_Budget Input Data'!$E$63="Equal",'I_Budget Input Data'!$D$63/'I_Inputs &amp; Assumptions'!$B$8,IF('I_Budget Input Data'!$E$63="Front-loaded",IF(35&lt;='I_Inputs &amp; Assumptions'!$B$8/2,'I_Budget Input Data'!$D$63*0.6/('I_Inputs &amp; Assumptions'!$B$8/2),'I_Budget Input Data'!$D$63*0.4/('I_Inputs &amp; Assumptions'!$B$8/2)),IF('I_Budget Input Data'!$E$63="Back-loaded",IF(35&lt;='I_Inputs &amp; Assumptions'!$B$8/2,'I_Budget Input Data'!$D$63*0.4/('I_Inputs &amp; Assumptions'!$B$8/2),'I_Budget Input Data'!$D$63*0.6/('I_Inputs &amp; Assumptions'!$B$8/2)),IF('I_Budget Input Data'!$E$63="Mid-weighted",IF(35&lt;='I_Inputs &amp; Assumptions'!$B$8/4,'I_Budget Input Data'!$D$63*0.2/('I_Inputs &amp; Assumptions'!$B$8/4),IF(35&lt;='I_Inputs &amp; Assumptions'!$B$8*0.75,'I_Budget Input Data'!$D$63*0.6/('I_Inputs &amp; Assumptions'!$B$8/2),'I_Budget Input Data'!$D$63*0.2/('I_Inputs &amp; Assumptions'!$B$8/4))),IF('I_Budget Input Data'!$E$63="At Completion",IF(35='I_Inputs &amp; Assumptions'!$B$8,'I_Budget Input Data'!$D$63,0),'I_Budget Input Data'!$D$63/'I_Inputs &amp; Assumptions'!$B$8)))))),0)</f>
        <v>0</v>
      </c>
      <c r="AL63" s="91">
        <f>IF(36&lt;='I_Inputs &amp; Assumptions'!$B$8,IF('I_Budget Input Data'!$E$63="Upfront",IF(36=1,'I_Budget Input Data'!$D$63,0),IF('I_Budget Input Data'!$E$63="Equal",'I_Budget Input Data'!$D$63/'I_Inputs &amp; Assumptions'!$B$8,IF('I_Budget Input Data'!$E$63="Front-loaded",IF(36&lt;='I_Inputs &amp; Assumptions'!$B$8/2,'I_Budget Input Data'!$D$63*0.6/('I_Inputs &amp; Assumptions'!$B$8/2),'I_Budget Input Data'!$D$63*0.4/('I_Inputs &amp; Assumptions'!$B$8/2)),IF('I_Budget Input Data'!$E$63="Back-loaded",IF(36&lt;='I_Inputs &amp; Assumptions'!$B$8/2,'I_Budget Input Data'!$D$63*0.4/('I_Inputs &amp; Assumptions'!$B$8/2),'I_Budget Input Data'!$D$63*0.6/('I_Inputs &amp; Assumptions'!$B$8/2)),IF('I_Budget Input Data'!$E$63="Mid-weighted",IF(36&lt;='I_Inputs &amp; Assumptions'!$B$8/4,'I_Budget Input Data'!$D$63*0.2/('I_Inputs &amp; Assumptions'!$B$8/4),IF(36&lt;='I_Inputs &amp; Assumptions'!$B$8*0.75,'I_Budget Input Data'!$D$63*0.6/('I_Inputs &amp; Assumptions'!$B$8/2),'I_Budget Input Data'!$D$63*0.2/('I_Inputs &amp; Assumptions'!$B$8/4))),IF('I_Budget Input Data'!$E$63="At Completion",IF(36='I_Inputs &amp; Assumptions'!$B$8,'I_Budget Input Data'!$D$63,0),'I_Budget Input Data'!$D$63/'I_Inputs &amp; Assumptions'!$B$8)))))),0)</f>
        <v>0</v>
      </c>
    </row>
    <row r="64" spans="1:38" ht="15" customHeight="1" x14ac:dyDescent="0.2">
      <c r="A64" t="s">
        <v>146</v>
      </c>
      <c r="C64" s="91">
        <v>0</v>
      </c>
      <c r="D64" s="91">
        <v>0</v>
      </c>
      <c r="E64" s="91">
        <v>0</v>
      </c>
      <c r="F64" s="91">
        <v>0</v>
      </c>
      <c r="G64" s="91">
        <v>0</v>
      </c>
      <c r="H64" s="91">
        <v>0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1">
        <v>0</v>
      </c>
      <c r="AB64" s="91">
        <v>0</v>
      </c>
      <c r="AC64" s="91">
        <v>0</v>
      </c>
      <c r="AD64" s="91">
        <v>0</v>
      </c>
      <c r="AE64" s="91">
        <v>0</v>
      </c>
      <c r="AF64" s="91">
        <v>0</v>
      </c>
      <c r="AG64" s="91">
        <v>0</v>
      </c>
      <c r="AH64" s="91">
        <v>0</v>
      </c>
      <c r="AI64" s="91">
        <v>0</v>
      </c>
      <c r="AJ64" s="91">
        <v>0</v>
      </c>
      <c r="AK64" s="91">
        <v>0</v>
      </c>
      <c r="AL64" s="91">
        <v>0</v>
      </c>
    </row>
    <row r="65" spans="1:38" ht="15" customHeight="1" x14ac:dyDescent="0.2">
      <c r="A65" t="s">
        <v>146</v>
      </c>
      <c r="B65" t="s">
        <v>184</v>
      </c>
      <c r="C65" s="91">
        <f>IF(1&lt;='I_Inputs &amp; Assumptions'!$B$8,IF('I_Budget Input Data'!$E$65="Upfront",IF(1=1,'I_Budget Input Data'!$D$65,0),IF('I_Budget Input Data'!$E$65="Equal",'I_Budget Input Data'!$D$65/'I_Inputs &amp; Assumptions'!$B$8,IF('I_Budget Input Data'!$E$65="Front-loaded",IF(1&lt;='I_Inputs &amp; Assumptions'!$B$8/2,'I_Budget Input Data'!$D$65*0.6/('I_Inputs &amp; Assumptions'!$B$8/2),'I_Budget Input Data'!$D$65*0.4/('I_Inputs &amp; Assumptions'!$B$8/2)),IF('I_Budget Input Data'!$E$65="Back-loaded",IF(1&lt;='I_Inputs &amp; Assumptions'!$B$8/2,'I_Budget Input Data'!$D$65*0.4/('I_Inputs &amp; Assumptions'!$B$8/2),'I_Budget Input Data'!$D$65*0.6/('I_Inputs &amp; Assumptions'!$B$8/2)),IF('I_Budget Input Data'!$E$65="Mid-weighted",IF(1&lt;='I_Inputs &amp; Assumptions'!$B$8/4,'I_Budget Input Data'!$D$65*0.2/('I_Inputs &amp; Assumptions'!$B$8/4),IF(1&lt;='I_Inputs &amp; Assumptions'!$B$8*0.75,'I_Budget Input Data'!$D$65*0.6/('I_Inputs &amp; Assumptions'!$B$8/2),'I_Budget Input Data'!$D$65*0.2/('I_Inputs &amp; Assumptions'!$B$8/4))),IF('I_Budget Input Data'!$E$65="At Completion",IF(1='I_Inputs &amp; Assumptions'!$B$8,'I_Budget Input Data'!$D$65,0),'I_Budget Input Data'!$D$65/'I_Inputs &amp; Assumptions'!$B$8)))))),0)</f>
        <v>5776.707692307692</v>
      </c>
      <c r="D65" s="91">
        <f>IF(2&lt;='I_Inputs &amp; Assumptions'!$B$8,IF('I_Budget Input Data'!$E$65="Upfront",IF(2=1,'I_Budget Input Data'!$D$65,0),IF('I_Budget Input Data'!$E$65="Equal",'I_Budget Input Data'!$D$65/'I_Inputs &amp; Assumptions'!$B$8,IF('I_Budget Input Data'!$E$65="Front-loaded",IF(2&lt;='I_Inputs &amp; Assumptions'!$B$8/2,'I_Budget Input Data'!$D$65*0.6/('I_Inputs &amp; Assumptions'!$B$8/2),'I_Budget Input Data'!$D$65*0.4/('I_Inputs &amp; Assumptions'!$B$8/2)),IF('I_Budget Input Data'!$E$65="Back-loaded",IF(2&lt;='I_Inputs &amp; Assumptions'!$B$8/2,'I_Budget Input Data'!$D$65*0.4/('I_Inputs &amp; Assumptions'!$B$8/2),'I_Budget Input Data'!$D$65*0.6/('I_Inputs &amp; Assumptions'!$B$8/2)),IF('I_Budget Input Data'!$E$65="Mid-weighted",IF(2&lt;='I_Inputs &amp; Assumptions'!$B$8/4,'I_Budget Input Data'!$D$65*0.2/('I_Inputs &amp; Assumptions'!$B$8/4),IF(2&lt;='I_Inputs &amp; Assumptions'!$B$8*0.75,'I_Budget Input Data'!$D$65*0.6/('I_Inputs &amp; Assumptions'!$B$8/2),'I_Budget Input Data'!$D$65*0.2/('I_Inputs &amp; Assumptions'!$B$8/4))),IF('I_Budget Input Data'!$E$65="At Completion",IF(2='I_Inputs &amp; Assumptions'!$B$8,'I_Budget Input Data'!$D$65,0),'I_Budget Input Data'!$D$65/'I_Inputs &amp; Assumptions'!$B$8)))))),0)</f>
        <v>5776.707692307692</v>
      </c>
      <c r="E65" s="91">
        <f>IF(3&lt;='I_Inputs &amp; Assumptions'!$B$8,IF('I_Budget Input Data'!$E$65="Upfront",IF(3=1,'I_Budget Input Data'!$D$65,0),IF('I_Budget Input Data'!$E$65="Equal",'I_Budget Input Data'!$D$65/'I_Inputs &amp; Assumptions'!$B$8,IF('I_Budget Input Data'!$E$65="Front-loaded",IF(3&lt;='I_Inputs &amp; Assumptions'!$B$8/2,'I_Budget Input Data'!$D$65*0.6/('I_Inputs &amp; Assumptions'!$B$8/2),'I_Budget Input Data'!$D$65*0.4/('I_Inputs &amp; Assumptions'!$B$8/2)),IF('I_Budget Input Data'!$E$65="Back-loaded",IF(3&lt;='I_Inputs &amp; Assumptions'!$B$8/2,'I_Budget Input Data'!$D$65*0.4/('I_Inputs &amp; Assumptions'!$B$8/2),'I_Budget Input Data'!$D$65*0.6/('I_Inputs &amp; Assumptions'!$B$8/2)),IF('I_Budget Input Data'!$E$65="Mid-weighted",IF(3&lt;='I_Inputs &amp; Assumptions'!$B$8/4,'I_Budget Input Data'!$D$65*0.2/('I_Inputs &amp; Assumptions'!$B$8/4),IF(3&lt;='I_Inputs &amp; Assumptions'!$B$8*0.75,'I_Budget Input Data'!$D$65*0.6/('I_Inputs &amp; Assumptions'!$B$8/2),'I_Budget Input Data'!$D$65*0.2/('I_Inputs &amp; Assumptions'!$B$8/4))),IF('I_Budget Input Data'!$E$65="At Completion",IF(3='I_Inputs &amp; Assumptions'!$B$8,'I_Budget Input Data'!$D$65,0),'I_Budget Input Data'!$D$65/'I_Inputs &amp; Assumptions'!$B$8)))))),0)</f>
        <v>5776.707692307692</v>
      </c>
      <c r="F65" s="91">
        <f>IF(4&lt;='I_Inputs &amp; Assumptions'!$B$8,IF('I_Budget Input Data'!$E$65="Upfront",IF(4=1,'I_Budget Input Data'!$D$65,0),IF('I_Budget Input Data'!$E$65="Equal",'I_Budget Input Data'!$D$65/'I_Inputs &amp; Assumptions'!$B$8,IF('I_Budget Input Data'!$E$65="Front-loaded",IF(4&lt;='I_Inputs &amp; Assumptions'!$B$8/2,'I_Budget Input Data'!$D$65*0.6/('I_Inputs &amp; Assumptions'!$B$8/2),'I_Budget Input Data'!$D$65*0.4/('I_Inputs &amp; Assumptions'!$B$8/2)),IF('I_Budget Input Data'!$E$65="Back-loaded",IF(4&lt;='I_Inputs &amp; Assumptions'!$B$8/2,'I_Budget Input Data'!$D$65*0.4/('I_Inputs &amp; Assumptions'!$B$8/2),'I_Budget Input Data'!$D$65*0.6/('I_Inputs &amp; Assumptions'!$B$8/2)),IF('I_Budget Input Data'!$E$65="Mid-weighted",IF(4&lt;='I_Inputs &amp; Assumptions'!$B$8/4,'I_Budget Input Data'!$D$65*0.2/('I_Inputs &amp; Assumptions'!$B$8/4),IF(4&lt;='I_Inputs &amp; Assumptions'!$B$8*0.75,'I_Budget Input Data'!$D$65*0.6/('I_Inputs &amp; Assumptions'!$B$8/2),'I_Budget Input Data'!$D$65*0.2/('I_Inputs &amp; Assumptions'!$B$8/4))),IF('I_Budget Input Data'!$E$65="At Completion",IF(4='I_Inputs &amp; Assumptions'!$B$8,'I_Budget Input Data'!$D$65,0),'I_Budget Input Data'!$D$65/'I_Inputs &amp; Assumptions'!$B$8)))))),0)</f>
        <v>5776.707692307692</v>
      </c>
      <c r="G65" s="91">
        <f>IF(5&lt;='I_Inputs &amp; Assumptions'!$B$8,IF('I_Budget Input Data'!$E$65="Upfront",IF(5=1,'I_Budget Input Data'!$D$65,0),IF('I_Budget Input Data'!$E$65="Equal",'I_Budget Input Data'!$D$65/'I_Inputs &amp; Assumptions'!$B$8,IF('I_Budget Input Data'!$E$65="Front-loaded",IF(5&lt;='I_Inputs &amp; Assumptions'!$B$8/2,'I_Budget Input Data'!$D$65*0.6/('I_Inputs &amp; Assumptions'!$B$8/2),'I_Budget Input Data'!$D$65*0.4/('I_Inputs &amp; Assumptions'!$B$8/2)),IF('I_Budget Input Data'!$E$65="Back-loaded",IF(5&lt;='I_Inputs &amp; Assumptions'!$B$8/2,'I_Budget Input Data'!$D$65*0.4/('I_Inputs &amp; Assumptions'!$B$8/2),'I_Budget Input Data'!$D$65*0.6/('I_Inputs &amp; Assumptions'!$B$8/2)),IF('I_Budget Input Data'!$E$65="Mid-weighted",IF(5&lt;='I_Inputs &amp; Assumptions'!$B$8/4,'I_Budget Input Data'!$D$65*0.2/('I_Inputs &amp; Assumptions'!$B$8/4),IF(5&lt;='I_Inputs &amp; Assumptions'!$B$8*0.75,'I_Budget Input Data'!$D$65*0.6/('I_Inputs &amp; Assumptions'!$B$8/2),'I_Budget Input Data'!$D$65*0.2/('I_Inputs &amp; Assumptions'!$B$8/4))),IF('I_Budget Input Data'!$E$65="At Completion",IF(5='I_Inputs &amp; Assumptions'!$B$8,'I_Budget Input Data'!$D$65,0),'I_Budget Input Data'!$D$65/'I_Inputs &amp; Assumptions'!$B$8)))))),0)</f>
        <v>5776.707692307692</v>
      </c>
      <c r="H65" s="91">
        <f>IF(6&lt;='I_Inputs &amp; Assumptions'!$B$8,IF('I_Budget Input Data'!$E$65="Upfront",IF(6=1,'I_Budget Input Data'!$D$65,0),IF('I_Budget Input Data'!$E$65="Equal",'I_Budget Input Data'!$D$65/'I_Inputs &amp; Assumptions'!$B$8,IF('I_Budget Input Data'!$E$65="Front-loaded",IF(6&lt;='I_Inputs &amp; Assumptions'!$B$8/2,'I_Budget Input Data'!$D$65*0.6/('I_Inputs &amp; Assumptions'!$B$8/2),'I_Budget Input Data'!$D$65*0.4/('I_Inputs &amp; Assumptions'!$B$8/2)),IF('I_Budget Input Data'!$E$65="Back-loaded",IF(6&lt;='I_Inputs &amp; Assumptions'!$B$8/2,'I_Budget Input Data'!$D$65*0.4/('I_Inputs &amp; Assumptions'!$B$8/2),'I_Budget Input Data'!$D$65*0.6/('I_Inputs &amp; Assumptions'!$B$8/2)),IF('I_Budget Input Data'!$E$65="Mid-weighted",IF(6&lt;='I_Inputs &amp; Assumptions'!$B$8/4,'I_Budget Input Data'!$D$65*0.2/('I_Inputs &amp; Assumptions'!$B$8/4),IF(6&lt;='I_Inputs &amp; Assumptions'!$B$8*0.75,'I_Budget Input Data'!$D$65*0.6/('I_Inputs &amp; Assumptions'!$B$8/2),'I_Budget Input Data'!$D$65*0.2/('I_Inputs &amp; Assumptions'!$B$8/4))),IF('I_Budget Input Data'!$E$65="At Completion",IF(6='I_Inputs &amp; Assumptions'!$B$8,'I_Budget Input Data'!$D$65,0),'I_Budget Input Data'!$D$65/'I_Inputs &amp; Assumptions'!$B$8)))))),0)</f>
        <v>5776.707692307692</v>
      </c>
      <c r="I65" s="91">
        <f>IF(7&lt;='I_Inputs &amp; Assumptions'!$B$8,IF('I_Budget Input Data'!$E$65="Upfront",IF(7=1,'I_Budget Input Data'!$D$65,0),IF('I_Budget Input Data'!$E$65="Equal",'I_Budget Input Data'!$D$65/'I_Inputs &amp; Assumptions'!$B$8,IF('I_Budget Input Data'!$E$65="Front-loaded",IF(7&lt;='I_Inputs &amp; Assumptions'!$B$8/2,'I_Budget Input Data'!$D$65*0.6/('I_Inputs &amp; Assumptions'!$B$8/2),'I_Budget Input Data'!$D$65*0.4/('I_Inputs &amp; Assumptions'!$B$8/2)),IF('I_Budget Input Data'!$E$65="Back-loaded",IF(7&lt;='I_Inputs &amp; Assumptions'!$B$8/2,'I_Budget Input Data'!$D$65*0.4/('I_Inputs &amp; Assumptions'!$B$8/2),'I_Budget Input Data'!$D$65*0.6/('I_Inputs &amp; Assumptions'!$B$8/2)),IF('I_Budget Input Data'!$E$65="Mid-weighted",IF(7&lt;='I_Inputs &amp; Assumptions'!$B$8/4,'I_Budget Input Data'!$D$65*0.2/('I_Inputs &amp; Assumptions'!$B$8/4),IF(7&lt;='I_Inputs &amp; Assumptions'!$B$8*0.75,'I_Budget Input Data'!$D$65*0.6/('I_Inputs &amp; Assumptions'!$B$8/2),'I_Budget Input Data'!$D$65*0.2/('I_Inputs &amp; Assumptions'!$B$8/4))),IF('I_Budget Input Data'!$E$65="At Completion",IF(7='I_Inputs &amp; Assumptions'!$B$8,'I_Budget Input Data'!$D$65,0),'I_Budget Input Data'!$D$65/'I_Inputs &amp; Assumptions'!$B$8)))))),0)</f>
        <v>3851.1384615384618</v>
      </c>
      <c r="J65" s="91">
        <f>IF(8&lt;='I_Inputs &amp; Assumptions'!$B$8,IF('I_Budget Input Data'!$E$65="Upfront",IF(8=1,'I_Budget Input Data'!$D$65,0),IF('I_Budget Input Data'!$E$65="Equal",'I_Budget Input Data'!$D$65/'I_Inputs &amp; Assumptions'!$B$8,IF('I_Budget Input Data'!$E$65="Front-loaded",IF(8&lt;='I_Inputs &amp; Assumptions'!$B$8/2,'I_Budget Input Data'!$D$65*0.6/('I_Inputs &amp; Assumptions'!$B$8/2),'I_Budget Input Data'!$D$65*0.4/('I_Inputs &amp; Assumptions'!$B$8/2)),IF('I_Budget Input Data'!$E$65="Back-loaded",IF(8&lt;='I_Inputs &amp; Assumptions'!$B$8/2,'I_Budget Input Data'!$D$65*0.4/('I_Inputs &amp; Assumptions'!$B$8/2),'I_Budget Input Data'!$D$65*0.6/('I_Inputs &amp; Assumptions'!$B$8/2)),IF('I_Budget Input Data'!$E$65="Mid-weighted",IF(8&lt;='I_Inputs &amp; Assumptions'!$B$8/4,'I_Budget Input Data'!$D$65*0.2/('I_Inputs &amp; Assumptions'!$B$8/4),IF(8&lt;='I_Inputs &amp; Assumptions'!$B$8*0.75,'I_Budget Input Data'!$D$65*0.6/('I_Inputs &amp; Assumptions'!$B$8/2),'I_Budget Input Data'!$D$65*0.2/('I_Inputs &amp; Assumptions'!$B$8/4))),IF('I_Budget Input Data'!$E$65="At Completion",IF(8='I_Inputs &amp; Assumptions'!$B$8,'I_Budget Input Data'!$D$65,0),'I_Budget Input Data'!$D$65/'I_Inputs &amp; Assumptions'!$B$8)))))),0)</f>
        <v>3851.1384615384618</v>
      </c>
      <c r="K65" s="91">
        <f>IF(9&lt;='I_Inputs &amp; Assumptions'!$B$8,IF('I_Budget Input Data'!$E$65="Upfront",IF(9=1,'I_Budget Input Data'!$D$65,0),IF('I_Budget Input Data'!$E$65="Equal",'I_Budget Input Data'!$D$65/'I_Inputs &amp; Assumptions'!$B$8,IF('I_Budget Input Data'!$E$65="Front-loaded",IF(9&lt;='I_Inputs &amp; Assumptions'!$B$8/2,'I_Budget Input Data'!$D$65*0.6/('I_Inputs &amp; Assumptions'!$B$8/2),'I_Budget Input Data'!$D$65*0.4/('I_Inputs &amp; Assumptions'!$B$8/2)),IF('I_Budget Input Data'!$E$65="Back-loaded",IF(9&lt;='I_Inputs &amp; Assumptions'!$B$8/2,'I_Budget Input Data'!$D$65*0.4/('I_Inputs &amp; Assumptions'!$B$8/2),'I_Budget Input Data'!$D$65*0.6/('I_Inputs &amp; Assumptions'!$B$8/2)),IF('I_Budget Input Data'!$E$65="Mid-weighted",IF(9&lt;='I_Inputs &amp; Assumptions'!$B$8/4,'I_Budget Input Data'!$D$65*0.2/('I_Inputs &amp; Assumptions'!$B$8/4),IF(9&lt;='I_Inputs &amp; Assumptions'!$B$8*0.75,'I_Budget Input Data'!$D$65*0.6/('I_Inputs &amp; Assumptions'!$B$8/2),'I_Budget Input Data'!$D$65*0.2/('I_Inputs &amp; Assumptions'!$B$8/4))),IF('I_Budget Input Data'!$E$65="At Completion",IF(9='I_Inputs &amp; Assumptions'!$B$8,'I_Budget Input Data'!$D$65,0),'I_Budget Input Data'!$D$65/'I_Inputs &amp; Assumptions'!$B$8)))))),0)</f>
        <v>3851.1384615384618</v>
      </c>
      <c r="L65" s="91">
        <f>IF(10&lt;='I_Inputs &amp; Assumptions'!$B$8,IF('I_Budget Input Data'!$E$65="Upfront",IF(10=1,'I_Budget Input Data'!$D$65,0),IF('I_Budget Input Data'!$E$65="Equal",'I_Budget Input Data'!$D$65/'I_Inputs &amp; Assumptions'!$B$8,IF('I_Budget Input Data'!$E$65="Front-loaded",IF(10&lt;='I_Inputs &amp; Assumptions'!$B$8/2,'I_Budget Input Data'!$D$65*0.6/('I_Inputs &amp; Assumptions'!$B$8/2),'I_Budget Input Data'!$D$65*0.4/('I_Inputs &amp; Assumptions'!$B$8/2)),IF('I_Budget Input Data'!$E$65="Back-loaded",IF(10&lt;='I_Inputs &amp; Assumptions'!$B$8/2,'I_Budget Input Data'!$D$65*0.4/('I_Inputs &amp; Assumptions'!$B$8/2),'I_Budget Input Data'!$D$65*0.6/('I_Inputs &amp; Assumptions'!$B$8/2)),IF('I_Budget Input Data'!$E$65="Mid-weighted",IF(10&lt;='I_Inputs &amp; Assumptions'!$B$8/4,'I_Budget Input Data'!$D$65*0.2/('I_Inputs &amp; Assumptions'!$B$8/4),IF(10&lt;='I_Inputs &amp; Assumptions'!$B$8*0.75,'I_Budget Input Data'!$D$65*0.6/('I_Inputs &amp; Assumptions'!$B$8/2),'I_Budget Input Data'!$D$65*0.2/('I_Inputs &amp; Assumptions'!$B$8/4))),IF('I_Budget Input Data'!$E$65="At Completion",IF(10='I_Inputs &amp; Assumptions'!$B$8,'I_Budget Input Data'!$D$65,0),'I_Budget Input Data'!$D$65/'I_Inputs &amp; Assumptions'!$B$8)))))),0)</f>
        <v>3851.1384615384618</v>
      </c>
      <c r="M65" s="91">
        <f>IF(11&lt;='I_Inputs &amp; Assumptions'!$B$8,IF('I_Budget Input Data'!$E$65="Upfront",IF(11=1,'I_Budget Input Data'!$D$65,0),IF('I_Budget Input Data'!$E$65="Equal",'I_Budget Input Data'!$D$65/'I_Inputs &amp; Assumptions'!$B$8,IF('I_Budget Input Data'!$E$65="Front-loaded",IF(11&lt;='I_Inputs &amp; Assumptions'!$B$8/2,'I_Budget Input Data'!$D$65*0.6/('I_Inputs &amp; Assumptions'!$B$8/2),'I_Budget Input Data'!$D$65*0.4/('I_Inputs &amp; Assumptions'!$B$8/2)),IF('I_Budget Input Data'!$E$65="Back-loaded",IF(11&lt;='I_Inputs &amp; Assumptions'!$B$8/2,'I_Budget Input Data'!$D$65*0.4/('I_Inputs &amp; Assumptions'!$B$8/2),'I_Budget Input Data'!$D$65*0.6/('I_Inputs &amp; Assumptions'!$B$8/2)),IF('I_Budget Input Data'!$E$65="Mid-weighted",IF(11&lt;='I_Inputs &amp; Assumptions'!$B$8/4,'I_Budget Input Data'!$D$65*0.2/('I_Inputs &amp; Assumptions'!$B$8/4),IF(11&lt;='I_Inputs &amp; Assumptions'!$B$8*0.75,'I_Budget Input Data'!$D$65*0.6/('I_Inputs &amp; Assumptions'!$B$8/2),'I_Budget Input Data'!$D$65*0.2/('I_Inputs &amp; Assumptions'!$B$8/4))),IF('I_Budget Input Data'!$E$65="At Completion",IF(11='I_Inputs &amp; Assumptions'!$B$8,'I_Budget Input Data'!$D$65,0),'I_Budget Input Data'!$D$65/'I_Inputs &amp; Assumptions'!$B$8)))))),0)</f>
        <v>3851.1384615384618</v>
      </c>
      <c r="N65" s="91">
        <f>IF(12&lt;='I_Inputs &amp; Assumptions'!$B$8,IF('I_Budget Input Data'!$E$65="Upfront",IF(12=1,'I_Budget Input Data'!$D$65,0),IF('I_Budget Input Data'!$E$65="Equal",'I_Budget Input Data'!$D$65/'I_Inputs &amp; Assumptions'!$B$8,IF('I_Budget Input Data'!$E$65="Front-loaded",IF(12&lt;='I_Inputs &amp; Assumptions'!$B$8/2,'I_Budget Input Data'!$D$65*0.6/('I_Inputs &amp; Assumptions'!$B$8/2),'I_Budget Input Data'!$D$65*0.4/('I_Inputs &amp; Assumptions'!$B$8/2)),IF('I_Budget Input Data'!$E$65="Back-loaded",IF(12&lt;='I_Inputs &amp; Assumptions'!$B$8/2,'I_Budget Input Data'!$D$65*0.4/('I_Inputs &amp; Assumptions'!$B$8/2),'I_Budget Input Data'!$D$65*0.6/('I_Inputs &amp; Assumptions'!$B$8/2)),IF('I_Budget Input Data'!$E$65="Mid-weighted",IF(12&lt;='I_Inputs &amp; Assumptions'!$B$8/4,'I_Budget Input Data'!$D$65*0.2/('I_Inputs &amp; Assumptions'!$B$8/4),IF(12&lt;='I_Inputs &amp; Assumptions'!$B$8*0.75,'I_Budget Input Data'!$D$65*0.6/('I_Inputs &amp; Assumptions'!$B$8/2),'I_Budget Input Data'!$D$65*0.2/('I_Inputs &amp; Assumptions'!$B$8/4))),IF('I_Budget Input Data'!$E$65="At Completion",IF(12='I_Inputs &amp; Assumptions'!$B$8,'I_Budget Input Data'!$D$65,0),'I_Budget Input Data'!$D$65/'I_Inputs &amp; Assumptions'!$B$8)))))),0)</f>
        <v>3851.1384615384618</v>
      </c>
      <c r="O65" s="91">
        <f>IF(13&lt;='I_Inputs &amp; Assumptions'!$B$8,IF('I_Budget Input Data'!$E$65="Upfront",IF(13=1,'I_Budget Input Data'!$D$65,0),IF('I_Budget Input Data'!$E$65="Equal",'I_Budget Input Data'!$D$65/'I_Inputs &amp; Assumptions'!$B$8,IF('I_Budget Input Data'!$E$65="Front-loaded",IF(13&lt;='I_Inputs &amp; Assumptions'!$B$8/2,'I_Budget Input Data'!$D$65*0.6/('I_Inputs &amp; Assumptions'!$B$8/2),'I_Budget Input Data'!$D$65*0.4/('I_Inputs &amp; Assumptions'!$B$8/2)),IF('I_Budget Input Data'!$E$65="Back-loaded",IF(13&lt;='I_Inputs &amp; Assumptions'!$B$8/2,'I_Budget Input Data'!$D$65*0.4/('I_Inputs &amp; Assumptions'!$B$8/2),'I_Budget Input Data'!$D$65*0.6/('I_Inputs &amp; Assumptions'!$B$8/2)),IF('I_Budget Input Data'!$E$65="Mid-weighted",IF(13&lt;='I_Inputs &amp; Assumptions'!$B$8/4,'I_Budget Input Data'!$D$65*0.2/('I_Inputs &amp; Assumptions'!$B$8/4),IF(13&lt;='I_Inputs &amp; Assumptions'!$B$8*0.75,'I_Budget Input Data'!$D$65*0.6/('I_Inputs &amp; Assumptions'!$B$8/2),'I_Budget Input Data'!$D$65*0.2/('I_Inputs &amp; Assumptions'!$B$8/4))),IF('I_Budget Input Data'!$E$65="At Completion",IF(13='I_Inputs &amp; Assumptions'!$B$8,'I_Budget Input Data'!$D$65,0),'I_Budget Input Data'!$D$65/'I_Inputs &amp; Assumptions'!$B$8)))))),0)</f>
        <v>3851.1384615384618</v>
      </c>
      <c r="P65" s="91">
        <f>IF(14&lt;='I_Inputs &amp; Assumptions'!$B$8,IF('I_Budget Input Data'!$E$65="Upfront",IF(14=1,'I_Budget Input Data'!$D$65,0),IF('I_Budget Input Data'!$E$65="Equal",'I_Budget Input Data'!$D$65/'I_Inputs &amp; Assumptions'!$B$8,IF('I_Budget Input Data'!$E$65="Front-loaded",IF(14&lt;='I_Inputs &amp; Assumptions'!$B$8/2,'I_Budget Input Data'!$D$65*0.6/('I_Inputs &amp; Assumptions'!$B$8/2),'I_Budget Input Data'!$D$65*0.4/('I_Inputs &amp; Assumptions'!$B$8/2)),IF('I_Budget Input Data'!$E$65="Back-loaded",IF(14&lt;='I_Inputs &amp; Assumptions'!$B$8/2,'I_Budget Input Data'!$D$65*0.4/('I_Inputs &amp; Assumptions'!$B$8/2),'I_Budget Input Data'!$D$65*0.6/('I_Inputs &amp; Assumptions'!$B$8/2)),IF('I_Budget Input Data'!$E$65="Mid-weighted",IF(14&lt;='I_Inputs &amp; Assumptions'!$B$8/4,'I_Budget Input Data'!$D$65*0.2/('I_Inputs &amp; Assumptions'!$B$8/4),IF(14&lt;='I_Inputs &amp; Assumptions'!$B$8*0.75,'I_Budget Input Data'!$D$65*0.6/('I_Inputs &amp; Assumptions'!$B$8/2),'I_Budget Input Data'!$D$65*0.2/('I_Inputs &amp; Assumptions'!$B$8/4))),IF('I_Budget Input Data'!$E$65="At Completion",IF(14='I_Inputs &amp; Assumptions'!$B$8,'I_Budget Input Data'!$D$65,0),'I_Budget Input Data'!$D$65/'I_Inputs &amp; Assumptions'!$B$8)))))),0)</f>
        <v>0</v>
      </c>
      <c r="Q65" s="91">
        <f>IF(15&lt;='I_Inputs &amp; Assumptions'!$B$8,IF('I_Budget Input Data'!$E$65="Upfront",IF(15=1,'I_Budget Input Data'!$D$65,0),IF('I_Budget Input Data'!$E$65="Equal",'I_Budget Input Data'!$D$65/'I_Inputs &amp; Assumptions'!$B$8,IF('I_Budget Input Data'!$E$65="Front-loaded",IF(15&lt;='I_Inputs &amp; Assumptions'!$B$8/2,'I_Budget Input Data'!$D$65*0.6/('I_Inputs &amp; Assumptions'!$B$8/2),'I_Budget Input Data'!$D$65*0.4/('I_Inputs &amp; Assumptions'!$B$8/2)),IF('I_Budget Input Data'!$E$65="Back-loaded",IF(15&lt;='I_Inputs &amp; Assumptions'!$B$8/2,'I_Budget Input Data'!$D$65*0.4/('I_Inputs &amp; Assumptions'!$B$8/2),'I_Budget Input Data'!$D$65*0.6/('I_Inputs &amp; Assumptions'!$B$8/2)),IF('I_Budget Input Data'!$E$65="Mid-weighted",IF(15&lt;='I_Inputs &amp; Assumptions'!$B$8/4,'I_Budget Input Data'!$D$65*0.2/('I_Inputs &amp; Assumptions'!$B$8/4),IF(15&lt;='I_Inputs &amp; Assumptions'!$B$8*0.75,'I_Budget Input Data'!$D$65*0.6/('I_Inputs &amp; Assumptions'!$B$8/2),'I_Budget Input Data'!$D$65*0.2/('I_Inputs &amp; Assumptions'!$B$8/4))),IF('I_Budget Input Data'!$E$65="At Completion",IF(15='I_Inputs &amp; Assumptions'!$B$8,'I_Budget Input Data'!$D$65,0),'I_Budget Input Data'!$D$65/'I_Inputs &amp; Assumptions'!$B$8)))))),0)</f>
        <v>0</v>
      </c>
      <c r="R65" s="91">
        <f>IF(16&lt;='I_Inputs &amp; Assumptions'!$B$8,IF('I_Budget Input Data'!$E$65="Upfront",IF(16=1,'I_Budget Input Data'!$D$65,0),IF('I_Budget Input Data'!$E$65="Equal",'I_Budget Input Data'!$D$65/'I_Inputs &amp; Assumptions'!$B$8,IF('I_Budget Input Data'!$E$65="Front-loaded",IF(16&lt;='I_Inputs &amp; Assumptions'!$B$8/2,'I_Budget Input Data'!$D$65*0.6/('I_Inputs &amp; Assumptions'!$B$8/2),'I_Budget Input Data'!$D$65*0.4/('I_Inputs &amp; Assumptions'!$B$8/2)),IF('I_Budget Input Data'!$E$65="Back-loaded",IF(16&lt;='I_Inputs &amp; Assumptions'!$B$8/2,'I_Budget Input Data'!$D$65*0.4/('I_Inputs &amp; Assumptions'!$B$8/2),'I_Budget Input Data'!$D$65*0.6/('I_Inputs &amp; Assumptions'!$B$8/2)),IF('I_Budget Input Data'!$E$65="Mid-weighted",IF(16&lt;='I_Inputs &amp; Assumptions'!$B$8/4,'I_Budget Input Data'!$D$65*0.2/('I_Inputs &amp; Assumptions'!$B$8/4),IF(16&lt;='I_Inputs &amp; Assumptions'!$B$8*0.75,'I_Budget Input Data'!$D$65*0.6/('I_Inputs &amp; Assumptions'!$B$8/2),'I_Budget Input Data'!$D$65*0.2/('I_Inputs &amp; Assumptions'!$B$8/4))),IF('I_Budget Input Data'!$E$65="At Completion",IF(16='I_Inputs &amp; Assumptions'!$B$8,'I_Budget Input Data'!$D$65,0),'I_Budget Input Data'!$D$65/'I_Inputs &amp; Assumptions'!$B$8)))))),0)</f>
        <v>0</v>
      </c>
      <c r="S65" s="91">
        <f>IF(17&lt;='I_Inputs &amp; Assumptions'!$B$8,IF('I_Budget Input Data'!$E$65="Upfront",IF(17=1,'I_Budget Input Data'!$D$65,0),IF('I_Budget Input Data'!$E$65="Equal",'I_Budget Input Data'!$D$65/'I_Inputs &amp; Assumptions'!$B$8,IF('I_Budget Input Data'!$E$65="Front-loaded",IF(17&lt;='I_Inputs &amp; Assumptions'!$B$8/2,'I_Budget Input Data'!$D$65*0.6/('I_Inputs &amp; Assumptions'!$B$8/2),'I_Budget Input Data'!$D$65*0.4/('I_Inputs &amp; Assumptions'!$B$8/2)),IF('I_Budget Input Data'!$E$65="Back-loaded",IF(17&lt;='I_Inputs &amp; Assumptions'!$B$8/2,'I_Budget Input Data'!$D$65*0.4/('I_Inputs &amp; Assumptions'!$B$8/2),'I_Budget Input Data'!$D$65*0.6/('I_Inputs &amp; Assumptions'!$B$8/2)),IF('I_Budget Input Data'!$E$65="Mid-weighted",IF(17&lt;='I_Inputs &amp; Assumptions'!$B$8/4,'I_Budget Input Data'!$D$65*0.2/('I_Inputs &amp; Assumptions'!$B$8/4),IF(17&lt;='I_Inputs &amp; Assumptions'!$B$8*0.75,'I_Budget Input Data'!$D$65*0.6/('I_Inputs &amp; Assumptions'!$B$8/2),'I_Budget Input Data'!$D$65*0.2/('I_Inputs &amp; Assumptions'!$B$8/4))),IF('I_Budget Input Data'!$E$65="At Completion",IF(17='I_Inputs &amp; Assumptions'!$B$8,'I_Budget Input Data'!$D$65,0),'I_Budget Input Data'!$D$65/'I_Inputs &amp; Assumptions'!$B$8)))))),0)</f>
        <v>0</v>
      </c>
      <c r="T65" s="91">
        <f>IF(18&lt;='I_Inputs &amp; Assumptions'!$B$8,IF('I_Budget Input Data'!$E$65="Upfront",IF(18=1,'I_Budget Input Data'!$D$65,0),IF('I_Budget Input Data'!$E$65="Equal",'I_Budget Input Data'!$D$65/'I_Inputs &amp; Assumptions'!$B$8,IF('I_Budget Input Data'!$E$65="Front-loaded",IF(18&lt;='I_Inputs &amp; Assumptions'!$B$8/2,'I_Budget Input Data'!$D$65*0.6/('I_Inputs &amp; Assumptions'!$B$8/2),'I_Budget Input Data'!$D$65*0.4/('I_Inputs &amp; Assumptions'!$B$8/2)),IF('I_Budget Input Data'!$E$65="Back-loaded",IF(18&lt;='I_Inputs &amp; Assumptions'!$B$8/2,'I_Budget Input Data'!$D$65*0.4/('I_Inputs &amp; Assumptions'!$B$8/2),'I_Budget Input Data'!$D$65*0.6/('I_Inputs &amp; Assumptions'!$B$8/2)),IF('I_Budget Input Data'!$E$65="Mid-weighted",IF(18&lt;='I_Inputs &amp; Assumptions'!$B$8/4,'I_Budget Input Data'!$D$65*0.2/('I_Inputs &amp; Assumptions'!$B$8/4),IF(18&lt;='I_Inputs &amp; Assumptions'!$B$8*0.75,'I_Budget Input Data'!$D$65*0.6/('I_Inputs &amp; Assumptions'!$B$8/2),'I_Budget Input Data'!$D$65*0.2/('I_Inputs &amp; Assumptions'!$B$8/4))),IF('I_Budget Input Data'!$E$65="At Completion",IF(18='I_Inputs &amp; Assumptions'!$B$8,'I_Budget Input Data'!$D$65,0),'I_Budget Input Data'!$D$65/'I_Inputs &amp; Assumptions'!$B$8)))))),0)</f>
        <v>0</v>
      </c>
      <c r="U65" s="91">
        <f>IF(19&lt;='I_Inputs &amp; Assumptions'!$B$8,IF('I_Budget Input Data'!$E$65="Upfront",IF(19=1,'I_Budget Input Data'!$D$65,0),IF('I_Budget Input Data'!$E$65="Equal",'I_Budget Input Data'!$D$65/'I_Inputs &amp; Assumptions'!$B$8,IF('I_Budget Input Data'!$E$65="Front-loaded",IF(19&lt;='I_Inputs &amp; Assumptions'!$B$8/2,'I_Budget Input Data'!$D$65*0.6/('I_Inputs &amp; Assumptions'!$B$8/2),'I_Budget Input Data'!$D$65*0.4/('I_Inputs &amp; Assumptions'!$B$8/2)),IF('I_Budget Input Data'!$E$65="Back-loaded",IF(19&lt;='I_Inputs &amp; Assumptions'!$B$8/2,'I_Budget Input Data'!$D$65*0.4/('I_Inputs &amp; Assumptions'!$B$8/2),'I_Budget Input Data'!$D$65*0.6/('I_Inputs &amp; Assumptions'!$B$8/2)),IF('I_Budget Input Data'!$E$65="Mid-weighted",IF(19&lt;='I_Inputs &amp; Assumptions'!$B$8/4,'I_Budget Input Data'!$D$65*0.2/('I_Inputs &amp; Assumptions'!$B$8/4),IF(19&lt;='I_Inputs &amp; Assumptions'!$B$8*0.75,'I_Budget Input Data'!$D$65*0.6/('I_Inputs &amp; Assumptions'!$B$8/2),'I_Budget Input Data'!$D$65*0.2/('I_Inputs &amp; Assumptions'!$B$8/4))),IF('I_Budget Input Data'!$E$65="At Completion",IF(19='I_Inputs &amp; Assumptions'!$B$8,'I_Budget Input Data'!$D$65,0),'I_Budget Input Data'!$D$65/'I_Inputs &amp; Assumptions'!$B$8)))))),0)</f>
        <v>0</v>
      </c>
      <c r="V65" s="91">
        <f>IF(20&lt;='I_Inputs &amp; Assumptions'!$B$8,IF('I_Budget Input Data'!$E$65="Upfront",IF(20=1,'I_Budget Input Data'!$D$65,0),IF('I_Budget Input Data'!$E$65="Equal",'I_Budget Input Data'!$D$65/'I_Inputs &amp; Assumptions'!$B$8,IF('I_Budget Input Data'!$E$65="Front-loaded",IF(20&lt;='I_Inputs &amp; Assumptions'!$B$8/2,'I_Budget Input Data'!$D$65*0.6/('I_Inputs &amp; Assumptions'!$B$8/2),'I_Budget Input Data'!$D$65*0.4/('I_Inputs &amp; Assumptions'!$B$8/2)),IF('I_Budget Input Data'!$E$65="Back-loaded",IF(20&lt;='I_Inputs &amp; Assumptions'!$B$8/2,'I_Budget Input Data'!$D$65*0.4/('I_Inputs &amp; Assumptions'!$B$8/2),'I_Budget Input Data'!$D$65*0.6/('I_Inputs &amp; Assumptions'!$B$8/2)),IF('I_Budget Input Data'!$E$65="Mid-weighted",IF(20&lt;='I_Inputs &amp; Assumptions'!$B$8/4,'I_Budget Input Data'!$D$65*0.2/('I_Inputs &amp; Assumptions'!$B$8/4),IF(20&lt;='I_Inputs &amp; Assumptions'!$B$8*0.75,'I_Budget Input Data'!$D$65*0.6/('I_Inputs &amp; Assumptions'!$B$8/2),'I_Budget Input Data'!$D$65*0.2/('I_Inputs &amp; Assumptions'!$B$8/4))),IF('I_Budget Input Data'!$E$65="At Completion",IF(20='I_Inputs &amp; Assumptions'!$B$8,'I_Budget Input Data'!$D$65,0),'I_Budget Input Data'!$D$65/'I_Inputs &amp; Assumptions'!$B$8)))))),0)</f>
        <v>0</v>
      </c>
      <c r="W65" s="91">
        <f>IF(21&lt;='I_Inputs &amp; Assumptions'!$B$8,IF('I_Budget Input Data'!$E$65="Upfront",IF(21=1,'I_Budget Input Data'!$D$65,0),IF('I_Budget Input Data'!$E$65="Equal",'I_Budget Input Data'!$D$65/'I_Inputs &amp; Assumptions'!$B$8,IF('I_Budget Input Data'!$E$65="Front-loaded",IF(21&lt;='I_Inputs &amp; Assumptions'!$B$8/2,'I_Budget Input Data'!$D$65*0.6/('I_Inputs &amp; Assumptions'!$B$8/2),'I_Budget Input Data'!$D$65*0.4/('I_Inputs &amp; Assumptions'!$B$8/2)),IF('I_Budget Input Data'!$E$65="Back-loaded",IF(21&lt;='I_Inputs &amp; Assumptions'!$B$8/2,'I_Budget Input Data'!$D$65*0.4/('I_Inputs &amp; Assumptions'!$B$8/2),'I_Budget Input Data'!$D$65*0.6/('I_Inputs &amp; Assumptions'!$B$8/2)),IF('I_Budget Input Data'!$E$65="Mid-weighted",IF(21&lt;='I_Inputs &amp; Assumptions'!$B$8/4,'I_Budget Input Data'!$D$65*0.2/('I_Inputs &amp; Assumptions'!$B$8/4),IF(21&lt;='I_Inputs &amp; Assumptions'!$B$8*0.75,'I_Budget Input Data'!$D$65*0.6/('I_Inputs &amp; Assumptions'!$B$8/2),'I_Budget Input Data'!$D$65*0.2/('I_Inputs &amp; Assumptions'!$B$8/4))),IF('I_Budget Input Data'!$E$65="At Completion",IF(21='I_Inputs &amp; Assumptions'!$B$8,'I_Budget Input Data'!$D$65,0),'I_Budget Input Data'!$D$65/'I_Inputs &amp; Assumptions'!$B$8)))))),0)</f>
        <v>0</v>
      </c>
      <c r="X65" s="91">
        <f>IF(22&lt;='I_Inputs &amp; Assumptions'!$B$8,IF('I_Budget Input Data'!$E$65="Upfront",IF(22=1,'I_Budget Input Data'!$D$65,0),IF('I_Budget Input Data'!$E$65="Equal",'I_Budget Input Data'!$D$65/'I_Inputs &amp; Assumptions'!$B$8,IF('I_Budget Input Data'!$E$65="Front-loaded",IF(22&lt;='I_Inputs &amp; Assumptions'!$B$8/2,'I_Budget Input Data'!$D$65*0.6/('I_Inputs &amp; Assumptions'!$B$8/2),'I_Budget Input Data'!$D$65*0.4/('I_Inputs &amp; Assumptions'!$B$8/2)),IF('I_Budget Input Data'!$E$65="Back-loaded",IF(22&lt;='I_Inputs &amp; Assumptions'!$B$8/2,'I_Budget Input Data'!$D$65*0.4/('I_Inputs &amp; Assumptions'!$B$8/2),'I_Budget Input Data'!$D$65*0.6/('I_Inputs &amp; Assumptions'!$B$8/2)),IF('I_Budget Input Data'!$E$65="Mid-weighted",IF(22&lt;='I_Inputs &amp; Assumptions'!$B$8/4,'I_Budget Input Data'!$D$65*0.2/('I_Inputs &amp; Assumptions'!$B$8/4),IF(22&lt;='I_Inputs &amp; Assumptions'!$B$8*0.75,'I_Budget Input Data'!$D$65*0.6/('I_Inputs &amp; Assumptions'!$B$8/2),'I_Budget Input Data'!$D$65*0.2/('I_Inputs &amp; Assumptions'!$B$8/4))),IF('I_Budget Input Data'!$E$65="At Completion",IF(22='I_Inputs &amp; Assumptions'!$B$8,'I_Budget Input Data'!$D$65,0),'I_Budget Input Data'!$D$65/'I_Inputs &amp; Assumptions'!$B$8)))))),0)</f>
        <v>0</v>
      </c>
      <c r="Y65" s="91">
        <f>IF(23&lt;='I_Inputs &amp; Assumptions'!$B$8,IF('I_Budget Input Data'!$E$65="Upfront",IF(23=1,'I_Budget Input Data'!$D$65,0),IF('I_Budget Input Data'!$E$65="Equal",'I_Budget Input Data'!$D$65/'I_Inputs &amp; Assumptions'!$B$8,IF('I_Budget Input Data'!$E$65="Front-loaded",IF(23&lt;='I_Inputs &amp; Assumptions'!$B$8/2,'I_Budget Input Data'!$D$65*0.6/('I_Inputs &amp; Assumptions'!$B$8/2),'I_Budget Input Data'!$D$65*0.4/('I_Inputs &amp; Assumptions'!$B$8/2)),IF('I_Budget Input Data'!$E$65="Back-loaded",IF(23&lt;='I_Inputs &amp; Assumptions'!$B$8/2,'I_Budget Input Data'!$D$65*0.4/('I_Inputs &amp; Assumptions'!$B$8/2),'I_Budget Input Data'!$D$65*0.6/('I_Inputs &amp; Assumptions'!$B$8/2)),IF('I_Budget Input Data'!$E$65="Mid-weighted",IF(23&lt;='I_Inputs &amp; Assumptions'!$B$8/4,'I_Budget Input Data'!$D$65*0.2/('I_Inputs &amp; Assumptions'!$B$8/4),IF(23&lt;='I_Inputs &amp; Assumptions'!$B$8*0.75,'I_Budget Input Data'!$D$65*0.6/('I_Inputs &amp; Assumptions'!$B$8/2),'I_Budget Input Data'!$D$65*0.2/('I_Inputs &amp; Assumptions'!$B$8/4))),IF('I_Budget Input Data'!$E$65="At Completion",IF(23='I_Inputs &amp; Assumptions'!$B$8,'I_Budget Input Data'!$D$65,0),'I_Budget Input Data'!$D$65/'I_Inputs &amp; Assumptions'!$B$8)))))),0)</f>
        <v>0</v>
      </c>
      <c r="Z65" s="91">
        <f>IF(24&lt;='I_Inputs &amp; Assumptions'!$B$8,IF('I_Budget Input Data'!$E$65="Upfront",IF(24=1,'I_Budget Input Data'!$D$65,0),IF('I_Budget Input Data'!$E$65="Equal",'I_Budget Input Data'!$D$65/'I_Inputs &amp; Assumptions'!$B$8,IF('I_Budget Input Data'!$E$65="Front-loaded",IF(24&lt;='I_Inputs &amp; Assumptions'!$B$8/2,'I_Budget Input Data'!$D$65*0.6/('I_Inputs &amp; Assumptions'!$B$8/2),'I_Budget Input Data'!$D$65*0.4/('I_Inputs &amp; Assumptions'!$B$8/2)),IF('I_Budget Input Data'!$E$65="Back-loaded",IF(24&lt;='I_Inputs &amp; Assumptions'!$B$8/2,'I_Budget Input Data'!$D$65*0.4/('I_Inputs &amp; Assumptions'!$B$8/2),'I_Budget Input Data'!$D$65*0.6/('I_Inputs &amp; Assumptions'!$B$8/2)),IF('I_Budget Input Data'!$E$65="Mid-weighted",IF(24&lt;='I_Inputs &amp; Assumptions'!$B$8/4,'I_Budget Input Data'!$D$65*0.2/('I_Inputs &amp; Assumptions'!$B$8/4),IF(24&lt;='I_Inputs &amp; Assumptions'!$B$8*0.75,'I_Budget Input Data'!$D$65*0.6/('I_Inputs &amp; Assumptions'!$B$8/2),'I_Budget Input Data'!$D$65*0.2/('I_Inputs &amp; Assumptions'!$B$8/4))),IF('I_Budget Input Data'!$E$65="At Completion",IF(24='I_Inputs &amp; Assumptions'!$B$8,'I_Budget Input Data'!$D$65,0),'I_Budget Input Data'!$D$65/'I_Inputs &amp; Assumptions'!$B$8)))))),0)</f>
        <v>0</v>
      </c>
      <c r="AA65" s="91">
        <f>IF(25&lt;='I_Inputs &amp; Assumptions'!$B$8,IF('I_Budget Input Data'!$E$65="Upfront",IF(25=1,'I_Budget Input Data'!$D$65,0),IF('I_Budget Input Data'!$E$65="Equal",'I_Budget Input Data'!$D$65/'I_Inputs &amp; Assumptions'!$B$8,IF('I_Budget Input Data'!$E$65="Front-loaded",IF(25&lt;='I_Inputs &amp; Assumptions'!$B$8/2,'I_Budget Input Data'!$D$65*0.6/('I_Inputs &amp; Assumptions'!$B$8/2),'I_Budget Input Data'!$D$65*0.4/('I_Inputs &amp; Assumptions'!$B$8/2)),IF('I_Budget Input Data'!$E$65="Back-loaded",IF(25&lt;='I_Inputs &amp; Assumptions'!$B$8/2,'I_Budget Input Data'!$D$65*0.4/('I_Inputs &amp; Assumptions'!$B$8/2),'I_Budget Input Data'!$D$65*0.6/('I_Inputs &amp; Assumptions'!$B$8/2)),IF('I_Budget Input Data'!$E$65="Mid-weighted",IF(25&lt;='I_Inputs &amp; Assumptions'!$B$8/4,'I_Budget Input Data'!$D$65*0.2/('I_Inputs &amp; Assumptions'!$B$8/4),IF(25&lt;='I_Inputs &amp; Assumptions'!$B$8*0.75,'I_Budget Input Data'!$D$65*0.6/('I_Inputs &amp; Assumptions'!$B$8/2),'I_Budget Input Data'!$D$65*0.2/('I_Inputs &amp; Assumptions'!$B$8/4))),IF('I_Budget Input Data'!$E$65="At Completion",IF(25='I_Inputs &amp; Assumptions'!$B$8,'I_Budget Input Data'!$D$65,0),'I_Budget Input Data'!$D$65/'I_Inputs &amp; Assumptions'!$B$8)))))),0)</f>
        <v>0</v>
      </c>
      <c r="AB65" s="91">
        <f>IF(26&lt;='I_Inputs &amp; Assumptions'!$B$8,IF('I_Budget Input Data'!$E$65="Upfront",IF(26=1,'I_Budget Input Data'!$D$65,0),IF('I_Budget Input Data'!$E$65="Equal",'I_Budget Input Data'!$D$65/'I_Inputs &amp; Assumptions'!$B$8,IF('I_Budget Input Data'!$E$65="Front-loaded",IF(26&lt;='I_Inputs &amp; Assumptions'!$B$8/2,'I_Budget Input Data'!$D$65*0.6/('I_Inputs &amp; Assumptions'!$B$8/2),'I_Budget Input Data'!$D$65*0.4/('I_Inputs &amp; Assumptions'!$B$8/2)),IF('I_Budget Input Data'!$E$65="Back-loaded",IF(26&lt;='I_Inputs &amp; Assumptions'!$B$8/2,'I_Budget Input Data'!$D$65*0.4/('I_Inputs &amp; Assumptions'!$B$8/2),'I_Budget Input Data'!$D$65*0.6/('I_Inputs &amp; Assumptions'!$B$8/2)),IF('I_Budget Input Data'!$E$65="Mid-weighted",IF(26&lt;='I_Inputs &amp; Assumptions'!$B$8/4,'I_Budget Input Data'!$D$65*0.2/('I_Inputs &amp; Assumptions'!$B$8/4),IF(26&lt;='I_Inputs &amp; Assumptions'!$B$8*0.75,'I_Budget Input Data'!$D$65*0.6/('I_Inputs &amp; Assumptions'!$B$8/2),'I_Budget Input Data'!$D$65*0.2/('I_Inputs &amp; Assumptions'!$B$8/4))),IF('I_Budget Input Data'!$E$65="At Completion",IF(26='I_Inputs &amp; Assumptions'!$B$8,'I_Budget Input Data'!$D$65,0),'I_Budget Input Data'!$D$65/'I_Inputs &amp; Assumptions'!$B$8)))))),0)</f>
        <v>0</v>
      </c>
      <c r="AC65" s="91">
        <f>IF(27&lt;='I_Inputs &amp; Assumptions'!$B$8,IF('I_Budget Input Data'!$E$65="Upfront",IF(27=1,'I_Budget Input Data'!$D$65,0),IF('I_Budget Input Data'!$E$65="Equal",'I_Budget Input Data'!$D$65/'I_Inputs &amp; Assumptions'!$B$8,IF('I_Budget Input Data'!$E$65="Front-loaded",IF(27&lt;='I_Inputs &amp; Assumptions'!$B$8/2,'I_Budget Input Data'!$D$65*0.6/('I_Inputs &amp; Assumptions'!$B$8/2),'I_Budget Input Data'!$D$65*0.4/('I_Inputs &amp; Assumptions'!$B$8/2)),IF('I_Budget Input Data'!$E$65="Back-loaded",IF(27&lt;='I_Inputs &amp; Assumptions'!$B$8/2,'I_Budget Input Data'!$D$65*0.4/('I_Inputs &amp; Assumptions'!$B$8/2),'I_Budget Input Data'!$D$65*0.6/('I_Inputs &amp; Assumptions'!$B$8/2)),IF('I_Budget Input Data'!$E$65="Mid-weighted",IF(27&lt;='I_Inputs &amp; Assumptions'!$B$8/4,'I_Budget Input Data'!$D$65*0.2/('I_Inputs &amp; Assumptions'!$B$8/4),IF(27&lt;='I_Inputs &amp; Assumptions'!$B$8*0.75,'I_Budget Input Data'!$D$65*0.6/('I_Inputs &amp; Assumptions'!$B$8/2),'I_Budget Input Data'!$D$65*0.2/('I_Inputs &amp; Assumptions'!$B$8/4))),IF('I_Budget Input Data'!$E$65="At Completion",IF(27='I_Inputs &amp; Assumptions'!$B$8,'I_Budget Input Data'!$D$65,0),'I_Budget Input Data'!$D$65/'I_Inputs &amp; Assumptions'!$B$8)))))),0)</f>
        <v>0</v>
      </c>
      <c r="AD65" s="91">
        <f>IF(28&lt;='I_Inputs &amp; Assumptions'!$B$8,IF('I_Budget Input Data'!$E$65="Upfront",IF(28=1,'I_Budget Input Data'!$D$65,0),IF('I_Budget Input Data'!$E$65="Equal",'I_Budget Input Data'!$D$65/'I_Inputs &amp; Assumptions'!$B$8,IF('I_Budget Input Data'!$E$65="Front-loaded",IF(28&lt;='I_Inputs &amp; Assumptions'!$B$8/2,'I_Budget Input Data'!$D$65*0.6/('I_Inputs &amp; Assumptions'!$B$8/2),'I_Budget Input Data'!$D$65*0.4/('I_Inputs &amp; Assumptions'!$B$8/2)),IF('I_Budget Input Data'!$E$65="Back-loaded",IF(28&lt;='I_Inputs &amp; Assumptions'!$B$8/2,'I_Budget Input Data'!$D$65*0.4/('I_Inputs &amp; Assumptions'!$B$8/2),'I_Budget Input Data'!$D$65*0.6/('I_Inputs &amp; Assumptions'!$B$8/2)),IF('I_Budget Input Data'!$E$65="Mid-weighted",IF(28&lt;='I_Inputs &amp; Assumptions'!$B$8/4,'I_Budget Input Data'!$D$65*0.2/('I_Inputs &amp; Assumptions'!$B$8/4),IF(28&lt;='I_Inputs &amp; Assumptions'!$B$8*0.75,'I_Budget Input Data'!$D$65*0.6/('I_Inputs &amp; Assumptions'!$B$8/2),'I_Budget Input Data'!$D$65*0.2/('I_Inputs &amp; Assumptions'!$B$8/4))),IF('I_Budget Input Data'!$E$65="At Completion",IF(28='I_Inputs &amp; Assumptions'!$B$8,'I_Budget Input Data'!$D$65,0),'I_Budget Input Data'!$D$65/'I_Inputs &amp; Assumptions'!$B$8)))))),0)</f>
        <v>0</v>
      </c>
      <c r="AE65" s="91">
        <f>IF(29&lt;='I_Inputs &amp; Assumptions'!$B$8,IF('I_Budget Input Data'!$E$65="Upfront",IF(29=1,'I_Budget Input Data'!$D$65,0),IF('I_Budget Input Data'!$E$65="Equal",'I_Budget Input Data'!$D$65/'I_Inputs &amp; Assumptions'!$B$8,IF('I_Budget Input Data'!$E$65="Front-loaded",IF(29&lt;='I_Inputs &amp; Assumptions'!$B$8/2,'I_Budget Input Data'!$D$65*0.6/('I_Inputs &amp; Assumptions'!$B$8/2),'I_Budget Input Data'!$D$65*0.4/('I_Inputs &amp; Assumptions'!$B$8/2)),IF('I_Budget Input Data'!$E$65="Back-loaded",IF(29&lt;='I_Inputs &amp; Assumptions'!$B$8/2,'I_Budget Input Data'!$D$65*0.4/('I_Inputs &amp; Assumptions'!$B$8/2),'I_Budget Input Data'!$D$65*0.6/('I_Inputs &amp; Assumptions'!$B$8/2)),IF('I_Budget Input Data'!$E$65="Mid-weighted",IF(29&lt;='I_Inputs &amp; Assumptions'!$B$8/4,'I_Budget Input Data'!$D$65*0.2/('I_Inputs &amp; Assumptions'!$B$8/4),IF(29&lt;='I_Inputs &amp; Assumptions'!$B$8*0.75,'I_Budget Input Data'!$D$65*0.6/('I_Inputs &amp; Assumptions'!$B$8/2),'I_Budget Input Data'!$D$65*0.2/('I_Inputs &amp; Assumptions'!$B$8/4))),IF('I_Budget Input Data'!$E$65="At Completion",IF(29='I_Inputs &amp; Assumptions'!$B$8,'I_Budget Input Data'!$D$65,0),'I_Budget Input Data'!$D$65/'I_Inputs &amp; Assumptions'!$B$8)))))),0)</f>
        <v>0</v>
      </c>
      <c r="AF65" s="91">
        <f>IF(30&lt;='I_Inputs &amp; Assumptions'!$B$8,IF('I_Budget Input Data'!$E$65="Upfront",IF(30=1,'I_Budget Input Data'!$D$65,0),IF('I_Budget Input Data'!$E$65="Equal",'I_Budget Input Data'!$D$65/'I_Inputs &amp; Assumptions'!$B$8,IF('I_Budget Input Data'!$E$65="Front-loaded",IF(30&lt;='I_Inputs &amp; Assumptions'!$B$8/2,'I_Budget Input Data'!$D$65*0.6/('I_Inputs &amp; Assumptions'!$B$8/2),'I_Budget Input Data'!$D$65*0.4/('I_Inputs &amp; Assumptions'!$B$8/2)),IF('I_Budget Input Data'!$E$65="Back-loaded",IF(30&lt;='I_Inputs &amp; Assumptions'!$B$8/2,'I_Budget Input Data'!$D$65*0.4/('I_Inputs &amp; Assumptions'!$B$8/2),'I_Budget Input Data'!$D$65*0.6/('I_Inputs &amp; Assumptions'!$B$8/2)),IF('I_Budget Input Data'!$E$65="Mid-weighted",IF(30&lt;='I_Inputs &amp; Assumptions'!$B$8/4,'I_Budget Input Data'!$D$65*0.2/('I_Inputs &amp; Assumptions'!$B$8/4),IF(30&lt;='I_Inputs &amp; Assumptions'!$B$8*0.75,'I_Budget Input Data'!$D$65*0.6/('I_Inputs &amp; Assumptions'!$B$8/2),'I_Budget Input Data'!$D$65*0.2/('I_Inputs &amp; Assumptions'!$B$8/4))),IF('I_Budget Input Data'!$E$65="At Completion",IF(30='I_Inputs &amp; Assumptions'!$B$8,'I_Budget Input Data'!$D$65,0),'I_Budget Input Data'!$D$65/'I_Inputs &amp; Assumptions'!$B$8)))))),0)</f>
        <v>0</v>
      </c>
      <c r="AG65" s="91">
        <f>IF(31&lt;='I_Inputs &amp; Assumptions'!$B$8,IF('I_Budget Input Data'!$E$65="Upfront",IF(31=1,'I_Budget Input Data'!$D$65,0),IF('I_Budget Input Data'!$E$65="Equal",'I_Budget Input Data'!$D$65/'I_Inputs &amp; Assumptions'!$B$8,IF('I_Budget Input Data'!$E$65="Front-loaded",IF(31&lt;='I_Inputs &amp; Assumptions'!$B$8/2,'I_Budget Input Data'!$D$65*0.6/('I_Inputs &amp; Assumptions'!$B$8/2),'I_Budget Input Data'!$D$65*0.4/('I_Inputs &amp; Assumptions'!$B$8/2)),IF('I_Budget Input Data'!$E$65="Back-loaded",IF(31&lt;='I_Inputs &amp; Assumptions'!$B$8/2,'I_Budget Input Data'!$D$65*0.4/('I_Inputs &amp; Assumptions'!$B$8/2),'I_Budget Input Data'!$D$65*0.6/('I_Inputs &amp; Assumptions'!$B$8/2)),IF('I_Budget Input Data'!$E$65="Mid-weighted",IF(31&lt;='I_Inputs &amp; Assumptions'!$B$8/4,'I_Budget Input Data'!$D$65*0.2/('I_Inputs &amp; Assumptions'!$B$8/4),IF(31&lt;='I_Inputs &amp; Assumptions'!$B$8*0.75,'I_Budget Input Data'!$D$65*0.6/('I_Inputs &amp; Assumptions'!$B$8/2),'I_Budget Input Data'!$D$65*0.2/('I_Inputs &amp; Assumptions'!$B$8/4))),IF('I_Budget Input Data'!$E$65="At Completion",IF(31='I_Inputs &amp; Assumptions'!$B$8,'I_Budget Input Data'!$D$65,0),'I_Budget Input Data'!$D$65/'I_Inputs &amp; Assumptions'!$B$8)))))),0)</f>
        <v>0</v>
      </c>
      <c r="AH65" s="91">
        <f>IF(32&lt;='I_Inputs &amp; Assumptions'!$B$8,IF('I_Budget Input Data'!$E$65="Upfront",IF(32=1,'I_Budget Input Data'!$D$65,0),IF('I_Budget Input Data'!$E$65="Equal",'I_Budget Input Data'!$D$65/'I_Inputs &amp; Assumptions'!$B$8,IF('I_Budget Input Data'!$E$65="Front-loaded",IF(32&lt;='I_Inputs &amp; Assumptions'!$B$8/2,'I_Budget Input Data'!$D$65*0.6/('I_Inputs &amp; Assumptions'!$B$8/2),'I_Budget Input Data'!$D$65*0.4/('I_Inputs &amp; Assumptions'!$B$8/2)),IF('I_Budget Input Data'!$E$65="Back-loaded",IF(32&lt;='I_Inputs &amp; Assumptions'!$B$8/2,'I_Budget Input Data'!$D$65*0.4/('I_Inputs &amp; Assumptions'!$B$8/2),'I_Budget Input Data'!$D$65*0.6/('I_Inputs &amp; Assumptions'!$B$8/2)),IF('I_Budget Input Data'!$E$65="Mid-weighted",IF(32&lt;='I_Inputs &amp; Assumptions'!$B$8/4,'I_Budget Input Data'!$D$65*0.2/('I_Inputs &amp; Assumptions'!$B$8/4),IF(32&lt;='I_Inputs &amp; Assumptions'!$B$8*0.75,'I_Budget Input Data'!$D$65*0.6/('I_Inputs &amp; Assumptions'!$B$8/2),'I_Budget Input Data'!$D$65*0.2/('I_Inputs &amp; Assumptions'!$B$8/4))),IF('I_Budget Input Data'!$E$65="At Completion",IF(32='I_Inputs &amp; Assumptions'!$B$8,'I_Budget Input Data'!$D$65,0),'I_Budget Input Data'!$D$65/'I_Inputs &amp; Assumptions'!$B$8)))))),0)</f>
        <v>0</v>
      </c>
      <c r="AI65" s="91">
        <f>IF(33&lt;='I_Inputs &amp; Assumptions'!$B$8,IF('I_Budget Input Data'!$E$65="Upfront",IF(33=1,'I_Budget Input Data'!$D$65,0),IF('I_Budget Input Data'!$E$65="Equal",'I_Budget Input Data'!$D$65/'I_Inputs &amp; Assumptions'!$B$8,IF('I_Budget Input Data'!$E$65="Front-loaded",IF(33&lt;='I_Inputs &amp; Assumptions'!$B$8/2,'I_Budget Input Data'!$D$65*0.6/('I_Inputs &amp; Assumptions'!$B$8/2),'I_Budget Input Data'!$D$65*0.4/('I_Inputs &amp; Assumptions'!$B$8/2)),IF('I_Budget Input Data'!$E$65="Back-loaded",IF(33&lt;='I_Inputs &amp; Assumptions'!$B$8/2,'I_Budget Input Data'!$D$65*0.4/('I_Inputs &amp; Assumptions'!$B$8/2),'I_Budget Input Data'!$D$65*0.6/('I_Inputs &amp; Assumptions'!$B$8/2)),IF('I_Budget Input Data'!$E$65="Mid-weighted",IF(33&lt;='I_Inputs &amp; Assumptions'!$B$8/4,'I_Budget Input Data'!$D$65*0.2/('I_Inputs &amp; Assumptions'!$B$8/4),IF(33&lt;='I_Inputs &amp; Assumptions'!$B$8*0.75,'I_Budget Input Data'!$D$65*0.6/('I_Inputs &amp; Assumptions'!$B$8/2),'I_Budget Input Data'!$D$65*0.2/('I_Inputs &amp; Assumptions'!$B$8/4))),IF('I_Budget Input Data'!$E$65="At Completion",IF(33='I_Inputs &amp; Assumptions'!$B$8,'I_Budget Input Data'!$D$65,0),'I_Budget Input Data'!$D$65/'I_Inputs &amp; Assumptions'!$B$8)))))),0)</f>
        <v>0</v>
      </c>
      <c r="AJ65" s="91">
        <f>IF(34&lt;='I_Inputs &amp; Assumptions'!$B$8,IF('I_Budget Input Data'!$E$65="Upfront",IF(34=1,'I_Budget Input Data'!$D$65,0),IF('I_Budget Input Data'!$E$65="Equal",'I_Budget Input Data'!$D$65/'I_Inputs &amp; Assumptions'!$B$8,IF('I_Budget Input Data'!$E$65="Front-loaded",IF(34&lt;='I_Inputs &amp; Assumptions'!$B$8/2,'I_Budget Input Data'!$D$65*0.6/('I_Inputs &amp; Assumptions'!$B$8/2),'I_Budget Input Data'!$D$65*0.4/('I_Inputs &amp; Assumptions'!$B$8/2)),IF('I_Budget Input Data'!$E$65="Back-loaded",IF(34&lt;='I_Inputs &amp; Assumptions'!$B$8/2,'I_Budget Input Data'!$D$65*0.4/('I_Inputs &amp; Assumptions'!$B$8/2),'I_Budget Input Data'!$D$65*0.6/('I_Inputs &amp; Assumptions'!$B$8/2)),IF('I_Budget Input Data'!$E$65="Mid-weighted",IF(34&lt;='I_Inputs &amp; Assumptions'!$B$8/4,'I_Budget Input Data'!$D$65*0.2/('I_Inputs &amp; Assumptions'!$B$8/4),IF(34&lt;='I_Inputs &amp; Assumptions'!$B$8*0.75,'I_Budget Input Data'!$D$65*0.6/('I_Inputs &amp; Assumptions'!$B$8/2),'I_Budget Input Data'!$D$65*0.2/('I_Inputs &amp; Assumptions'!$B$8/4))),IF('I_Budget Input Data'!$E$65="At Completion",IF(34='I_Inputs &amp; Assumptions'!$B$8,'I_Budget Input Data'!$D$65,0),'I_Budget Input Data'!$D$65/'I_Inputs &amp; Assumptions'!$B$8)))))),0)</f>
        <v>0</v>
      </c>
      <c r="AK65" s="91">
        <f>IF(35&lt;='I_Inputs &amp; Assumptions'!$B$8,IF('I_Budget Input Data'!$E$65="Upfront",IF(35=1,'I_Budget Input Data'!$D$65,0),IF('I_Budget Input Data'!$E$65="Equal",'I_Budget Input Data'!$D$65/'I_Inputs &amp; Assumptions'!$B$8,IF('I_Budget Input Data'!$E$65="Front-loaded",IF(35&lt;='I_Inputs &amp; Assumptions'!$B$8/2,'I_Budget Input Data'!$D$65*0.6/('I_Inputs &amp; Assumptions'!$B$8/2),'I_Budget Input Data'!$D$65*0.4/('I_Inputs &amp; Assumptions'!$B$8/2)),IF('I_Budget Input Data'!$E$65="Back-loaded",IF(35&lt;='I_Inputs &amp; Assumptions'!$B$8/2,'I_Budget Input Data'!$D$65*0.4/('I_Inputs &amp; Assumptions'!$B$8/2),'I_Budget Input Data'!$D$65*0.6/('I_Inputs &amp; Assumptions'!$B$8/2)),IF('I_Budget Input Data'!$E$65="Mid-weighted",IF(35&lt;='I_Inputs &amp; Assumptions'!$B$8/4,'I_Budget Input Data'!$D$65*0.2/('I_Inputs &amp; Assumptions'!$B$8/4),IF(35&lt;='I_Inputs &amp; Assumptions'!$B$8*0.75,'I_Budget Input Data'!$D$65*0.6/('I_Inputs &amp; Assumptions'!$B$8/2),'I_Budget Input Data'!$D$65*0.2/('I_Inputs &amp; Assumptions'!$B$8/4))),IF('I_Budget Input Data'!$E$65="At Completion",IF(35='I_Inputs &amp; Assumptions'!$B$8,'I_Budget Input Data'!$D$65,0),'I_Budget Input Data'!$D$65/'I_Inputs &amp; Assumptions'!$B$8)))))),0)</f>
        <v>0</v>
      </c>
      <c r="AL65" s="91">
        <f>IF(36&lt;='I_Inputs &amp; Assumptions'!$B$8,IF('I_Budget Input Data'!$E$65="Upfront",IF(36=1,'I_Budget Input Data'!$D$65,0),IF('I_Budget Input Data'!$E$65="Equal",'I_Budget Input Data'!$D$65/'I_Inputs &amp; Assumptions'!$B$8,IF('I_Budget Input Data'!$E$65="Front-loaded",IF(36&lt;='I_Inputs &amp; Assumptions'!$B$8/2,'I_Budget Input Data'!$D$65*0.6/('I_Inputs &amp; Assumptions'!$B$8/2),'I_Budget Input Data'!$D$65*0.4/('I_Inputs &amp; Assumptions'!$B$8/2)),IF('I_Budget Input Data'!$E$65="Back-loaded",IF(36&lt;='I_Inputs &amp; Assumptions'!$B$8/2,'I_Budget Input Data'!$D$65*0.4/('I_Inputs &amp; Assumptions'!$B$8/2),'I_Budget Input Data'!$D$65*0.6/('I_Inputs &amp; Assumptions'!$B$8/2)),IF('I_Budget Input Data'!$E$65="Mid-weighted",IF(36&lt;='I_Inputs &amp; Assumptions'!$B$8/4,'I_Budget Input Data'!$D$65*0.2/('I_Inputs &amp; Assumptions'!$B$8/4),IF(36&lt;='I_Inputs &amp; Assumptions'!$B$8*0.75,'I_Budget Input Data'!$D$65*0.6/('I_Inputs &amp; Assumptions'!$B$8/2),'I_Budget Input Data'!$D$65*0.2/('I_Inputs &amp; Assumptions'!$B$8/4))),IF('I_Budget Input Data'!$E$65="At Completion",IF(36='I_Inputs &amp; Assumptions'!$B$8,'I_Budget Input Data'!$D$65,0),'I_Budget Input Data'!$D$65/'I_Inputs &amp; Assumptions'!$B$8)))))),0)</f>
        <v>0</v>
      </c>
    </row>
    <row r="66" spans="1:38" ht="15" customHeight="1" x14ac:dyDescent="0.2">
      <c r="A66" t="s">
        <v>146</v>
      </c>
      <c r="B66" t="s">
        <v>185</v>
      </c>
      <c r="C66" s="91">
        <f>IF(1&lt;='I_Inputs &amp; Assumptions'!$B$8,IF('I_Budget Input Data'!$E$66="Upfront",IF(1=1,'I_Budget Input Data'!$D$66,0),IF('I_Budget Input Data'!$E$66="Equal",'I_Budget Input Data'!$D$66/'I_Inputs &amp; Assumptions'!$B$8,IF('I_Budget Input Data'!$E$66="Front-loaded",IF(1&lt;='I_Inputs &amp; Assumptions'!$B$8/2,'I_Budget Input Data'!$D$66*0.6/('I_Inputs &amp; Assumptions'!$B$8/2),'I_Budget Input Data'!$D$66*0.4/('I_Inputs &amp; Assumptions'!$B$8/2)),IF('I_Budget Input Data'!$E$66="Back-loaded",IF(1&lt;='I_Inputs &amp; Assumptions'!$B$8/2,'I_Budget Input Data'!$D$66*0.4/('I_Inputs &amp; Assumptions'!$B$8/2),'I_Budget Input Data'!$D$66*0.6/('I_Inputs &amp; Assumptions'!$B$8/2)),IF('I_Budget Input Data'!$E$66="Mid-weighted",IF(1&lt;='I_Inputs &amp; Assumptions'!$B$8/4,'I_Budget Input Data'!$D$66*0.2/('I_Inputs &amp; Assumptions'!$B$8/4),IF(1&lt;='I_Inputs &amp; Assumptions'!$B$8*0.75,'I_Budget Input Data'!$D$66*0.6/('I_Inputs &amp; Assumptions'!$B$8/2),'I_Budget Input Data'!$D$66*0.2/('I_Inputs &amp; Assumptions'!$B$8/4))),IF('I_Budget Input Data'!$E$66="At Completion",IF(1='I_Inputs &amp; Assumptions'!$B$8,'I_Budget Input Data'!$D$66,0),'I_Budget Input Data'!$D$66/'I_Inputs &amp; Assumptions'!$B$8)))))),0)</f>
        <v>15106.523076923077</v>
      </c>
      <c r="D66" s="91">
        <f>IF(2&lt;='I_Inputs &amp; Assumptions'!$B$8,IF('I_Budget Input Data'!$E$66="Upfront",IF(2=1,'I_Budget Input Data'!$D$66,0),IF('I_Budget Input Data'!$E$66="Equal",'I_Budget Input Data'!$D$66/'I_Inputs &amp; Assumptions'!$B$8,IF('I_Budget Input Data'!$E$66="Front-loaded",IF(2&lt;='I_Inputs &amp; Assumptions'!$B$8/2,'I_Budget Input Data'!$D$66*0.6/('I_Inputs &amp; Assumptions'!$B$8/2),'I_Budget Input Data'!$D$66*0.4/('I_Inputs &amp; Assumptions'!$B$8/2)),IF('I_Budget Input Data'!$E$66="Back-loaded",IF(2&lt;='I_Inputs &amp; Assumptions'!$B$8/2,'I_Budget Input Data'!$D$66*0.4/('I_Inputs &amp; Assumptions'!$B$8/2),'I_Budget Input Data'!$D$66*0.6/('I_Inputs &amp; Assumptions'!$B$8/2)),IF('I_Budget Input Data'!$E$66="Mid-weighted",IF(2&lt;='I_Inputs &amp; Assumptions'!$B$8/4,'I_Budget Input Data'!$D$66*0.2/('I_Inputs &amp; Assumptions'!$B$8/4),IF(2&lt;='I_Inputs &amp; Assumptions'!$B$8*0.75,'I_Budget Input Data'!$D$66*0.6/('I_Inputs &amp; Assumptions'!$B$8/2),'I_Budget Input Data'!$D$66*0.2/('I_Inputs &amp; Assumptions'!$B$8/4))),IF('I_Budget Input Data'!$E$66="At Completion",IF(2='I_Inputs &amp; Assumptions'!$B$8,'I_Budget Input Data'!$D$66,0),'I_Budget Input Data'!$D$66/'I_Inputs &amp; Assumptions'!$B$8)))))),0)</f>
        <v>15106.523076923077</v>
      </c>
      <c r="E66" s="91">
        <f>IF(3&lt;='I_Inputs &amp; Assumptions'!$B$8,IF('I_Budget Input Data'!$E$66="Upfront",IF(3=1,'I_Budget Input Data'!$D$66,0),IF('I_Budget Input Data'!$E$66="Equal",'I_Budget Input Data'!$D$66/'I_Inputs &amp; Assumptions'!$B$8,IF('I_Budget Input Data'!$E$66="Front-loaded",IF(3&lt;='I_Inputs &amp; Assumptions'!$B$8/2,'I_Budget Input Data'!$D$66*0.6/('I_Inputs &amp; Assumptions'!$B$8/2),'I_Budget Input Data'!$D$66*0.4/('I_Inputs &amp; Assumptions'!$B$8/2)),IF('I_Budget Input Data'!$E$66="Back-loaded",IF(3&lt;='I_Inputs &amp; Assumptions'!$B$8/2,'I_Budget Input Data'!$D$66*0.4/('I_Inputs &amp; Assumptions'!$B$8/2),'I_Budget Input Data'!$D$66*0.6/('I_Inputs &amp; Assumptions'!$B$8/2)),IF('I_Budget Input Data'!$E$66="Mid-weighted",IF(3&lt;='I_Inputs &amp; Assumptions'!$B$8/4,'I_Budget Input Data'!$D$66*0.2/('I_Inputs &amp; Assumptions'!$B$8/4),IF(3&lt;='I_Inputs &amp; Assumptions'!$B$8*0.75,'I_Budget Input Data'!$D$66*0.6/('I_Inputs &amp; Assumptions'!$B$8/2),'I_Budget Input Data'!$D$66*0.2/('I_Inputs &amp; Assumptions'!$B$8/4))),IF('I_Budget Input Data'!$E$66="At Completion",IF(3='I_Inputs &amp; Assumptions'!$B$8,'I_Budget Input Data'!$D$66,0),'I_Budget Input Data'!$D$66/'I_Inputs &amp; Assumptions'!$B$8)))))),0)</f>
        <v>15106.523076923077</v>
      </c>
      <c r="F66" s="91">
        <f>IF(4&lt;='I_Inputs &amp; Assumptions'!$B$8,IF('I_Budget Input Data'!$E$66="Upfront",IF(4=1,'I_Budget Input Data'!$D$66,0),IF('I_Budget Input Data'!$E$66="Equal",'I_Budget Input Data'!$D$66/'I_Inputs &amp; Assumptions'!$B$8,IF('I_Budget Input Data'!$E$66="Front-loaded",IF(4&lt;='I_Inputs &amp; Assumptions'!$B$8/2,'I_Budget Input Data'!$D$66*0.6/('I_Inputs &amp; Assumptions'!$B$8/2),'I_Budget Input Data'!$D$66*0.4/('I_Inputs &amp; Assumptions'!$B$8/2)),IF('I_Budget Input Data'!$E$66="Back-loaded",IF(4&lt;='I_Inputs &amp; Assumptions'!$B$8/2,'I_Budget Input Data'!$D$66*0.4/('I_Inputs &amp; Assumptions'!$B$8/2),'I_Budget Input Data'!$D$66*0.6/('I_Inputs &amp; Assumptions'!$B$8/2)),IF('I_Budget Input Data'!$E$66="Mid-weighted",IF(4&lt;='I_Inputs &amp; Assumptions'!$B$8/4,'I_Budget Input Data'!$D$66*0.2/('I_Inputs &amp; Assumptions'!$B$8/4),IF(4&lt;='I_Inputs &amp; Assumptions'!$B$8*0.75,'I_Budget Input Data'!$D$66*0.6/('I_Inputs &amp; Assumptions'!$B$8/2),'I_Budget Input Data'!$D$66*0.2/('I_Inputs &amp; Assumptions'!$B$8/4))),IF('I_Budget Input Data'!$E$66="At Completion",IF(4='I_Inputs &amp; Assumptions'!$B$8,'I_Budget Input Data'!$D$66,0),'I_Budget Input Data'!$D$66/'I_Inputs &amp; Assumptions'!$B$8)))))),0)</f>
        <v>15106.523076923077</v>
      </c>
      <c r="G66" s="91">
        <f>IF(5&lt;='I_Inputs &amp; Assumptions'!$B$8,IF('I_Budget Input Data'!$E$66="Upfront",IF(5=1,'I_Budget Input Data'!$D$66,0),IF('I_Budget Input Data'!$E$66="Equal",'I_Budget Input Data'!$D$66/'I_Inputs &amp; Assumptions'!$B$8,IF('I_Budget Input Data'!$E$66="Front-loaded",IF(5&lt;='I_Inputs &amp; Assumptions'!$B$8/2,'I_Budget Input Data'!$D$66*0.6/('I_Inputs &amp; Assumptions'!$B$8/2),'I_Budget Input Data'!$D$66*0.4/('I_Inputs &amp; Assumptions'!$B$8/2)),IF('I_Budget Input Data'!$E$66="Back-loaded",IF(5&lt;='I_Inputs &amp; Assumptions'!$B$8/2,'I_Budget Input Data'!$D$66*0.4/('I_Inputs &amp; Assumptions'!$B$8/2),'I_Budget Input Data'!$D$66*0.6/('I_Inputs &amp; Assumptions'!$B$8/2)),IF('I_Budget Input Data'!$E$66="Mid-weighted",IF(5&lt;='I_Inputs &amp; Assumptions'!$B$8/4,'I_Budget Input Data'!$D$66*0.2/('I_Inputs &amp; Assumptions'!$B$8/4),IF(5&lt;='I_Inputs &amp; Assumptions'!$B$8*0.75,'I_Budget Input Data'!$D$66*0.6/('I_Inputs &amp; Assumptions'!$B$8/2),'I_Budget Input Data'!$D$66*0.2/('I_Inputs &amp; Assumptions'!$B$8/4))),IF('I_Budget Input Data'!$E$66="At Completion",IF(5='I_Inputs &amp; Assumptions'!$B$8,'I_Budget Input Data'!$D$66,0),'I_Budget Input Data'!$D$66/'I_Inputs &amp; Assumptions'!$B$8)))))),0)</f>
        <v>15106.523076923077</v>
      </c>
      <c r="H66" s="91">
        <f>IF(6&lt;='I_Inputs &amp; Assumptions'!$B$8,IF('I_Budget Input Data'!$E$66="Upfront",IF(6=1,'I_Budget Input Data'!$D$66,0),IF('I_Budget Input Data'!$E$66="Equal",'I_Budget Input Data'!$D$66/'I_Inputs &amp; Assumptions'!$B$8,IF('I_Budget Input Data'!$E$66="Front-loaded",IF(6&lt;='I_Inputs &amp; Assumptions'!$B$8/2,'I_Budget Input Data'!$D$66*0.6/('I_Inputs &amp; Assumptions'!$B$8/2),'I_Budget Input Data'!$D$66*0.4/('I_Inputs &amp; Assumptions'!$B$8/2)),IF('I_Budget Input Data'!$E$66="Back-loaded",IF(6&lt;='I_Inputs &amp; Assumptions'!$B$8/2,'I_Budget Input Data'!$D$66*0.4/('I_Inputs &amp; Assumptions'!$B$8/2),'I_Budget Input Data'!$D$66*0.6/('I_Inputs &amp; Assumptions'!$B$8/2)),IF('I_Budget Input Data'!$E$66="Mid-weighted",IF(6&lt;='I_Inputs &amp; Assumptions'!$B$8/4,'I_Budget Input Data'!$D$66*0.2/('I_Inputs &amp; Assumptions'!$B$8/4),IF(6&lt;='I_Inputs &amp; Assumptions'!$B$8*0.75,'I_Budget Input Data'!$D$66*0.6/('I_Inputs &amp; Assumptions'!$B$8/2),'I_Budget Input Data'!$D$66*0.2/('I_Inputs &amp; Assumptions'!$B$8/4))),IF('I_Budget Input Data'!$E$66="At Completion",IF(6='I_Inputs &amp; Assumptions'!$B$8,'I_Budget Input Data'!$D$66,0),'I_Budget Input Data'!$D$66/'I_Inputs &amp; Assumptions'!$B$8)))))),0)</f>
        <v>15106.523076923077</v>
      </c>
      <c r="I66" s="91">
        <f>IF(7&lt;='I_Inputs &amp; Assumptions'!$B$8,IF('I_Budget Input Data'!$E$66="Upfront",IF(7=1,'I_Budget Input Data'!$D$66,0),IF('I_Budget Input Data'!$E$66="Equal",'I_Budget Input Data'!$D$66/'I_Inputs &amp; Assumptions'!$B$8,IF('I_Budget Input Data'!$E$66="Front-loaded",IF(7&lt;='I_Inputs &amp; Assumptions'!$B$8/2,'I_Budget Input Data'!$D$66*0.6/('I_Inputs &amp; Assumptions'!$B$8/2),'I_Budget Input Data'!$D$66*0.4/('I_Inputs &amp; Assumptions'!$B$8/2)),IF('I_Budget Input Data'!$E$66="Back-loaded",IF(7&lt;='I_Inputs &amp; Assumptions'!$B$8/2,'I_Budget Input Data'!$D$66*0.4/('I_Inputs &amp; Assumptions'!$B$8/2),'I_Budget Input Data'!$D$66*0.6/('I_Inputs &amp; Assumptions'!$B$8/2)),IF('I_Budget Input Data'!$E$66="Mid-weighted",IF(7&lt;='I_Inputs &amp; Assumptions'!$B$8/4,'I_Budget Input Data'!$D$66*0.2/('I_Inputs &amp; Assumptions'!$B$8/4),IF(7&lt;='I_Inputs &amp; Assumptions'!$B$8*0.75,'I_Budget Input Data'!$D$66*0.6/('I_Inputs &amp; Assumptions'!$B$8/2),'I_Budget Input Data'!$D$66*0.2/('I_Inputs &amp; Assumptions'!$B$8/4))),IF('I_Budget Input Data'!$E$66="At Completion",IF(7='I_Inputs &amp; Assumptions'!$B$8,'I_Budget Input Data'!$D$66,0),'I_Budget Input Data'!$D$66/'I_Inputs &amp; Assumptions'!$B$8)))))),0)</f>
        <v>10071.015384615386</v>
      </c>
      <c r="J66" s="91">
        <f>IF(8&lt;='I_Inputs &amp; Assumptions'!$B$8,IF('I_Budget Input Data'!$E$66="Upfront",IF(8=1,'I_Budget Input Data'!$D$66,0),IF('I_Budget Input Data'!$E$66="Equal",'I_Budget Input Data'!$D$66/'I_Inputs &amp; Assumptions'!$B$8,IF('I_Budget Input Data'!$E$66="Front-loaded",IF(8&lt;='I_Inputs &amp; Assumptions'!$B$8/2,'I_Budget Input Data'!$D$66*0.6/('I_Inputs &amp; Assumptions'!$B$8/2),'I_Budget Input Data'!$D$66*0.4/('I_Inputs &amp; Assumptions'!$B$8/2)),IF('I_Budget Input Data'!$E$66="Back-loaded",IF(8&lt;='I_Inputs &amp; Assumptions'!$B$8/2,'I_Budget Input Data'!$D$66*0.4/('I_Inputs &amp; Assumptions'!$B$8/2),'I_Budget Input Data'!$D$66*0.6/('I_Inputs &amp; Assumptions'!$B$8/2)),IF('I_Budget Input Data'!$E$66="Mid-weighted",IF(8&lt;='I_Inputs &amp; Assumptions'!$B$8/4,'I_Budget Input Data'!$D$66*0.2/('I_Inputs &amp; Assumptions'!$B$8/4),IF(8&lt;='I_Inputs &amp; Assumptions'!$B$8*0.75,'I_Budget Input Data'!$D$66*0.6/('I_Inputs &amp; Assumptions'!$B$8/2),'I_Budget Input Data'!$D$66*0.2/('I_Inputs &amp; Assumptions'!$B$8/4))),IF('I_Budget Input Data'!$E$66="At Completion",IF(8='I_Inputs &amp; Assumptions'!$B$8,'I_Budget Input Data'!$D$66,0),'I_Budget Input Data'!$D$66/'I_Inputs &amp; Assumptions'!$B$8)))))),0)</f>
        <v>10071.015384615386</v>
      </c>
      <c r="K66" s="91">
        <f>IF(9&lt;='I_Inputs &amp; Assumptions'!$B$8,IF('I_Budget Input Data'!$E$66="Upfront",IF(9=1,'I_Budget Input Data'!$D$66,0),IF('I_Budget Input Data'!$E$66="Equal",'I_Budget Input Data'!$D$66/'I_Inputs &amp; Assumptions'!$B$8,IF('I_Budget Input Data'!$E$66="Front-loaded",IF(9&lt;='I_Inputs &amp; Assumptions'!$B$8/2,'I_Budget Input Data'!$D$66*0.6/('I_Inputs &amp; Assumptions'!$B$8/2),'I_Budget Input Data'!$D$66*0.4/('I_Inputs &amp; Assumptions'!$B$8/2)),IF('I_Budget Input Data'!$E$66="Back-loaded",IF(9&lt;='I_Inputs &amp; Assumptions'!$B$8/2,'I_Budget Input Data'!$D$66*0.4/('I_Inputs &amp; Assumptions'!$B$8/2),'I_Budget Input Data'!$D$66*0.6/('I_Inputs &amp; Assumptions'!$B$8/2)),IF('I_Budget Input Data'!$E$66="Mid-weighted",IF(9&lt;='I_Inputs &amp; Assumptions'!$B$8/4,'I_Budget Input Data'!$D$66*0.2/('I_Inputs &amp; Assumptions'!$B$8/4),IF(9&lt;='I_Inputs &amp; Assumptions'!$B$8*0.75,'I_Budget Input Data'!$D$66*0.6/('I_Inputs &amp; Assumptions'!$B$8/2),'I_Budget Input Data'!$D$66*0.2/('I_Inputs &amp; Assumptions'!$B$8/4))),IF('I_Budget Input Data'!$E$66="At Completion",IF(9='I_Inputs &amp; Assumptions'!$B$8,'I_Budget Input Data'!$D$66,0),'I_Budget Input Data'!$D$66/'I_Inputs &amp; Assumptions'!$B$8)))))),0)</f>
        <v>10071.015384615386</v>
      </c>
      <c r="L66" s="91">
        <f>IF(10&lt;='I_Inputs &amp; Assumptions'!$B$8,IF('I_Budget Input Data'!$E$66="Upfront",IF(10=1,'I_Budget Input Data'!$D$66,0),IF('I_Budget Input Data'!$E$66="Equal",'I_Budget Input Data'!$D$66/'I_Inputs &amp; Assumptions'!$B$8,IF('I_Budget Input Data'!$E$66="Front-loaded",IF(10&lt;='I_Inputs &amp; Assumptions'!$B$8/2,'I_Budget Input Data'!$D$66*0.6/('I_Inputs &amp; Assumptions'!$B$8/2),'I_Budget Input Data'!$D$66*0.4/('I_Inputs &amp; Assumptions'!$B$8/2)),IF('I_Budget Input Data'!$E$66="Back-loaded",IF(10&lt;='I_Inputs &amp; Assumptions'!$B$8/2,'I_Budget Input Data'!$D$66*0.4/('I_Inputs &amp; Assumptions'!$B$8/2),'I_Budget Input Data'!$D$66*0.6/('I_Inputs &amp; Assumptions'!$B$8/2)),IF('I_Budget Input Data'!$E$66="Mid-weighted",IF(10&lt;='I_Inputs &amp; Assumptions'!$B$8/4,'I_Budget Input Data'!$D$66*0.2/('I_Inputs &amp; Assumptions'!$B$8/4),IF(10&lt;='I_Inputs &amp; Assumptions'!$B$8*0.75,'I_Budget Input Data'!$D$66*0.6/('I_Inputs &amp; Assumptions'!$B$8/2),'I_Budget Input Data'!$D$66*0.2/('I_Inputs &amp; Assumptions'!$B$8/4))),IF('I_Budget Input Data'!$E$66="At Completion",IF(10='I_Inputs &amp; Assumptions'!$B$8,'I_Budget Input Data'!$D$66,0),'I_Budget Input Data'!$D$66/'I_Inputs &amp; Assumptions'!$B$8)))))),0)</f>
        <v>10071.015384615386</v>
      </c>
      <c r="M66" s="91">
        <f>IF(11&lt;='I_Inputs &amp; Assumptions'!$B$8,IF('I_Budget Input Data'!$E$66="Upfront",IF(11=1,'I_Budget Input Data'!$D$66,0),IF('I_Budget Input Data'!$E$66="Equal",'I_Budget Input Data'!$D$66/'I_Inputs &amp; Assumptions'!$B$8,IF('I_Budget Input Data'!$E$66="Front-loaded",IF(11&lt;='I_Inputs &amp; Assumptions'!$B$8/2,'I_Budget Input Data'!$D$66*0.6/('I_Inputs &amp; Assumptions'!$B$8/2),'I_Budget Input Data'!$D$66*0.4/('I_Inputs &amp; Assumptions'!$B$8/2)),IF('I_Budget Input Data'!$E$66="Back-loaded",IF(11&lt;='I_Inputs &amp; Assumptions'!$B$8/2,'I_Budget Input Data'!$D$66*0.4/('I_Inputs &amp; Assumptions'!$B$8/2),'I_Budget Input Data'!$D$66*0.6/('I_Inputs &amp; Assumptions'!$B$8/2)),IF('I_Budget Input Data'!$E$66="Mid-weighted",IF(11&lt;='I_Inputs &amp; Assumptions'!$B$8/4,'I_Budget Input Data'!$D$66*0.2/('I_Inputs &amp; Assumptions'!$B$8/4),IF(11&lt;='I_Inputs &amp; Assumptions'!$B$8*0.75,'I_Budget Input Data'!$D$66*0.6/('I_Inputs &amp; Assumptions'!$B$8/2),'I_Budget Input Data'!$D$66*0.2/('I_Inputs &amp; Assumptions'!$B$8/4))),IF('I_Budget Input Data'!$E$66="At Completion",IF(11='I_Inputs &amp; Assumptions'!$B$8,'I_Budget Input Data'!$D$66,0),'I_Budget Input Data'!$D$66/'I_Inputs &amp; Assumptions'!$B$8)))))),0)</f>
        <v>10071.015384615386</v>
      </c>
      <c r="N66" s="91">
        <f>IF(12&lt;='I_Inputs &amp; Assumptions'!$B$8,IF('I_Budget Input Data'!$E$66="Upfront",IF(12=1,'I_Budget Input Data'!$D$66,0),IF('I_Budget Input Data'!$E$66="Equal",'I_Budget Input Data'!$D$66/'I_Inputs &amp; Assumptions'!$B$8,IF('I_Budget Input Data'!$E$66="Front-loaded",IF(12&lt;='I_Inputs &amp; Assumptions'!$B$8/2,'I_Budget Input Data'!$D$66*0.6/('I_Inputs &amp; Assumptions'!$B$8/2),'I_Budget Input Data'!$D$66*0.4/('I_Inputs &amp; Assumptions'!$B$8/2)),IF('I_Budget Input Data'!$E$66="Back-loaded",IF(12&lt;='I_Inputs &amp; Assumptions'!$B$8/2,'I_Budget Input Data'!$D$66*0.4/('I_Inputs &amp; Assumptions'!$B$8/2),'I_Budget Input Data'!$D$66*0.6/('I_Inputs &amp; Assumptions'!$B$8/2)),IF('I_Budget Input Data'!$E$66="Mid-weighted",IF(12&lt;='I_Inputs &amp; Assumptions'!$B$8/4,'I_Budget Input Data'!$D$66*0.2/('I_Inputs &amp; Assumptions'!$B$8/4),IF(12&lt;='I_Inputs &amp; Assumptions'!$B$8*0.75,'I_Budget Input Data'!$D$66*0.6/('I_Inputs &amp; Assumptions'!$B$8/2),'I_Budget Input Data'!$D$66*0.2/('I_Inputs &amp; Assumptions'!$B$8/4))),IF('I_Budget Input Data'!$E$66="At Completion",IF(12='I_Inputs &amp; Assumptions'!$B$8,'I_Budget Input Data'!$D$66,0),'I_Budget Input Data'!$D$66/'I_Inputs &amp; Assumptions'!$B$8)))))),0)</f>
        <v>10071.015384615386</v>
      </c>
      <c r="O66" s="91">
        <f>IF(13&lt;='I_Inputs &amp; Assumptions'!$B$8,IF('I_Budget Input Data'!$E$66="Upfront",IF(13=1,'I_Budget Input Data'!$D$66,0),IF('I_Budget Input Data'!$E$66="Equal",'I_Budget Input Data'!$D$66/'I_Inputs &amp; Assumptions'!$B$8,IF('I_Budget Input Data'!$E$66="Front-loaded",IF(13&lt;='I_Inputs &amp; Assumptions'!$B$8/2,'I_Budget Input Data'!$D$66*0.6/('I_Inputs &amp; Assumptions'!$B$8/2),'I_Budget Input Data'!$D$66*0.4/('I_Inputs &amp; Assumptions'!$B$8/2)),IF('I_Budget Input Data'!$E$66="Back-loaded",IF(13&lt;='I_Inputs &amp; Assumptions'!$B$8/2,'I_Budget Input Data'!$D$66*0.4/('I_Inputs &amp; Assumptions'!$B$8/2),'I_Budget Input Data'!$D$66*0.6/('I_Inputs &amp; Assumptions'!$B$8/2)),IF('I_Budget Input Data'!$E$66="Mid-weighted",IF(13&lt;='I_Inputs &amp; Assumptions'!$B$8/4,'I_Budget Input Data'!$D$66*0.2/('I_Inputs &amp; Assumptions'!$B$8/4),IF(13&lt;='I_Inputs &amp; Assumptions'!$B$8*0.75,'I_Budget Input Data'!$D$66*0.6/('I_Inputs &amp; Assumptions'!$B$8/2),'I_Budget Input Data'!$D$66*0.2/('I_Inputs &amp; Assumptions'!$B$8/4))),IF('I_Budget Input Data'!$E$66="At Completion",IF(13='I_Inputs &amp; Assumptions'!$B$8,'I_Budget Input Data'!$D$66,0),'I_Budget Input Data'!$D$66/'I_Inputs &amp; Assumptions'!$B$8)))))),0)</f>
        <v>10071.015384615386</v>
      </c>
      <c r="P66" s="91">
        <f>IF(14&lt;='I_Inputs &amp; Assumptions'!$B$8,IF('I_Budget Input Data'!$E$66="Upfront",IF(14=1,'I_Budget Input Data'!$D$66,0),IF('I_Budget Input Data'!$E$66="Equal",'I_Budget Input Data'!$D$66/'I_Inputs &amp; Assumptions'!$B$8,IF('I_Budget Input Data'!$E$66="Front-loaded",IF(14&lt;='I_Inputs &amp; Assumptions'!$B$8/2,'I_Budget Input Data'!$D$66*0.6/('I_Inputs &amp; Assumptions'!$B$8/2),'I_Budget Input Data'!$D$66*0.4/('I_Inputs &amp; Assumptions'!$B$8/2)),IF('I_Budget Input Data'!$E$66="Back-loaded",IF(14&lt;='I_Inputs &amp; Assumptions'!$B$8/2,'I_Budget Input Data'!$D$66*0.4/('I_Inputs &amp; Assumptions'!$B$8/2),'I_Budget Input Data'!$D$66*0.6/('I_Inputs &amp; Assumptions'!$B$8/2)),IF('I_Budget Input Data'!$E$66="Mid-weighted",IF(14&lt;='I_Inputs &amp; Assumptions'!$B$8/4,'I_Budget Input Data'!$D$66*0.2/('I_Inputs &amp; Assumptions'!$B$8/4),IF(14&lt;='I_Inputs &amp; Assumptions'!$B$8*0.75,'I_Budget Input Data'!$D$66*0.6/('I_Inputs &amp; Assumptions'!$B$8/2),'I_Budget Input Data'!$D$66*0.2/('I_Inputs &amp; Assumptions'!$B$8/4))),IF('I_Budget Input Data'!$E$66="At Completion",IF(14='I_Inputs &amp; Assumptions'!$B$8,'I_Budget Input Data'!$D$66,0),'I_Budget Input Data'!$D$66/'I_Inputs &amp; Assumptions'!$B$8)))))),0)</f>
        <v>0</v>
      </c>
      <c r="Q66" s="91">
        <f>IF(15&lt;='I_Inputs &amp; Assumptions'!$B$8,IF('I_Budget Input Data'!$E$66="Upfront",IF(15=1,'I_Budget Input Data'!$D$66,0),IF('I_Budget Input Data'!$E$66="Equal",'I_Budget Input Data'!$D$66/'I_Inputs &amp; Assumptions'!$B$8,IF('I_Budget Input Data'!$E$66="Front-loaded",IF(15&lt;='I_Inputs &amp; Assumptions'!$B$8/2,'I_Budget Input Data'!$D$66*0.6/('I_Inputs &amp; Assumptions'!$B$8/2),'I_Budget Input Data'!$D$66*0.4/('I_Inputs &amp; Assumptions'!$B$8/2)),IF('I_Budget Input Data'!$E$66="Back-loaded",IF(15&lt;='I_Inputs &amp; Assumptions'!$B$8/2,'I_Budget Input Data'!$D$66*0.4/('I_Inputs &amp; Assumptions'!$B$8/2),'I_Budget Input Data'!$D$66*0.6/('I_Inputs &amp; Assumptions'!$B$8/2)),IF('I_Budget Input Data'!$E$66="Mid-weighted",IF(15&lt;='I_Inputs &amp; Assumptions'!$B$8/4,'I_Budget Input Data'!$D$66*0.2/('I_Inputs &amp; Assumptions'!$B$8/4),IF(15&lt;='I_Inputs &amp; Assumptions'!$B$8*0.75,'I_Budget Input Data'!$D$66*0.6/('I_Inputs &amp; Assumptions'!$B$8/2),'I_Budget Input Data'!$D$66*0.2/('I_Inputs &amp; Assumptions'!$B$8/4))),IF('I_Budget Input Data'!$E$66="At Completion",IF(15='I_Inputs &amp; Assumptions'!$B$8,'I_Budget Input Data'!$D$66,0),'I_Budget Input Data'!$D$66/'I_Inputs &amp; Assumptions'!$B$8)))))),0)</f>
        <v>0</v>
      </c>
      <c r="R66" s="91">
        <f>IF(16&lt;='I_Inputs &amp; Assumptions'!$B$8,IF('I_Budget Input Data'!$E$66="Upfront",IF(16=1,'I_Budget Input Data'!$D$66,0),IF('I_Budget Input Data'!$E$66="Equal",'I_Budget Input Data'!$D$66/'I_Inputs &amp; Assumptions'!$B$8,IF('I_Budget Input Data'!$E$66="Front-loaded",IF(16&lt;='I_Inputs &amp; Assumptions'!$B$8/2,'I_Budget Input Data'!$D$66*0.6/('I_Inputs &amp; Assumptions'!$B$8/2),'I_Budget Input Data'!$D$66*0.4/('I_Inputs &amp; Assumptions'!$B$8/2)),IF('I_Budget Input Data'!$E$66="Back-loaded",IF(16&lt;='I_Inputs &amp; Assumptions'!$B$8/2,'I_Budget Input Data'!$D$66*0.4/('I_Inputs &amp; Assumptions'!$B$8/2),'I_Budget Input Data'!$D$66*0.6/('I_Inputs &amp; Assumptions'!$B$8/2)),IF('I_Budget Input Data'!$E$66="Mid-weighted",IF(16&lt;='I_Inputs &amp; Assumptions'!$B$8/4,'I_Budget Input Data'!$D$66*0.2/('I_Inputs &amp; Assumptions'!$B$8/4),IF(16&lt;='I_Inputs &amp; Assumptions'!$B$8*0.75,'I_Budget Input Data'!$D$66*0.6/('I_Inputs &amp; Assumptions'!$B$8/2),'I_Budget Input Data'!$D$66*0.2/('I_Inputs &amp; Assumptions'!$B$8/4))),IF('I_Budget Input Data'!$E$66="At Completion",IF(16='I_Inputs &amp; Assumptions'!$B$8,'I_Budget Input Data'!$D$66,0),'I_Budget Input Data'!$D$66/'I_Inputs &amp; Assumptions'!$B$8)))))),0)</f>
        <v>0</v>
      </c>
      <c r="S66" s="91">
        <f>IF(17&lt;='I_Inputs &amp; Assumptions'!$B$8,IF('I_Budget Input Data'!$E$66="Upfront",IF(17=1,'I_Budget Input Data'!$D$66,0),IF('I_Budget Input Data'!$E$66="Equal",'I_Budget Input Data'!$D$66/'I_Inputs &amp; Assumptions'!$B$8,IF('I_Budget Input Data'!$E$66="Front-loaded",IF(17&lt;='I_Inputs &amp; Assumptions'!$B$8/2,'I_Budget Input Data'!$D$66*0.6/('I_Inputs &amp; Assumptions'!$B$8/2),'I_Budget Input Data'!$D$66*0.4/('I_Inputs &amp; Assumptions'!$B$8/2)),IF('I_Budget Input Data'!$E$66="Back-loaded",IF(17&lt;='I_Inputs &amp; Assumptions'!$B$8/2,'I_Budget Input Data'!$D$66*0.4/('I_Inputs &amp; Assumptions'!$B$8/2),'I_Budget Input Data'!$D$66*0.6/('I_Inputs &amp; Assumptions'!$B$8/2)),IF('I_Budget Input Data'!$E$66="Mid-weighted",IF(17&lt;='I_Inputs &amp; Assumptions'!$B$8/4,'I_Budget Input Data'!$D$66*0.2/('I_Inputs &amp; Assumptions'!$B$8/4),IF(17&lt;='I_Inputs &amp; Assumptions'!$B$8*0.75,'I_Budget Input Data'!$D$66*0.6/('I_Inputs &amp; Assumptions'!$B$8/2),'I_Budget Input Data'!$D$66*0.2/('I_Inputs &amp; Assumptions'!$B$8/4))),IF('I_Budget Input Data'!$E$66="At Completion",IF(17='I_Inputs &amp; Assumptions'!$B$8,'I_Budget Input Data'!$D$66,0),'I_Budget Input Data'!$D$66/'I_Inputs &amp; Assumptions'!$B$8)))))),0)</f>
        <v>0</v>
      </c>
      <c r="T66" s="91">
        <f>IF(18&lt;='I_Inputs &amp; Assumptions'!$B$8,IF('I_Budget Input Data'!$E$66="Upfront",IF(18=1,'I_Budget Input Data'!$D$66,0),IF('I_Budget Input Data'!$E$66="Equal",'I_Budget Input Data'!$D$66/'I_Inputs &amp; Assumptions'!$B$8,IF('I_Budget Input Data'!$E$66="Front-loaded",IF(18&lt;='I_Inputs &amp; Assumptions'!$B$8/2,'I_Budget Input Data'!$D$66*0.6/('I_Inputs &amp; Assumptions'!$B$8/2),'I_Budget Input Data'!$D$66*0.4/('I_Inputs &amp; Assumptions'!$B$8/2)),IF('I_Budget Input Data'!$E$66="Back-loaded",IF(18&lt;='I_Inputs &amp; Assumptions'!$B$8/2,'I_Budget Input Data'!$D$66*0.4/('I_Inputs &amp; Assumptions'!$B$8/2),'I_Budget Input Data'!$D$66*0.6/('I_Inputs &amp; Assumptions'!$B$8/2)),IF('I_Budget Input Data'!$E$66="Mid-weighted",IF(18&lt;='I_Inputs &amp; Assumptions'!$B$8/4,'I_Budget Input Data'!$D$66*0.2/('I_Inputs &amp; Assumptions'!$B$8/4),IF(18&lt;='I_Inputs &amp; Assumptions'!$B$8*0.75,'I_Budget Input Data'!$D$66*0.6/('I_Inputs &amp; Assumptions'!$B$8/2),'I_Budget Input Data'!$D$66*0.2/('I_Inputs &amp; Assumptions'!$B$8/4))),IF('I_Budget Input Data'!$E$66="At Completion",IF(18='I_Inputs &amp; Assumptions'!$B$8,'I_Budget Input Data'!$D$66,0),'I_Budget Input Data'!$D$66/'I_Inputs &amp; Assumptions'!$B$8)))))),0)</f>
        <v>0</v>
      </c>
      <c r="U66" s="91">
        <f>IF(19&lt;='I_Inputs &amp; Assumptions'!$B$8,IF('I_Budget Input Data'!$E$66="Upfront",IF(19=1,'I_Budget Input Data'!$D$66,0),IF('I_Budget Input Data'!$E$66="Equal",'I_Budget Input Data'!$D$66/'I_Inputs &amp; Assumptions'!$B$8,IF('I_Budget Input Data'!$E$66="Front-loaded",IF(19&lt;='I_Inputs &amp; Assumptions'!$B$8/2,'I_Budget Input Data'!$D$66*0.6/('I_Inputs &amp; Assumptions'!$B$8/2),'I_Budget Input Data'!$D$66*0.4/('I_Inputs &amp; Assumptions'!$B$8/2)),IF('I_Budget Input Data'!$E$66="Back-loaded",IF(19&lt;='I_Inputs &amp; Assumptions'!$B$8/2,'I_Budget Input Data'!$D$66*0.4/('I_Inputs &amp; Assumptions'!$B$8/2),'I_Budget Input Data'!$D$66*0.6/('I_Inputs &amp; Assumptions'!$B$8/2)),IF('I_Budget Input Data'!$E$66="Mid-weighted",IF(19&lt;='I_Inputs &amp; Assumptions'!$B$8/4,'I_Budget Input Data'!$D$66*0.2/('I_Inputs &amp; Assumptions'!$B$8/4),IF(19&lt;='I_Inputs &amp; Assumptions'!$B$8*0.75,'I_Budget Input Data'!$D$66*0.6/('I_Inputs &amp; Assumptions'!$B$8/2),'I_Budget Input Data'!$D$66*0.2/('I_Inputs &amp; Assumptions'!$B$8/4))),IF('I_Budget Input Data'!$E$66="At Completion",IF(19='I_Inputs &amp; Assumptions'!$B$8,'I_Budget Input Data'!$D$66,0),'I_Budget Input Data'!$D$66/'I_Inputs &amp; Assumptions'!$B$8)))))),0)</f>
        <v>0</v>
      </c>
      <c r="V66" s="91">
        <f>IF(20&lt;='I_Inputs &amp; Assumptions'!$B$8,IF('I_Budget Input Data'!$E$66="Upfront",IF(20=1,'I_Budget Input Data'!$D$66,0),IF('I_Budget Input Data'!$E$66="Equal",'I_Budget Input Data'!$D$66/'I_Inputs &amp; Assumptions'!$B$8,IF('I_Budget Input Data'!$E$66="Front-loaded",IF(20&lt;='I_Inputs &amp; Assumptions'!$B$8/2,'I_Budget Input Data'!$D$66*0.6/('I_Inputs &amp; Assumptions'!$B$8/2),'I_Budget Input Data'!$D$66*0.4/('I_Inputs &amp; Assumptions'!$B$8/2)),IF('I_Budget Input Data'!$E$66="Back-loaded",IF(20&lt;='I_Inputs &amp; Assumptions'!$B$8/2,'I_Budget Input Data'!$D$66*0.4/('I_Inputs &amp; Assumptions'!$B$8/2),'I_Budget Input Data'!$D$66*0.6/('I_Inputs &amp; Assumptions'!$B$8/2)),IF('I_Budget Input Data'!$E$66="Mid-weighted",IF(20&lt;='I_Inputs &amp; Assumptions'!$B$8/4,'I_Budget Input Data'!$D$66*0.2/('I_Inputs &amp; Assumptions'!$B$8/4),IF(20&lt;='I_Inputs &amp; Assumptions'!$B$8*0.75,'I_Budget Input Data'!$D$66*0.6/('I_Inputs &amp; Assumptions'!$B$8/2),'I_Budget Input Data'!$D$66*0.2/('I_Inputs &amp; Assumptions'!$B$8/4))),IF('I_Budget Input Data'!$E$66="At Completion",IF(20='I_Inputs &amp; Assumptions'!$B$8,'I_Budget Input Data'!$D$66,0),'I_Budget Input Data'!$D$66/'I_Inputs &amp; Assumptions'!$B$8)))))),0)</f>
        <v>0</v>
      </c>
      <c r="W66" s="91">
        <f>IF(21&lt;='I_Inputs &amp; Assumptions'!$B$8,IF('I_Budget Input Data'!$E$66="Upfront",IF(21=1,'I_Budget Input Data'!$D$66,0),IF('I_Budget Input Data'!$E$66="Equal",'I_Budget Input Data'!$D$66/'I_Inputs &amp; Assumptions'!$B$8,IF('I_Budget Input Data'!$E$66="Front-loaded",IF(21&lt;='I_Inputs &amp; Assumptions'!$B$8/2,'I_Budget Input Data'!$D$66*0.6/('I_Inputs &amp; Assumptions'!$B$8/2),'I_Budget Input Data'!$D$66*0.4/('I_Inputs &amp; Assumptions'!$B$8/2)),IF('I_Budget Input Data'!$E$66="Back-loaded",IF(21&lt;='I_Inputs &amp; Assumptions'!$B$8/2,'I_Budget Input Data'!$D$66*0.4/('I_Inputs &amp; Assumptions'!$B$8/2),'I_Budget Input Data'!$D$66*0.6/('I_Inputs &amp; Assumptions'!$B$8/2)),IF('I_Budget Input Data'!$E$66="Mid-weighted",IF(21&lt;='I_Inputs &amp; Assumptions'!$B$8/4,'I_Budget Input Data'!$D$66*0.2/('I_Inputs &amp; Assumptions'!$B$8/4),IF(21&lt;='I_Inputs &amp; Assumptions'!$B$8*0.75,'I_Budget Input Data'!$D$66*0.6/('I_Inputs &amp; Assumptions'!$B$8/2),'I_Budget Input Data'!$D$66*0.2/('I_Inputs &amp; Assumptions'!$B$8/4))),IF('I_Budget Input Data'!$E$66="At Completion",IF(21='I_Inputs &amp; Assumptions'!$B$8,'I_Budget Input Data'!$D$66,0),'I_Budget Input Data'!$D$66/'I_Inputs &amp; Assumptions'!$B$8)))))),0)</f>
        <v>0</v>
      </c>
      <c r="X66" s="91">
        <f>IF(22&lt;='I_Inputs &amp; Assumptions'!$B$8,IF('I_Budget Input Data'!$E$66="Upfront",IF(22=1,'I_Budget Input Data'!$D$66,0),IF('I_Budget Input Data'!$E$66="Equal",'I_Budget Input Data'!$D$66/'I_Inputs &amp; Assumptions'!$B$8,IF('I_Budget Input Data'!$E$66="Front-loaded",IF(22&lt;='I_Inputs &amp; Assumptions'!$B$8/2,'I_Budget Input Data'!$D$66*0.6/('I_Inputs &amp; Assumptions'!$B$8/2),'I_Budget Input Data'!$D$66*0.4/('I_Inputs &amp; Assumptions'!$B$8/2)),IF('I_Budget Input Data'!$E$66="Back-loaded",IF(22&lt;='I_Inputs &amp; Assumptions'!$B$8/2,'I_Budget Input Data'!$D$66*0.4/('I_Inputs &amp; Assumptions'!$B$8/2),'I_Budget Input Data'!$D$66*0.6/('I_Inputs &amp; Assumptions'!$B$8/2)),IF('I_Budget Input Data'!$E$66="Mid-weighted",IF(22&lt;='I_Inputs &amp; Assumptions'!$B$8/4,'I_Budget Input Data'!$D$66*0.2/('I_Inputs &amp; Assumptions'!$B$8/4),IF(22&lt;='I_Inputs &amp; Assumptions'!$B$8*0.75,'I_Budget Input Data'!$D$66*0.6/('I_Inputs &amp; Assumptions'!$B$8/2),'I_Budget Input Data'!$D$66*0.2/('I_Inputs &amp; Assumptions'!$B$8/4))),IF('I_Budget Input Data'!$E$66="At Completion",IF(22='I_Inputs &amp; Assumptions'!$B$8,'I_Budget Input Data'!$D$66,0),'I_Budget Input Data'!$D$66/'I_Inputs &amp; Assumptions'!$B$8)))))),0)</f>
        <v>0</v>
      </c>
      <c r="Y66" s="91">
        <f>IF(23&lt;='I_Inputs &amp; Assumptions'!$B$8,IF('I_Budget Input Data'!$E$66="Upfront",IF(23=1,'I_Budget Input Data'!$D$66,0),IF('I_Budget Input Data'!$E$66="Equal",'I_Budget Input Data'!$D$66/'I_Inputs &amp; Assumptions'!$B$8,IF('I_Budget Input Data'!$E$66="Front-loaded",IF(23&lt;='I_Inputs &amp; Assumptions'!$B$8/2,'I_Budget Input Data'!$D$66*0.6/('I_Inputs &amp; Assumptions'!$B$8/2),'I_Budget Input Data'!$D$66*0.4/('I_Inputs &amp; Assumptions'!$B$8/2)),IF('I_Budget Input Data'!$E$66="Back-loaded",IF(23&lt;='I_Inputs &amp; Assumptions'!$B$8/2,'I_Budget Input Data'!$D$66*0.4/('I_Inputs &amp; Assumptions'!$B$8/2),'I_Budget Input Data'!$D$66*0.6/('I_Inputs &amp; Assumptions'!$B$8/2)),IF('I_Budget Input Data'!$E$66="Mid-weighted",IF(23&lt;='I_Inputs &amp; Assumptions'!$B$8/4,'I_Budget Input Data'!$D$66*0.2/('I_Inputs &amp; Assumptions'!$B$8/4),IF(23&lt;='I_Inputs &amp; Assumptions'!$B$8*0.75,'I_Budget Input Data'!$D$66*0.6/('I_Inputs &amp; Assumptions'!$B$8/2),'I_Budget Input Data'!$D$66*0.2/('I_Inputs &amp; Assumptions'!$B$8/4))),IF('I_Budget Input Data'!$E$66="At Completion",IF(23='I_Inputs &amp; Assumptions'!$B$8,'I_Budget Input Data'!$D$66,0),'I_Budget Input Data'!$D$66/'I_Inputs &amp; Assumptions'!$B$8)))))),0)</f>
        <v>0</v>
      </c>
      <c r="Z66" s="91">
        <f>IF(24&lt;='I_Inputs &amp; Assumptions'!$B$8,IF('I_Budget Input Data'!$E$66="Upfront",IF(24=1,'I_Budget Input Data'!$D$66,0),IF('I_Budget Input Data'!$E$66="Equal",'I_Budget Input Data'!$D$66/'I_Inputs &amp; Assumptions'!$B$8,IF('I_Budget Input Data'!$E$66="Front-loaded",IF(24&lt;='I_Inputs &amp; Assumptions'!$B$8/2,'I_Budget Input Data'!$D$66*0.6/('I_Inputs &amp; Assumptions'!$B$8/2),'I_Budget Input Data'!$D$66*0.4/('I_Inputs &amp; Assumptions'!$B$8/2)),IF('I_Budget Input Data'!$E$66="Back-loaded",IF(24&lt;='I_Inputs &amp; Assumptions'!$B$8/2,'I_Budget Input Data'!$D$66*0.4/('I_Inputs &amp; Assumptions'!$B$8/2),'I_Budget Input Data'!$D$66*0.6/('I_Inputs &amp; Assumptions'!$B$8/2)),IF('I_Budget Input Data'!$E$66="Mid-weighted",IF(24&lt;='I_Inputs &amp; Assumptions'!$B$8/4,'I_Budget Input Data'!$D$66*0.2/('I_Inputs &amp; Assumptions'!$B$8/4),IF(24&lt;='I_Inputs &amp; Assumptions'!$B$8*0.75,'I_Budget Input Data'!$D$66*0.6/('I_Inputs &amp; Assumptions'!$B$8/2),'I_Budget Input Data'!$D$66*0.2/('I_Inputs &amp; Assumptions'!$B$8/4))),IF('I_Budget Input Data'!$E$66="At Completion",IF(24='I_Inputs &amp; Assumptions'!$B$8,'I_Budget Input Data'!$D$66,0),'I_Budget Input Data'!$D$66/'I_Inputs &amp; Assumptions'!$B$8)))))),0)</f>
        <v>0</v>
      </c>
      <c r="AA66" s="91">
        <f>IF(25&lt;='I_Inputs &amp; Assumptions'!$B$8,IF('I_Budget Input Data'!$E$66="Upfront",IF(25=1,'I_Budget Input Data'!$D$66,0),IF('I_Budget Input Data'!$E$66="Equal",'I_Budget Input Data'!$D$66/'I_Inputs &amp; Assumptions'!$B$8,IF('I_Budget Input Data'!$E$66="Front-loaded",IF(25&lt;='I_Inputs &amp; Assumptions'!$B$8/2,'I_Budget Input Data'!$D$66*0.6/('I_Inputs &amp; Assumptions'!$B$8/2),'I_Budget Input Data'!$D$66*0.4/('I_Inputs &amp; Assumptions'!$B$8/2)),IF('I_Budget Input Data'!$E$66="Back-loaded",IF(25&lt;='I_Inputs &amp; Assumptions'!$B$8/2,'I_Budget Input Data'!$D$66*0.4/('I_Inputs &amp; Assumptions'!$B$8/2),'I_Budget Input Data'!$D$66*0.6/('I_Inputs &amp; Assumptions'!$B$8/2)),IF('I_Budget Input Data'!$E$66="Mid-weighted",IF(25&lt;='I_Inputs &amp; Assumptions'!$B$8/4,'I_Budget Input Data'!$D$66*0.2/('I_Inputs &amp; Assumptions'!$B$8/4),IF(25&lt;='I_Inputs &amp; Assumptions'!$B$8*0.75,'I_Budget Input Data'!$D$66*0.6/('I_Inputs &amp; Assumptions'!$B$8/2),'I_Budget Input Data'!$D$66*0.2/('I_Inputs &amp; Assumptions'!$B$8/4))),IF('I_Budget Input Data'!$E$66="At Completion",IF(25='I_Inputs &amp; Assumptions'!$B$8,'I_Budget Input Data'!$D$66,0),'I_Budget Input Data'!$D$66/'I_Inputs &amp; Assumptions'!$B$8)))))),0)</f>
        <v>0</v>
      </c>
      <c r="AB66" s="91">
        <f>IF(26&lt;='I_Inputs &amp; Assumptions'!$B$8,IF('I_Budget Input Data'!$E$66="Upfront",IF(26=1,'I_Budget Input Data'!$D$66,0),IF('I_Budget Input Data'!$E$66="Equal",'I_Budget Input Data'!$D$66/'I_Inputs &amp; Assumptions'!$B$8,IF('I_Budget Input Data'!$E$66="Front-loaded",IF(26&lt;='I_Inputs &amp; Assumptions'!$B$8/2,'I_Budget Input Data'!$D$66*0.6/('I_Inputs &amp; Assumptions'!$B$8/2),'I_Budget Input Data'!$D$66*0.4/('I_Inputs &amp; Assumptions'!$B$8/2)),IF('I_Budget Input Data'!$E$66="Back-loaded",IF(26&lt;='I_Inputs &amp; Assumptions'!$B$8/2,'I_Budget Input Data'!$D$66*0.4/('I_Inputs &amp; Assumptions'!$B$8/2),'I_Budget Input Data'!$D$66*0.6/('I_Inputs &amp; Assumptions'!$B$8/2)),IF('I_Budget Input Data'!$E$66="Mid-weighted",IF(26&lt;='I_Inputs &amp; Assumptions'!$B$8/4,'I_Budget Input Data'!$D$66*0.2/('I_Inputs &amp; Assumptions'!$B$8/4),IF(26&lt;='I_Inputs &amp; Assumptions'!$B$8*0.75,'I_Budget Input Data'!$D$66*0.6/('I_Inputs &amp; Assumptions'!$B$8/2),'I_Budget Input Data'!$D$66*0.2/('I_Inputs &amp; Assumptions'!$B$8/4))),IF('I_Budget Input Data'!$E$66="At Completion",IF(26='I_Inputs &amp; Assumptions'!$B$8,'I_Budget Input Data'!$D$66,0),'I_Budget Input Data'!$D$66/'I_Inputs &amp; Assumptions'!$B$8)))))),0)</f>
        <v>0</v>
      </c>
      <c r="AC66" s="91">
        <f>IF(27&lt;='I_Inputs &amp; Assumptions'!$B$8,IF('I_Budget Input Data'!$E$66="Upfront",IF(27=1,'I_Budget Input Data'!$D$66,0),IF('I_Budget Input Data'!$E$66="Equal",'I_Budget Input Data'!$D$66/'I_Inputs &amp; Assumptions'!$B$8,IF('I_Budget Input Data'!$E$66="Front-loaded",IF(27&lt;='I_Inputs &amp; Assumptions'!$B$8/2,'I_Budget Input Data'!$D$66*0.6/('I_Inputs &amp; Assumptions'!$B$8/2),'I_Budget Input Data'!$D$66*0.4/('I_Inputs &amp; Assumptions'!$B$8/2)),IF('I_Budget Input Data'!$E$66="Back-loaded",IF(27&lt;='I_Inputs &amp; Assumptions'!$B$8/2,'I_Budget Input Data'!$D$66*0.4/('I_Inputs &amp; Assumptions'!$B$8/2),'I_Budget Input Data'!$D$66*0.6/('I_Inputs &amp; Assumptions'!$B$8/2)),IF('I_Budget Input Data'!$E$66="Mid-weighted",IF(27&lt;='I_Inputs &amp; Assumptions'!$B$8/4,'I_Budget Input Data'!$D$66*0.2/('I_Inputs &amp; Assumptions'!$B$8/4),IF(27&lt;='I_Inputs &amp; Assumptions'!$B$8*0.75,'I_Budget Input Data'!$D$66*0.6/('I_Inputs &amp; Assumptions'!$B$8/2),'I_Budget Input Data'!$D$66*0.2/('I_Inputs &amp; Assumptions'!$B$8/4))),IF('I_Budget Input Data'!$E$66="At Completion",IF(27='I_Inputs &amp; Assumptions'!$B$8,'I_Budget Input Data'!$D$66,0),'I_Budget Input Data'!$D$66/'I_Inputs &amp; Assumptions'!$B$8)))))),0)</f>
        <v>0</v>
      </c>
      <c r="AD66" s="91">
        <f>IF(28&lt;='I_Inputs &amp; Assumptions'!$B$8,IF('I_Budget Input Data'!$E$66="Upfront",IF(28=1,'I_Budget Input Data'!$D$66,0),IF('I_Budget Input Data'!$E$66="Equal",'I_Budget Input Data'!$D$66/'I_Inputs &amp; Assumptions'!$B$8,IF('I_Budget Input Data'!$E$66="Front-loaded",IF(28&lt;='I_Inputs &amp; Assumptions'!$B$8/2,'I_Budget Input Data'!$D$66*0.6/('I_Inputs &amp; Assumptions'!$B$8/2),'I_Budget Input Data'!$D$66*0.4/('I_Inputs &amp; Assumptions'!$B$8/2)),IF('I_Budget Input Data'!$E$66="Back-loaded",IF(28&lt;='I_Inputs &amp; Assumptions'!$B$8/2,'I_Budget Input Data'!$D$66*0.4/('I_Inputs &amp; Assumptions'!$B$8/2),'I_Budget Input Data'!$D$66*0.6/('I_Inputs &amp; Assumptions'!$B$8/2)),IF('I_Budget Input Data'!$E$66="Mid-weighted",IF(28&lt;='I_Inputs &amp; Assumptions'!$B$8/4,'I_Budget Input Data'!$D$66*0.2/('I_Inputs &amp; Assumptions'!$B$8/4),IF(28&lt;='I_Inputs &amp; Assumptions'!$B$8*0.75,'I_Budget Input Data'!$D$66*0.6/('I_Inputs &amp; Assumptions'!$B$8/2),'I_Budget Input Data'!$D$66*0.2/('I_Inputs &amp; Assumptions'!$B$8/4))),IF('I_Budget Input Data'!$E$66="At Completion",IF(28='I_Inputs &amp; Assumptions'!$B$8,'I_Budget Input Data'!$D$66,0),'I_Budget Input Data'!$D$66/'I_Inputs &amp; Assumptions'!$B$8)))))),0)</f>
        <v>0</v>
      </c>
      <c r="AE66" s="91">
        <f>IF(29&lt;='I_Inputs &amp; Assumptions'!$B$8,IF('I_Budget Input Data'!$E$66="Upfront",IF(29=1,'I_Budget Input Data'!$D$66,0),IF('I_Budget Input Data'!$E$66="Equal",'I_Budget Input Data'!$D$66/'I_Inputs &amp; Assumptions'!$B$8,IF('I_Budget Input Data'!$E$66="Front-loaded",IF(29&lt;='I_Inputs &amp; Assumptions'!$B$8/2,'I_Budget Input Data'!$D$66*0.6/('I_Inputs &amp; Assumptions'!$B$8/2),'I_Budget Input Data'!$D$66*0.4/('I_Inputs &amp; Assumptions'!$B$8/2)),IF('I_Budget Input Data'!$E$66="Back-loaded",IF(29&lt;='I_Inputs &amp; Assumptions'!$B$8/2,'I_Budget Input Data'!$D$66*0.4/('I_Inputs &amp; Assumptions'!$B$8/2),'I_Budget Input Data'!$D$66*0.6/('I_Inputs &amp; Assumptions'!$B$8/2)),IF('I_Budget Input Data'!$E$66="Mid-weighted",IF(29&lt;='I_Inputs &amp; Assumptions'!$B$8/4,'I_Budget Input Data'!$D$66*0.2/('I_Inputs &amp; Assumptions'!$B$8/4),IF(29&lt;='I_Inputs &amp; Assumptions'!$B$8*0.75,'I_Budget Input Data'!$D$66*0.6/('I_Inputs &amp; Assumptions'!$B$8/2),'I_Budget Input Data'!$D$66*0.2/('I_Inputs &amp; Assumptions'!$B$8/4))),IF('I_Budget Input Data'!$E$66="At Completion",IF(29='I_Inputs &amp; Assumptions'!$B$8,'I_Budget Input Data'!$D$66,0),'I_Budget Input Data'!$D$66/'I_Inputs &amp; Assumptions'!$B$8)))))),0)</f>
        <v>0</v>
      </c>
      <c r="AF66" s="91">
        <f>IF(30&lt;='I_Inputs &amp; Assumptions'!$B$8,IF('I_Budget Input Data'!$E$66="Upfront",IF(30=1,'I_Budget Input Data'!$D$66,0),IF('I_Budget Input Data'!$E$66="Equal",'I_Budget Input Data'!$D$66/'I_Inputs &amp; Assumptions'!$B$8,IF('I_Budget Input Data'!$E$66="Front-loaded",IF(30&lt;='I_Inputs &amp; Assumptions'!$B$8/2,'I_Budget Input Data'!$D$66*0.6/('I_Inputs &amp; Assumptions'!$B$8/2),'I_Budget Input Data'!$D$66*0.4/('I_Inputs &amp; Assumptions'!$B$8/2)),IF('I_Budget Input Data'!$E$66="Back-loaded",IF(30&lt;='I_Inputs &amp; Assumptions'!$B$8/2,'I_Budget Input Data'!$D$66*0.4/('I_Inputs &amp; Assumptions'!$B$8/2),'I_Budget Input Data'!$D$66*0.6/('I_Inputs &amp; Assumptions'!$B$8/2)),IF('I_Budget Input Data'!$E$66="Mid-weighted",IF(30&lt;='I_Inputs &amp; Assumptions'!$B$8/4,'I_Budget Input Data'!$D$66*0.2/('I_Inputs &amp; Assumptions'!$B$8/4),IF(30&lt;='I_Inputs &amp; Assumptions'!$B$8*0.75,'I_Budget Input Data'!$D$66*0.6/('I_Inputs &amp; Assumptions'!$B$8/2),'I_Budget Input Data'!$D$66*0.2/('I_Inputs &amp; Assumptions'!$B$8/4))),IF('I_Budget Input Data'!$E$66="At Completion",IF(30='I_Inputs &amp; Assumptions'!$B$8,'I_Budget Input Data'!$D$66,0),'I_Budget Input Data'!$D$66/'I_Inputs &amp; Assumptions'!$B$8)))))),0)</f>
        <v>0</v>
      </c>
      <c r="AG66" s="91">
        <f>IF(31&lt;='I_Inputs &amp; Assumptions'!$B$8,IF('I_Budget Input Data'!$E$66="Upfront",IF(31=1,'I_Budget Input Data'!$D$66,0),IF('I_Budget Input Data'!$E$66="Equal",'I_Budget Input Data'!$D$66/'I_Inputs &amp; Assumptions'!$B$8,IF('I_Budget Input Data'!$E$66="Front-loaded",IF(31&lt;='I_Inputs &amp; Assumptions'!$B$8/2,'I_Budget Input Data'!$D$66*0.6/('I_Inputs &amp; Assumptions'!$B$8/2),'I_Budget Input Data'!$D$66*0.4/('I_Inputs &amp; Assumptions'!$B$8/2)),IF('I_Budget Input Data'!$E$66="Back-loaded",IF(31&lt;='I_Inputs &amp; Assumptions'!$B$8/2,'I_Budget Input Data'!$D$66*0.4/('I_Inputs &amp; Assumptions'!$B$8/2),'I_Budget Input Data'!$D$66*0.6/('I_Inputs &amp; Assumptions'!$B$8/2)),IF('I_Budget Input Data'!$E$66="Mid-weighted",IF(31&lt;='I_Inputs &amp; Assumptions'!$B$8/4,'I_Budget Input Data'!$D$66*0.2/('I_Inputs &amp; Assumptions'!$B$8/4),IF(31&lt;='I_Inputs &amp; Assumptions'!$B$8*0.75,'I_Budget Input Data'!$D$66*0.6/('I_Inputs &amp; Assumptions'!$B$8/2),'I_Budget Input Data'!$D$66*0.2/('I_Inputs &amp; Assumptions'!$B$8/4))),IF('I_Budget Input Data'!$E$66="At Completion",IF(31='I_Inputs &amp; Assumptions'!$B$8,'I_Budget Input Data'!$D$66,0),'I_Budget Input Data'!$D$66/'I_Inputs &amp; Assumptions'!$B$8)))))),0)</f>
        <v>0</v>
      </c>
      <c r="AH66" s="91">
        <f>IF(32&lt;='I_Inputs &amp; Assumptions'!$B$8,IF('I_Budget Input Data'!$E$66="Upfront",IF(32=1,'I_Budget Input Data'!$D$66,0),IF('I_Budget Input Data'!$E$66="Equal",'I_Budget Input Data'!$D$66/'I_Inputs &amp; Assumptions'!$B$8,IF('I_Budget Input Data'!$E$66="Front-loaded",IF(32&lt;='I_Inputs &amp; Assumptions'!$B$8/2,'I_Budget Input Data'!$D$66*0.6/('I_Inputs &amp; Assumptions'!$B$8/2),'I_Budget Input Data'!$D$66*0.4/('I_Inputs &amp; Assumptions'!$B$8/2)),IF('I_Budget Input Data'!$E$66="Back-loaded",IF(32&lt;='I_Inputs &amp; Assumptions'!$B$8/2,'I_Budget Input Data'!$D$66*0.4/('I_Inputs &amp; Assumptions'!$B$8/2),'I_Budget Input Data'!$D$66*0.6/('I_Inputs &amp; Assumptions'!$B$8/2)),IF('I_Budget Input Data'!$E$66="Mid-weighted",IF(32&lt;='I_Inputs &amp; Assumptions'!$B$8/4,'I_Budget Input Data'!$D$66*0.2/('I_Inputs &amp; Assumptions'!$B$8/4),IF(32&lt;='I_Inputs &amp; Assumptions'!$B$8*0.75,'I_Budget Input Data'!$D$66*0.6/('I_Inputs &amp; Assumptions'!$B$8/2),'I_Budget Input Data'!$D$66*0.2/('I_Inputs &amp; Assumptions'!$B$8/4))),IF('I_Budget Input Data'!$E$66="At Completion",IF(32='I_Inputs &amp; Assumptions'!$B$8,'I_Budget Input Data'!$D$66,0),'I_Budget Input Data'!$D$66/'I_Inputs &amp; Assumptions'!$B$8)))))),0)</f>
        <v>0</v>
      </c>
      <c r="AI66" s="91">
        <f>IF(33&lt;='I_Inputs &amp; Assumptions'!$B$8,IF('I_Budget Input Data'!$E$66="Upfront",IF(33=1,'I_Budget Input Data'!$D$66,0),IF('I_Budget Input Data'!$E$66="Equal",'I_Budget Input Data'!$D$66/'I_Inputs &amp; Assumptions'!$B$8,IF('I_Budget Input Data'!$E$66="Front-loaded",IF(33&lt;='I_Inputs &amp; Assumptions'!$B$8/2,'I_Budget Input Data'!$D$66*0.6/('I_Inputs &amp; Assumptions'!$B$8/2),'I_Budget Input Data'!$D$66*0.4/('I_Inputs &amp; Assumptions'!$B$8/2)),IF('I_Budget Input Data'!$E$66="Back-loaded",IF(33&lt;='I_Inputs &amp; Assumptions'!$B$8/2,'I_Budget Input Data'!$D$66*0.4/('I_Inputs &amp; Assumptions'!$B$8/2),'I_Budget Input Data'!$D$66*0.6/('I_Inputs &amp; Assumptions'!$B$8/2)),IF('I_Budget Input Data'!$E$66="Mid-weighted",IF(33&lt;='I_Inputs &amp; Assumptions'!$B$8/4,'I_Budget Input Data'!$D$66*0.2/('I_Inputs &amp; Assumptions'!$B$8/4),IF(33&lt;='I_Inputs &amp; Assumptions'!$B$8*0.75,'I_Budget Input Data'!$D$66*0.6/('I_Inputs &amp; Assumptions'!$B$8/2),'I_Budget Input Data'!$D$66*0.2/('I_Inputs &amp; Assumptions'!$B$8/4))),IF('I_Budget Input Data'!$E$66="At Completion",IF(33='I_Inputs &amp; Assumptions'!$B$8,'I_Budget Input Data'!$D$66,0),'I_Budget Input Data'!$D$66/'I_Inputs &amp; Assumptions'!$B$8)))))),0)</f>
        <v>0</v>
      </c>
      <c r="AJ66" s="91">
        <f>IF(34&lt;='I_Inputs &amp; Assumptions'!$B$8,IF('I_Budget Input Data'!$E$66="Upfront",IF(34=1,'I_Budget Input Data'!$D$66,0),IF('I_Budget Input Data'!$E$66="Equal",'I_Budget Input Data'!$D$66/'I_Inputs &amp; Assumptions'!$B$8,IF('I_Budget Input Data'!$E$66="Front-loaded",IF(34&lt;='I_Inputs &amp; Assumptions'!$B$8/2,'I_Budget Input Data'!$D$66*0.6/('I_Inputs &amp; Assumptions'!$B$8/2),'I_Budget Input Data'!$D$66*0.4/('I_Inputs &amp; Assumptions'!$B$8/2)),IF('I_Budget Input Data'!$E$66="Back-loaded",IF(34&lt;='I_Inputs &amp; Assumptions'!$B$8/2,'I_Budget Input Data'!$D$66*0.4/('I_Inputs &amp; Assumptions'!$B$8/2),'I_Budget Input Data'!$D$66*0.6/('I_Inputs &amp; Assumptions'!$B$8/2)),IF('I_Budget Input Data'!$E$66="Mid-weighted",IF(34&lt;='I_Inputs &amp; Assumptions'!$B$8/4,'I_Budget Input Data'!$D$66*0.2/('I_Inputs &amp; Assumptions'!$B$8/4),IF(34&lt;='I_Inputs &amp; Assumptions'!$B$8*0.75,'I_Budget Input Data'!$D$66*0.6/('I_Inputs &amp; Assumptions'!$B$8/2),'I_Budget Input Data'!$D$66*0.2/('I_Inputs &amp; Assumptions'!$B$8/4))),IF('I_Budget Input Data'!$E$66="At Completion",IF(34='I_Inputs &amp; Assumptions'!$B$8,'I_Budget Input Data'!$D$66,0),'I_Budget Input Data'!$D$66/'I_Inputs &amp; Assumptions'!$B$8)))))),0)</f>
        <v>0</v>
      </c>
      <c r="AK66" s="91">
        <f>IF(35&lt;='I_Inputs &amp; Assumptions'!$B$8,IF('I_Budget Input Data'!$E$66="Upfront",IF(35=1,'I_Budget Input Data'!$D$66,0),IF('I_Budget Input Data'!$E$66="Equal",'I_Budget Input Data'!$D$66/'I_Inputs &amp; Assumptions'!$B$8,IF('I_Budget Input Data'!$E$66="Front-loaded",IF(35&lt;='I_Inputs &amp; Assumptions'!$B$8/2,'I_Budget Input Data'!$D$66*0.6/('I_Inputs &amp; Assumptions'!$B$8/2),'I_Budget Input Data'!$D$66*0.4/('I_Inputs &amp; Assumptions'!$B$8/2)),IF('I_Budget Input Data'!$E$66="Back-loaded",IF(35&lt;='I_Inputs &amp; Assumptions'!$B$8/2,'I_Budget Input Data'!$D$66*0.4/('I_Inputs &amp; Assumptions'!$B$8/2),'I_Budget Input Data'!$D$66*0.6/('I_Inputs &amp; Assumptions'!$B$8/2)),IF('I_Budget Input Data'!$E$66="Mid-weighted",IF(35&lt;='I_Inputs &amp; Assumptions'!$B$8/4,'I_Budget Input Data'!$D$66*0.2/('I_Inputs &amp; Assumptions'!$B$8/4),IF(35&lt;='I_Inputs &amp; Assumptions'!$B$8*0.75,'I_Budget Input Data'!$D$66*0.6/('I_Inputs &amp; Assumptions'!$B$8/2),'I_Budget Input Data'!$D$66*0.2/('I_Inputs &amp; Assumptions'!$B$8/4))),IF('I_Budget Input Data'!$E$66="At Completion",IF(35='I_Inputs &amp; Assumptions'!$B$8,'I_Budget Input Data'!$D$66,0),'I_Budget Input Data'!$D$66/'I_Inputs &amp; Assumptions'!$B$8)))))),0)</f>
        <v>0</v>
      </c>
      <c r="AL66" s="91">
        <f>IF(36&lt;='I_Inputs &amp; Assumptions'!$B$8,IF('I_Budget Input Data'!$E$66="Upfront",IF(36=1,'I_Budget Input Data'!$D$66,0),IF('I_Budget Input Data'!$E$66="Equal",'I_Budget Input Data'!$D$66/'I_Inputs &amp; Assumptions'!$B$8,IF('I_Budget Input Data'!$E$66="Front-loaded",IF(36&lt;='I_Inputs &amp; Assumptions'!$B$8/2,'I_Budget Input Data'!$D$66*0.6/('I_Inputs &amp; Assumptions'!$B$8/2),'I_Budget Input Data'!$D$66*0.4/('I_Inputs &amp; Assumptions'!$B$8/2)),IF('I_Budget Input Data'!$E$66="Back-loaded",IF(36&lt;='I_Inputs &amp; Assumptions'!$B$8/2,'I_Budget Input Data'!$D$66*0.4/('I_Inputs &amp; Assumptions'!$B$8/2),'I_Budget Input Data'!$D$66*0.6/('I_Inputs &amp; Assumptions'!$B$8/2)),IF('I_Budget Input Data'!$E$66="Mid-weighted",IF(36&lt;='I_Inputs &amp; Assumptions'!$B$8/4,'I_Budget Input Data'!$D$66*0.2/('I_Inputs &amp; Assumptions'!$B$8/4),IF(36&lt;='I_Inputs &amp; Assumptions'!$B$8*0.75,'I_Budget Input Data'!$D$66*0.6/('I_Inputs &amp; Assumptions'!$B$8/2),'I_Budget Input Data'!$D$66*0.2/('I_Inputs &amp; Assumptions'!$B$8/4))),IF('I_Budget Input Data'!$E$66="At Completion",IF(36='I_Inputs &amp; Assumptions'!$B$8,'I_Budget Input Data'!$D$66,0),'I_Budget Input Data'!$D$66/'I_Inputs &amp; Assumptions'!$B$8)))))),0)</f>
        <v>0</v>
      </c>
    </row>
    <row r="67" spans="1:38" ht="15" customHeight="1" x14ac:dyDescent="0.2">
      <c r="A67" t="s">
        <v>146</v>
      </c>
      <c r="B67" t="s">
        <v>186</v>
      </c>
      <c r="C67" s="91">
        <v>0</v>
      </c>
      <c r="D67" s="91">
        <v>0</v>
      </c>
      <c r="E67" s="91">
        <v>0</v>
      </c>
      <c r="F67" s="91">
        <v>0</v>
      </c>
      <c r="G67" s="91">
        <v>0</v>
      </c>
      <c r="H67" s="91">
        <v>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  <c r="AC67" s="91">
        <v>0</v>
      </c>
      <c r="AD67" s="91">
        <v>0</v>
      </c>
      <c r="AE67" s="91">
        <v>0</v>
      </c>
      <c r="AF67" s="91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</row>
    <row r="68" spans="1:38" ht="15" customHeight="1" x14ac:dyDescent="0.2">
      <c r="A68" t="s">
        <v>146</v>
      </c>
      <c r="B68" t="s">
        <v>187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  <c r="Z68" s="91">
        <v>0</v>
      </c>
      <c r="AA68" s="91">
        <v>0</v>
      </c>
      <c r="AB68" s="91">
        <v>0</v>
      </c>
      <c r="AC68" s="91">
        <v>0</v>
      </c>
      <c r="AD68" s="91">
        <v>0</v>
      </c>
      <c r="AE68" s="91">
        <v>0</v>
      </c>
      <c r="AF68" s="91">
        <v>0</v>
      </c>
      <c r="AG68" s="91">
        <v>0</v>
      </c>
      <c r="AH68" s="91">
        <v>0</v>
      </c>
      <c r="AI68" s="91">
        <v>0</v>
      </c>
      <c r="AJ68" s="91">
        <v>0</v>
      </c>
      <c r="AK68" s="91">
        <v>0</v>
      </c>
      <c r="AL68" s="91">
        <v>0</v>
      </c>
    </row>
    <row r="69" spans="1:38" ht="15" customHeight="1" x14ac:dyDescent="0.2">
      <c r="A69" t="s">
        <v>146</v>
      </c>
      <c r="B69" t="s">
        <v>188</v>
      </c>
      <c r="C69" s="91">
        <f>IF(1&lt;='I_Inputs &amp; Assumptions'!$B$8,IF('I_Budget Input Data'!$E$69="Upfront",IF(1=1,'I_Budget Input Data'!$D$69,0),IF('I_Budget Input Data'!$E$69="Equal",'I_Budget Input Data'!$D$69/'I_Inputs &amp; Assumptions'!$B$8,IF('I_Budget Input Data'!$E$69="Front-loaded",IF(1&lt;='I_Inputs &amp; Assumptions'!$B$8/2,'I_Budget Input Data'!$D$69*0.6/('I_Inputs &amp; Assumptions'!$B$8/2),'I_Budget Input Data'!$D$69*0.4/('I_Inputs &amp; Assumptions'!$B$8/2)),IF('I_Budget Input Data'!$E$69="Back-loaded",IF(1&lt;='I_Inputs &amp; Assumptions'!$B$8/2,'I_Budget Input Data'!$D$69*0.4/('I_Inputs &amp; Assumptions'!$B$8/2),'I_Budget Input Data'!$D$69*0.6/('I_Inputs &amp; Assumptions'!$B$8/2)),IF('I_Budget Input Data'!$E$69="Mid-weighted",IF(1&lt;='I_Inputs &amp; Assumptions'!$B$8/4,'I_Budget Input Data'!$D$69*0.2/('I_Inputs &amp; Assumptions'!$B$8/4),IF(1&lt;='I_Inputs &amp; Assumptions'!$B$8*0.75,'I_Budget Input Data'!$D$69*0.6/('I_Inputs &amp; Assumptions'!$B$8/2),'I_Budget Input Data'!$D$69*0.2/('I_Inputs &amp; Assumptions'!$B$8/4))),IF('I_Budget Input Data'!$E$69="At Completion",IF(1='I_Inputs &amp; Assumptions'!$B$8,'I_Budget Input Data'!$D$69,0),'I_Budget Input Data'!$D$69/'I_Inputs &amp; Assumptions'!$B$8)))))),0)</f>
        <v>2927.5384615384614</v>
      </c>
      <c r="D69" s="91">
        <f>IF(2&lt;='I_Inputs &amp; Assumptions'!$B$8,IF('I_Budget Input Data'!$E$69="Upfront",IF(2=1,'I_Budget Input Data'!$D$69,0),IF('I_Budget Input Data'!$E$69="Equal",'I_Budget Input Data'!$D$69/'I_Inputs &amp; Assumptions'!$B$8,IF('I_Budget Input Data'!$E$69="Front-loaded",IF(2&lt;='I_Inputs &amp; Assumptions'!$B$8/2,'I_Budget Input Data'!$D$69*0.6/('I_Inputs &amp; Assumptions'!$B$8/2),'I_Budget Input Data'!$D$69*0.4/('I_Inputs &amp; Assumptions'!$B$8/2)),IF('I_Budget Input Data'!$E$69="Back-loaded",IF(2&lt;='I_Inputs &amp; Assumptions'!$B$8/2,'I_Budget Input Data'!$D$69*0.4/('I_Inputs &amp; Assumptions'!$B$8/2),'I_Budget Input Data'!$D$69*0.6/('I_Inputs &amp; Assumptions'!$B$8/2)),IF('I_Budget Input Data'!$E$69="Mid-weighted",IF(2&lt;='I_Inputs &amp; Assumptions'!$B$8/4,'I_Budget Input Data'!$D$69*0.2/('I_Inputs &amp; Assumptions'!$B$8/4),IF(2&lt;='I_Inputs &amp; Assumptions'!$B$8*0.75,'I_Budget Input Data'!$D$69*0.6/('I_Inputs &amp; Assumptions'!$B$8/2),'I_Budget Input Data'!$D$69*0.2/('I_Inputs &amp; Assumptions'!$B$8/4))),IF('I_Budget Input Data'!$E$69="At Completion",IF(2='I_Inputs &amp; Assumptions'!$B$8,'I_Budget Input Data'!$D$69,0),'I_Budget Input Data'!$D$69/'I_Inputs &amp; Assumptions'!$B$8)))))),0)</f>
        <v>2927.5384615384614</v>
      </c>
      <c r="E69" s="91">
        <f>IF(3&lt;='I_Inputs &amp; Assumptions'!$B$8,IF('I_Budget Input Data'!$E$69="Upfront",IF(3=1,'I_Budget Input Data'!$D$69,0),IF('I_Budget Input Data'!$E$69="Equal",'I_Budget Input Data'!$D$69/'I_Inputs &amp; Assumptions'!$B$8,IF('I_Budget Input Data'!$E$69="Front-loaded",IF(3&lt;='I_Inputs &amp; Assumptions'!$B$8/2,'I_Budget Input Data'!$D$69*0.6/('I_Inputs &amp; Assumptions'!$B$8/2),'I_Budget Input Data'!$D$69*0.4/('I_Inputs &amp; Assumptions'!$B$8/2)),IF('I_Budget Input Data'!$E$69="Back-loaded",IF(3&lt;='I_Inputs &amp; Assumptions'!$B$8/2,'I_Budget Input Data'!$D$69*0.4/('I_Inputs &amp; Assumptions'!$B$8/2),'I_Budget Input Data'!$D$69*0.6/('I_Inputs &amp; Assumptions'!$B$8/2)),IF('I_Budget Input Data'!$E$69="Mid-weighted",IF(3&lt;='I_Inputs &amp; Assumptions'!$B$8/4,'I_Budget Input Data'!$D$69*0.2/('I_Inputs &amp; Assumptions'!$B$8/4),IF(3&lt;='I_Inputs &amp; Assumptions'!$B$8*0.75,'I_Budget Input Data'!$D$69*0.6/('I_Inputs &amp; Assumptions'!$B$8/2),'I_Budget Input Data'!$D$69*0.2/('I_Inputs &amp; Assumptions'!$B$8/4))),IF('I_Budget Input Data'!$E$69="At Completion",IF(3='I_Inputs &amp; Assumptions'!$B$8,'I_Budget Input Data'!$D$69,0),'I_Budget Input Data'!$D$69/'I_Inputs &amp; Assumptions'!$B$8)))))),0)</f>
        <v>2927.5384615384614</v>
      </c>
      <c r="F69" s="91">
        <f>IF(4&lt;='I_Inputs &amp; Assumptions'!$B$8,IF('I_Budget Input Data'!$E$69="Upfront",IF(4=1,'I_Budget Input Data'!$D$69,0),IF('I_Budget Input Data'!$E$69="Equal",'I_Budget Input Data'!$D$69/'I_Inputs &amp; Assumptions'!$B$8,IF('I_Budget Input Data'!$E$69="Front-loaded",IF(4&lt;='I_Inputs &amp; Assumptions'!$B$8/2,'I_Budget Input Data'!$D$69*0.6/('I_Inputs &amp; Assumptions'!$B$8/2),'I_Budget Input Data'!$D$69*0.4/('I_Inputs &amp; Assumptions'!$B$8/2)),IF('I_Budget Input Data'!$E$69="Back-loaded",IF(4&lt;='I_Inputs &amp; Assumptions'!$B$8/2,'I_Budget Input Data'!$D$69*0.4/('I_Inputs &amp; Assumptions'!$B$8/2),'I_Budget Input Data'!$D$69*0.6/('I_Inputs &amp; Assumptions'!$B$8/2)),IF('I_Budget Input Data'!$E$69="Mid-weighted",IF(4&lt;='I_Inputs &amp; Assumptions'!$B$8/4,'I_Budget Input Data'!$D$69*0.2/('I_Inputs &amp; Assumptions'!$B$8/4),IF(4&lt;='I_Inputs &amp; Assumptions'!$B$8*0.75,'I_Budget Input Data'!$D$69*0.6/('I_Inputs &amp; Assumptions'!$B$8/2),'I_Budget Input Data'!$D$69*0.2/('I_Inputs &amp; Assumptions'!$B$8/4))),IF('I_Budget Input Data'!$E$69="At Completion",IF(4='I_Inputs &amp; Assumptions'!$B$8,'I_Budget Input Data'!$D$69,0),'I_Budget Input Data'!$D$69/'I_Inputs &amp; Assumptions'!$B$8)))))),0)</f>
        <v>2927.5384615384614</v>
      </c>
      <c r="G69" s="91">
        <f>IF(5&lt;='I_Inputs &amp; Assumptions'!$B$8,IF('I_Budget Input Data'!$E$69="Upfront",IF(5=1,'I_Budget Input Data'!$D$69,0),IF('I_Budget Input Data'!$E$69="Equal",'I_Budget Input Data'!$D$69/'I_Inputs &amp; Assumptions'!$B$8,IF('I_Budget Input Data'!$E$69="Front-loaded",IF(5&lt;='I_Inputs &amp; Assumptions'!$B$8/2,'I_Budget Input Data'!$D$69*0.6/('I_Inputs &amp; Assumptions'!$B$8/2),'I_Budget Input Data'!$D$69*0.4/('I_Inputs &amp; Assumptions'!$B$8/2)),IF('I_Budget Input Data'!$E$69="Back-loaded",IF(5&lt;='I_Inputs &amp; Assumptions'!$B$8/2,'I_Budget Input Data'!$D$69*0.4/('I_Inputs &amp; Assumptions'!$B$8/2),'I_Budget Input Data'!$D$69*0.6/('I_Inputs &amp; Assumptions'!$B$8/2)),IF('I_Budget Input Data'!$E$69="Mid-weighted",IF(5&lt;='I_Inputs &amp; Assumptions'!$B$8/4,'I_Budget Input Data'!$D$69*0.2/('I_Inputs &amp; Assumptions'!$B$8/4),IF(5&lt;='I_Inputs &amp; Assumptions'!$B$8*0.75,'I_Budget Input Data'!$D$69*0.6/('I_Inputs &amp; Assumptions'!$B$8/2),'I_Budget Input Data'!$D$69*0.2/('I_Inputs &amp; Assumptions'!$B$8/4))),IF('I_Budget Input Data'!$E$69="At Completion",IF(5='I_Inputs &amp; Assumptions'!$B$8,'I_Budget Input Data'!$D$69,0),'I_Budget Input Data'!$D$69/'I_Inputs &amp; Assumptions'!$B$8)))))),0)</f>
        <v>2927.5384615384614</v>
      </c>
      <c r="H69" s="91">
        <f>IF(6&lt;='I_Inputs &amp; Assumptions'!$B$8,IF('I_Budget Input Data'!$E$69="Upfront",IF(6=1,'I_Budget Input Data'!$D$69,0),IF('I_Budget Input Data'!$E$69="Equal",'I_Budget Input Data'!$D$69/'I_Inputs &amp; Assumptions'!$B$8,IF('I_Budget Input Data'!$E$69="Front-loaded",IF(6&lt;='I_Inputs &amp; Assumptions'!$B$8/2,'I_Budget Input Data'!$D$69*0.6/('I_Inputs &amp; Assumptions'!$B$8/2),'I_Budget Input Data'!$D$69*0.4/('I_Inputs &amp; Assumptions'!$B$8/2)),IF('I_Budget Input Data'!$E$69="Back-loaded",IF(6&lt;='I_Inputs &amp; Assumptions'!$B$8/2,'I_Budget Input Data'!$D$69*0.4/('I_Inputs &amp; Assumptions'!$B$8/2),'I_Budget Input Data'!$D$69*0.6/('I_Inputs &amp; Assumptions'!$B$8/2)),IF('I_Budget Input Data'!$E$69="Mid-weighted",IF(6&lt;='I_Inputs &amp; Assumptions'!$B$8/4,'I_Budget Input Data'!$D$69*0.2/('I_Inputs &amp; Assumptions'!$B$8/4),IF(6&lt;='I_Inputs &amp; Assumptions'!$B$8*0.75,'I_Budget Input Data'!$D$69*0.6/('I_Inputs &amp; Assumptions'!$B$8/2),'I_Budget Input Data'!$D$69*0.2/('I_Inputs &amp; Assumptions'!$B$8/4))),IF('I_Budget Input Data'!$E$69="At Completion",IF(6='I_Inputs &amp; Assumptions'!$B$8,'I_Budget Input Data'!$D$69,0),'I_Budget Input Data'!$D$69/'I_Inputs &amp; Assumptions'!$B$8)))))),0)</f>
        <v>2927.5384615384614</v>
      </c>
      <c r="I69" s="91">
        <f>IF(7&lt;='I_Inputs &amp; Assumptions'!$B$8,IF('I_Budget Input Data'!$E$69="Upfront",IF(7=1,'I_Budget Input Data'!$D$69,0),IF('I_Budget Input Data'!$E$69="Equal",'I_Budget Input Data'!$D$69/'I_Inputs &amp; Assumptions'!$B$8,IF('I_Budget Input Data'!$E$69="Front-loaded",IF(7&lt;='I_Inputs &amp; Assumptions'!$B$8/2,'I_Budget Input Data'!$D$69*0.6/('I_Inputs &amp; Assumptions'!$B$8/2),'I_Budget Input Data'!$D$69*0.4/('I_Inputs &amp; Assumptions'!$B$8/2)),IF('I_Budget Input Data'!$E$69="Back-loaded",IF(7&lt;='I_Inputs &amp; Assumptions'!$B$8/2,'I_Budget Input Data'!$D$69*0.4/('I_Inputs &amp; Assumptions'!$B$8/2),'I_Budget Input Data'!$D$69*0.6/('I_Inputs &amp; Assumptions'!$B$8/2)),IF('I_Budget Input Data'!$E$69="Mid-weighted",IF(7&lt;='I_Inputs &amp; Assumptions'!$B$8/4,'I_Budget Input Data'!$D$69*0.2/('I_Inputs &amp; Assumptions'!$B$8/4),IF(7&lt;='I_Inputs &amp; Assumptions'!$B$8*0.75,'I_Budget Input Data'!$D$69*0.6/('I_Inputs &amp; Assumptions'!$B$8/2),'I_Budget Input Data'!$D$69*0.2/('I_Inputs &amp; Assumptions'!$B$8/4))),IF('I_Budget Input Data'!$E$69="At Completion",IF(7='I_Inputs &amp; Assumptions'!$B$8,'I_Budget Input Data'!$D$69,0),'I_Budget Input Data'!$D$69/'I_Inputs &amp; Assumptions'!$B$8)))))),0)</f>
        <v>1951.6923076923076</v>
      </c>
      <c r="J69" s="91">
        <f>IF(8&lt;='I_Inputs &amp; Assumptions'!$B$8,IF('I_Budget Input Data'!$E$69="Upfront",IF(8=1,'I_Budget Input Data'!$D$69,0),IF('I_Budget Input Data'!$E$69="Equal",'I_Budget Input Data'!$D$69/'I_Inputs &amp; Assumptions'!$B$8,IF('I_Budget Input Data'!$E$69="Front-loaded",IF(8&lt;='I_Inputs &amp; Assumptions'!$B$8/2,'I_Budget Input Data'!$D$69*0.6/('I_Inputs &amp; Assumptions'!$B$8/2),'I_Budget Input Data'!$D$69*0.4/('I_Inputs &amp; Assumptions'!$B$8/2)),IF('I_Budget Input Data'!$E$69="Back-loaded",IF(8&lt;='I_Inputs &amp; Assumptions'!$B$8/2,'I_Budget Input Data'!$D$69*0.4/('I_Inputs &amp; Assumptions'!$B$8/2),'I_Budget Input Data'!$D$69*0.6/('I_Inputs &amp; Assumptions'!$B$8/2)),IF('I_Budget Input Data'!$E$69="Mid-weighted",IF(8&lt;='I_Inputs &amp; Assumptions'!$B$8/4,'I_Budget Input Data'!$D$69*0.2/('I_Inputs &amp; Assumptions'!$B$8/4),IF(8&lt;='I_Inputs &amp; Assumptions'!$B$8*0.75,'I_Budget Input Data'!$D$69*0.6/('I_Inputs &amp; Assumptions'!$B$8/2),'I_Budget Input Data'!$D$69*0.2/('I_Inputs &amp; Assumptions'!$B$8/4))),IF('I_Budget Input Data'!$E$69="At Completion",IF(8='I_Inputs &amp; Assumptions'!$B$8,'I_Budget Input Data'!$D$69,0),'I_Budget Input Data'!$D$69/'I_Inputs &amp; Assumptions'!$B$8)))))),0)</f>
        <v>1951.6923076923076</v>
      </c>
      <c r="K69" s="91">
        <f>IF(9&lt;='I_Inputs &amp; Assumptions'!$B$8,IF('I_Budget Input Data'!$E$69="Upfront",IF(9=1,'I_Budget Input Data'!$D$69,0),IF('I_Budget Input Data'!$E$69="Equal",'I_Budget Input Data'!$D$69/'I_Inputs &amp; Assumptions'!$B$8,IF('I_Budget Input Data'!$E$69="Front-loaded",IF(9&lt;='I_Inputs &amp; Assumptions'!$B$8/2,'I_Budget Input Data'!$D$69*0.6/('I_Inputs &amp; Assumptions'!$B$8/2),'I_Budget Input Data'!$D$69*0.4/('I_Inputs &amp; Assumptions'!$B$8/2)),IF('I_Budget Input Data'!$E$69="Back-loaded",IF(9&lt;='I_Inputs &amp; Assumptions'!$B$8/2,'I_Budget Input Data'!$D$69*0.4/('I_Inputs &amp; Assumptions'!$B$8/2),'I_Budget Input Data'!$D$69*0.6/('I_Inputs &amp; Assumptions'!$B$8/2)),IF('I_Budget Input Data'!$E$69="Mid-weighted",IF(9&lt;='I_Inputs &amp; Assumptions'!$B$8/4,'I_Budget Input Data'!$D$69*0.2/('I_Inputs &amp; Assumptions'!$B$8/4),IF(9&lt;='I_Inputs &amp; Assumptions'!$B$8*0.75,'I_Budget Input Data'!$D$69*0.6/('I_Inputs &amp; Assumptions'!$B$8/2),'I_Budget Input Data'!$D$69*0.2/('I_Inputs &amp; Assumptions'!$B$8/4))),IF('I_Budget Input Data'!$E$69="At Completion",IF(9='I_Inputs &amp; Assumptions'!$B$8,'I_Budget Input Data'!$D$69,0),'I_Budget Input Data'!$D$69/'I_Inputs &amp; Assumptions'!$B$8)))))),0)</f>
        <v>1951.6923076923076</v>
      </c>
      <c r="L69" s="91">
        <f>IF(10&lt;='I_Inputs &amp; Assumptions'!$B$8,IF('I_Budget Input Data'!$E$69="Upfront",IF(10=1,'I_Budget Input Data'!$D$69,0),IF('I_Budget Input Data'!$E$69="Equal",'I_Budget Input Data'!$D$69/'I_Inputs &amp; Assumptions'!$B$8,IF('I_Budget Input Data'!$E$69="Front-loaded",IF(10&lt;='I_Inputs &amp; Assumptions'!$B$8/2,'I_Budget Input Data'!$D$69*0.6/('I_Inputs &amp; Assumptions'!$B$8/2),'I_Budget Input Data'!$D$69*0.4/('I_Inputs &amp; Assumptions'!$B$8/2)),IF('I_Budget Input Data'!$E$69="Back-loaded",IF(10&lt;='I_Inputs &amp; Assumptions'!$B$8/2,'I_Budget Input Data'!$D$69*0.4/('I_Inputs &amp; Assumptions'!$B$8/2),'I_Budget Input Data'!$D$69*0.6/('I_Inputs &amp; Assumptions'!$B$8/2)),IF('I_Budget Input Data'!$E$69="Mid-weighted",IF(10&lt;='I_Inputs &amp; Assumptions'!$B$8/4,'I_Budget Input Data'!$D$69*0.2/('I_Inputs &amp; Assumptions'!$B$8/4),IF(10&lt;='I_Inputs &amp; Assumptions'!$B$8*0.75,'I_Budget Input Data'!$D$69*0.6/('I_Inputs &amp; Assumptions'!$B$8/2),'I_Budget Input Data'!$D$69*0.2/('I_Inputs &amp; Assumptions'!$B$8/4))),IF('I_Budget Input Data'!$E$69="At Completion",IF(10='I_Inputs &amp; Assumptions'!$B$8,'I_Budget Input Data'!$D$69,0),'I_Budget Input Data'!$D$69/'I_Inputs &amp; Assumptions'!$B$8)))))),0)</f>
        <v>1951.6923076923076</v>
      </c>
      <c r="M69" s="91">
        <f>IF(11&lt;='I_Inputs &amp; Assumptions'!$B$8,IF('I_Budget Input Data'!$E$69="Upfront",IF(11=1,'I_Budget Input Data'!$D$69,0),IF('I_Budget Input Data'!$E$69="Equal",'I_Budget Input Data'!$D$69/'I_Inputs &amp; Assumptions'!$B$8,IF('I_Budget Input Data'!$E$69="Front-loaded",IF(11&lt;='I_Inputs &amp; Assumptions'!$B$8/2,'I_Budget Input Data'!$D$69*0.6/('I_Inputs &amp; Assumptions'!$B$8/2),'I_Budget Input Data'!$D$69*0.4/('I_Inputs &amp; Assumptions'!$B$8/2)),IF('I_Budget Input Data'!$E$69="Back-loaded",IF(11&lt;='I_Inputs &amp; Assumptions'!$B$8/2,'I_Budget Input Data'!$D$69*0.4/('I_Inputs &amp; Assumptions'!$B$8/2),'I_Budget Input Data'!$D$69*0.6/('I_Inputs &amp; Assumptions'!$B$8/2)),IF('I_Budget Input Data'!$E$69="Mid-weighted",IF(11&lt;='I_Inputs &amp; Assumptions'!$B$8/4,'I_Budget Input Data'!$D$69*0.2/('I_Inputs &amp; Assumptions'!$B$8/4),IF(11&lt;='I_Inputs &amp; Assumptions'!$B$8*0.75,'I_Budget Input Data'!$D$69*0.6/('I_Inputs &amp; Assumptions'!$B$8/2),'I_Budget Input Data'!$D$69*0.2/('I_Inputs &amp; Assumptions'!$B$8/4))),IF('I_Budget Input Data'!$E$69="At Completion",IF(11='I_Inputs &amp; Assumptions'!$B$8,'I_Budget Input Data'!$D$69,0),'I_Budget Input Data'!$D$69/'I_Inputs &amp; Assumptions'!$B$8)))))),0)</f>
        <v>1951.6923076923076</v>
      </c>
      <c r="N69" s="91">
        <f>IF(12&lt;='I_Inputs &amp; Assumptions'!$B$8,IF('I_Budget Input Data'!$E$69="Upfront",IF(12=1,'I_Budget Input Data'!$D$69,0),IF('I_Budget Input Data'!$E$69="Equal",'I_Budget Input Data'!$D$69/'I_Inputs &amp; Assumptions'!$B$8,IF('I_Budget Input Data'!$E$69="Front-loaded",IF(12&lt;='I_Inputs &amp; Assumptions'!$B$8/2,'I_Budget Input Data'!$D$69*0.6/('I_Inputs &amp; Assumptions'!$B$8/2),'I_Budget Input Data'!$D$69*0.4/('I_Inputs &amp; Assumptions'!$B$8/2)),IF('I_Budget Input Data'!$E$69="Back-loaded",IF(12&lt;='I_Inputs &amp; Assumptions'!$B$8/2,'I_Budget Input Data'!$D$69*0.4/('I_Inputs &amp; Assumptions'!$B$8/2),'I_Budget Input Data'!$D$69*0.6/('I_Inputs &amp; Assumptions'!$B$8/2)),IF('I_Budget Input Data'!$E$69="Mid-weighted",IF(12&lt;='I_Inputs &amp; Assumptions'!$B$8/4,'I_Budget Input Data'!$D$69*0.2/('I_Inputs &amp; Assumptions'!$B$8/4),IF(12&lt;='I_Inputs &amp; Assumptions'!$B$8*0.75,'I_Budget Input Data'!$D$69*0.6/('I_Inputs &amp; Assumptions'!$B$8/2),'I_Budget Input Data'!$D$69*0.2/('I_Inputs &amp; Assumptions'!$B$8/4))),IF('I_Budget Input Data'!$E$69="At Completion",IF(12='I_Inputs &amp; Assumptions'!$B$8,'I_Budget Input Data'!$D$69,0),'I_Budget Input Data'!$D$69/'I_Inputs &amp; Assumptions'!$B$8)))))),0)</f>
        <v>1951.6923076923076</v>
      </c>
      <c r="O69" s="91">
        <f>IF(13&lt;='I_Inputs &amp; Assumptions'!$B$8,IF('I_Budget Input Data'!$E$69="Upfront",IF(13=1,'I_Budget Input Data'!$D$69,0),IF('I_Budget Input Data'!$E$69="Equal",'I_Budget Input Data'!$D$69/'I_Inputs &amp; Assumptions'!$B$8,IF('I_Budget Input Data'!$E$69="Front-loaded",IF(13&lt;='I_Inputs &amp; Assumptions'!$B$8/2,'I_Budget Input Data'!$D$69*0.6/('I_Inputs &amp; Assumptions'!$B$8/2),'I_Budget Input Data'!$D$69*0.4/('I_Inputs &amp; Assumptions'!$B$8/2)),IF('I_Budget Input Data'!$E$69="Back-loaded",IF(13&lt;='I_Inputs &amp; Assumptions'!$B$8/2,'I_Budget Input Data'!$D$69*0.4/('I_Inputs &amp; Assumptions'!$B$8/2),'I_Budget Input Data'!$D$69*0.6/('I_Inputs &amp; Assumptions'!$B$8/2)),IF('I_Budget Input Data'!$E$69="Mid-weighted",IF(13&lt;='I_Inputs &amp; Assumptions'!$B$8/4,'I_Budget Input Data'!$D$69*0.2/('I_Inputs &amp; Assumptions'!$B$8/4),IF(13&lt;='I_Inputs &amp; Assumptions'!$B$8*0.75,'I_Budget Input Data'!$D$69*0.6/('I_Inputs &amp; Assumptions'!$B$8/2),'I_Budget Input Data'!$D$69*0.2/('I_Inputs &amp; Assumptions'!$B$8/4))),IF('I_Budget Input Data'!$E$69="At Completion",IF(13='I_Inputs &amp; Assumptions'!$B$8,'I_Budget Input Data'!$D$69,0),'I_Budget Input Data'!$D$69/'I_Inputs &amp; Assumptions'!$B$8)))))),0)</f>
        <v>1951.6923076923076</v>
      </c>
      <c r="P69" s="91">
        <f>IF(14&lt;='I_Inputs &amp; Assumptions'!$B$8,IF('I_Budget Input Data'!$E$69="Upfront",IF(14=1,'I_Budget Input Data'!$D$69,0),IF('I_Budget Input Data'!$E$69="Equal",'I_Budget Input Data'!$D$69/'I_Inputs &amp; Assumptions'!$B$8,IF('I_Budget Input Data'!$E$69="Front-loaded",IF(14&lt;='I_Inputs &amp; Assumptions'!$B$8/2,'I_Budget Input Data'!$D$69*0.6/('I_Inputs &amp; Assumptions'!$B$8/2),'I_Budget Input Data'!$D$69*0.4/('I_Inputs &amp; Assumptions'!$B$8/2)),IF('I_Budget Input Data'!$E$69="Back-loaded",IF(14&lt;='I_Inputs &amp; Assumptions'!$B$8/2,'I_Budget Input Data'!$D$69*0.4/('I_Inputs &amp; Assumptions'!$B$8/2),'I_Budget Input Data'!$D$69*0.6/('I_Inputs &amp; Assumptions'!$B$8/2)),IF('I_Budget Input Data'!$E$69="Mid-weighted",IF(14&lt;='I_Inputs &amp; Assumptions'!$B$8/4,'I_Budget Input Data'!$D$69*0.2/('I_Inputs &amp; Assumptions'!$B$8/4),IF(14&lt;='I_Inputs &amp; Assumptions'!$B$8*0.75,'I_Budget Input Data'!$D$69*0.6/('I_Inputs &amp; Assumptions'!$B$8/2),'I_Budget Input Data'!$D$69*0.2/('I_Inputs &amp; Assumptions'!$B$8/4))),IF('I_Budget Input Data'!$E$69="At Completion",IF(14='I_Inputs &amp; Assumptions'!$B$8,'I_Budget Input Data'!$D$69,0),'I_Budget Input Data'!$D$69/'I_Inputs &amp; Assumptions'!$B$8)))))),0)</f>
        <v>0</v>
      </c>
      <c r="Q69" s="91">
        <f>IF(15&lt;='I_Inputs &amp; Assumptions'!$B$8,IF('I_Budget Input Data'!$E$69="Upfront",IF(15=1,'I_Budget Input Data'!$D$69,0),IF('I_Budget Input Data'!$E$69="Equal",'I_Budget Input Data'!$D$69/'I_Inputs &amp; Assumptions'!$B$8,IF('I_Budget Input Data'!$E$69="Front-loaded",IF(15&lt;='I_Inputs &amp; Assumptions'!$B$8/2,'I_Budget Input Data'!$D$69*0.6/('I_Inputs &amp; Assumptions'!$B$8/2),'I_Budget Input Data'!$D$69*0.4/('I_Inputs &amp; Assumptions'!$B$8/2)),IF('I_Budget Input Data'!$E$69="Back-loaded",IF(15&lt;='I_Inputs &amp; Assumptions'!$B$8/2,'I_Budget Input Data'!$D$69*0.4/('I_Inputs &amp; Assumptions'!$B$8/2),'I_Budget Input Data'!$D$69*0.6/('I_Inputs &amp; Assumptions'!$B$8/2)),IF('I_Budget Input Data'!$E$69="Mid-weighted",IF(15&lt;='I_Inputs &amp; Assumptions'!$B$8/4,'I_Budget Input Data'!$D$69*0.2/('I_Inputs &amp; Assumptions'!$B$8/4),IF(15&lt;='I_Inputs &amp; Assumptions'!$B$8*0.75,'I_Budget Input Data'!$D$69*0.6/('I_Inputs &amp; Assumptions'!$B$8/2),'I_Budget Input Data'!$D$69*0.2/('I_Inputs &amp; Assumptions'!$B$8/4))),IF('I_Budget Input Data'!$E$69="At Completion",IF(15='I_Inputs &amp; Assumptions'!$B$8,'I_Budget Input Data'!$D$69,0),'I_Budget Input Data'!$D$69/'I_Inputs &amp; Assumptions'!$B$8)))))),0)</f>
        <v>0</v>
      </c>
      <c r="R69" s="91">
        <f>IF(16&lt;='I_Inputs &amp; Assumptions'!$B$8,IF('I_Budget Input Data'!$E$69="Upfront",IF(16=1,'I_Budget Input Data'!$D$69,0),IF('I_Budget Input Data'!$E$69="Equal",'I_Budget Input Data'!$D$69/'I_Inputs &amp; Assumptions'!$B$8,IF('I_Budget Input Data'!$E$69="Front-loaded",IF(16&lt;='I_Inputs &amp; Assumptions'!$B$8/2,'I_Budget Input Data'!$D$69*0.6/('I_Inputs &amp; Assumptions'!$B$8/2),'I_Budget Input Data'!$D$69*0.4/('I_Inputs &amp; Assumptions'!$B$8/2)),IF('I_Budget Input Data'!$E$69="Back-loaded",IF(16&lt;='I_Inputs &amp; Assumptions'!$B$8/2,'I_Budget Input Data'!$D$69*0.4/('I_Inputs &amp; Assumptions'!$B$8/2),'I_Budget Input Data'!$D$69*0.6/('I_Inputs &amp; Assumptions'!$B$8/2)),IF('I_Budget Input Data'!$E$69="Mid-weighted",IF(16&lt;='I_Inputs &amp; Assumptions'!$B$8/4,'I_Budget Input Data'!$D$69*0.2/('I_Inputs &amp; Assumptions'!$B$8/4),IF(16&lt;='I_Inputs &amp; Assumptions'!$B$8*0.75,'I_Budget Input Data'!$D$69*0.6/('I_Inputs &amp; Assumptions'!$B$8/2),'I_Budget Input Data'!$D$69*0.2/('I_Inputs &amp; Assumptions'!$B$8/4))),IF('I_Budget Input Data'!$E$69="At Completion",IF(16='I_Inputs &amp; Assumptions'!$B$8,'I_Budget Input Data'!$D$69,0),'I_Budget Input Data'!$D$69/'I_Inputs &amp; Assumptions'!$B$8)))))),0)</f>
        <v>0</v>
      </c>
      <c r="S69" s="91">
        <f>IF(17&lt;='I_Inputs &amp; Assumptions'!$B$8,IF('I_Budget Input Data'!$E$69="Upfront",IF(17=1,'I_Budget Input Data'!$D$69,0),IF('I_Budget Input Data'!$E$69="Equal",'I_Budget Input Data'!$D$69/'I_Inputs &amp; Assumptions'!$B$8,IF('I_Budget Input Data'!$E$69="Front-loaded",IF(17&lt;='I_Inputs &amp; Assumptions'!$B$8/2,'I_Budget Input Data'!$D$69*0.6/('I_Inputs &amp; Assumptions'!$B$8/2),'I_Budget Input Data'!$D$69*0.4/('I_Inputs &amp; Assumptions'!$B$8/2)),IF('I_Budget Input Data'!$E$69="Back-loaded",IF(17&lt;='I_Inputs &amp; Assumptions'!$B$8/2,'I_Budget Input Data'!$D$69*0.4/('I_Inputs &amp; Assumptions'!$B$8/2),'I_Budget Input Data'!$D$69*0.6/('I_Inputs &amp; Assumptions'!$B$8/2)),IF('I_Budget Input Data'!$E$69="Mid-weighted",IF(17&lt;='I_Inputs &amp; Assumptions'!$B$8/4,'I_Budget Input Data'!$D$69*0.2/('I_Inputs &amp; Assumptions'!$B$8/4),IF(17&lt;='I_Inputs &amp; Assumptions'!$B$8*0.75,'I_Budget Input Data'!$D$69*0.6/('I_Inputs &amp; Assumptions'!$B$8/2),'I_Budget Input Data'!$D$69*0.2/('I_Inputs &amp; Assumptions'!$B$8/4))),IF('I_Budget Input Data'!$E$69="At Completion",IF(17='I_Inputs &amp; Assumptions'!$B$8,'I_Budget Input Data'!$D$69,0),'I_Budget Input Data'!$D$69/'I_Inputs &amp; Assumptions'!$B$8)))))),0)</f>
        <v>0</v>
      </c>
      <c r="T69" s="91">
        <f>IF(18&lt;='I_Inputs &amp; Assumptions'!$B$8,IF('I_Budget Input Data'!$E$69="Upfront",IF(18=1,'I_Budget Input Data'!$D$69,0),IF('I_Budget Input Data'!$E$69="Equal",'I_Budget Input Data'!$D$69/'I_Inputs &amp; Assumptions'!$B$8,IF('I_Budget Input Data'!$E$69="Front-loaded",IF(18&lt;='I_Inputs &amp; Assumptions'!$B$8/2,'I_Budget Input Data'!$D$69*0.6/('I_Inputs &amp; Assumptions'!$B$8/2),'I_Budget Input Data'!$D$69*0.4/('I_Inputs &amp; Assumptions'!$B$8/2)),IF('I_Budget Input Data'!$E$69="Back-loaded",IF(18&lt;='I_Inputs &amp; Assumptions'!$B$8/2,'I_Budget Input Data'!$D$69*0.4/('I_Inputs &amp; Assumptions'!$B$8/2),'I_Budget Input Data'!$D$69*0.6/('I_Inputs &amp; Assumptions'!$B$8/2)),IF('I_Budget Input Data'!$E$69="Mid-weighted",IF(18&lt;='I_Inputs &amp; Assumptions'!$B$8/4,'I_Budget Input Data'!$D$69*0.2/('I_Inputs &amp; Assumptions'!$B$8/4),IF(18&lt;='I_Inputs &amp; Assumptions'!$B$8*0.75,'I_Budget Input Data'!$D$69*0.6/('I_Inputs &amp; Assumptions'!$B$8/2),'I_Budget Input Data'!$D$69*0.2/('I_Inputs &amp; Assumptions'!$B$8/4))),IF('I_Budget Input Data'!$E$69="At Completion",IF(18='I_Inputs &amp; Assumptions'!$B$8,'I_Budget Input Data'!$D$69,0),'I_Budget Input Data'!$D$69/'I_Inputs &amp; Assumptions'!$B$8)))))),0)</f>
        <v>0</v>
      </c>
      <c r="U69" s="91">
        <f>IF(19&lt;='I_Inputs &amp; Assumptions'!$B$8,IF('I_Budget Input Data'!$E$69="Upfront",IF(19=1,'I_Budget Input Data'!$D$69,0),IF('I_Budget Input Data'!$E$69="Equal",'I_Budget Input Data'!$D$69/'I_Inputs &amp; Assumptions'!$B$8,IF('I_Budget Input Data'!$E$69="Front-loaded",IF(19&lt;='I_Inputs &amp; Assumptions'!$B$8/2,'I_Budget Input Data'!$D$69*0.6/('I_Inputs &amp; Assumptions'!$B$8/2),'I_Budget Input Data'!$D$69*0.4/('I_Inputs &amp; Assumptions'!$B$8/2)),IF('I_Budget Input Data'!$E$69="Back-loaded",IF(19&lt;='I_Inputs &amp; Assumptions'!$B$8/2,'I_Budget Input Data'!$D$69*0.4/('I_Inputs &amp; Assumptions'!$B$8/2),'I_Budget Input Data'!$D$69*0.6/('I_Inputs &amp; Assumptions'!$B$8/2)),IF('I_Budget Input Data'!$E$69="Mid-weighted",IF(19&lt;='I_Inputs &amp; Assumptions'!$B$8/4,'I_Budget Input Data'!$D$69*0.2/('I_Inputs &amp; Assumptions'!$B$8/4),IF(19&lt;='I_Inputs &amp; Assumptions'!$B$8*0.75,'I_Budget Input Data'!$D$69*0.6/('I_Inputs &amp; Assumptions'!$B$8/2),'I_Budget Input Data'!$D$69*0.2/('I_Inputs &amp; Assumptions'!$B$8/4))),IF('I_Budget Input Data'!$E$69="At Completion",IF(19='I_Inputs &amp; Assumptions'!$B$8,'I_Budget Input Data'!$D$69,0),'I_Budget Input Data'!$D$69/'I_Inputs &amp; Assumptions'!$B$8)))))),0)</f>
        <v>0</v>
      </c>
      <c r="V69" s="91">
        <f>IF(20&lt;='I_Inputs &amp; Assumptions'!$B$8,IF('I_Budget Input Data'!$E$69="Upfront",IF(20=1,'I_Budget Input Data'!$D$69,0),IF('I_Budget Input Data'!$E$69="Equal",'I_Budget Input Data'!$D$69/'I_Inputs &amp; Assumptions'!$B$8,IF('I_Budget Input Data'!$E$69="Front-loaded",IF(20&lt;='I_Inputs &amp; Assumptions'!$B$8/2,'I_Budget Input Data'!$D$69*0.6/('I_Inputs &amp; Assumptions'!$B$8/2),'I_Budget Input Data'!$D$69*0.4/('I_Inputs &amp; Assumptions'!$B$8/2)),IF('I_Budget Input Data'!$E$69="Back-loaded",IF(20&lt;='I_Inputs &amp; Assumptions'!$B$8/2,'I_Budget Input Data'!$D$69*0.4/('I_Inputs &amp; Assumptions'!$B$8/2),'I_Budget Input Data'!$D$69*0.6/('I_Inputs &amp; Assumptions'!$B$8/2)),IF('I_Budget Input Data'!$E$69="Mid-weighted",IF(20&lt;='I_Inputs &amp; Assumptions'!$B$8/4,'I_Budget Input Data'!$D$69*0.2/('I_Inputs &amp; Assumptions'!$B$8/4),IF(20&lt;='I_Inputs &amp; Assumptions'!$B$8*0.75,'I_Budget Input Data'!$D$69*0.6/('I_Inputs &amp; Assumptions'!$B$8/2),'I_Budget Input Data'!$D$69*0.2/('I_Inputs &amp; Assumptions'!$B$8/4))),IF('I_Budget Input Data'!$E$69="At Completion",IF(20='I_Inputs &amp; Assumptions'!$B$8,'I_Budget Input Data'!$D$69,0),'I_Budget Input Data'!$D$69/'I_Inputs &amp; Assumptions'!$B$8)))))),0)</f>
        <v>0</v>
      </c>
      <c r="W69" s="91">
        <f>IF(21&lt;='I_Inputs &amp; Assumptions'!$B$8,IF('I_Budget Input Data'!$E$69="Upfront",IF(21=1,'I_Budget Input Data'!$D$69,0),IF('I_Budget Input Data'!$E$69="Equal",'I_Budget Input Data'!$D$69/'I_Inputs &amp; Assumptions'!$B$8,IF('I_Budget Input Data'!$E$69="Front-loaded",IF(21&lt;='I_Inputs &amp; Assumptions'!$B$8/2,'I_Budget Input Data'!$D$69*0.6/('I_Inputs &amp; Assumptions'!$B$8/2),'I_Budget Input Data'!$D$69*0.4/('I_Inputs &amp; Assumptions'!$B$8/2)),IF('I_Budget Input Data'!$E$69="Back-loaded",IF(21&lt;='I_Inputs &amp; Assumptions'!$B$8/2,'I_Budget Input Data'!$D$69*0.4/('I_Inputs &amp; Assumptions'!$B$8/2),'I_Budget Input Data'!$D$69*0.6/('I_Inputs &amp; Assumptions'!$B$8/2)),IF('I_Budget Input Data'!$E$69="Mid-weighted",IF(21&lt;='I_Inputs &amp; Assumptions'!$B$8/4,'I_Budget Input Data'!$D$69*0.2/('I_Inputs &amp; Assumptions'!$B$8/4),IF(21&lt;='I_Inputs &amp; Assumptions'!$B$8*0.75,'I_Budget Input Data'!$D$69*0.6/('I_Inputs &amp; Assumptions'!$B$8/2),'I_Budget Input Data'!$D$69*0.2/('I_Inputs &amp; Assumptions'!$B$8/4))),IF('I_Budget Input Data'!$E$69="At Completion",IF(21='I_Inputs &amp; Assumptions'!$B$8,'I_Budget Input Data'!$D$69,0),'I_Budget Input Data'!$D$69/'I_Inputs &amp; Assumptions'!$B$8)))))),0)</f>
        <v>0</v>
      </c>
      <c r="X69" s="91">
        <f>IF(22&lt;='I_Inputs &amp; Assumptions'!$B$8,IF('I_Budget Input Data'!$E$69="Upfront",IF(22=1,'I_Budget Input Data'!$D$69,0),IF('I_Budget Input Data'!$E$69="Equal",'I_Budget Input Data'!$D$69/'I_Inputs &amp; Assumptions'!$B$8,IF('I_Budget Input Data'!$E$69="Front-loaded",IF(22&lt;='I_Inputs &amp; Assumptions'!$B$8/2,'I_Budget Input Data'!$D$69*0.6/('I_Inputs &amp; Assumptions'!$B$8/2),'I_Budget Input Data'!$D$69*0.4/('I_Inputs &amp; Assumptions'!$B$8/2)),IF('I_Budget Input Data'!$E$69="Back-loaded",IF(22&lt;='I_Inputs &amp; Assumptions'!$B$8/2,'I_Budget Input Data'!$D$69*0.4/('I_Inputs &amp; Assumptions'!$B$8/2),'I_Budget Input Data'!$D$69*0.6/('I_Inputs &amp; Assumptions'!$B$8/2)),IF('I_Budget Input Data'!$E$69="Mid-weighted",IF(22&lt;='I_Inputs &amp; Assumptions'!$B$8/4,'I_Budget Input Data'!$D$69*0.2/('I_Inputs &amp; Assumptions'!$B$8/4),IF(22&lt;='I_Inputs &amp; Assumptions'!$B$8*0.75,'I_Budget Input Data'!$D$69*0.6/('I_Inputs &amp; Assumptions'!$B$8/2),'I_Budget Input Data'!$D$69*0.2/('I_Inputs &amp; Assumptions'!$B$8/4))),IF('I_Budget Input Data'!$E$69="At Completion",IF(22='I_Inputs &amp; Assumptions'!$B$8,'I_Budget Input Data'!$D$69,0),'I_Budget Input Data'!$D$69/'I_Inputs &amp; Assumptions'!$B$8)))))),0)</f>
        <v>0</v>
      </c>
      <c r="Y69" s="91">
        <f>IF(23&lt;='I_Inputs &amp; Assumptions'!$B$8,IF('I_Budget Input Data'!$E$69="Upfront",IF(23=1,'I_Budget Input Data'!$D$69,0),IF('I_Budget Input Data'!$E$69="Equal",'I_Budget Input Data'!$D$69/'I_Inputs &amp; Assumptions'!$B$8,IF('I_Budget Input Data'!$E$69="Front-loaded",IF(23&lt;='I_Inputs &amp; Assumptions'!$B$8/2,'I_Budget Input Data'!$D$69*0.6/('I_Inputs &amp; Assumptions'!$B$8/2),'I_Budget Input Data'!$D$69*0.4/('I_Inputs &amp; Assumptions'!$B$8/2)),IF('I_Budget Input Data'!$E$69="Back-loaded",IF(23&lt;='I_Inputs &amp; Assumptions'!$B$8/2,'I_Budget Input Data'!$D$69*0.4/('I_Inputs &amp; Assumptions'!$B$8/2),'I_Budget Input Data'!$D$69*0.6/('I_Inputs &amp; Assumptions'!$B$8/2)),IF('I_Budget Input Data'!$E$69="Mid-weighted",IF(23&lt;='I_Inputs &amp; Assumptions'!$B$8/4,'I_Budget Input Data'!$D$69*0.2/('I_Inputs &amp; Assumptions'!$B$8/4),IF(23&lt;='I_Inputs &amp; Assumptions'!$B$8*0.75,'I_Budget Input Data'!$D$69*0.6/('I_Inputs &amp; Assumptions'!$B$8/2),'I_Budget Input Data'!$D$69*0.2/('I_Inputs &amp; Assumptions'!$B$8/4))),IF('I_Budget Input Data'!$E$69="At Completion",IF(23='I_Inputs &amp; Assumptions'!$B$8,'I_Budget Input Data'!$D$69,0),'I_Budget Input Data'!$D$69/'I_Inputs &amp; Assumptions'!$B$8)))))),0)</f>
        <v>0</v>
      </c>
      <c r="Z69" s="91">
        <f>IF(24&lt;='I_Inputs &amp; Assumptions'!$B$8,IF('I_Budget Input Data'!$E$69="Upfront",IF(24=1,'I_Budget Input Data'!$D$69,0),IF('I_Budget Input Data'!$E$69="Equal",'I_Budget Input Data'!$D$69/'I_Inputs &amp; Assumptions'!$B$8,IF('I_Budget Input Data'!$E$69="Front-loaded",IF(24&lt;='I_Inputs &amp; Assumptions'!$B$8/2,'I_Budget Input Data'!$D$69*0.6/('I_Inputs &amp; Assumptions'!$B$8/2),'I_Budget Input Data'!$D$69*0.4/('I_Inputs &amp; Assumptions'!$B$8/2)),IF('I_Budget Input Data'!$E$69="Back-loaded",IF(24&lt;='I_Inputs &amp; Assumptions'!$B$8/2,'I_Budget Input Data'!$D$69*0.4/('I_Inputs &amp; Assumptions'!$B$8/2),'I_Budget Input Data'!$D$69*0.6/('I_Inputs &amp; Assumptions'!$B$8/2)),IF('I_Budget Input Data'!$E$69="Mid-weighted",IF(24&lt;='I_Inputs &amp; Assumptions'!$B$8/4,'I_Budget Input Data'!$D$69*0.2/('I_Inputs &amp; Assumptions'!$B$8/4),IF(24&lt;='I_Inputs &amp; Assumptions'!$B$8*0.75,'I_Budget Input Data'!$D$69*0.6/('I_Inputs &amp; Assumptions'!$B$8/2),'I_Budget Input Data'!$D$69*0.2/('I_Inputs &amp; Assumptions'!$B$8/4))),IF('I_Budget Input Data'!$E$69="At Completion",IF(24='I_Inputs &amp; Assumptions'!$B$8,'I_Budget Input Data'!$D$69,0),'I_Budget Input Data'!$D$69/'I_Inputs &amp; Assumptions'!$B$8)))))),0)</f>
        <v>0</v>
      </c>
      <c r="AA69" s="91">
        <f>IF(25&lt;='I_Inputs &amp; Assumptions'!$B$8,IF('I_Budget Input Data'!$E$69="Upfront",IF(25=1,'I_Budget Input Data'!$D$69,0),IF('I_Budget Input Data'!$E$69="Equal",'I_Budget Input Data'!$D$69/'I_Inputs &amp; Assumptions'!$B$8,IF('I_Budget Input Data'!$E$69="Front-loaded",IF(25&lt;='I_Inputs &amp; Assumptions'!$B$8/2,'I_Budget Input Data'!$D$69*0.6/('I_Inputs &amp; Assumptions'!$B$8/2),'I_Budget Input Data'!$D$69*0.4/('I_Inputs &amp; Assumptions'!$B$8/2)),IF('I_Budget Input Data'!$E$69="Back-loaded",IF(25&lt;='I_Inputs &amp; Assumptions'!$B$8/2,'I_Budget Input Data'!$D$69*0.4/('I_Inputs &amp; Assumptions'!$B$8/2),'I_Budget Input Data'!$D$69*0.6/('I_Inputs &amp; Assumptions'!$B$8/2)),IF('I_Budget Input Data'!$E$69="Mid-weighted",IF(25&lt;='I_Inputs &amp; Assumptions'!$B$8/4,'I_Budget Input Data'!$D$69*0.2/('I_Inputs &amp; Assumptions'!$B$8/4),IF(25&lt;='I_Inputs &amp; Assumptions'!$B$8*0.75,'I_Budget Input Data'!$D$69*0.6/('I_Inputs &amp; Assumptions'!$B$8/2),'I_Budget Input Data'!$D$69*0.2/('I_Inputs &amp; Assumptions'!$B$8/4))),IF('I_Budget Input Data'!$E$69="At Completion",IF(25='I_Inputs &amp; Assumptions'!$B$8,'I_Budget Input Data'!$D$69,0),'I_Budget Input Data'!$D$69/'I_Inputs &amp; Assumptions'!$B$8)))))),0)</f>
        <v>0</v>
      </c>
      <c r="AB69" s="91">
        <f>IF(26&lt;='I_Inputs &amp; Assumptions'!$B$8,IF('I_Budget Input Data'!$E$69="Upfront",IF(26=1,'I_Budget Input Data'!$D$69,0),IF('I_Budget Input Data'!$E$69="Equal",'I_Budget Input Data'!$D$69/'I_Inputs &amp; Assumptions'!$B$8,IF('I_Budget Input Data'!$E$69="Front-loaded",IF(26&lt;='I_Inputs &amp; Assumptions'!$B$8/2,'I_Budget Input Data'!$D$69*0.6/('I_Inputs &amp; Assumptions'!$B$8/2),'I_Budget Input Data'!$D$69*0.4/('I_Inputs &amp; Assumptions'!$B$8/2)),IF('I_Budget Input Data'!$E$69="Back-loaded",IF(26&lt;='I_Inputs &amp; Assumptions'!$B$8/2,'I_Budget Input Data'!$D$69*0.4/('I_Inputs &amp; Assumptions'!$B$8/2),'I_Budget Input Data'!$D$69*0.6/('I_Inputs &amp; Assumptions'!$B$8/2)),IF('I_Budget Input Data'!$E$69="Mid-weighted",IF(26&lt;='I_Inputs &amp; Assumptions'!$B$8/4,'I_Budget Input Data'!$D$69*0.2/('I_Inputs &amp; Assumptions'!$B$8/4),IF(26&lt;='I_Inputs &amp; Assumptions'!$B$8*0.75,'I_Budget Input Data'!$D$69*0.6/('I_Inputs &amp; Assumptions'!$B$8/2),'I_Budget Input Data'!$D$69*0.2/('I_Inputs &amp; Assumptions'!$B$8/4))),IF('I_Budget Input Data'!$E$69="At Completion",IF(26='I_Inputs &amp; Assumptions'!$B$8,'I_Budget Input Data'!$D$69,0),'I_Budget Input Data'!$D$69/'I_Inputs &amp; Assumptions'!$B$8)))))),0)</f>
        <v>0</v>
      </c>
      <c r="AC69" s="91">
        <f>IF(27&lt;='I_Inputs &amp; Assumptions'!$B$8,IF('I_Budget Input Data'!$E$69="Upfront",IF(27=1,'I_Budget Input Data'!$D$69,0),IF('I_Budget Input Data'!$E$69="Equal",'I_Budget Input Data'!$D$69/'I_Inputs &amp; Assumptions'!$B$8,IF('I_Budget Input Data'!$E$69="Front-loaded",IF(27&lt;='I_Inputs &amp; Assumptions'!$B$8/2,'I_Budget Input Data'!$D$69*0.6/('I_Inputs &amp; Assumptions'!$B$8/2),'I_Budget Input Data'!$D$69*0.4/('I_Inputs &amp; Assumptions'!$B$8/2)),IF('I_Budget Input Data'!$E$69="Back-loaded",IF(27&lt;='I_Inputs &amp; Assumptions'!$B$8/2,'I_Budget Input Data'!$D$69*0.4/('I_Inputs &amp; Assumptions'!$B$8/2),'I_Budget Input Data'!$D$69*0.6/('I_Inputs &amp; Assumptions'!$B$8/2)),IF('I_Budget Input Data'!$E$69="Mid-weighted",IF(27&lt;='I_Inputs &amp; Assumptions'!$B$8/4,'I_Budget Input Data'!$D$69*0.2/('I_Inputs &amp; Assumptions'!$B$8/4),IF(27&lt;='I_Inputs &amp; Assumptions'!$B$8*0.75,'I_Budget Input Data'!$D$69*0.6/('I_Inputs &amp; Assumptions'!$B$8/2),'I_Budget Input Data'!$D$69*0.2/('I_Inputs &amp; Assumptions'!$B$8/4))),IF('I_Budget Input Data'!$E$69="At Completion",IF(27='I_Inputs &amp; Assumptions'!$B$8,'I_Budget Input Data'!$D$69,0),'I_Budget Input Data'!$D$69/'I_Inputs &amp; Assumptions'!$B$8)))))),0)</f>
        <v>0</v>
      </c>
      <c r="AD69" s="91">
        <f>IF(28&lt;='I_Inputs &amp; Assumptions'!$B$8,IF('I_Budget Input Data'!$E$69="Upfront",IF(28=1,'I_Budget Input Data'!$D$69,0),IF('I_Budget Input Data'!$E$69="Equal",'I_Budget Input Data'!$D$69/'I_Inputs &amp; Assumptions'!$B$8,IF('I_Budget Input Data'!$E$69="Front-loaded",IF(28&lt;='I_Inputs &amp; Assumptions'!$B$8/2,'I_Budget Input Data'!$D$69*0.6/('I_Inputs &amp; Assumptions'!$B$8/2),'I_Budget Input Data'!$D$69*0.4/('I_Inputs &amp; Assumptions'!$B$8/2)),IF('I_Budget Input Data'!$E$69="Back-loaded",IF(28&lt;='I_Inputs &amp; Assumptions'!$B$8/2,'I_Budget Input Data'!$D$69*0.4/('I_Inputs &amp; Assumptions'!$B$8/2),'I_Budget Input Data'!$D$69*0.6/('I_Inputs &amp; Assumptions'!$B$8/2)),IF('I_Budget Input Data'!$E$69="Mid-weighted",IF(28&lt;='I_Inputs &amp; Assumptions'!$B$8/4,'I_Budget Input Data'!$D$69*0.2/('I_Inputs &amp; Assumptions'!$B$8/4),IF(28&lt;='I_Inputs &amp; Assumptions'!$B$8*0.75,'I_Budget Input Data'!$D$69*0.6/('I_Inputs &amp; Assumptions'!$B$8/2),'I_Budget Input Data'!$D$69*0.2/('I_Inputs &amp; Assumptions'!$B$8/4))),IF('I_Budget Input Data'!$E$69="At Completion",IF(28='I_Inputs &amp; Assumptions'!$B$8,'I_Budget Input Data'!$D$69,0),'I_Budget Input Data'!$D$69/'I_Inputs &amp; Assumptions'!$B$8)))))),0)</f>
        <v>0</v>
      </c>
      <c r="AE69" s="91">
        <f>IF(29&lt;='I_Inputs &amp; Assumptions'!$B$8,IF('I_Budget Input Data'!$E$69="Upfront",IF(29=1,'I_Budget Input Data'!$D$69,0),IF('I_Budget Input Data'!$E$69="Equal",'I_Budget Input Data'!$D$69/'I_Inputs &amp; Assumptions'!$B$8,IF('I_Budget Input Data'!$E$69="Front-loaded",IF(29&lt;='I_Inputs &amp; Assumptions'!$B$8/2,'I_Budget Input Data'!$D$69*0.6/('I_Inputs &amp; Assumptions'!$B$8/2),'I_Budget Input Data'!$D$69*0.4/('I_Inputs &amp; Assumptions'!$B$8/2)),IF('I_Budget Input Data'!$E$69="Back-loaded",IF(29&lt;='I_Inputs &amp; Assumptions'!$B$8/2,'I_Budget Input Data'!$D$69*0.4/('I_Inputs &amp; Assumptions'!$B$8/2),'I_Budget Input Data'!$D$69*0.6/('I_Inputs &amp; Assumptions'!$B$8/2)),IF('I_Budget Input Data'!$E$69="Mid-weighted",IF(29&lt;='I_Inputs &amp; Assumptions'!$B$8/4,'I_Budget Input Data'!$D$69*0.2/('I_Inputs &amp; Assumptions'!$B$8/4),IF(29&lt;='I_Inputs &amp; Assumptions'!$B$8*0.75,'I_Budget Input Data'!$D$69*0.6/('I_Inputs &amp; Assumptions'!$B$8/2),'I_Budget Input Data'!$D$69*0.2/('I_Inputs &amp; Assumptions'!$B$8/4))),IF('I_Budget Input Data'!$E$69="At Completion",IF(29='I_Inputs &amp; Assumptions'!$B$8,'I_Budget Input Data'!$D$69,0),'I_Budget Input Data'!$D$69/'I_Inputs &amp; Assumptions'!$B$8)))))),0)</f>
        <v>0</v>
      </c>
      <c r="AF69" s="91">
        <f>IF(30&lt;='I_Inputs &amp; Assumptions'!$B$8,IF('I_Budget Input Data'!$E$69="Upfront",IF(30=1,'I_Budget Input Data'!$D$69,0),IF('I_Budget Input Data'!$E$69="Equal",'I_Budget Input Data'!$D$69/'I_Inputs &amp; Assumptions'!$B$8,IF('I_Budget Input Data'!$E$69="Front-loaded",IF(30&lt;='I_Inputs &amp; Assumptions'!$B$8/2,'I_Budget Input Data'!$D$69*0.6/('I_Inputs &amp; Assumptions'!$B$8/2),'I_Budget Input Data'!$D$69*0.4/('I_Inputs &amp; Assumptions'!$B$8/2)),IF('I_Budget Input Data'!$E$69="Back-loaded",IF(30&lt;='I_Inputs &amp; Assumptions'!$B$8/2,'I_Budget Input Data'!$D$69*0.4/('I_Inputs &amp; Assumptions'!$B$8/2),'I_Budget Input Data'!$D$69*0.6/('I_Inputs &amp; Assumptions'!$B$8/2)),IF('I_Budget Input Data'!$E$69="Mid-weighted",IF(30&lt;='I_Inputs &amp; Assumptions'!$B$8/4,'I_Budget Input Data'!$D$69*0.2/('I_Inputs &amp; Assumptions'!$B$8/4),IF(30&lt;='I_Inputs &amp; Assumptions'!$B$8*0.75,'I_Budget Input Data'!$D$69*0.6/('I_Inputs &amp; Assumptions'!$B$8/2),'I_Budget Input Data'!$D$69*0.2/('I_Inputs &amp; Assumptions'!$B$8/4))),IF('I_Budget Input Data'!$E$69="At Completion",IF(30='I_Inputs &amp; Assumptions'!$B$8,'I_Budget Input Data'!$D$69,0),'I_Budget Input Data'!$D$69/'I_Inputs &amp; Assumptions'!$B$8)))))),0)</f>
        <v>0</v>
      </c>
      <c r="AG69" s="91">
        <f>IF(31&lt;='I_Inputs &amp; Assumptions'!$B$8,IF('I_Budget Input Data'!$E$69="Upfront",IF(31=1,'I_Budget Input Data'!$D$69,0),IF('I_Budget Input Data'!$E$69="Equal",'I_Budget Input Data'!$D$69/'I_Inputs &amp; Assumptions'!$B$8,IF('I_Budget Input Data'!$E$69="Front-loaded",IF(31&lt;='I_Inputs &amp; Assumptions'!$B$8/2,'I_Budget Input Data'!$D$69*0.6/('I_Inputs &amp; Assumptions'!$B$8/2),'I_Budget Input Data'!$D$69*0.4/('I_Inputs &amp; Assumptions'!$B$8/2)),IF('I_Budget Input Data'!$E$69="Back-loaded",IF(31&lt;='I_Inputs &amp; Assumptions'!$B$8/2,'I_Budget Input Data'!$D$69*0.4/('I_Inputs &amp; Assumptions'!$B$8/2),'I_Budget Input Data'!$D$69*0.6/('I_Inputs &amp; Assumptions'!$B$8/2)),IF('I_Budget Input Data'!$E$69="Mid-weighted",IF(31&lt;='I_Inputs &amp; Assumptions'!$B$8/4,'I_Budget Input Data'!$D$69*0.2/('I_Inputs &amp; Assumptions'!$B$8/4),IF(31&lt;='I_Inputs &amp; Assumptions'!$B$8*0.75,'I_Budget Input Data'!$D$69*0.6/('I_Inputs &amp; Assumptions'!$B$8/2),'I_Budget Input Data'!$D$69*0.2/('I_Inputs &amp; Assumptions'!$B$8/4))),IF('I_Budget Input Data'!$E$69="At Completion",IF(31='I_Inputs &amp; Assumptions'!$B$8,'I_Budget Input Data'!$D$69,0),'I_Budget Input Data'!$D$69/'I_Inputs &amp; Assumptions'!$B$8)))))),0)</f>
        <v>0</v>
      </c>
      <c r="AH69" s="91">
        <f>IF(32&lt;='I_Inputs &amp; Assumptions'!$B$8,IF('I_Budget Input Data'!$E$69="Upfront",IF(32=1,'I_Budget Input Data'!$D$69,0),IF('I_Budget Input Data'!$E$69="Equal",'I_Budget Input Data'!$D$69/'I_Inputs &amp; Assumptions'!$B$8,IF('I_Budget Input Data'!$E$69="Front-loaded",IF(32&lt;='I_Inputs &amp; Assumptions'!$B$8/2,'I_Budget Input Data'!$D$69*0.6/('I_Inputs &amp; Assumptions'!$B$8/2),'I_Budget Input Data'!$D$69*0.4/('I_Inputs &amp; Assumptions'!$B$8/2)),IF('I_Budget Input Data'!$E$69="Back-loaded",IF(32&lt;='I_Inputs &amp; Assumptions'!$B$8/2,'I_Budget Input Data'!$D$69*0.4/('I_Inputs &amp; Assumptions'!$B$8/2),'I_Budget Input Data'!$D$69*0.6/('I_Inputs &amp; Assumptions'!$B$8/2)),IF('I_Budget Input Data'!$E$69="Mid-weighted",IF(32&lt;='I_Inputs &amp; Assumptions'!$B$8/4,'I_Budget Input Data'!$D$69*0.2/('I_Inputs &amp; Assumptions'!$B$8/4),IF(32&lt;='I_Inputs &amp; Assumptions'!$B$8*0.75,'I_Budget Input Data'!$D$69*0.6/('I_Inputs &amp; Assumptions'!$B$8/2),'I_Budget Input Data'!$D$69*0.2/('I_Inputs &amp; Assumptions'!$B$8/4))),IF('I_Budget Input Data'!$E$69="At Completion",IF(32='I_Inputs &amp; Assumptions'!$B$8,'I_Budget Input Data'!$D$69,0),'I_Budget Input Data'!$D$69/'I_Inputs &amp; Assumptions'!$B$8)))))),0)</f>
        <v>0</v>
      </c>
      <c r="AI69" s="91">
        <f>IF(33&lt;='I_Inputs &amp; Assumptions'!$B$8,IF('I_Budget Input Data'!$E$69="Upfront",IF(33=1,'I_Budget Input Data'!$D$69,0),IF('I_Budget Input Data'!$E$69="Equal",'I_Budget Input Data'!$D$69/'I_Inputs &amp; Assumptions'!$B$8,IF('I_Budget Input Data'!$E$69="Front-loaded",IF(33&lt;='I_Inputs &amp; Assumptions'!$B$8/2,'I_Budget Input Data'!$D$69*0.6/('I_Inputs &amp; Assumptions'!$B$8/2),'I_Budget Input Data'!$D$69*0.4/('I_Inputs &amp; Assumptions'!$B$8/2)),IF('I_Budget Input Data'!$E$69="Back-loaded",IF(33&lt;='I_Inputs &amp; Assumptions'!$B$8/2,'I_Budget Input Data'!$D$69*0.4/('I_Inputs &amp; Assumptions'!$B$8/2),'I_Budget Input Data'!$D$69*0.6/('I_Inputs &amp; Assumptions'!$B$8/2)),IF('I_Budget Input Data'!$E$69="Mid-weighted",IF(33&lt;='I_Inputs &amp; Assumptions'!$B$8/4,'I_Budget Input Data'!$D$69*0.2/('I_Inputs &amp; Assumptions'!$B$8/4),IF(33&lt;='I_Inputs &amp; Assumptions'!$B$8*0.75,'I_Budget Input Data'!$D$69*0.6/('I_Inputs &amp; Assumptions'!$B$8/2),'I_Budget Input Data'!$D$69*0.2/('I_Inputs &amp; Assumptions'!$B$8/4))),IF('I_Budget Input Data'!$E$69="At Completion",IF(33='I_Inputs &amp; Assumptions'!$B$8,'I_Budget Input Data'!$D$69,0),'I_Budget Input Data'!$D$69/'I_Inputs &amp; Assumptions'!$B$8)))))),0)</f>
        <v>0</v>
      </c>
      <c r="AJ69" s="91">
        <f>IF(34&lt;='I_Inputs &amp; Assumptions'!$B$8,IF('I_Budget Input Data'!$E$69="Upfront",IF(34=1,'I_Budget Input Data'!$D$69,0),IF('I_Budget Input Data'!$E$69="Equal",'I_Budget Input Data'!$D$69/'I_Inputs &amp; Assumptions'!$B$8,IF('I_Budget Input Data'!$E$69="Front-loaded",IF(34&lt;='I_Inputs &amp; Assumptions'!$B$8/2,'I_Budget Input Data'!$D$69*0.6/('I_Inputs &amp; Assumptions'!$B$8/2),'I_Budget Input Data'!$D$69*0.4/('I_Inputs &amp; Assumptions'!$B$8/2)),IF('I_Budget Input Data'!$E$69="Back-loaded",IF(34&lt;='I_Inputs &amp; Assumptions'!$B$8/2,'I_Budget Input Data'!$D$69*0.4/('I_Inputs &amp; Assumptions'!$B$8/2),'I_Budget Input Data'!$D$69*0.6/('I_Inputs &amp; Assumptions'!$B$8/2)),IF('I_Budget Input Data'!$E$69="Mid-weighted",IF(34&lt;='I_Inputs &amp; Assumptions'!$B$8/4,'I_Budget Input Data'!$D$69*0.2/('I_Inputs &amp; Assumptions'!$B$8/4),IF(34&lt;='I_Inputs &amp; Assumptions'!$B$8*0.75,'I_Budget Input Data'!$D$69*0.6/('I_Inputs &amp; Assumptions'!$B$8/2),'I_Budget Input Data'!$D$69*0.2/('I_Inputs &amp; Assumptions'!$B$8/4))),IF('I_Budget Input Data'!$E$69="At Completion",IF(34='I_Inputs &amp; Assumptions'!$B$8,'I_Budget Input Data'!$D$69,0),'I_Budget Input Data'!$D$69/'I_Inputs &amp; Assumptions'!$B$8)))))),0)</f>
        <v>0</v>
      </c>
      <c r="AK69" s="91">
        <f>IF(35&lt;='I_Inputs &amp; Assumptions'!$B$8,IF('I_Budget Input Data'!$E$69="Upfront",IF(35=1,'I_Budget Input Data'!$D$69,0),IF('I_Budget Input Data'!$E$69="Equal",'I_Budget Input Data'!$D$69/'I_Inputs &amp; Assumptions'!$B$8,IF('I_Budget Input Data'!$E$69="Front-loaded",IF(35&lt;='I_Inputs &amp; Assumptions'!$B$8/2,'I_Budget Input Data'!$D$69*0.6/('I_Inputs &amp; Assumptions'!$B$8/2),'I_Budget Input Data'!$D$69*0.4/('I_Inputs &amp; Assumptions'!$B$8/2)),IF('I_Budget Input Data'!$E$69="Back-loaded",IF(35&lt;='I_Inputs &amp; Assumptions'!$B$8/2,'I_Budget Input Data'!$D$69*0.4/('I_Inputs &amp; Assumptions'!$B$8/2),'I_Budget Input Data'!$D$69*0.6/('I_Inputs &amp; Assumptions'!$B$8/2)),IF('I_Budget Input Data'!$E$69="Mid-weighted",IF(35&lt;='I_Inputs &amp; Assumptions'!$B$8/4,'I_Budget Input Data'!$D$69*0.2/('I_Inputs &amp; Assumptions'!$B$8/4),IF(35&lt;='I_Inputs &amp; Assumptions'!$B$8*0.75,'I_Budget Input Data'!$D$69*0.6/('I_Inputs &amp; Assumptions'!$B$8/2),'I_Budget Input Data'!$D$69*0.2/('I_Inputs &amp; Assumptions'!$B$8/4))),IF('I_Budget Input Data'!$E$69="At Completion",IF(35='I_Inputs &amp; Assumptions'!$B$8,'I_Budget Input Data'!$D$69,0),'I_Budget Input Data'!$D$69/'I_Inputs &amp; Assumptions'!$B$8)))))),0)</f>
        <v>0</v>
      </c>
      <c r="AL69" s="91">
        <f>IF(36&lt;='I_Inputs &amp; Assumptions'!$B$8,IF('I_Budget Input Data'!$E$69="Upfront",IF(36=1,'I_Budget Input Data'!$D$69,0),IF('I_Budget Input Data'!$E$69="Equal",'I_Budget Input Data'!$D$69/'I_Inputs &amp; Assumptions'!$B$8,IF('I_Budget Input Data'!$E$69="Front-loaded",IF(36&lt;='I_Inputs &amp; Assumptions'!$B$8/2,'I_Budget Input Data'!$D$69*0.6/('I_Inputs &amp; Assumptions'!$B$8/2),'I_Budget Input Data'!$D$69*0.4/('I_Inputs &amp; Assumptions'!$B$8/2)),IF('I_Budget Input Data'!$E$69="Back-loaded",IF(36&lt;='I_Inputs &amp; Assumptions'!$B$8/2,'I_Budget Input Data'!$D$69*0.4/('I_Inputs &amp; Assumptions'!$B$8/2),'I_Budget Input Data'!$D$69*0.6/('I_Inputs &amp; Assumptions'!$B$8/2)),IF('I_Budget Input Data'!$E$69="Mid-weighted",IF(36&lt;='I_Inputs &amp; Assumptions'!$B$8/4,'I_Budget Input Data'!$D$69*0.2/('I_Inputs &amp; Assumptions'!$B$8/4),IF(36&lt;='I_Inputs &amp; Assumptions'!$B$8*0.75,'I_Budget Input Data'!$D$69*0.6/('I_Inputs &amp; Assumptions'!$B$8/2),'I_Budget Input Data'!$D$69*0.2/('I_Inputs &amp; Assumptions'!$B$8/4))),IF('I_Budget Input Data'!$E$69="At Completion",IF(36='I_Inputs &amp; Assumptions'!$B$8,'I_Budget Input Data'!$D$69,0),'I_Budget Input Data'!$D$69/'I_Inputs &amp; Assumptions'!$B$8)))))),0)</f>
        <v>0</v>
      </c>
    </row>
    <row r="70" spans="1:38" ht="15" customHeight="1" x14ac:dyDescent="0.2">
      <c r="A70" t="s">
        <v>146</v>
      </c>
      <c r="B70" t="s">
        <v>189</v>
      </c>
      <c r="C70" s="91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0</v>
      </c>
      <c r="AF70" s="91">
        <v>0</v>
      </c>
      <c r="AG70" s="91">
        <v>0</v>
      </c>
      <c r="AH70" s="91">
        <v>0</v>
      </c>
      <c r="AI70" s="91">
        <v>0</v>
      </c>
      <c r="AJ70" s="91">
        <v>0</v>
      </c>
      <c r="AK70" s="91">
        <v>0</v>
      </c>
      <c r="AL70" s="91">
        <v>0</v>
      </c>
    </row>
    <row r="71" spans="1:38" ht="15" customHeight="1" x14ac:dyDescent="0.2">
      <c r="A71" t="s">
        <v>146</v>
      </c>
      <c r="B71" t="s">
        <v>190</v>
      </c>
      <c r="C71" s="91">
        <f>IF(1&lt;='I_Inputs &amp; Assumptions'!$B$8,IF('I_Budget Input Data'!$E$71="Upfront",IF(1=1,'I_Budget Input Data'!$D$71,0),IF('I_Budget Input Data'!$E$71="Equal",'I_Budget Input Data'!$D$71/'I_Inputs &amp; Assumptions'!$B$8,IF('I_Budget Input Data'!$E$71="Front-loaded",IF(1&lt;='I_Inputs &amp; Assumptions'!$B$8/2,'I_Budget Input Data'!$D$71*0.6/('I_Inputs &amp; Assumptions'!$B$8/2),'I_Budget Input Data'!$D$71*0.4/('I_Inputs &amp; Assumptions'!$B$8/2)),IF('I_Budget Input Data'!$E$71="Back-loaded",IF(1&lt;='I_Inputs &amp; Assumptions'!$B$8/2,'I_Budget Input Data'!$D$71*0.4/('I_Inputs &amp; Assumptions'!$B$8/2),'I_Budget Input Data'!$D$71*0.6/('I_Inputs &amp; Assumptions'!$B$8/2)),IF('I_Budget Input Data'!$E$71="Mid-weighted",IF(1&lt;='I_Inputs &amp; Assumptions'!$B$8/4,'I_Budget Input Data'!$D$71*0.2/('I_Inputs &amp; Assumptions'!$B$8/4),IF(1&lt;='I_Inputs &amp; Assumptions'!$B$8*0.75,'I_Budget Input Data'!$D$71*0.6/('I_Inputs &amp; Assumptions'!$B$8/2),'I_Budget Input Data'!$D$71*0.2/('I_Inputs &amp; Assumptions'!$B$8/4))),IF('I_Budget Input Data'!$E$71="At Completion",IF(1='I_Inputs &amp; Assumptions'!$B$8,'I_Budget Input Data'!$D$71,0),'I_Budget Input Data'!$D$71/'I_Inputs &amp; Assumptions'!$B$8)))))),0)</f>
        <v>7323.876923076923</v>
      </c>
      <c r="D71" s="91">
        <f>IF(2&lt;='I_Inputs &amp; Assumptions'!$B$8,IF('I_Budget Input Data'!$E$71="Upfront",IF(2=1,'I_Budget Input Data'!$D$71,0),IF('I_Budget Input Data'!$E$71="Equal",'I_Budget Input Data'!$D$71/'I_Inputs &amp; Assumptions'!$B$8,IF('I_Budget Input Data'!$E$71="Front-loaded",IF(2&lt;='I_Inputs &amp; Assumptions'!$B$8/2,'I_Budget Input Data'!$D$71*0.6/('I_Inputs &amp; Assumptions'!$B$8/2),'I_Budget Input Data'!$D$71*0.4/('I_Inputs &amp; Assumptions'!$B$8/2)),IF('I_Budget Input Data'!$E$71="Back-loaded",IF(2&lt;='I_Inputs &amp; Assumptions'!$B$8/2,'I_Budget Input Data'!$D$71*0.4/('I_Inputs &amp; Assumptions'!$B$8/2),'I_Budget Input Data'!$D$71*0.6/('I_Inputs &amp; Assumptions'!$B$8/2)),IF('I_Budget Input Data'!$E$71="Mid-weighted",IF(2&lt;='I_Inputs &amp; Assumptions'!$B$8/4,'I_Budget Input Data'!$D$71*0.2/('I_Inputs &amp; Assumptions'!$B$8/4),IF(2&lt;='I_Inputs &amp; Assumptions'!$B$8*0.75,'I_Budget Input Data'!$D$71*0.6/('I_Inputs &amp; Assumptions'!$B$8/2),'I_Budget Input Data'!$D$71*0.2/('I_Inputs &amp; Assumptions'!$B$8/4))),IF('I_Budget Input Data'!$E$71="At Completion",IF(2='I_Inputs &amp; Assumptions'!$B$8,'I_Budget Input Data'!$D$71,0),'I_Budget Input Data'!$D$71/'I_Inputs &amp; Assumptions'!$B$8)))))),0)</f>
        <v>7323.876923076923</v>
      </c>
      <c r="E71" s="91">
        <f>IF(3&lt;='I_Inputs &amp; Assumptions'!$B$8,IF('I_Budget Input Data'!$E$71="Upfront",IF(3=1,'I_Budget Input Data'!$D$71,0),IF('I_Budget Input Data'!$E$71="Equal",'I_Budget Input Data'!$D$71/'I_Inputs &amp; Assumptions'!$B$8,IF('I_Budget Input Data'!$E$71="Front-loaded",IF(3&lt;='I_Inputs &amp; Assumptions'!$B$8/2,'I_Budget Input Data'!$D$71*0.6/('I_Inputs &amp; Assumptions'!$B$8/2),'I_Budget Input Data'!$D$71*0.4/('I_Inputs &amp; Assumptions'!$B$8/2)),IF('I_Budget Input Data'!$E$71="Back-loaded",IF(3&lt;='I_Inputs &amp; Assumptions'!$B$8/2,'I_Budget Input Data'!$D$71*0.4/('I_Inputs &amp; Assumptions'!$B$8/2),'I_Budget Input Data'!$D$71*0.6/('I_Inputs &amp; Assumptions'!$B$8/2)),IF('I_Budget Input Data'!$E$71="Mid-weighted",IF(3&lt;='I_Inputs &amp; Assumptions'!$B$8/4,'I_Budget Input Data'!$D$71*0.2/('I_Inputs &amp; Assumptions'!$B$8/4),IF(3&lt;='I_Inputs &amp; Assumptions'!$B$8*0.75,'I_Budget Input Data'!$D$71*0.6/('I_Inputs &amp; Assumptions'!$B$8/2),'I_Budget Input Data'!$D$71*0.2/('I_Inputs &amp; Assumptions'!$B$8/4))),IF('I_Budget Input Data'!$E$71="At Completion",IF(3='I_Inputs &amp; Assumptions'!$B$8,'I_Budget Input Data'!$D$71,0),'I_Budget Input Data'!$D$71/'I_Inputs &amp; Assumptions'!$B$8)))))),0)</f>
        <v>7323.876923076923</v>
      </c>
      <c r="F71" s="91">
        <f>IF(4&lt;='I_Inputs &amp; Assumptions'!$B$8,IF('I_Budget Input Data'!$E$71="Upfront",IF(4=1,'I_Budget Input Data'!$D$71,0),IF('I_Budget Input Data'!$E$71="Equal",'I_Budget Input Data'!$D$71/'I_Inputs &amp; Assumptions'!$B$8,IF('I_Budget Input Data'!$E$71="Front-loaded",IF(4&lt;='I_Inputs &amp; Assumptions'!$B$8/2,'I_Budget Input Data'!$D$71*0.6/('I_Inputs &amp; Assumptions'!$B$8/2),'I_Budget Input Data'!$D$71*0.4/('I_Inputs &amp; Assumptions'!$B$8/2)),IF('I_Budget Input Data'!$E$71="Back-loaded",IF(4&lt;='I_Inputs &amp; Assumptions'!$B$8/2,'I_Budget Input Data'!$D$71*0.4/('I_Inputs &amp; Assumptions'!$B$8/2),'I_Budget Input Data'!$D$71*0.6/('I_Inputs &amp; Assumptions'!$B$8/2)),IF('I_Budget Input Data'!$E$71="Mid-weighted",IF(4&lt;='I_Inputs &amp; Assumptions'!$B$8/4,'I_Budget Input Data'!$D$71*0.2/('I_Inputs &amp; Assumptions'!$B$8/4),IF(4&lt;='I_Inputs &amp; Assumptions'!$B$8*0.75,'I_Budget Input Data'!$D$71*0.6/('I_Inputs &amp; Assumptions'!$B$8/2),'I_Budget Input Data'!$D$71*0.2/('I_Inputs &amp; Assumptions'!$B$8/4))),IF('I_Budget Input Data'!$E$71="At Completion",IF(4='I_Inputs &amp; Assumptions'!$B$8,'I_Budget Input Data'!$D$71,0),'I_Budget Input Data'!$D$71/'I_Inputs &amp; Assumptions'!$B$8)))))),0)</f>
        <v>7323.876923076923</v>
      </c>
      <c r="G71" s="91">
        <f>IF(5&lt;='I_Inputs &amp; Assumptions'!$B$8,IF('I_Budget Input Data'!$E$71="Upfront",IF(5=1,'I_Budget Input Data'!$D$71,0),IF('I_Budget Input Data'!$E$71="Equal",'I_Budget Input Data'!$D$71/'I_Inputs &amp; Assumptions'!$B$8,IF('I_Budget Input Data'!$E$71="Front-loaded",IF(5&lt;='I_Inputs &amp; Assumptions'!$B$8/2,'I_Budget Input Data'!$D$71*0.6/('I_Inputs &amp; Assumptions'!$B$8/2),'I_Budget Input Data'!$D$71*0.4/('I_Inputs &amp; Assumptions'!$B$8/2)),IF('I_Budget Input Data'!$E$71="Back-loaded",IF(5&lt;='I_Inputs &amp; Assumptions'!$B$8/2,'I_Budget Input Data'!$D$71*0.4/('I_Inputs &amp; Assumptions'!$B$8/2),'I_Budget Input Data'!$D$71*0.6/('I_Inputs &amp; Assumptions'!$B$8/2)),IF('I_Budget Input Data'!$E$71="Mid-weighted",IF(5&lt;='I_Inputs &amp; Assumptions'!$B$8/4,'I_Budget Input Data'!$D$71*0.2/('I_Inputs &amp; Assumptions'!$B$8/4),IF(5&lt;='I_Inputs &amp; Assumptions'!$B$8*0.75,'I_Budget Input Data'!$D$71*0.6/('I_Inputs &amp; Assumptions'!$B$8/2),'I_Budget Input Data'!$D$71*0.2/('I_Inputs &amp; Assumptions'!$B$8/4))),IF('I_Budget Input Data'!$E$71="At Completion",IF(5='I_Inputs &amp; Assumptions'!$B$8,'I_Budget Input Data'!$D$71,0),'I_Budget Input Data'!$D$71/'I_Inputs &amp; Assumptions'!$B$8)))))),0)</f>
        <v>7323.876923076923</v>
      </c>
      <c r="H71" s="91">
        <f>IF(6&lt;='I_Inputs &amp; Assumptions'!$B$8,IF('I_Budget Input Data'!$E$71="Upfront",IF(6=1,'I_Budget Input Data'!$D$71,0),IF('I_Budget Input Data'!$E$71="Equal",'I_Budget Input Data'!$D$71/'I_Inputs &amp; Assumptions'!$B$8,IF('I_Budget Input Data'!$E$71="Front-loaded",IF(6&lt;='I_Inputs &amp; Assumptions'!$B$8/2,'I_Budget Input Data'!$D$71*0.6/('I_Inputs &amp; Assumptions'!$B$8/2),'I_Budget Input Data'!$D$71*0.4/('I_Inputs &amp; Assumptions'!$B$8/2)),IF('I_Budget Input Data'!$E$71="Back-loaded",IF(6&lt;='I_Inputs &amp; Assumptions'!$B$8/2,'I_Budget Input Data'!$D$71*0.4/('I_Inputs &amp; Assumptions'!$B$8/2),'I_Budget Input Data'!$D$71*0.6/('I_Inputs &amp; Assumptions'!$B$8/2)),IF('I_Budget Input Data'!$E$71="Mid-weighted",IF(6&lt;='I_Inputs &amp; Assumptions'!$B$8/4,'I_Budget Input Data'!$D$71*0.2/('I_Inputs &amp; Assumptions'!$B$8/4),IF(6&lt;='I_Inputs &amp; Assumptions'!$B$8*0.75,'I_Budget Input Data'!$D$71*0.6/('I_Inputs &amp; Assumptions'!$B$8/2),'I_Budget Input Data'!$D$71*0.2/('I_Inputs &amp; Assumptions'!$B$8/4))),IF('I_Budget Input Data'!$E$71="At Completion",IF(6='I_Inputs &amp; Assumptions'!$B$8,'I_Budget Input Data'!$D$71,0),'I_Budget Input Data'!$D$71/'I_Inputs &amp; Assumptions'!$B$8)))))),0)</f>
        <v>7323.876923076923</v>
      </c>
      <c r="I71" s="91">
        <f>IF(7&lt;='I_Inputs &amp; Assumptions'!$B$8,IF('I_Budget Input Data'!$E$71="Upfront",IF(7=1,'I_Budget Input Data'!$D$71,0),IF('I_Budget Input Data'!$E$71="Equal",'I_Budget Input Data'!$D$71/'I_Inputs &amp; Assumptions'!$B$8,IF('I_Budget Input Data'!$E$71="Front-loaded",IF(7&lt;='I_Inputs &amp; Assumptions'!$B$8/2,'I_Budget Input Data'!$D$71*0.6/('I_Inputs &amp; Assumptions'!$B$8/2),'I_Budget Input Data'!$D$71*0.4/('I_Inputs &amp; Assumptions'!$B$8/2)),IF('I_Budget Input Data'!$E$71="Back-loaded",IF(7&lt;='I_Inputs &amp; Assumptions'!$B$8/2,'I_Budget Input Data'!$D$71*0.4/('I_Inputs &amp; Assumptions'!$B$8/2),'I_Budget Input Data'!$D$71*0.6/('I_Inputs &amp; Assumptions'!$B$8/2)),IF('I_Budget Input Data'!$E$71="Mid-weighted",IF(7&lt;='I_Inputs &amp; Assumptions'!$B$8/4,'I_Budget Input Data'!$D$71*0.2/('I_Inputs &amp; Assumptions'!$B$8/4),IF(7&lt;='I_Inputs &amp; Assumptions'!$B$8*0.75,'I_Budget Input Data'!$D$71*0.6/('I_Inputs &amp; Assumptions'!$B$8/2),'I_Budget Input Data'!$D$71*0.2/('I_Inputs &amp; Assumptions'!$B$8/4))),IF('I_Budget Input Data'!$E$71="At Completion",IF(7='I_Inputs &amp; Assumptions'!$B$8,'I_Budget Input Data'!$D$71,0),'I_Budget Input Data'!$D$71/'I_Inputs &amp; Assumptions'!$B$8)))))),0)</f>
        <v>4882.584615384616</v>
      </c>
      <c r="J71" s="91">
        <f>IF(8&lt;='I_Inputs &amp; Assumptions'!$B$8,IF('I_Budget Input Data'!$E$71="Upfront",IF(8=1,'I_Budget Input Data'!$D$71,0),IF('I_Budget Input Data'!$E$71="Equal",'I_Budget Input Data'!$D$71/'I_Inputs &amp; Assumptions'!$B$8,IF('I_Budget Input Data'!$E$71="Front-loaded",IF(8&lt;='I_Inputs &amp; Assumptions'!$B$8/2,'I_Budget Input Data'!$D$71*0.6/('I_Inputs &amp; Assumptions'!$B$8/2),'I_Budget Input Data'!$D$71*0.4/('I_Inputs &amp; Assumptions'!$B$8/2)),IF('I_Budget Input Data'!$E$71="Back-loaded",IF(8&lt;='I_Inputs &amp; Assumptions'!$B$8/2,'I_Budget Input Data'!$D$71*0.4/('I_Inputs &amp; Assumptions'!$B$8/2),'I_Budget Input Data'!$D$71*0.6/('I_Inputs &amp; Assumptions'!$B$8/2)),IF('I_Budget Input Data'!$E$71="Mid-weighted",IF(8&lt;='I_Inputs &amp; Assumptions'!$B$8/4,'I_Budget Input Data'!$D$71*0.2/('I_Inputs &amp; Assumptions'!$B$8/4),IF(8&lt;='I_Inputs &amp; Assumptions'!$B$8*0.75,'I_Budget Input Data'!$D$71*0.6/('I_Inputs &amp; Assumptions'!$B$8/2),'I_Budget Input Data'!$D$71*0.2/('I_Inputs &amp; Assumptions'!$B$8/4))),IF('I_Budget Input Data'!$E$71="At Completion",IF(8='I_Inputs &amp; Assumptions'!$B$8,'I_Budget Input Data'!$D$71,0),'I_Budget Input Data'!$D$71/'I_Inputs &amp; Assumptions'!$B$8)))))),0)</f>
        <v>4882.584615384616</v>
      </c>
      <c r="K71" s="91">
        <f>IF(9&lt;='I_Inputs &amp; Assumptions'!$B$8,IF('I_Budget Input Data'!$E$71="Upfront",IF(9=1,'I_Budget Input Data'!$D$71,0),IF('I_Budget Input Data'!$E$71="Equal",'I_Budget Input Data'!$D$71/'I_Inputs &amp; Assumptions'!$B$8,IF('I_Budget Input Data'!$E$71="Front-loaded",IF(9&lt;='I_Inputs &amp; Assumptions'!$B$8/2,'I_Budget Input Data'!$D$71*0.6/('I_Inputs &amp; Assumptions'!$B$8/2),'I_Budget Input Data'!$D$71*0.4/('I_Inputs &amp; Assumptions'!$B$8/2)),IF('I_Budget Input Data'!$E$71="Back-loaded",IF(9&lt;='I_Inputs &amp; Assumptions'!$B$8/2,'I_Budget Input Data'!$D$71*0.4/('I_Inputs &amp; Assumptions'!$B$8/2),'I_Budget Input Data'!$D$71*0.6/('I_Inputs &amp; Assumptions'!$B$8/2)),IF('I_Budget Input Data'!$E$71="Mid-weighted",IF(9&lt;='I_Inputs &amp; Assumptions'!$B$8/4,'I_Budget Input Data'!$D$71*0.2/('I_Inputs &amp; Assumptions'!$B$8/4),IF(9&lt;='I_Inputs &amp; Assumptions'!$B$8*0.75,'I_Budget Input Data'!$D$71*0.6/('I_Inputs &amp; Assumptions'!$B$8/2),'I_Budget Input Data'!$D$71*0.2/('I_Inputs &amp; Assumptions'!$B$8/4))),IF('I_Budget Input Data'!$E$71="At Completion",IF(9='I_Inputs &amp; Assumptions'!$B$8,'I_Budget Input Data'!$D$71,0),'I_Budget Input Data'!$D$71/'I_Inputs &amp; Assumptions'!$B$8)))))),0)</f>
        <v>4882.584615384616</v>
      </c>
      <c r="L71" s="91">
        <f>IF(10&lt;='I_Inputs &amp; Assumptions'!$B$8,IF('I_Budget Input Data'!$E$71="Upfront",IF(10=1,'I_Budget Input Data'!$D$71,0),IF('I_Budget Input Data'!$E$71="Equal",'I_Budget Input Data'!$D$71/'I_Inputs &amp; Assumptions'!$B$8,IF('I_Budget Input Data'!$E$71="Front-loaded",IF(10&lt;='I_Inputs &amp; Assumptions'!$B$8/2,'I_Budget Input Data'!$D$71*0.6/('I_Inputs &amp; Assumptions'!$B$8/2),'I_Budget Input Data'!$D$71*0.4/('I_Inputs &amp; Assumptions'!$B$8/2)),IF('I_Budget Input Data'!$E$71="Back-loaded",IF(10&lt;='I_Inputs &amp; Assumptions'!$B$8/2,'I_Budget Input Data'!$D$71*0.4/('I_Inputs &amp; Assumptions'!$B$8/2),'I_Budget Input Data'!$D$71*0.6/('I_Inputs &amp; Assumptions'!$B$8/2)),IF('I_Budget Input Data'!$E$71="Mid-weighted",IF(10&lt;='I_Inputs &amp; Assumptions'!$B$8/4,'I_Budget Input Data'!$D$71*0.2/('I_Inputs &amp; Assumptions'!$B$8/4),IF(10&lt;='I_Inputs &amp; Assumptions'!$B$8*0.75,'I_Budget Input Data'!$D$71*0.6/('I_Inputs &amp; Assumptions'!$B$8/2),'I_Budget Input Data'!$D$71*0.2/('I_Inputs &amp; Assumptions'!$B$8/4))),IF('I_Budget Input Data'!$E$71="At Completion",IF(10='I_Inputs &amp; Assumptions'!$B$8,'I_Budget Input Data'!$D$71,0),'I_Budget Input Data'!$D$71/'I_Inputs &amp; Assumptions'!$B$8)))))),0)</f>
        <v>4882.584615384616</v>
      </c>
      <c r="M71" s="91">
        <f>IF(11&lt;='I_Inputs &amp; Assumptions'!$B$8,IF('I_Budget Input Data'!$E$71="Upfront",IF(11=1,'I_Budget Input Data'!$D$71,0),IF('I_Budget Input Data'!$E$71="Equal",'I_Budget Input Data'!$D$71/'I_Inputs &amp; Assumptions'!$B$8,IF('I_Budget Input Data'!$E$71="Front-loaded",IF(11&lt;='I_Inputs &amp; Assumptions'!$B$8/2,'I_Budget Input Data'!$D$71*0.6/('I_Inputs &amp; Assumptions'!$B$8/2),'I_Budget Input Data'!$D$71*0.4/('I_Inputs &amp; Assumptions'!$B$8/2)),IF('I_Budget Input Data'!$E$71="Back-loaded",IF(11&lt;='I_Inputs &amp; Assumptions'!$B$8/2,'I_Budget Input Data'!$D$71*0.4/('I_Inputs &amp; Assumptions'!$B$8/2),'I_Budget Input Data'!$D$71*0.6/('I_Inputs &amp; Assumptions'!$B$8/2)),IF('I_Budget Input Data'!$E$71="Mid-weighted",IF(11&lt;='I_Inputs &amp; Assumptions'!$B$8/4,'I_Budget Input Data'!$D$71*0.2/('I_Inputs &amp; Assumptions'!$B$8/4),IF(11&lt;='I_Inputs &amp; Assumptions'!$B$8*0.75,'I_Budget Input Data'!$D$71*0.6/('I_Inputs &amp; Assumptions'!$B$8/2),'I_Budget Input Data'!$D$71*0.2/('I_Inputs &amp; Assumptions'!$B$8/4))),IF('I_Budget Input Data'!$E$71="At Completion",IF(11='I_Inputs &amp; Assumptions'!$B$8,'I_Budget Input Data'!$D$71,0),'I_Budget Input Data'!$D$71/'I_Inputs &amp; Assumptions'!$B$8)))))),0)</f>
        <v>4882.584615384616</v>
      </c>
      <c r="N71" s="91">
        <f>IF(12&lt;='I_Inputs &amp; Assumptions'!$B$8,IF('I_Budget Input Data'!$E$71="Upfront",IF(12=1,'I_Budget Input Data'!$D$71,0),IF('I_Budget Input Data'!$E$71="Equal",'I_Budget Input Data'!$D$71/'I_Inputs &amp; Assumptions'!$B$8,IF('I_Budget Input Data'!$E$71="Front-loaded",IF(12&lt;='I_Inputs &amp; Assumptions'!$B$8/2,'I_Budget Input Data'!$D$71*0.6/('I_Inputs &amp; Assumptions'!$B$8/2),'I_Budget Input Data'!$D$71*0.4/('I_Inputs &amp; Assumptions'!$B$8/2)),IF('I_Budget Input Data'!$E$71="Back-loaded",IF(12&lt;='I_Inputs &amp; Assumptions'!$B$8/2,'I_Budget Input Data'!$D$71*0.4/('I_Inputs &amp; Assumptions'!$B$8/2),'I_Budget Input Data'!$D$71*0.6/('I_Inputs &amp; Assumptions'!$B$8/2)),IF('I_Budget Input Data'!$E$71="Mid-weighted",IF(12&lt;='I_Inputs &amp; Assumptions'!$B$8/4,'I_Budget Input Data'!$D$71*0.2/('I_Inputs &amp; Assumptions'!$B$8/4),IF(12&lt;='I_Inputs &amp; Assumptions'!$B$8*0.75,'I_Budget Input Data'!$D$71*0.6/('I_Inputs &amp; Assumptions'!$B$8/2),'I_Budget Input Data'!$D$71*0.2/('I_Inputs &amp; Assumptions'!$B$8/4))),IF('I_Budget Input Data'!$E$71="At Completion",IF(12='I_Inputs &amp; Assumptions'!$B$8,'I_Budget Input Data'!$D$71,0),'I_Budget Input Data'!$D$71/'I_Inputs &amp; Assumptions'!$B$8)))))),0)</f>
        <v>4882.584615384616</v>
      </c>
      <c r="O71" s="91">
        <f>IF(13&lt;='I_Inputs &amp; Assumptions'!$B$8,IF('I_Budget Input Data'!$E$71="Upfront",IF(13=1,'I_Budget Input Data'!$D$71,0),IF('I_Budget Input Data'!$E$71="Equal",'I_Budget Input Data'!$D$71/'I_Inputs &amp; Assumptions'!$B$8,IF('I_Budget Input Data'!$E$71="Front-loaded",IF(13&lt;='I_Inputs &amp; Assumptions'!$B$8/2,'I_Budget Input Data'!$D$71*0.6/('I_Inputs &amp; Assumptions'!$B$8/2),'I_Budget Input Data'!$D$71*0.4/('I_Inputs &amp; Assumptions'!$B$8/2)),IF('I_Budget Input Data'!$E$71="Back-loaded",IF(13&lt;='I_Inputs &amp; Assumptions'!$B$8/2,'I_Budget Input Data'!$D$71*0.4/('I_Inputs &amp; Assumptions'!$B$8/2),'I_Budget Input Data'!$D$71*0.6/('I_Inputs &amp; Assumptions'!$B$8/2)),IF('I_Budget Input Data'!$E$71="Mid-weighted",IF(13&lt;='I_Inputs &amp; Assumptions'!$B$8/4,'I_Budget Input Data'!$D$71*0.2/('I_Inputs &amp; Assumptions'!$B$8/4),IF(13&lt;='I_Inputs &amp; Assumptions'!$B$8*0.75,'I_Budget Input Data'!$D$71*0.6/('I_Inputs &amp; Assumptions'!$B$8/2),'I_Budget Input Data'!$D$71*0.2/('I_Inputs &amp; Assumptions'!$B$8/4))),IF('I_Budget Input Data'!$E$71="At Completion",IF(13='I_Inputs &amp; Assumptions'!$B$8,'I_Budget Input Data'!$D$71,0),'I_Budget Input Data'!$D$71/'I_Inputs &amp; Assumptions'!$B$8)))))),0)</f>
        <v>4882.584615384616</v>
      </c>
      <c r="P71" s="91">
        <f>IF(14&lt;='I_Inputs &amp; Assumptions'!$B$8,IF('I_Budget Input Data'!$E$71="Upfront",IF(14=1,'I_Budget Input Data'!$D$71,0),IF('I_Budget Input Data'!$E$71="Equal",'I_Budget Input Data'!$D$71/'I_Inputs &amp; Assumptions'!$B$8,IF('I_Budget Input Data'!$E$71="Front-loaded",IF(14&lt;='I_Inputs &amp; Assumptions'!$B$8/2,'I_Budget Input Data'!$D$71*0.6/('I_Inputs &amp; Assumptions'!$B$8/2),'I_Budget Input Data'!$D$71*0.4/('I_Inputs &amp; Assumptions'!$B$8/2)),IF('I_Budget Input Data'!$E$71="Back-loaded",IF(14&lt;='I_Inputs &amp; Assumptions'!$B$8/2,'I_Budget Input Data'!$D$71*0.4/('I_Inputs &amp; Assumptions'!$B$8/2),'I_Budget Input Data'!$D$71*0.6/('I_Inputs &amp; Assumptions'!$B$8/2)),IF('I_Budget Input Data'!$E$71="Mid-weighted",IF(14&lt;='I_Inputs &amp; Assumptions'!$B$8/4,'I_Budget Input Data'!$D$71*0.2/('I_Inputs &amp; Assumptions'!$B$8/4),IF(14&lt;='I_Inputs &amp; Assumptions'!$B$8*0.75,'I_Budget Input Data'!$D$71*0.6/('I_Inputs &amp; Assumptions'!$B$8/2),'I_Budget Input Data'!$D$71*0.2/('I_Inputs &amp; Assumptions'!$B$8/4))),IF('I_Budget Input Data'!$E$71="At Completion",IF(14='I_Inputs &amp; Assumptions'!$B$8,'I_Budget Input Data'!$D$71,0),'I_Budget Input Data'!$D$71/'I_Inputs &amp; Assumptions'!$B$8)))))),0)</f>
        <v>0</v>
      </c>
      <c r="Q71" s="91">
        <f>IF(15&lt;='I_Inputs &amp; Assumptions'!$B$8,IF('I_Budget Input Data'!$E$71="Upfront",IF(15=1,'I_Budget Input Data'!$D$71,0),IF('I_Budget Input Data'!$E$71="Equal",'I_Budget Input Data'!$D$71/'I_Inputs &amp; Assumptions'!$B$8,IF('I_Budget Input Data'!$E$71="Front-loaded",IF(15&lt;='I_Inputs &amp; Assumptions'!$B$8/2,'I_Budget Input Data'!$D$71*0.6/('I_Inputs &amp; Assumptions'!$B$8/2),'I_Budget Input Data'!$D$71*0.4/('I_Inputs &amp; Assumptions'!$B$8/2)),IF('I_Budget Input Data'!$E$71="Back-loaded",IF(15&lt;='I_Inputs &amp; Assumptions'!$B$8/2,'I_Budget Input Data'!$D$71*0.4/('I_Inputs &amp; Assumptions'!$B$8/2),'I_Budget Input Data'!$D$71*0.6/('I_Inputs &amp; Assumptions'!$B$8/2)),IF('I_Budget Input Data'!$E$71="Mid-weighted",IF(15&lt;='I_Inputs &amp; Assumptions'!$B$8/4,'I_Budget Input Data'!$D$71*0.2/('I_Inputs &amp; Assumptions'!$B$8/4),IF(15&lt;='I_Inputs &amp; Assumptions'!$B$8*0.75,'I_Budget Input Data'!$D$71*0.6/('I_Inputs &amp; Assumptions'!$B$8/2),'I_Budget Input Data'!$D$71*0.2/('I_Inputs &amp; Assumptions'!$B$8/4))),IF('I_Budget Input Data'!$E$71="At Completion",IF(15='I_Inputs &amp; Assumptions'!$B$8,'I_Budget Input Data'!$D$71,0),'I_Budget Input Data'!$D$71/'I_Inputs &amp; Assumptions'!$B$8)))))),0)</f>
        <v>0</v>
      </c>
      <c r="R71" s="91">
        <f>IF(16&lt;='I_Inputs &amp; Assumptions'!$B$8,IF('I_Budget Input Data'!$E$71="Upfront",IF(16=1,'I_Budget Input Data'!$D$71,0),IF('I_Budget Input Data'!$E$71="Equal",'I_Budget Input Data'!$D$71/'I_Inputs &amp; Assumptions'!$B$8,IF('I_Budget Input Data'!$E$71="Front-loaded",IF(16&lt;='I_Inputs &amp; Assumptions'!$B$8/2,'I_Budget Input Data'!$D$71*0.6/('I_Inputs &amp; Assumptions'!$B$8/2),'I_Budget Input Data'!$D$71*0.4/('I_Inputs &amp; Assumptions'!$B$8/2)),IF('I_Budget Input Data'!$E$71="Back-loaded",IF(16&lt;='I_Inputs &amp; Assumptions'!$B$8/2,'I_Budget Input Data'!$D$71*0.4/('I_Inputs &amp; Assumptions'!$B$8/2),'I_Budget Input Data'!$D$71*0.6/('I_Inputs &amp; Assumptions'!$B$8/2)),IF('I_Budget Input Data'!$E$71="Mid-weighted",IF(16&lt;='I_Inputs &amp; Assumptions'!$B$8/4,'I_Budget Input Data'!$D$71*0.2/('I_Inputs &amp; Assumptions'!$B$8/4),IF(16&lt;='I_Inputs &amp; Assumptions'!$B$8*0.75,'I_Budget Input Data'!$D$71*0.6/('I_Inputs &amp; Assumptions'!$B$8/2),'I_Budget Input Data'!$D$71*0.2/('I_Inputs &amp; Assumptions'!$B$8/4))),IF('I_Budget Input Data'!$E$71="At Completion",IF(16='I_Inputs &amp; Assumptions'!$B$8,'I_Budget Input Data'!$D$71,0),'I_Budget Input Data'!$D$71/'I_Inputs &amp; Assumptions'!$B$8)))))),0)</f>
        <v>0</v>
      </c>
      <c r="S71" s="91">
        <f>IF(17&lt;='I_Inputs &amp; Assumptions'!$B$8,IF('I_Budget Input Data'!$E$71="Upfront",IF(17=1,'I_Budget Input Data'!$D$71,0),IF('I_Budget Input Data'!$E$71="Equal",'I_Budget Input Data'!$D$71/'I_Inputs &amp; Assumptions'!$B$8,IF('I_Budget Input Data'!$E$71="Front-loaded",IF(17&lt;='I_Inputs &amp; Assumptions'!$B$8/2,'I_Budget Input Data'!$D$71*0.6/('I_Inputs &amp; Assumptions'!$B$8/2),'I_Budget Input Data'!$D$71*0.4/('I_Inputs &amp; Assumptions'!$B$8/2)),IF('I_Budget Input Data'!$E$71="Back-loaded",IF(17&lt;='I_Inputs &amp; Assumptions'!$B$8/2,'I_Budget Input Data'!$D$71*0.4/('I_Inputs &amp; Assumptions'!$B$8/2),'I_Budget Input Data'!$D$71*0.6/('I_Inputs &amp; Assumptions'!$B$8/2)),IF('I_Budget Input Data'!$E$71="Mid-weighted",IF(17&lt;='I_Inputs &amp; Assumptions'!$B$8/4,'I_Budget Input Data'!$D$71*0.2/('I_Inputs &amp; Assumptions'!$B$8/4),IF(17&lt;='I_Inputs &amp; Assumptions'!$B$8*0.75,'I_Budget Input Data'!$D$71*0.6/('I_Inputs &amp; Assumptions'!$B$8/2),'I_Budget Input Data'!$D$71*0.2/('I_Inputs &amp; Assumptions'!$B$8/4))),IF('I_Budget Input Data'!$E$71="At Completion",IF(17='I_Inputs &amp; Assumptions'!$B$8,'I_Budget Input Data'!$D$71,0),'I_Budget Input Data'!$D$71/'I_Inputs &amp; Assumptions'!$B$8)))))),0)</f>
        <v>0</v>
      </c>
      <c r="T71" s="91">
        <f>IF(18&lt;='I_Inputs &amp; Assumptions'!$B$8,IF('I_Budget Input Data'!$E$71="Upfront",IF(18=1,'I_Budget Input Data'!$D$71,0),IF('I_Budget Input Data'!$E$71="Equal",'I_Budget Input Data'!$D$71/'I_Inputs &amp; Assumptions'!$B$8,IF('I_Budget Input Data'!$E$71="Front-loaded",IF(18&lt;='I_Inputs &amp; Assumptions'!$B$8/2,'I_Budget Input Data'!$D$71*0.6/('I_Inputs &amp; Assumptions'!$B$8/2),'I_Budget Input Data'!$D$71*0.4/('I_Inputs &amp; Assumptions'!$B$8/2)),IF('I_Budget Input Data'!$E$71="Back-loaded",IF(18&lt;='I_Inputs &amp; Assumptions'!$B$8/2,'I_Budget Input Data'!$D$71*0.4/('I_Inputs &amp; Assumptions'!$B$8/2),'I_Budget Input Data'!$D$71*0.6/('I_Inputs &amp; Assumptions'!$B$8/2)),IF('I_Budget Input Data'!$E$71="Mid-weighted",IF(18&lt;='I_Inputs &amp; Assumptions'!$B$8/4,'I_Budget Input Data'!$D$71*0.2/('I_Inputs &amp; Assumptions'!$B$8/4),IF(18&lt;='I_Inputs &amp; Assumptions'!$B$8*0.75,'I_Budget Input Data'!$D$71*0.6/('I_Inputs &amp; Assumptions'!$B$8/2),'I_Budget Input Data'!$D$71*0.2/('I_Inputs &amp; Assumptions'!$B$8/4))),IF('I_Budget Input Data'!$E$71="At Completion",IF(18='I_Inputs &amp; Assumptions'!$B$8,'I_Budget Input Data'!$D$71,0),'I_Budget Input Data'!$D$71/'I_Inputs &amp; Assumptions'!$B$8)))))),0)</f>
        <v>0</v>
      </c>
      <c r="U71" s="91">
        <f>IF(19&lt;='I_Inputs &amp; Assumptions'!$B$8,IF('I_Budget Input Data'!$E$71="Upfront",IF(19=1,'I_Budget Input Data'!$D$71,0),IF('I_Budget Input Data'!$E$71="Equal",'I_Budget Input Data'!$D$71/'I_Inputs &amp; Assumptions'!$B$8,IF('I_Budget Input Data'!$E$71="Front-loaded",IF(19&lt;='I_Inputs &amp; Assumptions'!$B$8/2,'I_Budget Input Data'!$D$71*0.6/('I_Inputs &amp; Assumptions'!$B$8/2),'I_Budget Input Data'!$D$71*0.4/('I_Inputs &amp; Assumptions'!$B$8/2)),IF('I_Budget Input Data'!$E$71="Back-loaded",IF(19&lt;='I_Inputs &amp; Assumptions'!$B$8/2,'I_Budget Input Data'!$D$71*0.4/('I_Inputs &amp; Assumptions'!$B$8/2),'I_Budget Input Data'!$D$71*0.6/('I_Inputs &amp; Assumptions'!$B$8/2)),IF('I_Budget Input Data'!$E$71="Mid-weighted",IF(19&lt;='I_Inputs &amp; Assumptions'!$B$8/4,'I_Budget Input Data'!$D$71*0.2/('I_Inputs &amp; Assumptions'!$B$8/4),IF(19&lt;='I_Inputs &amp; Assumptions'!$B$8*0.75,'I_Budget Input Data'!$D$71*0.6/('I_Inputs &amp; Assumptions'!$B$8/2),'I_Budget Input Data'!$D$71*0.2/('I_Inputs &amp; Assumptions'!$B$8/4))),IF('I_Budget Input Data'!$E$71="At Completion",IF(19='I_Inputs &amp; Assumptions'!$B$8,'I_Budget Input Data'!$D$71,0),'I_Budget Input Data'!$D$71/'I_Inputs &amp; Assumptions'!$B$8)))))),0)</f>
        <v>0</v>
      </c>
      <c r="V71" s="91">
        <f>IF(20&lt;='I_Inputs &amp; Assumptions'!$B$8,IF('I_Budget Input Data'!$E$71="Upfront",IF(20=1,'I_Budget Input Data'!$D$71,0),IF('I_Budget Input Data'!$E$71="Equal",'I_Budget Input Data'!$D$71/'I_Inputs &amp; Assumptions'!$B$8,IF('I_Budget Input Data'!$E$71="Front-loaded",IF(20&lt;='I_Inputs &amp; Assumptions'!$B$8/2,'I_Budget Input Data'!$D$71*0.6/('I_Inputs &amp; Assumptions'!$B$8/2),'I_Budget Input Data'!$D$71*0.4/('I_Inputs &amp; Assumptions'!$B$8/2)),IF('I_Budget Input Data'!$E$71="Back-loaded",IF(20&lt;='I_Inputs &amp; Assumptions'!$B$8/2,'I_Budget Input Data'!$D$71*0.4/('I_Inputs &amp; Assumptions'!$B$8/2),'I_Budget Input Data'!$D$71*0.6/('I_Inputs &amp; Assumptions'!$B$8/2)),IF('I_Budget Input Data'!$E$71="Mid-weighted",IF(20&lt;='I_Inputs &amp; Assumptions'!$B$8/4,'I_Budget Input Data'!$D$71*0.2/('I_Inputs &amp; Assumptions'!$B$8/4),IF(20&lt;='I_Inputs &amp; Assumptions'!$B$8*0.75,'I_Budget Input Data'!$D$71*0.6/('I_Inputs &amp; Assumptions'!$B$8/2),'I_Budget Input Data'!$D$71*0.2/('I_Inputs &amp; Assumptions'!$B$8/4))),IF('I_Budget Input Data'!$E$71="At Completion",IF(20='I_Inputs &amp; Assumptions'!$B$8,'I_Budget Input Data'!$D$71,0),'I_Budget Input Data'!$D$71/'I_Inputs &amp; Assumptions'!$B$8)))))),0)</f>
        <v>0</v>
      </c>
      <c r="W71" s="91">
        <f>IF(21&lt;='I_Inputs &amp; Assumptions'!$B$8,IF('I_Budget Input Data'!$E$71="Upfront",IF(21=1,'I_Budget Input Data'!$D$71,0),IF('I_Budget Input Data'!$E$71="Equal",'I_Budget Input Data'!$D$71/'I_Inputs &amp; Assumptions'!$B$8,IF('I_Budget Input Data'!$E$71="Front-loaded",IF(21&lt;='I_Inputs &amp; Assumptions'!$B$8/2,'I_Budget Input Data'!$D$71*0.6/('I_Inputs &amp; Assumptions'!$B$8/2),'I_Budget Input Data'!$D$71*0.4/('I_Inputs &amp; Assumptions'!$B$8/2)),IF('I_Budget Input Data'!$E$71="Back-loaded",IF(21&lt;='I_Inputs &amp; Assumptions'!$B$8/2,'I_Budget Input Data'!$D$71*0.4/('I_Inputs &amp; Assumptions'!$B$8/2),'I_Budget Input Data'!$D$71*0.6/('I_Inputs &amp; Assumptions'!$B$8/2)),IF('I_Budget Input Data'!$E$71="Mid-weighted",IF(21&lt;='I_Inputs &amp; Assumptions'!$B$8/4,'I_Budget Input Data'!$D$71*0.2/('I_Inputs &amp; Assumptions'!$B$8/4),IF(21&lt;='I_Inputs &amp; Assumptions'!$B$8*0.75,'I_Budget Input Data'!$D$71*0.6/('I_Inputs &amp; Assumptions'!$B$8/2),'I_Budget Input Data'!$D$71*0.2/('I_Inputs &amp; Assumptions'!$B$8/4))),IF('I_Budget Input Data'!$E$71="At Completion",IF(21='I_Inputs &amp; Assumptions'!$B$8,'I_Budget Input Data'!$D$71,0),'I_Budget Input Data'!$D$71/'I_Inputs &amp; Assumptions'!$B$8)))))),0)</f>
        <v>0</v>
      </c>
      <c r="X71" s="91">
        <f>IF(22&lt;='I_Inputs &amp; Assumptions'!$B$8,IF('I_Budget Input Data'!$E$71="Upfront",IF(22=1,'I_Budget Input Data'!$D$71,0),IF('I_Budget Input Data'!$E$71="Equal",'I_Budget Input Data'!$D$71/'I_Inputs &amp; Assumptions'!$B$8,IF('I_Budget Input Data'!$E$71="Front-loaded",IF(22&lt;='I_Inputs &amp; Assumptions'!$B$8/2,'I_Budget Input Data'!$D$71*0.6/('I_Inputs &amp; Assumptions'!$B$8/2),'I_Budget Input Data'!$D$71*0.4/('I_Inputs &amp; Assumptions'!$B$8/2)),IF('I_Budget Input Data'!$E$71="Back-loaded",IF(22&lt;='I_Inputs &amp; Assumptions'!$B$8/2,'I_Budget Input Data'!$D$71*0.4/('I_Inputs &amp; Assumptions'!$B$8/2),'I_Budget Input Data'!$D$71*0.6/('I_Inputs &amp; Assumptions'!$B$8/2)),IF('I_Budget Input Data'!$E$71="Mid-weighted",IF(22&lt;='I_Inputs &amp; Assumptions'!$B$8/4,'I_Budget Input Data'!$D$71*0.2/('I_Inputs &amp; Assumptions'!$B$8/4),IF(22&lt;='I_Inputs &amp; Assumptions'!$B$8*0.75,'I_Budget Input Data'!$D$71*0.6/('I_Inputs &amp; Assumptions'!$B$8/2),'I_Budget Input Data'!$D$71*0.2/('I_Inputs &amp; Assumptions'!$B$8/4))),IF('I_Budget Input Data'!$E$71="At Completion",IF(22='I_Inputs &amp; Assumptions'!$B$8,'I_Budget Input Data'!$D$71,0),'I_Budget Input Data'!$D$71/'I_Inputs &amp; Assumptions'!$B$8)))))),0)</f>
        <v>0</v>
      </c>
      <c r="Y71" s="91">
        <f>IF(23&lt;='I_Inputs &amp; Assumptions'!$B$8,IF('I_Budget Input Data'!$E$71="Upfront",IF(23=1,'I_Budget Input Data'!$D$71,0),IF('I_Budget Input Data'!$E$71="Equal",'I_Budget Input Data'!$D$71/'I_Inputs &amp; Assumptions'!$B$8,IF('I_Budget Input Data'!$E$71="Front-loaded",IF(23&lt;='I_Inputs &amp; Assumptions'!$B$8/2,'I_Budget Input Data'!$D$71*0.6/('I_Inputs &amp; Assumptions'!$B$8/2),'I_Budget Input Data'!$D$71*0.4/('I_Inputs &amp; Assumptions'!$B$8/2)),IF('I_Budget Input Data'!$E$71="Back-loaded",IF(23&lt;='I_Inputs &amp; Assumptions'!$B$8/2,'I_Budget Input Data'!$D$71*0.4/('I_Inputs &amp; Assumptions'!$B$8/2),'I_Budget Input Data'!$D$71*0.6/('I_Inputs &amp; Assumptions'!$B$8/2)),IF('I_Budget Input Data'!$E$71="Mid-weighted",IF(23&lt;='I_Inputs &amp; Assumptions'!$B$8/4,'I_Budget Input Data'!$D$71*0.2/('I_Inputs &amp; Assumptions'!$B$8/4),IF(23&lt;='I_Inputs &amp; Assumptions'!$B$8*0.75,'I_Budget Input Data'!$D$71*0.6/('I_Inputs &amp; Assumptions'!$B$8/2),'I_Budget Input Data'!$D$71*0.2/('I_Inputs &amp; Assumptions'!$B$8/4))),IF('I_Budget Input Data'!$E$71="At Completion",IF(23='I_Inputs &amp; Assumptions'!$B$8,'I_Budget Input Data'!$D$71,0),'I_Budget Input Data'!$D$71/'I_Inputs &amp; Assumptions'!$B$8)))))),0)</f>
        <v>0</v>
      </c>
      <c r="Z71" s="91">
        <f>IF(24&lt;='I_Inputs &amp; Assumptions'!$B$8,IF('I_Budget Input Data'!$E$71="Upfront",IF(24=1,'I_Budget Input Data'!$D$71,0),IF('I_Budget Input Data'!$E$71="Equal",'I_Budget Input Data'!$D$71/'I_Inputs &amp; Assumptions'!$B$8,IF('I_Budget Input Data'!$E$71="Front-loaded",IF(24&lt;='I_Inputs &amp; Assumptions'!$B$8/2,'I_Budget Input Data'!$D$71*0.6/('I_Inputs &amp; Assumptions'!$B$8/2),'I_Budget Input Data'!$D$71*0.4/('I_Inputs &amp; Assumptions'!$B$8/2)),IF('I_Budget Input Data'!$E$71="Back-loaded",IF(24&lt;='I_Inputs &amp; Assumptions'!$B$8/2,'I_Budget Input Data'!$D$71*0.4/('I_Inputs &amp; Assumptions'!$B$8/2),'I_Budget Input Data'!$D$71*0.6/('I_Inputs &amp; Assumptions'!$B$8/2)),IF('I_Budget Input Data'!$E$71="Mid-weighted",IF(24&lt;='I_Inputs &amp; Assumptions'!$B$8/4,'I_Budget Input Data'!$D$71*0.2/('I_Inputs &amp; Assumptions'!$B$8/4),IF(24&lt;='I_Inputs &amp; Assumptions'!$B$8*0.75,'I_Budget Input Data'!$D$71*0.6/('I_Inputs &amp; Assumptions'!$B$8/2),'I_Budget Input Data'!$D$71*0.2/('I_Inputs &amp; Assumptions'!$B$8/4))),IF('I_Budget Input Data'!$E$71="At Completion",IF(24='I_Inputs &amp; Assumptions'!$B$8,'I_Budget Input Data'!$D$71,0),'I_Budget Input Data'!$D$71/'I_Inputs &amp; Assumptions'!$B$8)))))),0)</f>
        <v>0</v>
      </c>
      <c r="AA71" s="91">
        <f>IF(25&lt;='I_Inputs &amp; Assumptions'!$B$8,IF('I_Budget Input Data'!$E$71="Upfront",IF(25=1,'I_Budget Input Data'!$D$71,0),IF('I_Budget Input Data'!$E$71="Equal",'I_Budget Input Data'!$D$71/'I_Inputs &amp; Assumptions'!$B$8,IF('I_Budget Input Data'!$E$71="Front-loaded",IF(25&lt;='I_Inputs &amp; Assumptions'!$B$8/2,'I_Budget Input Data'!$D$71*0.6/('I_Inputs &amp; Assumptions'!$B$8/2),'I_Budget Input Data'!$D$71*0.4/('I_Inputs &amp; Assumptions'!$B$8/2)),IF('I_Budget Input Data'!$E$71="Back-loaded",IF(25&lt;='I_Inputs &amp; Assumptions'!$B$8/2,'I_Budget Input Data'!$D$71*0.4/('I_Inputs &amp; Assumptions'!$B$8/2),'I_Budget Input Data'!$D$71*0.6/('I_Inputs &amp; Assumptions'!$B$8/2)),IF('I_Budget Input Data'!$E$71="Mid-weighted",IF(25&lt;='I_Inputs &amp; Assumptions'!$B$8/4,'I_Budget Input Data'!$D$71*0.2/('I_Inputs &amp; Assumptions'!$B$8/4),IF(25&lt;='I_Inputs &amp; Assumptions'!$B$8*0.75,'I_Budget Input Data'!$D$71*0.6/('I_Inputs &amp; Assumptions'!$B$8/2),'I_Budget Input Data'!$D$71*0.2/('I_Inputs &amp; Assumptions'!$B$8/4))),IF('I_Budget Input Data'!$E$71="At Completion",IF(25='I_Inputs &amp; Assumptions'!$B$8,'I_Budget Input Data'!$D$71,0),'I_Budget Input Data'!$D$71/'I_Inputs &amp; Assumptions'!$B$8)))))),0)</f>
        <v>0</v>
      </c>
      <c r="AB71" s="91">
        <f>IF(26&lt;='I_Inputs &amp; Assumptions'!$B$8,IF('I_Budget Input Data'!$E$71="Upfront",IF(26=1,'I_Budget Input Data'!$D$71,0),IF('I_Budget Input Data'!$E$71="Equal",'I_Budget Input Data'!$D$71/'I_Inputs &amp; Assumptions'!$B$8,IF('I_Budget Input Data'!$E$71="Front-loaded",IF(26&lt;='I_Inputs &amp; Assumptions'!$B$8/2,'I_Budget Input Data'!$D$71*0.6/('I_Inputs &amp; Assumptions'!$B$8/2),'I_Budget Input Data'!$D$71*0.4/('I_Inputs &amp; Assumptions'!$B$8/2)),IF('I_Budget Input Data'!$E$71="Back-loaded",IF(26&lt;='I_Inputs &amp; Assumptions'!$B$8/2,'I_Budget Input Data'!$D$71*0.4/('I_Inputs &amp; Assumptions'!$B$8/2),'I_Budget Input Data'!$D$71*0.6/('I_Inputs &amp; Assumptions'!$B$8/2)),IF('I_Budget Input Data'!$E$71="Mid-weighted",IF(26&lt;='I_Inputs &amp; Assumptions'!$B$8/4,'I_Budget Input Data'!$D$71*0.2/('I_Inputs &amp; Assumptions'!$B$8/4),IF(26&lt;='I_Inputs &amp; Assumptions'!$B$8*0.75,'I_Budget Input Data'!$D$71*0.6/('I_Inputs &amp; Assumptions'!$B$8/2),'I_Budget Input Data'!$D$71*0.2/('I_Inputs &amp; Assumptions'!$B$8/4))),IF('I_Budget Input Data'!$E$71="At Completion",IF(26='I_Inputs &amp; Assumptions'!$B$8,'I_Budget Input Data'!$D$71,0),'I_Budget Input Data'!$D$71/'I_Inputs &amp; Assumptions'!$B$8)))))),0)</f>
        <v>0</v>
      </c>
      <c r="AC71" s="91">
        <f>IF(27&lt;='I_Inputs &amp; Assumptions'!$B$8,IF('I_Budget Input Data'!$E$71="Upfront",IF(27=1,'I_Budget Input Data'!$D$71,0),IF('I_Budget Input Data'!$E$71="Equal",'I_Budget Input Data'!$D$71/'I_Inputs &amp; Assumptions'!$B$8,IF('I_Budget Input Data'!$E$71="Front-loaded",IF(27&lt;='I_Inputs &amp; Assumptions'!$B$8/2,'I_Budget Input Data'!$D$71*0.6/('I_Inputs &amp; Assumptions'!$B$8/2),'I_Budget Input Data'!$D$71*0.4/('I_Inputs &amp; Assumptions'!$B$8/2)),IF('I_Budget Input Data'!$E$71="Back-loaded",IF(27&lt;='I_Inputs &amp; Assumptions'!$B$8/2,'I_Budget Input Data'!$D$71*0.4/('I_Inputs &amp; Assumptions'!$B$8/2),'I_Budget Input Data'!$D$71*0.6/('I_Inputs &amp; Assumptions'!$B$8/2)),IF('I_Budget Input Data'!$E$71="Mid-weighted",IF(27&lt;='I_Inputs &amp; Assumptions'!$B$8/4,'I_Budget Input Data'!$D$71*0.2/('I_Inputs &amp; Assumptions'!$B$8/4),IF(27&lt;='I_Inputs &amp; Assumptions'!$B$8*0.75,'I_Budget Input Data'!$D$71*0.6/('I_Inputs &amp; Assumptions'!$B$8/2),'I_Budget Input Data'!$D$71*0.2/('I_Inputs &amp; Assumptions'!$B$8/4))),IF('I_Budget Input Data'!$E$71="At Completion",IF(27='I_Inputs &amp; Assumptions'!$B$8,'I_Budget Input Data'!$D$71,0),'I_Budget Input Data'!$D$71/'I_Inputs &amp; Assumptions'!$B$8)))))),0)</f>
        <v>0</v>
      </c>
      <c r="AD71" s="91">
        <f>IF(28&lt;='I_Inputs &amp; Assumptions'!$B$8,IF('I_Budget Input Data'!$E$71="Upfront",IF(28=1,'I_Budget Input Data'!$D$71,0),IF('I_Budget Input Data'!$E$71="Equal",'I_Budget Input Data'!$D$71/'I_Inputs &amp; Assumptions'!$B$8,IF('I_Budget Input Data'!$E$71="Front-loaded",IF(28&lt;='I_Inputs &amp; Assumptions'!$B$8/2,'I_Budget Input Data'!$D$71*0.6/('I_Inputs &amp; Assumptions'!$B$8/2),'I_Budget Input Data'!$D$71*0.4/('I_Inputs &amp; Assumptions'!$B$8/2)),IF('I_Budget Input Data'!$E$71="Back-loaded",IF(28&lt;='I_Inputs &amp; Assumptions'!$B$8/2,'I_Budget Input Data'!$D$71*0.4/('I_Inputs &amp; Assumptions'!$B$8/2),'I_Budget Input Data'!$D$71*0.6/('I_Inputs &amp; Assumptions'!$B$8/2)),IF('I_Budget Input Data'!$E$71="Mid-weighted",IF(28&lt;='I_Inputs &amp; Assumptions'!$B$8/4,'I_Budget Input Data'!$D$71*0.2/('I_Inputs &amp; Assumptions'!$B$8/4),IF(28&lt;='I_Inputs &amp; Assumptions'!$B$8*0.75,'I_Budget Input Data'!$D$71*0.6/('I_Inputs &amp; Assumptions'!$B$8/2),'I_Budget Input Data'!$D$71*0.2/('I_Inputs &amp; Assumptions'!$B$8/4))),IF('I_Budget Input Data'!$E$71="At Completion",IF(28='I_Inputs &amp; Assumptions'!$B$8,'I_Budget Input Data'!$D$71,0),'I_Budget Input Data'!$D$71/'I_Inputs &amp; Assumptions'!$B$8)))))),0)</f>
        <v>0</v>
      </c>
      <c r="AE71" s="91">
        <f>IF(29&lt;='I_Inputs &amp; Assumptions'!$B$8,IF('I_Budget Input Data'!$E$71="Upfront",IF(29=1,'I_Budget Input Data'!$D$71,0),IF('I_Budget Input Data'!$E$71="Equal",'I_Budget Input Data'!$D$71/'I_Inputs &amp; Assumptions'!$B$8,IF('I_Budget Input Data'!$E$71="Front-loaded",IF(29&lt;='I_Inputs &amp; Assumptions'!$B$8/2,'I_Budget Input Data'!$D$71*0.6/('I_Inputs &amp; Assumptions'!$B$8/2),'I_Budget Input Data'!$D$71*0.4/('I_Inputs &amp; Assumptions'!$B$8/2)),IF('I_Budget Input Data'!$E$71="Back-loaded",IF(29&lt;='I_Inputs &amp; Assumptions'!$B$8/2,'I_Budget Input Data'!$D$71*0.4/('I_Inputs &amp; Assumptions'!$B$8/2),'I_Budget Input Data'!$D$71*0.6/('I_Inputs &amp; Assumptions'!$B$8/2)),IF('I_Budget Input Data'!$E$71="Mid-weighted",IF(29&lt;='I_Inputs &amp; Assumptions'!$B$8/4,'I_Budget Input Data'!$D$71*0.2/('I_Inputs &amp; Assumptions'!$B$8/4),IF(29&lt;='I_Inputs &amp; Assumptions'!$B$8*0.75,'I_Budget Input Data'!$D$71*0.6/('I_Inputs &amp; Assumptions'!$B$8/2),'I_Budget Input Data'!$D$71*0.2/('I_Inputs &amp; Assumptions'!$B$8/4))),IF('I_Budget Input Data'!$E$71="At Completion",IF(29='I_Inputs &amp; Assumptions'!$B$8,'I_Budget Input Data'!$D$71,0),'I_Budget Input Data'!$D$71/'I_Inputs &amp; Assumptions'!$B$8)))))),0)</f>
        <v>0</v>
      </c>
      <c r="AF71" s="91">
        <f>IF(30&lt;='I_Inputs &amp; Assumptions'!$B$8,IF('I_Budget Input Data'!$E$71="Upfront",IF(30=1,'I_Budget Input Data'!$D$71,0),IF('I_Budget Input Data'!$E$71="Equal",'I_Budget Input Data'!$D$71/'I_Inputs &amp; Assumptions'!$B$8,IF('I_Budget Input Data'!$E$71="Front-loaded",IF(30&lt;='I_Inputs &amp; Assumptions'!$B$8/2,'I_Budget Input Data'!$D$71*0.6/('I_Inputs &amp; Assumptions'!$B$8/2),'I_Budget Input Data'!$D$71*0.4/('I_Inputs &amp; Assumptions'!$B$8/2)),IF('I_Budget Input Data'!$E$71="Back-loaded",IF(30&lt;='I_Inputs &amp; Assumptions'!$B$8/2,'I_Budget Input Data'!$D$71*0.4/('I_Inputs &amp; Assumptions'!$B$8/2),'I_Budget Input Data'!$D$71*0.6/('I_Inputs &amp; Assumptions'!$B$8/2)),IF('I_Budget Input Data'!$E$71="Mid-weighted",IF(30&lt;='I_Inputs &amp; Assumptions'!$B$8/4,'I_Budget Input Data'!$D$71*0.2/('I_Inputs &amp; Assumptions'!$B$8/4),IF(30&lt;='I_Inputs &amp; Assumptions'!$B$8*0.75,'I_Budget Input Data'!$D$71*0.6/('I_Inputs &amp; Assumptions'!$B$8/2),'I_Budget Input Data'!$D$71*0.2/('I_Inputs &amp; Assumptions'!$B$8/4))),IF('I_Budget Input Data'!$E$71="At Completion",IF(30='I_Inputs &amp; Assumptions'!$B$8,'I_Budget Input Data'!$D$71,0),'I_Budget Input Data'!$D$71/'I_Inputs &amp; Assumptions'!$B$8)))))),0)</f>
        <v>0</v>
      </c>
      <c r="AG71" s="91">
        <f>IF(31&lt;='I_Inputs &amp; Assumptions'!$B$8,IF('I_Budget Input Data'!$E$71="Upfront",IF(31=1,'I_Budget Input Data'!$D$71,0),IF('I_Budget Input Data'!$E$71="Equal",'I_Budget Input Data'!$D$71/'I_Inputs &amp; Assumptions'!$B$8,IF('I_Budget Input Data'!$E$71="Front-loaded",IF(31&lt;='I_Inputs &amp; Assumptions'!$B$8/2,'I_Budget Input Data'!$D$71*0.6/('I_Inputs &amp; Assumptions'!$B$8/2),'I_Budget Input Data'!$D$71*0.4/('I_Inputs &amp; Assumptions'!$B$8/2)),IF('I_Budget Input Data'!$E$71="Back-loaded",IF(31&lt;='I_Inputs &amp; Assumptions'!$B$8/2,'I_Budget Input Data'!$D$71*0.4/('I_Inputs &amp; Assumptions'!$B$8/2),'I_Budget Input Data'!$D$71*0.6/('I_Inputs &amp; Assumptions'!$B$8/2)),IF('I_Budget Input Data'!$E$71="Mid-weighted",IF(31&lt;='I_Inputs &amp; Assumptions'!$B$8/4,'I_Budget Input Data'!$D$71*0.2/('I_Inputs &amp; Assumptions'!$B$8/4),IF(31&lt;='I_Inputs &amp; Assumptions'!$B$8*0.75,'I_Budget Input Data'!$D$71*0.6/('I_Inputs &amp; Assumptions'!$B$8/2),'I_Budget Input Data'!$D$71*0.2/('I_Inputs &amp; Assumptions'!$B$8/4))),IF('I_Budget Input Data'!$E$71="At Completion",IF(31='I_Inputs &amp; Assumptions'!$B$8,'I_Budget Input Data'!$D$71,0),'I_Budget Input Data'!$D$71/'I_Inputs &amp; Assumptions'!$B$8)))))),0)</f>
        <v>0</v>
      </c>
      <c r="AH71" s="91">
        <f>IF(32&lt;='I_Inputs &amp; Assumptions'!$B$8,IF('I_Budget Input Data'!$E$71="Upfront",IF(32=1,'I_Budget Input Data'!$D$71,0),IF('I_Budget Input Data'!$E$71="Equal",'I_Budget Input Data'!$D$71/'I_Inputs &amp; Assumptions'!$B$8,IF('I_Budget Input Data'!$E$71="Front-loaded",IF(32&lt;='I_Inputs &amp; Assumptions'!$B$8/2,'I_Budget Input Data'!$D$71*0.6/('I_Inputs &amp; Assumptions'!$B$8/2),'I_Budget Input Data'!$D$71*0.4/('I_Inputs &amp; Assumptions'!$B$8/2)),IF('I_Budget Input Data'!$E$71="Back-loaded",IF(32&lt;='I_Inputs &amp; Assumptions'!$B$8/2,'I_Budget Input Data'!$D$71*0.4/('I_Inputs &amp; Assumptions'!$B$8/2),'I_Budget Input Data'!$D$71*0.6/('I_Inputs &amp; Assumptions'!$B$8/2)),IF('I_Budget Input Data'!$E$71="Mid-weighted",IF(32&lt;='I_Inputs &amp; Assumptions'!$B$8/4,'I_Budget Input Data'!$D$71*0.2/('I_Inputs &amp; Assumptions'!$B$8/4),IF(32&lt;='I_Inputs &amp; Assumptions'!$B$8*0.75,'I_Budget Input Data'!$D$71*0.6/('I_Inputs &amp; Assumptions'!$B$8/2),'I_Budget Input Data'!$D$71*0.2/('I_Inputs &amp; Assumptions'!$B$8/4))),IF('I_Budget Input Data'!$E$71="At Completion",IF(32='I_Inputs &amp; Assumptions'!$B$8,'I_Budget Input Data'!$D$71,0),'I_Budget Input Data'!$D$71/'I_Inputs &amp; Assumptions'!$B$8)))))),0)</f>
        <v>0</v>
      </c>
      <c r="AI71" s="91">
        <f>IF(33&lt;='I_Inputs &amp; Assumptions'!$B$8,IF('I_Budget Input Data'!$E$71="Upfront",IF(33=1,'I_Budget Input Data'!$D$71,0),IF('I_Budget Input Data'!$E$71="Equal",'I_Budget Input Data'!$D$71/'I_Inputs &amp; Assumptions'!$B$8,IF('I_Budget Input Data'!$E$71="Front-loaded",IF(33&lt;='I_Inputs &amp; Assumptions'!$B$8/2,'I_Budget Input Data'!$D$71*0.6/('I_Inputs &amp; Assumptions'!$B$8/2),'I_Budget Input Data'!$D$71*0.4/('I_Inputs &amp; Assumptions'!$B$8/2)),IF('I_Budget Input Data'!$E$71="Back-loaded",IF(33&lt;='I_Inputs &amp; Assumptions'!$B$8/2,'I_Budget Input Data'!$D$71*0.4/('I_Inputs &amp; Assumptions'!$B$8/2),'I_Budget Input Data'!$D$71*0.6/('I_Inputs &amp; Assumptions'!$B$8/2)),IF('I_Budget Input Data'!$E$71="Mid-weighted",IF(33&lt;='I_Inputs &amp; Assumptions'!$B$8/4,'I_Budget Input Data'!$D$71*0.2/('I_Inputs &amp; Assumptions'!$B$8/4),IF(33&lt;='I_Inputs &amp; Assumptions'!$B$8*0.75,'I_Budget Input Data'!$D$71*0.6/('I_Inputs &amp; Assumptions'!$B$8/2),'I_Budget Input Data'!$D$71*0.2/('I_Inputs &amp; Assumptions'!$B$8/4))),IF('I_Budget Input Data'!$E$71="At Completion",IF(33='I_Inputs &amp; Assumptions'!$B$8,'I_Budget Input Data'!$D$71,0),'I_Budget Input Data'!$D$71/'I_Inputs &amp; Assumptions'!$B$8)))))),0)</f>
        <v>0</v>
      </c>
      <c r="AJ71" s="91">
        <f>IF(34&lt;='I_Inputs &amp; Assumptions'!$B$8,IF('I_Budget Input Data'!$E$71="Upfront",IF(34=1,'I_Budget Input Data'!$D$71,0),IF('I_Budget Input Data'!$E$71="Equal",'I_Budget Input Data'!$D$71/'I_Inputs &amp; Assumptions'!$B$8,IF('I_Budget Input Data'!$E$71="Front-loaded",IF(34&lt;='I_Inputs &amp; Assumptions'!$B$8/2,'I_Budget Input Data'!$D$71*0.6/('I_Inputs &amp; Assumptions'!$B$8/2),'I_Budget Input Data'!$D$71*0.4/('I_Inputs &amp; Assumptions'!$B$8/2)),IF('I_Budget Input Data'!$E$71="Back-loaded",IF(34&lt;='I_Inputs &amp; Assumptions'!$B$8/2,'I_Budget Input Data'!$D$71*0.4/('I_Inputs &amp; Assumptions'!$B$8/2),'I_Budget Input Data'!$D$71*0.6/('I_Inputs &amp; Assumptions'!$B$8/2)),IF('I_Budget Input Data'!$E$71="Mid-weighted",IF(34&lt;='I_Inputs &amp; Assumptions'!$B$8/4,'I_Budget Input Data'!$D$71*0.2/('I_Inputs &amp; Assumptions'!$B$8/4),IF(34&lt;='I_Inputs &amp; Assumptions'!$B$8*0.75,'I_Budget Input Data'!$D$71*0.6/('I_Inputs &amp; Assumptions'!$B$8/2),'I_Budget Input Data'!$D$71*0.2/('I_Inputs &amp; Assumptions'!$B$8/4))),IF('I_Budget Input Data'!$E$71="At Completion",IF(34='I_Inputs &amp; Assumptions'!$B$8,'I_Budget Input Data'!$D$71,0),'I_Budget Input Data'!$D$71/'I_Inputs &amp; Assumptions'!$B$8)))))),0)</f>
        <v>0</v>
      </c>
      <c r="AK71" s="91">
        <f>IF(35&lt;='I_Inputs &amp; Assumptions'!$B$8,IF('I_Budget Input Data'!$E$71="Upfront",IF(35=1,'I_Budget Input Data'!$D$71,0),IF('I_Budget Input Data'!$E$71="Equal",'I_Budget Input Data'!$D$71/'I_Inputs &amp; Assumptions'!$B$8,IF('I_Budget Input Data'!$E$71="Front-loaded",IF(35&lt;='I_Inputs &amp; Assumptions'!$B$8/2,'I_Budget Input Data'!$D$71*0.6/('I_Inputs &amp; Assumptions'!$B$8/2),'I_Budget Input Data'!$D$71*0.4/('I_Inputs &amp; Assumptions'!$B$8/2)),IF('I_Budget Input Data'!$E$71="Back-loaded",IF(35&lt;='I_Inputs &amp; Assumptions'!$B$8/2,'I_Budget Input Data'!$D$71*0.4/('I_Inputs &amp; Assumptions'!$B$8/2),'I_Budget Input Data'!$D$71*0.6/('I_Inputs &amp; Assumptions'!$B$8/2)),IF('I_Budget Input Data'!$E$71="Mid-weighted",IF(35&lt;='I_Inputs &amp; Assumptions'!$B$8/4,'I_Budget Input Data'!$D$71*0.2/('I_Inputs &amp; Assumptions'!$B$8/4),IF(35&lt;='I_Inputs &amp; Assumptions'!$B$8*0.75,'I_Budget Input Data'!$D$71*0.6/('I_Inputs &amp; Assumptions'!$B$8/2),'I_Budget Input Data'!$D$71*0.2/('I_Inputs &amp; Assumptions'!$B$8/4))),IF('I_Budget Input Data'!$E$71="At Completion",IF(35='I_Inputs &amp; Assumptions'!$B$8,'I_Budget Input Data'!$D$71,0),'I_Budget Input Data'!$D$71/'I_Inputs &amp; Assumptions'!$B$8)))))),0)</f>
        <v>0</v>
      </c>
      <c r="AL71" s="91">
        <f>IF(36&lt;='I_Inputs &amp; Assumptions'!$B$8,IF('I_Budget Input Data'!$E$71="Upfront",IF(36=1,'I_Budget Input Data'!$D$71,0),IF('I_Budget Input Data'!$E$71="Equal",'I_Budget Input Data'!$D$71/'I_Inputs &amp; Assumptions'!$B$8,IF('I_Budget Input Data'!$E$71="Front-loaded",IF(36&lt;='I_Inputs &amp; Assumptions'!$B$8/2,'I_Budget Input Data'!$D$71*0.6/('I_Inputs &amp; Assumptions'!$B$8/2),'I_Budget Input Data'!$D$71*0.4/('I_Inputs &amp; Assumptions'!$B$8/2)),IF('I_Budget Input Data'!$E$71="Back-loaded",IF(36&lt;='I_Inputs &amp; Assumptions'!$B$8/2,'I_Budget Input Data'!$D$71*0.4/('I_Inputs &amp; Assumptions'!$B$8/2),'I_Budget Input Data'!$D$71*0.6/('I_Inputs &amp; Assumptions'!$B$8/2)),IF('I_Budget Input Data'!$E$71="Mid-weighted",IF(36&lt;='I_Inputs &amp; Assumptions'!$B$8/4,'I_Budget Input Data'!$D$71*0.2/('I_Inputs &amp; Assumptions'!$B$8/4),IF(36&lt;='I_Inputs &amp; Assumptions'!$B$8*0.75,'I_Budget Input Data'!$D$71*0.6/('I_Inputs &amp; Assumptions'!$B$8/2),'I_Budget Input Data'!$D$71*0.2/('I_Inputs &amp; Assumptions'!$B$8/4))),IF('I_Budget Input Data'!$E$71="At Completion",IF(36='I_Inputs &amp; Assumptions'!$B$8,'I_Budget Input Data'!$D$71,0),'I_Budget Input Data'!$D$71/'I_Inputs &amp; Assumptions'!$B$8)))))),0)</f>
        <v>0</v>
      </c>
    </row>
    <row r="72" spans="1:38" ht="15" customHeight="1" x14ac:dyDescent="0.2">
      <c r="A72" t="s">
        <v>146</v>
      </c>
      <c r="B72" t="s">
        <v>191</v>
      </c>
      <c r="C72" s="91">
        <v>0</v>
      </c>
      <c r="D72" s="91">
        <v>0</v>
      </c>
      <c r="E72" s="91">
        <v>0</v>
      </c>
      <c r="F72" s="91">
        <v>0</v>
      </c>
      <c r="G72" s="91">
        <v>0</v>
      </c>
      <c r="H72" s="91">
        <v>0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  <c r="Z72" s="91">
        <v>0</v>
      </c>
      <c r="AA72" s="91">
        <v>0</v>
      </c>
      <c r="AB72" s="91">
        <v>0</v>
      </c>
      <c r="AC72" s="91">
        <v>0</v>
      </c>
      <c r="AD72" s="91">
        <v>0</v>
      </c>
      <c r="AE72" s="91">
        <v>0</v>
      </c>
      <c r="AF72" s="91">
        <v>0</v>
      </c>
      <c r="AG72" s="91">
        <v>0</v>
      </c>
      <c r="AH72" s="91">
        <v>0</v>
      </c>
      <c r="AI72" s="91">
        <v>0</v>
      </c>
      <c r="AJ72" s="91">
        <v>0</v>
      </c>
      <c r="AK72" s="91">
        <v>0</v>
      </c>
      <c r="AL72" s="91">
        <v>0</v>
      </c>
    </row>
    <row r="73" spans="1:38" ht="15" customHeight="1" x14ac:dyDescent="0.2">
      <c r="A73" t="s">
        <v>146</v>
      </c>
      <c r="B73" t="s">
        <v>192</v>
      </c>
      <c r="C73" s="91">
        <v>0</v>
      </c>
      <c r="D73" s="91">
        <v>0</v>
      </c>
      <c r="E73" s="91">
        <v>0</v>
      </c>
      <c r="F73" s="91">
        <v>0</v>
      </c>
      <c r="G73" s="91">
        <v>0</v>
      </c>
      <c r="H73" s="91">
        <v>0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  <c r="AC73" s="91">
        <v>0</v>
      </c>
      <c r="AD73" s="91">
        <v>0</v>
      </c>
      <c r="AE73" s="91">
        <v>0</v>
      </c>
      <c r="AF73" s="91">
        <v>0</v>
      </c>
      <c r="AG73" s="91">
        <v>0</v>
      </c>
      <c r="AH73" s="91">
        <v>0</v>
      </c>
      <c r="AI73" s="91">
        <v>0</v>
      </c>
      <c r="AJ73" s="91">
        <v>0</v>
      </c>
      <c r="AK73" s="91">
        <v>0</v>
      </c>
      <c r="AL73" s="91">
        <v>0</v>
      </c>
    </row>
    <row r="74" spans="1:38" ht="15" customHeight="1" x14ac:dyDescent="0.2">
      <c r="A74" t="s">
        <v>146</v>
      </c>
      <c r="B74" t="s">
        <v>193</v>
      </c>
      <c r="C74" s="91">
        <v>0</v>
      </c>
      <c r="D74" s="91">
        <v>0</v>
      </c>
      <c r="E74" s="91">
        <v>0</v>
      </c>
      <c r="F74" s="91">
        <v>0</v>
      </c>
      <c r="G74" s="91">
        <v>0</v>
      </c>
      <c r="H74" s="91">
        <v>0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  <c r="AC74" s="91">
        <v>0</v>
      </c>
      <c r="AD74" s="91">
        <v>0</v>
      </c>
      <c r="AE74" s="91">
        <v>0</v>
      </c>
      <c r="AF74" s="91">
        <v>0</v>
      </c>
      <c r="AG74" s="91">
        <v>0</v>
      </c>
      <c r="AH74" s="91">
        <v>0</v>
      </c>
      <c r="AI74" s="91">
        <v>0</v>
      </c>
      <c r="AJ74" s="91">
        <v>0</v>
      </c>
      <c r="AK74" s="91">
        <v>0</v>
      </c>
      <c r="AL74" s="91">
        <v>0</v>
      </c>
    </row>
    <row r="75" spans="1:38" ht="15" customHeight="1" x14ac:dyDescent="0.2">
      <c r="A75" t="s">
        <v>146</v>
      </c>
      <c r="B75" t="s">
        <v>194</v>
      </c>
      <c r="C75" s="91">
        <v>0</v>
      </c>
      <c r="D75" s="91">
        <v>0</v>
      </c>
      <c r="E75" s="91">
        <v>0</v>
      </c>
      <c r="F75" s="91">
        <v>0</v>
      </c>
      <c r="G75" s="91">
        <v>0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  <c r="Z75" s="91">
        <v>0</v>
      </c>
      <c r="AA75" s="91">
        <v>0</v>
      </c>
      <c r="AB75" s="91">
        <v>0</v>
      </c>
      <c r="AC75" s="91">
        <v>0</v>
      </c>
      <c r="AD75" s="91">
        <v>0</v>
      </c>
      <c r="AE75" s="91">
        <v>0</v>
      </c>
      <c r="AF75" s="91">
        <v>0</v>
      </c>
      <c r="AG75" s="91">
        <v>0</v>
      </c>
      <c r="AH75" s="91">
        <v>0</v>
      </c>
      <c r="AI75" s="91">
        <v>0</v>
      </c>
      <c r="AJ75" s="91">
        <v>0</v>
      </c>
      <c r="AK75" s="91">
        <v>0</v>
      </c>
      <c r="AL75" s="91">
        <v>0</v>
      </c>
    </row>
    <row r="76" spans="1:38" ht="15" customHeight="1" x14ac:dyDescent="0.2">
      <c r="A76" t="s">
        <v>146</v>
      </c>
      <c r="B76" t="s">
        <v>195</v>
      </c>
      <c r="C76" s="91">
        <v>0</v>
      </c>
      <c r="D76" s="91">
        <v>0</v>
      </c>
      <c r="E76" s="91">
        <v>0</v>
      </c>
      <c r="F76" s="91">
        <v>0</v>
      </c>
      <c r="G76" s="91">
        <v>0</v>
      </c>
      <c r="H76" s="91">
        <v>0</v>
      </c>
      <c r="I76" s="91">
        <v>0</v>
      </c>
      <c r="J76" s="91">
        <v>0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0</v>
      </c>
      <c r="AC76" s="91">
        <v>0</v>
      </c>
      <c r="AD76" s="91">
        <v>0</v>
      </c>
      <c r="AE76" s="91">
        <v>0</v>
      </c>
      <c r="AF76" s="91">
        <v>0</v>
      </c>
      <c r="AG76" s="91">
        <v>0</v>
      </c>
      <c r="AH76" s="91">
        <v>0</v>
      </c>
      <c r="AI76" s="91">
        <v>0</v>
      </c>
      <c r="AJ76" s="91">
        <v>0</v>
      </c>
      <c r="AK76" s="91">
        <v>0</v>
      </c>
      <c r="AL76" s="91">
        <v>0</v>
      </c>
    </row>
    <row r="77" spans="1:38" ht="15" customHeight="1" x14ac:dyDescent="0.2">
      <c r="A77" t="s">
        <v>146</v>
      </c>
      <c r="B77" t="s">
        <v>196</v>
      </c>
      <c r="C77" s="91">
        <f>IF(1&lt;='I_Inputs &amp; Assumptions'!$B$8,IF('I_Budget Input Data'!$E$77="Upfront",IF(1=1,'I_Budget Input Data'!$D$77,0),IF('I_Budget Input Data'!$E$77="Equal",'I_Budget Input Data'!$D$77/'I_Inputs &amp; Assumptions'!$B$8,IF('I_Budget Input Data'!$E$77="Front-loaded",IF(1&lt;='I_Inputs &amp; Assumptions'!$B$8/2,'I_Budget Input Data'!$D$77*0.6/('I_Inputs &amp; Assumptions'!$B$8/2),'I_Budget Input Data'!$D$77*0.4/('I_Inputs &amp; Assumptions'!$B$8/2)),IF('I_Budget Input Data'!$E$77="Back-loaded",IF(1&lt;='I_Inputs &amp; Assumptions'!$B$8/2,'I_Budget Input Data'!$D$77*0.4/('I_Inputs &amp; Assumptions'!$B$8/2),'I_Budget Input Data'!$D$77*0.6/('I_Inputs &amp; Assumptions'!$B$8/2)),IF('I_Budget Input Data'!$E$77="Mid-weighted",IF(1&lt;='I_Inputs &amp; Assumptions'!$B$8/4,'I_Budget Input Data'!$D$77*0.2/('I_Inputs &amp; Assumptions'!$B$8/4),IF(1&lt;='I_Inputs &amp; Assumptions'!$B$8*0.75,'I_Budget Input Data'!$D$77*0.6/('I_Inputs &amp; Assumptions'!$B$8/2),'I_Budget Input Data'!$D$77*0.2/('I_Inputs &amp; Assumptions'!$B$8/4))),IF('I_Budget Input Data'!$E$77="At Completion",IF(1='I_Inputs &amp; Assumptions'!$B$8,'I_Budget Input Data'!$D$77,0),'I_Budget Input Data'!$D$77/'I_Inputs &amp; Assumptions'!$B$8)))))),0)</f>
        <v>45617.446153846147</v>
      </c>
      <c r="D77" s="91">
        <f>IF(2&lt;='I_Inputs &amp; Assumptions'!$B$8,IF('I_Budget Input Data'!$E$77="Upfront",IF(2=1,'I_Budget Input Data'!$D$77,0),IF('I_Budget Input Data'!$E$77="Equal",'I_Budget Input Data'!$D$77/'I_Inputs &amp; Assumptions'!$B$8,IF('I_Budget Input Data'!$E$77="Front-loaded",IF(2&lt;='I_Inputs &amp; Assumptions'!$B$8/2,'I_Budget Input Data'!$D$77*0.6/('I_Inputs &amp; Assumptions'!$B$8/2),'I_Budget Input Data'!$D$77*0.4/('I_Inputs &amp; Assumptions'!$B$8/2)),IF('I_Budget Input Data'!$E$77="Back-loaded",IF(2&lt;='I_Inputs &amp; Assumptions'!$B$8/2,'I_Budget Input Data'!$D$77*0.4/('I_Inputs &amp; Assumptions'!$B$8/2),'I_Budget Input Data'!$D$77*0.6/('I_Inputs &amp; Assumptions'!$B$8/2)),IF('I_Budget Input Data'!$E$77="Mid-weighted",IF(2&lt;='I_Inputs &amp; Assumptions'!$B$8/4,'I_Budget Input Data'!$D$77*0.2/('I_Inputs &amp; Assumptions'!$B$8/4),IF(2&lt;='I_Inputs &amp; Assumptions'!$B$8*0.75,'I_Budget Input Data'!$D$77*0.6/('I_Inputs &amp; Assumptions'!$B$8/2),'I_Budget Input Data'!$D$77*0.2/('I_Inputs &amp; Assumptions'!$B$8/4))),IF('I_Budget Input Data'!$E$77="At Completion",IF(2='I_Inputs &amp; Assumptions'!$B$8,'I_Budget Input Data'!$D$77,0),'I_Budget Input Data'!$D$77/'I_Inputs &amp; Assumptions'!$B$8)))))),0)</f>
        <v>45617.446153846147</v>
      </c>
      <c r="E77" s="91">
        <f>IF(3&lt;='I_Inputs &amp; Assumptions'!$B$8,IF('I_Budget Input Data'!$E$77="Upfront",IF(3=1,'I_Budget Input Data'!$D$77,0),IF('I_Budget Input Data'!$E$77="Equal",'I_Budget Input Data'!$D$77/'I_Inputs &amp; Assumptions'!$B$8,IF('I_Budget Input Data'!$E$77="Front-loaded",IF(3&lt;='I_Inputs &amp; Assumptions'!$B$8/2,'I_Budget Input Data'!$D$77*0.6/('I_Inputs &amp; Assumptions'!$B$8/2),'I_Budget Input Data'!$D$77*0.4/('I_Inputs &amp; Assumptions'!$B$8/2)),IF('I_Budget Input Data'!$E$77="Back-loaded",IF(3&lt;='I_Inputs &amp; Assumptions'!$B$8/2,'I_Budget Input Data'!$D$77*0.4/('I_Inputs &amp; Assumptions'!$B$8/2),'I_Budget Input Data'!$D$77*0.6/('I_Inputs &amp; Assumptions'!$B$8/2)),IF('I_Budget Input Data'!$E$77="Mid-weighted",IF(3&lt;='I_Inputs &amp; Assumptions'!$B$8/4,'I_Budget Input Data'!$D$77*0.2/('I_Inputs &amp; Assumptions'!$B$8/4),IF(3&lt;='I_Inputs &amp; Assumptions'!$B$8*0.75,'I_Budget Input Data'!$D$77*0.6/('I_Inputs &amp; Assumptions'!$B$8/2),'I_Budget Input Data'!$D$77*0.2/('I_Inputs &amp; Assumptions'!$B$8/4))),IF('I_Budget Input Data'!$E$77="At Completion",IF(3='I_Inputs &amp; Assumptions'!$B$8,'I_Budget Input Data'!$D$77,0),'I_Budget Input Data'!$D$77/'I_Inputs &amp; Assumptions'!$B$8)))))),0)</f>
        <v>45617.446153846147</v>
      </c>
      <c r="F77" s="91">
        <f>IF(4&lt;='I_Inputs &amp; Assumptions'!$B$8,IF('I_Budget Input Data'!$E$77="Upfront",IF(4=1,'I_Budget Input Data'!$D$77,0),IF('I_Budget Input Data'!$E$77="Equal",'I_Budget Input Data'!$D$77/'I_Inputs &amp; Assumptions'!$B$8,IF('I_Budget Input Data'!$E$77="Front-loaded",IF(4&lt;='I_Inputs &amp; Assumptions'!$B$8/2,'I_Budget Input Data'!$D$77*0.6/('I_Inputs &amp; Assumptions'!$B$8/2),'I_Budget Input Data'!$D$77*0.4/('I_Inputs &amp; Assumptions'!$B$8/2)),IF('I_Budget Input Data'!$E$77="Back-loaded",IF(4&lt;='I_Inputs &amp; Assumptions'!$B$8/2,'I_Budget Input Data'!$D$77*0.4/('I_Inputs &amp; Assumptions'!$B$8/2),'I_Budget Input Data'!$D$77*0.6/('I_Inputs &amp; Assumptions'!$B$8/2)),IF('I_Budget Input Data'!$E$77="Mid-weighted",IF(4&lt;='I_Inputs &amp; Assumptions'!$B$8/4,'I_Budget Input Data'!$D$77*0.2/('I_Inputs &amp; Assumptions'!$B$8/4),IF(4&lt;='I_Inputs &amp; Assumptions'!$B$8*0.75,'I_Budget Input Data'!$D$77*0.6/('I_Inputs &amp; Assumptions'!$B$8/2),'I_Budget Input Data'!$D$77*0.2/('I_Inputs &amp; Assumptions'!$B$8/4))),IF('I_Budget Input Data'!$E$77="At Completion",IF(4='I_Inputs &amp; Assumptions'!$B$8,'I_Budget Input Data'!$D$77,0),'I_Budget Input Data'!$D$77/'I_Inputs &amp; Assumptions'!$B$8)))))),0)</f>
        <v>45617.446153846147</v>
      </c>
      <c r="G77" s="91">
        <f>IF(5&lt;='I_Inputs &amp; Assumptions'!$B$8,IF('I_Budget Input Data'!$E$77="Upfront",IF(5=1,'I_Budget Input Data'!$D$77,0),IF('I_Budget Input Data'!$E$77="Equal",'I_Budget Input Data'!$D$77/'I_Inputs &amp; Assumptions'!$B$8,IF('I_Budget Input Data'!$E$77="Front-loaded",IF(5&lt;='I_Inputs &amp; Assumptions'!$B$8/2,'I_Budget Input Data'!$D$77*0.6/('I_Inputs &amp; Assumptions'!$B$8/2),'I_Budget Input Data'!$D$77*0.4/('I_Inputs &amp; Assumptions'!$B$8/2)),IF('I_Budget Input Data'!$E$77="Back-loaded",IF(5&lt;='I_Inputs &amp; Assumptions'!$B$8/2,'I_Budget Input Data'!$D$77*0.4/('I_Inputs &amp; Assumptions'!$B$8/2),'I_Budget Input Data'!$D$77*0.6/('I_Inputs &amp; Assumptions'!$B$8/2)),IF('I_Budget Input Data'!$E$77="Mid-weighted",IF(5&lt;='I_Inputs &amp; Assumptions'!$B$8/4,'I_Budget Input Data'!$D$77*0.2/('I_Inputs &amp; Assumptions'!$B$8/4),IF(5&lt;='I_Inputs &amp; Assumptions'!$B$8*0.75,'I_Budget Input Data'!$D$77*0.6/('I_Inputs &amp; Assumptions'!$B$8/2),'I_Budget Input Data'!$D$77*0.2/('I_Inputs &amp; Assumptions'!$B$8/4))),IF('I_Budget Input Data'!$E$77="At Completion",IF(5='I_Inputs &amp; Assumptions'!$B$8,'I_Budget Input Data'!$D$77,0),'I_Budget Input Data'!$D$77/'I_Inputs &amp; Assumptions'!$B$8)))))),0)</f>
        <v>45617.446153846147</v>
      </c>
      <c r="H77" s="91">
        <f>IF(6&lt;='I_Inputs &amp; Assumptions'!$B$8,IF('I_Budget Input Data'!$E$77="Upfront",IF(6=1,'I_Budget Input Data'!$D$77,0),IF('I_Budget Input Data'!$E$77="Equal",'I_Budget Input Data'!$D$77/'I_Inputs &amp; Assumptions'!$B$8,IF('I_Budget Input Data'!$E$77="Front-loaded",IF(6&lt;='I_Inputs &amp; Assumptions'!$B$8/2,'I_Budget Input Data'!$D$77*0.6/('I_Inputs &amp; Assumptions'!$B$8/2),'I_Budget Input Data'!$D$77*0.4/('I_Inputs &amp; Assumptions'!$B$8/2)),IF('I_Budget Input Data'!$E$77="Back-loaded",IF(6&lt;='I_Inputs &amp; Assumptions'!$B$8/2,'I_Budget Input Data'!$D$77*0.4/('I_Inputs &amp; Assumptions'!$B$8/2),'I_Budget Input Data'!$D$77*0.6/('I_Inputs &amp; Assumptions'!$B$8/2)),IF('I_Budget Input Data'!$E$77="Mid-weighted",IF(6&lt;='I_Inputs &amp; Assumptions'!$B$8/4,'I_Budget Input Data'!$D$77*0.2/('I_Inputs &amp; Assumptions'!$B$8/4),IF(6&lt;='I_Inputs &amp; Assumptions'!$B$8*0.75,'I_Budget Input Data'!$D$77*0.6/('I_Inputs &amp; Assumptions'!$B$8/2),'I_Budget Input Data'!$D$77*0.2/('I_Inputs &amp; Assumptions'!$B$8/4))),IF('I_Budget Input Data'!$E$77="At Completion",IF(6='I_Inputs &amp; Assumptions'!$B$8,'I_Budget Input Data'!$D$77,0),'I_Budget Input Data'!$D$77/'I_Inputs &amp; Assumptions'!$B$8)))))),0)</f>
        <v>45617.446153846147</v>
      </c>
      <c r="I77" s="91">
        <f>IF(7&lt;='I_Inputs &amp; Assumptions'!$B$8,IF('I_Budget Input Data'!$E$77="Upfront",IF(7=1,'I_Budget Input Data'!$D$77,0),IF('I_Budget Input Data'!$E$77="Equal",'I_Budget Input Data'!$D$77/'I_Inputs &amp; Assumptions'!$B$8,IF('I_Budget Input Data'!$E$77="Front-loaded",IF(7&lt;='I_Inputs &amp; Assumptions'!$B$8/2,'I_Budget Input Data'!$D$77*0.6/('I_Inputs &amp; Assumptions'!$B$8/2),'I_Budget Input Data'!$D$77*0.4/('I_Inputs &amp; Assumptions'!$B$8/2)),IF('I_Budget Input Data'!$E$77="Back-loaded",IF(7&lt;='I_Inputs &amp; Assumptions'!$B$8/2,'I_Budget Input Data'!$D$77*0.4/('I_Inputs &amp; Assumptions'!$B$8/2),'I_Budget Input Data'!$D$77*0.6/('I_Inputs &amp; Assumptions'!$B$8/2)),IF('I_Budget Input Data'!$E$77="Mid-weighted",IF(7&lt;='I_Inputs &amp; Assumptions'!$B$8/4,'I_Budget Input Data'!$D$77*0.2/('I_Inputs &amp; Assumptions'!$B$8/4),IF(7&lt;='I_Inputs &amp; Assumptions'!$B$8*0.75,'I_Budget Input Data'!$D$77*0.6/('I_Inputs &amp; Assumptions'!$B$8/2),'I_Budget Input Data'!$D$77*0.2/('I_Inputs &amp; Assumptions'!$B$8/4))),IF('I_Budget Input Data'!$E$77="At Completion",IF(7='I_Inputs &amp; Assumptions'!$B$8,'I_Budget Input Data'!$D$77,0),'I_Budget Input Data'!$D$77/'I_Inputs &amp; Assumptions'!$B$8)))))),0)</f>
        <v>30411.630769230771</v>
      </c>
      <c r="J77" s="91">
        <f>IF(8&lt;='I_Inputs &amp; Assumptions'!$B$8,IF('I_Budget Input Data'!$E$77="Upfront",IF(8=1,'I_Budget Input Data'!$D$77,0),IF('I_Budget Input Data'!$E$77="Equal",'I_Budget Input Data'!$D$77/'I_Inputs &amp; Assumptions'!$B$8,IF('I_Budget Input Data'!$E$77="Front-loaded",IF(8&lt;='I_Inputs &amp; Assumptions'!$B$8/2,'I_Budget Input Data'!$D$77*0.6/('I_Inputs &amp; Assumptions'!$B$8/2),'I_Budget Input Data'!$D$77*0.4/('I_Inputs &amp; Assumptions'!$B$8/2)),IF('I_Budget Input Data'!$E$77="Back-loaded",IF(8&lt;='I_Inputs &amp; Assumptions'!$B$8/2,'I_Budget Input Data'!$D$77*0.4/('I_Inputs &amp; Assumptions'!$B$8/2),'I_Budget Input Data'!$D$77*0.6/('I_Inputs &amp; Assumptions'!$B$8/2)),IF('I_Budget Input Data'!$E$77="Mid-weighted",IF(8&lt;='I_Inputs &amp; Assumptions'!$B$8/4,'I_Budget Input Data'!$D$77*0.2/('I_Inputs &amp; Assumptions'!$B$8/4),IF(8&lt;='I_Inputs &amp; Assumptions'!$B$8*0.75,'I_Budget Input Data'!$D$77*0.6/('I_Inputs &amp; Assumptions'!$B$8/2),'I_Budget Input Data'!$D$77*0.2/('I_Inputs &amp; Assumptions'!$B$8/4))),IF('I_Budget Input Data'!$E$77="At Completion",IF(8='I_Inputs &amp; Assumptions'!$B$8,'I_Budget Input Data'!$D$77,0),'I_Budget Input Data'!$D$77/'I_Inputs &amp; Assumptions'!$B$8)))))),0)</f>
        <v>30411.630769230771</v>
      </c>
      <c r="K77" s="91">
        <f>IF(9&lt;='I_Inputs &amp; Assumptions'!$B$8,IF('I_Budget Input Data'!$E$77="Upfront",IF(9=1,'I_Budget Input Data'!$D$77,0),IF('I_Budget Input Data'!$E$77="Equal",'I_Budget Input Data'!$D$77/'I_Inputs &amp; Assumptions'!$B$8,IF('I_Budget Input Data'!$E$77="Front-loaded",IF(9&lt;='I_Inputs &amp; Assumptions'!$B$8/2,'I_Budget Input Data'!$D$77*0.6/('I_Inputs &amp; Assumptions'!$B$8/2),'I_Budget Input Data'!$D$77*0.4/('I_Inputs &amp; Assumptions'!$B$8/2)),IF('I_Budget Input Data'!$E$77="Back-loaded",IF(9&lt;='I_Inputs &amp; Assumptions'!$B$8/2,'I_Budget Input Data'!$D$77*0.4/('I_Inputs &amp; Assumptions'!$B$8/2),'I_Budget Input Data'!$D$77*0.6/('I_Inputs &amp; Assumptions'!$B$8/2)),IF('I_Budget Input Data'!$E$77="Mid-weighted",IF(9&lt;='I_Inputs &amp; Assumptions'!$B$8/4,'I_Budget Input Data'!$D$77*0.2/('I_Inputs &amp; Assumptions'!$B$8/4),IF(9&lt;='I_Inputs &amp; Assumptions'!$B$8*0.75,'I_Budget Input Data'!$D$77*0.6/('I_Inputs &amp; Assumptions'!$B$8/2),'I_Budget Input Data'!$D$77*0.2/('I_Inputs &amp; Assumptions'!$B$8/4))),IF('I_Budget Input Data'!$E$77="At Completion",IF(9='I_Inputs &amp; Assumptions'!$B$8,'I_Budget Input Data'!$D$77,0),'I_Budget Input Data'!$D$77/'I_Inputs &amp; Assumptions'!$B$8)))))),0)</f>
        <v>30411.630769230771</v>
      </c>
      <c r="L77" s="91">
        <f>IF(10&lt;='I_Inputs &amp; Assumptions'!$B$8,IF('I_Budget Input Data'!$E$77="Upfront",IF(10=1,'I_Budget Input Data'!$D$77,0),IF('I_Budget Input Data'!$E$77="Equal",'I_Budget Input Data'!$D$77/'I_Inputs &amp; Assumptions'!$B$8,IF('I_Budget Input Data'!$E$77="Front-loaded",IF(10&lt;='I_Inputs &amp; Assumptions'!$B$8/2,'I_Budget Input Data'!$D$77*0.6/('I_Inputs &amp; Assumptions'!$B$8/2),'I_Budget Input Data'!$D$77*0.4/('I_Inputs &amp; Assumptions'!$B$8/2)),IF('I_Budget Input Data'!$E$77="Back-loaded",IF(10&lt;='I_Inputs &amp; Assumptions'!$B$8/2,'I_Budget Input Data'!$D$77*0.4/('I_Inputs &amp; Assumptions'!$B$8/2),'I_Budget Input Data'!$D$77*0.6/('I_Inputs &amp; Assumptions'!$B$8/2)),IF('I_Budget Input Data'!$E$77="Mid-weighted",IF(10&lt;='I_Inputs &amp; Assumptions'!$B$8/4,'I_Budget Input Data'!$D$77*0.2/('I_Inputs &amp; Assumptions'!$B$8/4),IF(10&lt;='I_Inputs &amp; Assumptions'!$B$8*0.75,'I_Budget Input Data'!$D$77*0.6/('I_Inputs &amp; Assumptions'!$B$8/2),'I_Budget Input Data'!$D$77*0.2/('I_Inputs &amp; Assumptions'!$B$8/4))),IF('I_Budget Input Data'!$E$77="At Completion",IF(10='I_Inputs &amp; Assumptions'!$B$8,'I_Budget Input Data'!$D$77,0),'I_Budget Input Data'!$D$77/'I_Inputs &amp; Assumptions'!$B$8)))))),0)</f>
        <v>30411.630769230771</v>
      </c>
      <c r="M77" s="91">
        <f>IF(11&lt;='I_Inputs &amp; Assumptions'!$B$8,IF('I_Budget Input Data'!$E$77="Upfront",IF(11=1,'I_Budget Input Data'!$D$77,0),IF('I_Budget Input Data'!$E$77="Equal",'I_Budget Input Data'!$D$77/'I_Inputs &amp; Assumptions'!$B$8,IF('I_Budget Input Data'!$E$77="Front-loaded",IF(11&lt;='I_Inputs &amp; Assumptions'!$B$8/2,'I_Budget Input Data'!$D$77*0.6/('I_Inputs &amp; Assumptions'!$B$8/2),'I_Budget Input Data'!$D$77*0.4/('I_Inputs &amp; Assumptions'!$B$8/2)),IF('I_Budget Input Data'!$E$77="Back-loaded",IF(11&lt;='I_Inputs &amp; Assumptions'!$B$8/2,'I_Budget Input Data'!$D$77*0.4/('I_Inputs &amp; Assumptions'!$B$8/2),'I_Budget Input Data'!$D$77*0.6/('I_Inputs &amp; Assumptions'!$B$8/2)),IF('I_Budget Input Data'!$E$77="Mid-weighted",IF(11&lt;='I_Inputs &amp; Assumptions'!$B$8/4,'I_Budget Input Data'!$D$77*0.2/('I_Inputs &amp; Assumptions'!$B$8/4),IF(11&lt;='I_Inputs &amp; Assumptions'!$B$8*0.75,'I_Budget Input Data'!$D$77*0.6/('I_Inputs &amp; Assumptions'!$B$8/2),'I_Budget Input Data'!$D$77*0.2/('I_Inputs &amp; Assumptions'!$B$8/4))),IF('I_Budget Input Data'!$E$77="At Completion",IF(11='I_Inputs &amp; Assumptions'!$B$8,'I_Budget Input Data'!$D$77,0),'I_Budget Input Data'!$D$77/'I_Inputs &amp; Assumptions'!$B$8)))))),0)</f>
        <v>30411.630769230771</v>
      </c>
      <c r="N77" s="91">
        <f>IF(12&lt;='I_Inputs &amp; Assumptions'!$B$8,IF('I_Budget Input Data'!$E$77="Upfront",IF(12=1,'I_Budget Input Data'!$D$77,0),IF('I_Budget Input Data'!$E$77="Equal",'I_Budget Input Data'!$D$77/'I_Inputs &amp; Assumptions'!$B$8,IF('I_Budget Input Data'!$E$77="Front-loaded",IF(12&lt;='I_Inputs &amp; Assumptions'!$B$8/2,'I_Budget Input Data'!$D$77*0.6/('I_Inputs &amp; Assumptions'!$B$8/2),'I_Budget Input Data'!$D$77*0.4/('I_Inputs &amp; Assumptions'!$B$8/2)),IF('I_Budget Input Data'!$E$77="Back-loaded",IF(12&lt;='I_Inputs &amp; Assumptions'!$B$8/2,'I_Budget Input Data'!$D$77*0.4/('I_Inputs &amp; Assumptions'!$B$8/2),'I_Budget Input Data'!$D$77*0.6/('I_Inputs &amp; Assumptions'!$B$8/2)),IF('I_Budget Input Data'!$E$77="Mid-weighted",IF(12&lt;='I_Inputs &amp; Assumptions'!$B$8/4,'I_Budget Input Data'!$D$77*0.2/('I_Inputs &amp; Assumptions'!$B$8/4),IF(12&lt;='I_Inputs &amp; Assumptions'!$B$8*0.75,'I_Budget Input Data'!$D$77*0.6/('I_Inputs &amp; Assumptions'!$B$8/2),'I_Budget Input Data'!$D$77*0.2/('I_Inputs &amp; Assumptions'!$B$8/4))),IF('I_Budget Input Data'!$E$77="At Completion",IF(12='I_Inputs &amp; Assumptions'!$B$8,'I_Budget Input Data'!$D$77,0),'I_Budget Input Data'!$D$77/'I_Inputs &amp; Assumptions'!$B$8)))))),0)</f>
        <v>30411.630769230771</v>
      </c>
      <c r="O77" s="91">
        <f>IF(13&lt;='I_Inputs &amp; Assumptions'!$B$8,IF('I_Budget Input Data'!$E$77="Upfront",IF(13=1,'I_Budget Input Data'!$D$77,0),IF('I_Budget Input Data'!$E$77="Equal",'I_Budget Input Data'!$D$77/'I_Inputs &amp; Assumptions'!$B$8,IF('I_Budget Input Data'!$E$77="Front-loaded",IF(13&lt;='I_Inputs &amp; Assumptions'!$B$8/2,'I_Budget Input Data'!$D$77*0.6/('I_Inputs &amp; Assumptions'!$B$8/2),'I_Budget Input Data'!$D$77*0.4/('I_Inputs &amp; Assumptions'!$B$8/2)),IF('I_Budget Input Data'!$E$77="Back-loaded",IF(13&lt;='I_Inputs &amp; Assumptions'!$B$8/2,'I_Budget Input Data'!$D$77*0.4/('I_Inputs &amp; Assumptions'!$B$8/2),'I_Budget Input Data'!$D$77*0.6/('I_Inputs &amp; Assumptions'!$B$8/2)),IF('I_Budget Input Data'!$E$77="Mid-weighted",IF(13&lt;='I_Inputs &amp; Assumptions'!$B$8/4,'I_Budget Input Data'!$D$77*0.2/('I_Inputs &amp; Assumptions'!$B$8/4),IF(13&lt;='I_Inputs &amp; Assumptions'!$B$8*0.75,'I_Budget Input Data'!$D$77*0.6/('I_Inputs &amp; Assumptions'!$B$8/2),'I_Budget Input Data'!$D$77*0.2/('I_Inputs &amp; Assumptions'!$B$8/4))),IF('I_Budget Input Data'!$E$77="At Completion",IF(13='I_Inputs &amp; Assumptions'!$B$8,'I_Budget Input Data'!$D$77,0),'I_Budget Input Data'!$D$77/'I_Inputs &amp; Assumptions'!$B$8)))))),0)</f>
        <v>30411.630769230771</v>
      </c>
      <c r="P77" s="91">
        <f>IF(14&lt;='I_Inputs &amp; Assumptions'!$B$8,IF('I_Budget Input Data'!$E$77="Upfront",IF(14=1,'I_Budget Input Data'!$D$77,0),IF('I_Budget Input Data'!$E$77="Equal",'I_Budget Input Data'!$D$77/'I_Inputs &amp; Assumptions'!$B$8,IF('I_Budget Input Data'!$E$77="Front-loaded",IF(14&lt;='I_Inputs &amp; Assumptions'!$B$8/2,'I_Budget Input Data'!$D$77*0.6/('I_Inputs &amp; Assumptions'!$B$8/2),'I_Budget Input Data'!$D$77*0.4/('I_Inputs &amp; Assumptions'!$B$8/2)),IF('I_Budget Input Data'!$E$77="Back-loaded",IF(14&lt;='I_Inputs &amp; Assumptions'!$B$8/2,'I_Budget Input Data'!$D$77*0.4/('I_Inputs &amp; Assumptions'!$B$8/2),'I_Budget Input Data'!$D$77*0.6/('I_Inputs &amp; Assumptions'!$B$8/2)),IF('I_Budget Input Data'!$E$77="Mid-weighted",IF(14&lt;='I_Inputs &amp; Assumptions'!$B$8/4,'I_Budget Input Data'!$D$77*0.2/('I_Inputs &amp; Assumptions'!$B$8/4),IF(14&lt;='I_Inputs &amp; Assumptions'!$B$8*0.75,'I_Budget Input Data'!$D$77*0.6/('I_Inputs &amp; Assumptions'!$B$8/2),'I_Budget Input Data'!$D$77*0.2/('I_Inputs &amp; Assumptions'!$B$8/4))),IF('I_Budget Input Data'!$E$77="At Completion",IF(14='I_Inputs &amp; Assumptions'!$B$8,'I_Budget Input Data'!$D$77,0),'I_Budget Input Data'!$D$77/'I_Inputs &amp; Assumptions'!$B$8)))))),0)</f>
        <v>0</v>
      </c>
      <c r="Q77" s="91">
        <f>IF(15&lt;='I_Inputs &amp; Assumptions'!$B$8,IF('I_Budget Input Data'!$E$77="Upfront",IF(15=1,'I_Budget Input Data'!$D$77,0),IF('I_Budget Input Data'!$E$77="Equal",'I_Budget Input Data'!$D$77/'I_Inputs &amp; Assumptions'!$B$8,IF('I_Budget Input Data'!$E$77="Front-loaded",IF(15&lt;='I_Inputs &amp; Assumptions'!$B$8/2,'I_Budget Input Data'!$D$77*0.6/('I_Inputs &amp; Assumptions'!$B$8/2),'I_Budget Input Data'!$D$77*0.4/('I_Inputs &amp; Assumptions'!$B$8/2)),IF('I_Budget Input Data'!$E$77="Back-loaded",IF(15&lt;='I_Inputs &amp; Assumptions'!$B$8/2,'I_Budget Input Data'!$D$77*0.4/('I_Inputs &amp; Assumptions'!$B$8/2),'I_Budget Input Data'!$D$77*0.6/('I_Inputs &amp; Assumptions'!$B$8/2)),IF('I_Budget Input Data'!$E$77="Mid-weighted",IF(15&lt;='I_Inputs &amp; Assumptions'!$B$8/4,'I_Budget Input Data'!$D$77*0.2/('I_Inputs &amp; Assumptions'!$B$8/4),IF(15&lt;='I_Inputs &amp; Assumptions'!$B$8*0.75,'I_Budget Input Data'!$D$77*0.6/('I_Inputs &amp; Assumptions'!$B$8/2),'I_Budget Input Data'!$D$77*0.2/('I_Inputs &amp; Assumptions'!$B$8/4))),IF('I_Budget Input Data'!$E$77="At Completion",IF(15='I_Inputs &amp; Assumptions'!$B$8,'I_Budget Input Data'!$D$77,0),'I_Budget Input Data'!$D$77/'I_Inputs &amp; Assumptions'!$B$8)))))),0)</f>
        <v>0</v>
      </c>
      <c r="R77" s="91">
        <f>IF(16&lt;='I_Inputs &amp; Assumptions'!$B$8,IF('I_Budget Input Data'!$E$77="Upfront",IF(16=1,'I_Budget Input Data'!$D$77,0),IF('I_Budget Input Data'!$E$77="Equal",'I_Budget Input Data'!$D$77/'I_Inputs &amp; Assumptions'!$B$8,IF('I_Budget Input Data'!$E$77="Front-loaded",IF(16&lt;='I_Inputs &amp; Assumptions'!$B$8/2,'I_Budget Input Data'!$D$77*0.6/('I_Inputs &amp; Assumptions'!$B$8/2),'I_Budget Input Data'!$D$77*0.4/('I_Inputs &amp; Assumptions'!$B$8/2)),IF('I_Budget Input Data'!$E$77="Back-loaded",IF(16&lt;='I_Inputs &amp; Assumptions'!$B$8/2,'I_Budget Input Data'!$D$77*0.4/('I_Inputs &amp; Assumptions'!$B$8/2),'I_Budget Input Data'!$D$77*0.6/('I_Inputs &amp; Assumptions'!$B$8/2)),IF('I_Budget Input Data'!$E$77="Mid-weighted",IF(16&lt;='I_Inputs &amp; Assumptions'!$B$8/4,'I_Budget Input Data'!$D$77*0.2/('I_Inputs &amp; Assumptions'!$B$8/4),IF(16&lt;='I_Inputs &amp; Assumptions'!$B$8*0.75,'I_Budget Input Data'!$D$77*0.6/('I_Inputs &amp; Assumptions'!$B$8/2),'I_Budget Input Data'!$D$77*0.2/('I_Inputs &amp; Assumptions'!$B$8/4))),IF('I_Budget Input Data'!$E$77="At Completion",IF(16='I_Inputs &amp; Assumptions'!$B$8,'I_Budget Input Data'!$D$77,0),'I_Budget Input Data'!$D$77/'I_Inputs &amp; Assumptions'!$B$8)))))),0)</f>
        <v>0</v>
      </c>
      <c r="S77" s="91">
        <f>IF(17&lt;='I_Inputs &amp; Assumptions'!$B$8,IF('I_Budget Input Data'!$E$77="Upfront",IF(17=1,'I_Budget Input Data'!$D$77,0),IF('I_Budget Input Data'!$E$77="Equal",'I_Budget Input Data'!$D$77/'I_Inputs &amp; Assumptions'!$B$8,IF('I_Budget Input Data'!$E$77="Front-loaded",IF(17&lt;='I_Inputs &amp; Assumptions'!$B$8/2,'I_Budget Input Data'!$D$77*0.6/('I_Inputs &amp; Assumptions'!$B$8/2),'I_Budget Input Data'!$D$77*0.4/('I_Inputs &amp; Assumptions'!$B$8/2)),IF('I_Budget Input Data'!$E$77="Back-loaded",IF(17&lt;='I_Inputs &amp; Assumptions'!$B$8/2,'I_Budget Input Data'!$D$77*0.4/('I_Inputs &amp; Assumptions'!$B$8/2),'I_Budget Input Data'!$D$77*0.6/('I_Inputs &amp; Assumptions'!$B$8/2)),IF('I_Budget Input Data'!$E$77="Mid-weighted",IF(17&lt;='I_Inputs &amp; Assumptions'!$B$8/4,'I_Budget Input Data'!$D$77*0.2/('I_Inputs &amp; Assumptions'!$B$8/4),IF(17&lt;='I_Inputs &amp; Assumptions'!$B$8*0.75,'I_Budget Input Data'!$D$77*0.6/('I_Inputs &amp; Assumptions'!$B$8/2),'I_Budget Input Data'!$D$77*0.2/('I_Inputs &amp; Assumptions'!$B$8/4))),IF('I_Budget Input Data'!$E$77="At Completion",IF(17='I_Inputs &amp; Assumptions'!$B$8,'I_Budget Input Data'!$D$77,0),'I_Budget Input Data'!$D$77/'I_Inputs &amp; Assumptions'!$B$8)))))),0)</f>
        <v>0</v>
      </c>
      <c r="T77" s="91">
        <f>IF(18&lt;='I_Inputs &amp; Assumptions'!$B$8,IF('I_Budget Input Data'!$E$77="Upfront",IF(18=1,'I_Budget Input Data'!$D$77,0),IF('I_Budget Input Data'!$E$77="Equal",'I_Budget Input Data'!$D$77/'I_Inputs &amp; Assumptions'!$B$8,IF('I_Budget Input Data'!$E$77="Front-loaded",IF(18&lt;='I_Inputs &amp; Assumptions'!$B$8/2,'I_Budget Input Data'!$D$77*0.6/('I_Inputs &amp; Assumptions'!$B$8/2),'I_Budget Input Data'!$D$77*0.4/('I_Inputs &amp; Assumptions'!$B$8/2)),IF('I_Budget Input Data'!$E$77="Back-loaded",IF(18&lt;='I_Inputs &amp; Assumptions'!$B$8/2,'I_Budget Input Data'!$D$77*0.4/('I_Inputs &amp; Assumptions'!$B$8/2),'I_Budget Input Data'!$D$77*0.6/('I_Inputs &amp; Assumptions'!$B$8/2)),IF('I_Budget Input Data'!$E$77="Mid-weighted",IF(18&lt;='I_Inputs &amp; Assumptions'!$B$8/4,'I_Budget Input Data'!$D$77*0.2/('I_Inputs &amp; Assumptions'!$B$8/4),IF(18&lt;='I_Inputs &amp; Assumptions'!$B$8*0.75,'I_Budget Input Data'!$D$77*0.6/('I_Inputs &amp; Assumptions'!$B$8/2),'I_Budget Input Data'!$D$77*0.2/('I_Inputs &amp; Assumptions'!$B$8/4))),IF('I_Budget Input Data'!$E$77="At Completion",IF(18='I_Inputs &amp; Assumptions'!$B$8,'I_Budget Input Data'!$D$77,0),'I_Budget Input Data'!$D$77/'I_Inputs &amp; Assumptions'!$B$8)))))),0)</f>
        <v>0</v>
      </c>
      <c r="U77" s="91">
        <f>IF(19&lt;='I_Inputs &amp; Assumptions'!$B$8,IF('I_Budget Input Data'!$E$77="Upfront",IF(19=1,'I_Budget Input Data'!$D$77,0),IF('I_Budget Input Data'!$E$77="Equal",'I_Budget Input Data'!$D$77/'I_Inputs &amp; Assumptions'!$B$8,IF('I_Budget Input Data'!$E$77="Front-loaded",IF(19&lt;='I_Inputs &amp; Assumptions'!$B$8/2,'I_Budget Input Data'!$D$77*0.6/('I_Inputs &amp; Assumptions'!$B$8/2),'I_Budget Input Data'!$D$77*0.4/('I_Inputs &amp; Assumptions'!$B$8/2)),IF('I_Budget Input Data'!$E$77="Back-loaded",IF(19&lt;='I_Inputs &amp; Assumptions'!$B$8/2,'I_Budget Input Data'!$D$77*0.4/('I_Inputs &amp; Assumptions'!$B$8/2),'I_Budget Input Data'!$D$77*0.6/('I_Inputs &amp; Assumptions'!$B$8/2)),IF('I_Budget Input Data'!$E$77="Mid-weighted",IF(19&lt;='I_Inputs &amp; Assumptions'!$B$8/4,'I_Budget Input Data'!$D$77*0.2/('I_Inputs &amp; Assumptions'!$B$8/4),IF(19&lt;='I_Inputs &amp; Assumptions'!$B$8*0.75,'I_Budget Input Data'!$D$77*0.6/('I_Inputs &amp; Assumptions'!$B$8/2),'I_Budget Input Data'!$D$77*0.2/('I_Inputs &amp; Assumptions'!$B$8/4))),IF('I_Budget Input Data'!$E$77="At Completion",IF(19='I_Inputs &amp; Assumptions'!$B$8,'I_Budget Input Data'!$D$77,0),'I_Budget Input Data'!$D$77/'I_Inputs &amp; Assumptions'!$B$8)))))),0)</f>
        <v>0</v>
      </c>
      <c r="V77" s="91">
        <f>IF(20&lt;='I_Inputs &amp; Assumptions'!$B$8,IF('I_Budget Input Data'!$E$77="Upfront",IF(20=1,'I_Budget Input Data'!$D$77,0),IF('I_Budget Input Data'!$E$77="Equal",'I_Budget Input Data'!$D$77/'I_Inputs &amp; Assumptions'!$B$8,IF('I_Budget Input Data'!$E$77="Front-loaded",IF(20&lt;='I_Inputs &amp; Assumptions'!$B$8/2,'I_Budget Input Data'!$D$77*0.6/('I_Inputs &amp; Assumptions'!$B$8/2),'I_Budget Input Data'!$D$77*0.4/('I_Inputs &amp; Assumptions'!$B$8/2)),IF('I_Budget Input Data'!$E$77="Back-loaded",IF(20&lt;='I_Inputs &amp; Assumptions'!$B$8/2,'I_Budget Input Data'!$D$77*0.4/('I_Inputs &amp; Assumptions'!$B$8/2),'I_Budget Input Data'!$D$77*0.6/('I_Inputs &amp; Assumptions'!$B$8/2)),IF('I_Budget Input Data'!$E$77="Mid-weighted",IF(20&lt;='I_Inputs &amp; Assumptions'!$B$8/4,'I_Budget Input Data'!$D$77*0.2/('I_Inputs &amp; Assumptions'!$B$8/4),IF(20&lt;='I_Inputs &amp; Assumptions'!$B$8*0.75,'I_Budget Input Data'!$D$77*0.6/('I_Inputs &amp; Assumptions'!$B$8/2),'I_Budget Input Data'!$D$77*0.2/('I_Inputs &amp; Assumptions'!$B$8/4))),IF('I_Budget Input Data'!$E$77="At Completion",IF(20='I_Inputs &amp; Assumptions'!$B$8,'I_Budget Input Data'!$D$77,0),'I_Budget Input Data'!$D$77/'I_Inputs &amp; Assumptions'!$B$8)))))),0)</f>
        <v>0</v>
      </c>
      <c r="W77" s="91">
        <f>IF(21&lt;='I_Inputs &amp; Assumptions'!$B$8,IF('I_Budget Input Data'!$E$77="Upfront",IF(21=1,'I_Budget Input Data'!$D$77,0),IF('I_Budget Input Data'!$E$77="Equal",'I_Budget Input Data'!$D$77/'I_Inputs &amp; Assumptions'!$B$8,IF('I_Budget Input Data'!$E$77="Front-loaded",IF(21&lt;='I_Inputs &amp; Assumptions'!$B$8/2,'I_Budget Input Data'!$D$77*0.6/('I_Inputs &amp; Assumptions'!$B$8/2),'I_Budget Input Data'!$D$77*0.4/('I_Inputs &amp; Assumptions'!$B$8/2)),IF('I_Budget Input Data'!$E$77="Back-loaded",IF(21&lt;='I_Inputs &amp; Assumptions'!$B$8/2,'I_Budget Input Data'!$D$77*0.4/('I_Inputs &amp; Assumptions'!$B$8/2),'I_Budget Input Data'!$D$77*0.6/('I_Inputs &amp; Assumptions'!$B$8/2)),IF('I_Budget Input Data'!$E$77="Mid-weighted",IF(21&lt;='I_Inputs &amp; Assumptions'!$B$8/4,'I_Budget Input Data'!$D$77*0.2/('I_Inputs &amp; Assumptions'!$B$8/4),IF(21&lt;='I_Inputs &amp; Assumptions'!$B$8*0.75,'I_Budget Input Data'!$D$77*0.6/('I_Inputs &amp; Assumptions'!$B$8/2),'I_Budget Input Data'!$D$77*0.2/('I_Inputs &amp; Assumptions'!$B$8/4))),IF('I_Budget Input Data'!$E$77="At Completion",IF(21='I_Inputs &amp; Assumptions'!$B$8,'I_Budget Input Data'!$D$77,0),'I_Budget Input Data'!$D$77/'I_Inputs &amp; Assumptions'!$B$8)))))),0)</f>
        <v>0</v>
      </c>
      <c r="X77" s="91">
        <f>IF(22&lt;='I_Inputs &amp; Assumptions'!$B$8,IF('I_Budget Input Data'!$E$77="Upfront",IF(22=1,'I_Budget Input Data'!$D$77,0),IF('I_Budget Input Data'!$E$77="Equal",'I_Budget Input Data'!$D$77/'I_Inputs &amp; Assumptions'!$B$8,IF('I_Budget Input Data'!$E$77="Front-loaded",IF(22&lt;='I_Inputs &amp; Assumptions'!$B$8/2,'I_Budget Input Data'!$D$77*0.6/('I_Inputs &amp; Assumptions'!$B$8/2),'I_Budget Input Data'!$D$77*0.4/('I_Inputs &amp; Assumptions'!$B$8/2)),IF('I_Budget Input Data'!$E$77="Back-loaded",IF(22&lt;='I_Inputs &amp; Assumptions'!$B$8/2,'I_Budget Input Data'!$D$77*0.4/('I_Inputs &amp; Assumptions'!$B$8/2),'I_Budget Input Data'!$D$77*0.6/('I_Inputs &amp; Assumptions'!$B$8/2)),IF('I_Budget Input Data'!$E$77="Mid-weighted",IF(22&lt;='I_Inputs &amp; Assumptions'!$B$8/4,'I_Budget Input Data'!$D$77*0.2/('I_Inputs &amp; Assumptions'!$B$8/4),IF(22&lt;='I_Inputs &amp; Assumptions'!$B$8*0.75,'I_Budget Input Data'!$D$77*0.6/('I_Inputs &amp; Assumptions'!$B$8/2),'I_Budget Input Data'!$D$77*0.2/('I_Inputs &amp; Assumptions'!$B$8/4))),IF('I_Budget Input Data'!$E$77="At Completion",IF(22='I_Inputs &amp; Assumptions'!$B$8,'I_Budget Input Data'!$D$77,0),'I_Budget Input Data'!$D$77/'I_Inputs &amp; Assumptions'!$B$8)))))),0)</f>
        <v>0</v>
      </c>
      <c r="Y77" s="91">
        <f>IF(23&lt;='I_Inputs &amp; Assumptions'!$B$8,IF('I_Budget Input Data'!$E$77="Upfront",IF(23=1,'I_Budget Input Data'!$D$77,0),IF('I_Budget Input Data'!$E$77="Equal",'I_Budget Input Data'!$D$77/'I_Inputs &amp; Assumptions'!$B$8,IF('I_Budget Input Data'!$E$77="Front-loaded",IF(23&lt;='I_Inputs &amp; Assumptions'!$B$8/2,'I_Budget Input Data'!$D$77*0.6/('I_Inputs &amp; Assumptions'!$B$8/2),'I_Budget Input Data'!$D$77*0.4/('I_Inputs &amp; Assumptions'!$B$8/2)),IF('I_Budget Input Data'!$E$77="Back-loaded",IF(23&lt;='I_Inputs &amp; Assumptions'!$B$8/2,'I_Budget Input Data'!$D$77*0.4/('I_Inputs &amp; Assumptions'!$B$8/2),'I_Budget Input Data'!$D$77*0.6/('I_Inputs &amp; Assumptions'!$B$8/2)),IF('I_Budget Input Data'!$E$77="Mid-weighted",IF(23&lt;='I_Inputs &amp; Assumptions'!$B$8/4,'I_Budget Input Data'!$D$77*0.2/('I_Inputs &amp; Assumptions'!$B$8/4),IF(23&lt;='I_Inputs &amp; Assumptions'!$B$8*0.75,'I_Budget Input Data'!$D$77*0.6/('I_Inputs &amp; Assumptions'!$B$8/2),'I_Budget Input Data'!$D$77*0.2/('I_Inputs &amp; Assumptions'!$B$8/4))),IF('I_Budget Input Data'!$E$77="At Completion",IF(23='I_Inputs &amp; Assumptions'!$B$8,'I_Budget Input Data'!$D$77,0),'I_Budget Input Data'!$D$77/'I_Inputs &amp; Assumptions'!$B$8)))))),0)</f>
        <v>0</v>
      </c>
      <c r="Z77" s="91">
        <f>IF(24&lt;='I_Inputs &amp; Assumptions'!$B$8,IF('I_Budget Input Data'!$E$77="Upfront",IF(24=1,'I_Budget Input Data'!$D$77,0),IF('I_Budget Input Data'!$E$77="Equal",'I_Budget Input Data'!$D$77/'I_Inputs &amp; Assumptions'!$B$8,IF('I_Budget Input Data'!$E$77="Front-loaded",IF(24&lt;='I_Inputs &amp; Assumptions'!$B$8/2,'I_Budget Input Data'!$D$77*0.6/('I_Inputs &amp; Assumptions'!$B$8/2),'I_Budget Input Data'!$D$77*0.4/('I_Inputs &amp; Assumptions'!$B$8/2)),IF('I_Budget Input Data'!$E$77="Back-loaded",IF(24&lt;='I_Inputs &amp; Assumptions'!$B$8/2,'I_Budget Input Data'!$D$77*0.4/('I_Inputs &amp; Assumptions'!$B$8/2),'I_Budget Input Data'!$D$77*0.6/('I_Inputs &amp; Assumptions'!$B$8/2)),IF('I_Budget Input Data'!$E$77="Mid-weighted",IF(24&lt;='I_Inputs &amp; Assumptions'!$B$8/4,'I_Budget Input Data'!$D$77*0.2/('I_Inputs &amp; Assumptions'!$B$8/4),IF(24&lt;='I_Inputs &amp; Assumptions'!$B$8*0.75,'I_Budget Input Data'!$D$77*0.6/('I_Inputs &amp; Assumptions'!$B$8/2),'I_Budget Input Data'!$D$77*0.2/('I_Inputs &amp; Assumptions'!$B$8/4))),IF('I_Budget Input Data'!$E$77="At Completion",IF(24='I_Inputs &amp; Assumptions'!$B$8,'I_Budget Input Data'!$D$77,0),'I_Budget Input Data'!$D$77/'I_Inputs &amp; Assumptions'!$B$8)))))),0)</f>
        <v>0</v>
      </c>
      <c r="AA77" s="91">
        <f>IF(25&lt;='I_Inputs &amp; Assumptions'!$B$8,IF('I_Budget Input Data'!$E$77="Upfront",IF(25=1,'I_Budget Input Data'!$D$77,0),IF('I_Budget Input Data'!$E$77="Equal",'I_Budget Input Data'!$D$77/'I_Inputs &amp; Assumptions'!$B$8,IF('I_Budget Input Data'!$E$77="Front-loaded",IF(25&lt;='I_Inputs &amp; Assumptions'!$B$8/2,'I_Budget Input Data'!$D$77*0.6/('I_Inputs &amp; Assumptions'!$B$8/2),'I_Budget Input Data'!$D$77*0.4/('I_Inputs &amp; Assumptions'!$B$8/2)),IF('I_Budget Input Data'!$E$77="Back-loaded",IF(25&lt;='I_Inputs &amp; Assumptions'!$B$8/2,'I_Budget Input Data'!$D$77*0.4/('I_Inputs &amp; Assumptions'!$B$8/2),'I_Budget Input Data'!$D$77*0.6/('I_Inputs &amp; Assumptions'!$B$8/2)),IF('I_Budget Input Data'!$E$77="Mid-weighted",IF(25&lt;='I_Inputs &amp; Assumptions'!$B$8/4,'I_Budget Input Data'!$D$77*0.2/('I_Inputs &amp; Assumptions'!$B$8/4),IF(25&lt;='I_Inputs &amp; Assumptions'!$B$8*0.75,'I_Budget Input Data'!$D$77*0.6/('I_Inputs &amp; Assumptions'!$B$8/2),'I_Budget Input Data'!$D$77*0.2/('I_Inputs &amp; Assumptions'!$B$8/4))),IF('I_Budget Input Data'!$E$77="At Completion",IF(25='I_Inputs &amp; Assumptions'!$B$8,'I_Budget Input Data'!$D$77,0),'I_Budget Input Data'!$D$77/'I_Inputs &amp; Assumptions'!$B$8)))))),0)</f>
        <v>0</v>
      </c>
      <c r="AB77" s="91">
        <f>IF(26&lt;='I_Inputs &amp; Assumptions'!$B$8,IF('I_Budget Input Data'!$E$77="Upfront",IF(26=1,'I_Budget Input Data'!$D$77,0),IF('I_Budget Input Data'!$E$77="Equal",'I_Budget Input Data'!$D$77/'I_Inputs &amp; Assumptions'!$B$8,IF('I_Budget Input Data'!$E$77="Front-loaded",IF(26&lt;='I_Inputs &amp; Assumptions'!$B$8/2,'I_Budget Input Data'!$D$77*0.6/('I_Inputs &amp; Assumptions'!$B$8/2),'I_Budget Input Data'!$D$77*0.4/('I_Inputs &amp; Assumptions'!$B$8/2)),IF('I_Budget Input Data'!$E$77="Back-loaded",IF(26&lt;='I_Inputs &amp; Assumptions'!$B$8/2,'I_Budget Input Data'!$D$77*0.4/('I_Inputs &amp; Assumptions'!$B$8/2),'I_Budget Input Data'!$D$77*0.6/('I_Inputs &amp; Assumptions'!$B$8/2)),IF('I_Budget Input Data'!$E$77="Mid-weighted",IF(26&lt;='I_Inputs &amp; Assumptions'!$B$8/4,'I_Budget Input Data'!$D$77*0.2/('I_Inputs &amp; Assumptions'!$B$8/4),IF(26&lt;='I_Inputs &amp; Assumptions'!$B$8*0.75,'I_Budget Input Data'!$D$77*0.6/('I_Inputs &amp; Assumptions'!$B$8/2),'I_Budget Input Data'!$D$77*0.2/('I_Inputs &amp; Assumptions'!$B$8/4))),IF('I_Budget Input Data'!$E$77="At Completion",IF(26='I_Inputs &amp; Assumptions'!$B$8,'I_Budget Input Data'!$D$77,0),'I_Budget Input Data'!$D$77/'I_Inputs &amp; Assumptions'!$B$8)))))),0)</f>
        <v>0</v>
      </c>
      <c r="AC77" s="91">
        <f>IF(27&lt;='I_Inputs &amp; Assumptions'!$B$8,IF('I_Budget Input Data'!$E$77="Upfront",IF(27=1,'I_Budget Input Data'!$D$77,0),IF('I_Budget Input Data'!$E$77="Equal",'I_Budget Input Data'!$D$77/'I_Inputs &amp; Assumptions'!$B$8,IF('I_Budget Input Data'!$E$77="Front-loaded",IF(27&lt;='I_Inputs &amp; Assumptions'!$B$8/2,'I_Budget Input Data'!$D$77*0.6/('I_Inputs &amp; Assumptions'!$B$8/2),'I_Budget Input Data'!$D$77*0.4/('I_Inputs &amp; Assumptions'!$B$8/2)),IF('I_Budget Input Data'!$E$77="Back-loaded",IF(27&lt;='I_Inputs &amp; Assumptions'!$B$8/2,'I_Budget Input Data'!$D$77*0.4/('I_Inputs &amp; Assumptions'!$B$8/2),'I_Budget Input Data'!$D$77*0.6/('I_Inputs &amp; Assumptions'!$B$8/2)),IF('I_Budget Input Data'!$E$77="Mid-weighted",IF(27&lt;='I_Inputs &amp; Assumptions'!$B$8/4,'I_Budget Input Data'!$D$77*0.2/('I_Inputs &amp; Assumptions'!$B$8/4),IF(27&lt;='I_Inputs &amp; Assumptions'!$B$8*0.75,'I_Budget Input Data'!$D$77*0.6/('I_Inputs &amp; Assumptions'!$B$8/2),'I_Budget Input Data'!$D$77*0.2/('I_Inputs &amp; Assumptions'!$B$8/4))),IF('I_Budget Input Data'!$E$77="At Completion",IF(27='I_Inputs &amp; Assumptions'!$B$8,'I_Budget Input Data'!$D$77,0),'I_Budget Input Data'!$D$77/'I_Inputs &amp; Assumptions'!$B$8)))))),0)</f>
        <v>0</v>
      </c>
      <c r="AD77" s="91">
        <f>IF(28&lt;='I_Inputs &amp; Assumptions'!$B$8,IF('I_Budget Input Data'!$E$77="Upfront",IF(28=1,'I_Budget Input Data'!$D$77,0),IF('I_Budget Input Data'!$E$77="Equal",'I_Budget Input Data'!$D$77/'I_Inputs &amp; Assumptions'!$B$8,IF('I_Budget Input Data'!$E$77="Front-loaded",IF(28&lt;='I_Inputs &amp; Assumptions'!$B$8/2,'I_Budget Input Data'!$D$77*0.6/('I_Inputs &amp; Assumptions'!$B$8/2),'I_Budget Input Data'!$D$77*0.4/('I_Inputs &amp; Assumptions'!$B$8/2)),IF('I_Budget Input Data'!$E$77="Back-loaded",IF(28&lt;='I_Inputs &amp; Assumptions'!$B$8/2,'I_Budget Input Data'!$D$77*0.4/('I_Inputs &amp; Assumptions'!$B$8/2),'I_Budget Input Data'!$D$77*0.6/('I_Inputs &amp; Assumptions'!$B$8/2)),IF('I_Budget Input Data'!$E$77="Mid-weighted",IF(28&lt;='I_Inputs &amp; Assumptions'!$B$8/4,'I_Budget Input Data'!$D$77*0.2/('I_Inputs &amp; Assumptions'!$B$8/4),IF(28&lt;='I_Inputs &amp; Assumptions'!$B$8*0.75,'I_Budget Input Data'!$D$77*0.6/('I_Inputs &amp; Assumptions'!$B$8/2),'I_Budget Input Data'!$D$77*0.2/('I_Inputs &amp; Assumptions'!$B$8/4))),IF('I_Budget Input Data'!$E$77="At Completion",IF(28='I_Inputs &amp; Assumptions'!$B$8,'I_Budget Input Data'!$D$77,0),'I_Budget Input Data'!$D$77/'I_Inputs &amp; Assumptions'!$B$8)))))),0)</f>
        <v>0</v>
      </c>
      <c r="AE77" s="91">
        <f>IF(29&lt;='I_Inputs &amp; Assumptions'!$B$8,IF('I_Budget Input Data'!$E$77="Upfront",IF(29=1,'I_Budget Input Data'!$D$77,0),IF('I_Budget Input Data'!$E$77="Equal",'I_Budget Input Data'!$D$77/'I_Inputs &amp; Assumptions'!$B$8,IF('I_Budget Input Data'!$E$77="Front-loaded",IF(29&lt;='I_Inputs &amp; Assumptions'!$B$8/2,'I_Budget Input Data'!$D$77*0.6/('I_Inputs &amp; Assumptions'!$B$8/2),'I_Budget Input Data'!$D$77*0.4/('I_Inputs &amp; Assumptions'!$B$8/2)),IF('I_Budget Input Data'!$E$77="Back-loaded",IF(29&lt;='I_Inputs &amp; Assumptions'!$B$8/2,'I_Budget Input Data'!$D$77*0.4/('I_Inputs &amp; Assumptions'!$B$8/2),'I_Budget Input Data'!$D$77*0.6/('I_Inputs &amp; Assumptions'!$B$8/2)),IF('I_Budget Input Data'!$E$77="Mid-weighted",IF(29&lt;='I_Inputs &amp; Assumptions'!$B$8/4,'I_Budget Input Data'!$D$77*0.2/('I_Inputs &amp; Assumptions'!$B$8/4),IF(29&lt;='I_Inputs &amp; Assumptions'!$B$8*0.75,'I_Budget Input Data'!$D$77*0.6/('I_Inputs &amp; Assumptions'!$B$8/2),'I_Budget Input Data'!$D$77*0.2/('I_Inputs &amp; Assumptions'!$B$8/4))),IF('I_Budget Input Data'!$E$77="At Completion",IF(29='I_Inputs &amp; Assumptions'!$B$8,'I_Budget Input Data'!$D$77,0),'I_Budget Input Data'!$D$77/'I_Inputs &amp; Assumptions'!$B$8)))))),0)</f>
        <v>0</v>
      </c>
      <c r="AF77" s="91">
        <f>IF(30&lt;='I_Inputs &amp; Assumptions'!$B$8,IF('I_Budget Input Data'!$E$77="Upfront",IF(30=1,'I_Budget Input Data'!$D$77,0),IF('I_Budget Input Data'!$E$77="Equal",'I_Budget Input Data'!$D$77/'I_Inputs &amp; Assumptions'!$B$8,IF('I_Budget Input Data'!$E$77="Front-loaded",IF(30&lt;='I_Inputs &amp; Assumptions'!$B$8/2,'I_Budget Input Data'!$D$77*0.6/('I_Inputs &amp; Assumptions'!$B$8/2),'I_Budget Input Data'!$D$77*0.4/('I_Inputs &amp; Assumptions'!$B$8/2)),IF('I_Budget Input Data'!$E$77="Back-loaded",IF(30&lt;='I_Inputs &amp; Assumptions'!$B$8/2,'I_Budget Input Data'!$D$77*0.4/('I_Inputs &amp; Assumptions'!$B$8/2),'I_Budget Input Data'!$D$77*0.6/('I_Inputs &amp; Assumptions'!$B$8/2)),IF('I_Budget Input Data'!$E$77="Mid-weighted",IF(30&lt;='I_Inputs &amp; Assumptions'!$B$8/4,'I_Budget Input Data'!$D$77*0.2/('I_Inputs &amp; Assumptions'!$B$8/4),IF(30&lt;='I_Inputs &amp; Assumptions'!$B$8*0.75,'I_Budget Input Data'!$D$77*0.6/('I_Inputs &amp; Assumptions'!$B$8/2),'I_Budget Input Data'!$D$77*0.2/('I_Inputs &amp; Assumptions'!$B$8/4))),IF('I_Budget Input Data'!$E$77="At Completion",IF(30='I_Inputs &amp; Assumptions'!$B$8,'I_Budget Input Data'!$D$77,0),'I_Budget Input Data'!$D$77/'I_Inputs &amp; Assumptions'!$B$8)))))),0)</f>
        <v>0</v>
      </c>
      <c r="AG77" s="91">
        <f>IF(31&lt;='I_Inputs &amp; Assumptions'!$B$8,IF('I_Budget Input Data'!$E$77="Upfront",IF(31=1,'I_Budget Input Data'!$D$77,0),IF('I_Budget Input Data'!$E$77="Equal",'I_Budget Input Data'!$D$77/'I_Inputs &amp; Assumptions'!$B$8,IF('I_Budget Input Data'!$E$77="Front-loaded",IF(31&lt;='I_Inputs &amp; Assumptions'!$B$8/2,'I_Budget Input Data'!$D$77*0.6/('I_Inputs &amp; Assumptions'!$B$8/2),'I_Budget Input Data'!$D$77*0.4/('I_Inputs &amp; Assumptions'!$B$8/2)),IF('I_Budget Input Data'!$E$77="Back-loaded",IF(31&lt;='I_Inputs &amp; Assumptions'!$B$8/2,'I_Budget Input Data'!$D$77*0.4/('I_Inputs &amp; Assumptions'!$B$8/2),'I_Budget Input Data'!$D$77*0.6/('I_Inputs &amp; Assumptions'!$B$8/2)),IF('I_Budget Input Data'!$E$77="Mid-weighted",IF(31&lt;='I_Inputs &amp; Assumptions'!$B$8/4,'I_Budget Input Data'!$D$77*0.2/('I_Inputs &amp; Assumptions'!$B$8/4),IF(31&lt;='I_Inputs &amp; Assumptions'!$B$8*0.75,'I_Budget Input Data'!$D$77*0.6/('I_Inputs &amp; Assumptions'!$B$8/2),'I_Budget Input Data'!$D$77*0.2/('I_Inputs &amp; Assumptions'!$B$8/4))),IF('I_Budget Input Data'!$E$77="At Completion",IF(31='I_Inputs &amp; Assumptions'!$B$8,'I_Budget Input Data'!$D$77,0),'I_Budget Input Data'!$D$77/'I_Inputs &amp; Assumptions'!$B$8)))))),0)</f>
        <v>0</v>
      </c>
      <c r="AH77" s="91">
        <f>IF(32&lt;='I_Inputs &amp; Assumptions'!$B$8,IF('I_Budget Input Data'!$E$77="Upfront",IF(32=1,'I_Budget Input Data'!$D$77,0),IF('I_Budget Input Data'!$E$77="Equal",'I_Budget Input Data'!$D$77/'I_Inputs &amp; Assumptions'!$B$8,IF('I_Budget Input Data'!$E$77="Front-loaded",IF(32&lt;='I_Inputs &amp; Assumptions'!$B$8/2,'I_Budget Input Data'!$D$77*0.6/('I_Inputs &amp; Assumptions'!$B$8/2),'I_Budget Input Data'!$D$77*0.4/('I_Inputs &amp; Assumptions'!$B$8/2)),IF('I_Budget Input Data'!$E$77="Back-loaded",IF(32&lt;='I_Inputs &amp; Assumptions'!$B$8/2,'I_Budget Input Data'!$D$77*0.4/('I_Inputs &amp; Assumptions'!$B$8/2),'I_Budget Input Data'!$D$77*0.6/('I_Inputs &amp; Assumptions'!$B$8/2)),IF('I_Budget Input Data'!$E$77="Mid-weighted",IF(32&lt;='I_Inputs &amp; Assumptions'!$B$8/4,'I_Budget Input Data'!$D$77*0.2/('I_Inputs &amp; Assumptions'!$B$8/4),IF(32&lt;='I_Inputs &amp; Assumptions'!$B$8*0.75,'I_Budget Input Data'!$D$77*0.6/('I_Inputs &amp; Assumptions'!$B$8/2),'I_Budget Input Data'!$D$77*0.2/('I_Inputs &amp; Assumptions'!$B$8/4))),IF('I_Budget Input Data'!$E$77="At Completion",IF(32='I_Inputs &amp; Assumptions'!$B$8,'I_Budget Input Data'!$D$77,0),'I_Budget Input Data'!$D$77/'I_Inputs &amp; Assumptions'!$B$8)))))),0)</f>
        <v>0</v>
      </c>
      <c r="AI77" s="91">
        <f>IF(33&lt;='I_Inputs &amp; Assumptions'!$B$8,IF('I_Budget Input Data'!$E$77="Upfront",IF(33=1,'I_Budget Input Data'!$D$77,0),IF('I_Budget Input Data'!$E$77="Equal",'I_Budget Input Data'!$D$77/'I_Inputs &amp; Assumptions'!$B$8,IF('I_Budget Input Data'!$E$77="Front-loaded",IF(33&lt;='I_Inputs &amp; Assumptions'!$B$8/2,'I_Budget Input Data'!$D$77*0.6/('I_Inputs &amp; Assumptions'!$B$8/2),'I_Budget Input Data'!$D$77*0.4/('I_Inputs &amp; Assumptions'!$B$8/2)),IF('I_Budget Input Data'!$E$77="Back-loaded",IF(33&lt;='I_Inputs &amp; Assumptions'!$B$8/2,'I_Budget Input Data'!$D$77*0.4/('I_Inputs &amp; Assumptions'!$B$8/2),'I_Budget Input Data'!$D$77*0.6/('I_Inputs &amp; Assumptions'!$B$8/2)),IF('I_Budget Input Data'!$E$77="Mid-weighted",IF(33&lt;='I_Inputs &amp; Assumptions'!$B$8/4,'I_Budget Input Data'!$D$77*0.2/('I_Inputs &amp; Assumptions'!$B$8/4),IF(33&lt;='I_Inputs &amp; Assumptions'!$B$8*0.75,'I_Budget Input Data'!$D$77*0.6/('I_Inputs &amp; Assumptions'!$B$8/2),'I_Budget Input Data'!$D$77*0.2/('I_Inputs &amp; Assumptions'!$B$8/4))),IF('I_Budget Input Data'!$E$77="At Completion",IF(33='I_Inputs &amp; Assumptions'!$B$8,'I_Budget Input Data'!$D$77,0),'I_Budget Input Data'!$D$77/'I_Inputs &amp; Assumptions'!$B$8)))))),0)</f>
        <v>0</v>
      </c>
      <c r="AJ77" s="91">
        <f>IF(34&lt;='I_Inputs &amp; Assumptions'!$B$8,IF('I_Budget Input Data'!$E$77="Upfront",IF(34=1,'I_Budget Input Data'!$D$77,0),IF('I_Budget Input Data'!$E$77="Equal",'I_Budget Input Data'!$D$77/'I_Inputs &amp; Assumptions'!$B$8,IF('I_Budget Input Data'!$E$77="Front-loaded",IF(34&lt;='I_Inputs &amp; Assumptions'!$B$8/2,'I_Budget Input Data'!$D$77*0.6/('I_Inputs &amp; Assumptions'!$B$8/2),'I_Budget Input Data'!$D$77*0.4/('I_Inputs &amp; Assumptions'!$B$8/2)),IF('I_Budget Input Data'!$E$77="Back-loaded",IF(34&lt;='I_Inputs &amp; Assumptions'!$B$8/2,'I_Budget Input Data'!$D$77*0.4/('I_Inputs &amp; Assumptions'!$B$8/2),'I_Budget Input Data'!$D$77*0.6/('I_Inputs &amp; Assumptions'!$B$8/2)),IF('I_Budget Input Data'!$E$77="Mid-weighted",IF(34&lt;='I_Inputs &amp; Assumptions'!$B$8/4,'I_Budget Input Data'!$D$77*0.2/('I_Inputs &amp; Assumptions'!$B$8/4),IF(34&lt;='I_Inputs &amp; Assumptions'!$B$8*0.75,'I_Budget Input Data'!$D$77*0.6/('I_Inputs &amp; Assumptions'!$B$8/2),'I_Budget Input Data'!$D$77*0.2/('I_Inputs &amp; Assumptions'!$B$8/4))),IF('I_Budget Input Data'!$E$77="At Completion",IF(34='I_Inputs &amp; Assumptions'!$B$8,'I_Budget Input Data'!$D$77,0),'I_Budget Input Data'!$D$77/'I_Inputs &amp; Assumptions'!$B$8)))))),0)</f>
        <v>0</v>
      </c>
      <c r="AK77" s="91">
        <f>IF(35&lt;='I_Inputs &amp; Assumptions'!$B$8,IF('I_Budget Input Data'!$E$77="Upfront",IF(35=1,'I_Budget Input Data'!$D$77,0),IF('I_Budget Input Data'!$E$77="Equal",'I_Budget Input Data'!$D$77/'I_Inputs &amp; Assumptions'!$B$8,IF('I_Budget Input Data'!$E$77="Front-loaded",IF(35&lt;='I_Inputs &amp; Assumptions'!$B$8/2,'I_Budget Input Data'!$D$77*0.6/('I_Inputs &amp; Assumptions'!$B$8/2),'I_Budget Input Data'!$D$77*0.4/('I_Inputs &amp; Assumptions'!$B$8/2)),IF('I_Budget Input Data'!$E$77="Back-loaded",IF(35&lt;='I_Inputs &amp; Assumptions'!$B$8/2,'I_Budget Input Data'!$D$77*0.4/('I_Inputs &amp; Assumptions'!$B$8/2),'I_Budget Input Data'!$D$77*0.6/('I_Inputs &amp; Assumptions'!$B$8/2)),IF('I_Budget Input Data'!$E$77="Mid-weighted",IF(35&lt;='I_Inputs &amp; Assumptions'!$B$8/4,'I_Budget Input Data'!$D$77*0.2/('I_Inputs &amp; Assumptions'!$B$8/4),IF(35&lt;='I_Inputs &amp; Assumptions'!$B$8*0.75,'I_Budget Input Data'!$D$77*0.6/('I_Inputs &amp; Assumptions'!$B$8/2),'I_Budget Input Data'!$D$77*0.2/('I_Inputs &amp; Assumptions'!$B$8/4))),IF('I_Budget Input Data'!$E$77="At Completion",IF(35='I_Inputs &amp; Assumptions'!$B$8,'I_Budget Input Data'!$D$77,0),'I_Budget Input Data'!$D$77/'I_Inputs &amp; Assumptions'!$B$8)))))),0)</f>
        <v>0</v>
      </c>
      <c r="AL77" s="91">
        <f>IF(36&lt;='I_Inputs &amp; Assumptions'!$B$8,IF('I_Budget Input Data'!$E$77="Upfront",IF(36=1,'I_Budget Input Data'!$D$77,0),IF('I_Budget Input Data'!$E$77="Equal",'I_Budget Input Data'!$D$77/'I_Inputs &amp; Assumptions'!$B$8,IF('I_Budget Input Data'!$E$77="Front-loaded",IF(36&lt;='I_Inputs &amp; Assumptions'!$B$8/2,'I_Budget Input Data'!$D$77*0.6/('I_Inputs &amp; Assumptions'!$B$8/2),'I_Budget Input Data'!$D$77*0.4/('I_Inputs &amp; Assumptions'!$B$8/2)),IF('I_Budget Input Data'!$E$77="Back-loaded",IF(36&lt;='I_Inputs &amp; Assumptions'!$B$8/2,'I_Budget Input Data'!$D$77*0.4/('I_Inputs &amp; Assumptions'!$B$8/2),'I_Budget Input Data'!$D$77*0.6/('I_Inputs &amp; Assumptions'!$B$8/2)),IF('I_Budget Input Data'!$E$77="Mid-weighted",IF(36&lt;='I_Inputs &amp; Assumptions'!$B$8/4,'I_Budget Input Data'!$D$77*0.2/('I_Inputs &amp; Assumptions'!$B$8/4),IF(36&lt;='I_Inputs &amp; Assumptions'!$B$8*0.75,'I_Budget Input Data'!$D$77*0.6/('I_Inputs &amp; Assumptions'!$B$8/2),'I_Budget Input Data'!$D$77*0.2/('I_Inputs &amp; Assumptions'!$B$8/4))),IF('I_Budget Input Data'!$E$77="At Completion",IF(36='I_Inputs &amp; Assumptions'!$B$8,'I_Budget Input Data'!$D$77,0),'I_Budget Input Data'!$D$77/'I_Inputs &amp; Assumptions'!$B$8)))))),0)</f>
        <v>0</v>
      </c>
    </row>
    <row r="78" spans="1:38" ht="15" customHeight="1" x14ac:dyDescent="0.2">
      <c r="A78" t="s">
        <v>146</v>
      </c>
      <c r="B78" t="s">
        <v>197</v>
      </c>
      <c r="C78" s="91">
        <f>IF(1&lt;='I_Inputs &amp; Assumptions'!$B$8,IF('I_Budget Input Data'!$E$78="Upfront",IF(1=1,'I_Budget Input Data'!$D$78,0),IF('I_Budget Input Data'!$E$78="Equal",'I_Budget Input Data'!$D$78/'I_Inputs &amp; Assumptions'!$B$8,IF('I_Budget Input Data'!$E$78="Front-loaded",IF(1&lt;='I_Inputs &amp; Assumptions'!$B$8/2,'I_Budget Input Data'!$D$78*0.6/('I_Inputs &amp; Assumptions'!$B$8/2),'I_Budget Input Data'!$D$78*0.4/('I_Inputs &amp; Assumptions'!$B$8/2)),IF('I_Budget Input Data'!$E$78="Back-loaded",IF(1&lt;='I_Inputs &amp; Assumptions'!$B$8/2,'I_Budget Input Data'!$D$78*0.4/('I_Inputs &amp; Assumptions'!$B$8/2),'I_Budget Input Data'!$D$78*0.6/('I_Inputs &amp; Assumptions'!$B$8/2)),IF('I_Budget Input Data'!$E$78="Mid-weighted",IF(1&lt;='I_Inputs &amp; Assumptions'!$B$8/4,'I_Budget Input Data'!$D$78*0.2/('I_Inputs &amp; Assumptions'!$B$8/4),IF(1&lt;='I_Inputs &amp; Assumptions'!$B$8*0.75,'I_Budget Input Data'!$D$78*0.6/('I_Inputs &amp; Assumptions'!$B$8/2),'I_Budget Input Data'!$D$78*0.2/('I_Inputs &amp; Assumptions'!$B$8/4))),IF('I_Budget Input Data'!$E$78="At Completion",IF(1='I_Inputs &amp; Assumptions'!$B$8,'I_Budget Input Data'!$D$78,0),'I_Budget Input Data'!$D$78/'I_Inputs &amp; Assumptions'!$B$8)))))),0)</f>
        <v>52471.461538461539</v>
      </c>
      <c r="D78" s="91">
        <f>IF(2&lt;='I_Inputs &amp; Assumptions'!$B$8,IF('I_Budget Input Data'!$E$78="Upfront",IF(2=1,'I_Budget Input Data'!$D$78,0),IF('I_Budget Input Data'!$E$78="Equal",'I_Budget Input Data'!$D$78/'I_Inputs &amp; Assumptions'!$B$8,IF('I_Budget Input Data'!$E$78="Front-loaded",IF(2&lt;='I_Inputs &amp; Assumptions'!$B$8/2,'I_Budget Input Data'!$D$78*0.6/('I_Inputs &amp; Assumptions'!$B$8/2),'I_Budget Input Data'!$D$78*0.4/('I_Inputs &amp; Assumptions'!$B$8/2)),IF('I_Budget Input Data'!$E$78="Back-loaded",IF(2&lt;='I_Inputs &amp; Assumptions'!$B$8/2,'I_Budget Input Data'!$D$78*0.4/('I_Inputs &amp; Assumptions'!$B$8/2),'I_Budget Input Data'!$D$78*0.6/('I_Inputs &amp; Assumptions'!$B$8/2)),IF('I_Budget Input Data'!$E$78="Mid-weighted",IF(2&lt;='I_Inputs &amp; Assumptions'!$B$8/4,'I_Budget Input Data'!$D$78*0.2/('I_Inputs &amp; Assumptions'!$B$8/4),IF(2&lt;='I_Inputs &amp; Assumptions'!$B$8*0.75,'I_Budget Input Data'!$D$78*0.6/('I_Inputs &amp; Assumptions'!$B$8/2),'I_Budget Input Data'!$D$78*0.2/('I_Inputs &amp; Assumptions'!$B$8/4))),IF('I_Budget Input Data'!$E$78="At Completion",IF(2='I_Inputs &amp; Assumptions'!$B$8,'I_Budget Input Data'!$D$78,0),'I_Budget Input Data'!$D$78/'I_Inputs &amp; Assumptions'!$B$8)))))),0)</f>
        <v>52471.461538461539</v>
      </c>
      <c r="E78" s="91">
        <f>IF(3&lt;='I_Inputs &amp; Assumptions'!$B$8,IF('I_Budget Input Data'!$E$78="Upfront",IF(3=1,'I_Budget Input Data'!$D$78,0),IF('I_Budget Input Data'!$E$78="Equal",'I_Budget Input Data'!$D$78/'I_Inputs &amp; Assumptions'!$B$8,IF('I_Budget Input Data'!$E$78="Front-loaded",IF(3&lt;='I_Inputs &amp; Assumptions'!$B$8/2,'I_Budget Input Data'!$D$78*0.6/('I_Inputs &amp; Assumptions'!$B$8/2),'I_Budget Input Data'!$D$78*0.4/('I_Inputs &amp; Assumptions'!$B$8/2)),IF('I_Budget Input Data'!$E$78="Back-loaded",IF(3&lt;='I_Inputs &amp; Assumptions'!$B$8/2,'I_Budget Input Data'!$D$78*0.4/('I_Inputs &amp; Assumptions'!$B$8/2),'I_Budget Input Data'!$D$78*0.6/('I_Inputs &amp; Assumptions'!$B$8/2)),IF('I_Budget Input Data'!$E$78="Mid-weighted",IF(3&lt;='I_Inputs &amp; Assumptions'!$B$8/4,'I_Budget Input Data'!$D$78*0.2/('I_Inputs &amp; Assumptions'!$B$8/4),IF(3&lt;='I_Inputs &amp; Assumptions'!$B$8*0.75,'I_Budget Input Data'!$D$78*0.6/('I_Inputs &amp; Assumptions'!$B$8/2),'I_Budget Input Data'!$D$78*0.2/('I_Inputs &amp; Assumptions'!$B$8/4))),IF('I_Budget Input Data'!$E$78="At Completion",IF(3='I_Inputs &amp; Assumptions'!$B$8,'I_Budget Input Data'!$D$78,0),'I_Budget Input Data'!$D$78/'I_Inputs &amp; Assumptions'!$B$8)))))),0)</f>
        <v>52471.461538461539</v>
      </c>
      <c r="F78" s="91">
        <f>IF(4&lt;='I_Inputs &amp; Assumptions'!$B$8,IF('I_Budget Input Data'!$E$78="Upfront",IF(4=1,'I_Budget Input Data'!$D$78,0),IF('I_Budget Input Data'!$E$78="Equal",'I_Budget Input Data'!$D$78/'I_Inputs &amp; Assumptions'!$B$8,IF('I_Budget Input Data'!$E$78="Front-loaded",IF(4&lt;='I_Inputs &amp; Assumptions'!$B$8/2,'I_Budget Input Data'!$D$78*0.6/('I_Inputs &amp; Assumptions'!$B$8/2),'I_Budget Input Data'!$D$78*0.4/('I_Inputs &amp; Assumptions'!$B$8/2)),IF('I_Budget Input Data'!$E$78="Back-loaded",IF(4&lt;='I_Inputs &amp; Assumptions'!$B$8/2,'I_Budget Input Data'!$D$78*0.4/('I_Inputs &amp; Assumptions'!$B$8/2),'I_Budget Input Data'!$D$78*0.6/('I_Inputs &amp; Assumptions'!$B$8/2)),IF('I_Budget Input Data'!$E$78="Mid-weighted",IF(4&lt;='I_Inputs &amp; Assumptions'!$B$8/4,'I_Budget Input Data'!$D$78*0.2/('I_Inputs &amp; Assumptions'!$B$8/4),IF(4&lt;='I_Inputs &amp; Assumptions'!$B$8*0.75,'I_Budget Input Data'!$D$78*0.6/('I_Inputs &amp; Assumptions'!$B$8/2),'I_Budget Input Data'!$D$78*0.2/('I_Inputs &amp; Assumptions'!$B$8/4))),IF('I_Budget Input Data'!$E$78="At Completion",IF(4='I_Inputs &amp; Assumptions'!$B$8,'I_Budget Input Data'!$D$78,0),'I_Budget Input Data'!$D$78/'I_Inputs &amp; Assumptions'!$B$8)))))),0)</f>
        <v>52471.461538461539</v>
      </c>
      <c r="G78" s="91">
        <f>IF(5&lt;='I_Inputs &amp; Assumptions'!$B$8,IF('I_Budget Input Data'!$E$78="Upfront",IF(5=1,'I_Budget Input Data'!$D$78,0),IF('I_Budget Input Data'!$E$78="Equal",'I_Budget Input Data'!$D$78/'I_Inputs &amp; Assumptions'!$B$8,IF('I_Budget Input Data'!$E$78="Front-loaded",IF(5&lt;='I_Inputs &amp; Assumptions'!$B$8/2,'I_Budget Input Data'!$D$78*0.6/('I_Inputs &amp; Assumptions'!$B$8/2),'I_Budget Input Data'!$D$78*0.4/('I_Inputs &amp; Assumptions'!$B$8/2)),IF('I_Budget Input Data'!$E$78="Back-loaded",IF(5&lt;='I_Inputs &amp; Assumptions'!$B$8/2,'I_Budget Input Data'!$D$78*0.4/('I_Inputs &amp; Assumptions'!$B$8/2),'I_Budget Input Data'!$D$78*0.6/('I_Inputs &amp; Assumptions'!$B$8/2)),IF('I_Budget Input Data'!$E$78="Mid-weighted",IF(5&lt;='I_Inputs &amp; Assumptions'!$B$8/4,'I_Budget Input Data'!$D$78*0.2/('I_Inputs &amp; Assumptions'!$B$8/4),IF(5&lt;='I_Inputs &amp; Assumptions'!$B$8*0.75,'I_Budget Input Data'!$D$78*0.6/('I_Inputs &amp; Assumptions'!$B$8/2),'I_Budget Input Data'!$D$78*0.2/('I_Inputs &amp; Assumptions'!$B$8/4))),IF('I_Budget Input Data'!$E$78="At Completion",IF(5='I_Inputs &amp; Assumptions'!$B$8,'I_Budget Input Data'!$D$78,0),'I_Budget Input Data'!$D$78/'I_Inputs &amp; Assumptions'!$B$8)))))),0)</f>
        <v>52471.461538461539</v>
      </c>
      <c r="H78" s="91">
        <f>IF(6&lt;='I_Inputs &amp; Assumptions'!$B$8,IF('I_Budget Input Data'!$E$78="Upfront",IF(6=1,'I_Budget Input Data'!$D$78,0),IF('I_Budget Input Data'!$E$78="Equal",'I_Budget Input Data'!$D$78/'I_Inputs &amp; Assumptions'!$B$8,IF('I_Budget Input Data'!$E$78="Front-loaded",IF(6&lt;='I_Inputs &amp; Assumptions'!$B$8/2,'I_Budget Input Data'!$D$78*0.6/('I_Inputs &amp; Assumptions'!$B$8/2),'I_Budget Input Data'!$D$78*0.4/('I_Inputs &amp; Assumptions'!$B$8/2)),IF('I_Budget Input Data'!$E$78="Back-loaded",IF(6&lt;='I_Inputs &amp; Assumptions'!$B$8/2,'I_Budget Input Data'!$D$78*0.4/('I_Inputs &amp; Assumptions'!$B$8/2),'I_Budget Input Data'!$D$78*0.6/('I_Inputs &amp; Assumptions'!$B$8/2)),IF('I_Budget Input Data'!$E$78="Mid-weighted",IF(6&lt;='I_Inputs &amp; Assumptions'!$B$8/4,'I_Budget Input Data'!$D$78*0.2/('I_Inputs &amp; Assumptions'!$B$8/4),IF(6&lt;='I_Inputs &amp; Assumptions'!$B$8*0.75,'I_Budget Input Data'!$D$78*0.6/('I_Inputs &amp; Assumptions'!$B$8/2),'I_Budget Input Data'!$D$78*0.2/('I_Inputs &amp; Assumptions'!$B$8/4))),IF('I_Budget Input Data'!$E$78="At Completion",IF(6='I_Inputs &amp; Assumptions'!$B$8,'I_Budget Input Data'!$D$78,0),'I_Budget Input Data'!$D$78/'I_Inputs &amp; Assumptions'!$B$8)))))),0)</f>
        <v>52471.461538461539</v>
      </c>
      <c r="I78" s="91">
        <f>IF(7&lt;='I_Inputs &amp; Assumptions'!$B$8,IF('I_Budget Input Data'!$E$78="Upfront",IF(7=1,'I_Budget Input Data'!$D$78,0),IF('I_Budget Input Data'!$E$78="Equal",'I_Budget Input Data'!$D$78/'I_Inputs &amp; Assumptions'!$B$8,IF('I_Budget Input Data'!$E$78="Front-loaded",IF(7&lt;='I_Inputs &amp; Assumptions'!$B$8/2,'I_Budget Input Data'!$D$78*0.6/('I_Inputs &amp; Assumptions'!$B$8/2),'I_Budget Input Data'!$D$78*0.4/('I_Inputs &amp; Assumptions'!$B$8/2)),IF('I_Budget Input Data'!$E$78="Back-loaded",IF(7&lt;='I_Inputs &amp; Assumptions'!$B$8/2,'I_Budget Input Data'!$D$78*0.4/('I_Inputs &amp; Assumptions'!$B$8/2),'I_Budget Input Data'!$D$78*0.6/('I_Inputs &amp; Assumptions'!$B$8/2)),IF('I_Budget Input Data'!$E$78="Mid-weighted",IF(7&lt;='I_Inputs &amp; Assumptions'!$B$8/4,'I_Budget Input Data'!$D$78*0.2/('I_Inputs &amp; Assumptions'!$B$8/4),IF(7&lt;='I_Inputs &amp; Assumptions'!$B$8*0.75,'I_Budget Input Data'!$D$78*0.6/('I_Inputs &amp; Assumptions'!$B$8/2),'I_Budget Input Data'!$D$78*0.2/('I_Inputs &amp; Assumptions'!$B$8/4))),IF('I_Budget Input Data'!$E$78="At Completion",IF(7='I_Inputs &amp; Assumptions'!$B$8,'I_Budget Input Data'!$D$78,0),'I_Budget Input Data'!$D$78/'I_Inputs &amp; Assumptions'!$B$8)))))),0)</f>
        <v>52471.461538461539</v>
      </c>
      <c r="J78" s="91">
        <f>IF(8&lt;='I_Inputs &amp; Assumptions'!$B$8,IF('I_Budget Input Data'!$E$78="Upfront",IF(8=1,'I_Budget Input Data'!$D$78,0),IF('I_Budget Input Data'!$E$78="Equal",'I_Budget Input Data'!$D$78/'I_Inputs &amp; Assumptions'!$B$8,IF('I_Budget Input Data'!$E$78="Front-loaded",IF(8&lt;='I_Inputs &amp; Assumptions'!$B$8/2,'I_Budget Input Data'!$D$78*0.6/('I_Inputs &amp; Assumptions'!$B$8/2),'I_Budget Input Data'!$D$78*0.4/('I_Inputs &amp; Assumptions'!$B$8/2)),IF('I_Budget Input Data'!$E$78="Back-loaded",IF(8&lt;='I_Inputs &amp; Assumptions'!$B$8/2,'I_Budget Input Data'!$D$78*0.4/('I_Inputs &amp; Assumptions'!$B$8/2),'I_Budget Input Data'!$D$78*0.6/('I_Inputs &amp; Assumptions'!$B$8/2)),IF('I_Budget Input Data'!$E$78="Mid-weighted",IF(8&lt;='I_Inputs &amp; Assumptions'!$B$8/4,'I_Budget Input Data'!$D$78*0.2/('I_Inputs &amp; Assumptions'!$B$8/4),IF(8&lt;='I_Inputs &amp; Assumptions'!$B$8*0.75,'I_Budget Input Data'!$D$78*0.6/('I_Inputs &amp; Assumptions'!$B$8/2),'I_Budget Input Data'!$D$78*0.2/('I_Inputs &amp; Assumptions'!$B$8/4))),IF('I_Budget Input Data'!$E$78="At Completion",IF(8='I_Inputs &amp; Assumptions'!$B$8,'I_Budget Input Data'!$D$78,0),'I_Budget Input Data'!$D$78/'I_Inputs &amp; Assumptions'!$B$8)))))),0)</f>
        <v>52471.461538461539</v>
      </c>
      <c r="K78" s="91">
        <f>IF(9&lt;='I_Inputs &amp; Assumptions'!$B$8,IF('I_Budget Input Data'!$E$78="Upfront",IF(9=1,'I_Budget Input Data'!$D$78,0),IF('I_Budget Input Data'!$E$78="Equal",'I_Budget Input Data'!$D$78/'I_Inputs &amp; Assumptions'!$B$8,IF('I_Budget Input Data'!$E$78="Front-loaded",IF(9&lt;='I_Inputs &amp; Assumptions'!$B$8/2,'I_Budget Input Data'!$D$78*0.6/('I_Inputs &amp; Assumptions'!$B$8/2),'I_Budget Input Data'!$D$78*0.4/('I_Inputs &amp; Assumptions'!$B$8/2)),IF('I_Budget Input Data'!$E$78="Back-loaded",IF(9&lt;='I_Inputs &amp; Assumptions'!$B$8/2,'I_Budget Input Data'!$D$78*0.4/('I_Inputs &amp; Assumptions'!$B$8/2),'I_Budget Input Data'!$D$78*0.6/('I_Inputs &amp; Assumptions'!$B$8/2)),IF('I_Budget Input Data'!$E$78="Mid-weighted",IF(9&lt;='I_Inputs &amp; Assumptions'!$B$8/4,'I_Budget Input Data'!$D$78*0.2/('I_Inputs &amp; Assumptions'!$B$8/4),IF(9&lt;='I_Inputs &amp; Assumptions'!$B$8*0.75,'I_Budget Input Data'!$D$78*0.6/('I_Inputs &amp; Assumptions'!$B$8/2),'I_Budget Input Data'!$D$78*0.2/('I_Inputs &amp; Assumptions'!$B$8/4))),IF('I_Budget Input Data'!$E$78="At Completion",IF(9='I_Inputs &amp; Assumptions'!$B$8,'I_Budget Input Data'!$D$78,0),'I_Budget Input Data'!$D$78/'I_Inputs &amp; Assumptions'!$B$8)))))),0)</f>
        <v>52471.461538461539</v>
      </c>
      <c r="L78" s="91">
        <f>IF(10&lt;='I_Inputs &amp; Assumptions'!$B$8,IF('I_Budget Input Data'!$E$78="Upfront",IF(10=1,'I_Budget Input Data'!$D$78,0),IF('I_Budget Input Data'!$E$78="Equal",'I_Budget Input Data'!$D$78/'I_Inputs &amp; Assumptions'!$B$8,IF('I_Budget Input Data'!$E$78="Front-loaded",IF(10&lt;='I_Inputs &amp; Assumptions'!$B$8/2,'I_Budget Input Data'!$D$78*0.6/('I_Inputs &amp; Assumptions'!$B$8/2),'I_Budget Input Data'!$D$78*0.4/('I_Inputs &amp; Assumptions'!$B$8/2)),IF('I_Budget Input Data'!$E$78="Back-loaded",IF(10&lt;='I_Inputs &amp; Assumptions'!$B$8/2,'I_Budget Input Data'!$D$78*0.4/('I_Inputs &amp; Assumptions'!$B$8/2),'I_Budget Input Data'!$D$78*0.6/('I_Inputs &amp; Assumptions'!$B$8/2)),IF('I_Budget Input Data'!$E$78="Mid-weighted",IF(10&lt;='I_Inputs &amp; Assumptions'!$B$8/4,'I_Budget Input Data'!$D$78*0.2/('I_Inputs &amp; Assumptions'!$B$8/4),IF(10&lt;='I_Inputs &amp; Assumptions'!$B$8*0.75,'I_Budget Input Data'!$D$78*0.6/('I_Inputs &amp; Assumptions'!$B$8/2),'I_Budget Input Data'!$D$78*0.2/('I_Inputs &amp; Assumptions'!$B$8/4))),IF('I_Budget Input Data'!$E$78="At Completion",IF(10='I_Inputs &amp; Assumptions'!$B$8,'I_Budget Input Data'!$D$78,0),'I_Budget Input Data'!$D$78/'I_Inputs &amp; Assumptions'!$B$8)))))),0)</f>
        <v>52471.461538461539</v>
      </c>
      <c r="M78" s="91">
        <f>IF(11&lt;='I_Inputs &amp; Assumptions'!$B$8,IF('I_Budget Input Data'!$E$78="Upfront",IF(11=1,'I_Budget Input Data'!$D$78,0),IF('I_Budget Input Data'!$E$78="Equal",'I_Budget Input Data'!$D$78/'I_Inputs &amp; Assumptions'!$B$8,IF('I_Budget Input Data'!$E$78="Front-loaded",IF(11&lt;='I_Inputs &amp; Assumptions'!$B$8/2,'I_Budget Input Data'!$D$78*0.6/('I_Inputs &amp; Assumptions'!$B$8/2),'I_Budget Input Data'!$D$78*0.4/('I_Inputs &amp; Assumptions'!$B$8/2)),IF('I_Budget Input Data'!$E$78="Back-loaded",IF(11&lt;='I_Inputs &amp; Assumptions'!$B$8/2,'I_Budget Input Data'!$D$78*0.4/('I_Inputs &amp; Assumptions'!$B$8/2),'I_Budget Input Data'!$D$78*0.6/('I_Inputs &amp; Assumptions'!$B$8/2)),IF('I_Budget Input Data'!$E$78="Mid-weighted",IF(11&lt;='I_Inputs &amp; Assumptions'!$B$8/4,'I_Budget Input Data'!$D$78*0.2/('I_Inputs &amp; Assumptions'!$B$8/4),IF(11&lt;='I_Inputs &amp; Assumptions'!$B$8*0.75,'I_Budget Input Data'!$D$78*0.6/('I_Inputs &amp; Assumptions'!$B$8/2),'I_Budget Input Data'!$D$78*0.2/('I_Inputs &amp; Assumptions'!$B$8/4))),IF('I_Budget Input Data'!$E$78="At Completion",IF(11='I_Inputs &amp; Assumptions'!$B$8,'I_Budget Input Data'!$D$78,0),'I_Budget Input Data'!$D$78/'I_Inputs &amp; Assumptions'!$B$8)))))),0)</f>
        <v>52471.461538461539</v>
      </c>
      <c r="N78" s="91">
        <f>IF(12&lt;='I_Inputs &amp; Assumptions'!$B$8,IF('I_Budget Input Data'!$E$78="Upfront",IF(12=1,'I_Budget Input Data'!$D$78,0),IF('I_Budget Input Data'!$E$78="Equal",'I_Budget Input Data'!$D$78/'I_Inputs &amp; Assumptions'!$B$8,IF('I_Budget Input Data'!$E$78="Front-loaded",IF(12&lt;='I_Inputs &amp; Assumptions'!$B$8/2,'I_Budget Input Data'!$D$78*0.6/('I_Inputs &amp; Assumptions'!$B$8/2),'I_Budget Input Data'!$D$78*0.4/('I_Inputs &amp; Assumptions'!$B$8/2)),IF('I_Budget Input Data'!$E$78="Back-loaded",IF(12&lt;='I_Inputs &amp; Assumptions'!$B$8/2,'I_Budget Input Data'!$D$78*0.4/('I_Inputs &amp; Assumptions'!$B$8/2),'I_Budget Input Data'!$D$78*0.6/('I_Inputs &amp; Assumptions'!$B$8/2)),IF('I_Budget Input Data'!$E$78="Mid-weighted",IF(12&lt;='I_Inputs &amp; Assumptions'!$B$8/4,'I_Budget Input Data'!$D$78*0.2/('I_Inputs &amp; Assumptions'!$B$8/4),IF(12&lt;='I_Inputs &amp; Assumptions'!$B$8*0.75,'I_Budget Input Data'!$D$78*0.6/('I_Inputs &amp; Assumptions'!$B$8/2),'I_Budget Input Data'!$D$78*0.2/('I_Inputs &amp; Assumptions'!$B$8/4))),IF('I_Budget Input Data'!$E$78="At Completion",IF(12='I_Inputs &amp; Assumptions'!$B$8,'I_Budget Input Data'!$D$78,0),'I_Budget Input Data'!$D$78/'I_Inputs &amp; Assumptions'!$B$8)))))),0)</f>
        <v>52471.461538461539</v>
      </c>
      <c r="O78" s="91">
        <f>IF(13&lt;='I_Inputs &amp; Assumptions'!$B$8,IF('I_Budget Input Data'!$E$78="Upfront",IF(13=1,'I_Budget Input Data'!$D$78,0),IF('I_Budget Input Data'!$E$78="Equal",'I_Budget Input Data'!$D$78/'I_Inputs &amp; Assumptions'!$B$8,IF('I_Budget Input Data'!$E$78="Front-loaded",IF(13&lt;='I_Inputs &amp; Assumptions'!$B$8/2,'I_Budget Input Data'!$D$78*0.6/('I_Inputs &amp; Assumptions'!$B$8/2),'I_Budget Input Data'!$D$78*0.4/('I_Inputs &amp; Assumptions'!$B$8/2)),IF('I_Budget Input Data'!$E$78="Back-loaded",IF(13&lt;='I_Inputs &amp; Assumptions'!$B$8/2,'I_Budget Input Data'!$D$78*0.4/('I_Inputs &amp; Assumptions'!$B$8/2),'I_Budget Input Data'!$D$78*0.6/('I_Inputs &amp; Assumptions'!$B$8/2)),IF('I_Budget Input Data'!$E$78="Mid-weighted",IF(13&lt;='I_Inputs &amp; Assumptions'!$B$8/4,'I_Budget Input Data'!$D$78*0.2/('I_Inputs &amp; Assumptions'!$B$8/4),IF(13&lt;='I_Inputs &amp; Assumptions'!$B$8*0.75,'I_Budget Input Data'!$D$78*0.6/('I_Inputs &amp; Assumptions'!$B$8/2),'I_Budget Input Data'!$D$78*0.2/('I_Inputs &amp; Assumptions'!$B$8/4))),IF('I_Budget Input Data'!$E$78="At Completion",IF(13='I_Inputs &amp; Assumptions'!$B$8,'I_Budget Input Data'!$D$78,0),'I_Budget Input Data'!$D$78/'I_Inputs &amp; Assumptions'!$B$8)))))),0)</f>
        <v>52471.461538461539</v>
      </c>
      <c r="P78" s="91">
        <f>IF(14&lt;='I_Inputs &amp; Assumptions'!$B$8,IF('I_Budget Input Data'!$E$78="Upfront",IF(14=1,'I_Budget Input Data'!$D$78,0),IF('I_Budget Input Data'!$E$78="Equal",'I_Budget Input Data'!$D$78/'I_Inputs &amp; Assumptions'!$B$8,IF('I_Budget Input Data'!$E$78="Front-loaded",IF(14&lt;='I_Inputs &amp; Assumptions'!$B$8/2,'I_Budget Input Data'!$D$78*0.6/('I_Inputs &amp; Assumptions'!$B$8/2),'I_Budget Input Data'!$D$78*0.4/('I_Inputs &amp; Assumptions'!$B$8/2)),IF('I_Budget Input Data'!$E$78="Back-loaded",IF(14&lt;='I_Inputs &amp; Assumptions'!$B$8/2,'I_Budget Input Data'!$D$78*0.4/('I_Inputs &amp; Assumptions'!$B$8/2),'I_Budget Input Data'!$D$78*0.6/('I_Inputs &amp; Assumptions'!$B$8/2)),IF('I_Budget Input Data'!$E$78="Mid-weighted",IF(14&lt;='I_Inputs &amp; Assumptions'!$B$8/4,'I_Budget Input Data'!$D$78*0.2/('I_Inputs &amp; Assumptions'!$B$8/4),IF(14&lt;='I_Inputs &amp; Assumptions'!$B$8*0.75,'I_Budget Input Data'!$D$78*0.6/('I_Inputs &amp; Assumptions'!$B$8/2),'I_Budget Input Data'!$D$78*0.2/('I_Inputs &amp; Assumptions'!$B$8/4))),IF('I_Budget Input Data'!$E$78="At Completion",IF(14='I_Inputs &amp; Assumptions'!$B$8,'I_Budget Input Data'!$D$78,0),'I_Budget Input Data'!$D$78/'I_Inputs &amp; Assumptions'!$B$8)))))),0)</f>
        <v>0</v>
      </c>
      <c r="Q78" s="91">
        <f>IF(15&lt;='I_Inputs &amp; Assumptions'!$B$8,IF('I_Budget Input Data'!$E$78="Upfront",IF(15=1,'I_Budget Input Data'!$D$78,0),IF('I_Budget Input Data'!$E$78="Equal",'I_Budget Input Data'!$D$78/'I_Inputs &amp; Assumptions'!$B$8,IF('I_Budget Input Data'!$E$78="Front-loaded",IF(15&lt;='I_Inputs &amp; Assumptions'!$B$8/2,'I_Budget Input Data'!$D$78*0.6/('I_Inputs &amp; Assumptions'!$B$8/2),'I_Budget Input Data'!$D$78*0.4/('I_Inputs &amp; Assumptions'!$B$8/2)),IF('I_Budget Input Data'!$E$78="Back-loaded",IF(15&lt;='I_Inputs &amp; Assumptions'!$B$8/2,'I_Budget Input Data'!$D$78*0.4/('I_Inputs &amp; Assumptions'!$B$8/2),'I_Budget Input Data'!$D$78*0.6/('I_Inputs &amp; Assumptions'!$B$8/2)),IF('I_Budget Input Data'!$E$78="Mid-weighted",IF(15&lt;='I_Inputs &amp; Assumptions'!$B$8/4,'I_Budget Input Data'!$D$78*0.2/('I_Inputs &amp; Assumptions'!$B$8/4),IF(15&lt;='I_Inputs &amp; Assumptions'!$B$8*0.75,'I_Budget Input Data'!$D$78*0.6/('I_Inputs &amp; Assumptions'!$B$8/2),'I_Budget Input Data'!$D$78*0.2/('I_Inputs &amp; Assumptions'!$B$8/4))),IF('I_Budget Input Data'!$E$78="At Completion",IF(15='I_Inputs &amp; Assumptions'!$B$8,'I_Budget Input Data'!$D$78,0),'I_Budget Input Data'!$D$78/'I_Inputs &amp; Assumptions'!$B$8)))))),0)</f>
        <v>0</v>
      </c>
      <c r="R78" s="91">
        <f>IF(16&lt;='I_Inputs &amp; Assumptions'!$B$8,IF('I_Budget Input Data'!$E$78="Upfront",IF(16=1,'I_Budget Input Data'!$D$78,0),IF('I_Budget Input Data'!$E$78="Equal",'I_Budget Input Data'!$D$78/'I_Inputs &amp; Assumptions'!$B$8,IF('I_Budget Input Data'!$E$78="Front-loaded",IF(16&lt;='I_Inputs &amp; Assumptions'!$B$8/2,'I_Budget Input Data'!$D$78*0.6/('I_Inputs &amp; Assumptions'!$B$8/2),'I_Budget Input Data'!$D$78*0.4/('I_Inputs &amp; Assumptions'!$B$8/2)),IF('I_Budget Input Data'!$E$78="Back-loaded",IF(16&lt;='I_Inputs &amp; Assumptions'!$B$8/2,'I_Budget Input Data'!$D$78*0.4/('I_Inputs &amp; Assumptions'!$B$8/2),'I_Budget Input Data'!$D$78*0.6/('I_Inputs &amp; Assumptions'!$B$8/2)),IF('I_Budget Input Data'!$E$78="Mid-weighted",IF(16&lt;='I_Inputs &amp; Assumptions'!$B$8/4,'I_Budget Input Data'!$D$78*0.2/('I_Inputs &amp; Assumptions'!$B$8/4),IF(16&lt;='I_Inputs &amp; Assumptions'!$B$8*0.75,'I_Budget Input Data'!$D$78*0.6/('I_Inputs &amp; Assumptions'!$B$8/2),'I_Budget Input Data'!$D$78*0.2/('I_Inputs &amp; Assumptions'!$B$8/4))),IF('I_Budget Input Data'!$E$78="At Completion",IF(16='I_Inputs &amp; Assumptions'!$B$8,'I_Budget Input Data'!$D$78,0),'I_Budget Input Data'!$D$78/'I_Inputs &amp; Assumptions'!$B$8)))))),0)</f>
        <v>0</v>
      </c>
      <c r="S78" s="91">
        <f>IF(17&lt;='I_Inputs &amp; Assumptions'!$B$8,IF('I_Budget Input Data'!$E$78="Upfront",IF(17=1,'I_Budget Input Data'!$D$78,0),IF('I_Budget Input Data'!$E$78="Equal",'I_Budget Input Data'!$D$78/'I_Inputs &amp; Assumptions'!$B$8,IF('I_Budget Input Data'!$E$78="Front-loaded",IF(17&lt;='I_Inputs &amp; Assumptions'!$B$8/2,'I_Budget Input Data'!$D$78*0.6/('I_Inputs &amp; Assumptions'!$B$8/2),'I_Budget Input Data'!$D$78*0.4/('I_Inputs &amp; Assumptions'!$B$8/2)),IF('I_Budget Input Data'!$E$78="Back-loaded",IF(17&lt;='I_Inputs &amp; Assumptions'!$B$8/2,'I_Budget Input Data'!$D$78*0.4/('I_Inputs &amp; Assumptions'!$B$8/2),'I_Budget Input Data'!$D$78*0.6/('I_Inputs &amp; Assumptions'!$B$8/2)),IF('I_Budget Input Data'!$E$78="Mid-weighted",IF(17&lt;='I_Inputs &amp; Assumptions'!$B$8/4,'I_Budget Input Data'!$D$78*0.2/('I_Inputs &amp; Assumptions'!$B$8/4),IF(17&lt;='I_Inputs &amp; Assumptions'!$B$8*0.75,'I_Budget Input Data'!$D$78*0.6/('I_Inputs &amp; Assumptions'!$B$8/2),'I_Budget Input Data'!$D$78*0.2/('I_Inputs &amp; Assumptions'!$B$8/4))),IF('I_Budget Input Data'!$E$78="At Completion",IF(17='I_Inputs &amp; Assumptions'!$B$8,'I_Budget Input Data'!$D$78,0),'I_Budget Input Data'!$D$78/'I_Inputs &amp; Assumptions'!$B$8)))))),0)</f>
        <v>0</v>
      </c>
      <c r="T78" s="91">
        <f>IF(18&lt;='I_Inputs &amp; Assumptions'!$B$8,IF('I_Budget Input Data'!$E$78="Upfront",IF(18=1,'I_Budget Input Data'!$D$78,0),IF('I_Budget Input Data'!$E$78="Equal",'I_Budget Input Data'!$D$78/'I_Inputs &amp; Assumptions'!$B$8,IF('I_Budget Input Data'!$E$78="Front-loaded",IF(18&lt;='I_Inputs &amp; Assumptions'!$B$8/2,'I_Budget Input Data'!$D$78*0.6/('I_Inputs &amp; Assumptions'!$B$8/2),'I_Budget Input Data'!$D$78*0.4/('I_Inputs &amp; Assumptions'!$B$8/2)),IF('I_Budget Input Data'!$E$78="Back-loaded",IF(18&lt;='I_Inputs &amp; Assumptions'!$B$8/2,'I_Budget Input Data'!$D$78*0.4/('I_Inputs &amp; Assumptions'!$B$8/2),'I_Budget Input Data'!$D$78*0.6/('I_Inputs &amp; Assumptions'!$B$8/2)),IF('I_Budget Input Data'!$E$78="Mid-weighted",IF(18&lt;='I_Inputs &amp; Assumptions'!$B$8/4,'I_Budget Input Data'!$D$78*0.2/('I_Inputs &amp; Assumptions'!$B$8/4),IF(18&lt;='I_Inputs &amp; Assumptions'!$B$8*0.75,'I_Budget Input Data'!$D$78*0.6/('I_Inputs &amp; Assumptions'!$B$8/2),'I_Budget Input Data'!$D$78*0.2/('I_Inputs &amp; Assumptions'!$B$8/4))),IF('I_Budget Input Data'!$E$78="At Completion",IF(18='I_Inputs &amp; Assumptions'!$B$8,'I_Budget Input Data'!$D$78,0),'I_Budget Input Data'!$D$78/'I_Inputs &amp; Assumptions'!$B$8)))))),0)</f>
        <v>0</v>
      </c>
      <c r="U78" s="91">
        <f>IF(19&lt;='I_Inputs &amp; Assumptions'!$B$8,IF('I_Budget Input Data'!$E$78="Upfront",IF(19=1,'I_Budget Input Data'!$D$78,0),IF('I_Budget Input Data'!$E$78="Equal",'I_Budget Input Data'!$D$78/'I_Inputs &amp; Assumptions'!$B$8,IF('I_Budget Input Data'!$E$78="Front-loaded",IF(19&lt;='I_Inputs &amp; Assumptions'!$B$8/2,'I_Budget Input Data'!$D$78*0.6/('I_Inputs &amp; Assumptions'!$B$8/2),'I_Budget Input Data'!$D$78*0.4/('I_Inputs &amp; Assumptions'!$B$8/2)),IF('I_Budget Input Data'!$E$78="Back-loaded",IF(19&lt;='I_Inputs &amp; Assumptions'!$B$8/2,'I_Budget Input Data'!$D$78*0.4/('I_Inputs &amp; Assumptions'!$B$8/2),'I_Budget Input Data'!$D$78*0.6/('I_Inputs &amp; Assumptions'!$B$8/2)),IF('I_Budget Input Data'!$E$78="Mid-weighted",IF(19&lt;='I_Inputs &amp; Assumptions'!$B$8/4,'I_Budget Input Data'!$D$78*0.2/('I_Inputs &amp; Assumptions'!$B$8/4),IF(19&lt;='I_Inputs &amp; Assumptions'!$B$8*0.75,'I_Budget Input Data'!$D$78*0.6/('I_Inputs &amp; Assumptions'!$B$8/2),'I_Budget Input Data'!$D$78*0.2/('I_Inputs &amp; Assumptions'!$B$8/4))),IF('I_Budget Input Data'!$E$78="At Completion",IF(19='I_Inputs &amp; Assumptions'!$B$8,'I_Budget Input Data'!$D$78,0),'I_Budget Input Data'!$D$78/'I_Inputs &amp; Assumptions'!$B$8)))))),0)</f>
        <v>0</v>
      </c>
      <c r="V78" s="91">
        <f>IF(20&lt;='I_Inputs &amp; Assumptions'!$B$8,IF('I_Budget Input Data'!$E$78="Upfront",IF(20=1,'I_Budget Input Data'!$D$78,0),IF('I_Budget Input Data'!$E$78="Equal",'I_Budget Input Data'!$D$78/'I_Inputs &amp; Assumptions'!$B$8,IF('I_Budget Input Data'!$E$78="Front-loaded",IF(20&lt;='I_Inputs &amp; Assumptions'!$B$8/2,'I_Budget Input Data'!$D$78*0.6/('I_Inputs &amp; Assumptions'!$B$8/2),'I_Budget Input Data'!$D$78*0.4/('I_Inputs &amp; Assumptions'!$B$8/2)),IF('I_Budget Input Data'!$E$78="Back-loaded",IF(20&lt;='I_Inputs &amp; Assumptions'!$B$8/2,'I_Budget Input Data'!$D$78*0.4/('I_Inputs &amp; Assumptions'!$B$8/2),'I_Budget Input Data'!$D$78*0.6/('I_Inputs &amp; Assumptions'!$B$8/2)),IF('I_Budget Input Data'!$E$78="Mid-weighted",IF(20&lt;='I_Inputs &amp; Assumptions'!$B$8/4,'I_Budget Input Data'!$D$78*0.2/('I_Inputs &amp; Assumptions'!$B$8/4),IF(20&lt;='I_Inputs &amp; Assumptions'!$B$8*0.75,'I_Budget Input Data'!$D$78*0.6/('I_Inputs &amp; Assumptions'!$B$8/2),'I_Budget Input Data'!$D$78*0.2/('I_Inputs &amp; Assumptions'!$B$8/4))),IF('I_Budget Input Data'!$E$78="At Completion",IF(20='I_Inputs &amp; Assumptions'!$B$8,'I_Budget Input Data'!$D$78,0),'I_Budget Input Data'!$D$78/'I_Inputs &amp; Assumptions'!$B$8)))))),0)</f>
        <v>0</v>
      </c>
      <c r="W78" s="91">
        <f>IF(21&lt;='I_Inputs &amp; Assumptions'!$B$8,IF('I_Budget Input Data'!$E$78="Upfront",IF(21=1,'I_Budget Input Data'!$D$78,0),IF('I_Budget Input Data'!$E$78="Equal",'I_Budget Input Data'!$D$78/'I_Inputs &amp; Assumptions'!$B$8,IF('I_Budget Input Data'!$E$78="Front-loaded",IF(21&lt;='I_Inputs &amp; Assumptions'!$B$8/2,'I_Budget Input Data'!$D$78*0.6/('I_Inputs &amp; Assumptions'!$B$8/2),'I_Budget Input Data'!$D$78*0.4/('I_Inputs &amp; Assumptions'!$B$8/2)),IF('I_Budget Input Data'!$E$78="Back-loaded",IF(21&lt;='I_Inputs &amp; Assumptions'!$B$8/2,'I_Budget Input Data'!$D$78*0.4/('I_Inputs &amp; Assumptions'!$B$8/2),'I_Budget Input Data'!$D$78*0.6/('I_Inputs &amp; Assumptions'!$B$8/2)),IF('I_Budget Input Data'!$E$78="Mid-weighted",IF(21&lt;='I_Inputs &amp; Assumptions'!$B$8/4,'I_Budget Input Data'!$D$78*0.2/('I_Inputs &amp; Assumptions'!$B$8/4),IF(21&lt;='I_Inputs &amp; Assumptions'!$B$8*0.75,'I_Budget Input Data'!$D$78*0.6/('I_Inputs &amp; Assumptions'!$B$8/2),'I_Budget Input Data'!$D$78*0.2/('I_Inputs &amp; Assumptions'!$B$8/4))),IF('I_Budget Input Data'!$E$78="At Completion",IF(21='I_Inputs &amp; Assumptions'!$B$8,'I_Budget Input Data'!$D$78,0),'I_Budget Input Data'!$D$78/'I_Inputs &amp; Assumptions'!$B$8)))))),0)</f>
        <v>0</v>
      </c>
      <c r="X78" s="91">
        <f>IF(22&lt;='I_Inputs &amp; Assumptions'!$B$8,IF('I_Budget Input Data'!$E$78="Upfront",IF(22=1,'I_Budget Input Data'!$D$78,0),IF('I_Budget Input Data'!$E$78="Equal",'I_Budget Input Data'!$D$78/'I_Inputs &amp; Assumptions'!$B$8,IF('I_Budget Input Data'!$E$78="Front-loaded",IF(22&lt;='I_Inputs &amp; Assumptions'!$B$8/2,'I_Budget Input Data'!$D$78*0.6/('I_Inputs &amp; Assumptions'!$B$8/2),'I_Budget Input Data'!$D$78*0.4/('I_Inputs &amp; Assumptions'!$B$8/2)),IF('I_Budget Input Data'!$E$78="Back-loaded",IF(22&lt;='I_Inputs &amp; Assumptions'!$B$8/2,'I_Budget Input Data'!$D$78*0.4/('I_Inputs &amp; Assumptions'!$B$8/2),'I_Budget Input Data'!$D$78*0.6/('I_Inputs &amp; Assumptions'!$B$8/2)),IF('I_Budget Input Data'!$E$78="Mid-weighted",IF(22&lt;='I_Inputs &amp; Assumptions'!$B$8/4,'I_Budget Input Data'!$D$78*0.2/('I_Inputs &amp; Assumptions'!$B$8/4),IF(22&lt;='I_Inputs &amp; Assumptions'!$B$8*0.75,'I_Budget Input Data'!$D$78*0.6/('I_Inputs &amp; Assumptions'!$B$8/2),'I_Budget Input Data'!$D$78*0.2/('I_Inputs &amp; Assumptions'!$B$8/4))),IF('I_Budget Input Data'!$E$78="At Completion",IF(22='I_Inputs &amp; Assumptions'!$B$8,'I_Budget Input Data'!$D$78,0),'I_Budget Input Data'!$D$78/'I_Inputs &amp; Assumptions'!$B$8)))))),0)</f>
        <v>0</v>
      </c>
      <c r="Y78" s="91">
        <f>IF(23&lt;='I_Inputs &amp; Assumptions'!$B$8,IF('I_Budget Input Data'!$E$78="Upfront",IF(23=1,'I_Budget Input Data'!$D$78,0),IF('I_Budget Input Data'!$E$78="Equal",'I_Budget Input Data'!$D$78/'I_Inputs &amp; Assumptions'!$B$8,IF('I_Budget Input Data'!$E$78="Front-loaded",IF(23&lt;='I_Inputs &amp; Assumptions'!$B$8/2,'I_Budget Input Data'!$D$78*0.6/('I_Inputs &amp; Assumptions'!$B$8/2),'I_Budget Input Data'!$D$78*0.4/('I_Inputs &amp; Assumptions'!$B$8/2)),IF('I_Budget Input Data'!$E$78="Back-loaded",IF(23&lt;='I_Inputs &amp; Assumptions'!$B$8/2,'I_Budget Input Data'!$D$78*0.4/('I_Inputs &amp; Assumptions'!$B$8/2),'I_Budget Input Data'!$D$78*0.6/('I_Inputs &amp; Assumptions'!$B$8/2)),IF('I_Budget Input Data'!$E$78="Mid-weighted",IF(23&lt;='I_Inputs &amp; Assumptions'!$B$8/4,'I_Budget Input Data'!$D$78*0.2/('I_Inputs &amp; Assumptions'!$B$8/4),IF(23&lt;='I_Inputs &amp; Assumptions'!$B$8*0.75,'I_Budget Input Data'!$D$78*0.6/('I_Inputs &amp; Assumptions'!$B$8/2),'I_Budget Input Data'!$D$78*0.2/('I_Inputs &amp; Assumptions'!$B$8/4))),IF('I_Budget Input Data'!$E$78="At Completion",IF(23='I_Inputs &amp; Assumptions'!$B$8,'I_Budget Input Data'!$D$78,0),'I_Budget Input Data'!$D$78/'I_Inputs &amp; Assumptions'!$B$8)))))),0)</f>
        <v>0</v>
      </c>
      <c r="Z78" s="91">
        <f>IF(24&lt;='I_Inputs &amp; Assumptions'!$B$8,IF('I_Budget Input Data'!$E$78="Upfront",IF(24=1,'I_Budget Input Data'!$D$78,0),IF('I_Budget Input Data'!$E$78="Equal",'I_Budget Input Data'!$D$78/'I_Inputs &amp; Assumptions'!$B$8,IF('I_Budget Input Data'!$E$78="Front-loaded",IF(24&lt;='I_Inputs &amp; Assumptions'!$B$8/2,'I_Budget Input Data'!$D$78*0.6/('I_Inputs &amp; Assumptions'!$B$8/2),'I_Budget Input Data'!$D$78*0.4/('I_Inputs &amp; Assumptions'!$B$8/2)),IF('I_Budget Input Data'!$E$78="Back-loaded",IF(24&lt;='I_Inputs &amp; Assumptions'!$B$8/2,'I_Budget Input Data'!$D$78*0.4/('I_Inputs &amp; Assumptions'!$B$8/2),'I_Budget Input Data'!$D$78*0.6/('I_Inputs &amp; Assumptions'!$B$8/2)),IF('I_Budget Input Data'!$E$78="Mid-weighted",IF(24&lt;='I_Inputs &amp; Assumptions'!$B$8/4,'I_Budget Input Data'!$D$78*0.2/('I_Inputs &amp; Assumptions'!$B$8/4),IF(24&lt;='I_Inputs &amp; Assumptions'!$B$8*0.75,'I_Budget Input Data'!$D$78*0.6/('I_Inputs &amp; Assumptions'!$B$8/2),'I_Budget Input Data'!$D$78*0.2/('I_Inputs &amp; Assumptions'!$B$8/4))),IF('I_Budget Input Data'!$E$78="At Completion",IF(24='I_Inputs &amp; Assumptions'!$B$8,'I_Budget Input Data'!$D$78,0),'I_Budget Input Data'!$D$78/'I_Inputs &amp; Assumptions'!$B$8)))))),0)</f>
        <v>0</v>
      </c>
      <c r="AA78" s="91">
        <f>IF(25&lt;='I_Inputs &amp; Assumptions'!$B$8,IF('I_Budget Input Data'!$E$78="Upfront",IF(25=1,'I_Budget Input Data'!$D$78,0),IF('I_Budget Input Data'!$E$78="Equal",'I_Budget Input Data'!$D$78/'I_Inputs &amp; Assumptions'!$B$8,IF('I_Budget Input Data'!$E$78="Front-loaded",IF(25&lt;='I_Inputs &amp; Assumptions'!$B$8/2,'I_Budget Input Data'!$D$78*0.6/('I_Inputs &amp; Assumptions'!$B$8/2),'I_Budget Input Data'!$D$78*0.4/('I_Inputs &amp; Assumptions'!$B$8/2)),IF('I_Budget Input Data'!$E$78="Back-loaded",IF(25&lt;='I_Inputs &amp; Assumptions'!$B$8/2,'I_Budget Input Data'!$D$78*0.4/('I_Inputs &amp; Assumptions'!$B$8/2),'I_Budget Input Data'!$D$78*0.6/('I_Inputs &amp; Assumptions'!$B$8/2)),IF('I_Budget Input Data'!$E$78="Mid-weighted",IF(25&lt;='I_Inputs &amp; Assumptions'!$B$8/4,'I_Budget Input Data'!$D$78*0.2/('I_Inputs &amp; Assumptions'!$B$8/4),IF(25&lt;='I_Inputs &amp; Assumptions'!$B$8*0.75,'I_Budget Input Data'!$D$78*0.6/('I_Inputs &amp; Assumptions'!$B$8/2),'I_Budget Input Data'!$D$78*0.2/('I_Inputs &amp; Assumptions'!$B$8/4))),IF('I_Budget Input Data'!$E$78="At Completion",IF(25='I_Inputs &amp; Assumptions'!$B$8,'I_Budget Input Data'!$D$78,0),'I_Budget Input Data'!$D$78/'I_Inputs &amp; Assumptions'!$B$8)))))),0)</f>
        <v>0</v>
      </c>
      <c r="AB78" s="91">
        <f>IF(26&lt;='I_Inputs &amp; Assumptions'!$B$8,IF('I_Budget Input Data'!$E$78="Upfront",IF(26=1,'I_Budget Input Data'!$D$78,0),IF('I_Budget Input Data'!$E$78="Equal",'I_Budget Input Data'!$D$78/'I_Inputs &amp; Assumptions'!$B$8,IF('I_Budget Input Data'!$E$78="Front-loaded",IF(26&lt;='I_Inputs &amp; Assumptions'!$B$8/2,'I_Budget Input Data'!$D$78*0.6/('I_Inputs &amp; Assumptions'!$B$8/2),'I_Budget Input Data'!$D$78*0.4/('I_Inputs &amp; Assumptions'!$B$8/2)),IF('I_Budget Input Data'!$E$78="Back-loaded",IF(26&lt;='I_Inputs &amp; Assumptions'!$B$8/2,'I_Budget Input Data'!$D$78*0.4/('I_Inputs &amp; Assumptions'!$B$8/2),'I_Budget Input Data'!$D$78*0.6/('I_Inputs &amp; Assumptions'!$B$8/2)),IF('I_Budget Input Data'!$E$78="Mid-weighted",IF(26&lt;='I_Inputs &amp; Assumptions'!$B$8/4,'I_Budget Input Data'!$D$78*0.2/('I_Inputs &amp; Assumptions'!$B$8/4),IF(26&lt;='I_Inputs &amp; Assumptions'!$B$8*0.75,'I_Budget Input Data'!$D$78*0.6/('I_Inputs &amp; Assumptions'!$B$8/2),'I_Budget Input Data'!$D$78*0.2/('I_Inputs &amp; Assumptions'!$B$8/4))),IF('I_Budget Input Data'!$E$78="At Completion",IF(26='I_Inputs &amp; Assumptions'!$B$8,'I_Budget Input Data'!$D$78,0),'I_Budget Input Data'!$D$78/'I_Inputs &amp; Assumptions'!$B$8)))))),0)</f>
        <v>0</v>
      </c>
      <c r="AC78" s="91">
        <f>IF(27&lt;='I_Inputs &amp; Assumptions'!$B$8,IF('I_Budget Input Data'!$E$78="Upfront",IF(27=1,'I_Budget Input Data'!$D$78,0),IF('I_Budget Input Data'!$E$78="Equal",'I_Budget Input Data'!$D$78/'I_Inputs &amp; Assumptions'!$B$8,IF('I_Budget Input Data'!$E$78="Front-loaded",IF(27&lt;='I_Inputs &amp; Assumptions'!$B$8/2,'I_Budget Input Data'!$D$78*0.6/('I_Inputs &amp; Assumptions'!$B$8/2),'I_Budget Input Data'!$D$78*0.4/('I_Inputs &amp; Assumptions'!$B$8/2)),IF('I_Budget Input Data'!$E$78="Back-loaded",IF(27&lt;='I_Inputs &amp; Assumptions'!$B$8/2,'I_Budget Input Data'!$D$78*0.4/('I_Inputs &amp; Assumptions'!$B$8/2),'I_Budget Input Data'!$D$78*0.6/('I_Inputs &amp; Assumptions'!$B$8/2)),IF('I_Budget Input Data'!$E$78="Mid-weighted",IF(27&lt;='I_Inputs &amp; Assumptions'!$B$8/4,'I_Budget Input Data'!$D$78*0.2/('I_Inputs &amp; Assumptions'!$B$8/4),IF(27&lt;='I_Inputs &amp; Assumptions'!$B$8*0.75,'I_Budget Input Data'!$D$78*0.6/('I_Inputs &amp; Assumptions'!$B$8/2),'I_Budget Input Data'!$D$78*0.2/('I_Inputs &amp; Assumptions'!$B$8/4))),IF('I_Budget Input Data'!$E$78="At Completion",IF(27='I_Inputs &amp; Assumptions'!$B$8,'I_Budget Input Data'!$D$78,0),'I_Budget Input Data'!$D$78/'I_Inputs &amp; Assumptions'!$B$8)))))),0)</f>
        <v>0</v>
      </c>
      <c r="AD78" s="91">
        <f>IF(28&lt;='I_Inputs &amp; Assumptions'!$B$8,IF('I_Budget Input Data'!$E$78="Upfront",IF(28=1,'I_Budget Input Data'!$D$78,0),IF('I_Budget Input Data'!$E$78="Equal",'I_Budget Input Data'!$D$78/'I_Inputs &amp; Assumptions'!$B$8,IF('I_Budget Input Data'!$E$78="Front-loaded",IF(28&lt;='I_Inputs &amp; Assumptions'!$B$8/2,'I_Budget Input Data'!$D$78*0.6/('I_Inputs &amp; Assumptions'!$B$8/2),'I_Budget Input Data'!$D$78*0.4/('I_Inputs &amp; Assumptions'!$B$8/2)),IF('I_Budget Input Data'!$E$78="Back-loaded",IF(28&lt;='I_Inputs &amp; Assumptions'!$B$8/2,'I_Budget Input Data'!$D$78*0.4/('I_Inputs &amp; Assumptions'!$B$8/2),'I_Budget Input Data'!$D$78*0.6/('I_Inputs &amp; Assumptions'!$B$8/2)),IF('I_Budget Input Data'!$E$78="Mid-weighted",IF(28&lt;='I_Inputs &amp; Assumptions'!$B$8/4,'I_Budget Input Data'!$D$78*0.2/('I_Inputs &amp; Assumptions'!$B$8/4),IF(28&lt;='I_Inputs &amp; Assumptions'!$B$8*0.75,'I_Budget Input Data'!$D$78*0.6/('I_Inputs &amp; Assumptions'!$B$8/2),'I_Budget Input Data'!$D$78*0.2/('I_Inputs &amp; Assumptions'!$B$8/4))),IF('I_Budget Input Data'!$E$78="At Completion",IF(28='I_Inputs &amp; Assumptions'!$B$8,'I_Budget Input Data'!$D$78,0),'I_Budget Input Data'!$D$78/'I_Inputs &amp; Assumptions'!$B$8)))))),0)</f>
        <v>0</v>
      </c>
      <c r="AE78" s="91">
        <f>IF(29&lt;='I_Inputs &amp; Assumptions'!$B$8,IF('I_Budget Input Data'!$E$78="Upfront",IF(29=1,'I_Budget Input Data'!$D$78,0),IF('I_Budget Input Data'!$E$78="Equal",'I_Budget Input Data'!$D$78/'I_Inputs &amp; Assumptions'!$B$8,IF('I_Budget Input Data'!$E$78="Front-loaded",IF(29&lt;='I_Inputs &amp; Assumptions'!$B$8/2,'I_Budget Input Data'!$D$78*0.6/('I_Inputs &amp; Assumptions'!$B$8/2),'I_Budget Input Data'!$D$78*0.4/('I_Inputs &amp; Assumptions'!$B$8/2)),IF('I_Budget Input Data'!$E$78="Back-loaded",IF(29&lt;='I_Inputs &amp; Assumptions'!$B$8/2,'I_Budget Input Data'!$D$78*0.4/('I_Inputs &amp; Assumptions'!$B$8/2),'I_Budget Input Data'!$D$78*0.6/('I_Inputs &amp; Assumptions'!$B$8/2)),IF('I_Budget Input Data'!$E$78="Mid-weighted",IF(29&lt;='I_Inputs &amp; Assumptions'!$B$8/4,'I_Budget Input Data'!$D$78*0.2/('I_Inputs &amp; Assumptions'!$B$8/4),IF(29&lt;='I_Inputs &amp; Assumptions'!$B$8*0.75,'I_Budget Input Data'!$D$78*0.6/('I_Inputs &amp; Assumptions'!$B$8/2),'I_Budget Input Data'!$D$78*0.2/('I_Inputs &amp; Assumptions'!$B$8/4))),IF('I_Budget Input Data'!$E$78="At Completion",IF(29='I_Inputs &amp; Assumptions'!$B$8,'I_Budget Input Data'!$D$78,0),'I_Budget Input Data'!$D$78/'I_Inputs &amp; Assumptions'!$B$8)))))),0)</f>
        <v>0</v>
      </c>
      <c r="AF78" s="91">
        <f>IF(30&lt;='I_Inputs &amp; Assumptions'!$B$8,IF('I_Budget Input Data'!$E$78="Upfront",IF(30=1,'I_Budget Input Data'!$D$78,0),IF('I_Budget Input Data'!$E$78="Equal",'I_Budget Input Data'!$D$78/'I_Inputs &amp; Assumptions'!$B$8,IF('I_Budget Input Data'!$E$78="Front-loaded",IF(30&lt;='I_Inputs &amp; Assumptions'!$B$8/2,'I_Budget Input Data'!$D$78*0.6/('I_Inputs &amp; Assumptions'!$B$8/2),'I_Budget Input Data'!$D$78*0.4/('I_Inputs &amp; Assumptions'!$B$8/2)),IF('I_Budget Input Data'!$E$78="Back-loaded",IF(30&lt;='I_Inputs &amp; Assumptions'!$B$8/2,'I_Budget Input Data'!$D$78*0.4/('I_Inputs &amp; Assumptions'!$B$8/2),'I_Budget Input Data'!$D$78*0.6/('I_Inputs &amp; Assumptions'!$B$8/2)),IF('I_Budget Input Data'!$E$78="Mid-weighted",IF(30&lt;='I_Inputs &amp; Assumptions'!$B$8/4,'I_Budget Input Data'!$D$78*0.2/('I_Inputs &amp; Assumptions'!$B$8/4),IF(30&lt;='I_Inputs &amp; Assumptions'!$B$8*0.75,'I_Budget Input Data'!$D$78*0.6/('I_Inputs &amp; Assumptions'!$B$8/2),'I_Budget Input Data'!$D$78*0.2/('I_Inputs &amp; Assumptions'!$B$8/4))),IF('I_Budget Input Data'!$E$78="At Completion",IF(30='I_Inputs &amp; Assumptions'!$B$8,'I_Budget Input Data'!$D$78,0),'I_Budget Input Data'!$D$78/'I_Inputs &amp; Assumptions'!$B$8)))))),0)</f>
        <v>0</v>
      </c>
      <c r="AG78" s="91">
        <f>IF(31&lt;='I_Inputs &amp; Assumptions'!$B$8,IF('I_Budget Input Data'!$E$78="Upfront",IF(31=1,'I_Budget Input Data'!$D$78,0),IF('I_Budget Input Data'!$E$78="Equal",'I_Budget Input Data'!$D$78/'I_Inputs &amp; Assumptions'!$B$8,IF('I_Budget Input Data'!$E$78="Front-loaded",IF(31&lt;='I_Inputs &amp; Assumptions'!$B$8/2,'I_Budget Input Data'!$D$78*0.6/('I_Inputs &amp; Assumptions'!$B$8/2),'I_Budget Input Data'!$D$78*0.4/('I_Inputs &amp; Assumptions'!$B$8/2)),IF('I_Budget Input Data'!$E$78="Back-loaded",IF(31&lt;='I_Inputs &amp; Assumptions'!$B$8/2,'I_Budget Input Data'!$D$78*0.4/('I_Inputs &amp; Assumptions'!$B$8/2),'I_Budget Input Data'!$D$78*0.6/('I_Inputs &amp; Assumptions'!$B$8/2)),IF('I_Budget Input Data'!$E$78="Mid-weighted",IF(31&lt;='I_Inputs &amp; Assumptions'!$B$8/4,'I_Budget Input Data'!$D$78*0.2/('I_Inputs &amp; Assumptions'!$B$8/4),IF(31&lt;='I_Inputs &amp; Assumptions'!$B$8*0.75,'I_Budget Input Data'!$D$78*0.6/('I_Inputs &amp; Assumptions'!$B$8/2),'I_Budget Input Data'!$D$78*0.2/('I_Inputs &amp; Assumptions'!$B$8/4))),IF('I_Budget Input Data'!$E$78="At Completion",IF(31='I_Inputs &amp; Assumptions'!$B$8,'I_Budget Input Data'!$D$78,0),'I_Budget Input Data'!$D$78/'I_Inputs &amp; Assumptions'!$B$8)))))),0)</f>
        <v>0</v>
      </c>
      <c r="AH78" s="91">
        <f>IF(32&lt;='I_Inputs &amp; Assumptions'!$B$8,IF('I_Budget Input Data'!$E$78="Upfront",IF(32=1,'I_Budget Input Data'!$D$78,0),IF('I_Budget Input Data'!$E$78="Equal",'I_Budget Input Data'!$D$78/'I_Inputs &amp; Assumptions'!$B$8,IF('I_Budget Input Data'!$E$78="Front-loaded",IF(32&lt;='I_Inputs &amp; Assumptions'!$B$8/2,'I_Budget Input Data'!$D$78*0.6/('I_Inputs &amp; Assumptions'!$B$8/2),'I_Budget Input Data'!$D$78*0.4/('I_Inputs &amp; Assumptions'!$B$8/2)),IF('I_Budget Input Data'!$E$78="Back-loaded",IF(32&lt;='I_Inputs &amp; Assumptions'!$B$8/2,'I_Budget Input Data'!$D$78*0.4/('I_Inputs &amp; Assumptions'!$B$8/2),'I_Budget Input Data'!$D$78*0.6/('I_Inputs &amp; Assumptions'!$B$8/2)),IF('I_Budget Input Data'!$E$78="Mid-weighted",IF(32&lt;='I_Inputs &amp; Assumptions'!$B$8/4,'I_Budget Input Data'!$D$78*0.2/('I_Inputs &amp; Assumptions'!$B$8/4),IF(32&lt;='I_Inputs &amp; Assumptions'!$B$8*0.75,'I_Budget Input Data'!$D$78*0.6/('I_Inputs &amp; Assumptions'!$B$8/2),'I_Budget Input Data'!$D$78*0.2/('I_Inputs &amp; Assumptions'!$B$8/4))),IF('I_Budget Input Data'!$E$78="At Completion",IF(32='I_Inputs &amp; Assumptions'!$B$8,'I_Budget Input Data'!$D$78,0),'I_Budget Input Data'!$D$78/'I_Inputs &amp; Assumptions'!$B$8)))))),0)</f>
        <v>0</v>
      </c>
      <c r="AI78" s="91">
        <f>IF(33&lt;='I_Inputs &amp; Assumptions'!$B$8,IF('I_Budget Input Data'!$E$78="Upfront",IF(33=1,'I_Budget Input Data'!$D$78,0),IF('I_Budget Input Data'!$E$78="Equal",'I_Budget Input Data'!$D$78/'I_Inputs &amp; Assumptions'!$B$8,IF('I_Budget Input Data'!$E$78="Front-loaded",IF(33&lt;='I_Inputs &amp; Assumptions'!$B$8/2,'I_Budget Input Data'!$D$78*0.6/('I_Inputs &amp; Assumptions'!$B$8/2),'I_Budget Input Data'!$D$78*0.4/('I_Inputs &amp; Assumptions'!$B$8/2)),IF('I_Budget Input Data'!$E$78="Back-loaded",IF(33&lt;='I_Inputs &amp; Assumptions'!$B$8/2,'I_Budget Input Data'!$D$78*0.4/('I_Inputs &amp; Assumptions'!$B$8/2),'I_Budget Input Data'!$D$78*0.6/('I_Inputs &amp; Assumptions'!$B$8/2)),IF('I_Budget Input Data'!$E$78="Mid-weighted",IF(33&lt;='I_Inputs &amp; Assumptions'!$B$8/4,'I_Budget Input Data'!$D$78*0.2/('I_Inputs &amp; Assumptions'!$B$8/4),IF(33&lt;='I_Inputs &amp; Assumptions'!$B$8*0.75,'I_Budget Input Data'!$D$78*0.6/('I_Inputs &amp; Assumptions'!$B$8/2),'I_Budget Input Data'!$D$78*0.2/('I_Inputs &amp; Assumptions'!$B$8/4))),IF('I_Budget Input Data'!$E$78="At Completion",IF(33='I_Inputs &amp; Assumptions'!$B$8,'I_Budget Input Data'!$D$78,0),'I_Budget Input Data'!$D$78/'I_Inputs &amp; Assumptions'!$B$8)))))),0)</f>
        <v>0</v>
      </c>
      <c r="AJ78" s="91">
        <f>IF(34&lt;='I_Inputs &amp; Assumptions'!$B$8,IF('I_Budget Input Data'!$E$78="Upfront",IF(34=1,'I_Budget Input Data'!$D$78,0),IF('I_Budget Input Data'!$E$78="Equal",'I_Budget Input Data'!$D$78/'I_Inputs &amp; Assumptions'!$B$8,IF('I_Budget Input Data'!$E$78="Front-loaded",IF(34&lt;='I_Inputs &amp; Assumptions'!$B$8/2,'I_Budget Input Data'!$D$78*0.6/('I_Inputs &amp; Assumptions'!$B$8/2),'I_Budget Input Data'!$D$78*0.4/('I_Inputs &amp; Assumptions'!$B$8/2)),IF('I_Budget Input Data'!$E$78="Back-loaded",IF(34&lt;='I_Inputs &amp; Assumptions'!$B$8/2,'I_Budget Input Data'!$D$78*0.4/('I_Inputs &amp; Assumptions'!$B$8/2),'I_Budget Input Data'!$D$78*0.6/('I_Inputs &amp; Assumptions'!$B$8/2)),IF('I_Budget Input Data'!$E$78="Mid-weighted",IF(34&lt;='I_Inputs &amp; Assumptions'!$B$8/4,'I_Budget Input Data'!$D$78*0.2/('I_Inputs &amp; Assumptions'!$B$8/4),IF(34&lt;='I_Inputs &amp; Assumptions'!$B$8*0.75,'I_Budget Input Data'!$D$78*0.6/('I_Inputs &amp; Assumptions'!$B$8/2),'I_Budget Input Data'!$D$78*0.2/('I_Inputs &amp; Assumptions'!$B$8/4))),IF('I_Budget Input Data'!$E$78="At Completion",IF(34='I_Inputs &amp; Assumptions'!$B$8,'I_Budget Input Data'!$D$78,0),'I_Budget Input Data'!$D$78/'I_Inputs &amp; Assumptions'!$B$8)))))),0)</f>
        <v>0</v>
      </c>
      <c r="AK78" s="91">
        <f>IF(35&lt;='I_Inputs &amp; Assumptions'!$B$8,IF('I_Budget Input Data'!$E$78="Upfront",IF(35=1,'I_Budget Input Data'!$D$78,0),IF('I_Budget Input Data'!$E$78="Equal",'I_Budget Input Data'!$D$78/'I_Inputs &amp; Assumptions'!$B$8,IF('I_Budget Input Data'!$E$78="Front-loaded",IF(35&lt;='I_Inputs &amp; Assumptions'!$B$8/2,'I_Budget Input Data'!$D$78*0.6/('I_Inputs &amp; Assumptions'!$B$8/2),'I_Budget Input Data'!$D$78*0.4/('I_Inputs &amp; Assumptions'!$B$8/2)),IF('I_Budget Input Data'!$E$78="Back-loaded",IF(35&lt;='I_Inputs &amp; Assumptions'!$B$8/2,'I_Budget Input Data'!$D$78*0.4/('I_Inputs &amp; Assumptions'!$B$8/2),'I_Budget Input Data'!$D$78*0.6/('I_Inputs &amp; Assumptions'!$B$8/2)),IF('I_Budget Input Data'!$E$78="Mid-weighted",IF(35&lt;='I_Inputs &amp; Assumptions'!$B$8/4,'I_Budget Input Data'!$D$78*0.2/('I_Inputs &amp; Assumptions'!$B$8/4),IF(35&lt;='I_Inputs &amp; Assumptions'!$B$8*0.75,'I_Budget Input Data'!$D$78*0.6/('I_Inputs &amp; Assumptions'!$B$8/2),'I_Budget Input Data'!$D$78*0.2/('I_Inputs &amp; Assumptions'!$B$8/4))),IF('I_Budget Input Data'!$E$78="At Completion",IF(35='I_Inputs &amp; Assumptions'!$B$8,'I_Budget Input Data'!$D$78,0),'I_Budget Input Data'!$D$78/'I_Inputs &amp; Assumptions'!$B$8)))))),0)</f>
        <v>0</v>
      </c>
      <c r="AL78" s="91">
        <f>IF(36&lt;='I_Inputs &amp; Assumptions'!$B$8,IF('I_Budget Input Data'!$E$78="Upfront",IF(36=1,'I_Budget Input Data'!$D$78,0),IF('I_Budget Input Data'!$E$78="Equal",'I_Budget Input Data'!$D$78/'I_Inputs &amp; Assumptions'!$B$8,IF('I_Budget Input Data'!$E$78="Front-loaded",IF(36&lt;='I_Inputs &amp; Assumptions'!$B$8/2,'I_Budget Input Data'!$D$78*0.6/('I_Inputs &amp; Assumptions'!$B$8/2),'I_Budget Input Data'!$D$78*0.4/('I_Inputs &amp; Assumptions'!$B$8/2)),IF('I_Budget Input Data'!$E$78="Back-loaded",IF(36&lt;='I_Inputs &amp; Assumptions'!$B$8/2,'I_Budget Input Data'!$D$78*0.4/('I_Inputs &amp; Assumptions'!$B$8/2),'I_Budget Input Data'!$D$78*0.6/('I_Inputs &amp; Assumptions'!$B$8/2)),IF('I_Budget Input Data'!$E$78="Mid-weighted",IF(36&lt;='I_Inputs &amp; Assumptions'!$B$8/4,'I_Budget Input Data'!$D$78*0.2/('I_Inputs &amp; Assumptions'!$B$8/4),IF(36&lt;='I_Inputs &amp; Assumptions'!$B$8*0.75,'I_Budget Input Data'!$D$78*0.6/('I_Inputs &amp; Assumptions'!$B$8/2),'I_Budget Input Data'!$D$78*0.2/('I_Inputs &amp; Assumptions'!$B$8/4))),IF('I_Budget Input Data'!$E$78="At Completion",IF(36='I_Inputs &amp; Assumptions'!$B$8,'I_Budget Input Data'!$D$78,0),'I_Budget Input Data'!$D$78/'I_Inputs &amp; Assumptions'!$B$8)))))),0)</f>
        <v>0</v>
      </c>
    </row>
    <row r="79" spans="1:38" ht="15" customHeight="1" x14ac:dyDescent="0.2">
      <c r="A79" t="s">
        <v>146</v>
      </c>
      <c r="B79" t="s">
        <v>198</v>
      </c>
      <c r="C79" s="91">
        <v>0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  <c r="AC79" s="91">
        <v>0</v>
      </c>
      <c r="AD79" s="91">
        <v>0</v>
      </c>
      <c r="AE79" s="91">
        <v>0</v>
      </c>
      <c r="AF79" s="91">
        <v>0</v>
      </c>
      <c r="AG79" s="91">
        <v>0</v>
      </c>
      <c r="AH79" s="91">
        <v>0</v>
      </c>
      <c r="AI79" s="91">
        <v>0</v>
      </c>
      <c r="AJ79" s="91">
        <v>0</v>
      </c>
      <c r="AK79" s="91">
        <v>0</v>
      </c>
      <c r="AL79" s="91">
        <v>0</v>
      </c>
    </row>
    <row r="80" spans="1:38" ht="15" customHeight="1" x14ac:dyDescent="0.2">
      <c r="A80" t="s">
        <v>146</v>
      </c>
      <c r="B80" t="s">
        <v>199</v>
      </c>
      <c r="C80" s="91">
        <f>IF(1&lt;='I_Inputs &amp; Assumptions'!$B$8,IF('I_Budget Input Data'!$E$80="Upfront",IF(1=1,'I_Budget Input Data'!$D$80,0),IF('I_Budget Input Data'!$E$80="Equal",'I_Budget Input Data'!$D$80/'I_Inputs &amp; Assumptions'!$B$8,IF('I_Budget Input Data'!$E$80="Front-loaded",IF(1&lt;='I_Inputs &amp; Assumptions'!$B$8/2,'I_Budget Input Data'!$D$80*0.6/('I_Inputs &amp; Assumptions'!$B$8/2),'I_Budget Input Data'!$D$80*0.4/('I_Inputs &amp; Assumptions'!$B$8/2)),IF('I_Budget Input Data'!$E$80="Back-loaded",IF(1&lt;='I_Inputs &amp; Assumptions'!$B$8/2,'I_Budget Input Data'!$D$80*0.4/('I_Inputs &amp; Assumptions'!$B$8/2),'I_Budget Input Data'!$D$80*0.6/('I_Inputs &amp; Assumptions'!$B$8/2)),IF('I_Budget Input Data'!$E$80="Mid-weighted",IF(1&lt;='I_Inputs &amp; Assumptions'!$B$8/4,'I_Budget Input Data'!$D$80*0.2/('I_Inputs &amp; Assumptions'!$B$8/4),IF(1&lt;='I_Inputs &amp; Assumptions'!$B$8*0.75,'I_Budget Input Data'!$D$80*0.6/('I_Inputs &amp; Assumptions'!$B$8/2),'I_Budget Input Data'!$D$80*0.2/('I_Inputs &amp; Assumptions'!$B$8/4))),IF('I_Budget Input Data'!$E$80="At Completion",IF(1='I_Inputs &amp; Assumptions'!$B$8,'I_Budget Input Data'!$D$80,0),'I_Budget Input Data'!$D$80/'I_Inputs &amp; Assumptions'!$B$8)))))),0)</f>
        <v>8974.1538461538457</v>
      </c>
      <c r="D80" s="91">
        <f>IF(2&lt;='I_Inputs &amp; Assumptions'!$B$8,IF('I_Budget Input Data'!$E$80="Upfront",IF(2=1,'I_Budget Input Data'!$D$80,0),IF('I_Budget Input Data'!$E$80="Equal",'I_Budget Input Data'!$D$80/'I_Inputs &amp; Assumptions'!$B$8,IF('I_Budget Input Data'!$E$80="Front-loaded",IF(2&lt;='I_Inputs &amp; Assumptions'!$B$8/2,'I_Budget Input Data'!$D$80*0.6/('I_Inputs &amp; Assumptions'!$B$8/2),'I_Budget Input Data'!$D$80*0.4/('I_Inputs &amp; Assumptions'!$B$8/2)),IF('I_Budget Input Data'!$E$80="Back-loaded",IF(2&lt;='I_Inputs &amp; Assumptions'!$B$8/2,'I_Budget Input Data'!$D$80*0.4/('I_Inputs &amp; Assumptions'!$B$8/2),'I_Budget Input Data'!$D$80*0.6/('I_Inputs &amp; Assumptions'!$B$8/2)),IF('I_Budget Input Data'!$E$80="Mid-weighted",IF(2&lt;='I_Inputs &amp; Assumptions'!$B$8/4,'I_Budget Input Data'!$D$80*0.2/('I_Inputs &amp; Assumptions'!$B$8/4),IF(2&lt;='I_Inputs &amp; Assumptions'!$B$8*0.75,'I_Budget Input Data'!$D$80*0.6/('I_Inputs &amp; Assumptions'!$B$8/2),'I_Budget Input Data'!$D$80*0.2/('I_Inputs &amp; Assumptions'!$B$8/4))),IF('I_Budget Input Data'!$E$80="At Completion",IF(2='I_Inputs &amp; Assumptions'!$B$8,'I_Budget Input Data'!$D$80,0),'I_Budget Input Data'!$D$80/'I_Inputs &amp; Assumptions'!$B$8)))))),0)</f>
        <v>8974.1538461538457</v>
      </c>
      <c r="E80" s="91">
        <f>IF(3&lt;='I_Inputs &amp; Assumptions'!$B$8,IF('I_Budget Input Data'!$E$80="Upfront",IF(3=1,'I_Budget Input Data'!$D$80,0),IF('I_Budget Input Data'!$E$80="Equal",'I_Budget Input Data'!$D$80/'I_Inputs &amp; Assumptions'!$B$8,IF('I_Budget Input Data'!$E$80="Front-loaded",IF(3&lt;='I_Inputs &amp; Assumptions'!$B$8/2,'I_Budget Input Data'!$D$80*0.6/('I_Inputs &amp; Assumptions'!$B$8/2),'I_Budget Input Data'!$D$80*0.4/('I_Inputs &amp; Assumptions'!$B$8/2)),IF('I_Budget Input Data'!$E$80="Back-loaded",IF(3&lt;='I_Inputs &amp; Assumptions'!$B$8/2,'I_Budget Input Data'!$D$80*0.4/('I_Inputs &amp; Assumptions'!$B$8/2),'I_Budget Input Data'!$D$80*0.6/('I_Inputs &amp; Assumptions'!$B$8/2)),IF('I_Budget Input Data'!$E$80="Mid-weighted",IF(3&lt;='I_Inputs &amp; Assumptions'!$B$8/4,'I_Budget Input Data'!$D$80*0.2/('I_Inputs &amp; Assumptions'!$B$8/4),IF(3&lt;='I_Inputs &amp; Assumptions'!$B$8*0.75,'I_Budget Input Data'!$D$80*0.6/('I_Inputs &amp; Assumptions'!$B$8/2),'I_Budget Input Data'!$D$80*0.2/('I_Inputs &amp; Assumptions'!$B$8/4))),IF('I_Budget Input Data'!$E$80="At Completion",IF(3='I_Inputs &amp; Assumptions'!$B$8,'I_Budget Input Data'!$D$80,0),'I_Budget Input Data'!$D$80/'I_Inputs &amp; Assumptions'!$B$8)))))),0)</f>
        <v>8974.1538461538457</v>
      </c>
      <c r="F80" s="91">
        <f>IF(4&lt;='I_Inputs &amp; Assumptions'!$B$8,IF('I_Budget Input Data'!$E$80="Upfront",IF(4=1,'I_Budget Input Data'!$D$80,0),IF('I_Budget Input Data'!$E$80="Equal",'I_Budget Input Data'!$D$80/'I_Inputs &amp; Assumptions'!$B$8,IF('I_Budget Input Data'!$E$80="Front-loaded",IF(4&lt;='I_Inputs &amp; Assumptions'!$B$8/2,'I_Budget Input Data'!$D$80*0.6/('I_Inputs &amp; Assumptions'!$B$8/2),'I_Budget Input Data'!$D$80*0.4/('I_Inputs &amp; Assumptions'!$B$8/2)),IF('I_Budget Input Data'!$E$80="Back-loaded",IF(4&lt;='I_Inputs &amp; Assumptions'!$B$8/2,'I_Budget Input Data'!$D$80*0.4/('I_Inputs &amp; Assumptions'!$B$8/2),'I_Budget Input Data'!$D$80*0.6/('I_Inputs &amp; Assumptions'!$B$8/2)),IF('I_Budget Input Data'!$E$80="Mid-weighted",IF(4&lt;='I_Inputs &amp; Assumptions'!$B$8/4,'I_Budget Input Data'!$D$80*0.2/('I_Inputs &amp; Assumptions'!$B$8/4),IF(4&lt;='I_Inputs &amp; Assumptions'!$B$8*0.75,'I_Budget Input Data'!$D$80*0.6/('I_Inputs &amp; Assumptions'!$B$8/2),'I_Budget Input Data'!$D$80*0.2/('I_Inputs &amp; Assumptions'!$B$8/4))),IF('I_Budget Input Data'!$E$80="At Completion",IF(4='I_Inputs &amp; Assumptions'!$B$8,'I_Budget Input Data'!$D$80,0),'I_Budget Input Data'!$D$80/'I_Inputs &amp; Assumptions'!$B$8)))))),0)</f>
        <v>8974.1538461538457</v>
      </c>
      <c r="G80" s="91">
        <f>IF(5&lt;='I_Inputs &amp; Assumptions'!$B$8,IF('I_Budget Input Data'!$E$80="Upfront",IF(5=1,'I_Budget Input Data'!$D$80,0),IF('I_Budget Input Data'!$E$80="Equal",'I_Budget Input Data'!$D$80/'I_Inputs &amp; Assumptions'!$B$8,IF('I_Budget Input Data'!$E$80="Front-loaded",IF(5&lt;='I_Inputs &amp; Assumptions'!$B$8/2,'I_Budget Input Data'!$D$80*0.6/('I_Inputs &amp; Assumptions'!$B$8/2),'I_Budget Input Data'!$D$80*0.4/('I_Inputs &amp; Assumptions'!$B$8/2)),IF('I_Budget Input Data'!$E$80="Back-loaded",IF(5&lt;='I_Inputs &amp; Assumptions'!$B$8/2,'I_Budget Input Data'!$D$80*0.4/('I_Inputs &amp; Assumptions'!$B$8/2),'I_Budget Input Data'!$D$80*0.6/('I_Inputs &amp; Assumptions'!$B$8/2)),IF('I_Budget Input Data'!$E$80="Mid-weighted",IF(5&lt;='I_Inputs &amp; Assumptions'!$B$8/4,'I_Budget Input Data'!$D$80*0.2/('I_Inputs &amp; Assumptions'!$B$8/4),IF(5&lt;='I_Inputs &amp; Assumptions'!$B$8*0.75,'I_Budget Input Data'!$D$80*0.6/('I_Inputs &amp; Assumptions'!$B$8/2),'I_Budget Input Data'!$D$80*0.2/('I_Inputs &amp; Assumptions'!$B$8/4))),IF('I_Budget Input Data'!$E$80="At Completion",IF(5='I_Inputs &amp; Assumptions'!$B$8,'I_Budget Input Data'!$D$80,0),'I_Budget Input Data'!$D$80/'I_Inputs &amp; Assumptions'!$B$8)))))),0)</f>
        <v>8974.1538461538457</v>
      </c>
      <c r="H80" s="91">
        <f>IF(6&lt;='I_Inputs &amp; Assumptions'!$B$8,IF('I_Budget Input Data'!$E$80="Upfront",IF(6=1,'I_Budget Input Data'!$D$80,0),IF('I_Budget Input Data'!$E$80="Equal",'I_Budget Input Data'!$D$80/'I_Inputs &amp; Assumptions'!$B$8,IF('I_Budget Input Data'!$E$80="Front-loaded",IF(6&lt;='I_Inputs &amp; Assumptions'!$B$8/2,'I_Budget Input Data'!$D$80*0.6/('I_Inputs &amp; Assumptions'!$B$8/2),'I_Budget Input Data'!$D$80*0.4/('I_Inputs &amp; Assumptions'!$B$8/2)),IF('I_Budget Input Data'!$E$80="Back-loaded",IF(6&lt;='I_Inputs &amp; Assumptions'!$B$8/2,'I_Budget Input Data'!$D$80*0.4/('I_Inputs &amp; Assumptions'!$B$8/2),'I_Budget Input Data'!$D$80*0.6/('I_Inputs &amp; Assumptions'!$B$8/2)),IF('I_Budget Input Data'!$E$80="Mid-weighted",IF(6&lt;='I_Inputs &amp; Assumptions'!$B$8/4,'I_Budget Input Data'!$D$80*0.2/('I_Inputs &amp; Assumptions'!$B$8/4),IF(6&lt;='I_Inputs &amp; Assumptions'!$B$8*0.75,'I_Budget Input Data'!$D$80*0.6/('I_Inputs &amp; Assumptions'!$B$8/2),'I_Budget Input Data'!$D$80*0.2/('I_Inputs &amp; Assumptions'!$B$8/4))),IF('I_Budget Input Data'!$E$80="At Completion",IF(6='I_Inputs &amp; Assumptions'!$B$8,'I_Budget Input Data'!$D$80,0),'I_Budget Input Data'!$D$80/'I_Inputs &amp; Assumptions'!$B$8)))))),0)</f>
        <v>8974.1538461538457</v>
      </c>
      <c r="I80" s="91">
        <f>IF(7&lt;='I_Inputs &amp; Assumptions'!$B$8,IF('I_Budget Input Data'!$E$80="Upfront",IF(7=1,'I_Budget Input Data'!$D$80,0),IF('I_Budget Input Data'!$E$80="Equal",'I_Budget Input Data'!$D$80/'I_Inputs &amp; Assumptions'!$B$8,IF('I_Budget Input Data'!$E$80="Front-loaded",IF(7&lt;='I_Inputs &amp; Assumptions'!$B$8/2,'I_Budget Input Data'!$D$80*0.6/('I_Inputs &amp; Assumptions'!$B$8/2),'I_Budget Input Data'!$D$80*0.4/('I_Inputs &amp; Assumptions'!$B$8/2)),IF('I_Budget Input Data'!$E$80="Back-loaded",IF(7&lt;='I_Inputs &amp; Assumptions'!$B$8/2,'I_Budget Input Data'!$D$80*0.4/('I_Inputs &amp; Assumptions'!$B$8/2),'I_Budget Input Data'!$D$80*0.6/('I_Inputs &amp; Assumptions'!$B$8/2)),IF('I_Budget Input Data'!$E$80="Mid-weighted",IF(7&lt;='I_Inputs &amp; Assumptions'!$B$8/4,'I_Budget Input Data'!$D$80*0.2/('I_Inputs &amp; Assumptions'!$B$8/4),IF(7&lt;='I_Inputs &amp; Assumptions'!$B$8*0.75,'I_Budget Input Data'!$D$80*0.6/('I_Inputs &amp; Assumptions'!$B$8/2),'I_Budget Input Data'!$D$80*0.2/('I_Inputs &amp; Assumptions'!$B$8/4))),IF('I_Budget Input Data'!$E$80="At Completion",IF(7='I_Inputs &amp; Assumptions'!$B$8,'I_Budget Input Data'!$D$80,0),'I_Budget Input Data'!$D$80/'I_Inputs &amp; Assumptions'!$B$8)))))),0)</f>
        <v>8974.1538461538457</v>
      </c>
      <c r="J80" s="91">
        <f>IF(8&lt;='I_Inputs &amp; Assumptions'!$B$8,IF('I_Budget Input Data'!$E$80="Upfront",IF(8=1,'I_Budget Input Data'!$D$80,0),IF('I_Budget Input Data'!$E$80="Equal",'I_Budget Input Data'!$D$80/'I_Inputs &amp; Assumptions'!$B$8,IF('I_Budget Input Data'!$E$80="Front-loaded",IF(8&lt;='I_Inputs &amp; Assumptions'!$B$8/2,'I_Budget Input Data'!$D$80*0.6/('I_Inputs &amp; Assumptions'!$B$8/2),'I_Budget Input Data'!$D$80*0.4/('I_Inputs &amp; Assumptions'!$B$8/2)),IF('I_Budget Input Data'!$E$80="Back-loaded",IF(8&lt;='I_Inputs &amp; Assumptions'!$B$8/2,'I_Budget Input Data'!$D$80*0.4/('I_Inputs &amp; Assumptions'!$B$8/2),'I_Budget Input Data'!$D$80*0.6/('I_Inputs &amp; Assumptions'!$B$8/2)),IF('I_Budget Input Data'!$E$80="Mid-weighted",IF(8&lt;='I_Inputs &amp; Assumptions'!$B$8/4,'I_Budget Input Data'!$D$80*0.2/('I_Inputs &amp; Assumptions'!$B$8/4),IF(8&lt;='I_Inputs &amp; Assumptions'!$B$8*0.75,'I_Budget Input Data'!$D$80*0.6/('I_Inputs &amp; Assumptions'!$B$8/2),'I_Budget Input Data'!$D$80*0.2/('I_Inputs &amp; Assumptions'!$B$8/4))),IF('I_Budget Input Data'!$E$80="At Completion",IF(8='I_Inputs &amp; Assumptions'!$B$8,'I_Budget Input Data'!$D$80,0),'I_Budget Input Data'!$D$80/'I_Inputs &amp; Assumptions'!$B$8)))))),0)</f>
        <v>8974.1538461538457</v>
      </c>
      <c r="K80" s="91">
        <f>IF(9&lt;='I_Inputs &amp; Assumptions'!$B$8,IF('I_Budget Input Data'!$E$80="Upfront",IF(9=1,'I_Budget Input Data'!$D$80,0),IF('I_Budget Input Data'!$E$80="Equal",'I_Budget Input Data'!$D$80/'I_Inputs &amp; Assumptions'!$B$8,IF('I_Budget Input Data'!$E$80="Front-loaded",IF(9&lt;='I_Inputs &amp; Assumptions'!$B$8/2,'I_Budget Input Data'!$D$80*0.6/('I_Inputs &amp; Assumptions'!$B$8/2),'I_Budget Input Data'!$D$80*0.4/('I_Inputs &amp; Assumptions'!$B$8/2)),IF('I_Budget Input Data'!$E$80="Back-loaded",IF(9&lt;='I_Inputs &amp; Assumptions'!$B$8/2,'I_Budget Input Data'!$D$80*0.4/('I_Inputs &amp; Assumptions'!$B$8/2),'I_Budget Input Data'!$D$80*0.6/('I_Inputs &amp; Assumptions'!$B$8/2)),IF('I_Budget Input Data'!$E$80="Mid-weighted",IF(9&lt;='I_Inputs &amp; Assumptions'!$B$8/4,'I_Budget Input Data'!$D$80*0.2/('I_Inputs &amp; Assumptions'!$B$8/4),IF(9&lt;='I_Inputs &amp; Assumptions'!$B$8*0.75,'I_Budget Input Data'!$D$80*0.6/('I_Inputs &amp; Assumptions'!$B$8/2),'I_Budget Input Data'!$D$80*0.2/('I_Inputs &amp; Assumptions'!$B$8/4))),IF('I_Budget Input Data'!$E$80="At Completion",IF(9='I_Inputs &amp; Assumptions'!$B$8,'I_Budget Input Data'!$D$80,0),'I_Budget Input Data'!$D$80/'I_Inputs &amp; Assumptions'!$B$8)))))),0)</f>
        <v>8974.1538461538457</v>
      </c>
      <c r="L80" s="91">
        <f>IF(10&lt;='I_Inputs &amp; Assumptions'!$B$8,IF('I_Budget Input Data'!$E$80="Upfront",IF(10=1,'I_Budget Input Data'!$D$80,0),IF('I_Budget Input Data'!$E$80="Equal",'I_Budget Input Data'!$D$80/'I_Inputs &amp; Assumptions'!$B$8,IF('I_Budget Input Data'!$E$80="Front-loaded",IF(10&lt;='I_Inputs &amp; Assumptions'!$B$8/2,'I_Budget Input Data'!$D$80*0.6/('I_Inputs &amp; Assumptions'!$B$8/2),'I_Budget Input Data'!$D$80*0.4/('I_Inputs &amp; Assumptions'!$B$8/2)),IF('I_Budget Input Data'!$E$80="Back-loaded",IF(10&lt;='I_Inputs &amp; Assumptions'!$B$8/2,'I_Budget Input Data'!$D$80*0.4/('I_Inputs &amp; Assumptions'!$B$8/2),'I_Budget Input Data'!$D$80*0.6/('I_Inputs &amp; Assumptions'!$B$8/2)),IF('I_Budget Input Data'!$E$80="Mid-weighted",IF(10&lt;='I_Inputs &amp; Assumptions'!$B$8/4,'I_Budget Input Data'!$D$80*0.2/('I_Inputs &amp; Assumptions'!$B$8/4),IF(10&lt;='I_Inputs &amp; Assumptions'!$B$8*0.75,'I_Budget Input Data'!$D$80*0.6/('I_Inputs &amp; Assumptions'!$B$8/2),'I_Budget Input Data'!$D$80*0.2/('I_Inputs &amp; Assumptions'!$B$8/4))),IF('I_Budget Input Data'!$E$80="At Completion",IF(10='I_Inputs &amp; Assumptions'!$B$8,'I_Budget Input Data'!$D$80,0),'I_Budget Input Data'!$D$80/'I_Inputs &amp; Assumptions'!$B$8)))))),0)</f>
        <v>8974.1538461538457</v>
      </c>
      <c r="M80" s="91">
        <f>IF(11&lt;='I_Inputs &amp; Assumptions'!$B$8,IF('I_Budget Input Data'!$E$80="Upfront",IF(11=1,'I_Budget Input Data'!$D$80,0),IF('I_Budget Input Data'!$E$80="Equal",'I_Budget Input Data'!$D$80/'I_Inputs &amp; Assumptions'!$B$8,IF('I_Budget Input Data'!$E$80="Front-loaded",IF(11&lt;='I_Inputs &amp; Assumptions'!$B$8/2,'I_Budget Input Data'!$D$80*0.6/('I_Inputs &amp; Assumptions'!$B$8/2),'I_Budget Input Data'!$D$80*0.4/('I_Inputs &amp; Assumptions'!$B$8/2)),IF('I_Budget Input Data'!$E$80="Back-loaded",IF(11&lt;='I_Inputs &amp; Assumptions'!$B$8/2,'I_Budget Input Data'!$D$80*0.4/('I_Inputs &amp; Assumptions'!$B$8/2),'I_Budget Input Data'!$D$80*0.6/('I_Inputs &amp; Assumptions'!$B$8/2)),IF('I_Budget Input Data'!$E$80="Mid-weighted",IF(11&lt;='I_Inputs &amp; Assumptions'!$B$8/4,'I_Budget Input Data'!$D$80*0.2/('I_Inputs &amp; Assumptions'!$B$8/4),IF(11&lt;='I_Inputs &amp; Assumptions'!$B$8*0.75,'I_Budget Input Data'!$D$80*0.6/('I_Inputs &amp; Assumptions'!$B$8/2),'I_Budget Input Data'!$D$80*0.2/('I_Inputs &amp; Assumptions'!$B$8/4))),IF('I_Budget Input Data'!$E$80="At Completion",IF(11='I_Inputs &amp; Assumptions'!$B$8,'I_Budget Input Data'!$D$80,0),'I_Budget Input Data'!$D$80/'I_Inputs &amp; Assumptions'!$B$8)))))),0)</f>
        <v>8974.1538461538457</v>
      </c>
      <c r="N80" s="91">
        <f>IF(12&lt;='I_Inputs &amp; Assumptions'!$B$8,IF('I_Budget Input Data'!$E$80="Upfront",IF(12=1,'I_Budget Input Data'!$D$80,0),IF('I_Budget Input Data'!$E$80="Equal",'I_Budget Input Data'!$D$80/'I_Inputs &amp; Assumptions'!$B$8,IF('I_Budget Input Data'!$E$80="Front-loaded",IF(12&lt;='I_Inputs &amp; Assumptions'!$B$8/2,'I_Budget Input Data'!$D$80*0.6/('I_Inputs &amp; Assumptions'!$B$8/2),'I_Budget Input Data'!$D$80*0.4/('I_Inputs &amp; Assumptions'!$B$8/2)),IF('I_Budget Input Data'!$E$80="Back-loaded",IF(12&lt;='I_Inputs &amp; Assumptions'!$B$8/2,'I_Budget Input Data'!$D$80*0.4/('I_Inputs &amp; Assumptions'!$B$8/2),'I_Budget Input Data'!$D$80*0.6/('I_Inputs &amp; Assumptions'!$B$8/2)),IF('I_Budget Input Data'!$E$80="Mid-weighted",IF(12&lt;='I_Inputs &amp; Assumptions'!$B$8/4,'I_Budget Input Data'!$D$80*0.2/('I_Inputs &amp; Assumptions'!$B$8/4),IF(12&lt;='I_Inputs &amp; Assumptions'!$B$8*0.75,'I_Budget Input Data'!$D$80*0.6/('I_Inputs &amp; Assumptions'!$B$8/2),'I_Budget Input Data'!$D$80*0.2/('I_Inputs &amp; Assumptions'!$B$8/4))),IF('I_Budget Input Data'!$E$80="At Completion",IF(12='I_Inputs &amp; Assumptions'!$B$8,'I_Budget Input Data'!$D$80,0),'I_Budget Input Data'!$D$80/'I_Inputs &amp; Assumptions'!$B$8)))))),0)</f>
        <v>8974.1538461538457</v>
      </c>
      <c r="O80" s="91">
        <f>IF(13&lt;='I_Inputs &amp; Assumptions'!$B$8,IF('I_Budget Input Data'!$E$80="Upfront",IF(13=1,'I_Budget Input Data'!$D$80,0),IF('I_Budget Input Data'!$E$80="Equal",'I_Budget Input Data'!$D$80/'I_Inputs &amp; Assumptions'!$B$8,IF('I_Budget Input Data'!$E$80="Front-loaded",IF(13&lt;='I_Inputs &amp; Assumptions'!$B$8/2,'I_Budget Input Data'!$D$80*0.6/('I_Inputs &amp; Assumptions'!$B$8/2),'I_Budget Input Data'!$D$80*0.4/('I_Inputs &amp; Assumptions'!$B$8/2)),IF('I_Budget Input Data'!$E$80="Back-loaded",IF(13&lt;='I_Inputs &amp; Assumptions'!$B$8/2,'I_Budget Input Data'!$D$80*0.4/('I_Inputs &amp; Assumptions'!$B$8/2),'I_Budget Input Data'!$D$80*0.6/('I_Inputs &amp; Assumptions'!$B$8/2)),IF('I_Budget Input Data'!$E$80="Mid-weighted",IF(13&lt;='I_Inputs &amp; Assumptions'!$B$8/4,'I_Budget Input Data'!$D$80*0.2/('I_Inputs &amp; Assumptions'!$B$8/4),IF(13&lt;='I_Inputs &amp; Assumptions'!$B$8*0.75,'I_Budget Input Data'!$D$80*0.6/('I_Inputs &amp; Assumptions'!$B$8/2),'I_Budget Input Data'!$D$80*0.2/('I_Inputs &amp; Assumptions'!$B$8/4))),IF('I_Budget Input Data'!$E$80="At Completion",IF(13='I_Inputs &amp; Assumptions'!$B$8,'I_Budget Input Data'!$D$80,0),'I_Budget Input Data'!$D$80/'I_Inputs &amp; Assumptions'!$B$8)))))),0)</f>
        <v>8974.1538461538457</v>
      </c>
      <c r="P80" s="91">
        <f>IF(14&lt;='I_Inputs &amp; Assumptions'!$B$8,IF('I_Budget Input Data'!$E$80="Upfront",IF(14=1,'I_Budget Input Data'!$D$80,0),IF('I_Budget Input Data'!$E$80="Equal",'I_Budget Input Data'!$D$80/'I_Inputs &amp; Assumptions'!$B$8,IF('I_Budget Input Data'!$E$80="Front-loaded",IF(14&lt;='I_Inputs &amp; Assumptions'!$B$8/2,'I_Budget Input Data'!$D$80*0.6/('I_Inputs &amp; Assumptions'!$B$8/2),'I_Budget Input Data'!$D$80*0.4/('I_Inputs &amp; Assumptions'!$B$8/2)),IF('I_Budget Input Data'!$E$80="Back-loaded",IF(14&lt;='I_Inputs &amp; Assumptions'!$B$8/2,'I_Budget Input Data'!$D$80*0.4/('I_Inputs &amp; Assumptions'!$B$8/2),'I_Budget Input Data'!$D$80*0.6/('I_Inputs &amp; Assumptions'!$B$8/2)),IF('I_Budget Input Data'!$E$80="Mid-weighted",IF(14&lt;='I_Inputs &amp; Assumptions'!$B$8/4,'I_Budget Input Data'!$D$80*0.2/('I_Inputs &amp; Assumptions'!$B$8/4),IF(14&lt;='I_Inputs &amp; Assumptions'!$B$8*0.75,'I_Budget Input Data'!$D$80*0.6/('I_Inputs &amp; Assumptions'!$B$8/2),'I_Budget Input Data'!$D$80*0.2/('I_Inputs &amp; Assumptions'!$B$8/4))),IF('I_Budget Input Data'!$E$80="At Completion",IF(14='I_Inputs &amp; Assumptions'!$B$8,'I_Budget Input Data'!$D$80,0),'I_Budget Input Data'!$D$80/'I_Inputs &amp; Assumptions'!$B$8)))))),0)</f>
        <v>0</v>
      </c>
      <c r="Q80" s="91">
        <f>IF(15&lt;='I_Inputs &amp; Assumptions'!$B$8,IF('I_Budget Input Data'!$E$80="Upfront",IF(15=1,'I_Budget Input Data'!$D$80,0),IF('I_Budget Input Data'!$E$80="Equal",'I_Budget Input Data'!$D$80/'I_Inputs &amp; Assumptions'!$B$8,IF('I_Budget Input Data'!$E$80="Front-loaded",IF(15&lt;='I_Inputs &amp; Assumptions'!$B$8/2,'I_Budget Input Data'!$D$80*0.6/('I_Inputs &amp; Assumptions'!$B$8/2),'I_Budget Input Data'!$D$80*0.4/('I_Inputs &amp; Assumptions'!$B$8/2)),IF('I_Budget Input Data'!$E$80="Back-loaded",IF(15&lt;='I_Inputs &amp; Assumptions'!$B$8/2,'I_Budget Input Data'!$D$80*0.4/('I_Inputs &amp; Assumptions'!$B$8/2),'I_Budget Input Data'!$D$80*0.6/('I_Inputs &amp; Assumptions'!$B$8/2)),IF('I_Budget Input Data'!$E$80="Mid-weighted",IF(15&lt;='I_Inputs &amp; Assumptions'!$B$8/4,'I_Budget Input Data'!$D$80*0.2/('I_Inputs &amp; Assumptions'!$B$8/4),IF(15&lt;='I_Inputs &amp; Assumptions'!$B$8*0.75,'I_Budget Input Data'!$D$80*0.6/('I_Inputs &amp; Assumptions'!$B$8/2),'I_Budget Input Data'!$D$80*0.2/('I_Inputs &amp; Assumptions'!$B$8/4))),IF('I_Budget Input Data'!$E$80="At Completion",IF(15='I_Inputs &amp; Assumptions'!$B$8,'I_Budget Input Data'!$D$80,0),'I_Budget Input Data'!$D$80/'I_Inputs &amp; Assumptions'!$B$8)))))),0)</f>
        <v>0</v>
      </c>
      <c r="R80" s="91">
        <f>IF(16&lt;='I_Inputs &amp; Assumptions'!$B$8,IF('I_Budget Input Data'!$E$80="Upfront",IF(16=1,'I_Budget Input Data'!$D$80,0),IF('I_Budget Input Data'!$E$80="Equal",'I_Budget Input Data'!$D$80/'I_Inputs &amp; Assumptions'!$B$8,IF('I_Budget Input Data'!$E$80="Front-loaded",IF(16&lt;='I_Inputs &amp; Assumptions'!$B$8/2,'I_Budget Input Data'!$D$80*0.6/('I_Inputs &amp; Assumptions'!$B$8/2),'I_Budget Input Data'!$D$80*0.4/('I_Inputs &amp; Assumptions'!$B$8/2)),IF('I_Budget Input Data'!$E$80="Back-loaded",IF(16&lt;='I_Inputs &amp; Assumptions'!$B$8/2,'I_Budget Input Data'!$D$80*0.4/('I_Inputs &amp; Assumptions'!$B$8/2),'I_Budget Input Data'!$D$80*0.6/('I_Inputs &amp; Assumptions'!$B$8/2)),IF('I_Budget Input Data'!$E$80="Mid-weighted",IF(16&lt;='I_Inputs &amp; Assumptions'!$B$8/4,'I_Budget Input Data'!$D$80*0.2/('I_Inputs &amp; Assumptions'!$B$8/4),IF(16&lt;='I_Inputs &amp; Assumptions'!$B$8*0.75,'I_Budget Input Data'!$D$80*0.6/('I_Inputs &amp; Assumptions'!$B$8/2),'I_Budget Input Data'!$D$80*0.2/('I_Inputs &amp; Assumptions'!$B$8/4))),IF('I_Budget Input Data'!$E$80="At Completion",IF(16='I_Inputs &amp; Assumptions'!$B$8,'I_Budget Input Data'!$D$80,0),'I_Budget Input Data'!$D$80/'I_Inputs &amp; Assumptions'!$B$8)))))),0)</f>
        <v>0</v>
      </c>
      <c r="S80" s="91">
        <f>IF(17&lt;='I_Inputs &amp; Assumptions'!$B$8,IF('I_Budget Input Data'!$E$80="Upfront",IF(17=1,'I_Budget Input Data'!$D$80,0),IF('I_Budget Input Data'!$E$80="Equal",'I_Budget Input Data'!$D$80/'I_Inputs &amp; Assumptions'!$B$8,IF('I_Budget Input Data'!$E$80="Front-loaded",IF(17&lt;='I_Inputs &amp; Assumptions'!$B$8/2,'I_Budget Input Data'!$D$80*0.6/('I_Inputs &amp; Assumptions'!$B$8/2),'I_Budget Input Data'!$D$80*0.4/('I_Inputs &amp; Assumptions'!$B$8/2)),IF('I_Budget Input Data'!$E$80="Back-loaded",IF(17&lt;='I_Inputs &amp; Assumptions'!$B$8/2,'I_Budget Input Data'!$D$80*0.4/('I_Inputs &amp; Assumptions'!$B$8/2),'I_Budget Input Data'!$D$80*0.6/('I_Inputs &amp; Assumptions'!$B$8/2)),IF('I_Budget Input Data'!$E$80="Mid-weighted",IF(17&lt;='I_Inputs &amp; Assumptions'!$B$8/4,'I_Budget Input Data'!$D$80*0.2/('I_Inputs &amp; Assumptions'!$B$8/4),IF(17&lt;='I_Inputs &amp; Assumptions'!$B$8*0.75,'I_Budget Input Data'!$D$80*0.6/('I_Inputs &amp; Assumptions'!$B$8/2),'I_Budget Input Data'!$D$80*0.2/('I_Inputs &amp; Assumptions'!$B$8/4))),IF('I_Budget Input Data'!$E$80="At Completion",IF(17='I_Inputs &amp; Assumptions'!$B$8,'I_Budget Input Data'!$D$80,0),'I_Budget Input Data'!$D$80/'I_Inputs &amp; Assumptions'!$B$8)))))),0)</f>
        <v>0</v>
      </c>
      <c r="T80" s="91">
        <f>IF(18&lt;='I_Inputs &amp; Assumptions'!$B$8,IF('I_Budget Input Data'!$E$80="Upfront",IF(18=1,'I_Budget Input Data'!$D$80,0),IF('I_Budget Input Data'!$E$80="Equal",'I_Budget Input Data'!$D$80/'I_Inputs &amp; Assumptions'!$B$8,IF('I_Budget Input Data'!$E$80="Front-loaded",IF(18&lt;='I_Inputs &amp; Assumptions'!$B$8/2,'I_Budget Input Data'!$D$80*0.6/('I_Inputs &amp; Assumptions'!$B$8/2),'I_Budget Input Data'!$D$80*0.4/('I_Inputs &amp; Assumptions'!$B$8/2)),IF('I_Budget Input Data'!$E$80="Back-loaded",IF(18&lt;='I_Inputs &amp; Assumptions'!$B$8/2,'I_Budget Input Data'!$D$80*0.4/('I_Inputs &amp; Assumptions'!$B$8/2),'I_Budget Input Data'!$D$80*0.6/('I_Inputs &amp; Assumptions'!$B$8/2)),IF('I_Budget Input Data'!$E$80="Mid-weighted",IF(18&lt;='I_Inputs &amp; Assumptions'!$B$8/4,'I_Budget Input Data'!$D$80*0.2/('I_Inputs &amp; Assumptions'!$B$8/4),IF(18&lt;='I_Inputs &amp; Assumptions'!$B$8*0.75,'I_Budget Input Data'!$D$80*0.6/('I_Inputs &amp; Assumptions'!$B$8/2),'I_Budget Input Data'!$D$80*0.2/('I_Inputs &amp; Assumptions'!$B$8/4))),IF('I_Budget Input Data'!$E$80="At Completion",IF(18='I_Inputs &amp; Assumptions'!$B$8,'I_Budget Input Data'!$D$80,0),'I_Budget Input Data'!$D$80/'I_Inputs &amp; Assumptions'!$B$8)))))),0)</f>
        <v>0</v>
      </c>
      <c r="U80" s="91">
        <f>IF(19&lt;='I_Inputs &amp; Assumptions'!$B$8,IF('I_Budget Input Data'!$E$80="Upfront",IF(19=1,'I_Budget Input Data'!$D$80,0),IF('I_Budget Input Data'!$E$80="Equal",'I_Budget Input Data'!$D$80/'I_Inputs &amp; Assumptions'!$B$8,IF('I_Budget Input Data'!$E$80="Front-loaded",IF(19&lt;='I_Inputs &amp; Assumptions'!$B$8/2,'I_Budget Input Data'!$D$80*0.6/('I_Inputs &amp; Assumptions'!$B$8/2),'I_Budget Input Data'!$D$80*0.4/('I_Inputs &amp; Assumptions'!$B$8/2)),IF('I_Budget Input Data'!$E$80="Back-loaded",IF(19&lt;='I_Inputs &amp; Assumptions'!$B$8/2,'I_Budget Input Data'!$D$80*0.4/('I_Inputs &amp; Assumptions'!$B$8/2),'I_Budget Input Data'!$D$80*0.6/('I_Inputs &amp; Assumptions'!$B$8/2)),IF('I_Budget Input Data'!$E$80="Mid-weighted",IF(19&lt;='I_Inputs &amp; Assumptions'!$B$8/4,'I_Budget Input Data'!$D$80*0.2/('I_Inputs &amp; Assumptions'!$B$8/4),IF(19&lt;='I_Inputs &amp; Assumptions'!$B$8*0.75,'I_Budget Input Data'!$D$80*0.6/('I_Inputs &amp; Assumptions'!$B$8/2),'I_Budget Input Data'!$D$80*0.2/('I_Inputs &amp; Assumptions'!$B$8/4))),IF('I_Budget Input Data'!$E$80="At Completion",IF(19='I_Inputs &amp; Assumptions'!$B$8,'I_Budget Input Data'!$D$80,0),'I_Budget Input Data'!$D$80/'I_Inputs &amp; Assumptions'!$B$8)))))),0)</f>
        <v>0</v>
      </c>
      <c r="V80" s="91">
        <f>IF(20&lt;='I_Inputs &amp; Assumptions'!$B$8,IF('I_Budget Input Data'!$E$80="Upfront",IF(20=1,'I_Budget Input Data'!$D$80,0),IF('I_Budget Input Data'!$E$80="Equal",'I_Budget Input Data'!$D$80/'I_Inputs &amp; Assumptions'!$B$8,IF('I_Budget Input Data'!$E$80="Front-loaded",IF(20&lt;='I_Inputs &amp; Assumptions'!$B$8/2,'I_Budget Input Data'!$D$80*0.6/('I_Inputs &amp; Assumptions'!$B$8/2),'I_Budget Input Data'!$D$80*0.4/('I_Inputs &amp; Assumptions'!$B$8/2)),IF('I_Budget Input Data'!$E$80="Back-loaded",IF(20&lt;='I_Inputs &amp; Assumptions'!$B$8/2,'I_Budget Input Data'!$D$80*0.4/('I_Inputs &amp; Assumptions'!$B$8/2),'I_Budget Input Data'!$D$80*0.6/('I_Inputs &amp; Assumptions'!$B$8/2)),IF('I_Budget Input Data'!$E$80="Mid-weighted",IF(20&lt;='I_Inputs &amp; Assumptions'!$B$8/4,'I_Budget Input Data'!$D$80*0.2/('I_Inputs &amp; Assumptions'!$B$8/4),IF(20&lt;='I_Inputs &amp; Assumptions'!$B$8*0.75,'I_Budget Input Data'!$D$80*0.6/('I_Inputs &amp; Assumptions'!$B$8/2),'I_Budget Input Data'!$D$80*0.2/('I_Inputs &amp; Assumptions'!$B$8/4))),IF('I_Budget Input Data'!$E$80="At Completion",IF(20='I_Inputs &amp; Assumptions'!$B$8,'I_Budget Input Data'!$D$80,0),'I_Budget Input Data'!$D$80/'I_Inputs &amp; Assumptions'!$B$8)))))),0)</f>
        <v>0</v>
      </c>
      <c r="W80" s="91">
        <f>IF(21&lt;='I_Inputs &amp; Assumptions'!$B$8,IF('I_Budget Input Data'!$E$80="Upfront",IF(21=1,'I_Budget Input Data'!$D$80,0),IF('I_Budget Input Data'!$E$80="Equal",'I_Budget Input Data'!$D$80/'I_Inputs &amp; Assumptions'!$B$8,IF('I_Budget Input Data'!$E$80="Front-loaded",IF(21&lt;='I_Inputs &amp; Assumptions'!$B$8/2,'I_Budget Input Data'!$D$80*0.6/('I_Inputs &amp; Assumptions'!$B$8/2),'I_Budget Input Data'!$D$80*0.4/('I_Inputs &amp; Assumptions'!$B$8/2)),IF('I_Budget Input Data'!$E$80="Back-loaded",IF(21&lt;='I_Inputs &amp; Assumptions'!$B$8/2,'I_Budget Input Data'!$D$80*0.4/('I_Inputs &amp; Assumptions'!$B$8/2),'I_Budget Input Data'!$D$80*0.6/('I_Inputs &amp; Assumptions'!$B$8/2)),IF('I_Budget Input Data'!$E$80="Mid-weighted",IF(21&lt;='I_Inputs &amp; Assumptions'!$B$8/4,'I_Budget Input Data'!$D$80*0.2/('I_Inputs &amp; Assumptions'!$B$8/4),IF(21&lt;='I_Inputs &amp; Assumptions'!$B$8*0.75,'I_Budget Input Data'!$D$80*0.6/('I_Inputs &amp; Assumptions'!$B$8/2),'I_Budget Input Data'!$D$80*0.2/('I_Inputs &amp; Assumptions'!$B$8/4))),IF('I_Budget Input Data'!$E$80="At Completion",IF(21='I_Inputs &amp; Assumptions'!$B$8,'I_Budget Input Data'!$D$80,0),'I_Budget Input Data'!$D$80/'I_Inputs &amp; Assumptions'!$B$8)))))),0)</f>
        <v>0</v>
      </c>
      <c r="X80" s="91">
        <f>IF(22&lt;='I_Inputs &amp; Assumptions'!$B$8,IF('I_Budget Input Data'!$E$80="Upfront",IF(22=1,'I_Budget Input Data'!$D$80,0),IF('I_Budget Input Data'!$E$80="Equal",'I_Budget Input Data'!$D$80/'I_Inputs &amp; Assumptions'!$B$8,IF('I_Budget Input Data'!$E$80="Front-loaded",IF(22&lt;='I_Inputs &amp; Assumptions'!$B$8/2,'I_Budget Input Data'!$D$80*0.6/('I_Inputs &amp; Assumptions'!$B$8/2),'I_Budget Input Data'!$D$80*0.4/('I_Inputs &amp; Assumptions'!$B$8/2)),IF('I_Budget Input Data'!$E$80="Back-loaded",IF(22&lt;='I_Inputs &amp; Assumptions'!$B$8/2,'I_Budget Input Data'!$D$80*0.4/('I_Inputs &amp; Assumptions'!$B$8/2),'I_Budget Input Data'!$D$80*0.6/('I_Inputs &amp; Assumptions'!$B$8/2)),IF('I_Budget Input Data'!$E$80="Mid-weighted",IF(22&lt;='I_Inputs &amp; Assumptions'!$B$8/4,'I_Budget Input Data'!$D$80*0.2/('I_Inputs &amp; Assumptions'!$B$8/4),IF(22&lt;='I_Inputs &amp; Assumptions'!$B$8*0.75,'I_Budget Input Data'!$D$80*0.6/('I_Inputs &amp; Assumptions'!$B$8/2),'I_Budget Input Data'!$D$80*0.2/('I_Inputs &amp; Assumptions'!$B$8/4))),IF('I_Budget Input Data'!$E$80="At Completion",IF(22='I_Inputs &amp; Assumptions'!$B$8,'I_Budget Input Data'!$D$80,0),'I_Budget Input Data'!$D$80/'I_Inputs &amp; Assumptions'!$B$8)))))),0)</f>
        <v>0</v>
      </c>
      <c r="Y80" s="91">
        <f>IF(23&lt;='I_Inputs &amp; Assumptions'!$B$8,IF('I_Budget Input Data'!$E$80="Upfront",IF(23=1,'I_Budget Input Data'!$D$80,0),IF('I_Budget Input Data'!$E$80="Equal",'I_Budget Input Data'!$D$80/'I_Inputs &amp; Assumptions'!$B$8,IF('I_Budget Input Data'!$E$80="Front-loaded",IF(23&lt;='I_Inputs &amp; Assumptions'!$B$8/2,'I_Budget Input Data'!$D$80*0.6/('I_Inputs &amp; Assumptions'!$B$8/2),'I_Budget Input Data'!$D$80*0.4/('I_Inputs &amp; Assumptions'!$B$8/2)),IF('I_Budget Input Data'!$E$80="Back-loaded",IF(23&lt;='I_Inputs &amp; Assumptions'!$B$8/2,'I_Budget Input Data'!$D$80*0.4/('I_Inputs &amp; Assumptions'!$B$8/2),'I_Budget Input Data'!$D$80*0.6/('I_Inputs &amp; Assumptions'!$B$8/2)),IF('I_Budget Input Data'!$E$80="Mid-weighted",IF(23&lt;='I_Inputs &amp; Assumptions'!$B$8/4,'I_Budget Input Data'!$D$80*0.2/('I_Inputs &amp; Assumptions'!$B$8/4),IF(23&lt;='I_Inputs &amp; Assumptions'!$B$8*0.75,'I_Budget Input Data'!$D$80*0.6/('I_Inputs &amp; Assumptions'!$B$8/2),'I_Budget Input Data'!$D$80*0.2/('I_Inputs &amp; Assumptions'!$B$8/4))),IF('I_Budget Input Data'!$E$80="At Completion",IF(23='I_Inputs &amp; Assumptions'!$B$8,'I_Budget Input Data'!$D$80,0),'I_Budget Input Data'!$D$80/'I_Inputs &amp; Assumptions'!$B$8)))))),0)</f>
        <v>0</v>
      </c>
      <c r="Z80" s="91">
        <f>IF(24&lt;='I_Inputs &amp; Assumptions'!$B$8,IF('I_Budget Input Data'!$E$80="Upfront",IF(24=1,'I_Budget Input Data'!$D$80,0),IF('I_Budget Input Data'!$E$80="Equal",'I_Budget Input Data'!$D$80/'I_Inputs &amp; Assumptions'!$B$8,IF('I_Budget Input Data'!$E$80="Front-loaded",IF(24&lt;='I_Inputs &amp; Assumptions'!$B$8/2,'I_Budget Input Data'!$D$80*0.6/('I_Inputs &amp; Assumptions'!$B$8/2),'I_Budget Input Data'!$D$80*0.4/('I_Inputs &amp; Assumptions'!$B$8/2)),IF('I_Budget Input Data'!$E$80="Back-loaded",IF(24&lt;='I_Inputs &amp; Assumptions'!$B$8/2,'I_Budget Input Data'!$D$80*0.4/('I_Inputs &amp; Assumptions'!$B$8/2),'I_Budget Input Data'!$D$80*0.6/('I_Inputs &amp; Assumptions'!$B$8/2)),IF('I_Budget Input Data'!$E$80="Mid-weighted",IF(24&lt;='I_Inputs &amp; Assumptions'!$B$8/4,'I_Budget Input Data'!$D$80*0.2/('I_Inputs &amp; Assumptions'!$B$8/4),IF(24&lt;='I_Inputs &amp; Assumptions'!$B$8*0.75,'I_Budget Input Data'!$D$80*0.6/('I_Inputs &amp; Assumptions'!$B$8/2),'I_Budget Input Data'!$D$80*0.2/('I_Inputs &amp; Assumptions'!$B$8/4))),IF('I_Budget Input Data'!$E$80="At Completion",IF(24='I_Inputs &amp; Assumptions'!$B$8,'I_Budget Input Data'!$D$80,0),'I_Budget Input Data'!$D$80/'I_Inputs &amp; Assumptions'!$B$8)))))),0)</f>
        <v>0</v>
      </c>
      <c r="AA80" s="91">
        <f>IF(25&lt;='I_Inputs &amp; Assumptions'!$B$8,IF('I_Budget Input Data'!$E$80="Upfront",IF(25=1,'I_Budget Input Data'!$D$80,0),IF('I_Budget Input Data'!$E$80="Equal",'I_Budget Input Data'!$D$80/'I_Inputs &amp; Assumptions'!$B$8,IF('I_Budget Input Data'!$E$80="Front-loaded",IF(25&lt;='I_Inputs &amp; Assumptions'!$B$8/2,'I_Budget Input Data'!$D$80*0.6/('I_Inputs &amp; Assumptions'!$B$8/2),'I_Budget Input Data'!$D$80*0.4/('I_Inputs &amp; Assumptions'!$B$8/2)),IF('I_Budget Input Data'!$E$80="Back-loaded",IF(25&lt;='I_Inputs &amp; Assumptions'!$B$8/2,'I_Budget Input Data'!$D$80*0.4/('I_Inputs &amp; Assumptions'!$B$8/2),'I_Budget Input Data'!$D$80*0.6/('I_Inputs &amp; Assumptions'!$B$8/2)),IF('I_Budget Input Data'!$E$80="Mid-weighted",IF(25&lt;='I_Inputs &amp; Assumptions'!$B$8/4,'I_Budget Input Data'!$D$80*0.2/('I_Inputs &amp; Assumptions'!$B$8/4),IF(25&lt;='I_Inputs &amp; Assumptions'!$B$8*0.75,'I_Budget Input Data'!$D$80*0.6/('I_Inputs &amp; Assumptions'!$B$8/2),'I_Budget Input Data'!$D$80*0.2/('I_Inputs &amp; Assumptions'!$B$8/4))),IF('I_Budget Input Data'!$E$80="At Completion",IF(25='I_Inputs &amp; Assumptions'!$B$8,'I_Budget Input Data'!$D$80,0),'I_Budget Input Data'!$D$80/'I_Inputs &amp; Assumptions'!$B$8)))))),0)</f>
        <v>0</v>
      </c>
      <c r="AB80" s="91">
        <f>IF(26&lt;='I_Inputs &amp; Assumptions'!$B$8,IF('I_Budget Input Data'!$E$80="Upfront",IF(26=1,'I_Budget Input Data'!$D$80,0),IF('I_Budget Input Data'!$E$80="Equal",'I_Budget Input Data'!$D$80/'I_Inputs &amp; Assumptions'!$B$8,IF('I_Budget Input Data'!$E$80="Front-loaded",IF(26&lt;='I_Inputs &amp; Assumptions'!$B$8/2,'I_Budget Input Data'!$D$80*0.6/('I_Inputs &amp; Assumptions'!$B$8/2),'I_Budget Input Data'!$D$80*0.4/('I_Inputs &amp; Assumptions'!$B$8/2)),IF('I_Budget Input Data'!$E$80="Back-loaded",IF(26&lt;='I_Inputs &amp; Assumptions'!$B$8/2,'I_Budget Input Data'!$D$80*0.4/('I_Inputs &amp; Assumptions'!$B$8/2),'I_Budget Input Data'!$D$80*0.6/('I_Inputs &amp; Assumptions'!$B$8/2)),IF('I_Budget Input Data'!$E$80="Mid-weighted",IF(26&lt;='I_Inputs &amp; Assumptions'!$B$8/4,'I_Budget Input Data'!$D$80*0.2/('I_Inputs &amp; Assumptions'!$B$8/4),IF(26&lt;='I_Inputs &amp; Assumptions'!$B$8*0.75,'I_Budget Input Data'!$D$80*0.6/('I_Inputs &amp; Assumptions'!$B$8/2),'I_Budget Input Data'!$D$80*0.2/('I_Inputs &amp; Assumptions'!$B$8/4))),IF('I_Budget Input Data'!$E$80="At Completion",IF(26='I_Inputs &amp; Assumptions'!$B$8,'I_Budget Input Data'!$D$80,0),'I_Budget Input Data'!$D$80/'I_Inputs &amp; Assumptions'!$B$8)))))),0)</f>
        <v>0</v>
      </c>
      <c r="AC80" s="91">
        <f>IF(27&lt;='I_Inputs &amp; Assumptions'!$B$8,IF('I_Budget Input Data'!$E$80="Upfront",IF(27=1,'I_Budget Input Data'!$D$80,0),IF('I_Budget Input Data'!$E$80="Equal",'I_Budget Input Data'!$D$80/'I_Inputs &amp; Assumptions'!$B$8,IF('I_Budget Input Data'!$E$80="Front-loaded",IF(27&lt;='I_Inputs &amp; Assumptions'!$B$8/2,'I_Budget Input Data'!$D$80*0.6/('I_Inputs &amp; Assumptions'!$B$8/2),'I_Budget Input Data'!$D$80*0.4/('I_Inputs &amp; Assumptions'!$B$8/2)),IF('I_Budget Input Data'!$E$80="Back-loaded",IF(27&lt;='I_Inputs &amp; Assumptions'!$B$8/2,'I_Budget Input Data'!$D$80*0.4/('I_Inputs &amp; Assumptions'!$B$8/2),'I_Budget Input Data'!$D$80*0.6/('I_Inputs &amp; Assumptions'!$B$8/2)),IF('I_Budget Input Data'!$E$80="Mid-weighted",IF(27&lt;='I_Inputs &amp; Assumptions'!$B$8/4,'I_Budget Input Data'!$D$80*0.2/('I_Inputs &amp; Assumptions'!$B$8/4),IF(27&lt;='I_Inputs &amp; Assumptions'!$B$8*0.75,'I_Budget Input Data'!$D$80*0.6/('I_Inputs &amp; Assumptions'!$B$8/2),'I_Budget Input Data'!$D$80*0.2/('I_Inputs &amp; Assumptions'!$B$8/4))),IF('I_Budget Input Data'!$E$80="At Completion",IF(27='I_Inputs &amp; Assumptions'!$B$8,'I_Budget Input Data'!$D$80,0),'I_Budget Input Data'!$D$80/'I_Inputs &amp; Assumptions'!$B$8)))))),0)</f>
        <v>0</v>
      </c>
      <c r="AD80" s="91">
        <f>IF(28&lt;='I_Inputs &amp; Assumptions'!$B$8,IF('I_Budget Input Data'!$E$80="Upfront",IF(28=1,'I_Budget Input Data'!$D$80,0),IF('I_Budget Input Data'!$E$80="Equal",'I_Budget Input Data'!$D$80/'I_Inputs &amp; Assumptions'!$B$8,IF('I_Budget Input Data'!$E$80="Front-loaded",IF(28&lt;='I_Inputs &amp; Assumptions'!$B$8/2,'I_Budget Input Data'!$D$80*0.6/('I_Inputs &amp; Assumptions'!$B$8/2),'I_Budget Input Data'!$D$80*0.4/('I_Inputs &amp; Assumptions'!$B$8/2)),IF('I_Budget Input Data'!$E$80="Back-loaded",IF(28&lt;='I_Inputs &amp; Assumptions'!$B$8/2,'I_Budget Input Data'!$D$80*0.4/('I_Inputs &amp; Assumptions'!$B$8/2),'I_Budget Input Data'!$D$80*0.6/('I_Inputs &amp; Assumptions'!$B$8/2)),IF('I_Budget Input Data'!$E$80="Mid-weighted",IF(28&lt;='I_Inputs &amp; Assumptions'!$B$8/4,'I_Budget Input Data'!$D$80*0.2/('I_Inputs &amp; Assumptions'!$B$8/4),IF(28&lt;='I_Inputs &amp; Assumptions'!$B$8*0.75,'I_Budget Input Data'!$D$80*0.6/('I_Inputs &amp; Assumptions'!$B$8/2),'I_Budget Input Data'!$D$80*0.2/('I_Inputs &amp; Assumptions'!$B$8/4))),IF('I_Budget Input Data'!$E$80="At Completion",IF(28='I_Inputs &amp; Assumptions'!$B$8,'I_Budget Input Data'!$D$80,0),'I_Budget Input Data'!$D$80/'I_Inputs &amp; Assumptions'!$B$8)))))),0)</f>
        <v>0</v>
      </c>
      <c r="AE80" s="91">
        <f>IF(29&lt;='I_Inputs &amp; Assumptions'!$B$8,IF('I_Budget Input Data'!$E$80="Upfront",IF(29=1,'I_Budget Input Data'!$D$80,0),IF('I_Budget Input Data'!$E$80="Equal",'I_Budget Input Data'!$D$80/'I_Inputs &amp; Assumptions'!$B$8,IF('I_Budget Input Data'!$E$80="Front-loaded",IF(29&lt;='I_Inputs &amp; Assumptions'!$B$8/2,'I_Budget Input Data'!$D$80*0.6/('I_Inputs &amp; Assumptions'!$B$8/2),'I_Budget Input Data'!$D$80*0.4/('I_Inputs &amp; Assumptions'!$B$8/2)),IF('I_Budget Input Data'!$E$80="Back-loaded",IF(29&lt;='I_Inputs &amp; Assumptions'!$B$8/2,'I_Budget Input Data'!$D$80*0.4/('I_Inputs &amp; Assumptions'!$B$8/2),'I_Budget Input Data'!$D$80*0.6/('I_Inputs &amp; Assumptions'!$B$8/2)),IF('I_Budget Input Data'!$E$80="Mid-weighted",IF(29&lt;='I_Inputs &amp; Assumptions'!$B$8/4,'I_Budget Input Data'!$D$80*0.2/('I_Inputs &amp; Assumptions'!$B$8/4),IF(29&lt;='I_Inputs &amp; Assumptions'!$B$8*0.75,'I_Budget Input Data'!$D$80*0.6/('I_Inputs &amp; Assumptions'!$B$8/2),'I_Budget Input Data'!$D$80*0.2/('I_Inputs &amp; Assumptions'!$B$8/4))),IF('I_Budget Input Data'!$E$80="At Completion",IF(29='I_Inputs &amp; Assumptions'!$B$8,'I_Budget Input Data'!$D$80,0),'I_Budget Input Data'!$D$80/'I_Inputs &amp; Assumptions'!$B$8)))))),0)</f>
        <v>0</v>
      </c>
      <c r="AF80" s="91">
        <f>IF(30&lt;='I_Inputs &amp; Assumptions'!$B$8,IF('I_Budget Input Data'!$E$80="Upfront",IF(30=1,'I_Budget Input Data'!$D$80,0),IF('I_Budget Input Data'!$E$80="Equal",'I_Budget Input Data'!$D$80/'I_Inputs &amp; Assumptions'!$B$8,IF('I_Budget Input Data'!$E$80="Front-loaded",IF(30&lt;='I_Inputs &amp; Assumptions'!$B$8/2,'I_Budget Input Data'!$D$80*0.6/('I_Inputs &amp; Assumptions'!$B$8/2),'I_Budget Input Data'!$D$80*0.4/('I_Inputs &amp; Assumptions'!$B$8/2)),IF('I_Budget Input Data'!$E$80="Back-loaded",IF(30&lt;='I_Inputs &amp; Assumptions'!$B$8/2,'I_Budget Input Data'!$D$80*0.4/('I_Inputs &amp; Assumptions'!$B$8/2),'I_Budget Input Data'!$D$80*0.6/('I_Inputs &amp; Assumptions'!$B$8/2)),IF('I_Budget Input Data'!$E$80="Mid-weighted",IF(30&lt;='I_Inputs &amp; Assumptions'!$B$8/4,'I_Budget Input Data'!$D$80*0.2/('I_Inputs &amp; Assumptions'!$B$8/4),IF(30&lt;='I_Inputs &amp; Assumptions'!$B$8*0.75,'I_Budget Input Data'!$D$80*0.6/('I_Inputs &amp; Assumptions'!$B$8/2),'I_Budget Input Data'!$D$80*0.2/('I_Inputs &amp; Assumptions'!$B$8/4))),IF('I_Budget Input Data'!$E$80="At Completion",IF(30='I_Inputs &amp; Assumptions'!$B$8,'I_Budget Input Data'!$D$80,0),'I_Budget Input Data'!$D$80/'I_Inputs &amp; Assumptions'!$B$8)))))),0)</f>
        <v>0</v>
      </c>
      <c r="AG80" s="91">
        <f>IF(31&lt;='I_Inputs &amp; Assumptions'!$B$8,IF('I_Budget Input Data'!$E$80="Upfront",IF(31=1,'I_Budget Input Data'!$D$80,0),IF('I_Budget Input Data'!$E$80="Equal",'I_Budget Input Data'!$D$80/'I_Inputs &amp; Assumptions'!$B$8,IF('I_Budget Input Data'!$E$80="Front-loaded",IF(31&lt;='I_Inputs &amp; Assumptions'!$B$8/2,'I_Budget Input Data'!$D$80*0.6/('I_Inputs &amp; Assumptions'!$B$8/2),'I_Budget Input Data'!$D$80*0.4/('I_Inputs &amp; Assumptions'!$B$8/2)),IF('I_Budget Input Data'!$E$80="Back-loaded",IF(31&lt;='I_Inputs &amp; Assumptions'!$B$8/2,'I_Budget Input Data'!$D$80*0.4/('I_Inputs &amp; Assumptions'!$B$8/2),'I_Budget Input Data'!$D$80*0.6/('I_Inputs &amp; Assumptions'!$B$8/2)),IF('I_Budget Input Data'!$E$80="Mid-weighted",IF(31&lt;='I_Inputs &amp; Assumptions'!$B$8/4,'I_Budget Input Data'!$D$80*0.2/('I_Inputs &amp; Assumptions'!$B$8/4),IF(31&lt;='I_Inputs &amp; Assumptions'!$B$8*0.75,'I_Budget Input Data'!$D$80*0.6/('I_Inputs &amp; Assumptions'!$B$8/2),'I_Budget Input Data'!$D$80*0.2/('I_Inputs &amp; Assumptions'!$B$8/4))),IF('I_Budget Input Data'!$E$80="At Completion",IF(31='I_Inputs &amp; Assumptions'!$B$8,'I_Budget Input Data'!$D$80,0),'I_Budget Input Data'!$D$80/'I_Inputs &amp; Assumptions'!$B$8)))))),0)</f>
        <v>0</v>
      </c>
      <c r="AH80" s="91">
        <f>IF(32&lt;='I_Inputs &amp; Assumptions'!$B$8,IF('I_Budget Input Data'!$E$80="Upfront",IF(32=1,'I_Budget Input Data'!$D$80,0),IF('I_Budget Input Data'!$E$80="Equal",'I_Budget Input Data'!$D$80/'I_Inputs &amp; Assumptions'!$B$8,IF('I_Budget Input Data'!$E$80="Front-loaded",IF(32&lt;='I_Inputs &amp; Assumptions'!$B$8/2,'I_Budget Input Data'!$D$80*0.6/('I_Inputs &amp; Assumptions'!$B$8/2),'I_Budget Input Data'!$D$80*0.4/('I_Inputs &amp; Assumptions'!$B$8/2)),IF('I_Budget Input Data'!$E$80="Back-loaded",IF(32&lt;='I_Inputs &amp; Assumptions'!$B$8/2,'I_Budget Input Data'!$D$80*0.4/('I_Inputs &amp; Assumptions'!$B$8/2),'I_Budget Input Data'!$D$80*0.6/('I_Inputs &amp; Assumptions'!$B$8/2)),IF('I_Budget Input Data'!$E$80="Mid-weighted",IF(32&lt;='I_Inputs &amp; Assumptions'!$B$8/4,'I_Budget Input Data'!$D$80*0.2/('I_Inputs &amp; Assumptions'!$B$8/4),IF(32&lt;='I_Inputs &amp; Assumptions'!$B$8*0.75,'I_Budget Input Data'!$D$80*0.6/('I_Inputs &amp; Assumptions'!$B$8/2),'I_Budget Input Data'!$D$80*0.2/('I_Inputs &amp; Assumptions'!$B$8/4))),IF('I_Budget Input Data'!$E$80="At Completion",IF(32='I_Inputs &amp; Assumptions'!$B$8,'I_Budget Input Data'!$D$80,0),'I_Budget Input Data'!$D$80/'I_Inputs &amp; Assumptions'!$B$8)))))),0)</f>
        <v>0</v>
      </c>
      <c r="AI80" s="91">
        <f>IF(33&lt;='I_Inputs &amp; Assumptions'!$B$8,IF('I_Budget Input Data'!$E$80="Upfront",IF(33=1,'I_Budget Input Data'!$D$80,0),IF('I_Budget Input Data'!$E$80="Equal",'I_Budget Input Data'!$D$80/'I_Inputs &amp; Assumptions'!$B$8,IF('I_Budget Input Data'!$E$80="Front-loaded",IF(33&lt;='I_Inputs &amp; Assumptions'!$B$8/2,'I_Budget Input Data'!$D$80*0.6/('I_Inputs &amp; Assumptions'!$B$8/2),'I_Budget Input Data'!$D$80*0.4/('I_Inputs &amp; Assumptions'!$B$8/2)),IF('I_Budget Input Data'!$E$80="Back-loaded",IF(33&lt;='I_Inputs &amp; Assumptions'!$B$8/2,'I_Budget Input Data'!$D$80*0.4/('I_Inputs &amp; Assumptions'!$B$8/2),'I_Budget Input Data'!$D$80*0.6/('I_Inputs &amp; Assumptions'!$B$8/2)),IF('I_Budget Input Data'!$E$80="Mid-weighted",IF(33&lt;='I_Inputs &amp; Assumptions'!$B$8/4,'I_Budget Input Data'!$D$80*0.2/('I_Inputs &amp; Assumptions'!$B$8/4),IF(33&lt;='I_Inputs &amp; Assumptions'!$B$8*0.75,'I_Budget Input Data'!$D$80*0.6/('I_Inputs &amp; Assumptions'!$B$8/2),'I_Budget Input Data'!$D$80*0.2/('I_Inputs &amp; Assumptions'!$B$8/4))),IF('I_Budget Input Data'!$E$80="At Completion",IF(33='I_Inputs &amp; Assumptions'!$B$8,'I_Budget Input Data'!$D$80,0),'I_Budget Input Data'!$D$80/'I_Inputs &amp; Assumptions'!$B$8)))))),0)</f>
        <v>0</v>
      </c>
      <c r="AJ80" s="91">
        <f>IF(34&lt;='I_Inputs &amp; Assumptions'!$B$8,IF('I_Budget Input Data'!$E$80="Upfront",IF(34=1,'I_Budget Input Data'!$D$80,0),IF('I_Budget Input Data'!$E$80="Equal",'I_Budget Input Data'!$D$80/'I_Inputs &amp; Assumptions'!$B$8,IF('I_Budget Input Data'!$E$80="Front-loaded",IF(34&lt;='I_Inputs &amp; Assumptions'!$B$8/2,'I_Budget Input Data'!$D$80*0.6/('I_Inputs &amp; Assumptions'!$B$8/2),'I_Budget Input Data'!$D$80*0.4/('I_Inputs &amp; Assumptions'!$B$8/2)),IF('I_Budget Input Data'!$E$80="Back-loaded",IF(34&lt;='I_Inputs &amp; Assumptions'!$B$8/2,'I_Budget Input Data'!$D$80*0.4/('I_Inputs &amp; Assumptions'!$B$8/2),'I_Budget Input Data'!$D$80*0.6/('I_Inputs &amp; Assumptions'!$B$8/2)),IF('I_Budget Input Data'!$E$80="Mid-weighted",IF(34&lt;='I_Inputs &amp; Assumptions'!$B$8/4,'I_Budget Input Data'!$D$80*0.2/('I_Inputs &amp; Assumptions'!$B$8/4),IF(34&lt;='I_Inputs &amp; Assumptions'!$B$8*0.75,'I_Budget Input Data'!$D$80*0.6/('I_Inputs &amp; Assumptions'!$B$8/2),'I_Budget Input Data'!$D$80*0.2/('I_Inputs &amp; Assumptions'!$B$8/4))),IF('I_Budget Input Data'!$E$80="At Completion",IF(34='I_Inputs &amp; Assumptions'!$B$8,'I_Budget Input Data'!$D$80,0),'I_Budget Input Data'!$D$80/'I_Inputs &amp; Assumptions'!$B$8)))))),0)</f>
        <v>0</v>
      </c>
      <c r="AK80" s="91">
        <f>IF(35&lt;='I_Inputs &amp; Assumptions'!$B$8,IF('I_Budget Input Data'!$E$80="Upfront",IF(35=1,'I_Budget Input Data'!$D$80,0),IF('I_Budget Input Data'!$E$80="Equal",'I_Budget Input Data'!$D$80/'I_Inputs &amp; Assumptions'!$B$8,IF('I_Budget Input Data'!$E$80="Front-loaded",IF(35&lt;='I_Inputs &amp; Assumptions'!$B$8/2,'I_Budget Input Data'!$D$80*0.6/('I_Inputs &amp; Assumptions'!$B$8/2),'I_Budget Input Data'!$D$80*0.4/('I_Inputs &amp; Assumptions'!$B$8/2)),IF('I_Budget Input Data'!$E$80="Back-loaded",IF(35&lt;='I_Inputs &amp; Assumptions'!$B$8/2,'I_Budget Input Data'!$D$80*0.4/('I_Inputs &amp; Assumptions'!$B$8/2),'I_Budget Input Data'!$D$80*0.6/('I_Inputs &amp; Assumptions'!$B$8/2)),IF('I_Budget Input Data'!$E$80="Mid-weighted",IF(35&lt;='I_Inputs &amp; Assumptions'!$B$8/4,'I_Budget Input Data'!$D$80*0.2/('I_Inputs &amp; Assumptions'!$B$8/4),IF(35&lt;='I_Inputs &amp; Assumptions'!$B$8*0.75,'I_Budget Input Data'!$D$80*0.6/('I_Inputs &amp; Assumptions'!$B$8/2),'I_Budget Input Data'!$D$80*0.2/('I_Inputs &amp; Assumptions'!$B$8/4))),IF('I_Budget Input Data'!$E$80="At Completion",IF(35='I_Inputs &amp; Assumptions'!$B$8,'I_Budget Input Data'!$D$80,0),'I_Budget Input Data'!$D$80/'I_Inputs &amp; Assumptions'!$B$8)))))),0)</f>
        <v>0</v>
      </c>
      <c r="AL80" s="91">
        <f>IF(36&lt;='I_Inputs &amp; Assumptions'!$B$8,IF('I_Budget Input Data'!$E$80="Upfront",IF(36=1,'I_Budget Input Data'!$D$80,0),IF('I_Budget Input Data'!$E$80="Equal",'I_Budget Input Data'!$D$80/'I_Inputs &amp; Assumptions'!$B$8,IF('I_Budget Input Data'!$E$80="Front-loaded",IF(36&lt;='I_Inputs &amp; Assumptions'!$B$8/2,'I_Budget Input Data'!$D$80*0.6/('I_Inputs &amp; Assumptions'!$B$8/2),'I_Budget Input Data'!$D$80*0.4/('I_Inputs &amp; Assumptions'!$B$8/2)),IF('I_Budget Input Data'!$E$80="Back-loaded",IF(36&lt;='I_Inputs &amp; Assumptions'!$B$8/2,'I_Budget Input Data'!$D$80*0.4/('I_Inputs &amp; Assumptions'!$B$8/2),'I_Budget Input Data'!$D$80*0.6/('I_Inputs &amp; Assumptions'!$B$8/2)),IF('I_Budget Input Data'!$E$80="Mid-weighted",IF(36&lt;='I_Inputs &amp; Assumptions'!$B$8/4,'I_Budget Input Data'!$D$80*0.2/('I_Inputs &amp; Assumptions'!$B$8/4),IF(36&lt;='I_Inputs &amp; Assumptions'!$B$8*0.75,'I_Budget Input Data'!$D$80*0.6/('I_Inputs &amp; Assumptions'!$B$8/2),'I_Budget Input Data'!$D$80*0.2/('I_Inputs &amp; Assumptions'!$B$8/4))),IF('I_Budget Input Data'!$E$80="At Completion",IF(36='I_Inputs &amp; Assumptions'!$B$8,'I_Budget Input Data'!$D$80,0),'I_Budget Input Data'!$D$80/'I_Inputs &amp; Assumptions'!$B$8)))))),0)</f>
        <v>0</v>
      </c>
    </row>
    <row r="81" spans="1:38" ht="15" customHeight="1" x14ac:dyDescent="0.2">
      <c r="A81" t="s">
        <v>146</v>
      </c>
      <c r="B81" t="s">
        <v>200</v>
      </c>
      <c r="C81" s="91">
        <f>IF(1&lt;='I_Inputs &amp; Assumptions'!$B$8,IF('I_Budget Input Data'!$E$81="Upfront",IF(1=1,'I_Budget Input Data'!$D$81,0),IF('I_Budget Input Data'!$E$81="Equal",'I_Budget Input Data'!$D$81/'I_Inputs &amp; Assumptions'!$B$8,IF('I_Budget Input Data'!$E$81="Front-loaded",IF(1&lt;='I_Inputs &amp; Assumptions'!$B$8/2,'I_Budget Input Data'!$D$81*0.6/('I_Inputs &amp; Assumptions'!$B$8/2),'I_Budget Input Data'!$D$81*0.4/('I_Inputs &amp; Assumptions'!$B$8/2)),IF('I_Budget Input Data'!$E$81="Back-loaded",IF(1&lt;='I_Inputs &amp; Assumptions'!$B$8/2,'I_Budget Input Data'!$D$81*0.4/('I_Inputs &amp; Assumptions'!$B$8/2),'I_Budget Input Data'!$D$81*0.6/('I_Inputs &amp; Assumptions'!$B$8/2)),IF('I_Budget Input Data'!$E$81="Mid-weighted",IF(1&lt;='I_Inputs &amp; Assumptions'!$B$8/4,'I_Budget Input Data'!$D$81*0.2/('I_Inputs &amp; Assumptions'!$B$8/4),IF(1&lt;='I_Inputs &amp; Assumptions'!$B$8*0.75,'I_Budget Input Data'!$D$81*0.6/('I_Inputs &amp; Assumptions'!$B$8/2),'I_Budget Input Data'!$D$81*0.2/('I_Inputs &amp; Assumptions'!$B$8/4))),IF('I_Budget Input Data'!$E$81="At Completion",IF(1='I_Inputs &amp; Assumptions'!$B$8,'I_Budget Input Data'!$D$81,0),'I_Budget Input Data'!$D$81/'I_Inputs &amp; Assumptions'!$B$8)))))),0)</f>
        <v>58061.538461538461</v>
      </c>
      <c r="D81" s="91">
        <f>IF(2&lt;='I_Inputs &amp; Assumptions'!$B$8,IF('I_Budget Input Data'!$E$81="Upfront",IF(2=1,'I_Budget Input Data'!$D$81,0),IF('I_Budget Input Data'!$E$81="Equal",'I_Budget Input Data'!$D$81/'I_Inputs &amp; Assumptions'!$B$8,IF('I_Budget Input Data'!$E$81="Front-loaded",IF(2&lt;='I_Inputs &amp; Assumptions'!$B$8/2,'I_Budget Input Data'!$D$81*0.6/('I_Inputs &amp; Assumptions'!$B$8/2),'I_Budget Input Data'!$D$81*0.4/('I_Inputs &amp; Assumptions'!$B$8/2)),IF('I_Budget Input Data'!$E$81="Back-loaded",IF(2&lt;='I_Inputs &amp; Assumptions'!$B$8/2,'I_Budget Input Data'!$D$81*0.4/('I_Inputs &amp; Assumptions'!$B$8/2),'I_Budget Input Data'!$D$81*0.6/('I_Inputs &amp; Assumptions'!$B$8/2)),IF('I_Budget Input Data'!$E$81="Mid-weighted",IF(2&lt;='I_Inputs &amp; Assumptions'!$B$8/4,'I_Budget Input Data'!$D$81*0.2/('I_Inputs &amp; Assumptions'!$B$8/4),IF(2&lt;='I_Inputs &amp; Assumptions'!$B$8*0.75,'I_Budget Input Data'!$D$81*0.6/('I_Inputs &amp; Assumptions'!$B$8/2),'I_Budget Input Data'!$D$81*0.2/('I_Inputs &amp; Assumptions'!$B$8/4))),IF('I_Budget Input Data'!$E$81="At Completion",IF(2='I_Inputs &amp; Assumptions'!$B$8,'I_Budget Input Data'!$D$81,0),'I_Budget Input Data'!$D$81/'I_Inputs &amp; Assumptions'!$B$8)))))),0)</f>
        <v>58061.538461538461</v>
      </c>
      <c r="E81" s="91">
        <f>IF(3&lt;='I_Inputs &amp; Assumptions'!$B$8,IF('I_Budget Input Data'!$E$81="Upfront",IF(3=1,'I_Budget Input Data'!$D$81,0),IF('I_Budget Input Data'!$E$81="Equal",'I_Budget Input Data'!$D$81/'I_Inputs &amp; Assumptions'!$B$8,IF('I_Budget Input Data'!$E$81="Front-loaded",IF(3&lt;='I_Inputs &amp; Assumptions'!$B$8/2,'I_Budget Input Data'!$D$81*0.6/('I_Inputs &amp; Assumptions'!$B$8/2),'I_Budget Input Data'!$D$81*0.4/('I_Inputs &amp; Assumptions'!$B$8/2)),IF('I_Budget Input Data'!$E$81="Back-loaded",IF(3&lt;='I_Inputs &amp; Assumptions'!$B$8/2,'I_Budget Input Data'!$D$81*0.4/('I_Inputs &amp; Assumptions'!$B$8/2),'I_Budget Input Data'!$D$81*0.6/('I_Inputs &amp; Assumptions'!$B$8/2)),IF('I_Budget Input Data'!$E$81="Mid-weighted",IF(3&lt;='I_Inputs &amp; Assumptions'!$B$8/4,'I_Budget Input Data'!$D$81*0.2/('I_Inputs &amp; Assumptions'!$B$8/4),IF(3&lt;='I_Inputs &amp; Assumptions'!$B$8*0.75,'I_Budget Input Data'!$D$81*0.6/('I_Inputs &amp; Assumptions'!$B$8/2),'I_Budget Input Data'!$D$81*0.2/('I_Inputs &amp; Assumptions'!$B$8/4))),IF('I_Budget Input Data'!$E$81="At Completion",IF(3='I_Inputs &amp; Assumptions'!$B$8,'I_Budget Input Data'!$D$81,0),'I_Budget Input Data'!$D$81/'I_Inputs &amp; Assumptions'!$B$8)))))),0)</f>
        <v>58061.538461538461</v>
      </c>
      <c r="F81" s="91">
        <f>IF(4&lt;='I_Inputs &amp; Assumptions'!$B$8,IF('I_Budget Input Data'!$E$81="Upfront",IF(4=1,'I_Budget Input Data'!$D$81,0),IF('I_Budget Input Data'!$E$81="Equal",'I_Budget Input Data'!$D$81/'I_Inputs &amp; Assumptions'!$B$8,IF('I_Budget Input Data'!$E$81="Front-loaded",IF(4&lt;='I_Inputs &amp; Assumptions'!$B$8/2,'I_Budget Input Data'!$D$81*0.6/('I_Inputs &amp; Assumptions'!$B$8/2),'I_Budget Input Data'!$D$81*0.4/('I_Inputs &amp; Assumptions'!$B$8/2)),IF('I_Budget Input Data'!$E$81="Back-loaded",IF(4&lt;='I_Inputs &amp; Assumptions'!$B$8/2,'I_Budget Input Data'!$D$81*0.4/('I_Inputs &amp; Assumptions'!$B$8/2),'I_Budget Input Data'!$D$81*0.6/('I_Inputs &amp; Assumptions'!$B$8/2)),IF('I_Budget Input Data'!$E$81="Mid-weighted",IF(4&lt;='I_Inputs &amp; Assumptions'!$B$8/4,'I_Budget Input Data'!$D$81*0.2/('I_Inputs &amp; Assumptions'!$B$8/4),IF(4&lt;='I_Inputs &amp; Assumptions'!$B$8*0.75,'I_Budget Input Data'!$D$81*0.6/('I_Inputs &amp; Assumptions'!$B$8/2),'I_Budget Input Data'!$D$81*0.2/('I_Inputs &amp; Assumptions'!$B$8/4))),IF('I_Budget Input Data'!$E$81="At Completion",IF(4='I_Inputs &amp; Assumptions'!$B$8,'I_Budget Input Data'!$D$81,0),'I_Budget Input Data'!$D$81/'I_Inputs &amp; Assumptions'!$B$8)))))),0)</f>
        <v>58061.538461538461</v>
      </c>
      <c r="G81" s="91">
        <f>IF(5&lt;='I_Inputs &amp; Assumptions'!$B$8,IF('I_Budget Input Data'!$E$81="Upfront",IF(5=1,'I_Budget Input Data'!$D$81,0),IF('I_Budget Input Data'!$E$81="Equal",'I_Budget Input Data'!$D$81/'I_Inputs &amp; Assumptions'!$B$8,IF('I_Budget Input Data'!$E$81="Front-loaded",IF(5&lt;='I_Inputs &amp; Assumptions'!$B$8/2,'I_Budget Input Data'!$D$81*0.6/('I_Inputs &amp; Assumptions'!$B$8/2),'I_Budget Input Data'!$D$81*0.4/('I_Inputs &amp; Assumptions'!$B$8/2)),IF('I_Budget Input Data'!$E$81="Back-loaded",IF(5&lt;='I_Inputs &amp; Assumptions'!$B$8/2,'I_Budget Input Data'!$D$81*0.4/('I_Inputs &amp; Assumptions'!$B$8/2),'I_Budget Input Data'!$D$81*0.6/('I_Inputs &amp; Assumptions'!$B$8/2)),IF('I_Budget Input Data'!$E$81="Mid-weighted",IF(5&lt;='I_Inputs &amp; Assumptions'!$B$8/4,'I_Budget Input Data'!$D$81*0.2/('I_Inputs &amp; Assumptions'!$B$8/4),IF(5&lt;='I_Inputs &amp; Assumptions'!$B$8*0.75,'I_Budget Input Data'!$D$81*0.6/('I_Inputs &amp; Assumptions'!$B$8/2),'I_Budget Input Data'!$D$81*0.2/('I_Inputs &amp; Assumptions'!$B$8/4))),IF('I_Budget Input Data'!$E$81="At Completion",IF(5='I_Inputs &amp; Assumptions'!$B$8,'I_Budget Input Data'!$D$81,0),'I_Budget Input Data'!$D$81/'I_Inputs &amp; Assumptions'!$B$8)))))),0)</f>
        <v>58061.538461538461</v>
      </c>
      <c r="H81" s="91">
        <f>IF(6&lt;='I_Inputs &amp; Assumptions'!$B$8,IF('I_Budget Input Data'!$E$81="Upfront",IF(6=1,'I_Budget Input Data'!$D$81,0),IF('I_Budget Input Data'!$E$81="Equal",'I_Budget Input Data'!$D$81/'I_Inputs &amp; Assumptions'!$B$8,IF('I_Budget Input Data'!$E$81="Front-loaded",IF(6&lt;='I_Inputs &amp; Assumptions'!$B$8/2,'I_Budget Input Data'!$D$81*0.6/('I_Inputs &amp; Assumptions'!$B$8/2),'I_Budget Input Data'!$D$81*0.4/('I_Inputs &amp; Assumptions'!$B$8/2)),IF('I_Budget Input Data'!$E$81="Back-loaded",IF(6&lt;='I_Inputs &amp; Assumptions'!$B$8/2,'I_Budget Input Data'!$D$81*0.4/('I_Inputs &amp; Assumptions'!$B$8/2),'I_Budget Input Data'!$D$81*0.6/('I_Inputs &amp; Assumptions'!$B$8/2)),IF('I_Budget Input Data'!$E$81="Mid-weighted",IF(6&lt;='I_Inputs &amp; Assumptions'!$B$8/4,'I_Budget Input Data'!$D$81*0.2/('I_Inputs &amp; Assumptions'!$B$8/4),IF(6&lt;='I_Inputs &amp; Assumptions'!$B$8*0.75,'I_Budget Input Data'!$D$81*0.6/('I_Inputs &amp; Assumptions'!$B$8/2),'I_Budget Input Data'!$D$81*0.2/('I_Inputs &amp; Assumptions'!$B$8/4))),IF('I_Budget Input Data'!$E$81="At Completion",IF(6='I_Inputs &amp; Assumptions'!$B$8,'I_Budget Input Data'!$D$81,0),'I_Budget Input Data'!$D$81/'I_Inputs &amp; Assumptions'!$B$8)))))),0)</f>
        <v>58061.538461538461</v>
      </c>
      <c r="I81" s="91">
        <f>IF(7&lt;='I_Inputs &amp; Assumptions'!$B$8,IF('I_Budget Input Data'!$E$81="Upfront",IF(7=1,'I_Budget Input Data'!$D$81,0),IF('I_Budget Input Data'!$E$81="Equal",'I_Budget Input Data'!$D$81/'I_Inputs &amp; Assumptions'!$B$8,IF('I_Budget Input Data'!$E$81="Front-loaded",IF(7&lt;='I_Inputs &amp; Assumptions'!$B$8/2,'I_Budget Input Data'!$D$81*0.6/('I_Inputs &amp; Assumptions'!$B$8/2),'I_Budget Input Data'!$D$81*0.4/('I_Inputs &amp; Assumptions'!$B$8/2)),IF('I_Budget Input Data'!$E$81="Back-loaded",IF(7&lt;='I_Inputs &amp; Assumptions'!$B$8/2,'I_Budget Input Data'!$D$81*0.4/('I_Inputs &amp; Assumptions'!$B$8/2),'I_Budget Input Data'!$D$81*0.6/('I_Inputs &amp; Assumptions'!$B$8/2)),IF('I_Budget Input Data'!$E$81="Mid-weighted",IF(7&lt;='I_Inputs &amp; Assumptions'!$B$8/4,'I_Budget Input Data'!$D$81*0.2/('I_Inputs &amp; Assumptions'!$B$8/4),IF(7&lt;='I_Inputs &amp; Assumptions'!$B$8*0.75,'I_Budget Input Data'!$D$81*0.6/('I_Inputs &amp; Assumptions'!$B$8/2),'I_Budget Input Data'!$D$81*0.2/('I_Inputs &amp; Assumptions'!$B$8/4))),IF('I_Budget Input Data'!$E$81="At Completion",IF(7='I_Inputs &amp; Assumptions'!$B$8,'I_Budget Input Data'!$D$81,0),'I_Budget Input Data'!$D$81/'I_Inputs &amp; Assumptions'!$B$8)))))),0)</f>
        <v>58061.538461538461</v>
      </c>
      <c r="J81" s="91">
        <f>IF(8&lt;='I_Inputs &amp; Assumptions'!$B$8,IF('I_Budget Input Data'!$E$81="Upfront",IF(8=1,'I_Budget Input Data'!$D$81,0),IF('I_Budget Input Data'!$E$81="Equal",'I_Budget Input Data'!$D$81/'I_Inputs &amp; Assumptions'!$B$8,IF('I_Budget Input Data'!$E$81="Front-loaded",IF(8&lt;='I_Inputs &amp; Assumptions'!$B$8/2,'I_Budget Input Data'!$D$81*0.6/('I_Inputs &amp; Assumptions'!$B$8/2),'I_Budget Input Data'!$D$81*0.4/('I_Inputs &amp; Assumptions'!$B$8/2)),IF('I_Budget Input Data'!$E$81="Back-loaded",IF(8&lt;='I_Inputs &amp; Assumptions'!$B$8/2,'I_Budget Input Data'!$D$81*0.4/('I_Inputs &amp; Assumptions'!$B$8/2),'I_Budget Input Data'!$D$81*0.6/('I_Inputs &amp; Assumptions'!$B$8/2)),IF('I_Budget Input Data'!$E$81="Mid-weighted",IF(8&lt;='I_Inputs &amp; Assumptions'!$B$8/4,'I_Budget Input Data'!$D$81*0.2/('I_Inputs &amp; Assumptions'!$B$8/4),IF(8&lt;='I_Inputs &amp; Assumptions'!$B$8*0.75,'I_Budget Input Data'!$D$81*0.6/('I_Inputs &amp; Assumptions'!$B$8/2),'I_Budget Input Data'!$D$81*0.2/('I_Inputs &amp; Assumptions'!$B$8/4))),IF('I_Budget Input Data'!$E$81="At Completion",IF(8='I_Inputs &amp; Assumptions'!$B$8,'I_Budget Input Data'!$D$81,0),'I_Budget Input Data'!$D$81/'I_Inputs &amp; Assumptions'!$B$8)))))),0)</f>
        <v>58061.538461538461</v>
      </c>
      <c r="K81" s="91">
        <f>IF(9&lt;='I_Inputs &amp; Assumptions'!$B$8,IF('I_Budget Input Data'!$E$81="Upfront",IF(9=1,'I_Budget Input Data'!$D$81,0),IF('I_Budget Input Data'!$E$81="Equal",'I_Budget Input Data'!$D$81/'I_Inputs &amp; Assumptions'!$B$8,IF('I_Budget Input Data'!$E$81="Front-loaded",IF(9&lt;='I_Inputs &amp; Assumptions'!$B$8/2,'I_Budget Input Data'!$D$81*0.6/('I_Inputs &amp; Assumptions'!$B$8/2),'I_Budget Input Data'!$D$81*0.4/('I_Inputs &amp; Assumptions'!$B$8/2)),IF('I_Budget Input Data'!$E$81="Back-loaded",IF(9&lt;='I_Inputs &amp; Assumptions'!$B$8/2,'I_Budget Input Data'!$D$81*0.4/('I_Inputs &amp; Assumptions'!$B$8/2),'I_Budget Input Data'!$D$81*0.6/('I_Inputs &amp; Assumptions'!$B$8/2)),IF('I_Budget Input Data'!$E$81="Mid-weighted",IF(9&lt;='I_Inputs &amp; Assumptions'!$B$8/4,'I_Budget Input Data'!$D$81*0.2/('I_Inputs &amp; Assumptions'!$B$8/4),IF(9&lt;='I_Inputs &amp; Assumptions'!$B$8*0.75,'I_Budget Input Data'!$D$81*0.6/('I_Inputs &amp; Assumptions'!$B$8/2),'I_Budget Input Data'!$D$81*0.2/('I_Inputs &amp; Assumptions'!$B$8/4))),IF('I_Budget Input Data'!$E$81="At Completion",IF(9='I_Inputs &amp; Assumptions'!$B$8,'I_Budget Input Data'!$D$81,0),'I_Budget Input Data'!$D$81/'I_Inputs &amp; Assumptions'!$B$8)))))),0)</f>
        <v>58061.538461538461</v>
      </c>
      <c r="L81" s="91">
        <f>IF(10&lt;='I_Inputs &amp; Assumptions'!$B$8,IF('I_Budget Input Data'!$E$81="Upfront",IF(10=1,'I_Budget Input Data'!$D$81,0),IF('I_Budget Input Data'!$E$81="Equal",'I_Budget Input Data'!$D$81/'I_Inputs &amp; Assumptions'!$B$8,IF('I_Budget Input Data'!$E$81="Front-loaded",IF(10&lt;='I_Inputs &amp; Assumptions'!$B$8/2,'I_Budget Input Data'!$D$81*0.6/('I_Inputs &amp; Assumptions'!$B$8/2),'I_Budget Input Data'!$D$81*0.4/('I_Inputs &amp; Assumptions'!$B$8/2)),IF('I_Budget Input Data'!$E$81="Back-loaded",IF(10&lt;='I_Inputs &amp; Assumptions'!$B$8/2,'I_Budget Input Data'!$D$81*0.4/('I_Inputs &amp; Assumptions'!$B$8/2),'I_Budget Input Data'!$D$81*0.6/('I_Inputs &amp; Assumptions'!$B$8/2)),IF('I_Budget Input Data'!$E$81="Mid-weighted",IF(10&lt;='I_Inputs &amp; Assumptions'!$B$8/4,'I_Budget Input Data'!$D$81*0.2/('I_Inputs &amp; Assumptions'!$B$8/4),IF(10&lt;='I_Inputs &amp; Assumptions'!$B$8*0.75,'I_Budget Input Data'!$D$81*0.6/('I_Inputs &amp; Assumptions'!$B$8/2),'I_Budget Input Data'!$D$81*0.2/('I_Inputs &amp; Assumptions'!$B$8/4))),IF('I_Budget Input Data'!$E$81="At Completion",IF(10='I_Inputs &amp; Assumptions'!$B$8,'I_Budget Input Data'!$D$81,0),'I_Budget Input Data'!$D$81/'I_Inputs &amp; Assumptions'!$B$8)))))),0)</f>
        <v>58061.538461538461</v>
      </c>
      <c r="M81" s="91">
        <f>IF(11&lt;='I_Inputs &amp; Assumptions'!$B$8,IF('I_Budget Input Data'!$E$81="Upfront",IF(11=1,'I_Budget Input Data'!$D$81,0),IF('I_Budget Input Data'!$E$81="Equal",'I_Budget Input Data'!$D$81/'I_Inputs &amp; Assumptions'!$B$8,IF('I_Budget Input Data'!$E$81="Front-loaded",IF(11&lt;='I_Inputs &amp; Assumptions'!$B$8/2,'I_Budget Input Data'!$D$81*0.6/('I_Inputs &amp; Assumptions'!$B$8/2),'I_Budget Input Data'!$D$81*0.4/('I_Inputs &amp; Assumptions'!$B$8/2)),IF('I_Budget Input Data'!$E$81="Back-loaded",IF(11&lt;='I_Inputs &amp; Assumptions'!$B$8/2,'I_Budget Input Data'!$D$81*0.4/('I_Inputs &amp; Assumptions'!$B$8/2),'I_Budget Input Data'!$D$81*0.6/('I_Inputs &amp; Assumptions'!$B$8/2)),IF('I_Budget Input Data'!$E$81="Mid-weighted",IF(11&lt;='I_Inputs &amp; Assumptions'!$B$8/4,'I_Budget Input Data'!$D$81*0.2/('I_Inputs &amp; Assumptions'!$B$8/4),IF(11&lt;='I_Inputs &amp; Assumptions'!$B$8*0.75,'I_Budget Input Data'!$D$81*0.6/('I_Inputs &amp; Assumptions'!$B$8/2),'I_Budget Input Data'!$D$81*0.2/('I_Inputs &amp; Assumptions'!$B$8/4))),IF('I_Budget Input Data'!$E$81="At Completion",IF(11='I_Inputs &amp; Assumptions'!$B$8,'I_Budget Input Data'!$D$81,0),'I_Budget Input Data'!$D$81/'I_Inputs &amp; Assumptions'!$B$8)))))),0)</f>
        <v>58061.538461538461</v>
      </c>
      <c r="N81" s="91">
        <f>IF(12&lt;='I_Inputs &amp; Assumptions'!$B$8,IF('I_Budget Input Data'!$E$81="Upfront",IF(12=1,'I_Budget Input Data'!$D$81,0),IF('I_Budget Input Data'!$E$81="Equal",'I_Budget Input Data'!$D$81/'I_Inputs &amp; Assumptions'!$B$8,IF('I_Budget Input Data'!$E$81="Front-loaded",IF(12&lt;='I_Inputs &amp; Assumptions'!$B$8/2,'I_Budget Input Data'!$D$81*0.6/('I_Inputs &amp; Assumptions'!$B$8/2),'I_Budget Input Data'!$D$81*0.4/('I_Inputs &amp; Assumptions'!$B$8/2)),IF('I_Budget Input Data'!$E$81="Back-loaded",IF(12&lt;='I_Inputs &amp; Assumptions'!$B$8/2,'I_Budget Input Data'!$D$81*0.4/('I_Inputs &amp; Assumptions'!$B$8/2),'I_Budget Input Data'!$D$81*0.6/('I_Inputs &amp; Assumptions'!$B$8/2)),IF('I_Budget Input Data'!$E$81="Mid-weighted",IF(12&lt;='I_Inputs &amp; Assumptions'!$B$8/4,'I_Budget Input Data'!$D$81*0.2/('I_Inputs &amp; Assumptions'!$B$8/4),IF(12&lt;='I_Inputs &amp; Assumptions'!$B$8*0.75,'I_Budget Input Data'!$D$81*0.6/('I_Inputs &amp; Assumptions'!$B$8/2),'I_Budget Input Data'!$D$81*0.2/('I_Inputs &amp; Assumptions'!$B$8/4))),IF('I_Budget Input Data'!$E$81="At Completion",IF(12='I_Inputs &amp; Assumptions'!$B$8,'I_Budget Input Data'!$D$81,0),'I_Budget Input Data'!$D$81/'I_Inputs &amp; Assumptions'!$B$8)))))),0)</f>
        <v>58061.538461538461</v>
      </c>
      <c r="O81" s="91">
        <f>IF(13&lt;='I_Inputs &amp; Assumptions'!$B$8,IF('I_Budget Input Data'!$E$81="Upfront",IF(13=1,'I_Budget Input Data'!$D$81,0),IF('I_Budget Input Data'!$E$81="Equal",'I_Budget Input Data'!$D$81/'I_Inputs &amp; Assumptions'!$B$8,IF('I_Budget Input Data'!$E$81="Front-loaded",IF(13&lt;='I_Inputs &amp; Assumptions'!$B$8/2,'I_Budget Input Data'!$D$81*0.6/('I_Inputs &amp; Assumptions'!$B$8/2),'I_Budget Input Data'!$D$81*0.4/('I_Inputs &amp; Assumptions'!$B$8/2)),IF('I_Budget Input Data'!$E$81="Back-loaded",IF(13&lt;='I_Inputs &amp; Assumptions'!$B$8/2,'I_Budget Input Data'!$D$81*0.4/('I_Inputs &amp; Assumptions'!$B$8/2),'I_Budget Input Data'!$D$81*0.6/('I_Inputs &amp; Assumptions'!$B$8/2)),IF('I_Budget Input Data'!$E$81="Mid-weighted",IF(13&lt;='I_Inputs &amp; Assumptions'!$B$8/4,'I_Budget Input Data'!$D$81*0.2/('I_Inputs &amp; Assumptions'!$B$8/4),IF(13&lt;='I_Inputs &amp; Assumptions'!$B$8*0.75,'I_Budget Input Data'!$D$81*0.6/('I_Inputs &amp; Assumptions'!$B$8/2),'I_Budget Input Data'!$D$81*0.2/('I_Inputs &amp; Assumptions'!$B$8/4))),IF('I_Budget Input Data'!$E$81="At Completion",IF(13='I_Inputs &amp; Assumptions'!$B$8,'I_Budget Input Data'!$D$81,0),'I_Budget Input Data'!$D$81/'I_Inputs &amp; Assumptions'!$B$8)))))),0)</f>
        <v>58061.538461538461</v>
      </c>
      <c r="P81" s="91">
        <f>IF(14&lt;='I_Inputs &amp; Assumptions'!$B$8,IF('I_Budget Input Data'!$E$81="Upfront",IF(14=1,'I_Budget Input Data'!$D$81,0),IF('I_Budget Input Data'!$E$81="Equal",'I_Budget Input Data'!$D$81/'I_Inputs &amp; Assumptions'!$B$8,IF('I_Budget Input Data'!$E$81="Front-loaded",IF(14&lt;='I_Inputs &amp; Assumptions'!$B$8/2,'I_Budget Input Data'!$D$81*0.6/('I_Inputs &amp; Assumptions'!$B$8/2),'I_Budget Input Data'!$D$81*0.4/('I_Inputs &amp; Assumptions'!$B$8/2)),IF('I_Budget Input Data'!$E$81="Back-loaded",IF(14&lt;='I_Inputs &amp; Assumptions'!$B$8/2,'I_Budget Input Data'!$D$81*0.4/('I_Inputs &amp; Assumptions'!$B$8/2),'I_Budget Input Data'!$D$81*0.6/('I_Inputs &amp; Assumptions'!$B$8/2)),IF('I_Budget Input Data'!$E$81="Mid-weighted",IF(14&lt;='I_Inputs &amp; Assumptions'!$B$8/4,'I_Budget Input Data'!$D$81*0.2/('I_Inputs &amp; Assumptions'!$B$8/4),IF(14&lt;='I_Inputs &amp; Assumptions'!$B$8*0.75,'I_Budget Input Data'!$D$81*0.6/('I_Inputs &amp; Assumptions'!$B$8/2),'I_Budget Input Data'!$D$81*0.2/('I_Inputs &amp; Assumptions'!$B$8/4))),IF('I_Budget Input Data'!$E$81="At Completion",IF(14='I_Inputs &amp; Assumptions'!$B$8,'I_Budget Input Data'!$D$81,0),'I_Budget Input Data'!$D$81/'I_Inputs &amp; Assumptions'!$B$8)))))),0)</f>
        <v>0</v>
      </c>
      <c r="Q81" s="91">
        <f>IF(15&lt;='I_Inputs &amp; Assumptions'!$B$8,IF('I_Budget Input Data'!$E$81="Upfront",IF(15=1,'I_Budget Input Data'!$D$81,0),IF('I_Budget Input Data'!$E$81="Equal",'I_Budget Input Data'!$D$81/'I_Inputs &amp; Assumptions'!$B$8,IF('I_Budget Input Data'!$E$81="Front-loaded",IF(15&lt;='I_Inputs &amp; Assumptions'!$B$8/2,'I_Budget Input Data'!$D$81*0.6/('I_Inputs &amp; Assumptions'!$B$8/2),'I_Budget Input Data'!$D$81*0.4/('I_Inputs &amp; Assumptions'!$B$8/2)),IF('I_Budget Input Data'!$E$81="Back-loaded",IF(15&lt;='I_Inputs &amp; Assumptions'!$B$8/2,'I_Budget Input Data'!$D$81*0.4/('I_Inputs &amp; Assumptions'!$B$8/2),'I_Budget Input Data'!$D$81*0.6/('I_Inputs &amp; Assumptions'!$B$8/2)),IF('I_Budget Input Data'!$E$81="Mid-weighted",IF(15&lt;='I_Inputs &amp; Assumptions'!$B$8/4,'I_Budget Input Data'!$D$81*0.2/('I_Inputs &amp; Assumptions'!$B$8/4),IF(15&lt;='I_Inputs &amp; Assumptions'!$B$8*0.75,'I_Budget Input Data'!$D$81*0.6/('I_Inputs &amp; Assumptions'!$B$8/2),'I_Budget Input Data'!$D$81*0.2/('I_Inputs &amp; Assumptions'!$B$8/4))),IF('I_Budget Input Data'!$E$81="At Completion",IF(15='I_Inputs &amp; Assumptions'!$B$8,'I_Budget Input Data'!$D$81,0),'I_Budget Input Data'!$D$81/'I_Inputs &amp; Assumptions'!$B$8)))))),0)</f>
        <v>0</v>
      </c>
      <c r="R81" s="91">
        <f>IF(16&lt;='I_Inputs &amp; Assumptions'!$B$8,IF('I_Budget Input Data'!$E$81="Upfront",IF(16=1,'I_Budget Input Data'!$D$81,0),IF('I_Budget Input Data'!$E$81="Equal",'I_Budget Input Data'!$D$81/'I_Inputs &amp; Assumptions'!$B$8,IF('I_Budget Input Data'!$E$81="Front-loaded",IF(16&lt;='I_Inputs &amp; Assumptions'!$B$8/2,'I_Budget Input Data'!$D$81*0.6/('I_Inputs &amp; Assumptions'!$B$8/2),'I_Budget Input Data'!$D$81*0.4/('I_Inputs &amp; Assumptions'!$B$8/2)),IF('I_Budget Input Data'!$E$81="Back-loaded",IF(16&lt;='I_Inputs &amp; Assumptions'!$B$8/2,'I_Budget Input Data'!$D$81*0.4/('I_Inputs &amp; Assumptions'!$B$8/2),'I_Budget Input Data'!$D$81*0.6/('I_Inputs &amp; Assumptions'!$B$8/2)),IF('I_Budget Input Data'!$E$81="Mid-weighted",IF(16&lt;='I_Inputs &amp; Assumptions'!$B$8/4,'I_Budget Input Data'!$D$81*0.2/('I_Inputs &amp; Assumptions'!$B$8/4),IF(16&lt;='I_Inputs &amp; Assumptions'!$B$8*0.75,'I_Budget Input Data'!$D$81*0.6/('I_Inputs &amp; Assumptions'!$B$8/2),'I_Budget Input Data'!$D$81*0.2/('I_Inputs &amp; Assumptions'!$B$8/4))),IF('I_Budget Input Data'!$E$81="At Completion",IF(16='I_Inputs &amp; Assumptions'!$B$8,'I_Budget Input Data'!$D$81,0),'I_Budget Input Data'!$D$81/'I_Inputs &amp; Assumptions'!$B$8)))))),0)</f>
        <v>0</v>
      </c>
      <c r="S81" s="91">
        <f>IF(17&lt;='I_Inputs &amp; Assumptions'!$B$8,IF('I_Budget Input Data'!$E$81="Upfront",IF(17=1,'I_Budget Input Data'!$D$81,0),IF('I_Budget Input Data'!$E$81="Equal",'I_Budget Input Data'!$D$81/'I_Inputs &amp; Assumptions'!$B$8,IF('I_Budget Input Data'!$E$81="Front-loaded",IF(17&lt;='I_Inputs &amp; Assumptions'!$B$8/2,'I_Budget Input Data'!$D$81*0.6/('I_Inputs &amp; Assumptions'!$B$8/2),'I_Budget Input Data'!$D$81*0.4/('I_Inputs &amp; Assumptions'!$B$8/2)),IF('I_Budget Input Data'!$E$81="Back-loaded",IF(17&lt;='I_Inputs &amp; Assumptions'!$B$8/2,'I_Budget Input Data'!$D$81*0.4/('I_Inputs &amp; Assumptions'!$B$8/2),'I_Budget Input Data'!$D$81*0.6/('I_Inputs &amp; Assumptions'!$B$8/2)),IF('I_Budget Input Data'!$E$81="Mid-weighted",IF(17&lt;='I_Inputs &amp; Assumptions'!$B$8/4,'I_Budget Input Data'!$D$81*0.2/('I_Inputs &amp; Assumptions'!$B$8/4),IF(17&lt;='I_Inputs &amp; Assumptions'!$B$8*0.75,'I_Budget Input Data'!$D$81*0.6/('I_Inputs &amp; Assumptions'!$B$8/2),'I_Budget Input Data'!$D$81*0.2/('I_Inputs &amp; Assumptions'!$B$8/4))),IF('I_Budget Input Data'!$E$81="At Completion",IF(17='I_Inputs &amp; Assumptions'!$B$8,'I_Budget Input Data'!$D$81,0),'I_Budget Input Data'!$D$81/'I_Inputs &amp; Assumptions'!$B$8)))))),0)</f>
        <v>0</v>
      </c>
      <c r="T81" s="91">
        <f>IF(18&lt;='I_Inputs &amp; Assumptions'!$B$8,IF('I_Budget Input Data'!$E$81="Upfront",IF(18=1,'I_Budget Input Data'!$D$81,0),IF('I_Budget Input Data'!$E$81="Equal",'I_Budget Input Data'!$D$81/'I_Inputs &amp; Assumptions'!$B$8,IF('I_Budget Input Data'!$E$81="Front-loaded",IF(18&lt;='I_Inputs &amp; Assumptions'!$B$8/2,'I_Budget Input Data'!$D$81*0.6/('I_Inputs &amp; Assumptions'!$B$8/2),'I_Budget Input Data'!$D$81*0.4/('I_Inputs &amp; Assumptions'!$B$8/2)),IF('I_Budget Input Data'!$E$81="Back-loaded",IF(18&lt;='I_Inputs &amp; Assumptions'!$B$8/2,'I_Budget Input Data'!$D$81*0.4/('I_Inputs &amp; Assumptions'!$B$8/2),'I_Budget Input Data'!$D$81*0.6/('I_Inputs &amp; Assumptions'!$B$8/2)),IF('I_Budget Input Data'!$E$81="Mid-weighted",IF(18&lt;='I_Inputs &amp; Assumptions'!$B$8/4,'I_Budget Input Data'!$D$81*0.2/('I_Inputs &amp; Assumptions'!$B$8/4),IF(18&lt;='I_Inputs &amp; Assumptions'!$B$8*0.75,'I_Budget Input Data'!$D$81*0.6/('I_Inputs &amp; Assumptions'!$B$8/2),'I_Budget Input Data'!$D$81*0.2/('I_Inputs &amp; Assumptions'!$B$8/4))),IF('I_Budget Input Data'!$E$81="At Completion",IF(18='I_Inputs &amp; Assumptions'!$B$8,'I_Budget Input Data'!$D$81,0),'I_Budget Input Data'!$D$81/'I_Inputs &amp; Assumptions'!$B$8)))))),0)</f>
        <v>0</v>
      </c>
      <c r="U81" s="91">
        <f>IF(19&lt;='I_Inputs &amp; Assumptions'!$B$8,IF('I_Budget Input Data'!$E$81="Upfront",IF(19=1,'I_Budget Input Data'!$D$81,0),IF('I_Budget Input Data'!$E$81="Equal",'I_Budget Input Data'!$D$81/'I_Inputs &amp; Assumptions'!$B$8,IF('I_Budget Input Data'!$E$81="Front-loaded",IF(19&lt;='I_Inputs &amp; Assumptions'!$B$8/2,'I_Budget Input Data'!$D$81*0.6/('I_Inputs &amp; Assumptions'!$B$8/2),'I_Budget Input Data'!$D$81*0.4/('I_Inputs &amp; Assumptions'!$B$8/2)),IF('I_Budget Input Data'!$E$81="Back-loaded",IF(19&lt;='I_Inputs &amp; Assumptions'!$B$8/2,'I_Budget Input Data'!$D$81*0.4/('I_Inputs &amp; Assumptions'!$B$8/2),'I_Budget Input Data'!$D$81*0.6/('I_Inputs &amp; Assumptions'!$B$8/2)),IF('I_Budget Input Data'!$E$81="Mid-weighted",IF(19&lt;='I_Inputs &amp; Assumptions'!$B$8/4,'I_Budget Input Data'!$D$81*0.2/('I_Inputs &amp; Assumptions'!$B$8/4),IF(19&lt;='I_Inputs &amp; Assumptions'!$B$8*0.75,'I_Budget Input Data'!$D$81*0.6/('I_Inputs &amp; Assumptions'!$B$8/2),'I_Budget Input Data'!$D$81*0.2/('I_Inputs &amp; Assumptions'!$B$8/4))),IF('I_Budget Input Data'!$E$81="At Completion",IF(19='I_Inputs &amp; Assumptions'!$B$8,'I_Budget Input Data'!$D$81,0),'I_Budget Input Data'!$D$81/'I_Inputs &amp; Assumptions'!$B$8)))))),0)</f>
        <v>0</v>
      </c>
      <c r="V81" s="91">
        <f>IF(20&lt;='I_Inputs &amp; Assumptions'!$B$8,IF('I_Budget Input Data'!$E$81="Upfront",IF(20=1,'I_Budget Input Data'!$D$81,0),IF('I_Budget Input Data'!$E$81="Equal",'I_Budget Input Data'!$D$81/'I_Inputs &amp; Assumptions'!$B$8,IF('I_Budget Input Data'!$E$81="Front-loaded",IF(20&lt;='I_Inputs &amp; Assumptions'!$B$8/2,'I_Budget Input Data'!$D$81*0.6/('I_Inputs &amp; Assumptions'!$B$8/2),'I_Budget Input Data'!$D$81*0.4/('I_Inputs &amp; Assumptions'!$B$8/2)),IF('I_Budget Input Data'!$E$81="Back-loaded",IF(20&lt;='I_Inputs &amp; Assumptions'!$B$8/2,'I_Budget Input Data'!$D$81*0.4/('I_Inputs &amp; Assumptions'!$B$8/2),'I_Budget Input Data'!$D$81*0.6/('I_Inputs &amp; Assumptions'!$B$8/2)),IF('I_Budget Input Data'!$E$81="Mid-weighted",IF(20&lt;='I_Inputs &amp; Assumptions'!$B$8/4,'I_Budget Input Data'!$D$81*0.2/('I_Inputs &amp; Assumptions'!$B$8/4),IF(20&lt;='I_Inputs &amp; Assumptions'!$B$8*0.75,'I_Budget Input Data'!$D$81*0.6/('I_Inputs &amp; Assumptions'!$B$8/2),'I_Budget Input Data'!$D$81*0.2/('I_Inputs &amp; Assumptions'!$B$8/4))),IF('I_Budget Input Data'!$E$81="At Completion",IF(20='I_Inputs &amp; Assumptions'!$B$8,'I_Budget Input Data'!$D$81,0),'I_Budget Input Data'!$D$81/'I_Inputs &amp; Assumptions'!$B$8)))))),0)</f>
        <v>0</v>
      </c>
      <c r="W81" s="91">
        <f>IF(21&lt;='I_Inputs &amp; Assumptions'!$B$8,IF('I_Budget Input Data'!$E$81="Upfront",IF(21=1,'I_Budget Input Data'!$D$81,0),IF('I_Budget Input Data'!$E$81="Equal",'I_Budget Input Data'!$D$81/'I_Inputs &amp; Assumptions'!$B$8,IF('I_Budget Input Data'!$E$81="Front-loaded",IF(21&lt;='I_Inputs &amp; Assumptions'!$B$8/2,'I_Budget Input Data'!$D$81*0.6/('I_Inputs &amp; Assumptions'!$B$8/2),'I_Budget Input Data'!$D$81*0.4/('I_Inputs &amp; Assumptions'!$B$8/2)),IF('I_Budget Input Data'!$E$81="Back-loaded",IF(21&lt;='I_Inputs &amp; Assumptions'!$B$8/2,'I_Budget Input Data'!$D$81*0.4/('I_Inputs &amp; Assumptions'!$B$8/2),'I_Budget Input Data'!$D$81*0.6/('I_Inputs &amp; Assumptions'!$B$8/2)),IF('I_Budget Input Data'!$E$81="Mid-weighted",IF(21&lt;='I_Inputs &amp; Assumptions'!$B$8/4,'I_Budget Input Data'!$D$81*0.2/('I_Inputs &amp; Assumptions'!$B$8/4),IF(21&lt;='I_Inputs &amp; Assumptions'!$B$8*0.75,'I_Budget Input Data'!$D$81*0.6/('I_Inputs &amp; Assumptions'!$B$8/2),'I_Budget Input Data'!$D$81*0.2/('I_Inputs &amp; Assumptions'!$B$8/4))),IF('I_Budget Input Data'!$E$81="At Completion",IF(21='I_Inputs &amp; Assumptions'!$B$8,'I_Budget Input Data'!$D$81,0),'I_Budget Input Data'!$D$81/'I_Inputs &amp; Assumptions'!$B$8)))))),0)</f>
        <v>0</v>
      </c>
      <c r="X81" s="91">
        <f>IF(22&lt;='I_Inputs &amp; Assumptions'!$B$8,IF('I_Budget Input Data'!$E$81="Upfront",IF(22=1,'I_Budget Input Data'!$D$81,0),IF('I_Budget Input Data'!$E$81="Equal",'I_Budget Input Data'!$D$81/'I_Inputs &amp; Assumptions'!$B$8,IF('I_Budget Input Data'!$E$81="Front-loaded",IF(22&lt;='I_Inputs &amp; Assumptions'!$B$8/2,'I_Budget Input Data'!$D$81*0.6/('I_Inputs &amp; Assumptions'!$B$8/2),'I_Budget Input Data'!$D$81*0.4/('I_Inputs &amp; Assumptions'!$B$8/2)),IF('I_Budget Input Data'!$E$81="Back-loaded",IF(22&lt;='I_Inputs &amp; Assumptions'!$B$8/2,'I_Budget Input Data'!$D$81*0.4/('I_Inputs &amp; Assumptions'!$B$8/2),'I_Budget Input Data'!$D$81*0.6/('I_Inputs &amp; Assumptions'!$B$8/2)),IF('I_Budget Input Data'!$E$81="Mid-weighted",IF(22&lt;='I_Inputs &amp; Assumptions'!$B$8/4,'I_Budget Input Data'!$D$81*0.2/('I_Inputs &amp; Assumptions'!$B$8/4),IF(22&lt;='I_Inputs &amp; Assumptions'!$B$8*0.75,'I_Budget Input Data'!$D$81*0.6/('I_Inputs &amp; Assumptions'!$B$8/2),'I_Budget Input Data'!$D$81*0.2/('I_Inputs &amp; Assumptions'!$B$8/4))),IF('I_Budget Input Data'!$E$81="At Completion",IF(22='I_Inputs &amp; Assumptions'!$B$8,'I_Budget Input Data'!$D$81,0),'I_Budget Input Data'!$D$81/'I_Inputs &amp; Assumptions'!$B$8)))))),0)</f>
        <v>0</v>
      </c>
      <c r="Y81" s="91">
        <f>IF(23&lt;='I_Inputs &amp; Assumptions'!$B$8,IF('I_Budget Input Data'!$E$81="Upfront",IF(23=1,'I_Budget Input Data'!$D$81,0),IF('I_Budget Input Data'!$E$81="Equal",'I_Budget Input Data'!$D$81/'I_Inputs &amp; Assumptions'!$B$8,IF('I_Budget Input Data'!$E$81="Front-loaded",IF(23&lt;='I_Inputs &amp; Assumptions'!$B$8/2,'I_Budget Input Data'!$D$81*0.6/('I_Inputs &amp; Assumptions'!$B$8/2),'I_Budget Input Data'!$D$81*0.4/('I_Inputs &amp; Assumptions'!$B$8/2)),IF('I_Budget Input Data'!$E$81="Back-loaded",IF(23&lt;='I_Inputs &amp; Assumptions'!$B$8/2,'I_Budget Input Data'!$D$81*0.4/('I_Inputs &amp; Assumptions'!$B$8/2),'I_Budget Input Data'!$D$81*0.6/('I_Inputs &amp; Assumptions'!$B$8/2)),IF('I_Budget Input Data'!$E$81="Mid-weighted",IF(23&lt;='I_Inputs &amp; Assumptions'!$B$8/4,'I_Budget Input Data'!$D$81*0.2/('I_Inputs &amp; Assumptions'!$B$8/4),IF(23&lt;='I_Inputs &amp; Assumptions'!$B$8*0.75,'I_Budget Input Data'!$D$81*0.6/('I_Inputs &amp; Assumptions'!$B$8/2),'I_Budget Input Data'!$D$81*0.2/('I_Inputs &amp; Assumptions'!$B$8/4))),IF('I_Budget Input Data'!$E$81="At Completion",IF(23='I_Inputs &amp; Assumptions'!$B$8,'I_Budget Input Data'!$D$81,0),'I_Budget Input Data'!$D$81/'I_Inputs &amp; Assumptions'!$B$8)))))),0)</f>
        <v>0</v>
      </c>
      <c r="Z81" s="91">
        <f>IF(24&lt;='I_Inputs &amp; Assumptions'!$B$8,IF('I_Budget Input Data'!$E$81="Upfront",IF(24=1,'I_Budget Input Data'!$D$81,0),IF('I_Budget Input Data'!$E$81="Equal",'I_Budget Input Data'!$D$81/'I_Inputs &amp; Assumptions'!$B$8,IF('I_Budget Input Data'!$E$81="Front-loaded",IF(24&lt;='I_Inputs &amp; Assumptions'!$B$8/2,'I_Budget Input Data'!$D$81*0.6/('I_Inputs &amp; Assumptions'!$B$8/2),'I_Budget Input Data'!$D$81*0.4/('I_Inputs &amp; Assumptions'!$B$8/2)),IF('I_Budget Input Data'!$E$81="Back-loaded",IF(24&lt;='I_Inputs &amp; Assumptions'!$B$8/2,'I_Budget Input Data'!$D$81*0.4/('I_Inputs &amp; Assumptions'!$B$8/2),'I_Budget Input Data'!$D$81*0.6/('I_Inputs &amp; Assumptions'!$B$8/2)),IF('I_Budget Input Data'!$E$81="Mid-weighted",IF(24&lt;='I_Inputs &amp; Assumptions'!$B$8/4,'I_Budget Input Data'!$D$81*0.2/('I_Inputs &amp; Assumptions'!$B$8/4),IF(24&lt;='I_Inputs &amp; Assumptions'!$B$8*0.75,'I_Budget Input Data'!$D$81*0.6/('I_Inputs &amp; Assumptions'!$B$8/2),'I_Budget Input Data'!$D$81*0.2/('I_Inputs &amp; Assumptions'!$B$8/4))),IF('I_Budget Input Data'!$E$81="At Completion",IF(24='I_Inputs &amp; Assumptions'!$B$8,'I_Budget Input Data'!$D$81,0),'I_Budget Input Data'!$D$81/'I_Inputs &amp; Assumptions'!$B$8)))))),0)</f>
        <v>0</v>
      </c>
      <c r="AA81" s="91">
        <f>IF(25&lt;='I_Inputs &amp; Assumptions'!$B$8,IF('I_Budget Input Data'!$E$81="Upfront",IF(25=1,'I_Budget Input Data'!$D$81,0),IF('I_Budget Input Data'!$E$81="Equal",'I_Budget Input Data'!$D$81/'I_Inputs &amp; Assumptions'!$B$8,IF('I_Budget Input Data'!$E$81="Front-loaded",IF(25&lt;='I_Inputs &amp; Assumptions'!$B$8/2,'I_Budget Input Data'!$D$81*0.6/('I_Inputs &amp; Assumptions'!$B$8/2),'I_Budget Input Data'!$D$81*0.4/('I_Inputs &amp; Assumptions'!$B$8/2)),IF('I_Budget Input Data'!$E$81="Back-loaded",IF(25&lt;='I_Inputs &amp; Assumptions'!$B$8/2,'I_Budget Input Data'!$D$81*0.4/('I_Inputs &amp; Assumptions'!$B$8/2),'I_Budget Input Data'!$D$81*0.6/('I_Inputs &amp; Assumptions'!$B$8/2)),IF('I_Budget Input Data'!$E$81="Mid-weighted",IF(25&lt;='I_Inputs &amp; Assumptions'!$B$8/4,'I_Budget Input Data'!$D$81*0.2/('I_Inputs &amp; Assumptions'!$B$8/4),IF(25&lt;='I_Inputs &amp; Assumptions'!$B$8*0.75,'I_Budget Input Data'!$D$81*0.6/('I_Inputs &amp; Assumptions'!$B$8/2),'I_Budget Input Data'!$D$81*0.2/('I_Inputs &amp; Assumptions'!$B$8/4))),IF('I_Budget Input Data'!$E$81="At Completion",IF(25='I_Inputs &amp; Assumptions'!$B$8,'I_Budget Input Data'!$D$81,0),'I_Budget Input Data'!$D$81/'I_Inputs &amp; Assumptions'!$B$8)))))),0)</f>
        <v>0</v>
      </c>
      <c r="AB81" s="91">
        <f>IF(26&lt;='I_Inputs &amp; Assumptions'!$B$8,IF('I_Budget Input Data'!$E$81="Upfront",IF(26=1,'I_Budget Input Data'!$D$81,0),IF('I_Budget Input Data'!$E$81="Equal",'I_Budget Input Data'!$D$81/'I_Inputs &amp; Assumptions'!$B$8,IF('I_Budget Input Data'!$E$81="Front-loaded",IF(26&lt;='I_Inputs &amp; Assumptions'!$B$8/2,'I_Budget Input Data'!$D$81*0.6/('I_Inputs &amp; Assumptions'!$B$8/2),'I_Budget Input Data'!$D$81*0.4/('I_Inputs &amp; Assumptions'!$B$8/2)),IF('I_Budget Input Data'!$E$81="Back-loaded",IF(26&lt;='I_Inputs &amp; Assumptions'!$B$8/2,'I_Budget Input Data'!$D$81*0.4/('I_Inputs &amp; Assumptions'!$B$8/2),'I_Budget Input Data'!$D$81*0.6/('I_Inputs &amp; Assumptions'!$B$8/2)),IF('I_Budget Input Data'!$E$81="Mid-weighted",IF(26&lt;='I_Inputs &amp; Assumptions'!$B$8/4,'I_Budget Input Data'!$D$81*0.2/('I_Inputs &amp; Assumptions'!$B$8/4),IF(26&lt;='I_Inputs &amp; Assumptions'!$B$8*0.75,'I_Budget Input Data'!$D$81*0.6/('I_Inputs &amp; Assumptions'!$B$8/2),'I_Budget Input Data'!$D$81*0.2/('I_Inputs &amp; Assumptions'!$B$8/4))),IF('I_Budget Input Data'!$E$81="At Completion",IF(26='I_Inputs &amp; Assumptions'!$B$8,'I_Budget Input Data'!$D$81,0),'I_Budget Input Data'!$D$81/'I_Inputs &amp; Assumptions'!$B$8)))))),0)</f>
        <v>0</v>
      </c>
      <c r="AC81" s="91">
        <f>IF(27&lt;='I_Inputs &amp; Assumptions'!$B$8,IF('I_Budget Input Data'!$E$81="Upfront",IF(27=1,'I_Budget Input Data'!$D$81,0),IF('I_Budget Input Data'!$E$81="Equal",'I_Budget Input Data'!$D$81/'I_Inputs &amp; Assumptions'!$B$8,IF('I_Budget Input Data'!$E$81="Front-loaded",IF(27&lt;='I_Inputs &amp; Assumptions'!$B$8/2,'I_Budget Input Data'!$D$81*0.6/('I_Inputs &amp; Assumptions'!$B$8/2),'I_Budget Input Data'!$D$81*0.4/('I_Inputs &amp; Assumptions'!$B$8/2)),IF('I_Budget Input Data'!$E$81="Back-loaded",IF(27&lt;='I_Inputs &amp; Assumptions'!$B$8/2,'I_Budget Input Data'!$D$81*0.4/('I_Inputs &amp; Assumptions'!$B$8/2),'I_Budget Input Data'!$D$81*0.6/('I_Inputs &amp; Assumptions'!$B$8/2)),IF('I_Budget Input Data'!$E$81="Mid-weighted",IF(27&lt;='I_Inputs &amp; Assumptions'!$B$8/4,'I_Budget Input Data'!$D$81*0.2/('I_Inputs &amp; Assumptions'!$B$8/4),IF(27&lt;='I_Inputs &amp; Assumptions'!$B$8*0.75,'I_Budget Input Data'!$D$81*0.6/('I_Inputs &amp; Assumptions'!$B$8/2),'I_Budget Input Data'!$D$81*0.2/('I_Inputs &amp; Assumptions'!$B$8/4))),IF('I_Budget Input Data'!$E$81="At Completion",IF(27='I_Inputs &amp; Assumptions'!$B$8,'I_Budget Input Data'!$D$81,0),'I_Budget Input Data'!$D$81/'I_Inputs &amp; Assumptions'!$B$8)))))),0)</f>
        <v>0</v>
      </c>
      <c r="AD81" s="91">
        <f>IF(28&lt;='I_Inputs &amp; Assumptions'!$B$8,IF('I_Budget Input Data'!$E$81="Upfront",IF(28=1,'I_Budget Input Data'!$D$81,0),IF('I_Budget Input Data'!$E$81="Equal",'I_Budget Input Data'!$D$81/'I_Inputs &amp; Assumptions'!$B$8,IF('I_Budget Input Data'!$E$81="Front-loaded",IF(28&lt;='I_Inputs &amp; Assumptions'!$B$8/2,'I_Budget Input Data'!$D$81*0.6/('I_Inputs &amp; Assumptions'!$B$8/2),'I_Budget Input Data'!$D$81*0.4/('I_Inputs &amp; Assumptions'!$B$8/2)),IF('I_Budget Input Data'!$E$81="Back-loaded",IF(28&lt;='I_Inputs &amp; Assumptions'!$B$8/2,'I_Budget Input Data'!$D$81*0.4/('I_Inputs &amp; Assumptions'!$B$8/2),'I_Budget Input Data'!$D$81*0.6/('I_Inputs &amp; Assumptions'!$B$8/2)),IF('I_Budget Input Data'!$E$81="Mid-weighted",IF(28&lt;='I_Inputs &amp; Assumptions'!$B$8/4,'I_Budget Input Data'!$D$81*0.2/('I_Inputs &amp; Assumptions'!$B$8/4),IF(28&lt;='I_Inputs &amp; Assumptions'!$B$8*0.75,'I_Budget Input Data'!$D$81*0.6/('I_Inputs &amp; Assumptions'!$B$8/2),'I_Budget Input Data'!$D$81*0.2/('I_Inputs &amp; Assumptions'!$B$8/4))),IF('I_Budget Input Data'!$E$81="At Completion",IF(28='I_Inputs &amp; Assumptions'!$B$8,'I_Budget Input Data'!$D$81,0),'I_Budget Input Data'!$D$81/'I_Inputs &amp; Assumptions'!$B$8)))))),0)</f>
        <v>0</v>
      </c>
      <c r="AE81" s="91">
        <f>IF(29&lt;='I_Inputs &amp; Assumptions'!$B$8,IF('I_Budget Input Data'!$E$81="Upfront",IF(29=1,'I_Budget Input Data'!$D$81,0),IF('I_Budget Input Data'!$E$81="Equal",'I_Budget Input Data'!$D$81/'I_Inputs &amp; Assumptions'!$B$8,IF('I_Budget Input Data'!$E$81="Front-loaded",IF(29&lt;='I_Inputs &amp; Assumptions'!$B$8/2,'I_Budget Input Data'!$D$81*0.6/('I_Inputs &amp; Assumptions'!$B$8/2),'I_Budget Input Data'!$D$81*0.4/('I_Inputs &amp; Assumptions'!$B$8/2)),IF('I_Budget Input Data'!$E$81="Back-loaded",IF(29&lt;='I_Inputs &amp; Assumptions'!$B$8/2,'I_Budget Input Data'!$D$81*0.4/('I_Inputs &amp; Assumptions'!$B$8/2),'I_Budget Input Data'!$D$81*0.6/('I_Inputs &amp; Assumptions'!$B$8/2)),IF('I_Budget Input Data'!$E$81="Mid-weighted",IF(29&lt;='I_Inputs &amp; Assumptions'!$B$8/4,'I_Budget Input Data'!$D$81*0.2/('I_Inputs &amp; Assumptions'!$B$8/4),IF(29&lt;='I_Inputs &amp; Assumptions'!$B$8*0.75,'I_Budget Input Data'!$D$81*0.6/('I_Inputs &amp; Assumptions'!$B$8/2),'I_Budget Input Data'!$D$81*0.2/('I_Inputs &amp; Assumptions'!$B$8/4))),IF('I_Budget Input Data'!$E$81="At Completion",IF(29='I_Inputs &amp; Assumptions'!$B$8,'I_Budget Input Data'!$D$81,0),'I_Budget Input Data'!$D$81/'I_Inputs &amp; Assumptions'!$B$8)))))),0)</f>
        <v>0</v>
      </c>
      <c r="AF81" s="91">
        <f>IF(30&lt;='I_Inputs &amp; Assumptions'!$B$8,IF('I_Budget Input Data'!$E$81="Upfront",IF(30=1,'I_Budget Input Data'!$D$81,0),IF('I_Budget Input Data'!$E$81="Equal",'I_Budget Input Data'!$D$81/'I_Inputs &amp; Assumptions'!$B$8,IF('I_Budget Input Data'!$E$81="Front-loaded",IF(30&lt;='I_Inputs &amp; Assumptions'!$B$8/2,'I_Budget Input Data'!$D$81*0.6/('I_Inputs &amp; Assumptions'!$B$8/2),'I_Budget Input Data'!$D$81*0.4/('I_Inputs &amp; Assumptions'!$B$8/2)),IF('I_Budget Input Data'!$E$81="Back-loaded",IF(30&lt;='I_Inputs &amp; Assumptions'!$B$8/2,'I_Budget Input Data'!$D$81*0.4/('I_Inputs &amp; Assumptions'!$B$8/2),'I_Budget Input Data'!$D$81*0.6/('I_Inputs &amp; Assumptions'!$B$8/2)),IF('I_Budget Input Data'!$E$81="Mid-weighted",IF(30&lt;='I_Inputs &amp; Assumptions'!$B$8/4,'I_Budget Input Data'!$D$81*0.2/('I_Inputs &amp; Assumptions'!$B$8/4),IF(30&lt;='I_Inputs &amp; Assumptions'!$B$8*0.75,'I_Budget Input Data'!$D$81*0.6/('I_Inputs &amp; Assumptions'!$B$8/2),'I_Budget Input Data'!$D$81*0.2/('I_Inputs &amp; Assumptions'!$B$8/4))),IF('I_Budget Input Data'!$E$81="At Completion",IF(30='I_Inputs &amp; Assumptions'!$B$8,'I_Budget Input Data'!$D$81,0),'I_Budget Input Data'!$D$81/'I_Inputs &amp; Assumptions'!$B$8)))))),0)</f>
        <v>0</v>
      </c>
      <c r="AG81" s="91">
        <f>IF(31&lt;='I_Inputs &amp; Assumptions'!$B$8,IF('I_Budget Input Data'!$E$81="Upfront",IF(31=1,'I_Budget Input Data'!$D$81,0),IF('I_Budget Input Data'!$E$81="Equal",'I_Budget Input Data'!$D$81/'I_Inputs &amp; Assumptions'!$B$8,IF('I_Budget Input Data'!$E$81="Front-loaded",IF(31&lt;='I_Inputs &amp; Assumptions'!$B$8/2,'I_Budget Input Data'!$D$81*0.6/('I_Inputs &amp; Assumptions'!$B$8/2),'I_Budget Input Data'!$D$81*0.4/('I_Inputs &amp; Assumptions'!$B$8/2)),IF('I_Budget Input Data'!$E$81="Back-loaded",IF(31&lt;='I_Inputs &amp; Assumptions'!$B$8/2,'I_Budget Input Data'!$D$81*0.4/('I_Inputs &amp; Assumptions'!$B$8/2),'I_Budget Input Data'!$D$81*0.6/('I_Inputs &amp; Assumptions'!$B$8/2)),IF('I_Budget Input Data'!$E$81="Mid-weighted",IF(31&lt;='I_Inputs &amp; Assumptions'!$B$8/4,'I_Budget Input Data'!$D$81*0.2/('I_Inputs &amp; Assumptions'!$B$8/4),IF(31&lt;='I_Inputs &amp; Assumptions'!$B$8*0.75,'I_Budget Input Data'!$D$81*0.6/('I_Inputs &amp; Assumptions'!$B$8/2),'I_Budget Input Data'!$D$81*0.2/('I_Inputs &amp; Assumptions'!$B$8/4))),IF('I_Budget Input Data'!$E$81="At Completion",IF(31='I_Inputs &amp; Assumptions'!$B$8,'I_Budget Input Data'!$D$81,0),'I_Budget Input Data'!$D$81/'I_Inputs &amp; Assumptions'!$B$8)))))),0)</f>
        <v>0</v>
      </c>
      <c r="AH81" s="91">
        <f>IF(32&lt;='I_Inputs &amp; Assumptions'!$B$8,IF('I_Budget Input Data'!$E$81="Upfront",IF(32=1,'I_Budget Input Data'!$D$81,0),IF('I_Budget Input Data'!$E$81="Equal",'I_Budget Input Data'!$D$81/'I_Inputs &amp; Assumptions'!$B$8,IF('I_Budget Input Data'!$E$81="Front-loaded",IF(32&lt;='I_Inputs &amp; Assumptions'!$B$8/2,'I_Budget Input Data'!$D$81*0.6/('I_Inputs &amp; Assumptions'!$B$8/2),'I_Budget Input Data'!$D$81*0.4/('I_Inputs &amp; Assumptions'!$B$8/2)),IF('I_Budget Input Data'!$E$81="Back-loaded",IF(32&lt;='I_Inputs &amp; Assumptions'!$B$8/2,'I_Budget Input Data'!$D$81*0.4/('I_Inputs &amp; Assumptions'!$B$8/2),'I_Budget Input Data'!$D$81*0.6/('I_Inputs &amp; Assumptions'!$B$8/2)),IF('I_Budget Input Data'!$E$81="Mid-weighted",IF(32&lt;='I_Inputs &amp; Assumptions'!$B$8/4,'I_Budget Input Data'!$D$81*0.2/('I_Inputs &amp; Assumptions'!$B$8/4),IF(32&lt;='I_Inputs &amp; Assumptions'!$B$8*0.75,'I_Budget Input Data'!$D$81*0.6/('I_Inputs &amp; Assumptions'!$B$8/2),'I_Budget Input Data'!$D$81*0.2/('I_Inputs &amp; Assumptions'!$B$8/4))),IF('I_Budget Input Data'!$E$81="At Completion",IF(32='I_Inputs &amp; Assumptions'!$B$8,'I_Budget Input Data'!$D$81,0),'I_Budget Input Data'!$D$81/'I_Inputs &amp; Assumptions'!$B$8)))))),0)</f>
        <v>0</v>
      </c>
      <c r="AI81" s="91">
        <f>IF(33&lt;='I_Inputs &amp; Assumptions'!$B$8,IF('I_Budget Input Data'!$E$81="Upfront",IF(33=1,'I_Budget Input Data'!$D$81,0),IF('I_Budget Input Data'!$E$81="Equal",'I_Budget Input Data'!$D$81/'I_Inputs &amp; Assumptions'!$B$8,IF('I_Budget Input Data'!$E$81="Front-loaded",IF(33&lt;='I_Inputs &amp; Assumptions'!$B$8/2,'I_Budget Input Data'!$D$81*0.6/('I_Inputs &amp; Assumptions'!$B$8/2),'I_Budget Input Data'!$D$81*0.4/('I_Inputs &amp; Assumptions'!$B$8/2)),IF('I_Budget Input Data'!$E$81="Back-loaded",IF(33&lt;='I_Inputs &amp; Assumptions'!$B$8/2,'I_Budget Input Data'!$D$81*0.4/('I_Inputs &amp; Assumptions'!$B$8/2),'I_Budget Input Data'!$D$81*0.6/('I_Inputs &amp; Assumptions'!$B$8/2)),IF('I_Budget Input Data'!$E$81="Mid-weighted",IF(33&lt;='I_Inputs &amp; Assumptions'!$B$8/4,'I_Budget Input Data'!$D$81*0.2/('I_Inputs &amp; Assumptions'!$B$8/4),IF(33&lt;='I_Inputs &amp; Assumptions'!$B$8*0.75,'I_Budget Input Data'!$D$81*0.6/('I_Inputs &amp; Assumptions'!$B$8/2),'I_Budget Input Data'!$D$81*0.2/('I_Inputs &amp; Assumptions'!$B$8/4))),IF('I_Budget Input Data'!$E$81="At Completion",IF(33='I_Inputs &amp; Assumptions'!$B$8,'I_Budget Input Data'!$D$81,0),'I_Budget Input Data'!$D$81/'I_Inputs &amp; Assumptions'!$B$8)))))),0)</f>
        <v>0</v>
      </c>
      <c r="AJ81" s="91">
        <f>IF(34&lt;='I_Inputs &amp; Assumptions'!$B$8,IF('I_Budget Input Data'!$E$81="Upfront",IF(34=1,'I_Budget Input Data'!$D$81,0),IF('I_Budget Input Data'!$E$81="Equal",'I_Budget Input Data'!$D$81/'I_Inputs &amp; Assumptions'!$B$8,IF('I_Budget Input Data'!$E$81="Front-loaded",IF(34&lt;='I_Inputs &amp; Assumptions'!$B$8/2,'I_Budget Input Data'!$D$81*0.6/('I_Inputs &amp; Assumptions'!$B$8/2),'I_Budget Input Data'!$D$81*0.4/('I_Inputs &amp; Assumptions'!$B$8/2)),IF('I_Budget Input Data'!$E$81="Back-loaded",IF(34&lt;='I_Inputs &amp; Assumptions'!$B$8/2,'I_Budget Input Data'!$D$81*0.4/('I_Inputs &amp; Assumptions'!$B$8/2),'I_Budget Input Data'!$D$81*0.6/('I_Inputs &amp; Assumptions'!$B$8/2)),IF('I_Budget Input Data'!$E$81="Mid-weighted",IF(34&lt;='I_Inputs &amp; Assumptions'!$B$8/4,'I_Budget Input Data'!$D$81*0.2/('I_Inputs &amp; Assumptions'!$B$8/4),IF(34&lt;='I_Inputs &amp; Assumptions'!$B$8*0.75,'I_Budget Input Data'!$D$81*0.6/('I_Inputs &amp; Assumptions'!$B$8/2),'I_Budget Input Data'!$D$81*0.2/('I_Inputs &amp; Assumptions'!$B$8/4))),IF('I_Budget Input Data'!$E$81="At Completion",IF(34='I_Inputs &amp; Assumptions'!$B$8,'I_Budget Input Data'!$D$81,0),'I_Budget Input Data'!$D$81/'I_Inputs &amp; Assumptions'!$B$8)))))),0)</f>
        <v>0</v>
      </c>
      <c r="AK81" s="91">
        <f>IF(35&lt;='I_Inputs &amp; Assumptions'!$B$8,IF('I_Budget Input Data'!$E$81="Upfront",IF(35=1,'I_Budget Input Data'!$D$81,0),IF('I_Budget Input Data'!$E$81="Equal",'I_Budget Input Data'!$D$81/'I_Inputs &amp; Assumptions'!$B$8,IF('I_Budget Input Data'!$E$81="Front-loaded",IF(35&lt;='I_Inputs &amp; Assumptions'!$B$8/2,'I_Budget Input Data'!$D$81*0.6/('I_Inputs &amp; Assumptions'!$B$8/2),'I_Budget Input Data'!$D$81*0.4/('I_Inputs &amp; Assumptions'!$B$8/2)),IF('I_Budget Input Data'!$E$81="Back-loaded",IF(35&lt;='I_Inputs &amp; Assumptions'!$B$8/2,'I_Budget Input Data'!$D$81*0.4/('I_Inputs &amp; Assumptions'!$B$8/2),'I_Budget Input Data'!$D$81*0.6/('I_Inputs &amp; Assumptions'!$B$8/2)),IF('I_Budget Input Data'!$E$81="Mid-weighted",IF(35&lt;='I_Inputs &amp; Assumptions'!$B$8/4,'I_Budget Input Data'!$D$81*0.2/('I_Inputs &amp; Assumptions'!$B$8/4),IF(35&lt;='I_Inputs &amp; Assumptions'!$B$8*0.75,'I_Budget Input Data'!$D$81*0.6/('I_Inputs &amp; Assumptions'!$B$8/2),'I_Budget Input Data'!$D$81*0.2/('I_Inputs &amp; Assumptions'!$B$8/4))),IF('I_Budget Input Data'!$E$81="At Completion",IF(35='I_Inputs &amp; Assumptions'!$B$8,'I_Budget Input Data'!$D$81,0),'I_Budget Input Data'!$D$81/'I_Inputs &amp; Assumptions'!$B$8)))))),0)</f>
        <v>0</v>
      </c>
      <c r="AL81" s="91">
        <f>IF(36&lt;='I_Inputs &amp; Assumptions'!$B$8,IF('I_Budget Input Data'!$E$81="Upfront",IF(36=1,'I_Budget Input Data'!$D$81,0),IF('I_Budget Input Data'!$E$81="Equal",'I_Budget Input Data'!$D$81/'I_Inputs &amp; Assumptions'!$B$8,IF('I_Budget Input Data'!$E$81="Front-loaded",IF(36&lt;='I_Inputs &amp; Assumptions'!$B$8/2,'I_Budget Input Data'!$D$81*0.6/('I_Inputs &amp; Assumptions'!$B$8/2),'I_Budget Input Data'!$D$81*0.4/('I_Inputs &amp; Assumptions'!$B$8/2)),IF('I_Budget Input Data'!$E$81="Back-loaded",IF(36&lt;='I_Inputs &amp; Assumptions'!$B$8/2,'I_Budget Input Data'!$D$81*0.4/('I_Inputs &amp; Assumptions'!$B$8/2),'I_Budget Input Data'!$D$81*0.6/('I_Inputs &amp; Assumptions'!$B$8/2)),IF('I_Budget Input Data'!$E$81="Mid-weighted",IF(36&lt;='I_Inputs &amp; Assumptions'!$B$8/4,'I_Budget Input Data'!$D$81*0.2/('I_Inputs &amp; Assumptions'!$B$8/4),IF(36&lt;='I_Inputs &amp; Assumptions'!$B$8*0.75,'I_Budget Input Data'!$D$81*0.6/('I_Inputs &amp; Assumptions'!$B$8/2),'I_Budget Input Data'!$D$81*0.2/('I_Inputs &amp; Assumptions'!$B$8/4))),IF('I_Budget Input Data'!$E$81="At Completion",IF(36='I_Inputs &amp; Assumptions'!$B$8,'I_Budget Input Data'!$D$81,0),'I_Budget Input Data'!$D$81/'I_Inputs &amp; Assumptions'!$B$8)))))),0)</f>
        <v>0</v>
      </c>
    </row>
    <row r="82" spans="1:38" ht="15" customHeight="1" x14ac:dyDescent="0.2">
      <c r="A82" t="s">
        <v>146</v>
      </c>
      <c r="B82" t="s">
        <v>201</v>
      </c>
      <c r="C82" s="91">
        <f>IF(1&lt;='I_Inputs &amp; Assumptions'!$B$8,IF('I_Budget Input Data'!$E$82="Upfront",IF(1=1,'I_Budget Input Data'!$D$82,0),IF('I_Budget Input Data'!$E$82="Equal",'I_Budget Input Data'!$D$82/'I_Inputs &amp; Assumptions'!$B$8,IF('I_Budget Input Data'!$E$82="Front-loaded",IF(1&lt;='I_Inputs &amp; Assumptions'!$B$8/2,'I_Budget Input Data'!$D$82*0.6/('I_Inputs &amp; Assumptions'!$B$8/2),'I_Budget Input Data'!$D$82*0.4/('I_Inputs &amp; Assumptions'!$B$8/2)),IF('I_Budget Input Data'!$E$82="Back-loaded",IF(1&lt;='I_Inputs &amp; Assumptions'!$B$8/2,'I_Budget Input Data'!$D$82*0.4/('I_Inputs &amp; Assumptions'!$B$8/2),'I_Budget Input Data'!$D$82*0.6/('I_Inputs &amp; Assumptions'!$B$8/2)),IF('I_Budget Input Data'!$E$82="Mid-weighted",IF(1&lt;='I_Inputs &amp; Assumptions'!$B$8/4,'I_Budget Input Data'!$D$82*0.2/('I_Inputs &amp; Assumptions'!$B$8/4),IF(1&lt;='I_Inputs &amp; Assumptions'!$B$8*0.75,'I_Budget Input Data'!$D$82*0.6/('I_Inputs &amp; Assumptions'!$B$8/2),'I_Budget Input Data'!$D$82*0.2/('I_Inputs &amp; Assumptions'!$B$8/4))),IF('I_Budget Input Data'!$E$82="At Completion",IF(1='I_Inputs &amp; Assumptions'!$B$8,'I_Budget Input Data'!$D$82,0),'I_Budget Input Data'!$D$82/'I_Inputs &amp; Assumptions'!$B$8)))))),0)</f>
        <v>50786.769230769234</v>
      </c>
      <c r="D82" s="91">
        <f>IF(2&lt;='I_Inputs &amp; Assumptions'!$B$8,IF('I_Budget Input Data'!$E$82="Upfront",IF(2=1,'I_Budget Input Data'!$D$82,0),IF('I_Budget Input Data'!$E$82="Equal",'I_Budget Input Data'!$D$82/'I_Inputs &amp; Assumptions'!$B$8,IF('I_Budget Input Data'!$E$82="Front-loaded",IF(2&lt;='I_Inputs &amp; Assumptions'!$B$8/2,'I_Budget Input Data'!$D$82*0.6/('I_Inputs &amp; Assumptions'!$B$8/2),'I_Budget Input Data'!$D$82*0.4/('I_Inputs &amp; Assumptions'!$B$8/2)),IF('I_Budget Input Data'!$E$82="Back-loaded",IF(2&lt;='I_Inputs &amp; Assumptions'!$B$8/2,'I_Budget Input Data'!$D$82*0.4/('I_Inputs &amp; Assumptions'!$B$8/2),'I_Budget Input Data'!$D$82*0.6/('I_Inputs &amp; Assumptions'!$B$8/2)),IF('I_Budget Input Data'!$E$82="Mid-weighted",IF(2&lt;='I_Inputs &amp; Assumptions'!$B$8/4,'I_Budget Input Data'!$D$82*0.2/('I_Inputs &amp; Assumptions'!$B$8/4),IF(2&lt;='I_Inputs &amp; Assumptions'!$B$8*0.75,'I_Budget Input Data'!$D$82*0.6/('I_Inputs &amp; Assumptions'!$B$8/2),'I_Budget Input Data'!$D$82*0.2/('I_Inputs &amp; Assumptions'!$B$8/4))),IF('I_Budget Input Data'!$E$82="At Completion",IF(2='I_Inputs &amp; Assumptions'!$B$8,'I_Budget Input Data'!$D$82,0),'I_Budget Input Data'!$D$82/'I_Inputs &amp; Assumptions'!$B$8)))))),0)</f>
        <v>50786.769230769234</v>
      </c>
      <c r="E82" s="91">
        <f>IF(3&lt;='I_Inputs &amp; Assumptions'!$B$8,IF('I_Budget Input Data'!$E$82="Upfront",IF(3=1,'I_Budget Input Data'!$D$82,0),IF('I_Budget Input Data'!$E$82="Equal",'I_Budget Input Data'!$D$82/'I_Inputs &amp; Assumptions'!$B$8,IF('I_Budget Input Data'!$E$82="Front-loaded",IF(3&lt;='I_Inputs &amp; Assumptions'!$B$8/2,'I_Budget Input Data'!$D$82*0.6/('I_Inputs &amp; Assumptions'!$B$8/2),'I_Budget Input Data'!$D$82*0.4/('I_Inputs &amp; Assumptions'!$B$8/2)),IF('I_Budget Input Data'!$E$82="Back-loaded",IF(3&lt;='I_Inputs &amp; Assumptions'!$B$8/2,'I_Budget Input Data'!$D$82*0.4/('I_Inputs &amp; Assumptions'!$B$8/2),'I_Budget Input Data'!$D$82*0.6/('I_Inputs &amp; Assumptions'!$B$8/2)),IF('I_Budget Input Data'!$E$82="Mid-weighted",IF(3&lt;='I_Inputs &amp; Assumptions'!$B$8/4,'I_Budget Input Data'!$D$82*0.2/('I_Inputs &amp; Assumptions'!$B$8/4),IF(3&lt;='I_Inputs &amp; Assumptions'!$B$8*0.75,'I_Budget Input Data'!$D$82*0.6/('I_Inputs &amp; Assumptions'!$B$8/2),'I_Budget Input Data'!$D$82*0.2/('I_Inputs &amp; Assumptions'!$B$8/4))),IF('I_Budget Input Data'!$E$82="At Completion",IF(3='I_Inputs &amp; Assumptions'!$B$8,'I_Budget Input Data'!$D$82,0),'I_Budget Input Data'!$D$82/'I_Inputs &amp; Assumptions'!$B$8)))))),0)</f>
        <v>50786.769230769234</v>
      </c>
      <c r="F82" s="91">
        <f>IF(4&lt;='I_Inputs &amp; Assumptions'!$B$8,IF('I_Budget Input Data'!$E$82="Upfront",IF(4=1,'I_Budget Input Data'!$D$82,0),IF('I_Budget Input Data'!$E$82="Equal",'I_Budget Input Data'!$D$82/'I_Inputs &amp; Assumptions'!$B$8,IF('I_Budget Input Data'!$E$82="Front-loaded",IF(4&lt;='I_Inputs &amp; Assumptions'!$B$8/2,'I_Budget Input Data'!$D$82*0.6/('I_Inputs &amp; Assumptions'!$B$8/2),'I_Budget Input Data'!$D$82*0.4/('I_Inputs &amp; Assumptions'!$B$8/2)),IF('I_Budget Input Data'!$E$82="Back-loaded",IF(4&lt;='I_Inputs &amp; Assumptions'!$B$8/2,'I_Budget Input Data'!$D$82*0.4/('I_Inputs &amp; Assumptions'!$B$8/2),'I_Budget Input Data'!$D$82*0.6/('I_Inputs &amp; Assumptions'!$B$8/2)),IF('I_Budget Input Data'!$E$82="Mid-weighted",IF(4&lt;='I_Inputs &amp; Assumptions'!$B$8/4,'I_Budget Input Data'!$D$82*0.2/('I_Inputs &amp; Assumptions'!$B$8/4),IF(4&lt;='I_Inputs &amp; Assumptions'!$B$8*0.75,'I_Budget Input Data'!$D$82*0.6/('I_Inputs &amp; Assumptions'!$B$8/2),'I_Budget Input Data'!$D$82*0.2/('I_Inputs &amp; Assumptions'!$B$8/4))),IF('I_Budget Input Data'!$E$82="At Completion",IF(4='I_Inputs &amp; Assumptions'!$B$8,'I_Budget Input Data'!$D$82,0),'I_Budget Input Data'!$D$82/'I_Inputs &amp; Assumptions'!$B$8)))))),0)</f>
        <v>50786.769230769234</v>
      </c>
      <c r="G82" s="91">
        <f>IF(5&lt;='I_Inputs &amp; Assumptions'!$B$8,IF('I_Budget Input Data'!$E$82="Upfront",IF(5=1,'I_Budget Input Data'!$D$82,0),IF('I_Budget Input Data'!$E$82="Equal",'I_Budget Input Data'!$D$82/'I_Inputs &amp; Assumptions'!$B$8,IF('I_Budget Input Data'!$E$82="Front-loaded",IF(5&lt;='I_Inputs &amp; Assumptions'!$B$8/2,'I_Budget Input Data'!$D$82*0.6/('I_Inputs &amp; Assumptions'!$B$8/2),'I_Budget Input Data'!$D$82*0.4/('I_Inputs &amp; Assumptions'!$B$8/2)),IF('I_Budget Input Data'!$E$82="Back-loaded",IF(5&lt;='I_Inputs &amp; Assumptions'!$B$8/2,'I_Budget Input Data'!$D$82*0.4/('I_Inputs &amp; Assumptions'!$B$8/2),'I_Budget Input Data'!$D$82*0.6/('I_Inputs &amp; Assumptions'!$B$8/2)),IF('I_Budget Input Data'!$E$82="Mid-weighted",IF(5&lt;='I_Inputs &amp; Assumptions'!$B$8/4,'I_Budget Input Data'!$D$82*0.2/('I_Inputs &amp; Assumptions'!$B$8/4),IF(5&lt;='I_Inputs &amp; Assumptions'!$B$8*0.75,'I_Budget Input Data'!$D$82*0.6/('I_Inputs &amp; Assumptions'!$B$8/2),'I_Budget Input Data'!$D$82*0.2/('I_Inputs &amp; Assumptions'!$B$8/4))),IF('I_Budget Input Data'!$E$82="At Completion",IF(5='I_Inputs &amp; Assumptions'!$B$8,'I_Budget Input Data'!$D$82,0),'I_Budget Input Data'!$D$82/'I_Inputs &amp; Assumptions'!$B$8)))))),0)</f>
        <v>50786.769230769234</v>
      </c>
      <c r="H82" s="91">
        <f>IF(6&lt;='I_Inputs &amp; Assumptions'!$B$8,IF('I_Budget Input Data'!$E$82="Upfront",IF(6=1,'I_Budget Input Data'!$D$82,0),IF('I_Budget Input Data'!$E$82="Equal",'I_Budget Input Data'!$D$82/'I_Inputs &amp; Assumptions'!$B$8,IF('I_Budget Input Data'!$E$82="Front-loaded",IF(6&lt;='I_Inputs &amp; Assumptions'!$B$8/2,'I_Budget Input Data'!$D$82*0.6/('I_Inputs &amp; Assumptions'!$B$8/2),'I_Budget Input Data'!$D$82*0.4/('I_Inputs &amp; Assumptions'!$B$8/2)),IF('I_Budget Input Data'!$E$82="Back-loaded",IF(6&lt;='I_Inputs &amp; Assumptions'!$B$8/2,'I_Budget Input Data'!$D$82*0.4/('I_Inputs &amp; Assumptions'!$B$8/2),'I_Budget Input Data'!$D$82*0.6/('I_Inputs &amp; Assumptions'!$B$8/2)),IF('I_Budget Input Data'!$E$82="Mid-weighted",IF(6&lt;='I_Inputs &amp; Assumptions'!$B$8/4,'I_Budget Input Data'!$D$82*0.2/('I_Inputs &amp; Assumptions'!$B$8/4),IF(6&lt;='I_Inputs &amp; Assumptions'!$B$8*0.75,'I_Budget Input Data'!$D$82*0.6/('I_Inputs &amp; Assumptions'!$B$8/2),'I_Budget Input Data'!$D$82*0.2/('I_Inputs &amp; Assumptions'!$B$8/4))),IF('I_Budget Input Data'!$E$82="At Completion",IF(6='I_Inputs &amp; Assumptions'!$B$8,'I_Budget Input Data'!$D$82,0),'I_Budget Input Data'!$D$82/'I_Inputs &amp; Assumptions'!$B$8)))))),0)</f>
        <v>50786.769230769234</v>
      </c>
      <c r="I82" s="91">
        <f>IF(7&lt;='I_Inputs &amp; Assumptions'!$B$8,IF('I_Budget Input Data'!$E$82="Upfront",IF(7=1,'I_Budget Input Data'!$D$82,0),IF('I_Budget Input Data'!$E$82="Equal",'I_Budget Input Data'!$D$82/'I_Inputs &amp; Assumptions'!$B$8,IF('I_Budget Input Data'!$E$82="Front-loaded",IF(7&lt;='I_Inputs &amp; Assumptions'!$B$8/2,'I_Budget Input Data'!$D$82*0.6/('I_Inputs &amp; Assumptions'!$B$8/2),'I_Budget Input Data'!$D$82*0.4/('I_Inputs &amp; Assumptions'!$B$8/2)),IF('I_Budget Input Data'!$E$82="Back-loaded",IF(7&lt;='I_Inputs &amp; Assumptions'!$B$8/2,'I_Budget Input Data'!$D$82*0.4/('I_Inputs &amp; Assumptions'!$B$8/2),'I_Budget Input Data'!$D$82*0.6/('I_Inputs &amp; Assumptions'!$B$8/2)),IF('I_Budget Input Data'!$E$82="Mid-weighted",IF(7&lt;='I_Inputs &amp; Assumptions'!$B$8/4,'I_Budget Input Data'!$D$82*0.2/('I_Inputs &amp; Assumptions'!$B$8/4),IF(7&lt;='I_Inputs &amp; Assumptions'!$B$8*0.75,'I_Budget Input Data'!$D$82*0.6/('I_Inputs &amp; Assumptions'!$B$8/2),'I_Budget Input Data'!$D$82*0.2/('I_Inputs &amp; Assumptions'!$B$8/4))),IF('I_Budget Input Data'!$E$82="At Completion",IF(7='I_Inputs &amp; Assumptions'!$B$8,'I_Budget Input Data'!$D$82,0),'I_Budget Input Data'!$D$82/'I_Inputs &amp; Assumptions'!$B$8)))))),0)</f>
        <v>33857.846153846156</v>
      </c>
      <c r="J82" s="91">
        <f>IF(8&lt;='I_Inputs &amp; Assumptions'!$B$8,IF('I_Budget Input Data'!$E$82="Upfront",IF(8=1,'I_Budget Input Data'!$D$82,0),IF('I_Budget Input Data'!$E$82="Equal",'I_Budget Input Data'!$D$82/'I_Inputs &amp; Assumptions'!$B$8,IF('I_Budget Input Data'!$E$82="Front-loaded",IF(8&lt;='I_Inputs &amp; Assumptions'!$B$8/2,'I_Budget Input Data'!$D$82*0.6/('I_Inputs &amp; Assumptions'!$B$8/2),'I_Budget Input Data'!$D$82*0.4/('I_Inputs &amp; Assumptions'!$B$8/2)),IF('I_Budget Input Data'!$E$82="Back-loaded",IF(8&lt;='I_Inputs &amp; Assumptions'!$B$8/2,'I_Budget Input Data'!$D$82*0.4/('I_Inputs &amp; Assumptions'!$B$8/2),'I_Budget Input Data'!$D$82*0.6/('I_Inputs &amp; Assumptions'!$B$8/2)),IF('I_Budget Input Data'!$E$82="Mid-weighted",IF(8&lt;='I_Inputs &amp; Assumptions'!$B$8/4,'I_Budget Input Data'!$D$82*0.2/('I_Inputs &amp; Assumptions'!$B$8/4),IF(8&lt;='I_Inputs &amp; Assumptions'!$B$8*0.75,'I_Budget Input Data'!$D$82*0.6/('I_Inputs &amp; Assumptions'!$B$8/2),'I_Budget Input Data'!$D$82*0.2/('I_Inputs &amp; Assumptions'!$B$8/4))),IF('I_Budget Input Data'!$E$82="At Completion",IF(8='I_Inputs &amp; Assumptions'!$B$8,'I_Budget Input Data'!$D$82,0),'I_Budget Input Data'!$D$82/'I_Inputs &amp; Assumptions'!$B$8)))))),0)</f>
        <v>33857.846153846156</v>
      </c>
      <c r="K82" s="91">
        <f>IF(9&lt;='I_Inputs &amp; Assumptions'!$B$8,IF('I_Budget Input Data'!$E$82="Upfront",IF(9=1,'I_Budget Input Data'!$D$82,0),IF('I_Budget Input Data'!$E$82="Equal",'I_Budget Input Data'!$D$82/'I_Inputs &amp; Assumptions'!$B$8,IF('I_Budget Input Data'!$E$82="Front-loaded",IF(9&lt;='I_Inputs &amp; Assumptions'!$B$8/2,'I_Budget Input Data'!$D$82*0.6/('I_Inputs &amp; Assumptions'!$B$8/2),'I_Budget Input Data'!$D$82*0.4/('I_Inputs &amp; Assumptions'!$B$8/2)),IF('I_Budget Input Data'!$E$82="Back-loaded",IF(9&lt;='I_Inputs &amp; Assumptions'!$B$8/2,'I_Budget Input Data'!$D$82*0.4/('I_Inputs &amp; Assumptions'!$B$8/2),'I_Budget Input Data'!$D$82*0.6/('I_Inputs &amp; Assumptions'!$B$8/2)),IF('I_Budget Input Data'!$E$82="Mid-weighted",IF(9&lt;='I_Inputs &amp; Assumptions'!$B$8/4,'I_Budget Input Data'!$D$82*0.2/('I_Inputs &amp; Assumptions'!$B$8/4),IF(9&lt;='I_Inputs &amp; Assumptions'!$B$8*0.75,'I_Budget Input Data'!$D$82*0.6/('I_Inputs &amp; Assumptions'!$B$8/2),'I_Budget Input Data'!$D$82*0.2/('I_Inputs &amp; Assumptions'!$B$8/4))),IF('I_Budget Input Data'!$E$82="At Completion",IF(9='I_Inputs &amp; Assumptions'!$B$8,'I_Budget Input Data'!$D$82,0),'I_Budget Input Data'!$D$82/'I_Inputs &amp; Assumptions'!$B$8)))))),0)</f>
        <v>33857.846153846156</v>
      </c>
      <c r="L82" s="91">
        <f>IF(10&lt;='I_Inputs &amp; Assumptions'!$B$8,IF('I_Budget Input Data'!$E$82="Upfront",IF(10=1,'I_Budget Input Data'!$D$82,0),IF('I_Budget Input Data'!$E$82="Equal",'I_Budget Input Data'!$D$82/'I_Inputs &amp; Assumptions'!$B$8,IF('I_Budget Input Data'!$E$82="Front-loaded",IF(10&lt;='I_Inputs &amp; Assumptions'!$B$8/2,'I_Budget Input Data'!$D$82*0.6/('I_Inputs &amp; Assumptions'!$B$8/2),'I_Budget Input Data'!$D$82*0.4/('I_Inputs &amp; Assumptions'!$B$8/2)),IF('I_Budget Input Data'!$E$82="Back-loaded",IF(10&lt;='I_Inputs &amp; Assumptions'!$B$8/2,'I_Budget Input Data'!$D$82*0.4/('I_Inputs &amp; Assumptions'!$B$8/2),'I_Budget Input Data'!$D$82*0.6/('I_Inputs &amp; Assumptions'!$B$8/2)),IF('I_Budget Input Data'!$E$82="Mid-weighted",IF(10&lt;='I_Inputs &amp; Assumptions'!$B$8/4,'I_Budget Input Data'!$D$82*0.2/('I_Inputs &amp; Assumptions'!$B$8/4),IF(10&lt;='I_Inputs &amp; Assumptions'!$B$8*0.75,'I_Budget Input Data'!$D$82*0.6/('I_Inputs &amp; Assumptions'!$B$8/2),'I_Budget Input Data'!$D$82*0.2/('I_Inputs &amp; Assumptions'!$B$8/4))),IF('I_Budget Input Data'!$E$82="At Completion",IF(10='I_Inputs &amp; Assumptions'!$B$8,'I_Budget Input Data'!$D$82,0),'I_Budget Input Data'!$D$82/'I_Inputs &amp; Assumptions'!$B$8)))))),0)</f>
        <v>33857.846153846156</v>
      </c>
      <c r="M82" s="91">
        <f>IF(11&lt;='I_Inputs &amp; Assumptions'!$B$8,IF('I_Budget Input Data'!$E$82="Upfront",IF(11=1,'I_Budget Input Data'!$D$82,0),IF('I_Budget Input Data'!$E$82="Equal",'I_Budget Input Data'!$D$82/'I_Inputs &amp; Assumptions'!$B$8,IF('I_Budget Input Data'!$E$82="Front-loaded",IF(11&lt;='I_Inputs &amp; Assumptions'!$B$8/2,'I_Budget Input Data'!$D$82*0.6/('I_Inputs &amp; Assumptions'!$B$8/2),'I_Budget Input Data'!$D$82*0.4/('I_Inputs &amp; Assumptions'!$B$8/2)),IF('I_Budget Input Data'!$E$82="Back-loaded",IF(11&lt;='I_Inputs &amp; Assumptions'!$B$8/2,'I_Budget Input Data'!$D$82*0.4/('I_Inputs &amp; Assumptions'!$B$8/2),'I_Budget Input Data'!$D$82*0.6/('I_Inputs &amp; Assumptions'!$B$8/2)),IF('I_Budget Input Data'!$E$82="Mid-weighted",IF(11&lt;='I_Inputs &amp; Assumptions'!$B$8/4,'I_Budget Input Data'!$D$82*0.2/('I_Inputs &amp; Assumptions'!$B$8/4),IF(11&lt;='I_Inputs &amp; Assumptions'!$B$8*0.75,'I_Budget Input Data'!$D$82*0.6/('I_Inputs &amp; Assumptions'!$B$8/2),'I_Budget Input Data'!$D$82*0.2/('I_Inputs &amp; Assumptions'!$B$8/4))),IF('I_Budget Input Data'!$E$82="At Completion",IF(11='I_Inputs &amp; Assumptions'!$B$8,'I_Budget Input Data'!$D$82,0),'I_Budget Input Data'!$D$82/'I_Inputs &amp; Assumptions'!$B$8)))))),0)</f>
        <v>33857.846153846156</v>
      </c>
      <c r="N82" s="91">
        <f>IF(12&lt;='I_Inputs &amp; Assumptions'!$B$8,IF('I_Budget Input Data'!$E$82="Upfront",IF(12=1,'I_Budget Input Data'!$D$82,0),IF('I_Budget Input Data'!$E$82="Equal",'I_Budget Input Data'!$D$82/'I_Inputs &amp; Assumptions'!$B$8,IF('I_Budget Input Data'!$E$82="Front-loaded",IF(12&lt;='I_Inputs &amp; Assumptions'!$B$8/2,'I_Budget Input Data'!$D$82*0.6/('I_Inputs &amp; Assumptions'!$B$8/2),'I_Budget Input Data'!$D$82*0.4/('I_Inputs &amp; Assumptions'!$B$8/2)),IF('I_Budget Input Data'!$E$82="Back-loaded",IF(12&lt;='I_Inputs &amp; Assumptions'!$B$8/2,'I_Budget Input Data'!$D$82*0.4/('I_Inputs &amp; Assumptions'!$B$8/2),'I_Budget Input Data'!$D$82*0.6/('I_Inputs &amp; Assumptions'!$B$8/2)),IF('I_Budget Input Data'!$E$82="Mid-weighted",IF(12&lt;='I_Inputs &amp; Assumptions'!$B$8/4,'I_Budget Input Data'!$D$82*0.2/('I_Inputs &amp; Assumptions'!$B$8/4),IF(12&lt;='I_Inputs &amp; Assumptions'!$B$8*0.75,'I_Budget Input Data'!$D$82*0.6/('I_Inputs &amp; Assumptions'!$B$8/2),'I_Budget Input Data'!$D$82*0.2/('I_Inputs &amp; Assumptions'!$B$8/4))),IF('I_Budget Input Data'!$E$82="At Completion",IF(12='I_Inputs &amp; Assumptions'!$B$8,'I_Budget Input Data'!$D$82,0),'I_Budget Input Data'!$D$82/'I_Inputs &amp; Assumptions'!$B$8)))))),0)</f>
        <v>33857.846153846156</v>
      </c>
      <c r="O82" s="91">
        <f>IF(13&lt;='I_Inputs &amp; Assumptions'!$B$8,IF('I_Budget Input Data'!$E$82="Upfront",IF(13=1,'I_Budget Input Data'!$D$82,0),IF('I_Budget Input Data'!$E$82="Equal",'I_Budget Input Data'!$D$82/'I_Inputs &amp; Assumptions'!$B$8,IF('I_Budget Input Data'!$E$82="Front-loaded",IF(13&lt;='I_Inputs &amp; Assumptions'!$B$8/2,'I_Budget Input Data'!$D$82*0.6/('I_Inputs &amp; Assumptions'!$B$8/2),'I_Budget Input Data'!$D$82*0.4/('I_Inputs &amp; Assumptions'!$B$8/2)),IF('I_Budget Input Data'!$E$82="Back-loaded",IF(13&lt;='I_Inputs &amp; Assumptions'!$B$8/2,'I_Budget Input Data'!$D$82*0.4/('I_Inputs &amp; Assumptions'!$B$8/2),'I_Budget Input Data'!$D$82*0.6/('I_Inputs &amp; Assumptions'!$B$8/2)),IF('I_Budget Input Data'!$E$82="Mid-weighted",IF(13&lt;='I_Inputs &amp; Assumptions'!$B$8/4,'I_Budget Input Data'!$D$82*0.2/('I_Inputs &amp; Assumptions'!$B$8/4),IF(13&lt;='I_Inputs &amp; Assumptions'!$B$8*0.75,'I_Budget Input Data'!$D$82*0.6/('I_Inputs &amp; Assumptions'!$B$8/2),'I_Budget Input Data'!$D$82*0.2/('I_Inputs &amp; Assumptions'!$B$8/4))),IF('I_Budget Input Data'!$E$82="At Completion",IF(13='I_Inputs &amp; Assumptions'!$B$8,'I_Budget Input Data'!$D$82,0),'I_Budget Input Data'!$D$82/'I_Inputs &amp; Assumptions'!$B$8)))))),0)</f>
        <v>33857.846153846156</v>
      </c>
      <c r="P82" s="91">
        <f>IF(14&lt;='I_Inputs &amp; Assumptions'!$B$8,IF('I_Budget Input Data'!$E$82="Upfront",IF(14=1,'I_Budget Input Data'!$D$82,0),IF('I_Budget Input Data'!$E$82="Equal",'I_Budget Input Data'!$D$82/'I_Inputs &amp; Assumptions'!$B$8,IF('I_Budget Input Data'!$E$82="Front-loaded",IF(14&lt;='I_Inputs &amp; Assumptions'!$B$8/2,'I_Budget Input Data'!$D$82*0.6/('I_Inputs &amp; Assumptions'!$B$8/2),'I_Budget Input Data'!$D$82*0.4/('I_Inputs &amp; Assumptions'!$B$8/2)),IF('I_Budget Input Data'!$E$82="Back-loaded",IF(14&lt;='I_Inputs &amp; Assumptions'!$B$8/2,'I_Budget Input Data'!$D$82*0.4/('I_Inputs &amp; Assumptions'!$B$8/2),'I_Budget Input Data'!$D$82*0.6/('I_Inputs &amp; Assumptions'!$B$8/2)),IF('I_Budget Input Data'!$E$82="Mid-weighted",IF(14&lt;='I_Inputs &amp; Assumptions'!$B$8/4,'I_Budget Input Data'!$D$82*0.2/('I_Inputs &amp; Assumptions'!$B$8/4),IF(14&lt;='I_Inputs &amp; Assumptions'!$B$8*0.75,'I_Budget Input Data'!$D$82*0.6/('I_Inputs &amp; Assumptions'!$B$8/2),'I_Budget Input Data'!$D$82*0.2/('I_Inputs &amp; Assumptions'!$B$8/4))),IF('I_Budget Input Data'!$E$82="At Completion",IF(14='I_Inputs &amp; Assumptions'!$B$8,'I_Budget Input Data'!$D$82,0),'I_Budget Input Data'!$D$82/'I_Inputs &amp; Assumptions'!$B$8)))))),0)</f>
        <v>0</v>
      </c>
      <c r="Q82" s="91">
        <f>IF(15&lt;='I_Inputs &amp; Assumptions'!$B$8,IF('I_Budget Input Data'!$E$82="Upfront",IF(15=1,'I_Budget Input Data'!$D$82,0),IF('I_Budget Input Data'!$E$82="Equal",'I_Budget Input Data'!$D$82/'I_Inputs &amp; Assumptions'!$B$8,IF('I_Budget Input Data'!$E$82="Front-loaded",IF(15&lt;='I_Inputs &amp; Assumptions'!$B$8/2,'I_Budget Input Data'!$D$82*0.6/('I_Inputs &amp; Assumptions'!$B$8/2),'I_Budget Input Data'!$D$82*0.4/('I_Inputs &amp; Assumptions'!$B$8/2)),IF('I_Budget Input Data'!$E$82="Back-loaded",IF(15&lt;='I_Inputs &amp; Assumptions'!$B$8/2,'I_Budget Input Data'!$D$82*0.4/('I_Inputs &amp; Assumptions'!$B$8/2),'I_Budget Input Data'!$D$82*0.6/('I_Inputs &amp; Assumptions'!$B$8/2)),IF('I_Budget Input Data'!$E$82="Mid-weighted",IF(15&lt;='I_Inputs &amp; Assumptions'!$B$8/4,'I_Budget Input Data'!$D$82*0.2/('I_Inputs &amp; Assumptions'!$B$8/4),IF(15&lt;='I_Inputs &amp; Assumptions'!$B$8*0.75,'I_Budget Input Data'!$D$82*0.6/('I_Inputs &amp; Assumptions'!$B$8/2),'I_Budget Input Data'!$D$82*0.2/('I_Inputs &amp; Assumptions'!$B$8/4))),IF('I_Budget Input Data'!$E$82="At Completion",IF(15='I_Inputs &amp; Assumptions'!$B$8,'I_Budget Input Data'!$D$82,0),'I_Budget Input Data'!$D$82/'I_Inputs &amp; Assumptions'!$B$8)))))),0)</f>
        <v>0</v>
      </c>
      <c r="R82" s="91">
        <f>IF(16&lt;='I_Inputs &amp; Assumptions'!$B$8,IF('I_Budget Input Data'!$E$82="Upfront",IF(16=1,'I_Budget Input Data'!$D$82,0),IF('I_Budget Input Data'!$E$82="Equal",'I_Budget Input Data'!$D$82/'I_Inputs &amp; Assumptions'!$B$8,IF('I_Budget Input Data'!$E$82="Front-loaded",IF(16&lt;='I_Inputs &amp; Assumptions'!$B$8/2,'I_Budget Input Data'!$D$82*0.6/('I_Inputs &amp; Assumptions'!$B$8/2),'I_Budget Input Data'!$D$82*0.4/('I_Inputs &amp; Assumptions'!$B$8/2)),IF('I_Budget Input Data'!$E$82="Back-loaded",IF(16&lt;='I_Inputs &amp; Assumptions'!$B$8/2,'I_Budget Input Data'!$D$82*0.4/('I_Inputs &amp; Assumptions'!$B$8/2),'I_Budget Input Data'!$D$82*0.6/('I_Inputs &amp; Assumptions'!$B$8/2)),IF('I_Budget Input Data'!$E$82="Mid-weighted",IF(16&lt;='I_Inputs &amp; Assumptions'!$B$8/4,'I_Budget Input Data'!$D$82*0.2/('I_Inputs &amp; Assumptions'!$B$8/4),IF(16&lt;='I_Inputs &amp; Assumptions'!$B$8*0.75,'I_Budget Input Data'!$D$82*0.6/('I_Inputs &amp; Assumptions'!$B$8/2),'I_Budget Input Data'!$D$82*0.2/('I_Inputs &amp; Assumptions'!$B$8/4))),IF('I_Budget Input Data'!$E$82="At Completion",IF(16='I_Inputs &amp; Assumptions'!$B$8,'I_Budget Input Data'!$D$82,0),'I_Budget Input Data'!$D$82/'I_Inputs &amp; Assumptions'!$B$8)))))),0)</f>
        <v>0</v>
      </c>
      <c r="S82" s="91">
        <f>IF(17&lt;='I_Inputs &amp; Assumptions'!$B$8,IF('I_Budget Input Data'!$E$82="Upfront",IF(17=1,'I_Budget Input Data'!$D$82,0),IF('I_Budget Input Data'!$E$82="Equal",'I_Budget Input Data'!$D$82/'I_Inputs &amp; Assumptions'!$B$8,IF('I_Budget Input Data'!$E$82="Front-loaded",IF(17&lt;='I_Inputs &amp; Assumptions'!$B$8/2,'I_Budget Input Data'!$D$82*0.6/('I_Inputs &amp; Assumptions'!$B$8/2),'I_Budget Input Data'!$D$82*0.4/('I_Inputs &amp; Assumptions'!$B$8/2)),IF('I_Budget Input Data'!$E$82="Back-loaded",IF(17&lt;='I_Inputs &amp; Assumptions'!$B$8/2,'I_Budget Input Data'!$D$82*0.4/('I_Inputs &amp; Assumptions'!$B$8/2),'I_Budget Input Data'!$D$82*0.6/('I_Inputs &amp; Assumptions'!$B$8/2)),IF('I_Budget Input Data'!$E$82="Mid-weighted",IF(17&lt;='I_Inputs &amp; Assumptions'!$B$8/4,'I_Budget Input Data'!$D$82*0.2/('I_Inputs &amp; Assumptions'!$B$8/4),IF(17&lt;='I_Inputs &amp; Assumptions'!$B$8*0.75,'I_Budget Input Data'!$D$82*0.6/('I_Inputs &amp; Assumptions'!$B$8/2),'I_Budget Input Data'!$D$82*0.2/('I_Inputs &amp; Assumptions'!$B$8/4))),IF('I_Budget Input Data'!$E$82="At Completion",IF(17='I_Inputs &amp; Assumptions'!$B$8,'I_Budget Input Data'!$D$82,0),'I_Budget Input Data'!$D$82/'I_Inputs &amp; Assumptions'!$B$8)))))),0)</f>
        <v>0</v>
      </c>
      <c r="T82" s="91">
        <f>IF(18&lt;='I_Inputs &amp; Assumptions'!$B$8,IF('I_Budget Input Data'!$E$82="Upfront",IF(18=1,'I_Budget Input Data'!$D$82,0),IF('I_Budget Input Data'!$E$82="Equal",'I_Budget Input Data'!$D$82/'I_Inputs &amp; Assumptions'!$B$8,IF('I_Budget Input Data'!$E$82="Front-loaded",IF(18&lt;='I_Inputs &amp; Assumptions'!$B$8/2,'I_Budget Input Data'!$D$82*0.6/('I_Inputs &amp; Assumptions'!$B$8/2),'I_Budget Input Data'!$D$82*0.4/('I_Inputs &amp; Assumptions'!$B$8/2)),IF('I_Budget Input Data'!$E$82="Back-loaded",IF(18&lt;='I_Inputs &amp; Assumptions'!$B$8/2,'I_Budget Input Data'!$D$82*0.4/('I_Inputs &amp; Assumptions'!$B$8/2),'I_Budget Input Data'!$D$82*0.6/('I_Inputs &amp; Assumptions'!$B$8/2)),IF('I_Budget Input Data'!$E$82="Mid-weighted",IF(18&lt;='I_Inputs &amp; Assumptions'!$B$8/4,'I_Budget Input Data'!$D$82*0.2/('I_Inputs &amp; Assumptions'!$B$8/4),IF(18&lt;='I_Inputs &amp; Assumptions'!$B$8*0.75,'I_Budget Input Data'!$D$82*0.6/('I_Inputs &amp; Assumptions'!$B$8/2),'I_Budget Input Data'!$D$82*0.2/('I_Inputs &amp; Assumptions'!$B$8/4))),IF('I_Budget Input Data'!$E$82="At Completion",IF(18='I_Inputs &amp; Assumptions'!$B$8,'I_Budget Input Data'!$D$82,0),'I_Budget Input Data'!$D$82/'I_Inputs &amp; Assumptions'!$B$8)))))),0)</f>
        <v>0</v>
      </c>
      <c r="U82" s="91">
        <f>IF(19&lt;='I_Inputs &amp; Assumptions'!$B$8,IF('I_Budget Input Data'!$E$82="Upfront",IF(19=1,'I_Budget Input Data'!$D$82,0),IF('I_Budget Input Data'!$E$82="Equal",'I_Budget Input Data'!$D$82/'I_Inputs &amp; Assumptions'!$B$8,IF('I_Budget Input Data'!$E$82="Front-loaded",IF(19&lt;='I_Inputs &amp; Assumptions'!$B$8/2,'I_Budget Input Data'!$D$82*0.6/('I_Inputs &amp; Assumptions'!$B$8/2),'I_Budget Input Data'!$D$82*0.4/('I_Inputs &amp; Assumptions'!$B$8/2)),IF('I_Budget Input Data'!$E$82="Back-loaded",IF(19&lt;='I_Inputs &amp; Assumptions'!$B$8/2,'I_Budget Input Data'!$D$82*0.4/('I_Inputs &amp; Assumptions'!$B$8/2),'I_Budget Input Data'!$D$82*0.6/('I_Inputs &amp; Assumptions'!$B$8/2)),IF('I_Budget Input Data'!$E$82="Mid-weighted",IF(19&lt;='I_Inputs &amp; Assumptions'!$B$8/4,'I_Budget Input Data'!$D$82*0.2/('I_Inputs &amp; Assumptions'!$B$8/4),IF(19&lt;='I_Inputs &amp; Assumptions'!$B$8*0.75,'I_Budget Input Data'!$D$82*0.6/('I_Inputs &amp; Assumptions'!$B$8/2),'I_Budget Input Data'!$D$82*0.2/('I_Inputs &amp; Assumptions'!$B$8/4))),IF('I_Budget Input Data'!$E$82="At Completion",IF(19='I_Inputs &amp; Assumptions'!$B$8,'I_Budget Input Data'!$D$82,0),'I_Budget Input Data'!$D$82/'I_Inputs &amp; Assumptions'!$B$8)))))),0)</f>
        <v>0</v>
      </c>
      <c r="V82" s="91">
        <f>IF(20&lt;='I_Inputs &amp; Assumptions'!$B$8,IF('I_Budget Input Data'!$E$82="Upfront",IF(20=1,'I_Budget Input Data'!$D$82,0),IF('I_Budget Input Data'!$E$82="Equal",'I_Budget Input Data'!$D$82/'I_Inputs &amp; Assumptions'!$B$8,IF('I_Budget Input Data'!$E$82="Front-loaded",IF(20&lt;='I_Inputs &amp; Assumptions'!$B$8/2,'I_Budget Input Data'!$D$82*0.6/('I_Inputs &amp; Assumptions'!$B$8/2),'I_Budget Input Data'!$D$82*0.4/('I_Inputs &amp; Assumptions'!$B$8/2)),IF('I_Budget Input Data'!$E$82="Back-loaded",IF(20&lt;='I_Inputs &amp; Assumptions'!$B$8/2,'I_Budget Input Data'!$D$82*0.4/('I_Inputs &amp; Assumptions'!$B$8/2),'I_Budget Input Data'!$D$82*0.6/('I_Inputs &amp; Assumptions'!$B$8/2)),IF('I_Budget Input Data'!$E$82="Mid-weighted",IF(20&lt;='I_Inputs &amp; Assumptions'!$B$8/4,'I_Budget Input Data'!$D$82*0.2/('I_Inputs &amp; Assumptions'!$B$8/4),IF(20&lt;='I_Inputs &amp; Assumptions'!$B$8*0.75,'I_Budget Input Data'!$D$82*0.6/('I_Inputs &amp; Assumptions'!$B$8/2),'I_Budget Input Data'!$D$82*0.2/('I_Inputs &amp; Assumptions'!$B$8/4))),IF('I_Budget Input Data'!$E$82="At Completion",IF(20='I_Inputs &amp; Assumptions'!$B$8,'I_Budget Input Data'!$D$82,0),'I_Budget Input Data'!$D$82/'I_Inputs &amp; Assumptions'!$B$8)))))),0)</f>
        <v>0</v>
      </c>
      <c r="W82" s="91">
        <f>IF(21&lt;='I_Inputs &amp; Assumptions'!$B$8,IF('I_Budget Input Data'!$E$82="Upfront",IF(21=1,'I_Budget Input Data'!$D$82,0),IF('I_Budget Input Data'!$E$82="Equal",'I_Budget Input Data'!$D$82/'I_Inputs &amp; Assumptions'!$B$8,IF('I_Budget Input Data'!$E$82="Front-loaded",IF(21&lt;='I_Inputs &amp; Assumptions'!$B$8/2,'I_Budget Input Data'!$D$82*0.6/('I_Inputs &amp; Assumptions'!$B$8/2),'I_Budget Input Data'!$D$82*0.4/('I_Inputs &amp; Assumptions'!$B$8/2)),IF('I_Budget Input Data'!$E$82="Back-loaded",IF(21&lt;='I_Inputs &amp; Assumptions'!$B$8/2,'I_Budget Input Data'!$D$82*0.4/('I_Inputs &amp; Assumptions'!$B$8/2),'I_Budget Input Data'!$D$82*0.6/('I_Inputs &amp; Assumptions'!$B$8/2)),IF('I_Budget Input Data'!$E$82="Mid-weighted",IF(21&lt;='I_Inputs &amp; Assumptions'!$B$8/4,'I_Budget Input Data'!$D$82*0.2/('I_Inputs &amp; Assumptions'!$B$8/4),IF(21&lt;='I_Inputs &amp; Assumptions'!$B$8*0.75,'I_Budget Input Data'!$D$82*0.6/('I_Inputs &amp; Assumptions'!$B$8/2),'I_Budget Input Data'!$D$82*0.2/('I_Inputs &amp; Assumptions'!$B$8/4))),IF('I_Budget Input Data'!$E$82="At Completion",IF(21='I_Inputs &amp; Assumptions'!$B$8,'I_Budget Input Data'!$D$82,0),'I_Budget Input Data'!$D$82/'I_Inputs &amp; Assumptions'!$B$8)))))),0)</f>
        <v>0</v>
      </c>
      <c r="X82" s="91">
        <f>IF(22&lt;='I_Inputs &amp; Assumptions'!$B$8,IF('I_Budget Input Data'!$E$82="Upfront",IF(22=1,'I_Budget Input Data'!$D$82,0),IF('I_Budget Input Data'!$E$82="Equal",'I_Budget Input Data'!$D$82/'I_Inputs &amp; Assumptions'!$B$8,IF('I_Budget Input Data'!$E$82="Front-loaded",IF(22&lt;='I_Inputs &amp; Assumptions'!$B$8/2,'I_Budget Input Data'!$D$82*0.6/('I_Inputs &amp; Assumptions'!$B$8/2),'I_Budget Input Data'!$D$82*0.4/('I_Inputs &amp; Assumptions'!$B$8/2)),IF('I_Budget Input Data'!$E$82="Back-loaded",IF(22&lt;='I_Inputs &amp; Assumptions'!$B$8/2,'I_Budget Input Data'!$D$82*0.4/('I_Inputs &amp; Assumptions'!$B$8/2),'I_Budget Input Data'!$D$82*0.6/('I_Inputs &amp; Assumptions'!$B$8/2)),IF('I_Budget Input Data'!$E$82="Mid-weighted",IF(22&lt;='I_Inputs &amp; Assumptions'!$B$8/4,'I_Budget Input Data'!$D$82*0.2/('I_Inputs &amp; Assumptions'!$B$8/4),IF(22&lt;='I_Inputs &amp; Assumptions'!$B$8*0.75,'I_Budget Input Data'!$D$82*0.6/('I_Inputs &amp; Assumptions'!$B$8/2),'I_Budget Input Data'!$D$82*0.2/('I_Inputs &amp; Assumptions'!$B$8/4))),IF('I_Budget Input Data'!$E$82="At Completion",IF(22='I_Inputs &amp; Assumptions'!$B$8,'I_Budget Input Data'!$D$82,0),'I_Budget Input Data'!$D$82/'I_Inputs &amp; Assumptions'!$B$8)))))),0)</f>
        <v>0</v>
      </c>
      <c r="Y82" s="91">
        <f>IF(23&lt;='I_Inputs &amp; Assumptions'!$B$8,IF('I_Budget Input Data'!$E$82="Upfront",IF(23=1,'I_Budget Input Data'!$D$82,0),IF('I_Budget Input Data'!$E$82="Equal",'I_Budget Input Data'!$D$82/'I_Inputs &amp; Assumptions'!$B$8,IF('I_Budget Input Data'!$E$82="Front-loaded",IF(23&lt;='I_Inputs &amp; Assumptions'!$B$8/2,'I_Budget Input Data'!$D$82*0.6/('I_Inputs &amp; Assumptions'!$B$8/2),'I_Budget Input Data'!$D$82*0.4/('I_Inputs &amp; Assumptions'!$B$8/2)),IF('I_Budget Input Data'!$E$82="Back-loaded",IF(23&lt;='I_Inputs &amp; Assumptions'!$B$8/2,'I_Budget Input Data'!$D$82*0.4/('I_Inputs &amp; Assumptions'!$B$8/2),'I_Budget Input Data'!$D$82*0.6/('I_Inputs &amp; Assumptions'!$B$8/2)),IF('I_Budget Input Data'!$E$82="Mid-weighted",IF(23&lt;='I_Inputs &amp; Assumptions'!$B$8/4,'I_Budget Input Data'!$D$82*0.2/('I_Inputs &amp; Assumptions'!$B$8/4),IF(23&lt;='I_Inputs &amp; Assumptions'!$B$8*0.75,'I_Budget Input Data'!$D$82*0.6/('I_Inputs &amp; Assumptions'!$B$8/2),'I_Budget Input Data'!$D$82*0.2/('I_Inputs &amp; Assumptions'!$B$8/4))),IF('I_Budget Input Data'!$E$82="At Completion",IF(23='I_Inputs &amp; Assumptions'!$B$8,'I_Budget Input Data'!$D$82,0),'I_Budget Input Data'!$D$82/'I_Inputs &amp; Assumptions'!$B$8)))))),0)</f>
        <v>0</v>
      </c>
      <c r="Z82" s="91">
        <f>IF(24&lt;='I_Inputs &amp; Assumptions'!$B$8,IF('I_Budget Input Data'!$E$82="Upfront",IF(24=1,'I_Budget Input Data'!$D$82,0),IF('I_Budget Input Data'!$E$82="Equal",'I_Budget Input Data'!$D$82/'I_Inputs &amp; Assumptions'!$B$8,IF('I_Budget Input Data'!$E$82="Front-loaded",IF(24&lt;='I_Inputs &amp; Assumptions'!$B$8/2,'I_Budget Input Data'!$D$82*0.6/('I_Inputs &amp; Assumptions'!$B$8/2),'I_Budget Input Data'!$D$82*0.4/('I_Inputs &amp; Assumptions'!$B$8/2)),IF('I_Budget Input Data'!$E$82="Back-loaded",IF(24&lt;='I_Inputs &amp; Assumptions'!$B$8/2,'I_Budget Input Data'!$D$82*0.4/('I_Inputs &amp; Assumptions'!$B$8/2),'I_Budget Input Data'!$D$82*0.6/('I_Inputs &amp; Assumptions'!$B$8/2)),IF('I_Budget Input Data'!$E$82="Mid-weighted",IF(24&lt;='I_Inputs &amp; Assumptions'!$B$8/4,'I_Budget Input Data'!$D$82*0.2/('I_Inputs &amp; Assumptions'!$B$8/4),IF(24&lt;='I_Inputs &amp; Assumptions'!$B$8*0.75,'I_Budget Input Data'!$D$82*0.6/('I_Inputs &amp; Assumptions'!$B$8/2),'I_Budget Input Data'!$D$82*0.2/('I_Inputs &amp; Assumptions'!$B$8/4))),IF('I_Budget Input Data'!$E$82="At Completion",IF(24='I_Inputs &amp; Assumptions'!$B$8,'I_Budget Input Data'!$D$82,0),'I_Budget Input Data'!$D$82/'I_Inputs &amp; Assumptions'!$B$8)))))),0)</f>
        <v>0</v>
      </c>
      <c r="AA82" s="91">
        <f>IF(25&lt;='I_Inputs &amp; Assumptions'!$B$8,IF('I_Budget Input Data'!$E$82="Upfront",IF(25=1,'I_Budget Input Data'!$D$82,0),IF('I_Budget Input Data'!$E$82="Equal",'I_Budget Input Data'!$D$82/'I_Inputs &amp; Assumptions'!$B$8,IF('I_Budget Input Data'!$E$82="Front-loaded",IF(25&lt;='I_Inputs &amp; Assumptions'!$B$8/2,'I_Budget Input Data'!$D$82*0.6/('I_Inputs &amp; Assumptions'!$B$8/2),'I_Budget Input Data'!$D$82*0.4/('I_Inputs &amp; Assumptions'!$B$8/2)),IF('I_Budget Input Data'!$E$82="Back-loaded",IF(25&lt;='I_Inputs &amp; Assumptions'!$B$8/2,'I_Budget Input Data'!$D$82*0.4/('I_Inputs &amp; Assumptions'!$B$8/2),'I_Budget Input Data'!$D$82*0.6/('I_Inputs &amp; Assumptions'!$B$8/2)),IF('I_Budget Input Data'!$E$82="Mid-weighted",IF(25&lt;='I_Inputs &amp; Assumptions'!$B$8/4,'I_Budget Input Data'!$D$82*0.2/('I_Inputs &amp; Assumptions'!$B$8/4),IF(25&lt;='I_Inputs &amp; Assumptions'!$B$8*0.75,'I_Budget Input Data'!$D$82*0.6/('I_Inputs &amp; Assumptions'!$B$8/2),'I_Budget Input Data'!$D$82*0.2/('I_Inputs &amp; Assumptions'!$B$8/4))),IF('I_Budget Input Data'!$E$82="At Completion",IF(25='I_Inputs &amp; Assumptions'!$B$8,'I_Budget Input Data'!$D$82,0),'I_Budget Input Data'!$D$82/'I_Inputs &amp; Assumptions'!$B$8)))))),0)</f>
        <v>0</v>
      </c>
      <c r="AB82" s="91">
        <f>IF(26&lt;='I_Inputs &amp; Assumptions'!$B$8,IF('I_Budget Input Data'!$E$82="Upfront",IF(26=1,'I_Budget Input Data'!$D$82,0),IF('I_Budget Input Data'!$E$82="Equal",'I_Budget Input Data'!$D$82/'I_Inputs &amp; Assumptions'!$B$8,IF('I_Budget Input Data'!$E$82="Front-loaded",IF(26&lt;='I_Inputs &amp; Assumptions'!$B$8/2,'I_Budget Input Data'!$D$82*0.6/('I_Inputs &amp; Assumptions'!$B$8/2),'I_Budget Input Data'!$D$82*0.4/('I_Inputs &amp; Assumptions'!$B$8/2)),IF('I_Budget Input Data'!$E$82="Back-loaded",IF(26&lt;='I_Inputs &amp; Assumptions'!$B$8/2,'I_Budget Input Data'!$D$82*0.4/('I_Inputs &amp; Assumptions'!$B$8/2),'I_Budget Input Data'!$D$82*0.6/('I_Inputs &amp; Assumptions'!$B$8/2)),IF('I_Budget Input Data'!$E$82="Mid-weighted",IF(26&lt;='I_Inputs &amp; Assumptions'!$B$8/4,'I_Budget Input Data'!$D$82*0.2/('I_Inputs &amp; Assumptions'!$B$8/4),IF(26&lt;='I_Inputs &amp; Assumptions'!$B$8*0.75,'I_Budget Input Data'!$D$82*0.6/('I_Inputs &amp; Assumptions'!$B$8/2),'I_Budget Input Data'!$D$82*0.2/('I_Inputs &amp; Assumptions'!$B$8/4))),IF('I_Budget Input Data'!$E$82="At Completion",IF(26='I_Inputs &amp; Assumptions'!$B$8,'I_Budget Input Data'!$D$82,0),'I_Budget Input Data'!$D$82/'I_Inputs &amp; Assumptions'!$B$8)))))),0)</f>
        <v>0</v>
      </c>
      <c r="AC82" s="91">
        <f>IF(27&lt;='I_Inputs &amp; Assumptions'!$B$8,IF('I_Budget Input Data'!$E$82="Upfront",IF(27=1,'I_Budget Input Data'!$D$82,0),IF('I_Budget Input Data'!$E$82="Equal",'I_Budget Input Data'!$D$82/'I_Inputs &amp; Assumptions'!$B$8,IF('I_Budget Input Data'!$E$82="Front-loaded",IF(27&lt;='I_Inputs &amp; Assumptions'!$B$8/2,'I_Budget Input Data'!$D$82*0.6/('I_Inputs &amp; Assumptions'!$B$8/2),'I_Budget Input Data'!$D$82*0.4/('I_Inputs &amp; Assumptions'!$B$8/2)),IF('I_Budget Input Data'!$E$82="Back-loaded",IF(27&lt;='I_Inputs &amp; Assumptions'!$B$8/2,'I_Budget Input Data'!$D$82*0.4/('I_Inputs &amp; Assumptions'!$B$8/2),'I_Budget Input Data'!$D$82*0.6/('I_Inputs &amp; Assumptions'!$B$8/2)),IF('I_Budget Input Data'!$E$82="Mid-weighted",IF(27&lt;='I_Inputs &amp; Assumptions'!$B$8/4,'I_Budget Input Data'!$D$82*0.2/('I_Inputs &amp; Assumptions'!$B$8/4),IF(27&lt;='I_Inputs &amp; Assumptions'!$B$8*0.75,'I_Budget Input Data'!$D$82*0.6/('I_Inputs &amp; Assumptions'!$B$8/2),'I_Budget Input Data'!$D$82*0.2/('I_Inputs &amp; Assumptions'!$B$8/4))),IF('I_Budget Input Data'!$E$82="At Completion",IF(27='I_Inputs &amp; Assumptions'!$B$8,'I_Budget Input Data'!$D$82,0),'I_Budget Input Data'!$D$82/'I_Inputs &amp; Assumptions'!$B$8)))))),0)</f>
        <v>0</v>
      </c>
      <c r="AD82" s="91">
        <f>IF(28&lt;='I_Inputs &amp; Assumptions'!$B$8,IF('I_Budget Input Data'!$E$82="Upfront",IF(28=1,'I_Budget Input Data'!$D$82,0),IF('I_Budget Input Data'!$E$82="Equal",'I_Budget Input Data'!$D$82/'I_Inputs &amp; Assumptions'!$B$8,IF('I_Budget Input Data'!$E$82="Front-loaded",IF(28&lt;='I_Inputs &amp; Assumptions'!$B$8/2,'I_Budget Input Data'!$D$82*0.6/('I_Inputs &amp; Assumptions'!$B$8/2),'I_Budget Input Data'!$D$82*0.4/('I_Inputs &amp; Assumptions'!$B$8/2)),IF('I_Budget Input Data'!$E$82="Back-loaded",IF(28&lt;='I_Inputs &amp; Assumptions'!$B$8/2,'I_Budget Input Data'!$D$82*0.4/('I_Inputs &amp; Assumptions'!$B$8/2),'I_Budget Input Data'!$D$82*0.6/('I_Inputs &amp; Assumptions'!$B$8/2)),IF('I_Budget Input Data'!$E$82="Mid-weighted",IF(28&lt;='I_Inputs &amp; Assumptions'!$B$8/4,'I_Budget Input Data'!$D$82*0.2/('I_Inputs &amp; Assumptions'!$B$8/4),IF(28&lt;='I_Inputs &amp; Assumptions'!$B$8*0.75,'I_Budget Input Data'!$D$82*0.6/('I_Inputs &amp; Assumptions'!$B$8/2),'I_Budget Input Data'!$D$82*0.2/('I_Inputs &amp; Assumptions'!$B$8/4))),IF('I_Budget Input Data'!$E$82="At Completion",IF(28='I_Inputs &amp; Assumptions'!$B$8,'I_Budget Input Data'!$D$82,0),'I_Budget Input Data'!$D$82/'I_Inputs &amp; Assumptions'!$B$8)))))),0)</f>
        <v>0</v>
      </c>
      <c r="AE82" s="91">
        <f>IF(29&lt;='I_Inputs &amp; Assumptions'!$B$8,IF('I_Budget Input Data'!$E$82="Upfront",IF(29=1,'I_Budget Input Data'!$D$82,0),IF('I_Budget Input Data'!$E$82="Equal",'I_Budget Input Data'!$D$82/'I_Inputs &amp; Assumptions'!$B$8,IF('I_Budget Input Data'!$E$82="Front-loaded",IF(29&lt;='I_Inputs &amp; Assumptions'!$B$8/2,'I_Budget Input Data'!$D$82*0.6/('I_Inputs &amp; Assumptions'!$B$8/2),'I_Budget Input Data'!$D$82*0.4/('I_Inputs &amp; Assumptions'!$B$8/2)),IF('I_Budget Input Data'!$E$82="Back-loaded",IF(29&lt;='I_Inputs &amp; Assumptions'!$B$8/2,'I_Budget Input Data'!$D$82*0.4/('I_Inputs &amp; Assumptions'!$B$8/2),'I_Budget Input Data'!$D$82*0.6/('I_Inputs &amp; Assumptions'!$B$8/2)),IF('I_Budget Input Data'!$E$82="Mid-weighted",IF(29&lt;='I_Inputs &amp; Assumptions'!$B$8/4,'I_Budget Input Data'!$D$82*0.2/('I_Inputs &amp; Assumptions'!$B$8/4),IF(29&lt;='I_Inputs &amp; Assumptions'!$B$8*0.75,'I_Budget Input Data'!$D$82*0.6/('I_Inputs &amp; Assumptions'!$B$8/2),'I_Budget Input Data'!$D$82*0.2/('I_Inputs &amp; Assumptions'!$B$8/4))),IF('I_Budget Input Data'!$E$82="At Completion",IF(29='I_Inputs &amp; Assumptions'!$B$8,'I_Budget Input Data'!$D$82,0),'I_Budget Input Data'!$D$82/'I_Inputs &amp; Assumptions'!$B$8)))))),0)</f>
        <v>0</v>
      </c>
      <c r="AF82" s="91">
        <f>IF(30&lt;='I_Inputs &amp; Assumptions'!$B$8,IF('I_Budget Input Data'!$E$82="Upfront",IF(30=1,'I_Budget Input Data'!$D$82,0),IF('I_Budget Input Data'!$E$82="Equal",'I_Budget Input Data'!$D$82/'I_Inputs &amp; Assumptions'!$B$8,IF('I_Budget Input Data'!$E$82="Front-loaded",IF(30&lt;='I_Inputs &amp; Assumptions'!$B$8/2,'I_Budget Input Data'!$D$82*0.6/('I_Inputs &amp; Assumptions'!$B$8/2),'I_Budget Input Data'!$D$82*0.4/('I_Inputs &amp; Assumptions'!$B$8/2)),IF('I_Budget Input Data'!$E$82="Back-loaded",IF(30&lt;='I_Inputs &amp; Assumptions'!$B$8/2,'I_Budget Input Data'!$D$82*0.4/('I_Inputs &amp; Assumptions'!$B$8/2),'I_Budget Input Data'!$D$82*0.6/('I_Inputs &amp; Assumptions'!$B$8/2)),IF('I_Budget Input Data'!$E$82="Mid-weighted",IF(30&lt;='I_Inputs &amp; Assumptions'!$B$8/4,'I_Budget Input Data'!$D$82*0.2/('I_Inputs &amp; Assumptions'!$B$8/4),IF(30&lt;='I_Inputs &amp; Assumptions'!$B$8*0.75,'I_Budget Input Data'!$D$82*0.6/('I_Inputs &amp; Assumptions'!$B$8/2),'I_Budget Input Data'!$D$82*0.2/('I_Inputs &amp; Assumptions'!$B$8/4))),IF('I_Budget Input Data'!$E$82="At Completion",IF(30='I_Inputs &amp; Assumptions'!$B$8,'I_Budget Input Data'!$D$82,0),'I_Budget Input Data'!$D$82/'I_Inputs &amp; Assumptions'!$B$8)))))),0)</f>
        <v>0</v>
      </c>
      <c r="AG82" s="91">
        <f>IF(31&lt;='I_Inputs &amp; Assumptions'!$B$8,IF('I_Budget Input Data'!$E$82="Upfront",IF(31=1,'I_Budget Input Data'!$D$82,0),IF('I_Budget Input Data'!$E$82="Equal",'I_Budget Input Data'!$D$82/'I_Inputs &amp; Assumptions'!$B$8,IF('I_Budget Input Data'!$E$82="Front-loaded",IF(31&lt;='I_Inputs &amp; Assumptions'!$B$8/2,'I_Budget Input Data'!$D$82*0.6/('I_Inputs &amp; Assumptions'!$B$8/2),'I_Budget Input Data'!$D$82*0.4/('I_Inputs &amp; Assumptions'!$B$8/2)),IF('I_Budget Input Data'!$E$82="Back-loaded",IF(31&lt;='I_Inputs &amp; Assumptions'!$B$8/2,'I_Budget Input Data'!$D$82*0.4/('I_Inputs &amp; Assumptions'!$B$8/2),'I_Budget Input Data'!$D$82*0.6/('I_Inputs &amp; Assumptions'!$B$8/2)),IF('I_Budget Input Data'!$E$82="Mid-weighted",IF(31&lt;='I_Inputs &amp; Assumptions'!$B$8/4,'I_Budget Input Data'!$D$82*0.2/('I_Inputs &amp; Assumptions'!$B$8/4),IF(31&lt;='I_Inputs &amp; Assumptions'!$B$8*0.75,'I_Budget Input Data'!$D$82*0.6/('I_Inputs &amp; Assumptions'!$B$8/2),'I_Budget Input Data'!$D$82*0.2/('I_Inputs &amp; Assumptions'!$B$8/4))),IF('I_Budget Input Data'!$E$82="At Completion",IF(31='I_Inputs &amp; Assumptions'!$B$8,'I_Budget Input Data'!$D$82,0),'I_Budget Input Data'!$D$82/'I_Inputs &amp; Assumptions'!$B$8)))))),0)</f>
        <v>0</v>
      </c>
      <c r="AH82" s="91">
        <f>IF(32&lt;='I_Inputs &amp; Assumptions'!$B$8,IF('I_Budget Input Data'!$E$82="Upfront",IF(32=1,'I_Budget Input Data'!$D$82,0),IF('I_Budget Input Data'!$E$82="Equal",'I_Budget Input Data'!$D$82/'I_Inputs &amp; Assumptions'!$B$8,IF('I_Budget Input Data'!$E$82="Front-loaded",IF(32&lt;='I_Inputs &amp; Assumptions'!$B$8/2,'I_Budget Input Data'!$D$82*0.6/('I_Inputs &amp; Assumptions'!$B$8/2),'I_Budget Input Data'!$D$82*0.4/('I_Inputs &amp; Assumptions'!$B$8/2)),IF('I_Budget Input Data'!$E$82="Back-loaded",IF(32&lt;='I_Inputs &amp; Assumptions'!$B$8/2,'I_Budget Input Data'!$D$82*0.4/('I_Inputs &amp; Assumptions'!$B$8/2),'I_Budget Input Data'!$D$82*0.6/('I_Inputs &amp; Assumptions'!$B$8/2)),IF('I_Budget Input Data'!$E$82="Mid-weighted",IF(32&lt;='I_Inputs &amp; Assumptions'!$B$8/4,'I_Budget Input Data'!$D$82*0.2/('I_Inputs &amp; Assumptions'!$B$8/4),IF(32&lt;='I_Inputs &amp; Assumptions'!$B$8*0.75,'I_Budget Input Data'!$D$82*0.6/('I_Inputs &amp; Assumptions'!$B$8/2),'I_Budget Input Data'!$D$82*0.2/('I_Inputs &amp; Assumptions'!$B$8/4))),IF('I_Budget Input Data'!$E$82="At Completion",IF(32='I_Inputs &amp; Assumptions'!$B$8,'I_Budget Input Data'!$D$82,0),'I_Budget Input Data'!$D$82/'I_Inputs &amp; Assumptions'!$B$8)))))),0)</f>
        <v>0</v>
      </c>
      <c r="AI82" s="91">
        <f>IF(33&lt;='I_Inputs &amp; Assumptions'!$B$8,IF('I_Budget Input Data'!$E$82="Upfront",IF(33=1,'I_Budget Input Data'!$D$82,0),IF('I_Budget Input Data'!$E$82="Equal",'I_Budget Input Data'!$D$82/'I_Inputs &amp; Assumptions'!$B$8,IF('I_Budget Input Data'!$E$82="Front-loaded",IF(33&lt;='I_Inputs &amp; Assumptions'!$B$8/2,'I_Budget Input Data'!$D$82*0.6/('I_Inputs &amp; Assumptions'!$B$8/2),'I_Budget Input Data'!$D$82*0.4/('I_Inputs &amp; Assumptions'!$B$8/2)),IF('I_Budget Input Data'!$E$82="Back-loaded",IF(33&lt;='I_Inputs &amp; Assumptions'!$B$8/2,'I_Budget Input Data'!$D$82*0.4/('I_Inputs &amp; Assumptions'!$B$8/2),'I_Budget Input Data'!$D$82*0.6/('I_Inputs &amp; Assumptions'!$B$8/2)),IF('I_Budget Input Data'!$E$82="Mid-weighted",IF(33&lt;='I_Inputs &amp; Assumptions'!$B$8/4,'I_Budget Input Data'!$D$82*0.2/('I_Inputs &amp; Assumptions'!$B$8/4),IF(33&lt;='I_Inputs &amp; Assumptions'!$B$8*0.75,'I_Budget Input Data'!$D$82*0.6/('I_Inputs &amp; Assumptions'!$B$8/2),'I_Budget Input Data'!$D$82*0.2/('I_Inputs &amp; Assumptions'!$B$8/4))),IF('I_Budget Input Data'!$E$82="At Completion",IF(33='I_Inputs &amp; Assumptions'!$B$8,'I_Budget Input Data'!$D$82,0),'I_Budget Input Data'!$D$82/'I_Inputs &amp; Assumptions'!$B$8)))))),0)</f>
        <v>0</v>
      </c>
      <c r="AJ82" s="91">
        <f>IF(34&lt;='I_Inputs &amp; Assumptions'!$B$8,IF('I_Budget Input Data'!$E$82="Upfront",IF(34=1,'I_Budget Input Data'!$D$82,0),IF('I_Budget Input Data'!$E$82="Equal",'I_Budget Input Data'!$D$82/'I_Inputs &amp; Assumptions'!$B$8,IF('I_Budget Input Data'!$E$82="Front-loaded",IF(34&lt;='I_Inputs &amp; Assumptions'!$B$8/2,'I_Budget Input Data'!$D$82*0.6/('I_Inputs &amp; Assumptions'!$B$8/2),'I_Budget Input Data'!$D$82*0.4/('I_Inputs &amp; Assumptions'!$B$8/2)),IF('I_Budget Input Data'!$E$82="Back-loaded",IF(34&lt;='I_Inputs &amp; Assumptions'!$B$8/2,'I_Budget Input Data'!$D$82*0.4/('I_Inputs &amp; Assumptions'!$B$8/2),'I_Budget Input Data'!$D$82*0.6/('I_Inputs &amp; Assumptions'!$B$8/2)),IF('I_Budget Input Data'!$E$82="Mid-weighted",IF(34&lt;='I_Inputs &amp; Assumptions'!$B$8/4,'I_Budget Input Data'!$D$82*0.2/('I_Inputs &amp; Assumptions'!$B$8/4),IF(34&lt;='I_Inputs &amp; Assumptions'!$B$8*0.75,'I_Budget Input Data'!$D$82*0.6/('I_Inputs &amp; Assumptions'!$B$8/2),'I_Budget Input Data'!$D$82*0.2/('I_Inputs &amp; Assumptions'!$B$8/4))),IF('I_Budget Input Data'!$E$82="At Completion",IF(34='I_Inputs &amp; Assumptions'!$B$8,'I_Budget Input Data'!$D$82,0),'I_Budget Input Data'!$D$82/'I_Inputs &amp; Assumptions'!$B$8)))))),0)</f>
        <v>0</v>
      </c>
      <c r="AK82" s="91">
        <f>IF(35&lt;='I_Inputs &amp; Assumptions'!$B$8,IF('I_Budget Input Data'!$E$82="Upfront",IF(35=1,'I_Budget Input Data'!$D$82,0),IF('I_Budget Input Data'!$E$82="Equal",'I_Budget Input Data'!$D$82/'I_Inputs &amp; Assumptions'!$B$8,IF('I_Budget Input Data'!$E$82="Front-loaded",IF(35&lt;='I_Inputs &amp; Assumptions'!$B$8/2,'I_Budget Input Data'!$D$82*0.6/('I_Inputs &amp; Assumptions'!$B$8/2),'I_Budget Input Data'!$D$82*0.4/('I_Inputs &amp; Assumptions'!$B$8/2)),IF('I_Budget Input Data'!$E$82="Back-loaded",IF(35&lt;='I_Inputs &amp; Assumptions'!$B$8/2,'I_Budget Input Data'!$D$82*0.4/('I_Inputs &amp; Assumptions'!$B$8/2),'I_Budget Input Data'!$D$82*0.6/('I_Inputs &amp; Assumptions'!$B$8/2)),IF('I_Budget Input Data'!$E$82="Mid-weighted",IF(35&lt;='I_Inputs &amp; Assumptions'!$B$8/4,'I_Budget Input Data'!$D$82*0.2/('I_Inputs &amp; Assumptions'!$B$8/4),IF(35&lt;='I_Inputs &amp; Assumptions'!$B$8*0.75,'I_Budget Input Data'!$D$82*0.6/('I_Inputs &amp; Assumptions'!$B$8/2),'I_Budget Input Data'!$D$82*0.2/('I_Inputs &amp; Assumptions'!$B$8/4))),IF('I_Budget Input Data'!$E$82="At Completion",IF(35='I_Inputs &amp; Assumptions'!$B$8,'I_Budget Input Data'!$D$82,0),'I_Budget Input Data'!$D$82/'I_Inputs &amp; Assumptions'!$B$8)))))),0)</f>
        <v>0</v>
      </c>
      <c r="AL82" s="91">
        <f>IF(36&lt;='I_Inputs &amp; Assumptions'!$B$8,IF('I_Budget Input Data'!$E$82="Upfront",IF(36=1,'I_Budget Input Data'!$D$82,0),IF('I_Budget Input Data'!$E$82="Equal",'I_Budget Input Data'!$D$82/'I_Inputs &amp; Assumptions'!$B$8,IF('I_Budget Input Data'!$E$82="Front-loaded",IF(36&lt;='I_Inputs &amp; Assumptions'!$B$8/2,'I_Budget Input Data'!$D$82*0.6/('I_Inputs &amp; Assumptions'!$B$8/2),'I_Budget Input Data'!$D$82*0.4/('I_Inputs &amp; Assumptions'!$B$8/2)),IF('I_Budget Input Data'!$E$82="Back-loaded",IF(36&lt;='I_Inputs &amp; Assumptions'!$B$8/2,'I_Budget Input Data'!$D$82*0.4/('I_Inputs &amp; Assumptions'!$B$8/2),'I_Budget Input Data'!$D$82*0.6/('I_Inputs &amp; Assumptions'!$B$8/2)),IF('I_Budget Input Data'!$E$82="Mid-weighted",IF(36&lt;='I_Inputs &amp; Assumptions'!$B$8/4,'I_Budget Input Data'!$D$82*0.2/('I_Inputs &amp; Assumptions'!$B$8/4),IF(36&lt;='I_Inputs &amp; Assumptions'!$B$8*0.75,'I_Budget Input Data'!$D$82*0.6/('I_Inputs &amp; Assumptions'!$B$8/2),'I_Budget Input Data'!$D$82*0.2/('I_Inputs &amp; Assumptions'!$B$8/4))),IF('I_Budget Input Data'!$E$82="At Completion",IF(36='I_Inputs &amp; Assumptions'!$B$8,'I_Budget Input Data'!$D$82,0),'I_Budget Input Data'!$D$82/'I_Inputs &amp; Assumptions'!$B$8)))))),0)</f>
        <v>0</v>
      </c>
    </row>
    <row r="83" spans="1:38" ht="15" customHeight="1" x14ac:dyDescent="0.2">
      <c r="A83" t="s">
        <v>146</v>
      </c>
      <c r="B83" t="s">
        <v>202</v>
      </c>
      <c r="C83" s="91">
        <f>IF(1&lt;='I_Inputs &amp; Assumptions'!$B$8,IF('I_Budget Input Data'!$E$83="Upfront",IF(1=1,'I_Budget Input Data'!$D$83,0),IF('I_Budget Input Data'!$E$83="Equal",'I_Budget Input Data'!$D$83/'I_Inputs &amp; Assumptions'!$B$8,IF('I_Budget Input Data'!$E$83="Front-loaded",IF(1&lt;='I_Inputs &amp; Assumptions'!$B$8/2,'I_Budget Input Data'!$D$83*0.6/('I_Inputs &amp; Assumptions'!$B$8/2),'I_Budget Input Data'!$D$83*0.4/('I_Inputs &amp; Assumptions'!$B$8/2)),IF('I_Budget Input Data'!$E$83="Back-loaded",IF(1&lt;='I_Inputs &amp; Assumptions'!$B$8/2,'I_Budget Input Data'!$D$83*0.4/('I_Inputs &amp; Assumptions'!$B$8/2),'I_Budget Input Data'!$D$83*0.6/('I_Inputs &amp; Assumptions'!$B$8/2)),IF('I_Budget Input Data'!$E$83="Mid-weighted",IF(1&lt;='I_Inputs &amp; Assumptions'!$B$8/4,'I_Budget Input Data'!$D$83*0.2/('I_Inputs &amp; Assumptions'!$B$8/4),IF(1&lt;='I_Inputs &amp; Assumptions'!$B$8*0.75,'I_Budget Input Data'!$D$83*0.6/('I_Inputs &amp; Assumptions'!$B$8/2),'I_Budget Input Data'!$D$83*0.2/('I_Inputs &amp; Assumptions'!$B$8/4))),IF('I_Budget Input Data'!$E$83="At Completion",IF(1='I_Inputs &amp; Assumptions'!$B$8,'I_Budget Input Data'!$D$83,0),'I_Budget Input Data'!$D$83/'I_Inputs &amp; Assumptions'!$B$8)))))),0)</f>
        <v>19428.461538461539</v>
      </c>
      <c r="D83" s="91">
        <f>IF(2&lt;='I_Inputs &amp; Assumptions'!$B$8,IF('I_Budget Input Data'!$E$83="Upfront",IF(2=1,'I_Budget Input Data'!$D$83,0),IF('I_Budget Input Data'!$E$83="Equal",'I_Budget Input Data'!$D$83/'I_Inputs &amp; Assumptions'!$B$8,IF('I_Budget Input Data'!$E$83="Front-loaded",IF(2&lt;='I_Inputs &amp; Assumptions'!$B$8/2,'I_Budget Input Data'!$D$83*0.6/('I_Inputs &amp; Assumptions'!$B$8/2),'I_Budget Input Data'!$D$83*0.4/('I_Inputs &amp; Assumptions'!$B$8/2)),IF('I_Budget Input Data'!$E$83="Back-loaded",IF(2&lt;='I_Inputs &amp; Assumptions'!$B$8/2,'I_Budget Input Data'!$D$83*0.4/('I_Inputs &amp; Assumptions'!$B$8/2),'I_Budget Input Data'!$D$83*0.6/('I_Inputs &amp; Assumptions'!$B$8/2)),IF('I_Budget Input Data'!$E$83="Mid-weighted",IF(2&lt;='I_Inputs &amp; Assumptions'!$B$8/4,'I_Budget Input Data'!$D$83*0.2/('I_Inputs &amp; Assumptions'!$B$8/4),IF(2&lt;='I_Inputs &amp; Assumptions'!$B$8*0.75,'I_Budget Input Data'!$D$83*0.6/('I_Inputs &amp; Assumptions'!$B$8/2),'I_Budget Input Data'!$D$83*0.2/('I_Inputs &amp; Assumptions'!$B$8/4))),IF('I_Budget Input Data'!$E$83="At Completion",IF(2='I_Inputs &amp; Assumptions'!$B$8,'I_Budget Input Data'!$D$83,0),'I_Budget Input Data'!$D$83/'I_Inputs &amp; Assumptions'!$B$8)))))),0)</f>
        <v>19428.461538461539</v>
      </c>
      <c r="E83" s="91">
        <f>IF(3&lt;='I_Inputs &amp; Assumptions'!$B$8,IF('I_Budget Input Data'!$E$83="Upfront",IF(3=1,'I_Budget Input Data'!$D$83,0),IF('I_Budget Input Data'!$E$83="Equal",'I_Budget Input Data'!$D$83/'I_Inputs &amp; Assumptions'!$B$8,IF('I_Budget Input Data'!$E$83="Front-loaded",IF(3&lt;='I_Inputs &amp; Assumptions'!$B$8/2,'I_Budget Input Data'!$D$83*0.6/('I_Inputs &amp; Assumptions'!$B$8/2),'I_Budget Input Data'!$D$83*0.4/('I_Inputs &amp; Assumptions'!$B$8/2)),IF('I_Budget Input Data'!$E$83="Back-loaded",IF(3&lt;='I_Inputs &amp; Assumptions'!$B$8/2,'I_Budget Input Data'!$D$83*0.4/('I_Inputs &amp; Assumptions'!$B$8/2),'I_Budget Input Data'!$D$83*0.6/('I_Inputs &amp; Assumptions'!$B$8/2)),IF('I_Budget Input Data'!$E$83="Mid-weighted",IF(3&lt;='I_Inputs &amp; Assumptions'!$B$8/4,'I_Budget Input Data'!$D$83*0.2/('I_Inputs &amp; Assumptions'!$B$8/4),IF(3&lt;='I_Inputs &amp; Assumptions'!$B$8*0.75,'I_Budget Input Data'!$D$83*0.6/('I_Inputs &amp; Assumptions'!$B$8/2),'I_Budget Input Data'!$D$83*0.2/('I_Inputs &amp; Assumptions'!$B$8/4))),IF('I_Budget Input Data'!$E$83="At Completion",IF(3='I_Inputs &amp; Assumptions'!$B$8,'I_Budget Input Data'!$D$83,0),'I_Budget Input Data'!$D$83/'I_Inputs &amp; Assumptions'!$B$8)))))),0)</f>
        <v>19428.461538461539</v>
      </c>
      <c r="F83" s="91">
        <f>IF(4&lt;='I_Inputs &amp; Assumptions'!$B$8,IF('I_Budget Input Data'!$E$83="Upfront",IF(4=1,'I_Budget Input Data'!$D$83,0),IF('I_Budget Input Data'!$E$83="Equal",'I_Budget Input Data'!$D$83/'I_Inputs &amp; Assumptions'!$B$8,IF('I_Budget Input Data'!$E$83="Front-loaded",IF(4&lt;='I_Inputs &amp; Assumptions'!$B$8/2,'I_Budget Input Data'!$D$83*0.6/('I_Inputs &amp; Assumptions'!$B$8/2),'I_Budget Input Data'!$D$83*0.4/('I_Inputs &amp; Assumptions'!$B$8/2)),IF('I_Budget Input Data'!$E$83="Back-loaded",IF(4&lt;='I_Inputs &amp; Assumptions'!$B$8/2,'I_Budget Input Data'!$D$83*0.4/('I_Inputs &amp; Assumptions'!$B$8/2),'I_Budget Input Data'!$D$83*0.6/('I_Inputs &amp; Assumptions'!$B$8/2)),IF('I_Budget Input Data'!$E$83="Mid-weighted",IF(4&lt;='I_Inputs &amp; Assumptions'!$B$8/4,'I_Budget Input Data'!$D$83*0.2/('I_Inputs &amp; Assumptions'!$B$8/4),IF(4&lt;='I_Inputs &amp; Assumptions'!$B$8*0.75,'I_Budget Input Data'!$D$83*0.6/('I_Inputs &amp; Assumptions'!$B$8/2),'I_Budget Input Data'!$D$83*0.2/('I_Inputs &amp; Assumptions'!$B$8/4))),IF('I_Budget Input Data'!$E$83="At Completion",IF(4='I_Inputs &amp; Assumptions'!$B$8,'I_Budget Input Data'!$D$83,0),'I_Budget Input Data'!$D$83/'I_Inputs &amp; Assumptions'!$B$8)))))),0)</f>
        <v>19428.461538461539</v>
      </c>
      <c r="G83" s="91">
        <f>IF(5&lt;='I_Inputs &amp; Assumptions'!$B$8,IF('I_Budget Input Data'!$E$83="Upfront",IF(5=1,'I_Budget Input Data'!$D$83,0),IF('I_Budget Input Data'!$E$83="Equal",'I_Budget Input Data'!$D$83/'I_Inputs &amp; Assumptions'!$B$8,IF('I_Budget Input Data'!$E$83="Front-loaded",IF(5&lt;='I_Inputs &amp; Assumptions'!$B$8/2,'I_Budget Input Data'!$D$83*0.6/('I_Inputs &amp; Assumptions'!$B$8/2),'I_Budget Input Data'!$D$83*0.4/('I_Inputs &amp; Assumptions'!$B$8/2)),IF('I_Budget Input Data'!$E$83="Back-loaded",IF(5&lt;='I_Inputs &amp; Assumptions'!$B$8/2,'I_Budget Input Data'!$D$83*0.4/('I_Inputs &amp; Assumptions'!$B$8/2),'I_Budget Input Data'!$D$83*0.6/('I_Inputs &amp; Assumptions'!$B$8/2)),IF('I_Budget Input Data'!$E$83="Mid-weighted",IF(5&lt;='I_Inputs &amp; Assumptions'!$B$8/4,'I_Budget Input Data'!$D$83*0.2/('I_Inputs &amp; Assumptions'!$B$8/4),IF(5&lt;='I_Inputs &amp; Assumptions'!$B$8*0.75,'I_Budget Input Data'!$D$83*0.6/('I_Inputs &amp; Assumptions'!$B$8/2),'I_Budget Input Data'!$D$83*0.2/('I_Inputs &amp; Assumptions'!$B$8/4))),IF('I_Budget Input Data'!$E$83="At Completion",IF(5='I_Inputs &amp; Assumptions'!$B$8,'I_Budget Input Data'!$D$83,0),'I_Budget Input Data'!$D$83/'I_Inputs &amp; Assumptions'!$B$8)))))),0)</f>
        <v>19428.461538461539</v>
      </c>
      <c r="H83" s="91">
        <f>IF(6&lt;='I_Inputs &amp; Assumptions'!$B$8,IF('I_Budget Input Data'!$E$83="Upfront",IF(6=1,'I_Budget Input Data'!$D$83,0),IF('I_Budget Input Data'!$E$83="Equal",'I_Budget Input Data'!$D$83/'I_Inputs &amp; Assumptions'!$B$8,IF('I_Budget Input Data'!$E$83="Front-loaded",IF(6&lt;='I_Inputs &amp; Assumptions'!$B$8/2,'I_Budget Input Data'!$D$83*0.6/('I_Inputs &amp; Assumptions'!$B$8/2),'I_Budget Input Data'!$D$83*0.4/('I_Inputs &amp; Assumptions'!$B$8/2)),IF('I_Budget Input Data'!$E$83="Back-loaded",IF(6&lt;='I_Inputs &amp; Assumptions'!$B$8/2,'I_Budget Input Data'!$D$83*0.4/('I_Inputs &amp; Assumptions'!$B$8/2),'I_Budget Input Data'!$D$83*0.6/('I_Inputs &amp; Assumptions'!$B$8/2)),IF('I_Budget Input Data'!$E$83="Mid-weighted",IF(6&lt;='I_Inputs &amp; Assumptions'!$B$8/4,'I_Budget Input Data'!$D$83*0.2/('I_Inputs &amp; Assumptions'!$B$8/4),IF(6&lt;='I_Inputs &amp; Assumptions'!$B$8*0.75,'I_Budget Input Data'!$D$83*0.6/('I_Inputs &amp; Assumptions'!$B$8/2),'I_Budget Input Data'!$D$83*0.2/('I_Inputs &amp; Assumptions'!$B$8/4))),IF('I_Budget Input Data'!$E$83="At Completion",IF(6='I_Inputs &amp; Assumptions'!$B$8,'I_Budget Input Data'!$D$83,0),'I_Budget Input Data'!$D$83/'I_Inputs &amp; Assumptions'!$B$8)))))),0)</f>
        <v>19428.461538461539</v>
      </c>
      <c r="I83" s="91">
        <f>IF(7&lt;='I_Inputs &amp; Assumptions'!$B$8,IF('I_Budget Input Data'!$E$83="Upfront",IF(7=1,'I_Budget Input Data'!$D$83,0),IF('I_Budget Input Data'!$E$83="Equal",'I_Budget Input Data'!$D$83/'I_Inputs &amp; Assumptions'!$B$8,IF('I_Budget Input Data'!$E$83="Front-loaded",IF(7&lt;='I_Inputs &amp; Assumptions'!$B$8/2,'I_Budget Input Data'!$D$83*0.6/('I_Inputs &amp; Assumptions'!$B$8/2),'I_Budget Input Data'!$D$83*0.4/('I_Inputs &amp; Assumptions'!$B$8/2)),IF('I_Budget Input Data'!$E$83="Back-loaded",IF(7&lt;='I_Inputs &amp; Assumptions'!$B$8/2,'I_Budget Input Data'!$D$83*0.4/('I_Inputs &amp; Assumptions'!$B$8/2),'I_Budget Input Data'!$D$83*0.6/('I_Inputs &amp; Assumptions'!$B$8/2)),IF('I_Budget Input Data'!$E$83="Mid-weighted",IF(7&lt;='I_Inputs &amp; Assumptions'!$B$8/4,'I_Budget Input Data'!$D$83*0.2/('I_Inputs &amp; Assumptions'!$B$8/4),IF(7&lt;='I_Inputs &amp; Assumptions'!$B$8*0.75,'I_Budget Input Data'!$D$83*0.6/('I_Inputs &amp; Assumptions'!$B$8/2),'I_Budget Input Data'!$D$83*0.2/('I_Inputs &amp; Assumptions'!$B$8/4))),IF('I_Budget Input Data'!$E$83="At Completion",IF(7='I_Inputs &amp; Assumptions'!$B$8,'I_Budget Input Data'!$D$83,0),'I_Budget Input Data'!$D$83/'I_Inputs &amp; Assumptions'!$B$8)))))),0)</f>
        <v>19428.461538461539</v>
      </c>
      <c r="J83" s="91">
        <f>IF(8&lt;='I_Inputs &amp; Assumptions'!$B$8,IF('I_Budget Input Data'!$E$83="Upfront",IF(8=1,'I_Budget Input Data'!$D$83,0),IF('I_Budget Input Data'!$E$83="Equal",'I_Budget Input Data'!$D$83/'I_Inputs &amp; Assumptions'!$B$8,IF('I_Budget Input Data'!$E$83="Front-loaded",IF(8&lt;='I_Inputs &amp; Assumptions'!$B$8/2,'I_Budget Input Data'!$D$83*0.6/('I_Inputs &amp; Assumptions'!$B$8/2),'I_Budget Input Data'!$D$83*0.4/('I_Inputs &amp; Assumptions'!$B$8/2)),IF('I_Budget Input Data'!$E$83="Back-loaded",IF(8&lt;='I_Inputs &amp; Assumptions'!$B$8/2,'I_Budget Input Data'!$D$83*0.4/('I_Inputs &amp; Assumptions'!$B$8/2),'I_Budget Input Data'!$D$83*0.6/('I_Inputs &amp; Assumptions'!$B$8/2)),IF('I_Budget Input Data'!$E$83="Mid-weighted",IF(8&lt;='I_Inputs &amp; Assumptions'!$B$8/4,'I_Budget Input Data'!$D$83*0.2/('I_Inputs &amp; Assumptions'!$B$8/4),IF(8&lt;='I_Inputs &amp; Assumptions'!$B$8*0.75,'I_Budget Input Data'!$D$83*0.6/('I_Inputs &amp; Assumptions'!$B$8/2),'I_Budget Input Data'!$D$83*0.2/('I_Inputs &amp; Assumptions'!$B$8/4))),IF('I_Budget Input Data'!$E$83="At Completion",IF(8='I_Inputs &amp; Assumptions'!$B$8,'I_Budget Input Data'!$D$83,0),'I_Budget Input Data'!$D$83/'I_Inputs &amp; Assumptions'!$B$8)))))),0)</f>
        <v>19428.461538461539</v>
      </c>
      <c r="K83" s="91">
        <f>IF(9&lt;='I_Inputs &amp; Assumptions'!$B$8,IF('I_Budget Input Data'!$E$83="Upfront",IF(9=1,'I_Budget Input Data'!$D$83,0),IF('I_Budget Input Data'!$E$83="Equal",'I_Budget Input Data'!$D$83/'I_Inputs &amp; Assumptions'!$B$8,IF('I_Budget Input Data'!$E$83="Front-loaded",IF(9&lt;='I_Inputs &amp; Assumptions'!$B$8/2,'I_Budget Input Data'!$D$83*0.6/('I_Inputs &amp; Assumptions'!$B$8/2),'I_Budget Input Data'!$D$83*0.4/('I_Inputs &amp; Assumptions'!$B$8/2)),IF('I_Budget Input Data'!$E$83="Back-loaded",IF(9&lt;='I_Inputs &amp; Assumptions'!$B$8/2,'I_Budget Input Data'!$D$83*0.4/('I_Inputs &amp; Assumptions'!$B$8/2),'I_Budget Input Data'!$D$83*0.6/('I_Inputs &amp; Assumptions'!$B$8/2)),IF('I_Budget Input Data'!$E$83="Mid-weighted",IF(9&lt;='I_Inputs &amp; Assumptions'!$B$8/4,'I_Budget Input Data'!$D$83*0.2/('I_Inputs &amp; Assumptions'!$B$8/4),IF(9&lt;='I_Inputs &amp; Assumptions'!$B$8*0.75,'I_Budget Input Data'!$D$83*0.6/('I_Inputs &amp; Assumptions'!$B$8/2),'I_Budget Input Data'!$D$83*0.2/('I_Inputs &amp; Assumptions'!$B$8/4))),IF('I_Budget Input Data'!$E$83="At Completion",IF(9='I_Inputs &amp; Assumptions'!$B$8,'I_Budget Input Data'!$D$83,0),'I_Budget Input Data'!$D$83/'I_Inputs &amp; Assumptions'!$B$8)))))),0)</f>
        <v>19428.461538461539</v>
      </c>
      <c r="L83" s="91">
        <f>IF(10&lt;='I_Inputs &amp; Assumptions'!$B$8,IF('I_Budget Input Data'!$E$83="Upfront",IF(10=1,'I_Budget Input Data'!$D$83,0),IF('I_Budget Input Data'!$E$83="Equal",'I_Budget Input Data'!$D$83/'I_Inputs &amp; Assumptions'!$B$8,IF('I_Budget Input Data'!$E$83="Front-loaded",IF(10&lt;='I_Inputs &amp; Assumptions'!$B$8/2,'I_Budget Input Data'!$D$83*0.6/('I_Inputs &amp; Assumptions'!$B$8/2),'I_Budget Input Data'!$D$83*0.4/('I_Inputs &amp; Assumptions'!$B$8/2)),IF('I_Budget Input Data'!$E$83="Back-loaded",IF(10&lt;='I_Inputs &amp; Assumptions'!$B$8/2,'I_Budget Input Data'!$D$83*0.4/('I_Inputs &amp; Assumptions'!$B$8/2),'I_Budget Input Data'!$D$83*0.6/('I_Inputs &amp; Assumptions'!$B$8/2)),IF('I_Budget Input Data'!$E$83="Mid-weighted",IF(10&lt;='I_Inputs &amp; Assumptions'!$B$8/4,'I_Budget Input Data'!$D$83*0.2/('I_Inputs &amp; Assumptions'!$B$8/4),IF(10&lt;='I_Inputs &amp; Assumptions'!$B$8*0.75,'I_Budget Input Data'!$D$83*0.6/('I_Inputs &amp; Assumptions'!$B$8/2),'I_Budget Input Data'!$D$83*0.2/('I_Inputs &amp; Assumptions'!$B$8/4))),IF('I_Budget Input Data'!$E$83="At Completion",IF(10='I_Inputs &amp; Assumptions'!$B$8,'I_Budget Input Data'!$D$83,0),'I_Budget Input Data'!$D$83/'I_Inputs &amp; Assumptions'!$B$8)))))),0)</f>
        <v>19428.461538461539</v>
      </c>
      <c r="M83" s="91">
        <f>IF(11&lt;='I_Inputs &amp; Assumptions'!$B$8,IF('I_Budget Input Data'!$E$83="Upfront",IF(11=1,'I_Budget Input Data'!$D$83,0),IF('I_Budget Input Data'!$E$83="Equal",'I_Budget Input Data'!$D$83/'I_Inputs &amp; Assumptions'!$B$8,IF('I_Budget Input Data'!$E$83="Front-loaded",IF(11&lt;='I_Inputs &amp; Assumptions'!$B$8/2,'I_Budget Input Data'!$D$83*0.6/('I_Inputs &amp; Assumptions'!$B$8/2),'I_Budget Input Data'!$D$83*0.4/('I_Inputs &amp; Assumptions'!$B$8/2)),IF('I_Budget Input Data'!$E$83="Back-loaded",IF(11&lt;='I_Inputs &amp; Assumptions'!$B$8/2,'I_Budget Input Data'!$D$83*0.4/('I_Inputs &amp; Assumptions'!$B$8/2),'I_Budget Input Data'!$D$83*0.6/('I_Inputs &amp; Assumptions'!$B$8/2)),IF('I_Budget Input Data'!$E$83="Mid-weighted",IF(11&lt;='I_Inputs &amp; Assumptions'!$B$8/4,'I_Budget Input Data'!$D$83*0.2/('I_Inputs &amp; Assumptions'!$B$8/4),IF(11&lt;='I_Inputs &amp; Assumptions'!$B$8*0.75,'I_Budget Input Data'!$D$83*0.6/('I_Inputs &amp; Assumptions'!$B$8/2),'I_Budget Input Data'!$D$83*0.2/('I_Inputs &amp; Assumptions'!$B$8/4))),IF('I_Budget Input Data'!$E$83="At Completion",IF(11='I_Inputs &amp; Assumptions'!$B$8,'I_Budget Input Data'!$D$83,0),'I_Budget Input Data'!$D$83/'I_Inputs &amp; Assumptions'!$B$8)))))),0)</f>
        <v>19428.461538461539</v>
      </c>
      <c r="N83" s="91">
        <f>IF(12&lt;='I_Inputs &amp; Assumptions'!$B$8,IF('I_Budget Input Data'!$E$83="Upfront",IF(12=1,'I_Budget Input Data'!$D$83,0),IF('I_Budget Input Data'!$E$83="Equal",'I_Budget Input Data'!$D$83/'I_Inputs &amp; Assumptions'!$B$8,IF('I_Budget Input Data'!$E$83="Front-loaded",IF(12&lt;='I_Inputs &amp; Assumptions'!$B$8/2,'I_Budget Input Data'!$D$83*0.6/('I_Inputs &amp; Assumptions'!$B$8/2),'I_Budget Input Data'!$D$83*0.4/('I_Inputs &amp; Assumptions'!$B$8/2)),IF('I_Budget Input Data'!$E$83="Back-loaded",IF(12&lt;='I_Inputs &amp; Assumptions'!$B$8/2,'I_Budget Input Data'!$D$83*0.4/('I_Inputs &amp; Assumptions'!$B$8/2),'I_Budget Input Data'!$D$83*0.6/('I_Inputs &amp; Assumptions'!$B$8/2)),IF('I_Budget Input Data'!$E$83="Mid-weighted",IF(12&lt;='I_Inputs &amp; Assumptions'!$B$8/4,'I_Budget Input Data'!$D$83*0.2/('I_Inputs &amp; Assumptions'!$B$8/4),IF(12&lt;='I_Inputs &amp; Assumptions'!$B$8*0.75,'I_Budget Input Data'!$D$83*0.6/('I_Inputs &amp; Assumptions'!$B$8/2),'I_Budget Input Data'!$D$83*0.2/('I_Inputs &amp; Assumptions'!$B$8/4))),IF('I_Budget Input Data'!$E$83="At Completion",IF(12='I_Inputs &amp; Assumptions'!$B$8,'I_Budget Input Data'!$D$83,0),'I_Budget Input Data'!$D$83/'I_Inputs &amp; Assumptions'!$B$8)))))),0)</f>
        <v>19428.461538461539</v>
      </c>
      <c r="O83" s="91">
        <f>IF(13&lt;='I_Inputs &amp; Assumptions'!$B$8,IF('I_Budget Input Data'!$E$83="Upfront",IF(13=1,'I_Budget Input Data'!$D$83,0),IF('I_Budget Input Data'!$E$83="Equal",'I_Budget Input Data'!$D$83/'I_Inputs &amp; Assumptions'!$B$8,IF('I_Budget Input Data'!$E$83="Front-loaded",IF(13&lt;='I_Inputs &amp; Assumptions'!$B$8/2,'I_Budget Input Data'!$D$83*0.6/('I_Inputs &amp; Assumptions'!$B$8/2),'I_Budget Input Data'!$D$83*0.4/('I_Inputs &amp; Assumptions'!$B$8/2)),IF('I_Budget Input Data'!$E$83="Back-loaded",IF(13&lt;='I_Inputs &amp; Assumptions'!$B$8/2,'I_Budget Input Data'!$D$83*0.4/('I_Inputs &amp; Assumptions'!$B$8/2),'I_Budget Input Data'!$D$83*0.6/('I_Inputs &amp; Assumptions'!$B$8/2)),IF('I_Budget Input Data'!$E$83="Mid-weighted",IF(13&lt;='I_Inputs &amp; Assumptions'!$B$8/4,'I_Budget Input Data'!$D$83*0.2/('I_Inputs &amp; Assumptions'!$B$8/4),IF(13&lt;='I_Inputs &amp; Assumptions'!$B$8*0.75,'I_Budget Input Data'!$D$83*0.6/('I_Inputs &amp; Assumptions'!$B$8/2),'I_Budget Input Data'!$D$83*0.2/('I_Inputs &amp; Assumptions'!$B$8/4))),IF('I_Budget Input Data'!$E$83="At Completion",IF(13='I_Inputs &amp; Assumptions'!$B$8,'I_Budget Input Data'!$D$83,0),'I_Budget Input Data'!$D$83/'I_Inputs &amp; Assumptions'!$B$8)))))),0)</f>
        <v>19428.461538461539</v>
      </c>
      <c r="P83" s="91">
        <f>IF(14&lt;='I_Inputs &amp; Assumptions'!$B$8,IF('I_Budget Input Data'!$E$83="Upfront",IF(14=1,'I_Budget Input Data'!$D$83,0),IF('I_Budget Input Data'!$E$83="Equal",'I_Budget Input Data'!$D$83/'I_Inputs &amp; Assumptions'!$B$8,IF('I_Budget Input Data'!$E$83="Front-loaded",IF(14&lt;='I_Inputs &amp; Assumptions'!$B$8/2,'I_Budget Input Data'!$D$83*0.6/('I_Inputs &amp; Assumptions'!$B$8/2),'I_Budget Input Data'!$D$83*0.4/('I_Inputs &amp; Assumptions'!$B$8/2)),IF('I_Budget Input Data'!$E$83="Back-loaded",IF(14&lt;='I_Inputs &amp; Assumptions'!$B$8/2,'I_Budget Input Data'!$D$83*0.4/('I_Inputs &amp; Assumptions'!$B$8/2),'I_Budget Input Data'!$D$83*0.6/('I_Inputs &amp; Assumptions'!$B$8/2)),IF('I_Budget Input Data'!$E$83="Mid-weighted",IF(14&lt;='I_Inputs &amp; Assumptions'!$B$8/4,'I_Budget Input Data'!$D$83*0.2/('I_Inputs &amp; Assumptions'!$B$8/4),IF(14&lt;='I_Inputs &amp; Assumptions'!$B$8*0.75,'I_Budget Input Data'!$D$83*0.6/('I_Inputs &amp; Assumptions'!$B$8/2),'I_Budget Input Data'!$D$83*0.2/('I_Inputs &amp; Assumptions'!$B$8/4))),IF('I_Budget Input Data'!$E$83="At Completion",IF(14='I_Inputs &amp; Assumptions'!$B$8,'I_Budget Input Data'!$D$83,0),'I_Budget Input Data'!$D$83/'I_Inputs &amp; Assumptions'!$B$8)))))),0)</f>
        <v>0</v>
      </c>
      <c r="Q83" s="91">
        <f>IF(15&lt;='I_Inputs &amp; Assumptions'!$B$8,IF('I_Budget Input Data'!$E$83="Upfront",IF(15=1,'I_Budget Input Data'!$D$83,0),IF('I_Budget Input Data'!$E$83="Equal",'I_Budget Input Data'!$D$83/'I_Inputs &amp; Assumptions'!$B$8,IF('I_Budget Input Data'!$E$83="Front-loaded",IF(15&lt;='I_Inputs &amp; Assumptions'!$B$8/2,'I_Budget Input Data'!$D$83*0.6/('I_Inputs &amp; Assumptions'!$B$8/2),'I_Budget Input Data'!$D$83*0.4/('I_Inputs &amp; Assumptions'!$B$8/2)),IF('I_Budget Input Data'!$E$83="Back-loaded",IF(15&lt;='I_Inputs &amp; Assumptions'!$B$8/2,'I_Budget Input Data'!$D$83*0.4/('I_Inputs &amp; Assumptions'!$B$8/2),'I_Budget Input Data'!$D$83*0.6/('I_Inputs &amp; Assumptions'!$B$8/2)),IF('I_Budget Input Data'!$E$83="Mid-weighted",IF(15&lt;='I_Inputs &amp; Assumptions'!$B$8/4,'I_Budget Input Data'!$D$83*0.2/('I_Inputs &amp; Assumptions'!$B$8/4),IF(15&lt;='I_Inputs &amp; Assumptions'!$B$8*0.75,'I_Budget Input Data'!$D$83*0.6/('I_Inputs &amp; Assumptions'!$B$8/2),'I_Budget Input Data'!$D$83*0.2/('I_Inputs &amp; Assumptions'!$B$8/4))),IF('I_Budget Input Data'!$E$83="At Completion",IF(15='I_Inputs &amp; Assumptions'!$B$8,'I_Budget Input Data'!$D$83,0),'I_Budget Input Data'!$D$83/'I_Inputs &amp; Assumptions'!$B$8)))))),0)</f>
        <v>0</v>
      </c>
      <c r="R83" s="91">
        <f>IF(16&lt;='I_Inputs &amp; Assumptions'!$B$8,IF('I_Budget Input Data'!$E$83="Upfront",IF(16=1,'I_Budget Input Data'!$D$83,0),IF('I_Budget Input Data'!$E$83="Equal",'I_Budget Input Data'!$D$83/'I_Inputs &amp; Assumptions'!$B$8,IF('I_Budget Input Data'!$E$83="Front-loaded",IF(16&lt;='I_Inputs &amp; Assumptions'!$B$8/2,'I_Budget Input Data'!$D$83*0.6/('I_Inputs &amp; Assumptions'!$B$8/2),'I_Budget Input Data'!$D$83*0.4/('I_Inputs &amp; Assumptions'!$B$8/2)),IF('I_Budget Input Data'!$E$83="Back-loaded",IF(16&lt;='I_Inputs &amp; Assumptions'!$B$8/2,'I_Budget Input Data'!$D$83*0.4/('I_Inputs &amp; Assumptions'!$B$8/2),'I_Budget Input Data'!$D$83*0.6/('I_Inputs &amp; Assumptions'!$B$8/2)),IF('I_Budget Input Data'!$E$83="Mid-weighted",IF(16&lt;='I_Inputs &amp; Assumptions'!$B$8/4,'I_Budget Input Data'!$D$83*0.2/('I_Inputs &amp; Assumptions'!$B$8/4),IF(16&lt;='I_Inputs &amp; Assumptions'!$B$8*0.75,'I_Budget Input Data'!$D$83*0.6/('I_Inputs &amp; Assumptions'!$B$8/2),'I_Budget Input Data'!$D$83*0.2/('I_Inputs &amp; Assumptions'!$B$8/4))),IF('I_Budget Input Data'!$E$83="At Completion",IF(16='I_Inputs &amp; Assumptions'!$B$8,'I_Budget Input Data'!$D$83,0),'I_Budget Input Data'!$D$83/'I_Inputs &amp; Assumptions'!$B$8)))))),0)</f>
        <v>0</v>
      </c>
      <c r="S83" s="91">
        <f>IF(17&lt;='I_Inputs &amp; Assumptions'!$B$8,IF('I_Budget Input Data'!$E$83="Upfront",IF(17=1,'I_Budget Input Data'!$D$83,0),IF('I_Budget Input Data'!$E$83="Equal",'I_Budget Input Data'!$D$83/'I_Inputs &amp; Assumptions'!$B$8,IF('I_Budget Input Data'!$E$83="Front-loaded",IF(17&lt;='I_Inputs &amp; Assumptions'!$B$8/2,'I_Budget Input Data'!$D$83*0.6/('I_Inputs &amp; Assumptions'!$B$8/2),'I_Budget Input Data'!$D$83*0.4/('I_Inputs &amp; Assumptions'!$B$8/2)),IF('I_Budget Input Data'!$E$83="Back-loaded",IF(17&lt;='I_Inputs &amp; Assumptions'!$B$8/2,'I_Budget Input Data'!$D$83*0.4/('I_Inputs &amp; Assumptions'!$B$8/2),'I_Budget Input Data'!$D$83*0.6/('I_Inputs &amp; Assumptions'!$B$8/2)),IF('I_Budget Input Data'!$E$83="Mid-weighted",IF(17&lt;='I_Inputs &amp; Assumptions'!$B$8/4,'I_Budget Input Data'!$D$83*0.2/('I_Inputs &amp; Assumptions'!$B$8/4),IF(17&lt;='I_Inputs &amp; Assumptions'!$B$8*0.75,'I_Budget Input Data'!$D$83*0.6/('I_Inputs &amp; Assumptions'!$B$8/2),'I_Budget Input Data'!$D$83*0.2/('I_Inputs &amp; Assumptions'!$B$8/4))),IF('I_Budget Input Data'!$E$83="At Completion",IF(17='I_Inputs &amp; Assumptions'!$B$8,'I_Budget Input Data'!$D$83,0),'I_Budget Input Data'!$D$83/'I_Inputs &amp; Assumptions'!$B$8)))))),0)</f>
        <v>0</v>
      </c>
      <c r="T83" s="91">
        <f>IF(18&lt;='I_Inputs &amp; Assumptions'!$B$8,IF('I_Budget Input Data'!$E$83="Upfront",IF(18=1,'I_Budget Input Data'!$D$83,0),IF('I_Budget Input Data'!$E$83="Equal",'I_Budget Input Data'!$D$83/'I_Inputs &amp; Assumptions'!$B$8,IF('I_Budget Input Data'!$E$83="Front-loaded",IF(18&lt;='I_Inputs &amp; Assumptions'!$B$8/2,'I_Budget Input Data'!$D$83*0.6/('I_Inputs &amp; Assumptions'!$B$8/2),'I_Budget Input Data'!$D$83*0.4/('I_Inputs &amp; Assumptions'!$B$8/2)),IF('I_Budget Input Data'!$E$83="Back-loaded",IF(18&lt;='I_Inputs &amp; Assumptions'!$B$8/2,'I_Budget Input Data'!$D$83*0.4/('I_Inputs &amp; Assumptions'!$B$8/2),'I_Budget Input Data'!$D$83*0.6/('I_Inputs &amp; Assumptions'!$B$8/2)),IF('I_Budget Input Data'!$E$83="Mid-weighted",IF(18&lt;='I_Inputs &amp; Assumptions'!$B$8/4,'I_Budget Input Data'!$D$83*0.2/('I_Inputs &amp; Assumptions'!$B$8/4),IF(18&lt;='I_Inputs &amp; Assumptions'!$B$8*0.75,'I_Budget Input Data'!$D$83*0.6/('I_Inputs &amp; Assumptions'!$B$8/2),'I_Budget Input Data'!$D$83*0.2/('I_Inputs &amp; Assumptions'!$B$8/4))),IF('I_Budget Input Data'!$E$83="At Completion",IF(18='I_Inputs &amp; Assumptions'!$B$8,'I_Budget Input Data'!$D$83,0),'I_Budget Input Data'!$D$83/'I_Inputs &amp; Assumptions'!$B$8)))))),0)</f>
        <v>0</v>
      </c>
      <c r="U83" s="91">
        <f>IF(19&lt;='I_Inputs &amp; Assumptions'!$B$8,IF('I_Budget Input Data'!$E$83="Upfront",IF(19=1,'I_Budget Input Data'!$D$83,0),IF('I_Budget Input Data'!$E$83="Equal",'I_Budget Input Data'!$D$83/'I_Inputs &amp; Assumptions'!$B$8,IF('I_Budget Input Data'!$E$83="Front-loaded",IF(19&lt;='I_Inputs &amp; Assumptions'!$B$8/2,'I_Budget Input Data'!$D$83*0.6/('I_Inputs &amp; Assumptions'!$B$8/2),'I_Budget Input Data'!$D$83*0.4/('I_Inputs &amp; Assumptions'!$B$8/2)),IF('I_Budget Input Data'!$E$83="Back-loaded",IF(19&lt;='I_Inputs &amp; Assumptions'!$B$8/2,'I_Budget Input Data'!$D$83*0.4/('I_Inputs &amp; Assumptions'!$B$8/2),'I_Budget Input Data'!$D$83*0.6/('I_Inputs &amp; Assumptions'!$B$8/2)),IF('I_Budget Input Data'!$E$83="Mid-weighted",IF(19&lt;='I_Inputs &amp; Assumptions'!$B$8/4,'I_Budget Input Data'!$D$83*0.2/('I_Inputs &amp; Assumptions'!$B$8/4),IF(19&lt;='I_Inputs &amp; Assumptions'!$B$8*0.75,'I_Budget Input Data'!$D$83*0.6/('I_Inputs &amp; Assumptions'!$B$8/2),'I_Budget Input Data'!$D$83*0.2/('I_Inputs &amp; Assumptions'!$B$8/4))),IF('I_Budget Input Data'!$E$83="At Completion",IF(19='I_Inputs &amp; Assumptions'!$B$8,'I_Budget Input Data'!$D$83,0),'I_Budget Input Data'!$D$83/'I_Inputs &amp; Assumptions'!$B$8)))))),0)</f>
        <v>0</v>
      </c>
      <c r="V83" s="91">
        <f>IF(20&lt;='I_Inputs &amp; Assumptions'!$B$8,IF('I_Budget Input Data'!$E$83="Upfront",IF(20=1,'I_Budget Input Data'!$D$83,0),IF('I_Budget Input Data'!$E$83="Equal",'I_Budget Input Data'!$D$83/'I_Inputs &amp; Assumptions'!$B$8,IF('I_Budget Input Data'!$E$83="Front-loaded",IF(20&lt;='I_Inputs &amp; Assumptions'!$B$8/2,'I_Budget Input Data'!$D$83*0.6/('I_Inputs &amp; Assumptions'!$B$8/2),'I_Budget Input Data'!$D$83*0.4/('I_Inputs &amp; Assumptions'!$B$8/2)),IF('I_Budget Input Data'!$E$83="Back-loaded",IF(20&lt;='I_Inputs &amp; Assumptions'!$B$8/2,'I_Budget Input Data'!$D$83*0.4/('I_Inputs &amp; Assumptions'!$B$8/2),'I_Budget Input Data'!$D$83*0.6/('I_Inputs &amp; Assumptions'!$B$8/2)),IF('I_Budget Input Data'!$E$83="Mid-weighted",IF(20&lt;='I_Inputs &amp; Assumptions'!$B$8/4,'I_Budget Input Data'!$D$83*0.2/('I_Inputs &amp; Assumptions'!$B$8/4),IF(20&lt;='I_Inputs &amp; Assumptions'!$B$8*0.75,'I_Budget Input Data'!$D$83*0.6/('I_Inputs &amp; Assumptions'!$B$8/2),'I_Budget Input Data'!$D$83*0.2/('I_Inputs &amp; Assumptions'!$B$8/4))),IF('I_Budget Input Data'!$E$83="At Completion",IF(20='I_Inputs &amp; Assumptions'!$B$8,'I_Budget Input Data'!$D$83,0),'I_Budget Input Data'!$D$83/'I_Inputs &amp; Assumptions'!$B$8)))))),0)</f>
        <v>0</v>
      </c>
      <c r="W83" s="91">
        <f>IF(21&lt;='I_Inputs &amp; Assumptions'!$B$8,IF('I_Budget Input Data'!$E$83="Upfront",IF(21=1,'I_Budget Input Data'!$D$83,0),IF('I_Budget Input Data'!$E$83="Equal",'I_Budget Input Data'!$D$83/'I_Inputs &amp; Assumptions'!$B$8,IF('I_Budget Input Data'!$E$83="Front-loaded",IF(21&lt;='I_Inputs &amp; Assumptions'!$B$8/2,'I_Budget Input Data'!$D$83*0.6/('I_Inputs &amp; Assumptions'!$B$8/2),'I_Budget Input Data'!$D$83*0.4/('I_Inputs &amp; Assumptions'!$B$8/2)),IF('I_Budget Input Data'!$E$83="Back-loaded",IF(21&lt;='I_Inputs &amp; Assumptions'!$B$8/2,'I_Budget Input Data'!$D$83*0.4/('I_Inputs &amp; Assumptions'!$B$8/2),'I_Budget Input Data'!$D$83*0.6/('I_Inputs &amp; Assumptions'!$B$8/2)),IF('I_Budget Input Data'!$E$83="Mid-weighted",IF(21&lt;='I_Inputs &amp; Assumptions'!$B$8/4,'I_Budget Input Data'!$D$83*0.2/('I_Inputs &amp; Assumptions'!$B$8/4),IF(21&lt;='I_Inputs &amp; Assumptions'!$B$8*0.75,'I_Budget Input Data'!$D$83*0.6/('I_Inputs &amp; Assumptions'!$B$8/2),'I_Budget Input Data'!$D$83*0.2/('I_Inputs &amp; Assumptions'!$B$8/4))),IF('I_Budget Input Data'!$E$83="At Completion",IF(21='I_Inputs &amp; Assumptions'!$B$8,'I_Budget Input Data'!$D$83,0),'I_Budget Input Data'!$D$83/'I_Inputs &amp; Assumptions'!$B$8)))))),0)</f>
        <v>0</v>
      </c>
      <c r="X83" s="91">
        <f>IF(22&lt;='I_Inputs &amp; Assumptions'!$B$8,IF('I_Budget Input Data'!$E$83="Upfront",IF(22=1,'I_Budget Input Data'!$D$83,0),IF('I_Budget Input Data'!$E$83="Equal",'I_Budget Input Data'!$D$83/'I_Inputs &amp; Assumptions'!$B$8,IF('I_Budget Input Data'!$E$83="Front-loaded",IF(22&lt;='I_Inputs &amp; Assumptions'!$B$8/2,'I_Budget Input Data'!$D$83*0.6/('I_Inputs &amp; Assumptions'!$B$8/2),'I_Budget Input Data'!$D$83*0.4/('I_Inputs &amp; Assumptions'!$B$8/2)),IF('I_Budget Input Data'!$E$83="Back-loaded",IF(22&lt;='I_Inputs &amp; Assumptions'!$B$8/2,'I_Budget Input Data'!$D$83*0.4/('I_Inputs &amp; Assumptions'!$B$8/2),'I_Budget Input Data'!$D$83*0.6/('I_Inputs &amp; Assumptions'!$B$8/2)),IF('I_Budget Input Data'!$E$83="Mid-weighted",IF(22&lt;='I_Inputs &amp; Assumptions'!$B$8/4,'I_Budget Input Data'!$D$83*0.2/('I_Inputs &amp; Assumptions'!$B$8/4),IF(22&lt;='I_Inputs &amp; Assumptions'!$B$8*0.75,'I_Budget Input Data'!$D$83*0.6/('I_Inputs &amp; Assumptions'!$B$8/2),'I_Budget Input Data'!$D$83*0.2/('I_Inputs &amp; Assumptions'!$B$8/4))),IF('I_Budget Input Data'!$E$83="At Completion",IF(22='I_Inputs &amp; Assumptions'!$B$8,'I_Budget Input Data'!$D$83,0),'I_Budget Input Data'!$D$83/'I_Inputs &amp; Assumptions'!$B$8)))))),0)</f>
        <v>0</v>
      </c>
      <c r="Y83" s="91">
        <f>IF(23&lt;='I_Inputs &amp; Assumptions'!$B$8,IF('I_Budget Input Data'!$E$83="Upfront",IF(23=1,'I_Budget Input Data'!$D$83,0),IF('I_Budget Input Data'!$E$83="Equal",'I_Budget Input Data'!$D$83/'I_Inputs &amp; Assumptions'!$B$8,IF('I_Budget Input Data'!$E$83="Front-loaded",IF(23&lt;='I_Inputs &amp; Assumptions'!$B$8/2,'I_Budget Input Data'!$D$83*0.6/('I_Inputs &amp; Assumptions'!$B$8/2),'I_Budget Input Data'!$D$83*0.4/('I_Inputs &amp; Assumptions'!$B$8/2)),IF('I_Budget Input Data'!$E$83="Back-loaded",IF(23&lt;='I_Inputs &amp; Assumptions'!$B$8/2,'I_Budget Input Data'!$D$83*0.4/('I_Inputs &amp; Assumptions'!$B$8/2),'I_Budget Input Data'!$D$83*0.6/('I_Inputs &amp; Assumptions'!$B$8/2)),IF('I_Budget Input Data'!$E$83="Mid-weighted",IF(23&lt;='I_Inputs &amp; Assumptions'!$B$8/4,'I_Budget Input Data'!$D$83*0.2/('I_Inputs &amp; Assumptions'!$B$8/4),IF(23&lt;='I_Inputs &amp; Assumptions'!$B$8*0.75,'I_Budget Input Data'!$D$83*0.6/('I_Inputs &amp; Assumptions'!$B$8/2),'I_Budget Input Data'!$D$83*0.2/('I_Inputs &amp; Assumptions'!$B$8/4))),IF('I_Budget Input Data'!$E$83="At Completion",IF(23='I_Inputs &amp; Assumptions'!$B$8,'I_Budget Input Data'!$D$83,0),'I_Budget Input Data'!$D$83/'I_Inputs &amp; Assumptions'!$B$8)))))),0)</f>
        <v>0</v>
      </c>
      <c r="Z83" s="91">
        <f>IF(24&lt;='I_Inputs &amp; Assumptions'!$B$8,IF('I_Budget Input Data'!$E$83="Upfront",IF(24=1,'I_Budget Input Data'!$D$83,0),IF('I_Budget Input Data'!$E$83="Equal",'I_Budget Input Data'!$D$83/'I_Inputs &amp; Assumptions'!$B$8,IF('I_Budget Input Data'!$E$83="Front-loaded",IF(24&lt;='I_Inputs &amp; Assumptions'!$B$8/2,'I_Budget Input Data'!$D$83*0.6/('I_Inputs &amp; Assumptions'!$B$8/2),'I_Budget Input Data'!$D$83*0.4/('I_Inputs &amp; Assumptions'!$B$8/2)),IF('I_Budget Input Data'!$E$83="Back-loaded",IF(24&lt;='I_Inputs &amp; Assumptions'!$B$8/2,'I_Budget Input Data'!$D$83*0.4/('I_Inputs &amp; Assumptions'!$B$8/2),'I_Budget Input Data'!$D$83*0.6/('I_Inputs &amp; Assumptions'!$B$8/2)),IF('I_Budget Input Data'!$E$83="Mid-weighted",IF(24&lt;='I_Inputs &amp; Assumptions'!$B$8/4,'I_Budget Input Data'!$D$83*0.2/('I_Inputs &amp; Assumptions'!$B$8/4),IF(24&lt;='I_Inputs &amp; Assumptions'!$B$8*0.75,'I_Budget Input Data'!$D$83*0.6/('I_Inputs &amp; Assumptions'!$B$8/2),'I_Budget Input Data'!$D$83*0.2/('I_Inputs &amp; Assumptions'!$B$8/4))),IF('I_Budget Input Data'!$E$83="At Completion",IF(24='I_Inputs &amp; Assumptions'!$B$8,'I_Budget Input Data'!$D$83,0),'I_Budget Input Data'!$D$83/'I_Inputs &amp; Assumptions'!$B$8)))))),0)</f>
        <v>0</v>
      </c>
      <c r="AA83" s="91">
        <f>IF(25&lt;='I_Inputs &amp; Assumptions'!$B$8,IF('I_Budget Input Data'!$E$83="Upfront",IF(25=1,'I_Budget Input Data'!$D$83,0),IF('I_Budget Input Data'!$E$83="Equal",'I_Budget Input Data'!$D$83/'I_Inputs &amp; Assumptions'!$B$8,IF('I_Budget Input Data'!$E$83="Front-loaded",IF(25&lt;='I_Inputs &amp; Assumptions'!$B$8/2,'I_Budget Input Data'!$D$83*0.6/('I_Inputs &amp; Assumptions'!$B$8/2),'I_Budget Input Data'!$D$83*0.4/('I_Inputs &amp; Assumptions'!$B$8/2)),IF('I_Budget Input Data'!$E$83="Back-loaded",IF(25&lt;='I_Inputs &amp; Assumptions'!$B$8/2,'I_Budget Input Data'!$D$83*0.4/('I_Inputs &amp; Assumptions'!$B$8/2),'I_Budget Input Data'!$D$83*0.6/('I_Inputs &amp; Assumptions'!$B$8/2)),IF('I_Budget Input Data'!$E$83="Mid-weighted",IF(25&lt;='I_Inputs &amp; Assumptions'!$B$8/4,'I_Budget Input Data'!$D$83*0.2/('I_Inputs &amp; Assumptions'!$B$8/4),IF(25&lt;='I_Inputs &amp; Assumptions'!$B$8*0.75,'I_Budget Input Data'!$D$83*0.6/('I_Inputs &amp; Assumptions'!$B$8/2),'I_Budget Input Data'!$D$83*0.2/('I_Inputs &amp; Assumptions'!$B$8/4))),IF('I_Budget Input Data'!$E$83="At Completion",IF(25='I_Inputs &amp; Assumptions'!$B$8,'I_Budget Input Data'!$D$83,0),'I_Budget Input Data'!$D$83/'I_Inputs &amp; Assumptions'!$B$8)))))),0)</f>
        <v>0</v>
      </c>
      <c r="AB83" s="91">
        <f>IF(26&lt;='I_Inputs &amp; Assumptions'!$B$8,IF('I_Budget Input Data'!$E$83="Upfront",IF(26=1,'I_Budget Input Data'!$D$83,0),IF('I_Budget Input Data'!$E$83="Equal",'I_Budget Input Data'!$D$83/'I_Inputs &amp; Assumptions'!$B$8,IF('I_Budget Input Data'!$E$83="Front-loaded",IF(26&lt;='I_Inputs &amp; Assumptions'!$B$8/2,'I_Budget Input Data'!$D$83*0.6/('I_Inputs &amp; Assumptions'!$B$8/2),'I_Budget Input Data'!$D$83*0.4/('I_Inputs &amp; Assumptions'!$B$8/2)),IF('I_Budget Input Data'!$E$83="Back-loaded",IF(26&lt;='I_Inputs &amp; Assumptions'!$B$8/2,'I_Budget Input Data'!$D$83*0.4/('I_Inputs &amp; Assumptions'!$B$8/2),'I_Budget Input Data'!$D$83*0.6/('I_Inputs &amp; Assumptions'!$B$8/2)),IF('I_Budget Input Data'!$E$83="Mid-weighted",IF(26&lt;='I_Inputs &amp; Assumptions'!$B$8/4,'I_Budget Input Data'!$D$83*0.2/('I_Inputs &amp; Assumptions'!$B$8/4),IF(26&lt;='I_Inputs &amp; Assumptions'!$B$8*0.75,'I_Budget Input Data'!$D$83*0.6/('I_Inputs &amp; Assumptions'!$B$8/2),'I_Budget Input Data'!$D$83*0.2/('I_Inputs &amp; Assumptions'!$B$8/4))),IF('I_Budget Input Data'!$E$83="At Completion",IF(26='I_Inputs &amp; Assumptions'!$B$8,'I_Budget Input Data'!$D$83,0),'I_Budget Input Data'!$D$83/'I_Inputs &amp; Assumptions'!$B$8)))))),0)</f>
        <v>0</v>
      </c>
      <c r="AC83" s="91">
        <f>IF(27&lt;='I_Inputs &amp; Assumptions'!$B$8,IF('I_Budget Input Data'!$E$83="Upfront",IF(27=1,'I_Budget Input Data'!$D$83,0),IF('I_Budget Input Data'!$E$83="Equal",'I_Budget Input Data'!$D$83/'I_Inputs &amp; Assumptions'!$B$8,IF('I_Budget Input Data'!$E$83="Front-loaded",IF(27&lt;='I_Inputs &amp; Assumptions'!$B$8/2,'I_Budget Input Data'!$D$83*0.6/('I_Inputs &amp; Assumptions'!$B$8/2),'I_Budget Input Data'!$D$83*0.4/('I_Inputs &amp; Assumptions'!$B$8/2)),IF('I_Budget Input Data'!$E$83="Back-loaded",IF(27&lt;='I_Inputs &amp; Assumptions'!$B$8/2,'I_Budget Input Data'!$D$83*0.4/('I_Inputs &amp; Assumptions'!$B$8/2),'I_Budget Input Data'!$D$83*0.6/('I_Inputs &amp; Assumptions'!$B$8/2)),IF('I_Budget Input Data'!$E$83="Mid-weighted",IF(27&lt;='I_Inputs &amp; Assumptions'!$B$8/4,'I_Budget Input Data'!$D$83*0.2/('I_Inputs &amp; Assumptions'!$B$8/4),IF(27&lt;='I_Inputs &amp; Assumptions'!$B$8*0.75,'I_Budget Input Data'!$D$83*0.6/('I_Inputs &amp; Assumptions'!$B$8/2),'I_Budget Input Data'!$D$83*0.2/('I_Inputs &amp; Assumptions'!$B$8/4))),IF('I_Budget Input Data'!$E$83="At Completion",IF(27='I_Inputs &amp; Assumptions'!$B$8,'I_Budget Input Data'!$D$83,0),'I_Budget Input Data'!$D$83/'I_Inputs &amp; Assumptions'!$B$8)))))),0)</f>
        <v>0</v>
      </c>
      <c r="AD83" s="91">
        <f>IF(28&lt;='I_Inputs &amp; Assumptions'!$B$8,IF('I_Budget Input Data'!$E$83="Upfront",IF(28=1,'I_Budget Input Data'!$D$83,0),IF('I_Budget Input Data'!$E$83="Equal",'I_Budget Input Data'!$D$83/'I_Inputs &amp; Assumptions'!$B$8,IF('I_Budget Input Data'!$E$83="Front-loaded",IF(28&lt;='I_Inputs &amp; Assumptions'!$B$8/2,'I_Budget Input Data'!$D$83*0.6/('I_Inputs &amp; Assumptions'!$B$8/2),'I_Budget Input Data'!$D$83*0.4/('I_Inputs &amp; Assumptions'!$B$8/2)),IF('I_Budget Input Data'!$E$83="Back-loaded",IF(28&lt;='I_Inputs &amp; Assumptions'!$B$8/2,'I_Budget Input Data'!$D$83*0.4/('I_Inputs &amp; Assumptions'!$B$8/2),'I_Budget Input Data'!$D$83*0.6/('I_Inputs &amp; Assumptions'!$B$8/2)),IF('I_Budget Input Data'!$E$83="Mid-weighted",IF(28&lt;='I_Inputs &amp; Assumptions'!$B$8/4,'I_Budget Input Data'!$D$83*0.2/('I_Inputs &amp; Assumptions'!$B$8/4),IF(28&lt;='I_Inputs &amp; Assumptions'!$B$8*0.75,'I_Budget Input Data'!$D$83*0.6/('I_Inputs &amp; Assumptions'!$B$8/2),'I_Budget Input Data'!$D$83*0.2/('I_Inputs &amp; Assumptions'!$B$8/4))),IF('I_Budget Input Data'!$E$83="At Completion",IF(28='I_Inputs &amp; Assumptions'!$B$8,'I_Budget Input Data'!$D$83,0),'I_Budget Input Data'!$D$83/'I_Inputs &amp; Assumptions'!$B$8)))))),0)</f>
        <v>0</v>
      </c>
      <c r="AE83" s="91">
        <f>IF(29&lt;='I_Inputs &amp; Assumptions'!$B$8,IF('I_Budget Input Data'!$E$83="Upfront",IF(29=1,'I_Budget Input Data'!$D$83,0),IF('I_Budget Input Data'!$E$83="Equal",'I_Budget Input Data'!$D$83/'I_Inputs &amp; Assumptions'!$B$8,IF('I_Budget Input Data'!$E$83="Front-loaded",IF(29&lt;='I_Inputs &amp; Assumptions'!$B$8/2,'I_Budget Input Data'!$D$83*0.6/('I_Inputs &amp; Assumptions'!$B$8/2),'I_Budget Input Data'!$D$83*0.4/('I_Inputs &amp; Assumptions'!$B$8/2)),IF('I_Budget Input Data'!$E$83="Back-loaded",IF(29&lt;='I_Inputs &amp; Assumptions'!$B$8/2,'I_Budget Input Data'!$D$83*0.4/('I_Inputs &amp; Assumptions'!$B$8/2),'I_Budget Input Data'!$D$83*0.6/('I_Inputs &amp; Assumptions'!$B$8/2)),IF('I_Budget Input Data'!$E$83="Mid-weighted",IF(29&lt;='I_Inputs &amp; Assumptions'!$B$8/4,'I_Budget Input Data'!$D$83*0.2/('I_Inputs &amp; Assumptions'!$B$8/4),IF(29&lt;='I_Inputs &amp; Assumptions'!$B$8*0.75,'I_Budget Input Data'!$D$83*0.6/('I_Inputs &amp; Assumptions'!$B$8/2),'I_Budget Input Data'!$D$83*0.2/('I_Inputs &amp; Assumptions'!$B$8/4))),IF('I_Budget Input Data'!$E$83="At Completion",IF(29='I_Inputs &amp; Assumptions'!$B$8,'I_Budget Input Data'!$D$83,0),'I_Budget Input Data'!$D$83/'I_Inputs &amp; Assumptions'!$B$8)))))),0)</f>
        <v>0</v>
      </c>
      <c r="AF83" s="91">
        <f>IF(30&lt;='I_Inputs &amp; Assumptions'!$B$8,IF('I_Budget Input Data'!$E$83="Upfront",IF(30=1,'I_Budget Input Data'!$D$83,0),IF('I_Budget Input Data'!$E$83="Equal",'I_Budget Input Data'!$D$83/'I_Inputs &amp; Assumptions'!$B$8,IF('I_Budget Input Data'!$E$83="Front-loaded",IF(30&lt;='I_Inputs &amp; Assumptions'!$B$8/2,'I_Budget Input Data'!$D$83*0.6/('I_Inputs &amp; Assumptions'!$B$8/2),'I_Budget Input Data'!$D$83*0.4/('I_Inputs &amp; Assumptions'!$B$8/2)),IF('I_Budget Input Data'!$E$83="Back-loaded",IF(30&lt;='I_Inputs &amp; Assumptions'!$B$8/2,'I_Budget Input Data'!$D$83*0.4/('I_Inputs &amp; Assumptions'!$B$8/2),'I_Budget Input Data'!$D$83*0.6/('I_Inputs &amp; Assumptions'!$B$8/2)),IF('I_Budget Input Data'!$E$83="Mid-weighted",IF(30&lt;='I_Inputs &amp; Assumptions'!$B$8/4,'I_Budget Input Data'!$D$83*0.2/('I_Inputs &amp; Assumptions'!$B$8/4),IF(30&lt;='I_Inputs &amp; Assumptions'!$B$8*0.75,'I_Budget Input Data'!$D$83*0.6/('I_Inputs &amp; Assumptions'!$B$8/2),'I_Budget Input Data'!$D$83*0.2/('I_Inputs &amp; Assumptions'!$B$8/4))),IF('I_Budget Input Data'!$E$83="At Completion",IF(30='I_Inputs &amp; Assumptions'!$B$8,'I_Budget Input Data'!$D$83,0),'I_Budget Input Data'!$D$83/'I_Inputs &amp; Assumptions'!$B$8)))))),0)</f>
        <v>0</v>
      </c>
      <c r="AG83" s="91">
        <f>IF(31&lt;='I_Inputs &amp; Assumptions'!$B$8,IF('I_Budget Input Data'!$E$83="Upfront",IF(31=1,'I_Budget Input Data'!$D$83,0),IF('I_Budget Input Data'!$E$83="Equal",'I_Budget Input Data'!$D$83/'I_Inputs &amp; Assumptions'!$B$8,IF('I_Budget Input Data'!$E$83="Front-loaded",IF(31&lt;='I_Inputs &amp; Assumptions'!$B$8/2,'I_Budget Input Data'!$D$83*0.6/('I_Inputs &amp; Assumptions'!$B$8/2),'I_Budget Input Data'!$D$83*0.4/('I_Inputs &amp; Assumptions'!$B$8/2)),IF('I_Budget Input Data'!$E$83="Back-loaded",IF(31&lt;='I_Inputs &amp; Assumptions'!$B$8/2,'I_Budget Input Data'!$D$83*0.4/('I_Inputs &amp; Assumptions'!$B$8/2),'I_Budget Input Data'!$D$83*0.6/('I_Inputs &amp; Assumptions'!$B$8/2)),IF('I_Budget Input Data'!$E$83="Mid-weighted",IF(31&lt;='I_Inputs &amp; Assumptions'!$B$8/4,'I_Budget Input Data'!$D$83*0.2/('I_Inputs &amp; Assumptions'!$B$8/4),IF(31&lt;='I_Inputs &amp; Assumptions'!$B$8*0.75,'I_Budget Input Data'!$D$83*0.6/('I_Inputs &amp; Assumptions'!$B$8/2),'I_Budget Input Data'!$D$83*0.2/('I_Inputs &amp; Assumptions'!$B$8/4))),IF('I_Budget Input Data'!$E$83="At Completion",IF(31='I_Inputs &amp; Assumptions'!$B$8,'I_Budget Input Data'!$D$83,0),'I_Budget Input Data'!$D$83/'I_Inputs &amp; Assumptions'!$B$8)))))),0)</f>
        <v>0</v>
      </c>
      <c r="AH83" s="91">
        <f>IF(32&lt;='I_Inputs &amp; Assumptions'!$B$8,IF('I_Budget Input Data'!$E$83="Upfront",IF(32=1,'I_Budget Input Data'!$D$83,0),IF('I_Budget Input Data'!$E$83="Equal",'I_Budget Input Data'!$D$83/'I_Inputs &amp; Assumptions'!$B$8,IF('I_Budget Input Data'!$E$83="Front-loaded",IF(32&lt;='I_Inputs &amp; Assumptions'!$B$8/2,'I_Budget Input Data'!$D$83*0.6/('I_Inputs &amp; Assumptions'!$B$8/2),'I_Budget Input Data'!$D$83*0.4/('I_Inputs &amp; Assumptions'!$B$8/2)),IF('I_Budget Input Data'!$E$83="Back-loaded",IF(32&lt;='I_Inputs &amp; Assumptions'!$B$8/2,'I_Budget Input Data'!$D$83*0.4/('I_Inputs &amp; Assumptions'!$B$8/2),'I_Budget Input Data'!$D$83*0.6/('I_Inputs &amp; Assumptions'!$B$8/2)),IF('I_Budget Input Data'!$E$83="Mid-weighted",IF(32&lt;='I_Inputs &amp; Assumptions'!$B$8/4,'I_Budget Input Data'!$D$83*0.2/('I_Inputs &amp; Assumptions'!$B$8/4),IF(32&lt;='I_Inputs &amp; Assumptions'!$B$8*0.75,'I_Budget Input Data'!$D$83*0.6/('I_Inputs &amp; Assumptions'!$B$8/2),'I_Budget Input Data'!$D$83*0.2/('I_Inputs &amp; Assumptions'!$B$8/4))),IF('I_Budget Input Data'!$E$83="At Completion",IF(32='I_Inputs &amp; Assumptions'!$B$8,'I_Budget Input Data'!$D$83,0),'I_Budget Input Data'!$D$83/'I_Inputs &amp; Assumptions'!$B$8)))))),0)</f>
        <v>0</v>
      </c>
      <c r="AI83" s="91">
        <f>IF(33&lt;='I_Inputs &amp; Assumptions'!$B$8,IF('I_Budget Input Data'!$E$83="Upfront",IF(33=1,'I_Budget Input Data'!$D$83,0),IF('I_Budget Input Data'!$E$83="Equal",'I_Budget Input Data'!$D$83/'I_Inputs &amp; Assumptions'!$B$8,IF('I_Budget Input Data'!$E$83="Front-loaded",IF(33&lt;='I_Inputs &amp; Assumptions'!$B$8/2,'I_Budget Input Data'!$D$83*0.6/('I_Inputs &amp; Assumptions'!$B$8/2),'I_Budget Input Data'!$D$83*0.4/('I_Inputs &amp; Assumptions'!$B$8/2)),IF('I_Budget Input Data'!$E$83="Back-loaded",IF(33&lt;='I_Inputs &amp; Assumptions'!$B$8/2,'I_Budget Input Data'!$D$83*0.4/('I_Inputs &amp; Assumptions'!$B$8/2),'I_Budget Input Data'!$D$83*0.6/('I_Inputs &amp; Assumptions'!$B$8/2)),IF('I_Budget Input Data'!$E$83="Mid-weighted",IF(33&lt;='I_Inputs &amp; Assumptions'!$B$8/4,'I_Budget Input Data'!$D$83*0.2/('I_Inputs &amp; Assumptions'!$B$8/4),IF(33&lt;='I_Inputs &amp; Assumptions'!$B$8*0.75,'I_Budget Input Data'!$D$83*0.6/('I_Inputs &amp; Assumptions'!$B$8/2),'I_Budget Input Data'!$D$83*0.2/('I_Inputs &amp; Assumptions'!$B$8/4))),IF('I_Budget Input Data'!$E$83="At Completion",IF(33='I_Inputs &amp; Assumptions'!$B$8,'I_Budget Input Data'!$D$83,0),'I_Budget Input Data'!$D$83/'I_Inputs &amp; Assumptions'!$B$8)))))),0)</f>
        <v>0</v>
      </c>
      <c r="AJ83" s="91">
        <f>IF(34&lt;='I_Inputs &amp; Assumptions'!$B$8,IF('I_Budget Input Data'!$E$83="Upfront",IF(34=1,'I_Budget Input Data'!$D$83,0),IF('I_Budget Input Data'!$E$83="Equal",'I_Budget Input Data'!$D$83/'I_Inputs &amp; Assumptions'!$B$8,IF('I_Budget Input Data'!$E$83="Front-loaded",IF(34&lt;='I_Inputs &amp; Assumptions'!$B$8/2,'I_Budget Input Data'!$D$83*0.6/('I_Inputs &amp; Assumptions'!$B$8/2),'I_Budget Input Data'!$D$83*0.4/('I_Inputs &amp; Assumptions'!$B$8/2)),IF('I_Budget Input Data'!$E$83="Back-loaded",IF(34&lt;='I_Inputs &amp; Assumptions'!$B$8/2,'I_Budget Input Data'!$D$83*0.4/('I_Inputs &amp; Assumptions'!$B$8/2),'I_Budget Input Data'!$D$83*0.6/('I_Inputs &amp; Assumptions'!$B$8/2)),IF('I_Budget Input Data'!$E$83="Mid-weighted",IF(34&lt;='I_Inputs &amp; Assumptions'!$B$8/4,'I_Budget Input Data'!$D$83*0.2/('I_Inputs &amp; Assumptions'!$B$8/4),IF(34&lt;='I_Inputs &amp; Assumptions'!$B$8*0.75,'I_Budget Input Data'!$D$83*0.6/('I_Inputs &amp; Assumptions'!$B$8/2),'I_Budget Input Data'!$D$83*0.2/('I_Inputs &amp; Assumptions'!$B$8/4))),IF('I_Budget Input Data'!$E$83="At Completion",IF(34='I_Inputs &amp; Assumptions'!$B$8,'I_Budget Input Data'!$D$83,0),'I_Budget Input Data'!$D$83/'I_Inputs &amp; Assumptions'!$B$8)))))),0)</f>
        <v>0</v>
      </c>
      <c r="AK83" s="91">
        <f>IF(35&lt;='I_Inputs &amp; Assumptions'!$B$8,IF('I_Budget Input Data'!$E$83="Upfront",IF(35=1,'I_Budget Input Data'!$D$83,0),IF('I_Budget Input Data'!$E$83="Equal",'I_Budget Input Data'!$D$83/'I_Inputs &amp; Assumptions'!$B$8,IF('I_Budget Input Data'!$E$83="Front-loaded",IF(35&lt;='I_Inputs &amp; Assumptions'!$B$8/2,'I_Budget Input Data'!$D$83*0.6/('I_Inputs &amp; Assumptions'!$B$8/2),'I_Budget Input Data'!$D$83*0.4/('I_Inputs &amp; Assumptions'!$B$8/2)),IF('I_Budget Input Data'!$E$83="Back-loaded",IF(35&lt;='I_Inputs &amp; Assumptions'!$B$8/2,'I_Budget Input Data'!$D$83*0.4/('I_Inputs &amp; Assumptions'!$B$8/2),'I_Budget Input Data'!$D$83*0.6/('I_Inputs &amp; Assumptions'!$B$8/2)),IF('I_Budget Input Data'!$E$83="Mid-weighted",IF(35&lt;='I_Inputs &amp; Assumptions'!$B$8/4,'I_Budget Input Data'!$D$83*0.2/('I_Inputs &amp; Assumptions'!$B$8/4),IF(35&lt;='I_Inputs &amp; Assumptions'!$B$8*0.75,'I_Budget Input Data'!$D$83*0.6/('I_Inputs &amp; Assumptions'!$B$8/2),'I_Budget Input Data'!$D$83*0.2/('I_Inputs &amp; Assumptions'!$B$8/4))),IF('I_Budget Input Data'!$E$83="At Completion",IF(35='I_Inputs &amp; Assumptions'!$B$8,'I_Budget Input Data'!$D$83,0),'I_Budget Input Data'!$D$83/'I_Inputs &amp; Assumptions'!$B$8)))))),0)</f>
        <v>0</v>
      </c>
      <c r="AL83" s="91">
        <f>IF(36&lt;='I_Inputs &amp; Assumptions'!$B$8,IF('I_Budget Input Data'!$E$83="Upfront",IF(36=1,'I_Budget Input Data'!$D$83,0),IF('I_Budget Input Data'!$E$83="Equal",'I_Budget Input Data'!$D$83/'I_Inputs &amp; Assumptions'!$B$8,IF('I_Budget Input Data'!$E$83="Front-loaded",IF(36&lt;='I_Inputs &amp; Assumptions'!$B$8/2,'I_Budget Input Data'!$D$83*0.6/('I_Inputs &amp; Assumptions'!$B$8/2),'I_Budget Input Data'!$D$83*0.4/('I_Inputs &amp; Assumptions'!$B$8/2)),IF('I_Budget Input Data'!$E$83="Back-loaded",IF(36&lt;='I_Inputs &amp; Assumptions'!$B$8/2,'I_Budget Input Data'!$D$83*0.4/('I_Inputs &amp; Assumptions'!$B$8/2),'I_Budget Input Data'!$D$83*0.6/('I_Inputs &amp; Assumptions'!$B$8/2)),IF('I_Budget Input Data'!$E$83="Mid-weighted",IF(36&lt;='I_Inputs &amp; Assumptions'!$B$8/4,'I_Budget Input Data'!$D$83*0.2/('I_Inputs &amp; Assumptions'!$B$8/4),IF(36&lt;='I_Inputs &amp; Assumptions'!$B$8*0.75,'I_Budget Input Data'!$D$83*0.6/('I_Inputs &amp; Assumptions'!$B$8/2),'I_Budget Input Data'!$D$83*0.2/('I_Inputs &amp; Assumptions'!$B$8/4))),IF('I_Budget Input Data'!$E$83="At Completion",IF(36='I_Inputs &amp; Assumptions'!$B$8,'I_Budget Input Data'!$D$83,0),'I_Budget Input Data'!$D$83/'I_Inputs &amp; Assumptions'!$B$8)))))),0)</f>
        <v>0</v>
      </c>
    </row>
    <row r="84" spans="1:38" ht="15" customHeight="1" x14ac:dyDescent="0.2">
      <c r="A84" t="s">
        <v>146</v>
      </c>
      <c r="B84" t="s">
        <v>203</v>
      </c>
      <c r="C84" s="91">
        <v>0</v>
      </c>
      <c r="D84" s="91">
        <v>0</v>
      </c>
      <c r="E84" s="91">
        <v>0</v>
      </c>
      <c r="F84" s="91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91">
        <v>0</v>
      </c>
      <c r="Z84" s="91">
        <v>0</v>
      </c>
      <c r="AA84" s="91">
        <v>0</v>
      </c>
      <c r="AB84" s="91">
        <v>0</v>
      </c>
      <c r="AC84" s="91">
        <v>0</v>
      </c>
      <c r="AD84" s="91">
        <v>0</v>
      </c>
      <c r="AE84" s="91">
        <v>0</v>
      </c>
      <c r="AF84" s="91">
        <v>0</v>
      </c>
      <c r="AG84" s="91">
        <v>0</v>
      </c>
      <c r="AH84" s="91">
        <v>0</v>
      </c>
      <c r="AI84" s="91">
        <v>0</v>
      </c>
      <c r="AJ84" s="91">
        <v>0</v>
      </c>
      <c r="AK84" s="91">
        <v>0</v>
      </c>
      <c r="AL84" s="91">
        <v>0</v>
      </c>
    </row>
    <row r="85" spans="1:38" ht="15" customHeight="1" x14ac:dyDescent="0.2">
      <c r="A85" t="s">
        <v>146</v>
      </c>
      <c r="B85" t="s">
        <v>204</v>
      </c>
      <c r="C85" s="91">
        <v>0</v>
      </c>
      <c r="D85" s="91">
        <v>0</v>
      </c>
      <c r="E85" s="91">
        <v>0</v>
      </c>
      <c r="F85" s="91">
        <v>0</v>
      </c>
      <c r="G85" s="91">
        <v>0</v>
      </c>
      <c r="H85" s="91">
        <v>0</v>
      </c>
      <c r="I85" s="91">
        <v>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1">
        <v>0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0</v>
      </c>
      <c r="W85" s="91">
        <v>0</v>
      </c>
      <c r="X85" s="91">
        <v>0</v>
      </c>
      <c r="Y85" s="91">
        <v>0</v>
      </c>
      <c r="Z85" s="91">
        <v>0</v>
      </c>
      <c r="AA85" s="91">
        <v>0</v>
      </c>
      <c r="AB85" s="91">
        <v>0</v>
      </c>
      <c r="AC85" s="91">
        <v>0</v>
      </c>
      <c r="AD85" s="91">
        <v>0</v>
      </c>
      <c r="AE85" s="91">
        <v>0</v>
      </c>
      <c r="AF85" s="91">
        <v>0</v>
      </c>
      <c r="AG85" s="91">
        <v>0</v>
      </c>
      <c r="AH85" s="91">
        <v>0</v>
      </c>
      <c r="AI85" s="91">
        <v>0</v>
      </c>
      <c r="AJ85" s="91">
        <v>0</v>
      </c>
      <c r="AK85" s="91">
        <v>0</v>
      </c>
      <c r="AL85" s="91">
        <v>0</v>
      </c>
    </row>
    <row r="86" spans="1:38" ht="15" customHeight="1" x14ac:dyDescent="0.2">
      <c r="A86" t="s">
        <v>146</v>
      </c>
      <c r="B86" t="s">
        <v>205</v>
      </c>
      <c r="C86" s="91">
        <f>IF(1&lt;='I_Inputs &amp; Assumptions'!$B$8,IF('I_Budget Input Data'!$E$86="Upfront",IF(1=1,'I_Budget Input Data'!$D$86,0),IF('I_Budget Input Data'!$E$86="Equal",'I_Budget Input Data'!$D$86/'I_Inputs &amp; Assumptions'!$B$8,IF('I_Budget Input Data'!$E$86="Front-loaded",IF(1&lt;='I_Inputs &amp; Assumptions'!$B$8/2,'I_Budget Input Data'!$D$86*0.6/('I_Inputs &amp; Assumptions'!$B$8/2),'I_Budget Input Data'!$D$86*0.4/('I_Inputs &amp; Assumptions'!$B$8/2)),IF('I_Budget Input Data'!$E$86="Back-loaded",IF(1&lt;='I_Inputs &amp; Assumptions'!$B$8/2,'I_Budget Input Data'!$D$86*0.4/('I_Inputs &amp; Assumptions'!$B$8/2),'I_Budget Input Data'!$D$86*0.6/('I_Inputs &amp; Assumptions'!$B$8/2)),IF('I_Budget Input Data'!$E$86="Mid-weighted",IF(1&lt;='I_Inputs &amp; Assumptions'!$B$8/4,'I_Budget Input Data'!$D$86*0.2/('I_Inputs &amp; Assumptions'!$B$8/4),IF(1&lt;='I_Inputs &amp; Assumptions'!$B$8*0.75,'I_Budget Input Data'!$D$86*0.6/('I_Inputs &amp; Assumptions'!$B$8/2),'I_Budget Input Data'!$D$86*0.2/('I_Inputs &amp; Assumptions'!$B$8/4))),IF('I_Budget Input Data'!$E$86="At Completion",IF(1='I_Inputs &amp; Assumptions'!$B$8,'I_Budget Input Data'!$D$86,0),'I_Budget Input Data'!$D$86/'I_Inputs &amp; Assumptions'!$B$8)))))),0)</f>
        <v>38355.769230769234</v>
      </c>
      <c r="D86" s="91">
        <f>IF(2&lt;='I_Inputs &amp; Assumptions'!$B$8,IF('I_Budget Input Data'!$E$86="Upfront",IF(2=1,'I_Budget Input Data'!$D$86,0),IF('I_Budget Input Data'!$E$86="Equal",'I_Budget Input Data'!$D$86/'I_Inputs &amp; Assumptions'!$B$8,IF('I_Budget Input Data'!$E$86="Front-loaded",IF(2&lt;='I_Inputs &amp; Assumptions'!$B$8/2,'I_Budget Input Data'!$D$86*0.6/('I_Inputs &amp; Assumptions'!$B$8/2),'I_Budget Input Data'!$D$86*0.4/('I_Inputs &amp; Assumptions'!$B$8/2)),IF('I_Budget Input Data'!$E$86="Back-loaded",IF(2&lt;='I_Inputs &amp; Assumptions'!$B$8/2,'I_Budget Input Data'!$D$86*0.4/('I_Inputs &amp; Assumptions'!$B$8/2),'I_Budget Input Data'!$D$86*0.6/('I_Inputs &amp; Assumptions'!$B$8/2)),IF('I_Budget Input Data'!$E$86="Mid-weighted",IF(2&lt;='I_Inputs &amp; Assumptions'!$B$8/4,'I_Budget Input Data'!$D$86*0.2/('I_Inputs &amp; Assumptions'!$B$8/4),IF(2&lt;='I_Inputs &amp; Assumptions'!$B$8*0.75,'I_Budget Input Data'!$D$86*0.6/('I_Inputs &amp; Assumptions'!$B$8/2),'I_Budget Input Data'!$D$86*0.2/('I_Inputs &amp; Assumptions'!$B$8/4))),IF('I_Budget Input Data'!$E$86="At Completion",IF(2='I_Inputs &amp; Assumptions'!$B$8,'I_Budget Input Data'!$D$86,0),'I_Budget Input Data'!$D$86/'I_Inputs &amp; Assumptions'!$B$8)))))),0)</f>
        <v>38355.769230769234</v>
      </c>
      <c r="E86" s="91">
        <f>IF(3&lt;='I_Inputs &amp; Assumptions'!$B$8,IF('I_Budget Input Data'!$E$86="Upfront",IF(3=1,'I_Budget Input Data'!$D$86,0),IF('I_Budget Input Data'!$E$86="Equal",'I_Budget Input Data'!$D$86/'I_Inputs &amp; Assumptions'!$B$8,IF('I_Budget Input Data'!$E$86="Front-loaded",IF(3&lt;='I_Inputs &amp; Assumptions'!$B$8/2,'I_Budget Input Data'!$D$86*0.6/('I_Inputs &amp; Assumptions'!$B$8/2),'I_Budget Input Data'!$D$86*0.4/('I_Inputs &amp; Assumptions'!$B$8/2)),IF('I_Budget Input Data'!$E$86="Back-loaded",IF(3&lt;='I_Inputs &amp; Assumptions'!$B$8/2,'I_Budget Input Data'!$D$86*0.4/('I_Inputs &amp; Assumptions'!$B$8/2),'I_Budget Input Data'!$D$86*0.6/('I_Inputs &amp; Assumptions'!$B$8/2)),IF('I_Budget Input Data'!$E$86="Mid-weighted",IF(3&lt;='I_Inputs &amp; Assumptions'!$B$8/4,'I_Budget Input Data'!$D$86*0.2/('I_Inputs &amp; Assumptions'!$B$8/4),IF(3&lt;='I_Inputs &amp; Assumptions'!$B$8*0.75,'I_Budget Input Data'!$D$86*0.6/('I_Inputs &amp; Assumptions'!$B$8/2),'I_Budget Input Data'!$D$86*0.2/('I_Inputs &amp; Assumptions'!$B$8/4))),IF('I_Budget Input Data'!$E$86="At Completion",IF(3='I_Inputs &amp; Assumptions'!$B$8,'I_Budget Input Data'!$D$86,0),'I_Budget Input Data'!$D$86/'I_Inputs &amp; Assumptions'!$B$8)))))),0)</f>
        <v>38355.769230769234</v>
      </c>
      <c r="F86" s="91">
        <f>IF(4&lt;='I_Inputs &amp; Assumptions'!$B$8,IF('I_Budget Input Data'!$E$86="Upfront",IF(4=1,'I_Budget Input Data'!$D$86,0),IF('I_Budget Input Data'!$E$86="Equal",'I_Budget Input Data'!$D$86/'I_Inputs &amp; Assumptions'!$B$8,IF('I_Budget Input Data'!$E$86="Front-loaded",IF(4&lt;='I_Inputs &amp; Assumptions'!$B$8/2,'I_Budget Input Data'!$D$86*0.6/('I_Inputs &amp; Assumptions'!$B$8/2),'I_Budget Input Data'!$D$86*0.4/('I_Inputs &amp; Assumptions'!$B$8/2)),IF('I_Budget Input Data'!$E$86="Back-loaded",IF(4&lt;='I_Inputs &amp; Assumptions'!$B$8/2,'I_Budget Input Data'!$D$86*0.4/('I_Inputs &amp; Assumptions'!$B$8/2),'I_Budget Input Data'!$D$86*0.6/('I_Inputs &amp; Assumptions'!$B$8/2)),IF('I_Budget Input Data'!$E$86="Mid-weighted",IF(4&lt;='I_Inputs &amp; Assumptions'!$B$8/4,'I_Budget Input Data'!$D$86*0.2/('I_Inputs &amp; Assumptions'!$B$8/4),IF(4&lt;='I_Inputs &amp; Assumptions'!$B$8*0.75,'I_Budget Input Data'!$D$86*0.6/('I_Inputs &amp; Assumptions'!$B$8/2),'I_Budget Input Data'!$D$86*0.2/('I_Inputs &amp; Assumptions'!$B$8/4))),IF('I_Budget Input Data'!$E$86="At Completion",IF(4='I_Inputs &amp; Assumptions'!$B$8,'I_Budget Input Data'!$D$86,0),'I_Budget Input Data'!$D$86/'I_Inputs &amp; Assumptions'!$B$8)))))),0)</f>
        <v>38355.769230769234</v>
      </c>
      <c r="G86" s="91">
        <f>IF(5&lt;='I_Inputs &amp; Assumptions'!$B$8,IF('I_Budget Input Data'!$E$86="Upfront",IF(5=1,'I_Budget Input Data'!$D$86,0),IF('I_Budget Input Data'!$E$86="Equal",'I_Budget Input Data'!$D$86/'I_Inputs &amp; Assumptions'!$B$8,IF('I_Budget Input Data'!$E$86="Front-loaded",IF(5&lt;='I_Inputs &amp; Assumptions'!$B$8/2,'I_Budget Input Data'!$D$86*0.6/('I_Inputs &amp; Assumptions'!$B$8/2),'I_Budget Input Data'!$D$86*0.4/('I_Inputs &amp; Assumptions'!$B$8/2)),IF('I_Budget Input Data'!$E$86="Back-loaded",IF(5&lt;='I_Inputs &amp; Assumptions'!$B$8/2,'I_Budget Input Data'!$D$86*0.4/('I_Inputs &amp; Assumptions'!$B$8/2),'I_Budget Input Data'!$D$86*0.6/('I_Inputs &amp; Assumptions'!$B$8/2)),IF('I_Budget Input Data'!$E$86="Mid-weighted",IF(5&lt;='I_Inputs &amp; Assumptions'!$B$8/4,'I_Budget Input Data'!$D$86*0.2/('I_Inputs &amp; Assumptions'!$B$8/4),IF(5&lt;='I_Inputs &amp; Assumptions'!$B$8*0.75,'I_Budget Input Data'!$D$86*0.6/('I_Inputs &amp; Assumptions'!$B$8/2),'I_Budget Input Data'!$D$86*0.2/('I_Inputs &amp; Assumptions'!$B$8/4))),IF('I_Budget Input Data'!$E$86="At Completion",IF(5='I_Inputs &amp; Assumptions'!$B$8,'I_Budget Input Data'!$D$86,0),'I_Budget Input Data'!$D$86/'I_Inputs &amp; Assumptions'!$B$8)))))),0)</f>
        <v>38355.769230769234</v>
      </c>
      <c r="H86" s="91">
        <f>IF(6&lt;='I_Inputs &amp; Assumptions'!$B$8,IF('I_Budget Input Data'!$E$86="Upfront",IF(6=1,'I_Budget Input Data'!$D$86,0),IF('I_Budget Input Data'!$E$86="Equal",'I_Budget Input Data'!$D$86/'I_Inputs &amp; Assumptions'!$B$8,IF('I_Budget Input Data'!$E$86="Front-loaded",IF(6&lt;='I_Inputs &amp; Assumptions'!$B$8/2,'I_Budget Input Data'!$D$86*0.6/('I_Inputs &amp; Assumptions'!$B$8/2),'I_Budget Input Data'!$D$86*0.4/('I_Inputs &amp; Assumptions'!$B$8/2)),IF('I_Budget Input Data'!$E$86="Back-loaded",IF(6&lt;='I_Inputs &amp; Assumptions'!$B$8/2,'I_Budget Input Data'!$D$86*0.4/('I_Inputs &amp; Assumptions'!$B$8/2),'I_Budget Input Data'!$D$86*0.6/('I_Inputs &amp; Assumptions'!$B$8/2)),IF('I_Budget Input Data'!$E$86="Mid-weighted",IF(6&lt;='I_Inputs &amp; Assumptions'!$B$8/4,'I_Budget Input Data'!$D$86*0.2/('I_Inputs &amp; Assumptions'!$B$8/4),IF(6&lt;='I_Inputs &amp; Assumptions'!$B$8*0.75,'I_Budget Input Data'!$D$86*0.6/('I_Inputs &amp; Assumptions'!$B$8/2),'I_Budget Input Data'!$D$86*0.2/('I_Inputs &amp; Assumptions'!$B$8/4))),IF('I_Budget Input Data'!$E$86="At Completion",IF(6='I_Inputs &amp; Assumptions'!$B$8,'I_Budget Input Data'!$D$86,0),'I_Budget Input Data'!$D$86/'I_Inputs &amp; Assumptions'!$B$8)))))),0)</f>
        <v>38355.769230769234</v>
      </c>
      <c r="I86" s="91">
        <f>IF(7&lt;='I_Inputs &amp; Assumptions'!$B$8,IF('I_Budget Input Data'!$E$86="Upfront",IF(7=1,'I_Budget Input Data'!$D$86,0),IF('I_Budget Input Data'!$E$86="Equal",'I_Budget Input Data'!$D$86/'I_Inputs &amp; Assumptions'!$B$8,IF('I_Budget Input Data'!$E$86="Front-loaded",IF(7&lt;='I_Inputs &amp; Assumptions'!$B$8/2,'I_Budget Input Data'!$D$86*0.6/('I_Inputs &amp; Assumptions'!$B$8/2),'I_Budget Input Data'!$D$86*0.4/('I_Inputs &amp; Assumptions'!$B$8/2)),IF('I_Budget Input Data'!$E$86="Back-loaded",IF(7&lt;='I_Inputs &amp; Assumptions'!$B$8/2,'I_Budget Input Data'!$D$86*0.4/('I_Inputs &amp; Assumptions'!$B$8/2),'I_Budget Input Data'!$D$86*0.6/('I_Inputs &amp; Assumptions'!$B$8/2)),IF('I_Budget Input Data'!$E$86="Mid-weighted",IF(7&lt;='I_Inputs &amp; Assumptions'!$B$8/4,'I_Budget Input Data'!$D$86*0.2/('I_Inputs &amp; Assumptions'!$B$8/4),IF(7&lt;='I_Inputs &amp; Assumptions'!$B$8*0.75,'I_Budget Input Data'!$D$86*0.6/('I_Inputs &amp; Assumptions'!$B$8/2),'I_Budget Input Data'!$D$86*0.2/('I_Inputs &amp; Assumptions'!$B$8/4))),IF('I_Budget Input Data'!$E$86="At Completion",IF(7='I_Inputs &amp; Assumptions'!$B$8,'I_Budget Input Data'!$D$86,0),'I_Budget Input Data'!$D$86/'I_Inputs &amp; Assumptions'!$B$8)))))),0)</f>
        <v>38355.769230769234</v>
      </c>
      <c r="J86" s="91">
        <f>IF(8&lt;='I_Inputs &amp; Assumptions'!$B$8,IF('I_Budget Input Data'!$E$86="Upfront",IF(8=1,'I_Budget Input Data'!$D$86,0),IF('I_Budget Input Data'!$E$86="Equal",'I_Budget Input Data'!$D$86/'I_Inputs &amp; Assumptions'!$B$8,IF('I_Budget Input Data'!$E$86="Front-loaded",IF(8&lt;='I_Inputs &amp; Assumptions'!$B$8/2,'I_Budget Input Data'!$D$86*0.6/('I_Inputs &amp; Assumptions'!$B$8/2),'I_Budget Input Data'!$D$86*0.4/('I_Inputs &amp; Assumptions'!$B$8/2)),IF('I_Budget Input Data'!$E$86="Back-loaded",IF(8&lt;='I_Inputs &amp; Assumptions'!$B$8/2,'I_Budget Input Data'!$D$86*0.4/('I_Inputs &amp; Assumptions'!$B$8/2),'I_Budget Input Data'!$D$86*0.6/('I_Inputs &amp; Assumptions'!$B$8/2)),IF('I_Budget Input Data'!$E$86="Mid-weighted",IF(8&lt;='I_Inputs &amp; Assumptions'!$B$8/4,'I_Budget Input Data'!$D$86*0.2/('I_Inputs &amp; Assumptions'!$B$8/4),IF(8&lt;='I_Inputs &amp; Assumptions'!$B$8*0.75,'I_Budget Input Data'!$D$86*0.6/('I_Inputs &amp; Assumptions'!$B$8/2),'I_Budget Input Data'!$D$86*0.2/('I_Inputs &amp; Assumptions'!$B$8/4))),IF('I_Budget Input Data'!$E$86="At Completion",IF(8='I_Inputs &amp; Assumptions'!$B$8,'I_Budget Input Data'!$D$86,0),'I_Budget Input Data'!$D$86/'I_Inputs &amp; Assumptions'!$B$8)))))),0)</f>
        <v>38355.769230769234</v>
      </c>
      <c r="K86" s="91">
        <f>IF(9&lt;='I_Inputs &amp; Assumptions'!$B$8,IF('I_Budget Input Data'!$E$86="Upfront",IF(9=1,'I_Budget Input Data'!$D$86,0),IF('I_Budget Input Data'!$E$86="Equal",'I_Budget Input Data'!$D$86/'I_Inputs &amp; Assumptions'!$B$8,IF('I_Budget Input Data'!$E$86="Front-loaded",IF(9&lt;='I_Inputs &amp; Assumptions'!$B$8/2,'I_Budget Input Data'!$D$86*0.6/('I_Inputs &amp; Assumptions'!$B$8/2),'I_Budget Input Data'!$D$86*0.4/('I_Inputs &amp; Assumptions'!$B$8/2)),IF('I_Budget Input Data'!$E$86="Back-loaded",IF(9&lt;='I_Inputs &amp; Assumptions'!$B$8/2,'I_Budget Input Data'!$D$86*0.4/('I_Inputs &amp; Assumptions'!$B$8/2),'I_Budget Input Data'!$D$86*0.6/('I_Inputs &amp; Assumptions'!$B$8/2)),IF('I_Budget Input Data'!$E$86="Mid-weighted",IF(9&lt;='I_Inputs &amp; Assumptions'!$B$8/4,'I_Budget Input Data'!$D$86*0.2/('I_Inputs &amp; Assumptions'!$B$8/4),IF(9&lt;='I_Inputs &amp; Assumptions'!$B$8*0.75,'I_Budget Input Data'!$D$86*0.6/('I_Inputs &amp; Assumptions'!$B$8/2),'I_Budget Input Data'!$D$86*0.2/('I_Inputs &amp; Assumptions'!$B$8/4))),IF('I_Budget Input Data'!$E$86="At Completion",IF(9='I_Inputs &amp; Assumptions'!$B$8,'I_Budget Input Data'!$D$86,0),'I_Budget Input Data'!$D$86/'I_Inputs &amp; Assumptions'!$B$8)))))),0)</f>
        <v>38355.769230769234</v>
      </c>
      <c r="L86" s="91">
        <f>IF(10&lt;='I_Inputs &amp; Assumptions'!$B$8,IF('I_Budget Input Data'!$E$86="Upfront",IF(10=1,'I_Budget Input Data'!$D$86,0),IF('I_Budget Input Data'!$E$86="Equal",'I_Budget Input Data'!$D$86/'I_Inputs &amp; Assumptions'!$B$8,IF('I_Budget Input Data'!$E$86="Front-loaded",IF(10&lt;='I_Inputs &amp; Assumptions'!$B$8/2,'I_Budget Input Data'!$D$86*0.6/('I_Inputs &amp; Assumptions'!$B$8/2),'I_Budget Input Data'!$D$86*0.4/('I_Inputs &amp; Assumptions'!$B$8/2)),IF('I_Budget Input Data'!$E$86="Back-loaded",IF(10&lt;='I_Inputs &amp; Assumptions'!$B$8/2,'I_Budget Input Data'!$D$86*0.4/('I_Inputs &amp; Assumptions'!$B$8/2),'I_Budget Input Data'!$D$86*0.6/('I_Inputs &amp; Assumptions'!$B$8/2)),IF('I_Budget Input Data'!$E$86="Mid-weighted",IF(10&lt;='I_Inputs &amp; Assumptions'!$B$8/4,'I_Budget Input Data'!$D$86*0.2/('I_Inputs &amp; Assumptions'!$B$8/4),IF(10&lt;='I_Inputs &amp; Assumptions'!$B$8*0.75,'I_Budget Input Data'!$D$86*0.6/('I_Inputs &amp; Assumptions'!$B$8/2),'I_Budget Input Data'!$D$86*0.2/('I_Inputs &amp; Assumptions'!$B$8/4))),IF('I_Budget Input Data'!$E$86="At Completion",IF(10='I_Inputs &amp; Assumptions'!$B$8,'I_Budget Input Data'!$D$86,0),'I_Budget Input Data'!$D$86/'I_Inputs &amp; Assumptions'!$B$8)))))),0)</f>
        <v>38355.769230769234</v>
      </c>
      <c r="M86" s="91">
        <f>IF(11&lt;='I_Inputs &amp; Assumptions'!$B$8,IF('I_Budget Input Data'!$E$86="Upfront",IF(11=1,'I_Budget Input Data'!$D$86,0),IF('I_Budget Input Data'!$E$86="Equal",'I_Budget Input Data'!$D$86/'I_Inputs &amp; Assumptions'!$B$8,IF('I_Budget Input Data'!$E$86="Front-loaded",IF(11&lt;='I_Inputs &amp; Assumptions'!$B$8/2,'I_Budget Input Data'!$D$86*0.6/('I_Inputs &amp; Assumptions'!$B$8/2),'I_Budget Input Data'!$D$86*0.4/('I_Inputs &amp; Assumptions'!$B$8/2)),IF('I_Budget Input Data'!$E$86="Back-loaded",IF(11&lt;='I_Inputs &amp; Assumptions'!$B$8/2,'I_Budget Input Data'!$D$86*0.4/('I_Inputs &amp; Assumptions'!$B$8/2),'I_Budget Input Data'!$D$86*0.6/('I_Inputs &amp; Assumptions'!$B$8/2)),IF('I_Budget Input Data'!$E$86="Mid-weighted",IF(11&lt;='I_Inputs &amp; Assumptions'!$B$8/4,'I_Budget Input Data'!$D$86*0.2/('I_Inputs &amp; Assumptions'!$B$8/4),IF(11&lt;='I_Inputs &amp; Assumptions'!$B$8*0.75,'I_Budget Input Data'!$D$86*0.6/('I_Inputs &amp; Assumptions'!$B$8/2),'I_Budget Input Data'!$D$86*0.2/('I_Inputs &amp; Assumptions'!$B$8/4))),IF('I_Budget Input Data'!$E$86="At Completion",IF(11='I_Inputs &amp; Assumptions'!$B$8,'I_Budget Input Data'!$D$86,0),'I_Budget Input Data'!$D$86/'I_Inputs &amp; Assumptions'!$B$8)))))),0)</f>
        <v>38355.769230769234</v>
      </c>
      <c r="N86" s="91">
        <f>IF(12&lt;='I_Inputs &amp; Assumptions'!$B$8,IF('I_Budget Input Data'!$E$86="Upfront",IF(12=1,'I_Budget Input Data'!$D$86,0),IF('I_Budget Input Data'!$E$86="Equal",'I_Budget Input Data'!$D$86/'I_Inputs &amp; Assumptions'!$B$8,IF('I_Budget Input Data'!$E$86="Front-loaded",IF(12&lt;='I_Inputs &amp; Assumptions'!$B$8/2,'I_Budget Input Data'!$D$86*0.6/('I_Inputs &amp; Assumptions'!$B$8/2),'I_Budget Input Data'!$D$86*0.4/('I_Inputs &amp; Assumptions'!$B$8/2)),IF('I_Budget Input Data'!$E$86="Back-loaded",IF(12&lt;='I_Inputs &amp; Assumptions'!$B$8/2,'I_Budget Input Data'!$D$86*0.4/('I_Inputs &amp; Assumptions'!$B$8/2),'I_Budget Input Data'!$D$86*0.6/('I_Inputs &amp; Assumptions'!$B$8/2)),IF('I_Budget Input Data'!$E$86="Mid-weighted",IF(12&lt;='I_Inputs &amp; Assumptions'!$B$8/4,'I_Budget Input Data'!$D$86*0.2/('I_Inputs &amp; Assumptions'!$B$8/4),IF(12&lt;='I_Inputs &amp; Assumptions'!$B$8*0.75,'I_Budget Input Data'!$D$86*0.6/('I_Inputs &amp; Assumptions'!$B$8/2),'I_Budget Input Data'!$D$86*0.2/('I_Inputs &amp; Assumptions'!$B$8/4))),IF('I_Budget Input Data'!$E$86="At Completion",IF(12='I_Inputs &amp; Assumptions'!$B$8,'I_Budget Input Data'!$D$86,0),'I_Budget Input Data'!$D$86/'I_Inputs &amp; Assumptions'!$B$8)))))),0)</f>
        <v>38355.769230769234</v>
      </c>
      <c r="O86" s="91">
        <f>IF(13&lt;='I_Inputs &amp; Assumptions'!$B$8,IF('I_Budget Input Data'!$E$86="Upfront",IF(13=1,'I_Budget Input Data'!$D$86,0),IF('I_Budget Input Data'!$E$86="Equal",'I_Budget Input Data'!$D$86/'I_Inputs &amp; Assumptions'!$B$8,IF('I_Budget Input Data'!$E$86="Front-loaded",IF(13&lt;='I_Inputs &amp; Assumptions'!$B$8/2,'I_Budget Input Data'!$D$86*0.6/('I_Inputs &amp; Assumptions'!$B$8/2),'I_Budget Input Data'!$D$86*0.4/('I_Inputs &amp; Assumptions'!$B$8/2)),IF('I_Budget Input Data'!$E$86="Back-loaded",IF(13&lt;='I_Inputs &amp; Assumptions'!$B$8/2,'I_Budget Input Data'!$D$86*0.4/('I_Inputs &amp; Assumptions'!$B$8/2),'I_Budget Input Data'!$D$86*0.6/('I_Inputs &amp; Assumptions'!$B$8/2)),IF('I_Budget Input Data'!$E$86="Mid-weighted",IF(13&lt;='I_Inputs &amp; Assumptions'!$B$8/4,'I_Budget Input Data'!$D$86*0.2/('I_Inputs &amp; Assumptions'!$B$8/4),IF(13&lt;='I_Inputs &amp; Assumptions'!$B$8*0.75,'I_Budget Input Data'!$D$86*0.6/('I_Inputs &amp; Assumptions'!$B$8/2),'I_Budget Input Data'!$D$86*0.2/('I_Inputs &amp; Assumptions'!$B$8/4))),IF('I_Budget Input Data'!$E$86="At Completion",IF(13='I_Inputs &amp; Assumptions'!$B$8,'I_Budget Input Data'!$D$86,0),'I_Budget Input Data'!$D$86/'I_Inputs &amp; Assumptions'!$B$8)))))),0)</f>
        <v>38355.769230769234</v>
      </c>
      <c r="P86" s="91">
        <f>IF(14&lt;='I_Inputs &amp; Assumptions'!$B$8,IF('I_Budget Input Data'!$E$86="Upfront",IF(14=1,'I_Budget Input Data'!$D$86,0),IF('I_Budget Input Data'!$E$86="Equal",'I_Budget Input Data'!$D$86/'I_Inputs &amp; Assumptions'!$B$8,IF('I_Budget Input Data'!$E$86="Front-loaded",IF(14&lt;='I_Inputs &amp; Assumptions'!$B$8/2,'I_Budget Input Data'!$D$86*0.6/('I_Inputs &amp; Assumptions'!$B$8/2),'I_Budget Input Data'!$D$86*0.4/('I_Inputs &amp; Assumptions'!$B$8/2)),IF('I_Budget Input Data'!$E$86="Back-loaded",IF(14&lt;='I_Inputs &amp; Assumptions'!$B$8/2,'I_Budget Input Data'!$D$86*0.4/('I_Inputs &amp; Assumptions'!$B$8/2),'I_Budget Input Data'!$D$86*0.6/('I_Inputs &amp; Assumptions'!$B$8/2)),IF('I_Budget Input Data'!$E$86="Mid-weighted",IF(14&lt;='I_Inputs &amp; Assumptions'!$B$8/4,'I_Budget Input Data'!$D$86*0.2/('I_Inputs &amp; Assumptions'!$B$8/4),IF(14&lt;='I_Inputs &amp; Assumptions'!$B$8*0.75,'I_Budget Input Data'!$D$86*0.6/('I_Inputs &amp; Assumptions'!$B$8/2),'I_Budget Input Data'!$D$86*0.2/('I_Inputs &amp; Assumptions'!$B$8/4))),IF('I_Budget Input Data'!$E$86="At Completion",IF(14='I_Inputs &amp; Assumptions'!$B$8,'I_Budget Input Data'!$D$86,0),'I_Budget Input Data'!$D$86/'I_Inputs &amp; Assumptions'!$B$8)))))),0)</f>
        <v>0</v>
      </c>
      <c r="Q86" s="91">
        <f>IF(15&lt;='I_Inputs &amp; Assumptions'!$B$8,IF('I_Budget Input Data'!$E$86="Upfront",IF(15=1,'I_Budget Input Data'!$D$86,0),IF('I_Budget Input Data'!$E$86="Equal",'I_Budget Input Data'!$D$86/'I_Inputs &amp; Assumptions'!$B$8,IF('I_Budget Input Data'!$E$86="Front-loaded",IF(15&lt;='I_Inputs &amp; Assumptions'!$B$8/2,'I_Budget Input Data'!$D$86*0.6/('I_Inputs &amp; Assumptions'!$B$8/2),'I_Budget Input Data'!$D$86*0.4/('I_Inputs &amp; Assumptions'!$B$8/2)),IF('I_Budget Input Data'!$E$86="Back-loaded",IF(15&lt;='I_Inputs &amp; Assumptions'!$B$8/2,'I_Budget Input Data'!$D$86*0.4/('I_Inputs &amp; Assumptions'!$B$8/2),'I_Budget Input Data'!$D$86*0.6/('I_Inputs &amp; Assumptions'!$B$8/2)),IF('I_Budget Input Data'!$E$86="Mid-weighted",IF(15&lt;='I_Inputs &amp; Assumptions'!$B$8/4,'I_Budget Input Data'!$D$86*0.2/('I_Inputs &amp; Assumptions'!$B$8/4),IF(15&lt;='I_Inputs &amp; Assumptions'!$B$8*0.75,'I_Budget Input Data'!$D$86*0.6/('I_Inputs &amp; Assumptions'!$B$8/2),'I_Budget Input Data'!$D$86*0.2/('I_Inputs &amp; Assumptions'!$B$8/4))),IF('I_Budget Input Data'!$E$86="At Completion",IF(15='I_Inputs &amp; Assumptions'!$B$8,'I_Budget Input Data'!$D$86,0),'I_Budget Input Data'!$D$86/'I_Inputs &amp; Assumptions'!$B$8)))))),0)</f>
        <v>0</v>
      </c>
      <c r="R86" s="91">
        <f>IF(16&lt;='I_Inputs &amp; Assumptions'!$B$8,IF('I_Budget Input Data'!$E$86="Upfront",IF(16=1,'I_Budget Input Data'!$D$86,0),IF('I_Budget Input Data'!$E$86="Equal",'I_Budget Input Data'!$D$86/'I_Inputs &amp; Assumptions'!$B$8,IF('I_Budget Input Data'!$E$86="Front-loaded",IF(16&lt;='I_Inputs &amp; Assumptions'!$B$8/2,'I_Budget Input Data'!$D$86*0.6/('I_Inputs &amp; Assumptions'!$B$8/2),'I_Budget Input Data'!$D$86*0.4/('I_Inputs &amp; Assumptions'!$B$8/2)),IF('I_Budget Input Data'!$E$86="Back-loaded",IF(16&lt;='I_Inputs &amp; Assumptions'!$B$8/2,'I_Budget Input Data'!$D$86*0.4/('I_Inputs &amp; Assumptions'!$B$8/2),'I_Budget Input Data'!$D$86*0.6/('I_Inputs &amp; Assumptions'!$B$8/2)),IF('I_Budget Input Data'!$E$86="Mid-weighted",IF(16&lt;='I_Inputs &amp; Assumptions'!$B$8/4,'I_Budget Input Data'!$D$86*0.2/('I_Inputs &amp; Assumptions'!$B$8/4),IF(16&lt;='I_Inputs &amp; Assumptions'!$B$8*0.75,'I_Budget Input Data'!$D$86*0.6/('I_Inputs &amp; Assumptions'!$B$8/2),'I_Budget Input Data'!$D$86*0.2/('I_Inputs &amp; Assumptions'!$B$8/4))),IF('I_Budget Input Data'!$E$86="At Completion",IF(16='I_Inputs &amp; Assumptions'!$B$8,'I_Budget Input Data'!$D$86,0),'I_Budget Input Data'!$D$86/'I_Inputs &amp; Assumptions'!$B$8)))))),0)</f>
        <v>0</v>
      </c>
      <c r="S86" s="91">
        <f>IF(17&lt;='I_Inputs &amp; Assumptions'!$B$8,IF('I_Budget Input Data'!$E$86="Upfront",IF(17=1,'I_Budget Input Data'!$D$86,0),IF('I_Budget Input Data'!$E$86="Equal",'I_Budget Input Data'!$D$86/'I_Inputs &amp; Assumptions'!$B$8,IF('I_Budget Input Data'!$E$86="Front-loaded",IF(17&lt;='I_Inputs &amp; Assumptions'!$B$8/2,'I_Budget Input Data'!$D$86*0.6/('I_Inputs &amp; Assumptions'!$B$8/2),'I_Budget Input Data'!$D$86*0.4/('I_Inputs &amp; Assumptions'!$B$8/2)),IF('I_Budget Input Data'!$E$86="Back-loaded",IF(17&lt;='I_Inputs &amp; Assumptions'!$B$8/2,'I_Budget Input Data'!$D$86*0.4/('I_Inputs &amp; Assumptions'!$B$8/2),'I_Budget Input Data'!$D$86*0.6/('I_Inputs &amp; Assumptions'!$B$8/2)),IF('I_Budget Input Data'!$E$86="Mid-weighted",IF(17&lt;='I_Inputs &amp; Assumptions'!$B$8/4,'I_Budget Input Data'!$D$86*0.2/('I_Inputs &amp; Assumptions'!$B$8/4),IF(17&lt;='I_Inputs &amp; Assumptions'!$B$8*0.75,'I_Budget Input Data'!$D$86*0.6/('I_Inputs &amp; Assumptions'!$B$8/2),'I_Budget Input Data'!$D$86*0.2/('I_Inputs &amp; Assumptions'!$B$8/4))),IF('I_Budget Input Data'!$E$86="At Completion",IF(17='I_Inputs &amp; Assumptions'!$B$8,'I_Budget Input Data'!$D$86,0),'I_Budget Input Data'!$D$86/'I_Inputs &amp; Assumptions'!$B$8)))))),0)</f>
        <v>0</v>
      </c>
      <c r="T86" s="91">
        <f>IF(18&lt;='I_Inputs &amp; Assumptions'!$B$8,IF('I_Budget Input Data'!$E$86="Upfront",IF(18=1,'I_Budget Input Data'!$D$86,0),IF('I_Budget Input Data'!$E$86="Equal",'I_Budget Input Data'!$D$86/'I_Inputs &amp; Assumptions'!$B$8,IF('I_Budget Input Data'!$E$86="Front-loaded",IF(18&lt;='I_Inputs &amp; Assumptions'!$B$8/2,'I_Budget Input Data'!$D$86*0.6/('I_Inputs &amp; Assumptions'!$B$8/2),'I_Budget Input Data'!$D$86*0.4/('I_Inputs &amp; Assumptions'!$B$8/2)),IF('I_Budget Input Data'!$E$86="Back-loaded",IF(18&lt;='I_Inputs &amp; Assumptions'!$B$8/2,'I_Budget Input Data'!$D$86*0.4/('I_Inputs &amp; Assumptions'!$B$8/2),'I_Budget Input Data'!$D$86*0.6/('I_Inputs &amp; Assumptions'!$B$8/2)),IF('I_Budget Input Data'!$E$86="Mid-weighted",IF(18&lt;='I_Inputs &amp; Assumptions'!$B$8/4,'I_Budget Input Data'!$D$86*0.2/('I_Inputs &amp; Assumptions'!$B$8/4),IF(18&lt;='I_Inputs &amp; Assumptions'!$B$8*0.75,'I_Budget Input Data'!$D$86*0.6/('I_Inputs &amp; Assumptions'!$B$8/2),'I_Budget Input Data'!$D$86*0.2/('I_Inputs &amp; Assumptions'!$B$8/4))),IF('I_Budget Input Data'!$E$86="At Completion",IF(18='I_Inputs &amp; Assumptions'!$B$8,'I_Budget Input Data'!$D$86,0),'I_Budget Input Data'!$D$86/'I_Inputs &amp; Assumptions'!$B$8)))))),0)</f>
        <v>0</v>
      </c>
      <c r="U86" s="91">
        <f>IF(19&lt;='I_Inputs &amp; Assumptions'!$B$8,IF('I_Budget Input Data'!$E$86="Upfront",IF(19=1,'I_Budget Input Data'!$D$86,0),IF('I_Budget Input Data'!$E$86="Equal",'I_Budget Input Data'!$D$86/'I_Inputs &amp; Assumptions'!$B$8,IF('I_Budget Input Data'!$E$86="Front-loaded",IF(19&lt;='I_Inputs &amp; Assumptions'!$B$8/2,'I_Budget Input Data'!$D$86*0.6/('I_Inputs &amp; Assumptions'!$B$8/2),'I_Budget Input Data'!$D$86*0.4/('I_Inputs &amp; Assumptions'!$B$8/2)),IF('I_Budget Input Data'!$E$86="Back-loaded",IF(19&lt;='I_Inputs &amp; Assumptions'!$B$8/2,'I_Budget Input Data'!$D$86*0.4/('I_Inputs &amp; Assumptions'!$B$8/2),'I_Budget Input Data'!$D$86*0.6/('I_Inputs &amp; Assumptions'!$B$8/2)),IF('I_Budget Input Data'!$E$86="Mid-weighted",IF(19&lt;='I_Inputs &amp; Assumptions'!$B$8/4,'I_Budget Input Data'!$D$86*0.2/('I_Inputs &amp; Assumptions'!$B$8/4),IF(19&lt;='I_Inputs &amp; Assumptions'!$B$8*0.75,'I_Budget Input Data'!$D$86*0.6/('I_Inputs &amp; Assumptions'!$B$8/2),'I_Budget Input Data'!$D$86*0.2/('I_Inputs &amp; Assumptions'!$B$8/4))),IF('I_Budget Input Data'!$E$86="At Completion",IF(19='I_Inputs &amp; Assumptions'!$B$8,'I_Budget Input Data'!$D$86,0),'I_Budget Input Data'!$D$86/'I_Inputs &amp; Assumptions'!$B$8)))))),0)</f>
        <v>0</v>
      </c>
      <c r="V86" s="91">
        <f>IF(20&lt;='I_Inputs &amp; Assumptions'!$B$8,IF('I_Budget Input Data'!$E$86="Upfront",IF(20=1,'I_Budget Input Data'!$D$86,0),IF('I_Budget Input Data'!$E$86="Equal",'I_Budget Input Data'!$D$86/'I_Inputs &amp; Assumptions'!$B$8,IF('I_Budget Input Data'!$E$86="Front-loaded",IF(20&lt;='I_Inputs &amp; Assumptions'!$B$8/2,'I_Budget Input Data'!$D$86*0.6/('I_Inputs &amp; Assumptions'!$B$8/2),'I_Budget Input Data'!$D$86*0.4/('I_Inputs &amp; Assumptions'!$B$8/2)),IF('I_Budget Input Data'!$E$86="Back-loaded",IF(20&lt;='I_Inputs &amp; Assumptions'!$B$8/2,'I_Budget Input Data'!$D$86*0.4/('I_Inputs &amp; Assumptions'!$B$8/2),'I_Budget Input Data'!$D$86*0.6/('I_Inputs &amp; Assumptions'!$B$8/2)),IF('I_Budget Input Data'!$E$86="Mid-weighted",IF(20&lt;='I_Inputs &amp; Assumptions'!$B$8/4,'I_Budget Input Data'!$D$86*0.2/('I_Inputs &amp; Assumptions'!$B$8/4),IF(20&lt;='I_Inputs &amp; Assumptions'!$B$8*0.75,'I_Budget Input Data'!$D$86*0.6/('I_Inputs &amp; Assumptions'!$B$8/2),'I_Budget Input Data'!$D$86*0.2/('I_Inputs &amp; Assumptions'!$B$8/4))),IF('I_Budget Input Data'!$E$86="At Completion",IF(20='I_Inputs &amp; Assumptions'!$B$8,'I_Budget Input Data'!$D$86,0),'I_Budget Input Data'!$D$86/'I_Inputs &amp; Assumptions'!$B$8)))))),0)</f>
        <v>0</v>
      </c>
      <c r="W86" s="91">
        <f>IF(21&lt;='I_Inputs &amp; Assumptions'!$B$8,IF('I_Budget Input Data'!$E$86="Upfront",IF(21=1,'I_Budget Input Data'!$D$86,0),IF('I_Budget Input Data'!$E$86="Equal",'I_Budget Input Data'!$D$86/'I_Inputs &amp; Assumptions'!$B$8,IF('I_Budget Input Data'!$E$86="Front-loaded",IF(21&lt;='I_Inputs &amp; Assumptions'!$B$8/2,'I_Budget Input Data'!$D$86*0.6/('I_Inputs &amp; Assumptions'!$B$8/2),'I_Budget Input Data'!$D$86*0.4/('I_Inputs &amp; Assumptions'!$B$8/2)),IF('I_Budget Input Data'!$E$86="Back-loaded",IF(21&lt;='I_Inputs &amp; Assumptions'!$B$8/2,'I_Budget Input Data'!$D$86*0.4/('I_Inputs &amp; Assumptions'!$B$8/2),'I_Budget Input Data'!$D$86*0.6/('I_Inputs &amp; Assumptions'!$B$8/2)),IF('I_Budget Input Data'!$E$86="Mid-weighted",IF(21&lt;='I_Inputs &amp; Assumptions'!$B$8/4,'I_Budget Input Data'!$D$86*0.2/('I_Inputs &amp; Assumptions'!$B$8/4),IF(21&lt;='I_Inputs &amp; Assumptions'!$B$8*0.75,'I_Budget Input Data'!$D$86*0.6/('I_Inputs &amp; Assumptions'!$B$8/2),'I_Budget Input Data'!$D$86*0.2/('I_Inputs &amp; Assumptions'!$B$8/4))),IF('I_Budget Input Data'!$E$86="At Completion",IF(21='I_Inputs &amp; Assumptions'!$B$8,'I_Budget Input Data'!$D$86,0),'I_Budget Input Data'!$D$86/'I_Inputs &amp; Assumptions'!$B$8)))))),0)</f>
        <v>0</v>
      </c>
      <c r="X86" s="91">
        <f>IF(22&lt;='I_Inputs &amp; Assumptions'!$B$8,IF('I_Budget Input Data'!$E$86="Upfront",IF(22=1,'I_Budget Input Data'!$D$86,0),IF('I_Budget Input Data'!$E$86="Equal",'I_Budget Input Data'!$D$86/'I_Inputs &amp; Assumptions'!$B$8,IF('I_Budget Input Data'!$E$86="Front-loaded",IF(22&lt;='I_Inputs &amp; Assumptions'!$B$8/2,'I_Budget Input Data'!$D$86*0.6/('I_Inputs &amp; Assumptions'!$B$8/2),'I_Budget Input Data'!$D$86*0.4/('I_Inputs &amp; Assumptions'!$B$8/2)),IF('I_Budget Input Data'!$E$86="Back-loaded",IF(22&lt;='I_Inputs &amp; Assumptions'!$B$8/2,'I_Budget Input Data'!$D$86*0.4/('I_Inputs &amp; Assumptions'!$B$8/2),'I_Budget Input Data'!$D$86*0.6/('I_Inputs &amp; Assumptions'!$B$8/2)),IF('I_Budget Input Data'!$E$86="Mid-weighted",IF(22&lt;='I_Inputs &amp; Assumptions'!$B$8/4,'I_Budget Input Data'!$D$86*0.2/('I_Inputs &amp; Assumptions'!$B$8/4),IF(22&lt;='I_Inputs &amp; Assumptions'!$B$8*0.75,'I_Budget Input Data'!$D$86*0.6/('I_Inputs &amp; Assumptions'!$B$8/2),'I_Budget Input Data'!$D$86*0.2/('I_Inputs &amp; Assumptions'!$B$8/4))),IF('I_Budget Input Data'!$E$86="At Completion",IF(22='I_Inputs &amp; Assumptions'!$B$8,'I_Budget Input Data'!$D$86,0),'I_Budget Input Data'!$D$86/'I_Inputs &amp; Assumptions'!$B$8)))))),0)</f>
        <v>0</v>
      </c>
      <c r="Y86" s="91">
        <f>IF(23&lt;='I_Inputs &amp; Assumptions'!$B$8,IF('I_Budget Input Data'!$E$86="Upfront",IF(23=1,'I_Budget Input Data'!$D$86,0),IF('I_Budget Input Data'!$E$86="Equal",'I_Budget Input Data'!$D$86/'I_Inputs &amp; Assumptions'!$B$8,IF('I_Budget Input Data'!$E$86="Front-loaded",IF(23&lt;='I_Inputs &amp; Assumptions'!$B$8/2,'I_Budget Input Data'!$D$86*0.6/('I_Inputs &amp; Assumptions'!$B$8/2),'I_Budget Input Data'!$D$86*0.4/('I_Inputs &amp; Assumptions'!$B$8/2)),IF('I_Budget Input Data'!$E$86="Back-loaded",IF(23&lt;='I_Inputs &amp; Assumptions'!$B$8/2,'I_Budget Input Data'!$D$86*0.4/('I_Inputs &amp; Assumptions'!$B$8/2),'I_Budget Input Data'!$D$86*0.6/('I_Inputs &amp; Assumptions'!$B$8/2)),IF('I_Budget Input Data'!$E$86="Mid-weighted",IF(23&lt;='I_Inputs &amp; Assumptions'!$B$8/4,'I_Budget Input Data'!$D$86*0.2/('I_Inputs &amp; Assumptions'!$B$8/4),IF(23&lt;='I_Inputs &amp; Assumptions'!$B$8*0.75,'I_Budget Input Data'!$D$86*0.6/('I_Inputs &amp; Assumptions'!$B$8/2),'I_Budget Input Data'!$D$86*0.2/('I_Inputs &amp; Assumptions'!$B$8/4))),IF('I_Budget Input Data'!$E$86="At Completion",IF(23='I_Inputs &amp; Assumptions'!$B$8,'I_Budget Input Data'!$D$86,0),'I_Budget Input Data'!$D$86/'I_Inputs &amp; Assumptions'!$B$8)))))),0)</f>
        <v>0</v>
      </c>
      <c r="Z86" s="91">
        <f>IF(24&lt;='I_Inputs &amp; Assumptions'!$B$8,IF('I_Budget Input Data'!$E$86="Upfront",IF(24=1,'I_Budget Input Data'!$D$86,0),IF('I_Budget Input Data'!$E$86="Equal",'I_Budget Input Data'!$D$86/'I_Inputs &amp; Assumptions'!$B$8,IF('I_Budget Input Data'!$E$86="Front-loaded",IF(24&lt;='I_Inputs &amp; Assumptions'!$B$8/2,'I_Budget Input Data'!$D$86*0.6/('I_Inputs &amp; Assumptions'!$B$8/2),'I_Budget Input Data'!$D$86*0.4/('I_Inputs &amp; Assumptions'!$B$8/2)),IF('I_Budget Input Data'!$E$86="Back-loaded",IF(24&lt;='I_Inputs &amp; Assumptions'!$B$8/2,'I_Budget Input Data'!$D$86*0.4/('I_Inputs &amp; Assumptions'!$B$8/2),'I_Budget Input Data'!$D$86*0.6/('I_Inputs &amp; Assumptions'!$B$8/2)),IF('I_Budget Input Data'!$E$86="Mid-weighted",IF(24&lt;='I_Inputs &amp; Assumptions'!$B$8/4,'I_Budget Input Data'!$D$86*0.2/('I_Inputs &amp; Assumptions'!$B$8/4),IF(24&lt;='I_Inputs &amp; Assumptions'!$B$8*0.75,'I_Budget Input Data'!$D$86*0.6/('I_Inputs &amp; Assumptions'!$B$8/2),'I_Budget Input Data'!$D$86*0.2/('I_Inputs &amp; Assumptions'!$B$8/4))),IF('I_Budget Input Data'!$E$86="At Completion",IF(24='I_Inputs &amp; Assumptions'!$B$8,'I_Budget Input Data'!$D$86,0),'I_Budget Input Data'!$D$86/'I_Inputs &amp; Assumptions'!$B$8)))))),0)</f>
        <v>0</v>
      </c>
      <c r="AA86" s="91">
        <f>IF(25&lt;='I_Inputs &amp; Assumptions'!$B$8,IF('I_Budget Input Data'!$E$86="Upfront",IF(25=1,'I_Budget Input Data'!$D$86,0),IF('I_Budget Input Data'!$E$86="Equal",'I_Budget Input Data'!$D$86/'I_Inputs &amp; Assumptions'!$B$8,IF('I_Budget Input Data'!$E$86="Front-loaded",IF(25&lt;='I_Inputs &amp; Assumptions'!$B$8/2,'I_Budget Input Data'!$D$86*0.6/('I_Inputs &amp; Assumptions'!$B$8/2),'I_Budget Input Data'!$D$86*0.4/('I_Inputs &amp; Assumptions'!$B$8/2)),IF('I_Budget Input Data'!$E$86="Back-loaded",IF(25&lt;='I_Inputs &amp; Assumptions'!$B$8/2,'I_Budget Input Data'!$D$86*0.4/('I_Inputs &amp; Assumptions'!$B$8/2),'I_Budget Input Data'!$D$86*0.6/('I_Inputs &amp; Assumptions'!$B$8/2)),IF('I_Budget Input Data'!$E$86="Mid-weighted",IF(25&lt;='I_Inputs &amp; Assumptions'!$B$8/4,'I_Budget Input Data'!$D$86*0.2/('I_Inputs &amp; Assumptions'!$B$8/4),IF(25&lt;='I_Inputs &amp; Assumptions'!$B$8*0.75,'I_Budget Input Data'!$D$86*0.6/('I_Inputs &amp; Assumptions'!$B$8/2),'I_Budget Input Data'!$D$86*0.2/('I_Inputs &amp; Assumptions'!$B$8/4))),IF('I_Budget Input Data'!$E$86="At Completion",IF(25='I_Inputs &amp; Assumptions'!$B$8,'I_Budget Input Data'!$D$86,0),'I_Budget Input Data'!$D$86/'I_Inputs &amp; Assumptions'!$B$8)))))),0)</f>
        <v>0</v>
      </c>
      <c r="AB86" s="91">
        <f>IF(26&lt;='I_Inputs &amp; Assumptions'!$B$8,IF('I_Budget Input Data'!$E$86="Upfront",IF(26=1,'I_Budget Input Data'!$D$86,0),IF('I_Budget Input Data'!$E$86="Equal",'I_Budget Input Data'!$D$86/'I_Inputs &amp; Assumptions'!$B$8,IF('I_Budget Input Data'!$E$86="Front-loaded",IF(26&lt;='I_Inputs &amp; Assumptions'!$B$8/2,'I_Budget Input Data'!$D$86*0.6/('I_Inputs &amp; Assumptions'!$B$8/2),'I_Budget Input Data'!$D$86*0.4/('I_Inputs &amp; Assumptions'!$B$8/2)),IF('I_Budget Input Data'!$E$86="Back-loaded",IF(26&lt;='I_Inputs &amp; Assumptions'!$B$8/2,'I_Budget Input Data'!$D$86*0.4/('I_Inputs &amp; Assumptions'!$B$8/2),'I_Budget Input Data'!$D$86*0.6/('I_Inputs &amp; Assumptions'!$B$8/2)),IF('I_Budget Input Data'!$E$86="Mid-weighted",IF(26&lt;='I_Inputs &amp; Assumptions'!$B$8/4,'I_Budget Input Data'!$D$86*0.2/('I_Inputs &amp; Assumptions'!$B$8/4),IF(26&lt;='I_Inputs &amp; Assumptions'!$B$8*0.75,'I_Budget Input Data'!$D$86*0.6/('I_Inputs &amp; Assumptions'!$B$8/2),'I_Budget Input Data'!$D$86*0.2/('I_Inputs &amp; Assumptions'!$B$8/4))),IF('I_Budget Input Data'!$E$86="At Completion",IF(26='I_Inputs &amp; Assumptions'!$B$8,'I_Budget Input Data'!$D$86,0),'I_Budget Input Data'!$D$86/'I_Inputs &amp; Assumptions'!$B$8)))))),0)</f>
        <v>0</v>
      </c>
      <c r="AC86" s="91">
        <f>IF(27&lt;='I_Inputs &amp; Assumptions'!$B$8,IF('I_Budget Input Data'!$E$86="Upfront",IF(27=1,'I_Budget Input Data'!$D$86,0),IF('I_Budget Input Data'!$E$86="Equal",'I_Budget Input Data'!$D$86/'I_Inputs &amp; Assumptions'!$B$8,IF('I_Budget Input Data'!$E$86="Front-loaded",IF(27&lt;='I_Inputs &amp; Assumptions'!$B$8/2,'I_Budget Input Data'!$D$86*0.6/('I_Inputs &amp; Assumptions'!$B$8/2),'I_Budget Input Data'!$D$86*0.4/('I_Inputs &amp; Assumptions'!$B$8/2)),IF('I_Budget Input Data'!$E$86="Back-loaded",IF(27&lt;='I_Inputs &amp; Assumptions'!$B$8/2,'I_Budget Input Data'!$D$86*0.4/('I_Inputs &amp; Assumptions'!$B$8/2),'I_Budget Input Data'!$D$86*0.6/('I_Inputs &amp; Assumptions'!$B$8/2)),IF('I_Budget Input Data'!$E$86="Mid-weighted",IF(27&lt;='I_Inputs &amp; Assumptions'!$B$8/4,'I_Budget Input Data'!$D$86*0.2/('I_Inputs &amp; Assumptions'!$B$8/4),IF(27&lt;='I_Inputs &amp; Assumptions'!$B$8*0.75,'I_Budget Input Data'!$D$86*0.6/('I_Inputs &amp; Assumptions'!$B$8/2),'I_Budget Input Data'!$D$86*0.2/('I_Inputs &amp; Assumptions'!$B$8/4))),IF('I_Budget Input Data'!$E$86="At Completion",IF(27='I_Inputs &amp; Assumptions'!$B$8,'I_Budget Input Data'!$D$86,0),'I_Budget Input Data'!$D$86/'I_Inputs &amp; Assumptions'!$B$8)))))),0)</f>
        <v>0</v>
      </c>
      <c r="AD86" s="91">
        <f>IF(28&lt;='I_Inputs &amp; Assumptions'!$B$8,IF('I_Budget Input Data'!$E$86="Upfront",IF(28=1,'I_Budget Input Data'!$D$86,0),IF('I_Budget Input Data'!$E$86="Equal",'I_Budget Input Data'!$D$86/'I_Inputs &amp; Assumptions'!$B$8,IF('I_Budget Input Data'!$E$86="Front-loaded",IF(28&lt;='I_Inputs &amp; Assumptions'!$B$8/2,'I_Budget Input Data'!$D$86*0.6/('I_Inputs &amp; Assumptions'!$B$8/2),'I_Budget Input Data'!$D$86*0.4/('I_Inputs &amp; Assumptions'!$B$8/2)),IF('I_Budget Input Data'!$E$86="Back-loaded",IF(28&lt;='I_Inputs &amp; Assumptions'!$B$8/2,'I_Budget Input Data'!$D$86*0.4/('I_Inputs &amp; Assumptions'!$B$8/2),'I_Budget Input Data'!$D$86*0.6/('I_Inputs &amp; Assumptions'!$B$8/2)),IF('I_Budget Input Data'!$E$86="Mid-weighted",IF(28&lt;='I_Inputs &amp; Assumptions'!$B$8/4,'I_Budget Input Data'!$D$86*0.2/('I_Inputs &amp; Assumptions'!$B$8/4),IF(28&lt;='I_Inputs &amp; Assumptions'!$B$8*0.75,'I_Budget Input Data'!$D$86*0.6/('I_Inputs &amp; Assumptions'!$B$8/2),'I_Budget Input Data'!$D$86*0.2/('I_Inputs &amp; Assumptions'!$B$8/4))),IF('I_Budget Input Data'!$E$86="At Completion",IF(28='I_Inputs &amp; Assumptions'!$B$8,'I_Budget Input Data'!$D$86,0),'I_Budget Input Data'!$D$86/'I_Inputs &amp; Assumptions'!$B$8)))))),0)</f>
        <v>0</v>
      </c>
      <c r="AE86" s="91">
        <f>IF(29&lt;='I_Inputs &amp; Assumptions'!$B$8,IF('I_Budget Input Data'!$E$86="Upfront",IF(29=1,'I_Budget Input Data'!$D$86,0),IF('I_Budget Input Data'!$E$86="Equal",'I_Budget Input Data'!$D$86/'I_Inputs &amp; Assumptions'!$B$8,IF('I_Budget Input Data'!$E$86="Front-loaded",IF(29&lt;='I_Inputs &amp; Assumptions'!$B$8/2,'I_Budget Input Data'!$D$86*0.6/('I_Inputs &amp; Assumptions'!$B$8/2),'I_Budget Input Data'!$D$86*0.4/('I_Inputs &amp; Assumptions'!$B$8/2)),IF('I_Budget Input Data'!$E$86="Back-loaded",IF(29&lt;='I_Inputs &amp; Assumptions'!$B$8/2,'I_Budget Input Data'!$D$86*0.4/('I_Inputs &amp; Assumptions'!$B$8/2),'I_Budget Input Data'!$D$86*0.6/('I_Inputs &amp; Assumptions'!$B$8/2)),IF('I_Budget Input Data'!$E$86="Mid-weighted",IF(29&lt;='I_Inputs &amp; Assumptions'!$B$8/4,'I_Budget Input Data'!$D$86*0.2/('I_Inputs &amp; Assumptions'!$B$8/4),IF(29&lt;='I_Inputs &amp; Assumptions'!$B$8*0.75,'I_Budget Input Data'!$D$86*0.6/('I_Inputs &amp; Assumptions'!$B$8/2),'I_Budget Input Data'!$D$86*0.2/('I_Inputs &amp; Assumptions'!$B$8/4))),IF('I_Budget Input Data'!$E$86="At Completion",IF(29='I_Inputs &amp; Assumptions'!$B$8,'I_Budget Input Data'!$D$86,0),'I_Budget Input Data'!$D$86/'I_Inputs &amp; Assumptions'!$B$8)))))),0)</f>
        <v>0</v>
      </c>
      <c r="AF86" s="91">
        <f>IF(30&lt;='I_Inputs &amp; Assumptions'!$B$8,IF('I_Budget Input Data'!$E$86="Upfront",IF(30=1,'I_Budget Input Data'!$D$86,0),IF('I_Budget Input Data'!$E$86="Equal",'I_Budget Input Data'!$D$86/'I_Inputs &amp; Assumptions'!$B$8,IF('I_Budget Input Data'!$E$86="Front-loaded",IF(30&lt;='I_Inputs &amp; Assumptions'!$B$8/2,'I_Budget Input Data'!$D$86*0.6/('I_Inputs &amp; Assumptions'!$B$8/2),'I_Budget Input Data'!$D$86*0.4/('I_Inputs &amp; Assumptions'!$B$8/2)),IF('I_Budget Input Data'!$E$86="Back-loaded",IF(30&lt;='I_Inputs &amp; Assumptions'!$B$8/2,'I_Budget Input Data'!$D$86*0.4/('I_Inputs &amp; Assumptions'!$B$8/2),'I_Budget Input Data'!$D$86*0.6/('I_Inputs &amp; Assumptions'!$B$8/2)),IF('I_Budget Input Data'!$E$86="Mid-weighted",IF(30&lt;='I_Inputs &amp; Assumptions'!$B$8/4,'I_Budget Input Data'!$D$86*0.2/('I_Inputs &amp; Assumptions'!$B$8/4),IF(30&lt;='I_Inputs &amp; Assumptions'!$B$8*0.75,'I_Budget Input Data'!$D$86*0.6/('I_Inputs &amp; Assumptions'!$B$8/2),'I_Budget Input Data'!$D$86*0.2/('I_Inputs &amp; Assumptions'!$B$8/4))),IF('I_Budget Input Data'!$E$86="At Completion",IF(30='I_Inputs &amp; Assumptions'!$B$8,'I_Budget Input Data'!$D$86,0),'I_Budget Input Data'!$D$86/'I_Inputs &amp; Assumptions'!$B$8)))))),0)</f>
        <v>0</v>
      </c>
      <c r="AG86" s="91">
        <f>IF(31&lt;='I_Inputs &amp; Assumptions'!$B$8,IF('I_Budget Input Data'!$E$86="Upfront",IF(31=1,'I_Budget Input Data'!$D$86,0),IF('I_Budget Input Data'!$E$86="Equal",'I_Budget Input Data'!$D$86/'I_Inputs &amp; Assumptions'!$B$8,IF('I_Budget Input Data'!$E$86="Front-loaded",IF(31&lt;='I_Inputs &amp; Assumptions'!$B$8/2,'I_Budget Input Data'!$D$86*0.6/('I_Inputs &amp; Assumptions'!$B$8/2),'I_Budget Input Data'!$D$86*0.4/('I_Inputs &amp; Assumptions'!$B$8/2)),IF('I_Budget Input Data'!$E$86="Back-loaded",IF(31&lt;='I_Inputs &amp; Assumptions'!$B$8/2,'I_Budget Input Data'!$D$86*0.4/('I_Inputs &amp; Assumptions'!$B$8/2),'I_Budget Input Data'!$D$86*0.6/('I_Inputs &amp; Assumptions'!$B$8/2)),IF('I_Budget Input Data'!$E$86="Mid-weighted",IF(31&lt;='I_Inputs &amp; Assumptions'!$B$8/4,'I_Budget Input Data'!$D$86*0.2/('I_Inputs &amp; Assumptions'!$B$8/4),IF(31&lt;='I_Inputs &amp; Assumptions'!$B$8*0.75,'I_Budget Input Data'!$D$86*0.6/('I_Inputs &amp; Assumptions'!$B$8/2),'I_Budget Input Data'!$D$86*0.2/('I_Inputs &amp; Assumptions'!$B$8/4))),IF('I_Budget Input Data'!$E$86="At Completion",IF(31='I_Inputs &amp; Assumptions'!$B$8,'I_Budget Input Data'!$D$86,0),'I_Budget Input Data'!$D$86/'I_Inputs &amp; Assumptions'!$B$8)))))),0)</f>
        <v>0</v>
      </c>
      <c r="AH86" s="91">
        <f>IF(32&lt;='I_Inputs &amp; Assumptions'!$B$8,IF('I_Budget Input Data'!$E$86="Upfront",IF(32=1,'I_Budget Input Data'!$D$86,0),IF('I_Budget Input Data'!$E$86="Equal",'I_Budget Input Data'!$D$86/'I_Inputs &amp; Assumptions'!$B$8,IF('I_Budget Input Data'!$E$86="Front-loaded",IF(32&lt;='I_Inputs &amp; Assumptions'!$B$8/2,'I_Budget Input Data'!$D$86*0.6/('I_Inputs &amp; Assumptions'!$B$8/2),'I_Budget Input Data'!$D$86*0.4/('I_Inputs &amp; Assumptions'!$B$8/2)),IF('I_Budget Input Data'!$E$86="Back-loaded",IF(32&lt;='I_Inputs &amp; Assumptions'!$B$8/2,'I_Budget Input Data'!$D$86*0.4/('I_Inputs &amp; Assumptions'!$B$8/2),'I_Budget Input Data'!$D$86*0.6/('I_Inputs &amp; Assumptions'!$B$8/2)),IF('I_Budget Input Data'!$E$86="Mid-weighted",IF(32&lt;='I_Inputs &amp; Assumptions'!$B$8/4,'I_Budget Input Data'!$D$86*0.2/('I_Inputs &amp; Assumptions'!$B$8/4),IF(32&lt;='I_Inputs &amp; Assumptions'!$B$8*0.75,'I_Budget Input Data'!$D$86*0.6/('I_Inputs &amp; Assumptions'!$B$8/2),'I_Budget Input Data'!$D$86*0.2/('I_Inputs &amp; Assumptions'!$B$8/4))),IF('I_Budget Input Data'!$E$86="At Completion",IF(32='I_Inputs &amp; Assumptions'!$B$8,'I_Budget Input Data'!$D$86,0),'I_Budget Input Data'!$D$86/'I_Inputs &amp; Assumptions'!$B$8)))))),0)</f>
        <v>0</v>
      </c>
      <c r="AI86" s="91">
        <f>IF(33&lt;='I_Inputs &amp; Assumptions'!$B$8,IF('I_Budget Input Data'!$E$86="Upfront",IF(33=1,'I_Budget Input Data'!$D$86,0),IF('I_Budget Input Data'!$E$86="Equal",'I_Budget Input Data'!$D$86/'I_Inputs &amp; Assumptions'!$B$8,IF('I_Budget Input Data'!$E$86="Front-loaded",IF(33&lt;='I_Inputs &amp; Assumptions'!$B$8/2,'I_Budget Input Data'!$D$86*0.6/('I_Inputs &amp; Assumptions'!$B$8/2),'I_Budget Input Data'!$D$86*0.4/('I_Inputs &amp; Assumptions'!$B$8/2)),IF('I_Budget Input Data'!$E$86="Back-loaded",IF(33&lt;='I_Inputs &amp; Assumptions'!$B$8/2,'I_Budget Input Data'!$D$86*0.4/('I_Inputs &amp; Assumptions'!$B$8/2),'I_Budget Input Data'!$D$86*0.6/('I_Inputs &amp; Assumptions'!$B$8/2)),IF('I_Budget Input Data'!$E$86="Mid-weighted",IF(33&lt;='I_Inputs &amp; Assumptions'!$B$8/4,'I_Budget Input Data'!$D$86*0.2/('I_Inputs &amp; Assumptions'!$B$8/4),IF(33&lt;='I_Inputs &amp; Assumptions'!$B$8*0.75,'I_Budget Input Data'!$D$86*0.6/('I_Inputs &amp; Assumptions'!$B$8/2),'I_Budget Input Data'!$D$86*0.2/('I_Inputs &amp; Assumptions'!$B$8/4))),IF('I_Budget Input Data'!$E$86="At Completion",IF(33='I_Inputs &amp; Assumptions'!$B$8,'I_Budget Input Data'!$D$86,0),'I_Budget Input Data'!$D$86/'I_Inputs &amp; Assumptions'!$B$8)))))),0)</f>
        <v>0</v>
      </c>
      <c r="AJ86" s="91">
        <f>IF(34&lt;='I_Inputs &amp; Assumptions'!$B$8,IF('I_Budget Input Data'!$E$86="Upfront",IF(34=1,'I_Budget Input Data'!$D$86,0),IF('I_Budget Input Data'!$E$86="Equal",'I_Budget Input Data'!$D$86/'I_Inputs &amp; Assumptions'!$B$8,IF('I_Budget Input Data'!$E$86="Front-loaded",IF(34&lt;='I_Inputs &amp; Assumptions'!$B$8/2,'I_Budget Input Data'!$D$86*0.6/('I_Inputs &amp; Assumptions'!$B$8/2),'I_Budget Input Data'!$D$86*0.4/('I_Inputs &amp; Assumptions'!$B$8/2)),IF('I_Budget Input Data'!$E$86="Back-loaded",IF(34&lt;='I_Inputs &amp; Assumptions'!$B$8/2,'I_Budget Input Data'!$D$86*0.4/('I_Inputs &amp; Assumptions'!$B$8/2),'I_Budget Input Data'!$D$86*0.6/('I_Inputs &amp; Assumptions'!$B$8/2)),IF('I_Budget Input Data'!$E$86="Mid-weighted",IF(34&lt;='I_Inputs &amp; Assumptions'!$B$8/4,'I_Budget Input Data'!$D$86*0.2/('I_Inputs &amp; Assumptions'!$B$8/4),IF(34&lt;='I_Inputs &amp; Assumptions'!$B$8*0.75,'I_Budget Input Data'!$D$86*0.6/('I_Inputs &amp; Assumptions'!$B$8/2),'I_Budget Input Data'!$D$86*0.2/('I_Inputs &amp; Assumptions'!$B$8/4))),IF('I_Budget Input Data'!$E$86="At Completion",IF(34='I_Inputs &amp; Assumptions'!$B$8,'I_Budget Input Data'!$D$86,0),'I_Budget Input Data'!$D$86/'I_Inputs &amp; Assumptions'!$B$8)))))),0)</f>
        <v>0</v>
      </c>
      <c r="AK86" s="91">
        <f>IF(35&lt;='I_Inputs &amp; Assumptions'!$B$8,IF('I_Budget Input Data'!$E$86="Upfront",IF(35=1,'I_Budget Input Data'!$D$86,0),IF('I_Budget Input Data'!$E$86="Equal",'I_Budget Input Data'!$D$86/'I_Inputs &amp; Assumptions'!$B$8,IF('I_Budget Input Data'!$E$86="Front-loaded",IF(35&lt;='I_Inputs &amp; Assumptions'!$B$8/2,'I_Budget Input Data'!$D$86*0.6/('I_Inputs &amp; Assumptions'!$B$8/2),'I_Budget Input Data'!$D$86*0.4/('I_Inputs &amp; Assumptions'!$B$8/2)),IF('I_Budget Input Data'!$E$86="Back-loaded",IF(35&lt;='I_Inputs &amp; Assumptions'!$B$8/2,'I_Budget Input Data'!$D$86*0.4/('I_Inputs &amp; Assumptions'!$B$8/2),'I_Budget Input Data'!$D$86*0.6/('I_Inputs &amp; Assumptions'!$B$8/2)),IF('I_Budget Input Data'!$E$86="Mid-weighted",IF(35&lt;='I_Inputs &amp; Assumptions'!$B$8/4,'I_Budget Input Data'!$D$86*0.2/('I_Inputs &amp; Assumptions'!$B$8/4),IF(35&lt;='I_Inputs &amp; Assumptions'!$B$8*0.75,'I_Budget Input Data'!$D$86*0.6/('I_Inputs &amp; Assumptions'!$B$8/2),'I_Budget Input Data'!$D$86*0.2/('I_Inputs &amp; Assumptions'!$B$8/4))),IF('I_Budget Input Data'!$E$86="At Completion",IF(35='I_Inputs &amp; Assumptions'!$B$8,'I_Budget Input Data'!$D$86,0),'I_Budget Input Data'!$D$86/'I_Inputs &amp; Assumptions'!$B$8)))))),0)</f>
        <v>0</v>
      </c>
      <c r="AL86" s="91">
        <f>IF(36&lt;='I_Inputs &amp; Assumptions'!$B$8,IF('I_Budget Input Data'!$E$86="Upfront",IF(36=1,'I_Budget Input Data'!$D$86,0),IF('I_Budget Input Data'!$E$86="Equal",'I_Budget Input Data'!$D$86/'I_Inputs &amp; Assumptions'!$B$8,IF('I_Budget Input Data'!$E$86="Front-loaded",IF(36&lt;='I_Inputs &amp; Assumptions'!$B$8/2,'I_Budget Input Data'!$D$86*0.6/('I_Inputs &amp; Assumptions'!$B$8/2),'I_Budget Input Data'!$D$86*0.4/('I_Inputs &amp; Assumptions'!$B$8/2)),IF('I_Budget Input Data'!$E$86="Back-loaded",IF(36&lt;='I_Inputs &amp; Assumptions'!$B$8/2,'I_Budget Input Data'!$D$86*0.4/('I_Inputs &amp; Assumptions'!$B$8/2),'I_Budget Input Data'!$D$86*0.6/('I_Inputs &amp; Assumptions'!$B$8/2)),IF('I_Budget Input Data'!$E$86="Mid-weighted",IF(36&lt;='I_Inputs &amp; Assumptions'!$B$8/4,'I_Budget Input Data'!$D$86*0.2/('I_Inputs &amp; Assumptions'!$B$8/4),IF(36&lt;='I_Inputs &amp; Assumptions'!$B$8*0.75,'I_Budget Input Data'!$D$86*0.6/('I_Inputs &amp; Assumptions'!$B$8/2),'I_Budget Input Data'!$D$86*0.2/('I_Inputs &amp; Assumptions'!$B$8/4))),IF('I_Budget Input Data'!$E$86="At Completion",IF(36='I_Inputs &amp; Assumptions'!$B$8,'I_Budget Input Data'!$D$86,0),'I_Budget Input Data'!$D$86/'I_Inputs &amp; Assumptions'!$B$8)))))),0)</f>
        <v>0</v>
      </c>
    </row>
    <row r="87" spans="1:38" ht="15" customHeight="1" x14ac:dyDescent="0.2">
      <c r="A87" t="s">
        <v>146</v>
      </c>
      <c r="B87" t="s">
        <v>206</v>
      </c>
      <c r="C87" s="91">
        <v>0</v>
      </c>
      <c r="D87" s="91">
        <v>0</v>
      </c>
      <c r="E87" s="91">
        <v>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0</v>
      </c>
      <c r="X87" s="91">
        <v>0</v>
      </c>
      <c r="Y87" s="91">
        <v>0</v>
      </c>
      <c r="Z87" s="91">
        <v>0</v>
      </c>
      <c r="AA87" s="91">
        <v>0</v>
      </c>
      <c r="AB87" s="91">
        <v>0</v>
      </c>
      <c r="AC87" s="91">
        <v>0</v>
      </c>
      <c r="AD87" s="91">
        <v>0</v>
      </c>
      <c r="AE87" s="91">
        <v>0</v>
      </c>
      <c r="AF87" s="91">
        <v>0</v>
      </c>
      <c r="AG87" s="91">
        <v>0</v>
      </c>
      <c r="AH87" s="91">
        <v>0</v>
      </c>
      <c r="AI87" s="91">
        <v>0</v>
      </c>
      <c r="AJ87" s="91">
        <v>0</v>
      </c>
      <c r="AK87" s="91">
        <v>0</v>
      </c>
      <c r="AL87" s="91">
        <v>0</v>
      </c>
    </row>
    <row r="88" spans="1:38" ht="15" customHeight="1" x14ac:dyDescent="0.2">
      <c r="A88" t="s">
        <v>146</v>
      </c>
      <c r="B88" t="s">
        <v>207</v>
      </c>
      <c r="C88" s="91">
        <v>0</v>
      </c>
      <c r="D88" s="91">
        <v>0</v>
      </c>
      <c r="E88" s="91">
        <v>0</v>
      </c>
      <c r="F88" s="91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91">
        <v>0</v>
      </c>
      <c r="Z88" s="91">
        <v>0</v>
      </c>
      <c r="AA88" s="91">
        <v>0</v>
      </c>
      <c r="AB88" s="91">
        <v>0</v>
      </c>
      <c r="AC88" s="91">
        <v>0</v>
      </c>
      <c r="AD88" s="91">
        <v>0</v>
      </c>
      <c r="AE88" s="91">
        <v>0</v>
      </c>
      <c r="AF88" s="91">
        <v>0</v>
      </c>
      <c r="AG88" s="91">
        <v>0</v>
      </c>
      <c r="AH88" s="91">
        <v>0</v>
      </c>
      <c r="AI88" s="91">
        <v>0</v>
      </c>
      <c r="AJ88" s="91">
        <v>0</v>
      </c>
      <c r="AK88" s="91">
        <v>0</v>
      </c>
      <c r="AL88" s="91">
        <v>0</v>
      </c>
    </row>
    <row r="89" spans="1:38" ht="15" customHeight="1" x14ac:dyDescent="0.2">
      <c r="A89" t="s">
        <v>146</v>
      </c>
      <c r="B89" t="s">
        <v>208</v>
      </c>
      <c r="C89" s="91">
        <f>IF(1&lt;='I_Inputs &amp; Assumptions'!$B$8,IF('I_Budget Input Data'!$E$89="Upfront",IF(1=1,'I_Budget Input Data'!$D$89,0),IF('I_Budget Input Data'!$E$89="Equal",'I_Budget Input Data'!$D$89/'I_Inputs &amp; Assumptions'!$B$8,IF('I_Budget Input Data'!$E$89="Front-loaded",IF(1&lt;='I_Inputs &amp; Assumptions'!$B$8/2,'I_Budget Input Data'!$D$89*0.6/('I_Inputs &amp; Assumptions'!$B$8/2),'I_Budget Input Data'!$D$89*0.4/('I_Inputs &amp; Assumptions'!$B$8/2)),IF('I_Budget Input Data'!$E$89="Back-loaded",IF(1&lt;='I_Inputs &amp; Assumptions'!$B$8/2,'I_Budget Input Data'!$D$89*0.4/('I_Inputs &amp; Assumptions'!$B$8/2),'I_Budget Input Data'!$D$89*0.6/('I_Inputs &amp; Assumptions'!$B$8/2)),IF('I_Budget Input Data'!$E$89="Mid-weighted",IF(1&lt;='I_Inputs &amp; Assumptions'!$B$8/4,'I_Budget Input Data'!$D$89*0.2/('I_Inputs &amp; Assumptions'!$B$8/4),IF(1&lt;='I_Inputs &amp; Assumptions'!$B$8*0.75,'I_Budget Input Data'!$D$89*0.6/('I_Inputs &amp; Assumptions'!$B$8/2),'I_Budget Input Data'!$D$89*0.2/('I_Inputs &amp; Assumptions'!$B$8/4))),IF('I_Budget Input Data'!$E$89="At Completion",IF(1='I_Inputs &amp; Assumptions'!$B$8,'I_Budget Input Data'!$D$89,0),'I_Budget Input Data'!$D$89/'I_Inputs &amp; Assumptions'!$B$8)))))),0)</f>
        <v>8769.2307692307695</v>
      </c>
      <c r="D89" s="91">
        <f>IF(2&lt;='I_Inputs &amp; Assumptions'!$B$8,IF('I_Budget Input Data'!$E$89="Upfront",IF(2=1,'I_Budget Input Data'!$D$89,0),IF('I_Budget Input Data'!$E$89="Equal",'I_Budget Input Data'!$D$89/'I_Inputs &amp; Assumptions'!$B$8,IF('I_Budget Input Data'!$E$89="Front-loaded",IF(2&lt;='I_Inputs &amp; Assumptions'!$B$8/2,'I_Budget Input Data'!$D$89*0.6/('I_Inputs &amp; Assumptions'!$B$8/2),'I_Budget Input Data'!$D$89*0.4/('I_Inputs &amp; Assumptions'!$B$8/2)),IF('I_Budget Input Data'!$E$89="Back-loaded",IF(2&lt;='I_Inputs &amp; Assumptions'!$B$8/2,'I_Budget Input Data'!$D$89*0.4/('I_Inputs &amp; Assumptions'!$B$8/2),'I_Budget Input Data'!$D$89*0.6/('I_Inputs &amp; Assumptions'!$B$8/2)),IF('I_Budget Input Data'!$E$89="Mid-weighted",IF(2&lt;='I_Inputs &amp; Assumptions'!$B$8/4,'I_Budget Input Data'!$D$89*0.2/('I_Inputs &amp; Assumptions'!$B$8/4),IF(2&lt;='I_Inputs &amp; Assumptions'!$B$8*0.75,'I_Budget Input Data'!$D$89*0.6/('I_Inputs &amp; Assumptions'!$B$8/2),'I_Budget Input Data'!$D$89*0.2/('I_Inputs &amp; Assumptions'!$B$8/4))),IF('I_Budget Input Data'!$E$89="At Completion",IF(2='I_Inputs &amp; Assumptions'!$B$8,'I_Budget Input Data'!$D$89,0),'I_Budget Input Data'!$D$89/'I_Inputs &amp; Assumptions'!$B$8)))))),0)</f>
        <v>8769.2307692307695</v>
      </c>
      <c r="E89" s="91">
        <f>IF(3&lt;='I_Inputs &amp; Assumptions'!$B$8,IF('I_Budget Input Data'!$E$89="Upfront",IF(3=1,'I_Budget Input Data'!$D$89,0),IF('I_Budget Input Data'!$E$89="Equal",'I_Budget Input Data'!$D$89/'I_Inputs &amp; Assumptions'!$B$8,IF('I_Budget Input Data'!$E$89="Front-loaded",IF(3&lt;='I_Inputs &amp; Assumptions'!$B$8/2,'I_Budget Input Data'!$D$89*0.6/('I_Inputs &amp; Assumptions'!$B$8/2),'I_Budget Input Data'!$D$89*0.4/('I_Inputs &amp; Assumptions'!$B$8/2)),IF('I_Budget Input Data'!$E$89="Back-loaded",IF(3&lt;='I_Inputs &amp; Assumptions'!$B$8/2,'I_Budget Input Data'!$D$89*0.4/('I_Inputs &amp; Assumptions'!$B$8/2),'I_Budget Input Data'!$D$89*0.6/('I_Inputs &amp; Assumptions'!$B$8/2)),IF('I_Budget Input Data'!$E$89="Mid-weighted",IF(3&lt;='I_Inputs &amp; Assumptions'!$B$8/4,'I_Budget Input Data'!$D$89*0.2/('I_Inputs &amp; Assumptions'!$B$8/4),IF(3&lt;='I_Inputs &amp; Assumptions'!$B$8*0.75,'I_Budget Input Data'!$D$89*0.6/('I_Inputs &amp; Assumptions'!$B$8/2),'I_Budget Input Data'!$D$89*0.2/('I_Inputs &amp; Assumptions'!$B$8/4))),IF('I_Budget Input Data'!$E$89="At Completion",IF(3='I_Inputs &amp; Assumptions'!$B$8,'I_Budget Input Data'!$D$89,0),'I_Budget Input Data'!$D$89/'I_Inputs &amp; Assumptions'!$B$8)))))),0)</f>
        <v>8769.2307692307695</v>
      </c>
      <c r="F89" s="91">
        <f>IF(4&lt;='I_Inputs &amp; Assumptions'!$B$8,IF('I_Budget Input Data'!$E$89="Upfront",IF(4=1,'I_Budget Input Data'!$D$89,0),IF('I_Budget Input Data'!$E$89="Equal",'I_Budget Input Data'!$D$89/'I_Inputs &amp; Assumptions'!$B$8,IF('I_Budget Input Data'!$E$89="Front-loaded",IF(4&lt;='I_Inputs &amp; Assumptions'!$B$8/2,'I_Budget Input Data'!$D$89*0.6/('I_Inputs &amp; Assumptions'!$B$8/2),'I_Budget Input Data'!$D$89*0.4/('I_Inputs &amp; Assumptions'!$B$8/2)),IF('I_Budget Input Data'!$E$89="Back-loaded",IF(4&lt;='I_Inputs &amp; Assumptions'!$B$8/2,'I_Budget Input Data'!$D$89*0.4/('I_Inputs &amp; Assumptions'!$B$8/2),'I_Budget Input Data'!$D$89*0.6/('I_Inputs &amp; Assumptions'!$B$8/2)),IF('I_Budget Input Data'!$E$89="Mid-weighted",IF(4&lt;='I_Inputs &amp; Assumptions'!$B$8/4,'I_Budget Input Data'!$D$89*0.2/('I_Inputs &amp; Assumptions'!$B$8/4),IF(4&lt;='I_Inputs &amp; Assumptions'!$B$8*0.75,'I_Budget Input Data'!$D$89*0.6/('I_Inputs &amp; Assumptions'!$B$8/2),'I_Budget Input Data'!$D$89*0.2/('I_Inputs &amp; Assumptions'!$B$8/4))),IF('I_Budget Input Data'!$E$89="At Completion",IF(4='I_Inputs &amp; Assumptions'!$B$8,'I_Budget Input Data'!$D$89,0),'I_Budget Input Data'!$D$89/'I_Inputs &amp; Assumptions'!$B$8)))))),0)</f>
        <v>8769.2307692307695</v>
      </c>
      <c r="G89" s="91">
        <f>IF(5&lt;='I_Inputs &amp; Assumptions'!$B$8,IF('I_Budget Input Data'!$E$89="Upfront",IF(5=1,'I_Budget Input Data'!$D$89,0),IF('I_Budget Input Data'!$E$89="Equal",'I_Budget Input Data'!$D$89/'I_Inputs &amp; Assumptions'!$B$8,IF('I_Budget Input Data'!$E$89="Front-loaded",IF(5&lt;='I_Inputs &amp; Assumptions'!$B$8/2,'I_Budget Input Data'!$D$89*0.6/('I_Inputs &amp; Assumptions'!$B$8/2),'I_Budget Input Data'!$D$89*0.4/('I_Inputs &amp; Assumptions'!$B$8/2)),IF('I_Budget Input Data'!$E$89="Back-loaded",IF(5&lt;='I_Inputs &amp; Assumptions'!$B$8/2,'I_Budget Input Data'!$D$89*0.4/('I_Inputs &amp; Assumptions'!$B$8/2),'I_Budget Input Data'!$D$89*0.6/('I_Inputs &amp; Assumptions'!$B$8/2)),IF('I_Budget Input Data'!$E$89="Mid-weighted",IF(5&lt;='I_Inputs &amp; Assumptions'!$B$8/4,'I_Budget Input Data'!$D$89*0.2/('I_Inputs &amp; Assumptions'!$B$8/4),IF(5&lt;='I_Inputs &amp; Assumptions'!$B$8*0.75,'I_Budget Input Data'!$D$89*0.6/('I_Inputs &amp; Assumptions'!$B$8/2),'I_Budget Input Data'!$D$89*0.2/('I_Inputs &amp; Assumptions'!$B$8/4))),IF('I_Budget Input Data'!$E$89="At Completion",IF(5='I_Inputs &amp; Assumptions'!$B$8,'I_Budget Input Data'!$D$89,0),'I_Budget Input Data'!$D$89/'I_Inputs &amp; Assumptions'!$B$8)))))),0)</f>
        <v>8769.2307692307695</v>
      </c>
      <c r="H89" s="91">
        <f>IF(6&lt;='I_Inputs &amp; Assumptions'!$B$8,IF('I_Budget Input Data'!$E$89="Upfront",IF(6=1,'I_Budget Input Data'!$D$89,0),IF('I_Budget Input Data'!$E$89="Equal",'I_Budget Input Data'!$D$89/'I_Inputs &amp; Assumptions'!$B$8,IF('I_Budget Input Data'!$E$89="Front-loaded",IF(6&lt;='I_Inputs &amp; Assumptions'!$B$8/2,'I_Budget Input Data'!$D$89*0.6/('I_Inputs &amp; Assumptions'!$B$8/2),'I_Budget Input Data'!$D$89*0.4/('I_Inputs &amp; Assumptions'!$B$8/2)),IF('I_Budget Input Data'!$E$89="Back-loaded",IF(6&lt;='I_Inputs &amp; Assumptions'!$B$8/2,'I_Budget Input Data'!$D$89*0.4/('I_Inputs &amp; Assumptions'!$B$8/2),'I_Budget Input Data'!$D$89*0.6/('I_Inputs &amp; Assumptions'!$B$8/2)),IF('I_Budget Input Data'!$E$89="Mid-weighted",IF(6&lt;='I_Inputs &amp; Assumptions'!$B$8/4,'I_Budget Input Data'!$D$89*0.2/('I_Inputs &amp; Assumptions'!$B$8/4),IF(6&lt;='I_Inputs &amp; Assumptions'!$B$8*0.75,'I_Budget Input Data'!$D$89*0.6/('I_Inputs &amp; Assumptions'!$B$8/2),'I_Budget Input Data'!$D$89*0.2/('I_Inputs &amp; Assumptions'!$B$8/4))),IF('I_Budget Input Data'!$E$89="At Completion",IF(6='I_Inputs &amp; Assumptions'!$B$8,'I_Budget Input Data'!$D$89,0),'I_Budget Input Data'!$D$89/'I_Inputs &amp; Assumptions'!$B$8)))))),0)</f>
        <v>8769.2307692307695</v>
      </c>
      <c r="I89" s="91">
        <f>IF(7&lt;='I_Inputs &amp; Assumptions'!$B$8,IF('I_Budget Input Data'!$E$89="Upfront",IF(7=1,'I_Budget Input Data'!$D$89,0),IF('I_Budget Input Data'!$E$89="Equal",'I_Budget Input Data'!$D$89/'I_Inputs &amp; Assumptions'!$B$8,IF('I_Budget Input Data'!$E$89="Front-loaded",IF(7&lt;='I_Inputs &amp; Assumptions'!$B$8/2,'I_Budget Input Data'!$D$89*0.6/('I_Inputs &amp; Assumptions'!$B$8/2),'I_Budget Input Data'!$D$89*0.4/('I_Inputs &amp; Assumptions'!$B$8/2)),IF('I_Budget Input Data'!$E$89="Back-loaded",IF(7&lt;='I_Inputs &amp; Assumptions'!$B$8/2,'I_Budget Input Data'!$D$89*0.4/('I_Inputs &amp; Assumptions'!$B$8/2),'I_Budget Input Data'!$D$89*0.6/('I_Inputs &amp; Assumptions'!$B$8/2)),IF('I_Budget Input Data'!$E$89="Mid-weighted",IF(7&lt;='I_Inputs &amp; Assumptions'!$B$8/4,'I_Budget Input Data'!$D$89*0.2/('I_Inputs &amp; Assumptions'!$B$8/4),IF(7&lt;='I_Inputs &amp; Assumptions'!$B$8*0.75,'I_Budget Input Data'!$D$89*0.6/('I_Inputs &amp; Assumptions'!$B$8/2),'I_Budget Input Data'!$D$89*0.2/('I_Inputs &amp; Assumptions'!$B$8/4))),IF('I_Budget Input Data'!$E$89="At Completion",IF(7='I_Inputs &amp; Assumptions'!$B$8,'I_Budget Input Data'!$D$89,0),'I_Budget Input Data'!$D$89/'I_Inputs &amp; Assumptions'!$B$8)))))),0)</f>
        <v>8769.2307692307695</v>
      </c>
      <c r="J89" s="91">
        <f>IF(8&lt;='I_Inputs &amp; Assumptions'!$B$8,IF('I_Budget Input Data'!$E$89="Upfront",IF(8=1,'I_Budget Input Data'!$D$89,0),IF('I_Budget Input Data'!$E$89="Equal",'I_Budget Input Data'!$D$89/'I_Inputs &amp; Assumptions'!$B$8,IF('I_Budget Input Data'!$E$89="Front-loaded",IF(8&lt;='I_Inputs &amp; Assumptions'!$B$8/2,'I_Budget Input Data'!$D$89*0.6/('I_Inputs &amp; Assumptions'!$B$8/2),'I_Budget Input Data'!$D$89*0.4/('I_Inputs &amp; Assumptions'!$B$8/2)),IF('I_Budget Input Data'!$E$89="Back-loaded",IF(8&lt;='I_Inputs &amp; Assumptions'!$B$8/2,'I_Budget Input Data'!$D$89*0.4/('I_Inputs &amp; Assumptions'!$B$8/2),'I_Budget Input Data'!$D$89*0.6/('I_Inputs &amp; Assumptions'!$B$8/2)),IF('I_Budget Input Data'!$E$89="Mid-weighted",IF(8&lt;='I_Inputs &amp; Assumptions'!$B$8/4,'I_Budget Input Data'!$D$89*0.2/('I_Inputs &amp; Assumptions'!$B$8/4),IF(8&lt;='I_Inputs &amp; Assumptions'!$B$8*0.75,'I_Budget Input Data'!$D$89*0.6/('I_Inputs &amp; Assumptions'!$B$8/2),'I_Budget Input Data'!$D$89*0.2/('I_Inputs &amp; Assumptions'!$B$8/4))),IF('I_Budget Input Data'!$E$89="At Completion",IF(8='I_Inputs &amp; Assumptions'!$B$8,'I_Budget Input Data'!$D$89,0),'I_Budget Input Data'!$D$89/'I_Inputs &amp; Assumptions'!$B$8)))))),0)</f>
        <v>8769.2307692307695</v>
      </c>
      <c r="K89" s="91">
        <f>IF(9&lt;='I_Inputs &amp; Assumptions'!$B$8,IF('I_Budget Input Data'!$E$89="Upfront",IF(9=1,'I_Budget Input Data'!$D$89,0),IF('I_Budget Input Data'!$E$89="Equal",'I_Budget Input Data'!$D$89/'I_Inputs &amp; Assumptions'!$B$8,IF('I_Budget Input Data'!$E$89="Front-loaded",IF(9&lt;='I_Inputs &amp; Assumptions'!$B$8/2,'I_Budget Input Data'!$D$89*0.6/('I_Inputs &amp; Assumptions'!$B$8/2),'I_Budget Input Data'!$D$89*0.4/('I_Inputs &amp; Assumptions'!$B$8/2)),IF('I_Budget Input Data'!$E$89="Back-loaded",IF(9&lt;='I_Inputs &amp; Assumptions'!$B$8/2,'I_Budget Input Data'!$D$89*0.4/('I_Inputs &amp; Assumptions'!$B$8/2),'I_Budget Input Data'!$D$89*0.6/('I_Inputs &amp; Assumptions'!$B$8/2)),IF('I_Budget Input Data'!$E$89="Mid-weighted",IF(9&lt;='I_Inputs &amp; Assumptions'!$B$8/4,'I_Budget Input Data'!$D$89*0.2/('I_Inputs &amp; Assumptions'!$B$8/4),IF(9&lt;='I_Inputs &amp; Assumptions'!$B$8*0.75,'I_Budget Input Data'!$D$89*0.6/('I_Inputs &amp; Assumptions'!$B$8/2),'I_Budget Input Data'!$D$89*0.2/('I_Inputs &amp; Assumptions'!$B$8/4))),IF('I_Budget Input Data'!$E$89="At Completion",IF(9='I_Inputs &amp; Assumptions'!$B$8,'I_Budget Input Data'!$D$89,0),'I_Budget Input Data'!$D$89/'I_Inputs &amp; Assumptions'!$B$8)))))),0)</f>
        <v>8769.2307692307695</v>
      </c>
      <c r="L89" s="91">
        <f>IF(10&lt;='I_Inputs &amp; Assumptions'!$B$8,IF('I_Budget Input Data'!$E$89="Upfront",IF(10=1,'I_Budget Input Data'!$D$89,0),IF('I_Budget Input Data'!$E$89="Equal",'I_Budget Input Data'!$D$89/'I_Inputs &amp; Assumptions'!$B$8,IF('I_Budget Input Data'!$E$89="Front-loaded",IF(10&lt;='I_Inputs &amp; Assumptions'!$B$8/2,'I_Budget Input Data'!$D$89*0.6/('I_Inputs &amp; Assumptions'!$B$8/2),'I_Budget Input Data'!$D$89*0.4/('I_Inputs &amp; Assumptions'!$B$8/2)),IF('I_Budget Input Data'!$E$89="Back-loaded",IF(10&lt;='I_Inputs &amp; Assumptions'!$B$8/2,'I_Budget Input Data'!$D$89*0.4/('I_Inputs &amp; Assumptions'!$B$8/2),'I_Budget Input Data'!$D$89*0.6/('I_Inputs &amp; Assumptions'!$B$8/2)),IF('I_Budget Input Data'!$E$89="Mid-weighted",IF(10&lt;='I_Inputs &amp; Assumptions'!$B$8/4,'I_Budget Input Data'!$D$89*0.2/('I_Inputs &amp; Assumptions'!$B$8/4),IF(10&lt;='I_Inputs &amp; Assumptions'!$B$8*0.75,'I_Budget Input Data'!$D$89*0.6/('I_Inputs &amp; Assumptions'!$B$8/2),'I_Budget Input Data'!$D$89*0.2/('I_Inputs &amp; Assumptions'!$B$8/4))),IF('I_Budget Input Data'!$E$89="At Completion",IF(10='I_Inputs &amp; Assumptions'!$B$8,'I_Budget Input Data'!$D$89,0),'I_Budget Input Data'!$D$89/'I_Inputs &amp; Assumptions'!$B$8)))))),0)</f>
        <v>8769.2307692307695</v>
      </c>
      <c r="M89" s="91">
        <f>IF(11&lt;='I_Inputs &amp; Assumptions'!$B$8,IF('I_Budget Input Data'!$E$89="Upfront",IF(11=1,'I_Budget Input Data'!$D$89,0),IF('I_Budget Input Data'!$E$89="Equal",'I_Budget Input Data'!$D$89/'I_Inputs &amp; Assumptions'!$B$8,IF('I_Budget Input Data'!$E$89="Front-loaded",IF(11&lt;='I_Inputs &amp; Assumptions'!$B$8/2,'I_Budget Input Data'!$D$89*0.6/('I_Inputs &amp; Assumptions'!$B$8/2),'I_Budget Input Data'!$D$89*0.4/('I_Inputs &amp; Assumptions'!$B$8/2)),IF('I_Budget Input Data'!$E$89="Back-loaded",IF(11&lt;='I_Inputs &amp; Assumptions'!$B$8/2,'I_Budget Input Data'!$D$89*0.4/('I_Inputs &amp; Assumptions'!$B$8/2),'I_Budget Input Data'!$D$89*0.6/('I_Inputs &amp; Assumptions'!$B$8/2)),IF('I_Budget Input Data'!$E$89="Mid-weighted",IF(11&lt;='I_Inputs &amp; Assumptions'!$B$8/4,'I_Budget Input Data'!$D$89*0.2/('I_Inputs &amp; Assumptions'!$B$8/4),IF(11&lt;='I_Inputs &amp; Assumptions'!$B$8*0.75,'I_Budget Input Data'!$D$89*0.6/('I_Inputs &amp; Assumptions'!$B$8/2),'I_Budget Input Data'!$D$89*0.2/('I_Inputs &amp; Assumptions'!$B$8/4))),IF('I_Budget Input Data'!$E$89="At Completion",IF(11='I_Inputs &amp; Assumptions'!$B$8,'I_Budget Input Data'!$D$89,0),'I_Budget Input Data'!$D$89/'I_Inputs &amp; Assumptions'!$B$8)))))),0)</f>
        <v>8769.2307692307695</v>
      </c>
      <c r="N89" s="91">
        <f>IF(12&lt;='I_Inputs &amp; Assumptions'!$B$8,IF('I_Budget Input Data'!$E$89="Upfront",IF(12=1,'I_Budget Input Data'!$D$89,0),IF('I_Budget Input Data'!$E$89="Equal",'I_Budget Input Data'!$D$89/'I_Inputs &amp; Assumptions'!$B$8,IF('I_Budget Input Data'!$E$89="Front-loaded",IF(12&lt;='I_Inputs &amp; Assumptions'!$B$8/2,'I_Budget Input Data'!$D$89*0.6/('I_Inputs &amp; Assumptions'!$B$8/2),'I_Budget Input Data'!$D$89*0.4/('I_Inputs &amp; Assumptions'!$B$8/2)),IF('I_Budget Input Data'!$E$89="Back-loaded",IF(12&lt;='I_Inputs &amp; Assumptions'!$B$8/2,'I_Budget Input Data'!$D$89*0.4/('I_Inputs &amp; Assumptions'!$B$8/2),'I_Budget Input Data'!$D$89*0.6/('I_Inputs &amp; Assumptions'!$B$8/2)),IF('I_Budget Input Data'!$E$89="Mid-weighted",IF(12&lt;='I_Inputs &amp; Assumptions'!$B$8/4,'I_Budget Input Data'!$D$89*0.2/('I_Inputs &amp; Assumptions'!$B$8/4),IF(12&lt;='I_Inputs &amp; Assumptions'!$B$8*0.75,'I_Budget Input Data'!$D$89*0.6/('I_Inputs &amp; Assumptions'!$B$8/2),'I_Budget Input Data'!$D$89*0.2/('I_Inputs &amp; Assumptions'!$B$8/4))),IF('I_Budget Input Data'!$E$89="At Completion",IF(12='I_Inputs &amp; Assumptions'!$B$8,'I_Budget Input Data'!$D$89,0),'I_Budget Input Data'!$D$89/'I_Inputs &amp; Assumptions'!$B$8)))))),0)</f>
        <v>8769.2307692307695</v>
      </c>
      <c r="O89" s="91">
        <f>IF(13&lt;='I_Inputs &amp; Assumptions'!$B$8,IF('I_Budget Input Data'!$E$89="Upfront",IF(13=1,'I_Budget Input Data'!$D$89,0),IF('I_Budget Input Data'!$E$89="Equal",'I_Budget Input Data'!$D$89/'I_Inputs &amp; Assumptions'!$B$8,IF('I_Budget Input Data'!$E$89="Front-loaded",IF(13&lt;='I_Inputs &amp; Assumptions'!$B$8/2,'I_Budget Input Data'!$D$89*0.6/('I_Inputs &amp; Assumptions'!$B$8/2),'I_Budget Input Data'!$D$89*0.4/('I_Inputs &amp; Assumptions'!$B$8/2)),IF('I_Budget Input Data'!$E$89="Back-loaded",IF(13&lt;='I_Inputs &amp; Assumptions'!$B$8/2,'I_Budget Input Data'!$D$89*0.4/('I_Inputs &amp; Assumptions'!$B$8/2),'I_Budget Input Data'!$D$89*0.6/('I_Inputs &amp; Assumptions'!$B$8/2)),IF('I_Budget Input Data'!$E$89="Mid-weighted",IF(13&lt;='I_Inputs &amp; Assumptions'!$B$8/4,'I_Budget Input Data'!$D$89*0.2/('I_Inputs &amp; Assumptions'!$B$8/4),IF(13&lt;='I_Inputs &amp; Assumptions'!$B$8*0.75,'I_Budget Input Data'!$D$89*0.6/('I_Inputs &amp; Assumptions'!$B$8/2),'I_Budget Input Data'!$D$89*0.2/('I_Inputs &amp; Assumptions'!$B$8/4))),IF('I_Budget Input Data'!$E$89="At Completion",IF(13='I_Inputs &amp; Assumptions'!$B$8,'I_Budget Input Data'!$D$89,0),'I_Budget Input Data'!$D$89/'I_Inputs &amp; Assumptions'!$B$8)))))),0)</f>
        <v>8769.2307692307695</v>
      </c>
      <c r="P89" s="91">
        <f>IF(14&lt;='I_Inputs &amp; Assumptions'!$B$8,IF('I_Budget Input Data'!$E$89="Upfront",IF(14=1,'I_Budget Input Data'!$D$89,0),IF('I_Budget Input Data'!$E$89="Equal",'I_Budget Input Data'!$D$89/'I_Inputs &amp; Assumptions'!$B$8,IF('I_Budget Input Data'!$E$89="Front-loaded",IF(14&lt;='I_Inputs &amp; Assumptions'!$B$8/2,'I_Budget Input Data'!$D$89*0.6/('I_Inputs &amp; Assumptions'!$B$8/2),'I_Budget Input Data'!$D$89*0.4/('I_Inputs &amp; Assumptions'!$B$8/2)),IF('I_Budget Input Data'!$E$89="Back-loaded",IF(14&lt;='I_Inputs &amp; Assumptions'!$B$8/2,'I_Budget Input Data'!$D$89*0.4/('I_Inputs &amp; Assumptions'!$B$8/2),'I_Budget Input Data'!$D$89*0.6/('I_Inputs &amp; Assumptions'!$B$8/2)),IF('I_Budget Input Data'!$E$89="Mid-weighted",IF(14&lt;='I_Inputs &amp; Assumptions'!$B$8/4,'I_Budget Input Data'!$D$89*0.2/('I_Inputs &amp; Assumptions'!$B$8/4),IF(14&lt;='I_Inputs &amp; Assumptions'!$B$8*0.75,'I_Budget Input Data'!$D$89*0.6/('I_Inputs &amp; Assumptions'!$B$8/2),'I_Budget Input Data'!$D$89*0.2/('I_Inputs &amp; Assumptions'!$B$8/4))),IF('I_Budget Input Data'!$E$89="At Completion",IF(14='I_Inputs &amp; Assumptions'!$B$8,'I_Budget Input Data'!$D$89,0),'I_Budget Input Data'!$D$89/'I_Inputs &amp; Assumptions'!$B$8)))))),0)</f>
        <v>0</v>
      </c>
      <c r="Q89" s="91">
        <f>IF(15&lt;='I_Inputs &amp; Assumptions'!$B$8,IF('I_Budget Input Data'!$E$89="Upfront",IF(15=1,'I_Budget Input Data'!$D$89,0),IF('I_Budget Input Data'!$E$89="Equal",'I_Budget Input Data'!$D$89/'I_Inputs &amp; Assumptions'!$B$8,IF('I_Budget Input Data'!$E$89="Front-loaded",IF(15&lt;='I_Inputs &amp; Assumptions'!$B$8/2,'I_Budget Input Data'!$D$89*0.6/('I_Inputs &amp; Assumptions'!$B$8/2),'I_Budget Input Data'!$D$89*0.4/('I_Inputs &amp; Assumptions'!$B$8/2)),IF('I_Budget Input Data'!$E$89="Back-loaded",IF(15&lt;='I_Inputs &amp; Assumptions'!$B$8/2,'I_Budget Input Data'!$D$89*0.4/('I_Inputs &amp; Assumptions'!$B$8/2),'I_Budget Input Data'!$D$89*0.6/('I_Inputs &amp; Assumptions'!$B$8/2)),IF('I_Budget Input Data'!$E$89="Mid-weighted",IF(15&lt;='I_Inputs &amp; Assumptions'!$B$8/4,'I_Budget Input Data'!$D$89*0.2/('I_Inputs &amp; Assumptions'!$B$8/4),IF(15&lt;='I_Inputs &amp; Assumptions'!$B$8*0.75,'I_Budget Input Data'!$D$89*0.6/('I_Inputs &amp; Assumptions'!$B$8/2),'I_Budget Input Data'!$D$89*0.2/('I_Inputs &amp; Assumptions'!$B$8/4))),IF('I_Budget Input Data'!$E$89="At Completion",IF(15='I_Inputs &amp; Assumptions'!$B$8,'I_Budget Input Data'!$D$89,0),'I_Budget Input Data'!$D$89/'I_Inputs &amp; Assumptions'!$B$8)))))),0)</f>
        <v>0</v>
      </c>
      <c r="R89" s="91">
        <f>IF(16&lt;='I_Inputs &amp; Assumptions'!$B$8,IF('I_Budget Input Data'!$E$89="Upfront",IF(16=1,'I_Budget Input Data'!$D$89,0),IF('I_Budget Input Data'!$E$89="Equal",'I_Budget Input Data'!$D$89/'I_Inputs &amp; Assumptions'!$B$8,IF('I_Budget Input Data'!$E$89="Front-loaded",IF(16&lt;='I_Inputs &amp; Assumptions'!$B$8/2,'I_Budget Input Data'!$D$89*0.6/('I_Inputs &amp; Assumptions'!$B$8/2),'I_Budget Input Data'!$D$89*0.4/('I_Inputs &amp; Assumptions'!$B$8/2)),IF('I_Budget Input Data'!$E$89="Back-loaded",IF(16&lt;='I_Inputs &amp; Assumptions'!$B$8/2,'I_Budget Input Data'!$D$89*0.4/('I_Inputs &amp; Assumptions'!$B$8/2),'I_Budget Input Data'!$D$89*0.6/('I_Inputs &amp; Assumptions'!$B$8/2)),IF('I_Budget Input Data'!$E$89="Mid-weighted",IF(16&lt;='I_Inputs &amp; Assumptions'!$B$8/4,'I_Budget Input Data'!$D$89*0.2/('I_Inputs &amp; Assumptions'!$B$8/4),IF(16&lt;='I_Inputs &amp; Assumptions'!$B$8*0.75,'I_Budget Input Data'!$D$89*0.6/('I_Inputs &amp; Assumptions'!$B$8/2),'I_Budget Input Data'!$D$89*0.2/('I_Inputs &amp; Assumptions'!$B$8/4))),IF('I_Budget Input Data'!$E$89="At Completion",IF(16='I_Inputs &amp; Assumptions'!$B$8,'I_Budget Input Data'!$D$89,0),'I_Budget Input Data'!$D$89/'I_Inputs &amp; Assumptions'!$B$8)))))),0)</f>
        <v>0</v>
      </c>
      <c r="S89" s="91">
        <f>IF(17&lt;='I_Inputs &amp; Assumptions'!$B$8,IF('I_Budget Input Data'!$E$89="Upfront",IF(17=1,'I_Budget Input Data'!$D$89,0),IF('I_Budget Input Data'!$E$89="Equal",'I_Budget Input Data'!$D$89/'I_Inputs &amp; Assumptions'!$B$8,IF('I_Budget Input Data'!$E$89="Front-loaded",IF(17&lt;='I_Inputs &amp; Assumptions'!$B$8/2,'I_Budget Input Data'!$D$89*0.6/('I_Inputs &amp; Assumptions'!$B$8/2),'I_Budget Input Data'!$D$89*0.4/('I_Inputs &amp; Assumptions'!$B$8/2)),IF('I_Budget Input Data'!$E$89="Back-loaded",IF(17&lt;='I_Inputs &amp; Assumptions'!$B$8/2,'I_Budget Input Data'!$D$89*0.4/('I_Inputs &amp; Assumptions'!$B$8/2),'I_Budget Input Data'!$D$89*0.6/('I_Inputs &amp; Assumptions'!$B$8/2)),IF('I_Budget Input Data'!$E$89="Mid-weighted",IF(17&lt;='I_Inputs &amp; Assumptions'!$B$8/4,'I_Budget Input Data'!$D$89*0.2/('I_Inputs &amp; Assumptions'!$B$8/4),IF(17&lt;='I_Inputs &amp; Assumptions'!$B$8*0.75,'I_Budget Input Data'!$D$89*0.6/('I_Inputs &amp; Assumptions'!$B$8/2),'I_Budget Input Data'!$D$89*0.2/('I_Inputs &amp; Assumptions'!$B$8/4))),IF('I_Budget Input Data'!$E$89="At Completion",IF(17='I_Inputs &amp; Assumptions'!$B$8,'I_Budget Input Data'!$D$89,0),'I_Budget Input Data'!$D$89/'I_Inputs &amp; Assumptions'!$B$8)))))),0)</f>
        <v>0</v>
      </c>
      <c r="T89" s="91">
        <f>IF(18&lt;='I_Inputs &amp; Assumptions'!$B$8,IF('I_Budget Input Data'!$E$89="Upfront",IF(18=1,'I_Budget Input Data'!$D$89,0),IF('I_Budget Input Data'!$E$89="Equal",'I_Budget Input Data'!$D$89/'I_Inputs &amp; Assumptions'!$B$8,IF('I_Budget Input Data'!$E$89="Front-loaded",IF(18&lt;='I_Inputs &amp; Assumptions'!$B$8/2,'I_Budget Input Data'!$D$89*0.6/('I_Inputs &amp; Assumptions'!$B$8/2),'I_Budget Input Data'!$D$89*0.4/('I_Inputs &amp; Assumptions'!$B$8/2)),IF('I_Budget Input Data'!$E$89="Back-loaded",IF(18&lt;='I_Inputs &amp; Assumptions'!$B$8/2,'I_Budget Input Data'!$D$89*0.4/('I_Inputs &amp; Assumptions'!$B$8/2),'I_Budget Input Data'!$D$89*0.6/('I_Inputs &amp; Assumptions'!$B$8/2)),IF('I_Budget Input Data'!$E$89="Mid-weighted",IF(18&lt;='I_Inputs &amp; Assumptions'!$B$8/4,'I_Budget Input Data'!$D$89*0.2/('I_Inputs &amp; Assumptions'!$B$8/4),IF(18&lt;='I_Inputs &amp; Assumptions'!$B$8*0.75,'I_Budget Input Data'!$D$89*0.6/('I_Inputs &amp; Assumptions'!$B$8/2),'I_Budget Input Data'!$D$89*0.2/('I_Inputs &amp; Assumptions'!$B$8/4))),IF('I_Budget Input Data'!$E$89="At Completion",IF(18='I_Inputs &amp; Assumptions'!$B$8,'I_Budget Input Data'!$D$89,0),'I_Budget Input Data'!$D$89/'I_Inputs &amp; Assumptions'!$B$8)))))),0)</f>
        <v>0</v>
      </c>
      <c r="U89" s="91">
        <f>IF(19&lt;='I_Inputs &amp; Assumptions'!$B$8,IF('I_Budget Input Data'!$E$89="Upfront",IF(19=1,'I_Budget Input Data'!$D$89,0),IF('I_Budget Input Data'!$E$89="Equal",'I_Budget Input Data'!$D$89/'I_Inputs &amp; Assumptions'!$B$8,IF('I_Budget Input Data'!$E$89="Front-loaded",IF(19&lt;='I_Inputs &amp; Assumptions'!$B$8/2,'I_Budget Input Data'!$D$89*0.6/('I_Inputs &amp; Assumptions'!$B$8/2),'I_Budget Input Data'!$D$89*0.4/('I_Inputs &amp; Assumptions'!$B$8/2)),IF('I_Budget Input Data'!$E$89="Back-loaded",IF(19&lt;='I_Inputs &amp; Assumptions'!$B$8/2,'I_Budget Input Data'!$D$89*0.4/('I_Inputs &amp; Assumptions'!$B$8/2),'I_Budget Input Data'!$D$89*0.6/('I_Inputs &amp; Assumptions'!$B$8/2)),IF('I_Budget Input Data'!$E$89="Mid-weighted",IF(19&lt;='I_Inputs &amp; Assumptions'!$B$8/4,'I_Budget Input Data'!$D$89*0.2/('I_Inputs &amp; Assumptions'!$B$8/4),IF(19&lt;='I_Inputs &amp; Assumptions'!$B$8*0.75,'I_Budget Input Data'!$D$89*0.6/('I_Inputs &amp; Assumptions'!$B$8/2),'I_Budget Input Data'!$D$89*0.2/('I_Inputs &amp; Assumptions'!$B$8/4))),IF('I_Budget Input Data'!$E$89="At Completion",IF(19='I_Inputs &amp; Assumptions'!$B$8,'I_Budget Input Data'!$D$89,0),'I_Budget Input Data'!$D$89/'I_Inputs &amp; Assumptions'!$B$8)))))),0)</f>
        <v>0</v>
      </c>
      <c r="V89" s="91">
        <f>IF(20&lt;='I_Inputs &amp; Assumptions'!$B$8,IF('I_Budget Input Data'!$E$89="Upfront",IF(20=1,'I_Budget Input Data'!$D$89,0),IF('I_Budget Input Data'!$E$89="Equal",'I_Budget Input Data'!$D$89/'I_Inputs &amp; Assumptions'!$B$8,IF('I_Budget Input Data'!$E$89="Front-loaded",IF(20&lt;='I_Inputs &amp; Assumptions'!$B$8/2,'I_Budget Input Data'!$D$89*0.6/('I_Inputs &amp; Assumptions'!$B$8/2),'I_Budget Input Data'!$D$89*0.4/('I_Inputs &amp; Assumptions'!$B$8/2)),IF('I_Budget Input Data'!$E$89="Back-loaded",IF(20&lt;='I_Inputs &amp; Assumptions'!$B$8/2,'I_Budget Input Data'!$D$89*0.4/('I_Inputs &amp; Assumptions'!$B$8/2),'I_Budget Input Data'!$D$89*0.6/('I_Inputs &amp; Assumptions'!$B$8/2)),IF('I_Budget Input Data'!$E$89="Mid-weighted",IF(20&lt;='I_Inputs &amp; Assumptions'!$B$8/4,'I_Budget Input Data'!$D$89*0.2/('I_Inputs &amp; Assumptions'!$B$8/4),IF(20&lt;='I_Inputs &amp; Assumptions'!$B$8*0.75,'I_Budget Input Data'!$D$89*0.6/('I_Inputs &amp; Assumptions'!$B$8/2),'I_Budget Input Data'!$D$89*0.2/('I_Inputs &amp; Assumptions'!$B$8/4))),IF('I_Budget Input Data'!$E$89="At Completion",IF(20='I_Inputs &amp; Assumptions'!$B$8,'I_Budget Input Data'!$D$89,0),'I_Budget Input Data'!$D$89/'I_Inputs &amp; Assumptions'!$B$8)))))),0)</f>
        <v>0</v>
      </c>
      <c r="W89" s="91">
        <f>IF(21&lt;='I_Inputs &amp; Assumptions'!$B$8,IF('I_Budget Input Data'!$E$89="Upfront",IF(21=1,'I_Budget Input Data'!$D$89,0),IF('I_Budget Input Data'!$E$89="Equal",'I_Budget Input Data'!$D$89/'I_Inputs &amp; Assumptions'!$B$8,IF('I_Budget Input Data'!$E$89="Front-loaded",IF(21&lt;='I_Inputs &amp; Assumptions'!$B$8/2,'I_Budget Input Data'!$D$89*0.6/('I_Inputs &amp; Assumptions'!$B$8/2),'I_Budget Input Data'!$D$89*0.4/('I_Inputs &amp; Assumptions'!$B$8/2)),IF('I_Budget Input Data'!$E$89="Back-loaded",IF(21&lt;='I_Inputs &amp; Assumptions'!$B$8/2,'I_Budget Input Data'!$D$89*0.4/('I_Inputs &amp; Assumptions'!$B$8/2),'I_Budget Input Data'!$D$89*0.6/('I_Inputs &amp; Assumptions'!$B$8/2)),IF('I_Budget Input Data'!$E$89="Mid-weighted",IF(21&lt;='I_Inputs &amp; Assumptions'!$B$8/4,'I_Budget Input Data'!$D$89*0.2/('I_Inputs &amp; Assumptions'!$B$8/4),IF(21&lt;='I_Inputs &amp; Assumptions'!$B$8*0.75,'I_Budget Input Data'!$D$89*0.6/('I_Inputs &amp; Assumptions'!$B$8/2),'I_Budget Input Data'!$D$89*0.2/('I_Inputs &amp; Assumptions'!$B$8/4))),IF('I_Budget Input Data'!$E$89="At Completion",IF(21='I_Inputs &amp; Assumptions'!$B$8,'I_Budget Input Data'!$D$89,0),'I_Budget Input Data'!$D$89/'I_Inputs &amp; Assumptions'!$B$8)))))),0)</f>
        <v>0</v>
      </c>
      <c r="X89" s="91">
        <f>IF(22&lt;='I_Inputs &amp; Assumptions'!$B$8,IF('I_Budget Input Data'!$E$89="Upfront",IF(22=1,'I_Budget Input Data'!$D$89,0),IF('I_Budget Input Data'!$E$89="Equal",'I_Budget Input Data'!$D$89/'I_Inputs &amp; Assumptions'!$B$8,IF('I_Budget Input Data'!$E$89="Front-loaded",IF(22&lt;='I_Inputs &amp; Assumptions'!$B$8/2,'I_Budget Input Data'!$D$89*0.6/('I_Inputs &amp; Assumptions'!$B$8/2),'I_Budget Input Data'!$D$89*0.4/('I_Inputs &amp; Assumptions'!$B$8/2)),IF('I_Budget Input Data'!$E$89="Back-loaded",IF(22&lt;='I_Inputs &amp; Assumptions'!$B$8/2,'I_Budget Input Data'!$D$89*0.4/('I_Inputs &amp; Assumptions'!$B$8/2),'I_Budget Input Data'!$D$89*0.6/('I_Inputs &amp; Assumptions'!$B$8/2)),IF('I_Budget Input Data'!$E$89="Mid-weighted",IF(22&lt;='I_Inputs &amp; Assumptions'!$B$8/4,'I_Budget Input Data'!$D$89*0.2/('I_Inputs &amp; Assumptions'!$B$8/4),IF(22&lt;='I_Inputs &amp; Assumptions'!$B$8*0.75,'I_Budget Input Data'!$D$89*0.6/('I_Inputs &amp; Assumptions'!$B$8/2),'I_Budget Input Data'!$D$89*0.2/('I_Inputs &amp; Assumptions'!$B$8/4))),IF('I_Budget Input Data'!$E$89="At Completion",IF(22='I_Inputs &amp; Assumptions'!$B$8,'I_Budget Input Data'!$D$89,0),'I_Budget Input Data'!$D$89/'I_Inputs &amp; Assumptions'!$B$8)))))),0)</f>
        <v>0</v>
      </c>
      <c r="Y89" s="91">
        <f>IF(23&lt;='I_Inputs &amp; Assumptions'!$B$8,IF('I_Budget Input Data'!$E$89="Upfront",IF(23=1,'I_Budget Input Data'!$D$89,0),IF('I_Budget Input Data'!$E$89="Equal",'I_Budget Input Data'!$D$89/'I_Inputs &amp; Assumptions'!$B$8,IF('I_Budget Input Data'!$E$89="Front-loaded",IF(23&lt;='I_Inputs &amp; Assumptions'!$B$8/2,'I_Budget Input Data'!$D$89*0.6/('I_Inputs &amp; Assumptions'!$B$8/2),'I_Budget Input Data'!$D$89*0.4/('I_Inputs &amp; Assumptions'!$B$8/2)),IF('I_Budget Input Data'!$E$89="Back-loaded",IF(23&lt;='I_Inputs &amp; Assumptions'!$B$8/2,'I_Budget Input Data'!$D$89*0.4/('I_Inputs &amp; Assumptions'!$B$8/2),'I_Budget Input Data'!$D$89*0.6/('I_Inputs &amp; Assumptions'!$B$8/2)),IF('I_Budget Input Data'!$E$89="Mid-weighted",IF(23&lt;='I_Inputs &amp; Assumptions'!$B$8/4,'I_Budget Input Data'!$D$89*0.2/('I_Inputs &amp; Assumptions'!$B$8/4),IF(23&lt;='I_Inputs &amp; Assumptions'!$B$8*0.75,'I_Budget Input Data'!$D$89*0.6/('I_Inputs &amp; Assumptions'!$B$8/2),'I_Budget Input Data'!$D$89*0.2/('I_Inputs &amp; Assumptions'!$B$8/4))),IF('I_Budget Input Data'!$E$89="At Completion",IF(23='I_Inputs &amp; Assumptions'!$B$8,'I_Budget Input Data'!$D$89,0),'I_Budget Input Data'!$D$89/'I_Inputs &amp; Assumptions'!$B$8)))))),0)</f>
        <v>0</v>
      </c>
      <c r="Z89" s="91">
        <f>IF(24&lt;='I_Inputs &amp; Assumptions'!$B$8,IF('I_Budget Input Data'!$E$89="Upfront",IF(24=1,'I_Budget Input Data'!$D$89,0),IF('I_Budget Input Data'!$E$89="Equal",'I_Budget Input Data'!$D$89/'I_Inputs &amp; Assumptions'!$B$8,IF('I_Budget Input Data'!$E$89="Front-loaded",IF(24&lt;='I_Inputs &amp; Assumptions'!$B$8/2,'I_Budget Input Data'!$D$89*0.6/('I_Inputs &amp; Assumptions'!$B$8/2),'I_Budget Input Data'!$D$89*0.4/('I_Inputs &amp; Assumptions'!$B$8/2)),IF('I_Budget Input Data'!$E$89="Back-loaded",IF(24&lt;='I_Inputs &amp; Assumptions'!$B$8/2,'I_Budget Input Data'!$D$89*0.4/('I_Inputs &amp; Assumptions'!$B$8/2),'I_Budget Input Data'!$D$89*0.6/('I_Inputs &amp; Assumptions'!$B$8/2)),IF('I_Budget Input Data'!$E$89="Mid-weighted",IF(24&lt;='I_Inputs &amp; Assumptions'!$B$8/4,'I_Budget Input Data'!$D$89*0.2/('I_Inputs &amp; Assumptions'!$B$8/4),IF(24&lt;='I_Inputs &amp; Assumptions'!$B$8*0.75,'I_Budget Input Data'!$D$89*0.6/('I_Inputs &amp; Assumptions'!$B$8/2),'I_Budget Input Data'!$D$89*0.2/('I_Inputs &amp; Assumptions'!$B$8/4))),IF('I_Budget Input Data'!$E$89="At Completion",IF(24='I_Inputs &amp; Assumptions'!$B$8,'I_Budget Input Data'!$D$89,0),'I_Budget Input Data'!$D$89/'I_Inputs &amp; Assumptions'!$B$8)))))),0)</f>
        <v>0</v>
      </c>
      <c r="AA89" s="91">
        <f>IF(25&lt;='I_Inputs &amp; Assumptions'!$B$8,IF('I_Budget Input Data'!$E$89="Upfront",IF(25=1,'I_Budget Input Data'!$D$89,0),IF('I_Budget Input Data'!$E$89="Equal",'I_Budget Input Data'!$D$89/'I_Inputs &amp; Assumptions'!$B$8,IF('I_Budget Input Data'!$E$89="Front-loaded",IF(25&lt;='I_Inputs &amp; Assumptions'!$B$8/2,'I_Budget Input Data'!$D$89*0.6/('I_Inputs &amp; Assumptions'!$B$8/2),'I_Budget Input Data'!$D$89*0.4/('I_Inputs &amp; Assumptions'!$B$8/2)),IF('I_Budget Input Data'!$E$89="Back-loaded",IF(25&lt;='I_Inputs &amp; Assumptions'!$B$8/2,'I_Budget Input Data'!$D$89*0.4/('I_Inputs &amp; Assumptions'!$B$8/2),'I_Budget Input Data'!$D$89*0.6/('I_Inputs &amp; Assumptions'!$B$8/2)),IF('I_Budget Input Data'!$E$89="Mid-weighted",IF(25&lt;='I_Inputs &amp; Assumptions'!$B$8/4,'I_Budget Input Data'!$D$89*0.2/('I_Inputs &amp; Assumptions'!$B$8/4),IF(25&lt;='I_Inputs &amp; Assumptions'!$B$8*0.75,'I_Budget Input Data'!$D$89*0.6/('I_Inputs &amp; Assumptions'!$B$8/2),'I_Budget Input Data'!$D$89*0.2/('I_Inputs &amp; Assumptions'!$B$8/4))),IF('I_Budget Input Data'!$E$89="At Completion",IF(25='I_Inputs &amp; Assumptions'!$B$8,'I_Budget Input Data'!$D$89,0),'I_Budget Input Data'!$D$89/'I_Inputs &amp; Assumptions'!$B$8)))))),0)</f>
        <v>0</v>
      </c>
      <c r="AB89" s="91">
        <f>IF(26&lt;='I_Inputs &amp; Assumptions'!$B$8,IF('I_Budget Input Data'!$E$89="Upfront",IF(26=1,'I_Budget Input Data'!$D$89,0),IF('I_Budget Input Data'!$E$89="Equal",'I_Budget Input Data'!$D$89/'I_Inputs &amp; Assumptions'!$B$8,IF('I_Budget Input Data'!$E$89="Front-loaded",IF(26&lt;='I_Inputs &amp; Assumptions'!$B$8/2,'I_Budget Input Data'!$D$89*0.6/('I_Inputs &amp; Assumptions'!$B$8/2),'I_Budget Input Data'!$D$89*0.4/('I_Inputs &amp; Assumptions'!$B$8/2)),IF('I_Budget Input Data'!$E$89="Back-loaded",IF(26&lt;='I_Inputs &amp; Assumptions'!$B$8/2,'I_Budget Input Data'!$D$89*0.4/('I_Inputs &amp; Assumptions'!$B$8/2),'I_Budget Input Data'!$D$89*0.6/('I_Inputs &amp; Assumptions'!$B$8/2)),IF('I_Budget Input Data'!$E$89="Mid-weighted",IF(26&lt;='I_Inputs &amp; Assumptions'!$B$8/4,'I_Budget Input Data'!$D$89*0.2/('I_Inputs &amp; Assumptions'!$B$8/4),IF(26&lt;='I_Inputs &amp; Assumptions'!$B$8*0.75,'I_Budget Input Data'!$D$89*0.6/('I_Inputs &amp; Assumptions'!$B$8/2),'I_Budget Input Data'!$D$89*0.2/('I_Inputs &amp; Assumptions'!$B$8/4))),IF('I_Budget Input Data'!$E$89="At Completion",IF(26='I_Inputs &amp; Assumptions'!$B$8,'I_Budget Input Data'!$D$89,0),'I_Budget Input Data'!$D$89/'I_Inputs &amp; Assumptions'!$B$8)))))),0)</f>
        <v>0</v>
      </c>
      <c r="AC89" s="91">
        <f>IF(27&lt;='I_Inputs &amp; Assumptions'!$B$8,IF('I_Budget Input Data'!$E$89="Upfront",IF(27=1,'I_Budget Input Data'!$D$89,0),IF('I_Budget Input Data'!$E$89="Equal",'I_Budget Input Data'!$D$89/'I_Inputs &amp; Assumptions'!$B$8,IF('I_Budget Input Data'!$E$89="Front-loaded",IF(27&lt;='I_Inputs &amp; Assumptions'!$B$8/2,'I_Budget Input Data'!$D$89*0.6/('I_Inputs &amp; Assumptions'!$B$8/2),'I_Budget Input Data'!$D$89*0.4/('I_Inputs &amp; Assumptions'!$B$8/2)),IF('I_Budget Input Data'!$E$89="Back-loaded",IF(27&lt;='I_Inputs &amp; Assumptions'!$B$8/2,'I_Budget Input Data'!$D$89*0.4/('I_Inputs &amp; Assumptions'!$B$8/2),'I_Budget Input Data'!$D$89*0.6/('I_Inputs &amp; Assumptions'!$B$8/2)),IF('I_Budget Input Data'!$E$89="Mid-weighted",IF(27&lt;='I_Inputs &amp; Assumptions'!$B$8/4,'I_Budget Input Data'!$D$89*0.2/('I_Inputs &amp; Assumptions'!$B$8/4),IF(27&lt;='I_Inputs &amp; Assumptions'!$B$8*0.75,'I_Budget Input Data'!$D$89*0.6/('I_Inputs &amp; Assumptions'!$B$8/2),'I_Budget Input Data'!$D$89*0.2/('I_Inputs &amp; Assumptions'!$B$8/4))),IF('I_Budget Input Data'!$E$89="At Completion",IF(27='I_Inputs &amp; Assumptions'!$B$8,'I_Budget Input Data'!$D$89,0),'I_Budget Input Data'!$D$89/'I_Inputs &amp; Assumptions'!$B$8)))))),0)</f>
        <v>0</v>
      </c>
      <c r="AD89" s="91">
        <f>IF(28&lt;='I_Inputs &amp; Assumptions'!$B$8,IF('I_Budget Input Data'!$E$89="Upfront",IF(28=1,'I_Budget Input Data'!$D$89,0),IF('I_Budget Input Data'!$E$89="Equal",'I_Budget Input Data'!$D$89/'I_Inputs &amp; Assumptions'!$B$8,IF('I_Budget Input Data'!$E$89="Front-loaded",IF(28&lt;='I_Inputs &amp; Assumptions'!$B$8/2,'I_Budget Input Data'!$D$89*0.6/('I_Inputs &amp; Assumptions'!$B$8/2),'I_Budget Input Data'!$D$89*0.4/('I_Inputs &amp; Assumptions'!$B$8/2)),IF('I_Budget Input Data'!$E$89="Back-loaded",IF(28&lt;='I_Inputs &amp; Assumptions'!$B$8/2,'I_Budget Input Data'!$D$89*0.4/('I_Inputs &amp; Assumptions'!$B$8/2),'I_Budget Input Data'!$D$89*0.6/('I_Inputs &amp; Assumptions'!$B$8/2)),IF('I_Budget Input Data'!$E$89="Mid-weighted",IF(28&lt;='I_Inputs &amp; Assumptions'!$B$8/4,'I_Budget Input Data'!$D$89*0.2/('I_Inputs &amp; Assumptions'!$B$8/4),IF(28&lt;='I_Inputs &amp; Assumptions'!$B$8*0.75,'I_Budget Input Data'!$D$89*0.6/('I_Inputs &amp; Assumptions'!$B$8/2),'I_Budget Input Data'!$D$89*0.2/('I_Inputs &amp; Assumptions'!$B$8/4))),IF('I_Budget Input Data'!$E$89="At Completion",IF(28='I_Inputs &amp; Assumptions'!$B$8,'I_Budget Input Data'!$D$89,0),'I_Budget Input Data'!$D$89/'I_Inputs &amp; Assumptions'!$B$8)))))),0)</f>
        <v>0</v>
      </c>
      <c r="AE89" s="91">
        <f>IF(29&lt;='I_Inputs &amp; Assumptions'!$B$8,IF('I_Budget Input Data'!$E$89="Upfront",IF(29=1,'I_Budget Input Data'!$D$89,0),IF('I_Budget Input Data'!$E$89="Equal",'I_Budget Input Data'!$D$89/'I_Inputs &amp; Assumptions'!$B$8,IF('I_Budget Input Data'!$E$89="Front-loaded",IF(29&lt;='I_Inputs &amp; Assumptions'!$B$8/2,'I_Budget Input Data'!$D$89*0.6/('I_Inputs &amp; Assumptions'!$B$8/2),'I_Budget Input Data'!$D$89*0.4/('I_Inputs &amp; Assumptions'!$B$8/2)),IF('I_Budget Input Data'!$E$89="Back-loaded",IF(29&lt;='I_Inputs &amp; Assumptions'!$B$8/2,'I_Budget Input Data'!$D$89*0.4/('I_Inputs &amp; Assumptions'!$B$8/2),'I_Budget Input Data'!$D$89*0.6/('I_Inputs &amp; Assumptions'!$B$8/2)),IF('I_Budget Input Data'!$E$89="Mid-weighted",IF(29&lt;='I_Inputs &amp; Assumptions'!$B$8/4,'I_Budget Input Data'!$D$89*0.2/('I_Inputs &amp; Assumptions'!$B$8/4),IF(29&lt;='I_Inputs &amp; Assumptions'!$B$8*0.75,'I_Budget Input Data'!$D$89*0.6/('I_Inputs &amp; Assumptions'!$B$8/2),'I_Budget Input Data'!$D$89*0.2/('I_Inputs &amp; Assumptions'!$B$8/4))),IF('I_Budget Input Data'!$E$89="At Completion",IF(29='I_Inputs &amp; Assumptions'!$B$8,'I_Budget Input Data'!$D$89,0),'I_Budget Input Data'!$D$89/'I_Inputs &amp; Assumptions'!$B$8)))))),0)</f>
        <v>0</v>
      </c>
      <c r="AF89" s="91">
        <f>IF(30&lt;='I_Inputs &amp; Assumptions'!$B$8,IF('I_Budget Input Data'!$E$89="Upfront",IF(30=1,'I_Budget Input Data'!$D$89,0),IF('I_Budget Input Data'!$E$89="Equal",'I_Budget Input Data'!$D$89/'I_Inputs &amp; Assumptions'!$B$8,IF('I_Budget Input Data'!$E$89="Front-loaded",IF(30&lt;='I_Inputs &amp; Assumptions'!$B$8/2,'I_Budget Input Data'!$D$89*0.6/('I_Inputs &amp; Assumptions'!$B$8/2),'I_Budget Input Data'!$D$89*0.4/('I_Inputs &amp; Assumptions'!$B$8/2)),IF('I_Budget Input Data'!$E$89="Back-loaded",IF(30&lt;='I_Inputs &amp; Assumptions'!$B$8/2,'I_Budget Input Data'!$D$89*0.4/('I_Inputs &amp; Assumptions'!$B$8/2),'I_Budget Input Data'!$D$89*0.6/('I_Inputs &amp; Assumptions'!$B$8/2)),IF('I_Budget Input Data'!$E$89="Mid-weighted",IF(30&lt;='I_Inputs &amp; Assumptions'!$B$8/4,'I_Budget Input Data'!$D$89*0.2/('I_Inputs &amp; Assumptions'!$B$8/4),IF(30&lt;='I_Inputs &amp; Assumptions'!$B$8*0.75,'I_Budget Input Data'!$D$89*0.6/('I_Inputs &amp; Assumptions'!$B$8/2),'I_Budget Input Data'!$D$89*0.2/('I_Inputs &amp; Assumptions'!$B$8/4))),IF('I_Budget Input Data'!$E$89="At Completion",IF(30='I_Inputs &amp; Assumptions'!$B$8,'I_Budget Input Data'!$D$89,0),'I_Budget Input Data'!$D$89/'I_Inputs &amp; Assumptions'!$B$8)))))),0)</f>
        <v>0</v>
      </c>
      <c r="AG89" s="91">
        <f>IF(31&lt;='I_Inputs &amp; Assumptions'!$B$8,IF('I_Budget Input Data'!$E$89="Upfront",IF(31=1,'I_Budget Input Data'!$D$89,0),IF('I_Budget Input Data'!$E$89="Equal",'I_Budget Input Data'!$D$89/'I_Inputs &amp; Assumptions'!$B$8,IF('I_Budget Input Data'!$E$89="Front-loaded",IF(31&lt;='I_Inputs &amp; Assumptions'!$B$8/2,'I_Budget Input Data'!$D$89*0.6/('I_Inputs &amp; Assumptions'!$B$8/2),'I_Budget Input Data'!$D$89*0.4/('I_Inputs &amp; Assumptions'!$B$8/2)),IF('I_Budget Input Data'!$E$89="Back-loaded",IF(31&lt;='I_Inputs &amp; Assumptions'!$B$8/2,'I_Budget Input Data'!$D$89*0.4/('I_Inputs &amp; Assumptions'!$B$8/2),'I_Budget Input Data'!$D$89*0.6/('I_Inputs &amp; Assumptions'!$B$8/2)),IF('I_Budget Input Data'!$E$89="Mid-weighted",IF(31&lt;='I_Inputs &amp; Assumptions'!$B$8/4,'I_Budget Input Data'!$D$89*0.2/('I_Inputs &amp; Assumptions'!$B$8/4),IF(31&lt;='I_Inputs &amp; Assumptions'!$B$8*0.75,'I_Budget Input Data'!$D$89*0.6/('I_Inputs &amp; Assumptions'!$B$8/2),'I_Budget Input Data'!$D$89*0.2/('I_Inputs &amp; Assumptions'!$B$8/4))),IF('I_Budget Input Data'!$E$89="At Completion",IF(31='I_Inputs &amp; Assumptions'!$B$8,'I_Budget Input Data'!$D$89,0),'I_Budget Input Data'!$D$89/'I_Inputs &amp; Assumptions'!$B$8)))))),0)</f>
        <v>0</v>
      </c>
      <c r="AH89" s="91">
        <f>IF(32&lt;='I_Inputs &amp; Assumptions'!$B$8,IF('I_Budget Input Data'!$E$89="Upfront",IF(32=1,'I_Budget Input Data'!$D$89,0),IF('I_Budget Input Data'!$E$89="Equal",'I_Budget Input Data'!$D$89/'I_Inputs &amp; Assumptions'!$B$8,IF('I_Budget Input Data'!$E$89="Front-loaded",IF(32&lt;='I_Inputs &amp; Assumptions'!$B$8/2,'I_Budget Input Data'!$D$89*0.6/('I_Inputs &amp; Assumptions'!$B$8/2),'I_Budget Input Data'!$D$89*0.4/('I_Inputs &amp; Assumptions'!$B$8/2)),IF('I_Budget Input Data'!$E$89="Back-loaded",IF(32&lt;='I_Inputs &amp; Assumptions'!$B$8/2,'I_Budget Input Data'!$D$89*0.4/('I_Inputs &amp; Assumptions'!$B$8/2),'I_Budget Input Data'!$D$89*0.6/('I_Inputs &amp; Assumptions'!$B$8/2)),IF('I_Budget Input Data'!$E$89="Mid-weighted",IF(32&lt;='I_Inputs &amp; Assumptions'!$B$8/4,'I_Budget Input Data'!$D$89*0.2/('I_Inputs &amp; Assumptions'!$B$8/4),IF(32&lt;='I_Inputs &amp; Assumptions'!$B$8*0.75,'I_Budget Input Data'!$D$89*0.6/('I_Inputs &amp; Assumptions'!$B$8/2),'I_Budget Input Data'!$D$89*0.2/('I_Inputs &amp; Assumptions'!$B$8/4))),IF('I_Budget Input Data'!$E$89="At Completion",IF(32='I_Inputs &amp; Assumptions'!$B$8,'I_Budget Input Data'!$D$89,0),'I_Budget Input Data'!$D$89/'I_Inputs &amp; Assumptions'!$B$8)))))),0)</f>
        <v>0</v>
      </c>
      <c r="AI89" s="91">
        <f>IF(33&lt;='I_Inputs &amp; Assumptions'!$B$8,IF('I_Budget Input Data'!$E$89="Upfront",IF(33=1,'I_Budget Input Data'!$D$89,0),IF('I_Budget Input Data'!$E$89="Equal",'I_Budget Input Data'!$D$89/'I_Inputs &amp; Assumptions'!$B$8,IF('I_Budget Input Data'!$E$89="Front-loaded",IF(33&lt;='I_Inputs &amp; Assumptions'!$B$8/2,'I_Budget Input Data'!$D$89*0.6/('I_Inputs &amp; Assumptions'!$B$8/2),'I_Budget Input Data'!$D$89*0.4/('I_Inputs &amp; Assumptions'!$B$8/2)),IF('I_Budget Input Data'!$E$89="Back-loaded",IF(33&lt;='I_Inputs &amp; Assumptions'!$B$8/2,'I_Budget Input Data'!$D$89*0.4/('I_Inputs &amp; Assumptions'!$B$8/2),'I_Budget Input Data'!$D$89*0.6/('I_Inputs &amp; Assumptions'!$B$8/2)),IF('I_Budget Input Data'!$E$89="Mid-weighted",IF(33&lt;='I_Inputs &amp; Assumptions'!$B$8/4,'I_Budget Input Data'!$D$89*0.2/('I_Inputs &amp; Assumptions'!$B$8/4),IF(33&lt;='I_Inputs &amp; Assumptions'!$B$8*0.75,'I_Budget Input Data'!$D$89*0.6/('I_Inputs &amp; Assumptions'!$B$8/2),'I_Budget Input Data'!$D$89*0.2/('I_Inputs &amp; Assumptions'!$B$8/4))),IF('I_Budget Input Data'!$E$89="At Completion",IF(33='I_Inputs &amp; Assumptions'!$B$8,'I_Budget Input Data'!$D$89,0),'I_Budget Input Data'!$D$89/'I_Inputs &amp; Assumptions'!$B$8)))))),0)</f>
        <v>0</v>
      </c>
      <c r="AJ89" s="91">
        <f>IF(34&lt;='I_Inputs &amp; Assumptions'!$B$8,IF('I_Budget Input Data'!$E$89="Upfront",IF(34=1,'I_Budget Input Data'!$D$89,0),IF('I_Budget Input Data'!$E$89="Equal",'I_Budget Input Data'!$D$89/'I_Inputs &amp; Assumptions'!$B$8,IF('I_Budget Input Data'!$E$89="Front-loaded",IF(34&lt;='I_Inputs &amp; Assumptions'!$B$8/2,'I_Budget Input Data'!$D$89*0.6/('I_Inputs &amp; Assumptions'!$B$8/2),'I_Budget Input Data'!$D$89*0.4/('I_Inputs &amp; Assumptions'!$B$8/2)),IF('I_Budget Input Data'!$E$89="Back-loaded",IF(34&lt;='I_Inputs &amp; Assumptions'!$B$8/2,'I_Budget Input Data'!$D$89*0.4/('I_Inputs &amp; Assumptions'!$B$8/2),'I_Budget Input Data'!$D$89*0.6/('I_Inputs &amp; Assumptions'!$B$8/2)),IF('I_Budget Input Data'!$E$89="Mid-weighted",IF(34&lt;='I_Inputs &amp; Assumptions'!$B$8/4,'I_Budget Input Data'!$D$89*0.2/('I_Inputs &amp; Assumptions'!$B$8/4),IF(34&lt;='I_Inputs &amp; Assumptions'!$B$8*0.75,'I_Budget Input Data'!$D$89*0.6/('I_Inputs &amp; Assumptions'!$B$8/2),'I_Budget Input Data'!$D$89*0.2/('I_Inputs &amp; Assumptions'!$B$8/4))),IF('I_Budget Input Data'!$E$89="At Completion",IF(34='I_Inputs &amp; Assumptions'!$B$8,'I_Budget Input Data'!$D$89,0),'I_Budget Input Data'!$D$89/'I_Inputs &amp; Assumptions'!$B$8)))))),0)</f>
        <v>0</v>
      </c>
      <c r="AK89" s="91">
        <f>IF(35&lt;='I_Inputs &amp; Assumptions'!$B$8,IF('I_Budget Input Data'!$E$89="Upfront",IF(35=1,'I_Budget Input Data'!$D$89,0),IF('I_Budget Input Data'!$E$89="Equal",'I_Budget Input Data'!$D$89/'I_Inputs &amp; Assumptions'!$B$8,IF('I_Budget Input Data'!$E$89="Front-loaded",IF(35&lt;='I_Inputs &amp; Assumptions'!$B$8/2,'I_Budget Input Data'!$D$89*0.6/('I_Inputs &amp; Assumptions'!$B$8/2),'I_Budget Input Data'!$D$89*0.4/('I_Inputs &amp; Assumptions'!$B$8/2)),IF('I_Budget Input Data'!$E$89="Back-loaded",IF(35&lt;='I_Inputs &amp; Assumptions'!$B$8/2,'I_Budget Input Data'!$D$89*0.4/('I_Inputs &amp; Assumptions'!$B$8/2),'I_Budget Input Data'!$D$89*0.6/('I_Inputs &amp; Assumptions'!$B$8/2)),IF('I_Budget Input Data'!$E$89="Mid-weighted",IF(35&lt;='I_Inputs &amp; Assumptions'!$B$8/4,'I_Budget Input Data'!$D$89*0.2/('I_Inputs &amp; Assumptions'!$B$8/4),IF(35&lt;='I_Inputs &amp; Assumptions'!$B$8*0.75,'I_Budget Input Data'!$D$89*0.6/('I_Inputs &amp; Assumptions'!$B$8/2),'I_Budget Input Data'!$D$89*0.2/('I_Inputs &amp; Assumptions'!$B$8/4))),IF('I_Budget Input Data'!$E$89="At Completion",IF(35='I_Inputs &amp; Assumptions'!$B$8,'I_Budget Input Data'!$D$89,0),'I_Budget Input Data'!$D$89/'I_Inputs &amp; Assumptions'!$B$8)))))),0)</f>
        <v>0</v>
      </c>
      <c r="AL89" s="91">
        <f>IF(36&lt;='I_Inputs &amp; Assumptions'!$B$8,IF('I_Budget Input Data'!$E$89="Upfront",IF(36=1,'I_Budget Input Data'!$D$89,0),IF('I_Budget Input Data'!$E$89="Equal",'I_Budget Input Data'!$D$89/'I_Inputs &amp; Assumptions'!$B$8,IF('I_Budget Input Data'!$E$89="Front-loaded",IF(36&lt;='I_Inputs &amp; Assumptions'!$B$8/2,'I_Budget Input Data'!$D$89*0.6/('I_Inputs &amp; Assumptions'!$B$8/2),'I_Budget Input Data'!$D$89*0.4/('I_Inputs &amp; Assumptions'!$B$8/2)),IF('I_Budget Input Data'!$E$89="Back-loaded",IF(36&lt;='I_Inputs &amp; Assumptions'!$B$8/2,'I_Budget Input Data'!$D$89*0.4/('I_Inputs &amp; Assumptions'!$B$8/2),'I_Budget Input Data'!$D$89*0.6/('I_Inputs &amp; Assumptions'!$B$8/2)),IF('I_Budget Input Data'!$E$89="Mid-weighted",IF(36&lt;='I_Inputs &amp; Assumptions'!$B$8/4,'I_Budget Input Data'!$D$89*0.2/('I_Inputs &amp; Assumptions'!$B$8/4),IF(36&lt;='I_Inputs &amp; Assumptions'!$B$8*0.75,'I_Budget Input Data'!$D$89*0.6/('I_Inputs &amp; Assumptions'!$B$8/2),'I_Budget Input Data'!$D$89*0.2/('I_Inputs &amp; Assumptions'!$B$8/4))),IF('I_Budget Input Data'!$E$89="At Completion",IF(36='I_Inputs &amp; Assumptions'!$B$8,'I_Budget Input Data'!$D$89,0),'I_Budget Input Data'!$D$89/'I_Inputs &amp; Assumptions'!$B$8)))))),0)</f>
        <v>0</v>
      </c>
    </row>
    <row r="90" spans="1:38" ht="15" customHeight="1" x14ac:dyDescent="0.2">
      <c r="A90" t="s">
        <v>146</v>
      </c>
      <c r="B90" t="s">
        <v>209</v>
      </c>
      <c r="C90" s="91">
        <f>IF(1&lt;='I_Inputs &amp; Assumptions'!$B$8,IF('I_Budget Input Data'!$E$90="Upfront",IF(1=1,'I_Budget Input Data'!$D$90,0),IF('I_Budget Input Data'!$E$90="Equal",'I_Budget Input Data'!$D$90/'I_Inputs &amp; Assumptions'!$B$8,IF('I_Budget Input Data'!$E$90="Front-loaded",IF(1&lt;='I_Inputs &amp; Assumptions'!$B$8/2,'I_Budget Input Data'!$D$90*0.6/('I_Inputs &amp; Assumptions'!$B$8/2),'I_Budget Input Data'!$D$90*0.4/('I_Inputs &amp; Assumptions'!$B$8/2)),IF('I_Budget Input Data'!$E$90="Back-loaded",IF(1&lt;='I_Inputs &amp; Assumptions'!$B$8/2,'I_Budget Input Data'!$D$90*0.4/('I_Inputs &amp; Assumptions'!$B$8/2),'I_Budget Input Data'!$D$90*0.6/('I_Inputs &amp; Assumptions'!$B$8/2)),IF('I_Budget Input Data'!$E$90="Mid-weighted",IF(1&lt;='I_Inputs &amp; Assumptions'!$B$8/4,'I_Budget Input Data'!$D$90*0.2/('I_Inputs &amp; Assumptions'!$B$8/4),IF(1&lt;='I_Inputs &amp; Assumptions'!$B$8*0.75,'I_Budget Input Data'!$D$90*0.6/('I_Inputs &amp; Assumptions'!$B$8/2),'I_Budget Input Data'!$D$90*0.2/('I_Inputs &amp; Assumptions'!$B$8/4))),IF('I_Budget Input Data'!$E$90="At Completion",IF(1='I_Inputs &amp; Assumptions'!$B$8,'I_Budget Input Data'!$D$90,0),'I_Budget Input Data'!$D$90/'I_Inputs &amp; Assumptions'!$B$8)))))),0)</f>
        <v>10867.753846153848</v>
      </c>
      <c r="D90" s="91">
        <f>IF(2&lt;='I_Inputs &amp; Assumptions'!$B$8,IF('I_Budget Input Data'!$E$90="Upfront",IF(2=1,'I_Budget Input Data'!$D$90,0),IF('I_Budget Input Data'!$E$90="Equal",'I_Budget Input Data'!$D$90/'I_Inputs &amp; Assumptions'!$B$8,IF('I_Budget Input Data'!$E$90="Front-loaded",IF(2&lt;='I_Inputs &amp; Assumptions'!$B$8/2,'I_Budget Input Data'!$D$90*0.6/('I_Inputs &amp; Assumptions'!$B$8/2),'I_Budget Input Data'!$D$90*0.4/('I_Inputs &amp; Assumptions'!$B$8/2)),IF('I_Budget Input Data'!$E$90="Back-loaded",IF(2&lt;='I_Inputs &amp; Assumptions'!$B$8/2,'I_Budget Input Data'!$D$90*0.4/('I_Inputs &amp; Assumptions'!$B$8/2),'I_Budget Input Data'!$D$90*0.6/('I_Inputs &amp; Assumptions'!$B$8/2)),IF('I_Budget Input Data'!$E$90="Mid-weighted",IF(2&lt;='I_Inputs &amp; Assumptions'!$B$8/4,'I_Budget Input Data'!$D$90*0.2/('I_Inputs &amp; Assumptions'!$B$8/4),IF(2&lt;='I_Inputs &amp; Assumptions'!$B$8*0.75,'I_Budget Input Data'!$D$90*0.6/('I_Inputs &amp; Assumptions'!$B$8/2),'I_Budget Input Data'!$D$90*0.2/('I_Inputs &amp; Assumptions'!$B$8/4))),IF('I_Budget Input Data'!$E$90="At Completion",IF(2='I_Inputs &amp; Assumptions'!$B$8,'I_Budget Input Data'!$D$90,0),'I_Budget Input Data'!$D$90/'I_Inputs &amp; Assumptions'!$B$8)))))),0)</f>
        <v>10867.753846153848</v>
      </c>
      <c r="E90" s="91">
        <f>IF(3&lt;='I_Inputs &amp; Assumptions'!$B$8,IF('I_Budget Input Data'!$E$90="Upfront",IF(3=1,'I_Budget Input Data'!$D$90,0),IF('I_Budget Input Data'!$E$90="Equal",'I_Budget Input Data'!$D$90/'I_Inputs &amp; Assumptions'!$B$8,IF('I_Budget Input Data'!$E$90="Front-loaded",IF(3&lt;='I_Inputs &amp; Assumptions'!$B$8/2,'I_Budget Input Data'!$D$90*0.6/('I_Inputs &amp; Assumptions'!$B$8/2),'I_Budget Input Data'!$D$90*0.4/('I_Inputs &amp; Assumptions'!$B$8/2)),IF('I_Budget Input Data'!$E$90="Back-loaded",IF(3&lt;='I_Inputs &amp; Assumptions'!$B$8/2,'I_Budget Input Data'!$D$90*0.4/('I_Inputs &amp; Assumptions'!$B$8/2),'I_Budget Input Data'!$D$90*0.6/('I_Inputs &amp; Assumptions'!$B$8/2)),IF('I_Budget Input Data'!$E$90="Mid-weighted",IF(3&lt;='I_Inputs &amp; Assumptions'!$B$8/4,'I_Budget Input Data'!$D$90*0.2/('I_Inputs &amp; Assumptions'!$B$8/4),IF(3&lt;='I_Inputs &amp; Assumptions'!$B$8*0.75,'I_Budget Input Data'!$D$90*0.6/('I_Inputs &amp; Assumptions'!$B$8/2),'I_Budget Input Data'!$D$90*0.2/('I_Inputs &amp; Assumptions'!$B$8/4))),IF('I_Budget Input Data'!$E$90="At Completion",IF(3='I_Inputs &amp; Assumptions'!$B$8,'I_Budget Input Data'!$D$90,0),'I_Budget Input Data'!$D$90/'I_Inputs &amp; Assumptions'!$B$8)))))),0)</f>
        <v>10867.753846153848</v>
      </c>
      <c r="F90" s="91">
        <f>IF(4&lt;='I_Inputs &amp; Assumptions'!$B$8,IF('I_Budget Input Data'!$E$90="Upfront",IF(4=1,'I_Budget Input Data'!$D$90,0),IF('I_Budget Input Data'!$E$90="Equal",'I_Budget Input Data'!$D$90/'I_Inputs &amp; Assumptions'!$B$8,IF('I_Budget Input Data'!$E$90="Front-loaded",IF(4&lt;='I_Inputs &amp; Assumptions'!$B$8/2,'I_Budget Input Data'!$D$90*0.6/('I_Inputs &amp; Assumptions'!$B$8/2),'I_Budget Input Data'!$D$90*0.4/('I_Inputs &amp; Assumptions'!$B$8/2)),IF('I_Budget Input Data'!$E$90="Back-loaded",IF(4&lt;='I_Inputs &amp; Assumptions'!$B$8/2,'I_Budget Input Data'!$D$90*0.4/('I_Inputs &amp; Assumptions'!$B$8/2),'I_Budget Input Data'!$D$90*0.6/('I_Inputs &amp; Assumptions'!$B$8/2)),IF('I_Budget Input Data'!$E$90="Mid-weighted",IF(4&lt;='I_Inputs &amp; Assumptions'!$B$8/4,'I_Budget Input Data'!$D$90*0.2/('I_Inputs &amp; Assumptions'!$B$8/4),IF(4&lt;='I_Inputs &amp; Assumptions'!$B$8*0.75,'I_Budget Input Data'!$D$90*0.6/('I_Inputs &amp; Assumptions'!$B$8/2),'I_Budget Input Data'!$D$90*0.2/('I_Inputs &amp; Assumptions'!$B$8/4))),IF('I_Budget Input Data'!$E$90="At Completion",IF(4='I_Inputs &amp; Assumptions'!$B$8,'I_Budget Input Data'!$D$90,0),'I_Budget Input Data'!$D$90/'I_Inputs &amp; Assumptions'!$B$8)))))),0)</f>
        <v>16301.630769230767</v>
      </c>
      <c r="G90" s="91">
        <f>IF(5&lt;='I_Inputs &amp; Assumptions'!$B$8,IF('I_Budget Input Data'!$E$90="Upfront",IF(5=1,'I_Budget Input Data'!$D$90,0),IF('I_Budget Input Data'!$E$90="Equal",'I_Budget Input Data'!$D$90/'I_Inputs &amp; Assumptions'!$B$8,IF('I_Budget Input Data'!$E$90="Front-loaded",IF(5&lt;='I_Inputs &amp; Assumptions'!$B$8/2,'I_Budget Input Data'!$D$90*0.6/('I_Inputs &amp; Assumptions'!$B$8/2),'I_Budget Input Data'!$D$90*0.4/('I_Inputs &amp; Assumptions'!$B$8/2)),IF('I_Budget Input Data'!$E$90="Back-loaded",IF(5&lt;='I_Inputs &amp; Assumptions'!$B$8/2,'I_Budget Input Data'!$D$90*0.4/('I_Inputs &amp; Assumptions'!$B$8/2),'I_Budget Input Data'!$D$90*0.6/('I_Inputs &amp; Assumptions'!$B$8/2)),IF('I_Budget Input Data'!$E$90="Mid-weighted",IF(5&lt;='I_Inputs &amp; Assumptions'!$B$8/4,'I_Budget Input Data'!$D$90*0.2/('I_Inputs &amp; Assumptions'!$B$8/4),IF(5&lt;='I_Inputs &amp; Assumptions'!$B$8*0.75,'I_Budget Input Data'!$D$90*0.6/('I_Inputs &amp; Assumptions'!$B$8/2),'I_Budget Input Data'!$D$90*0.2/('I_Inputs &amp; Assumptions'!$B$8/4))),IF('I_Budget Input Data'!$E$90="At Completion",IF(5='I_Inputs &amp; Assumptions'!$B$8,'I_Budget Input Data'!$D$90,0),'I_Budget Input Data'!$D$90/'I_Inputs &amp; Assumptions'!$B$8)))))),0)</f>
        <v>16301.630769230767</v>
      </c>
      <c r="H90" s="91">
        <f>IF(6&lt;='I_Inputs &amp; Assumptions'!$B$8,IF('I_Budget Input Data'!$E$90="Upfront",IF(6=1,'I_Budget Input Data'!$D$90,0),IF('I_Budget Input Data'!$E$90="Equal",'I_Budget Input Data'!$D$90/'I_Inputs &amp; Assumptions'!$B$8,IF('I_Budget Input Data'!$E$90="Front-loaded",IF(6&lt;='I_Inputs &amp; Assumptions'!$B$8/2,'I_Budget Input Data'!$D$90*0.6/('I_Inputs &amp; Assumptions'!$B$8/2),'I_Budget Input Data'!$D$90*0.4/('I_Inputs &amp; Assumptions'!$B$8/2)),IF('I_Budget Input Data'!$E$90="Back-loaded",IF(6&lt;='I_Inputs &amp; Assumptions'!$B$8/2,'I_Budget Input Data'!$D$90*0.4/('I_Inputs &amp; Assumptions'!$B$8/2),'I_Budget Input Data'!$D$90*0.6/('I_Inputs &amp; Assumptions'!$B$8/2)),IF('I_Budget Input Data'!$E$90="Mid-weighted",IF(6&lt;='I_Inputs &amp; Assumptions'!$B$8/4,'I_Budget Input Data'!$D$90*0.2/('I_Inputs &amp; Assumptions'!$B$8/4),IF(6&lt;='I_Inputs &amp; Assumptions'!$B$8*0.75,'I_Budget Input Data'!$D$90*0.6/('I_Inputs &amp; Assumptions'!$B$8/2),'I_Budget Input Data'!$D$90*0.2/('I_Inputs &amp; Assumptions'!$B$8/4))),IF('I_Budget Input Data'!$E$90="At Completion",IF(6='I_Inputs &amp; Assumptions'!$B$8,'I_Budget Input Data'!$D$90,0),'I_Budget Input Data'!$D$90/'I_Inputs &amp; Assumptions'!$B$8)))))),0)</f>
        <v>16301.630769230767</v>
      </c>
      <c r="I90" s="91">
        <f>IF(7&lt;='I_Inputs &amp; Assumptions'!$B$8,IF('I_Budget Input Data'!$E$90="Upfront",IF(7=1,'I_Budget Input Data'!$D$90,0),IF('I_Budget Input Data'!$E$90="Equal",'I_Budget Input Data'!$D$90/'I_Inputs &amp; Assumptions'!$B$8,IF('I_Budget Input Data'!$E$90="Front-loaded",IF(7&lt;='I_Inputs &amp; Assumptions'!$B$8/2,'I_Budget Input Data'!$D$90*0.6/('I_Inputs &amp; Assumptions'!$B$8/2),'I_Budget Input Data'!$D$90*0.4/('I_Inputs &amp; Assumptions'!$B$8/2)),IF('I_Budget Input Data'!$E$90="Back-loaded",IF(7&lt;='I_Inputs &amp; Assumptions'!$B$8/2,'I_Budget Input Data'!$D$90*0.4/('I_Inputs &amp; Assumptions'!$B$8/2),'I_Budget Input Data'!$D$90*0.6/('I_Inputs &amp; Assumptions'!$B$8/2)),IF('I_Budget Input Data'!$E$90="Mid-weighted",IF(7&lt;='I_Inputs &amp; Assumptions'!$B$8/4,'I_Budget Input Data'!$D$90*0.2/('I_Inputs &amp; Assumptions'!$B$8/4),IF(7&lt;='I_Inputs &amp; Assumptions'!$B$8*0.75,'I_Budget Input Data'!$D$90*0.6/('I_Inputs &amp; Assumptions'!$B$8/2),'I_Budget Input Data'!$D$90*0.2/('I_Inputs &amp; Assumptions'!$B$8/4))),IF('I_Budget Input Data'!$E$90="At Completion",IF(7='I_Inputs &amp; Assumptions'!$B$8,'I_Budget Input Data'!$D$90,0),'I_Budget Input Data'!$D$90/'I_Inputs &amp; Assumptions'!$B$8)))))),0)</f>
        <v>16301.630769230767</v>
      </c>
      <c r="J90" s="91">
        <f>IF(8&lt;='I_Inputs &amp; Assumptions'!$B$8,IF('I_Budget Input Data'!$E$90="Upfront",IF(8=1,'I_Budget Input Data'!$D$90,0),IF('I_Budget Input Data'!$E$90="Equal",'I_Budget Input Data'!$D$90/'I_Inputs &amp; Assumptions'!$B$8,IF('I_Budget Input Data'!$E$90="Front-loaded",IF(8&lt;='I_Inputs &amp; Assumptions'!$B$8/2,'I_Budget Input Data'!$D$90*0.6/('I_Inputs &amp; Assumptions'!$B$8/2),'I_Budget Input Data'!$D$90*0.4/('I_Inputs &amp; Assumptions'!$B$8/2)),IF('I_Budget Input Data'!$E$90="Back-loaded",IF(8&lt;='I_Inputs &amp; Assumptions'!$B$8/2,'I_Budget Input Data'!$D$90*0.4/('I_Inputs &amp; Assumptions'!$B$8/2),'I_Budget Input Data'!$D$90*0.6/('I_Inputs &amp; Assumptions'!$B$8/2)),IF('I_Budget Input Data'!$E$90="Mid-weighted",IF(8&lt;='I_Inputs &amp; Assumptions'!$B$8/4,'I_Budget Input Data'!$D$90*0.2/('I_Inputs &amp; Assumptions'!$B$8/4),IF(8&lt;='I_Inputs &amp; Assumptions'!$B$8*0.75,'I_Budget Input Data'!$D$90*0.6/('I_Inputs &amp; Assumptions'!$B$8/2),'I_Budget Input Data'!$D$90*0.2/('I_Inputs &amp; Assumptions'!$B$8/4))),IF('I_Budget Input Data'!$E$90="At Completion",IF(8='I_Inputs &amp; Assumptions'!$B$8,'I_Budget Input Data'!$D$90,0),'I_Budget Input Data'!$D$90/'I_Inputs &amp; Assumptions'!$B$8)))))),0)</f>
        <v>16301.630769230767</v>
      </c>
      <c r="K90" s="91">
        <f>IF(9&lt;='I_Inputs &amp; Assumptions'!$B$8,IF('I_Budget Input Data'!$E$90="Upfront",IF(9=1,'I_Budget Input Data'!$D$90,0),IF('I_Budget Input Data'!$E$90="Equal",'I_Budget Input Data'!$D$90/'I_Inputs &amp; Assumptions'!$B$8,IF('I_Budget Input Data'!$E$90="Front-loaded",IF(9&lt;='I_Inputs &amp; Assumptions'!$B$8/2,'I_Budget Input Data'!$D$90*0.6/('I_Inputs &amp; Assumptions'!$B$8/2),'I_Budget Input Data'!$D$90*0.4/('I_Inputs &amp; Assumptions'!$B$8/2)),IF('I_Budget Input Data'!$E$90="Back-loaded",IF(9&lt;='I_Inputs &amp; Assumptions'!$B$8/2,'I_Budget Input Data'!$D$90*0.4/('I_Inputs &amp; Assumptions'!$B$8/2),'I_Budget Input Data'!$D$90*0.6/('I_Inputs &amp; Assumptions'!$B$8/2)),IF('I_Budget Input Data'!$E$90="Mid-weighted",IF(9&lt;='I_Inputs &amp; Assumptions'!$B$8/4,'I_Budget Input Data'!$D$90*0.2/('I_Inputs &amp; Assumptions'!$B$8/4),IF(9&lt;='I_Inputs &amp; Assumptions'!$B$8*0.75,'I_Budget Input Data'!$D$90*0.6/('I_Inputs &amp; Assumptions'!$B$8/2),'I_Budget Input Data'!$D$90*0.2/('I_Inputs &amp; Assumptions'!$B$8/4))),IF('I_Budget Input Data'!$E$90="At Completion",IF(9='I_Inputs &amp; Assumptions'!$B$8,'I_Budget Input Data'!$D$90,0),'I_Budget Input Data'!$D$90/'I_Inputs &amp; Assumptions'!$B$8)))))),0)</f>
        <v>16301.630769230767</v>
      </c>
      <c r="L90" s="91">
        <f>IF(10&lt;='I_Inputs &amp; Assumptions'!$B$8,IF('I_Budget Input Data'!$E$90="Upfront",IF(10=1,'I_Budget Input Data'!$D$90,0),IF('I_Budget Input Data'!$E$90="Equal",'I_Budget Input Data'!$D$90/'I_Inputs &amp; Assumptions'!$B$8,IF('I_Budget Input Data'!$E$90="Front-loaded",IF(10&lt;='I_Inputs &amp; Assumptions'!$B$8/2,'I_Budget Input Data'!$D$90*0.6/('I_Inputs &amp; Assumptions'!$B$8/2),'I_Budget Input Data'!$D$90*0.4/('I_Inputs &amp; Assumptions'!$B$8/2)),IF('I_Budget Input Data'!$E$90="Back-loaded",IF(10&lt;='I_Inputs &amp; Assumptions'!$B$8/2,'I_Budget Input Data'!$D$90*0.4/('I_Inputs &amp; Assumptions'!$B$8/2),'I_Budget Input Data'!$D$90*0.6/('I_Inputs &amp; Assumptions'!$B$8/2)),IF('I_Budget Input Data'!$E$90="Mid-weighted",IF(10&lt;='I_Inputs &amp; Assumptions'!$B$8/4,'I_Budget Input Data'!$D$90*0.2/('I_Inputs &amp; Assumptions'!$B$8/4),IF(10&lt;='I_Inputs &amp; Assumptions'!$B$8*0.75,'I_Budget Input Data'!$D$90*0.6/('I_Inputs &amp; Assumptions'!$B$8/2),'I_Budget Input Data'!$D$90*0.2/('I_Inputs &amp; Assumptions'!$B$8/4))),IF('I_Budget Input Data'!$E$90="At Completion",IF(10='I_Inputs &amp; Assumptions'!$B$8,'I_Budget Input Data'!$D$90,0),'I_Budget Input Data'!$D$90/'I_Inputs &amp; Assumptions'!$B$8)))))),0)</f>
        <v>10867.753846153848</v>
      </c>
      <c r="M90" s="91">
        <f>IF(11&lt;='I_Inputs &amp; Assumptions'!$B$8,IF('I_Budget Input Data'!$E$90="Upfront",IF(11=1,'I_Budget Input Data'!$D$90,0),IF('I_Budget Input Data'!$E$90="Equal",'I_Budget Input Data'!$D$90/'I_Inputs &amp; Assumptions'!$B$8,IF('I_Budget Input Data'!$E$90="Front-loaded",IF(11&lt;='I_Inputs &amp; Assumptions'!$B$8/2,'I_Budget Input Data'!$D$90*0.6/('I_Inputs &amp; Assumptions'!$B$8/2),'I_Budget Input Data'!$D$90*0.4/('I_Inputs &amp; Assumptions'!$B$8/2)),IF('I_Budget Input Data'!$E$90="Back-loaded",IF(11&lt;='I_Inputs &amp; Assumptions'!$B$8/2,'I_Budget Input Data'!$D$90*0.4/('I_Inputs &amp; Assumptions'!$B$8/2),'I_Budget Input Data'!$D$90*0.6/('I_Inputs &amp; Assumptions'!$B$8/2)),IF('I_Budget Input Data'!$E$90="Mid-weighted",IF(11&lt;='I_Inputs &amp; Assumptions'!$B$8/4,'I_Budget Input Data'!$D$90*0.2/('I_Inputs &amp; Assumptions'!$B$8/4),IF(11&lt;='I_Inputs &amp; Assumptions'!$B$8*0.75,'I_Budget Input Data'!$D$90*0.6/('I_Inputs &amp; Assumptions'!$B$8/2),'I_Budget Input Data'!$D$90*0.2/('I_Inputs &amp; Assumptions'!$B$8/4))),IF('I_Budget Input Data'!$E$90="At Completion",IF(11='I_Inputs &amp; Assumptions'!$B$8,'I_Budget Input Data'!$D$90,0),'I_Budget Input Data'!$D$90/'I_Inputs &amp; Assumptions'!$B$8)))))),0)</f>
        <v>10867.753846153848</v>
      </c>
      <c r="N90" s="91">
        <f>IF(12&lt;='I_Inputs &amp; Assumptions'!$B$8,IF('I_Budget Input Data'!$E$90="Upfront",IF(12=1,'I_Budget Input Data'!$D$90,0),IF('I_Budget Input Data'!$E$90="Equal",'I_Budget Input Data'!$D$90/'I_Inputs &amp; Assumptions'!$B$8,IF('I_Budget Input Data'!$E$90="Front-loaded",IF(12&lt;='I_Inputs &amp; Assumptions'!$B$8/2,'I_Budget Input Data'!$D$90*0.6/('I_Inputs &amp; Assumptions'!$B$8/2),'I_Budget Input Data'!$D$90*0.4/('I_Inputs &amp; Assumptions'!$B$8/2)),IF('I_Budget Input Data'!$E$90="Back-loaded",IF(12&lt;='I_Inputs &amp; Assumptions'!$B$8/2,'I_Budget Input Data'!$D$90*0.4/('I_Inputs &amp; Assumptions'!$B$8/2),'I_Budget Input Data'!$D$90*0.6/('I_Inputs &amp; Assumptions'!$B$8/2)),IF('I_Budget Input Data'!$E$90="Mid-weighted",IF(12&lt;='I_Inputs &amp; Assumptions'!$B$8/4,'I_Budget Input Data'!$D$90*0.2/('I_Inputs &amp; Assumptions'!$B$8/4),IF(12&lt;='I_Inputs &amp; Assumptions'!$B$8*0.75,'I_Budget Input Data'!$D$90*0.6/('I_Inputs &amp; Assumptions'!$B$8/2),'I_Budget Input Data'!$D$90*0.2/('I_Inputs &amp; Assumptions'!$B$8/4))),IF('I_Budget Input Data'!$E$90="At Completion",IF(12='I_Inputs &amp; Assumptions'!$B$8,'I_Budget Input Data'!$D$90,0),'I_Budget Input Data'!$D$90/'I_Inputs &amp; Assumptions'!$B$8)))))),0)</f>
        <v>10867.753846153848</v>
      </c>
      <c r="O90" s="91">
        <f>IF(13&lt;='I_Inputs &amp; Assumptions'!$B$8,IF('I_Budget Input Data'!$E$90="Upfront",IF(13=1,'I_Budget Input Data'!$D$90,0),IF('I_Budget Input Data'!$E$90="Equal",'I_Budget Input Data'!$D$90/'I_Inputs &amp; Assumptions'!$B$8,IF('I_Budget Input Data'!$E$90="Front-loaded",IF(13&lt;='I_Inputs &amp; Assumptions'!$B$8/2,'I_Budget Input Data'!$D$90*0.6/('I_Inputs &amp; Assumptions'!$B$8/2),'I_Budget Input Data'!$D$90*0.4/('I_Inputs &amp; Assumptions'!$B$8/2)),IF('I_Budget Input Data'!$E$90="Back-loaded",IF(13&lt;='I_Inputs &amp; Assumptions'!$B$8/2,'I_Budget Input Data'!$D$90*0.4/('I_Inputs &amp; Assumptions'!$B$8/2),'I_Budget Input Data'!$D$90*0.6/('I_Inputs &amp; Assumptions'!$B$8/2)),IF('I_Budget Input Data'!$E$90="Mid-weighted",IF(13&lt;='I_Inputs &amp; Assumptions'!$B$8/4,'I_Budget Input Data'!$D$90*0.2/('I_Inputs &amp; Assumptions'!$B$8/4),IF(13&lt;='I_Inputs &amp; Assumptions'!$B$8*0.75,'I_Budget Input Data'!$D$90*0.6/('I_Inputs &amp; Assumptions'!$B$8/2),'I_Budget Input Data'!$D$90*0.2/('I_Inputs &amp; Assumptions'!$B$8/4))),IF('I_Budget Input Data'!$E$90="At Completion",IF(13='I_Inputs &amp; Assumptions'!$B$8,'I_Budget Input Data'!$D$90,0),'I_Budget Input Data'!$D$90/'I_Inputs &amp; Assumptions'!$B$8)))))),0)</f>
        <v>10867.753846153848</v>
      </c>
      <c r="P90" s="91">
        <f>IF(14&lt;='I_Inputs &amp; Assumptions'!$B$8,IF('I_Budget Input Data'!$E$90="Upfront",IF(14=1,'I_Budget Input Data'!$D$90,0),IF('I_Budget Input Data'!$E$90="Equal",'I_Budget Input Data'!$D$90/'I_Inputs &amp; Assumptions'!$B$8,IF('I_Budget Input Data'!$E$90="Front-loaded",IF(14&lt;='I_Inputs &amp; Assumptions'!$B$8/2,'I_Budget Input Data'!$D$90*0.6/('I_Inputs &amp; Assumptions'!$B$8/2),'I_Budget Input Data'!$D$90*0.4/('I_Inputs &amp; Assumptions'!$B$8/2)),IF('I_Budget Input Data'!$E$90="Back-loaded",IF(14&lt;='I_Inputs &amp; Assumptions'!$B$8/2,'I_Budget Input Data'!$D$90*0.4/('I_Inputs &amp; Assumptions'!$B$8/2),'I_Budget Input Data'!$D$90*0.6/('I_Inputs &amp; Assumptions'!$B$8/2)),IF('I_Budget Input Data'!$E$90="Mid-weighted",IF(14&lt;='I_Inputs &amp; Assumptions'!$B$8/4,'I_Budget Input Data'!$D$90*0.2/('I_Inputs &amp; Assumptions'!$B$8/4),IF(14&lt;='I_Inputs &amp; Assumptions'!$B$8*0.75,'I_Budget Input Data'!$D$90*0.6/('I_Inputs &amp; Assumptions'!$B$8/2),'I_Budget Input Data'!$D$90*0.2/('I_Inputs &amp; Assumptions'!$B$8/4))),IF('I_Budget Input Data'!$E$90="At Completion",IF(14='I_Inputs &amp; Assumptions'!$B$8,'I_Budget Input Data'!$D$90,0),'I_Budget Input Data'!$D$90/'I_Inputs &amp; Assumptions'!$B$8)))))),0)</f>
        <v>0</v>
      </c>
      <c r="Q90" s="91">
        <f>IF(15&lt;='I_Inputs &amp; Assumptions'!$B$8,IF('I_Budget Input Data'!$E$90="Upfront",IF(15=1,'I_Budget Input Data'!$D$90,0),IF('I_Budget Input Data'!$E$90="Equal",'I_Budget Input Data'!$D$90/'I_Inputs &amp; Assumptions'!$B$8,IF('I_Budget Input Data'!$E$90="Front-loaded",IF(15&lt;='I_Inputs &amp; Assumptions'!$B$8/2,'I_Budget Input Data'!$D$90*0.6/('I_Inputs &amp; Assumptions'!$B$8/2),'I_Budget Input Data'!$D$90*0.4/('I_Inputs &amp; Assumptions'!$B$8/2)),IF('I_Budget Input Data'!$E$90="Back-loaded",IF(15&lt;='I_Inputs &amp; Assumptions'!$B$8/2,'I_Budget Input Data'!$D$90*0.4/('I_Inputs &amp; Assumptions'!$B$8/2),'I_Budget Input Data'!$D$90*0.6/('I_Inputs &amp; Assumptions'!$B$8/2)),IF('I_Budget Input Data'!$E$90="Mid-weighted",IF(15&lt;='I_Inputs &amp; Assumptions'!$B$8/4,'I_Budget Input Data'!$D$90*0.2/('I_Inputs &amp; Assumptions'!$B$8/4),IF(15&lt;='I_Inputs &amp; Assumptions'!$B$8*0.75,'I_Budget Input Data'!$D$90*0.6/('I_Inputs &amp; Assumptions'!$B$8/2),'I_Budget Input Data'!$D$90*0.2/('I_Inputs &amp; Assumptions'!$B$8/4))),IF('I_Budget Input Data'!$E$90="At Completion",IF(15='I_Inputs &amp; Assumptions'!$B$8,'I_Budget Input Data'!$D$90,0),'I_Budget Input Data'!$D$90/'I_Inputs &amp; Assumptions'!$B$8)))))),0)</f>
        <v>0</v>
      </c>
      <c r="R90" s="91">
        <f>IF(16&lt;='I_Inputs &amp; Assumptions'!$B$8,IF('I_Budget Input Data'!$E$90="Upfront",IF(16=1,'I_Budget Input Data'!$D$90,0),IF('I_Budget Input Data'!$E$90="Equal",'I_Budget Input Data'!$D$90/'I_Inputs &amp; Assumptions'!$B$8,IF('I_Budget Input Data'!$E$90="Front-loaded",IF(16&lt;='I_Inputs &amp; Assumptions'!$B$8/2,'I_Budget Input Data'!$D$90*0.6/('I_Inputs &amp; Assumptions'!$B$8/2),'I_Budget Input Data'!$D$90*0.4/('I_Inputs &amp; Assumptions'!$B$8/2)),IF('I_Budget Input Data'!$E$90="Back-loaded",IF(16&lt;='I_Inputs &amp; Assumptions'!$B$8/2,'I_Budget Input Data'!$D$90*0.4/('I_Inputs &amp; Assumptions'!$B$8/2),'I_Budget Input Data'!$D$90*0.6/('I_Inputs &amp; Assumptions'!$B$8/2)),IF('I_Budget Input Data'!$E$90="Mid-weighted",IF(16&lt;='I_Inputs &amp; Assumptions'!$B$8/4,'I_Budget Input Data'!$D$90*0.2/('I_Inputs &amp; Assumptions'!$B$8/4),IF(16&lt;='I_Inputs &amp; Assumptions'!$B$8*0.75,'I_Budget Input Data'!$D$90*0.6/('I_Inputs &amp; Assumptions'!$B$8/2),'I_Budget Input Data'!$D$90*0.2/('I_Inputs &amp; Assumptions'!$B$8/4))),IF('I_Budget Input Data'!$E$90="At Completion",IF(16='I_Inputs &amp; Assumptions'!$B$8,'I_Budget Input Data'!$D$90,0),'I_Budget Input Data'!$D$90/'I_Inputs &amp; Assumptions'!$B$8)))))),0)</f>
        <v>0</v>
      </c>
      <c r="S90" s="91">
        <f>IF(17&lt;='I_Inputs &amp; Assumptions'!$B$8,IF('I_Budget Input Data'!$E$90="Upfront",IF(17=1,'I_Budget Input Data'!$D$90,0),IF('I_Budget Input Data'!$E$90="Equal",'I_Budget Input Data'!$D$90/'I_Inputs &amp; Assumptions'!$B$8,IF('I_Budget Input Data'!$E$90="Front-loaded",IF(17&lt;='I_Inputs &amp; Assumptions'!$B$8/2,'I_Budget Input Data'!$D$90*0.6/('I_Inputs &amp; Assumptions'!$B$8/2),'I_Budget Input Data'!$D$90*0.4/('I_Inputs &amp; Assumptions'!$B$8/2)),IF('I_Budget Input Data'!$E$90="Back-loaded",IF(17&lt;='I_Inputs &amp; Assumptions'!$B$8/2,'I_Budget Input Data'!$D$90*0.4/('I_Inputs &amp; Assumptions'!$B$8/2),'I_Budget Input Data'!$D$90*0.6/('I_Inputs &amp; Assumptions'!$B$8/2)),IF('I_Budget Input Data'!$E$90="Mid-weighted",IF(17&lt;='I_Inputs &amp; Assumptions'!$B$8/4,'I_Budget Input Data'!$D$90*0.2/('I_Inputs &amp; Assumptions'!$B$8/4),IF(17&lt;='I_Inputs &amp; Assumptions'!$B$8*0.75,'I_Budget Input Data'!$D$90*0.6/('I_Inputs &amp; Assumptions'!$B$8/2),'I_Budget Input Data'!$D$90*0.2/('I_Inputs &amp; Assumptions'!$B$8/4))),IF('I_Budget Input Data'!$E$90="At Completion",IF(17='I_Inputs &amp; Assumptions'!$B$8,'I_Budget Input Data'!$D$90,0),'I_Budget Input Data'!$D$90/'I_Inputs &amp; Assumptions'!$B$8)))))),0)</f>
        <v>0</v>
      </c>
      <c r="T90" s="91">
        <f>IF(18&lt;='I_Inputs &amp; Assumptions'!$B$8,IF('I_Budget Input Data'!$E$90="Upfront",IF(18=1,'I_Budget Input Data'!$D$90,0),IF('I_Budget Input Data'!$E$90="Equal",'I_Budget Input Data'!$D$90/'I_Inputs &amp; Assumptions'!$B$8,IF('I_Budget Input Data'!$E$90="Front-loaded",IF(18&lt;='I_Inputs &amp; Assumptions'!$B$8/2,'I_Budget Input Data'!$D$90*0.6/('I_Inputs &amp; Assumptions'!$B$8/2),'I_Budget Input Data'!$D$90*0.4/('I_Inputs &amp; Assumptions'!$B$8/2)),IF('I_Budget Input Data'!$E$90="Back-loaded",IF(18&lt;='I_Inputs &amp; Assumptions'!$B$8/2,'I_Budget Input Data'!$D$90*0.4/('I_Inputs &amp; Assumptions'!$B$8/2),'I_Budget Input Data'!$D$90*0.6/('I_Inputs &amp; Assumptions'!$B$8/2)),IF('I_Budget Input Data'!$E$90="Mid-weighted",IF(18&lt;='I_Inputs &amp; Assumptions'!$B$8/4,'I_Budget Input Data'!$D$90*0.2/('I_Inputs &amp; Assumptions'!$B$8/4),IF(18&lt;='I_Inputs &amp; Assumptions'!$B$8*0.75,'I_Budget Input Data'!$D$90*0.6/('I_Inputs &amp; Assumptions'!$B$8/2),'I_Budget Input Data'!$D$90*0.2/('I_Inputs &amp; Assumptions'!$B$8/4))),IF('I_Budget Input Data'!$E$90="At Completion",IF(18='I_Inputs &amp; Assumptions'!$B$8,'I_Budget Input Data'!$D$90,0),'I_Budget Input Data'!$D$90/'I_Inputs &amp; Assumptions'!$B$8)))))),0)</f>
        <v>0</v>
      </c>
      <c r="U90" s="91">
        <f>IF(19&lt;='I_Inputs &amp; Assumptions'!$B$8,IF('I_Budget Input Data'!$E$90="Upfront",IF(19=1,'I_Budget Input Data'!$D$90,0),IF('I_Budget Input Data'!$E$90="Equal",'I_Budget Input Data'!$D$90/'I_Inputs &amp; Assumptions'!$B$8,IF('I_Budget Input Data'!$E$90="Front-loaded",IF(19&lt;='I_Inputs &amp; Assumptions'!$B$8/2,'I_Budget Input Data'!$D$90*0.6/('I_Inputs &amp; Assumptions'!$B$8/2),'I_Budget Input Data'!$D$90*0.4/('I_Inputs &amp; Assumptions'!$B$8/2)),IF('I_Budget Input Data'!$E$90="Back-loaded",IF(19&lt;='I_Inputs &amp; Assumptions'!$B$8/2,'I_Budget Input Data'!$D$90*0.4/('I_Inputs &amp; Assumptions'!$B$8/2),'I_Budget Input Data'!$D$90*0.6/('I_Inputs &amp; Assumptions'!$B$8/2)),IF('I_Budget Input Data'!$E$90="Mid-weighted",IF(19&lt;='I_Inputs &amp; Assumptions'!$B$8/4,'I_Budget Input Data'!$D$90*0.2/('I_Inputs &amp; Assumptions'!$B$8/4),IF(19&lt;='I_Inputs &amp; Assumptions'!$B$8*0.75,'I_Budget Input Data'!$D$90*0.6/('I_Inputs &amp; Assumptions'!$B$8/2),'I_Budget Input Data'!$D$90*0.2/('I_Inputs &amp; Assumptions'!$B$8/4))),IF('I_Budget Input Data'!$E$90="At Completion",IF(19='I_Inputs &amp; Assumptions'!$B$8,'I_Budget Input Data'!$D$90,0),'I_Budget Input Data'!$D$90/'I_Inputs &amp; Assumptions'!$B$8)))))),0)</f>
        <v>0</v>
      </c>
      <c r="V90" s="91">
        <f>IF(20&lt;='I_Inputs &amp; Assumptions'!$B$8,IF('I_Budget Input Data'!$E$90="Upfront",IF(20=1,'I_Budget Input Data'!$D$90,0),IF('I_Budget Input Data'!$E$90="Equal",'I_Budget Input Data'!$D$90/'I_Inputs &amp; Assumptions'!$B$8,IF('I_Budget Input Data'!$E$90="Front-loaded",IF(20&lt;='I_Inputs &amp; Assumptions'!$B$8/2,'I_Budget Input Data'!$D$90*0.6/('I_Inputs &amp; Assumptions'!$B$8/2),'I_Budget Input Data'!$D$90*0.4/('I_Inputs &amp; Assumptions'!$B$8/2)),IF('I_Budget Input Data'!$E$90="Back-loaded",IF(20&lt;='I_Inputs &amp; Assumptions'!$B$8/2,'I_Budget Input Data'!$D$90*0.4/('I_Inputs &amp; Assumptions'!$B$8/2),'I_Budget Input Data'!$D$90*0.6/('I_Inputs &amp; Assumptions'!$B$8/2)),IF('I_Budget Input Data'!$E$90="Mid-weighted",IF(20&lt;='I_Inputs &amp; Assumptions'!$B$8/4,'I_Budget Input Data'!$D$90*0.2/('I_Inputs &amp; Assumptions'!$B$8/4),IF(20&lt;='I_Inputs &amp; Assumptions'!$B$8*0.75,'I_Budget Input Data'!$D$90*0.6/('I_Inputs &amp; Assumptions'!$B$8/2),'I_Budget Input Data'!$D$90*0.2/('I_Inputs &amp; Assumptions'!$B$8/4))),IF('I_Budget Input Data'!$E$90="At Completion",IF(20='I_Inputs &amp; Assumptions'!$B$8,'I_Budget Input Data'!$D$90,0),'I_Budget Input Data'!$D$90/'I_Inputs &amp; Assumptions'!$B$8)))))),0)</f>
        <v>0</v>
      </c>
      <c r="W90" s="91">
        <f>IF(21&lt;='I_Inputs &amp; Assumptions'!$B$8,IF('I_Budget Input Data'!$E$90="Upfront",IF(21=1,'I_Budget Input Data'!$D$90,0),IF('I_Budget Input Data'!$E$90="Equal",'I_Budget Input Data'!$D$90/'I_Inputs &amp; Assumptions'!$B$8,IF('I_Budget Input Data'!$E$90="Front-loaded",IF(21&lt;='I_Inputs &amp; Assumptions'!$B$8/2,'I_Budget Input Data'!$D$90*0.6/('I_Inputs &amp; Assumptions'!$B$8/2),'I_Budget Input Data'!$D$90*0.4/('I_Inputs &amp; Assumptions'!$B$8/2)),IF('I_Budget Input Data'!$E$90="Back-loaded",IF(21&lt;='I_Inputs &amp; Assumptions'!$B$8/2,'I_Budget Input Data'!$D$90*0.4/('I_Inputs &amp; Assumptions'!$B$8/2),'I_Budget Input Data'!$D$90*0.6/('I_Inputs &amp; Assumptions'!$B$8/2)),IF('I_Budget Input Data'!$E$90="Mid-weighted",IF(21&lt;='I_Inputs &amp; Assumptions'!$B$8/4,'I_Budget Input Data'!$D$90*0.2/('I_Inputs &amp; Assumptions'!$B$8/4),IF(21&lt;='I_Inputs &amp; Assumptions'!$B$8*0.75,'I_Budget Input Data'!$D$90*0.6/('I_Inputs &amp; Assumptions'!$B$8/2),'I_Budget Input Data'!$D$90*0.2/('I_Inputs &amp; Assumptions'!$B$8/4))),IF('I_Budget Input Data'!$E$90="At Completion",IF(21='I_Inputs &amp; Assumptions'!$B$8,'I_Budget Input Data'!$D$90,0),'I_Budget Input Data'!$D$90/'I_Inputs &amp; Assumptions'!$B$8)))))),0)</f>
        <v>0</v>
      </c>
      <c r="X90" s="91">
        <f>IF(22&lt;='I_Inputs &amp; Assumptions'!$B$8,IF('I_Budget Input Data'!$E$90="Upfront",IF(22=1,'I_Budget Input Data'!$D$90,0),IF('I_Budget Input Data'!$E$90="Equal",'I_Budget Input Data'!$D$90/'I_Inputs &amp; Assumptions'!$B$8,IF('I_Budget Input Data'!$E$90="Front-loaded",IF(22&lt;='I_Inputs &amp; Assumptions'!$B$8/2,'I_Budget Input Data'!$D$90*0.6/('I_Inputs &amp; Assumptions'!$B$8/2),'I_Budget Input Data'!$D$90*0.4/('I_Inputs &amp; Assumptions'!$B$8/2)),IF('I_Budget Input Data'!$E$90="Back-loaded",IF(22&lt;='I_Inputs &amp; Assumptions'!$B$8/2,'I_Budget Input Data'!$D$90*0.4/('I_Inputs &amp; Assumptions'!$B$8/2),'I_Budget Input Data'!$D$90*0.6/('I_Inputs &amp; Assumptions'!$B$8/2)),IF('I_Budget Input Data'!$E$90="Mid-weighted",IF(22&lt;='I_Inputs &amp; Assumptions'!$B$8/4,'I_Budget Input Data'!$D$90*0.2/('I_Inputs &amp; Assumptions'!$B$8/4),IF(22&lt;='I_Inputs &amp; Assumptions'!$B$8*0.75,'I_Budget Input Data'!$D$90*0.6/('I_Inputs &amp; Assumptions'!$B$8/2),'I_Budget Input Data'!$D$90*0.2/('I_Inputs &amp; Assumptions'!$B$8/4))),IF('I_Budget Input Data'!$E$90="At Completion",IF(22='I_Inputs &amp; Assumptions'!$B$8,'I_Budget Input Data'!$D$90,0),'I_Budget Input Data'!$D$90/'I_Inputs &amp; Assumptions'!$B$8)))))),0)</f>
        <v>0</v>
      </c>
      <c r="Y90" s="91">
        <f>IF(23&lt;='I_Inputs &amp; Assumptions'!$B$8,IF('I_Budget Input Data'!$E$90="Upfront",IF(23=1,'I_Budget Input Data'!$D$90,0),IF('I_Budget Input Data'!$E$90="Equal",'I_Budget Input Data'!$D$90/'I_Inputs &amp; Assumptions'!$B$8,IF('I_Budget Input Data'!$E$90="Front-loaded",IF(23&lt;='I_Inputs &amp; Assumptions'!$B$8/2,'I_Budget Input Data'!$D$90*0.6/('I_Inputs &amp; Assumptions'!$B$8/2),'I_Budget Input Data'!$D$90*0.4/('I_Inputs &amp; Assumptions'!$B$8/2)),IF('I_Budget Input Data'!$E$90="Back-loaded",IF(23&lt;='I_Inputs &amp; Assumptions'!$B$8/2,'I_Budget Input Data'!$D$90*0.4/('I_Inputs &amp; Assumptions'!$B$8/2),'I_Budget Input Data'!$D$90*0.6/('I_Inputs &amp; Assumptions'!$B$8/2)),IF('I_Budget Input Data'!$E$90="Mid-weighted",IF(23&lt;='I_Inputs &amp; Assumptions'!$B$8/4,'I_Budget Input Data'!$D$90*0.2/('I_Inputs &amp; Assumptions'!$B$8/4),IF(23&lt;='I_Inputs &amp; Assumptions'!$B$8*0.75,'I_Budget Input Data'!$D$90*0.6/('I_Inputs &amp; Assumptions'!$B$8/2),'I_Budget Input Data'!$D$90*0.2/('I_Inputs &amp; Assumptions'!$B$8/4))),IF('I_Budget Input Data'!$E$90="At Completion",IF(23='I_Inputs &amp; Assumptions'!$B$8,'I_Budget Input Data'!$D$90,0),'I_Budget Input Data'!$D$90/'I_Inputs &amp; Assumptions'!$B$8)))))),0)</f>
        <v>0</v>
      </c>
      <c r="Z90" s="91">
        <f>IF(24&lt;='I_Inputs &amp; Assumptions'!$B$8,IF('I_Budget Input Data'!$E$90="Upfront",IF(24=1,'I_Budget Input Data'!$D$90,0),IF('I_Budget Input Data'!$E$90="Equal",'I_Budget Input Data'!$D$90/'I_Inputs &amp; Assumptions'!$B$8,IF('I_Budget Input Data'!$E$90="Front-loaded",IF(24&lt;='I_Inputs &amp; Assumptions'!$B$8/2,'I_Budget Input Data'!$D$90*0.6/('I_Inputs &amp; Assumptions'!$B$8/2),'I_Budget Input Data'!$D$90*0.4/('I_Inputs &amp; Assumptions'!$B$8/2)),IF('I_Budget Input Data'!$E$90="Back-loaded",IF(24&lt;='I_Inputs &amp; Assumptions'!$B$8/2,'I_Budget Input Data'!$D$90*0.4/('I_Inputs &amp; Assumptions'!$B$8/2),'I_Budget Input Data'!$D$90*0.6/('I_Inputs &amp; Assumptions'!$B$8/2)),IF('I_Budget Input Data'!$E$90="Mid-weighted",IF(24&lt;='I_Inputs &amp; Assumptions'!$B$8/4,'I_Budget Input Data'!$D$90*0.2/('I_Inputs &amp; Assumptions'!$B$8/4),IF(24&lt;='I_Inputs &amp; Assumptions'!$B$8*0.75,'I_Budget Input Data'!$D$90*0.6/('I_Inputs &amp; Assumptions'!$B$8/2),'I_Budget Input Data'!$D$90*0.2/('I_Inputs &amp; Assumptions'!$B$8/4))),IF('I_Budget Input Data'!$E$90="At Completion",IF(24='I_Inputs &amp; Assumptions'!$B$8,'I_Budget Input Data'!$D$90,0),'I_Budget Input Data'!$D$90/'I_Inputs &amp; Assumptions'!$B$8)))))),0)</f>
        <v>0</v>
      </c>
      <c r="AA90" s="91">
        <f>IF(25&lt;='I_Inputs &amp; Assumptions'!$B$8,IF('I_Budget Input Data'!$E$90="Upfront",IF(25=1,'I_Budget Input Data'!$D$90,0),IF('I_Budget Input Data'!$E$90="Equal",'I_Budget Input Data'!$D$90/'I_Inputs &amp; Assumptions'!$B$8,IF('I_Budget Input Data'!$E$90="Front-loaded",IF(25&lt;='I_Inputs &amp; Assumptions'!$B$8/2,'I_Budget Input Data'!$D$90*0.6/('I_Inputs &amp; Assumptions'!$B$8/2),'I_Budget Input Data'!$D$90*0.4/('I_Inputs &amp; Assumptions'!$B$8/2)),IF('I_Budget Input Data'!$E$90="Back-loaded",IF(25&lt;='I_Inputs &amp; Assumptions'!$B$8/2,'I_Budget Input Data'!$D$90*0.4/('I_Inputs &amp; Assumptions'!$B$8/2),'I_Budget Input Data'!$D$90*0.6/('I_Inputs &amp; Assumptions'!$B$8/2)),IF('I_Budget Input Data'!$E$90="Mid-weighted",IF(25&lt;='I_Inputs &amp; Assumptions'!$B$8/4,'I_Budget Input Data'!$D$90*0.2/('I_Inputs &amp; Assumptions'!$B$8/4),IF(25&lt;='I_Inputs &amp; Assumptions'!$B$8*0.75,'I_Budget Input Data'!$D$90*0.6/('I_Inputs &amp; Assumptions'!$B$8/2),'I_Budget Input Data'!$D$90*0.2/('I_Inputs &amp; Assumptions'!$B$8/4))),IF('I_Budget Input Data'!$E$90="At Completion",IF(25='I_Inputs &amp; Assumptions'!$B$8,'I_Budget Input Data'!$D$90,0),'I_Budget Input Data'!$D$90/'I_Inputs &amp; Assumptions'!$B$8)))))),0)</f>
        <v>0</v>
      </c>
      <c r="AB90" s="91">
        <f>IF(26&lt;='I_Inputs &amp; Assumptions'!$B$8,IF('I_Budget Input Data'!$E$90="Upfront",IF(26=1,'I_Budget Input Data'!$D$90,0),IF('I_Budget Input Data'!$E$90="Equal",'I_Budget Input Data'!$D$90/'I_Inputs &amp; Assumptions'!$B$8,IF('I_Budget Input Data'!$E$90="Front-loaded",IF(26&lt;='I_Inputs &amp; Assumptions'!$B$8/2,'I_Budget Input Data'!$D$90*0.6/('I_Inputs &amp; Assumptions'!$B$8/2),'I_Budget Input Data'!$D$90*0.4/('I_Inputs &amp; Assumptions'!$B$8/2)),IF('I_Budget Input Data'!$E$90="Back-loaded",IF(26&lt;='I_Inputs &amp; Assumptions'!$B$8/2,'I_Budget Input Data'!$D$90*0.4/('I_Inputs &amp; Assumptions'!$B$8/2),'I_Budget Input Data'!$D$90*0.6/('I_Inputs &amp; Assumptions'!$B$8/2)),IF('I_Budget Input Data'!$E$90="Mid-weighted",IF(26&lt;='I_Inputs &amp; Assumptions'!$B$8/4,'I_Budget Input Data'!$D$90*0.2/('I_Inputs &amp; Assumptions'!$B$8/4),IF(26&lt;='I_Inputs &amp; Assumptions'!$B$8*0.75,'I_Budget Input Data'!$D$90*0.6/('I_Inputs &amp; Assumptions'!$B$8/2),'I_Budget Input Data'!$D$90*0.2/('I_Inputs &amp; Assumptions'!$B$8/4))),IF('I_Budget Input Data'!$E$90="At Completion",IF(26='I_Inputs &amp; Assumptions'!$B$8,'I_Budget Input Data'!$D$90,0),'I_Budget Input Data'!$D$90/'I_Inputs &amp; Assumptions'!$B$8)))))),0)</f>
        <v>0</v>
      </c>
      <c r="AC90" s="91">
        <f>IF(27&lt;='I_Inputs &amp; Assumptions'!$B$8,IF('I_Budget Input Data'!$E$90="Upfront",IF(27=1,'I_Budget Input Data'!$D$90,0),IF('I_Budget Input Data'!$E$90="Equal",'I_Budget Input Data'!$D$90/'I_Inputs &amp; Assumptions'!$B$8,IF('I_Budget Input Data'!$E$90="Front-loaded",IF(27&lt;='I_Inputs &amp; Assumptions'!$B$8/2,'I_Budget Input Data'!$D$90*0.6/('I_Inputs &amp; Assumptions'!$B$8/2),'I_Budget Input Data'!$D$90*0.4/('I_Inputs &amp; Assumptions'!$B$8/2)),IF('I_Budget Input Data'!$E$90="Back-loaded",IF(27&lt;='I_Inputs &amp; Assumptions'!$B$8/2,'I_Budget Input Data'!$D$90*0.4/('I_Inputs &amp; Assumptions'!$B$8/2),'I_Budget Input Data'!$D$90*0.6/('I_Inputs &amp; Assumptions'!$B$8/2)),IF('I_Budget Input Data'!$E$90="Mid-weighted",IF(27&lt;='I_Inputs &amp; Assumptions'!$B$8/4,'I_Budget Input Data'!$D$90*0.2/('I_Inputs &amp; Assumptions'!$B$8/4),IF(27&lt;='I_Inputs &amp; Assumptions'!$B$8*0.75,'I_Budget Input Data'!$D$90*0.6/('I_Inputs &amp; Assumptions'!$B$8/2),'I_Budget Input Data'!$D$90*0.2/('I_Inputs &amp; Assumptions'!$B$8/4))),IF('I_Budget Input Data'!$E$90="At Completion",IF(27='I_Inputs &amp; Assumptions'!$B$8,'I_Budget Input Data'!$D$90,0),'I_Budget Input Data'!$D$90/'I_Inputs &amp; Assumptions'!$B$8)))))),0)</f>
        <v>0</v>
      </c>
      <c r="AD90" s="91">
        <f>IF(28&lt;='I_Inputs &amp; Assumptions'!$B$8,IF('I_Budget Input Data'!$E$90="Upfront",IF(28=1,'I_Budget Input Data'!$D$90,0),IF('I_Budget Input Data'!$E$90="Equal",'I_Budget Input Data'!$D$90/'I_Inputs &amp; Assumptions'!$B$8,IF('I_Budget Input Data'!$E$90="Front-loaded",IF(28&lt;='I_Inputs &amp; Assumptions'!$B$8/2,'I_Budget Input Data'!$D$90*0.6/('I_Inputs &amp; Assumptions'!$B$8/2),'I_Budget Input Data'!$D$90*0.4/('I_Inputs &amp; Assumptions'!$B$8/2)),IF('I_Budget Input Data'!$E$90="Back-loaded",IF(28&lt;='I_Inputs &amp; Assumptions'!$B$8/2,'I_Budget Input Data'!$D$90*0.4/('I_Inputs &amp; Assumptions'!$B$8/2),'I_Budget Input Data'!$D$90*0.6/('I_Inputs &amp; Assumptions'!$B$8/2)),IF('I_Budget Input Data'!$E$90="Mid-weighted",IF(28&lt;='I_Inputs &amp; Assumptions'!$B$8/4,'I_Budget Input Data'!$D$90*0.2/('I_Inputs &amp; Assumptions'!$B$8/4),IF(28&lt;='I_Inputs &amp; Assumptions'!$B$8*0.75,'I_Budget Input Data'!$D$90*0.6/('I_Inputs &amp; Assumptions'!$B$8/2),'I_Budget Input Data'!$D$90*0.2/('I_Inputs &amp; Assumptions'!$B$8/4))),IF('I_Budget Input Data'!$E$90="At Completion",IF(28='I_Inputs &amp; Assumptions'!$B$8,'I_Budget Input Data'!$D$90,0),'I_Budget Input Data'!$D$90/'I_Inputs &amp; Assumptions'!$B$8)))))),0)</f>
        <v>0</v>
      </c>
      <c r="AE90" s="91">
        <f>IF(29&lt;='I_Inputs &amp; Assumptions'!$B$8,IF('I_Budget Input Data'!$E$90="Upfront",IF(29=1,'I_Budget Input Data'!$D$90,0),IF('I_Budget Input Data'!$E$90="Equal",'I_Budget Input Data'!$D$90/'I_Inputs &amp; Assumptions'!$B$8,IF('I_Budget Input Data'!$E$90="Front-loaded",IF(29&lt;='I_Inputs &amp; Assumptions'!$B$8/2,'I_Budget Input Data'!$D$90*0.6/('I_Inputs &amp; Assumptions'!$B$8/2),'I_Budget Input Data'!$D$90*0.4/('I_Inputs &amp; Assumptions'!$B$8/2)),IF('I_Budget Input Data'!$E$90="Back-loaded",IF(29&lt;='I_Inputs &amp; Assumptions'!$B$8/2,'I_Budget Input Data'!$D$90*0.4/('I_Inputs &amp; Assumptions'!$B$8/2),'I_Budget Input Data'!$D$90*0.6/('I_Inputs &amp; Assumptions'!$B$8/2)),IF('I_Budget Input Data'!$E$90="Mid-weighted",IF(29&lt;='I_Inputs &amp; Assumptions'!$B$8/4,'I_Budget Input Data'!$D$90*0.2/('I_Inputs &amp; Assumptions'!$B$8/4),IF(29&lt;='I_Inputs &amp; Assumptions'!$B$8*0.75,'I_Budget Input Data'!$D$90*0.6/('I_Inputs &amp; Assumptions'!$B$8/2),'I_Budget Input Data'!$D$90*0.2/('I_Inputs &amp; Assumptions'!$B$8/4))),IF('I_Budget Input Data'!$E$90="At Completion",IF(29='I_Inputs &amp; Assumptions'!$B$8,'I_Budget Input Data'!$D$90,0),'I_Budget Input Data'!$D$90/'I_Inputs &amp; Assumptions'!$B$8)))))),0)</f>
        <v>0</v>
      </c>
      <c r="AF90" s="91">
        <f>IF(30&lt;='I_Inputs &amp; Assumptions'!$B$8,IF('I_Budget Input Data'!$E$90="Upfront",IF(30=1,'I_Budget Input Data'!$D$90,0),IF('I_Budget Input Data'!$E$90="Equal",'I_Budget Input Data'!$D$90/'I_Inputs &amp; Assumptions'!$B$8,IF('I_Budget Input Data'!$E$90="Front-loaded",IF(30&lt;='I_Inputs &amp; Assumptions'!$B$8/2,'I_Budget Input Data'!$D$90*0.6/('I_Inputs &amp; Assumptions'!$B$8/2),'I_Budget Input Data'!$D$90*0.4/('I_Inputs &amp; Assumptions'!$B$8/2)),IF('I_Budget Input Data'!$E$90="Back-loaded",IF(30&lt;='I_Inputs &amp; Assumptions'!$B$8/2,'I_Budget Input Data'!$D$90*0.4/('I_Inputs &amp; Assumptions'!$B$8/2),'I_Budget Input Data'!$D$90*0.6/('I_Inputs &amp; Assumptions'!$B$8/2)),IF('I_Budget Input Data'!$E$90="Mid-weighted",IF(30&lt;='I_Inputs &amp; Assumptions'!$B$8/4,'I_Budget Input Data'!$D$90*0.2/('I_Inputs &amp; Assumptions'!$B$8/4),IF(30&lt;='I_Inputs &amp; Assumptions'!$B$8*0.75,'I_Budget Input Data'!$D$90*0.6/('I_Inputs &amp; Assumptions'!$B$8/2),'I_Budget Input Data'!$D$90*0.2/('I_Inputs &amp; Assumptions'!$B$8/4))),IF('I_Budget Input Data'!$E$90="At Completion",IF(30='I_Inputs &amp; Assumptions'!$B$8,'I_Budget Input Data'!$D$90,0),'I_Budget Input Data'!$D$90/'I_Inputs &amp; Assumptions'!$B$8)))))),0)</f>
        <v>0</v>
      </c>
      <c r="AG90" s="91">
        <f>IF(31&lt;='I_Inputs &amp; Assumptions'!$B$8,IF('I_Budget Input Data'!$E$90="Upfront",IF(31=1,'I_Budget Input Data'!$D$90,0),IF('I_Budget Input Data'!$E$90="Equal",'I_Budget Input Data'!$D$90/'I_Inputs &amp; Assumptions'!$B$8,IF('I_Budget Input Data'!$E$90="Front-loaded",IF(31&lt;='I_Inputs &amp; Assumptions'!$B$8/2,'I_Budget Input Data'!$D$90*0.6/('I_Inputs &amp; Assumptions'!$B$8/2),'I_Budget Input Data'!$D$90*0.4/('I_Inputs &amp; Assumptions'!$B$8/2)),IF('I_Budget Input Data'!$E$90="Back-loaded",IF(31&lt;='I_Inputs &amp; Assumptions'!$B$8/2,'I_Budget Input Data'!$D$90*0.4/('I_Inputs &amp; Assumptions'!$B$8/2),'I_Budget Input Data'!$D$90*0.6/('I_Inputs &amp; Assumptions'!$B$8/2)),IF('I_Budget Input Data'!$E$90="Mid-weighted",IF(31&lt;='I_Inputs &amp; Assumptions'!$B$8/4,'I_Budget Input Data'!$D$90*0.2/('I_Inputs &amp; Assumptions'!$B$8/4),IF(31&lt;='I_Inputs &amp; Assumptions'!$B$8*0.75,'I_Budget Input Data'!$D$90*0.6/('I_Inputs &amp; Assumptions'!$B$8/2),'I_Budget Input Data'!$D$90*0.2/('I_Inputs &amp; Assumptions'!$B$8/4))),IF('I_Budget Input Data'!$E$90="At Completion",IF(31='I_Inputs &amp; Assumptions'!$B$8,'I_Budget Input Data'!$D$90,0),'I_Budget Input Data'!$D$90/'I_Inputs &amp; Assumptions'!$B$8)))))),0)</f>
        <v>0</v>
      </c>
      <c r="AH90" s="91">
        <f>IF(32&lt;='I_Inputs &amp; Assumptions'!$B$8,IF('I_Budget Input Data'!$E$90="Upfront",IF(32=1,'I_Budget Input Data'!$D$90,0),IF('I_Budget Input Data'!$E$90="Equal",'I_Budget Input Data'!$D$90/'I_Inputs &amp; Assumptions'!$B$8,IF('I_Budget Input Data'!$E$90="Front-loaded",IF(32&lt;='I_Inputs &amp; Assumptions'!$B$8/2,'I_Budget Input Data'!$D$90*0.6/('I_Inputs &amp; Assumptions'!$B$8/2),'I_Budget Input Data'!$D$90*0.4/('I_Inputs &amp; Assumptions'!$B$8/2)),IF('I_Budget Input Data'!$E$90="Back-loaded",IF(32&lt;='I_Inputs &amp; Assumptions'!$B$8/2,'I_Budget Input Data'!$D$90*0.4/('I_Inputs &amp; Assumptions'!$B$8/2),'I_Budget Input Data'!$D$90*0.6/('I_Inputs &amp; Assumptions'!$B$8/2)),IF('I_Budget Input Data'!$E$90="Mid-weighted",IF(32&lt;='I_Inputs &amp; Assumptions'!$B$8/4,'I_Budget Input Data'!$D$90*0.2/('I_Inputs &amp; Assumptions'!$B$8/4),IF(32&lt;='I_Inputs &amp; Assumptions'!$B$8*0.75,'I_Budget Input Data'!$D$90*0.6/('I_Inputs &amp; Assumptions'!$B$8/2),'I_Budget Input Data'!$D$90*0.2/('I_Inputs &amp; Assumptions'!$B$8/4))),IF('I_Budget Input Data'!$E$90="At Completion",IF(32='I_Inputs &amp; Assumptions'!$B$8,'I_Budget Input Data'!$D$90,0),'I_Budget Input Data'!$D$90/'I_Inputs &amp; Assumptions'!$B$8)))))),0)</f>
        <v>0</v>
      </c>
      <c r="AI90" s="91">
        <f>IF(33&lt;='I_Inputs &amp; Assumptions'!$B$8,IF('I_Budget Input Data'!$E$90="Upfront",IF(33=1,'I_Budget Input Data'!$D$90,0),IF('I_Budget Input Data'!$E$90="Equal",'I_Budget Input Data'!$D$90/'I_Inputs &amp; Assumptions'!$B$8,IF('I_Budget Input Data'!$E$90="Front-loaded",IF(33&lt;='I_Inputs &amp; Assumptions'!$B$8/2,'I_Budget Input Data'!$D$90*0.6/('I_Inputs &amp; Assumptions'!$B$8/2),'I_Budget Input Data'!$D$90*0.4/('I_Inputs &amp; Assumptions'!$B$8/2)),IF('I_Budget Input Data'!$E$90="Back-loaded",IF(33&lt;='I_Inputs &amp; Assumptions'!$B$8/2,'I_Budget Input Data'!$D$90*0.4/('I_Inputs &amp; Assumptions'!$B$8/2),'I_Budget Input Data'!$D$90*0.6/('I_Inputs &amp; Assumptions'!$B$8/2)),IF('I_Budget Input Data'!$E$90="Mid-weighted",IF(33&lt;='I_Inputs &amp; Assumptions'!$B$8/4,'I_Budget Input Data'!$D$90*0.2/('I_Inputs &amp; Assumptions'!$B$8/4),IF(33&lt;='I_Inputs &amp; Assumptions'!$B$8*0.75,'I_Budget Input Data'!$D$90*0.6/('I_Inputs &amp; Assumptions'!$B$8/2),'I_Budget Input Data'!$D$90*0.2/('I_Inputs &amp; Assumptions'!$B$8/4))),IF('I_Budget Input Data'!$E$90="At Completion",IF(33='I_Inputs &amp; Assumptions'!$B$8,'I_Budget Input Data'!$D$90,0),'I_Budget Input Data'!$D$90/'I_Inputs &amp; Assumptions'!$B$8)))))),0)</f>
        <v>0</v>
      </c>
      <c r="AJ90" s="91">
        <f>IF(34&lt;='I_Inputs &amp; Assumptions'!$B$8,IF('I_Budget Input Data'!$E$90="Upfront",IF(34=1,'I_Budget Input Data'!$D$90,0),IF('I_Budget Input Data'!$E$90="Equal",'I_Budget Input Data'!$D$90/'I_Inputs &amp; Assumptions'!$B$8,IF('I_Budget Input Data'!$E$90="Front-loaded",IF(34&lt;='I_Inputs &amp; Assumptions'!$B$8/2,'I_Budget Input Data'!$D$90*0.6/('I_Inputs &amp; Assumptions'!$B$8/2),'I_Budget Input Data'!$D$90*0.4/('I_Inputs &amp; Assumptions'!$B$8/2)),IF('I_Budget Input Data'!$E$90="Back-loaded",IF(34&lt;='I_Inputs &amp; Assumptions'!$B$8/2,'I_Budget Input Data'!$D$90*0.4/('I_Inputs &amp; Assumptions'!$B$8/2),'I_Budget Input Data'!$D$90*0.6/('I_Inputs &amp; Assumptions'!$B$8/2)),IF('I_Budget Input Data'!$E$90="Mid-weighted",IF(34&lt;='I_Inputs &amp; Assumptions'!$B$8/4,'I_Budget Input Data'!$D$90*0.2/('I_Inputs &amp; Assumptions'!$B$8/4),IF(34&lt;='I_Inputs &amp; Assumptions'!$B$8*0.75,'I_Budget Input Data'!$D$90*0.6/('I_Inputs &amp; Assumptions'!$B$8/2),'I_Budget Input Data'!$D$90*0.2/('I_Inputs &amp; Assumptions'!$B$8/4))),IF('I_Budget Input Data'!$E$90="At Completion",IF(34='I_Inputs &amp; Assumptions'!$B$8,'I_Budget Input Data'!$D$90,0),'I_Budget Input Data'!$D$90/'I_Inputs &amp; Assumptions'!$B$8)))))),0)</f>
        <v>0</v>
      </c>
      <c r="AK90" s="91">
        <f>IF(35&lt;='I_Inputs &amp; Assumptions'!$B$8,IF('I_Budget Input Data'!$E$90="Upfront",IF(35=1,'I_Budget Input Data'!$D$90,0),IF('I_Budget Input Data'!$E$90="Equal",'I_Budget Input Data'!$D$90/'I_Inputs &amp; Assumptions'!$B$8,IF('I_Budget Input Data'!$E$90="Front-loaded",IF(35&lt;='I_Inputs &amp; Assumptions'!$B$8/2,'I_Budget Input Data'!$D$90*0.6/('I_Inputs &amp; Assumptions'!$B$8/2),'I_Budget Input Data'!$D$90*0.4/('I_Inputs &amp; Assumptions'!$B$8/2)),IF('I_Budget Input Data'!$E$90="Back-loaded",IF(35&lt;='I_Inputs &amp; Assumptions'!$B$8/2,'I_Budget Input Data'!$D$90*0.4/('I_Inputs &amp; Assumptions'!$B$8/2),'I_Budget Input Data'!$D$90*0.6/('I_Inputs &amp; Assumptions'!$B$8/2)),IF('I_Budget Input Data'!$E$90="Mid-weighted",IF(35&lt;='I_Inputs &amp; Assumptions'!$B$8/4,'I_Budget Input Data'!$D$90*0.2/('I_Inputs &amp; Assumptions'!$B$8/4),IF(35&lt;='I_Inputs &amp; Assumptions'!$B$8*0.75,'I_Budget Input Data'!$D$90*0.6/('I_Inputs &amp; Assumptions'!$B$8/2),'I_Budget Input Data'!$D$90*0.2/('I_Inputs &amp; Assumptions'!$B$8/4))),IF('I_Budget Input Data'!$E$90="At Completion",IF(35='I_Inputs &amp; Assumptions'!$B$8,'I_Budget Input Data'!$D$90,0),'I_Budget Input Data'!$D$90/'I_Inputs &amp; Assumptions'!$B$8)))))),0)</f>
        <v>0</v>
      </c>
      <c r="AL90" s="91">
        <f>IF(36&lt;='I_Inputs &amp; Assumptions'!$B$8,IF('I_Budget Input Data'!$E$90="Upfront",IF(36=1,'I_Budget Input Data'!$D$90,0),IF('I_Budget Input Data'!$E$90="Equal",'I_Budget Input Data'!$D$90/'I_Inputs &amp; Assumptions'!$B$8,IF('I_Budget Input Data'!$E$90="Front-loaded",IF(36&lt;='I_Inputs &amp; Assumptions'!$B$8/2,'I_Budget Input Data'!$D$90*0.6/('I_Inputs &amp; Assumptions'!$B$8/2),'I_Budget Input Data'!$D$90*0.4/('I_Inputs &amp; Assumptions'!$B$8/2)),IF('I_Budget Input Data'!$E$90="Back-loaded",IF(36&lt;='I_Inputs &amp; Assumptions'!$B$8/2,'I_Budget Input Data'!$D$90*0.4/('I_Inputs &amp; Assumptions'!$B$8/2),'I_Budget Input Data'!$D$90*0.6/('I_Inputs &amp; Assumptions'!$B$8/2)),IF('I_Budget Input Data'!$E$90="Mid-weighted",IF(36&lt;='I_Inputs &amp; Assumptions'!$B$8/4,'I_Budget Input Data'!$D$90*0.2/('I_Inputs &amp; Assumptions'!$B$8/4),IF(36&lt;='I_Inputs &amp; Assumptions'!$B$8*0.75,'I_Budget Input Data'!$D$90*0.6/('I_Inputs &amp; Assumptions'!$B$8/2),'I_Budget Input Data'!$D$90*0.2/('I_Inputs &amp; Assumptions'!$B$8/4))),IF('I_Budget Input Data'!$E$90="At Completion",IF(36='I_Inputs &amp; Assumptions'!$B$8,'I_Budget Input Data'!$D$90,0),'I_Budget Input Data'!$D$90/'I_Inputs &amp; Assumptions'!$B$8)))))),0)</f>
        <v>0</v>
      </c>
    </row>
    <row r="91" spans="1:38" ht="15" customHeight="1" x14ac:dyDescent="0.2">
      <c r="A91" t="s">
        <v>146</v>
      </c>
      <c r="B91" t="s">
        <v>210</v>
      </c>
      <c r="C91" s="91">
        <f>IF(1&lt;='I_Inputs &amp; Assumptions'!$B$8,IF('I_Budget Input Data'!$E$91="Upfront",IF(1=1,'I_Budget Input Data'!$D$91,0),IF('I_Budget Input Data'!$E$91="Equal",'I_Budget Input Data'!$D$91/'I_Inputs &amp; Assumptions'!$B$8,IF('I_Budget Input Data'!$E$91="Front-loaded",IF(1&lt;='I_Inputs &amp; Assumptions'!$B$8/2,'I_Budget Input Data'!$D$91*0.6/('I_Inputs &amp; Assumptions'!$B$8/2),'I_Budget Input Data'!$D$91*0.4/('I_Inputs &amp; Assumptions'!$B$8/2)),IF('I_Budget Input Data'!$E$91="Back-loaded",IF(1&lt;='I_Inputs &amp; Assumptions'!$B$8/2,'I_Budget Input Data'!$D$91*0.4/('I_Inputs &amp; Assumptions'!$B$8/2),'I_Budget Input Data'!$D$91*0.6/('I_Inputs &amp; Assumptions'!$B$8/2)),IF('I_Budget Input Data'!$E$91="Mid-weighted",IF(1&lt;='I_Inputs &amp; Assumptions'!$B$8/4,'I_Budget Input Data'!$D$91*0.2/('I_Inputs &amp; Assumptions'!$B$8/4),IF(1&lt;='I_Inputs &amp; Assumptions'!$B$8*0.75,'I_Budget Input Data'!$D$91*0.6/('I_Inputs &amp; Assumptions'!$B$8/2),'I_Budget Input Data'!$D$91*0.2/('I_Inputs &amp; Assumptions'!$B$8/4))),IF('I_Budget Input Data'!$E$91="At Completion",IF(1='I_Inputs &amp; Assumptions'!$B$8,'I_Budget Input Data'!$D$91,0),'I_Budget Input Data'!$D$91/'I_Inputs &amp; Assumptions'!$B$8)))))),0)</f>
        <v>51978.584615384621</v>
      </c>
      <c r="D91" s="91">
        <f>IF(2&lt;='I_Inputs &amp; Assumptions'!$B$8,IF('I_Budget Input Data'!$E$91="Upfront",IF(2=1,'I_Budget Input Data'!$D$91,0),IF('I_Budget Input Data'!$E$91="Equal",'I_Budget Input Data'!$D$91/'I_Inputs &amp; Assumptions'!$B$8,IF('I_Budget Input Data'!$E$91="Front-loaded",IF(2&lt;='I_Inputs &amp; Assumptions'!$B$8/2,'I_Budget Input Data'!$D$91*0.6/('I_Inputs &amp; Assumptions'!$B$8/2),'I_Budget Input Data'!$D$91*0.4/('I_Inputs &amp; Assumptions'!$B$8/2)),IF('I_Budget Input Data'!$E$91="Back-loaded",IF(2&lt;='I_Inputs &amp; Assumptions'!$B$8/2,'I_Budget Input Data'!$D$91*0.4/('I_Inputs &amp; Assumptions'!$B$8/2),'I_Budget Input Data'!$D$91*0.6/('I_Inputs &amp; Assumptions'!$B$8/2)),IF('I_Budget Input Data'!$E$91="Mid-weighted",IF(2&lt;='I_Inputs &amp; Assumptions'!$B$8/4,'I_Budget Input Data'!$D$91*0.2/('I_Inputs &amp; Assumptions'!$B$8/4),IF(2&lt;='I_Inputs &amp; Assumptions'!$B$8*0.75,'I_Budget Input Data'!$D$91*0.6/('I_Inputs &amp; Assumptions'!$B$8/2),'I_Budget Input Data'!$D$91*0.2/('I_Inputs &amp; Assumptions'!$B$8/4))),IF('I_Budget Input Data'!$E$91="At Completion",IF(2='I_Inputs &amp; Assumptions'!$B$8,'I_Budget Input Data'!$D$91,0),'I_Budget Input Data'!$D$91/'I_Inputs &amp; Assumptions'!$B$8)))))),0)</f>
        <v>51978.584615384621</v>
      </c>
      <c r="E91" s="91">
        <f>IF(3&lt;='I_Inputs &amp; Assumptions'!$B$8,IF('I_Budget Input Data'!$E$91="Upfront",IF(3=1,'I_Budget Input Data'!$D$91,0),IF('I_Budget Input Data'!$E$91="Equal",'I_Budget Input Data'!$D$91/'I_Inputs &amp; Assumptions'!$B$8,IF('I_Budget Input Data'!$E$91="Front-loaded",IF(3&lt;='I_Inputs &amp; Assumptions'!$B$8/2,'I_Budget Input Data'!$D$91*0.6/('I_Inputs &amp; Assumptions'!$B$8/2),'I_Budget Input Data'!$D$91*0.4/('I_Inputs &amp; Assumptions'!$B$8/2)),IF('I_Budget Input Data'!$E$91="Back-loaded",IF(3&lt;='I_Inputs &amp; Assumptions'!$B$8/2,'I_Budget Input Data'!$D$91*0.4/('I_Inputs &amp; Assumptions'!$B$8/2),'I_Budget Input Data'!$D$91*0.6/('I_Inputs &amp; Assumptions'!$B$8/2)),IF('I_Budget Input Data'!$E$91="Mid-weighted",IF(3&lt;='I_Inputs &amp; Assumptions'!$B$8/4,'I_Budget Input Data'!$D$91*0.2/('I_Inputs &amp; Assumptions'!$B$8/4),IF(3&lt;='I_Inputs &amp; Assumptions'!$B$8*0.75,'I_Budget Input Data'!$D$91*0.6/('I_Inputs &amp; Assumptions'!$B$8/2),'I_Budget Input Data'!$D$91*0.2/('I_Inputs &amp; Assumptions'!$B$8/4))),IF('I_Budget Input Data'!$E$91="At Completion",IF(3='I_Inputs &amp; Assumptions'!$B$8,'I_Budget Input Data'!$D$91,0),'I_Budget Input Data'!$D$91/'I_Inputs &amp; Assumptions'!$B$8)))))),0)</f>
        <v>51978.584615384621</v>
      </c>
      <c r="F91" s="91">
        <f>IF(4&lt;='I_Inputs &amp; Assumptions'!$B$8,IF('I_Budget Input Data'!$E$91="Upfront",IF(4=1,'I_Budget Input Data'!$D$91,0),IF('I_Budget Input Data'!$E$91="Equal",'I_Budget Input Data'!$D$91/'I_Inputs &amp; Assumptions'!$B$8,IF('I_Budget Input Data'!$E$91="Front-loaded",IF(4&lt;='I_Inputs &amp; Assumptions'!$B$8/2,'I_Budget Input Data'!$D$91*0.6/('I_Inputs &amp; Assumptions'!$B$8/2),'I_Budget Input Data'!$D$91*0.4/('I_Inputs &amp; Assumptions'!$B$8/2)),IF('I_Budget Input Data'!$E$91="Back-loaded",IF(4&lt;='I_Inputs &amp; Assumptions'!$B$8/2,'I_Budget Input Data'!$D$91*0.4/('I_Inputs &amp; Assumptions'!$B$8/2),'I_Budget Input Data'!$D$91*0.6/('I_Inputs &amp; Assumptions'!$B$8/2)),IF('I_Budget Input Data'!$E$91="Mid-weighted",IF(4&lt;='I_Inputs &amp; Assumptions'!$B$8/4,'I_Budget Input Data'!$D$91*0.2/('I_Inputs &amp; Assumptions'!$B$8/4),IF(4&lt;='I_Inputs &amp; Assumptions'!$B$8*0.75,'I_Budget Input Data'!$D$91*0.6/('I_Inputs &amp; Assumptions'!$B$8/2),'I_Budget Input Data'!$D$91*0.2/('I_Inputs &amp; Assumptions'!$B$8/4))),IF('I_Budget Input Data'!$E$91="At Completion",IF(4='I_Inputs &amp; Assumptions'!$B$8,'I_Budget Input Data'!$D$91,0),'I_Budget Input Data'!$D$91/'I_Inputs &amp; Assumptions'!$B$8)))))),0)</f>
        <v>51978.584615384621</v>
      </c>
      <c r="G91" s="91">
        <f>IF(5&lt;='I_Inputs &amp; Assumptions'!$B$8,IF('I_Budget Input Data'!$E$91="Upfront",IF(5=1,'I_Budget Input Data'!$D$91,0),IF('I_Budget Input Data'!$E$91="Equal",'I_Budget Input Data'!$D$91/'I_Inputs &amp; Assumptions'!$B$8,IF('I_Budget Input Data'!$E$91="Front-loaded",IF(5&lt;='I_Inputs &amp; Assumptions'!$B$8/2,'I_Budget Input Data'!$D$91*0.6/('I_Inputs &amp; Assumptions'!$B$8/2),'I_Budget Input Data'!$D$91*0.4/('I_Inputs &amp; Assumptions'!$B$8/2)),IF('I_Budget Input Data'!$E$91="Back-loaded",IF(5&lt;='I_Inputs &amp; Assumptions'!$B$8/2,'I_Budget Input Data'!$D$91*0.4/('I_Inputs &amp; Assumptions'!$B$8/2),'I_Budget Input Data'!$D$91*0.6/('I_Inputs &amp; Assumptions'!$B$8/2)),IF('I_Budget Input Data'!$E$91="Mid-weighted",IF(5&lt;='I_Inputs &amp; Assumptions'!$B$8/4,'I_Budget Input Data'!$D$91*0.2/('I_Inputs &amp; Assumptions'!$B$8/4),IF(5&lt;='I_Inputs &amp; Assumptions'!$B$8*0.75,'I_Budget Input Data'!$D$91*0.6/('I_Inputs &amp; Assumptions'!$B$8/2),'I_Budget Input Data'!$D$91*0.2/('I_Inputs &amp; Assumptions'!$B$8/4))),IF('I_Budget Input Data'!$E$91="At Completion",IF(5='I_Inputs &amp; Assumptions'!$B$8,'I_Budget Input Data'!$D$91,0),'I_Budget Input Data'!$D$91/'I_Inputs &amp; Assumptions'!$B$8)))))),0)</f>
        <v>51978.584615384621</v>
      </c>
      <c r="H91" s="91">
        <f>IF(6&lt;='I_Inputs &amp; Assumptions'!$B$8,IF('I_Budget Input Data'!$E$91="Upfront",IF(6=1,'I_Budget Input Data'!$D$91,0),IF('I_Budget Input Data'!$E$91="Equal",'I_Budget Input Data'!$D$91/'I_Inputs &amp; Assumptions'!$B$8,IF('I_Budget Input Data'!$E$91="Front-loaded",IF(6&lt;='I_Inputs &amp; Assumptions'!$B$8/2,'I_Budget Input Data'!$D$91*0.6/('I_Inputs &amp; Assumptions'!$B$8/2),'I_Budget Input Data'!$D$91*0.4/('I_Inputs &amp; Assumptions'!$B$8/2)),IF('I_Budget Input Data'!$E$91="Back-loaded",IF(6&lt;='I_Inputs &amp; Assumptions'!$B$8/2,'I_Budget Input Data'!$D$91*0.4/('I_Inputs &amp; Assumptions'!$B$8/2),'I_Budget Input Data'!$D$91*0.6/('I_Inputs &amp; Assumptions'!$B$8/2)),IF('I_Budget Input Data'!$E$91="Mid-weighted",IF(6&lt;='I_Inputs &amp; Assumptions'!$B$8/4,'I_Budget Input Data'!$D$91*0.2/('I_Inputs &amp; Assumptions'!$B$8/4),IF(6&lt;='I_Inputs &amp; Assumptions'!$B$8*0.75,'I_Budget Input Data'!$D$91*0.6/('I_Inputs &amp; Assumptions'!$B$8/2),'I_Budget Input Data'!$D$91*0.2/('I_Inputs &amp; Assumptions'!$B$8/4))),IF('I_Budget Input Data'!$E$91="At Completion",IF(6='I_Inputs &amp; Assumptions'!$B$8,'I_Budget Input Data'!$D$91,0),'I_Budget Input Data'!$D$91/'I_Inputs &amp; Assumptions'!$B$8)))))),0)</f>
        <v>51978.584615384621</v>
      </c>
      <c r="I91" s="91">
        <f>IF(7&lt;='I_Inputs &amp; Assumptions'!$B$8,IF('I_Budget Input Data'!$E$91="Upfront",IF(7=1,'I_Budget Input Data'!$D$91,0),IF('I_Budget Input Data'!$E$91="Equal",'I_Budget Input Data'!$D$91/'I_Inputs &amp; Assumptions'!$B$8,IF('I_Budget Input Data'!$E$91="Front-loaded",IF(7&lt;='I_Inputs &amp; Assumptions'!$B$8/2,'I_Budget Input Data'!$D$91*0.6/('I_Inputs &amp; Assumptions'!$B$8/2),'I_Budget Input Data'!$D$91*0.4/('I_Inputs &amp; Assumptions'!$B$8/2)),IF('I_Budget Input Data'!$E$91="Back-loaded",IF(7&lt;='I_Inputs &amp; Assumptions'!$B$8/2,'I_Budget Input Data'!$D$91*0.4/('I_Inputs &amp; Assumptions'!$B$8/2),'I_Budget Input Data'!$D$91*0.6/('I_Inputs &amp; Assumptions'!$B$8/2)),IF('I_Budget Input Data'!$E$91="Mid-weighted",IF(7&lt;='I_Inputs &amp; Assumptions'!$B$8/4,'I_Budget Input Data'!$D$91*0.2/('I_Inputs &amp; Assumptions'!$B$8/4),IF(7&lt;='I_Inputs &amp; Assumptions'!$B$8*0.75,'I_Budget Input Data'!$D$91*0.6/('I_Inputs &amp; Assumptions'!$B$8/2),'I_Budget Input Data'!$D$91*0.2/('I_Inputs &amp; Assumptions'!$B$8/4))),IF('I_Budget Input Data'!$E$91="At Completion",IF(7='I_Inputs &amp; Assumptions'!$B$8,'I_Budget Input Data'!$D$91,0),'I_Budget Input Data'!$D$91/'I_Inputs &amp; Assumptions'!$B$8)))))),0)</f>
        <v>77967.87692307691</v>
      </c>
      <c r="J91" s="91">
        <f>IF(8&lt;='I_Inputs &amp; Assumptions'!$B$8,IF('I_Budget Input Data'!$E$91="Upfront",IF(8=1,'I_Budget Input Data'!$D$91,0),IF('I_Budget Input Data'!$E$91="Equal",'I_Budget Input Data'!$D$91/'I_Inputs &amp; Assumptions'!$B$8,IF('I_Budget Input Data'!$E$91="Front-loaded",IF(8&lt;='I_Inputs &amp; Assumptions'!$B$8/2,'I_Budget Input Data'!$D$91*0.6/('I_Inputs &amp; Assumptions'!$B$8/2),'I_Budget Input Data'!$D$91*0.4/('I_Inputs &amp; Assumptions'!$B$8/2)),IF('I_Budget Input Data'!$E$91="Back-loaded",IF(8&lt;='I_Inputs &amp; Assumptions'!$B$8/2,'I_Budget Input Data'!$D$91*0.4/('I_Inputs &amp; Assumptions'!$B$8/2),'I_Budget Input Data'!$D$91*0.6/('I_Inputs &amp; Assumptions'!$B$8/2)),IF('I_Budget Input Data'!$E$91="Mid-weighted",IF(8&lt;='I_Inputs &amp; Assumptions'!$B$8/4,'I_Budget Input Data'!$D$91*0.2/('I_Inputs &amp; Assumptions'!$B$8/4),IF(8&lt;='I_Inputs &amp; Assumptions'!$B$8*0.75,'I_Budget Input Data'!$D$91*0.6/('I_Inputs &amp; Assumptions'!$B$8/2),'I_Budget Input Data'!$D$91*0.2/('I_Inputs &amp; Assumptions'!$B$8/4))),IF('I_Budget Input Data'!$E$91="At Completion",IF(8='I_Inputs &amp; Assumptions'!$B$8,'I_Budget Input Data'!$D$91,0),'I_Budget Input Data'!$D$91/'I_Inputs &amp; Assumptions'!$B$8)))))),0)</f>
        <v>77967.87692307691</v>
      </c>
      <c r="K91" s="91">
        <f>IF(9&lt;='I_Inputs &amp; Assumptions'!$B$8,IF('I_Budget Input Data'!$E$91="Upfront",IF(9=1,'I_Budget Input Data'!$D$91,0),IF('I_Budget Input Data'!$E$91="Equal",'I_Budget Input Data'!$D$91/'I_Inputs &amp; Assumptions'!$B$8,IF('I_Budget Input Data'!$E$91="Front-loaded",IF(9&lt;='I_Inputs &amp; Assumptions'!$B$8/2,'I_Budget Input Data'!$D$91*0.6/('I_Inputs &amp; Assumptions'!$B$8/2),'I_Budget Input Data'!$D$91*0.4/('I_Inputs &amp; Assumptions'!$B$8/2)),IF('I_Budget Input Data'!$E$91="Back-loaded",IF(9&lt;='I_Inputs &amp; Assumptions'!$B$8/2,'I_Budget Input Data'!$D$91*0.4/('I_Inputs &amp; Assumptions'!$B$8/2),'I_Budget Input Data'!$D$91*0.6/('I_Inputs &amp; Assumptions'!$B$8/2)),IF('I_Budget Input Data'!$E$91="Mid-weighted",IF(9&lt;='I_Inputs &amp; Assumptions'!$B$8/4,'I_Budget Input Data'!$D$91*0.2/('I_Inputs &amp; Assumptions'!$B$8/4),IF(9&lt;='I_Inputs &amp; Assumptions'!$B$8*0.75,'I_Budget Input Data'!$D$91*0.6/('I_Inputs &amp; Assumptions'!$B$8/2),'I_Budget Input Data'!$D$91*0.2/('I_Inputs &amp; Assumptions'!$B$8/4))),IF('I_Budget Input Data'!$E$91="At Completion",IF(9='I_Inputs &amp; Assumptions'!$B$8,'I_Budget Input Data'!$D$91,0),'I_Budget Input Data'!$D$91/'I_Inputs &amp; Assumptions'!$B$8)))))),0)</f>
        <v>77967.87692307691</v>
      </c>
      <c r="L91" s="91">
        <f>IF(10&lt;='I_Inputs &amp; Assumptions'!$B$8,IF('I_Budget Input Data'!$E$91="Upfront",IF(10=1,'I_Budget Input Data'!$D$91,0),IF('I_Budget Input Data'!$E$91="Equal",'I_Budget Input Data'!$D$91/'I_Inputs &amp; Assumptions'!$B$8,IF('I_Budget Input Data'!$E$91="Front-loaded",IF(10&lt;='I_Inputs &amp; Assumptions'!$B$8/2,'I_Budget Input Data'!$D$91*0.6/('I_Inputs &amp; Assumptions'!$B$8/2),'I_Budget Input Data'!$D$91*0.4/('I_Inputs &amp; Assumptions'!$B$8/2)),IF('I_Budget Input Data'!$E$91="Back-loaded",IF(10&lt;='I_Inputs &amp; Assumptions'!$B$8/2,'I_Budget Input Data'!$D$91*0.4/('I_Inputs &amp; Assumptions'!$B$8/2),'I_Budget Input Data'!$D$91*0.6/('I_Inputs &amp; Assumptions'!$B$8/2)),IF('I_Budget Input Data'!$E$91="Mid-weighted",IF(10&lt;='I_Inputs &amp; Assumptions'!$B$8/4,'I_Budget Input Data'!$D$91*0.2/('I_Inputs &amp; Assumptions'!$B$8/4),IF(10&lt;='I_Inputs &amp; Assumptions'!$B$8*0.75,'I_Budget Input Data'!$D$91*0.6/('I_Inputs &amp; Assumptions'!$B$8/2),'I_Budget Input Data'!$D$91*0.2/('I_Inputs &amp; Assumptions'!$B$8/4))),IF('I_Budget Input Data'!$E$91="At Completion",IF(10='I_Inputs &amp; Assumptions'!$B$8,'I_Budget Input Data'!$D$91,0),'I_Budget Input Data'!$D$91/'I_Inputs &amp; Assumptions'!$B$8)))))),0)</f>
        <v>77967.87692307691</v>
      </c>
      <c r="M91" s="91">
        <f>IF(11&lt;='I_Inputs &amp; Assumptions'!$B$8,IF('I_Budget Input Data'!$E$91="Upfront",IF(11=1,'I_Budget Input Data'!$D$91,0),IF('I_Budget Input Data'!$E$91="Equal",'I_Budget Input Data'!$D$91/'I_Inputs &amp; Assumptions'!$B$8,IF('I_Budget Input Data'!$E$91="Front-loaded",IF(11&lt;='I_Inputs &amp; Assumptions'!$B$8/2,'I_Budget Input Data'!$D$91*0.6/('I_Inputs &amp; Assumptions'!$B$8/2),'I_Budget Input Data'!$D$91*0.4/('I_Inputs &amp; Assumptions'!$B$8/2)),IF('I_Budget Input Data'!$E$91="Back-loaded",IF(11&lt;='I_Inputs &amp; Assumptions'!$B$8/2,'I_Budget Input Data'!$D$91*0.4/('I_Inputs &amp; Assumptions'!$B$8/2),'I_Budget Input Data'!$D$91*0.6/('I_Inputs &amp; Assumptions'!$B$8/2)),IF('I_Budget Input Data'!$E$91="Mid-weighted",IF(11&lt;='I_Inputs &amp; Assumptions'!$B$8/4,'I_Budget Input Data'!$D$91*0.2/('I_Inputs &amp; Assumptions'!$B$8/4),IF(11&lt;='I_Inputs &amp; Assumptions'!$B$8*0.75,'I_Budget Input Data'!$D$91*0.6/('I_Inputs &amp; Assumptions'!$B$8/2),'I_Budget Input Data'!$D$91*0.2/('I_Inputs &amp; Assumptions'!$B$8/4))),IF('I_Budget Input Data'!$E$91="At Completion",IF(11='I_Inputs &amp; Assumptions'!$B$8,'I_Budget Input Data'!$D$91,0),'I_Budget Input Data'!$D$91/'I_Inputs &amp; Assumptions'!$B$8)))))),0)</f>
        <v>77967.87692307691</v>
      </c>
      <c r="N91" s="91">
        <f>IF(12&lt;='I_Inputs &amp; Assumptions'!$B$8,IF('I_Budget Input Data'!$E$91="Upfront",IF(12=1,'I_Budget Input Data'!$D$91,0),IF('I_Budget Input Data'!$E$91="Equal",'I_Budget Input Data'!$D$91/'I_Inputs &amp; Assumptions'!$B$8,IF('I_Budget Input Data'!$E$91="Front-loaded",IF(12&lt;='I_Inputs &amp; Assumptions'!$B$8/2,'I_Budget Input Data'!$D$91*0.6/('I_Inputs &amp; Assumptions'!$B$8/2),'I_Budget Input Data'!$D$91*0.4/('I_Inputs &amp; Assumptions'!$B$8/2)),IF('I_Budget Input Data'!$E$91="Back-loaded",IF(12&lt;='I_Inputs &amp; Assumptions'!$B$8/2,'I_Budget Input Data'!$D$91*0.4/('I_Inputs &amp; Assumptions'!$B$8/2),'I_Budget Input Data'!$D$91*0.6/('I_Inputs &amp; Assumptions'!$B$8/2)),IF('I_Budget Input Data'!$E$91="Mid-weighted",IF(12&lt;='I_Inputs &amp; Assumptions'!$B$8/4,'I_Budget Input Data'!$D$91*0.2/('I_Inputs &amp; Assumptions'!$B$8/4),IF(12&lt;='I_Inputs &amp; Assumptions'!$B$8*0.75,'I_Budget Input Data'!$D$91*0.6/('I_Inputs &amp; Assumptions'!$B$8/2),'I_Budget Input Data'!$D$91*0.2/('I_Inputs &amp; Assumptions'!$B$8/4))),IF('I_Budget Input Data'!$E$91="At Completion",IF(12='I_Inputs &amp; Assumptions'!$B$8,'I_Budget Input Data'!$D$91,0),'I_Budget Input Data'!$D$91/'I_Inputs &amp; Assumptions'!$B$8)))))),0)</f>
        <v>77967.87692307691</v>
      </c>
      <c r="O91" s="91">
        <f>IF(13&lt;='I_Inputs &amp; Assumptions'!$B$8,IF('I_Budget Input Data'!$E$91="Upfront",IF(13=1,'I_Budget Input Data'!$D$91,0),IF('I_Budget Input Data'!$E$91="Equal",'I_Budget Input Data'!$D$91/'I_Inputs &amp; Assumptions'!$B$8,IF('I_Budget Input Data'!$E$91="Front-loaded",IF(13&lt;='I_Inputs &amp; Assumptions'!$B$8/2,'I_Budget Input Data'!$D$91*0.6/('I_Inputs &amp; Assumptions'!$B$8/2),'I_Budget Input Data'!$D$91*0.4/('I_Inputs &amp; Assumptions'!$B$8/2)),IF('I_Budget Input Data'!$E$91="Back-loaded",IF(13&lt;='I_Inputs &amp; Assumptions'!$B$8/2,'I_Budget Input Data'!$D$91*0.4/('I_Inputs &amp; Assumptions'!$B$8/2),'I_Budget Input Data'!$D$91*0.6/('I_Inputs &amp; Assumptions'!$B$8/2)),IF('I_Budget Input Data'!$E$91="Mid-weighted",IF(13&lt;='I_Inputs &amp; Assumptions'!$B$8/4,'I_Budget Input Data'!$D$91*0.2/('I_Inputs &amp; Assumptions'!$B$8/4),IF(13&lt;='I_Inputs &amp; Assumptions'!$B$8*0.75,'I_Budget Input Data'!$D$91*0.6/('I_Inputs &amp; Assumptions'!$B$8/2),'I_Budget Input Data'!$D$91*0.2/('I_Inputs &amp; Assumptions'!$B$8/4))),IF('I_Budget Input Data'!$E$91="At Completion",IF(13='I_Inputs &amp; Assumptions'!$B$8,'I_Budget Input Data'!$D$91,0),'I_Budget Input Data'!$D$91/'I_Inputs &amp; Assumptions'!$B$8)))))),0)</f>
        <v>77967.87692307691</v>
      </c>
      <c r="P91" s="91">
        <f>IF(14&lt;='I_Inputs &amp; Assumptions'!$B$8,IF('I_Budget Input Data'!$E$91="Upfront",IF(14=1,'I_Budget Input Data'!$D$91,0),IF('I_Budget Input Data'!$E$91="Equal",'I_Budget Input Data'!$D$91/'I_Inputs &amp; Assumptions'!$B$8,IF('I_Budget Input Data'!$E$91="Front-loaded",IF(14&lt;='I_Inputs &amp; Assumptions'!$B$8/2,'I_Budget Input Data'!$D$91*0.6/('I_Inputs &amp; Assumptions'!$B$8/2),'I_Budget Input Data'!$D$91*0.4/('I_Inputs &amp; Assumptions'!$B$8/2)),IF('I_Budget Input Data'!$E$91="Back-loaded",IF(14&lt;='I_Inputs &amp; Assumptions'!$B$8/2,'I_Budget Input Data'!$D$91*0.4/('I_Inputs &amp; Assumptions'!$B$8/2),'I_Budget Input Data'!$D$91*0.6/('I_Inputs &amp; Assumptions'!$B$8/2)),IF('I_Budget Input Data'!$E$91="Mid-weighted",IF(14&lt;='I_Inputs &amp; Assumptions'!$B$8/4,'I_Budget Input Data'!$D$91*0.2/('I_Inputs &amp; Assumptions'!$B$8/4),IF(14&lt;='I_Inputs &amp; Assumptions'!$B$8*0.75,'I_Budget Input Data'!$D$91*0.6/('I_Inputs &amp; Assumptions'!$B$8/2),'I_Budget Input Data'!$D$91*0.2/('I_Inputs &amp; Assumptions'!$B$8/4))),IF('I_Budget Input Data'!$E$91="At Completion",IF(14='I_Inputs &amp; Assumptions'!$B$8,'I_Budget Input Data'!$D$91,0),'I_Budget Input Data'!$D$91/'I_Inputs &amp; Assumptions'!$B$8)))))),0)</f>
        <v>0</v>
      </c>
      <c r="Q91" s="91">
        <f>IF(15&lt;='I_Inputs &amp; Assumptions'!$B$8,IF('I_Budget Input Data'!$E$91="Upfront",IF(15=1,'I_Budget Input Data'!$D$91,0),IF('I_Budget Input Data'!$E$91="Equal",'I_Budget Input Data'!$D$91/'I_Inputs &amp; Assumptions'!$B$8,IF('I_Budget Input Data'!$E$91="Front-loaded",IF(15&lt;='I_Inputs &amp; Assumptions'!$B$8/2,'I_Budget Input Data'!$D$91*0.6/('I_Inputs &amp; Assumptions'!$B$8/2),'I_Budget Input Data'!$D$91*0.4/('I_Inputs &amp; Assumptions'!$B$8/2)),IF('I_Budget Input Data'!$E$91="Back-loaded",IF(15&lt;='I_Inputs &amp; Assumptions'!$B$8/2,'I_Budget Input Data'!$D$91*0.4/('I_Inputs &amp; Assumptions'!$B$8/2),'I_Budget Input Data'!$D$91*0.6/('I_Inputs &amp; Assumptions'!$B$8/2)),IF('I_Budget Input Data'!$E$91="Mid-weighted",IF(15&lt;='I_Inputs &amp; Assumptions'!$B$8/4,'I_Budget Input Data'!$D$91*0.2/('I_Inputs &amp; Assumptions'!$B$8/4),IF(15&lt;='I_Inputs &amp; Assumptions'!$B$8*0.75,'I_Budget Input Data'!$D$91*0.6/('I_Inputs &amp; Assumptions'!$B$8/2),'I_Budget Input Data'!$D$91*0.2/('I_Inputs &amp; Assumptions'!$B$8/4))),IF('I_Budget Input Data'!$E$91="At Completion",IF(15='I_Inputs &amp; Assumptions'!$B$8,'I_Budget Input Data'!$D$91,0),'I_Budget Input Data'!$D$91/'I_Inputs &amp; Assumptions'!$B$8)))))),0)</f>
        <v>0</v>
      </c>
      <c r="R91" s="91">
        <f>IF(16&lt;='I_Inputs &amp; Assumptions'!$B$8,IF('I_Budget Input Data'!$E$91="Upfront",IF(16=1,'I_Budget Input Data'!$D$91,0),IF('I_Budget Input Data'!$E$91="Equal",'I_Budget Input Data'!$D$91/'I_Inputs &amp; Assumptions'!$B$8,IF('I_Budget Input Data'!$E$91="Front-loaded",IF(16&lt;='I_Inputs &amp; Assumptions'!$B$8/2,'I_Budget Input Data'!$D$91*0.6/('I_Inputs &amp; Assumptions'!$B$8/2),'I_Budget Input Data'!$D$91*0.4/('I_Inputs &amp; Assumptions'!$B$8/2)),IF('I_Budget Input Data'!$E$91="Back-loaded",IF(16&lt;='I_Inputs &amp; Assumptions'!$B$8/2,'I_Budget Input Data'!$D$91*0.4/('I_Inputs &amp; Assumptions'!$B$8/2),'I_Budget Input Data'!$D$91*0.6/('I_Inputs &amp; Assumptions'!$B$8/2)),IF('I_Budget Input Data'!$E$91="Mid-weighted",IF(16&lt;='I_Inputs &amp; Assumptions'!$B$8/4,'I_Budget Input Data'!$D$91*0.2/('I_Inputs &amp; Assumptions'!$B$8/4),IF(16&lt;='I_Inputs &amp; Assumptions'!$B$8*0.75,'I_Budget Input Data'!$D$91*0.6/('I_Inputs &amp; Assumptions'!$B$8/2),'I_Budget Input Data'!$D$91*0.2/('I_Inputs &amp; Assumptions'!$B$8/4))),IF('I_Budget Input Data'!$E$91="At Completion",IF(16='I_Inputs &amp; Assumptions'!$B$8,'I_Budget Input Data'!$D$91,0),'I_Budget Input Data'!$D$91/'I_Inputs &amp; Assumptions'!$B$8)))))),0)</f>
        <v>0</v>
      </c>
      <c r="S91" s="91">
        <f>IF(17&lt;='I_Inputs &amp; Assumptions'!$B$8,IF('I_Budget Input Data'!$E$91="Upfront",IF(17=1,'I_Budget Input Data'!$D$91,0),IF('I_Budget Input Data'!$E$91="Equal",'I_Budget Input Data'!$D$91/'I_Inputs &amp; Assumptions'!$B$8,IF('I_Budget Input Data'!$E$91="Front-loaded",IF(17&lt;='I_Inputs &amp; Assumptions'!$B$8/2,'I_Budget Input Data'!$D$91*0.6/('I_Inputs &amp; Assumptions'!$B$8/2),'I_Budget Input Data'!$D$91*0.4/('I_Inputs &amp; Assumptions'!$B$8/2)),IF('I_Budget Input Data'!$E$91="Back-loaded",IF(17&lt;='I_Inputs &amp; Assumptions'!$B$8/2,'I_Budget Input Data'!$D$91*0.4/('I_Inputs &amp; Assumptions'!$B$8/2),'I_Budget Input Data'!$D$91*0.6/('I_Inputs &amp; Assumptions'!$B$8/2)),IF('I_Budget Input Data'!$E$91="Mid-weighted",IF(17&lt;='I_Inputs &amp; Assumptions'!$B$8/4,'I_Budget Input Data'!$D$91*0.2/('I_Inputs &amp; Assumptions'!$B$8/4),IF(17&lt;='I_Inputs &amp; Assumptions'!$B$8*0.75,'I_Budget Input Data'!$D$91*0.6/('I_Inputs &amp; Assumptions'!$B$8/2),'I_Budget Input Data'!$D$91*0.2/('I_Inputs &amp; Assumptions'!$B$8/4))),IF('I_Budget Input Data'!$E$91="At Completion",IF(17='I_Inputs &amp; Assumptions'!$B$8,'I_Budget Input Data'!$D$91,0),'I_Budget Input Data'!$D$91/'I_Inputs &amp; Assumptions'!$B$8)))))),0)</f>
        <v>0</v>
      </c>
      <c r="T91" s="91">
        <f>IF(18&lt;='I_Inputs &amp; Assumptions'!$B$8,IF('I_Budget Input Data'!$E$91="Upfront",IF(18=1,'I_Budget Input Data'!$D$91,0),IF('I_Budget Input Data'!$E$91="Equal",'I_Budget Input Data'!$D$91/'I_Inputs &amp; Assumptions'!$B$8,IF('I_Budget Input Data'!$E$91="Front-loaded",IF(18&lt;='I_Inputs &amp; Assumptions'!$B$8/2,'I_Budget Input Data'!$D$91*0.6/('I_Inputs &amp; Assumptions'!$B$8/2),'I_Budget Input Data'!$D$91*0.4/('I_Inputs &amp; Assumptions'!$B$8/2)),IF('I_Budget Input Data'!$E$91="Back-loaded",IF(18&lt;='I_Inputs &amp; Assumptions'!$B$8/2,'I_Budget Input Data'!$D$91*0.4/('I_Inputs &amp; Assumptions'!$B$8/2),'I_Budget Input Data'!$D$91*0.6/('I_Inputs &amp; Assumptions'!$B$8/2)),IF('I_Budget Input Data'!$E$91="Mid-weighted",IF(18&lt;='I_Inputs &amp; Assumptions'!$B$8/4,'I_Budget Input Data'!$D$91*0.2/('I_Inputs &amp; Assumptions'!$B$8/4),IF(18&lt;='I_Inputs &amp; Assumptions'!$B$8*0.75,'I_Budget Input Data'!$D$91*0.6/('I_Inputs &amp; Assumptions'!$B$8/2),'I_Budget Input Data'!$D$91*0.2/('I_Inputs &amp; Assumptions'!$B$8/4))),IF('I_Budget Input Data'!$E$91="At Completion",IF(18='I_Inputs &amp; Assumptions'!$B$8,'I_Budget Input Data'!$D$91,0),'I_Budget Input Data'!$D$91/'I_Inputs &amp; Assumptions'!$B$8)))))),0)</f>
        <v>0</v>
      </c>
      <c r="U91" s="91">
        <f>IF(19&lt;='I_Inputs &amp; Assumptions'!$B$8,IF('I_Budget Input Data'!$E$91="Upfront",IF(19=1,'I_Budget Input Data'!$D$91,0),IF('I_Budget Input Data'!$E$91="Equal",'I_Budget Input Data'!$D$91/'I_Inputs &amp; Assumptions'!$B$8,IF('I_Budget Input Data'!$E$91="Front-loaded",IF(19&lt;='I_Inputs &amp; Assumptions'!$B$8/2,'I_Budget Input Data'!$D$91*0.6/('I_Inputs &amp; Assumptions'!$B$8/2),'I_Budget Input Data'!$D$91*0.4/('I_Inputs &amp; Assumptions'!$B$8/2)),IF('I_Budget Input Data'!$E$91="Back-loaded",IF(19&lt;='I_Inputs &amp; Assumptions'!$B$8/2,'I_Budget Input Data'!$D$91*0.4/('I_Inputs &amp; Assumptions'!$B$8/2),'I_Budget Input Data'!$D$91*0.6/('I_Inputs &amp; Assumptions'!$B$8/2)),IF('I_Budget Input Data'!$E$91="Mid-weighted",IF(19&lt;='I_Inputs &amp; Assumptions'!$B$8/4,'I_Budget Input Data'!$D$91*0.2/('I_Inputs &amp; Assumptions'!$B$8/4),IF(19&lt;='I_Inputs &amp; Assumptions'!$B$8*0.75,'I_Budget Input Data'!$D$91*0.6/('I_Inputs &amp; Assumptions'!$B$8/2),'I_Budget Input Data'!$D$91*0.2/('I_Inputs &amp; Assumptions'!$B$8/4))),IF('I_Budget Input Data'!$E$91="At Completion",IF(19='I_Inputs &amp; Assumptions'!$B$8,'I_Budget Input Data'!$D$91,0),'I_Budget Input Data'!$D$91/'I_Inputs &amp; Assumptions'!$B$8)))))),0)</f>
        <v>0</v>
      </c>
      <c r="V91" s="91">
        <f>IF(20&lt;='I_Inputs &amp; Assumptions'!$B$8,IF('I_Budget Input Data'!$E$91="Upfront",IF(20=1,'I_Budget Input Data'!$D$91,0),IF('I_Budget Input Data'!$E$91="Equal",'I_Budget Input Data'!$D$91/'I_Inputs &amp; Assumptions'!$B$8,IF('I_Budget Input Data'!$E$91="Front-loaded",IF(20&lt;='I_Inputs &amp; Assumptions'!$B$8/2,'I_Budget Input Data'!$D$91*0.6/('I_Inputs &amp; Assumptions'!$B$8/2),'I_Budget Input Data'!$D$91*0.4/('I_Inputs &amp; Assumptions'!$B$8/2)),IF('I_Budget Input Data'!$E$91="Back-loaded",IF(20&lt;='I_Inputs &amp; Assumptions'!$B$8/2,'I_Budget Input Data'!$D$91*0.4/('I_Inputs &amp; Assumptions'!$B$8/2),'I_Budget Input Data'!$D$91*0.6/('I_Inputs &amp; Assumptions'!$B$8/2)),IF('I_Budget Input Data'!$E$91="Mid-weighted",IF(20&lt;='I_Inputs &amp; Assumptions'!$B$8/4,'I_Budget Input Data'!$D$91*0.2/('I_Inputs &amp; Assumptions'!$B$8/4),IF(20&lt;='I_Inputs &amp; Assumptions'!$B$8*0.75,'I_Budget Input Data'!$D$91*0.6/('I_Inputs &amp; Assumptions'!$B$8/2),'I_Budget Input Data'!$D$91*0.2/('I_Inputs &amp; Assumptions'!$B$8/4))),IF('I_Budget Input Data'!$E$91="At Completion",IF(20='I_Inputs &amp; Assumptions'!$B$8,'I_Budget Input Data'!$D$91,0),'I_Budget Input Data'!$D$91/'I_Inputs &amp; Assumptions'!$B$8)))))),0)</f>
        <v>0</v>
      </c>
      <c r="W91" s="91">
        <f>IF(21&lt;='I_Inputs &amp; Assumptions'!$B$8,IF('I_Budget Input Data'!$E$91="Upfront",IF(21=1,'I_Budget Input Data'!$D$91,0),IF('I_Budget Input Data'!$E$91="Equal",'I_Budget Input Data'!$D$91/'I_Inputs &amp; Assumptions'!$B$8,IF('I_Budget Input Data'!$E$91="Front-loaded",IF(21&lt;='I_Inputs &amp; Assumptions'!$B$8/2,'I_Budget Input Data'!$D$91*0.6/('I_Inputs &amp; Assumptions'!$B$8/2),'I_Budget Input Data'!$D$91*0.4/('I_Inputs &amp; Assumptions'!$B$8/2)),IF('I_Budget Input Data'!$E$91="Back-loaded",IF(21&lt;='I_Inputs &amp; Assumptions'!$B$8/2,'I_Budget Input Data'!$D$91*0.4/('I_Inputs &amp; Assumptions'!$B$8/2),'I_Budget Input Data'!$D$91*0.6/('I_Inputs &amp; Assumptions'!$B$8/2)),IF('I_Budget Input Data'!$E$91="Mid-weighted",IF(21&lt;='I_Inputs &amp; Assumptions'!$B$8/4,'I_Budget Input Data'!$D$91*0.2/('I_Inputs &amp; Assumptions'!$B$8/4),IF(21&lt;='I_Inputs &amp; Assumptions'!$B$8*0.75,'I_Budget Input Data'!$D$91*0.6/('I_Inputs &amp; Assumptions'!$B$8/2),'I_Budget Input Data'!$D$91*0.2/('I_Inputs &amp; Assumptions'!$B$8/4))),IF('I_Budget Input Data'!$E$91="At Completion",IF(21='I_Inputs &amp; Assumptions'!$B$8,'I_Budget Input Data'!$D$91,0),'I_Budget Input Data'!$D$91/'I_Inputs &amp; Assumptions'!$B$8)))))),0)</f>
        <v>0</v>
      </c>
      <c r="X91" s="91">
        <f>IF(22&lt;='I_Inputs &amp; Assumptions'!$B$8,IF('I_Budget Input Data'!$E$91="Upfront",IF(22=1,'I_Budget Input Data'!$D$91,0),IF('I_Budget Input Data'!$E$91="Equal",'I_Budget Input Data'!$D$91/'I_Inputs &amp; Assumptions'!$B$8,IF('I_Budget Input Data'!$E$91="Front-loaded",IF(22&lt;='I_Inputs &amp; Assumptions'!$B$8/2,'I_Budget Input Data'!$D$91*0.6/('I_Inputs &amp; Assumptions'!$B$8/2),'I_Budget Input Data'!$D$91*0.4/('I_Inputs &amp; Assumptions'!$B$8/2)),IF('I_Budget Input Data'!$E$91="Back-loaded",IF(22&lt;='I_Inputs &amp; Assumptions'!$B$8/2,'I_Budget Input Data'!$D$91*0.4/('I_Inputs &amp; Assumptions'!$B$8/2),'I_Budget Input Data'!$D$91*0.6/('I_Inputs &amp; Assumptions'!$B$8/2)),IF('I_Budget Input Data'!$E$91="Mid-weighted",IF(22&lt;='I_Inputs &amp; Assumptions'!$B$8/4,'I_Budget Input Data'!$D$91*0.2/('I_Inputs &amp; Assumptions'!$B$8/4),IF(22&lt;='I_Inputs &amp; Assumptions'!$B$8*0.75,'I_Budget Input Data'!$D$91*0.6/('I_Inputs &amp; Assumptions'!$B$8/2),'I_Budget Input Data'!$D$91*0.2/('I_Inputs &amp; Assumptions'!$B$8/4))),IF('I_Budget Input Data'!$E$91="At Completion",IF(22='I_Inputs &amp; Assumptions'!$B$8,'I_Budget Input Data'!$D$91,0),'I_Budget Input Data'!$D$91/'I_Inputs &amp; Assumptions'!$B$8)))))),0)</f>
        <v>0</v>
      </c>
      <c r="Y91" s="91">
        <f>IF(23&lt;='I_Inputs &amp; Assumptions'!$B$8,IF('I_Budget Input Data'!$E$91="Upfront",IF(23=1,'I_Budget Input Data'!$D$91,0),IF('I_Budget Input Data'!$E$91="Equal",'I_Budget Input Data'!$D$91/'I_Inputs &amp; Assumptions'!$B$8,IF('I_Budget Input Data'!$E$91="Front-loaded",IF(23&lt;='I_Inputs &amp; Assumptions'!$B$8/2,'I_Budget Input Data'!$D$91*0.6/('I_Inputs &amp; Assumptions'!$B$8/2),'I_Budget Input Data'!$D$91*0.4/('I_Inputs &amp; Assumptions'!$B$8/2)),IF('I_Budget Input Data'!$E$91="Back-loaded",IF(23&lt;='I_Inputs &amp; Assumptions'!$B$8/2,'I_Budget Input Data'!$D$91*0.4/('I_Inputs &amp; Assumptions'!$B$8/2),'I_Budget Input Data'!$D$91*0.6/('I_Inputs &amp; Assumptions'!$B$8/2)),IF('I_Budget Input Data'!$E$91="Mid-weighted",IF(23&lt;='I_Inputs &amp; Assumptions'!$B$8/4,'I_Budget Input Data'!$D$91*0.2/('I_Inputs &amp; Assumptions'!$B$8/4),IF(23&lt;='I_Inputs &amp; Assumptions'!$B$8*0.75,'I_Budget Input Data'!$D$91*0.6/('I_Inputs &amp; Assumptions'!$B$8/2),'I_Budget Input Data'!$D$91*0.2/('I_Inputs &amp; Assumptions'!$B$8/4))),IF('I_Budget Input Data'!$E$91="At Completion",IF(23='I_Inputs &amp; Assumptions'!$B$8,'I_Budget Input Data'!$D$91,0),'I_Budget Input Data'!$D$91/'I_Inputs &amp; Assumptions'!$B$8)))))),0)</f>
        <v>0</v>
      </c>
      <c r="Z91" s="91">
        <f>IF(24&lt;='I_Inputs &amp; Assumptions'!$B$8,IF('I_Budget Input Data'!$E$91="Upfront",IF(24=1,'I_Budget Input Data'!$D$91,0),IF('I_Budget Input Data'!$E$91="Equal",'I_Budget Input Data'!$D$91/'I_Inputs &amp; Assumptions'!$B$8,IF('I_Budget Input Data'!$E$91="Front-loaded",IF(24&lt;='I_Inputs &amp; Assumptions'!$B$8/2,'I_Budget Input Data'!$D$91*0.6/('I_Inputs &amp; Assumptions'!$B$8/2),'I_Budget Input Data'!$D$91*0.4/('I_Inputs &amp; Assumptions'!$B$8/2)),IF('I_Budget Input Data'!$E$91="Back-loaded",IF(24&lt;='I_Inputs &amp; Assumptions'!$B$8/2,'I_Budget Input Data'!$D$91*0.4/('I_Inputs &amp; Assumptions'!$B$8/2),'I_Budget Input Data'!$D$91*0.6/('I_Inputs &amp; Assumptions'!$B$8/2)),IF('I_Budget Input Data'!$E$91="Mid-weighted",IF(24&lt;='I_Inputs &amp; Assumptions'!$B$8/4,'I_Budget Input Data'!$D$91*0.2/('I_Inputs &amp; Assumptions'!$B$8/4),IF(24&lt;='I_Inputs &amp; Assumptions'!$B$8*0.75,'I_Budget Input Data'!$D$91*0.6/('I_Inputs &amp; Assumptions'!$B$8/2),'I_Budget Input Data'!$D$91*0.2/('I_Inputs &amp; Assumptions'!$B$8/4))),IF('I_Budget Input Data'!$E$91="At Completion",IF(24='I_Inputs &amp; Assumptions'!$B$8,'I_Budget Input Data'!$D$91,0),'I_Budget Input Data'!$D$91/'I_Inputs &amp; Assumptions'!$B$8)))))),0)</f>
        <v>0</v>
      </c>
      <c r="AA91" s="91">
        <f>IF(25&lt;='I_Inputs &amp; Assumptions'!$B$8,IF('I_Budget Input Data'!$E$91="Upfront",IF(25=1,'I_Budget Input Data'!$D$91,0),IF('I_Budget Input Data'!$E$91="Equal",'I_Budget Input Data'!$D$91/'I_Inputs &amp; Assumptions'!$B$8,IF('I_Budget Input Data'!$E$91="Front-loaded",IF(25&lt;='I_Inputs &amp; Assumptions'!$B$8/2,'I_Budget Input Data'!$D$91*0.6/('I_Inputs &amp; Assumptions'!$B$8/2),'I_Budget Input Data'!$D$91*0.4/('I_Inputs &amp; Assumptions'!$B$8/2)),IF('I_Budget Input Data'!$E$91="Back-loaded",IF(25&lt;='I_Inputs &amp; Assumptions'!$B$8/2,'I_Budget Input Data'!$D$91*0.4/('I_Inputs &amp; Assumptions'!$B$8/2),'I_Budget Input Data'!$D$91*0.6/('I_Inputs &amp; Assumptions'!$B$8/2)),IF('I_Budget Input Data'!$E$91="Mid-weighted",IF(25&lt;='I_Inputs &amp; Assumptions'!$B$8/4,'I_Budget Input Data'!$D$91*0.2/('I_Inputs &amp; Assumptions'!$B$8/4),IF(25&lt;='I_Inputs &amp; Assumptions'!$B$8*0.75,'I_Budget Input Data'!$D$91*0.6/('I_Inputs &amp; Assumptions'!$B$8/2),'I_Budget Input Data'!$D$91*0.2/('I_Inputs &amp; Assumptions'!$B$8/4))),IF('I_Budget Input Data'!$E$91="At Completion",IF(25='I_Inputs &amp; Assumptions'!$B$8,'I_Budget Input Data'!$D$91,0),'I_Budget Input Data'!$D$91/'I_Inputs &amp; Assumptions'!$B$8)))))),0)</f>
        <v>0</v>
      </c>
      <c r="AB91" s="91">
        <f>IF(26&lt;='I_Inputs &amp; Assumptions'!$B$8,IF('I_Budget Input Data'!$E$91="Upfront",IF(26=1,'I_Budget Input Data'!$D$91,0),IF('I_Budget Input Data'!$E$91="Equal",'I_Budget Input Data'!$D$91/'I_Inputs &amp; Assumptions'!$B$8,IF('I_Budget Input Data'!$E$91="Front-loaded",IF(26&lt;='I_Inputs &amp; Assumptions'!$B$8/2,'I_Budget Input Data'!$D$91*0.6/('I_Inputs &amp; Assumptions'!$B$8/2),'I_Budget Input Data'!$D$91*0.4/('I_Inputs &amp; Assumptions'!$B$8/2)),IF('I_Budget Input Data'!$E$91="Back-loaded",IF(26&lt;='I_Inputs &amp; Assumptions'!$B$8/2,'I_Budget Input Data'!$D$91*0.4/('I_Inputs &amp; Assumptions'!$B$8/2),'I_Budget Input Data'!$D$91*0.6/('I_Inputs &amp; Assumptions'!$B$8/2)),IF('I_Budget Input Data'!$E$91="Mid-weighted",IF(26&lt;='I_Inputs &amp; Assumptions'!$B$8/4,'I_Budget Input Data'!$D$91*0.2/('I_Inputs &amp; Assumptions'!$B$8/4),IF(26&lt;='I_Inputs &amp; Assumptions'!$B$8*0.75,'I_Budget Input Data'!$D$91*0.6/('I_Inputs &amp; Assumptions'!$B$8/2),'I_Budget Input Data'!$D$91*0.2/('I_Inputs &amp; Assumptions'!$B$8/4))),IF('I_Budget Input Data'!$E$91="At Completion",IF(26='I_Inputs &amp; Assumptions'!$B$8,'I_Budget Input Data'!$D$91,0),'I_Budget Input Data'!$D$91/'I_Inputs &amp; Assumptions'!$B$8)))))),0)</f>
        <v>0</v>
      </c>
      <c r="AC91" s="91">
        <f>IF(27&lt;='I_Inputs &amp; Assumptions'!$B$8,IF('I_Budget Input Data'!$E$91="Upfront",IF(27=1,'I_Budget Input Data'!$D$91,0),IF('I_Budget Input Data'!$E$91="Equal",'I_Budget Input Data'!$D$91/'I_Inputs &amp; Assumptions'!$B$8,IF('I_Budget Input Data'!$E$91="Front-loaded",IF(27&lt;='I_Inputs &amp; Assumptions'!$B$8/2,'I_Budget Input Data'!$D$91*0.6/('I_Inputs &amp; Assumptions'!$B$8/2),'I_Budget Input Data'!$D$91*0.4/('I_Inputs &amp; Assumptions'!$B$8/2)),IF('I_Budget Input Data'!$E$91="Back-loaded",IF(27&lt;='I_Inputs &amp; Assumptions'!$B$8/2,'I_Budget Input Data'!$D$91*0.4/('I_Inputs &amp; Assumptions'!$B$8/2),'I_Budget Input Data'!$D$91*0.6/('I_Inputs &amp; Assumptions'!$B$8/2)),IF('I_Budget Input Data'!$E$91="Mid-weighted",IF(27&lt;='I_Inputs &amp; Assumptions'!$B$8/4,'I_Budget Input Data'!$D$91*0.2/('I_Inputs &amp; Assumptions'!$B$8/4),IF(27&lt;='I_Inputs &amp; Assumptions'!$B$8*0.75,'I_Budget Input Data'!$D$91*0.6/('I_Inputs &amp; Assumptions'!$B$8/2),'I_Budget Input Data'!$D$91*0.2/('I_Inputs &amp; Assumptions'!$B$8/4))),IF('I_Budget Input Data'!$E$91="At Completion",IF(27='I_Inputs &amp; Assumptions'!$B$8,'I_Budget Input Data'!$D$91,0),'I_Budget Input Data'!$D$91/'I_Inputs &amp; Assumptions'!$B$8)))))),0)</f>
        <v>0</v>
      </c>
      <c r="AD91" s="91">
        <f>IF(28&lt;='I_Inputs &amp; Assumptions'!$B$8,IF('I_Budget Input Data'!$E$91="Upfront",IF(28=1,'I_Budget Input Data'!$D$91,0),IF('I_Budget Input Data'!$E$91="Equal",'I_Budget Input Data'!$D$91/'I_Inputs &amp; Assumptions'!$B$8,IF('I_Budget Input Data'!$E$91="Front-loaded",IF(28&lt;='I_Inputs &amp; Assumptions'!$B$8/2,'I_Budget Input Data'!$D$91*0.6/('I_Inputs &amp; Assumptions'!$B$8/2),'I_Budget Input Data'!$D$91*0.4/('I_Inputs &amp; Assumptions'!$B$8/2)),IF('I_Budget Input Data'!$E$91="Back-loaded",IF(28&lt;='I_Inputs &amp; Assumptions'!$B$8/2,'I_Budget Input Data'!$D$91*0.4/('I_Inputs &amp; Assumptions'!$B$8/2),'I_Budget Input Data'!$D$91*0.6/('I_Inputs &amp; Assumptions'!$B$8/2)),IF('I_Budget Input Data'!$E$91="Mid-weighted",IF(28&lt;='I_Inputs &amp; Assumptions'!$B$8/4,'I_Budget Input Data'!$D$91*0.2/('I_Inputs &amp; Assumptions'!$B$8/4),IF(28&lt;='I_Inputs &amp; Assumptions'!$B$8*0.75,'I_Budget Input Data'!$D$91*0.6/('I_Inputs &amp; Assumptions'!$B$8/2),'I_Budget Input Data'!$D$91*0.2/('I_Inputs &amp; Assumptions'!$B$8/4))),IF('I_Budget Input Data'!$E$91="At Completion",IF(28='I_Inputs &amp; Assumptions'!$B$8,'I_Budget Input Data'!$D$91,0),'I_Budget Input Data'!$D$91/'I_Inputs &amp; Assumptions'!$B$8)))))),0)</f>
        <v>0</v>
      </c>
      <c r="AE91" s="91">
        <f>IF(29&lt;='I_Inputs &amp; Assumptions'!$B$8,IF('I_Budget Input Data'!$E$91="Upfront",IF(29=1,'I_Budget Input Data'!$D$91,0),IF('I_Budget Input Data'!$E$91="Equal",'I_Budget Input Data'!$D$91/'I_Inputs &amp; Assumptions'!$B$8,IF('I_Budget Input Data'!$E$91="Front-loaded",IF(29&lt;='I_Inputs &amp; Assumptions'!$B$8/2,'I_Budget Input Data'!$D$91*0.6/('I_Inputs &amp; Assumptions'!$B$8/2),'I_Budget Input Data'!$D$91*0.4/('I_Inputs &amp; Assumptions'!$B$8/2)),IF('I_Budget Input Data'!$E$91="Back-loaded",IF(29&lt;='I_Inputs &amp; Assumptions'!$B$8/2,'I_Budget Input Data'!$D$91*0.4/('I_Inputs &amp; Assumptions'!$B$8/2),'I_Budget Input Data'!$D$91*0.6/('I_Inputs &amp; Assumptions'!$B$8/2)),IF('I_Budget Input Data'!$E$91="Mid-weighted",IF(29&lt;='I_Inputs &amp; Assumptions'!$B$8/4,'I_Budget Input Data'!$D$91*0.2/('I_Inputs &amp; Assumptions'!$B$8/4),IF(29&lt;='I_Inputs &amp; Assumptions'!$B$8*0.75,'I_Budget Input Data'!$D$91*0.6/('I_Inputs &amp; Assumptions'!$B$8/2),'I_Budget Input Data'!$D$91*0.2/('I_Inputs &amp; Assumptions'!$B$8/4))),IF('I_Budget Input Data'!$E$91="At Completion",IF(29='I_Inputs &amp; Assumptions'!$B$8,'I_Budget Input Data'!$D$91,0),'I_Budget Input Data'!$D$91/'I_Inputs &amp; Assumptions'!$B$8)))))),0)</f>
        <v>0</v>
      </c>
      <c r="AF91" s="91">
        <f>IF(30&lt;='I_Inputs &amp; Assumptions'!$B$8,IF('I_Budget Input Data'!$E$91="Upfront",IF(30=1,'I_Budget Input Data'!$D$91,0),IF('I_Budget Input Data'!$E$91="Equal",'I_Budget Input Data'!$D$91/'I_Inputs &amp; Assumptions'!$B$8,IF('I_Budget Input Data'!$E$91="Front-loaded",IF(30&lt;='I_Inputs &amp; Assumptions'!$B$8/2,'I_Budget Input Data'!$D$91*0.6/('I_Inputs &amp; Assumptions'!$B$8/2),'I_Budget Input Data'!$D$91*0.4/('I_Inputs &amp; Assumptions'!$B$8/2)),IF('I_Budget Input Data'!$E$91="Back-loaded",IF(30&lt;='I_Inputs &amp; Assumptions'!$B$8/2,'I_Budget Input Data'!$D$91*0.4/('I_Inputs &amp; Assumptions'!$B$8/2),'I_Budget Input Data'!$D$91*0.6/('I_Inputs &amp; Assumptions'!$B$8/2)),IF('I_Budget Input Data'!$E$91="Mid-weighted",IF(30&lt;='I_Inputs &amp; Assumptions'!$B$8/4,'I_Budget Input Data'!$D$91*0.2/('I_Inputs &amp; Assumptions'!$B$8/4),IF(30&lt;='I_Inputs &amp; Assumptions'!$B$8*0.75,'I_Budget Input Data'!$D$91*0.6/('I_Inputs &amp; Assumptions'!$B$8/2),'I_Budget Input Data'!$D$91*0.2/('I_Inputs &amp; Assumptions'!$B$8/4))),IF('I_Budget Input Data'!$E$91="At Completion",IF(30='I_Inputs &amp; Assumptions'!$B$8,'I_Budget Input Data'!$D$91,0),'I_Budget Input Data'!$D$91/'I_Inputs &amp; Assumptions'!$B$8)))))),0)</f>
        <v>0</v>
      </c>
      <c r="AG91" s="91">
        <f>IF(31&lt;='I_Inputs &amp; Assumptions'!$B$8,IF('I_Budget Input Data'!$E$91="Upfront",IF(31=1,'I_Budget Input Data'!$D$91,0),IF('I_Budget Input Data'!$E$91="Equal",'I_Budget Input Data'!$D$91/'I_Inputs &amp; Assumptions'!$B$8,IF('I_Budget Input Data'!$E$91="Front-loaded",IF(31&lt;='I_Inputs &amp; Assumptions'!$B$8/2,'I_Budget Input Data'!$D$91*0.6/('I_Inputs &amp; Assumptions'!$B$8/2),'I_Budget Input Data'!$D$91*0.4/('I_Inputs &amp; Assumptions'!$B$8/2)),IF('I_Budget Input Data'!$E$91="Back-loaded",IF(31&lt;='I_Inputs &amp; Assumptions'!$B$8/2,'I_Budget Input Data'!$D$91*0.4/('I_Inputs &amp; Assumptions'!$B$8/2),'I_Budget Input Data'!$D$91*0.6/('I_Inputs &amp; Assumptions'!$B$8/2)),IF('I_Budget Input Data'!$E$91="Mid-weighted",IF(31&lt;='I_Inputs &amp; Assumptions'!$B$8/4,'I_Budget Input Data'!$D$91*0.2/('I_Inputs &amp; Assumptions'!$B$8/4),IF(31&lt;='I_Inputs &amp; Assumptions'!$B$8*0.75,'I_Budget Input Data'!$D$91*0.6/('I_Inputs &amp; Assumptions'!$B$8/2),'I_Budget Input Data'!$D$91*0.2/('I_Inputs &amp; Assumptions'!$B$8/4))),IF('I_Budget Input Data'!$E$91="At Completion",IF(31='I_Inputs &amp; Assumptions'!$B$8,'I_Budget Input Data'!$D$91,0),'I_Budget Input Data'!$D$91/'I_Inputs &amp; Assumptions'!$B$8)))))),0)</f>
        <v>0</v>
      </c>
      <c r="AH91" s="91">
        <f>IF(32&lt;='I_Inputs &amp; Assumptions'!$B$8,IF('I_Budget Input Data'!$E$91="Upfront",IF(32=1,'I_Budget Input Data'!$D$91,0),IF('I_Budget Input Data'!$E$91="Equal",'I_Budget Input Data'!$D$91/'I_Inputs &amp; Assumptions'!$B$8,IF('I_Budget Input Data'!$E$91="Front-loaded",IF(32&lt;='I_Inputs &amp; Assumptions'!$B$8/2,'I_Budget Input Data'!$D$91*0.6/('I_Inputs &amp; Assumptions'!$B$8/2),'I_Budget Input Data'!$D$91*0.4/('I_Inputs &amp; Assumptions'!$B$8/2)),IF('I_Budget Input Data'!$E$91="Back-loaded",IF(32&lt;='I_Inputs &amp; Assumptions'!$B$8/2,'I_Budget Input Data'!$D$91*0.4/('I_Inputs &amp; Assumptions'!$B$8/2),'I_Budget Input Data'!$D$91*0.6/('I_Inputs &amp; Assumptions'!$B$8/2)),IF('I_Budget Input Data'!$E$91="Mid-weighted",IF(32&lt;='I_Inputs &amp; Assumptions'!$B$8/4,'I_Budget Input Data'!$D$91*0.2/('I_Inputs &amp; Assumptions'!$B$8/4),IF(32&lt;='I_Inputs &amp; Assumptions'!$B$8*0.75,'I_Budget Input Data'!$D$91*0.6/('I_Inputs &amp; Assumptions'!$B$8/2),'I_Budget Input Data'!$D$91*0.2/('I_Inputs &amp; Assumptions'!$B$8/4))),IF('I_Budget Input Data'!$E$91="At Completion",IF(32='I_Inputs &amp; Assumptions'!$B$8,'I_Budget Input Data'!$D$91,0),'I_Budget Input Data'!$D$91/'I_Inputs &amp; Assumptions'!$B$8)))))),0)</f>
        <v>0</v>
      </c>
      <c r="AI91" s="91">
        <f>IF(33&lt;='I_Inputs &amp; Assumptions'!$B$8,IF('I_Budget Input Data'!$E$91="Upfront",IF(33=1,'I_Budget Input Data'!$D$91,0),IF('I_Budget Input Data'!$E$91="Equal",'I_Budget Input Data'!$D$91/'I_Inputs &amp; Assumptions'!$B$8,IF('I_Budget Input Data'!$E$91="Front-loaded",IF(33&lt;='I_Inputs &amp; Assumptions'!$B$8/2,'I_Budget Input Data'!$D$91*0.6/('I_Inputs &amp; Assumptions'!$B$8/2),'I_Budget Input Data'!$D$91*0.4/('I_Inputs &amp; Assumptions'!$B$8/2)),IF('I_Budget Input Data'!$E$91="Back-loaded",IF(33&lt;='I_Inputs &amp; Assumptions'!$B$8/2,'I_Budget Input Data'!$D$91*0.4/('I_Inputs &amp; Assumptions'!$B$8/2),'I_Budget Input Data'!$D$91*0.6/('I_Inputs &amp; Assumptions'!$B$8/2)),IF('I_Budget Input Data'!$E$91="Mid-weighted",IF(33&lt;='I_Inputs &amp; Assumptions'!$B$8/4,'I_Budget Input Data'!$D$91*0.2/('I_Inputs &amp; Assumptions'!$B$8/4),IF(33&lt;='I_Inputs &amp; Assumptions'!$B$8*0.75,'I_Budget Input Data'!$D$91*0.6/('I_Inputs &amp; Assumptions'!$B$8/2),'I_Budget Input Data'!$D$91*0.2/('I_Inputs &amp; Assumptions'!$B$8/4))),IF('I_Budget Input Data'!$E$91="At Completion",IF(33='I_Inputs &amp; Assumptions'!$B$8,'I_Budget Input Data'!$D$91,0),'I_Budget Input Data'!$D$91/'I_Inputs &amp; Assumptions'!$B$8)))))),0)</f>
        <v>0</v>
      </c>
      <c r="AJ91" s="91">
        <f>IF(34&lt;='I_Inputs &amp; Assumptions'!$B$8,IF('I_Budget Input Data'!$E$91="Upfront",IF(34=1,'I_Budget Input Data'!$D$91,0),IF('I_Budget Input Data'!$E$91="Equal",'I_Budget Input Data'!$D$91/'I_Inputs &amp; Assumptions'!$B$8,IF('I_Budget Input Data'!$E$91="Front-loaded",IF(34&lt;='I_Inputs &amp; Assumptions'!$B$8/2,'I_Budget Input Data'!$D$91*0.6/('I_Inputs &amp; Assumptions'!$B$8/2),'I_Budget Input Data'!$D$91*0.4/('I_Inputs &amp; Assumptions'!$B$8/2)),IF('I_Budget Input Data'!$E$91="Back-loaded",IF(34&lt;='I_Inputs &amp; Assumptions'!$B$8/2,'I_Budget Input Data'!$D$91*0.4/('I_Inputs &amp; Assumptions'!$B$8/2),'I_Budget Input Data'!$D$91*0.6/('I_Inputs &amp; Assumptions'!$B$8/2)),IF('I_Budget Input Data'!$E$91="Mid-weighted",IF(34&lt;='I_Inputs &amp; Assumptions'!$B$8/4,'I_Budget Input Data'!$D$91*0.2/('I_Inputs &amp; Assumptions'!$B$8/4),IF(34&lt;='I_Inputs &amp; Assumptions'!$B$8*0.75,'I_Budget Input Data'!$D$91*0.6/('I_Inputs &amp; Assumptions'!$B$8/2),'I_Budget Input Data'!$D$91*0.2/('I_Inputs &amp; Assumptions'!$B$8/4))),IF('I_Budget Input Data'!$E$91="At Completion",IF(34='I_Inputs &amp; Assumptions'!$B$8,'I_Budget Input Data'!$D$91,0),'I_Budget Input Data'!$D$91/'I_Inputs &amp; Assumptions'!$B$8)))))),0)</f>
        <v>0</v>
      </c>
      <c r="AK91" s="91">
        <f>IF(35&lt;='I_Inputs &amp; Assumptions'!$B$8,IF('I_Budget Input Data'!$E$91="Upfront",IF(35=1,'I_Budget Input Data'!$D$91,0),IF('I_Budget Input Data'!$E$91="Equal",'I_Budget Input Data'!$D$91/'I_Inputs &amp; Assumptions'!$B$8,IF('I_Budget Input Data'!$E$91="Front-loaded",IF(35&lt;='I_Inputs &amp; Assumptions'!$B$8/2,'I_Budget Input Data'!$D$91*0.6/('I_Inputs &amp; Assumptions'!$B$8/2),'I_Budget Input Data'!$D$91*0.4/('I_Inputs &amp; Assumptions'!$B$8/2)),IF('I_Budget Input Data'!$E$91="Back-loaded",IF(35&lt;='I_Inputs &amp; Assumptions'!$B$8/2,'I_Budget Input Data'!$D$91*0.4/('I_Inputs &amp; Assumptions'!$B$8/2),'I_Budget Input Data'!$D$91*0.6/('I_Inputs &amp; Assumptions'!$B$8/2)),IF('I_Budget Input Data'!$E$91="Mid-weighted",IF(35&lt;='I_Inputs &amp; Assumptions'!$B$8/4,'I_Budget Input Data'!$D$91*0.2/('I_Inputs &amp; Assumptions'!$B$8/4),IF(35&lt;='I_Inputs &amp; Assumptions'!$B$8*0.75,'I_Budget Input Data'!$D$91*0.6/('I_Inputs &amp; Assumptions'!$B$8/2),'I_Budget Input Data'!$D$91*0.2/('I_Inputs &amp; Assumptions'!$B$8/4))),IF('I_Budget Input Data'!$E$91="At Completion",IF(35='I_Inputs &amp; Assumptions'!$B$8,'I_Budget Input Data'!$D$91,0),'I_Budget Input Data'!$D$91/'I_Inputs &amp; Assumptions'!$B$8)))))),0)</f>
        <v>0</v>
      </c>
      <c r="AL91" s="91">
        <f>IF(36&lt;='I_Inputs &amp; Assumptions'!$B$8,IF('I_Budget Input Data'!$E$91="Upfront",IF(36=1,'I_Budget Input Data'!$D$91,0),IF('I_Budget Input Data'!$E$91="Equal",'I_Budget Input Data'!$D$91/'I_Inputs &amp; Assumptions'!$B$8,IF('I_Budget Input Data'!$E$91="Front-loaded",IF(36&lt;='I_Inputs &amp; Assumptions'!$B$8/2,'I_Budget Input Data'!$D$91*0.6/('I_Inputs &amp; Assumptions'!$B$8/2),'I_Budget Input Data'!$D$91*0.4/('I_Inputs &amp; Assumptions'!$B$8/2)),IF('I_Budget Input Data'!$E$91="Back-loaded",IF(36&lt;='I_Inputs &amp; Assumptions'!$B$8/2,'I_Budget Input Data'!$D$91*0.4/('I_Inputs &amp; Assumptions'!$B$8/2),'I_Budget Input Data'!$D$91*0.6/('I_Inputs &amp; Assumptions'!$B$8/2)),IF('I_Budget Input Data'!$E$91="Mid-weighted",IF(36&lt;='I_Inputs &amp; Assumptions'!$B$8/4,'I_Budget Input Data'!$D$91*0.2/('I_Inputs &amp; Assumptions'!$B$8/4),IF(36&lt;='I_Inputs &amp; Assumptions'!$B$8*0.75,'I_Budget Input Data'!$D$91*0.6/('I_Inputs &amp; Assumptions'!$B$8/2),'I_Budget Input Data'!$D$91*0.2/('I_Inputs &amp; Assumptions'!$B$8/4))),IF('I_Budget Input Data'!$E$91="At Completion",IF(36='I_Inputs &amp; Assumptions'!$B$8,'I_Budget Input Data'!$D$91,0),'I_Budget Input Data'!$D$91/'I_Inputs &amp; Assumptions'!$B$8)))))),0)</f>
        <v>0</v>
      </c>
    </row>
    <row r="92" spans="1:38" ht="15" customHeight="1" x14ac:dyDescent="0.2">
      <c r="A92" t="s">
        <v>146</v>
      </c>
      <c r="C92" s="91">
        <v>0</v>
      </c>
      <c r="D92" s="91">
        <v>0</v>
      </c>
      <c r="E92" s="91">
        <v>0</v>
      </c>
      <c r="F92" s="91">
        <v>0</v>
      </c>
      <c r="G92" s="91">
        <v>0</v>
      </c>
      <c r="H92" s="91">
        <v>0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0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0</v>
      </c>
      <c r="W92" s="91">
        <v>0</v>
      </c>
      <c r="X92" s="91">
        <v>0</v>
      </c>
      <c r="Y92" s="91">
        <v>0</v>
      </c>
      <c r="Z92" s="91">
        <v>0</v>
      </c>
      <c r="AA92" s="91">
        <v>0</v>
      </c>
      <c r="AB92" s="91">
        <v>0</v>
      </c>
      <c r="AC92" s="91">
        <v>0</v>
      </c>
      <c r="AD92" s="91">
        <v>0</v>
      </c>
      <c r="AE92" s="91">
        <v>0</v>
      </c>
      <c r="AF92" s="91">
        <v>0</v>
      </c>
      <c r="AG92" s="91">
        <v>0</v>
      </c>
      <c r="AH92" s="91">
        <v>0</v>
      </c>
      <c r="AI92" s="91">
        <v>0</v>
      </c>
      <c r="AJ92" s="91">
        <v>0</v>
      </c>
      <c r="AK92" s="91">
        <v>0</v>
      </c>
      <c r="AL92" s="91">
        <v>0</v>
      </c>
    </row>
    <row r="93" spans="1:38" ht="15" customHeight="1" x14ac:dyDescent="0.2">
      <c r="A93" t="s">
        <v>146</v>
      </c>
      <c r="B93" t="s">
        <v>211</v>
      </c>
      <c r="C93" s="91">
        <f>IF(1&lt;='I_Inputs &amp; Assumptions'!$B$8,IF('I_Budget Input Data'!$E$93="Upfront",IF(1=1,'I_Budget Input Data'!$D$93,0),IF('I_Budget Input Data'!$E$93="Equal",'I_Budget Input Data'!$D$93/'I_Inputs &amp; Assumptions'!$B$8,IF('I_Budget Input Data'!$E$93="Front-loaded",IF(1&lt;='I_Inputs &amp; Assumptions'!$B$8/2,'I_Budget Input Data'!$D$93*0.6/('I_Inputs &amp; Assumptions'!$B$8/2),'I_Budget Input Data'!$D$93*0.4/('I_Inputs &amp; Assumptions'!$B$8/2)),IF('I_Budget Input Data'!$E$93="Back-loaded",IF(1&lt;='I_Inputs &amp; Assumptions'!$B$8/2,'I_Budget Input Data'!$D$93*0.4/('I_Inputs &amp; Assumptions'!$B$8/2),'I_Budget Input Data'!$D$93*0.6/('I_Inputs &amp; Assumptions'!$B$8/2)),IF('I_Budget Input Data'!$E$93="Mid-weighted",IF(1&lt;='I_Inputs &amp; Assumptions'!$B$8/4,'I_Budget Input Data'!$D$93*0.2/('I_Inputs &amp; Assumptions'!$B$8/4),IF(1&lt;='I_Inputs &amp; Assumptions'!$B$8*0.75,'I_Budget Input Data'!$D$93*0.6/('I_Inputs &amp; Assumptions'!$B$8/2),'I_Budget Input Data'!$D$93*0.2/('I_Inputs &amp; Assumptions'!$B$8/4))),IF('I_Budget Input Data'!$E$93="At Completion",IF(1='I_Inputs &amp; Assumptions'!$B$8,'I_Budget Input Data'!$D$93,0),'I_Budget Input Data'!$D$93/'I_Inputs &amp; Assumptions'!$B$8)))))),0)</f>
        <v>10947.692307692309</v>
      </c>
      <c r="D93" s="91">
        <f>IF(2&lt;='I_Inputs &amp; Assumptions'!$B$8,IF('I_Budget Input Data'!$E$93="Upfront",IF(2=1,'I_Budget Input Data'!$D$93,0),IF('I_Budget Input Data'!$E$93="Equal",'I_Budget Input Data'!$D$93/'I_Inputs &amp; Assumptions'!$B$8,IF('I_Budget Input Data'!$E$93="Front-loaded",IF(2&lt;='I_Inputs &amp; Assumptions'!$B$8/2,'I_Budget Input Data'!$D$93*0.6/('I_Inputs &amp; Assumptions'!$B$8/2),'I_Budget Input Data'!$D$93*0.4/('I_Inputs &amp; Assumptions'!$B$8/2)),IF('I_Budget Input Data'!$E$93="Back-loaded",IF(2&lt;='I_Inputs &amp; Assumptions'!$B$8/2,'I_Budget Input Data'!$D$93*0.4/('I_Inputs &amp; Assumptions'!$B$8/2),'I_Budget Input Data'!$D$93*0.6/('I_Inputs &amp; Assumptions'!$B$8/2)),IF('I_Budget Input Data'!$E$93="Mid-weighted",IF(2&lt;='I_Inputs &amp; Assumptions'!$B$8/4,'I_Budget Input Data'!$D$93*0.2/('I_Inputs &amp; Assumptions'!$B$8/4),IF(2&lt;='I_Inputs &amp; Assumptions'!$B$8*0.75,'I_Budget Input Data'!$D$93*0.6/('I_Inputs &amp; Assumptions'!$B$8/2),'I_Budget Input Data'!$D$93*0.2/('I_Inputs &amp; Assumptions'!$B$8/4))),IF('I_Budget Input Data'!$E$93="At Completion",IF(2='I_Inputs &amp; Assumptions'!$B$8,'I_Budget Input Data'!$D$93,0),'I_Budget Input Data'!$D$93/'I_Inputs &amp; Assumptions'!$B$8)))))),0)</f>
        <v>10947.692307692309</v>
      </c>
      <c r="E93" s="91">
        <f>IF(3&lt;='I_Inputs &amp; Assumptions'!$B$8,IF('I_Budget Input Data'!$E$93="Upfront",IF(3=1,'I_Budget Input Data'!$D$93,0),IF('I_Budget Input Data'!$E$93="Equal",'I_Budget Input Data'!$D$93/'I_Inputs &amp; Assumptions'!$B$8,IF('I_Budget Input Data'!$E$93="Front-loaded",IF(3&lt;='I_Inputs &amp; Assumptions'!$B$8/2,'I_Budget Input Data'!$D$93*0.6/('I_Inputs &amp; Assumptions'!$B$8/2),'I_Budget Input Data'!$D$93*0.4/('I_Inputs &amp; Assumptions'!$B$8/2)),IF('I_Budget Input Data'!$E$93="Back-loaded",IF(3&lt;='I_Inputs &amp; Assumptions'!$B$8/2,'I_Budget Input Data'!$D$93*0.4/('I_Inputs &amp; Assumptions'!$B$8/2),'I_Budget Input Data'!$D$93*0.6/('I_Inputs &amp; Assumptions'!$B$8/2)),IF('I_Budget Input Data'!$E$93="Mid-weighted",IF(3&lt;='I_Inputs &amp; Assumptions'!$B$8/4,'I_Budget Input Data'!$D$93*0.2/('I_Inputs &amp; Assumptions'!$B$8/4),IF(3&lt;='I_Inputs &amp; Assumptions'!$B$8*0.75,'I_Budget Input Data'!$D$93*0.6/('I_Inputs &amp; Assumptions'!$B$8/2),'I_Budget Input Data'!$D$93*0.2/('I_Inputs &amp; Assumptions'!$B$8/4))),IF('I_Budget Input Data'!$E$93="At Completion",IF(3='I_Inputs &amp; Assumptions'!$B$8,'I_Budget Input Data'!$D$93,0),'I_Budget Input Data'!$D$93/'I_Inputs &amp; Assumptions'!$B$8)))))),0)</f>
        <v>10947.692307692309</v>
      </c>
      <c r="F93" s="91">
        <f>IF(4&lt;='I_Inputs &amp; Assumptions'!$B$8,IF('I_Budget Input Data'!$E$93="Upfront",IF(4=1,'I_Budget Input Data'!$D$93,0),IF('I_Budget Input Data'!$E$93="Equal",'I_Budget Input Data'!$D$93/'I_Inputs &amp; Assumptions'!$B$8,IF('I_Budget Input Data'!$E$93="Front-loaded",IF(4&lt;='I_Inputs &amp; Assumptions'!$B$8/2,'I_Budget Input Data'!$D$93*0.6/('I_Inputs &amp; Assumptions'!$B$8/2),'I_Budget Input Data'!$D$93*0.4/('I_Inputs &amp; Assumptions'!$B$8/2)),IF('I_Budget Input Data'!$E$93="Back-loaded",IF(4&lt;='I_Inputs &amp; Assumptions'!$B$8/2,'I_Budget Input Data'!$D$93*0.4/('I_Inputs &amp; Assumptions'!$B$8/2),'I_Budget Input Data'!$D$93*0.6/('I_Inputs &amp; Assumptions'!$B$8/2)),IF('I_Budget Input Data'!$E$93="Mid-weighted",IF(4&lt;='I_Inputs &amp; Assumptions'!$B$8/4,'I_Budget Input Data'!$D$93*0.2/('I_Inputs &amp; Assumptions'!$B$8/4),IF(4&lt;='I_Inputs &amp; Assumptions'!$B$8*0.75,'I_Budget Input Data'!$D$93*0.6/('I_Inputs &amp; Assumptions'!$B$8/2),'I_Budget Input Data'!$D$93*0.2/('I_Inputs &amp; Assumptions'!$B$8/4))),IF('I_Budget Input Data'!$E$93="At Completion",IF(4='I_Inputs &amp; Assumptions'!$B$8,'I_Budget Input Data'!$D$93,0),'I_Budget Input Data'!$D$93/'I_Inputs &amp; Assumptions'!$B$8)))))),0)</f>
        <v>10947.692307692309</v>
      </c>
      <c r="G93" s="91">
        <f>IF(5&lt;='I_Inputs &amp; Assumptions'!$B$8,IF('I_Budget Input Data'!$E$93="Upfront",IF(5=1,'I_Budget Input Data'!$D$93,0),IF('I_Budget Input Data'!$E$93="Equal",'I_Budget Input Data'!$D$93/'I_Inputs &amp; Assumptions'!$B$8,IF('I_Budget Input Data'!$E$93="Front-loaded",IF(5&lt;='I_Inputs &amp; Assumptions'!$B$8/2,'I_Budget Input Data'!$D$93*0.6/('I_Inputs &amp; Assumptions'!$B$8/2),'I_Budget Input Data'!$D$93*0.4/('I_Inputs &amp; Assumptions'!$B$8/2)),IF('I_Budget Input Data'!$E$93="Back-loaded",IF(5&lt;='I_Inputs &amp; Assumptions'!$B$8/2,'I_Budget Input Data'!$D$93*0.4/('I_Inputs &amp; Assumptions'!$B$8/2),'I_Budget Input Data'!$D$93*0.6/('I_Inputs &amp; Assumptions'!$B$8/2)),IF('I_Budget Input Data'!$E$93="Mid-weighted",IF(5&lt;='I_Inputs &amp; Assumptions'!$B$8/4,'I_Budget Input Data'!$D$93*0.2/('I_Inputs &amp; Assumptions'!$B$8/4),IF(5&lt;='I_Inputs &amp; Assumptions'!$B$8*0.75,'I_Budget Input Data'!$D$93*0.6/('I_Inputs &amp; Assumptions'!$B$8/2),'I_Budget Input Data'!$D$93*0.2/('I_Inputs &amp; Assumptions'!$B$8/4))),IF('I_Budget Input Data'!$E$93="At Completion",IF(5='I_Inputs &amp; Assumptions'!$B$8,'I_Budget Input Data'!$D$93,0),'I_Budget Input Data'!$D$93/'I_Inputs &amp; Assumptions'!$B$8)))))),0)</f>
        <v>10947.692307692309</v>
      </c>
      <c r="H93" s="91">
        <f>IF(6&lt;='I_Inputs &amp; Assumptions'!$B$8,IF('I_Budget Input Data'!$E$93="Upfront",IF(6=1,'I_Budget Input Data'!$D$93,0),IF('I_Budget Input Data'!$E$93="Equal",'I_Budget Input Data'!$D$93/'I_Inputs &amp; Assumptions'!$B$8,IF('I_Budget Input Data'!$E$93="Front-loaded",IF(6&lt;='I_Inputs &amp; Assumptions'!$B$8/2,'I_Budget Input Data'!$D$93*0.6/('I_Inputs &amp; Assumptions'!$B$8/2),'I_Budget Input Data'!$D$93*0.4/('I_Inputs &amp; Assumptions'!$B$8/2)),IF('I_Budget Input Data'!$E$93="Back-loaded",IF(6&lt;='I_Inputs &amp; Assumptions'!$B$8/2,'I_Budget Input Data'!$D$93*0.4/('I_Inputs &amp; Assumptions'!$B$8/2),'I_Budget Input Data'!$D$93*0.6/('I_Inputs &amp; Assumptions'!$B$8/2)),IF('I_Budget Input Data'!$E$93="Mid-weighted",IF(6&lt;='I_Inputs &amp; Assumptions'!$B$8/4,'I_Budget Input Data'!$D$93*0.2/('I_Inputs &amp; Assumptions'!$B$8/4),IF(6&lt;='I_Inputs &amp; Assumptions'!$B$8*0.75,'I_Budget Input Data'!$D$93*0.6/('I_Inputs &amp; Assumptions'!$B$8/2),'I_Budget Input Data'!$D$93*0.2/('I_Inputs &amp; Assumptions'!$B$8/4))),IF('I_Budget Input Data'!$E$93="At Completion",IF(6='I_Inputs &amp; Assumptions'!$B$8,'I_Budget Input Data'!$D$93,0),'I_Budget Input Data'!$D$93/'I_Inputs &amp; Assumptions'!$B$8)))))),0)</f>
        <v>10947.692307692309</v>
      </c>
      <c r="I93" s="91">
        <f>IF(7&lt;='I_Inputs &amp; Assumptions'!$B$8,IF('I_Budget Input Data'!$E$93="Upfront",IF(7=1,'I_Budget Input Data'!$D$93,0),IF('I_Budget Input Data'!$E$93="Equal",'I_Budget Input Data'!$D$93/'I_Inputs &amp; Assumptions'!$B$8,IF('I_Budget Input Data'!$E$93="Front-loaded",IF(7&lt;='I_Inputs &amp; Assumptions'!$B$8/2,'I_Budget Input Data'!$D$93*0.6/('I_Inputs &amp; Assumptions'!$B$8/2),'I_Budget Input Data'!$D$93*0.4/('I_Inputs &amp; Assumptions'!$B$8/2)),IF('I_Budget Input Data'!$E$93="Back-loaded",IF(7&lt;='I_Inputs &amp; Assumptions'!$B$8/2,'I_Budget Input Data'!$D$93*0.4/('I_Inputs &amp; Assumptions'!$B$8/2),'I_Budget Input Data'!$D$93*0.6/('I_Inputs &amp; Assumptions'!$B$8/2)),IF('I_Budget Input Data'!$E$93="Mid-weighted",IF(7&lt;='I_Inputs &amp; Assumptions'!$B$8/4,'I_Budget Input Data'!$D$93*0.2/('I_Inputs &amp; Assumptions'!$B$8/4),IF(7&lt;='I_Inputs &amp; Assumptions'!$B$8*0.75,'I_Budget Input Data'!$D$93*0.6/('I_Inputs &amp; Assumptions'!$B$8/2),'I_Budget Input Data'!$D$93*0.2/('I_Inputs &amp; Assumptions'!$B$8/4))),IF('I_Budget Input Data'!$E$93="At Completion",IF(7='I_Inputs &amp; Assumptions'!$B$8,'I_Budget Input Data'!$D$93,0),'I_Budget Input Data'!$D$93/'I_Inputs &amp; Assumptions'!$B$8)))))),0)</f>
        <v>16421.538461538461</v>
      </c>
      <c r="J93" s="91">
        <f>IF(8&lt;='I_Inputs &amp; Assumptions'!$B$8,IF('I_Budget Input Data'!$E$93="Upfront",IF(8=1,'I_Budget Input Data'!$D$93,0),IF('I_Budget Input Data'!$E$93="Equal",'I_Budget Input Data'!$D$93/'I_Inputs &amp; Assumptions'!$B$8,IF('I_Budget Input Data'!$E$93="Front-loaded",IF(8&lt;='I_Inputs &amp; Assumptions'!$B$8/2,'I_Budget Input Data'!$D$93*0.6/('I_Inputs &amp; Assumptions'!$B$8/2),'I_Budget Input Data'!$D$93*0.4/('I_Inputs &amp; Assumptions'!$B$8/2)),IF('I_Budget Input Data'!$E$93="Back-loaded",IF(8&lt;='I_Inputs &amp; Assumptions'!$B$8/2,'I_Budget Input Data'!$D$93*0.4/('I_Inputs &amp; Assumptions'!$B$8/2),'I_Budget Input Data'!$D$93*0.6/('I_Inputs &amp; Assumptions'!$B$8/2)),IF('I_Budget Input Data'!$E$93="Mid-weighted",IF(8&lt;='I_Inputs &amp; Assumptions'!$B$8/4,'I_Budget Input Data'!$D$93*0.2/('I_Inputs &amp; Assumptions'!$B$8/4),IF(8&lt;='I_Inputs &amp; Assumptions'!$B$8*0.75,'I_Budget Input Data'!$D$93*0.6/('I_Inputs &amp; Assumptions'!$B$8/2),'I_Budget Input Data'!$D$93*0.2/('I_Inputs &amp; Assumptions'!$B$8/4))),IF('I_Budget Input Data'!$E$93="At Completion",IF(8='I_Inputs &amp; Assumptions'!$B$8,'I_Budget Input Data'!$D$93,0),'I_Budget Input Data'!$D$93/'I_Inputs &amp; Assumptions'!$B$8)))))),0)</f>
        <v>16421.538461538461</v>
      </c>
      <c r="K93" s="91">
        <f>IF(9&lt;='I_Inputs &amp; Assumptions'!$B$8,IF('I_Budget Input Data'!$E$93="Upfront",IF(9=1,'I_Budget Input Data'!$D$93,0),IF('I_Budget Input Data'!$E$93="Equal",'I_Budget Input Data'!$D$93/'I_Inputs &amp; Assumptions'!$B$8,IF('I_Budget Input Data'!$E$93="Front-loaded",IF(9&lt;='I_Inputs &amp; Assumptions'!$B$8/2,'I_Budget Input Data'!$D$93*0.6/('I_Inputs &amp; Assumptions'!$B$8/2),'I_Budget Input Data'!$D$93*0.4/('I_Inputs &amp; Assumptions'!$B$8/2)),IF('I_Budget Input Data'!$E$93="Back-loaded",IF(9&lt;='I_Inputs &amp; Assumptions'!$B$8/2,'I_Budget Input Data'!$D$93*0.4/('I_Inputs &amp; Assumptions'!$B$8/2),'I_Budget Input Data'!$D$93*0.6/('I_Inputs &amp; Assumptions'!$B$8/2)),IF('I_Budget Input Data'!$E$93="Mid-weighted",IF(9&lt;='I_Inputs &amp; Assumptions'!$B$8/4,'I_Budget Input Data'!$D$93*0.2/('I_Inputs &amp; Assumptions'!$B$8/4),IF(9&lt;='I_Inputs &amp; Assumptions'!$B$8*0.75,'I_Budget Input Data'!$D$93*0.6/('I_Inputs &amp; Assumptions'!$B$8/2),'I_Budget Input Data'!$D$93*0.2/('I_Inputs &amp; Assumptions'!$B$8/4))),IF('I_Budget Input Data'!$E$93="At Completion",IF(9='I_Inputs &amp; Assumptions'!$B$8,'I_Budget Input Data'!$D$93,0),'I_Budget Input Data'!$D$93/'I_Inputs &amp; Assumptions'!$B$8)))))),0)</f>
        <v>16421.538461538461</v>
      </c>
      <c r="L93" s="91">
        <f>IF(10&lt;='I_Inputs &amp; Assumptions'!$B$8,IF('I_Budget Input Data'!$E$93="Upfront",IF(10=1,'I_Budget Input Data'!$D$93,0),IF('I_Budget Input Data'!$E$93="Equal",'I_Budget Input Data'!$D$93/'I_Inputs &amp; Assumptions'!$B$8,IF('I_Budget Input Data'!$E$93="Front-loaded",IF(10&lt;='I_Inputs &amp; Assumptions'!$B$8/2,'I_Budget Input Data'!$D$93*0.6/('I_Inputs &amp; Assumptions'!$B$8/2),'I_Budget Input Data'!$D$93*0.4/('I_Inputs &amp; Assumptions'!$B$8/2)),IF('I_Budget Input Data'!$E$93="Back-loaded",IF(10&lt;='I_Inputs &amp; Assumptions'!$B$8/2,'I_Budget Input Data'!$D$93*0.4/('I_Inputs &amp; Assumptions'!$B$8/2),'I_Budget Input Data'!$D$93*0.6/('I_Inputs &amp; Assumptions'!$B$8/2)),IF('I_Budget Input Data'!$E$93="Mid-weighted",IF(10&lt;='I_Inputs &amp; Assumptions'!$B$8/4,'I_Budget Input Data'!$D$93*0.2/('I_Inputs &amp; Assumptions'!$B$8/4),IF(10&lt;='I_Inputs &amp; Assumptions'!$B$8*0.75,'I_Budget Input Data'!$D$93*0.6/('I_Inputs &amp; Assumptions'!$B$8/2),'I_Budget Input Data'!$D$93*0.2/('I_Inputs &amp; Assumptions'!$B$8/4))),IF('I_Budget Input Data'!$E$93="At Completion",IF(10='I_Inputs &amp; Assumptions'!$B$8,'I_Budget Input Data'!$D$93,0),'I_Budget Input Data'!$D$93/'I_Inputs &amp; Assumptions'!$B$8)))))),0)</f>
        <v>16421.538461538461</v>
      </c>
      <c r="M93" s="91">
        <f>IF(11&lt;='I_Inputs &amp; Assumptions'!$B$8,IF('I_Budget Input Data'!$E$93="Upfront",IF(11=1,'I_Budget Input Data'!$D$93,0),IF('I_Budget Input Data'!$E$93="Equal",'I_Budget Input Data'!$D$93/'I_Inputs &amp; Assumptions'!$B$8,IF('I_Budget Input Data'!$E$93="Front-loaded",IF(11&lt;='I_Inputs &amp; Assumptions'!$B$8/2,'I_Budget Input Data'!$D$93*0.6/('I_Inputs &amp; Assumptions'!$B$8/2),'I_Budget Input Data'!$D$93*0.4/('I_Inputs &amp; Assumptions'!$B$8/2)),IF('I_Budget Input Data'!$E$93="Back-loaded",IF(11&lt;='I_Inputs &amp; Assumptions'!$B$8/2,'I_Budget Input Data'!$D$93*0.4/('I_Inputs &amp; Assumptions'!$B$8/2),'I_Budget Input Data'!$D$93*0.6/('I_Inputs &amp; Assumptions'!$B$8/2)),IF('I_Budget Input Data'!$E$93="Mid-weighted",IF(11&lt;='I_Inputs &amp; Assumptions'!$B$8/4,'I_Budget Input Data'!$D$93*0.2/('I_Inputs &amp; Assumptions'!$B$8/4),IF(11&lt;='I_Inputs &amp; Assumptions'!$B$8*0.75,'I_Budget Input Data'!$D$93*0.6/('I_Inputs &amp; Assumptions'!$B$8/2),'I_Budget Input Data'!$D$93*0.2/('I_Inputs &amp; Assumptions'!$B$8/4))),IF('I_Budget Input Data'!$E$93="At Completion",IF(11='I_Inputs &amp; Assumptions'!$B$8,'I_Budget Input Data'!$D$93,0),'I_Budget Input Data'!$D$93/'I_Inputs &amp; Assumptions'!$B$8)))))),0)</f>
        <v>16421.538461538461</v>
      </c>
      <c r="N93" s="91">
        <f>IF(12&lt;='I_Inputs &amp; Assumptions'!$B$8,IF('I_Budget Input Data'!$E$93="Upfront",IF(12=1,'I_Budget Input Data'!$D$93,0),IF('I_Budget Input Data'!$E$93="Equal",'I_Budget Input Data'!$D$93/'I_Inputs &amp; Assumptions'!$B$8,IF('I_Budget Input Data'!$E$93="Front-loaded",IF(12&lt;='I_Inputs &amp; Assumptions'!$B$8/2,'I_Budget Input Data'!$D$93*0.6/('I_Inputs &amp; Assumptions'!$B$8/2),'I_Budget Input Data'!$D$93*0.4/('I_Inputs &amp; Assumptions'!$B$8/2)),IF('I_Budget Input Data'!$E$93="Back-loaded",IF(12&lt;='I_Inputs &amp; Assumptions'!$B$8/2,'I_Budget Input Data'!$D$93*0.4/('I_Inputs &amp; Assumptions'!$B$8/2),'I_Budget Input Data'!$D$93*0.6/('I_Inputs &amp; Assumptions'!$B$8/2)),IF('I_Budget Input Data'!$E$93="Mid-weighted",IF(12&lt;='I_Inputs &amp; Assumptions'!$B$8/4,'I_Budget Input Data'!$D$93*0.2/('I_Inputs &amp; Assumptions'!$B$8/4),IF(12&lt;='I_Inputs &amp; Assumptions'!$B$8*0.75,'I_Budget Input Data'!$D$93*0.6/('I_Inputs &amp; Assumptions'!$B$8/2),'I_Budget Input Data'!$D$93*0.2/('I_Inputs &amp; Assumptions'!$B$8/4))),IF('I_Budget Input Data'!$E$93="At Completion",IF(12='I_Inputs &amp; Assumptions'!$B$8,'I_Budget Input Data'!$D$93,0),'I_Budget Input Data'!$D$93/'I_Inputs &amp; Assumptions'!$B$8)))))),0)</f>
        <v>16421.538461538461</v>
      </c>
      <c r="O93" s="91">
        <f>IF(13&lt;='I_Inputs &amp; Assumptions'!$B$8,IF('I_Budget Input Data'!$E$93="Upfront",IF(13=1,'I_Budget Input Data'!$D$93,0),IF('I_Budget Input Data'!$E$93="Equal",'I_Budget Input Data'!$D$93/'I_Inputs &amp; Assumptions'!$B$8,IF('I_Budget Input Data'!$E$93="Front-loaded",IF(13&lt;='I_Inputs &amp; Assumptions'!$B$8/2,'I_Budget Input Data'!$D$93*0.6/('I_Inputs &amp; Assumptions'!$B$8/2),'I_Budget Input Data'!$D$93*0.4/('I_Inputs &amp; Assumptions'!$B$8/2)),IF('I_Budget Input Data'!$E$93="Back-loaded",IF(13&lt;='I_Inputs &amp; Assumptions'!$B$8/2,'I_Budget Input Data'!$D$93*0.4/('I_Inputs &amp; Assumptions'!$B$8/2),'I_Budget Input Data'!$D$93*0.6/('I_Inputs &amp; Assumptions'!$B$8/2)),IF('I_Budget Input Data'!$E$93="Mid-weighted",IF(13&lt;='I_Inputs &amp; Assumptions'!$B$8/4,'I_Budget Input Data'!$D$93*0.2/('I_Inputs &amp; Assumptions'!$B$8/4),IF(13&lt;='I_Inputs &amp; Assumptions'!$B$8*0.75,'I_Budget Input Data'!$D$93*0.6/('I_Inputs &amp; Assumptions'!$B$8/2),'I_Budget Input Data'!$D$93*0.2/('I_Inputs &amp; Assumptions'!$B$8/4))),IF('I_Budget Input Data'!$E$93="At Completion",IF(13='I_Inputs &amp; Assumptions'!$B$8,'I_Budget Input Data'!$D$93,0),'I_Budget Input Data'!$D$93/'I_Inputs &amp; Assumptions'!$B$8)))))),0)</f>
        <v>16421.538461538461</v>
      </c>
      <c r="P93" s="91">
        <f>IF(14&lt;='I_Inputs &amp; Assumptions'!$B$8,IF('I_Budget Input Data'!$E$93="Upfront",IF(14=1,'I_Budget Input Data'!$D$93,0),IF('I_Budget Input Data'!$E$93="Equal",'I_Budget Input Data'!$D$93/'I_Inputs &amp; Assumptions'!$B$8,IF('I_Budget Input Data'!$E$93="Front-loaded",IF(14&lt;='I_Inputs &amp; Assumptions'!$B$8/2,'I_Budget Input Data'!$D$93*0.6/('I_Inputs &amp; Assumptions'!$B$8/2),'I_Budget Input Data'!$D$93*0.4/('I_Inputs &amp; Assumptions'!$B$8/2)),IF('I_Budget Input Data'!$E$93="Back-loaded",IF(14&lt;='I_Inputs &amp; Assumptions'!$B$8/2,'I_Budget Input Data'!$D$93*0.4/('I_Inputs &amp; Assumptions'!$B$8/2),'I_Budget Input Data'!$D$93*0.6/('I_Inputs &amp; Assumptions'!$B$8/2)),IF('I_Budget Input Data'!$E$93="Mid-weighted",IF(14&lt;='I_Inputs &amp; Assumptions'!$B$8/4,'I_Budget Input Data'!$D$93*0.2/('I_Inputs &amp; Assumptions'!$B$8/4),IF(14&lt;='I_Inputs &amp; Assumptions'!$B$8*0.75,'I_Budget Input Data'!$D$93*0.6/('I_Inputs &amp; Assumptions'!$B$8/2),'I_Budget Input Data'!$D$93*0.2/('I_Inputs &amp; Assumptions'!$B$8/4))),IF('I_Budget Input Data'!$E$93="At Completion",IF(14='I_Inputs &amp; Assumptions'!$B$8,'I_Budget Input Data'!$D$93,0),'I_Budget Input Data'!$D$93/'I_Inputs &amp; Assumptions'!$B$8)))))),0)</f>
        <v>0</v>
      </c>
      <c r="Q93" s="91">
        <f>IF(15&lt;='I_Inputs &amp; Assumptions'!$B$8,IF('I_Budget Input Data'!$E$93="Upfront",IF(15=1,'I_Budget Input Data'!$D$93,0),IF('I_Budget Input Data'!$E$93="Equal",'I_Budget Input Data'!$D$93/'I_Inputs &amp; Assumptions'!$B$8,IF('I_Budget Input Data'!$E$93="Front-loaded",IF(15&lt;='I_Inputs &amp; Assumptions'!$B$8/2,'I_Budget Input Data'!$D$93*0.6/('I_Inputs &amp; Assumptions'!$B$8/2),'I_Budget Input Data'!$D$93*0.4/('I_Inputs &amp; Assumptions'!$B$8/2)),IF('I_Budget Input Data'!$E$93="Back-loaded",IF(15&lt;='I_Inputs &amp; Assumptions'!$B$8/2,'I_Budget Input Data'!$D$93*0.4/('I_Inputs &amp; Assumptions'!$B$8/2),'I_Budget Input Data'!$D$93*0.6/('I_Inputs &amp; Assumptions'!$B$8/2)),IF('I_Budget Input Data'!$E$93="Mid-weighted",IF(15&lt;='I_Inputs &amp; Assumptions'!$B$8/4,'I_Budget Input Data'!$D$93*0.2/('I_Inputs &amp; Assumptions'!$B$8/4),IF(15&lt;='I_Inputs &amp; Assumptions'!$B$8*0.75,'I_Budget Input Data'!$D$93*0.6/('I_Inputs &amp; Assumptions'!$B$8/2),'I_Budget Input Data'!$D$93*0.2/('I_Inputs &amp; Assumptions'!$B$8/4))),IF('I_Budget Input Data'!$E$93="At Completion",IF(15='I_Inputs &amp; Assumptions'!$B$8,'I_Budget Input Data'!$D$93,0),'I_Budget Input Data'!$D$93/'I_Inputs &amp; Assumptions'!$B$8)))))),0)</f>
        <v>0</v>
      </c>
      <c r="R93" s="91">
        <f>IF(16&lt;='I_Inputs &amp; Assumptions'!$B$8,IF('I_Budget Input Data'!$E$93="Upfront",IF(16=1,'I_Budget Input Data'!$D$93,0),IF('I_Budget Input Data'!$E$93="Equal",'I_Budget Input Data'!$D$93/'I_Inputs &amp; Assumptions'!$B$8,IF('I_Budget Input Data'!$E$93="Front-loaded",IF(16&lt;='I_Inputs &amp; Assumptions'!$B$8/2,'I_Budget Input Data'!$D$93*0.6/('I_Inputs &amp; Assumptions'!$B$8/2),'I_Budget Input Data'!$D$93*0.4/('I_Inputs &amp; Assumptions'!$B$8/2)),IF('I_Budget Input Data'!$E$93="Back-loaded",IF(16&lt;='I_Inputs &amp; Assumptions'!$B$8/2,'I_Budget Input Data'!$D$93*0.4/('I_Inputs &amp; Assumptions'!$B$8/2),'I_Budget Input Data'!$D$93*0.6/('I_Inputs &amp; Assumptions'!$B$8/2)),IF('I_Budget Input Data'!$E$93="Mid-weighted",IF(16&lt;='I_Inputs &amp; Assumptions'!$B$8/4,'I_Budget Input Data'!$D$93*0.2/('I_Inputs &amp; Assumptions'!$B$8/4),IF(16&lt;='I_Inputs &amp; Assumptions'!$B$8*0.75,'I_Budget Input Data'!$D$93*0.6/('I_Inputs &amp; Assumptions'!$B$8/2),'I_Budget Input Data'!$D$93*0.2/('I_Inputs &amp; Assumptions'!$B$8/4))),IF('I_Budget Input Data'!$E$93="At Completion",IF(16='I_Inputs &amp; Assumptions'!$B$8,'I_Budget Input Data'!$D$93,0),'I_Budget Input Data'!$D$93/'I_Inputs &amp; Assumptions'!$B$8)))))),0)</f>
        <v>0</v>
      </c>
      <c r="S93" s="91">
        <f>IF(17&lt;='I_Inputs &amp; Assumptions'!$B$8,IF('I_Budget Input Data'!$E$93="Upfront",IF(17=1,'I_Budget Input Data'!$D$93,0),IF('I_Budget Input Data'!$E$93="Equal",'I_Budget Input Data'!$D$93/'I_Inputs &amp; Assumptions'!$B$8,IF('I_Budget Input Data'!$E$93="Front-loaded",IF(17&lt;='I_Inputs &amp; Assumptions'!$B$8/2,'I_Budget Input Data'!$D$93*0.6/('I_Inputs &amp; Assumptions'!$B$8/2),'I_Budget Input Data'!$D$93*0.4/('I_Inputs &amp; Assumptions'!$B$8/2)),IF('I_Budget Input Data'!$E$93="Back-loaded",IF(17&lt;='I_Inputs &amp; Assumptions'!$B$8/2,'I_Budget Input Data'!$D$93*0.4/('I_Inputs &amp; Assumptions'!$B$8/2),'I_Budget Input Data'!$D$93*0.6/('I_Inputs &amp; Assumptions'!$B$8/2)),IF('I_Budget Input Data'!$E$93="Mid-weighted",IF(17&lt;='I_Inputs &amp; Assumptions'!$B$8/4,'I_Budget Input Data'!$D$93*0.2/('I_Inputs &amp; Assumptions'!$B$8/4),IF(17&lt;='I_Inputs &amp; Assumptions'!$B$8*0.75,'I_Budget Input Data'!$D$93*0.6/('I_Inputs &amp; Assumptions'!$B$8/2),'I_Budget Input Data'!$D$93*0.2/('I_Inputs &amp; Assumptions'!$B$8/4))),IF('I_Budget Input Data'!$E$93="At Completion",IF(17='I_Inputs &amp; Assumptions'!$B$8,'I_Budget Input Data'!$D$93,0),'I_Budget Input Data'!$D$93/'I_Inputs &amp; Assumptions'!$B$8)))))),0)</f>
        <v>0</v>
      </c>
      <c r="T93" s="91">
        <f>IF(18&lt;='I_Inputs &amp; Assumptions'!$B$8,IF('I_Budget Input Data'!$E$93="Upfront",IF(18=1,'I_Budget Input Data'!$D$93,0),IF('I_Budget Input Data'!$E$93="Equal",'I_Budget Input Data'!$D$93/'I_Inputs &amp; Assumptions'!$B$8,IF('I_Budget Input Data'!$E$93="Front-loaded",IF(18&lt;='I_Inputs &amp; Assumptions'!$B$8/2,'I_Budget Input Data'!$D$93*0.6/('I_Inputs &amp; Assumptions'!$B$8/2),'I_Budget Input Data'!$D$93*0.4/('I_Inputs &amp; Assumptions'!$B$8/2)),IF('I_Budget Input Data'!$E$93="Back-loaded",IF(18&lt;='I_Inputs &amp; Assumptions'!$B$8/2,'I_Budget Input Data'!$D$93*0.4/('I_Inputs &amp; Assumptions'!$B$8/2),'I_Budget Input Data'!$D$93*0.6/('I_Inputs &amp; Assumptions'!$B$8/2)),IF('I_Budget Input Data'!$E$93="Mid-weighted",IF(18&lt;='I_Inputs &amp; Assumptions'!$B$8/4,'I_Budget Input Data'!$D$93*0.2/('I_Inputs &amp; Assumptions'!$B$8/4),IF(18&lt;='I_Inputs &amp; Assumptions'!$B$8*0.75,'I_Budget Input Data'!$D$93*0.6/('I_Inputs &amp; Assumptions'!$B$8/2),'I_Budget Input Data'!$D$93*0.2/('I_Inputs &amp; Assumptions'!$B$8/4))),IF('I_Budget Input Data'!$E$93="At Completion",IF(18='I_Inputs &amp; Assumptions'!$B$8,'I_Budget Input Data'!$D$93,0),'I_Budget Input Data'!$D$93/'I_Inputs &amp; Assumptions'!$B$8)))))),0)</f>
        <v>0</v>
      </c>
      <c r="U93" s="91">
        <f>IF(19&lt;='I_Inputs &amp; Assumptions'!$B$8,IF('I_Budget Input Data'!$E$93="Upfront",IF(19=1,'I_Budget Input Data'!$D$93,0),IF('I_Budget Input Data'!$E$93="Equal",'I_Budget Input Data'!$D$93/'I_Inputs &amp; Assumptions'!$B$8,IF('I_Budget Input Data'!$E$93="Front-loaded",IF(19&lt;='I_Inputs &amp; Assumptions'!$B$8/2,'I_Budget Input Data'!$D$93*0.6/('I_Inputs &amp; Assumptions'!$B$8/2),'I_Budget Input Data'!$D$93*0.4/('I_Inputs &amp; Assumptions'!$B$8/2)),IF('I_Budget Input Data'!$E$93="Back-loaded",IF(19&lt;='I_Inputs &amp; Assumptions'!$B$8/2,'I_Budget Input Data'!$D$93*0.4/('I_Inputs &amp; Assumptions'!$B$8/2),'I_Budget Input Data'!$D$93*0.6/('I_Inputs &amp; Assumptions'!$B$8/2)),IF('I_Budget Input Data'!$E$93="Mid-weighted",IF(19&lt;='I_Inputs &amp; Assumptions'!$B$8/4,'I_Budget Input Data'!$D$93*0.2/('I_Inputs &amp; Assumptions'!$B$8/4),IF(19&lt;='I_Inputs &amp; Assumptions'!$B$8*0.75,'I_Budget Input Data'!$D$93*0.6/('I_Inputs &amp; Assumptions'!$B$8/2),'I_Budget Input Data'!$D$93*0.2/('I_Inputs &amp; Assumptions'!$B$8/4))),IF('I_Budget Input Data'!$E$93="At Completion",IF(19='I_Inputs &amp; Assumptions'!$B$8,'I_Budget Input Data'!$D$93,0),'I_Budget Input Data'!$D$93/'I_Inputs &amp; Assumptions'!$B$8)))))),0)</f>
        <v>0</v>
      </c>
      <c r="V93" s="91">
        <f>IF(20&lt;='I_Inputs &amp; Assumptions'!$B$8,IF('I_Budget Input Data'!$E$93="Upfront",IF(20=1,'I_Budget Input Data'!$D$93,0),IF('I_Budget Input Data'!$E$93="Equal",'I_Budget Input Data'!$D$93/'I_Inputs &amp; Assumptions'!$B$8,IF('I_Budget Input Data'!$E$93="Front-loaded",IF(20&lt;='I_Inputs &amp; Assumptions'!$B$8/2,'I_Budget Input Data'!$D$93*0.6/('I_Inputs &amp; Assumptions'!$B$8/2),'I_Budget Input Data'!$D$93*0.4/('I_Inputs &amp; Assumptions'!$B$8/2)),IF('I_Budget Input Data'!$E$93="Back-loaded",IF(20&lt;='I_Inputs &amp; Assumptions'!$B$8/2,'I_Budget Input Data'!$D$93*0.4/('I_Inputs &amp; Assumptions'!$B$8/2),'I_Budget Input Data'!$D$93*0.6/('I_Inputs &amp; Assumptions'!$B$8/2)),IF('I_Budget Input Data'!$E$93="Mid-weighted",IF(20&lt;='I_Inputs &amp; Assumptions'!$B$8/4,'I_Budget Input Data'!$D$93*0.2/('I_Inputs &amp; Assumptions'!$B$8/4),IF(20&lt;='I_Inputs &amp; Assumptions'!$B$8*0.75,'I_Budget Input Data'!$D$93*0.6/('I_Inputs &amp; Assumptions'!$B$8/2),'I_Budget Input Data'!$D$93*0.2/('I_Inputs &amp; Assumptions'!$B$8/4))),IF('I_Budget Input Data'!$E$93="At Completion",IF(20='I_Inputs &amp; Assumptions'!$B$8,'I_Budget Input Data'!$D$93,0),'I_Budget Input Data'!$D$93/'I_Inputs &amp; Assumptions'!$B$8)))))),0)</f>
        <v>0</v>
      </c>
      <c r="W93" s="91">
        <f>IF(21&lt;='I_Inputs &amp; Assumptions'!$B$8,IF('I_Budget Input Data'!$E$93="Upfront",IF(21=1,'I_Budget Input Data'!$D$93,0),IF('I_Budget Input Data'!$E$93="Equal",'I_Budget Input Data'!$D$93/'I_Inputs &amp; Assumptions'!$B$8,IF('I_Budget Input Data'!$E$93="Front-loaded",IF(21&lt;='I_Inputs &amp; Assumptions'!$B$8/2,'I_Budget Input Data'!$D$93*0.6/('I_Inputs &amp; Assumptions'!$B$8/2),'I_Budget Input Data'!$D$93*0.4/('I_Inputs &amp; Assumptions'!$B$8/2)),IF('I_Budget Input Data'!$E$93="Back-loaded",IF(21&lt;='I_Inputs &amp; Assumptions'!$B$8/2,'I_Budget Input Data'!$D$93*0.4/('I_Inputs &amp; Assumptions'!$B$8/2),'I_Budget Input Data'!$D$93*0.6/('I_Inputs &amp; Assumptions'!$B$8/2)),IF('I_Budget Input Data'!$E$93="Mid-weighted",IF(21&lt;='I_Inputs &amp; Assumptions'!$B$8/4,'I_Budget Input Data'!$D$93*0.2/('I_Inputs &amp; Assumptions'!$B$8/4),IF(21&lt;='I_Inputs &amp; Assumptions'!$B$8*0.75,'I_Budget Input Data'!$D$93*0.6/('I_Inputs &amp; Assumptions'!$B$8/2),'I_Budget Input Data'!$D$93*0.2/('I_Inputs &amp; Assumptions'!$B$8/4))),IF('I_Budget Input Data'!$E$93="At Completion",IF(21='I_Inputs &amp; Assumptions'!$B$8,'I_Budget Input Data'!$D$93,0),'I_Budget Input Data'!$D$93/'I_Inputs &amp; Assumptions'!$B$8)))))),0)</f>
        <v>0</v>
      </c>
      <c r="X93" s="91">
        <f>IF(22&lt;='I_Inputs &amp; Assumptions'!$B$8,IF('I_Budget Input Data'!$E$93="Upfront",IF(22=1,'I_Budget Input Data'!$D$93,0),IF('I_Budget Input Data'!$E$93="Equal",'I_Budget Input Data'!$D$93/'I_Inputs &amp; Assumptions'!$B$8,IF('I_Budget Input Data'!$E$93="Front-loaded",IF(22&lt;='I_Inputs &amp; Assumptions'!$B$8/2,'I_Budget Input Data'!$D$93*0.6/('I_Inputs &amp; Assumptions'!$B$8/2),'I_Budget Input Data'!$D$93*0.4/('I_Inputs &amp; Assumptions'!$B$8/2)),IF('I_Budget Input Data'!$E$93="Back-loaded",IF(22&lt;='I_Inputs &amp; Assumptions'!$B$8/2,'I_Budget Input Data'!$D$93*0.4/('I_Inputs &amp; Assumptions'!$B$8/2),'I_Budget Input Data'!$D$93*0.6/('I_Inputs &amp; Assumptions'!$B$8/2)),IF('I_Budget Input Data'!$E$93="Mid-weighted",IF(22&lt;='I_Inputs &amp; Assumptions'!$B$8/4,'I_Budget Input Data'!$D$93*0.2/('I_Inputs &amp; Assumptions'!$B$8/4),IF(22&lt;='I_Inputs &amp; Assumptions'!$B$8*0.75,'I_Budget Input Data'!$D$93*0.6/('I_Inputs &amp; Assumptions'!$B$8/2),'I_Budget Input Data'!$D$93*0.2/('I_Inputs &amp; Assumptions'!$B$8/4))),IF('I_Budget Input Data'!$E$93="At Completion",IF(22='I_Inputs &amp; Assumptions'!$B$8,'I_Budget Input Data'!$D$93,0),'I_Budget Input Data'!$D$93/'I_Inputs &amp; Assumptions'!$B$8)))))),0)</f>
        <v>0</v>
      </c>
      <c r="Y93" s="91">
        <f>IF(23&lt;='I_Inputs &amp; Assumptions'!$B$8,IF('I_Budget Input Data'!$E$93="Upfront",IF(23=1,'I_Budget Input Data'!$D$93,0),IF('I_Budget Input Data'!$E$93="Equal",'I_Budget Input Data'!$D$93/'I_Inputs &amp; Assumptions'!$B$8,IF('I_Budget Input Data'!$E$93="Front-loaded",IF(23&lt;='I_Inputs &amp; Assumptions'!$B$8/2,'I_Budget Input Data'!$D$93*0.6/('I_Inputs &amp; Assumptions'!$B$8/2),'I_Budget Input Data'!$D$93*0.4/('I_Inputs &amp; Assumptions'!$B$8/2)),IF('I_Budget Input Data'!$E$93="Back-loaded",IF(23&lt;='I_Inputs &amp; Assumptions'!$B$8/2,'I_Budget Input Data'!$D$93*0.4/('I_Inputs &amp; Assumptions'!$B$8/2),'I_Budget Input Data'!$D$93*0.6/('I_Inputs &amp; Assumptions'!$B$8/2)),IF('I_Budget Input Data'!$E$93="Mid-weighted",IF(23&lt;='I_Inputs &amp; Assumptions'!$B$8/4,'I_Budget Input Data'!$D$93*0.2/('I_Inputs &amp; Assumptions'!$B$8/4),IF(23&lt;='I_Inputs &amp; Assumptions'!$B$8*0.75,'I_Budget Input Data'!$D$93*0.6/('I_Inputs &amp; Assumptions'!$B$8/2),'I_Budget Input Data'!$D$93*0.2/('I_Inputs &amp; Assumptions'!$B$8/4))),IF('I_Budget Input Data'!$E$93="At Completion",IF(23='I_Inputs &amp; Assumptions'!$B$8,'I_Budget Input Data'!$D$93,0),'I_Budget Input Data'!$D$93/'I_Inputs &amp; Assumptions'!$B$8)))))),0)</f>
        <v>0</v>
      </c>
      <c r="Z93" s="91">
        <f>IF(24&lt;='I_Inputs &amp; Assumptions'!$B$8,IF('I_Budget Input Data'!$E$93="Upfront",IF(24=1,'I_Budget Input Data'!$D$93,0),IF('I_Budget Input Data'!$E$93="Equal",'I_Budget Input Data'!$D$93/'I_Inputs &amp; Assumptions'!$B$8,IF('I_Budget Input Data'!$E$93="Front-loaded",IF(24&lt;='I_Inputs &amp; Assumptions'!$B$8/2,'I_Budget Input Data'!$D$93*0.6/('I_Inputs &amp; Assumptions'!$B$8/2),'I_Budget Input Data'!$D$93*0.4/('I_Inputs &amp; Assumptions'!$B$8/2)),IF('I_Budget Input Data'!$E$93="Back-loaded",IF(24&lt;='I_Inputs &amp; Assumptions'!$B$8/2,'I_Budget Input Data'!$D$93*0.4/('I_Inputs &amp; Assumptions'!$B$8/2),'I_Budget Input Data'!$D$93*0.6/('I_Inputs &amp; Assumptions'!$B$8/2)),IF('I_Budget Input Data'!$E$93="Mid-weighted",IF(24&lt;='I_Inputs &amp; Assumptions'!$B$8/4,'I_Budget Input Data'!$D$93*0.2/('I_Inputs &amp; Assumptions'!$B$8/4),IF(24&lt;='I_Inputs &amp; Assumptions'!$B$8*0.75,'I_Budget Input Data'!$D$93*0.6/('I_Inputs &amp; Assumptions'!$B$8/2),'I_Budget Input Data'!$D$93*0.2/('I_Inputs &amp; Assumptions'!$B$8/4))),IF('I_Budget Input Data'!$E$93="At Completion",IF(24='I_Inputs &amp; Assumptions'!$B$8,'I_Budget Input Data'!$D$93,0),'I_Budget Input Data'!$D$93/'I_Inputs &amp; Assumptions'!$B$8)))))),0)</f>
        <v>0</v>
      </c>
      <c r="AA93" s="91">
        <f>IF(25&lt;='I_Inputs &amp; Assumptions'!$B$8,IF('I_Budget Input Data'!$E$93="Upfront",IF(25=1,'I_Budget Input Data'!$D$93,0),IF('I_Budget Input Data'!$E$93="Equal",'I_Budget Input Data'!$D$93/'I_Inputs &amp; Assumptions'!$B$8,IF('I_Budget Input Data'!$E$93="Front-loaded",IF(25&lt;='I_Inputs &amp; Assumptions'!$B$8/2,'I_Budget Input Data'!$D$93*0.6/('I_Inputs &amp; Assumptions'!$B$8/2),'I_Budget Input Data'!$D$93*0.4/('I_Inputs &amp; Assumptions'!$B$8/2)),IF('I_Budget Input Data'!$E$93="Back-loaded",IF(25&lt;='I_Inputs &amp; Assumptions'!$B$8/2,'I_Budget Input Data'!$D$93*0.4/('I_Inputs &amp; Assumptions'!$B$8/2),'I_Budget Input Data'!$D$93*0.6/('I_Inputs &amp; Assumptions'!$B$8/2)),IF('I_Budget Input Data'!$E$93="Mid-weighted",IF(25&lt;='I_Inputs &amp; Assumptions'!$B$8/4,'I_Budget Input Data'!$D$93*0.2/('I_Inputs &amp; Assumptions'!$B$8/4),IF(25&lt;='I_Inputs &amp; Assumptions'!$B$8*0.75,'I_Budget Input Data'!$D$93*0.6/('I_Inputs &amp; Assumptions'!$B$8/2),'I_Budget Input Data'!$D$93*0.2/('I_Inputs &amp; Assumptions'!$B$8/4))),IF('I_Budget Input Data'!$E$93="At Completion",IF(25='I_Inputs &amp; Assumptions'!$B$8,'I_Budget Input Data'!$D$93,0),'I_Budget Input Data'!$D$93/'I_Inputs &amp; Assumptions'!$B$8)))))),0)</f>
        <v>0</v>
      </c>
      <c r="AB93" s="91">
        <f>IF(26&lt;='I_Inputs &amp; Assumptions'!$B$8,IF('I_Budget Input Data'!$E$93="Upfront",IF(26=1,'I_Budget Input Data'!$D$93,0),IF('I_Budget Input Data'!$E$93="Equal",'I_Budget Input Data'!$D$93/'I_Inputs &amp; Assumptions'!$B$8,IF('I_Budget Input Data'!$E$93="Front-loaded",IF(26&lt;='I_Inputs &amp; Assumptions'!$B$8/2,'I_Budget Input Data'!$D$93*0.6/('I_Inputs &amp; Assumptions'!$B$8/2),'I_Budget Input Data'!$D$93*0.4/('I_Inputs &amp; Assumptions'!$B$8/2)),IF('I_Budget Input Data'!$E$93="Back-loaded",IF(26&lt;='I_Inputs &amp; Assumptions'!$B$8/2,'I_Budget Input Data'!$D$93*0.4/('I_Inputs &amp; Assumptions'!$B$8/2),'I_Budget Input Data'!$D$93*0.6/('I_Inputs &amp; Assumptions'!$B$8/2)),IF('I_Budget Input Data'!$E$93="Mid-weighted",IF(26&lt;='I_Inputs &amp; Assumptions'!$B$8/4,'I_Budget Input Data'!$D$93*0.2/('I_Inputs &amp; Assumptions'!$B$8/4),IF(26&lt;='I_Inputs &amp; Assumptions'!$B$8*0.75,'I_Budget Input Data'!$D$93*0.6/('I_Inputs &amp; Assumptions'!$B$8/2),'I_Budget Input Data'!$D$93*0.2/('I_Inputs &amp; Assumptions'!$B$8/4))),IF('I_Budget Input Data'!$E$93="At Completion",IF(26='I_Inputs &amp; Assumptions'!$B$8,'I_Budget Input Data'!$D$93,0),'I_Budget Input Data'!$D$93/'I_Inputs &amp; Assumptions'!$B$8)))))),0)</f>
        <v>0</v>
      </c>
      <c r="AC93" s="91">
        <f>IF(27&lt;='I_Inputs &amp; Assumptions'!$B$8,IF('I_Budget Input Data'!$E$93="Upfront",IF(27=1,'I_Budget Input Data'!$D$93,0),IF('I_Budget Input Data'!$E$93="Equal",'I_Budget Input Data'!$D$93/'I_Inputs &amp; Assumptions'!$B$8,IF('I_Budget Input Data'!$E$93="Front-loaded",IF(27&lt;='I_Inputs &amp; Assumptions'!$B$8/2,'I_Budget Input Data'!$D$93*0.6/('I_Inputs &amp; Assumptions'!$B$8/2),'I_Budget Input Data'!$D$93*0.4/('I_Inputs &amp; Assumptions'!$B$8/2)),IF('I_Budget Input Data'!$E$93="Back-loaded",IF(27&lt;='I_Inputs &amp; Assumptions'!$B$8/2,'I_Budget Input Data'!$D$93*0.4/('I_Inputs &amp; Assumptions'!$B$8/2),'I_Budget Input Data'!$D$93*0.6/('I_Inputs &amp; Assumptions'!$B$8/2)),IF('I_Budget Input Data'!$E$93="Mid-weighted",IF(27&lt;='I_Inputs &amp; Assumptions'!$B$8/4,'I_Budget Input Data'!$D$93*0.2/('I_Inputs &amp; Assumptions'!$B$8/4),IF(27&lt;='I_Inputs &amp; Assumptions'!$B$8*0.75,'I_Budget Input Data'!$D$93*0.6/('I_Inputs &amp; Assumptions'!$B$8/2),'I_Budget Input Data'!$D$93*0.2/('I_Inputs &amp; Assumptions'!$B$8/4))),IF('I_Budget Input Data'!$E$93="At Completion",IF(27='I_Inputs &amp; Assumptions'!$B$8,'I_Budget Input Data'!$D$93,0),'I_Budget Input Data'!$D$93/'I_Inputs &amp; Assumptions'!$B$8)))))),0)</f>
        <v>0</v>
      </c>
      <c r="AD93" s="91">
        <f>IF(28&lt;='I_Inputs &amp; Assumptions'!$B$8,IF('I_Budget Input Data'!$E$93="Upfront",IF(28=1,'I_Budget Input Data'!$D$93,0),IF('I_Budget Input Data'!$E$93="Equal",'I_Budget Input Data'!$D$93/'I_Inputs &amp; Assumptions'!$B$8,IF('I_Budget Input Data'!$E$93="Front-loaded",IF(28&lt;='I_Inputs &amp; Assumptions'!$B$8/2,'I_Budget Input Data'!$D$93*0.6/('I_Inputs &amp; Assumptions'!$B$8/2),'I_Budget Input Data'!$D$93*0.4/('I_Inputs &amp; Assumptions'!$B$8/2)),IF('I_Budget Input Data'!$E$93="Back-loaded",IF(28&lt;='I_Inputs &amp; Assumptions'!$B$8/2,'I_Budget Input Data'!$D$93*0.4/('I_Inputs &amp; Assumptions'!$B$8/2),'I_Budget Input Data'!$D$93*0.6/('I_Inputs &amp; Assumptions'!$B$8/2)),IF('I_Budget Input Data'!$E$93="Mid-weighted",IF(28&lt;='I_Inputs &amp; Assumptions'!$B$8/4,'I_Budget Input Data'!$D$93*0.2/('I_Inputs &amp; Assumptions'!$B$8/4),IF(28&lt;='I_Inputs &amp; Assumptions'!$B$8*0.75,'I_Budget Input Data'!$D$93*0.6/('I_Inputs &amp; Assumptions'!$B$8/2),'I_Budget Input Data'!$D$93*0.2/('I_Inputs &amp; Assumptions'!$B$8/4))),IF('I_Budget Input Data'!$E$93="At Completion",IF(28='I_Inputs &amp; Assumptions'!$B$8,'I_Budget Input Data'!$D$93,0),'I_Budget Input Data'!$D$93/'I_Inputs &amp; Assumptions'!$B$8)))))),0)</f>
        <v>0</v>
      </c>
      <c r="AE93" s="91">
        <f>IF(29&lt;='I_Inputs &amp; Assumptions'!$B$8,IF('I_Budget Input Data'!$E$93="Upfront",IF(29=1,'I_Budget Input Data'!$D$93,0),IF('I_Budget Input Data'!$E$93="Equal",'I_Budget Input Data'!$D$93/'I_Inputs &amp; Assumptions'!$B$8,IF('I_Budget Input Data'!$E$93="Front-loaded",IF(29&lt;='I_Inputs &amp; Assumptions'!$B$8/2,'I_Budget Input Data'!$D$93*0.6/('I_Inputs &amp; Assumptions'!$B$8/2),'I_Budget Input Data'!$D$93*0.4/('I_Inputs &amp; Assumptions'!$B$8/2)),IF('I_Budget Input Data'!$E$93="Back-loaded",IF(29&lt;='I_Inputs &amp; Assumptions'!$B$8/2,'I_Budget Input Data'!$D$93*0.4/('I_Inputs &amp; Assumptions'!$B$8/2),'I_Budget Input Data'!$D$93*0.6/('I_Inputs &amp; Assumptions'!$B$8/2)),IF('I_Budget Input Data'!$E$93="Mid-weighted",IF(29&lt;='I_Inputs &amp; Assumptions'!$B$8/4,'I_Budget Input Data'!$D$93*0.2/('I_Inputs &amp; Assumptions'!$B$8/4),IF(29&lt;='I_Inputs &amp; Assumptions'!$B$8*0.75,'I_Budget Input Data'!$D$93*0.6/('I_Inputs &amp; Assumptions'!$B$8/2),'I_Budget Input Data'!$D$93*0.2/('I_Inputs &amp; Assumptions'!$B$8/4))),IF('I_Budget Input Data'!$E$93="At Completion",IF(29='I_Inputs &amp; Assumptions'!$B$8,'I_Budget Input Data'!$D$93,0),'I_Budget Input Data'!$D$93/'I_Inputs &amp; Assumptions'!$B$8)))))),0)</f>
        <v>0</v>
      </c>
      <c r="AF93" s="91">
        <f>IF(30&lt;='I_Inputs &amp; Assumptions'!$B$8,IF('I_Budget Input Data'!$E$93="Upfront",IF(30=1,'I_Budget Input Data'!$D$93,0),IF('I_Budget Input Data'!$E$93="Equal",'I_Budget Input Data'!$D$93/'I_Inputs &amp; Assumptions'!$B$8,IF('I_Budget Input Data'!$E$93="Front-loaded",IF(30&lt;='I_Inputs &amp; Assumptions'!$B$8/2,'I_Budget Input Data'!$D$93*0.6/('I_Inputs &amp; Assumptions'!$B$8/2),'I_Budget Input Data'!$D$93*0.4/('I_Inputs &amp; Assumptions'!$B$8/2)),IF('I_Budget Input Data'!$E$93="Back-loaded",IF(30&lt;='I_Inputs &amp; Assumptions'!$B$8/2,'I_Budget Input Data'!$D$93*0.4/('I_Inputs &amp; Assumptions'!$B$8/2),'I_Budget Input Data'!$D$93*0.6/('I_Inputs &amp; Assumptions'!$B$8/2)),IF('I_Budget Input Data'!$E$93="Mid-weighted",IF(30&lt;='I_Inputs &amp; Assumptions'!$B$8/4,'I_Budget Input Data'!$D$93*0.2/('I_Inputs &amp; Assumptions'!$B$8/4),IF(30&lt;='I_Inputs &amp; Assumptions'!$B$8*0.75,'I_Budget Input Data'!$D$93*0.6/('I_Inputs &amp; Assumptions'!$B$8/2),'I_Budget Input Data'!$D$93*0.2/('I_Inputs &amp; Assumptions'!$B$8/4))),IF('I_Budget Input Data'!$E$93="At Completion",IF(30='I_Inputs &amp; Assumptions'!$B$8,'I_Budget Input Data'!$D$93,0),'I_Budget Input Data'!$D$93/'I_Inputs &amp; Assumptions'!$B$8)))))),0)</f>
        <v>0</v>
      </c>
      <c r="AG93" s="91">
        <f>IF(31&lt;='I_Inputs &amp; Assumptions'!$B$8,IF('I_Budget Input Data'!$E$93="Upfront",IF(31=1,'I_Budget Input Data'!$D$93,0),IF('I_Budget Input Data'!$E$93="Equal",'I_Budget Input Data'!$D$93/'I_Inputs &amp; Assumptions'!$B$8,IF('I_Budget Input Data'!$E$93="Front-loaded",IF(31&lt;='I_Inputs &amp; Assumptions'!$B$8/2,'I_Budget Input Data'!$D$93*0.6/('I_Inputs &amp; Assumptions'!$B$8/2),'I_Budget Input Data'!$D$93*0.4/('I_Inputs &amp; Assumptions'!$B$8/2)),IF('I_Budget Input Data'!$E$93="Back-loaded",IF(31&lt;='I_Inputs &amp; Assumptions'!$B$8/2,'I_Budget Input Data'!$D$93*0.4/('I_Inputs &amp; Assumptions'!$B$8/2),'I_Budget Input Data'!$D$93*0.6/('I_Inputs &amp; Assumptions'!$B$8/2)),IF('I_Budget Input Data'!$E$93="Mid-weighted",IF(31&lt;='I_Inputs &amp; Assumptions'!$B$8/4,'I_Budget Input Data'!$D$93*0.2/('I_Inputs &amp; Assumptions'!$B$8/4),IF(31&lt;='I_Inputs &amp; Assumptions'!$B$8*0.75,'I_Budget Input Data'!$D$93*0.6/('I_Inputs &amp; Assumptions'!$B$8/2),'I_Budget Input Data'!$D$93*0.2/('I_Inputs &amp; Assumptions'!$B$8/4))),IF('I_Budget Input Data'!$E$93="At Completion",IF(31='I_Inputs &amp; Assumptions'!$B$8,'I_Budget Input Data'!$D$93,0),'I_Budget Input Data'!$D$93/'I_Inputs &amp; Assumptions'!$B$8)))))),0)</f>
        <v>0</v>
      </c>
      <c r="AH93" s="91">
        <f>IF(32&lt;='I_Inputs &amp; Assumptions'!$B$8,IF('I_Budget Input Data'!$E$93="Upfront",IF(32=1,'I_Budget Input Data'!$D$93,0),IF('I_Budget Input Data'!$E$93="Equal",'I_Budget Input Data'!$D$93/'I_Inputs &amp; Assumptions'!$B$8,IF('I_Budget Input Data'!$E$93="Front-loaded",IF(32&lt;='I_Inputs &amp; Assumptions'!$B$8/2,'I_Budget Input Data'!$D$93*0.6/('I_Inputs &amp; Assumptions'!$B$8/2),'I_Budget Input Data'!$D$93*0.4/('I_Inputs &amp; Assumptions'!$B$8/2)),IF('I_Budget Input Data'!$E$93="Back-loaded",IF(32&lt;='I_Inputs &amp; Assumptions'!$B$8/2,'I_Budget Input Data'!$D$93*0.4/('I_Inputs &amp; Assumptions'!$B$8/2),'I_Budget Input Data'!$D$93*0.6/('I_Inputs &amp; Assumptions'!$B$8/2)),IF('I_Budget Input Data'!$E$93="Mid-weighted",IF(32&lt;='I_Inputs &amp; Assumptions'!$B$8/4,'I_Budget Input Data'!$D$93*0.2/('I_Inputs &amp; Assumptions'!$B$8/4),IF(32&lt;='I_Inputs &amp; Assumptions'!$B$8*0.75,'I_Budget Input Data'!$D$93*0.6/('I_Inputs &amp; Assumptions'!$B$8/2),'I_Budget Input Data'!$D$93*0.2/('I_Inputs &amp; Assumptions'!$B$8/4))),IF('I_Budget Input Data'!$E$93="At Completion",IF(32='I_Inputs &amp; Assumptions'!$B$8,'I_Budget Input Data'!$D$93,0),'I_Budget Input Data'!$D$93/'I_Inputs &amp; Assumptions'!$B$8)))))),0)</f>
        <v>0</v>
      </c>
      <c r="AI93" s="91">
        <f>IF(33&lt;='I_Inputs &amp; Assumptions'!$B$8,IF('I_Budget Input Data'!$E$93="Upfront",IF(33=1,'I_Budget Input Data'!$D$93,0),IF('I_Budget Input Data'!$E$93="Equal",'I_Budget Input Data'!$D$93/'I_Inputs &amp; Assumptions'!$B$8,IF('I_Budget Input Data'!$E$93="Front-loaded",IF(33&lt;='I_Inputs &amp; Assumptions'!$B$8/2,'I_Budget Input Data'!$D$93*0.6/('I_Inputs &amp; Assumptions'!$B$8/2),'I_Budget Input Data'!$D$93*0.4/('I_Inputs &amp; Assumptions'!$B$8/2)),IF('I_Budget Input Data'!$E$93="Back-loaded",IF(33&lt;='I_Inputs &amp; Assumptions'!$B$8/2,'I_Budget Input Data'!$D$93*0.4/('I_Inputs &amp; Assumptions'!$B$8/2),'I_Budget Input Data'!$D$93*0.6/('I_Inputs &amp; Assumptions'!$B$8/2)),IF('I_Budget Input Data'!$E$93="Mid-weighted",IF(33&lt;='I_Inputs &amp; Assumptions'!$B$8/4,'I_Budget Input Data'!$D$93*0.2/('I_Inputs &amp; Assumptions'!$B$8/4),IF(33&lt;='I_Inputs &amp; Assumptions'!$B$8*0.75,'I_Budget Input Data'!$D$93*0.6/('I_Inputs &amp; Assumptions'!$B$8/2),'I_Budget Input Data'!$D$93*0.2/('I_Inputs &amp; Assumptions'!$B$8/4))),IF('I_Budget Input Data'!$E$93="At Completion",IF(33='I_Inputs &amp; Assumptions'!$B$8,'I_Budget Input Data'!$D$93,0),'I_Budget Input Data'!$D$93/'I_Inputs &amp; Assumptions'!$B$8)))))),0)</f>
        <v>0</v>
      </c>
      <c r="AJ93" s="91">
        <f>IF(34&lt;='I_Inputs &amp; Assumptions'!$B$8,IF('I_Budget Input Data'!$E$93="Upfront",IF(34=1,'I_Budget Input Data'!$D$93,0),IF('I_Budget Input Data'!$E$93="Equal",'I_Budget Input Data'!$D$93/'I_Inputs &amp; Assumptions'!$B$8,IF('I_Budget Input Data'!$E$93="Front-loaded",IF(34&lt;='I_Inputs &amp; Assumptions'!$B$8/2,'I_Budget Input Data'!$D$93*0.6/('I_Inputs &amp; Assumptions'!$B$8/2),'I_Budget Input Data'!$D$93*0.4/('I_Inputs &amp; Assumptions'!$B$8/2)),IF('I_Budget Input Data'!$E$93="Back-loaded",IF(34&lt;='I_Inputs &amp; Assumptions'!$B$8/2,'I_Budget Input Data'!$D$93*0.4/('I_Inputs &amp; Assumptions'!$B$8/2),'I_Budget Input Data'!$D$93*0.6/('I_Inputs &amp; Assumptions'!$B$8/2)),IF('I_Budget Input Data'!$E$93="Mid-weighted",IF(34&lt;='I_Inputs &amp; Assumptions'!$B$8/4,'I_Budget Input Data'!$D$93*0.2/('I_Inputs &amp; Assumptions'!$B$8/4),IF(34&lt;='I_Inputs &amp; Assumptions'!$B$8*0.75,'I_Budget Input Data'!$D$93*0.6/('I_Inputs &amp; Assumptions'!$B$8/2),'I_Budget Input Data'!$D$93*0.2/('I_Inputs &amp; Assumptions'!$B$8/4))),IF('I_Budget Input Data'!$E$93="At Completion",IF(34='I_Inputs &amp; Assumptions'!$B$8,'I_Budget Input Data'!$D$93,0),'I_Budget Input Data'!$D$93/'I_Inputs &amp; Assumptions'!$B$8)))))),0)</f>
        <v>0</v>
      </c>
      <c r="AK93" s="91">
        <f>IF(35&lt;='I_Inputs &amp; Assumptions'!$B$8,IF('I_Budget Input Data'!$E$93="Upfront",IF(35=1,'I_Budget Input Data'!$D$93,0),IF('I_Budget Input Data'!$E$93="Equal",'I_Budget Input Data'!$D$93/'I_Inputs &amp; Assumptions'!$B$8,IF('I_Budget Input Data'!$E$93="Front-loaded",IF(35&lt;='I_Inputs &amp; Assumptions'!$B$8/2,'I_Budget Input Data'!$D$93*0.6/('I_Inputs &amp; Assumptions'!$B$8/2),'I_Budget Input Data'!$D$93*0.4/('I_Inputs &amp; Assumptions'!$B$8/2)),IF('I_Budget Input Data'!$E$93="Back-loaded",IF(35&lt;='I_Inputs &amp; Assumptions'!$B$8/2,'I_Budget Input Data'!$D$93*0.4/('I_Inputs &amp; Assumptions'!$B$8/2),'I_Budget Input Data'!$D$93*0.6/('I_Inputs &amp; Assumptions'!$B$8/2)),IF('I_Budget Input Data'!$E$93="Mid-weighted",IF(35&lt;='I_Inputs &amp; Assumptions'!$B$8/4,'I_Budget Input Data'!$D$93*0.2/('I_Inputs &amp; Assumptions'!$B$8/4),IF(35&lt;='I_Inputs &amp; Assumptions'!$B$8*0.75,'I_Budget Input Data'!$D$93*0.6/('I_Inputs &amp; Assumptions'!$B$8/2),'I_Budget Input Data'!$D$93*0.2/('I_Inputs &amp; Assumptions'!$B$8/4))),IF('I_Budget Input Data'!$E$93="At Completion",IF(35='I_Inputs &amp; Assumptions'!$B$8,'I_Budget Input Data'!$D$93,0),'I_Budget Input Data'!$D$93/'I_Inputs &amp; Assumptions'!$B$8)))))),0)</f>
        <v>0</v>
      </c>
      <c r="AL93" s="91">
        <f>IF(36&lt;='I_Inputs &amp; Assumptions'!$B$8,IF('I_Budget Input Data'!$E$93="Upfront",IF(36=1,'I_Budget Input Data'!$D$93,0),IF('I_Budget Input Data'!$E$93="Equal",'I_Budget Input Data'!$D$93/'I_Inputs &amp; Assumptions'!$B$8,IF('I_Budget Input Data'!$E$93="Front-loaded",IF(36&lt;='I_Inputs &amp; Assumptions'!$B$8/2,'I_Budget Input Data'!$D$93*0.6/('I_Inputs &amp; Assumptions'!$B$8/2),'I_Budget Input Data'!$D$93*0.4/('I_Inputs &amp; Assumptions'!$B$8/2)),IF('I_Budget Input Data'!$E$93="Back-loaded",IF(36&lt;='I_Inputs &amp; Assumptions'!$B$8/2,'I_Budget Input Data'!$D$93*0.4/('I_Inputs &amp; Assumptions'!$B$8/2),'I_Budget Input Data'!$D$93*0.6/('I_Inputs &amp; Assumptions'!$B$8/2)),IF('I_Budget Input Data'!$E$93="Mid-weighted",IF(36&lt;='I_Inputs &amp; Assumptions'!$B$8/4,'I_Budget Input Data'!$D$93*0.2/('I_Inputs &amp; Assumptions'!$B$8/4),IF(36&lt;='I_Inputs &amp; Assumptions'!$B$8*0.75,'I_Budget Input Data'!$D$93*0.6/('I_Inputs &amp; Assumptions'!$B$8/2),'I_Budget Input Data'!$D$93*0.2/('I_Inputs &amp; Assumptions'!$B$8/4))),IF('I_Budget Input Data'!$E$93="At Completion",IF(36='I_Inputs &amp; Assumptions'!$B$8,'I_Budget Input Data'!$D$93,0),'I_Budget Input Data'!$D$93/'I_Inputs &amp; Assumptions'!$B$8)))))),0)</f>
        <v>0</v>
      </c>
    </row>
    <row r="94" spans="1:38" ht="15" customHeight="1" x14ac:dyDescent="0.2">
      <c r="A94" t="s">
        <v>146</v>
      </c>
      <c r="B94" t="s">
        <v>212</v>
      </c>
      <c r="C94" s="91">
        <v>0</v>
      </c>
      <c r="D94" s="91">
        <v>0</v>
      </c>
      <c r="E94" s="91">
        <v>0</v>
      </c>
      <c r="F94" s="91">
        <v>0</v>
      </c>
      <c r="G94" s="91">
        <v>0</v>
      </c>
      <c r="H94" s="91">
        <v>0</v>
      </c>
      <c r="I94" s="91">
        <v>0</v>
      </c>
      <c r="J94" s="91">
        <v>0</v>
      </c>
      <c r="K94" s="91">
        <v>0</v>
      </c>
      <c r="L94" s="91">
        <v>0</v>
      </c>
      <c r="M94" s="91">
        <v>0</v>
      </c>
      <c r="N94" s="91">
        <v>0</v>
      </c>
      <c r="O94" s="91">
        <v>0</v>
      </c>
      <c r="P94" s="91">
        <v>0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91">
        <v>0</v>
      </c>
      <c r="Z94" s="91">
        <v>0</v>
      </c>
      <c r="AA94" s="91">
        <v>0</v>
      </c>
      <c r="AB94" s="91">
        <v>0</v>
      </c>
      <c r="AC94" s="91">
        <v>0</v>
      </c>
      <c r="AD94" s="91">
        <v>0</v>
      </c>
      <c r="AE94" s="91">
        <v>0</v>
      </c>
      <c r="AF94" s="91">
        <v>0</v>
      </c>
      <c r="AG94" s="91">
        <v>0</v>
      </c>
      <c r="AH94" s="91">
        <v>0</v>
      </c>
      <c r="AI94" s="91">
        <v>0</v>
      </c>
      <c r="AJ94" s="91">
        <v>0</v>
      </c>
      <c r="AK94" s="91">
        <v>0</v>
      </c>
      <c r="AL94" s="91">
        <v>0</v>
      </c>
    </row>
    <row r="95" spans="1:38" ht="15" customHeight="1" x14ac:dyDescent="0.2">
      <c r="A95" t="s">
        <v>146</v>
      </c>
      <c r="B95" t="s">
        <v>213</v>
      </c>
      <c r="C95" s="91">
        <f>IF(1&lt;='I_Inputs &amp; Assumptions'!$B$8,IF('I_Budget Input Data'!$E$95="Upfront",IF(1=1,'I_Budget Input Data'!$D$95,0),IF('I_Budget Input Data'!$E$95="Equal",'I_Budget Input Data'!$D$95/'I_Inputs &amp; Assumptions'!$B$8,IF('I_Budget Input Data'!$E$95="Front-loaded",IF(1&lt;='I_Inputs &amp; Assumptions'!$B$8/2,'I_Budget Input Data'!$D$95*0.6/('I_Inputs &amp; Assumptions'!$B$8/2),'I_Budget Input Data'!$D$95*0.4/('I_Inputs &amp; Assumptions'!$B$8/2)),IF('I_Budget Input Data'!$E$95="Back-loaded",IF(1&lt;='I_Inputs &amp; Assumptions'!$B$8/2,'I_Budget Input Data'!$D$95*0.4/('I_Inputs &amp; Assumptions'!$B$8/2),'I_Budget Input Data'!$D$95*0.6/('I_Inputs &amp; Assumptions'!$B$8/2)),IF('I_Budget Input Data'!$E$95="Mid-weighted",IF(1&lt;='I_Inputs &amp; Assumptions'!$B$8/4,'I_Budget Input Data'!$D$95*0.2/('I_Inputs &amp; Assumptions'!$B$8/4),IF(1&lt;='I_Inputs &amp; Assumptions'!$B$8*0.75,'I_Budget Input Data'!$D$95*0.6/('I_Inputs &amp; Assumptions'!$B$8/2),'I_Budget Input Data'!$D$95*0.2/('I_Inputs &amp; Assumptions'!$B$8/4))),IF('I_Budget Input Data'!$E$95="At Completion",IF(1='I_Inputs &amp; Assumptions'!$B$8,'I_Budget Input Data'!$D$95,0),'I_Budget Input Data'!$D$95/'I_Inputs &amp; Assumptions'!$B$8)))))),0)</f>
        <v>2184.6153846153848</v>
      </c>
      <c r="D95" s="91">
        <f>IF(2&lt;='I_Inputs &amp; Assumptions'!$B$8,IF('I_Budget Input Data'!$E$95="Upfront",IF(2=1,'I_Budget Input Data'!$D$95,0),IF('I_Budget Input Data'!$E$95="Equal",'I_Budget Input Data'!$D$95/'I_Inputs &amp; Assumptions'!$B$8,IF('I_Budget Input Data'!$E$95="Front-loaded",IF(2&lt;='I_Inputs &amp; Assumptions'!$B$8/2,'I_Budget Input Data'!$D$95*0.6/('I_Inputs &amp; Assumptions'!$B$8/2),'I_Budget Input Data'!$D$95*0.4/('I_Inputs &amp; Assumptions'!$B$8/2)),IF('I_Budget Input Data'!$E$95="Back-loaded",IF(2&lt;='I_Inputs &amp; Assumptions'!$B$8/2,'I_Budget Input Data'!$D$95*0.4/('I_Inputs &amp; Assumptions'!$B$8/2),'I_Budget Input Data'!$D$95*0.6/('I_Inputs &amp; Assumptions'!$B$8/2)),IF('I_Budget Input Data'!$E$95="Mid-weighted",IF(2&lt;='I_Inputs &amp; Assumptions'!$B$8/4,'I_Budget Input Data'!$D$95*0.2/('I_Inputs &amp; Assumptions'!$B$8/4),IF(2&lt;='I_Inputs &amp; Assumptions'!$B$8*0.75,'I_Budget Input Data'!$D$95*0.6/('I_Inputs &amp; Assumptions'!$B$8/2),'I_Budget Input Data'!$D$95*0.2/('I_Inputs &amp; Assumptions'!$B$8/4))),IF('I_Budget Input Data'!$E$95="At Completion",IF(2='I_Inputs &amp; Assumptions'!$B$8,'I_Budget Input Data'!$D$95,0),'I_Budget Input Data'!$D$95/'I_Inputs &amp; Assumptions'!$B$8)))))),0)</f>
        <v>2184.6153846153848</v>
      </c>
      <c r="E95" s="91">
        <f>IF(3&lt;='I_Inputs &amp; Assumptions'!$B$8,IF('I_Budget Input Data'!$E$95="Upfront",IF(3=1,'I_Budget Input Data'!$D$95,0),IF('I_Budget Input Data'!$E$95="Equal",'I_Budget Input Data'!$D$95/'I_Inputs &amp; Assumptions'!$B$8,IF('I_Budget Input Data'!$E$95="Front-loaded",IF(3&lt;='I_Inputs &amp; Assumptions'!$B$8/2,'I_Budget Input Data'!$D$95*0.6/('I_Inputs &amp; Assumptions'!$B$8/2),'I_Budget Input Data'!$D$95*0.4/('I_Inputs &amp; Assumptions'!$B$8/2)),IF('I_Budget Input Data'!$E$95="Back-loaded",IF(3&lt;='I_Inputs &amp; Assumptions'!$B$8/2,'I_Budget Input Data'!$D$95*0.4/('I_Inputs &amp; Assumptions'!$B$8/2),'I_Budget Input Data'!$D$95*0.6/('I_Inputs &amp; Assumptions'!$B$8/2)),IF('I_Budget Input Data'!$E$95="Mid-weighted",IF(3&lt;='I_Inputs &amp; Assumptions'!$B$8/4,'I_Budget Input Data'!$D$95*0.2/('I_Inputs &amp; Assumptions'!$B$8/4),IF(3&lt;='I_Inputs &amp; Assumptions'!$B$8*0.75,'I_Budget Input Data'!$D$95*0.6/('I_Inputs &amp; Assumptions'!$B$8/2),'I_Budget Input Data'!$D$95*0.2/('I_Inputs &amp; Assumptions'!$B$8/4))),IF('I_Budget Input Data'!$E$95="At Completion",IF(3='I_Inputs &amp; Assumptions'!$B$8,'I_Budget Input Data'!$D$95,0),'I_Budget Input Data'!$D$95/'I_Inputs &amp; Assumptions'!$B$8)))))),0)</f>
        <v>2184.6153846153848</v>
      </c>
      <c r="F95" s="91">
        <f>IF(4&lt;='I_Inputs &amp; Assumptions'!$B$8,IF('I_Budget Input Data'!$E$95="Upfront",IF(4=1,'I_Budget Input Data'!$D$95,0),IF('I_Budget Input Data'!$E$95="Equal",'I_Budget Input Data'!$D$95/'I_Inputs &amp; Assumptions'!$B$8,IF('I_Budget Input Data'!$E$95="Front-loaded",IF(4&lt;='I_Inputs &amp; Assumptions'!$B$8/2,'I_Budget Input Data'!$D$95*0.6/('I_Inputs &amp; Assumptions'!$B$8/2),'I_Budget Input Data'!$D$95*0.4/('I_Inputs &amp; Assumptions'!$B$8/2)),IF('I_Budget Input Data'!$E$95="Back-loaded",IF(4&lt;='I_Inputs &amp; Assumptions'!$B$8/2,'I_Budget Input Data'!$D$95*0.4/('I_Inputs &amp; Assumptions'!$B$8/2),'I_Budget Input Data'!$D$95*0.6/('I_Inputs &amp; Assumptions'!$B$8/2)),IF('I_Budget Input Data'!$E$95="Mid-weighted",IF(4&lt;='I_Inputs &amp; Assumptions'!$B$8/4,'I_Budget Input Data'!$D$95*0.2/('I_Inputs &amp; Assumptions'!$B$8/4),IF(4&lt;='I_Inputs &amp; Assumptions'!$B$8*0.75,'I_Budget Input Data'!$D$95*0.6/('I_Inputs &amp; Assumptions'!$B$8/2),'I_Budget Input Data'!$D$95*0.2/('I_Inputs &amp; Assumptions'!$B$8/4))),IF('I_Budget Input Data'!$E$95="At Completion",IF(4='I_Inputs &amp; Assumptions'!$B$8,'I_Budget Input Data'!$D$95,0),'I_Budget Input Data'!$D$95/'I_Inputs &amp; Assumptions'!$B$8)))))),0)</f>
        <v>3276.9230769230771</v>
      </c>
      <c r="G95" s="91">
        <f>IF(5&lt;='I_Inputs &amp; Assumptions'!$B$8,IF('I_Budget Input Data'!$E$95="Upfront",IF(5=1,'I_Budget Input Data'!$D$95,0),IF('I_Budget Input Data'!$E$95="Equal",'I_Budget Input Data'!$D$95/'I_Inputs &amp; Assumptions'!$B$8,IF('I_Budget Input Data'!$E$95="Front-loaded",IF(5&lt;='I_Inputs &amp; Assumptions'!$B$8/2,'I_Budget Input Data'!$D$95*0.6/('I_Inputs &amp; Assumptions'!$B$8/2),'I_Budget Input Data'!$D$95*0.4/('I_Inputs &amp; Assumptions'!$B$8/2)),IF('I_Budget Input Data'!$E$95="Back-loaded",IF(5&lt;='I_Inputs &amp; Assumptions'!$B$8/2,'I_Budget Input Data'!$D$95*0.4/('I_Inputs &amp; Assumptions'!$B$8/2),'I_Budget Input Data'!$D$95*0.6/('I_Inputs &amp; Assumptions'!$B$8/2)),IF('I_Budget Input Data'!$E$95="Mid-weighted",IF(5&lt;='I_Inputs &amp; Assumptions'!$B$8/4,'I_Budget Input Data'!$D$95*0.2/('I_Inputs &amp; Assumptions'!$B$8/4),IF(5&lt;='I_Inputs &amp; Assumptions'!$B$8*0.75,'I_Budget Input Data'!$D$95*0.6/('I_Inputs &amp; Assumptions'!$B$8/2),'I_Budget Input Data'!$D$95*0.2/('I_Inputs &amp; Assumptions'!$B$8/4))),IF('I_Budget Input Data'!$E$95="At Completion",IF(5='I_Inputs &amp; Assumptions'!$B$8,'I_Budget Input Data'!$D$95,0),'I_Budget Input Data'!$D$95/'I_Inputs &amp; Assumptions'!$B$8)))))),0)</f>
        <v>3276.9230769230771</v>
      </c>
      <c r="H95" s="91">
        <f>IF(6&lt;='I_Inputs &amp; Assumptions'!$B$8,IF('I_Budget Input Data'!$E$95="Upfront",IF(6=1,'I_Budget Input Data'!$D$95,0),IF('I_Budget Input Data'!$E$95="Equal",'I_Budget Input Data'!$D$95/'I_Inputs &amp; Assumptions'!$B$8,IF('I_Budget Input Data'!$E$95="Front-loaded",IF(6&lt;='I_Inputs &amp; Assumptions'!$B$8/2,'I_Budget Input Data'!$D$95*0.6/('I_Inputs &amp; Assumptions'!$B$8/2),'I_Budget Input Data'!$D$95*0.4/('I_Inputs &amp; Assumptions'!$B$8/2)),IF('I_Budget Input Data'!$E$95="Back-loaded",IF(6&lt;='I_Inputs &amp; Assumptions'!$B$8/2,'I_Budget Input Data'!$D$95*0.4/('I_Inputs &amp; Assumptions'!$B$8/2),'I_Budget Input Data'!$D$95*0.6/('I_Inputs &amp; Assumptions'!$B$8/2)),IF('I_Budget Input Data'!$E$95="Mid-weighted",IF(6&lt;='I_Inputs &amp; Assumptions'!$B$8/4,'I_Budget Input Data'!$D$95*0.2/('I_Inputs &amp; Assumptions'!$B$8/4),IF(6&lt;='I_Inputs &amp; Assumptions'!$B$8*0.75,'I_Budget Input Data'!$D$95*0.6/('I_Inputs &amp; Assumptions'!$B$8/2),'I_Budget Input Data'!$D$95*0.2/('I_Inputs &amp; Assumptions'!$B$8/4))),IF('I_Budget Input Data'!$E$95="At Completion",IF(6='I_Inputs &amp; Assumptions'!$B$8,'I_Budget Input Data'!$D$95,0),'I_Budget Input Data'!$D$95/'I_Inputs &amp; Assumptions'!$B$8)))))),0)</f>
        <v>3276.9230769230771</v>
      </c>
      <c r="I95" s="91">
        <f>IF(7&lt;='I_Inputs &amp; Assumptions'!$B$8,IF('I_Budget Input Data'!$E$95="Upfront",IF(7=1,'I_Budget Input Data'!$D$95,0),IF('I_Budget Input Data'!$E$95="Equal",'I_Budget Input Data'!$D$95/'I_Inputs &amp; Assumptions'!$B$8,IF('I_Budget Input Data'!$E$95="Front-loaded",IF(7&lt;='I_Inputs &amp; Assumptions'!$B$8/2,'I_Budget Input Data'!$D$95*0.6/('I_Inputs &amp; Assumptions'!$B$8/2),'I_Budget Input Data'!$D$95*0.4/('I_Inputs &amp; Assumptions'!$B$8/2)),IF('I_Budget Input Data'!$E$95="Back-loaded",IF(7&lt;='I_Inputs &amp; Assumptions'!$B$8/2,'I_Budget Input Data'!$D$95*0.4/('I_Inputs &amp; Assumptions'!$B$8/2),'I_Budget Input Data'!$D$95*0.6/('I_Inputs &amp; Assumptions'!$B$8/2)),IF('I_Budget Input Data'!$E$95="Mid-weighted",IF(7&lt;='I_Inputs &amp; Assumptions'!$B$8/4,'I_Budget Input Data'!$D$95*0.2/('I_Inputs &amp; Assumptions'!$B$8/4),IF(7&lt;='I_Inputs &amp; Assumptions'!$B$8*0.75,'I_Budget Input Data'!$D$95*0.6/('I_Inputs &amp; Assumptions'!$B$8/2),'I_Budget Input Data'!$D$95*0.2/('I_Inputs &amp; Assumptions'!$B$8/4))),IF('I_Budget Input Data'!$E$95="At Completion",IF(7='I_Inputs &amp; Assumptions'!$B$8,'I_Budget Input Data'!$D$95,0),'I_Budget Input Data'!$D$95/'I_Inputs &amp; Assumptions'!$B$8)))))),0)</f>
        <v>3276.9230769230771</v>
      </c>
      <c r="J95" s="91">
        <f>IF(8&lt;='I_Inputs &amp; Assumptions'!$B$8,IF('I_Budget Input Data'!$E$95="Upfront",IF(8=1,'I_Budget Input Data'!$D$95,0),IF('I_Budget Input Data'!$E$95="Equal",'I_Budget Input Data'!$D$95/'I_Inputs &amp; Assumptions'!$B$8,IF('I_Budget Input Data'!$E$95="Front-loaded",IF(8&lt;='I_Inputs &amp; Assumptions'!$B$8/2,'I_Budget Input Data'!$D$95*0.6/('I_Inputs &amp; Assumptions'!$B$8/2),'I_Budget Input Data'!$D$95*0.4/('I_Inputs &amp; Assumptions'!$B$8/2)),IF('I_Budget Input Data'!$E$95="Back-loaded",IF(8&lt;='I_Inputs &amp; Assumptions'!$B$8/2,'I_Budget Input Data'!$D$95*0.4/('I_Inputs &amp; Assumptions'!$B$8/2),'I_Budget Input Data'!$D$95*0.6/('I_Inputs &amp; Assumptions'!$B$8/2)),IF('I_Budget Input Data'!$E$95="Mid-weighted",IF(8&lt;='I_Inputs &amp; Assumptions'!$B$8/4,'I_Budget Input Data'!$D$95*0.2/('I_Inputs &amp; Assumptions'!$B$8/4),IF(8&lt;='I_Inputs &amp; Assumptions'!$B$8*0.75,'I_Budget Input Data'!$D$95*0.6/('I_Inputs &amp; Assumptions'!$B$8/2),'I_Budget Input Data'!$D$95*0.2/('I_Inputs &amp; Assumptions'!$B$8/4))),IF('I_Budget Input Data'!$E$95="At Completion",IF(8='I_Inputs &amp; Assumptions'!$B$8,'I_Budget Input Data'!$D$95,0),'I_Budget Input Data'!$D$95/'I_Inputs &amp; Assumptions'!$B$8)))))),0)</f>
        <v>3276.9230769230771</v>
      </c>
      <c r="K95" s="91">
        <f>IF(9&lt;='I_Inputs &amp; Assumptions'!$B$8,IF('I_Budget Input Data'!$E$95="Upfront",IF(9=1,'I_Budget Input Data'!$D$95,0),IF('I_Budget Input Data'!$E$95="Equal",'I_Budget Input Data'!$D$95/'I_Inputs &amp; Assumptions'!$B$8,IF('I_Budget Input Data'!$E$95="Front-loaded",IF(9&lt;='I_Inputs &amp; Assumptions'!$B$8/2,'I_Budget Input Data'!$D$95*0.6/('I_Inputs &amp; Assumptions'!$B$8/2),'I_Budget Input Data'!$D$95*0.4/('I_Inputs &amp; Assumptions'!$B$8/2)),IF('I_Budget Input Data'!$E$95="Back-loaded",IF(9&lt;='I_Inputs &amp; Assumptions'!$B$8/2,'I_Budget Input Data'!$D$95*0.4/('I_Inputs &amp; Assumptions'!$B$8/2),'I_Budget Input Data'!$D$95*0.6/('I_Inputs &amp; Assumptions'!$B$8/2)),IF('I_Budget Input Data'!$E$95="Mid-weighted",IF(9&lt;='I_Inputs &amp; Assumptions'!$B$8/4,'I_Budget Input Data'!$D$95*0.2/('I_Inputs &amp; Assumptions'!$B$8/4),IF(9&lt;='I_Inputs &amp; Assumptions'!$B$8*0.75,'I_Budget Input Data'!$D$95*0.6/('I_Inputs &amp; Assumptions'!$B$8/2),'I_Budget Input Data'!$D$95*0.2/('I_Inputs &amp; Assumptions'!$B$8/4))),IF('I_Budget Input Data'!$E$95="At Completion",IF(9='I_Inputs &amp; Assumptions'!$B$8,'I_Budget Input Data'!$D$95,0),'I_Budget Input Data'!$D$95/'I_Inputs &amp; Assumptions'!$B$8)))))),0)</f>
        <v>3276.9230769230771</v>
      </c>
      <c r="L95" s="91">
        <f>IF(10&lt;='I_Inputs &amp; Assumptions'!$B$8,IF('I_Budget Input Data'!$E$95="Upfront",IF(10=1,'I_Budget Input Data'!$D$95,0),IF('I_Budget Input Data'!$E$95="Equal",'I_Budget Input Data'!$D$95/'I_Inputs &amp; Assumptions'!$B$8,IF('I_Budget Input Data'!$E$95="Front-loaded",IF(10&lt;='I_Inputs &amp; Assumptions'!$B$8/2,'I_Budget Input Data'!$D$95*0.6/('I_Inputs &amp; Assumptions'!$B$8/2),'I_Budget Input Data'!$D$95*0.4/('I_Inputs &amp; Assumptions'!$B$8/2)),IF('I_Budget Input Data'!$E$95="Back-loaded",IF(10&lt;='I_Inputs &amp; Assumptions'!$B$8/2,'I_Budget Input Data'!$D$95*0.4/('I_Inputs &amp; Assumptions'!$B$8/2),'I_Budget Input Data'!$D$95*0.6/('I_Inputs &amp; Assumptions'!$B$8/2)),IF('I_Budget Input Data'!$E$95="Mid-weighted",IF(10&lt;='I_Inputs &amp; Assumptions'!$B$8/4,'I_Budget Input Data'!$D$95*0.2/('I_Inputs &amp; Assumptions'!$B$8/4),IF(10&lt;='I_Inputs &amp; Assumptions'!$B$8*0.75,'I_Budget Input Data'!$D$95*0.6/('I_Inputs &amp; Assumptions'!$B$8/2),'I_Budget Input Data'!$D$95*0.2/('I_Inputs &amp; Assumptions'!$B$8/4))),IF('I_Budget Input Data'!$E$95="At Completion",IF(10='I_Inputs &amp; Assumptions'!$B$8,'I_Budget Input Data'!$D$95,0),'I_Budget Input Data'!$D$95/'I_Inputs &amp; Assumptions'!$B$8)))))),0)</f>
        <v>2184.6153846153848</v>
      </c>
      <c r="M95" s="91">
        <f>IF(11&lt;='I_Inputs &amp; Assumptions'!$B$8,IF('I_Budget Input Data'!$E$95="Upfront",IF(11=1,'I_Budget Input Data'!$D$95,0),IF('I_Budget Input Data'!$E$95="Equal",'I_Budget Input Data'!$D$95/'I_Inputs &amp; Assumptions'!$B$8,IF('I_Budget Input Data'!$E$95="Front-loaded",IF(11&lt;='I_Inputs &amp; Assumptions'!$B$8/2,'I_Budget Input Data'!$D$95*0.6/('I_Inputs &amp; Assumptions'!$B$8/2),'I_Budget Input Data'!$D$95*0.4/('I_Inputs &amp; Assumptions'!$B$8/2)),IF('I_Budget Input Data'!$E$95="Back-loaded",IF(11&lt;='I_Inputs &amp; Assumptions'!$B$8/2,'I_Budget Input Data'!$D$95*0.4/('I_Inputs &amp; Assumptions'!$B$8/2),'I_Budget Input Data'!$D$95*0.6/('I_Inputs &amp; Assumptions'!$B$8/2)),IF('I_Budget Input Data'!$E$95="Mid-weighted",IF(11&lt;='I_Inputs &amp; Assumptions'!$B$8/4,'I_Budget Input Data'!$D$95*0.2/('I_Inputs &amp; Assumptions'!$B$8/4),IF(11&lt;='I_Inputs &amp; Assumptions'!$B$8*0.75,'I_Budget Input Data'!$D$95*0.6/('I_Inputs &amp; Assumptions'!$B$8/2),'I_Budget Input Data'!$D$95*0.2/('I_Inputs &amp; Assumptions'!$B$8/4))),IF('I_Budget Input Data'!$E$95="At Completion",IF(11='I_Inputs &amp; Assumptions'!$B$8,'I_Budget Input Data'!$D$95,0),'I_Budget Input Data'!$D$95/'I_Inputs &amp; Assumptions'!$B$8)))))),0)</f>
        <v>2184.6153846153848</v>
      </c>
      <c r="N95" s="91">
        <f>IF(12&lt;='I_Inputs &amp; Assumptions'!$B$8,IF('I_Budget Input Data'!$E$95="Upfront",IF(12=1,'I_Budget Input Data'!$D$95,0),IF('I_Budget Input Data'!$E$95="Equal",'I_Budget Input Data'!$D$95/'I_Inputs &amp; Assumptions'!$B$8,IF('I_Budget Input Data'!$E$95="Front-loaded",IF(12&lt;='I_Inputs &amp; Assumptions'!$B$8/2,'I_Budget Input Data'!$D$95*0.6/('I_Inputs &amp; Assumptions'!$B$8/2),'I_Budget Input Data'!$D$95*0.4/('I_Inputs &amp; Assumptions'!$B$8/2)),IF('I_Budget Input Data'!$E$95="Back-loaded",IF(12&lt;='I_Inputs &amp; Assumptions'!$B$8/2,'I_Budget Input Data'!$D$95*0.4/('I_Inputs &amp; Assumptions'!$B$8/2),'I_Budget Input Data'!$D$95*0.6/('I_Inputs &amp; Assumptions'!$B$8/2)),IF('I_Budget Input Data'!$E$95="Mid-weighted",IF(12&lt;='I_Inputs &amp; Assumptions'!$B$8/4,'I_Budget Input Data'!$D$95*0.2/('I_Inputs &amp; Assumptions'!$B$8/4),IF(12&lt;='I_Inputs &amp; Assumptions'!$B$8*0.75,'I_Budget Input Data'!$D$95*0.6/('I_Inputs &amp; Assumptions'!$B$8/2),'I_Budget Input Data'!$D$95*0.2/('I_Inputs &amp; Assumptions'!$B$8/4))),IF('I_Budget Input Data'!$E$95="At Completion",IF(12='I_Inputs &amp; Assumptions'!$B$8,'I_Budget Input Data'!$D$95,0),'I_Budget Input Data'!$D$95/'I_Inputs &amp; Assumptions'!$B$8)))))),0)</f>
        <v>2184.6153846153848</v>
      </c>
      <c r="O95" s="91">
        <f>IF(13&lt;='I_Inputs &amp; Assumptions'!$B$8,IF('I_Budget Input Data'!$E$95="Upfront",IF(13=1,'I_Budget Input Data'!$D$95,0),IF('I_Budget Input Data'!$E$95="Equal",'I_Budget Input Data'!$D$95/'I_Inputs &amp; Assumptions'!$B$8,IF('I_Budget Input Data'!$E$95="Front-loaded",IF(13&lt;='I_Inputs &amp; Assumptions'!$B$8/2,'I_Budget Input Data'!$D$95*0.6/('I_Inputs &amp; Assumptions'!$B$8/2),'I_Budget Input Data'!$D$95*0.4/('I_Inputs &amp; Assumptions'!$B$8/2)),IF('I_Budget Input Data'!$E$95="Back-loaded",IF(13&lt;='I_Inputs &amp; Assumptions'!$B$8/2,'I_Budget Input Data'!$D$95*0.4/('I_Inputs &amp; Assumptions'!$B$8/2),'I_Budget Input Data'!$D$95*0.6/('I_Inputs &amp; Assumptions'!$B$8/2)),IF('I_Budget Input Data'!$E$95="Mid-weighted",IF(13&lt;='I_Inputs &amp; Assumptions'!$B$8/4,'I_Budget Input Data'!$D$95*0.2/('I_Inputs &amp; Assumptions'!$B$8/4),IF(13&lt;='I_Inputs &amp; Assumptions'!$B$8*0.75,'I_Budget Input Data'!$D$95*0.6/('I_Inputs &amp; Assumptions'!$B$8/2),'I_Budget Input Data'!$D$95*0.2/('I_Inputs &amp; Assumptions'!$B$8/4))),IF('I_Budget Input Data'!$E$95="At Completion",IF(13='I_Inputs &amp; Assumptions'!$B$8,'I_Budget Input Data'!$D$95,0),'I_Budget Input Data'!$D$95/'I_Inputs &amp; Assumptions'!$B$8)))))),0)</f>
        <v>2184.6153846153848</v>
      </c>
      <c r="P95" s="91">
        <f>IF(14&lt;='I_Inputs &amp; Assumptions'!$B$8,IF('I_Budget Input Data'!$E$95="Upfront",IF(14=1,'I_Budget Input Data'!$D$95,0),IF('I_Budget Input Data'!$E$95="Equal",'I_Budget Input Data'!$D$95/'I_Inputs &amp; Assumptions'!$B$8,IF('I_Budget Input Data'!$E$95="Front-loaded",IF(14&lt;='I_Inputs &amp; Assumptions'!$B$8/2,'I_Budget Input Data'!$D$95*0.6/('I_Inputs &amp; Assumptions'!$B$8/2),'I_Budget Input Data'!$D$95*0.4/('I_Inputs &amp; Assumptions'!$B$8/2)),IF('I_Budget Input Data'!$E$95="Back-loaded",IF(14&lt;='I_Inputs &amp; Assumptions'!$B$8/2,'I_Budget Input Data'!$D$95*0.4/('I_Inputs &amp; Assumptions'!$B$8/2),'I_Budget Input Data'!$D$95*0.6/('I_Inputs &amp; Assumptions'!$B$8/2)),IF('I_Budget Input Data'!$E$95="Mid-weighted",IF(14&lt;='I_Inputs &amp; Assumptions'!$B$8/4,'I_Budget Input Data'!$D$95*0.2/('I_Inputs &amp; Assumptions'!$B$8/4),IF(14&lt;='I_Inputs &amp; Assumptions'!$B$8*0.75,'I_Budget Input Data'!$D$95*0.6/('I_Inputs &amp; Assumptions'!$B$8/2),'I_Budget Input Data'!$D$95*0.2/('I_Inputs &amp; Assumptions'!$B$8/4))),IF('I_Budget Input Data'!$E$95="At Completion",IF(14='I_Inputs &amp; Assumptions'!$B$8,'I_Budget Input Data'!$D$95,0),'I_Budget Input Data'!$D$95/'I_Inputs &amp; Assumptions'!$B$8)))))),0)</f>
        <v>0</v>
      </c>
      <c r="Q95" s="91">
        <f>IF(15&lt;='I_Inputs &amp; Assumptions'!$B$8,IF('I_Budget Input Data'!$E$95="Upfront",IF(15=1,'I_Budget Input Data'!$D$95,0),IF('I_Budget Input Data'!$E$95="Equal",'I_Budget Input Data'!$D$95/'I_Inputs &amp; Assumptions'!$B$8,IF('I_Budget Input Data'!$E$95="Front-loaded",IF(15&lt;='I_Inputs &amp; Assumptions'!$B$8/2,'I_Budget Input Data'!$D$95*0.6/('I_Inputs &amp; Assumptions'!$B$8/2),'I_Budget Input Data'!$D$95*0.4/('I_Inputs &amp; Assumptions'!$B$8/2)),IF('I_Budget Input Data'!$E$95="Back-loaded",IF(15&lt;='I_Inputs &amp; Assumptions'!$B$8/2,'I_Budget Input Data'!$D$95*0.4/('I_Inputs &amp; Assumptions'!$B$8/2),'I_Budget Input Data'!$D$95*0.6/('I_Inputs &amp; Assumptions'!$B$8/2)),IF('I_Budget Input Data'!$E$95="Mid-weighted",IF(15&lt;='I_Inputs &amp; Assumptions'!$B$8/4,'I_Budget Input Data'!$D$95*0.2/('I_Inputs &amp; Assumptions'!$B$8/4),IF(15&lt;='I_Inputs &amp; Assumptions'!$B$8*0.75,'I_Budget Input Data'!$D$95*0.6/('I_Inputs &amp; Assumptions'!$B$8/2),'I_Budget Input Data'!$D$95*0.2/('I_Inputs &amp; Assumptions'!$B$8/4))),IF('I_Budget Input Data'!$E$95="At Completion",IF(15='I_Inputs &amp; Assumptions'!$B$8,'I_Budget Input Data'!$D$95,0),'I_Budget Input Data'!$D$95/'I_Inputs &amp; Assumptions'!$B$8)))))),0)</f>
        <v>0</v>
      </c>
      <c r="R95" s="91">
        <f>IF(16&lt;='I_Inputs &amp; Assumptions'!$B$8,IF('I_Budget Input Data'!$E$95="Upfront",IF(16=1,'I_Budget Input Data'!$D$95,0),IF('I_Budget Input Data'!$E$95="Equal",'I_Budget Input Data'!$D$95/'I_Inputs &amp; Assumptions'!$B$8,IF('I_Budget Input Data'!$E$95="Front-loaded",IF(16&lt;='I_Inputs &amp; Assumptions'!$B$8/2,'I_Budget Input Data'!$D$95*0.6/('I_Inputs &amp; Assumptions'!$B$8/2),'I_Budget Input Data'!$D$95*0.4/('I_Inputs &amp; Assumptions'!$B$8/2)),IF('I_Budget Input Data'!$E$95="Back-loaded",IF(16&lt;='I_Inputs &amp; Assumptions'!$B$8/2,'I_Budget Input Data'!$D$95*0.4/('I_Inputs &amp; Assumptions'!$B$8/2),'I_Budget Input Data'!$D$95*0.6/('I_Inputs &amp; Assumptions'!$B$8/2)),IF('I_Budget Input Data'!$E$95="Mid-weighted",IF(16&lt;='I_Inputs &amp; Assumptions'!$B$8/4,'I_Budget Input Data'!$D$95*0.2/('I_Inputs &amp; Assumptions'!$B$8/4),IF(16&lt;='I_Inputs &amp; Assumptions'!$B$8*0.75,'I_Budget Input Data'!$D$95*0.6/('I_Inputs &amp; Assumptions'!$B$8/2),'I_Budget Input Data'!$D$95*0.2/('I_Inputs &amp; Assumptions'!$B$8/4))),IF('I_Budget Input Data'!$E$95="At Completion",IF(16='I_Inputs &amp; Assumptions'!$B$8,'I_Budget Input Data'!$D$95,0),'I_Budget Input Data'!$D$95/'I_Inputs &amp; Assumptions'!$B$8)))))),0)</f>
        <v>0</v>
      </c>
      <c r="S95" s="91">
        <f>IF(17&lt;='I_Inputs &amp; Assumptions'!$B$8,IF('I_Budget Input Data'!$E$95="Upfront",IF(17=1,'I_Budget Input Data'!$D$95,0),IF('I_Budget Input Data'!$E$95="Equal",'I_Budget Input Data'!$D$95/'I_Inputs &amp; Assumptions'!$B$8,IF('I_Budget Input Data'!$E$95="Front-loaded",IF(17&lt;='I_Inputs &amp; Assumptions'!$B$8/2,'I_Budget Input Data'!$D$95*0.6/('I_Inputs &amp; Assumptions'!$B$8/2),'I_Budget Input Data'!$D$95*0.4/('I_Inputs &amp; Assumptions'!$B$8/2)),IF('I_Budget Input Data'!$E$95="Back-loaded",IF(17&lt;='I_Inputs &amp; Assumptions'!$B$8/2,'I_Budget Input Data'!$D$95*0.4/('I_Inputs &amp; Assumptions'!$B$8/2),'I_Budget Input Data'!$D$95*0.6/('I_Inputs &amp; Assumptions'!$B$8/2)),IF('I_Budget Input Data'!$E$95="Mid-weighted",IF(17&lt;='I_Inputs &amp; Assumptions'!$B$8/4,'I_Budget Input Data'!$D$95*0.2/('I_Inputs &amp; Assumptions'!$B$8/4),IF(17&lt;='I_Inputs &amp; Assumptions'!$B$8*0.75,'I_Budget Input Data'!$D$95*0.6/('I_Inputs &amp; Assumptions'!$B$8/2),'I_Budget Input Data'!$D$95*0.2/('I_Inputs &amp; Assumptions'!$B$8/4))),IF('I_Budget Input Data'!$E$95="At Completion",IF(17='I_Inputs &amp; Assumptions'!$B$8,'I_Budget Input Data'!$D$95,0),'I_Budget Input Data'!$D$95/'I_Inputs &amp; Assumptions'!$B$8)))))),0)</f>
        <v>0</v>
      </c>
      <c r="T95" s="91">
        <f>IF(18&lt;='I_Inputs &amp; Assumptions'!$B$8,IF('I_Budget Input Data'!$E$95="Upfront",IF(18=1,'I_Budget Input Data'!$D$95,0),IF('I_Budget Input Data'!$E$95="Equal",'I_Budget Input Data'!$D$95/'I_Inputs &amp; Assumptions'!$B$8,IF('I_Budget Input Data'!$E$95="Front-loaded",IF(18&lt;='I_Inputs &amp; Assumptions'!$B$8/2,'I_Budget Input Data'!$D$95*0.6/('I_Inputs &amp; Assumptions'!$B$8/2),'I_Budget Input Data'!$D$95*0.4/('I_Inputs &amp; Assumptions'!$B$8/2)),IF('I_Budget Input Data'!$E$95="Back-loaded",IF(18&lt;='I_Inputs &amp; Assumptions'!$B$8/2,'I_Budget Input Data'!$D$95*0.4/('I_Inputs &amp; Assumptions'!$B$8/2),'I_Budget Input Data'!$D$95*0.6/('I_Inputs &amp; Assumptions'!$B$8/2)),IF('I_Budget Input Data'!$E$95="Mid-weighted",IF(18&lt;='I_Inputs &amp; Assumptions'!$B$8/4,'I_Budget Input Data'!$D$95*0.2/('I_Inputs &amp; Assumptions'!$B$8/4),IF(18&lt;='I_Inputs &amp; Assumptions'!$B$8*0.75,'I_Budget Input Data'!$D$95*0.6/('I_Inputs &amp; Assumptions'!$B$8/2),'I_Budget Input Data'!$D$95*0.2/('I_Inputs &amp; Assumptions'!$B$8/4))),IF('I_Budget Input Data'!$E$95="At Completion",IF(18='I_Inputs &amp; Assumptions'!$B$8,'I_Budget Input Data'!$D$95,0),'I_Budget Input Data'!$D$95/'I_Inputs &amp; Assumptions'!$B$8)))))),0)</f>
        <v>0</v>
      </c>
      <c r="U95" s="91">
        <f>IF(19&lt;='I_Inputs &amp; Assumptions'!$B$8,IF('I_Budget Input Data'!$E$95="Upfront",IF(19=1,'I_Budget Input Data'!$D$95,0),IF('I_Budget Input Data'!$E$95="Equal",'I_Budget Input Data'!$D$95/'I_Inputs &amp; Assumptions'!$B$8,IF('I_Budget Input Data'!$E$95="Front-loaded",IF(19&lt;='I_Inputs &amp; Assumptions'!$B$8/2,'I_Budget Input Data'!$D$95*0.6/('I_Inputs &amp; Assumptions'!$B$8/2),'I_Budget Input Data'!$D$95*0.4/('I_Inputs &amp; Assumptions'!$B$8/2)),IF('I_Budget Input Data'!$E$95="Back-loaded",IF(19&lt;='I_Inputs &amp; Assumptions'!$B$8/2,'I_Budget Input Data'!$D$95*0.4/('I_Inputs &amp; Assumptions'!$B$8/2),'I_Budget Input Data'!$D$95*0.6/('I_Inputs &amp; Assumptions'!$B$8/2)),IF('I_Budget Input Data'!$E$95="Mid-weighted",IF(19&lt;='I_Inputs &amp; Assumptions'!$B$8/4,'I_Budget Input Data'!$D$95*0.2/('I_Inputs &amp; Assumptions'!$B$8/4),IF(19&lt;='I_Inputs &amp; Assumptions'!$B$8*0.75,'I_Budget Input Data'!$D$95*0.6/('I_Inputs &amp; Assumptions'!$B$8/2),'I_Budget Input Data'!$D$95*0.2/('I_Inputs &amp; Assumptions'!$B$8/4))),IF('I_Budget Input Data'!$E$95="At Completion",IF(19='I_Inputs &amp; Assumptions'!$B$8,'I_Budget Input Data'!$D$95,0),'I_Budget Input Data'!$D$95/'I_Inputs &amp; Assumptions'!$B$8)))))),0)</f>
        <v>0</v>
      </c>
      <c r="V95" s="91">
        <f>IF(20&lt;='I_Inputs &amp; Assumptions'!$B$8,IF('I_Budget Input Data'!$E$95="Upfront",IF(20=1,'I_Budget Input Data'!$D$95,0),IF('I_Budget Input Data'!$E$95="Equal",'I_Budget Input Data'!$D$95/'I_Inputs &amp; Assumptions'!$B$8,IF('I_Budget Input Data'!$E$95="Front-loaded",IF(20&lt;='I_Inputs &amp; Assumptions'!$B$8/2,'I_Budget Input Data'!$D$95*0.6/('I_Inputs &amp; Assumptions'!$B$8/2),'I_Budget Input Data'!$D$95*0.4/('I_Inputs &amp; Assumptions'!$B$8/2)),IF('I_Budget Input Data'!$E$95="Back-loaded",IF(20&lt;='I_Inputs &amp; Assumptions'!$B$8/2,'I_Budget Input Data'!$D$95*0.4/('I_Inputs &amp; Assumptions'!$B$8/2),'I_Budget Input Data'!$D$95*0.6/('I_Inputs &amp; Assumptions'!$B$8/2)),IF('I_Budget Input Data'!$E$95="Mid-weighted",IF(20&lt;='I_Inputs &amp; Assumptions'!$B$8/4,'I_Budget Input Data'!$D$95*0.2/('I_Inputs &amp; Assumptions'!$B$8/4),IF(20&lt;='I_Inputs &amp; Assumptions'!$B$8*0.75,'I_Budget Input Data'!$D$95*0.6/('I_Inputs &amp; Assumptions'!$B$8/2),'I_Budget Input Data'!$D$95*0.2/('I_Inputs &amp; Assumptions'!$B$8/4))),IF('I_Budget Input Data'!$E$95="At Completion",IF(20='I_Inputs &amp; Assumptions'!$B$8,'I_Budget Input Data'!$D$95,0),'I_Budget Input Data'!$D$95/'I_Inputs &amp; Assumptions'!$B$8)))))),0)</f>
        <v>0</v>
      </c>
      <c r="W95" s="91">
        <f>IF(21&lt;='I_Inputs &amp; Assumptions'!$B$8,IF('I_Budget Input Data'!$E$95="Upfront",IF(21=1,'I_Budget Input Data'!$D$95,0),IF('I_Budget Input Data'!$E$95="Equal",'I_Budget Input Data'!$D$95/'I_Inputs &amp; Assumptions'!$B$8,IF('I_Budget Input Data'!$E$95="Front-loaded",IF(21&lt;='I_Inputs &amp; Assumptions'!$B$8/2,'I_Budget Input Data'!$D$95*0.6/('I_Inputs &amp; Assumptions'!$B$8/2),'I_Budget Input Data'!$D$95*0.4/('I_Inputs &amp; Assumptions'!$B$8/2)),IF('I_Budget Input Data'!$E$95="Back-loaded",IF(21&lt;='I_Inputs &amp; Assumptions'!$B$8/2,'I_Budget Input Data'!$D$95*0.4/('I_Inputs &amp; Assumptions'!$B$8/2),'I_Budget Input Data'!$D$95*0.6/('I_Inputs &amp; Assumptions'!$B$8/2)),IF('I_Budget Input Data'!$E$95="Mid-weighted",IF(21&lt;='I_Inputs &amp; Assumptions'!$B$8/4,'I_Budget Input Data'!$D$95*0.2/('I_Inputs &amp; Assumptions'!$B$8/4),IF(21&lt;='I_Inputs &amp; Assumptions'!$B$8*0.75,'I_Budget Input Data'!$D$95*0.6/('I_Inputs &amp; Assumptions'!$B$8/2),'I_Budget Input Data'!$D$95*0.2/('I_Inputs &amp; Assumptions'!$B$8/4))),IF('I_Budget Input Data'!$E$95="At Completion",IF(21='I_Inputs &amp; Assumptions'!$B$8,'I_Budget Input Data'!$D$95,0),'I_Budget Input Data'!$D$95/'I_Inputs &amp; Assumptions'!$B$8)))))),0)</f>
        <v>0</v>
      </c>
      <c r="X95" s="91">
        <f>IF(22&lt;='I_Inputs &amp; Assumptions'!$B$8,IF('I_Budget Input Data'!$E$95="Upfront",IF(22=1,'I_Budget Input Data'!$D$95,0),IF('I_Budget Input Data'!$E$95="Equal",'I_Budget Input Data'!$D$95/'I_Inputs &amp; Assumptions'!$B$8,IF('I_Budget Input Data'!$E$95="Front-loaded",IF(22&lt;='I_Inputs &amp; Assumptions'!$B$8/2,'I_Budget Input Data'!$D$95*0.6/('I_Inputs &amp; Assumptions'!$B$8/2),'I_Budget Input Data'!$D$95*0.4/('I_Inputs &amp; Assumptions'!$B$8/2)),IF('I_Budget Input Data'!$E$95="Back-loaded",IF(22&lt;='I_Inputs &amp; Assumptions'!$B$8/2,'I_Budget Input Data'!$D$95*0.4/('I_Inputs &amp; Assumptions'!$B$8/2),'I_Budget Input Data'!$D$95*0.6/('I_Inputs &amp; Assumptions'!$B$8/2)),IF('I_Budget Input Data'!$E$95="Mid-weighted",IF(22&lt;='I_Inputs &amp; Assumptions'!$B$8/4,'I_Budget Input Data'!$D$95*0.2/('I_Inputs &amp; Assumptions'!$B$8/4),IF(22&lt;='I_Inputs &amp; Assumptions'!$B$8*0.75,'I_Budget Input Data'!$D$95*0.6/('I_Inputs &amp; Assumptions'!$B$8/2),'I_Budget Input Data'!$D$95*0.2/('I_Inputs &amp; Assumptions'!$B$8/4))),IF('I_Budget Input Data'!$E$95="At Completion",IF(22='I_Inputs &amp; Assumptions'!$B$8,'I_Budget Input Data'!$D$95,0),'I_Budget Input Data'!$D$95/'I_Inputs &amp; Assumptions'!$B$8)))))),0)</f>
        <v>0</v>
      </c>
      <c r="Y95" s="91">
        <f>IF(23&lt;='I_Inputs &amp; Assumptions'!$B$8,IF('I_Budget Input Data'!$E$95="Upfront",IF(23=1,'I_Budget Input Data'!$D$95,0),IF('I_Budget Input Data'!$E$95="Equal",'I_Budget Input Data'!$D$95/'I_Inputs &amp; Assumptions'!$B$8,IF('I_Budget Input Data'!$E$95="Front-loaded",IF(23&lt;='I_Inputs &amp; Assumptions'!$B$8/2,'I_Budget Input Data'!$D$95*0.6/('I_Inputs &amp; Assumptions'!$B$8/2),'I_Budget Input Data'!$D$95*0.4/('I_Inputs &amp; Assumptions'!$B$8/2)),IF('I_Budget Input Data'!$E$95="Back-loaded",IF(23&lt;='I_Inputs &amp; Assumptions'!$B$8/2,'I_Budget Input Data'!$D$95*0.4/('I_Inputs &amp; Assumptions'!$B$8/2),'I_Budget Input Data'!$D$95*0.6/('I_Inputs &amp; Assumptions'!$B$8/2)),IF('I_Budget Input Data'!$E$95="Mid-weighted",IF(23&lt;='I_Inputs &amp; Assumptions'!$B$8/4,'I_Budget Input Data'!$D$95*0.2/('I_Inputs &amp; Assumptions'!$B$8/4),IF(23&lt;='I_Inputs &amp; Assumptions'!$B$8*0.75,'I_Budget Input Data'!$D$95*0.6/('I_Inputs &amp; Assumptions'!$B$8/2),'I_Budget Input Data'!$D$95*0.2/('I_Inputs &amp; Assumptions'!$B$8/4))),IF('I_Budget Input Data'!$E$95="At Completion",IF(23='I_Inputs &amp; Assumptions'!$B$8,'I_Budget Input Data'!$D$95,0),'I_Budget Input Data'!$D$95/'I_Inputs &amp; Assumptions'!$B$8)))))),0)</f>
        <v>0</v>
      </c>
      <c r="Z95" s="91">
        <f>IF(24&lt;='I_Inputs &amp; Assumptions'!$B$8,IF('I_Budget Input Data'!$E$95="Upfront",IF(24=1,'I_Budget Input Data'!$D$95,0),IF('I_Budget Input Data'!$E$95="Equal",'I_Budget Input Data'!$D$95/'I_Inputs &amp; Assumptions'!$B$8,IF('I_Budget Input Data'!$E$95="Front-loaded",IF(24&lt;='I_Inputs &amp; Assumptions'!$B$8/2,'I_Budget Input Data'!$D$95*0.6/('I_Inputs &amp; Assumptions'!$B$8/2),'I_Budget Input Data'!$D$95*0.4/('I_Inputs &amp; Assumptions'!$B$8/2)),IF('I_Budget Input Data'!$E$95="Back-loaded",IF(24&lt;='I_Inputs &amp; Assumptions'!$B$8/2,'I_Budget Input Data'!$D$95*0.4/('I_Inputs &amp; Assumptions'!$B$8/2),'I_Budget Input Data'!$D$95*0.6/('I_Inputs &amp; Assumptions'!$B$8/2)),IF('I_Budget Input Data'!$E$95="Mid-weighted",IF(24&lt;='I_Inputs &amp; Assumptions'!$B$8/4,'I_Budget Input Data'!$D$95*0.2/('I_Inputs &amp; Assumptions'!$B$8/4),IF(24&lt;='I_Inputs &amp; Assumptions'!$B$8*0.75,'I_Budget Input Data'!$D$95*0.6/('I_Inputs &amp; Assumptions'!$B$8/2),'I_Budget Input Data'!$D$95*0.2/('I_Inputs &amp; Assumptions'!$B$8/4))),IF('I_Budget Input Data'!$E$95="At Completion",IF(24='I_Inputs &amp; Assumptions'!$B$8,'I_Budget Input Data'!$D$95,0),'I_Budget Input Data'!$D$95/'I_Inputs &amp; Assumptions'!$B$8)))))),0)</f>
        <v>0</v>
      </c>
      <c r="AA95" s="91">
        <f>IF(25&lt;='I_Inputs &amp; Assumptions'!$B$8,IF('I_Budget Input Data'!$E$95="Upfront",IF(25=1,'I_Budget Input Data'!$D$95,0),IF('I_Budget Input Data'!$E$95="Equal",'I_Budget Input Data'!$D$95/'I_Inputs &amp; Assumptions'!$B$8,IF('I_Budget Input Data'!$E$95="Front-loaded",IF(25&lt;='I_Inputs &amp; Assumptions'!$B$8/2,'I_Budget Input Data'!$D$95*0.6/('I_Inputs &amp; Assumptions'!$B$8/2),'I_Budget Input Data'!$D$95*0.4/('I_Inputs &amp; Assumptions'!$B$8/2)),IF('I_Budget Input Data'!$E$95="Back-loaded",IF(25&lt;='I_Inputs &amp; Assumptions'!$B$8/2,'I_Budget Input Data'!$D$95*0.4/('I_Inputs &amp; Assumptions'!$B$8/2),'I_Budget Input Data'!$D$95*0.6/('I_Inputs &amp; Assumptions'!$B$8/2)),IF('I_Budget Input Data'!$E$95="Mid-weighted",IF(25&lt;='I_Inputs &amp; Assumptions'!$B$8/4,'I_Budget Input Data'!$D$95*0.2/('I_Inputs &amp; Assumptions'!$B$8/4),IF(25&lt;='I_Inputs &amp; Assumptions'!$B$8*0.75,'I_Budget Input Data'!$D$95*0.6/('I_Inputs &amp; Assumptions'!$B$8/2),'I_Budget Input Data'!$D$95*0.2/('I_Inputs &amp; Assumptions'!$B$8/4))),IF('I_Budget Input Data'!$E$95="At Completion",IF(25='I_Inputs &amp; Assumptions'!$B$8,'I_Budget Input Data'!$D$95,0),'I_Budget Input Data'!$D$95/'I_Inputs &amp; Assumptions'!$B$8)))))),0)</f>
        <v>0</v>
      </c>
      <c r="AB95" s="91">
        <f>IF(26&lt;='I_Inputs &amp; Assumptions'!$B$8,IF('I_Budget Input Data'!$E$95="Upfront",IF(26=1,'I_Budget Input Data'!$D$95,0),IF('I_Budget Input Data'!$E$95="Equal",'I_Budget Input Data'!$D$95/'I_Inputs &amp; Assumptions'!$B$8,IF('I_Budget Input Data'!$E$95="Front-loaded",IF(26&lt;='I_Inputs &amp; Assumptions'!$B$8/2,'I_Budget Input Data'!$D$95*0.6/('I_Inputs &amp; Assumptions'!$B$8/2),'I_Budget Input Data'!$D$95*0.4/('I_Inputs &amp; Assumptions'!$B$8/2)),IF('I_Budget Input Data'!$E$95="Back-loaded",IF(26&lt;='I_Inputs &amp; Assumptions'!$B$8/2,'I_Budget Input Data'!$D$95*0.4/('I_Inputs &amp; Assumptions'!$B$8/2),'I_Budget Input Data'!$D$95*0.6/('I_Inputs &amp; Assumptions'!$B$8/2)),IF('I_Budget Input Data'!$E$95="Mid-weighted",IF(26&lt;='I_Inputs &amp; Assumptions'!$B$8/4,'I_Budget Input Data'!$D$95*0.2/('I_Inputs &amp; Assumptions'!$B$8/4),IF(26&lt;='I_Inputs &amp; Assumptions'!$B$8*0.75,'I_Budget Input Data'!$D$95*0.6/('I_Inputs &amp; Assumptions'!$B$8/2),'I_Budget Input Data'!$D$95*0.2/('I_Inputs &amp; Assumptions'!$B$8/4))),IF('I_Budget Input Data'!$E$95="At Completion",IF(26='I_Inputs &amp; Assumptions'!$B$8,'I_Budget Input Data'!$D$95,0),'I_Budget Input Data'!$D$95/'I_Inputs &amp; Assumptions'!$B$8)))))),0)</f>
        <v>0</v>
      </c>
      <c r="AC95" s="91">
        <f>IF(27&lt;='I_Inputs &amp; Assumptions'!$B$8,IF('I_Budget Input Data'!$E$95="Upfront",IF(27=1,'I_Budget Input Data'!$D$95,0),IF('I_Budget Input Data'!$E$95="Equal",'I_Budget Input Data'!$D$95/'I_Inputs &amp; Assumptions'!$B$8,IF('I_Budget Input Data'!$E$95="Front-loaded",IF(27&lt;='I_Inputs &amp; Assumptions'!$B$8/2,'I_Budget Input Data'!$D$95*0.6/('I_Inputs &amp; Assumptions'!$B$8/2),'I_Budget Input Data'!$D$95*0.4/('I_Inputs &amp; Assumptions'!$B$8/2)),IF('I_Budget Input Data'!$E$95="Back-loaded",IF(27&lt;='I_Inputs &amp; Assumptions'!$B$8/2,'I_Budget Input Data'!$D$95*0.4/('I_Inputs &amp; Assumptions'!$B$8/2),'I_Budget Input Data'!$D$95*0.6/('I_Inputs &amp; Assumptions'!$B$8/2)),IF('I_Budget Input Data'!$E$95="Mid-weighted",IF(27&lt;='I_Inputs &amp; Assumptions'!$B$8/4,'I_Budget Input Data'!$D$95*0.2/('I_Inputs &amp; Assumptions'!$B$8/4),IF(27&lt;='I_Inputs &amp; Assumptions'!$B$8*0.75,'I_Budget Input Data'!$D$95*0.6/('I_Inputs &amp; Assumptions'!$B$8/2),'I_Budget Input Data'!$D$95*0.2/('I_Inputs &amp; Assumptions'!$B$8/4))),IF('I_Budget Input Data'!$E$95="At Completion",IF(27='I_Inputs &amp; Assumptions'!$B$8,'I_Budget Input Data'!$D$95,0),'I_Budget Input Data'!$D$95/'I_Inputs &amp; Assumptions'!$B$8)))))),0)</f>
        <v>0</v>
      </c>
      <c r="AD95" s="91">
        <f>IF(28&lt;='I_Inputs &amp; Assumptions'!$B$8,IF('I_Budget Input Data'!$E$95="Upfront",IF(28=1,'I_Budget Input Data'!$D$95,0),IF('I_Budget Input Data'!$E$95="Equal",'I_Budget Input Data'!$D$95/'I_Inputs &amp; Assumptions'!$B$8,IF('I_Budget Input Data'!$E$95="Front-loaded",IF(28&lt;='I_Inputs &amp; Assumptions'!$B$8/2,'I_Budget Input Data'!$D$95*0.6/('I_Inputs &amp; Assumptions'!$B$8/2),'I_Budget Input Data'!$D$95*0.4/('I_Inputs &amp; Assumptions'!$B$8/2)),IF('I_Budget Input Data'!$E$95="Back-loaded",IF(28&lt;='I_Inputs &amp; Assumptions'!$B$8/2,'I_Budget Input Data'!$D$95*0.4/('I_Inputs &amp; Assumptions'!$B$8/2),'I_Budget Input Data'!$D$95*0.6/('I_Inputs &amp; Assumptions'!$B$8/2)),IF('I_Budget Input Data'!$E$95="Mid-weighted",IF(28&lt;='I_Inputs &amp; Assumptions'!$B$8/4,'I_Budget Input Data'!$D$95*0.2/('I_Inputs &amp; Assumptions'!$B$8/4),IF(28&lt;='I_Inputs &amp; Assumptions'!$B$8*0.75,'I_Budget Input Data'!$D$95*0.6/('I_Inputs &amp; Assumptions'!$B$8/2),'I_Budget Input Data'!$D$95*0.2/('I_Inputs &amp; Assumptions'!$B$8/4))),IF('I_Budget Input Data'!$E$95="At Completion",IF(28='I_Inputs &amp; Assumptions'!$B$8,'I_Budget Input Data'!$D$95,0),'I_Budget Input Data'!$D$95/'I_Inputs &amp; Assumptions'!$B$8)))))),0)</f>
        <v>0</v>
      </c>
      <c r="AE95" s="91">
        <f>IF(29&lt;='I_Inputs &amp; Assumptions'!$B$8,IF('I_Budget Input Data'!$E$95="Upfront",IF(29=1,'I_Budget Input Data'!$D$95,0),IF('I_Budget Input Data'!$E$95="Equal",'I_Budget Input Data'!$D$95/'I_Inputs &amp; Assumptions'!$B$8,IF('I_Budget Input Data'!$E$95="Front-loaded",IF(29&lt;='I_Inputs &amp; Assumptions'!$B$8/2,'I_Budget Input Data'!$D$95*0.6/('I_Inputs &amp; Assumptions'!$B$8/2),'I_Budget Input Data'!$D$95*0.4/('I_Inputs &amp; Assumptions'!$B$8/2)),IF('I_Budget Input Data'!$E$95="Back-loaded",IF(29&lt;='I_Inputs &amp; Assumptions'!$B$8/2,'I_Budget Input Data'!$D$95*0.4/('I_Inputs &amp; Assumptions'!$B$8/2),'I_Budget Input Data'!$D$95*0.6/('I_Inputs &amp; Assumptions'!$B$8/2)),IF('I_Budget Input Data'!$E$95="Mid-weighted",IF(29&lt;='I_Inputs &amp; Assumptions'!$B$8/4,'I_Budget Input Data'!$D$95*0.2/('I_Inputs &amp; Assumptions'!$B$8/4),IF(29&lt;='I_Inputs &amp; Assumptions'!$B$8*0.75,'I_Budget Input Data'!$D$95*0.6/('I_Inputs &amp; Assumptions'!$B$8/2),'I_Budget Input Data'!$D$95*0.2/('I_Inputs &amp; Assumptions'!$B$8/4))),IF('I_Budget Input Data'!$E$95="At Completion",IF(29='I_Inputs &amp; Assumptions'!$B$8,'I_Budget Input Data'!$D$95,0),'I_Budget Input Data'!$D$95/'I_Inputs &amp; Assumptions'!$B$8)))))),0)</f>
        <v>0</v>
      </c>
      <c r="AF95" s="91">
        <f>IF(30&lt;='I_Inputs &amp; Assumptions'!$B$8,IF('I_Budget Input Data'!$E$95="Upfront",IF(30=1,'I_Budget Input Data'!$D$95,0),IF('I_Budget Input Data'!$E$95="Equal",'I_Budget Input Data'!$D$95/'I_Inputs &amp; Assumptions'!$B$8,IF('I_Budget Input Data'!$E$95="Front-loaded",IF(30&lt;='I_Inputs &amp; Assumptions'!$B$8/2,'I_Budget Input Data'!$D$95*0.6/('I_Inputs &amp; Assumptions'!$B$8/2),'I_Budget Input Data'!$D$95*0.4/('I_Inputs &amp; Assumptions'!$B$8/2)),IF('I_Budget Input Data'!$E$95="Back-loaded",IF(30&lt;='I_Inputs &amp; Assumptions'!$B$8/2,'I_Budget Input Data'!$D$95*0.4/('I_Inputs &amp; Assumptions'!$B$8/2),'I_Budget Input Data'!$D$95*0.6/('I_Inputs &amp; Assumptions'!$B$8/2)),IF('I_Budget Input Data'!$E$95="Mid-weighted",IF(30&lt;='I_Inputs &amp; Assumptions'!$B$8/4,'I_Budget Input Data'!$D$95*0.2/('I_Inputs &amp; Assumptions'!$B$8/4),IF(30&lt;='I_Inputs &amp; Assumptions'!$B$8*0.75,'I_Budget Input Data'!$D$95*0.6/('I_Inputs &amp; Assumptions'!$B$8/2),'I_Budget Input Data'!$D$95*0.2/('I_Inputs &amp; Assumptions'!$B$8/4))),IF('I_Budget Input Data'!$E$95="At Completion",IF(30='I_Inputs &amp; Assumptions'!$B$8,'I_Budget Input Data'!$D$95,0),'I_Budget Input Data'!$D$95/'I_Inputs &amp; Assumptions'!$B$8)))))),0)</f>
        <v>0</v>
      </c>
      <c r="AG95" s="91">
        <f>IF(31&lt;='I_Inputs &amp; Assumptions'!$B$8,IF('I_Budget Input Data'!$E$95="Upfront",IF(31=1,'I_Budget Input Data'!$D$95,0),IF('I_Budget Input Data'!$E$95="Equal",'I_Budget Input Data'!$D$95/'I_Inputs &amp; Assumptions'!$B$8,IF('I_Budget Input Data'!$E$95="Front-loaded",IF(31&lt;='I_Inputs &amp; Assumptions'!$B$8/2,'I_Budget Input Data'!$D$95*0.6/('I_Inputs &amp; Assumptions'!$B$8/2),'I_Budget Input Data'!$D$95*0.4/('I_Inputs &amp; Assumptions'!$B$8/2)),IF('I_Budget Input Data'!$E$95="Back-loaded",IF(31&lt;='I_Inputs &amp; Assumptions'!$B$8/2,'I_Budget Input Data'!$D$95*0.4/('I_Inputs &amp; Assumptions'!$B$8/2),'I_Budget Input Data'!$D$95*0.6/('I_Inputs &amp; Assumptions'!$B$8/2)),IF('I_Budget Input Data'!$E$95="Mid-weighted",IF(31&lt;='I_Inputs &amp; Assumptions'!$B$8/4,'I_Budget Input Data'!$D$95*0.2/('I_Inputs &amp; Assumptions'!$B$8/4),IF(31&lt;='I_Inputs &amp; Assumptions'!$B$8*0.75,'I_Budget Input Data'!$D$95*0.6/('I_Inputs &amp; Assumptions'!$B$8/2),'I_Budget Input Data'!$D$95*0.2/('I_Inputs &amp; Assumptions'!$B$8/4))),IF('I_Budget Input Data'!$E$95="At Completion",IF(31='I_Inputs &amp; Assumptions'!$B$8,'I_Budget Input Data'!$D$95,0),'I_Budget Input Data'!$D$95/'I_Inputs &amp; Assumptions'!$B$8)))))),0)</f>
        <v>0</v>
      </c>
      <c r="AH95" s="91">
        <f>IF(32&lt;='I_Inputs &amp; Assumptions'!$B$8,IF('I_Budget Input Data'!$E$95="Upfront",IF(32=1,'I_Budget Input Data'!$D$95,0),IF('I_Budget Input Data'!$E$95="Equal",'I_Budget Input Data'!$D$95/'I_Inputs &amp; Assumptions'!$B$8,IF('I_Budget Input Data'!$E$95="Front-loaded",IF(32&lt;='I_Inputs &amp; Assumptions'!$B$8/2,'I_Budget Input Data'!$D$95*0.6/('I_Inputs &amp; Assumptions'!$B$8/2),'I_Budget Input Data'!$D$95*0.4/('I_Inputs &amp; Assumptions'!$B$8/2)),IF('I_Budget Input Data'!$E$95="Back-loaded",IF(32&lt;='I_Inputs &amp; Assumptions'!$B$8/2,'I_Budget Input Data'!$D$95*0.4/('I_Inputs &amp; Assumptions'!$B$8/2),'I_Budget Input Data'!$D$95*0.6/('I_Inputs &amp; Assumptions'!$B$8/2)),IF('I_Budget Input Data'!$E$95="Mid-weighted",IF(32&lt;='I_Inputs &amp; Assumptions'!$B$8/4,'I_Budget Input Data'!$D$95*0.2/('I_Inputs &amp; Assumptions'!$B$8/4),IF(32&lt;='I_Inputs &amp; Assumptions'!$B$8*0.75,'I_Budget Input Data'!$D$95*0.6/('I_Inputs &amp; Assumptions'!$B$8/2),'I_Budget Input Data'!$D$95*0.2/('I_Inputs &amp; Assumptions'!$B$8/4))),IF('I_Budget Input Data'!$E$95="At Completion",IF(32='I_Inputs &amp; Assumptions'!$B$8,'I_Budget Input Data'!$D$95,0),'I_Budget Input Data'!$D$95/'I_Inputs &amp; Assumptions'!$B$8)))))),0)</f>
        <v>0</v>
      </c>
      <c r="AI95" s="91">
        <f>IF(33&lt;='I_Inputs &amp; Assumptions'!$B$8,IF('I_Budget Input Data'!$E$95="Upfront",IF(33=1,'I_Budget Input Data'!$D$95,0),IF('I_Budget Input Data'!$E$95="Equal",'I_Budget Input Data'!$D$95/'I_Inputs &amp; Assumptions'!$B$8,IF('I_Budget Input Data'!$E$95="Front-loaded",IF(33&lt;='I_Inputs &amp; Assumptions'!$B$8/2,'I_Budget Input Data'!$D$95*0.6/('I_Inputs &amp; Assumptions'!$B$8/2),'I_Budget Input Data'!$D$95*0.4/('I_Inputs &amp; Assumptions'!$B$8/2)),IF('I_Budget Input Data'!$E$95="Back-loaded",IF(33&lt;='I_Inputs &amp; Assumptions'!$B$8/2,'I_Budget Input Data'!$D$95*0.4/('I_Inputs &amp; Assumptions'!$B$8/2),'I_Budget Input Data'!$D$95*0.6/('I_Inputs &amp; Assumptions'!$B$8/2)),IF('I_Budget Input Data'!$E$95="Mid-weighted",IF(33&lt;='I_Inputs &amp; Assumptions'!$B$8/4,'I_Budget Input Data'!$D$95*0.2/('I_Inputs &amp; Assumptions'!$B$8/4),IF(33&lt;='I_Inputs &amp; Assumptions'!$B$8*0.75,'I_Budget Input Data'!$D$95*0.6/('I_Inputs &amp; Assumptions'!$B$8/2),'I_Budget Input Data'!$D$95*0.2/('I_Inputs &amp; Assumptions'!$B$8/4))),IF('I_Budget Input Data'!$E$95="At Completion",IF(33='I_Inputs &amp; Assumptions'!$B$8,'I_Budget Input Data'!$D$95,0),'I_Budget Input Data'!$D$95/'I_Inputs &amp; Assumptions'!$B$8)))))),0)</f>
        <v>0</v>
      </c>
      <c r="AJ95" s="91">
        <f>IF(34&lt;='I_Inputs &amp; Assumptions'!$B$8,IF('I_Budget Input Data'!$E$95="Upfront",IF(34=1,'I_Budget Input Data'!$D$95,0),IF('I_Budget Input Data'!$E$95="Equal",'I_Budget Input Data'!$D$95/'I_Inputs &amp; Assumptions'!$B$8,IF('I_Budget Input Data'!$E$95="Front-loaded",IF(34&lt;='I_Inputs &amp; Assumptions'!$B$8/2,'I_Budget Input Data'!$D$95*0.6/('I_Inputs &amp; Assumptions'!$B$8/2),'I_Budget Input Data'!$D$95*0.4/('I_Inputs &amp; Assumptions'!$B$8/2)),IF('I_Budget Input Data'!$E$95="Back-loaded",IF(34&lt;='I_Inputs &amp; Assumptions'!$B$8/2,'I_Budget Input Data'!$D$95*0.4/('I_Inputs &amp; Assumptions'!$B$8/2),'I_Budget Input Data'!$D$95*0.6/('I_Inputs &amp; Assumptions'!$B$8/2)),IF('I_Budget Input Data'!$E$95="Mid-weighted",IF(34&lt;='I_Inputs &amp; Assumptions'!$B$8/4,'I_Budget Input Data'!$D$95*0.2/('I_Inputs &amp; Assumptions'!$B$8/4),IF(34&lt;='I_Inputs &amp; Assumptions'!$B$8*0.75,'I_Budget Input Data'!$D$95*0.6/('I_Inputs &amp; Assumptions'!$B$8/2),'I_Budget Input Data'!$D$95*0.2/('I_Inputs &amp; Assumptions'!$B$8/4))),IF('I_Budget Input Data'!$E$95="At Completion",IF(34='I_Inputs &amp; Assumptions'!$B$8,'I_Budget Input Data'!$D$95,0),'I_Budget Input Data'!$D$95/'I_Inputs &amp; Assumptions'!$B$8)))))),0)</f>
        <v>0</v>
      </c>
      <c r="AK95" s="91">
        <f>IF(35&lt;='I_Inputs &amp; Assumptions'!$B$8,IF('I_Budget Input Data'!$E$95="Upfront",IF(35=1,'I_Budget Input Data'!$D$95,0),IF('I_Budget Input Data'!$E$95="Equal",'I_Budget Input Data'!$D$95/'I_Inputs &amp; Assumptions'!$B$8,IF('I_Budget Input Data'!$E$95="Front-loaded",IF(35&lt;='I_Inputs &amp; Assumptions'!$B$8/2,'I_Budget Input Data'!$D$95*0.6/('I_Inputs &amp; Assumptions'!$B$8/2),'I_Budget Input Data'!$D$95*0.4/('I_Inputs &amp; Assumptions'!$B$8/2)),IF('I_Budget Input Data'!$E$95="Back-loaded",IF(35&lt;='I_Inputs &amp; Assumptions'!$B$8/2,'I_Budget Input Data'!$D$95*0.4/('I_Inputs &amp; Assumptions'!$B$8/2),'I_Budget Input Data'!$D$95*0.6/('I_Inputs &amp; Assumptions'!$B$8/2)),IF('I_Budget Input Data'!$E$95="Mid-weighted",IF(35&lt;='I_Inputs &amp; Assumptions'!$B$8/4,'I_Budget Input Data'!$D$95*0.2/('I_Inputs &amp; Assumptions'!$B$8/4),IF(35&lt;='I_Inputs &amp; Assumptions'!$B$8*0.75,'I_Budget Input Data'!$D$95*0.6/('I_Inputs &amp; Assumptions'!$B$8/2),'I_Budget Input Data'!$D$95*0.2/('I_Inputs &amp; Assumptions'!$B$8/4))),IF('I_Budget Input Data'!$E$95="At Completion",IF(35='I_Inputs &amp; Assumptions'!$B$8,'I_Budget Input Data'!$D$95,0),'I_Budget Input Data'!$D$95/'I_Inputs &amp; Assumptions'!$B$8)))))),0)</f>
        <v>0</v>
      </c>
      <c r="AL95" s="91">
        <f>IF(36&lt;='I_Inputs &amp; Assumptions'!$B$8,IF('I_Budget Input Data'!$E$95="Upfront",IF(36=1,'I_Budget Input Data'!$D$95,0),IF('I_Budget Input Data'!$E$95="Equal",'I_Budget Input Data'!$D$95/'I_Inputs &amp; Assumptions'!$B$8,IF('I_Budget Input Data'!$E$95="Front-loaded",IF(36&lt;='I_Inputs &amp; Assumptions'!$B$8/2,'I_Budget Input Data'!$D$95*0.6/('I_Inputs &amp; Assumptions'!$B$8/2),'I_Budget Input Data'!$D$95*0.4/('I_Inputs &amp; Assumptions'!$B$8/2)),IF('I_Budget Input Data'!$E$95="Back-loaded",IF(36&lt;='I_Inputs &amp; Assumptions'!$B$8/2,'I_Budget Input Data'!$D$95*0.4/('I_Inputs &amp; Assumptions'!$B$8/2),'I_Budget Input Data'!$D$95*0.6/('I_Inputs &amp; Assumptions'!$B$8/2)),IF('I_Budget Input Data'!$E$95="Mid-weighted",IF(36&lt;='I_Inputs &amp; Assumptions'!$B$8/4,'I_Budget Input Data'!$D$95*0.2/('I_Inputs &amp; Assumptions'!$B$8/4),IF(36&lt;='I_Inputs &amp; Assumptions'!$B$8*0.75,'I_Budget Input Data'!$D$95*0.6/('I_Inputs &amp; Assumptions'!$B$8/2),'I_Budget Input Data'!$D$95*0.2/('I_Inputs &amp; Assumptions'!$B$8/4))),IF('I_Budget Input Data'!$E$95="At Completion",IF(36='I_Inputs &amp; Assumptions'!$B$8,'I_Budget Input Data'!$D$95,0),'I_Budget Input Data'!$D$95/'I_Inputs &amp; Assumptions'!$B$8)))))),0)</f>
        <v>0</v>
      </c>
    </row>
    <row r="96" spans="1:38" ht="15" customHeight="1" x14ac:dyDescent="0.2">
      <c r="A96" t="s">
        <v>146</v>
      </c>
      <c r="B96" t="s">
        <v>214</v>
      </c>
      <c r="C96" s="91">
        <f>IF(1&lt;='I_Inputs &amp; Assumptions'!$B$8,IF('I_Budget Input Data'!$E$96="Upfront",IF(1=1,'I_Budget Input Data'!$D$96,0),IF('I_Budget Input Data'!$E$96="Equal",'I_Budget Input Data'!$D$96/'I_Inputs &amp; Assumptions'!$B$8,IF('I_Budget Input Data'!$E$96="Front-loaded",IF(1&lt;='I_Inputs &amp; Assumptions'!$B$8/2,'I_Budget Input Data'!$D$96*0.6/('I_Inputs &amp; Assumptions'!$B$8/2),'I_Budget Input Data'!$D$96*0.4/('I_Inputs &amp; Assumptions'!$B$8/2)),IF('I_Budget Input Data'!$E$96="Back-loaded",IF(1&lt;='I_Inputs &amp; Assumptions'!$B$8/2,'I_Budget Input Data'!$D$96*0.4/('I_Inputs &amp; Assumptions'!$B$8/2),'I_Budget Input Data'!$D$96*0.6/('I_Inputs &amp; Assumptions'!$B$8/2)),IF('I_Budget Input Data'!$E$96="Mid-weighted",IF(1&lt;='I_Inputs &amp; Assumptions'!$B$8/4,'I_Budget Input Data'!$D$96*0.2/('I_Inputs &amp; Assumptions'!$B$8/4),IF(1&lt;='I_Inputs &amp; Assumptions'!$B$8*0.75,'I_Budget Input Data'!$D$96*0.6/('I_Inputs &amp; Assumptions'!$B$8/2),'I_Budget Input Data'!$D$96*0.2/('I_Inputs &amp; Assumptions'!$B$8/4))),IF('I_Budget Input Data'!$E$96="At Completion",IF(1='I_Inputs &amp; Assumptions'!$B$8,'I_Budget Input Data'!$D$96,0),'I_Budget Input Data'!$D$96/'I_Inputs &amp; Assumptions'!$B$8)))))),0)</f>
        <v>91227.692307692312</v>
      </c>
      <c r="D96" s="91">
        <f>IF(2&lt;='I_Inputs &amp; Assumptions'!$B$8,IF('I_Budget Input Data'!$E$96="Upfront",IF(2=1,'I_Budget Input Data'!$D$96,0),IF('I_Budget Input Data'!$E$96="Equal",'I_Budget Input Data'!$D$96/'I_Inputs &amp; Assumptions'!$B$8,IF('I_Budget Input Data'!$E$96="Front-loaded",IF(2&lt;='I_Inputs &amp; Assumptions'!$B$8/2,'I_Budget Input Data'!$D$96*0.6/('I_Inputs &amp; Assumptions'!$B$8/2),'I_Budget Input Data'!$D$96*0.4/('I_Inputs &amp; Assumptions'!$B$8/2)),IF('I_Budget Input Data'!$E$96="Back-loaded",IF(2&lt;='I_Inputs &amp; Assumptions'!$B$8/2,'I_Budget Input Data'!$D$96*0.4/('I_Inputs &amp; Assumptions'!$B$8/2),'I_Budget Input Data'!$D$96*0.6/('I_Inputs &amp; Assumptions'!$B$8/2)),IF('I_Budget Input Data'!$E$96="Mid-weighted",IF(2&lt;='I_Inputs &amp; Assumptions'!$B$8/4,'I_Budget Input Data'!$D$96*0.2/('I_Inputs &amp; Assumptions'!$B$8/4),IF(2&lt;='I_Inputs &amp; Assumptions'!$B$8*0.75,'I_Budget Input Data'!$D$96*0.6/('I_Inputs &amp; Assumptions'!$B$8/2),'I_Budget Input Data'!$D$96*0.2/('I_Inputs &amp; Assumptions'!$B$8/4))),IF('I_Budget Input Data'!$E$96="At Completion",IF(2='I_Inputs &amp; Assumptions'!$B$8,'I_Budget Input Data'!$D$96,0),'I_Budget Input Data'!$D$96/'I_Inputs &amp; Assumptions'!$B$8)))))),0)</f>
        <v>91227.692307692312</v>
      </c>
      <c r="E96" s="91">
        <f>IF(3&lt;='I_Inputs &amp; Assumptions'!$B$8,IF('I_Budget Input Data'!$E$96="Upfront",IF(3=1,'I_Budget Input Data'!$D$96,0),IF('I_Budget Input Data'!$E$96="Equal",'I_Budget Input Data'!$D$96/'I_Inputs &amp; Assumptions'!$B$8,IF('I_Budget Input Data'!$E$96="Front-loaded",IF(3&lt;='I_Inputs &amp; Assumptions'!$B$8/2,'I_Budget Input Data'!$D$96*0.6/('I_Inputs &amp; Assumptions'!$B$8/2),'I_Budget Input Data'!$D$96*0.4/('I_Inputs &amp; Assumptions'!$B$8/2)),IF('I_Budget Input Data'!$E$96="Back-loaded",IF(3&lt;='I_Inputs &amp; Assumptions'!$B$8/2,'I_Budget Input Data'!$D$96*0.4/('I_Inputs &amp; Assumptions'!$B$8/2),'I_Budget Input Data'!$D$96*0.6/('I_Inputs &amp; Assumptions'!$B$8/2)),IF('I_Budget Input Data'!$E$96="Mid-weighted",IF(3&lt;='I_Inputs &amp; Assumptions'!$B$8/4,'I_Budget Input Data'!$D$96*0.2/('I_Inputs &amp; Assumptions'!$B$8/4),IF(3&lt;='I_Inputs &amp; Assumptions'!$B$8*0.75,'I_Budget Input Data'!$D$96*0.6/('I_Inputs &amp; Assumptions'!$B$8/2),'I_Budget Input Data'!$D$96*0.2/('I_Inputs &amp; Assumptions'!$B$8/4))),IF('I_Budget Input Data'!$E$96="At Completion",IF(3='I_Inputs &amp; Assumptions'!$B$8,'I_Budget Input Data'!$D$96,0),'I_Budget Input Data'!$D$96/'I_Inputs &amp; Assumptions'!$B$8)))))),0)</f>
        <v>91227.692307692312</v>
      </c>
      <c r="F96" s="91">
        <f>IF(4&lt;='I_Inputs &amp; Assumptions'!$B$8,IF('I_Budget Input Data'!$E$96="Upfront",IF(4=1,'I_Budget Input Data'!$D$96,0),IF('I_Budget Input Data'!$E$96="Equal",'I_Budget Input Data'!$D$96/'I_Inputs &amp; Assumptions'!$B$8,IF('I_Budget Input Data'!$E$96="Front-loaded",IF(4&lt;='I_Inputs &amp; Assumptions'!$B$8/2,'I_Budget Input Data'!$D$96*0.6/('I_Inputs &amp; Assumptions'!$B$8/2),'I_Budget Input Data'!$D$96*0.4/('I_Inputs &amp; Assumptions'!$B$8/2)),IF('I_Budget Input Data'!$E$96="Back-loaded",IF(4&lt;='I_Inputs &amp; Assumptions'!$B$8/2,'I_Budget Input Data'!$D$96*0.4/('I_Inputs &amp; Assumptions'!$B$8/2),'I_Budget Input Data'!$D$96*0.6/('I_Inputs &amp; Assumptions'!$B$8/2)),IF('I_Budget Input Data'!$E$96="Mid-weighted",IF(4&lt;='I_Inputs &amp; Assumptions'!$B$8/4,'I_Budget Input Data'!$D$96*0.2/('I_Inputs &amp; Assumptions'!$B$8/4),IF(4&lt;='I_Inputs &amp; Assumptions'!$B$8*0.75,'I_Budget Input Data'!$D$96*0.6/('I_Inputs &amp; Assumptions'!$B$8/2),'I_Budget Input Data'!$D$96*0.2/('I_Inputs &amp; Assumptions'!$B$8/4))),IF('I_Budget Input Data'!$E$96="At Completion",IF(4='I_Inputs &amp; Assumptions'!$B$8,'I_Budget Input Data'!$D$96,0),'I_Budget Input Data'!$D$96/'I_Inputs &amp; Assumptions'!$B$8)))))),0)</f>
        <v>136841.53846153847</v>
      </c>
      <c r="G96" s="91">
        <f>IF(5&lt;='I_Inputs &amp; Assumptions'!$B$8,IF('I_Budget Input Data'!$E$96="Upfront",IF(5=1,'I_Budget Input Data'!$D$96,0),IF('I_Budget Input Data'!$E$96="Equal",'I_Budget Input Data'!$D$96/'I_Inputs &amp; Assumptions'!$B$8,IF('I_Budget Input Data'!$E$96="Front-loaded",IF(5&lt;='I_Inputs &amp; Assumptions'!$B$8/2,'I_Budget Input Data'!$D$96*0.6/('I_Inputs &amp; Assumptions'!$B$8/2),'I_Budget Input Data'!$D$96*0.4/('I_Inputs &amp; Assumptions'!$B$8/2)),IF('I_Budget Input Data'!$E$96="Back-loaded",IF(5&lt;='I_Inputs &amp; Assumptions'!$B$8/2,'I_Budget Input Data'!$D$96*0.4/('I_Inputs &amp; Assumptions'!$B$8/2),'I_Budget Input Data'!$D$96*0.6/('I_Inputs &amp; Assumptions'!$B$8/2)),IF('I_Budget Input Data'!$E$96="Mid-weighted",IF(5&lt;='I_Inputs &amp; Assumptions'!$B$8/4,'I_Budget Input Data'!$D$96*0.2/('I_Inputs &amp; Assumptions'!$B$8/4),IF(5&lt;='I_Inputs &amp; Assumptions'!$B$8*0.75,'I_Budget Input Data'!$D$96*0.6/('I_Inputs &amp; Assumptions'!$B$8/2),'I_Budget Input Data'!$D$96*0.2/('I_Inputs &amp; Assumptions'!$B$8/4))),IF('I_Budget Input Data'!$E$96="At Completion",IF(5='I_Inputs &amp; Assumptions'!$B$8,'I_Budget Input Data'!$D$96,0),'I_Budget Input Data'!$D$96/'I_Inputs &amp; Assumptions'!$B$8)))))),0)</f>
        <v>136841.53846153847</v>
      </c>
      <c r="H96" s="91">
        <f>IF(6&lt;='I_Inputs &amp; Assumptions'!$B$8,IF('I_Budget Input Data'!$E$96="Upfront",IF(6=1,'I_Budget Input Data'!$D$96,0),IF('I_Budget Input Data'!$E$96="Equal",'I_Budget Input Data'!$D$96/'I_Inputs &amp; Assumptions'!$B$8,IF('I_Budget Input Data'!$E$96="Front-loaded",IF(6&lt;='I_Inputs &amp; Assumptions'!$B$8/2,'I_Budget Input Data'!$D$96*0.6/('I_Inputs &amp; Assumptions'!$B$8/2),'I_Budget Input Data'!$D$96*0.4/('I_Inputs &amp; Assumptions'!$B$8/2)),IF('I_Budget Input Data'!$E$96="Back-loaded",IF(6&lt;='I_Inputs &amp; Assumptions'!$B$8/2,'I_Budget Input Data'!$D$96*0.4/('I_Inputs &amp; Assumptions'!$B$8/2),'I_Budget Input Data'!$D$96*0.6/('I_Inputs &amp; Assumptions'!$B$8/2)),IF('I_Budget Input Data'!$E$96="Mid-weighted",IF(6&lt;='I_Inputs &amp; Assumptions'!$B$8/4,'I_Budget Input Data'!$D$96*0.2/('I_Inputs &amp; Assumptions'!$B$8/4),IF(6&lt;='I_Inputs &amp; Assumptions'!$B$8*0.75,'I_Budget Input Data'!$D$96*0.6/('I_Inputs &amp; Assumptions'!$B$8/2),'I_Budget Input Data'!$D$96*0.2/('I_Inputs &amp; Assumptions'!$B$8/4))),IF('I_Budget Input Data'!$E$96="At Completion",IF(6='I_Inputs &amp; Assumptions'!$B$8,'I_Budget Input Data'!$D$96,0),'I_Budget Input Data'!$D$96/'I_Inputs &amp; Assumptions'!$B$8)))))),0)</f>
        <v>136841.53846153847</v>
      </c>
      <c r="I96" s="91">
        <f>IF(7&lt;='I_Inputs &amp; Assumptions'!$B$8,IF('I_Budget Input Data'!$E$96="Upfront",IF(7=1,'I_Budget Input Data'!$D$96,0),IF('I_Budget Input Data'!$E$96="Equal",'I_Budget Input Data'!$D$96/'I_Inputs &amp; Assumptions'!$B$8,IF('I_Budget Input Data'!$E$96="Front-loaded",IF(7&lt;='I_Inputs &amp; Assumptions'!$B$8/2,'I_Budget Input Data'!$D$96*0.6/('I_Inputs &amp; Assumptions'!$B$8/2),'I_Budget Input Data'!$D$96*0.4/('I_Inputs &amp; Assumptions'!$B$8/2)),IF('I_Budget Input Data'!$E$96="Back-loaded",IF(7&lt;='I_Inputs &amp; Assumptions'!$B$8/2,'I_Budget Input Data'!$D$96*0.4/('I_Inputs &amp; Assumptions'!$B$8/2),'I_Budget Input Data'!$D$96*0.6/('I_Inputs &amp; Assumptions'!$B$8/2)),IF('I_Budget Input Data'!$E$96="Mid-weighted",IF(7&lt;='I_Inputs &amp; Assumptions'!$B$8/4,'I_Budget Input Data'!$D$96*0.2/('I_Inputs &amp; Assumptions'!$B$8/4),IF(7&lt;='I_Inputs &amp; Assumptions'!$B$8*0.75,'I_Budget Input Data'!$D$96*0.6/('I_Inputs &amp; Assumptions'!$B$8/2),'I_Budget Input Data'!$D$96*0.2/('I_Inputs &amp; Assumptions'!$B$8/4))),IF('I_Budget Input Data'!$E$96="At Completion",IF(7='I_Inputs &amp; Assumptions'!$B$8,'I_Budget Input Data'!$D$96,0),'I_Budget Input Data'!$D$96/'I_Inputs &amp; Assumptions'!$B$8)))))),0)</f>
        <v>136841.53846153847</v>
      </c>
      <c r="J96" s="91">
        <f>IF(8&lt;='I_Inputs &amp; Assumptions'!$B$8,IF('I_Budget Input Data'!$E$96="Upfront",IF(8=1,'I_Budget Input Data'!$D$96,0),IF('I_Budget Input Data'!$E$96="Equal",'I_Budget Input Data'!$D$96/'I_Inputs &amp; Assumptions'!$B$8,IF('I_Budget Input Data'!$E$96="Front-loaded",IF(8&lt;='I_Inputs &amp; Assumptions'!$B$8/2,'I_Budget Input Data'!$D$96*0.6/('I_Inputs &amp; Assumptions'!$B$8/2),'I_Budget Input Data'!$D$96*0.4/('I_Inputs &amp; Assumptions'!$B$8/2)),IF('I_Budget Input Data'!$E$96="Back-loaded",IF(8&lt;='I_Inputs &amp; Assumptions'!$B$8/2,'I_Budget Input Data'!$D$96*0.4/('I_Inputs &amp; Assumptions'!$B$8/2),'I_Budget Input Data'!$D$96*0.6/('I_Inputs &amp; Assumptions'!$B$8/2)),IF('I_Budget Input Data'!$E$96="Mid-weighted",IF(8&lt;='I_Inputs &amp; Assumptions'!$B$8/4,'I_Budget Input Data'!$D$96*0.2/('I_Inputs &amp; Assumptions'!$B$8/4),IF(8&lt;='I_Inputs &amp; Assumptions'!$B$8*0.75,'I_Budget Input Data'!$D$96*0.6/('I_Inputs &amp; Assumptions'!$B$8/2),'I_Budget Input Data'!$D$96*0.2/('I_Inputs &amp; Assumptions'!$B$8/4))),IF('I_Budget Input Data'!$E$96="At Completion",IF(8='I_Inputs &amp; Assumptions'!$B$8,'I_Budget Input Data'!$D$96,0),'I_Budget Input Data'!$D$96/'I_Inputs &amp; Assumptions'!$B$8)))))),0)</f>
        <v>136841.53846153847</v>
      </c>
      <c r="K96" s="91">
        <f>IF(9&lt;='I_Inputs &amp; Assumptions'!$B$8,IF('I_Budget Input Data'!$E$96="Upfront",IF(9=1,'I_Budget Input Data'!$D$96,0),IF('I_Budget Input Data'!$E$96="Equal",'I_Budget Input Data'!$D$96/'I_Inputs &amp; Assumptions'!$B$8,IF('I_Budget Input Data'!$E$96="Front-loaded",IF(9&lt;='I_Inputs &amp; Assumptions'!$B$8/2,'I_Budget Input Data'!$D$96*0.6/('I_Inputs &amp; Assumptions'!$B$8/2),'I_Budget Input Data'!$D$96*0.4/('I_Inputs &amp; Assumptions'!$B$8/2)),IF('I_Budget Input Data'!$E$96="Back-loaded",IF(9&lt;='I_Inputs &amp; Assumptions'!$B$8/2,'I_Budget Input Data'!$D$96*0.4/('I_Inputs &amp; Assumptions'!$B$8/2),'I_Budget Input Data'!$D$96*0.6/('I_Inputs &amp; Assumptions'!$B$8/2)),IF('I_Budget Input Data'!$E$96="Mid-weighted",IF(9&lt;='I_Inputs &amp; Assumptions'!$B$8/4,'I_Budget Input Data'!$D$96*0.2/('I_Inputs &amp; Assumptions'!$B$8/4),IF(9&lt;='I_Inputs &amp; Assumptions'!$B$8*0.75,'I_Budget Input Data'!$D$96*0.6/('I_Inputs &amp; Assumptions'!$B$8/2),'I_Budget Input Data'!$D$96*0.2/('I_Inputs &amp; Assumptions'!$B$8/4))),IF('I_Budget Input Data'!$E$96="At Completion",IF(9='I_Inputs &amp; Assumptions'!$B$8,'I_Budget Input Data'!$D$96,0),'I_Budget Input Data'!$D$96/'I_Inputs &amp; Assumptions'!$B$8)))))),0)</f>
        <v>136841.53846153847</v>
      </c>
      <c r="L96" s="91">
        <f>IF(10&lt;='I_Inputs &amp; Assumptions'!$B$8,IF('I_Budget Input Data'!$E$96="Upfront",IF(10=1,'I_Budget Input Data'!$D$96,0),IF('I_Budget Input Data'!$E$96="Equal",'I_Budget Input Data'!$D$96/'I_Inputs &amp; Assumptions'!$B$8,IF('I_Budget Input Data'!$E$96="Front-loaded",IF(10&lt;='I_Inputs &amp; Assumptions'!$B$8/2,'I_Budget Input Data'!$D$96*0.6/('I_Inputs &amp; Assumptions'!$B$8/2),'I_Budget Input Data'!$D$96*0.4/('I_Inputs &amp; Assumptions'!$B$8/2)),IF('I_Budget Input Data'!$E$96="Back-loaded",IF(10&lt;='I_Inputs &amp; Assumptions'!$B$8/2,'I_Budget Input Data'!$D$96*0.4/('I_Inputs &amp; Assumptions'!$B$8/2),'I_Budget Input Data'!$D$96*0.6/('I_Inputs &amp; Assumptions'!$B$8/2)),IF('I_Budget Input Data'!$E$96="Mid-weighted",IF(10&lt;='I_Inputs &amp; Assumptions'!$B$8/4,'I_Budget Input Data'!$D$96*0.2/('I_Inputs &amp; Assumptions'!$B$8/4),IF(10&lt;='I_Inputs &amp; Assumptions'!$B$8*0.75,'I_Budget Input Data'!$D$96*0.6/('I_Inputs &amp; Assumptions'!$B$8/2),'I_Budget Input Data'!$D$96*0.2/('I_Inputs &amp; Assumptions'!$B$8/4))),IF('I_Budget Input Data'!$E$96="At Completion",IF(10='I_Inputs &amp; Assumptions'!$B$8,'I_Budget Input Data'!$D$96,0),'I_Budget Input Data'!$D$96/'I_Inputs &amp; Assumptions'!$B$8)))))),0)</f>
        <v>91227.692307692312</v>
      </c>
      <c r="M96" s="91">
        <f>IF(11&lt;='I_Inputs &amp; Assumptions'!$B$8,IF('I_Budget Input Data'!$E$96="Upfront",IF(11=1,'I_Budget Input Data'!$D$96,0),IF('I_Budget Input Data'!$E$96="Equal",'I_Budget Input Data'!$D$96/'I_Inputs &amp; Assumptions'!$B$8,IF('I_Budget Input Data'!$E$96="Front-loaded",IF(11&lt;='I_Inputs &amp; Assumptions'!$B$8/2,'I_Budget Input Data'!$D$96*0.6/('I_Inputs &amp; Assumptions'!$B$8/2),'I_Budget Input Data'!$D$96*0.4/('I_Inputs &amp; Assumptions'!$B$8/2)),IF('I_Budget Input Data'!$E$96="Back-loaded",IF(11&lt;='I_Inputs &amp; Assumptions'!$B$8/2,'I_Budget Input Data'!$D$96*0.4/('I_Inputs &amp; Assumptions'!$B$8/2),'I_Budget Input Data'!$D$96*0.6/('I_Inputs &amp; Assumptions'!$B$8/2)),IF('I_Budget Input Data'!$E$96="Mid-weighted",IF(11&lt;='I_Inputs &amp; Assumptions'!$B$8/4,'I_Budget Input Data'!$D$96*0.2/('I_Inputs &amp; Assumptions'!$B$8/4),IF(11&lt;='I_Inputs &amp; Assumptions'!$B$8*0.75,'I_Budget Input Data'!$D$96*0.6/('I_Inputs &amp; Assumptions'!$B$8/2),'I_Budget Input Data'!$D$96*0.2/('I_Inputs &amp; Assumptions'!$B$8/4))),IF('I_Budget Input Data'!$E$96="At Completion",IF(11='I_Inputs &amp; Assumptions'!$B$8,'I_Budget Input Data'!$D$96,0),'I_Budget Input Data'!$D$96/'I_Inputs &amp; Assumptions'!$B$8)))))),0)</f>
        <v>91227.692307692312</v>
      </c>
      <c r="N96" s="91">
        <f>IF(12&lt;='I_Inputs &amp; Assumptions'!$B$8,IF('I_Budget Input Data'!$E$96="Upfront",IF(12=1,'I_Budget Input Data'!$D$96,0),IF('I_Budget Input Data'!$E$96="Equal",'I_Budget Input Data'!$D$96/'I_Inputs &amp; Assumptions'!$B$8,IF('I_Budget Input Data'!$E$96="Front-loaded",IF(12&lt;='I_Inputs &amp; Assumptions'!$B$8/2,'I_Budget Input Data'!$D$96*0.6/('I_Inputs &amp; Assumptions'!$B$8/2),'I_Budget Input Data'!$D$96*0.4/('I_Inputs &amp; Assumptions'!$B$8/2)),IF('I_Budget Input Data'!$E$96="Back-loaded",IF(12&lt;='I_Inputs &amp; Assumptions'!$B$8/2,'I_Budget Input Data'!$D$96*0.4/('I_Inputs &amp; Assumptions'!$B$8/2),'I_Budget Input Data'!$D$96*0.6/('I_Inputs &amp; Assumptions'!$B$8/2)),IF('I_Budget Input Data'!$E$96="Mid-weighted",IF(12&lt;='I_Inputs &amp; Assumptions'!$B$8/4,'I_Budget Input Data'!$D$96*0.2/('I_Inputs &amp; Assumptions'!$B$8/4),IF(12&lt;='I_Inputs &amp; Assumptions'!$B$8*0.75,'I_Budget Input Data'!$D$96*0.6/('I_Inputs &amp; Assumptions'!$B$8/2),'I_Budget Input Data'!$D$96*0.2/('I_Inputs &amp; Assumptions'!$B$8/4))),IF('I_Budget Input Data'!$E$96="At Completion",IF(12='I_Inputs &amp; Assumptions'!$B$8,'I_Budget Input Data'!$D$96,0),'I_Budget Input Data'!$D$96/'I_Inputs &amp; Assumptions'!$B$8)))))),0)</f>
        <v>91227.692307692312</v>
      </c>
      <c r="O96" s="91">
        <f>IF(13&lt;='I_Inputs &amp; Assumptions'!$B$8,IF('I_Budget Input Data'!$E$96="Upfront",IF(13=1,'I_Budget Input Data'!$D$96,0),IF('I_Budget Input Data'!$E$96="Equal",'I_Budget Input Data'!$D$96/'I_Inputs &amp; Assumptions'!$B$8,IF('I_Budget Input Data'!$E$96="Front-loaded",IF(13&lt;='I_Inputs &amp; Assumptions'!$B$8/2,'I_Budget Input Data'!$D$96*0.6/('I_Inputs &amp; Assumptions'!$B$8/2),'I_Budget Input Data'!$D$96*0.4/('I_Inputs &amp; Assumptions'!$B$8/2)),IF('I_Budget Input Data'!$E$96="Back-loaded",IF(13&lt;='I_Inputs &amp; Assumptions'!$B$8/2,'I_Budget Input Data'!$D$96*0.4/('I_Inputs &amp; Assumptions'!$B$8/2),'I_Budget Input Data'!$D$96*0.6/('I_Inputs &amp; Assumptions'!$B$8/2)),IF('I_Budget Input Data'!$E$96="Mid-weighted",IF(13&lt;='I_Inputs &amp; Assumptions'!$B$8/4,'I_Budget Input Data'!$D$96*0.2/('I_Inputs &amp; Assumptions'!$B$8/4),IF(13&lt;='I_Inputs &amp; Assumptions'!$B$8*0.75,'I_Budget Input Data'!$D$96*0.6/('I_Inputs &amp; Assumptions'!$B$8/2),'I_Budget Input Data'!$D$96*0.2/('I_Inputs &amp; Assumptions'!$B$8/4))),IF('I_Budget Input Data'!$E$96="At Completion",IF(13='I_Inputs &amp; Assumptions'!$B$8,'I_Budget Input Data'!$D$96,0),'I_Budget Input Data'!$D$96/'I_Inputs &amp; Assumptions'!$B$8)))))),0)</f>
        <v>91227.692307692312</v>
      </c>
      <c r="P96" s="91">
        <f>IF(14&lt;='I_Inputs &amp; Assumptions'!$B$8,IF('I_Budget Input Data'!$E$96="Upfront",IF(14=1,'I_Budget Input Data'!$D$96,0),IF('I_Budget Input Data'!$E$96="Equal",'I_Budget Input Data'!$D$96/'I_Inputs &amp; Assumptions'!$B$8,IF('I_Budget Input Data'!$E$96="Front-loaded",IF(14&lt;='I_Inputs &amp; Assumptions'!$B$8/2,'I_Budget Input Data'!$D$96*0.6/('I_Inputs &amp; Assumptions'!$B$8/2),'I_Budget Input Data'!$D$96*0.4/('I_Inputs &amp; Assumptions'!$B$8/2)),IF('I_Budget Input Data'!$E$96="Back-loaded",IF(14&lt;='I_Inputs &amp; Assumptions'!$B$8/2,'I_Budget Input Data'!$D$96*0.4/('I_Inputs &amp; Assumptions'!$B$8/2),'I_Budget Input Data'!$D$96*0.6/('I_Inputs &amp; Assumptions'!$B$8/2)),IF('I_Budget Input Data'!$E$96="Mid-weighted",IF(14&lt;='I_Inputs &amp; Assumptions'!$B$8/4,'I_Budget Input Data'!$D$96*0.2/('I_Inputs &amp; Assumptions'!$B$8/4),IF(14&lt;='I_Inputs &amp; Assumptions'!$B$8*0.75,'I_Budget Input Data'!$D$96*0.6/('I_Inputs &amp; Assumptions'!$B$8/2),'I_Budget Input Data'!$D$96*0.2/('I_Inputs &amp; Assumptions'!$B$8/4))),IF('I_Budget Input Data'!$E$96="At Completion",IF(14='I_Inputs &amp; Assumptions'!$B$8,'I_Budget Input Data'!$D$96,0),'I_Budget Input Data'!$D$96/'I_Inputs &amp; Assumptions'!$B$8)))))),0)</f>
        <v>0</v>
      </c>
      <c r="Q96" s="91">
        <f>IF(15&lt;='I_Inputs &amp; Assumptions'!$B$8,IF('I_Budget Input Data'!$E$96="Upfront",IF(15=1,'I_Budget Input Data'!$D$96,0),IF('I_Budget Input Data'!$E$96="Equal",'I_Budget Input Data'!$D$96/'I_Inputs &amp; Assumptions'!$B$8,IF('I_Budget Input Data'!$E$96="Front-loaded",IF(15&lt;='I_Inputs &amp; Assumptions'!$B$8/2,'I_Budget Input Data'!$D$96*0.6/('I_Inputs &amp; Assumptions'!$B$8/2),'I_Budget Input Data'!$D$96*0.4/('I_Inputs &amp; Assumptions'!$B$8/2)),IF('I_Budget Input Data'!$E$96="Back-loaded",IF(15&lt;='I_Inputs &amp; Assumptions'!$B$8/2,'I_Budget Input Data'!$D$96*0.4/('I_Inputs &amp; Assumptions'!$B$8/2),'I_Budget Input Data'!$D$96*0.6/('I_Inputs &amp; Assumptions'!$B$8/2)),IF('I_Budget Input Data'!$E$96="Mid-weighted",IF(15&lt;='I_Inputs &amp; Assumptions'!$B$8/4,'I_Budget Input Data'!$D$96*0.2/('I_Inputs &amp; Assumptions'!$B$8/4),IF(15&lt;='I_Inputs &amp; Assumptions'!$B$8*0.75,'I_Budget Input Data'!$D$96*0.6/('I_Inputs &amp; Assumptions'!$B$8/2),'I_Budget Input Data'!$D$96*0.2/('I_Inputs &amp; Assumptions'!$B$8/4))),IF('I_Budget Input Data'!$E$96="At Completion",IF(15='I_Inputs &amp; Assumptions'!$B$8,'I_Budget Input Data'!$D$96,0),'I_Budget Input Data'!$D$96/'I_Inputs &amp; Assumptions'!$B$8)))))),0)</f>
        <v>0</v>
      </c>
      <c r="R96" s="91">
        <f>IF(16&lt;='I_Inputs &amp; Assumptions'!$B$8,IF('I_Budget Input Data'!$E$96="Upfront",IF(16=1,'I_Budget Input Data'!$D$96,0),IF('I_Budget Input Data'!$E$96="Equal",'I_Budget Input Data'!$D$96/'I_Inputs &amp; Assumptions'!$B$8,IF('I_Budget Input Data'!$E$96="Front-loaded",IF(16&lt;='I_Inputs &amp; Assumptions'!$B$8/2,'I_Budget Input Data'!$D$96*0.6/('I_Inputs &amp; Assumptions'!$B$8/2),'I_Budget Input Data'!$D$96*0.4/('I_Inputs &amp; Assumptions'!$B$8/2)),IF('I_Budget Input Data'!$E$96="Back-loaded",IF(16&lt;='I_Inputs &amp; Assumptions'!$B$8/2,'I_Budget Input Data'!$D$96*0.4/('I_Inputs &amp; Assumptions'!$B$8/2),'I_Budget Input Data'!$D$96*0.6/('I_Inputs &amp; Assumptions'!$B$8/2)),IF('I_Budget Input Data'!$E$96="Mid-weighted",IF(16&lt;='I_Inputs &amp; Assumptions'!$B$8/4,'I_Budget Input Data'!$D$96*0.2/('I_Inputs &amp; Assumptions'!$B$8/4),IF(16&lt;='I_Inputs &amp; Assumptions'!$B$8*0.75,'I_Budget Input Data'!$D$96*0.6/('I_Inputs &amp; Assumptions'!$B$8/2),'I_Budget Input Data'!$D$96*0.2/('I_Inputs &amp; Assumptions'!$B$8/4))),IF('I_Budget Input Data'!$E$96="At Completion",IF(16='I_Inputs &amp; Assumptions'!$B$8,'I_Budget Input Data'!$D$96,0),'I_Budget Input Data'!$D$96/'I_Inputs &amp; Assumptions'!$B$8)))))),0)</f>
        <v>0</v>
      </c>
      <c r="S96" s="91">
        <f>IF(17&lt;='I_Inputs &amp; Assumptions'!$B$8,IF('I_Budget Input Data'!$E$96="Upfront",IF(17=1,'I_Budget Input Data'!$D$96,0),IF('I_Budget Input Data'!$E$96="Equal",'I_Budget Input Data'!$D$96/'I_Inputs &amp; Assumptions'!$B$8,IF('I_Budget Input Data'!$E$96="Front-loaded",IF(17&lt;='I_Inputs &amp; Assumptions'!$B$8/2,'I_Budget Input Data'!$D$96*0.6/('I_Inputs &amp; Assumptions'!$B$8/2),'I_Budget Input Data'!$D$96*0.4/('I_Inputs &amp; Assumptions'!$B$8/2)),IF('I_Budget Input Data'!$E$96="Back-loaded",IF(17&lt;='I_Inputs &amp; Assumptions'!$B$8/2,'I_Budget Input Data'!$D$96*0.4/('I_Inputs &amp; Assumptions'!$B$8/2),'I_Budget Input Data'!$D$96*0.6/('I_Inputs &amp; Assumptions'!$B$8/2)),IF('I_Budget Input Data'!$E$96="Mid-weighted",IF(17&lt;='I_Inputs &amp; Assumptions'!$B$8/4,'I_Budget Input Data'!$D$96*0.2/('I_Inputs &amp; Assumptions'!$B$8/4),IF(17&lt;='I_Inputs &amp; Assumptions'!$B$8*0.75,'I_Budget Input Data'!$D$96*0.6/('I_Inputs &amp; Assumptions'!$B$8/2),'I_Budget Input Data'!$D$96*0.2/('I_Inputs &amp; Assumptions'!$B$8/4))),IF('I_Budget Input Data'!$E$96="At Completion",IF(17='I_Inputs &amp; Assumptions'!$B$8,'I_Budget Input Data'!$D$96,0),'I_Budget Input Data'!$D$96/'I_Inputs &amp; Assumptions'!$B$8)))))),0)</f>
        <v>0</v>
      </c>
      <c r="T96" s="91">
        <f>IF(18&lt;='I_Inputs &amp; Assumptions'!$B$8,IF('I_Budget Input Data'!$E$96="Upfront",IF(18=1,'I_Budget Input Data'!$D$96,0),IF('I_Budget Input Data'!$E$96="Equal",'I_Budget Input Data'!$D$96/'I_Inputs &amp; Assumptions'!$B$8,IF('I_Budget Input Data'!$E$96="Front-loaded",IF(18&lt;='I_Inputs &amp; Assumptions'!$B$8/2,'I_Budget Input Data'!$D$96*0.6/('I_Inputs &amp; Assumptions'!$B$8/2),'I_Budget Input Data'!$D$96*0.4/('I_Inputs &amp; Assumptions'!$B$8/2)),IF('I_Budget Input Data'!$E$96="Back-loaded",IF(18&lt;='I_Inputs &amp; Assumptions'!$B$8/2,'I_Budget Input Data'!$D$96*0.4/('I_Inputs &amp; Assumptions'!$B$8/2),'I_Budget Input Data'!$D$96*0.6/('I_Inputs &amp; Assumptions'!$B$8/2)),IF('I_Budget Input Data'!$E$96="Mid-weighted",IF(18&lt;='I_Inputs &amp; Assumptions'!$B$8/4,'I_Budget Input Data'!$D$96*0.2/('I_Inputs &amp; Assumptions'!$B$8/4),IF(18&lt;='I_Inputs &amp; Assumptions'!$B$8*0.75,'I_Budget Input Data'!$D$96*0.6/('I_Inputs &amp; Assumptions'!$B$8/2),'I_Budget Input Data'!$D$96*0.2/('I_Inputs &amp; Assumptions'!$B$8/4))),IF('I_Budget Input Data'!$E$96="At Completion",IF(18='I_Inputs &amp; Assumptions'!$B$8,'I_Budget Input Data'!$D$96,0),'I_Budget Input Data'!$D$96/'I_Inputs &amp; Assumptions'!$B$8)))))),0)</f>
        <v>0</v>
      </c>
      <c r="U96" s="91">
        <f>IF(19&lt;='I_Inputs &amp; Assumptions'!$B$8,IF('I_Budget Input Data'!$E$96="Upfront",IF(19=1,'I_Budget Input Data'!$D$96,0),IF('I_Budget Input Data'!$E$96="Equal",'I_Budget Input Data'!$D$96/'I_Inputs &amp; Assumptions'!$B$8,IF('I_Budget Input Data'!$E$96="Front-loaded",IF(19&lt;='I_Inputs &amp; Assumptions'!$B$8/2,'I_Budget Input Data'!$D$96*0.6/('I_Inputs &amp; Assumptions'!$B$8/2),'I_Budget Input Data'!$D$96*0.4/('I_Inputs &amp; Assumptions'!$B$8/2)),IF('I_Budget Input Data'!$E$96="Back-loaded",IF(19&lt;='I_Inputs &amp; Assumptions'!$B$8/2,'I_Budget Input Data'!$D$96*0.4/('I_Inputs &amp; Assumptions'!$B$8/2),'I_Budget Input Data'!$D$96*0.6/('I_Inputs &amp; Assumptions'!$B$8/2)),IF('I_Budget Input Data'!$E$96="Mid-weighted",IF(19&lt;='I_Inputs &amp; Assumptions'!$B$8/4,'I_Budget Input Data'!$D$96*0.2/('I_Inputs &amp; Assumptions'!$B$8/4),IF(19&lt;='I_Inputs &amp; Assumptions'!$B$8*0.75,'I_Budget Input Data'!$D$96*0.6/('I_Inputs &amp; Assumptions'!$B$8/2),'I_Budget Input Data'!$D$96*0.2/('I_Inputs &amp; Assumptions'!$B$8/4))),IF('I_Budget Input Data'!$E$96="At Completion",IF(19='I_Inputs &amp; Assumptions'!$B$8,'I_Budget Input Data'!$D$96,0),'I_Budget Input Data'!$D$96/'I_Inputs &amp; Assumptions'!$B$8)))))),0)</f>
        <v>0</v>
      </c>
      <c r="V96" s="91">
        <f>IF(20&lt;='I_Inputs &amp; Assumptions'!$B$8,IF('I_Budget Input Data'!$E$96="Upfront",IF(20=1,'I_Budget Input Data'!$D$96,0),IF('I_Budget Input Data'!$E$96="Equal",'I_Budget Input Data'!$D$96/'I_Inputs &amp; Assumptions'!$B$8,IF('I_Budget Input Data'!$E$96="Front-loaded",IF(20&lt;='I_Inputs &amp; Assumptions'!$B$8/2,'I_Budget Input Data'!$D$96*0.6/('I_Inputs &amp; Assumptions'!$B$8/2),'I_Budget Input Data'!$D$96*0.4/('I_Inputs &amp; Assumptions'!$B$8/2)),IF('I_Budget Input Data'!$E$96="Back-loaded",IF(20&lt;='I_Inputs &amp; Assumptions'!$B$8/2,'I_Budget Input Data'!$D$96*0.4/('I_Inputs &amp; Assumptions'!$B$8/2),'I_Budget Input Data'!$D$96*0.6/('I_Inputs &amp; Assumptions'!$B$8/2)),IF('I_Budget Input Data'!$E$96="Mid-weighted",IF(20&lt;='I_Inputs &amp; Assumptions'!$B$8/4,'I_Budget Input Data'!$D$96*0.2/('I_Inputs &amp; Assumptions'!$B$8/4),IF(20&lt;='I_Inputs &amp; Assumptions'!$B$8*0.75,'I_Budget Input Data'!$D$96*0.6/('I_Inputs &amp; Assumptions'!$B$8/2),'I_Budget Input Data'!$D$96*0.2/('I_Inputs &amp; Assumptions'!$B$8/4))),IF('I_Budget Input Data'!$E$96="At Completion",IF(20='I_Inputs &amp; Assumptions'!$B$8,'I_Budget Input Data'!$D$96,0),'I_Budget Input Data'!$D$96/'I_Inputs &amp; Assumptions'!$B$8)))))),0)</f>
        <v>0</v>
      </c>
      <c r="W96" s="91">
        <f>IF(21&lt;='I_Inputs &amp; Assumptions'!$B$8,IF('I_Budget Input Data'!$E$96="Upfront",IF(21=1,'I_Budget Input Data'!$D$96,0),IF('I_Budget Input Data'!$E$96="Equal",'I_Budget Input Data'!$D$96/'I_Inputs &amp; Assumptions'!$B$8,IF('I_Budget Input Data'!$E$96="Front-loaded",IF(21&lt;='I_Inputs &amp; Assumptions'!$B$8/2,'I_Budget Input Data'!$D$96*0.6/('I_Inputs &amp; Assumptions'!$B$8/2),'I_Budget Input Data'!$D$96*0.4/('I_Inputs &amp; Assumptions'!$B$8/2)),IF('I_Budget Input Data'!$E$96="Back-loaded",IF(21&lt;='I_Inputs &amp; Assumptions'!$B$8/2,'I_Budget Input Data'!$D$96*0.4/('I_Inputs &amp; Assumptions'!$B$8/2),'I_Budget Input Data'!$D$96*0.6/('I_Inputs &amp; Assumptions'!$B$8/2)),IF('I_Budget Input Data'!$E$96="Mid-weighted",IF(21&lt;='I_Inputs &amp; Assumptions'!$B$8/4,'I_Budget Input Data'!$D$96*0.2/('I_Inputs &amp; Assumptions'!$B$8/4),IF(21&lt;='I_Inputs &amp; Assumptions'!$B$8*0.75,'I_Budget Input Data'!$D$96*0.6/('I_Inputs &amp; Assumptions'!$B$8/2),'I_Budget Input Data'!$D$96*0.2/('I_Inputs &amp; Assumptions'!$B$8/4))),IF('I_Budget Input Data'!$E$96="At Completion",IF(21='I_Inputs &amp; Assumptions'!$B$8,'I_Budget Input Data'!$D$96,0),'I_Budget Input Data'!$D$96/'I_Inputs &amp; Assumptions'!$B$8)))))),0)</f>
        <v>0</v>
      </c>
      <c r="X96" s="91">
        <f>IF(22&lt;='I_Inputs &amp; Assumptions'!$B$8,IF('I_Budget Input Data'!$E$96="Upfront",IF(22=1,'I_Budget Input Data'!$D$96,0),IF('I_Budget Input Data'!$E$96="Equal",'I_Budget Input Data'!$D$96/'I_Inputs &amp; Assumptions'!$B$8,IF('I_Budget Input Data'!$E$96="Front-loaded",IF(22&lt;='I_Inputs &amp; Assumptions'!$B$8/2,'I_Budget Input Data'!$D$96*0.6/('I_Inputs &amp; Assumptions'!$B$8/2),'I_Budget Input Data'!$D$96*0.4/('I_Inputs &amp; Assumptions'!$B$8/2)),IF('I_Budget Input Data'!$E$96="Back-loaded",IF(22&lt;='I_Inputs &amp; Assumptions'!$B$8/2,'I_Budget Input Data'!$D$96*0.4/('I_Inputs &amp; Assumptions'!$B$8/2),'I_Budget Input Data'!$D$96*0.6/('I_Inputs &amp; Assumptions'!$B$8/2)),IF('I_Budget Input Data'!$E$96="Mid-weighted",IF(22&lt;='I_Inputs &amp; Assumptions'!$B$8/4,'I_Budget Input Data'!$D$96*0.2/('I_Inputs &amp; Assumptions'!$B$8/4),IF(22&lt;='I_Inputs &amp; Assumptions'!$B$8*0.75,'I_Budget Input Data'!$D$96*0.6/('I_Inputs &amp; Assumptions'!$B$8/2),'I_Budget Input Data'!$D$96*0.2/('I_Inputs &amp; Assumptions'!$B$8/4))),IF('I_Budget Input Data'!$E$96="At Completion",IF(22='I_Inputs &amp; Assumptions'!$B$8,'I_Budget Input Data'!$D$96,0),'I_Budget Input Data'!$D$96/'I_Inputs &amp; Assumptions'!$B$8)))))),0)</f>
        <v>0</v>
      </c>
      <c r="Y96" s="91">
        <f>IF(23&lt;='I_Inputs &amp; Assumptions'!$B$8,IF('I_Budget Input Data'!$E$96="Upfront",IF(23=1,'I_Budget Input Data'!$D$96,0),IF('I_Budget Input Data'!$E$96="Equal",'I_Budget Input Data'!$D$96/'I_Inputs &amp; Assumptions'!$B$8,IF('I_Budget Input Data'!$E$96="Front-loaded",IF(23&lt;='I_Inputs &amp; Assumptions'!$B$8/2,'I_Budget Input Data'!$D$96*0.6/('I_Inputs &amp; Assumptions'!$B$8/2),'I_Budget Input Data'!$D$96*0.4/('I_Inputs &amp; Assumptions'!$B$8/2)),IF('I_Budget Input Data'!$E$96="Back-loaded",IF(23&lt;='I_Inputs &amp; Assumptions'!$B$8/2,'I_Budget Input Data'!$D$96*0.4/('I_Inputs &amp; Assumptions'!$B$8/2),'I_Budget Input Data'!$D$96*0.6/('I_Inputs &amp; Assumptions'!$B$8/2)),IF('I_Budget Input Data'!$E$96="Mid-weighted",IF(23&lt;='I_Inputs &amp; Assumptions'!$B$8/4,'I_Budget Input Data'!$D$96*0.2/('I_Inputs &amp; Assumptions'!$B$8/4),IF(23&lt;='I_Inputs &amp; Assumptions'!$B$8*0.75,'I_Budget Input Data'!$D$96*0.6/('I_Inputs &amp; Assumptions'!$B$8/2),'I_Budget Input Data'!$D$96*0.2/('I_Inputs &amp; Assumptions'!$B$8/4))),IF('I_Budget Input Data'!$E$96="At Completion",IF(23='I_Inputs &amp; Assumptions'!$B$8,'I_Budget Input Data'!$D$96,0),'I_Budget Input Data'!$D$96/'I_Inputs &amp; Assumptions'!$B$8)))))),0)</f>
        <v>0</v>
      </c>
      <c r="Z96" s="91">
        <f>IF(24&lt;='I_Inputs &amp; Assumptions'!$B$8,IF('I_Budget Input Data'!$E$96="Upfront",IF(24=1,'I_Budget Input Data'!$D$96,0),IF('I_Budget Input Data'!$E$96="Equal",'I_Budget Input Data'!$D$96/'I_Inputs &amp; Assumptions'!$B$8,IF('I_Budget Input Data'!$E$96="Front-loaded",IF(24&lt;='I_Inputs &amp; Assumptions'!$B$8/2,'I_Budget Input Data'!$D$96*0.6/('I_Inputs &amp; Assumptions'!$B$8/2),'I_Budget Input Data'!$D$96*0.4/('I_Inputs &amp; Assumptions'!$B$8/2)),IF('I_Budget Input Data'!$E$96="Back-loaded",IF(24&lt;='I_Inputs &amp; Assumptions'!$B$8/2,'I_Budget Input Data'!$D$96*0.4/('I_Inputs &amp; Assumptions'!$B$8/2),'I_Budget Input Data'!$D$96*0.6/('I_Inputs &amp; Assumptions'!$B$8/2)),IF('I_Budget Input Data'!$E$96="Mid-weighted",IF(24&lt;='I_Inputs &amp; Assumptions'!$B$8/4,'I_Budget Input Data'!$D$96*0.2/('I_Inputs &amp; Assumptions'!$B$8/4),IF(24&lt;='I_Inputs &amp; Assumptions'!$B$8*0.75,'I_Budget Input Data'!$D$96*0.6/('I_Inputs &amp; Assumptions'!$B$8/2),'I_Budget Input Data'!$D$96*0.2/('I_Inputs &amp; Assumptions'!$B$8/4))),IF('I_Budget Input Data'!$E$96="At Completion",IF(24='I_Inputs &amp; Assumptions'!$B$8,'I_Budget Input Data'!$D$96,0),'I_Budget Input Data'!$D$96/'I_Inputs &amp; Assumptions'!$B$8)))))),0)</f>
        <v>0</v>
      </c>
      <c r="AA96" s="91">
        <f>IF(25&lt;='I_Inputs &amp; Assumptions'!$B$8,IF('I_Budget Input Data'!$E$96="Upfront",IF(25=1,'I_Budget Input Data'!$D$96,0),IF('I_Budget Input Data'!$E$96="Equal",'I_Budget Input Data'!$D$96/'I_Inputs &amp; Assumptions'!$B$8,IF('I_Budget Input Data'!$E$96="Front-loaded",IF(25&lt;='I_Inputs &amp; Assumptions'!$B$8/2,'I_Budget Input Data'!$D$96*0.6/('I_Inputs &amp; Assumptions'!$B$8/2),'I_Budget Input Data'!$D$96*0.4/('I_Inputs &amp; Assumptions'!$B$8/2)),IF('I_Budget Input Data'!$E$96="Back-loaded",IF(25&lt;='I_Inputs &amp; Assumptions'!$B$8/2,'I_Budget Input Data'!$D$96*0.4/('I_Inputs &amp; Assumptions'!$B$8/2),'I_Budget Input Data'!$D$96*0.6/('I_Inputs &amp; Assumptions'!$B$8/2)),IF('I_Budget Input Data'!$E$96="Mid-weighted",IF(25&lt;='I_Inputs &amp; Assumptions'!$B$8/4,'I_Budget Input Data'!$D$96*0.2/('I_Inputs &amp; Assumptions'!$B$8/4),IF(25&lt;='I_Inputs &amp; Assumptions'!$B$8*0.75,'I_Budget Input Data'!$D$96*0.6/('I_Inputs &amp; Assumptions'!$B$8/2),'I_Budget Input Data'!$D$96*0.2/('I_Inputs &amp; Assumptions'!$B$8/4))),IF('I_Budget Input Data'!$E$96="At Completion",IF(25='I_Inputs &amp; Assumptions'!$B$8,'I_Budget Input Data'!$D$96,0),'I_Budget Input Data'!$D$96/'I_Inputs &amp; Assumptions'!$B$8)))))),0)</f>
        <v>0</v>
      </c>
      <c r="AB96" s="91">
        <f>IF(26&lt;='I_Inputs &amp; Assumptions'!$B$8,IF('I_Budget Input Data'!$E$96="Upfront",IF(26=1,'I_Budget Input Data'!$D$96,0),IF('I_Budget Input Data'!$E$96="Equal",'I_Budget Input Data'!$D$96/'I_Inputs &amp; Assumptions'!$B$8,IF('I_Budget Input Data'!$E$96="Front-loaded",IF(26&lt;='I_Inputs &amp; Assumptions'!$B$8/2,'I_Budget Input Data'!$D$96*0.6/('I_Inputs &amp; Assumptions'!$B$8/2),'I_Budget Input Data'!$D$96*0.4/('I_Inputs &amp; Assumptions'!$B$8/2)),IF('I_Budget Input Data'!$E$96="Back-loaded",IF(26&lt;='I_Inputs &amp; Assumptions'!$B$8/2,'I_Budget Input Data'!$D$96*0.4/('I_Inputs &amp; Assumptions'!$B$8/2),'I_Budget Input Data'!$D$96*0.6/('I_Inputs &amp; Assumptions'!$B$8/2)),IF('I_Budget Input Data'!$E$96="Mid-weighted",IF(26&lt;='I_Inputs &amp; Assumptions'!$B$8/4,'I_Budget Input Data'!$D$96*0.2/('I_Inputs &amp; Assumptions'!$B$8/4),IF(26&lt;='I_Inputs &amp; Assumptions'!$B$8*0.75,'I_Budget Input Data'!$D$96*0.6/('I_Inputs &amp; Assumptions'!$B$8/2),'I_Budget Input Data'!$D$96*0.2/('I_Inputs &amp; Assumptions'!$B$8/4))),IF('I_Budget Input Data'!$E$96="At Completion",IF(26='I_Inputs &amp; Assumptions'!$B$8,'I_Budget Input Data'!$D$96,0),'I_Budget Input Data'!$D$96/'I_Inputs &amp; Assumptions'!$B$8)))))),0)</f>
        <v>0</v>
      </c>
      <c r="AC96" s="91">
        <f>IF(27&lt;='I_Inputs &amp; Assumptions'!$B$8,IF('I_Budget Input Data'!$E$96="Upfront",IF(27=1,'I_Budget Input Data'!$D$96,0),IF('I_Budget Input Data'!$E$96="Equal",'I_Budget Input Data'!$D$96/'I_Inputs &amp; Assumptions'!$B$8,IF('I_Budget Input Data'!$E$96="Front-loaded",IF(27&lt;='I_Inputs &amp; Assumptions'!$B$8/2,'I_Budget Input Data'!$D$96*0.6/('I_Inputs &amp; Assumptions'!$B$8/2),'I_Budget Input Data'!$D$96*0.4/('I_Inputs &amp; Assumptions'!$B$8/2)),IF('I_Budget Input Data'!$E$96="Back-loaded",IF(27&lt;='I_Inputs &amp; Assumptions'!$B$8/2,'I_Budget Input Data'!$D$96*0.4/('I_Inputs &amp; Assumptions'!$B$8/2),'I_Budget Input Data'!$D$96*0.6/('I_Inputs &amp; Assumptions'!$B$8/2)),IF('I_Budget Input Data'!$E$96="Mid-weighted",IF(27&lt;='I_Inputs &amp; Assumptions'!$B$8/4,'I_Budget Input Data'!$D$96*0.2/('I_Inputs &amp; Assumptions'!$B$8/4),IF(27&lt;='I_Inputs &amp; Assumptions'!$B$8*0.75,'I_Budget Input Data'!$D$96*0.6/('I_Inputs &amp; Assumptions'!$B$8/2),'I_Budget Input Data'!$D$96*0.2/('I_Inputs &amp; Assumptions'!$B$8/4))),IF('I_Budget Input Data'!$E$96="At Completion",IF(27='I_Inputs &amp; Assumptions'!$B$8,'I_Budget Input Data'!$D$96,0),'I_Budget Input Data'!$D$96/'I_Inputs &amp; Assumptions'!$B$8)))))),0)</f>
        <v>0</v>
      </c>
      <c r="AD96" s="91">
        <f>IF(28&lt;='I_Inputs &amp; Assumptions'!$B$8,IF('I_Budget Input Data'!$E$96="Upfront",IF(28=1,'I_Budget Input Data'!$D$96,0),IF('I_Budget Input Data'!$E$96="Equal",'I_Budget Input Data'!$D$96/'I_Inputs &amp; Assumptions'!$B$8,IF('I_Budget Input Data'!$E$96="Front-loaded",IF(28&lt;='I_Inputs &amp; Assumptions'!$B$8/2,'I_Budget Input Data'!$D$96*0.6/('I_Inputs &amp; Assumptions'!$B$8/2),'I_Budget Input Data'!$D$96*0.4/('I_Inputs &amp; Assumptions'!$B$8/2)),IF('I_Budget Input Data'!$E$96="Back-loaded",IF(28&lt;='I_Inputs &amp; Assumptions'!$B$8/2,'I_Budget Input Data'!$D$96*0.4/('I_Inputs &amp; Assumptions'!$B$8/2),'I_Budget Input Data'!$D$96*0.6/('I_Inputs &amp; Assumptions'!$B$8/2)),IF('I_Budget Input Data'!$E$96="Mid-weighted",IF(28&lt;='I_Inputs &amp; Assumptions'!$B$8/4,'I_Budget Input Data'!$D$96*0.2/('I_Inputs &amp; Assumptions'!$B$8/4),IF(28&lt;='I_Inputs &amp; Assumptions'!$B$8*0.75,'I_Budget Input Data'!$D$96*0.6/('I_Inputs &amp; Assumptions'!$B$8/2),'I_Budget Input Data'!$D$96*0.2/('I_Inputs &amp; Assumptions'!$B$8/4))),IF('I_Budget Input Data'!$E$96="At Completion",IF(28='I_Inputs &amp; Assumptions'!$B$8,'I_Budget Input Data'!$D$96,0),'I_Budget Input Data'!$D$96/'I_Inputs &amp; Assumptions'!$B$8)))))),0)</f>
        <v>0</v>
      </c>
      <c r="AE96" s="91">
        <f>IF(29&lt;='I_Inputs &amp; Assumptions'!$B$8,IF('I_Budget Input Data'!$E$96="Upfront",IF(29=1,'I_Budget Input Data'!$D$96,0),IF('I_Budget Input Data'!$E$96="Equal",'I_Budget Input Data'!$D$96/'I_Inputs &amp; Assumptions'!$B$8,IF('I_Budget Input Data'!$E$96="Front-loaded",IF(29&lt;='I_Inputs &amp; Assumptions'!$B$8/2,'I_Budget Input Data'!$D$96*0.6/('I_Inputs &amp; Assumptions'!$B$8/2),'I_Budget Input Data'!$D$96*0.4/('I_Inputs &amp; Assumptions'!$B$8/2)),IF('I_Budget Input Data'!$E$96="Back-loaded",IF(29&lt;='I_Inputs &amp; Assumptions'!$B$8/2,'I_Budget Input Data'!$D$96*0.4/('I_Inputs &amp; Assumptions'!$B$8/2),'I_Budget Input Data'!$D$96*0.6/('I_Inputs &amp; Assumptions'!$B$8/2)),IF('I_Budget Input Data'!$E$96="Mid-weighted",IF(29&lt;='I_Inputs &amp; Assumptions'!$B$8/4,'I_Budget Input Data'!$D$96*0.2/('I_Inputs &amp; Assumptions'!$B$8/4),IF(29&lt;='I_Inputs &amp; Assumptions'!$B$8*0.75,'I_Budget Input Data'!$D$96*0.6/('I_Inputs &amp; Assumptions'!$B$8/2),'I_Budget Input Data'!$D$96*0.2/('I_Inputs &amp; Assumptions'!$B$8/4))),IF('I_Budget Input Data'!$E$96="At Completion",IF(29='I_Inputs &amp; Assumptions'!$B$8,'I_Budget Input Data'!$D$96,0),'I_Budget Input Data'!$D$96/'I_Inputs &amp; Assumptions'!$B$8)))))),0)</f>
        <v>0</v>
      </c>
      <c r="AF96" s="91">
        <f>IF(30&lt;='I_Inputs &amp; Assumptions'!$B$8,IF('I_Budget Input Data'!$E$96="Upfront",IF(30=1,'I_Budget Input Data'!$D$96,0),IF('I_Budget Input Data'!$E$96="Equal",'I_Budget Input Data'!$D$96/'I_Inputs &amp; Assumptions'!$B$8,IF('I_Budget Input Data'!$E$96="Front-loaded",IF(30&lt;='I_Inputs &amp; Assumptions'!$B$8/2,'I_Budget Input Data'!$D$96*0.6/('I_Inputs &amp; Assumptions'!$B$8/2),'I_Budget Input Data'!$D$96*0.4/('I_Inputs &amp; Assumptions'!$B$8/2)),IF('I_Budget Input Data'!$E$96="Back-loaded",IF(30&lt;='I_Inputs &amp; Assumptions'!$B$8/2,'I_Budget Input Data'!$D$96*0.4/('I_Inputs &amp; Assumptions'!$B$8/2),'I_Budget Input Data'!$D$96*0.6/('I_Inputs &amp; Assumptions'!$B$8/2)),IF('I_Budget Input Data'!$E$96="Mid-weighted",IF(30&lt;='I_Inputs &amp; Assumptions'!$B$8/4,'I_Budget Input Data'!$D$96*0.2/('I_Inputs &amp; Assumptions'!$B$8/4),IF(30&lt;='I_Inputs &amp; Assumptions'!$B$8*0.75,'I_Budget Input Data'!$D$96*0.6/('I_Inputs &amp; Assumptions'!$B$8/2),'I_Budget Input Data'!$D$96*0.2/('I_Inputs &amp; Assumptions'!$B$8/4))),IF('I_Budget Input Data'!$E$96="At Completion",IF(30='I_Inputs &amp; Assumptions'!$B$8,'I_Budget Input Data'!$D$96,0),'I_Budget Input Data'!$D$96/'I_Inputs &amp; Assumptions'!$B$8)))))),0)</f>
        <v>0</v>
      </c>
      <c r="AG96" s="91">
        <f>IF(31&lt;='I_Inputs &amp; Assumptions'!$B$8,IF('I_Budget Input Data'!$E$96="Upfront",IF(31=1,'I_Budget Input Data'!$D$96,0),IF('I_Budget Input Data'!$E$96="Equal",'I_Budget Input Data'!$D$96/'I_Inputs &amp; Assumptions'!$B$8,IF('I_Budget Input Data'!$E$96="Front-loaded",IF(31&lt;='I_Inputs &amp; Assumptions'!$B$8/2,'I_Budget Input Data'!$D$96*0.6/('I_Inputs &amp; Assumptions'!$B$8/2),'I_Budget Input Data'!$D$96*0.4/('I_Inputs &amp; Assumptions'!$B$8/2)),IF('I_Budget Input Data'!$E$96="Back-loaded",IF(31&lt;='I_Inputs &amp; Assumptions'!$B$8/2,'I_Budget Input Data'!$D$96*0.4/('I_Inputs &amp; Assumptions'!$B$8/2),'I_Budget Input Data'!$D$96*0.6/('I_Inputs &amp; Assumptions'!$B$8/2)),IF('I_Budget Input Data'!$E$96="Mid-weighted",IF(31&lt;='I_Inputs &amp; Assumptions'!$B$8/4,'I_Budget Input Data'!$D$96*0.2/('I_Inputs &amp; Assumptions'!$B$8/4),IF(31&lt;='I_Inputs &amp; Assumptions'!$B$8*0.75,'I_Budget Input Data'!$D$96*0.6/('I_Inputs &amp; Assumptions'!$B$8/2),'I_Budget Input Data'!$D$96*0.2/('I_Inputs &amp; Assumptions'!$B$8/4))),IF('I_Budget Input Data'!$E$96="At Completion",IF(31='I_Inputs &amp; Assumptions'!$B$8,'I_Budget Input Data'!$D$96,0),'I_Budget Input Data'!$D$96/'I_Inputs &amp; Assumptions'!$B$8)))))),0)</f>
        <v>0</v>
      </c>
      <c r="AH96" s="91">
        <f>IF(32&lt;='I_Inputs &amp; Assumptions'!$B$8,IF('I_Budget Input Data'!$E$96="Upfront",IF(32=1,'I_Budget Input Data'!$D$96,0),IF('I_Budget Input Data'!$E$96="Equal",'I_Budget Input Data'!$D$96/'I_Inputs &amp; Assumptions'!$B$8,IF('I_Budget Input Data'!$E$96="Front-loaded",IF(32&lt;='I_Inputs &amp; Assumptions'!$B$8/2,'I_Budget Input Data'!$D$96*0.6/('I_Inputs &amp; Assumptions'!$B$8/2),'I_Budget Input Data'!$D$96*0.4/('I_Inputs &amp; Assumptions'!$B$8/2)),IF('I_Budget Input Data'!$E$96="Back-loaded",IF(32&lt;='I_Inputs &amp; Assumptions'!$B$8/2,'I_Budget Input Data'!$D$96*0.4/('I_Inputs &amp; Assumptions'!$B$8/2),'I_Budget Input Data'!$D$96*0.6/('I_Inputs &amp; Assumptions'!$B$8/2)),IF('I_Budget Input Data'!$E$96="Mid-weighted",IF(32&lt;='I_Inputs &amp; Assumptions'!$B$8/4,'I_Budget Input Data'!$D$96*0.2/('I_Inputs &amp; Assumptions'!$B$8/4),IF(32&lt;='I_Inputs &amp; Assumptions'!$B$8*0.75,'I_Budget Input Data'!$D$96*0.6/('I_Inputs &amp; Assumptions'!$B$8/2),'I_Budget Input Data'!$D$96*0.2/('I_Inputs &amp; Assumptions'!$B$8/4))),IF('I_Budget Input Data'!$E$96="At Completion",IF(32='I_Inputs &amp; Assumptions'!$B$8,'I_Budget Input Data'!$D$96,0),'I_Budget Input Data'!$D$96/'I_Inputs &amp; Assumptions'!$B$8)))))),0)</f>
        <v>0</v>
      </c>
      <c r="AI96" s="91">
        <f>IF(33&lt;='I_Inputs &amp; Assumptions'!$B$8,IF('I_Budget Input Data'!$E$96="Upfront",IF(33=1,'I_Budget Input Data'!$D$96,0),IF('I_Budget Input Data'!$E$96="Equal",'I_Budget Input Data'!$D$96/'I_Inputs &amp; Assumptions'!$B$8,IF('I_Budget Input Data'!$E$96="Front-loaded",IF(33&lt;='I_Inputs &amp; Assumptions'!$B$8/2,'I_Budget Input Data'!$D$96*0.6/('I_Inputs &amp; Assumptions'!$B$8/2),'I_Budget Input Data'!$D$96*0.4/('I_Inputs &amp; Assumptions'!$B$8/2)),IF('I_Budget Input Data'!$E$96="Back-loaded",IF(33&lt;='I_Inputs &amp; Assumptions'!$B$8/2,'I_Budget Input Data'!$D$96*0.4/('I_Inputs &amp; Assumptions'!$B$8/2),'I_Budget Input Data'!$D$96*0.6/('I_Inputs &amp; Assumptions'!$B$8/2)),IF('I_Budget Input Data'!$E$96="Mid-weighted",IF(33&lt;='I_Inputs &amp; Assumptions'!$B$8/4,'I_Budget Input Data'!$D$96*0.2/('I_Inputs &amp; Assumptions'!$B$8/4),IF(33&lt;='I_Inputs &amp; Assumptions'!$B$8*0.75,'I_Budget Input Data'!$D$96*0.6/('I_Inputs &amp; Assumptions'!$B$8/2),'I_Budget Input Data'!$D$96*0.2/('I_Inputs &amp; Assumptions'!$B$8/4))),IF('I_Budget Input Data'!$E$96="At Completion",IF(33='I_Inputs &amp; Assumptions'!$B$8,'I_Budget Input Data'!$D$96,0),'I_Budget Input Data'!$D$96/'I_Inputs &amp; Assumptions'!$B$8)))))),0)</f>
        <v>0</v>
      </c>
      <c r="AJ96" s="91">
        <f>IF(34&lt;='I_Inputs &amp; Assumptions'!$B$8,IF('I_Budget Input Data'!$E$96="Upfront",IF(34=1,'I_Budget Input Data'!$D$96,0),IF('I_Budget Input Data'!$E$96="Equal",'I_Budget Input Data'!$D$96/'I_Inputs &amp; Assumptions'!$B$8,IF('I_Budget Input Data'!$E$96="Front-loaded",IF(34&lt;='I_Inputs &amp; Assumptions'!$B$8/2,'I_Budget Input Data'!$D$96*0.6/('I_Inputs &amp; Assumptions'!$B$8/2),'I_Budget Input Data'!$D$96*0.4/('I_Inputs &amp; Assumptions'!$B$8/2)),IF('I_Budget Input Data'!$E$96="Back-loaded",IF(34&lt;='I_Inputs &amp; Assumptions'!$B$8/2,'I_Budget Input Data'!$D$96*0.4/('I_Inputs &amp; Assumptions'!$B$8/2),'I_Budget Input Data'!$D$96*0.6/('I_Inputs &amp; Assumptions'!$B$8/2)),IF('I_Budget Input Data'!$E$96="Mid-weighted",IF(34&lt;='I_Inputs &amp; Assumptions'!$B$8/4,'I_Budget Input Data'!$D$96*0.2/('I_Inputs &amp; Assumptions'!$B$8/4),IF(34&lt;='I_Inputs &amp; Assumptions'!$B$8*0.75,'I_Budget Input Data'!$D$96*0.6/('I_Inputs &amp; Assumptions'!$B$8/2),'I_Budget Input Data'!$D$96*0.2/('I_Inputs &amp; Assumptions'!$B$8/4))),IF('I_Budget Input Data'!$E$96="At Completion",IF(34='I_Inputs &amp; Assumptions'!$B$8,'I_Budget Input Data'!$D$96,0),'I_Budget Input Data'!$D$96/'I_Inputs &amp; Assumptions'!$B$8)))))),0)</f>
        <v>0</v>
      </c>
      <c r="AK96" s="91">
        <f>IF(35&lt;='I_Inputs &amp; Assumptions'!$B$8,IF('I_Budget Input Data'!$E$96="Upfront",IF(35=1,'I_Budget Input Data'!$D$96,0),IF('I_Budget Input Data'!$E$96="Equal",'I_Budget Input Data'!$D$96/'I_Inputs &amp; Assumptions'!$B$8,IF('I_Budget Input Data'!$E$96="Front-loaded",IF(35&lt;='I_Inputs &amp; Assumptions'!$B$8/2,'I_Budget Input Data'!$D$96*0.6/('I_Inputs &amp; Assumptions'!$B$8/2),'I_Budget Input Data'!$D$96*0.4/('I_Inputs &amp; Assumptions'!$B$8/2)),IF('I_Budget Input Data'!$E$96="Back-loaded",IF(35&lt;='I_Inputs &amp; Assumptions'!$B$8/2,'I_Budget Input Data'!$D$96*0.4/('I_Inputs &amp; Assumptions'!$B$8/2),'I_Budget Input Data'!$D$96*0.6/('I_Inputs &amp; Assumptions'!$B$8/2)),IF('I_Budget Input Data'!$E$96="Mid-weighted",IF(35&lt;='I_Inputs &amp; Assumptions'!$B$8/4,'I_Budget Input Data'!$D$96*0.2/('I_Inputs &amp; Assumptions'!$B$8/4),IF(35&lt;='I_Inputs &amp; Assumptions'!$B$8*0.75,'I_Budget Input Data'!$D$96*0.6/('I_Inputs &amp; Assumptions'!$B$8/2),'I_Budget Input Data'!$D$96*0.2/('I_Inputs &amp; Assumptions'!$B$8/4))),IF('I_Budget Input Data'!$E$96="At Completion",IF(35='I_Inputs &amp; Assumptions'!$B$8,'I_Budget Input Data'!$D$96,0),'I_Budget Input Data'!$D$96/'I_Inputs &amp; Assumptions'!$B$8)))))),0)</f>
        <v>0</v>
      </c>
      <c r="AL96" s="91">
        <f>IF(36&lt;='I_Inputs &amp; Assumptions'!$B$8,IF('I_Budget Input Data'!$E$96="Upfront",IF(36=1,'I_Budget Input Data'!$D$96,0),IF('I_Budget Input Data'!$E$96="Equal",'I_Budget Input Data'!$D$96/'I_Inputs &amp; Assumptions'!$B$8,IF('I_Budget Input Data'!$E$96="Front-loaded",IF(36&lt;='I_Inputs &amp; Assumptions'!$B$8/2,'I_Budget Input Data'!$D$96*0.6/('I_Inputs &amp; Assumptions'!$B$8/2),'I_Budget Input Data'!$D$96*0.4/('I_Inputs &amp; Assumptions'!$B$8/2)),IF('I_Budget Input Data'!$E$96="Back-loaded",IF(36&lt;='I_Inputs &amp; Assumptions'!$B$8/2,'I_Budget Input Data'!$D$96*0.4/('I_Inputs &amp; Assumptions'!$B$8/2),'I_Budget Input Data'!$D$96*0.6/('I_Inputs &amp; Assumptions'!$B$8/2)),IF('I_Budget Input Data'!$E$96="Mid-weighted",IF(36&lt;='I_Inputs &amp; Assumptions'!$B$8/4,'I_Budget Input Data'!$D$96*0.2/('I_Inputs &amp; Assumptions'!$B$8/4),IF(36&lt;='I_Inputs &amp; Assumptions'!$B$8*0.75,'I_Budget Input Data'!$D$96*0.6/('I_Inputs &amp; Assumptions'!$B$8/2),'I_Budget Input Data'!$D$96*0.2/('I_Inputs &amp; Assumptions'!$B$8/4))),IF('I_Budget Input Data'!$E$96="At Completion",IF(36='I_Inputs &amp; Assumptions'!$B$8,'I_Budget Input Data'!$D$96,0),'I_Budget Input Data'!$D$96/'I_Inputs &amp; Assumptions'!$B$8)))))),0)</f>
        <v>0</v>
      </c>
    </row>
    <row r="97" spans="1:38" ht="15" customHeight="1" x14ac:dyDescent="0.2">
      <c r="A97" t="s">
        <v>146</v>
      </c>
      <c r="B97" t="s">
        <v>215</v>
      </c>
      <c r="C97" s="91">
        <f>IF(1&lt;='I_Inputs &amp; Assumptions'!$B$8,IF('I_Budget Input Data'!$E$97="Upfront",IF(1=1,'I_Budget Input Data'!$D$97,0),IF('I_Budget Input Data'!$E$97="Equal",'I_Budget Input Data'!$D$97/'I_Inputs &amp; Assumptions'!$B$8,IF('I_Budget Input Data'!$E$97="Front-loaded",IF(1&lt;='I_Inputs &amp; Assumptions'!$B$8/2,'I_Budget Input Data'!$D$97*0.6/('I_Inputs &amp; Assumptions'!$B$8/2),'I_Budget Input Data'!$D$97*0.4/('I_Inputs &amp; Assumptions'!$B$8/2)),IF('I_Budget Input Data'!$E$97="Back-loaded",IF(1&lt;='I_Inputs &amp; Assumptions'!$B$8/2,'I_Budget Input Data'!$D$97*0.4/('I_Inputs &amp; Assumptions'!$B$8/2),'I_Budget Input Data'!$D$97*0.6/('I_Inputs &amp; Assumptions'!$B$8/2)),IF('I_Budget Input Data'!$E$97="Mid-weighted",IF(1&lt;='I_Inputs &amp; Assumptions'!$B$8/4,'I_Budget Input Data'!$D$97*0.2/('I_Inputs &amp; Assumptions'!$B$8/4),IF(1&lt;='I_Inputs &amp; Assumptions'!$B$8*0.75,'I_Budget Input Data'!$D$97*0.6/('I_Inputs &amp; Assumptions'!$B$8/2),'I_Budget Input Data'!$D$97*0.2/('I_Inputs &amp; Assumptions'!$B$8/4))),IF('I_Budget Input Data'!$E$97="At Completion",IF(1='I_Inputs &amp; Assumptions'!$B$8,'I_Budget Input Data'!$D$97,0),'I_Budget Input Data'!$D$97/'I_Inputs &amp; Assumptions'!$B$8)))))),0)</f>
        <v>17230.76923076923</v>
      </c>
      <c r="D97" s="91">
        <f>IF(2&lt;='I_Inputs &amp; Assumptions'!$B$8,IF('I_Budget Input Data'!$E$97="Upfront",IF(2=1,'I_Budget Input Data'!$D$97,0),IF('I_Budget Input Data'!$E$97="Equal",'I_Budget Input Data'!$D$97/'I_Inputs &amp; Assumptions'!$B$8,IF('I_Budget Input Data'!$E$97="Front-loaded",IF(2&lt;='I_Inputs &amp; Assumptions'!$B$8/2,'I_Budget Input Data'!$D$97*0.6/('I_Inputs &amp; Assumptions'!$B$8/2),'I_Budget Input Data'!$D$97*0.4/('I_Inputs &amp; Assumptions'!$B$8/2)),IF('I_Budget Input Data'!$E$97="Back-loaded",IF(2&lt;='I_Inputs &amp; Assumptions'!$B$8/2,'I_Budget Input Data'!$D$97*0.4/('I_Inputs &amp; Assumptions'!$B$8/2),'I_Budget Input Data'!$D$97*0.6/('I_Inputs &amp; Assumptions'!$B$8/2)),IF('I_Budget Input Data'!$E$97="Mid-weighted",IF(2&lt;='I_Inputs &amp; Assumptions'!$B$8/4,'I_Budget Input Data'!$D$97*0.2/('I_Inputs &amp; Assumptions'!$B$8/4),IF(2&lt;='I_Inputs &amp; Assumptions'!$B$8*0.75,'I_Budget Input Data'!$D$97*0.6/('I_Inputs &amp; Assumptions'!$B$8/2),'I_Budget Input Data'!$D$97*0.2/('I_Inputs &amp; Assumptions'!$B$8/4))),IF('I_Budget Input Data'!$E$97="At Completion",IF(2='I_Inputs &amp; Assumptions'!$B$8,'I_Budget Input Data'!$D$97,0),'I_Budget Input Data'!$D$97/'I_Inputs &amp; Assumptions'!$B$8)))))),0)</f>
        <v>17230.76923076923</v>
      </c>
      <c r="E97" s="91">
        <f>IF(3&lt;='I_Inputs &amp; Assumptions'!$B$8,IF('I_Budget Input Data'!$E$97="Upfront",IF(3=1,'I_Budget Input Data'!$D$97,0),IF('I_Budget Input Data'!$E$97="Equal",'I_Budget Input Data'!$D$97/'I_Inputs &amp; Assumptions'!$B$8,IF('I_Budget Input Data'!$E$97="Front-loaded",IF(3&lt;='I_Inputs &amp; Assumptions'!$B$8/2,'I_Budget Input Data'!$D$97*0.6/('I_Inputs &amp; Assumptions'!$B$8/2),'I_Budget Input Data'!$D$97*0.4/('I_Inputs &amp; Assumptions'!$B$8/2)),IF('I_Budget Input Data'!$E$97="Back-loaded",IF(3&lt;='I_Inputs &amp; Assumptions'!$B$8/2,'I_Budget Input Data'!$D$97*0.4/('I_Inputs &amp; Assumptions'!$B$8/2),'I_Budget Input Data'!$D$97*0.6/('I_Inputs &amp; Assumptions'!$B$8/2)),IF('I_Budget Input Data'!$E$97="Mid-weighted",IF(3&lt;='I_Inputs &amp; Assumptions'!$B$8/4,'I_Budget Input Data'!$D$97*0.2/('I_Inputs &amp; Assumptions'!$B$8/4),IF(3&lt;='I_Inputs &amp; Assumptions'!$B$8*0.75,'I_Budget Input Data'!$D$97*0.6/('I_Inputs &amp; Assumptions'!$B$8/2),'I_Budget Input Data'!$D$97*0.2/('I_Inputs &amp; Assumptions'!$B$8/4))),IF('I_Budget Input Data'!$E$97="At Completion",IF(3='I_Inputs &amp; Assumptions'!$B$8,'I_Budget Input Data'!$D$97,0),'I_Budget Input Data'!$D$97/'I_Inputs &amp; Assumptions'!$B$8)))))),0)</f>
        <v>17230.76923076923</v>
      </c>
      <c r="F97" s="91">
        <f>IF(4&lt;='I_Inputs &amp; Assumptions'!$B$8,IF('I_Budget Input Data'!$E$97="Upfront",IF(4=1,'I_Budget Input Data'!$D$97,0),IF('I_Budget Input Data'!$E$97="Equal",'I_Budget Input Data'!$D$97/'I_Inputs &amp; Assumptions'!$B$8,IF('I_Budget Input Data'!$E$97="Front-loaded",IF(4&lt;='I_Inputs &amp; Assumptions'!$B$8/2,'I_Budget Input Data'!$D$97*0.6/('I_Inputs &amp; Assumptions'!$B$8/2),'I_Budget Input Data'!$D$97*0.4/('I_Inputs &amp; Assumptions'!$B$8/2)),IF('I_Budget Input Data'!$E$97="Back-loaded",IF(4&lt;='I_Inputs &amp; Assumptions'!$B$8/2,'I_Budget Input Data'!$D$97*0.4/('I_Inputs &amp; Assumptions'!$B$8/2),'I_Budget Input Data'!$D$97*0.6/('I_Inputs &amp; Assumptions'!$B$8/2)),IF('I_Budget Input Data'!$E$97="Mid-weighted",IF(4&lt;='I_Inputs &amp; Assumptions'!$B$8/4,'I_Budget Input Data'!$D$97*0.2/('I_Inputs &amp; Assumptions'!$B$8/4),IF(4&lt;='I_Inputs &amp; Assumptions'!$B$8*0.75,'I_Budget Input Data'!$D$97*0.6/('I_Inputs &amp; Assumptions'!$B$8/2),'I_Budget Input Data'!$D$97*0.2/('I_Inputs &amp; Assumptions'!$B$8/4))),IF('I_Budget Input Data'!$E$97="At Completion",IF(4='I_Inputs &amp; Assumptions'!$B$8,'I_Budget Input Data'!$D$97,0),'I_Budget Input Data'!$D$97/'I_Inputs &amp; Assumptions'!$B$8)))))),0)</f>
        <v>25846.153846153848</v>
      </c>
      <c r="G97" s="91">
        <f>IF(5&lt;='I_Inputs &amp; Assumptions'!$B$8,IF('I_Budget Input Data'!$E$97="Upfront",IF(5=1,'I_Budget Input Data'!$D$97,0),IF('I_Budget Input Data'!$E$97="Equal",'I_Budget Input Data'!$D$97/'I_Inputs &amp; Assumptions'!$B$8,IF('I_Budget Input Data'!$E$97="Front-loaded",IF(5&lt;='I_Inputs &amp; Assumptions'!$B$8/2,'I_Budget Input Data'!$D$97*0.6/('I_Inputs &amp; Assumptions'!$B$8/2),'I_Budget Input Data'!$D$97*0.4/('I_Inputs &amp; Assumptions'!$B$8/2)),IF('I_Budget Input Data'!$E$97="Back-loaded",IF(5&lt;='I_Inputs &amp; Assumptions'!$B$8/2,'I_Budget Input Data'!$D$97*0.4/('I_Inputs &amp; Assumptions'!$B$8/2),'I_Budget Input Data'!$D$97*0.6/('I_Inputs &amp; Assumptions'!$B$8/2)),IF('I_Budget Input Data'!$E$97="Mid-weighted",IF(5&lt;='I_Inputs &amp; Assumptions'!$B$8/4,'I_Budget Input Data'!$D$97*0.2/('I_Inputs &amp; Assumptions'!$B$8/4),IF(5&lt;='I_Inputs &amp; Assumptions'!$B$8*0.75,'I_Budget Input Data'!$D$97*0.6/('I_Inputs &amp; Assumptions'!$B$8/2),'I_Budget Input Data'!$D$97*0.2/('I_Inputs &amp; Assumptions'!$B$8/4))),IF('I_Budget Input Data'!$E$97="At Completion",IF(5='I_Inputs &amp; Assumptions'!$B$8,'I_Budget Input Data'!$D$97,0),'I_Budget Input Data'!$D$97/'I_Inputs &amp; Assumptions'!$B$8)))))),0)</f>
        <v>25846.153846153848</v>
      </c>
      <c r="H97" s="91">
        <f>IF(6&lt;='I_Inputs &amp; Assumptions'!$B$8,IF('I_Budget Input Data'!$E$97="Upfront",IF(6=1,'I_Budget Input Data'!$D$97,0),IF('I_Budget Input Data'!$E$97="Equal",'I_Budget Input Data'!$D$97/'I_Inputs &amp; Assumptions'!$B$8,IF('I_Budget Input Data'!$E$97="Front-loaded",IF(6&lt;='I_Inputs &amp; Assumptions'!$B$8/2,'I_Budget Input Data'!$D$97*0.6/('I_Inputs &amp; Assumptions'!$B$8/2),'I_Budget Input Data'!$D$97*0.4/('I_Inputs &amp; Assumptions'!$B$8/2)),IF('I_Budget Input Data'!$E$97="Back-loaded",IF(6&lt;='I_Inputs &amp; Assumptions'!$B$8/2,'I_Budget Input Data'!$D$97*0.4/('I_Inputs &amp; Assumptions'!$B$8/2),'I_Budget Input Data'!$D$97*0.6/('I_Inputs &amp; Assumptions'!$B$8/2)),IF('I_Budget Input Data'!$E$97="Mid-weighted",IF(6&lt;='I_Inputs &amp; Assumptions'!$B$8/4,'I_Budget Input Data'!$D$97*0.2/('I_Inputs &amp; Assumptions'!$B$8/4),IF(6&lt;='I_Inputs &amp; Assumptions'!$B$8*0.75,'I_Budget Input Data'!$D$97*0.6/('I_Inputs &amp; Assumptions'!$B$8/2),'I_Budget Input Data'!$D$97*0.2/('I_Inputs &amp; Assumptions'!$B$8/4))),IF('I_Budget Input Data'!$E$97="At Completion",IF(6='I_Inputs &amp; Assumptions'!$B$8,'I_Budget Input Data'!$D$97,0),'I_Budget Input Data'!$D$97/'I_Inputs &amp; Assumptions'!$B$8)))))),0)</f>
        <v>25846.153846153848</v>
      </c>
      <c r="I97" s="91">
        <f>IF(7&lt;='I_Inputs &amp; Assumptions'!$B$8,IF('I_Budget Input Data'!$E$97="Upfront",IF(7=1,'I_Budget Input Data'!$D$97,0),IF('I_Budget Input Data'!$E$97="Equal",'I_Budget Input Data'!$D$97/'I_Inputs &amp; Assumptions'!$B$8,IF('I_Budget Input Data'!$E$97="Front-loaded",IF(7&lt;='I_Inputs &amp; Assumptions'!$B$8/2,'I_Budget Input Data'!$D$97*0.6/('I_Inputs &amp; Assumptions'!$B$8/2),'I_Budget Input Data'!$D$97*0.4/('I_Inputs &amp; Assumptions'!$B$8/2)),IF('I_Budget Input Data'!$E$97="Back-loaded",IF(7&lt;='I_Inputs &amp; Assumptions'!$B$8/2,'I_Budget Input Data'!$D$97*0.4/('I_Inputs &amp; Assumptions'!$B$8/2),'I_Budget Input Data'!$D$97*0.6/('I_Inputs &amp; Assumptions'!$B$8/2)),IF('I_Budget Input Data'!$E$97="Mid-weighted",IF(7&lt;='I_Inputs &amp; Assumptions'!$B$8/4,'I_Budget Input Data'!$D$97*0.2/('I_Inputs &amp; Assumptions'!$B$8/4),IF(7&lt;='I_Inputs &amp; Assumptions'!$B$8*0.75,'I_Budget Input Data'!$D$97*0.6/('I_Inputs &amp; Assumptions'!$B$8/2),'I_Budget Input Data'!$D$97*0.2/('I_Inputs &amp; Assumptions'!$B$8/4))),IF('I_Budget Input Data'!$E$97="At Completion",IF(7='I_Inputs &amp; Assumptions'!$B$8,'I_Budget Input Data'!$D$97,0),'I_Budget Input Data'!$D$97/'I_Inputs &amp; Assumptions'!$B$8)))))),0)</f>
        <v>25846.153846153848</v>
      </c>
      <c r="J97" s="91">
        <f>IF(8&lt;='I_Inputs &amp; Assumptions'!$B$8,IF('I_Budget Input Data'!$E$97="Upfront",IF(8=1,'I_Budget Input Data'!$D$97,0),IF('I_Budget Input Data'!$E$97="Equal",'I_Budget Input Data'!$D$97/'I_Inputs &amp; Assumptions'!$B$8,IF('I_Budget Input Data'!$E$97="Front-loaded",IF(8&lt;='I_Inputs &amp; Assumptions'!$B$8/2,'I_Budget Input Data'!$D$97*0.6/('I_Inputs &amp; Assumptions'!$B$8/2),'I_Budget Input Data'!$D$97*0.4/('I_Inputs &amp; Assumptions'!$B$8/2)),IF('I_Budget Input Data'!$E$97="Back-loaded",IF(8&lt;='I_Inputs &amp; Assumptions'!$B$8/2,'I_Budget Input Data'!$D$97*0.4/('I_Inputs &amp; Assumptions'!$B$8/2),'I_Budget Input Data'!$D$97*0.6/('I_Inputs &amp; Assumptions'!$B$8/2)),IF('I_Budget Input Data'!$E$97="Mid-weighted",IF(8&lt;='I_Inputs &amp; Assumptions'!$B$8/4,'I_Budget Input Data'!$D$97*0.2/('I_Inputs &amp; Assumptions'!$B$8/4),IF(8&lt;='I_Inputs &amp; Assumptions'!$B$8*0.75,'I_Budget Input Data'!$D$97*0.6/('I_Inputs &amp; Assumptions'!$B$8/2),'I_Budget Input Data'!$D$97*0.2/('I_Inputs &amp; Assumptions'!$B$8/4))),IF('I_Budget Input Data'!$E$97="At Completion",IF(8='I_Inputs &amp; Assumptions'!$B$8,'I_Budget Input Data'!$D$97,0),'I_Budget Input Data'!$D$97/'I_Inputs &amp; Assumptions'!$B$8)))))),0)</f>
        <v>25846.153846153848</v>
      </c>
      <c r="K97" s="91">
        <f>IF(9&lt;='I_Inputs &amp; Assumptions'!$B$8,IF('I_Budget Input Data'!$E$97="Upfront",IF(9=1,'I_Budget Input Data'!$D$97,0),IF('I_Budget Input Data'!$E$97="Equal",'I_Budget Input Data'!$D$97/'I_Inputs &amp; Assumptions'!$B$8,IF('I_Budget Input Data'!$E$97="Front-loaded",IF(9&lt;='I_Inputs &amp; Assumptions'!$B$8/2,'I_Budget Input Data'!$D$97*0.6/('I_Inputs &amp; Assumptions'!$B$8/2),'I_Budget Input Data'!$D$97*0.4/('I_Inputs &amp; Assumptions'!$B$8/2)),IF('I_Budget Input Data'!$E$97="Back-loaded",IF(9&lt;='I_Inputs &amp; Assumptions'!$B$8/2,'I_Budget Input Data'!$D$97*0.4/('I_Inputs &amp; Assumptions'!$B$8/2),'I_Budget Input Data'!$D$97*0.6/('I_Inputs &amp; Assumptions'!$B$8/2)),IF('I_Budget Input Data'!$E$97="Mid-weighted",IF(9&lt;='I_Inputs &amp; Assumptions'!$B$8/4,'I_Budget Input Data'!$D$97*0.2/('I_Inputs &amp; Assumptions'!$B$8/4),IF(9&lt;='I_Inputs &amp; Assumptions'!$B$8*0.75,'I_Budget Input Data'!$D$97*0.6/('I_Inputs &amp; Assumptions'!$B$8/2),'I_Budget Input Data'!$D$97*0.2/('I_Inputs &amp; Assumptions'!$B$8/4))),IF('I_Budget Input Data'!$E$97="At Completion",IF(9='I_Inputs &amp; Assumptions'!$B$8,'I_Budget Input Data'!$D$97,0),'I_Budget Input Data'!$D$97/'I_Inputs &amp; Assumptions'!$B$8)))))),0)</f>
        <v>25846.153846153848</v>
      </c>
      <c r="L97" s="91">
        <f>IF(10&lt;='I_Inputs &amp; Assumptions'!$B$8,IF('I_Budget Input Data'!$E$97="Upfront",IF(10=1,'I_Budget Input Data'!$D$97,0),IF('I_Budget Input Data'!$E$97="Equal",'I_Budget Input Data'!$D$97/'I_Inputs &amp; Assumptions'!$B$8,IF('I_Budget Input Data'!$E$97="Front-loaded",IF(10&lt;='I_Inputs &amp; Assumptions'!$B$8/2,'I_Budget Input Data'!$D$97*0.6/('I_Inputs &amp; Assumptions'!$B$8/2),'I_Budget Input Data'!$D$97*0.4/('I_Inputs &amp; Assumptions'!$B$8/2)),IF('I_Budget Input Data'!$E$97="Back-loaded",IF(10&lt;='I_Inputs &amp; Assumptions'!$B$8/2,'I_Budget Input Data'!$D$97*0.4/('I_Inputs &amp; Assumptions'!$B$8/2),'I_Budget Input Data'!$D$97*0.6/('I_Inputs &amp; Assumptions'!$B$8/2)),IF('I_Budget Input Data'!$E$97="Mid-weighted",IF(10&lt;='I_Inputs &amp; Assumptions'!$B$8/4,'I_Budget Input Data'!$D$97*0.2/('I_Inputs &amp; Assumptions'!$B$8/4),IF(10&lt;='I_Inputs &amp; Assumptions'!$B$8*0.75,'I_Budget Input Data'!$D$97*0.6/('I_Inputs &amp; Assumptions'!$B$8/2),'I_Budget Input Data'!$D$97*0.2/('I_Inputs &amp; Assumptions'!$B$8/4))),IF('I_Budget Input Data'!$E$97="At Completion",IF(10='I_Inputs &amp; Assumptions'!$B$8,'I_Budget Input Data'!$D$97,0),'I_Budget Input Data'!$D$97/'I_Inputs &amp; Assumptions'!$B$8)))))),0)</f>
        <v>17230.76923076923</v>
      </c>
      <c r="M97" s="91">
        <f>IF(11&lt;='I_Inputs &amp; Assumptions'!$B$8,IF('I_Budget Input Data'!$E$97="Upfront",IF(11=1,'I_Budget Input Data'!$D$97,0),IF('I_Budget Input Data'!$E$97="Equal",'I_Budget Input Data'!$D$97/'I_Inputs &amp; Assumptions'!$B$8,IF('I_Budget Input Data'!$E$97="Front-loaded",IF(11&lt;='I_Inputs &amp; Assumptions'!$B$8/2,'I_Budget Input Data'!$D$97*0.6/('I_Inputs &amp; Assumptions'!$B$8/2),'I_Budget Input Data'!$D$97*0.4/('I_Inputs &amp; Assumptions'!$B$8/2)),IF('I_Budget Input Data'!$E$97="Back-loaded",IF(11&lt;='I_Inputs &amp; Assumptions'!$B$8/2,'I_Budget Input Data'!$D$97*0.4/('I_Inputs &amp; Assumptions'!$B$8/2),'I_Budget Input Data'!$D$97*0.6/('I_Inputs &amp; Assumptions'!$B$8/2)),IF('I_Budget Input Data'!$E$97="Mid-weighted",IF(11&lt;='I_Inputs &amp; Assumptions'!$B$8/4,'I_Budget Input Data'!$D$97*0.2/('I_Inputs &amp; Assumptions'!$B$8/4),IF(11&lt;='I_Inputs &amp; Assumptions'!$B$8*0.75,'I_Budget Input Data'!$D$97*0.6/('I_Inputs &amp; Assumptions'!$B$8/2),'I_Budget Input Data'!$D$97*0.2/('I_Inputs &amp; Assumptions'!$B$8/4))),IF('I_Budget Input Data'!$E$97="At Completion",IF(11='I_Inputs &amp; Assumptions'!$B$8,'I_Budget Input Data'!$D$97,0),'I_Budget Input Data'!$D$97/'I_Inputs &amp; Assumptions'!$B$8)))))),0)</f>
        <v>17230.76923076923</v>
      </c>
      <c r="N97" s="91">
        <f>IF(12&lt;='I_Inputs &amp; Assumptions'!$B$8,IF('I_Budget Input Data'!$E$97="Upfront",IF(12=1,'I_Budget Input Data'!$D$97,0),IF('I_Budget Input Data'!$E$97="Equal",'I_Budget Input Data'!$D$97/'I_Inputs &amp; Assumptions'!$B$8,IF('I_Budget Input Data'!$E$97="Front-loaded",IF(12&lt;='I_Inputs &amp; Assumptions'!$B$8/2,'I_Budget Input Data'!$D$97*0.6/('I_Inputs &amp; Assumptions'!$B$8/2),'I_Budget Input Data'!$D$97*0.4/('I_Inputs &amp; Assumptions'!$B$8/2)),IF('I_Budget Input Data'!$E$97="Back-loaded",IF(12&lt;='I_Inputs &amp; Assumptions'!$B$8/2,'I_Budget Input Data'!$D$97*0.4/('I_Inputs &amp; Assumptions'!$B$8/2),'I_Budget Input Data'!$D$97*0.6/('I_Inputs &amp; Assumptions'!$B$8/2)),IF('I_Budget Input Data'!$E$97="Mid-weighted",IF(12&lt;='I_Inputs &amp; Assumptions'!$B$8/4,'I_Budget Input Data'!$D$97*0.2/('I_Inputs &amp; Assumptions'!$B$8/4),IF(12&lt;='I_Inputs &amp; Assumptions'!$B$8*0.75,'I_Budget Input Data'!$D$97*0.6/('I_Inputs &amp; Assumptions'!$B$8/2),'I_Budget Input Data'!$D$97*0.2/('I_Inputs &amp; Assumptions'!$B$8/4))),IF('I_Budget Input Data'!$E$97="At Completion",IF(12='I_Inputs &amp; Assumptions'!$B$8,'I_Budget Input Data'!$D$97,0),'I_Budget Input Data'!$D$97/'I_Inputs &amp; Assumptions'!$B$8)))))),0)</f>
        <v>17230.76923076923</v>
      </c>
      <c r="O97" s="91">
        <f>IF(13&lt;='I_Inputs &amp; Assumptions'!$B$8,IF('I_Budget Input Data'!$E$97="Upfront",IF(13=1,'I_Budget Input Data'!$D$97,0),IF('I_Budget Input Data'!$E$97="Equal",'I_Budget Input Data'!$D$97/'I_Inputs &amp; Assumptions'!$B$8,IF('I_Budget Input Data'!$E$97="Front-loaded",IF(13&lt;='I_Inputs &amp; Assumptions'!$B$8/2,'I_Budget Input Data'!$D$97*0.6/('I_Inputs &amp; Assumptions'!$B$8/2),'I_Budget Input Data'!$D$97*0.4/('I_Inputs &amp; Assumptions'!$B$8/2)),IF('I_Budget Input Data'!$E$97="Back-loaded",IF(13&lt;='I_Inputs &amp; Assumptions'!$B$8/2,'I_Budget Input Data'!$D$97*0.4/('I_Inputs &amp; Assumptions'!$B$8/2),'I_Budget Input Data'!$D$97*0.6/('I_Inputs &amp; Assumptions'!$B$8/2)),IF('I_Budget Input Data'!$E$97="Mid-weighted",IF(13&lt;='I_Inputs &amp; Assumptions'!$B$8/4,'I_Budget Input Data'!$D$97*0.2/('I_Inputs &amp; Assumptions'!$B$8/4),IF(13&lt;='I_Inputs &amp; Assumptions'!$B$8*0.75,'I_Budget Input Data'!$D$97*0.6/('I_Inputs &amp; Assumptions'!$B$8/2),'I_Budget Input Data'!$D$97*0.2/('I_Inputs &amp; Assumptions'!$B$8/4))),IF('I_Budget Input Data'!$E$97="At Completion",IF(13='I_Inputs &amp; Assumptions'!$B$8,'I_Budget Input Data'!$D$97,0),'I_Budget Input Data'!$D$97/'I_Inputs &amp; Assumptions'!$B$8)))))),0)</f>
        <v>17230.76923076923</v>
      </c>
      <c r="P97" s="91">
        <f>IF(14&lt;='I_Inputs &amp; Assumptions'!$B$8,IF('I_Budget Input Data'!$E$97="Upfront",IF(14=1,'I_Budget Input Data'!$D$97,0),IF('I_Budget Input Data'!$E$97="Equal",'I_Budget Input Data'!$D$97/'I_Inputs &amp; Assumptions'!$B$8,IF('I_Budget Input Data'!$E$97="Front-loaded",IF(14&lt;='I_Inputs &amp; Assumptions'!$B$8/2,'I_Budget Input Data'!$D$97*0.6/('I_Inputs &amp; Assumptions'!$B$8/2),'I_Budget Input Data'!$D$97*0.4/('I_Inputs &amp; Assumptions'!$B$8/2)),IF('I_Budget Input Data'!$E$97="Back-loaded",IF(14&lt;='I_Inputs &amp; Assumptions'!$B$8/2,'I_Budget Input Data'!$D$97*0.4/('I_Inputs &amp; Assumptions'!$B$8/2),'I_Budget Input Data'!$D$97*0.6/('I_Inputs &amp; Assumptions'!$B$8/2)),IF('I_Budget Input Data'!$E$97="Mid-weighted",IF(14&lt;='I_Inputs &amp; Assumptions'!$B$8/4,'I_Budget Input Data'!$D$97*0.2/('I_Inputs &amp; Assumptions'!$B$8/4),IF(14&lt;='I_Inputs &amp; Assumptions'!$B$8*0.75,'I_Budget Input Data'!$D$97*0.6/('I_Inputs &amp; Assumptions'!$B$8/2),'I_Budget Input Data'!$D$97*0.2/('I_Inputs &amp; Assumptions'!$B$8/4))),IF('I_Budget Input Data'!$E$97="At Completion",IF(14='I_Inputs &amp; Assumptions'!$B$8,'I_Budget Input Data'!$D$97,0),'I_Budget Input Data'!$D$97/'I_Inputs &amp; Assumptions'!$B$8)))))),0)</f>
        <v>0</v>
      </c>
      <c r="Q97" s="91">
        <f>IF(15&lt;='I_Inputs &amp; Assumptions'!$B$8,IF('I_Budget Input Data'!$E$97="Upfront",IF(15=1,'I_Budget Input Data'!$D$97,0),IF('I_Budget Input Data'!$E$97="Equal",'I_Budget Input Data'!$D$97/'I_Inputs &amp; Assumptions'!$B$8,IF('I_Budget Input Data'!$E$97="Front-loaded",IF(15&lt;='I_Inputs &amp; Assumptions'!$B$8/2,'I_Budget Input Data'!$D$97*0.6/('I_Inputs &amp; Assumptions'!$B$8/2),'I_Budget Input Data'!$D$97*0.4/('I_Inputs &amp; Assumptions'!$B$8/2)),IF('I_Budget Input Data'!$E$97="Back-loaded",IF(15&lt;='I_Inputs &amp; Assumptions'!$B$8/2,'I_Budget Input Data'!$D$97*0.4/('I_Inputs &amp; Assumptions'!$B$8/2),'I_Budget Input Data'!$D$97*0.6/('I_Inputs &amp; Assumptions'!$B$8/2)),IF('I_Budget Input Data'!$E$97="Mid-weighted",IF(15&lt;='I_Inputs &amp; Assumptions'!$B$8/4,'I_Budget Input Data'!$D$97*0.2/('I_Inputs &amp; Assumptions'!$B$8/4),IF(15&lt;='I_Inputs &amp; Assumptions'!$B$8*0.75,'I_Budget Input Data'!$D$97*0.6/('I_Inputs &amp; Assumptions'!$B$8/2),'I_Budget Input Data'!$D$97*0.2/('I_Inputs &amp; Assumptions'!$B$8/4))),IF('I_Budget Input Data'!$E$97="At Completion",IF(15='I_Inputs &amp; Assumptions'!$B$8,'I_Budget Input Data'!$D$97,0),'I_Budget Input Data'!$D$97/'I_Inputs &amp; Assumptions'!$B$8)))))),0)</f>
        <v>0</v>
      </c>
      <c r="R97" s="91">
        <f>IF(16&lt;='I_Inputs &amp; Assumptions'!$B$8,IF('I_Budget Input Data'!$E$97="Upfront",IF(16=1,'I_Budget Input Data'!$D$97,0),IF('I_Budget Input Data'!$E$97="Equal",'I_Budget Input Data'!$D$97/'I_Inputs &amp; Assumptions'!$B$8,IF('I_Budget Input Data'!$E$97="Front-loaded",IF(16&lt;='I_Inputs &amp; Assumptions'!$B$8/2,'I_Budget Input Data'!$D$97*0.6/('I_Inputs &amp; Assumptions'!$B$8/2),'I_Budget Input Data'!$D$97*0.4/('I_Inputs &amp; Assumptions'!$B$8/2)),IF('I_Budget Input Data'!$E$97="Back-loaded",IF(16&lt;='I_Inputs &amp; Assumptions'!$B$8/2,'I_Budget Input Data'!$D$97*0.4/('I_Inputs &amp; Assumptions'!$B$8/2),'I_Budget Input Data'!$D$97*0.6/('I_Inputs &amp; Assumptions'!$B$8/2)),IF('I_Budget Input Data'!$E$97="Mid-weighted",IF(16&lt;='I_Inputs &amp; Assumptions'!$B$8/4,'I_Budget Input Data'!$D$97*0.2/('I_Inputs &amp; Assumptions'!$B$8/4),IF(16&lt;='I_Inputs &amp; Assumptions'!$B$8*0.75,'I_Budget Input Data'!$D$97*0.6/('I_Inputs &amp; Assumptions'!$B$8/2),'I_Budget Input Data'!$D$97*0.2/('I_Inputs &amp; Assumptions'!$B$8/4))),IF('I_Budget Input Data'!$E$97="At Completion",IF(16='I_Inputs &amp; Assumptions'!$B$8,'I_Budget Input Data'!$D$97,0),'I_Budget Input Data'!$D$97/'I_Inputs &amp; Assumptions'!$B$8)))))),0)</f>
        <v>0</v>
      </c>
      <c r="S97" s="91">
        <f>IF(17&lt;='I_Inputs &amp; Assumptions'!$B$8,IF('I_Budget Input Data'!$E$97="Upfront",IF(17=1,'I_Budget Input Data'!$D$97,0),IF('I_Budget Input Data'!$E$97="Equal",'I_Budget Input Data'!$D$97/'I_Inputs &amp; Assumptions'!$B$8,IF('I_Budget Input Data'!$E$97="Front-loaded",IF(17&lt;='I_Inputs &amp; Assumptions'!$B$8/2,'I_Budget Input Data'!$D$97*0.6/('I_Inputs &amp; Assumptions'!$B$8/2),'I_Budget Input Data'!$D$97*0.4/('I_Inputs &amp; Assumptions'!$B$8/2)),IF('I_Budget Input Data'!$E$97="Back-loaded",IF(17&lt;='I_Inputs &amp; Assumptions'!$B$8/2,'I_Budget Input Data'!$D$97*0.4/('I_Inputs &amp; Assumptions'!$B$8/2),'I_Budget Input Data'!$D$97*0.6/('I_Inputs &amp; Assumptions'!$B$8/2)),IF('I_Budget Input Data'!$E$97="Mid-weighted",IF(17&lt;='I_Inputs &amp; Assumptions'!$B$8/4,'I_Budget Input Data'!$D$97*0.2/('I_Inputs &amp; Assumptions'!$B$8/4),IF(17&lt;='I_Inputs &amp; Assumptions'!$B$8*0.75,'I_Budget Input Data'!$D$97*0.6/('I_Inputs &amp; Assumptions'!$B$8/2),'I_Budget Input Data'!$D$97*0.2/('I_Inputs &amp; Assumptions'!$B$8/4))),IF('I_Budget Input Data'!$E$97="At Completion",IF(17='I_Inputs &amp; Assumptions'!$B$8,'I_Budget Input Data'!$D$97,0),'I_Budget Input Data'!$D$97/'I_Inputs &amp; Assumptions'!$B$8)))))),0)</f>
        <v>0</v>
      </c>
      <c r="T97" s="91">
        <f>IF(18&lt;='I_Inputs &amp; Assumptions'!$B$8,IF('I_Budget Input Data'!$E$97="Upfront",IF(18=1,'I_Budget Input Data'!$D$97,0),IF('I_Budget Input Data'!$E$97="Equal",'I_Budget Input Data'!$D$97/'I_Inputs &amp; Assumptions'!$B$8,IF('I_Budget Input Data'!$E$97="Front-loaded",IF(18&lt;='I_Inputs &amp; Assumptions'!$B$8/2,'I_Budget Input Data'!$D$97*0.6/('I_Inputs &amp; Assumptions'!$B$8/2),'I_Budget Input Data'!$D$97*0.4/('I_Inputs &amp; Assumptions'!$B$8/2)),IF('I_Budget Input Data'!$E$97="Back-loaded",IF(18&lt;='I_Inputs &amp; Assumptions'!$B$8/2,'I_Budget Input Data'!$D$97*0.4/('I_Inputs &amp; Assumptions'!$B$8/2),'I_Budget Input Data'!$D$97*0.6/('I_Inputs &amp; Assumptions'!$B$8/2)),IF('I_Budget Input Data'!$E$97="Mid-weighted",IF(18&lt;='I_Inputs &amp; Assumptions'!$B$8/4,'I_Budget Input Data'!$D$97*0.2/('I_Inputs &amp; Assumptions'!$B$8/4),IF(18&lt;='I_Inputs &amp; Assumptions'!$B$8*0.75,'I_Budget Input Data'!$D$97*0.6/('I_Inputs &amp; Assumptions'!$B$8/2),'I_Budget Input Data'!$D$97*0.2/('I_Inputs &amp; Assumptions'!$B$8/4))),IF('I_Budget Input Data'!$E$97="At Completion",IF(18='I_Inputs &amp; Assumptions'!$B$8,'I_Budget Input Data'!$D$97,0),'I_Budget Input Data'!$D$97/'I_Inputs &amp; Assumptions'!$B$8)))))),0)</f>
        <v>0</v>
      </c>
      <c r="U97" s="91">
        <f>IF(19&lt;='I_Inputs &amp; Assumptions'!$B$8,IF('I_Budget Input Data'!$E$97="Upfront",IF(19=1,'I_Budget Input Data'!$D$97,0),IF('I_Budget Input Data'!$E$97="Equal",'I_Budget Input Data'!$D$97/'I_Inputs &amp; Assumptions'!$B$8,IF('I_Budget Input Data'!$E$97="Front-loaded",IF(19&lt;='I_Inputs &amp; Assumptions'!$B$8/2,'I_Budget Input Data'!$D$97*0.6/('I_Inputs &amp; Assumptions'!$B$8/2),'I_Budget Input Data'!$D$97*0.4/('I_Inputs &amp; Assumptions'!$B$8/2)),IF('I_Budget Input Data'!$E$97="Back-loaded",IF(19&lt;='I_Inputs &amp; Assumptions'!$B$8/2,'I_Budget Input Data'!$D$97*0.4/('I_Inputs &amp; Assumptions'!$B$8/2),'I_Budget Input Data'!$D$97*0.6/('I_Inputs &amp; Assumptions'!$B$8/2)),IF('I_Budget Input Data'!$E$97="Mid-weighted",IF(19&lt;='I_Inputs &amp; Assumptions'!$B$8/4,'I_Budget Input Data'!$D$97*0.2/('I_Inputs &amp; Assumptions'!$B$8/4),IF(19&lt;='I_Inputs &amp; Assumptions'!$B$8*0.75,'I_Budget Input Data'!$D$97*0.6/('I_Inputs &amp; Assumptions'!$B$8/2),'I_Budget Input Data'!$D$97*0.2/('I_Inputs &amp; Assumptions'!$B$8/4))),IF('I_Budget Input Data'!$E$97="At Completion",IF(19='I_Inputs &amp; Assumptions'!$B$8,'I_Budget Input Data'!$D$97,0),'I_Budget Input Data'!$D$97/'I_Inputs &amp; Assumptions'!$B$8)))))),0)</f>
        <v>0</v>
      </c>
      <c r="V97" s="91">
        <f>IF(20&lt;='I_Inputs &amp; Assumptions'!$B$8,IF('I_Budget Input Data'!$E$97="Upfront",IF(20=1,'I_Budget Input Data'!$D$97,0),IF('I_Budget Input Data'!$E$97="Equal",'I_Budget Input Data'!$D$97/'I_Inputs &amp; Assumptions'!$B$8,IF('I_Budget Input Data'!$E$97="Front-loaded",IF(20&lt;='I_Inputs &amp; Assumptions'!$B$8/2,'I_Budget Input Data'!$D$97*0.6/('I_Inputs &amp; Assumptions'!$B$8/2),'I_Budget Input Data'!$D$97*0.4/('I_Inputs &amp; Assumptions'!$B$8/2)),IF('I_Budget Input Data'!$E$97="Back-loaded",IF(20&lt;='I_Inputs &amp; Assumptions'!$B$8/2,'I_Budget Input Data'!$D$97*0.4/('I_Inputs &amp; Assumptions'!$B$8/2),'I_Budget Input Data'!$D$97*0.6/('I_Inputs &amp; Assumptions'!$B$8/2)),IF('I_Budget Input Data'!$E$97="Mid-weighted",IF(20&lt;='I_Inputs &amp; Assumptions'!$B$8/4,'I_Budget Input Data'!$D$97*0.2/('I_Inputs &amp; Assumptions'!$B$8/4),IF(20&lt;='I_Inputs &amp; Assumptions'!$B$8*0.75,'I_Budget Input Data'!$D$97*0.6/('I_Inputs &amp; Assumptions'!$B$8/2),'I_Budget Input Data'!$D$97*0.2/('I_Inputs &amp; Assumptions'!$B$8/4))),IF('I_Budget Input Data'!$E$97="At Completion",IF(20='I_Inputs &amp; Assumptions'!$B$8,'I_Budget Input Data'!$D$97,0),'I_Budget Input Data'!$D$97/'I_Inputs &amp; Assumptions'!$B$8)))))),0)</f>
        <v>0</v>
      </c>
      <c r="W97" s="91">
        <f>IF(21&lt;='I_Inputs &amp; Assumptions'!$B$8,IF('I_Budget Input Data'!$E$97="Upfront",IF(21=1,'I_Budget Input Data'!$D$97,0),IF('I_Budget Input Data'!$E$97="Equal",'I_Budget Input Data'!$D$97/'I_Inputs &amp; Assumptions'!$B$8,IF('I_Budget Input Data'!$E$97="Front-loaded",IF(21&lt;='I_Inputs &amp; Assumptions'!$B$8/2,'I_Budget Input Data'!$D$97*0.6/('I_Inputs &amp; Assumptions'!$B$8/2),'I_Budget Input Data'!$D$97*0.4/('I_Inputs &amp; Assumptions'!$B$8/2)),IF('I_Budget Input Data'!$E$97="Back-loaded",IF(21&lt;='I_Inputs &amp; Assumptions'!$B$8/2,'I_Budget Input Data'!$D$97*0.4/('I_Inputs &amp; Assumptions'!$B$8/2),'I_Budget Input Data'!$D$97*0.6/('I_Inputs &amp; Assumptions'!$B$8/2)),IF('I_Budget Input Data'!$E$97="Mid-weighted",IF(21&lt;='I_Inputs &amp; Assumptions'!$B$8/4,'I_Budget Input Data'!$D$97*0.2/('I_Inputs &amp; Assumptions'!$B$8/4),IF(21&lt;='I_Inputs &amp; Assumptions'!$B$8*0.75,'I_Budget Input Data'!$D$97*0.6/('I_Inputs &amp; Assumptions'!$B$8/2),'I_Budget Input Data'!$D$97*0.2/('I_Inputs &amp; Assumptions'!$B$8/4))),IF('I_Budget Input Data'!$E$97="At Completion",IF(21='I_Inputs &amp; Assumptions'!$B$8,'I_Budget Input Data'!$D$97,0),'I_Budget Input Data'!$D$97/'I_Inputs &amp; Assumptions'!$B$8)))))),0)</f>
        <v>0</v>
      </c>
      <c r="X97" s="91">
        <f>IF(22&lt;='I_Inputs &amp; Assumptions'!$B$8,IF('I_Budget Input Data'!$E$97="Upfront",IF(22=1,'I_Budget Input Data'!$D$97,0),IF('I_Budget Input Data'!$E$97="Equal",'I_Budget Input Data'!$D$97/'I_Inputs &amp; Assumptions'!$B$8,IF('I_Budget Input Data'!$E$97="Front-loaded",IF(22&lt;='I_Inputs &amp; Assumptions'!$B$8/2,'I_Budget Input Data'!$D$97*0.6/('I_Inputs &amp; Assumptions'!$B$8/2),'I_Budget Input Data'!$D$97*0.4/('I_Inputs &amp; Assumptions'!$B$8/2)),IF('I_Budget Input Data'!$E$97="Back-loaded",IF(22&lt;='I_Inputs &amp; Assumptions'!$B$8/2,'I_Budget Input Data'!$D$97*0.4/('I_Inputs &amp; Assumptions'!$B$8/2),'I_Budget Input Data'!$D$97*0.6/('I_Inputs &amp; Assumptions'!$B$8/2)),IF('I_Budget Input Data'!$E$97="Mid-weighted",IF(22&lt;='I_Inputs &amp; Assumptions'!$B$8/4,'I_Budget Input Data'!$D$97*0.2/('I_Inputs &amp; Assumptions'!$B$8/4),IF(22&lt;='I_Inputs &amp; Assumptions'!$B$8*0.75,'I_Budget Input Data'!$D$97*0.6/('I_Inputs &amp; Assumptions'!$B$8/2),'I_Budget Input Data'!$D$97*0.2/('I_Inputs &amp; Assumptions'!$B$8/4))),IF('I_Budget Input Data'!$E$97="At Completion",IF(22='I_Inputs &amp; Assumptions'!$B$8,'I_Budget Input Data'!$D$97,0),'I_Budget Input Data'!$D$97/'I_Inputs &amp; Assumptions'!$B$8)))))),0)</f>
        <v>0</v>
      </c>
      <c r="Y97" s="91">
        <f>IF(23&lt;='I_Inputs &amp; Assumptions'!$B$8,IF('I_Budget Input Data'!$E$97="Upfront",IF(23=1,'I_Budget Input Data'!$D$97,0),IF('I_Budget Input Data'!$E$97="Equal",'I_Budget Input Data'!$D$97/'I_Inputs &amp; Assumptions'!$B$8,IF('I_Budget Input Data'!$E$97="Front-loaded",IF(23&lt;='I_Inputs &amp; Assumptions'!$B$8/2,'I_Budget Input Data'!$D$97*0.6/('I_Inputs &amp; Assumptions'!$B$8/2),'I_Budget Input Data'!$D$97*0.4/('I_Inputs &amp; Assumptions'!$B$8/2)),IF('I_Budget Input Data'!$E$97="Back-loaded",IF(23&lt;='I_Inputs &amp; Assumptions'!$B$8/2,'I_Budget Input Data'!$D$97*0.4/('I_Inputs &amp; Assumptions'!$B$8/2),'I_Budget Input Data'!$D$97*0.6/('I_Inputs &amp; Assumptions'!$B$8/2)),IF('I_Budget Input Data'!$E$97="Mid-weighted",IF(23&lt;='I_Inputs &amp; Assumptions'!$B$8/4,'I_Budget Input Data'!$D$97*0.2/('I_Inputs &amp; Assumptions'!$B$8/4),IF(23&lt;='I_Inputs &amp; Assumptions'!$B$8*0.75,'I_Budget Input Data'!$D$97*0.6/('I_Inputs &amp; Assumptions'!$B$8/2),'I_Budget Input Data'!$D$97*0.2/('I_Inputs &amp; Assumptions'!$B$8/4))),IF('I_Budget Input Data'!$E$97="At Completion",IF(23='I_Inputs &amp; Assumptions'!$B$8,'I_Budget Input Data'!$D$97,0),'I_Budget Input Data'!$D$97/'I_Inputs &amp; Assumptions'!$B$8)))))),0)</f>
        <v>0</v>
      </c>
      <c r="Z97" s="91">
        <f>IF(24&lt;='I_Inputs &amp; Assumptions'!$B$8,IF('I_Budget Input Data'!$E$97="Upfront",IF(24=1,'I_Budget Input Data'!$D$97,0),IF('I_Budget Input Data'!$E$97="Equal",'I_Budget Input Data'!$D$97/'I_Inputs &amp; Assumptions'!$B$8,IF('I_Budget Input Data'!$E$97="Front-loaded",IF(24&lt;='I_Inputs &amp; Assumptions'!$B$8/2,'I_Budget Input Data'!$D$97*0.6/('I_Inputs &amp; Assumptions'!$B$8/2),'I_Budget Input Data'!$D$97*0.4/('I_Inputs &amp; Assumptions'!$B$8/2)),IF('I_Budget Input Data'!$E$97="Back-loaded",IF(24&lt;='I_Inputs &amp; Assumptions'!$B$8/2,'I_Budget Input Data'!$D$97*0.4/('I_Inputs &amp; Assumptions'!$B$8/2),'I_Budget Input Data'!$D$97*0.6/('I_Inputs &amp; Assumptions'!$B$8/2)),IF('I_Budget Input Data'!$E$97="Mid-weighted",IF(24&lt;='I_Inputs &amp; Assumptions'!$B$8/4,'I_Budget Input Data'!$D$97*0.2/('I_Inputs &amp; Assumptions'!$B$8/4),IF(24&lt;='I_Inputs &amp; Assumptions'!$B$8*0.75,'I_Budget Input Data'!$D$97*0.6/('I_Inputs &amp; Assumptions'!$B$8/2),'I_Budget Input Data'!$D$97*0.2/('I_Inputs &amp; Assumptions'!$B$8/4))),IF('I_Budget Input Data'!$E$97="At Completion",IF(24='I_Inputs &amp; Assumptions'!$B$8,'I_Budget Input Data'!$D$97,0),'I_Budget Input Data'!$D$97/'I_Inputs &amp; Assumptions'!$B$8)))))),0)</f>
        <v>0</v>
      </c>
      <c r="AA97" s="91">
        <f>IF(25&lt;='I_Inputs &amp; Assumptions'!$B$8,IF('I_Budget Input Data'!$E$97="Upfront",IF(25=1,'I_Budget Input Data'!$D$97,0),IF('I_Budget Input Data'!$E$97="Equal",'I_Budget Input Data'!$D$97/'I_Inputs &amp; Assumptions'!$B$8,IF('I_Budget Input Data'!$E$97="Front-loaded",IF(25&lt;='I_Inputs &amp; Assumptions'!$B$8/2,'I_Budget Input Data'!$D$97*0.6/('I_Inputs &amp; Assumptions'!$B$8/2),'I_Budget Input Data'!$D$97*0.4/('I_Inputs &amp; Assumptions'!$B$8/2)),IF('I_Budget Input Data'!$E$97="Back-loaded",IF(25&lt;='I_Inputs &amp; Assumptions'!$B$8/2,'I_Budget Input Data'!$D$97*0.4/('I_Inputs &amp; Assumptions'!$B$8/2),'I_Budget Input Data'!$D$97*0.6/('I_Inputs &amp; Assumptions'!$B$8/2)),IF('I_Budget Input Data'!$E$97="Mid-weighted",IF(25&lt;='I_Inputs &amp; Assumptions'!$B$8/4,'I_Budget Input Data'!$D$97*0.2/('I_Inputs &amp; Assumptions'!$B$8/4),IF(25&lt;='I_Inputs &amp; Assumptions'!$B$8*0.75,'I_Budget Input Data'!$D$97*0.6/('I_Inputs &amp; Assumptions'!$B$8/2),'I_Budget Input Data'!$D$97*0.2/('I_Inputs &amp; Assumptions'!$B$8/4))),IF('I_Budget Input Data'!$E$97="At Completion",IF(25='I_Inputs &amp; Assumptions'!$B$8,'I_Budget Input Data'!$D$97,0),'I_Budget Input Data'!$D$97/'I_Inputs &amp; Assumptions'!$B$8)))))),0)</f>
        <v>0</v>
      </c>
      <c r="AB97" s="91">
        <f>IF(26&lt;='I_Inputs &amp; Assumptions'!$B$8,IF('I_Budget Input Data'!$E$97="Upfront",IF(26=1,'I_Budget Input Data'!$D$97,0),IF('I_Budget Input Data'!$E$97="Equal",'I_Budget Input Data'!$D$97/'I_Inputs &amp; Assumptions'!$B$8,IF('I_Budget Input Data'!$E$97="Front-loaded",IF(26&lt;='I_Inputs &amp; Assumptions'!$B$8/2,'I_Budget Input Data'!$D$97*0.6/('I_Inputs &amp; Assumptions'!$B$8/2),'I_Budget Input Data'!$D$97*0.4/('I_Inputs &amp; Assumptions'!$B$8/2)),IF('I_Budget Input Data'!$E$97="Back-loaded",IF(26&lt;='I_Inputs &amp; Assumptions'!$B$8/2,'I_Budget Input Data'!$D$97*0.4/('I_Inputs &amp; Assumptions'!$B$8/2),'I_Budget Input Data'!$D$97*0.6/('I_Inputs &amp; Assumptions'!$B$8/2)),IF('I_Budget Input Data'!$E$97="Mid-weighted",IF(26&lt;='I_Inputs &amp; Assumptions'!$B$8/4,'I_Budget Input Data'!$D$97*0.2/('I_Inputs &amp; Assumptions'!$B$8/4),IF(26&lt;='I_Inputs &amp; Assumptions'!$B$8*0.75,'I_Budget Input Data'!$D$97*0.6/('I_Inputs &amp; Assumptions'!$B$8/2),'I_Budget Input Data'!$D$97*0.2/('I_Inputs &amp; Assumptions'!$B$8/4))),IF('I_Budget Input Data'!$E$97="At Completion",IF(26='I_Inputs &amp; Assumptions'!$B$8,'I_Budget Input Data'!$D$97,0),'I_Budget Input Data'!$D$97/'I_Inputs &amp; Assumptions'!$B$8)))))),0)</f>
        <v>0</v>
      </c>
      <c r="AC97" s="91">
        <f>IF(27&lt;='I_Inputs &amp; Assumptions'!$B$8,IF('I_Budget Input Data'!$E$97="Upfront",IF(27=1,'I_Budget Input Data'!$D$97,0),IF('I_Budget Input Data'!$E$97="Equal",'I_Budget Input Data'!$D$97/'I_Inputs &amp; Assumptions'!$B$8,IF('I_Budget Input Data'!$E$97="Front-loaded",IF(27&lt;='I_Inputs &amp; Assumptions'!$B$8/2,'I_Budget Input Data'!$D$97*0.6/('I_Inputs &amp; Assumptions'!$B$8/2),'I_Budget Input Data'!$D$97*0.4/('I_Inputs &amp; Assumptions'!$B$8/2)),IF('I_Budget Input Data'!$E$97="Back-loaded",IF(27&lt;='I_Inputs &amp; Assumptions'!$B$8/2,'I_Budget Input Data'!$D$97*0.4/('I_Inputs &amp; Assumptions'!$B$8/2),'I_Budget Input Data'!$D$97*0.6/('I_Inputs &amp; Assumptions'!$B$8/2)),IF('I_Budget Input Data'!$E$97="Mid-weighted",IF(27&lt;='I_Inputs &amp; Assumptions'!$B$8/4,'I_Budget Input Data'!$D$97*0.2/('I_Inputs &amp; Assumptions'!$B$8/4),IF(27&lt;='I_Inputs &amp; Assumptions'!$B$8*0.75,'I_Budget Input Data'!$D$97*0.6/('I_Inputs &amp; Assumptions'!$B$8/2),'I_Budget Input Data'!$D$97*0.2/('I_Inputs &amp; Assumptions'!$B$8/4))),IF('I_Budget Input Data'!$E$97="At Completion",IF(27='I_Inputs &amp; Assumptions'!$B$8,'I_Budget Input Data'!$D$97,0),'I_Budget Input Data'!$D$97/'I_Inputs &amp; Assumptions'!$B$8)))))),0)</f>
        <v>0</v>
      </c>
      <c r="AD97" s="91">
        <f>IF(28&lt;='I_Inputs &amp; Assumptions'!$B$8,IF('I_Budget Input Data'!$E$97="Upfront",IF(28=1,'I_Budget Input Data'!$D$97,0),IF('I_Budget Input Data'!$E$97="Equal",'I_Budget Input Data'!$D$97/'I_Inputs &amp; Assumptions'!$B$8,IF('I_Budget Input Data'!$E$97="Front-loaded",IF(28&lt;='I_Inputs &amp; Assumptions'!$B$8/2,'I_Budget Input Data'!$D$97*0.6/('I_Inputs &amp; Assumptions'!$B$8/2),'I_Budget Input Data'!$D$97*0.4/('I_Inputs &amp; Assumptions'!$B$8/2)),IF('I_Budget Input Data'!$E$97="Back-loaded",IF(28&lt;='I_Inputs &amp; Assumptions'!$B$8/2,'I_Budget Input Data'!$D$97*0.4/('I_Inputs &amp; Assumptions'!$B$8/2),'I_Budget Input Data'!$D$97*0.6/('I_Inputs &amp; Assumptions'!$B$8/2)),IF('I_Budget Input Data'!$E$97="Mid-weighted",IF(28&lt;='I_Inputs &amp; Assumptions'!$B$8/4,'I_Budget Input Data'!$D$97*0.2/('I_Inputs &amp; Assumptions'!$B$8/4),IF(28&lt;='I_Inputs &amp; Assumptions'!$B$8*0.75,'I_Budget Input Data'!$D$97*0.6/('I_Inputs &amp; Assumptions'!$B$8/2),'I_Budget Input Data'!$D$97*0.2/('I_Inputs &amp; Assumptions'!$B$8/4))),IF('I_Budget Input Data'!$E$97="At Completion",IF(28='I_Inputs &amp; Assumptions'!$B$8,'I_Budget Input Data'!$D$97,0),'I_Budget Input Data'!$D$97/'I_Inputs &amp; Assumptions'!$B$8)))))),0)</f>
        <v>0</v>
      </c>
      <c r="AE97" s="91">
        <f>IF(29&lt;='I_Inputs &amp; Assumptions'!$B$8,IF('I_Budget Input Data'!$E$97="Upfront",IF(29=1,'I_Budget Input Data'!$D$97,0),IF('I_Budget Input Data'!$E$97="Equal",'I_Budget Input Data'!$D$97/'I_Inputs &amp; Assumptions'!$B$8,IF('I_Budget Input Data'!$E$97="Front-loaded",IF(29&lt;='I_Inputs &amp; Assumptions'!$B$8/2,'I_Budget Input Data'!$D$97*0.6/('I_Inputs &amp; Assumptions'!$B$8/2),'I_Budget Input Data'!$D$97*0.4/('I_Inputs &amp; Assumptions'!$B$8/2)),IF('I_Budget Input Data'!$E$97="Back-loaded",IF(29&lt;='I_Inputs &amp; Assumptions'!$B$8/2,'I_Budget Input Data'!$D$97*0.4/('I_Inputs &amp; Assumptions'!$B$8/2),'I_Budget Input Data'!$D$97*0.6/('I_Inputs &amp; Assumptions'!$B$8/2)),IF('I_Budget Input Data'!$E$97="Mid-weighted",IF(29&lt;='I_Inputs &amp; Assumptions'!$B$8/4,'I_Budget Input Data'!$D$97*0.2/('I_Inputs &amp; Assumptions'!$B$8/4),IF(29&lt;='I_Inputs &amp; Assumptions'!$B$8*0.75,'I_Budget Input Data'!$D$97*0.6/('I_Inputs &amp; Assumptions'!$B$8/2),'I_Budget Input Data'!$D$97*0.2/('I_Inputs &amp; Assumptions'!$B$8/4))),IF('I_Budget Input Data'!$E$97="At Completion",IF(29='I_Inputs &amp; Assumptions'!$B$8,'I_Budget Input Data'!$D$97,0),'I_Budget Input Data'!$D$97/'I_Inputs &amp; Assumptions'!$B$8)))))),0)</f>
        <v>0</v>
      </c>
      <c r="AF97" s="91">
        <f>IF(30&lt;='I_Inputs &amp; Assumptions'!$B$8,IF('I_Budget Input Data'!$E$97="Upfront",IF(30=1,'I_Budget Input Data'!$D$97,0),IF('I_Budget Input Data'!$E$97="Equal",'I_Budget Input Data'!$D$97/'I_Inputs &amp; Assumptions'!$B$8,IF('I_Budget Input Data'!$E$97="Front-loaded",IF(30&lt;='I_Inputs &amp; Assumptions'!$B$8/2,'I_Budget Input Data'!$D$97*0.6/('I_Inputs &amp; Assumptions'!$B$8/2),'I_Budget Input Data'!$D$97*0.4/('I_Inputs &amp; Assumptions'!$B$8/2)),IF('I_Budget Input Data'!$E$97="Back-loaded",IF(30&lt;='I_Inputs &amp; Assumptions'!$B$8/2,'I_Budget Input Data'!$D$97*0.4/('I_Inputs &amp; Assumptions'!$B$8/2),'I_Budget Input Data'!$D$97*0.6/('I_Inputs &amp; Assumptions'!$B$8/2)),IF('I_Budget Input Data'!$E$97="Mid-weighted",IF(30&lt;='I_Inputs &amp; Assumptions'!$B$8/4,'I_Budget Input Data'!$D$97*0.2/('I_Inputs &amp; Assumptions'!$B$8/4),IF(30&lt;='I_Inputs &amp; Assumptions'!$B$8*0.75,'I_Budget Input Data'!$D$97*0.6/('I_Inputs &amp; Assumptions'!$B$8/2),'I_Budget Input Data'!$D$97*0.2/('I_Inputs &amp; Assumptions'!$B$8/4))),IF('I_Budget Input Data'!$E$97="At Completion",IF(30='I_Inputs &amp; Assumptions'!$B$8,'I_Budget Input Data'!$D$97,0),'I_Budget Input Data'!$D$97/'I_Inputs &amp; Assumptions'!$B$8)))))),0)</f>
        <v>0</v>
      </c>
      <c r="AG97" s="91">
        <f>IF(31&lt;='I_Inputs &amp; Assumptions'!$B$8,IF('I_Budget Input Data'!$E$97="Upfront",IF(31=1,'I_Budget Input Data'!$D$97,0),IF('I_Budget Input Data'!$E$97="Equal",'I_Budget Input Data'!$D$97/'I_Inputs &amp; Assumptions'!$B$8,IF('I_Budget Input Data'!$E$97="Front-loaded",IF(31&lt;='I_Inputs &amp; Assumptions'!$B$8/2,'I_Budget Input Data'!$D$97*0.6/('I_Inputs &amp; Assumptions'!$B$8/2),'I_Budget Input Data'!$D$97*0.4/('I_Inputs &amp; Assumptions'!$B$8/2)),IF('I_Budget Input Data'!$E$97="Back-loaded",IF(31&lt;='I_Inputs &amp; Assumptions'!$B$8/2,'I_Budget Input Data'!$D$97*0.4/('I_Inputs &amp; Assumptions'!$B$8/2),'I_Budget Input Data'!$D$97*0.6/('I_Inputs &amp; Assumptions'!$B$8/2)),IF('I_Budget Input Data'!$E$97="Mid-weighted",IF(31&lt;='I_Inputs &amp; Assumptions'!$B$8/4,'I_Budget Input Data'!$D$97*0.2/('I_Inputs &amp; Assumptions'!$B$8/4),IF(31&lt;='I_Inputs &amp; Assumptions'!$B$8*0.75,'I_Budget Input Data'!$D$97*0.6/('I_Inputs &amp; Assumptions'!$B$8/2),'I_Budget Input Data'!$D$97*0.2/('I_Inputs &amp; Assumptions'!$B$8/4))),IF('I_Budget Input Data'!$E$97="At Completion",IF(31='I_Inputs &amp; Assumptions'!$B$8,'I_Budget Input Data'!$D$97,0),'I_Budget Input Data'!$D$97/'I_Inputs &amp; Assumptions'!$B$8)))))),0)</f>
        <v>0</v>
      </c>
      <c r="AH97" s="91">
        <f>IF(32&lt;='I_Inputs &amp; Assumptions'!$B$8,IF('I_Budget Input Data'!$E$97="Upfront",IF(32=1,'I_Budget Input Data'!$D$97,0),IF('I_Budget Input Data'!$E$97="Equal",'I_Budget Input Data'!$D$97/'I_Inputs &amp; Assumptions'!$B$8,IF('I_Budget Input Data'!$E$97="Front-loaded",IF(32&lt;='I_Inputs &amp; Assumptions'!$B$8/2,'I_Budget Input Data'!$D$97*0.6/('I_Inputs &amp; Assumptions'!$B$8/2),'I_Budget Input Data'!$D$97*0.4/('I_Inputs &amp; Assumptions'!$B$8/2)),IF('I_Budget Input Data'!$E$97="Back-loaded",IF(32&lt;='I_Inputs &amp; Assumptions'!$B$8/2,'I_Budget Input Data'!$D$97*0.4/('I_Inputs &amp; Assumptions'!$B$8/2),'I_Budget Input Data'!$D$97*0.6/('I_Inputs &amp; Assumptions'!$B$8/2)),IF('I_Budget Input Data'!$E$97="Mid-weighted",IF(32&lt;='I_Inputs &amp; Assumptions'!$B$8/4,'I_Budget Input Data'!$D$97*0.2/('I_Inputs &amp; Assumptions'!$B$8/4),IF(32&lt;='I_Inputs &amp; Assumptions'!$B$8*0.75,'I_Budget Input Data'!$D$97*0.6/('I_Inputs &amp; Assumptions'!$B$8/2),'I_Budget Input Data'!$D$97*0.2/('I_Inputs &amp; Assumptions'!$B$8/4))),IF('I_Budget Input Data'!$E$97="At Completion",IF(32='I_Inputs &amp; Assumptions'!$B$8,'I_Budget Input Data'!$D$97,0),'I_Budget Input Data'!$D$97/'I_Inputs &amp; Assumptions'!$B$8)))))),0)</f>
        <v>0</v>
      </c>
      <c r="AI97" s="91">
        <f>IF(33&lt;='I_Inputs &amp; Assumptions'!$B$8,IF('I_Budget Input Data'!$E$97="Upfront",IF(33=1,'I_Budget Input Data'!$D$97,0),IF('I_Budget Input Data'!$E$97="Equal",'I_Budget Input Data'!$D$97/'I_Inputs &amp; Assumptions'!$B$8,IF('I_Budget Input Data'!$E$97="Front-loaded",IF(33&lt;='I_Inputs &amp; Assumptions'!$B$8/2,'I_Budget Input Data'!$D$97*0.6/('I_Inputs &amp; Assumptions'!$B$8/2),'I_Budget Input Data'!$D$97*0.4/('I_Inputs &amp; Assumptions'!$B$8/2)),IF('I_Budget Input Data'!$E$97="Back-loaded",IF(33&lt;='I_Inputs &amp; Assumptions'!$B$8/2,'I_Budget Input Data'!$D$97*0.4/('I_Inputs &amp; Assumptions'!$B$8/2),'I_Budget Input Data'!$D$97*0.6/('I_Inputs &amp; Assumptions'!$B$8/2)),IF('I_Budget Input Data'!$E$97="Mid-weighted",IF(33&lt;='I_Inputs &amp; Assumptions'!$B$8/4,'I_Budget Input Data'!$D$97*0.2/('I_Inputs &amp; Assumptions'!$B$8/4),IF(33&lt;='I_Inputs &amp; Assumptions'!$B$8*0.75,'I_Budget Input Data'!$D$97*0.6/('I_Inputs &amp; Assumptions'!$B$8/2),'I_Budget Input Data'!$D$97*0.2/('I_Inputs &amp; Assumptions'!$B$8/4))),IF('I_Budget Input Data'!$E$97="At Completion",IF(33='I_Inputs &amp; Assumptions'!$B$8,'I_Budget Input Data'!$D$97,0),'I_Budget Input Data'!$D$97/'I_Inputs &amp; Assumptions'!$B$8)))))),0)</f>
        <v>0</v>
      </c>
      <c r="AJ97" s="91">
        <f>IF(34&lt;='I_Inputs &amp; Assumptions'!$B$8,IF('I_Budget Input Data'!$E$97="Upfront",IF(34=1,'I_Budget Input Data'!$D$97,0),IF('I_Budget Input Data'!$E$97="Equal",'I_Budget Input Data'!$D$97/'I_Inputs &amp; Assumptions'!$B$8,IF('I_Budget Input Data'!$E$97="Front-loaded",IF(34&lt;='I_Inputs &amp; Assumptions'!$B$8/2,'I_Budget Input Data'!$D$97*0.6/('I_Inputs &amp; Assumptions'!$B$8/2),'I_Budget Input Data'!$D$97*0.4/('I_Inputs &amp; Assumptions'!$B$8/2)),IF('I_Budget Input Data'!$E$97="Back-loaded",IF(34&lt;='I_Inputs &amp; Assumptions'!$B$8/2,'I_Budget Input Data'!$D$97*0.4/('I_Inputs &amp; Assumptions'!$B$8/2),'I_Budget Input Data'!$D$97*0.6/('I_Inputs &amp; Assumptions'!$B$8/2)),IF('I_Budget Input Data'!$E$97="Mid-weighted",IF(34&lt;='I_Inputs &amp; Assumptions'!$B$8/4,'I_Budget Input Data'!$D$97*0.2/('I_Inputs &amp; Assumptions'!$B$8/4),IF(34&lt;='I_Inputs &amp; Assumptions'!$B$8*0.75,'I_Budget Input Data'!$D$97*0.6/('I_Inputs &amp; Assumptions'!$B$8/2),'I_Budget Input Data'!$D$97*0.2/('I_Inputs &amp; Assumptions'!$B$8/4))),IF('I_Budget Input Data'!$E$97="At Completion",IF(34='I_Inputs &amp; Assumptions'!$B$8,'I_Budget Input Data'!$D$97,0),'I_Budget Input Data'!$D$97/'I_Inputs &amp; Assumptions'!$B$8)))))),0)</f>
        <v>0</v>
      </c>
      <c r="AK97" s="91">
        <f>IF(35&lt;='I_Inputs &amp; Assumptions'!$B$8,IF('I_Budget Input Data'!$E$97="Upfront",IF(35=1,'I_Budget Input Data'!$D$97,0),IF('I_Budget Input Data'!$E$97="Equal",'I_Budget Input Data'!$D$97/'I_Inputs &amp; Assumptions'!$B$8,IF('I_Budget Input Data'!$E$97="Front-loaded",IF(35&lt;='I_Inputs &amp; Assumptions'!$B$8/2,'I_Budget Input Data'!$D$97*0.6/('I_Inputs &amp; Assumptions'!$B$8/2),'I_Budget Input Data'!$D$97*0.4/('I_Inputs &amp; Assumptions'!$B$8/2)),IF('I_Budget Input Data'!$E$97="Back-loaded",IF(35&lt;='I_Inputs &amp; Assumptions'!$B$8/2,'I_Budget Input Data'!$D$97*0.4/('I_Inputs &amp; Assumptions'!$B$8/2),'I_Budget Input Data'!$D$97*0.6/('I_Inputs &amp; Assumptions'!$B$8/2)),IF('I_Budget Input Data'!$E$97="Mid-weighted",IF(35&lt;='I_Inputs &amp; Assumptions'!$B$8/4,'I_Budget Input Data'!$D$97*0.2/('I_Inputs &amp; Assumptions'!$B$8/4),IF(35&lt;='I_Inputs &amp; Assumptions'!$B$8*0.75,'I_Budget Input Data'!$D$97*0.6/('I_Inputs &amp; Assumptions'!$B$8/2),'I_Budget Input Data'!$D$97*0.2/('I_Inputs &amp; Assumptions'!$B$8/4))),IF('I_Budget Input Data'!$E$97="At Completion",IF(35='I_Inputs &amp; Assumptions'!$B$8,'I_Budget Input Data'!$D$97,0),'I_Budget Input Data'!$D$97/'I_Inputs &amp; Assumptions'!$B$8)))))),0)</f>
        <v>0</v>
      </c>
      <c r="AL97" s="91">
        <f>IF(36&lt;='I_Inputs &amp; Assumptions'!$B$8,IF('I_Budget Input Data'!$E$97="Upfront",IF(36=1,'I_Budget Input Data'!$D$97,0),IF('I_Budget Input Data'!$E$97="Equal",'I_Budget Input Data'!$D$97/'I_Inputs &amp; Assumptions'!$B$8,IF('I_Budget Input Data'!$E$97="Front-loaded",IF(36&lt;='I_Inputs &amp; Assumptions'!$B$8/2,'I_Budget Input Data'!$D$97*0.6/('I_Inputs &amp; Assumptions'!$B$8/2),'I_Budget Input Data'!$D$97*0.4/('I_Inputs &amp; Assumptions'!$B$8/2)),IF('I_Budget Input Data'!$E$97="Back-loaded",IF(36&lt;='I_Inputs &amp; Assumptions'!$B$8/2,'I_Budget Input Data'!$D$97*0.4/('I_Inputs &amp; Assumptions'!$B$8/2),'I_Budget Input Data'!$D$97*0.6/('I_Inputs &amp; Assumptions'!$B$8/2)),IF('I_Budget Input Data'!$E$97="Mid-weighted",IF(36&lt;='I_Inputs &amp; Assumptions'!$B$8/4,'I_Budget Input Data'!$D$97*0.2/('I_Inputs &amp; Assumptions'!$B$8/4),IF(36&lt;='I_Inputs &amp; Assumptions'!$B$8*0.75,'I_Budget Input Data'!$D$97*0.6/('I_Inputs &amp; Assumptions'!$B$8/2),'I_Budget Input Data'!$D$97*0.2/('I_Inputs &amp; Assumptions'!$B$8/4))),IF('I_Budget Input Data'!$E$97="At Completion",IF(36='I_Inputs &amp; Assumptions'!$B$8,'I_Budget Input Data'!$D$97,0),'I_Budget Input Data'!$D$97/'I_Inputs &amp; Assumptions'!$B$8)))))),0)</f>
        <v>0</v>
      </c>
    </row>
    <row r="98" spans="1:38" ht="15" customHeight="1" x14ac:dyDescent="0.2">
      <c r="A98" t="s">
        <v>146</v>
      </c>
      <c r="B98" t="s">
        <v>216</v>
      </c>
      <c r="C98" s="91">
        <f>IF(1&lt;='I_Inputs &amp; Assumptions'!$B$8,IF('I_Budget Input Data'!$E$98="Upfront",IF(1=1,'I_Budget Input Data'!$D$98,0),IF('I_Budget Input Data'!$E$98="Equal",'I_Budget Input Data'!$D$98/'I_Inputs &amp; Assumptions'!$B$8,IF('I_Budget Input Data'!$E$98="Front-loaded",IF(1&lt;='I_Inputs &amp; Assumptions'!$B$8/2,'I_Budget Input Data'!$D$98*0.6/('I_Inputs &amp; Assumptions'!$B$8/2),'I_Budget Input Data'!$D$98*0.4/('I_Inputs &amp; Assumptions'!$B$8/2)),IF('I_Budget Input Data'!$E$98="Back-loaded",IF(1&lt;='I_Inputs &amp; Assumptions'!$B$8/2,'I_Budget Input Data'!$D$98*0.4/('I_Inputs &amp; Assumptions'!$B$8/2),'I_Budget Input Data'!$D$98*0.6/('I_Inputs &amp; Assumptions'!$B$8/2)),IF('I_Budget Input Data'!$E$98="Mid-weighted",IF(1&lt;='I_Inputs &amp; Assumptions'!$B$8/4,'I_Budget Input Data'!$D$98*0.2/('I_Inputs &amp; Assumptions'!$B$8/4),IF(1&lt;='I_Inputs &amp; Assumptions'!$B$8*0.75,'I_Budget Input Data'!$D$98*0.6/('I_Inputs &amp; Assumptions'!$B$8/2),'I_Budget Input Data'!$D$98*0.2/('I_Inputs &amp; Assumptions'!$B$8/4))),IF('I_Budget Input Data'!$E$98="At Completion",IF(1='I_Inputs &amp; Assumptions'!$B$8,'I_Budget Input Data'!$D$98,0),'I_Budget Input Data'!$D$98/'I_Inputs &amp; Assumptions'!$B$8)))))),0)</f>
        <v>17281.538461538461</v>
      </c>
      <c r="D98" s="91">
        <f>IF(2&lt;='I_Inputs &amp; Assumptions'!$B$8,IF('I_Budget Input Data'!$E$98="Upfront",IF(2=1,'I_Budget Input Data'!$D$98,0),IF('I_Budget Input Data'!$E$98="Equal",'I_Budget Input Data'!$D$98/'I_Inputs &amp; Assumptions'!$B$8,IF('I_Budget Input Data'!$E$98="Front-loaded",IF(2&lt;='I_Inputs &amp; Assumptions'!$B$8/2,'I_Budget Input Data'!$D$98*0.6/('I_Inputs &amp; Assumptions'!$B$8/2),'I_Budget Input Data'!$D$98*0.4/('I_Inputs &amp; Assumptions'!$B$8/2)),IF('I_Budget Input Data'!$E$98="Back-loaded",IF(2&lt;='I_Inputs &amp; Assumptions'!$B$8/2,'I_Budget Input Data'!$D$98*0.4/('I_Inputs &amp; Assumptions'!$B$8/2),'I_Budget Input Data'!$D$98*0.6/('I_Inputs &amp; Assumptions'!$B$8/2)),IF('I_Budget Input Data'!$E$98="Mid-weighted",IF(2&lt;='I_Inputs &amp; Assumptions'!$B$8/4,'I_Budget Input Data'!$D$98*0.2/('I_Inputs &amp; Assumptions'!$B$8/4),IF(2&lt;='I_Inputs &amp; Assumptions'!$B$8*0.75,'I_Budget Input Data'!$D$98*0.6/('I_Inputs &amp; Assumptions'!$B$8/2),'I_Budget Input Data'!$D$98*0.2/('I_Inputs &amp; Assumptions'!$B$8/4))),IF('I_Budget Input Data'!$E$98="At Completion",IF(2='I_Inputs &amp; Assumptions'!$B$8,'I_Budget Input Data'!$D$98,0),'I_Budget Input Data'!$D$98/'I_Inputs &amp; Assumptions'!$B$8)))))),0)</f>
        <v>17281.538461538461</v>
      </c>
      <c r="E98" s="91">
        <f>IF(3&lt;='I_Inputs &amp; Assumptions'!$B$8,IF('I_Budget Input Data'!$E$98="Upfront",IF(3=1,'I_Budget Input Data'!$D$98,0),IF('I_Budget Input Data'!$E$98="Equal",'I_Budget Input Data'!$D$98/'I_Inputs &amp; Assumptions'!$B$8,IF('I_Budget Input Data'!$E$98="Front-loaded",IF(3&lt;='I_Inputs &amp; Assumptions'!$B$8/2,'I_Budget Input Data'!$D$98*0.6/('I_Inputs &amp; Assumptions'!$B$8/2),'I_Budget Input Data'!$D$98*0.4/('I_Inputs &amp; Assumptions'!$B$8/2)),IF('I_Budget Input Data'!$E$98="Back-loaded",IF(3&lt;='I_Inputs &amp; Assumptions'!$B$8/2,'I_Budget Input Data'!$D$98*0.4/('I_Inputs &amp; Assumptions'!$B$8/2),'I_Budget Input Data'!$D$98*0.6/('I_Inputs &amp; Assumptions'!$B$8/2)),IF('I_Budget Input Data'!$E$98="Mid-weighted",IF(3&lt;='I_Inputs &amp; Assumptions'!$B$8/4,'I_Budget Input Data'!$D$98*0.2/('I_Inputs &amp; Assumptions'!$B$8/4),IF(3&lt;='I_Inputs &amp; Assumptions'!$B$8*0.75,'I_Budget Input Data'!$D$98*0.6/('I_Inputs &amp; Assumptions'!$B$8/2),'I_Budget Input Data'!$D$98*0.2/('I_Inputs &amp; Assumptions'!$B$8/4))),IF('I_Budget Input Data'!$E$98="At Completion",IF(3='I_Inputs &amp; Assumptions'!$B$8,'I_Budget Input Data'!$D$98,0),'I_Budget Input Data'!$D$98/'I_Inputs &amp; Assumptions'!$B$8)))))),0)</f>
        <v>17281.538461538461</v>
      </c>
      <c r="F98" s="91">
        <f>IF(4&lt;='I_Inputs &amp; Assumptions'!$B$8,IF('I_Budget Input Data'!$E$98="Upfront",IF(4=1,'I_Budget Input Data'!$D$98,0),IF('I_Budget Input Data'!$E$98="Equal",'I_Budget Input Data'!$D$98/'I_Inputs &amp; Assumptions'!$B$8,IF('I_Budget Input Data'!$E$98="Front-loaded",IF(4&lt;='I_Inputs &amp; Assumptions'!$B$8/2,'I_Budget Input Data'!$D$98*0.6/('I_Inputs &amp; Assumptions'!$B$8/2),'I_Budget Input Data'!$D$98*0.4/('I_Inputs &amp; Assumptions'!$B$8/2)),IF('I_Budget Input Data'!$E$98="Back-loaded",IF(4&lt;='I_Inputs &amp; Assumptions'!$B$8/2,'I_Budget Input Data'!$D$98*0.4/('I_Inputs &amp; Assumptions'!$B$8/2),'I_Budget Input Data'!$D$98*0.6/('I_Inputs &amp; Assumptions'!$B$8/2)),IF('I_Budget Input Data'!$E$98="Mid-weighted",IF(4&lt;='I_Inputs &amp; Assumptions'!$B$8/4,'I_Budget Input Data'!$D$98*0.2/('I_Inputs &amp; Assumptions'!$B$8/4),IF(4&lt;='I_Inputs &amp; Assumptions'!$B$8*0.75,'I_Budget Input Data'!$D$98*0.6/('I_Inputs &amp; Assumptions'!$B$8/2),'I_Budget Input Data'!$D$98*0.2/('I_Inputs &amp; Assumptions'!$B$8/4))),IF('I_Budget Input Data'!$E$98="At Completion",IF(4='I_Inputs &amp; Assumptions'!$B$8,'I_Budget Input Data'!$D$98,0),'I_Budget Input Data'!$D$98/'I_Inputs &amp; Assumptions'!$B$8)))))),0)</f>
        <v>25922.307692307691</v>
      </c>
      <c r="G98" s="91">
        <f>IF(5&lt;='I_Inputs &amp; Assumptions'!$B$8,IF('I_Budget Input Data'!$E$98="Upfront",IF(5=1,'I_Budget Input Data'!$D$98,0),IF('I_Budget Input Data'!$E$98="Equal",'I_Budget Input Data'!$D$98/'I_Inputs &amp; Assumptions'!$B$8,IF('I_Budget Input Data'!$E$98="Front-loaded",IF(5&lt;='I_Inputs &amp; Assumptions'!$B$8/2,'I_Budget Input Data'!$D$98*0.6/('I_Inputs &amp; Assumptions'!$B$8/2),'I_Budget Input Data'!$D$98*0.4/('I_Inputs &amp; Assumptions'!$B$8/2)),IF('I_Budget Input Data'!$E$98="Back-loaded",IF(5&lt;='I_Inputs &amp; Assumptions'!$B$8/2,'I_Budget Input Data'!$D$98*0.4/('I_Inputs &amp; Assumptions'!$B$8/2),'I_Budget Input Data'!$D$98*0.6/('I_Inputs &amp; Assumptions'!$B$8/2)),IF('I_Budget Input Data'!$E$98="Mid-weighted",IF(5&lt;='I_Inputs &amp; Assumptions'!$B$8/4,'I_Budget Input Data'!$D$98*0.2/('I_Inputs &amp; Assumptions'!$B$8/4),IF(5&lt;='I_Inputs &amp; Assumptions'!$B$8*0.75,'I_Budget Input Data'!$D$98*0.6/('I_Inputs &amp; Assumptions'!$B$8/2),'I_Budget Input Data'!$D$98*0.2/('I_Inputs &amp; Assumptions'!$B$8/4))),IF('I_Budget Input Data'!$E$98="At Completion",IF(5='I_Inputs &amp; Assumptions'!$B$8,'I_Budget Input Data'!$D$98,0),'I_Budget Input Data'!$D$98/'I_Inputs &amp; Assumptions'!$B$8)))))),0)</f>
        <v>25922.307692307691</v>
      </c>
      <c r="H98" s="91">
        <f>IF(6&lt;='I_Inputs &amp; Assumptions'!$B$8,IF('I_Budget Input Data'!$E$98="Upfront",IF(6=1,'I_Budget Input Data'!$D$98,0),IF('I_Budget Input Data'!$E$98="Equal",'I_Budget Input Data'!$D$98/'I_Inputs &amp; Assumptions'!$B$8,IF('I_Budget Input Data'!$E$98="Front-loaded",IF(6&lt;='I_Inputs &amp; Assumptions'!$B$8/2,'I_Budget Input Data'!$D$98*0.6/('I_Inputs &amp; Assumptions'!$B$8/2),'I_Budget Input Data'!$D$98*0.4/('I_Inputs &amp; Assumptions'!$B$8/2)),IF('I_Budget Input Data'!$E$98="Back-loaded",IF(6&lt;='I_Inputs &amp; Assumptions'!$B$8/2,'I_Budget Input Data'!$D$98*0.4/('I_Inputs &amp; Assumptions'!$B$8/2),'I_Budget Input Data'!$D$98*0.6/('I_Inputs &amp; Assumptions'!$B$8/2)),IF('I_Budget Input Data'!$E$98="Mid-weighted",IF(6&lt;='I_Inputs &amp; Assumptions'!$B$8/4,'I_Budget Input Data'!$D$98*0.2/('I_Inputs &amp; Assumptions'!$B$8/4),IF(6&lt;='I_Inputs &amp; Assumptions'!$B$8*0.75,'I_Budget Input Data'!$D$98*0.6/('I_Inputs &amp; Assumptions'!$B$8/2),'I_Budget Input Data'!$D$98*0.2/('I_Inputs &amp; Assumptions'!$B$8/4))),IF('I_Budget Input Data'!$E$98="At Completion",IF(6='I_Inputs &amp; Assumptions'!$B$8,'I_Budget Input Data'!$D$98,0),'I_Budget Input Data'!$D$98/'I_Inputs &amp; Assumptions'!$B$8)))))),0)</f>
        <v>25922.307692307691</v>
      </c>
      <c r="I98" s="91">
        <f>IF(7&lt;='I_Inputs &amp; Assumptions'!$B$8,IF('I_Budget Input Data'!$E$98="Upfront",IF(7=1,'I_Budget Input Data'!$D$98,0),IF('I_Budget Input Data'!$E$98="Equal",'I_Budget Input Data'!$D$98/'I_Inputs &amp; Assumptions'!$B$8,IF('I_Budget Input Data'!$E$98="Front-loaded",IF(7&lt;='I_Inputs &amp; Assumptions'!$B$8/2,'I_Budget Input Data'!$D$98*0.6/('I_Inputs &amp; Assumptions'!$B$8/2),'I_Budget Input Data'!$D$98*0.4/('I_Inputs &amp; Assumptions'!$B$8/2)),IF('I_Budget Input Data'!$E$98="Back-loaded",IF(7&lt;='I_Inputs &amp; Assumptions'!$B$8/2,'I_Budget Input Data'!$D$98*0.4/('I_Inputs &amp; Assumptions'!$B$8/2),'I_Budget Input Data'!$D$98*0.6/('I_Inputs &amp; Assumptions'!$B$8/2)),IF('I_Budget Input Data'!$E$98="Mid-weighted",IF(7&lt;='I_Inputs &amp; Assumptions'!$B$8/4,'I_Budget Input Data'!$D$98*0.2/('I_Inputs &amp; Assumptions'!$B$8/4),IF(7&lt;='I_Inputs &amp; Assumptions'!$B$8*0.75,'I_Budget Input Data'!$D$98*0.6/('I_Inputs &amp; Assumptions'!$B$8/2),'I_Budget Input Data'!$D$98*0.2/('I_Inputs &amp; Assumptions'!$B$8/4))),IF('I_Budget Input Data'!$E$98="At Completion",IF(7='I_Inputs &amp; Assumptions'!$B$8,'I_Budget Input Data'!$D$98,0),'I_Budget Input Data'!$D$98/'I_Inputs &amp; Assumptions'!$B$8)))))),0)</f>
        <v>25922.307692307691</v>
      </c>
      <c r="J98" s="91">
        <f>IF(8&lt;='I_Inputs &amp; Assumptions'!$B$8,IF('I_Budget Input Data'!$E$98="Upfront",IF(8=1,'I_Budget Input Data'!$D$98,0),IF('I_Budget Input Data'!$E$98="Equal",'I_Budget Input Data'!$D$98/'I_Inputs &amp; Assumptions'!$B$8,IF('I_Budget Input Data'!$E$98="Front-loaded",IF(8&lt;='I_Inputs &amp; Assumptions'!$B$8/2,'I_Budget Input Data'!$D$98*0.6/('I_Inputs &amp; Assumptions'!$B$8/2),'I_Budget Input Data'!$D$98*0.4/('I_Inputs &amp; Assumptions'!$B$8/2)),IF('I_Budget Input Data'!$E$98="Back-loaded",IF(8&lt;='I_Inputs &amp; Assumptions'!$B$8/2,'I_Budget Input Data'!$D$98*0.4/('I_Inputs &amp; Assumptions'!$B$8/2),'I_Budget Input Data'!$D$98*0.6/('I_Inputs &amp; Assumptions'!$B$8/2)),IF('I_Budget Input Data'!$E$98="Mid-weighted",IF(8&lt;='I_Inputs &amp; Assumptions'!$B$8/4,'I_Budget Input Data'!$D$98*0.2/('I_Inputs &amp; Assumptions'!$B$8/4),IF(8&lt;='I_Inputs &amp; Assumptions'!$B$8*0.75,'I_Budget Input Data'!$D$98*0.6/('I_Inputs &amp; Assumptions'!$B$8/2),'I_Budget Input Data'!$D$98*0.2/('I_Inputs &amp; Assumptions'!$B$8/4))),IF('I_Budget Input Data'!$E$98="At Completion",IF(8='I_Inputs &amp; Assumptions'!$B$8,'I_Budget Input Data'!$D$98,0),'I_Budget Input Data'!$D$98/'I_Inputs &amp; Assumptions'!$B$8)))))),0)</f>
        <v>25922.307692307691</v>
      </c>
      <c r="K98" s="91">
        <f>IF(9&lt;='I_Inputs &amp; Assumptions'!$B$8,IF('I_Budget Input Data'!$E$98="Upfront",IF(9=1,'I_Budget Input Data'!$D$98,0),IF('I_Budget Input Data'!$E$98="Equal",'I_Budget Input Data'!$D$98/'I_Inputs &amp; Assumptions'!$B$8,IF('I_Budget Input Data'!$E$98="Front-loaded",IF(9&lt;='I_Inputs &amp; Assumptions'!$B$8/2,'I_Budget Input Data'!$D$98*0.6/('I_Inputs &amp; Assumptions'!$B$8/2),'I_Budget Input Data'!$D$98*0.4/('I_Inputs &amp; Assumptions'!$B$8/2)),IF('I_Budget Input Data'!$E$98="Back-loaded",IF(9&lt;='I_Inputs &amp; Assumptions'!$B$8/2,'I_Budget Input Data'!$D$98*0.4/('I_Inputs &amp; Assumptions'!$B$8/2),'I_Budget Input Data'!$D$98*0.6/('I_Inputs &amp; Assumptions'!$B$8/2)),IF('I_Budget Input Data'!$E$98="Mid-weighted",IF(9&lt;='I_Inputs &amp; Assumptions'!$B$8/4,'I_Budget Input Data'!$D$98*0.2/('I_Inputs &amp; Assumptions'!$B$8/4),IF(9&lt;='I_Inputs &amp; Assumptions'!$B$8*0.75,'I_Budget Input Data'!$D$98*0.6/('I_Inputs &amp; Assumptions'!$B$8/2),'I_Budget Input Data'!$D$98*0.2/('I_Inputs &amp; Assumptions'!$B$8/4))),IF('I_Budget Input Data'!$E$98="At Completion",IF(9='I_Inputs &amp; Assumptions'!$B$8,'I_Budget Input Data'!$D$98,0),'I_Budget Input Data'!$D$98/'I_Inputs &amp; Assumptions'!$B$8)))))),0)</f>
        <v>25922.307692307691</v>
      </c>
      <c r="L98" s="91">
        <f>IF(10&lt;='I_Inputs &amp; Assumptions'!$B$8,IF('I_Budget Input Data'!$E$98="Upfront",IF(10=1,'I_Budget Input Data'!$D$98,0),IF('I_Budget Input Data'!$E$98="Equal",'I_Budget Input Data'!$D$98/'I_Inputs &amp; Assumptions'!$B$8,IF('I_Budget Input Data'!$E$98="Front-loaded",IF(10&lt;='I_Inputs &amp; Assumptions'!$B$8/2,'I_Budget Input Data'!$D$98*0.6/('I_Inputs &amp; Assumptions'!$B$8/2),'I_Budget Input Data'!$D$98*0.4/('I_Inputs &amp; Assumptions'!$B$8/2)),IF('I_Budget Input Data'!$E$98="Back-loaded",IF(10&lt;='I_Inputs &amp; Assumptions'!$B$8/2,'I_Budget Input Data'!$D$98*0.4/('I_Inputs &amp; Assumptions'!$B$8/2),'I_Budget Input Data'!$D$98*0.6/('I_Inputs &amp; Assumptions'!$B$8/2)),IF('I_Budget Input Data'!$E$98="Mid-weighted",IF(10&lt;='I_Inputs &amp; Assumptions'!$B$8/4,'I_Budget Input Data'!$D$98*0.2/('I_Inputs &amp; Assumptions'!$B$8/4),IF(10&lt;='I_Inputs &amp; Assumptions'!$B$8*0.75,'I_Budget Input Data'!$D$98*0.6/('I_Inputs &amp; Assumptions'!$B$8/2),'I_Budget Input Data'!$D$98*0.2/('I_Inputs &amp; Assumptions'!$B$8/4))),IF('I_Budget Input Data'!$E$98="At Completion",IF(10='I_Inputs &amp; Assumptions'!$B$8,'I_Budget Input Data'!$D$98,0),'I_Budget Input Data'!$D$98/'I_Inputs &amp; Assumptions'!$B$8)))))),0)</f>
        <v>17281.538461538461</v>
      </c>
      <c r="M98" s="91">
        <f>IF(11&lt;='I_Inputs &amp; Assumptions'!$B$8,IF('I_Budget Input Data'!$E$98="Upfront",IF(11=1,'I_Budget Input Data'!$D$98,0),IF('I_Budget Input Data'!$E$98="Equal",'I_Budget Input Data'!$D$98/'I_Inputs &amp; Assumptions'!$B$8,IF('I_Budget Input Data'!$E$98="Front-loaded",IF(11&lt;='I_Inputs &amp; Assumptions'!$B$8/2,'I_Budget Input Data'!$D$98*0.6/('I_Inputs &amp; Assumptions'!$B$8/2),'I_Budget Input Data'!$D$98*0.4/('I_Inputs &amp; Assumptions'!$B$8/2)),IF('I_Budget Input Data'!$E$98="Back-loaded",IF(11&lt;='I_Inputs &amp; Assumptions'!$B$8/2,'I_Budget Input Data'!$D$98*0.4/('I_Inputs &amp; Assumptions'!$B$8/2),'I_Budget Input Data'!$D$98*0.6/('I_Inputs &amp; Assumptions'!$B$8/2)),IF('I_Budget Input Data'!$E$98="Mid-weighted",IF(11&lt;='I_Inputs &amp; Assumptions'!$B$8/4,'I_Budget Input Data'!$D$98*0.2/('I_Inputs &amp; Assumptions'!$B$8/4),IF(11&lt;='I_Inputs &amp; Assumptions'!$B$8*0.75,'I_Budget Input Data'!$D$98*0.6/('I_Inputs &amp; Assumptions'!$B$8/2),'I_Budget Input Data'!$D$98*0.2/('I_Inputs &amp; Assumptions'!$B$8/4))),IF('I_Budget Input Data'!$E$98="At Completion",IF(11='I_Inputs &amp; Assumptions'!$B$8,'I_Budget Input Data'!$D$98,0),'I_Budget Input Data'!$D$98/'I_Inputs &amp; Assumptions'!$B$8)))))),0)</f>
        <v>17281.538461538461</v>
      </c>
      <c r="N98" s="91">
        <f>IF(12&lt;='I_Inputs &amp; Assumptions'!$B$8,IF('I_Budget Input Data'!$E$98="Upfront",IF(12=1,'I_Budget Input Data'!$D$98,0),IF('I_Budget Input Data'!$E$98="Equal",'I_Budget Input Data'!$D$98/'I_Inputs &amp; Assumptions'!$B$8,IF('I_Budget Input Data'!$E$98="Front-loaded",IF(12&lt;='I_Inputs &amp; Assumptions'!$B$8/2,'I_Budget Input Data'!$D$98*0.6/('I_Inputs &amp; Assumptions'!$B$8/2),'I_Budget Input Data'!$D$98*0.4/('I_Inputs &amp; Assumptions'!$B$8/2)),IF('I_Budget Input Data'!$E$98="Back-loaded",IF(12&lt;='I_Inputs &amp; Assumptions'!$B$8/2,'I_Budget Input Data'!$D$98*0.4/('I_Inputs &amp; Assumptions'!$B$8/2),'I_Budget Input Data'!$D$98*0.6/('I_Inputs &amp; Assumptions'!$B$8/2)),IF('I_Budget Input Data'!$E$98="Mid-weighted",IF(12&lt;='I_Inputs &amp; Assumptions'!$B$8/4,'I_Budget Input Data'!$D$98*0.2/('I_Inputs &amp; Assumptions'!$B$8/4),IF(12&lt;='I_Inputs &amp; Assumptions'!$B$8*0.75,'I_Budget Input Data'!$D$98*0.6/('I_Inputs &amp; Assumptions'!$B$8/2),'I_Budget Input Data'!$D$98*0.2/('I_Inputs &amp; Assumptions'!$B$8/4))),IF('I_Budget Input Data'!$E$98="At Completion",IF(12='I_Inputs &amp; Assumptions'!$B$8,'I_Budget Input Data'!$D$98,0),'I_Budget Input Data'!$D$98/'I_Inputs &amp; Assumptions'!$B$8)))))),0)</f>
        <v>17281.538461538461</v>
      </c>
      <c r="O98" s="91">
        <f>IF(13&lt;='I_Inputs &amp; Assumptions'!$B$8,IF('I_Budget Input Data'!$E$98="Upfront",IF(13=1,'I_Budget Input Data'!$D$98,0),IF('I_Budget Input Data'!$E$98="Equal",'I_Budget Input Data'!$D$98/'I_Inputs &amp; Assumptions'!$B$8,IF('I_Budget Input Data'!$E$98="Front-loaded",IF(13&lt;='I_Inputs &amp; Assumptions'!$B$8/2,'I_Budget Input Data'!$D$98*0.6/('I_Inputs &amp; Assumptions'!$B$8/2),'I_Budget Input Data'!$D$98*0.4/('I_Inputs &amp; Assumptions'!$B$8/2)),IF('I_Budget Input Data'!$E$98="Back-loaded",IF(13&lt;='I_Inputs &amp; Assumptions'!$B$8/2,'I_Budget Input Data'!$D$98*0.4/('I_Inputs &amp; Assumptions'!$B$8/2),'I_Budget Input Data'!$D$98*0.6/('I_Inputs &amp; Assumptions'!$B$8/2)),IF('I_Budget Input Data'!$E$98="Mid-weighted",IF(13&lt;='I_Inputs &amp; Assumptions'!$B$8/4,'I_Budget Input Data'!$D$98*0.2/('I_Inputs &amp; Assumptions'!$B$8/4),IF(13&lt;='I_Inputs &amp; Assumptions'!$B$8*0.75,'I_Budget Input Data'!$D$98*0.6/('I_Inputs &amp; Assumptions'!$B$8/2),'I_Budget Input Data'!$D$98*0.2/('I_Inputs &amp; Assumptions'!$B$8/4))),IF('I_Budget Input Data'!$E$98="At Completion",IF(13='I_Inputs &amp; Assumptions'!$B$8,'I_Budget Input Data'!$D$98,0),'I_Budget Input Data'!$D$98/'I_Inputs &amp; Assumptions'!$B$8)))))),0)</f>
        <v>17281.538461538461</v>
      </c>
      <c r="P98" s="91">
        <f>IF(14&lt;='I_Inputs &amp; Assumptions'!$B$8,IF('I_Budget Input Data'!$E$98="Upfront",IF(14=1,'I_Budget Input Data'!$D$98,0),IF('I_Budget Input Data'!$E$98="Equal",'I_Budget Input Data'!$D$98/'I_Inputs &amp; Assumptions'!$B$8,IF('I_Budget Input Data'!$E$98="Front-loaded",IF(14&lt;='I_Inputs &amp; Assumptions'!$B$8/2,'I_Budget Input Data'!$D$98*0.6/('I_Inputs &amp; Assumptions'!$B$8/2),'I_Budget Input Data'!$D$98*0.4/('I_Inputs &amp; Assumptions'!$B$8/2)),IF('I_Budget Input Data'!$E$98="Back-loaded",IF(14&lt;='I_Inputs &amp; Assumptions'!$B$8/2,'I_Budget Input Data'!$D$98*0.4/('I_Inputs &amp; Assumptions'!$B$8/2),'I_Budget Input Data'!$D$98*0.6/('I_Inputs &amp; Assumptions'!$B$8/2)),IF('I_Budget Input Data'!$E$98="Mid-weighted",IF(14&lt;='I_Inputs &amp; Assumptions'!$B$8/4,'I_Budget Input Data'!$D$98*0.2/('I_Inputs &amp; Assumptions'!$B$8/4),IF(14&lt;='I_Inputs &amp; Assumptions'!$B$8*0.75,'I_Budget Input Data'!$D$98*0.6/('I_Inputs &amp; Assumptions'!$B$8/2),'I_Budget Input Data'!$D$98*0.2/('I_Inputs &amp; Assumptions'!$B$8/4))),IF('I_Budget Input Data'!$E$98="At Completion",IF(14='I_Inputs &amp; Assumptions'!$B$8,'I_Budget Input Data'!$D$98,0),'I_Budget Input Data'!$D$98/'I_Inputs &amp; Assumptions'!$B$8)))))),0)</f>
        <v>0</v>
      </c>
      <c r="Q98" s="91">
        <f>IF(15&lt;='I_Inputs &amp; Assumptions'!$B$8,IF('I_Budget Input Data'!$E$98="Upfront",IF(15=1,'I_Budget Input Data'!$D$98,0),IF('I_Budget Input Data'!$E$98="Equal",'I_Budget Input Data'!$D$98/'I_Inputs &amp; Assumptions'!$B$8,IF('I_Budget Input Data'!$E$98="Front-loaded",IF(15&lt;='I_Inputs &amp; Assumptions'!$B$8/2,'I_Budget Input Data'!$D$98*0.6/('I_Inputs &amp; Assumptions'!$B$8/2),'I_Budget Input Data'!$D$98*0.4/('I_Inputs &amp; Assumptions'!$B$8/2)),IF('I_Budget Input Data'!$E$98="Back-loaded",IF(15&lt;='I_Inputs &amp; Assumptions'!$B$8/2,'I_Budget Input Data'!$D$98*0.4/('I_Inputs &amp; Assumptions'!$B$8/2),'I_Budget Input Data'!$D$98*0.6/('I_Inputs &amp; Assumptions'!$B$8/2)),IF('I_Budget Input Data'!$E$98="Mid-weighted",IF(15&lt;='I_Inputs &amp; Assumptions'!$B$8/4,'I_Budget Input Data'!$D$98*0.2/('I_Inputs &amp; Assumptions'!$B$8/4),IF(15&lt;='I_Inputs &amp; Assumptions'!$B$8*0.75,'I_Budget Input Data'!$D$98*0.6/('I_Inputs &amp; Assumptions'!$B$8/2),'I_Budget Input Data'!$D$98*0.2/('I_Inputs &amp; Assumptions'!$B$8/4))),IF('I_Budget Input Data'!$E$98="At Completion",IF(15='I_Inputs &amp; Assumptions'!$B$8,'I_Budget Input Data'!$D$98,0),'I_Budget Input Data'!$D$98/'I_Inputs &amp; Assumptions'!$B$8)))))),0)</f>
        <v>0</v>
      </c>
      <c r="R98" s="91">
        <f>IF(16&lt;='I_Inputs &amp; Assumptions'!$B$8,IF('I_Budget Input Data'!$E$98="Upfront",IF(16=1,'I_Budget Input Data'!$D$98,0),IF('I_Budget Input Data'!$E$98="Equal",'I_Budget Input Data'!$D$98/'I_Inputs &amp; Assumptions'!$B$8,IF('I_Budget Input Data'!$E$98="Front-loaded",IF(16&lt;='I_Inputs &amp; Assumptions'!$B$8/2,'I_Budget Input Data'!$D$98*0.6/('I_Inputs &amp; Assumptions'!$B$8/2),'I_Budget Input Data'!$D$98*0.4/('I_Inputs &amp; Assumptions'!$B$8/2)),IF('I_Budget Input Data'!$E$98="Back-loaded",IF(16&lt;='I_Inputs &amp; Assumptions'!$B$8/2,'I_Budget Input Data'!$D$98*0.4/('I_Inputs &amp; Assumptions'!$B$8/2),'I_Budget Input Data'!$D$98*0.6/('I_Inputs &amp; Assumptions'!$B$8/2)),IF('I_Budget Input Data'!$E$98="Mid-weighted",IF(16&lt;='I_Inputs &amp; Assumptions'!$B$8/4,'I_Budget Input Data'!$D$98*0.2/('I_Inputs &amp; Assumptions'!$B$8/4),IF(16&lt;='I_Inputs &amp; Assumptions'!$B$8*0.75,'I_Budget Input Data'!$D$98*0.6/('I_Inputs &amp; Assumptions'!$B$8/2),'I_Budget Input Data'!$D$98*0.2/('I_Inputs &amp; Assumptions'!$B$8/4))),IF('I_Budget Input Data'!$E$98="At Completion",IF(16='I_Inputs &amp; Assumptions'!$B$8,'I_Budget Input Data'!$D$98,0),'I_Budget Input Data'!$D$98/'I_Inputs &amp; Assumptions'!$B$8)))))),0)</f>
        <v>0</v>
      </c>
      <c r="S98" s="91">
        <f>IF(17&lt;='I_Inputs &amp; Assumptions'!$B$8,IF('I_Budget Input Data'!$E$98="Upfront",IF(17=1,'I_Budget Input Data'!$D$98,0),IF('I_Budget Input Data'!$E$98="Equal",'I_Budget Input Data'!$D$98/'I_Inputs &amp; Assumptions'!$B$8,IF('I_Budget Input Data'!$E$98="Front-loaded",IF(17&lt;='I_Inputs &amp; Assumptions'!$B$8/2,'I_Budget Input Data'!$D$98*0.6/('I_Inputs &amp; Assumptions'!$B$8/2),'I_Budget Input Data'!$D$98*0.4/('I_Inputs &amp; Assumptions'!$B$8/2)),IF('I_Budget Input Data'!$E$98="Back-loaded",IF(17&lt;='I_Inputs &amp; Assumptions'!$B$8/2,'I_Budget Input Data'!$D$98*0.4/('I_Inputs &amp; Assumptions'!$B$8/2),'I_Budget Input Data'!$D$98*0.6/('I_Inputs &amp; Assumptions'!$B$8/2)),IF('I_Budget Input Data'!$E$98="Mid-weighted",IF(17&lt;='I_Inputs &amp; Assumptions'!$B$8/4,'I_Budget Input Data'!$D$98*0.2/('I_Inputs &amp; Assumptions'!$B$8/4),IF(17&lt;='I_Inputs &amp; Assumptions'!$B$8*0.75,'I_Budget Input Data'!$D$98*0.6/('I_Inputs &amp; Assumptions'!$B$8/2),'I_Budget Input Data'!$D$98*0.2/('I_Inputs &amp; Assumptions'!$B$8/4))),IF('I_Budget Input Data'!$E$98="At Completion",IF(17='I_Inputs &amp; Assumptions'!$B$8,'I_Budget Input Data'!$D$98,0),'I_Budget Input Data'!$D$98/'I_Inputs &amp; Assumptions'!$B$8)))))),0)</f>
        <v>0</v>
      </c>
      <c r="T98" s="91">
        <f>IF(18&lt;='I_Inputs &amp; Assumptions'!$B$8,IF('I_Budget Input Data'!$E$98="Upfront",IF(18=1,'I_Budget Input Data'!$D$98,0),IF('I_Budget Input Data'!$E$98="Equal",'I_Budget Input Data'!$D$98/'I_Inputs &amp; Assumptions'!$B$8,IF('I_Budget Input Data'!$E$98="Front-loaded",IF(18&lt;='I_Inputs &amp; Assumptions'!$B$8/2,'I_Budget Input Data'!$D$98*0.6/('I_Inputs &amp; Assumptions'!$B$8/2),'I_Budget Input Data'!$D$98*0.4/('I_Inputs &amp; Assumptions'!$B$8/2)),IF('I_Budget Input Data'!$E$98="Back-loaded",IF(18&lt;='I_Inputs &amp; Assumptions'!$B$8/2,'I_Budget Input Data'!$D$98*0.4/('I_Inputs &amp; Assumptions'!$B$8/2),'I_Budget Input Data'!$D$98*0.6/('I_Inputs &amp; Assumptions'!$B$8/2)),IF('I_Budget Input Data'!$E$98="Mid-weighted",IF(18&lt;='I_Inputs &amp; Assumptions'!$B$8/4,'I_Budget Input Data'!$D$98*0.2/('I_Inputs &amp; Assumptions'!$B$8/4),IF(18&lt;='I_Inputs &amp; Assumptions'!$B$8*0.75,'I_Budget Input Data'!$D$98*0.6/('I_Inputs &amp; Assumptions'!$B$8/2),'I_Budget Input Data'!$D$98*0.2/('I_Inputs &amp; Assumptions'!$B$8/4))),IF('I_Budget Input Data'!$E$98="At Completion",IF(18='I_Inputs &amp; Assumptions'!$B$8,'I_Budget Input Data'!$D$98,0),'I_Budget Input Data'!$D$98/'I_Inputs &amp; Assumptions'!$B$8)))))),0)</f>
        <v>0</v>
      </c>
      <c r="U98" s="91">
        <f>IF(19&lt;='I_Inputs &amp; Assumptions'!$B$8,IF('I_Budget Input Data'!$E$98="Upfront",IF(19=1,'I_Budget Input Data'!$D$98,0),IF('I_Budget Input Data'!$E$98="Equal",'I_Budget Input Data'!$D$98/'I_Inputs &amp; Assumptions'!$B$8,IF('I_Budget Input Data'!$E$98="Front-loaded",IF(19&lt;='I_Inputs &amp; Assumptions'!$B$8/2,'I_Budget Input Data'!$D$98*0.6/('I_Inputs &amp; Assumptions'!$B$8/2),'I_Budget Input Data'!$D$98*0.4/('I_Inputs &amp; Assumptions'!$B$8/2)),IF('I_Budget Input Data'!$E$98="Back-loaded",IF(19&lt;='I_Inputs &amp; Assumptions'!$B$8/2,'I_Budget Input Data'!$D$98*0.4/('I_Inputs &amp; Assumptions'!$B$8/2),'I_Budget Input Data'!$D$98*0.6/('I_Inputs &amp; Assumptions'!$B$8/2)),IF('I_Budget Input Data'!$E$98="Mid-weighted",IF(19&lt;='I_Inputs &amp; Assumptions'!$B$8/4,'I_Budget Input Data'!$D$98*0.2/('I_Inputs &amp; Assumptions'!$B$8/4),IF(19&lt;='I_Inputs &amp; Assumptions'!$B$8*0.75,'I_Budget Input Data'!$D$98*0.6/('I_Inputs &amp; Assumptions'!$B$8/2),'I_Budget Input Data'!$D$98*0.2/('I_Inputs &amp; Assumptions'!$B$8/4))),IF('I_Budget Input Data'!$E$98="At Completion",IF(19='I_Inputs &amp; Assumptions'!$B$8,'I_Budget Input Data'!$D$98,0),'I_Budget Input Data'!$D$98/'I_Inputs &amp; Assumptions'!$B$8)))))),0)</f>
        <v>0</v>
      </c>
      <c r="V98" s="91">
        <f>IF(20&lt;='I_Inputs &amp; Assumptions'!$B$8,IF('I_Budget Input Data'!$E$98="Upfront",IF(20=1,'I_Budget Input Data'!$D$98,0),IF('I_Budget Input Data'!$E$98="Equal",'I_Budget Input Data'!$D$98/'I_Inputs &amp; Assumptions'!$B$8,IF('I_Budget Input Data'!$E$98="Front-loaded",IF(20&lt;='I_Inputs &amp; Assumptions'!$B$8/2,'I_Budget Input Data'!$D$98*0.6/('I_Inputs &amp; Assumptions'!$B$8/2),'I_Budget Input Data'!$D$98*0.4/('I_Inputs &amp; Assumptions'!$B$8/2)),IF('I_Budget Input Data'!$E$98="Back-loaded",IF(20&lt;='I_Inputs &amp; Assumptions'!$B$8/2,'I_Budget Input Data'!$D$98*0.4/('I_Inputs &amp; Assumptions'!$B$8/2),'I_Budget Input Data'!$D$98*0.6/('I_Inputs &amp; Assumptions'!$B$8/2)),IF('I_Budget Input Data'!$E$98="Mid-weighted",IF(20&lt;='I_Inputs &amp; Assumptions'!$B$8/4,'I_Budget Input Data'!$D$98*0.2/('I_Inputs &amp; Assumptions'!$B$8/4),IF(20&lt;='I_Inputs &amp; Assumptions'!$B$8*0.75,'I_Budget Input Data'!$D$98*0.6/('I_Inputs &amp; Assumptions'!$B$8/2),'I_Budget Input Data'!$D$98*0.2/('I_Inputs &amp; Assumptions'!$B$8/4))),IF('I_Budget Input Data'!$E$98="At Completion",IF(20='I_Inputs &amp; Assumptions'!$B$8,'I_Budget Input Data'!$D$98,0),'I_Budget Input Data'!$D$98/'I_Inputs &amp; Assumptions'!$B$8)))))),0)</f>
        <v>0</v>
      </c>
      <c r="W98" s="91">
        <f>IF(21&lt;='I_Inputs &amp; Assumptions'!$B$8,IF('I_Budget Input Data'!$E$98="Upfront",IF(21=1,'I_Budget Input Data'!$D$98,0),IF('I_Budget Input Data'!$E$98="Equal",'I_Budget Input Data'!$D$98/'I_Inputs &amp; Assumptions'!$B$8,IF('I_Budget Input Data'!$E$98="Front-loaded",IF(21&lt;='I_Inputs &amp; Assumptions'!$B$8/2,'I_Budget Input Data'!$D$98*0.6/('I_Inputs &amp; Assumptions'!$B$8/2),'I_Budget Input Data'!$D$98*0.4/('I_Inputs &amp; Assumptions'!$B$8/2)),IF('I_Budget Input Data'!$E$98="Back-loaded",IF(21&lt;='I_Inputs &amp; Assumptions'!$B$8/2,'I_Budget Input Data'!$D$98*0.4/('I_Inputs &amp; Assumptions'!$B$8/2),'I_Budget Input Data'!$D$98*0.6/('I_Inputs &amp; Assumptions'!$B$8/2)),IF('I_Budget Input Data'!$E$98="Mid-weighted",IF(21&lt;='I_Inputs &amp; Assumptions'!$B$8/4,'I_Budget Input Data'!$D$98*0.2/('I_Inputs &amp; Assumptions'!$B$8/4),IF(21&lt;='I_Inputs &amp; Assumptions'!$B$8*0.75,'I_Budget Input Data'!$D$98*0.6/('I_Inputs &amp; Assumptions'!$B$8/2),'I_Budget Input Data'!$D$98*0.2/('I_Inputs &amp; Assumptions'!$B$8/4))),IF('I_Budget Input Data'!$E$98="At Completion",IF(21='I_Inputs &amp; Assumptions'!$B$8,'I_Budget Input Data'!$D$98,0),'I_Budget Input Data'!$D$98/'I_Inputs &amp; Assumptions'!$B$8)))))),0)</f>
        <v>0</v>
      </c>
      <c r="X98" s="91">
        <f>IF(22&lt;='I_Inputs &amp; Assumptions'!$B$8,IF('I_Budget Input Data'!$E$98="Upfront",IF(22=1,'I_Budget Input Data'!$D$98,0),IF('I_Budget Input Data'!$E$98="Equal",'I_Budget Input Data'!$D$98/'I_Inputs &amp; Assumptions'!$B$8,IF('I_Budget Input Data'!$E$98="Front-loaded",IF(22&lt;='I_Inputs &amp; Assumptions'!$B$8/2,'I_Budget Input Data'!$D$98*0.6/('I_Inputs &amp; Assumptions'!$B$8/2),'I_Budget Input Data'!$D$98*0.4/('I_Inputs &amp; Assumptions'!$B$8/2)),IF('I_Budget Input Data'!$E$98="Back-loaded",IF(22&lt;='I_Inputs &amp; Assumptions'!$B$8/2,'I_Budget Input Data'!$D$98*0.4/('I_Inputs &amp; Assumptions'!$B$8/2),'I_Budget Input Data'!$D$98*0.6/('I_Inputs &amp; Assumptions'!$B$8/2)),IF('I_Budget Input Data'!$E$98="Mid-weighted",IF(22&lt;='I_Inputs &amp; Assumptions'!$B$8/4,'I_Budget Input Data'!$D$98*0.2/('I_Inputs &amp; Assumptions'!$B$8/4),IF(22&lt;='I_Inputs &amp; Assumptions'!$B$8*0.75,'I_Budget Input Data'!$D$98*0.6/('I_Inputs &amp; Assumptions'!$B$8/2),'I_Budget Input Data'!$D$98*0.2/('I_Inputs &amp; Assumptions'!$B$8/4))),IF('I_Budget Input Data'!$E$98="At Completion",IF(22='I_Inputs &amp; Assumptions'!$B$8,'I_Budget Input Data'!$D$98,0),'I_Budget Input Data'!$D$98/'I_Inputs &amp; Assumptions'!$B$8)))))),0)</f>
        <v>0</v>
      </c>
      <c r="Y98" s="91">
        <f>IF(23&lt;='I_Inputs &amp; Assumptions'!$B$8,IF('I_Budget Input Data'!$E$98="Upfront",IF(23=1,'I_Budget Input Data'!$D$98,0),IF('I_Budget Input Data'!$E$98="Equal",'I_Budget Input Data'!$D$98/'I_Inputs &amp; Assumptions'!$B$8,IF('I_Budget Input Data'!$E$98="Front-loaded",IF(23&lt;='I_Inputs &amp; Assumptions'!$B$8/2,'I_Budget Input Data'!$D$98*0.6/('I_Inputs &amp; Assumptions'!$B$8/2),'I_Budget Input Data'!$D$98*0.4/('I_Inputs &amp; Assumptions'!$B$8/2)),IF('I_Budget Input Data'!$E$98="Back-loaded",IF(23&lt;='I_Inputs &amp; Assumptions'!$B$8/2,'I_Budget Input Data'!$D$98*0.4/('I_Inputs &amp; Assumptions'!$B$8/2),'I_Budget Input Data'!$D$98*0.6/('I_Inputs &amp; Assumptions'!$B$8/2)),IF('I_Budget Input Data'!$E$98="Mid-weighted",IF(23&lt;='I_Inputs &amp; Assumptions'!$B$8/4,'I_Budget Input Data'!$D$98*0.2/('I_Inputs &amp; Assumptions'!$B$8/4),IF(23&lt;='I_Inputs &amp; Assumptions'!$B$8*0.75,'I_Budget Input Data'!$D$98*0.6/('I_Inputs &amp; Assumptions'!$B$8/2),'I_Budget Input Data'!$D$98*0.2/('I_Inputs &amp; Assumptions'!$B$8/4))),IF('I_Budget Input Data'!$E$98="At Completion",IF(23='I_Inputs &amp; Assumptions'!$B$8,'I_Budget Input Data'!$D$98,0),'I_Budget Input Data'!$D$98/'I_Inputs &amp; Assumptions'!$B$8)))))),0)</f>
        <v>0</v>
      </c>
      <c r="Z98" s="91">
        <f>IF(24&lt;='I_Inputs &amp; Assumptions'!$B$8,IF('I_Budget Input Data'!$E$98="Upfront",IF(24=1,'I_Budget Input Data'!$D$98,0),IF('I_Budget Input Data'!$E$98="Equal",'I_Budget Input Data'!$D$98/'I_Inputs &amp; Assumptions'!$B$8,IF('I_Budget Input Data'!$E$98="Front-loaded",IF(24&lt;='I_Inputs &amp; Assumptions'!$B$8/2,'I_Budget Input Data'!$D$98*0.6/('I_Inputs &amp; Assumptions'!$B$8/2),'I_Budget Input Data'!$D$98*0.4/('I_Inputs &amp; Assumptions'!$B$8/2)),IF('I_Budget Input Data'!$E$98="Back-loaded",IF(24&lt;='I_Inputs &amp; Assumptions'!$B$8/2,'I_Budget Input Data'!$D$98*0.4/('I_Inputs &amp; Assumptions'!$B$8/2),'I_Budget Input Data'!$D$98*0.6/('I_Inputs &amp; Assumptions'!$B$8/2)),IF('I_Budget Input Data'!$E$98="Mid-weighted",IF(24&lt;='I_Inputs &amp; Assumptions'!$B$8/4,'I_Budget Input Data'!$D$98*0.2/('I_Inputs &amp; Assumptions'!$B$8/4),IF(24&lt;='I_Inputs &amp; Assumptions'!$B$8*0.75,'I_Budget Input Data'!$D$98*0.6/('I_Inputs &amp; Assumptions'!$B$8/2),'I_Budget Input Data'!$D$98*0.2/('I_Inputs &amp; Assumptions'!$B$8/4))),IF('I_Budget Input Data'!$E$98="At Completion",IF(24='I_Inputs &amp; Assumptions'!$B$8,'I_Budget Input Data'!$D$98,0),'I_Budget Input Data'!$D$98/'I_Inputs &amp; Assumptions'!$B$8)))))),0)</f>
        <v>0</v>
      </c>
      <c r="AA98" s="91">
        <f>IF(25&lt;='I_Inputs &amp; Assumptions'!$B$8,IF('I_Budget Input Data'!$E$98="Upfront",IF(25=1,'I_Budget Input Data'!$D$98,0),IF('I_Budget Input Data'!$E$98="Equal",'I_Budget Input Data'!$D$98/'I_Inputs &amp; Assumptions'!$B$8,IF('I_Budget Input Data'!$E$98="Front-loaded",IF(25&lt;='I_Inputs &amp; Assumptions'!$B$8/2,'I_Budget Input Data'!$D$98*0.6/('I_Inputs &amp; Assumptions'!$B$8/2),'I_Budget Input Data'!$D$98*0.4/('I_Inputs &amp; Assumptions'!$B$8/2)),IF('I_Budget Input Data'!$E$98="Back-loaded",IF(25&lt;='I_Inputs &amp; Assumptions'!$B$8/2,'I_Budget Input Data'!$D$98*0.4/('I_Inputs &amp; Assumptions'!$B$8/2),'I_Budget Input Data'!$D$98*0.6/('I_Inputs &amp; Assumptions'!$B$8/2)),IF('I_Budget Input Data'!$E$98="Mid-weighted",IF(25&lt;='I_Inputs &amp; Assumptions'!$B$8/4,'I_Budget Input Data'!$D$98*0.2/('I_Inputs &amp; Assumptions'!$B$8/4),IF(25&lt;='I_Inputs &amp; Assumptions'!$B$8*0.75,'I_Budget Input Data'!$D$98*0.6/('I_Inputs &amp; Assumptions'!$B$8/2),'I_Budget Input Data'!$D$98*0.2/('I_Inputs &amp; Assumptions'!$B$8/4))),IF('I_Budget Input Data'!$E$98="At Completion",IF(25='I_Inputs &amp; Assumptions'!$B$8,'I_Budget Input Data'!$D$98,0),'I_Budget Input Data'!$D$98/'I_Inputs &amp; Assumptions'!$B$8)))))),0)</f>
        <v>0</v>
      </c>
      <c r="AB98" s="91">
        <f>IF(26&lt;='I_Inputs &amp; Assumptions'!$B$8,IF('I_Budget Input Data'!$E$98="Upfront",IF(26=1,'I_Budget Input Data'!$D$98,0),IF('I_Budget Input Data'!$E$98="Equal",'I_Budget Input Data'!$D$98/'I_Inputs &amp; Assumptions'!$B$8,IF('I_Budget Input Data'!$E$98="Front-loaded",IF(26&lt;='I_Inputs &amp; Assumptions'!$B$8/2,'I_Budget Input Data'!$D$98*0.6/('I_Inputs &amp; Assumptions'!$B$8/2),'I_Budget Input Data'!$D$98*0.4/('I_Inputs &amp; Assumptions'!$B$8/2)),IF('I_Budget Input Data'!$E$98="Back-loaded",IF(26&lt;='I_Inputs &amp; Assumptions'!$B$8/2,'I_Budget Input Data'!$D$98*0.4/('I_Inputs &amp; Assumptions'!$B$8/2),'I_Budget Input Data'!$D$98*0.6/('I_Inputs &amp; Assumptions'!$B$8/2)),IF('I_Budget Input Data'!$E$98="Mid-weighted",IF(26&lt;='I_Inputs &amp; Assumptions'!$B$8/4,'I_Budget Input Data'!$D$98*0.2/('I_Inputs &amp; Assumptions'!$B$8/4),IF(26&lt;='I_Inputs &amp; Assumptions'!$B$8*0.75,'I_Budget Input Data'!$D$98*0.6/('I_Inputs &amp; Assumptions'!$B$8/2),'I_Budget Input Data'!$D$98*0.2/('I_Inputs &amp; Assumptions'!$B$8/4))),IF('I_Budget Input Data'!$E$98="At Completion",IF(26='I_Inputs &amp; Assumptions'!$B$8,'I_Budget Input Data'!$D$98,0),'I_Budget Input Data'!$D$98/'I_Inputs &amp; Assumptions'!$B$8)))))),0)</f>
        <v>0</v>
      </c>
      <c r="AC98" s="91">
        <f>IF(27&lt;='I_Inputs &amp; Assumptions'!$B$8,IF('I_Budget Input Data'!$E$98="Upfront",IF(27=1,'I_Budget Input Data'!$D$98,0),IF('I_Budget Input Data'!$E$98="Equal",'I_Budget Input Data'!$D$98/'I_Inputs &amp; Assumptions'!$B$8,IF('I_Budget Input Data'!$E$98="Front-loaded",IF(27&lt;='I_Inputs &amp; Assumptions'!$B$8/2,'I_Budget Input Data'!$D$98*0.6/('I_Inputs &amp; Assumptions'!$B$8/2),'I_Budget Input Data'!$D$98*0.4/('I_Inputs &amp; Assumptions'!$B$8/2)),IF('I_Budget Input Data'!$E$98="Back-loaded",IF(27&lt;='I_Inputs &amp; Assumptions'!$B$8/2,'I_Budget Input Data'!$D$98*0.4/('I_Inputs &amp; Assumptions'!$B$8/2),'I_Budget Input Data'!$D$98*0.6/('I_Inputs &amp; Assumptions'!$B$8/2)),IF('I_Budget Input Data'!$E$98="Mid-weighted",IF(27&lt;='I_Inputs &amp; Assumptions'!$B$8/4,'I_Budget Input Data'!$D$98*0.2/('I_Inputs &amp; Assumptions'!$B$8/4),IF(27&lt;='I_Inputs &amp; Assumptions'!$B$8*0.75,'I_Budget Input Data'!$D$98*0.6/('I_Inputs &amp; Assumptions'!$B$8/2),'I_Budget Input Data'!$D$98*0.2/('I_Inputs &amp; Assumptions'!$B$8/4))),IF('I_Budget Input Data'!$E$98="At Completion",IF(27='I_Inputs &amp; Assumptions'!$B$8,'I_Budget Input Data'!$D$98,0),'I_Budget Input Data'!$D$98/'I_Inputs &amp; Assumptions'!$B$8)))))),0)</f>
        <v>0</v>
      </c>
      <c r="AD98" s="91">
        <f>IF(28&lt;='I_Inputs &amp; Assumptions'!$B$8,IF('I_Budget Input Data'!$E$98="Upfront",IF(28=1,'I_Budget Input Data'!$D$98,0),IF('I_Budget Input Data'!$E$98="Equal",'I_Budget Input Data'!$D$98/'I_Inputs &amp; Assumptions'!$B$8,IF('I_Budget Input Data'!$E$98="Front-loaded",IF(28&lt;='I_Inputs &amp; Assumptions'!$B$8/2,'I_Budget Input Data'!$D$98*0.6/('I_Inputs &amp; Assumptions'!$B$8/2),'I_Budget Input Data'!$D$98*0.4/('I_Inputs &amp; Assumptions'!$B$8/2)),IF('I_Budget Input Data'!$E$98="Back-loaded",IF(28&lt;='I_Inputs &amp; Assumptions'!$B$8/2,'I_Budget Input Data'!$D$98*0.4/('I_Inputs &amp; Assumptions'!$B$8/2),'I_Budget Input Data'!$D$98*0.6/('I_Inputs &amp; Assumptions'!$B$8/2)),IF('I_Budget Input Data'!$E$98="Mid-weighted",IF(28&lt;='I_Inputs &amp; Assumptions'!$B$8/4,'I_Budget Input Data'!$D$98*0.2/('I_Inputs &amp; Assumptions'!$B$8/4),IF(28&lt;='I_Inputs &amp; Assumptions'!$B$8*0.75,'I_Budget Input Data'!$D$98*0.6/('I_Inputs &amp; Assumptions'!$B$8/2),'I_Budget Input Data'!$D$98*0.2/('I_Inputs &amp; Assumptions'!$B$8/4))),IF('I_Budget Input Data'!$E$98="At Completion",IF(28='I_Inputs &amp; Assumptions'!$B$8,'I_Budget Input Data'!$D$98,0),'I_Budget Input Data'!$D$98/'I_Inputs &amp; Assumptions'!$B$8)))))),0)</f>
        <v>0</v>
      </c>
      <c r="AE98" s="91">
        <f>IF(29&lt;='I_Inputs &amp; Assumptions'!$B$8,IF('I_Budget Input Data'!$E$98="Upfront",IF(29=1,'I_Budget Input Data'!$D$98,0),IF('I_Budget Input Data'!$E$98="Equal",'I_Budget Input Data'!$D$98/'I_Inputs &amp; Assumptions'!$B$8,IF('I_Budget Input Data'!$E$98="Front-loaded",IF(29&lt;='I_Inputs &amp; Assumptions'!$B$8/2,'I_Budget Input Data'!$D$98*0.6/('I_Inputs &amp; Assumptions'!$B$8/2),'I_Budget Input Data'!$D$98*0.4/('I_Inputs &amp; Assumptions'!$B$8/2)),IF('I_Budget Input Data'!$E$98="Back-loaded",IF(29&lt;='I_Inputs &amp; Assumptions'!$B$8/2,'I_Budget Input Data'!$D$98*0.4/('I_Inputs &amp; Assumptions'!$B$8/2),'I_Budget Input Data'!$D$98*0.6/('I_Inputs &amp; Assumptions'!$B$8/2)),IF('I_Budget Input Data'!$E$98="Mid-weighted",IF(29&lt;='I_Inputs &amp; Assumptions'!$B$8/4,'I_Budget Input Data'!$D$98*0.2/('I_Inputs &amp; Assumptions'!$B$8/4),IF(29&lt;='I_Inputs &amp; Assumptions'!$B$8*0.75,'I_Budget Input Data'!$D$98*0.6/('I_Inputs &amp; Assumptions'!$B$8/2),'I_Budget Input Data'!$D$98*0.2/('I_Inputs &amp; Assumptions'!$B$8/4))),IF('I_Budget Input Data'!$E$98="At Completion",IF(29='I_Inputs &amp; Assumptions'!$B$8,'I_Budget Input Data'!$D$98,0),'I_Budget Input Data'!$D$98/'I_Inputs &amp; Assumptions'!$B$8)))))),0)</f>
        <v>0</v>
      </c>
      <c r="AF98" s="91">
        <f>IF(30&lt;='I_Inputs &amp; Assumptions'!$B$8,IF('I_Budget Input Data'!$E$98="Upfront",IF(30=1,'I_Budget Input Data'!$D$98,0),IF('I_Budget Input Data'!$E$98="Equal",'I_Budget Input Data'!$D$98/'I_Inputs &amp; Assumptions'!$B$8,IF('I_Budget Input Data'!$E$98="Front-loaded",IF(30&lt;='I_Inputs &amp; Assumptions'!$B$8/2,'I_Budget Input Data'!$D$98*0.6/('I_Inputs &amp; Assumptions'!$B$8/2),'I_Budget Input Data'!$D$98*0.4/('I_Inputs &amp; Assumptions'!$B$8/2)),IF('I_Budget Input Data'!$E$98="Back-loaded",IF(30&lt;='I_Inputs &amp; Assumptions'!$B$8/2,'I_Budget Input Data'!$D$98*0.4/('I_Inputs &amp; Assumptions'!$B$8/2),'I_Budget Input Data'!$D$98*0.6/('I_Inputs &amp; Assumptions'!$B$8/2)),IF('I_Budget Input Data'!$E$98="Mid-weighted",IF(30&lt;='I_Inputs &amp; Assumptions'!$B$8/4,'I_Budget Input Data'!$D$98*0.2/('I_Inputs &amp; Assumptions'!$B$8/4),IF(30&lt;='I_Inputs &amp; Assumptions'!$B$8*0.75,'I_Budget Input Data'!$D$98*0.6/('I_Inputs &amp; Assumptions'!$B$8/2),'I_Budget Input Data'!$D$98*0.2/('I_Inputs &amp; Assumptions'!$B$8/4))),IF('I_Budget Input Data'!$E$98="At Completion",IF(30='I_Inputs &amp; Assumptions'!$B$8,'I_Budget Input Data'!$D$98,0),'I_Budget Input Data'!$D$98/'I_Inputs &amp; Assumptions'!$B$8)))))),0)</f>
        <v>0</v>
      </c>
      <c r="AG98" s="91">
        <f>IF(31&lt;='I_Inputs &amp; Assumptions'!$B$8,IF('I_Budget Input Data'!$E$98="Upfront",IF(31=1,'I_Budget Input Data'!$D$98,0),IF('I_Budget Input Data'!$E$98="Equal",'I_Budget Input Data'!$D$98/'I_Inputs &amp; Assumptions'!$B$8,IF('I_Budget Input Data'!$E$98="Front-loaded",IF(31&lt;='I_Inputs &amp; Assumptions'!$B$8/2,'I_Budget Input Data'!$D$98*0.6/('I_Inputs &amp; Assumptions'!$B$8/2),'I_Budget Input Data'!$D$98*0.4/('I_Inputs &amp; Assumptions'!$B$8/2)),IF('I_Budget Input Data'!$E$98="Back-loaded",IF(31&lt;='I_Inputs &amp; Assumptions'!$B$8/2,'I_Budget Input Data'!$D$98*0.4/('I_Inputs &amp; Assumptions'!$B$8/2),'I_Budget Input Data'!$D$98*0.6/('I_Inputs &amp; Assumptions'!$B$8/2)),IF('I_Budget Input Data'!$E$98="Mid-weighted",IF(31&lt;='I_Inputs &amp; Assumptions'!$B$8/4,'I_Budget Input Data'!$D$98*0.2/('I_Inputs &amp; Assumptions'!$B$8/4),IF(31&lt;='I_Inputs &amp; Assumptions'!$B$8*0.75,'I_Budget Input Data'!$D$98*0.6/('I_Inputs &amp; Assumptions'!$B$8/2),'I_Budget Input Data'!$D$98*0.2/('I_Inputs &amp; Assumptions'!$B$8/4))),IF('I_Budget Input Data'!$E$98="At Completion",IF(31='I_Inputs &amp; Assumptions'!$B$8,'I_Budget Input Data'!$D$98,0),'I_Budget Input Data'!$D$98/'I_Inputs &amp; Assumptions'!$B$8)))))),0)</f>
        <v>0</v>
      </c>
      <c r="AH98" s="91">
        <f>IF(32&lt;='I_Inputs &amp; Assumptions'!$B$8,IF('I_Budget Input Data'!$E$98="Upfront",IF(32=1,'I_Budget Input Data'!$D$98,0),IF('I_Budget Input Data'!$E$98="Equal",'I_Budget Input Data'!$D$98/'I_Inputs &amp; Assumptions'!$B$8,IF('I_Budget Input Data'!$E$98="Front-loaded",IF(32&lt;='I_Inputs &amp; Assumptions'!$B$8/2,'I_Budget Input Data'!$D$98*0.6/('I_Inputs &amp; Assumptions'!$B$8/2),'I_Budget Input Data'!$D$98*0.4/('I_Inputs &amp; Assumptions'!$B$8/2)),IF('I_Budget Input Data'!$E$98="Back-loaded",IF(32&lt;='I_Inputs &amp; Assumptions'!$B$8/2,'I_Budget Input Data'!$D$98*0.4/('I_Inputs &amp; Assumptions'!$B$8/2),'I_Budget Input Data'!$D$98*0.6/('I_Inputs &amp; Assumptions'!$B$8/2)),IF('I_Budget Input Data'!$E$98="Mid-weighted",IF(32&lt;='I_Inputs &amp; Assumptions'!$B$8/4,'I_Budget Input Data'!$D$98*0.2/('I_Inputs &amp; Assumptions'!$B$8/4),IF(32&lt;='I_Inputs &amp; Assumptions'!$B$8*0.75,'I_Budget Input Data'!$D$98*0.6/('I_Inputs &amp; Assumptions'!$B$8/2),'I_Budget Input Data'!$D$98*0.2/('I_Inputs &amp; Assumptions'!$B$8/4))),IF('I_Budget Input Data'!$E$98="At Completion",IF(32='I_Inputs &amp; Assumptions'!$B$8,'I_Budget Input Data'!$D$98,0),'I_Budget Input Data'!$D$98/'I_Inputs &amp; Assumptions'!$B$8)))))),0)</f>
        <v>0</v>
      </c>
      <c r="AI98" s="91">
        <f>IF(33&lt;='I_Inputs &amp; Assumptions'!$B$8,IF('I_Budget Input Data'!$E$98="Upfront",IF(33=1,'I_Budget Input Data'!$D$98,0),IF('I_Budget Input Data'!$E$98="Equal",'I_Budget Input Data'!$D$98/'I_Inputs &amp; Assumptions'!$B$8,IF('I_Budget Input Data'!$E$98="Front-loaded",IF(33&lt;='I_Inputs &amp; Assumptions'!$B$8/2,'I_Budget Input Data'!$D$98*0.6/('I_Inputs &amp; Assumptions'!$B$8/2),'I_Budget Input Data'!$D$98*0.4/('I_Inputs &amp; Assumptions'!$B$8/2)),IF('I_Budget Input Data'!$E$98="Back-loaded",IF(33&lt;='I_Inputs &amp; Assumptions'!$B$8/2,'I_Budget Input Data'!$D$98*0.4/('I_Inputs &amp; Assumptions'!$B$8/2),'I_Budget Input Data'!$D$98*0.6/('I_Inputs &amp; Assumptions'!$B$8/2)),IF('I_Budget Input Data'!$E$98="Mid-weighted",IF(33&lt;='I_Inputs &amp; Assumptions'!$B$8/4,'I_Budget Input Data'!$D$98*0.2/('I_Inputs &amp; Assumptions'!$B$8/4),IF(33&lt;='I_Inputs &amp; Assumptions'!$B$8*0.75,'I_Budget Input Data'!$D$98*0.6/('I_Inputs &amp; Assumptions'!$B$8/2),'I_Budget Input Data'!$D$98*0.2/('I_Inputs &amp; Assumptions'!$B$8/4))),IF('I_Budget Input Data'!$E$98="At Completion",IF(33='I_Inputs &amp; Assumptions'!$B$8,'I_Budget Input Data'!$D$98,0),'I_Budget Input Data'!$D$98/'I_Inputs &amp; Assumptions'!$B$8)))))),0)</f>
        <v>0</v>
      </c>
      <c r="AJ98" s="91">
        <f>IF(34&lt;='I_Inputs &amp; Assumptions'!$B$8,IF('I_Budget Input Data'!$E$98="Upfront",IF(34=1,'I_Budget Input Data'!$D$98,0),IF('I_Budget Input Data'!$E$98="Equal",'I_Budget Input Data'!$D$98/'I_Inputs &amp; Assumptions'!$B$8,IF('I_Budget Input Data'!$E$98="Front-loaded",IF(34&lt;='I_Inputs &amp; Assumptions'!$B$8/2,'I_Budget Input Data'!$D$98*0.6/('I_Inputs &amp; Assumptions'!$B$8/2),'I_Budget Input Data'!$D$98*0.4/('I_Inputs &amp; Assumptions'!$B$8/2)),IF('I_Budget Input Data'!$E$98="Back-loaded",IF(34&lt;='I_Inputs &amp; Assumptions'!$B$8/2,'I_Budget Input Data'!$D$98*0.4/('I_Inputs &amp; Assumptions'!$B$8/2),'I_Budget Input Data'!$D$98*0.6/('I_Inputs &amp; Assumptions'!$B$8/2)),IF('I_Budget Input Data'!$E$98="Mid-weighted",IF(34&lt;='I_Inputs &amp; Assumptions'!$B$8/4,'I_Budget Input Data'!$D$98*0.2/('I_Inputs &amp; Assumptions'!$B$8/4),IF(34&lt;='I_Inputs &amp; Assumptions'!$B$8*0.75,'I_Budget Input Data'!$D$98*0.6/('I_Inputs &amp; Assumptions'!$B$8/2),'I_Budget Input Data'!$D$98*0.2/('I_Inputs &amp; Assumptions'!$B$8/4))),IF('I_Budget Input Data'!$E$98="At Completion",IF(34='I_Inputs &amp; Assumptions'!$B$8,'I_Budget Input Data'!$D$98,0),'I_Budget Input Data'!$D$98/'I_Inputs &amp; Assumptions'!$B$8)))))),0)</f>
        <v>0</v>
      </c>
      <c r="AK98" s="91">
        <f>IF(35&lt;='I_Inputs &amp; Assumptions'!$B$8,IF('I_Budget Input Data'!$E$98="Upfront",IF(35=1,'I_Budget Input Data'!$D$98,0),IF('I_Budget Input Data'!$E$98="Equal",'I_Budget Input Data'!$D$98/'I_Inputs &amp; Assumptions'!$B$8,IF('I_Budget Input Data'!$E$98="Front-loaded",IF(35&lt;='I_Inputs &amp; Assumptions'!$B$8/2,'I_Budget Input Data'!$D$98*0.6/('I_Inputs &amp; Assumptions'!$B$8/2),'I_Budget Input Data'!$D$98*0.4/('I_Inputs &amp; Assumptions'!$B$8/2)),IF('I_Budget Input Data'!$E$98="Back-loaded",IF(35&lt;='I_Inputs &amp; Assumptions'!$B$8/2,'I_Budget Input Data'!$D$98*0.4/('I_Inputs &amp; Assumptions'!$B$8/2),'I_Budget Input Data'!$D$98*0.6/('I_Inputs &amp; Assumptions'!$B$8/2)),IF('I_Budget Input Data'!$E$98="Mid-weighted",IF(35&lt;='I_Inputs &amp; Assumptions'!$B$8/4,'I_Budget Input Data'!$D$98*0.2/('I_Inputs &amp; Assumptions'!$B$8/4),IF(35&lt;='I_Inputs &amp; Assumptions'!$B$8*0.75,'I_Budget Input Data'!$D$98*0.6/('I_Inputs &amp; Assumptions'!$B$8/2),'I_Budget Input Data'!$D$98*0.2/('I_Inputs &amp; Assumptions'!$B$8/4))),IF('I_Budget Input Data'!$E$98="At Completion",IF(35='I_Inputs &amp; Assumptions'!$B$8,'I_Budget Input Data'!$D$98,0),'I_Budget Input Data'!$D$98/'I_Inputs &amp; Assumptions'!$B$8)))))),0)</f>
        <v>0</v>
      </c>
      <c r="AL98" s="91">
        <f>IF(36&lt;='I_Inputs &amp; Assumptions'!$B$8,IF('I_Budget Input Data'!$E$98="Upfront",IF(36=1,'I_Budget Input Data'!$D$98,0),IF('I_Budget Input Data'!$E$98="Equal",'I_Budget Input Data'!$D$98/'I_Inputs &amp; Assumptions'!$B$8,IF('I_Budget Input Data'!$E$98="Front-loaded",IF(36&lt;='I_Inputs &amp; Assumptions'!$B$8/2,'I_Budget Input Data'!$D$98*0.6/('I_Inputs &amp; Assumptions'!$B$8/2),'I_Budget Input Data'!$D$98*0.4/('I_Inputs &amp; Assumptions'!$B$8/2)),IF('I_Budget Input Data'!$E$98="Back-loaded",IF(36&lt;='I_Inputs &amp; Assumptions'!$B$8/2,'I_Budget Input Data'!$D$98*0.4/('I_Inputs &amp; Assumptions'!$B$8/2),'I_Budget Input Data'!$D$98*0.6/('I_Inputs &amp; Assumptions'!$B$8/2)),IF('I_Budget Input Data'!$E$98="Mid-weighted",IF(36&lt;='I_Inputs &amp; Assumptions'!$B$8/4,'I_Budget Input Data'!$D$98*0.2/('I_Inputs &amp; Assumptions'!$B$8/4),IF(36&lt;='I_Inputs &amp; Assumptions'!$B$8*0.75,'I_Budget Input Data'!$D$98*0.6/('I_Inputs &amp; Assumptions'!$B$8/2),'I_Budget Input Data'!$D$98*0.2/('I_Inputs &amp; Assumptions'!$B$8/4))),IF('I_Budget Input Data'!$E$98="At Completion",IF(36='I_Inputs &amp; Assumptions'!$B$8,'I_Budget Input Data'!$D$98,0),'I_Budget Input Data'!$D$98/'I_Inputs &amp; Assumptions'!$B$8)))))),0)</f>
        <v>0</v>
      </c>
    </row>
    <row r="99" spans="1:38" ht="15" customHeight="1" x14ac:dyDescent="0.2">
      <c r="A99" t="s">
        <v>146</v>
      </c>
      <c r="B99" t="s">
        <v>217</v>
      </c>
      <c r="C99" s="91">
        <v>0</v>
      </c>
      <c r="D99" s="91">
        <v>0</v>
      </c>
      <c r="E99" s="91">
        <v>0</v>
      </c>
      <c r="F99" s="91">
        <v>0</v>
      </c>
      <c r="G99" s="91">
        <v>0</v>
      </c>
      <c r="H99" s="91">
        <v>0</v>
      </c>
      <c r="I99" s="91">
        <v>0</v>
      </c>
      <c r="J99" s="91">
        <v>0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91">
        <v>0</v>
      </c>
      <c r="Z99" s="91">
        <v>0</v>
      </c>
      <c r="AA99" s="91">
        <v>0</v>
      </c>
      <c r="AB99" s="91">
        <v>0</v>
      </c>
      <c r="AC99" s="91">
        <v>0</v>
      </c>
      <c r="AD99" s="91">
        <v>0</v>
      </c>
      <c r="AE99" s="91">
        <v>0</v>
      </c>
      <c r="AF99" s="91">
        <v>0</v>
      </c>
      <c r="AG99" s="91">
        <v>0</v>
      </c>
      <c r="AH99" s="91">
        <v>0</v>
      </c>
      <c r="AI99" s="91">
        <v>0</v>
      </c>
      <c r="AJ99" s="91">
        <v>0</v>
      </c>
      <c r="AK99" s="91">
        <v>0</v>
      </c>
      <c r="AL99" s="91">
        <v>0</v>
      </c>
    </row>
    <row r="100" spans="1:38" ht="15" customHeight="1" x14ac:dyDescent="0.2">
      <c r="A100" t="s">
        <v>146</v>
      </c>
      <c r="B100" t="s">
        <v>218</v>
      </c>
      <c r="C100" s="91">
        <f>IF(1&lt;='I_Inputs &amp; Assumptions'!$B$8,IF('I_Budget Input Data'!$E$100="Upfront",IF(1=1,'I_Budget Input Data'!$D$100,0),IF('I_Budget Input Data'!$E$100="Equal",'I_Budget Input Data'!$D$100/'I_Inputs &amp; Assumptions'!$B$8,IF('I_Budget Input Data'!$E$100="Front-loaded",IF(1&lt;='I_Inputs &amp; Assumptions'!$B$8/2,'I_Budget Input Data'!$D$100*0.6/('I_Inputs &amp; Assumptions'!$B$8/2),'I_Budget Input Data'!$D$100*0.4/('I_Inputs &amp; Assumptions'!$B$8/2)),IF('I_Budget Input Data'!$E$100="Back-loaded",IF(1&lt;='I_Inputs &amp; Assumptions'!$B$8/2,'I_Budget Input Data'!$D$100*0.4/('I_Inputs &amp; Assumptions'!$B$8/2),'I_Budget Input Data'!$D$100*0.6/('I_Inputs &amp; Assumptions'!$B$8/2)),IF('I_Budget Input Data'!$E$100="Mid-weighted",IF(1&lt;='I_Inputs &amp; Assumptions'!$B$8/4,'I_Budget Input Data'!$D$100*0.2/('I_Inputs &amp; Assumptions'!$B$8/4),IF(1&lt;='I_Inputs &amp; Assumptions'!$B$8*0.75,'I_Budget Input Data'!$D$100*0.6/('I_Inputs &amp; Assumptions'!$B$8/2),'I_Budget Input Data'!$D$100*0.2/('I_Inputs &amp; Assumptions'!$B$8/4))),IF('I_Budget Input Data'!$E$100="At Completion",IF(1='I_Inputs &amp; Assumptions'!$B$8,'I_Budget Input Data'!$D$100,0),'I_Budget Input Data'!$D$100/'I_Inputs &amp; Assumptions'!$B$8)))))),0)</f>
        <v>2215.3846153846152</v>
      </c>
      <c r="D100" s="91">
        <f>IF(2&lt;='I_Inputs &amp; Assumptions'!$B$8,IF('I_Budget Input Data'!$E$100="Upfront",IF(2=1,'I_Budget Input Data'!$D$100,0),IF('I_Budget Input Data'!$E$100="Equal",'I_Budget Input Data'!$D$100/'I_Inputs &amp; Assumptions'!$B$8,IF('I_Budget Input Data'!$E$100="Front-loaded",IF(2&lt;='I_Inputs &amp; Assumptions'!$B$8/2,'I_Budget Input Data'!$D$100*0.6/('I_Inputs &amp; Assumptions'!$B$8/2),'I_Budget Input Data'!$D$100*0.4/('I_Inputs &amp; Assumptions'!$B$8/2)),IF('I_Budget Input Data'!$E$100="Back-loaded",IF(2&lt;='I_Inputs &amp; Assumptions'!$B$8/2,'I_Budget Input Data'!$D$100*0.4/('I_Inputs &amp; Assumptions'!$B$8/2),'I_Budget Input Data'!$D$100*0.6/('I_Inputs &amp; Assumptions'!$B$8/2)),IF('I_Budget Input Data'!$E$100="Mid-weighted",IF(2&lt;='I_Inputs &amp; Assumptions'!$B$8/4,'I_Budget Input Data'!$D$100*0.2/('I_Inputs &amp; Assumptions'!$B$8/4),IF(2&lt;='I_Inputs &amp; Assumptions'!$B$8*0.75,'I_Budget Input Data'!$D$100*0.6/('I_Inputs &amp; Assumptions'!$B$8/2),'I_Budget Input Data'!$D$100*0.2/('I_Inputs &amp; Assumptions'!$B$8/4))),IF('I_Budget Input Data'!$E$100="At Completion",IF(2='I_Inputs &amp; Assumptions'!$B$8,'I_Budget Input Data'!$D$100,0),'I_Budget Input Data'!$D$100/'I_Inputs &amp; Assumptions'!$B$8)))))),0)</f>
        <v>2215.3846153846152</v>
      </c>
      <c r="E100" s="91">
        <f>IF(3&lt;='I_Inputs &amp; Assumptions'!$B$8,IF('I_Budget Input Data'!$E$100="Upfront",IF(3=1,'I_Budget Input Data'!$D$100,0),IF('I_Budget Input Data'!$E$100="Equal",'I_Budget Input Data'!$D$100/'I_Inputs &amp; Assumptions'!$B$8,IF('I_Budget Input Data'!$E$100="Front-loaded",IF(3&lt;='I_Inputs &amp; Assumptions'!$B$8/2,'I_Budget Input Data'!$D$100*0.6/('I_Inputs &amp; Assumptions'!$B$8/2),'I_Budget Input Data'!$D$100*0.4/('I_Inputs &amp; Assumptions'!$B$8/2)),IF('I_Budget Input Data'!$E$100="Back-loaded",IF(3&lt;='I_Inputs &amp; Assumptions'!$B$8/2,'I_Budget Input Data'!$D$100*0.4/('I_Inputs &amp; Assumptions'!$B$8/2),'I_Budget Input Data'!$D$100*0.6/('I_Inputs &amp; Assumptions'!$B$8/2)),IF('I_Budget Input Data'!$E$100="Mid-weighted",IF(3&lt;='I_Inputs &amp; Assumptions'!$B$8/4,'I_Budget Input Data'!$D$100*0.2/('I_Inputs &amp; Assumptions'!$B$8/4),IF(3&lt;='I_Inputs &amp; Assumptions'!$B$8*0.75,'I_Budget Input Data'!$D$100*0.6/('I_Inputs &amp; Assumptions'!$B$8/2),'I_Budget Input Data'!$D$100*0.2/('I_Inputs &amp; Assumptions'!$B$8/4))),IF('I_Budget Input Data'!$E$100="At Completion",IF(3='I_Inputs &amp; Assumptions'!$B$8,'I_Budget Input Data'!$D$100,0),'I_Budget Input Data'!$D$100/'I_Inputs &amp; Assumptions'!$B$8)))))),0)</f>
        <v>2215.3846153846152</v>
      </c>
      <c r="F100" s="91">
        <f>IF(4&lt;='I_Inputs &amp; Assumptions'!$B$8,IF('I_Budget Input Data'!$E$100="Upfront",IF(4=1,'I_Budget Input Data'!$D$100,0),IF('I_Budget Input Data'!$E$100="Equal",'I_Budget Input Data'!$D$100/'I_Inputs &amp; Assumptions'!$B$8,IF('I_Budget Input Data'!$E$100="Front-loaded",IF(4&lt;='I_Inputs &amp; Assumptions'!$B$8/2,'I_Budget Input Data'!$D$100*0.6/('I_Inputs &amp; Assumptions'!$B$8/2),'I_Budget Input Data'!$D$100*0.4/('I_Inputs &amp; Assumptions'!$B$8/2)),IF('I_Budget Input Data'!$E$100="Back-loaded",IF(4&lt;='I_Inputs &amp; Assumptions'!$B$8/2,'I_Budget Input Data'!$D$100*0.4/('I_Inputs &amp; Assumptions'!$B$8/2),'I_Budget Input Data'!$D$100*0.6/('I_Inputs &amp; Assumptions'!$B$8/2)),IF('I_Budget Input Data'!$E$100="Mid-weighted",IF(4&lt;='I_Inputs &amp; Assumptions'!$B$8/4,'I_Budget Input Data'!$D$100*0.2/('I_Inputs &amp; Assumptions'!$B$8/4),IF(4&lt;='I_Inputs &amp; Assumptions'!$B$8*0.75,'I_Budget Input Data'!$D$100*0.6/('I_Inputs &amp; Assumptions'!$B$8/2),'I_Budget Input Data'!$D$100*0.2/('I_Inputs &amp; Assumptions'!$B$8/4))),IF('I_Budget Input Data'!$E$100="At Completion",IF(4='I_Inputs &amp; Assumptions'!$B$8,'I_Budget Input Data'!$D$100,0),'I_Budget Input Data'!$D$100/'I_Inputs &amp; Assumptions'!$B$8)))))),0)</f>
        <v>3323.0769230769229</v>
      </c>
      <c r="G100" s="91">
        <f>IF(5&lt;='I_Inputs &amp; Assumptions'!$B$8,IF('I_Budget Input Data'!$E$100="Upfront",IF(5=1,'I_Budget Input Data'!$D$100,0),IF('I_Budget Input Data'!$E$100="Equal",'I_Budget Input Data'!$D$100/'I_Inputs &amp; Assumptions'!$B$8,IF('I_Budget Input Data'!$E$100="Front-loaded",IF(5&lt;='I_Inputs &amp; Assumptions'!$B$8/2,'I_Budget Input Data'!$D$100*0.6/('I_Inputs &amp; Assumptions'!$B$8/2),'I_Budget Input Data'!$D$100*0.4/('I_Inputs &amp; Assumptions'!$B$8/2)),IF('I_Budget Input Data'!$E$100="Back-loaded",IF(5&lt;='I_Inputs &amp; Assumptions'!$B$8/2,'I_Budget Input Data'!$D$100*0.4/('I_Inputs &amp; Assumptions'!$B$8/2),'I_Budget Input Data'!$D$100*0.6/('I_Inputs &amp; Assumptions'!$B$8/2)),IF('I_Budget Input Data'!$E$100="Mid-weighted",IF(5&lt;='I_Inputs &amp; Assumptions'!$B$8/4,'I_Budget Input Data'!$D$100*0.2/('I_Inputs &amp; Assumptions'!$B$8/4),IF(5&lt;='I_Inputs &amp; Assumptions'!$B$8*0.75,'I_Budget Input Data'!$D$100*0.6/('I_Inputs &amp; Assumptions'!$B$8/2),'I_Budget Input Data'!$D$100*0.2/('I_Inputs &amp; Assumptions'!$B$8/4))),IF('I_Budget Input Data'!$E$100="At Completion",IF(5='I_Inputs &amp; Assumptions'!$B$8,'I_Budget Input Data'!$D$100,0),'I_Budget Input Data'!$D$100/'I_Inputs &amp; Assumptions'!$B$8)))))),0)</f>
        <v>3323.0769230769229</v>
      </c>
      <c r="H100" s="91">
        <f>IF(6&lt;='I_Inputs &amp; Assumptions'!$B$8,IF('I_Budget Input Data'!$E$100="Upfront",IF(6=1,'I_Budget Input Data'!$D$100,0),IF('I_Budget Input Data'!$E$100="Equal",'I_Budget Input Data'!$D$100/'I_Inputs &amp; Assumptions'!$B$8,IF('I_Budget Input Data'!$E$100="Front-loaded",IF(6&lt;='I_Inputs &amp; Assumptions'!$B$8/2,'I_Budget Input Data'!$D$100*0.6/('I_Inputs &amp; Assumptions'!$B$8/2),'I_Budget Input Data'!$D$100*0.4/('I_Inputs &amp; Assumptions'!$B$8/2)),IF('I_Budget Input Data'!$E$100="Back-loaded",IF(6&lt;='I_Inputs &amp; Assumptions'!$B$8/2,'I_Budget Input Data'!$D$100*0.4/('I_Inputs &amp; Assumptions'!$B$8/2),'I_Budget Input Data'!$D$100*0.6/('I_Inputs &amp; Assumptions'!$B$8/2)),IF('I_Budget Input Data'!$E$100="Mid-weighted",IF(6&lt;='I_Inputs &amp; Assumptions'!$B$8/4,'I_Budget Input Data'!$D$100*0.2/('I_Inputs &amp; Assumptions'!$B$8/4),IF(6&lt;='I_Inputs &amp; Assumptions'!$B$8*0.75,'I_Budget Input Data'!$D$100*0.6/('I_Inputs &amp; Assumptions'!$B$8/2),'I_Budget Input Data'!$D$100*0.2/('I_Inputs &amp; Assumptions'!$B$8/4))),IF('I_Budget Input Data'!$E$100="At Completion",IF(6='I_Inputs &amp; Assumptions'!$B$8,'I_Budget Input Data'!$D$100,0),'I_Budget Input Data'!$D$100/'I_Inputs &amp; Assumptions'!$B$8)))))),0)</f>
        <v>3323.0769230769229</v>
      </c>
      <c r="I100" s="91">
        <f>IF(7&lt;='I_Inputs &amp; Assumptions'!$B$8,IF('I_Budget Input Data'!$E$100="Upfront",IF(7=1,'I_Budget Input Data'!$D$100,0),IF('I_Budget Input Data'!$E$100="Equal",'I_Budget Input Data'!$D$100/'I_Inputs &amp; Assumptions'!$B$8,IF('I_Budget Input Data'!$E$100="Front-loaded",IF(7&lt;='I_Inputs &amp; Assumptions'!$B$8/2,'I_Budget Input Data'!$D$100*0.6/('I_Inputs &amp; Assumptions'!$B$8/2),'I_Budget Input Data'!$D$100*0.4/('I_Inputs &amp; Assumptions'!$B$8/2)),IF('I_Budget Input Data'!$E$100="Back-loaded",IF(7&lt;='I_Inputs &amp; Assumptions'!$B$8/2,'I_Budget Input Data'!$D$100*0.4/('I_Inputs &amp; Assumptions'!$B$8/2),'I_Budget Input Data'!$D$100*0.6/('I_Inputs &amp; Assumptions'!$B$8/2)),IF('I_Budget Input Data'!$E$100="Mid-weighted",IF(7&lt;='I_Inputs &amp; Assumptions'!$B$8/4,'I_Budget Input Data'!$D$100*0.2/('I_Inputs &amp; Assumptions'!$B$8/4),IF(7&lt;='I_Inputs &amp; Assumptions'!$B$8*0.75,'I_Budget Input Data'!$D$100*0.6/('I_Inputs &amp; Assumptions'!$B$8/2),'I_Budget Input Data'!$D$100*0.2/('I_Inputs &amp; Assumptions'!$B$8/4))),IF('I_Budget Input Data'!$E$100="At Completion",IF(7='I_Inputs &amp; Assumptions'!$B$8,'I_Budget Input Data'!$D$100,0),'I_Budget Input Data'!$D$100/'I_Inputs &amp; Assumptions'!$B$8)))))),0)</f>
        <v>3323.0769230769229</v>
      </c>
      <c r="J100" s="91">
        <f>IF(8&lt;='I_Inputs &amp; Assumptions'!$B$8,IF('I_Budget Input Data'!$E$100="Upfront",IF(8=1,'I_Budget Input Data'!$D$100,0),IF('I_Budget Input Data'!$E$100="Equal",'I_Budget Input Data'!$D$100/'I_Inputs &amp; Assumptions'!$B$8,IF('I_Budget Input Data'!$E$100="Front-loaded",IF(8&lt;='I_Inputs &amp; Assumptions'!$B$8/2,'I_Budget Input Data'!$D$100*0.6/('I_Inputs &amp; Assumptions'!$B$8/2),'I_Budget Input Data'!$D$100*0.4/('I_Inputs &amp; Assumptions'!$B$8/2)),IF('I_Budget Input Data'!$E$100="Back-loaded",IF(8&lt;='I_Inputs &amp; Assumptions'!$B$8/2,'I_Budget Input Data'!$D$100*0.4/('I_Inputs &amp; Assumptions'!$B$8/2),'I_Budget Input Data'!$D$100*0.6/('I_Inputs &amp; Assumptions'!$B$8/2)),IF('I_Budget Input Data'!$E$100="Mid-weighted",IF(8&lt;='I_Inputs &amp; Assumptions'!$B$8/4,'I_Budget Input Data'!$D$100*0.2/('I_Inputs &amp; Assumptions'!$B$8/4),IF(8&lt;='I_Inputs &amp; Assumptions'!$B$8*0.75,'I_Budget Input Data'!$D$100*0.6/('I_Inputs &amp; Assumptions'!$B$8/2),'I_Budget Input Data'!$D$100*0.2/('I_Inputs &amp; Assumptions'!$B$8/4))),IF('I_Budget Input Data'!$E$100="At Completion",IF(8='I_Inputs &amp; Assumptions'!$B$8,'I_Budget Input Data'!$D$100,0),'I_Budget Input Data'!$D$100/'I_Inputs &amp; Assumptions'!$B$8)))))),0)</f>
        <v>3323.0769230769229</v>
      </c>
      <c r="K100" s="91">
        <f>IF(9&lt;='I_Inputs &amp; Assumptions'!$B$8,IF('I_Budget Input Data'!$E$100="Upfront",IF(9=1,'I_Budget Input Data'!$D$100,0),IF('I_Budget Input Data'!$E$100="Equal",'I_Budget Input Data'!$D$100/'I_Inputs &amp; Assumptions'!$B$8,IF('I_Budget Input Data'!$E$100="Front-loaded",IF(9&lt;='I_Inputs &amp; Assumptions'!$B$8/2,'I_Budget Input Data'!$D$100*0.6/('I_Inputs &amp; Assumptions'!$B$8/2),'I_Budget Input Data'!$D$100*0.4/('I_Inputs &amp; Assumptions'!$B$8/2)),IF('I_Budget Input Data'!$E$100="Back-loaded",IF(9&lt;='I_Inputs &amp; Assumptions'!$B$8/2,'I_Budget Input Data'!$D$100*0.4/('I_Inputs &amp; Assumptions'!$B$8/2),'I_Budget Input Data'!$D$100*0.6/('I_Inputs &amp; Assumptions'!$B$8/2)),IF('I_Budget Input Data'!$E$100="Mid-weighted",IF(9&lt;='I_Inputs &amp; Assumptions'!$B$8/4,'I_Budget Input Data'!$D$100*0.2/('I_Inputs &amp; Assumptions'!$B$8/4),IF(9&lt;='I_Inputs &amp; Assumptions'!$B$8*0.75,'I_Budget Input Data'!$D$100*0.6/('I_Inputs &amp; Assumptions'!$B$8/2),'I_Budget Input Data'!$D$100*0.2/('I_Inputs &amp; Assumptions'!$B$8/4))),IF('I_Budget Input Data'!$E$100="At Completion",IF(9='I_Inputs &amp; Assumptions'!$B$8,'I_Budget Input Data'!$D$100,0),'I_Budget Input Data'!$D$100/'I_Inputs &amp; Assumptions'!$B$8)))))),0)</f>
        <v>3323.0769230769229</v>
      </c>
      <c r="L100" s="91">
        <f>IF(10&lt;='I_Inputs &amp; Assumptions'!$B$8,IF('I_Budget Input Data'!$E$100="Upfront",IF(10=1,'I_Budget Input Data'!$D$100,0),IF('I_Budget Input Data'!$E$100="Equal",'I_Budget Input Data'!$D$100/'I_Inputs &amp; Assumptions'!$B$8,IF('I_Budget Input Data'!$E$100="Front-loaded",IF(10&lt;='I_Inputs &amp; Assumptions'!$B$8/2,'I_Budget Input Data'!$D$100*0.6/('I_Inputs &amp; Assumptions'!$B$8/2),'I_Budget Input Data'!$D$100*0.4/('I_Inputs &amp; Assumptions'!$B$8/2)),IF('I_Budget Input Data'!$E$100="Back-loaded",IF(10&lt;='I_Inputs &amp; Assumptions'!$B$8/2,'I_Budget Input Data'!$D$100*0.4/('I_Inputs &amp; Assumptions'!$B$8/2),'I_Budget Input Data'!$D$100*0.6/('I_Inputs &amp; Assumptions'!$B$8/2)),IF('I_Budget Input Data'!$E$100="Mid-weighted",IF(10&lt;='I_Inputs &amp; Assumptions'!$B$8/4,'I_Budget Input Data'!$D$100*0.2/('I_Inputs &amp; Assumptions'!$B$8/4),IF(10&lt;='I_Inputs &amp; Assumptions'!$B$8*0.75,'I_Budget Input Data'!$D$100*0.6/('I_Inputs &amp; Assumptions'!$B$8/2),'I_Budget Input Data'!$D$100*0.2/('I_Inputs &amp; Assumptions'!$B$8/4))),IF('I_Budget Input Data'!$E$100="At Completion",IF(10='I_Inputs &amp; Assumptions'!$B$8,'I_Budget Input Data'!$D$100,0),'I_Budget Input Data'!$D$100/'I_Inputs &amp; Assumptions'!$B$8)))))),0)</f>
        <v>2215.3846153846152</v>
      </c>
      <c r="M100" s="91">
        <f>IF(11&lt;='I_Inputs &amp; Assumptions'!$B$8,IF('I_Budget Input Data'!$E$100="Upfront",IF(11=1,'I_Budget Input Data'!$D$100,0),IF('I_Budget Input Data'!$E$100="Equal",'I_Budget Input Data'!$D$100/'I_Inputs &amp; Assumptions'!$B$8,IF('I_Budget Input Data'!$E$100="Front-loaded",IF(11&lt;='I_Inputs &amp; Assumptions'!$B$8/2,'I_Budget Input Data'!$D$100*0.6/('I_Inputs &amp; Assumptions'!$B$8/2),'I_Budget Input Data'!$D$100*0.4/('I_Inputs &amp; Assumptions'!$B$8/2)),IF('I_Budget Input Data'!$E$100="Back-loaded",IF(11&lt;='I_Inputs &amp; Assumptions'!$B$8/2,'I_Budget Input Data'!$D$100*0.4/('I_Inputs &amp; Assumptions'!$B$8/2),'I_Budget Input Data'!$D$100*0.6/('I_Inputs &amp; Assumptions'!$B$8/2)),IF('I_Budget Input Data'!$E$100="Mid-weighted",IF(11&lt;='I_Inputs &amp; Assumptions'!$B$8/4,'I_Budget Input Data'!$D$100*0.2/('I_Inputs &amp; Assumptions'!$B$8/4),IF(11&lt;='I_Inputs &amp; Assumptions'!$B$8*0.75,'I_Budget Input Data'!$D$100*0.6/('I_Inputs &amp; Assumptions'!$B$8/2),'I_Budget Input Data'!$D$100*0.2/('I_Inputs &amp; Assumptions'!$B$8/4))),IF('I_Budget Input Data'!$E$100="At Completion",IF(11='I_Inputs &amp; Assumptions'!$B$8,'I_Budget Input Data'!$D$100,0),'I_Budget Input Data'!$D$100/'I_Inputs &amp; Assumptions'!$B$8)))))),0)</f>
        <v>2215.3846153846152</v>
      </c>
      <c r="N100" s="91">
        <f>IF(12&lt;='I_Inputs &amp; Assumptions'!$B$8,IF('I_Budget Input Data'!$E$100="Upfront",IF(12=1,'I_Budget Input Data'!$D$100,0),IF('I_Budget Input Data'!$E$100="Equal",'I_Budget Input Data'!$D$100/'I_Inputs &amp; Assumptions'!$B$8,IF('I_Budget Input Data'!$E$100="Front-loaded",IF(12&lt;='I_Inputs &amp; Assumptions'!$B$8/2,'I_Budget Input Data'!$D$100*0.6/('I_Inputs &amp; Assumptions'!$B$8/2),'I_Budget Input Data'!$D$100*0.4/('I_Inputs &amp; Assumptions'!$B$8/2)),IF('I_Budget Input Data'!$E$100="Back-loaded",IF(12&lt;='I_Inputs &amp; Assumptions'!$B$8/2,'I_Budget Input Data'!$D$100*0.4/('I_Inputs &amp; Assumptions'!$B$8/2),'I_Budget Input Data'!$D$100*0.6/('I_Inputs &amp; Assumptions'!$B$8/2)),IF('I_Budget Input Data'!$E$100="Mid-weighted",IF(12&lt;='I_Inputs &amp; Assumptions'!$B$8/4,'I_Budget Input Data'!$D$100*0.2/('I_Inputs &amp; Assumptions'!$B$8/4),IF(12&lt;='I_Inputs &amp; Assumptions'!$B$8*0.75,'I_Budget Input Data'!$D$100*0.6/('I_Inputs &amp; Assumptions'!$B$8/2),'I_Budget Input Data'!$D$100*0.2/('I_Inputs &amp; Assumptions'!$B$8/4))),IF('I_Budget Input Data'!$E$100="At Completion",IF(12='I_Inputs &amp; Assumptions'!$B$8,'I_Budget Input Data'!$D$100,0),'I_Budget Input Data'!$D$100/'I_Inputs &amp; Assumptions'!$B$8)))))),0)</f>
        <v>2215.3846153846152</v>
      </c>
      <c r="O100" s="91">
        <f>IF(13&lt;='I_Inputs &amp; Assumptions'!$B$8,IF('I_Budget Input Data'!$E$100="Upfront",IF(13=1,'I_Budget Input Data'!$D$100,0),IF('I_Budget Input Data'!$E$100="Equal",'I_Budget Input Data'!$D$100/'I_Inputs &amp; Assumptions'!$B$8,IF('I_Budget Input Data'!$E$100="Front-loaded",IF(13&lt;='I_Inputs &amp; Assumptions'!$B$8/2,'I_Budget Input Data'!$D$100*0.6/('I_Inputs &amp; Assumptions'!$B$8/2),'I_Budget Input Data'!$D$100*0.4/('I_Inputs &amp; Assumptions'!$B$8/2)),IF('I_Budget Input Data'!$E$100="Back-loaded",IF(13&lt;='I_Inputs &amp; Assumptions'!$B$8/2,'I_Budget Input Data'!$D$100*0.4/('I_Inputs &amp; Assumptions'!$B$8/2),'I_Budget Input Data'!$D$100*0.6/('I_Inputs &amp; Assumptions'!$B$8/2)),IF('I_Budget Input Data'!$E$100="Mid-weighted",IF(13&lt;='I_Inputs &amp; Assumptions'!$B$8/4,'I_Budget Input Data'!$D$100*0.2/('I_Inputs &amp; Assumptions'!$B$8/4),IF(13&lt;='I_Inputs &amp; Assumptions'!$B$8*0.75,'I_Budget Input Data'!$D$100*0.6/('I_Inputs &amp; Assumptions'!$B$8/2),'I_Budget Input Data'!$D$100*0.2/('I_Inputs &amp; Assumptions'!$B$8/4))),IF('I_Budget Input Data'!$E$100="At Completion",IF(13='I_Inputs &amp; Assumptions'!$B$8,'I_Budget Input Data'!$D$100,0),'I_Budget Input Data'!$D$100/'I_Inputs &amp; Assumptions'!$B$8)))))),0)</f>
        <v>2215.3846153846152</v>
      </c>
      <c r="P100" s="91">
        <f>IF(14&lt;='I_Inputs &amp; Assumptions'!$B$8,IF('I_Budget Input Data'!$E$100="Upfront",IF(14=1,'I_Budget Input Data'!$D$100,0),IF('I_Budget Input Data'!$E$100="Equal",'I_Budget Input Data'!$D$100/'I_Inputs &amp; Assumptions'!$B$8,IF('I_Budget Input Data'!$E$100="Front-loaded",IF(14&lt;='I_Inputs &amp; Assumptions'!$B$8/2,'I_Budget Input Data'!$D$100*0.6/('I_Inputs &amp; Assumptions'!$B$8/2),'I_Budget Input Data'!$D$100*0.4/('I_Inputs &amp; Assumptions'!$B$8/2)),IF('I_Budget Input Data'!$E$100="Back-loaded",IF(14&lt;='I_Inputs &amp; Assumptions'!$B$8/2,'I_Budget Input Data'!$D$100*0.4/('I_Inputs &amp; Assumptions'!$B$8/2),'I_Budget Input Data'!$D$100*0.6/('I_Inputs &amp; Assumptions'!$B$8/2)),IF('I_Budget Input Data'!$E$100="Mid-weighted",IF(14&lt;='I_Inputs &amp; Assumptions'!$B$8/4,'I_Budget Input Data'!$D$100*0.2/('I_Inputs &amp; Assumptions'!$B$8/4),IF(14&lt;='I_Inputs &amp; Assumptions'!$B$8*0.75,'I_Budget Input Data'!$D$100*0.6/('I_Inputs &amp; Assumptions'!$B$8/2),'I_Budget Input Data'!$D$100*0.2/('I_Inputs &amp; Assumptions'!$B$8/4))),IF('I_Budget Input Data'!$E$100="At Completion",IF(14='I_Inputs &amp; Assumptions'!$B$8,'I_Budget Input Data'!$D$100,0),'I_Budget Input Data'!$D$100/'I_Inputs &amp; Assumptions'!$B$8)))))),0)</f>
        <v>0</v>
      </c>
      <c r="Q100" s="91">
        <f>IF(15&lt;='I_Inputs &amp; Assumptions'!$B$8,IF('I_Budget Input Data'!$E$100="Upfront",IF(15=1,'I_Budget Input Data'!$D$100,0),IF('I_Budget Input Data'!$E$100="Equal",'I_Budget Input Data'!$D$100/'I_Inputs &amp; Assumptions'!$B$8,IF('I_Budget Input Data'!$E$100="Front-loaded",IF(15&lt;='I_Inputs &amp; Assumptions'!$B$8/2,'I_Budget Input Data'!$D$100*0.6/('I_Inputs &amp; Assumptions'!$B$8/2),'I_Budget Input Data'!$D$100*0.4/('I_Inputs &amp; Assumptions'!$B$8/2)),IF('I_Budget Input Data'!$E$100="Back-loaded",IF(15&lt;='I_Inputs &amp; Assumptions'!$B$8/2,'I_Budget Input Data'!$D$100*0.4/('I_Inputs &amp; Assumptions'!$B$8/2),'I_Budget Input Data'!$D$100*0.6/('I_Inputs &amp; Assumptions'!$B$8/2)),IF('I_Budget Input Data'!$E$100="Mid-weighted",IF(15&lt;='I_Inputs &amp; Assumptions'!$B$8/4,'I_Budget Input Data'!$D$100*0.2/('I_Inputs &amp; Assumptions'!$B$8/4),IF(15&lt;='I_Inputs &amp; Assumptions'!$B$8*0.75,'I_Budget Input Data'!$D$100*0.6/('I_Inputs &amp; Assumptions'!$B$8/2),'I_Budget Input Data'!$D$100*0.2/('I_Inputs &amp; Assumptions'!$B$8/4))),IF('I_Budget Input Data'!$E$100="At Completion",IF(15='I_Inputs &amp; Assumptions'!$B$8,'I_Budget Input Data'!$D$100,0),'I_Budget Input Data'!$D$100/'I_Inputs &amp; Assumptions'!$B$8)))))),0)</f>
        <v>0</v>
      </c>
      <c r="R100" s="91">
        <f>IF(16&lt;='I_Inputs &amp; Assumptions'!$B$8,IF('I_Budget Input Data'!$E$100="Upfront",IF(16=1,'I_Budget Input Data'!$D$100,0),IF('I_Budget Input Data'!$E$100="Equal",'I_Budget Input Data'!$D$100/'I_Inputs &amp; Assumptions'!$B$8,IF('I_Budget Input Data'!$E$100="Front-loaded",IF(16&lt;='I_Inputs &amp; Assumptions'!$B$8/2,'I_Budget Input Data'!$D$100*0.6/('I_Inputs &amp; Assumptions'!$B$8/2),'I_Budget Input Data'!$D$100*0.4/('I_Inputs &amp; Assumptions'!$B$8/2)),IF('I_Budget Input Data'!$E$100="Back-loaded",IF(16&lt;='I_Inputs &amp; Assumptions'!$B$8/2,'I_Budget Input Data'!$D$100*0.4/('I_Inputs &amp; Assumptions'!$B$8/2),'I_Budget Input Data'!$D$100*0.6/('I_Inputs &amp; Assumptions'!$B$8/2)),IF('I_Budget Input Data'!$E$100="Mid-weighted",IF(16&lt;='I_Inputs &amp; Assumptions'!$B$8/4,'I_Budget Input Data'!$D$100*0.2/('I_Inputs &amp; Assumptions'!$B$8/4),IF(16&lt;='I_Inputs &amp; Assumptions'!$B$8*0.75,'I_Budget Input Data'!$D$100*0.6/('I_Inputs &amp; Assumptions'!$B$8/2),'I_Budget Input Data'!$D$100*0.2/('I_Inputs &amp; Assumptions'!$B$8/4))),IF('I_Budget Input Data'!$E$100="At Completion",IF(16='I_Inputs &amp; Assumptions'!$B$8,'I_Budget Input Data'!$D$100,0),'I_Budget Input Data'!$D$100/'I_Inputs &amp; Assumptions'!$B$8)))))),0)</f>
        <v>0</v>
      </c>
      <c r="S100" s="91">
        <f>IF(17&lt;='I_Inputs &amp; Assumptions'!$B$8,IF('I_Budget Input Data'!$E$100="Upfront",IF(17=1,'I_Budget Input Data'!$D$100,0),IF('I_Budget Input Data'!$E$100="Equal",'I_Budget Input Data'!$D$100/'I_Inputs &amp; Assumptions'!$B$8,IF('I_Budget Input Data'!$E$100="Front-loaded",IF(17&lt;='I_Inputs &amp; Assumptions'!$B$8/2,'I_Budget Input Data'!$D$100*0.6/('I_Inputs &amp; Assumptions'!$B$8/2),'I_Budget Input Data'!$D$100*0.4/('I_Inputs &amp; Assumptions'!$B$8/2)),IF('I_Budget Input Data'!$E$100="Back-loaded",IF(17&lt;='I_Inputs &amp; Assumptions'!$B$8/2,'I_Budget Input Data'!$D$100*0.4/('I_Inputs &amp; Assumptions'!$B$8/2),'I_Budget Input Data'!$D$100*0.6/('I_Inputs &amp; Assumptions'!$B$8/2)),IF('I_Budget Input Data'!$E$100="Mid-weighted",IF(17&lt;='I_Inputs &amp; Assumptions'!$B$8/4,'I_Budget Input Data'!$D$100*0.2/('I_Inputs &amp; Assumptions'!$B$8/4),IF(17&lt;='I_Inputs &amp; Assumptions'!$B$8*0.75,'I_Budget Input Data'!$D$100*0.6/('I_Inputs &amp; Assumptions'!$B$8/2),'I_Budget Input Data'!$D$100*0.2/('I_Inputs &amp; Assumptions'!$B$8/4))),IF('I_Budget Input Data'!$E$100="At Completion",IF(17='I_Inputs &amp; Assumptions'!$B$8,'I_Budget Input Data'!$D$100,0),'I_Budget Input Data'!$D$100/'I_Inputs &amp; Assumptions'!$B$8)))))),0)</f>
        <v>0</v>
      </c>
      <c r="T100" s="91">
        <f>IF(18&lt;='I_Inputs &amp; Assumptions'!$B$8,IF('I_Budget Input Data'!$E$100="Upfront",IF(18=1,'I_Budget Input Data'!$D$100,0),IF('I_Budget Input Data'!$E$100="Equal",'I_Budget Input Data'!$D$100/'I_Inputs &amp; Assumptions'!$B$8,IF('I_Budget Input Data'!$E$100="Front-loaded",IF(18&lt;='I_Inputs &amp; Assumptions'!$B$8/2,'I_Budget Input Data'!$D$100*0.6/('I_Inputs &amp; Assumptions'!$B$8/2),'I_Budget Input Data'!$D$100*0.4/('I_Inputs &amp; Assumptions'!$B$8/2)),IF('I_Budget Input Data'!$E$100="Back-loaded",IF(18&lt;='I_Inputs &amp; Assumptions'!$B$8/2,'I_Budget Input Data'!$D$100*0.4/('I_Inputs &amp; Assumptions'!$B$8/2),'I_Budget Input Data'!$D$100*0.6/('I_Inputs &amp; Assumptions'!$B$8/2)),IF('I_Budget Input Data'!$E$100="Mid-weighted",IF(18&lt;='I_Inputs &amp; Assumptions'!$B$8/4,'I_Budget Input Data'!$D$100*0.2/('I_Inputs &amp; Assumptions'!$B$8/4),IF(18&lt;='I_Inputs &amp; Assumptions'!$B$8*0.75,'I_Budget Input Data'!$D$100*0.6/('I_Inputs &amp; Assumptions'!$B$8/2),'I_Budget Input Data'!$D$100*0.2/('I_Inputs &amp; Assumptions'!$B$8/4))),IF('I_Budget Input Data'!$E$100="At Completion",IF(18='I_Inputs &amp; Assumptions'!$B$8,'I_Budget Input Data'!$D$100,0),'I_Budget Input Data'!$D$100/'I_Inputs &amp; Assumptions'!$B$8)))))),0)</f>
        <v>0</v>
      </c>
      <c r="U100" s="91">
        <f>IF(19&lt;='I_Inputs &amp; Assumptions'!$B$8,IF('I_Budget Input Data'!$E$100="Upfront",IF(19=1,'I_Budget Input Data'!$D$100,0),IF('I_Budget Input Data'!$E$100="Equal",'I_Budget Input Data'!$D$100/'I_Inputs &amp; Assumptions'!$B$8,IF('I_Budget Input Data'!$E$100="Front-loaded",IF(19&lt;='I_Inputs &amp; Assumptions'!$B$8/2,'I_Budget Input Data'!$D$100*0.6/('I_Inputs &amp; Assumptions'!$B$8/2),'I_Budget Input Data'!$D$100*0.4/('I_Inputs &amp; Assumptions'!$B$8/2)),IF('I_Budget Input Data'!$E$100="Back-loaded",IF(19&lt;='I_Inputs &amp; Assumptions'!$B$8/2,'I_Budget Input Data'!$D$100*0.4/('I_Inputs &amp; Assumptions'!$B$8/2),'I_Budget Input Data'!$D$100*0.6/('I_Inputs &amp; Assumptions'!$B$8/2)),IF('I_Budget Input Data'!$E$100="Mid-weighted",IF(19&lt;='I_Inputs &amp; Assumptions'!$B$8/4,'I_Budget Input Data'!$D$100*0.2/('I_Inputs &amp; Assumptions'!$B$8/4),IF(19&lt;='I_Inputs &amp; Assumptions'!$B$8*0.75,'I_Budget Input Data'!$D$100*0.6/('I_Inputs &amp; Assumptions'!$B$8/2),'I_Budget Input Data'!$D$100*0.2/('I_Inputs &amp; Assumptions'!$B$8/4))),IF('I_Budget Input Data'!$E$100="At Completion",IF(19='I_Inputs &amp; Assumptions'!$B$8,'I_Budget Input Data'!$D$100,0),'I_Budget Input Data'!$D$100/'I_Inputs &amp; Assumptions'!$B$8)))))),0)</f>
        <v>0</v>
      </c>
      <c r="V100" s="91">
        <f>IF(20&lt;='I_Inputs &amp; Assumptions'!$B$8,IF('I_Budget Input Data'!$E$100="Upfront",IF(20=1,'I_Budget Input Data'!$D$100,0),IF('I_Budget Input Data'!$E$100="Equal",'I_Budget Input Data'!$D$100/'I_Inputs &amp; Assumptions'!$B$8,IF('I_Budget Input Data'!$E$100="Front-loaded",IF(20&lt;='I_Inputs &amp; Assumptions'!$B$8/2,'I_Budget Input Data'!$D$100*0.6/('I_Inputs &amp; Assumptions'!$B$8/2),'I_Budget Input Data'!$D$100*0.4/('I_Inputs &amp; Assumptions'!$B$8/2)),IF('I_Budget Input Data'!$E$100="Back-loaded",IF(20&lt;='I_Inputs &amp; Assumptions'!$B$8/2,'I_Budget Input Data'!$D$100*0.4/('I_Inputs &amp; Assumptions'!$B$8/2),'I_Budget Input Data'!$D$100*0.6/('I_Inputs &amp; Assumptions'!$B$8/2)),IF('I_Budget Input Data'!$E$100="Mid-weighted",IF(20&lt;='I_Inputs &amp; Assumptions'!$B$8/4,'I_Budget Input Data'!$D$100*0.2/('I_Inputs &amp; Assumptions'!$B$8/4),IF(20&lt;='I_Inputs &amp; Assumptions'!$B$8*0.75,'I_Budget Input Data'!$D$100*0.6/('I_Inputs &amp; Assumptions'!$B$8/2),'I_Budget Input Data'!$D$100*0.2/('I_Inputs &amp; Assumptions'!$B$8/4))),IF('I_Budget Input Data'!$E$100="At Completion",IF(20='I_Inputs &amp; Assumptions'!$B$8,'I_Budget Input Data'!$D$100,0),'I_Budget Input Data'!$D$100/'I_Inputs &amp; Assumptions'!$B$8)))))),0)</f>
        <v>0</v>
      </c>
      <c r="W100" s="91">
        <f>IF(21&lt;='I_Inputs &amp; Assumptions'!$B$8,IF('I_Budget Input Data'!$E$100="Upfront",IF(21=1,'I_Budget Input Data'!$D$100,0),IF('I_Budget Input Data'!$E$100="Equal",'I_Budget Input Data'!$D$100/'I_Inputs &amp; Assumptions'!$B$8,IF('I_Budget Input Data'!$E$100="Front-loaded",IF(21&lt;='I_Inputs &amp; Assumptions'!$B$8/2,'I_Budget Input Data'!$D$100*0.6/('I_Inputs &amp; Assumptions'!$B$8/2),'I_Budget Input Data'!$D$100*0.4/('I_Inputs &amp; Assumptions'!$B$8/2)),IF('I_Budget Input Data'!$E$100="Back-loaded",IF(21&lt;='I_Inputs &amp; Assumptions'!$B$8/2,'I_Budget Input Data'!$D$100*0.4/('I_Inputs &amp; Assumptions'!$B$8/2),'I_Budget Input Data'!$D$100*0.6/('I_Inputs &amp; Assumptions'!$B$8/2)),IF('I_Budget Input Data'!$E$100="Mid-weighted",IF(21&lt;='I_Inputs &amp; Assumptions'!$B$8/4,'I_Budget Input Data'!$D$100*0.2/('I_Inputs &amp; Assumptions'!$B$8/4),IF(21&lt;='I_Inputs &amp; Assumptions'!$B$8*0.75,'I_Budget Input Data'!$D$100*0.6/('I_Inputs &amp; Assumptions'!$B$8/2),'I_Budget Input Data'!$D$100*0.2/('I_Inputs &amp; Assumptions'!$B$8/4))),IF('I_Budget Input Data'!$E$100="At Completion",IF(21='I_Inputs &amp; Assumptions'!$B$8,'I_Budget Input Data'!$D$100,0),'I_Budget Input Data'!$D$100/'I_Inputs &amp; Assumptions'!$B$8)))))),0)</f>
        <v>0</v>
      </c>
      <c r="X100" s="91">
        <f>IF(22&lt;='I_Inputs &amp; Assumptions'!$B$8,IF('I_Budget Input Data'!$E$100="Upfront",IF(22=1,'I_Budget Input Data'!$D$100,0),IF('I_Budget Input Data'!$E$100="Equal",'I_Budget Input Data'!$D$100/'I_Inputs &amp; Assumptions'!$B$8,IF('I_Budget Input Data'!$E$100="Front-loaded",IF(22&lt;='I_Inputs &amp; Assumptions'!$B$8/2,'I_Budget Input Data'!$D$100*0.6/('I_Inputs &amp; Assumptions'!$B$8/2),'I_Budget Input Data'!$D$100*0.4/('I_Inputs &amp; Assumptions'!$B$8/2)),IF('I_Budget Input Data'!$E$100="Back-loaded",IF(22&lt;='I_Inputs &amp; Assumptions'!$B$8/2,'I_Budget Input Data'!$D$100*0.4/('I_Inputs &amp; Assumptions'!$B$8/2),'I_Budget Input Data'!$D$100*0.6/('I_Inputs &amp; Assumptions'!$B$8/2)),IF('I_Budget Input Data'!$E$100="Mid-weighted",IF(22&lt;='I_Inputs &amp; Assumptions'!$B$8/4,'I_Budget Input Data'!$D$100*0.2/('I_Inputs &amp; Assumptions'!$B$8/4),IF(22&lt;='I_Inputs &amp; Assumptions'!$B$8*0.75,'I_Budget Input Data'!$D$100*0.6/('I_Inputs &amp; Assumptions'!$B$8/2),'I_Budget Input Data'!$D$100*0.2/('I_Inputs &amp; Assumptions'!$B$8/4))),IF('I_Budget Input Data'!$E$100="At Completion",IF(22='I_Inputs &amp; Assumptions'!$B$8,'I_Budget Input Data'!$D$100,0),'I_Budget Input Data'!$D$100/'I_Inputs &amp; Assumptions'!$B$8)))))),0)</f>
        <v>0</v>
      </c>
      <c r="Y100" s="91">
        <f>IF(23&lt;='I_Inputs &amp; Assumptions'!$B$8,IF('I_Budget Input Data'!$E$100="Upfront",IF(23=1,'I_Budget Input Data'!$D$100,0),IF('I_Budget Input Data'!$E$100="Equal",'I_Budget Input Data'!$D$100/'I_Inputs &amp; Assumptions'!$B$8,IF('I_Budget Input Data'!$E$100="Front-loaded",IF(23&lt;='I_Inputs &amp; Assumptions'!$B$8/2,'I_Budget Input Data'!$D$100*0.6/('I_Inputs &amp; Assumptions'!$B$8/2),'I_Budget Input Data'!$D$100*0.4/('I_Inputs &amp; Assumptions'!$B$8/2)),IF('I_Budget Input Data'!$E$100="Back-loaded",IF(23&lt;='I_Inputs &amp; Assumptions'!$B$8/2,'I_Budget Input Data'!$D$100*0.4/('I_Inputs &amp; Assumptions'!$B$8/2),'I_Budget Input Data'!$D$100*0.6/('I_Inputs &amp; Assumptions'!$B$8/2)),IF('I_Budget Input Data'!$E$100="Mid-weighted",IF(23&lt;='I_Inputs &amp; Assumptions'!$B$8/4,'I_Budget Input Data'!$D$100*0.2/('I_Inputs &amp; Assumptions'!$B$8/4),IF(23&lt;='I_Inputs &amp; Assumptions'!$B$8*0.75,'I_Budget Input Data'!$D$100*0.6/('I_Inputs &amp; Assumptions'!$B$8/2),'I_Budget Input Data'!$D$100*0.2/('I_Inputs &amp; Assumptions'!$B$8/4))),IF('I_Budget Input Data'!$E$100="At Completion",IF(23='I_Inputs &amp; Assumptions'!$B$8,'I_Budget Input Data'!$D$100,0),'I_Budget Input Data'!$D$100/'I_Inputs &amp; Assumptions'!$B$8)))))),0)</f>
        <v>0</v>
      </c>
      <c r="Z100" s="91">
        <f>IF(24&lt;='I_Inputs &amp; Assumptions'!$B$8,IF('I_Budget Input Data'!$E$100="Upfront",IF(24=1,'I_Budget Input Data'!$D$100,0),IF('I_Budget Input Data'!$E$100="Equal",'I_Budget Input Data'!$D$100/'I_Inputs &amp; Assumptions'!$B$8,IF('I_Budget Input Data'!$E$100="Front-loaded",IF(24&lt;='I_Inputs &amp; Assumptions'!$B$8/2,'I_Budget Input Data'!$D$100*0.6/('I_Inputs &amp; Assumptions'!$B$8/2),'I_Budget Input Data'!$D$100*0.4/('I_Inputs &amp; Assumptions'!$B$8/2)),IF('I_Budget Input Data'!$E$100="Back-loaded",IF(24&lt;='I_Inputs &amp; Assumptions'!$B$8/2,'I_Budget Input Data'!$D$100*0.4/('I_Inputs &amp; Assumptions'!$B$8/2),'I_Budget Input Data'!$D$100*0.6/('I_Inputs &amp; Assumptions'!$B$8/2)),IF('I_Budget Input Data'!$E$100="Mid-weighted",IF(24&lt;='I_Inputs &amp; Assumptions'!$B$8/4,'I_Budget Input Data'!$D$100*0.2/('I_Inputs &amp; Assumptions'!$B$8/4),IF(24&lt;='I_Inputs &amp; Assumptions'!$B$8*0.75,'I_Budget Input Data'!$D$100*0.6/('I_Inputs &amp; Assumptions'!$B$8/2),'I_Budget Input Data'!$D$100*0.2/('I_Inputs &amp; Assumptions'!$B$8/4))),IF('I_Budget Input Data'!$E$100="At Completion",IF(24='I_Inputs &amp; Assumptions'!$B$8,'I_Budget Input Data'!$D$100,0),'I_Budget Input Data'!$D$100/'I_Inputs &amp; Assumptions'!$B$8)))))),0)</f>
        <v>0</v>
      </c>
      <c r="AA100" s="91">
        <f>IF(25&lt;='I_Inputs &amp; Assumptions'!$B$8,IF('I_Budget Input Data'!$E$100="Upfront",IF(25=1,'I_Budget Input Data'!$D$100,0),IF('I_Budget Input Data'!$E$100="Equal",'I_Budget Input Data'!$D$100/'I_Inputs &amp; Assumptions'!$B$8,IF('I_Budget Input Data'!$E$100="Front-loaded",IF(25&lt;='I_Inputs &amp; Assumptions'!$B$8/2,'I_Budget Input Data'!$D$100*0.6/('I_Inputs &amp; Assumptions'!$B$8/2),'I_Budget Input Data'!$D$100*0.4/('I_Inputs &amp; Assumptions'!$B$8/2)),IF('I_Budget Input Data'!$E$100="Back-loaded",IF(25&lt;='I_Inputs &amp; Assumptions'!$B$8/2,'I_Budget Input Data'!$D$100*0.4/('I_Inputs &amp; Assumptions'!$B$8/2),'I_Budget Input Data'!$D$100*0.6/('I_Inputs &amp; Assumptions'!$B$8/2)),IF('I_Budget Input Data'!$E$100="Mid-weighted",IF(25&lt;='I_Inputs &amp; Assumptions'!$B$8/4,'I_Budget Input Data'!$D$100*0.2/('I_Inputs &amp; Assumptions'!$B$8/4),IF(25&lt;='I_Inputs &amp; Assumptions'!$B$8*0.75,'I_Budget Input Data'!$D$100*0.6/('I_Inputs &amp; Assumptions'!$B$8/2),'I_Budget Input Data'!$D$100*0.2/('I_Inputs &amp; Assumptions'!$B$8/4))),IF('I_Budget Input Data'!$E$100="At Completion",IF(25='I_Inputs &amp; Assumptions'!$B$8,'I_Budget Input Data'!$D$100,0),'I_Budget Input Data'!$D$100/'I_Inputs &amp; Assumptions'!$B$8)))))),0)</f>
        <v>0</v>
      </c>
      <c r="AB100" s="91">
        <f>IF(26&lt;='I_Inputs &amp; Assumptions'!$B$8,IF('I_Budget Input Data'!$E$100="Upfront",IF(26=1,'I_Budget Input Data'!$D$100,0),IF('I_Budget Input Data'!$E$100="Equal",'I_Budget Input Data'!$D$100/'I_Inputs &amp; Assumptions'!$B$8,IF('I_Budget Input Data'!$E$100="Front-loaded",IF(26&lt;='I_Inputs &amp; Assumptions'!$B$8/2,'I_Budget Input Data'!$D$100*0.6/('I_Inputs &amp; Assumptions'!$B$8/2),'I_Budget Input Data'!$D$100*0.4/('I_Inputs &amp; Assumptions'!$B$8/2)),IF('I_Budget Input Data'!$E$100="Back-loaded",IF(26&lt;='I_Inputs &amp; Assumptions'!$B$8/2,'I_Budget Input Data'!$D$100*0.4/('I_Inputs &amp; Assumptions'!$B$8/2),'I_Budget Input Data'!$D$100*0.6/('I_Inputs &amp; Assumptions'!$B$8/2)),IF('I_Budget Input Data'!$E$100="Mid-weighted",IF(26&lt;='I_Inputs &amp; Assumptions'!$B$8/4,'I_Budget Input Data'!$D$100*0.2/('I_Inputs &amp; Assumptions'!$B$8/4),IF(26&lt;='I_Inputs &amp; Assumptions'!$B$8*0.75,'I_Budget Input Data'!$D$100*0.6/('I_Inputs &amp; Assumptions'!$B$8/2),'I_Budget Input Data'!$D$100*0.2/('I_Inputs &amp; Assumptions'!$B$8/4))),IF('I_Budget Input Data'!$E$100="At Completion",IF(26='I_Inputs &amp; Assumptions'!$B$8,'I_Budget Input Data'!$D$100,0),'I_Budget Input Data'!$D$100/'I_Inputs &amp; Assumptions'!$B$8)))))),0)</f>
        <v>0</v>
      </c>
      <c r="AC100" s="91">
        <f>IF(27&lt;='I_Inputs &amp; Assumptions'!$B$8,IF('I_Budget Input Data'!$E$100="Upfront",IF(27=1,'I_Budget Input Data'!$D$100,0),IF('I_Budget Input Data'!$E$100="Equal",'I_Budget Input Data'!$D$100/'I_Inputs &amp; Assumptions'!$B$8,IF('I_Budget Input Data'!$E$100="Front-loaded",IF(27&lt;='I_Inputs &amp; Assumptions'!$B$8/2,'I_Budget Input Data'!$D$100*0.6/('I_Inputs &amp; Assumptions'!$B$8/2),'I_Budget Input Data'!$D$100*0.4/('I_Inputs &amp; Assumptions'!$B$8/2)),IF('I_Budget Input Data'!$E$100="Back-loaded",IF(27&lt;='I_Inputs &amp; Assumptions'!$B$8/2,'I_Budget Input Data'!$D$100*0.4/('I_Inputs &amp; Assumptions'!$B$8/2),'I_Budget Input Data'!$D$100*0.6/('I_Inputs &amp; Assumptions'!$B$8/2)),IF('I_Budget Input Data'!$E$100="Mid-weighted",IF(27&lt;='I_Inputs &amp; Assumptions'!$B$8/4,'I_Budget Input Data'!$D$100*0.2/('I_Inputs &amp; Assumptions'!$B$8/4),IF(27&lt;='I_Inputs &amp; Assumptions'!$B$8*0.75,'I_Budget Input Data'!$D$100*0.6/('I_Inputs &amp; Assumptions'!$B$8/2),'I_Budget Input Data'!$D$100*0.2/('I_Inputs &amp; Assumptions'!$B$8/4))),IF('I_Budget Input Data'!$E$100="At Completion",IF(27='I_Inputs &amp; Assumptions'!$B$8,'I_Budget Input Data'!$D$100,0),'I_Budget Input Data'!$D$100/'I_Inputs &amp; Assumptions'!$B$8)))))),0)</f>
        <v>0</v>
      </c>
      <c r="AD100" s="91">
        <f>IF(28&lt;='I_Inputs &amp; Assumptions'!$B$8,IF('I_Budget Input Data'!$E$100="Upfront",IF(28=1,'I_Budget Input Data'!$D$100,0),IF('I_Budget Input Data'!$E$100="Equal",'I_Budget Input Data'!$D$100/'I_Inputs &amp; Assumptions'!$B$8,IF('I_Budget Input Data'!$E$100="Front-loaded",IF(28&lt;='I_Inputs &amp; Assumptions'!$B$8/2,'I_Budget Input Data'!$D$100*0.6/('I_Inputs &amp; Assumptions'!$B$8/2),'I_Budget Input Data'!$D$100*0.4/('I_Inputs &amp; Assumptions'!$B$8/2)),IF('I_Budget Input Data'!$E$100="Back-loaded",IF(28&lt;='I_Inputs &amp; Assumptions'!$B$8/2,'I_Budget Input Data'!$D$100*0.4/('I_Inputs &amp; Assumptions'!$B$8/2),'I_Budget Input Data'!$D$100*0.6/('I_Inputs &amp; Assumptions'!$B$8/2)),IF('I_Budget Input Data'!$E$100="Mid-weighted",IF(28&lt;='I_Inputs &amp; Assumptions'!$B$8/4,'I_Budget Input Data'!$D$100*0.2/('I_Inputs &amp; Assumptions'!$B$8/4),IF(28&lt;='I_Inputs &amp; Assumptions'!$B$8*0.75,'I_Budget Input Data'!$D$100*0.6/('I_Inputs &amp; Assumptions'!$B$8/2),'I_Budget Input Data'!$D$100*0.2/('I_Inputs &amp; Assumptions'!$B$8/4))),IF('I_Budget Input Data'!$E$100="At Completion",IF(28='I_Inputs &amp; Assumptions'!$B$8,'I_Budget Input Data'!$D$100,0),'I_Budget Input Data'!$D$100/'I_Inputs &amp; Assumptions'!$B$8)))))),0)</f>
        <v>0</v>
      </c>
      <c r="AE100" s="91">
        <f>IF(29&lt;='I_Inputs &amp; Assumptions'!$B$8,IF('I_Budget Input Data'!$E$100="Upfront",IF(29=1,'I_Budget Input Data'!$D$100,0),IF('I_Budget Input Data'!$E$100="Equal",'I_Budget Input Data'!$D$100/'I_Inputs &amp; Assumptions'!$B$8,IF('I_Budget Input Data'!$E$100="Front-loaded",IF(29&lt;='I_Inputs &amp; Assumptions'!$B$8/2,'I_Budget Input Data'!$D$100*0.6/('I_Inputs &amp; Assumptions'!$B$8/2),'I_Budget Input Data'!$D$100*0.4/('I_Inputs &amp; Assumptions'!$B$8/2)),IF('I_Budget Input Data'!$E$100="Back-loaded",IF(29&lt;='I_Inputs &amp; Assumptions'!$B$8/2,'I_Budget Input Data'!$D$100*0.4/('I_Inputs &amp; Assumptions'!$B$8/2),'I_Budget Input Data'!$D$100*0.6/('I_Inputs &amp; Assumptions'!$B$8/2)),IF('I_Budget Input Data'!$E$100="Mid-weighted",IF(29&lt;='I_Inputs &amp; Assumptions'!$B$8/4,'I_Budget Input Data'!$D$100*0.2/('I_Inputs &amp; Assumptions'!$B$8/4),IF(29&lt;='I_Inputs &amp; Assumptions'!$B$8*0.75,'I_Budget Input Data'!$D$100*0.6/('I_Inputs &amp; Assumptions'!$B$8/2),'I_Budget Input Data'!$D$100*0.2/('I_Inputs &amp; Assumptions'!$B$8/4))),IF('I_Budget Input Data'!$E$100="At Completion",IF(29='I_Inputs &amp; Assumptions'!$B$8,'I_Budget Input Data'!$D$100,0),'I_Budget Input Data'!$D$100/'I_Inputs &amp; Assumptions'!$B$8)))))),0)</f>
        <v>0</v>
      </c>
      <c r="AF100" s="91">
        <f>IF(30&lt;='I_Inputs &amp; Assumptions'!$B$8,IF('I_Budget Input Data'!$E$100="Upfront",IF(30=1,'I_Budget Input Data'!$D$100,0),IF('I_Budget Input Data'!$E$100="Equal",'I_Budget Input Data'!$D$100/'I_Inputs &amp; Assumptions'!$B$8,IF('I_Budget Input Data'!$E$100="Front-loaded",IF(30&lt;='I_Inputs &amp; Assumptions'!$B$8/2,'I_Budget Input Data'!$D$100*0.6/('I_Inputs &amp; Assumptions'!$B$8/2),'I_Budget Input Data'!$D$100*0.4/('I_Inputs &amp; Assumptions'!$B$8/2)),IF('I_Budget Input Data'!$E$100="Back-loaded",IF(30&lt;='I_Inputs &amp; Assumptions'!$B$8/2,'I_Budget Input Data'!$D$100*0.4/('I_Inputs &amp; Assumptions'!$B$8/2),'I_Budget Input Data'!$D$100*0.6/('I_Inputs &amp; Assumptions'!$B$8/2)),IF('I_Budget Input Data'!$E$100="Mid-weighted",IF(30&lt;='I_Inputs &amp; Assumptions'!$B$8/4,'I_Budget Input Data'!$D$100*0.2/('I_Inputs &amp; Assumptions'!$B$8/4),IF(30&lt;='I_Inputs &amp; Assumptions'!$B$8*0.75,'I_Budget Input Data'!$D$100*0.6/('I_Inputs &amp; Assumptions'!$B$8/2),'I_Budget Input Data'!$D$100*0.2/('I_Inputs &amp; Assumptions'!$B$8/4))),IF('I_Budget Input Data'!$E$100="At Completion",IF(30='I_Inputs &amp; Assumptions'!$B$8,'I_Budget Input Data'!$D$100,0),'I_Budget Input Data'!$D$100/'I_Inputs &amp; Assumptions'!$B$8)))))),0)</f>
        <v>0</v>
      </c>
      <c r="AG100" s="91">
        <f>IF(31&lt;='I_Inputs &amp; Assumptions'!$B$8,IF('I_Budget Input Data'!$E$100="Upfront",IF(31=1,'I_Budget Input Data'!$D$100,0),IF('I_Budget Input Data'!$E$100="Equal",'I_Budget Input Data'!$D$100/'I_Inputs &amp; Assumptions'!$B$8,IF('I_Budget Input Data'!$E$100="Front-loaded",IF(31&lt;='I_Inputs &amp; Assumptions'!$B$8/2,'I_Budget Input Data'!$D$100*0.6/('I_Inputs &amp; Assumptions'!$B$8/2),'I_Budget Input Data'!$D$100*0.4/('I_Inputs &amp; Assumptions'!$B$8/2)),IF('I_Budget Input Data'!$E$100="Back-loaded",IF(31&lt;='I_Inputs &amp; Assumptions'!$B$8/2,'I_Budget Input Data'!$D$100*0.4/('I_Inputs &amp; Assumptions'!$B$8/2),'I_Budget Input Data'!$D$100*0.6/('I_Inputs &amp; Assumptions'!$B$8/2)),IF('I_Budget Input Data'!$E$100="Mid-weighted",IF(31&lt;='I_Inputs &amp; Assumptions'!$B$8/4,'I_Budget Input Data'!$D$100*0.2/('I_Inputs &amp; Assumptions'!$B$8/4),IF(31&lt;='I_Inputs &amp; Assumptions'!$B$8*0.75,'I_Budget Input Data'!$D$100*0.6/('I_Inputs &amp; Assumptions'!$B$8/2),'I_Budget Input Data'!$D$100*0.2/('I_Inputs &amp; Assumptions'!$B$8/4))),IF('I_Budget Input Data'!$E$100="At Completion",IF(31='I_Inputs &amp; Assumptions'!$B$8,'I_Budget Input Data'!$D$100,0),'I_Budget Input Data'!$D$100/'I_Inputs &amp; Assumptions'!$B$8)))))),0)</f>
        <v>0</v>
      </c>
      <c r="AH100" s="91">
        <f>IF(32&lt;='I_Inputs &amp; Assumptions'!$B$8,IF('I_Budget Input Data'!$E$100="Upfront",IF(32=1,'I_Budget Input Data'!$D$100,0),IF('I_Budget Input Data'!$E$100="Equal",'I_Budget Input Data'!$D$100/'I_Inputs &amp; Assumptions'!$B$8,IF('I_Budget Input Data'!$E$100="Front-loaded",IF(32&lt;='I_Inputs &amp; Assumptions'!$B$8/2,'I_Budget Input Data'!$D$100*0.6/('I_Inputs &amp; Assumptions'!$B$8/2),'I_Budget Input Data'!$D$100*0.4/('I_Inputs &amp; Assumptions'!$B$8/2)),IF('I_Budget Input Data'!$E$100="Back-loaded",IF(32&lt;='I_Inputs &amp; Assumptions'!$B$8/2,'I_Budget Input Data'!$D$100*0.4/('I_Inputs &amp; Assumptions'!$B$8/2),'I_Budget Input Data'!$D$100*0.6/('I_Inputs &amp; Assumptions'!$B$8/2)),IF('I_Budget Input Data'!$E$100="Mid-weighted",IF(32&lt;='I_Inputs &amp; Assumptions'!$B$8/4,'I_Budget Input Data'!$D$100*0.2/('I_Inputs &amp; Assumptions'!$B$8/4),IF(32&lt;='I_Inputs &amp; Assumptions'!$B$8*0.75,'I_Budget Input Data'!$D$100*0.6/('I_Inputs &amp; Assumptions'!$B$8/2),'I_Budget Input Data'!$D$100*0.2/('I_Inputs &amp; Assumptions'!$B$8/4))),IF('I_Budget Input Data'!$E$100="At Completion",IF(32='I_Inputs &amp; Assumptions'!$B$8,'I_Budget Input Data'!$D$100,0),'I_Budget Input Data'!$D$100/'I_Inputs &amp; Assumptions'!$B$8)))))),0)</f>
        <v>0</v>
      </c>
      <c r="AI100" s="91">
        <f>IF(33&lt;='I_Inputs &amp; Assumptions'!$B$8,IF('I_Budget Input Data'!$E$100="Upfront",IF(33=1,'I_Budget Input Data'!$D$100,0),IF('I_Budget Input Data'!$E$100="Equal",'I_Budget Input Data'!$D$100/'I_Inputs &amp; Assumptions'!$B$8,IF('I_Budget Input Data'!$E$100="Front-loaded",IF(33&lt;='I_Inputs &amp; Assumptions'!$B$8/2,'I_Budget Input Data'!$D$100*0.6/('I_Inputs &amp; Assumptions'!$B$8/2),'I_Budget Input Data'!$D$100*0.4/('I_Inputs &amp; Assumptions'!$B$8/2)),IF('I_Budget Input Data'!$E$100="Back-loaded",IF(33&lt;='I_Inputs &amp; Assumptions'!$B$8/2,'I_Budget Input Data'!$D$100*0.4/('I_Inputs &amp; Assumptions'!$B$8/2),'I_Budget Input Data'!$D$100*0.6/('I_Inputs &amp; Assumptions'!$B$8/2)),IF('I_Budget Input Data'!$E$100="Mid-weighted",IF(33&lt;='I_Inputs &amp; Assumptions'!$B$8/4,'I_Budget Input Data'!$D$100*0.2/('I_Inputs &amp; Assumptions'!$B$8/4),IF(33&lt;='I_Inputs &amp; Assumptions'!$B$8*0.75,'I_Budget Input Data'!$D$100*0.6/('I_Inputs &amp; Assumptions'!$B$8/2),'I_Budget Input Data'!$D$100*0.2/('I_Inputs &amp; Assumptions'!$B$8/4))),IF('I_Budget Input Data'!$E$100="At Completion",IF(33='I_Inputs &amp; Assumptions'!$B$8,'I_Budget Input Data'!$D$100,0),'I_Budget Input Data'!$D$100/'I_Inputs &amp; Assumptions'!$B$8)))))),0)</f>
        <v>0</v>
      </c>
      <c r="AJ100" s="91">
        <f>IF(34&lt;='I_Inputs &amp; Assumptions'!$B$8,IF('I_Budget Input Data'!$E$100="Upfront",IF(34=1,'I_Budget Input Data'!$D$100,0),IF('I_Budget Input Data'!$E$100="Equal",'I_Budget Input Data'!$D$100/'I_Inputs &amp; Assumptions'!$B$8,IF('I_Budget Input Data'!$E$100="Front-loaded",IF(34&lt;='I_Inputs &amp; Assumptions'!$B$8/2,'I_Budget Input Data'!$D$100*0.6/('I_Inputs &amp; Assumptions'!$B$8/2),'I_Budget Input Data'!$D$100*0.4/('I_Inputs &amp; Assumptions'!$B$8/2)),IF('I_Budget Input Data'!$E$100="Back-loaded",IF(34&lt;='I_Inputs &amp; Assumptions'!$B$8/2,'I_Budget Input Data'!$D$100*0.4/('I_Inputs &amp; Assumptions'!$B$8/2),'I_Budget Input Data'!$D$100*0.6/('I_Inputs &amp; Assumptions'!$B$8/2)),IF('I_Budget Input Data'!$E$100="Mid-weighted",IF(34&lt;='I_Inputs &amp; Assumptions'!$B$8/4,'I_Budget Input Data'!$D$100*0.2/('I_Inputs &amp; Assumptions'!$B$8/4),IF(34&lt;='I_Inputs &amp; Assumptions'!$B$8*0.75,'I_Budget Input Data'!$D$100*0.6/('I_Inputs &amp; Assumptions'!$B$8/2),'I_Budget Input Data'!$D$100*0.2/('I_Inputs &amp; Assumptions'!$B$8/4))),IF('I_Budget Input Data'!$E$100="At Completion",IF(34='I_Inputs &amp; Assumptions'!$B$8,'I_Budget Input Data'!$D$100,0),'I_Budget Input Data'!$D$100/'I_Inputs &amp; Assumptions'!$B$8)))))),0)</f>
        <v>0</v>
      </c>
      <c r="AK100" s="91">
        <f>IF(35&lt;='I_Inputs &amp; Assumptions'!$B$8,IF('I_Budget Input Data'!$E$100="Upfront",IF(35=1,'I_Budget Input Data'!$D$100,0),IF('I_Budget Input Data'!$E$100="Equal",'I_Budget Input Data'!$D$100/'I_Inputs &amp; Assumptions'!$B$8,IF('I_Budget Input Data'!$E$100="Front-loaded",IF(35&lt;='I_Inputs &amp; Assumptions'!$B$8/2,'I_Budget Input Data'!$D$100*0.6/('I_Inputs &amp; Assumptions'!$B$8/2),'I_Budget Input Data'!$D$100*0.4/('I_Inputs &amp; Assumptions'!$B$8/2)),IF('I_Budget Input Data'!$E$100="Back-loaded",IF(35&lt;='I_Inputs &amp; Assumptions'!$B$8/2,'I_Budget Input Data'!$D$100*0.4/('I_Inputs &amp; Assumptions'!$B$8/2),'I_Budget Input Data'!$D$100*0.6/('I_Inputs &amp; Assumptions'!$B$8/2)),IF('I_Budget Input Data'!$E$100="Mid-weighted",IF(35&lt;='I_Inputs &amp; Assumptions'!$B$8/4,'I_Budget Input Data'!$D$100*0.2/('I_Inputs &amp; Assumptions'!$B$8/4),IF(35&lt;='I_Inputs &amp; Assumptions'!$B$8*0.75,'I_Budget Input Data'!$D$100*0.6/('I_Inputs &amp; Assumptions'!$B$8/2),'I_Budget Input Data'!$D$100*0.2/('I_Inputs &amp; Assumptions'!$B$8/4))),IF('I_Budget Input Data'!$E$100="At Completion",IF(35='I_Inputs &amp; Assumptions'!$B$8,'I_Budget Input Data'!$D$100,0),'I_Budget Input Data'!$D$100/'I_Inputs &amp; Assumptions'!$B$8)))))),0)</f>
        <v>0</v>
      </c>
      <c r="AL100" s="91">
        <f>IF(36&lt;='I_Inputs &amp; Assumptions'!$B$8,IF('I_Budget Input Data'!$E$100="Upfront",IF(36=1,'I_Budget Input Data'!$D$100,0),IF('I_Budget Input Data'!$E$100="Equal",'I_Budget Input Data'!$D$100/'I_Inputs &amp; Assumptions'!$B$8,IF('I_Budget Input Data'!$E$100="Front-loaded",IF(36&lt;='I_Inputs &amp; Assumptions'!$B$8/2,'I_Budget Input Data'!$D$100*0.6/('I_Inputs &amp; Assumptions'!$B$8/2),'I_Budget Input Data'!$D$100*0.4/('I_Inputs &amp; Assumptions'!$B$8/2)),IF('I_Budget Input Data'!$E$100="Back-loaded",IF(36&lt;='I_Inputs &amp; Assumptions'!$B$8/2,'I_Budget Input Data'!$D$100*0.4/('I_Inputs &amp; Assumptions'!$B$8/2),'I_Budget Input Data'!$D$100*0.6/('I_Inputs &amp; Assumptions'!$B$8/2)),IF('I_Budget Input Data'!$E$100="Mid-weighted",IF(36&lt;='I_Inputs &amp; Assumptions'!$B$8/4,'I_Budget Input Data'!$D$100*0.2/('I_Inputs &amp; Assumptions'!$B$8/4),IF(36&lt;='I_Inputs &amp; Assumptions'!$B$8*0.75,'I_Budget Input Data'!$D$100*0.6/('I_Inputs &amp; Assumptions'!$B$8/2),'I_Budget Input Data'!$D$100*0.2/('I_Inputs &amp; Assumptions'!$B$8/4))),IF('I_Budget Input Data'!$E$100="At Completion",IF(36='I_Inputs &amp; Assumptions'!$B$8,'I_Budget Input Data'!$D$100,0),'I_Budget Input Data'!$D$100/'I_Inputs &amp; Assumptions'!$B$8)))))),0)</f>
        <v>0</v>
      </c>
    </row>
    <row r="101" spans="1:38" ht="15" customHeight="1" x14ac:dyDescent="0.2">
      <c r="A101" t="s">
        <v>146</v>
      </c>
      <c r="B101" t="s">
        <v>219</v>
      </c>
      <c r="C101" s="91">
        <f>IF(1&lt;='I_Inputs &amp; Assumptions'!$B$8,IF('I_Budget Input Data'!$E$101="Upfront",IF(1=1,'I_Budget Input Data'!$D$101,0),IF('I_Budget Input Data'!$E$101="Equal",'I_Budget Input Data'!$D$101/'I_Inputs &amp; Assumptions'!$B$8,IF('I_Budget Input Data'!$E$101="Front-loaded",IF(1&lt;='I_Inputs &amp; Assumptions'!$B$8/2,'I_Budget Input Data'!$D$101*0.6/('I_Inputs &amp; Assumptions'!$B$8/2),'I_Budget Input Data'!$D$101*0.4/('I_Inputs &amp; Assumptions'!$B$8/2)),IF('I_Budget Input Data'!$E$101="Back-loaded",IF(1&lt;='I_Inputs &amp; Assumptions'!$B$8/2,'I_Budget Input Data'!$D$101*0.4/('I_Inputs &amp; Assumptions'!$B$8/2),'I_Budget Input Data'!$D$101*0.6/('I_Inputs &amp; Assumptions'!$B$8/2)),IF('I_Budget Input Data'!$E$101="Mid-weighted",IF(1&lt;='I_Inputs &amp; Assumptions'!$B$8/4,'I_Budget Input Data'!$D$101*0.2/('I_Inputs &amp; Assumptions'!$B$8/4),IF(1&lt;='I_Inputs &amp; Assumptions'!$B$8*0.75,'I_Budget Input Data'!$D$101*0.6/('I_Inputs &amp; Assumptions'!$B$8/2),'I_Budget Input Data'!$D$101*0.2/('I_Inputs &amp; Assumptions'!$B$8/4))),IF('I_Budget Input Data'!$E$101="At Completion",IF(1='I_Inputs &amp; Assumptions'!$B$8,'I_Budget Input Data'!$D$101,0),'I_Budget Input Data'!$D$101/'I_Inputs &amp; Assumptions'!$B$8)))))),0)</f>
        <v>5612.3076923076924</v>
      </c>
      <c r="D101" s="91">
        <f>IF(2&lt;='I_Inputs &amp; Assumptions'!$B$8,IF('I_Budget Input Data'!$E$101="Upfront",IF(2=1,'I_Budget Input Data'!$D$101,0),IF('I_Budget Input Data'!$E$101="Equal",'I_Budget Input Data'!$D$101/'I_Inputs &amp; Assumptions'!$B$8,IF('I_Budget Input Data'!$E$101="Front-loaded",IF(2&lt;='I_Inputs &amp; Assumptions'!$B$8/2,'I_Budget Input Data'!$D$101*0.6/('I_Inputs &amp; Assumptions'!$B$8/2),'I_Budget Input Data'!$D$101*0.4/('I_Inputs &amp; Assumptions'!$B$8/2)),IF('I_Budget Input Data'!$E$101="Back-loaded",IF(2&lt;='I_Inputs &amp; Assumptions'!$B$8/2,'I_Budget Input Data'!$D$101*0.4/('I_Inputs &amp; Assumptions'!$B$8/2),'I_Budget Input Data'!$D$101*0.6/('I_Inputs &amp; Assumptions'!$B$8/2)),IF('I_Budget Input Data'!$E$101="Mid-weighted",IF(2&lt;='I_Inputs &amp; Assumptions'!$B$8/4,'I_Budget Input Data'!$D$101*0.2/('I_Inputs &amp; Assumptions'!$B$8/4),IF(2&lt;='I_Inputs &amp; Assumptions'!$B$8*0.75,'I_Budget Input Data'!$D$101*0.6/('I_Inputs &amp; Assumptions'!$B$8/2),'I_Budget Input Data'!$D$101*0.2/('I_Inputs &amp; Assumptions'!$B$8/4))),IF('I_Budget Input Data'!$E$101="At Completion",IF(2='I_Inputs &amp; Assumptions'!$B$8,'I_Budget Input Data'!$D$101,0),'I_Budget Input Data'!$D$101/'I_Inputs &amp; Assumptions'!$B$8)))))),0)</f>
        <v>5612.3076923076924</v>
      </c>
      <c r="E101" s="91">
        <f>IF(3&lt;='I_Inputs &amp; Assumptions'!$B$8,IF('I_Budget Input Data'!$E$101="Upfront",IF(3=1,'I_Budget Input Data'!$D$101,0),IF('I_Budget Input Data'!$E$101="Equal",'I_Budget Input Data'!$D$101/'I_Inputs &amp; Assumptions'!$B$8,IF('I_Budget Input Data'!$E$101="Front-loaded",IF(3&lt;='I_Inputs &amp; Assumptions'!$B$8/2,'I_Budget Input Data'!$D$101*0.6/('I_Inputs &amp; Assumptions'!$B$8/2),'I_Budget Input Data'!$D$101*0.4/('I_Inputs &amp; Assumptions'!$B$8/2)),IF('I_Budget Input Data'!$E$101="Back-loaded",IF(3&lt;='I_Inputs &amp; Assumptions'!$B$8/2,'I_Budget Input Data'!$D$101*0.4/('I_Inputs &amp; Assumptions'!$B$8/2),'I_Budget Input Data'!$D$101*0.6/('I_Inputs &amp; Assumptions'!$B$8/2)),IF('I_Budget Input Data'!$E$101="Mid-weighted",IF(3&lt;='I_Inputs &amp; Assumptions'!$B$8/4,'I_Budget Input Data'!$D$101*0.2/('I_Inputs &amp; Assumptions'!$B$8/4),IF(3&lt;='I_Inputs &amp; Assumptions'!$B$8*0.75,'I_Budget Input Data'!$D$101*0.6/('I_Inputs &amp; Assumptions'!$B$8/2),'I_Budget Input Data'!$D$101*0.2/('I_Inputs &amp; Assumptions'!$B$8/4))),IF('I_Budget Input Data'!$E$101="At Completion",IF(3='I_Inputs &amp; Assumptions'!$B$8,'I_Budget Input Data'!$D$101,0),'I_Budget Input Data'!$D$101/'I_Inputs &amp; Assumptions'!$B$8)))))),0)</f>
        <v>5612.3076923076924</v>
      </c>
      <c r="F101" s="91">
        <f>IF(4&lt;='I_Inputs &amp; Assumptions'!$B$8,IF('I_Budget Input Data'!$E$101="Upfront",IF(4=1,'I_Budget Input Data'!$D$101,0),IF('I_Budget Input Data'!$E$101="Equal",'I_Budget Input Data'!$D$101/'I_Inputs &amp; Assumptions'!$B$8,IF('I_Budget Input Data'!$E$101="Front-loaded",IF(4&lt;='I_Inputs &amp; Assumptions'!$B$8/2,'I_Budget Input Data'!$D$101*0.6/('I_Inputs &amp; Assumptions'!$B$8/2),'I_Budget Input Data'!$D$101*0.4/('I_Inputs &amp; Assumptions'!$B$8/2)),IF('I_Budget Input Data'!$E$101="Back-loaded",IF(4&lt;='I_Inputs &amp; Assumptions'!$B$8/2,'I_Budget Input Data'!$D$101*0.4/('I_Inputs &amp; Assumptions'!$B$8/2),'I_Budget Input Data'!$D$101*0.6/('I_Inputs &amp; Assumptions'!$B$8/2)),IF('I_Budget Input Data'!$E$101="Mid-weighted",IF(4&lt;='I_Inputs &amp; Assumptions'!$B$8/4,'I_Budget Input Data'!$D$101*0.2/('I_Inputs &amp; Assumptions'!$B$8/4),IF(4&lt;='I_Inputs &amp; Assumptions'!$B$8*0.75,'I_Budget Input Data'!$D$101*0.6/('I_Inputs &amp; Assumptions'!$B$8/2),'I_Budget Input Data'!$D$101*0.2/('I_Inputs &amp; Assumptions'!$B$8/4))),IF('I_Budget Input Data'!$E$101="At Completion",IF(4='I_Inputs &amp; Assumptions'!$B$8,'I_Budget Input Data'!$D$101,0),'I_Budget Input Data'!$D$101/'I_Inputs &amp; Assumptions'!$B$8)))))),0)</f>
        <v>8418.461538461539</v>
      </c>
      <c r="G101" s="91">
        <f>IF(5&lt;='I_Inputs &amp; Assumptions'!$B$8,IF('I_Budget Input Data'!$E$101="Upfront",IF(5=1,'I_Budget Input Data'!$D$101,0),IF('I_Budget Input Data'!$E$101="Equal",'I_Budget Input Data'!$D$101/'I_Inputs &amp; Assumptions'!$B$8,IF('I_Budget Input Data'!$E$101="Front-loaded",IF(5&lt;='I_Inputs &amp; Assumptions'!$B$8/2,'I_Budget Input Data'!$D$101*0.6/('I_Inputs &amp; Assumptions'!$B$8/2),'I_Budget Input Data'!$D$101*0.4/('I_Inputs &amp; Assumptions'!$B$8/2)),IF('I_Budget Input Data'!$E$101="Back-loaded",IF(5&lt;='I_Inputs &amp; Assumptions'!$B$8/2,'I_Budget Input Data'!$D$101*0.4/('I_Inputs &amp; Assumptions'!$B$8/2),'I_Budget Input Data'!$D$101*0.6/('I_Inputs &amp; Assumptions'!$B$8/2)),IF('I_Budget Input Data'!$E$101="Mid-weighted",IF(5&lt;='I_Inputs &amp; Assumptions'!$B$8/4,'I_Budget Input Data'!$D$101*0.2/('I_Inputs &amp; Assumptions'!$B$8/4),IF(5&lt;='I_Inputs &amp; Assumptions'!$B$8*0.75,'I_Budget Input Data'!$D$101*0.6/('I_Inputs &amp; Assumptions'!$B$8/2),'I_Budget Input Data'!$D$101*0.2/('I_Inputs &amp; Assumptions'!$B$8/4))),IF('I_Budget Input Data'!$E$101="At Completion",IF(5='I_Inputs &amp; Assumptions'!$B$8,'I_Budget Input Data'!$D$101,0),'I_Budget Input Data'!$D$101/'I_Inputs &amp; Assumptions'!$B$8)))))),0)</f>
        <v>8418.461538461539</v>
      </c>
      <c r="H101" s="91">
        <f>IF(6&lt;='I_Inputs &amp; Assumptions'!$B$8,IF('I_Budget Input Data'!$E$101="Upfront",IF(6=1,'I_Budget Input Data'!$D$101,0),IF('I_Budget Input Data'!$E$101="Equal",'I_Budget Input Data'!$D$101/'I_Inputs &amp; Assumptions'!$B$8,IF('I_Budget Input Data'!$E$101="Front-loaded",IF(6&lt;='I_Inputs &amp; Assumptions'!$B$8/2,'I_Budget Input Data'!$D$101*0.6/('I_Inputs &amp; Assumptions'!$B$8/2),'I_Budget Input Data'!$D$101*0.4/('I_Inputs &amp; Assumptions'!$B$8/2)),IF('I_Budget Input Data'!$E$101="Back-loaded",IF(6&lt;='I_Inputs &amp; Assumptions'!$B$8/2,'I_Budget Input Data'!$D$101*0.4/('I_Inputs &amp; Assumptions'!$B$8/2),'I_Budget Input Data'!$D$101*0.6/('I_Inputs &amp; Assumptions'!$B$8/2)),IF('I_Budget Input Data'!$E$101="Mid-weighted",IF(6&lt;='I_Inputs &amp; Assumptions'!$B$8/4,'I_Budget Input Data'!$D$101*0.2/('I_Inputs &amp; Assumptions'!$B$8/4),IF(6&lt;='I_Inputs &amp; Assumptions'!$B$8*0.75,'I_Budget Input Data'!$D$101*0.6/('I_Inputs &amp; Assumptions'!$B$8/2),'I_Budget Input Data'!$D$101*0.2/('I_Inputs &amp; Assumptions'!$B$8/4))),IF('I_Budget Input Data'!$E$101="At Completion",IF(6='I_Inputs &amp; Assumptions'!$B$8,'I_Budget Input Data'!$D$101,0),'I_Budget Input Data'!$D$101/'I_Inputs &amp; Assumptions'!$B$8)))))),0)</f>
        <v>8418.461538461539</v>
      </c>
      <c r="I101" s="91">
        <f>IF(7&lt;='I_Inputs &amp; Assumptions'!$B$8,IF('I_Budget Input Data'!$E$101="Upfront",IF(7=1,'I_Budget Input Data'!$D$101,0),IF('I_Budget Input Data'!$E$101="Equal",'I_Budget Input Data'!$D$101/'I_Inputs &amp; Assumptions'!$B$8,IF('I_Budget Input Data'!$E$101="Front-loaded",IF(7&lt;='I_Inputs &amp; Assumptions'!$B$8/2,'I_Budget Input Data'!$D$101*0.6/('I_Inputs &amp; Assumptions'!$B$8/2),'I_Budget Input Data'!$D$101*0.4/('I_Inputs &amp; Assumptions'!$B$8/2)),IF('I_Budget Input Data'!$E$101="Back-loaded",IF(7&lt;='I_Inputs &amp; Assumptions'!$B$8/2,'I_Budget Input Data'!$D$101*0.4/('I_Inputs &amp; Assumptions'!$B$8/2),'I_Budget Input Data'!$D$101*0.6/('I_Inputs &amp; Assumptions'!$B$8/2)),IF('I_Budget Input Data'!$E$101="Mid-weighted",IF(7&lt;='I_Inputs &amp; Assumptions'!$B$8/4,'I_Budget Input Data'!$D$101*0.2/('I_Inputs &amp; Assumptions'!$B$8/4),IF(7&lt;='I_Inputs &amp; Assumptions'!$B$8*0.75,'I_Budget Input Data'!$D$101*0.6/('I_Inputs &amp; Assumptions'!$B$8/2),'I_Budget Input Data'!$D$101*0.2/('I_Inputs &amp; Assumptions'!$B$8/4))),IF('I_Budget Input Data'!$E$101="At Completion",IF(7='I_Inputs &amp; Assumptions'!$B$8,'I_Budget Input Data'!$D$101,0),'I_Budget Input Data'!$D$101/'I_Inputs &amp; Assumptions'!$B$8)))))),0)</f>
        <v>8418.461538461539</v>
      </c>
      <c r="J101" s="91">
        <f>IF(8&lt;='I_Inputs &amp; Assumptions'!$B$8,IF('I_Budget Input Data'!$E$101="Upfront",IF(8=1,'I_Budget Input Data'!$D$101,0),IF('I_Budget Input Data'!$E$101="Equal",'I_Budget Input Data'!$D$101/'I_Inputs &amp; Assumptions'!$B$8,IF('I_Budget Input Data'!$E$101="Front-loaded",IF(8&lt;='I_Inputs &amp; Assumptions'!$B$8/2,'I_Budget Input Data'!$D$101*0.6/('I_Inputs &amp; Assumptions'!$B$8/2),'I_Budget Input Data'!$D$101*0.4/('I_Inputs &amp; Assumptions'!$B$8/2)),IF('I_Budget Input Data'!$E$101="Back-loaded",IF(8&lt;='I_Inputs &amp; Assumptions'!$B$8/2,'I_Budget Input Data'!$D$101*0.4/('I_Inputs &amp; Assumptions'!$B$8/2),'I_Budget Input Data'!$D$101*0.6/('I_Inputs &amp; Assumptions'!$B$8/2)),IF('I_Budget Input Data'!$E$101="Mid-weighted",IF(8&lt;='I_Inputs &amp; Assumptions'!$B$8/4,'I_Budget Input Data'!$D$101*0.2/('I_Inputs &amp; Assumptions'!$B$8/4),IF(8&lt;='I_Inputs &amp; Assumptions'!$B$8*0.75,'I_Budget Input Data'!$D$101*0.6/('I_Inputs &amp; Assumptions'!$B$8/2),'I_Budget Input Data'!$D$101*0.2/('I_Inputs &amp; Assumptions'!$B$8/4))),IF('I_Budget Input Data'!$E$101="At Completion",IF(8='I_Inputs &amp; Assumptions'!$B$8,'I_Budget Input Data'!$D$101,0),'I_Budget Input Data'!$D$101/'I_Inputs &amp; Assumptions'!$B$8)))))),0)</f>
        <v>8418.461538461539</v>
      </c>
      <c r="K101" s="91">
        <f>IF(9&lt;='I_Inputs &amp; Assumptions'!$B$8,IF('I_Budget Input Data'!$E$101="Upfront",IF(9=1,'I_Budget Input Data'!$D$101,0),IF('I_Budget Input Data'!$E$101="Equal",'I_Budget Input Data'!$D$101/'I_Inputs &amp; Assumptions'!$B$8,IF('I_Budget Input Data'!$E$101="Front-loaded",IF(9&lt;='I_Inputs &amp; Assumptions'!$B$8/2,'I_Budget Input Data'!$D$101*0.6/('I_Inputs &amp; Assumptions'!$B$8/2),'I_Budget Input Data'!$D$101*0.4/('I_Inputs &amp; Assumptions'!$B$8/2)),IF('I_Budget Input Data'!$E$101="Back-loaded",IF(9&lt;='I_Inputs &amp; Assumptions'!$B$8/2,'I_Budget Input Data'!$D$101*0.4/('I_Inputs &amp; Assumptions'!$B$8/2),'I_Budget Input Data'!$D$101*0.6/('I_Inputs &amp; Assumptions'!$B$8/2)),IF('I_Budget Input Data'!$E$101="Mid-weighted",IF(9&lt;='I_Inputs &amp; Assumptions'!$B$8/4,'I_Budget Input Data'!$D$101*0.2/('I_Inputs &amp; Assumptions'!$B$8/4),IF(9&lt;='I_Inputs &amp; Assumptions'!$B$8*0.75,'I_Budget Input Data'!$D$101*0.6/('I_Inputs &amp; Assumptions'!$B$8/2),'I_Budget Input Data'!$D$101*0.2/('I_Inputs &amp; Assumptions'!$B$8/4))),IF('I_Budget Input Data'!$E$101="At Completion",IF(9='I_Inputs &amp; Assumptions'!$B$8,'I_Budget Input Data'!$D$101,0),'I_Budget Input Data'!$D$101/'I_Inputs &amp; Assumptions'!$B$8)))))),0)</f>
        <v>8418.461538461539</v>
      </c>
      <c r="L101" s="91">
        <f>IF(10&lt;='I_Inputs &amp; Assumptions'!$B$8,IF('I_Budget Input Data'!$E$101="Upfront",IF(10=1,'I_Budget Input Data'!$D$101,0),IF('I_Budget Input Data'!$E$101="Equal",'I_Budget Input Data'!$D$101/'I_Inputs &amp; Assumptions'!$B$8,IF('I_Budget Input Data'!$E$101="Front-loaded",IF(10&lt;='I_Inputs &amp; Assumptions'!$B$8/2,'I_Budget Input Data'!$D$101*0.6/('I_Inputs &amp; Assumptions'!$B$8/2),'I_Budget Input Data'!$D$101*0.4/('I_Inputs &amp; Assumptions'!$B$8/2)),IF('I_Budget Input Data'!$E$101="Back-loaded",IF(10&lt;='I_Inputs &amp; Assumptions'!$B$8/2,'I_Budget Input Data'!$D$101*0.4/('I_Inputs &amp; Assumptions'!$B$8/2),'I_Budget Input Data'!$D$101*0.6/('I_Inputs &amp; Assumptions'!$B$8/2)),IF('I_Budget Input Data'!$E$101="Mid-weighted",IF(10&lt;='I_Inputs &amp; Assumptions'!$B$8/4,'I_Budget Input Data'!$D$101*0.2/('I_Inputs &amp; Assumptions'!$B$8/4),IF(10&lt;='I_Inputs &amp; Assumptions'!$B$8*0.75,'I_Budget Input Data'!$D$101*0.6/('I_Inputs &amp; Assumptions'!$B$8/2),'I_Budget Input Data'!$D$101*0.2/('I_Inputs &amp; Assumptions'!$B$8/4))),IF('I_Budget Input Data'!$E$101="At Completion",IF(10='I_Inputs &amp; Assumptions'!$B$8,'I_Budget Input Data'!$D$101,0),'I_Budget Input Data'!$D$101/'I_Inputs &amp; Assumptions'!$B$8)))))),0)</f>
        <v>5612.3076923076924</v>
      </c>
      <c r="M101" s="91">
        <f>IF(11&lt;='I_Inputs &amp; Assumptions'!$B$8,IF('I_Budget Input Data'!$E$101="Upfront",IF(11=1,'I_Budget Input Data'!$D$101,0),IF('I_Budget Input Data'!$E$101="Equal",'I_Budget Input Data'!$D$101/'I_Inputs &amp; Assumptions'!$B$8,IF('I_Budget Input Data'!$E$101="Front-loaded",IF(11&lt;='I_Inputs &amp; Assumptions'!$B$8/2,'I_Budget Input Data'!$D$101*0.6/('I_Inputs &amp; Assumptions'!$B$8/2),'I_Budget Input Data'!$D$101*0.4/('I_Inputs &amp; Assumptions'!$B$8/2)),IF('I_Budget Input Data'!$E$101="Back-loaded",IF(11&lt;='I_Inputs &amp; Assumptions'!$B$8/2,'I_Budget Input Data'!$D$101*0.4/('I_Inputs &amp; Assumptions'!$B$8/2),'I_Budget Input Data'!$D$101*0.6/('I_Inputs &amp; Assumptions'!$B$8/2)),IF('I_Budget Input Data'!$E$101="Mid-weighted",IF(11&lt;='I_Inputs &amp; Assumptions'!$B$8/4,'I_Budget Input Data'!$D$101*0.2/('I_Inputs &amp; Assumptions'!$B$8/4),IF(11&lt;='I_Inputs &amp; Assumptions'!$B$8*0.75,'I_Budget Input Data'!$D$101*0.6/('I_Inputs &amp; Assumptions'!$B$8/2),'I_Budget Input Data'!$D$101*0.2/('I_Inputs &amp; Assumptions'!$B$8/4))),IF('I_Budget Input Data'!$E$101="At Completion",IF(11='I_Inputs &amp; Assumptions'!$B$8,'I_Budget Input Data'!$D$101,0),'I_Budget Input Data'!$D$101/'I_Inputs &amp; Assumptions'!$B$8)))))),0)</f>
        <v>5612.3076923076924</v>
      </c>
      <c r="N101" s="91">
        <f>IF(12&lt;='I_Inputs &amp; Assumptions'!$B$8,IF('I_Budget Input Data'!$E$101="Upfront",IF(12=1,'I_Budget Input Data'!$D$101,0),IF('I_Budget Input Data'!$E$101="Equal",'I_Budget Input Data'!$D$101/'I_Inputs &amp; Assumptions'!$B$8,IF('I_Budget Input Data'!$E$101="Front-loaded",IF(12&lt;='I_Inputs &amp; Assumptions'!$B$8/2,'I_Budget Input Data'!$D$101*0.6/('I_Inputs &amp; Assumptions'!$B$8/2),'I_Budget Input Data'!$D$101*0.4/('I_Inputs &amp; Assumptions'!$B$8/2)),IF('I_Budget Input Data'!$E$101="Back-loaded",IF(12&lt;='I_Inputs &amp; Assumptions'!$B$8/2,'I_Budget Input Data'!$D$101*0.4/('I_Inputs &amp; Assumptions'!$B$8/2),'I_Budget Input Data'!$D$101*0.6/('I_Inputs &amp; Assumptions'!$B$8/2)),IF('I_Budget Input Data'!$E$101="Mid-weighted",IF(12&lt;='I_Inputs &amp; Assumptions'!$B$8/4,'I_Budget Input Data'!$D$101*0.2/('I_Inputs &amp; Assumptions'!$B$8/4),IF(12&lt;='I_Inputs &amp; Assumptions'!$B$8*0.75,'I_Budget Input Data'!$D$101*0.6/('I_Inputs &amp; Assumptions'!$B$8/2),'I_Budget Input Data'!$D$101*0.2/('I_Inputs &amp; Assumptions'!$B$8/4))),IF('I_Budget Input Data'!$E$101="At Completion",IF(12='I_Inputs &amp; Assumptions'!$B$8,'I_Budget Input Data'!$D$101,0),'I_Budget Input Data'!$D$101/'I_Inputs &amp; Assumptions'!$B$8)))))),0)</f>
        <v>5612.3076923076924</v>
      </c>
      <c r="O101" s="91">
        <f>IF(13&lt;='I_Inputs &amp; Assumptions'!$B$8,IF('I_Budget Input Data'!$E$101="Upfront",IF(13=1,'I_Budget Input Data'!$D$101,0),IF('I_Budget Input Data'!$E$101="Equal",'I_Budget Input Data'!$D$101/'I_Inputs &amp; Assumptions'!$B$8,IF('I_Budget Input Data'!$E$101="Front-loaded",IF(13&lt;='I_Inputs &amp; Assumptions'!$B$8/2,'I_Budget Input Data'!$D$101*0.6/('I_Inputs &amp; Assumptions'!$B$8/2),'I_Budget Input Data'!$D$101*0.4/('I_Inputs &amp; Assumptions'!$B$8/2)),IF('I_Budget Input Data'!$E$101="Back-loaded",IF(13&lt;='I_Inputs &amp; Assumptions'!$B$8/2,'I_Budget Input Data'!$D$101*0.4/('I_Inputs &amp; Assumptions'!$B$8/2),'I_Budget Input Data'!$D$101*0.6/('I_Inputs &amp; Assumptions'!$B$8/2)),IF('I_Budget Input Data'!$E$101="Mid-weighted",IF(13&lt;='I_Inputs &amp; Assumptions'!$B$8/4,'I_Budget Input Data'!$D$101*0.2/('I_Inputs &amp; Assumptions'!$B$8/4),IF(13&lt;='I_Inputs &amp; Assumptions'!$B$8*0.75,'I_Budget Input Data'!$D$101*0.6/('I_Inputs &amp; Assumptions'!$B$8/2),'I_Budget Input Data'!$D$101*0.2/('I_Inputs &amp; Assumptions'!$B$8/4))),IF('I_Budget Input Data'!$E$101="At Completion",IF(13='I_Inputs &amp; Assumptions'!$B$8,'I_Budget Input Data'!$D$101,0),'I_Budget Input Data'!$D$101/'I_Inputs &amp; Assumptions'!$B$8)))))),0)</f>
        <v>5612.3076923076924</v>
      </c>
      <c r="P101" s="91">
        <f>IF(14&lt;='I_Inputs &amp; Assumptions'!$B$8,IF('I_Budget Input Data'!$E$101="Upfront",IF(14=1,'I_Budget Input Data'!$D$101,0),IF('I_Budget Input Data'!$E$101="Equal",'I_Budget Input Data'!$D$101/'I_Inputs &amp; Assumptions'!$B$8,IF('I_Budget Input Data'!$E$101="Front-loaded",IF(14&lt;='I_Inputs &amp; Assumptions'!$B$8/2,'I_Budget Input Data'!$D$101*0.6/('I_Inputs &amp; Assumptions'!$B$8/2),'I_Budget Input Data'!$D$101*0.4/('I_Inputs &amp; Assumptions'!$B$8/2)),IF('I_Budget Input Data'!$E$101="Back-loaded",IF(14&lt;='I_Inputs &amp; Assumptions'!$B$8/2,'I_Budget Input Data'!$D$101*0.4/('I_Inputs &amp; Assumptions'!$B$8/2),'I_Budget Input Data'!$D$101*0.6/('I_Inputs &amp; Assumptions'!$B$8/2)),IF('I_Budget Input Data'!$E$101="Mid-weighted",IF(14&lt;='I_Inputs &amp; Assumptions'!$B$8/4,'I_Budget Input Data'!$D$101*0.2/('I_Inputs &amp; Assumptions'!$B$8/4),IF(14&lt;='I_Inputs &amp; Assumptions'!$B$8*0.75,'I_Budget Input Data'!$D$101*0.6/('I_Inputs &amp; Assumptions'!$B$8/2),'I_Budget Input Data'!$D$101*0.2/('I_Inputs &amp; Assumptions'!$B$8/4))),IF('I_Budget Input Data'!$E$101="At Completion",IF(14='I_Inputs &amp; Assumptions'!$B$8,'I_Budget Input Data'!$D$101,0),'I_Budget Input Data'!$D$101/'I_Inputs &amp; Assumptions'!$B$8)))))),0)</f>
        <v>0</v>
      </c>
      <c r="Q101" s="91">
        <f>IF(15&lt;='I_Inputs &amp; Assumptions'!$B$8,IF('I_Budget Input Data'!$E$101="Upfront",IF(15=1,'I_Budget Input Data'!$D$101,0),IF('I_Budget Input Data'!$E$101="Equal",'I_Budget Input Data'!$D$101/'I_Inputs &amp; Assumptions'!$B$8,IF('I_Budget Input Data'!$E$101="Front-loaded",IF(15&lt;='I_Inputs &amp; Assumptions'!$B$8/2,'I_Budget Input Data'!$D$101*0.6/('I_Inputs &amp; Assumptions'!$B$8/2),'I_Budget Input Data'!$D$101*0.4/('I_Inputs &amp; Assumptions'!$B$8/2)),IF('I_Budget Input Data'!$E$101="Back-loaded",IF(15&lt;='I_Inputs &amp; Assumptions'!$B$8/2,'I_Budget Input Data'!$D$101*0.4/('I_Inputs &amp; Assumptions'!$B$8/2),'I_Budget Input Data'!$D$101*0.6/('I_Inputs &amp; Assumptions'!$B$8/2)),IF('I_Budget Input Data'!$E$101="Mid-weighted",IF(15&lt;='I_Inputs &amp; Assumptions'!$B$8/4,'I_Budget Input Data'!$D$101*0.2/('I_Inputs &amp; Assumptions'!$B$8/4),IF(15&lt;='I_Inputs &amp; Assumptions'!$B$8*0.75,'I_Budget Input Data'!$D$101*0.6/('I_Inputs &amp; Assumptions'!$B$8/2),'I_Budget Input Data'!$D$101*0.2/('I_Inputs &amp; Assumptions'!$B$8/4))),IF('I_Budget Input Data'!$E$101="At Completion",IF(15='I_Inputs &amp; Assumptions'!$B$8,'I_Budget Input Data'!$D$101,0),'I_Budget Input Data'!$D$101/'I_Inputs &amp; Assumptions'!$B$8)))))),0)</f>
        <v>0</v>
      </c>
      <c r="R101" s="91">
        <f>IF(16&lt;='I_Inputs &amp; Assumptions'!$B$8,IF('I_Budget Input Data'!$E$101="Upfront",IF(16=1,'I_Budget Input Data'!$D$101,0),IF('I_Budget Input Data'!$E$101="Equal",'I_Budget Input Data'!$D$101/'I_Inputs &amp; Assumptions'!$B$8,IF('I_Budget Input Data'!$E$101="Front-loaded",IF(16&lt;='I_Inputs &amp; Assumptions'!$B$8/2,'I_Budget Input Data'!$D$101*0.6/('I_Inputs &amp; Assumptions'!$B$8/2),'I_Budget Input Data'!$D$101*0.4/('I_Inputs &amp; Assumptions'!$B$8/2)),IF('I_Budget Input Data'!$E$101="Back-loaded",IF(16&lt;='I_Inputs &amp; Assumptions'!$B$8/2,'I_Budget Input Data'!$D$101*0.4/('I_Inputs &amp; Assumptions'!$B$8/2),'I_Budget Input Data'!$D$101*0.6/('I_Inputs &amp; Assumptions'!$B$8/2)),IF('I_Budget Input Data'!$E$101="Mid-weighted",IF(16&lt;='I_Inputs &amp; Assumptions'!$B$8/4,'I_Budget Input Data'!$D$101*0.2/('I_Inputs &amp; Assumptions'!$B$8/4),IF(16&lt;='I_Inputs &amp; Assumptions'!$B$8*0.75,'I_Budget Input Data'!$D$101*0.6/('I_Inputs &amp; Assumptions'!$B$8/2),'I_Budget Input Data'!$D$101*0.2/('I_Inputs &amp; Assumptions'!$B$8/4))),IF('I_Budget Input Data'!$E$101="At Completion",IF(16='I_Inputs &amp; Assumptions'!$B$8,'I_Budget Input Data'!$D$101,0),'I_Budget Input Data'!$D$101/'I_Inputs &amp; Assumptions'!$B$8)))))),0)</f>
        <v>0</v>
      </c>
      <c r="S101" s="91">
        <f>IF(17&lt;='I_Inputs &amp; Assumptions'!$B$8,IF('I_Budget Input Data'!$E$101="Upfront",IF(17=1,'I_Budget Input Data'!$D$101,0),IF('I_Budget Input Data'!$E$101="Equal",'I_Budget Input Data'!$D$101/'I_Inputs &amp; Assumptions'!$B$8,IF('I_Budget Input Data'!$E$101="Front-loaded",IF(17&lt;='I_Inputs &amp; Assumptions'!$B$8/2,'I_Budget Input Data'!$D$101*0.6/('I_Inputs &amp; Assumptions'!$B$8/2),'I_Budget Input Data'!$D$101*0.4/('I_Inputs &amp; Assumptions'!$B$8/2)),IF('I_Budget Input Data'!$E$101="Back-loaded",IF(17&lt;='I_Inputs &amp; Assumptions'!$B$8/2,'I_Budget Input Data'!$D$101*0.4/('I_Inputs &amp; Assumptions'!$B$8/2),'I_Budget Input Data'!$D$101*0.6/('I_Inputs &amp; Assumptions'!$B$8/2)),IF('I_Budget Input Data'!$E$101="Mid-weighted",IF(17&lt;='I_Inputs &amp; Assumptions'!$B$8/4,'I_Budget Input Data'!$D$101*0.2/('I_Inputs &amp; Assumptions'!$B$8/4),IF(17&lt;='I_Inputs &amp; Assumptions'!$B$8*0.75,'I_Budget Input Data'!$D$101*0.6/('I_Inputs &amp; Assumptions'!$B$8/2),'I_Budget Input Data'!$D$101*0.2/('I_Inputs &amp; Assumptions'!$B$8/4))),IF('I_Budget Input Data'!$E$101="At Completion",IF(17='I_Inputs &amp; Assumptions'!$B$8,'I_Budget Input Data'!$D$101,0),'I_Budget Input Data'!$D$101/'I_Inputs &amp; Assumptions'!$B$8)))))),0)</f>
        <v>0</v>
      </c>
      <c r="T101" s="91">
        <f>IF(18&lt;='I_Inputs &amp; Assumptions'!$B$8,IF('I_Budget Input Data'!$E$101="Upfront",IF(18=1,'I_Budget Input Data'!$D$101,0),IF('I_Budget Input Data'!$E$101="Equal",'I_Budget Input Data'!$D$101/'I_Inputs &amp; Assumptions'!$B$8,IF('I_Budget Input Data'!$E$101="Front-loaded",IF(18&lt;='I_Inputs &amp; Assumptions'!$B$8/2,'I_Budget Input Data'!$D$101*0.6/('I_Inputs &amp; Assumptions'!$B$8/2),'I_Budget Input Data'!$D$101*0.4/('I_Inputs &amp; Assumptions'!$B$8/2)),IF('I_Budget Input Data'!$E$101="Back-loaded",IF(18&lt;='I_Inputs &amp; Assumptions'!$B$8/2,'I_Budget Input Data'!$D$101*0.4/('I_Inputs &amp; Assumptions'!$B$8/2),'I_Budget Input Data'!$D$101*0.6/('I_Inputs &amp; Assumptions'!$B$8/2)),IF('I_Budget Input Data'!$E$101="Mid-weighted",IF(18&lt;='I_Inputs &amp; Assumptions'!$B$8/4,'I_Budget Input Data'!$D$101*0.2/('I_Inputs &amp; Assumptions'!$B$8/4),IF(18&lt;='I_Inputs &amp; Assumptions'!$B$8*0.75,'I_Budget Input Data'!$D$101*0.6/('I_Inputs &amp; Assumptions'!$B$8/2),'I_Budget Input Data'!$D$101*0.2/('I_Inputs &amp; Assumptions'!$B$8/4))),IF('I_Budget Input Data'!$E$101="At Completion",IF(18='I_Inputs &amp; Assumptions'!$B$8,'I_Budget Input Data'!$D$101,0),'I_Budget Input Data'!$D$101/'I_Inputs &amp; Assumptions'!$B$8)))))),0)</f>
        <v>0</v>
      </c>
      <c r="U101" s="91">
        <f>IF(19&lt;='I_Inputs &amp; Assumptions'!$B$8,IF('I_Budget Input Data'!$E$101="Upfront",IF(19=1,'I_Budget Input Data'!$D$101,0),IF('I_Budget Input Data'!$E$101="Equal",'I_Budget Input Data'!$D$101/'I_Inputs &amp; Assumptions'!$B$8,IF('I_Budget Input Data'!$E$101="Front-loaded",IF(19&lt;='I_Inputs &amp; Assumptions'!$B$8/2,'I_Budget Input Data'!$D$101*0.6/('I_Inputs &amp; Assumptions'!$B$8/2),'I_Budget Input Data'!$D$101*0.4/('I_Inputs &amp; Assumptions'!$B$8/2)),IF('I_Budget Input Data'!$E$101="Back-loaded",IF(19&lt;='I_Inputs &amp; Assumptions'!$B$8/2,'I_Budget Input Data'!$D$101*0.4/('I_Inputs &amp; Assumptions'!$B$8/2),'I_Budget Input Data'!$D$101*0.6/('I_Inputs &amp; Assumptions'!$B$8/2)),IF('I_Budget Input Data'!$E$101="Mid-weighted",IF(19&lt;='I_Inputs &amp; Assumptions'!$B$8/4,'I_Budget Input Data'!$D$101*0.2/('I_Inputs &amp; Assumptions'!$B$8/4),IF(19&lt;='I_Inputs &amp; Assumptions'!$B$8*0.75,'I_Budget Input Data'!$D$101*0.6/('I_Inputs &amp; Assumptions'!$B$8/2),'I_Budget Input Data'!$D$101*0.2/('I_Inputs &amp; Assumptions'!$B$8/4))),IF('I_Budget Input Data'!$E$101="At Completion",IF(19='I_Inputs &amp; Assumptions'!$B$8,'I_Budget Input Data'!$D$101,0),'I_Budget Input Data'!$D$101/'I_Inputs &amp; Assumptions'!$B$8)))))),0)</f>
        <v>0</v>
      </c>
      <c r="V101" s="91">
        <f>IF(20&lt;='I_Inputs &amp; Assumptions'!$B$8,IF('I_Budget Input Data'!$E$101="Upfront",IF(20=1,'I_Budget Input Data'!$D$101,0),IF('I_Budget Input Data'!$E$101="Equal",'I_Budget Input Data'!$D$101/'I_Inputs &amp; Assumptions'!$B$8,IF('I_Budget Input Data'!$E$101="Front-loaded",IF(20&lt;='I_Inputs &amp; Assumptions'!$B$8/2,'I_Budget Input Data'!$D$101*0.6/('I_Inputs &amp; Assumptions'!$B$8/2),'I_Budget Input Data'!$D$101*0.4/('I_Inputs &amp; Assumptions'!$B$8/2)),IF('I_Budget Input Data'!$E$101="Back-loaded",IF(20&lt;='I_Inputs &amp; Assumptions'!$B$8/2,'I_Budget Input Data'!$D$101*0.4/('I_Inputs &amp; Assumptions'!$B$8/2),'I_Budget Input Data'!$D$101*0.6/('I_Inputs &amp; Assumptions'!$B$8/2)),IF('I_Budget Input Data'!$E$101="Mid-weighted",IF(20&lt;='I_Inputs &amp; Assumptions'!$B$8/4,'I_Budget Input Data'!$D$101*0.2/('I_Inputs &amp; Assumptions'!$B$8/4),IF(20&lt;='I_Inputs &amp; Assumptions'!$B$8*0.75,'I_Budget Input Data'!$D$101*0.6/('I_Inputs &amp; Assumptions'!$B$8/2),'I_Budget Input Data'!$D$101*0.2/('I_Inputs &amp; Assumptions'!$B$8/4))),IF('I_Budget Input Data'!$E$101="At Completion",IF(20='I_Inputs &amp; Assumptions'!$B$8,'I_Budget Input Data'!$D$101,0),'I_Budget Input Data'!$D$101/'I_Inputs &amp; Assumptions'!$B$8)))))),0)</f>
        <v>0</v>
      </c>
      <c r="W101" s="91">
        <f>IF(21&lt;='I_Inputs &amp; Assumptions'!$B$8,IF('I_Budget Input Data'!$E$101="Upfront",IF(21=1,'I_Budget Input Data'!$D$101,0),IF('I_Budget Input Data'!$E$101="Equal",'I_Budget Input Data'!$D$101/'I_Inputs &amp; Assumptions'!$B$8,IF('I_Budget Input Data'!$E$101="Front-loaded",IF(21&lt;='I_Inputs &amp; Assumptions'!$B$8/2,'I_Budget Input Data'!$D$101*0.6/('I_Inputs &amp; Assumptions'!$B$8/2),'I_Budget Input Data'!$D$101*0.4/('I_Inputs &amp; Assumptions'!$B$8/2)),IF('I_Budget Input Data'!$E$101="Back-loaded",IF(21&lt;='I_Inputs &amp; Assumptions'!$B$8/2,'I_Budget Input Data'!$D$101*0.4/('I_Inputs &amp; Assumptions'!$B$8/2),'I_Budget Input Data'!$D$101*0.6/('I_Inputs &amp; Assumptions'!$B$8/2)),IF('I_Budget Input Data'!$E$101="Mid-weighted",IF(21&lt;='I_Inputs &amp; Assumptions'!$B$8/4,'I_Budget Input Data'!$D$101*0.2/('I_Inputs &amp; Assumptions'!$B$8/4),IF(21&lt;='I_Inputs &amp; Assumptions'!$B$8*0.75,'I_Budget Input Data'!$D$101*0.6/('I_Inputs &amp; Assumptions'!$B$8/2),'I_Budget Input Data'!$D$101*0.2/('I_Inputs &amp; Assumptions'!$B$8/4))),IF('I_Budget Input Data'!$E$101="At Completion",IF(21='I_Inputs &amp; Assumptions'!$B$8,'I_Budget Input Data'!$D$101,0),'I_Budget Input Data'!$D$101/'I_Inputs &amp; Assumptions'!$B$8)))))),0)</f>
        <v>0</v>
      </c>
      <c r="X101" s="91">
        <f>IF(22&lt;='I_Inputs &amp; Assumptions'!$B$8,IF('I_Budget Input Data'!$E$101="Upfront",IF(22=1,'I_Budget Input Data'!$D$101,0),IF('I_Budget Input Data'!$E$101="Equal",'I_Budget Input Data'!$D$101/'I_Inputs &amp; Assumptions'!$B$8,IF('I_Budget Input Data'!$E$101="Front-loaded",IF(22&lt;='I_Inputs &amp; Assumptions'!$B$8/2,'I_Budget Input Data'!$D$101*0.6/('I_Inputs &amp; Assumptions'!$B$8/2),'I_Budget Input Data'!$D$101*0.4/('I_Inputs &amp; Assumptions'!$B$8/2)),IF('I_Budget Input Data'!$E$101="Back-loaded",IF(22&lt;='I_Inputs &amp; Assumptions'!$B$8/2,'I_Budget Input Data'!$D$101*0.4/('I_Inputs &amp; Assumptions'!$B$8/2),'I_Budget Input Data'!$D$101*0.6/('I_Inputs &amp; Assumptions'!$B$8/2)),IF('I_Budget Input Data'!$E$101="Mid-weighted",IF(22&lt;='I_Inputs &amp; Assumptions'!$B$8/4,'I_Budget Input Data'!$D$101*0.2/('I_Inputs &amp; Assumptions'!$B$8/4),IF(22&lt;='I_Inputs &amp; Assumptions'!$B$8*0.75,'I_Budget Input Data'!$D$101*0.6/('I_Inputs &amp; Assumptions'!$B$8/2),'I_Budget Input Data'!$D$101*0.2/('I_Inputs &amp; Assumptions'!$B$8/4))),IF('I_Budget Input Data'!$E$101="At Completion",IF(22='I_Inputs &amp; Assumptions'!$B$8,'I_Budget Input Data'!$D$101,0),'I_Budget Input Data'!$D$101/'I_Inputs &amp; Assumptions'!$B$8)))))),0)</f>
        <v>0</v>
      </c>
      <c r="Y101" s="91">
        <f>IF(23&lt;='I_Inputs &amp; Assumptions'!$B$8,IF('I_Budget Input Data'!$E$101="Upfront",IF(23=1,'I_Budget Input Data'!$D$101,0),IF('I_Budget Input Data'!$E$101="Equal",'I_Budget Input Data'!$D$101/'I_Inputs &amp; Assumptions'!$B$8,IF('I_Budget Input Data'!$E$101="Front-loaded",IF(23&lt;='I_Inputs &amp; Assumptions'!$B$8/2,'I_Budget Input Data'!$D$101*0.6/('I_Inputs &amp; Assumptions'!$B$8/2),'I_Budget Input Data'!$D$101*0.4/('I_Inputs &amp; Assumptions'!$B$8/2)),IF('I_Budget Input Data'!$E$101="Back-loaded",IF(23&lt;='I_Inputs &amp; Assumptions'!$B$8/2,'I_Budget Input Data'!$D$101*0.4/('I_Inputs &amp; Assumptions'!$B$8/2),'I_Budget Input Data'!$D$101*0.6/('I_Inputs &amp; Assumptions'!$B$8/2)),IF('I_Budget Input Data'!$E$101="Mid-weighted",IF(23&lt;='I_Inputs &amp; Assumptions'!$B$8/4,'I_Budget Input Data'!$D$101*0.2/('I_Inputs &amp; Assumptions'!$B$8/4),IF(23&lt;='I_Inputs &amp; Assumptions'!$B$8*0.75,'I_Budget Input Data'!$D$101*0.6/('I_Inputs &amp; Assumptions'!$B$8/2),'I_Budget Input Data'!$D$101*0.2/('I_Inputs &amp; Assumptions'!$B$8/4))),IF('I_Budget Input Data'!$E$101="At Completion",IF(23='I_Inputs &amp; Assumptions'!$B$8,'I_Budget Input Data'!$D$101,0),'I_Budget Input Data'!$D$101/'I_Inputs &amp; Assumptions'!$B$8)))))),0)</f>
        <v>0</v>
      </c>
      <c r="Z101" s="91">
        <f>IF(24&lt;='I_Inputs &amp; Assumptions'!$B$8,IF('I_Budget Input Data'!$E$101="Upfront",IF(24=1,'I_Budget Input Data'!$D$101,0),IF('I_Budget Input Data'!$E$101="Equal",'I_Budget Input Data'!$D$101/'I_Inputs &amp; Assumptions'!$B$8,IF('I_Budget Input Data'!$E$101="Front-loaded",IF(24&lt;='I_Inputs &amp; Assumptions'!$B$8/2,'I_Budget Input Data'!$D$101*0.6/('I_Inputs &amp; Assumptions'!$B$8/2),'I_Budget Input Data'!$D$101*0.4/('I_Inputs &amp; Assumptions'!$B$8/2)),IF('I_Budget Input Data'!$E$101="Back-loaded",IF(24&lt;='I_Inputs &amp; Assumptions'!$B$8/2,'I_Budget Input Data'!$D$101*0.4/('I_Inputs &amp; Assumptions'!$B$8/2),'I_Budget Input Data'!$D$101*0.6/('I_Inputs &amp; Assumptions'!$B$8/2)),IF('I_Budget Input Data'!$E$101="Mid-weighted",IF(24&lt;='I_Inputs &amp; Assumptions'!$B$8/4,'I_Budget Input Data'!$D$101*0.2/('I_Inputs &amp; Assumptions'!$B$8/4),IF(24&lt;='I_Inputs &amp; Assumptions'!$B$8*0.75,'I_Budget Input Data'!$D$101*0.6/('I_Inputs &amp; Assumptions'!$B$8/2),'I_Budget Input Data'!$D$101*0.2/('I_Inputs &amp; Assumptions'!$B$8/4))),IF('I_Budget Input Data'!$E$101="At Completion",IF(24='I_Inputs &amp; Assumptions'!$B$8,'I_Budget Input Data'!$D$101,0),'I_Budget Input Data'!$D$101/'I_Inputs &amp; Assumptions'!$B$8)))))),0)</f>
        <v>0</v>
      </c>
      <c r="AA101" s="91">
        <f>IF(25&lt;='I_Inputs &amp; Assumptions'!$B$8,IF('I_Budget Input Data'!$E$101="Upfront",IF(25=1,'I_Budget Input Data'!$D$101,0),IF('I_Budget Input Data'!$E$101="Equal",'I_Budget Input Data'!$D$101/'I_Inputs &amp; Assumptions'!$B$8,IF('I_Budget Input Data'!$E$101="Front-loaded",IF(25&lt;='I_Inputs &amp; Assumptions'!$B$8/2,'I_Budget Input Data'!$D$101*0.6/('I_Inputs &amp; Assumptions'!$B$8/2),'I_Budget Input Data'!$D$101*0.4/('I_Inputs &amp; Assumptions'!$B$8/2)),IF('I_Budget Input Data'!$E$101="Back-loaded",IF(25&lt;='I_Inputs &amp; Assumptions'!$B$8/2,'I_Budget Input Data'!$D$101*0.4/('I_Inputs &amp; Assumptions'!$B$8/2),'I_Budget Input Data'!$D$101*0.6/('I_Inputs &amp; Assumptions'!$B$8/2)),IF('I_Budget Input Data'!$E$101="Mid-weighted",IF(25&lt;='I_Inputs &amp; Assumptions'!$B$8/4,'I_Budget Input Data'!$D$101*0.2/('I_Inputs &amp; Assumptions'!$B$8/4),IF(25&lt;='I_Inputs &amp; Assumptions'!$B$8*0.75,'I_Budget Input Data'!$D$101*0.6/('I_Inputs &amp; Assumptions'!$B$8/2),'I_Budget Input Data'!$D$101*0.2/('I_Inputs &amp; Assumptions'!$B$8/4))),IF('I_Budget Input Data'!$E$101="At Completion",IF(25='I_Inputs &amp; Assumptions'!$B$8,'I_Budget Input Data'!$D$101,0),'I_Budget Input Data'!$D$101/'I_Inputs &amp; Assumptions'!$B$8)))))),0)</f>
        <v>0</v>
      </c>
      <c r="AB101" s="91">
        <f>IF(26&lt;='I_Inputs &amp; Assumptions'!$B$8,IF('I_Budget Input Data'!$E$101="Upfront",IF(26=1,'I_Budget Input Data'!$D$101,0),IF('I_Budget Input Data'!$E$101="Equal",'I_Budget Input Data'!$D$101/'I_Inputs &amp; Assumptions'!$B$8,IF('I_Budget Input Data'!$E$101="Front-loaded",IF(26&lt;='I_Inputs &amp; Assumptions'!$B$8/2,'I_Budget Input Data'!$D$101*0.6/('I_Inputs &amp; Assumptions'!$B$8/2),'I_Budget Input Data'!$D$101*0.4/('I_Inputs &amp; Assumptions'!$B$8/2)),IF('I_Budget Input Data'!$E$101="Back-loaded",IF(26&lt;='I_Inputs &amp; Assumptions'!$B$8/2,'I_Budget Input Data'!$D$101*0.4/('I_Inputs &amp; Assumptions'!$B$8/2),'I_Budget Input Data'!$D$101*0.6/('I_Inputs &amp; Assumptions'!$B$8/2)),IF('I_Budget Input Data'!$E$101="Mid-weighted",IF(26&lt;='I_Inputs &amp; Assumptions'!$B$8/4,'I_Budget Input Data'!$D$101*0.2/('I_Inputs &amp; Assumptions'!$B$8/4),IF(26&lt;='I_Inputs &amp; Assumptions'!$B$8*0.75,'I_Budget Input Data'!$D$101*0.6/('I_Inputs &amp; Assumptions'!$B$8/2),'I_Budget Input Data'!$D$101*0.2/('I_Inputs &amp; Assumptions'!$B$8/4))),IF('I_Budget Input Data'!$E$101="At Completion",IF(26='I_Inputs &amp; Assumptions'!$B$8,'I_Budget Input Data'!$D$101,0),'I_Budget Input Data'!$D$101/'I_Inputs &amp; Assumptions'!$B$8)))))),0)</f>
        <v>0</v>
      </c>
      <c r="AC101" s="91">
        <f>IF(27&lt;='I_Inputs &amp; Assumptions'!$B$8,IF('I_Budget Input Data'!$E$101="Upfront",IF(27=1,'I_Budget Input Data'!$D$101,0),IF('I_Budget Input Data'!$E$101="Equal",'I_Budget Input Data'!$D$101/'I_Inputs &amp; Assumptions'!$B$8,IF('I_Budget Input Data'!$E$101="Front-loaded",IF(27&lt;='I_Inputs &amp; Assumptions'!$B$8/2,'I_Budget Input Data'!$D$101*0.6/('I_Inputs &amp; Assumptions'!$B$8/2),'I_Budget Input Data'!$D$101*0.4/('I_Inputs &amp; Assumptions'!$B$8/2)),IF('I_Budget Input Data'!$E$101="Back-loaded",IF(27&lt;='I_Inputs &amp; Assumptions'!$B$8/2,'I_Budget Input Data'!$D$101*0.4/('I_Inputs &amp; Assumptions'!$B$8/2),'I_Budget Input Data'!$D$101*0.6/('I_Inputs &amp; Assumptions'!$B$8/2)),IF('I_Budget Input Data'!$E$101="Mid-weighted",IF(27&lt;='I_Inputs &amp; Assumptions'!$B$8/4,'I_Budget Input Data'!$D$101*0.2/('I_Inputs &amp; Assumptions'!$B$8/4),IF(27&lt;='I_Inputs &amp; Assumptions'!$B$8*0.75,'I_Budget Input Data'!$D$101*0.6/('I_Inputs &amp; Assumptions'!$B$8/2),'I_Budget Input Data'!$D$101*0.2/('I_Inputs &amp; Assumptions'!$B$8/4))),IF('I_Budget Input Data'!$E$101="At Completion",IF(27='I_Inputs &amp; Assumptions'!$B$8,'I_Budget Input Data'!$D$101,0),'I_Budget Input Data'!$D$101/'I_Inputs &amp; Assumptions'!$B$8)))))),0)</f>
        <v>0</v>
      </c>
      <c r="AD101" s="91">
        <f>IF(28&lt;='I_Inputs &amp; Assumptions'!$B$8,IF('I_Budget Input Data'!$E$101="Upfront",IF(28=1,'I_Budget Input Data'!$D$101,0),IF('I_Budget Input Data'!$E$101="Equal",'I_Budget Input Data'!$D$101/'I_Inputs &amp; Assumptions'!$B$8,IF('I_Budget Input Data'!$E$101="Front-loaded",IF(28&lt;='I_Inputs &amp; Assumptions'!$B$8/2,'I_Budget Input Data'!$D$101*0.6/('I_Inputs &amp; Assumptions'!$B$8/2),'I_Budget Input Data'!$D$101*0.4/('I_Inputs &amp; Assumptions'!$B$8/2)),IF('I_Budget Input Data'!$E$101="Back-loaded",IF(28&lt;='I_Inputs &amp; Assumptions'!$B$8/2,'I_Budget Input Data'!$D$101*0.4/('I_Inputs &amp; Assumptions'!$B$8/2),'I_Budget Input Data'!$D$101*0.6/('I_Inputs &amp; Assumptions'!$B$8/2)),IF('I_Budget Input Data'!$E$101="Mid-weighted",IF(28&lt;='I_Inputs &amp; Assumptions'!$B$8/4,'I_Budget Input Data'!$D$101*0.2/('I_Inputs &amp; Assumptions'!$B$8/4),IF(28&lt;='I_Inputs &amp; Assumptions'!$B$8*0.75,'I_Budget Input Data'!$D$101*0.6/('I_Inputs &amp; Assumptions'!$B$8/2),'I_Budget Input Data'!$D$101*0.2/('I_Inputs &amp; Assumptions'!$B$8/4))),IF('I_Budget Input Data'!$E$101="At Completion",IF(28='I_Inputs &amp; Assumptions'!$B$8,'I_Budget Input Data'!$D$101,0),'I_Budget Input Data'!$D$101/'I_Inputs &amp; Assumptions'!$B$8)))))),0)</f>
        <v>0</v>
      </c>
      <c r="AE101" s="91">
        <f>IF(29&lt;='I_Inputs &amp; Assumptions'!$B$8,IF('I_Budget Input Data'!$E$101="Upfront",IF(29=1,'I_Budget Input Data'!$D$101,0),IF('I_Budget Input Data'!$E$101="Equal",'I_Budget Input Data'!$D$101/'I_Inputs &amp; Assumptions'!$B$8,IF('I_Budget Input Data'!$E$101="Front-loaded",IF(29&lt;='I_Inputs &amp; Assumptions'!$B$8/2,'I_Budget Input Data'!$D$101*0.6/('I_Inputs &amp; Assumptions'!$B$8/2),'I_Budget Input Data'!$D$101*0.4/('I_Inputs &amp; Assumptions'!$B$8/2)),IF('I_Budget Input Data'!$E$101="Back-loaded",IF(29&lt;='I_Inputs &amp; Assumptions'!$B$8/2,'I_Budget Input Data'!$D$101*0.4/('I_Inputs &amp; Assumptions'!$B$8/2),'I_Budget Input Data'!$D$101*0.6/('I_Inputs &amp; Assumptions'!$B$8/2)),IF('I_Budget Input Data'!$E$101="Mid-weighted",IF(29&lt;='I_Inputs &amp; Assumptions'!$B$8/4,'I_Budget Input Data'!$D$101*0.2/('I_Inputs &amp; Assumptions'!$B$8/4),IF(29&lt;='I_Inputs &amp; Assumptions'!$B$8*0.75,'I_Budget Input Data'!$D$101*0.6/('I_Inputs &amp; Assumptions'!$B$8/2),'I_Budget Input Data'!$D$101*0.2/('I_Inputs &amp; Assumptions'!$B$8/4))),IF('I_Budget Input Data'!$E$101="At Completion",IF(29='I_Inputs &amp; Assumptions'!$B$8,'I_Budget Input Data'!$D$101,0),'I_Budget Input Data'!$D$101/'I_Inputs &amp; Assumptions'!$B$8)))))),0)</f>
        <v>0</v>
      </c>
      <c r="AF101" s="91">
        <f>IF(30&lt;='I_Inputs &amp; Assumptions'!$B$8,IF('I_Budget Input Data'!$E$101="Upfront",IF(30=1,'I_Budget Input Data'!$D$101,0),IF('I_Budget Input Data'!$E$101="Equal",'I_Budget Input Data'!$D$101/'I_Inputs &amp; Assumptions'!$B$8,IF('I_Budget Input Data'!$E$101="Front-loaded",IF(30&lt;='I_Inputs &amp; Assumptions'!$B$8/2,'I_Budget Input Data'!$D$101*0.6/('I_Inputs &amp; Assumptions'!$B$8/2),'I_Budget Input Data'!$D$101*0.4/('I_Inputs &amp; Assumptions'!$B$8/2)),IF('I_Budget Input Data'!$E$101="Back-loaded",IF(30&lt;='I_Inputs &amp; Assumptions'!$B$8/2,'I_Budget Input Data'!$D$101*0.4/('I_Inputs &amp; Assumptions'!$B$8/2),'I_Budget Input Data'!$D$101*0.6/('I_Inputs &amp; Assumptions'!$B$8/2)),IF('I_Budget Input Data'!$E$101="Mid-weighted",IF(30&lt;='I_Inputs &amp; Assumptions'!$B$8/4,'I_Budget Input Data'!$D$101*0.2/('I_Inputs &amp; Assumptions'!$B$8/4),IF(30&lt;='I_Inputs &amp; Assumptions'!$B$8*0.75,'I_Budget Input Data'!$D$101*0.6/('I_Inputs &amp; Assumptions'!$B$8/2),'I_Budget Input Data'!$D$101*0.2/('I_Inputs &amp; Assumptions'!$B$8/4))),IF('I_Budget Input Data'!$E$101="At Completion",IF(30='I_Inputs &amp; Assumptions'!$B$8,'I_Budget Input Data'!$D$101,0),'I_Budget Input Data'!$D$101/'I_Inputs &amp; Assumptions'!$B$8)))))),0)</f>
        <v>0</v>
      </c>
      <c r="AG101" s="91">
        <f>IF(31&lt;='I_Inputs &amp; Assumptions'!$B$8,IF('I_Budget Input Data'!$E$101="Upfront",IF(31=1,'I_Budget Input Data'!$D$101,0),IF('I_Budget Input Data'!$E$101="Equal",'I_Budget Input Data'!$D$101/'I_Inputs &amp; Assumptions'!$B$8,IF('I_Budget Input Data'!$E$101="Front-loaded",IF(31&lt;='I_Inputs &amp; Assumptions'!$B$8/2,'I_Budget Input Data'!$D$101*0.6/('I_Inputs &amp; Assumptions'!$B$8/2),'I_Budget Input Data'!$D$101*0.4/('I_Inputs &amp; Assumptions'!$B$8/2)),IF('I_Budget Input Data'!$E$101="Back-loaded",IF(31&lt;='I_Inputs &amp; Assumptions'!$B$8/2,'I_Budget Input Data'!$D$101*0.4/('I_Inputs &amp; Assumptions'!$B$8/2),'I_Budget Input Data'!$D$101*0.6/('I_Inputs &amp; Assumptions'!$B$8/2)),IF('I_Budget Input Data'!$E$101="Mid-weighted",IF(31&lt;='I_Inputs &amp; Assumptions'!$B$8/4,'I_Budget Input Data'!$D$101*0.2/('I_Inputs &amp; Assumptions'!$B$8/4),IF(31&lt;='I_Inputs &amp; Assumptions'!$B$8*0.75,'I_Budget Input Data'!$D$101*0.6/('I_Inputs &amp; Assumptions'!$B$8/2),'I_Budget Input Data'!$D$101*0.2/('I_Inputs &amp; Assumptions'!$B$8/4))),IF('I_Budget Input Data'!$E$101="At Completion",IF(31='I_Inputs &amp; Assumptions'!$B$8,'I_Budget Input Data'!$D$101,0),'I_Budget Input Data'!$D$101/'I_Inputs &amp; Assumptions'!$B$8)))))),0)</f>
        <v>0</v>
      </c>
      <c r="AH101" s="91">
        <f>IF(32&lt;='I_Inputs &amp; Assumptions'!$B$8,IF('I_Budget Input Data'!$E$101="Upfront",IF(32=1,'I_Budget Input Data'!$D$101,0),IF('I_Budget Input Data'!$E$101="Equal",'I_Budget Input Data'!$D$101/'I_Inputs &amp; Assumptions'!$B$8,IF('I_Budget Input Data'!$E$101="Front-loaded",IF(32&lt;='I_Inputs &amp; Assumptions'!$B$8/2,'I_Budget Input Data'!$D$101*0.6/('I_Inputs &amp; Assumptions'!$B$8/2),'I_Budget Input Data'!$D$101*0.4/('I_Inputs &amp; Assumptions'!$B$8/2)),IF('I_Budget Input Data'!$E$101="Back-loaded",IF(32&lt;='I_Inputs &amp; Assumptions'!$B$8/2,'I_Budget Input Data'!$D$101*0.4/('I_Inputs &amp; Assumptions'!$B$8/2),'I_Budget Input Data'!$D$101*0.6/('I_Inputs &amp; Assumptions'!$B$8/2)),IF('I_Budget Input Data'!$E$101="Mid-weighted",IF(32&lt;='I_Inputs &amp; Assumptions'!$B$8/4,'I_Budget Input Data'!$D$101*0.2/('I_Inputs &amp; Assumptions'!$B$8/4),IF(32&lt;='I_Inputs &amp; Assumptions'!$B$8*0.75,'I_Budget Input Data'!$D$101*0.6/('I_Inputs &amp; Assumptions'!$B$8/2),'I_Budget Input Data'!$D$101*0.2/('I_Inputs &amp; Assumptions'!$B$8/4))),IF('I_Budget Input Data'!$E$101="At Completion",IF(32='I_Inputs &amp; Assumptions'!$B$8,'I_Budget Input Data'!$D$101,0),'I_Budget Input Data'!$D$101/'I_Inputs &amp; Assumptions'!$B$8)))))),0)</f>
        <v>0</v>
      </c>
      <c r="AI101" s="91">
        <f>IF(33&lt;='I_Inputs &amp; Assumptions'!$B$8,IF('I_Budget Input Data'!$E$101="Upfront",IF(33=1,'I_Budget Input Data'!$D$101,0),IF('I_Budget Input Data'!$E$101="Equal",'I_Budget Input Data'!$D$101/'I_Inputs &amp; Assumptions'!$B$8,IF('I_Budget Input Data'!$E$101="Front-loaded",IF(33&lt;='I_Inputs &amp; Assumptions'!$B$8/2,'I_Budget Input Data'!$D$101*0.6/('I_Inputs &amp; Assumptions'!$B$8/2),'I_Budget Input Data'!$D$101*0.4/('I_Inputs &amp; Assumptions'!$B$8/2)),IF('I_Budget Input Data'!$E$101="Back-loaded",IF(33&lt;='I_Inputs &amp; Assumptions'!$B$8/2,'I_Budget Input Data'!$D$101*0.4/('I_Inputs &amp; Assumptions'!$B$8/2),'I_Budget Input Data'!$D$101*0.6/('I_Inputs &amp; Assumptions'!$B$8/2)),IF('I_Budget Input Data'!$E$101="Mid-weighted",IF(33&lt;='I_Inputs &amp; Assumptions'!$B$8/4,'I_Budget Input Data'!$D$101*0.2/('I_Inputs &amp; Assumptions'!$B$8/4),IF(33&lt;='I_Inputs &amp; Assumptions'!$B$8*0.75,'I_Budget Input Data'!$D$101*0.6/('I_Inputs &amp; Assumptions'!$B$8/2),'I_Budget Input Data'!$D$101*0.2/('I_Inputs &amp; Assumptions'!$B$8/4))),IF('I_Budget Input Data'!$E$101="At Completion",IF(33='I_Inputs &amp; Assumptions'!$B$8,'I_Budget Input Data'!$D$101,0),'I_Budget Input Data'!$D$101/'I_Inputs &amp; Assumptions'!$B$8)))))),0)</f>
        <v>0</v>
      </c>
      <c r="AJ101" s="91">
        <f>IF(34&lt;='I_Inputs &amp; Assumptions'!$B$8,IF('I_Budget Input Data'!$E$101="Upfront",IF(34=1,'I_Budget Input Data'!$D$101,0),IF('I_Budget Input Data'!$E$101="Equal",'I_Budget Input Data'!$D$101/'I_Inputs &amp; Assumptions'!$B$8,IF('I_Budget Input Data'!$E$101="Front-loaded",IF(34&lt;='I_Inputs &amp; Assumptions'!$B$8/2,'I_Budget Input Data'!$D$101*0.6/('I_Inputs &amp; Assumptions'!$B$8/2),'I_Budget Input Data'!$D$101*0.4/('I_Inputs &amp; Assumptions'!$B$8/2)),IF('I_Budget Input Data'!$E$101="Back-loaded",IF(34&lt;='I_Inputs &amp; Assumptions'!$B$8/2,'I_Budget Input Data'!$D$101*0.4/('I_Inputs &amp; Assumptions'!$B$8/2),'I_Budget Input Data'!$D$101*0.6/('I_Inputs &amp; Assumptions'!$B$8/2)),IF('I_Budget Input Data'!$E$101="Mid-weighted",IF(34&lt;='I_Inputs &amp; Assumptions'!$B$8/4,'I_Budget Input Data'!$D$101*0.2/('I_Inputs &amp; Assumptions'!$B$8/4),IF(34&lt;='I_Inputs &amp; Assumptions'!$B$8*0.75,'I_Budget Input Data'!$D$101*0.6/('I_Inputs &amp; Assumptions'!$B$8/2),'I_Budget Input Data'!$D$101*0.2/('I_Inputs &amp; Assumptions'!$B$8/4))),IF('I_Budget Input Data'!$E$101="At Completion",IF(34='I_Inputs &amp; Assumptions'!$B$8,'I_Budget Input Data'!$D$101,0),'I_Budget Input Data'!$D$101/'I_Inputs &amp; Assumptions'!$B$8)))))),0)</f>
        <v>0</v>
      </c>
      <c r="AK101" s="91">
        <f>IF(35&lt;='I_Inputs &amp; Assumptions'!$B$8,IF('I_Budget Input Data'!$E$101="Upfront",IF(35=1,'I_Budget Input Data'!$D$101,0),IF('I_Budget Input Data'!$E$101="Equal",'I_Budget Input Data'!$D$101/'I_Inputs &amp; Assumptions'!$B$8,IF('I_Budget Input Data'!$E$101="Front-loaded",IF(35&lt;='I_Inputs &amp; Assumptions'!$B$8/2,'I_Budget Input Data'!$D$101*0.6/('I_Inputs &amp; Assumptions'!$B$8/2),'I_Budget Input Data'!$D$101*0.4/('I_Inputs &amp; Assumptions'!$B$8/2)),IF('I_Budget Input Data'!$E$101="Back-loaded",IF(35&lt;='I_Inputs &amp; Assumptions'!$B$8/2,'I_Budget Input Data'!$D$101*0.4/('I_Inputs &amp; Assumptions'!$B$8/2),'I_Budget Input Data'!$D$101*0.6/('I_Inputs &amp; Assumptions'!$B$8/2)),IF('I_Budget Input Data'!$E$101="Mid-weighted",IF(35&lt;='I_Inputs &amp; Assumptions'!$B$8/4,'I_Budget Input Data'!$D$101*0.2/('I_Inputs &amp; Assumptions'!$B$8/4),IF(35&lt;='I_Inputs &amp; Assumptions'!$B$8*0.75,'I_Budget Input Data'!$D$101*0.6/('I_Inputs &amp; Assumptions'!$B$8/2),'I_Budget Input Data'!$D$101*0.2/('I_Inputs &amp; Assumptions'!$B$8/4))),IF('I_Budget Input Data'!$E$101="At Completion",IF(35='I_Inputs &amp; Assumptions'!$B$8,'I_Budget Input Data'!$D$101,0),'I_Budget Input Data'!$D$101/'I_Inputs &amp; Assumptions'!$B$8)))))),0)</f>
        <v>0</v>
      </c>
      <c r="AL101" s="91">
        <f>IF(36&lt;='I_Inputs &amp; Assumptions'!$B$8,IF('I_Budget Input Data'!$E$101="Upfront",IF(36=1,'I_Budget Input Data'!$D$101,0),IF('I_Budget Input Data'!$E$101="Equal",'I_Budget Input Data'!$D$101/'I_Inputs &amp; Assumptions'!$B$8,IF('I_Budget Input Data'!$E$101="Front-loaded",IF(36&lt;='I_Inputs &amp; Assumptions'!$B$8/2,'I_Budget Input Data'!$D$101*0.6/('I_Inputs &amp; Assumptions'!$B$8/2),'I_Budget Input Data'!$D$101*0.4/('I_Inputs &amp; Assumptions'!$B$8/2)),IF('I_Budget Input Data'!$E$101="Back-loaded",IF(36&lt;='I_Inputs &amp; Assumptions'!$B$8/2,'I_Budget Input Data'!$D$101*0.4/('I_Inputs &amp; Assumptions'!$B$8/2),'I_Budget Input Data'!$D$101*0.6/('I_Inputs &amp; Assumptions'!$B$8/2)),IF('I_Budget Input Data'!$E$101="Mid-weighted",IF(36&lt;='I_Inputs &amp; Assumptions'!$B$8/4,'I_Budget Input Data'!$D$101*0.2/('I_Inputs &amp; Assumptions'!$B$8/4),IF(36&lt;='I_Inputs &amp; Assumptions'!$B$8*0.75,'I_Budget Input Data'!$D$101*0.6/('I_Inputs &amp; Assumptions'!$B$8/2),'I_Budget Input Data'!$D$101*0.2/('I_Inputs &amp; Assumptions'!$B$8/4))),IF('I_Budget Input Data'!$E$101="At Completion",IF(36='I_Inputs &amp; Assumptions'!$B$8,'I_Budget Input Data'!$D$101,0),'I_Budget Input Data'!$D$101/'I_Inputs &amp; Assumptions'!$B$8)))))),0)</f>
        <v>0</v>
      </c>
    </row>
    <row r="102" spans="1:38" ht="15" customHeight="1" x14ac:dyDescent="0.2">
      <c r="A102" t="s">
        <v>146</v>
      </c>
      <c r="B102" t="s">
        <v>220</v>
      </c>
      <c r="C102" s="91">
        <f>IF(1&lt;='I_Inputs &amp; Assumptions'!$B$8,IF('I_Budget Input Data'!$E$102="Upfront",IF(1=1,'I_Budget Input Data'!$D$102,0),IF('I_Budget Input Data'!$E$102="Equal",'I_Budget Input Data'!$D$102/'I_Inputs &amp; Assumptions'!$B$8,IF('I_Budget Input Data'!$E$102="Front-loaded",IF(1&lt;='I_Inputs &amp; Assumptions'!$B$8/2,'I_Budget Input Data'!$D$102*0.6/('I_Inputs &amp; Assumptions'!$B$8/2),'I_Budget Input Data'!$D$102*0.4/('I_Inputs &amp; Assumptions'!$B$8/2)),IF('I_Budget Input Data'!$E$102="Back-loaded",IF(1&lt;='I_Inputs &amp; Assumptions'!$B$8/2,'I_Budget Input Data'!$D$102*0.4/('I_Inputs &amp; Assumptions'!$B$8/2),'I_Budget Input Data'!$D$102*0.6/('I_Inputs &amp; Assumptions'!$B$8/2)),IF('I_Budget Input Data'!$E$102="Mid-weighted",IF(1&lt;='I_Inputs &amp; Assumptions'!$B$8/4,'I_Budget Input Data'!$D$102*0.2/('I_Inputs &amp; Assumptions'!$B$8/4),IF(1&lt;='I_Inputs &amp; Assumptions'!$B$8*0.75,'I_Budget Input Data'!$D$102*0.6/('I_Inputs &amp; Assumptions'!$B$8/2),'I_Budget Input Data'!$D$102*0.2/('I_Inputs &amp; Assumptions'!$B$8/4))),IF('I_Budget Input Data'!$E$102="At Completion",IF(1='I_Inputs &amp; Assumptions'!$B$8,'I_Budget Input Data'!$D$102,0),'I_Budget Input Data'!$D$102/'I_Inputs &amp; Assumptions'!$B$8)))))),0)</f>
        <v>34602.076923076922</v>
      </c>
      <c r="D102" s="91">
        <f>IF(2&lt;='I_Inputs &amp; Assumptions'!$B$8,IF('I_Budget Input Data'!$E$102="Upfront",IF(2=1,'I_Budget Input Data'!$D$102,0),IF('I_Budget Input Data'!$E$102="Equal",'I_Budget Input Data'!$D$102/'I_Inputs &amp; Assumptions'!$B$8,IF('I_Budget Input Data'!$E$102="Front-loaded",IF(2&lt;='I_Inputs &amp; Assumptions'!$B$8/2,'I_Budget Input Data'!$D$102*0.6/('I_Inputs &amp; Assumptions'!$B$8/2),'I_Budget Input Data'!$D$102*0.4/('I_Inputs &amp; Assumptions'!$B$8/2)),IF('I_Budget Input Data'!$E$102="Back-loaded",IF(2&lt;='I_Inputs &amp; Assumptions'!$B$8/2,'I_Budget Input Data'!$D$102*0.4/('I_Inputs &amp; Assumptions'!$B$8/2),'I_Budget Input Data'!$D$102*0.6/('I_Inputs &amp; Assumptions'!$B$8/2)),IF('I_Budget Input Data'!$E$102="Mid-weighted",IF(2&lt;='I_Inputs &amp; Assumptions'!$B$8/4,'I_Budget Input Data'!$D$102*0.2/('I_Inputs &amp; Assumptions'!$B$8/4),IF(2&lt;='I_Inputs &amp; Assumptions'!$B$8*0.75,'I_Budget Input Data'!$D$102*0.6/('I_Inputs &amp; Assumptions'!$B$8/2),'I_Budget Input Data'!$D$102*0.2/('I_Inputs &amp; Assumptions'!$B$8/4))),IF('I_Budget Input Data'!$E$102="At Completion",IF(2='I_Inputs &amp; Assumptions'!$B$8,'I_Budget Input Data'!$D$102,0),'I_Budget Input Data'!$D$102/'I_Inputs &amp; Assumptions'!$B$8)))))),0)</f>
        <v>34602.076923076922</v>
      </c>
      <c r="E102" s="91">
        <f>IF(3&lt;='I_Inputs &amp; Assumptions'!$B$8,IF('I_Budget Input Data'!$E$102="Upfront",IF(3=1,'I_Budget Input Data'!$D$102,0),IF('I_Budget Input Data'!$E$102="Equal",'I_Budget Input Data'!$D$102/'I_Inputs &amp; Assumptions'!$B$8,IF('I_Budget Input Data'!$E$102="Front-loaded",IF(3&lt;='I_Inputs &amp; Assumptions'!$B$8/2,'I_Budget Input Data'!$D$102*0.6/('I_Inputs &amp; Assumptions'!$B$8/2),'I_Budget Input Data'!$D$102*0.4/('I_Inputs &amp; Assumptions'!$B$8/2)),IF('I_Budget Input Data'!$E$102="Back-loaded",IF(3&lt;='I_Inputs &amp; Assumptions'!$B$8/2,'I_Budget Input Data'!$D$102*0.4/('I_Inputs &amp; Assumptions'!$B$8/2),'I_Budget Input Data'!$D$102*0.6/('I_Inputs &amp; Assumptions'!$B$8/2)),IF('I_Budget Input Data'!$E$102="Mid-weighted",IF(3&lt;='I_Inputs &amp; Assumptions'!$B$8/4,'I_Budget Input Data'!$D$102*0.2/('I_Inputs &amp; Assumptions'!$B$8/4),IF(3&lt;='I_Inputs &amp; Assumptions'!$B$8*0.75,'I_Budget Input Data'!$D$102*0.6/('I_Inputs &amp; Assumptions'!$B$8/2),'I_Budget Input Data'!$D$102*0.2/('I_Inputs &amp; Assumptions'!$B$8/4))),IF('I_Budget Input Data'!$E$102="At Completion",IF(3='I_Inputs &amp; Assumptions'!$B$8,'I_Budget Input Data'!$D$102,0),'I_Budget Input Data'!$D$102/'I_Inputs &amp; Assumptions'!$B$8)))))),0)</f>
        <v>34602.076923076922</v>
      </c>
      <c r="F102" s="91">
        <f>IF(4&lt;='I_Inputs &amp; Assumptions'!$B$8,IF('I_Budget Input Data'!$E$102="Upfront",IF(4=1,'I_Budget Input Data'!$D$102,0),IF('I_Budget Input Data'!$E$102="Equal",'I_Budget Input Data'!$D$102/'I_Inputs &amp; Assumptions'!$B$8,IF('I_Budget Input Data'!$E$102="Front-loaded",IF(4&lt;='I_Inputs &amp; Assumptions'!$B$8/2,'I_Budget Input Data'!$D$102*0.6/('I_Inputs &amp; Assumptions'!$B$8/2),'I_Budget Input Data'!$D$102*0.4/('I_Inputs &amp; Assumptions'!$B$8/2)),IF('I_Budget Input Data'!$E$102="Back-loaded",IF(4&lt;='I_Inputs &amp; Assumptions'!$B$8/2,'I_Budget Input Data'!$D$102*0.4/('I_Inputs &amp; Assumptions'!$B$8/2),'I_Budget Input Data'!$D$102*0.6/('I_Inputs &amp; Assumptions'!$B$8/2)),IF('I_Budget Input Data'!$E$102="Mid-weighted",IF(4&lt;='I_Inputs &amp; Assumptions'!$B$8/4,'I_Budget Input Data'!$D$102*0.2/('I_Inputs &amp; Assumptions'!$B$8/4),IF(4&lt;='I_Inputs &amp; Assumptions'!$B$8*0.75,'I_Budget Input Data'!$D$102*0.6/('I_Inputs &amp; Assumptions'!$B$8/2),'I_Budget Input Data'!$D$102*0.2/('I_Inputs &amp; Assumptions'!$B$8/4))),IF('I_Budget Input Data'!$E$102="At Completion",IF(4='I_Inputs &amp; Assumptions'!$B$8,'I_Budget Input Data'!$D$102,0),'I_Budget Input Data'!$D$102/'I_Inputs &amp; Assumptions'!$B$8)))))),0)</f>
        <v>34602.076923076922</v>
      </c>
      <c r="G102" s="91">
        <f>IF(5&lt;='I_Inputs &amp; Assumptions'!$B$8,IF('I_Budget Input Data'!$E$102="Upfront",IF(5=1,'I_Budget Input Data'!$D$102,0),IF('I_Budget Input Data'!$E$102="Equal",'I_Budget Input Data'!$D$102/'I_Inputs &amp; Assumptions'!$B$8,IF('I_Budget Input Data'!$E$102="Front-loaded",IF(5&lt;='I_Inputs &amp; Assumptions'!$B$8/2,'I_Budget Input Data'!$D$102*0.6/('I_Inputs &amp; Assumptions'!$B$8/2),'I_Budget Input Data'!$D$102*0.4/('I_Inputs &amp; Assumptions'!$B$8/2)),IF('I_Budget Input Data'!$E$102="Back-loaded",IF(5&lt;='I_Inputs &amp; Assumptions'!$B$8/2,'I_Budget Input Data'!$D$102*0.4/('I_Inputs &amp; Assumptions'!$B$8/2),'I_Budget Input Data'!$D$102*0.6/('I_Inputs &amp; Assumptions'!$B$8/2)),IF('I_Budget Input Data'!$E$102="Mid-weighted",IF(5&lt;='I_Inputs &amp; Assumptions'!$B$8/4,'I_Budget Input Data'!$D$102*0.2/('I_Inputs &amp; Assumptions'!$B$8/4),IF(5&lt;='I_Inputs &amp; Assumptions'!$B$8*0.75,'I_Budget Input Data'!$D$102*0.6/('I_Inputs &amp; Assumptions'!$B$8/2),'I_Budget Input Data'!$D$102*0.2/('I_Inputs &amp; Assumptions'!$B$8/4))),IF('I_Budget Input Data'!$E$102="At Completion",IF(5='I_Inputs &amp; Assumptions'!$B$8,'I_Budget Input Data'!$D$102,0),'I_Budget Input Data'!$D$102/'I_Inputs &amp; Assumptions'!$B$8)))))),0)</f>
        <v>34602.076923076922</v>
      </c>
      <c r="H102" s="91">
        <f>IF(6&lt;='I_Inputs &amp; Assumptions'!$B$8,IF('I_Budget Input Data'!$E$102="Upfront",IF(6=1,'I_Budget Input Data'!$D$102,0),IF('I_Budget Input Data'!$E$102="Equal",'I_Budget Input Data'!$D$102/'I_Inputs &amp; Assumptions'!$B$8,IF('I_Budget Input Data'!$E$102="Front-loaded",IF(6&lt;='I_Inputs &amp; Assumptions'!$B$8/2,'I_Budget Input Data'!$D$102*0.6/('I_Inputs &amp; Assumptions'!$B$8/2),'I_Budget Input Data'!$D$102*0.4/('I_Inputs &amp; Assumptions'!$B$8/2)),IF('I_Budget Input Data'!$E$102="Back-loaded",IF(6&lt;='I_Inputs &amp; Assumptions'!$B$8/2,'I_Budget Input Data'!$D$102*0.4/('I_Inputs &amp; Assumptions'!$B$8/2),'I_Budget Input Data'!$D$102*0.6/('I_Inputs &amp; Assumptions'!$B$8/2)),IF('I_Budget Input Data'!$E$102="Mid-weighted",IF(6&lt;='I_Inputs &amp; Assumptions'!$B$8/4,'I_Budget Input Data'!$D$102*0.2/('I_Inputs &amp; Assumptions'!$B$8/4),IF(6&lt;='I_Inputs &amp; Assumptions'!$B$8*0.75,'I_Budget Input Data'!$D$102*0.6/('I_Inputs &amp; Assumptions'!$B$8/2),'I_Budget Input Data'!$D$102*0.2/('I_Inputs &amp; Assumptions'!$B$8/4))),IF('I_Budget Input Data'!$E$102="At Completion",IF(6='I_Inputs &amp; Assumptions'!$B$8,'I_Budget Input Data'!$D$102,0),'I_Budget Input Data'!$D$102/'I_Inputs &amp; Assumptions'!$B$8)))))),0)</f>
        <v>34602.076923076922</v>
      </c>
      <c r="I102" s="91">
        <f>IF(7&lt;='I_Inputs &amp; Assumptions'!$B$8,IF('I_Budget Input Data'!$E$102="Upfront",IF(7=1,'I_Budget Input Data'!$D$102,0),IF('I_Budget Input Data'!$E$102="Equal",'I_Budget Input Data'!$D$102/'I_Inputs &amp; Assumptions'!$B$8,IF('I_Budget Input Data'!$E$102="Front-loaded",IF(7&lt;='I_Inputs &amp; Assumptions'!$B$8/2,'I_Budget Input Data'!$D$102*0.6/('I_Inputs &amp; Assumptions'!$B$8/2),'I_Budget Input Data'!$D$102*0.4/('I_Inputs &amp; Assumptions'!$B$8/2)),IF('I_Budget Input Data'!$E$102="Back-loaded",IF(7&lt;='I_Inputs &amp; Assumptions'!$B$8/2,'I_Budget Input Data'!$D$102*0.4/('I_Inputs &amp; Assumptions'!$B$8/2),'I_Budget Input Data'!$D$102*0.6/('I_Inputs &amp; Assumptions'!$B$8/2)),IF('I_Budget Input Data'!$E$102="Mid-weighted",IF(7&lt;='I_Inputs &amp; Assumptions'!$B$8/4,'I_Budget Input Data'!$D$102*0.2/('I_Inputs &amp; Assumptions'!$B$8/4),IF(7&lt;='I_Inputs &amp; Assumptions'!$B$8*0.75,'I_Budget Input Data'!$D$102*0.6/('I_Inputs &amp; Assumptions'!$B$8/2),'I_Budget Input Data'!$D$102*0.2/('I_Inputs &amp; Assumptions'!$B$8/4))),IF('I_Budget Input Data'!$E$102="At Completion",IF(7='I_Inputs &amp; Assumptions'!$B$8,'I_Budget Input Data'!$D$102,0),'I_Budget Input Data'!$D$102/'I_Inputs &amp; Assumptions'!$B$8)))))),0)</f>
        <v>34602.076923076922</v>
      </c>
      <c r="J102" s="91">
        <f>IF(8&lt;='I_Inputs &amp; Assumptions'!$B$8,IF('I_Budget Input Data'!$E$102="Upfront",IF(8=1,'I_Budget Input Data'!$D$102,0),IF('I_Budget Input Data'!$E$102="Equal",'I_Budget Input Data'!$D$102/'I_Inputs &amp; Assumptions'!$B$8,IF('I_Budget Input Data'!$E$102="Front-loaded",IF(8&lt;='I_Inputs &amp; Assumptions'!$B$8/2,'I_Budget Input Data'!$D$102*0.6/('I_Inputs &amp; Assumptions'!$B$8/2),'I_Budget Input Data'!$D$102*0.4/('I_Inputs &amp; Assumptions'!$B$8/2)),IF('I_Budget Input Data'!$E$102="Back-loaded",IF(8&lt;='I_Inputs &amp; Assumptions'!$B$8/2,'I_Budget Input Data'!$D$102*0.4/('I_Inputs &amp; Assumptions'!$B$8/2),'I_Budget Input Data'!$D$102*0.6/('I_Inputs &amp; Assumptions'!$B$8/2)),IF('I_Budget Input Data'!$E$102="Mid-weighted",IF(8&lt;='I_Inputs &amp; Assumptions'!$B$8/4,'I_Budget Input Data'!$D$102*0.2/('I_Inputs &amp; Assumptions'!$B$8/4),IF(8&lt;='I_Inputs &amp; Assumptions'!$B$8*0.75,'I_Budget Input Data'!$D$102*0.6/('I_Inputs &amp; Assumptions'!$B$8/2),'I_Budget Input Data'!$D$102*0.2/('I_Inputs &amp; Assumptions'!$B$8/4))),IF('I_Budget Input Data'!$E$102="At Completion",IF(8='I_Inputs &amp; Assumptions'!$B$8,'I_Budget Input Data'!$D$102,0),'I_Budget Input Data'!$D$102/'I_Inputs &amp; Assumptions'!$B$8)))))),0)</f>
        <v>34602.076923076922</v>
      </c>
      <c r="K102" s="91">
        <f>IF(9&lt;='I_Inputs &amp; Assumptions'!$B$8,IF('I_Budget Input Data'!$E$102="Upfront",IF(9=1,'I_Budget Input Data'!$D$102,0),IF('I_Budget Input Data'!$E$102="Equal",'I_Budget Input Data'!$D$102/'I_Inputs &amp; Assumptions'!$B$8,IF('I_Budget Input Data'!$E$102="Front-loaded",IF(9&lt;='I_Inputs &amp; Assumptions'!$B$8/2,'I_Budget Input Data'!$D$102*0.6/('I_Inputs &amp; Assumptions'!$B$8/2),'I_Budget Input Data'!$D$102*0.4/('I_Inputs &amp; Assumptions'!$B$8/2)),IF('I_Budget Input Data'!$E$102="Back-loaded",IF(9&lt;='I_Inputs &amp; Assumptions'!$B$8/2,'I_Budget Input Data'!$D$102*0.4/('I_Inputs &amp; Assumptions'!$B$8/2),'I_Budget Input Data'!$D$102*0.6/('I_Inputs &amp; Assumptions'!$B$8/2)),IF('I_Budget Input Data'!$E$102="Mid-weighted",IF(9&lt;='I_Inputs &amp; Assumptions'!$B$8/4,'I_Budget Input Data'!$D$102*0.2/('I_Inputs &amp; Assumptions'!$B$8/4),IF(9&lt;='I_Inputs &amp; Assumptions'!$B$8*0.75,'I_Budget Input Data'!$D$102*0.6/('I_Inputs &amp; Assumptions'!$B$8/2),'I_Budget Input Data'!$D$102*0.2/('I_Inputs &amp; Assumptions'!$B$8/4))),IF('I_Budget Input Data'!$E$102="At Completion",IF(9='I_Inputs &amp; Assumptions'!$B$8,'I_Budget Input Data'!$D$102,0),'I_Budget Input Data'!$D$102/'I_Inputs &amp; Assumptions'!$B$8)))))),0)</f>
        <v>34602.076923076922</v>
      </c>
      <c r="L102" s="91">
        <f>IF(10&lt;='I_Inputs &amp; Assumptions'!$B$8,IF('I_Budget Input Data'!$E$102="Upfront",IF(10=1,'I_Budget Input Data'!$D$102,0),IF('I_Budget Input Data'!$E$102="Equal",'I_Budget Input Data'!$D$102/'I_Inputs &amp; Assumptions'!$B$8,IF('I_Budget Input Data'!$E$102="Front-loaded",IF(10&lt;='I_Inputs &amp; Assumptions'!$B$8/2,'I_Budget Input Data'!$D$102*0.6/('I_Inputs &amp; Assumptions'!$B$8/2),'I_Budget Input Data'!$D$102*0.4/('I_Inputs &amp; Assumptions'!$B$8/2)),IF('I_Budget Input Data'!$E$102="Back-loaded",IF(10&lt;='I_Inputs &amp; Assumptions'!$B$8/2,'I_Budget Input Data'!$D$102*0.4/('I_Inputs &amp; Assumptions'!$B$8/2),'I_Budget Input Data'!$D$102*0.6/('I_Inputs &amp; Assumptions'!$B$8/2)),IF('I_Budget Input Data'!$E$102="Mid-weighted",IF(10&lt;='I_Inputs &amp; Assumptions'!$B$8/4,'I_Budget Input Data'!$D$102*0.2/('I_Inputs &amp; Assumptions'!$B$8/4),IF(10&lt;='I_Inputs &amp; Assumptions'!$B$8*0.75,'I_Budget Input Data'!$D$102*0.6/('I_Inputs &amp; Assumptions'!$B$8/2),'I_Budget Input Data'!$D$102*0.2/('I_Inputs &amp; Assumptions'!$B$8/4))),IF('I_Budget Input Data'!$E$102="At Completion",IF(10='I_Inputs &amp; Assumptions'!$B$8,'I_Budget Input Data'!$D$102,0),'I_Budget Input Data'!$D$102/'I_Inputs &amp; Assumptions'!$B$8)))))),0)</f>
        <v>34602.076923076922</v>
      </c>
      <c r="M102" s="91">
        <f>IF(11&lt;='I_Inputs &amp; Assumptions'!$B$8,IF('I_Budget Input Data'!$E$102="Upfront",IF(11=1,'I_Budget Input Data'!$D$102,0),IF('I_Budget Input Data'!$E$102="Equal",'I_Budget Input Data'!$D$102/'I_Inputs &amp; Assumptions'!$B$8,IF('I_Budget Input Data'!$E$102="Front-loaded",IF(11&lt;='I_Inputs &amp; Assumptions'!$B$8/2,'I_Budget Input Data'!$D$102*0.6/('I_Inputs &amp; Assumptions'!$B$8/2),'I_Budget Input Data'!$D$102*0.4/('I_Inputs &amp; Assumptions'!$B$8/2)),IF('I_Budget Input Data'!$E$102="Back-loaded",IF(11&lt;='I_Inputs &amp; Assumptions'!$B$8/2,'I_Budget Input Data'!$D$102*0.4/('I_Inputs &amp; Assumptions'!$B$8/2),'I_Budget Input Data'!$D$102*0.6/('I_Inputs &amp; Assumptions'!$B$8/2)),IF('I_Budget Input Data'!$E$102="Mid-weighted",IF(11&lt;='I_Inputs &amp; Assumptions'!$B$8/4,'I_Budget Input Data'!$D$102*0.2/('I_Inputs &amp; Assumptions'!$B$8/4),IF(11&lt;='I_Inputs &amp; Assumptions'!$B$8*0.75,'I_Budget Input Data'!$D$102*0.6/('I_Inputs &amp; Assumptions'!$B$8/2),'I_Budget Input Data'!$D$102*0.2/('I_Inputs &amp; Assumptions'!$B$8/4))),IF('I_Budget Input Data'!$E$102="At Completion",IF(11='I_Inputs &amp; Assumptions'!$B$8,'I_Budget Input Data'!$D$102,0),'I_Budget Input Data'!$D$102/'I_Inputs &amp; Assumptions'!$B$8)))))),0)</f>
        <v>34602.076923076922</v>
      </c>
      <c r="N102" s="91">
        <f>IF(12&lt;='I_Inputs &amp; Assumptions'!$B$8,IF('I_Budget Input Data'!$E$102="Upfront",IF(12=1,'I_Budget Input Data'!$D$102,0),IF('I_Budget Input Data'!$E$102="Equal",'I_Budget Input Data'!$D$102/'I_Inputs &amp; Assumptions'!$B$8,IF('I_Budget Input Data'!$E$102="Front-loaded",IF(12&lt;='I_Inputs &amp; Assumptions'!$B$8/2,'I_Budget Input Data'!$D$102*0.6/('I_Inputs &amp; Assumptions'!$B$8/2),'I_Budget Input Data'!$D$102*0.4/('I_Inputs &amp; Assumptions'!$B$8/2)),IF('I_Budget Input Data'!$E$102="Back-loaded",IF(12&lt;='I_Inputs &amp; Assumptions'!$B$8/2,'I_Budget Input Data'!$D$102*0.4/('I_Inputs &amp; Assumptions'!$B$8/2),'I_Budget Input Data'!$D$102*0.6/('I_Inputs &amp; Assumptions'!$B$8/2)),IF('I_Budget Input Data'!$E$102="Mid-weighted",IF(12&lt;='I_Inputs &amp; Assumptions'!$B$8/4,'I_Budget Input Data'!$D$102*0.2/('I_Inputs &amp; Assumptions'!$B$8/4),IF(12&lt;='I_Inputs &amp; Assumptions'!$B$8*0.75,'I_Budget Input Data'!$D$102*0.6/('I_Inputs &amp; Assumptions'!$B$8/2),'I_Budget Input Data'!$D$102*0.2/('I_Inputs &amp; Assumptions'!$B$8/4))),IF('I_Budget Input Data'!$E$102="At Completion",IF(12='I_Inputs &amp; Assumptions'!$B$8,'I_Budget Input Data'!$D$102,0),'I_Budget Input Data'!$D$102/'I_Inputs &amp; Assumptions'!$B$8)))))),0)</f>
        <v>34602.076923076922</v>
      </c>
      <c r="O102" s="91">
        <f>IF(13&lt;='I_Inputs &amp; Assumptions'!$B$8,IF('I_Budget Input Data'!$E$102="Upfront",IF(13=1,'I_Budget Input Data'!$D$102,0),IF('I_Budget Input Data'!$E$102="Equal",'I_Budget Input Data'!$D$102/'I_Inputs &amp; Assumptions'!$B$8,IF('I_Budget Input Data'!$E$102="Front-loaded",IF(13&lt;='I_Inputs &amp; Assumptions'!$B$8/2,'I_Budget Input Data'!$D$102*0.6/('I_Inputs &amp; Assumptions'!$B$8/2),'I_Budget Input Data'!$D$102*0.4/('I_Inputs &amp; Assumptions'!$B$8/2)),IF('I_Budget Input Data'!$E$102="Back-loaded",IF(13&lt;='I_Inputs &amp; Assumptions'!$B$8/2,'I_Budget Input Data'!$D$102*0.4/('I_Inputs &amp; Assumptions'!$B$8/2),'I_Budget Input Data'!$D$102*0.6/('I_Inputs &amp; Assumptions'!$B$8/2)),IF('I_Budget Input Data'!$E$102="Mid-weighted",IF(13&lt;='I_Inputs &amp; Assumptions'!$B$8/4,'I_Budget Input Data'!$D$102*0.2/('I_Inputs &amp; Assumptions'!$B$8/4),IF(13&lt;='I_Inputs &amp; Assumptions'!$B$8*0.75,'I_Budget Input Data'!$D$102*0.6/('I_Inputs &amp; Assumptions'!$B$8/2),'I_Budget Input Data'!$D$102*0.2/('I_Inputs &amp; Assumptions'!$B$8/4))),IF('I_Budget Input Data'!$E$102="At Completion",IF(13='I_Inputs &amp; Assumptions'!$B$8,'I_Budget Input Data'!$D$102,0),'I_Budget Input Data'!$D$102/'I_Inputs &amp; Assumptions'!$B$8)))))),0)</f>
        <v>34602.076923076922</v>
      </c>
      <c r="P102" s="91">
        <f>IF(14&lt;='I_Inputs &amp; Assumptions'!$B$8,IF('I_Budget Input Data'!$E$102="Upfront",IF(14=1,'I_Budget Input Data'!$D$102,0),IF('I_Budget Input Data'!$E$102="Equal",'I_Budget Input Data'!$D$102/'I_Inputs &amp; Assumptions'!$B$8,IF('I_Budget Input Data'!$E$102="Front-loaded",IF(14&lt;='I_Inputs &amp; Assumptions'!$B$8/2,'I_Budget Input Data'!$D$102*0.6/('I_Inputs &amp; Assumptions'!$B$8/2),'I_Budget Input Data'!$D$102*0.4/('I_Inputs &amp; Assumptions'!$B$8/2)),IF('I_Budget Input Data'!$E$102="Back-loaded",IF(14&lt;='I_Inputs &amp; Assumptions'!$B$8/2,'I_Budget Input Data'!$D$102*0.4/('I_Inputs &amp; Assumptions'!$B$8/2),'I_Budget Input Data'!$D$102*0.6/('I_Inputs &amp; Assumptions'!$B$8/2)),IF('I_Budget Input Data'!$E$102="Mid-weighted",IF(14&lt;='I_Inputs &amp; Assumptions'!$B$8/4,'I_Budget Input Data'!$D$102*0.2/('I_Inputs &amp; Assumptions'!$B$8/4),IF(14&lt;='I_Inputs &amp; Assumptions'!$B$8*0.75,'I_Budget Input Data'!$D$102*0.6/('I_Inputs &amp; Assumptions'!$B$8/2),'I_Budget Input Data'!$D$102*0.2/('I_Inputs &amp; Assumptions'!$B$8/4))),IF('I_Budget Input Data'!$E$102="At Completion",IF(14='I_Inputs &amp; Assumptions'!$B$8,'I_Budget Input Data'!$D$102,0),'I_Budget Input Data'!$D$102/'I_Inputs &amp; Assumptions'!$B$8)))))),0)</f>
        <v>0</v>
      </c>
      <c r="Q102" s="91">
        <f>IF(15&lt;='I_Inputs &amp; Assumptions'!$B$8,IF('I_Budget Input Data'!$E$102="Upfront",IF(15=1,'I_Budget Input Data'!$D$102,0),IF('I_Budget Input Data'!$E$102="Equal",'I_Budget Input Data'!$D$102/'I_Inputs &amp; Assumptions'!$B$8,IF('I_Budget Input Data'!$E$102="Front-loaded",IF(15&lt;='I_Inputs &amp; Assumptions'!$B$8/2,'I_Budget Input Data'!$D$102*0.6/('I_Inputs &amp; Assumptions'!$B$8/2),'I_Budget Input Data'!$D$102*0.4/('I_Inputs &amp; Assumptions'!$B$8/2)),IF('I_Budget Input Data'!$E$102="Back-loaded",IF(15&lt;='I_Inputs &amp; Assumptions'!$B$8/2,'I_Budget Input Data'!$D$102*0.4/('I_Inputs &amp; Assumptions'!$B$8/2),'I_Budget Input Data'!$D$102*0.6/('I_Inputs &amp; Assumptions'!$B$8/2)),IF('I_Budget Input Data'!$E$102="Mid-weighted",IF(15&lt;='I_Inputs &amp; Assumptions'!$B$8/4,'I_Budget Input Data'!$D$102*0.2/('I_Inputs &amp; Assumptions'!$B$8/4),IF(15&lt;='I_Inputs &amp; Assumptions'!$B$8*0.75,'I_Budget Input Data'!$D$102*0.6/('I_Inputs &amp; Assumptions'!$B$8/2),'I_Budget Input Data'!$D$102*0.2/('I_Inputs &amp; Assumptions'!$B$8/4))),IF('I_Budget Input Data'!$E$102="At Completion",IF(15='I_Inputs &amp; Assumptions'!$B$8,'I_Budget Input Data'!$D$102,0),'I_Budget Input Data'!$D$102/'I_Inputs &amp; Assumptions'!$B$8)))))),0)</f>
        <v>0</v>
      </c>
      <c r="R102" s="91">
        <f>IF(16&lt;='I_Inputs &amp; Assumptions'!$B$8,IF('I_Budget Input Data'!$E$102="Upfront",IF(16=1,'I_Budget Input Data'!$D$102,0),IF('I_Budget Input Data'!$E$102="Equal",'I_Budget Input Data'!$D$102/'I_Inputs &amp; Assumptions'!$B$8,IF('I_Budget Input Data'!$E$102="Front-loaded",IF(16&lt;='I_Inputs &amp; Assumptions'!$B$8/2,'I_Budget Input Data'!$D$102*0.6/('I_Inputs &amp; Assumptions'!$B$8/2),'I_Budget Input Data'!$D$102*0.4/('I_Inputs &amp; Assumptions'!$B$8/2)),IF('I_Budget Input Data'!$E$102="Back-loaded",IF(16&lt;='I_Inputs &amp; Assumptions'!$B$8/2,'I_Budget Input Data'!$D$102*0.4/('I_Inputs &amp; Assumptions'!$B$8/2),'I_Budget Input Data'!$D$102*0.6/('I_Inputs &amp; Assumptions'!$B$8/2)),IF('I_Budget Input Data'!$E$102="Mid-weighted",IF(16&lt;='I_Inputs &amp; Assumptions'!$B$8/4,'I_Budget Input Data'!$D$102*0.2/('I_Inputs &amp; Assumptions'!$B$8/4),IF(16&lt;='I_Inputs &amp; Assumptions'!$B$8*0.75,'I_Budget Input Data'!$D$102*0.6/('I_Inputs &amp; Assumptions'!$B$8/2),'I_Budget Input Data'!$D$102*0.2/('I_Inputs &amp; Assumptions'!$B$8/4))),IF('I_Budget Input Data'!$E$102="At Completion",IF(16='I_Inputs &amp; Assumptions'!$B$8,'I_Budget Input Data'!$D$102,0),'I_Budget Input Data'!$D$102/'I_Inputs &amp; Assumptions'!$B$8)))))),0)</f>
        <v>0</v>
      </c>
      <c r="S102" s="91">
        <f>IF(17&lt;='I_Inputs &amp; Assumptions'!$B$8,IF('I_Budget Input Data'!$E$102="Upfront",IF(17=1,'I_Budget Input Data'!$D$102,0),IF('I_Budget Input Data'!$E$102="Equal",'I_Budget Input Data'!$D$102/'I_Inputs &amp; Assumptions'!$B$8,IF('I_Budget Input Data'!$E$102="Front-loaded",IF(17&lt;='I_Inputs &amp; Assumptions'!$B$8/2,'I_Budget Input Data'!$D$102*0.6/('I_Inputs &amp; Assumptions'!$B$8/2),'I_Budget Input Data'!$D$102*0.4/('I_Inputs &amp; Assumptions'!$B$8/2)),IF('I_Budget Input Data'!$E$102="Back-loaded",IF(17&lt;='I_Inputs &amp; Assumptions'!$B$8/2,'I_Budget Input Data'!$D$102*0.4/('I_Inputs &amp; Assumptions'!$B$8/2),'I_Budget Input Data'!$D$102*0.6/('I_Inputs &amp; Assumptions'!$B$8/2)),IF('I_Budget Input Data'!$E$102="Mid-weighted",IF(17&lt;='I_Inputs &amp; Assumptions'!$B$8/4,'I_Budget Input Data'!$D$102*0.2/('I_Inputs &amp; Assumptions'!$B$8/4),IF(17&lt;='I_Inputs &amp; Assumptions'!$B$8*0.75,'I_Budget Input Data'!$D$102*0.6/('I_Inputs &amp; Assumptions'!$B$8/2),'I_Budget Input Data'!$D$102*0.2/('I_Inputs &amp; Assumptions'!$B$8/4))),IF('I_Budget Input Data'!$E$102="At Completion",IF(17='I_Inputs &amp; Assumptions'!$B$8,'I_Budget Input Data'!$D$102,0),'I_Budget Input Data'!$D$102/'I_Inputs &amp; Assumptions'!$B$8)))))),0)</f>
        <v>0</v>
      </c>
      <c r="T102" s="91">
        <f>IF(18&lt;='I_Inputs &amp; Assumptions'!$B$8,IF('I_Budget Input Data'!$E$102="Upfront",IF(18=1,'I_Budget Input Data'!$D$102,0),IF('I_Budget Input Data'!$E$102="Equal",'I_Budget Input Data'!$D$102/'I_Inputs &amp; Assumptions'!$B$8,IF('I_Budget Input Data'!$E$102="Front-loaded",IF(18&lt;='I_Inputs &amp; Assumptions'!$B$8/2,'I_Budget Input Data'!$D$102*0.6/('I_Inputs &amp; Assumptions'!$B$8/2),'I_Budget Input Data'!$D$102*0.4/('I_Inputs &amp; Assumptions'!$B$8/2)),IF('I_Budget Input Data'!$E$102="Back-loaded",IF(18&lt;='I_Inputs &amp; Assumptions'!$B$8/2,'I_Budget Input Data'!$D$102*0.4/('I_Inputs &amp; Assumptions'!$B$8/2),'I_Budget Input Data'!$D$102*0.6/('I_Inputs &amp; Assumptions'!$B$8/2)),IF('I_Budget Input Data'!$E$102="Mid-weighted",IF(18&lt;='I_Inputs &amp; Assumptions'!$B$8/4,'I_Budget Input Data'!$D$102*0.2/('I_Inputs &amp; Assumptions'!$B$8/4),IF(18&lt;='I_Inputs &amp; Assumptions'!$B$8*0.75,'I_Budget Input Data'!$D$102*0.6/('I_Inputs &amp; Assumptions'!$B$8/2),'I_Budget Input Data'!$D$102*0.2/('I_Inputs &amp; Assumptions'!$B$8/4))),IF('I_Budget Input Data'!$E$102="At Completion",IF(18='I_Inputs &amp; Assumptions'!$B$8,'I_Budget Input Data'!$D$102,0),'I_Budget Input Data'!$D$102/'I_Inputs &amp; Assumptions'!$B$8)))))),0)</f>
        <v>0</v>
      </c>
      <c r="U102" s="91">
        <f>IF(19&lt;='I_Inputs &amp; Assumptions'!$B$8,IF('I_Budget Input Data'!$E$102="Upfront",IF(19=1,'I_Budget Input Data'!$D$102,0),IF('I_Budget Input Data'!$E$102="Equal",'I_Budget Input Data'!$D$102/'I_Inputs &amp; Assumptions'!$B$8,IF('I_Budget Input Data'!$E$102="Front-loaded",IF(19&lt;='I_Inputs &amp; Assumptions'!$B$8/2,'I_Budget Input Data'!$D$102*0.6/('I_Inputs &amp; Assumptions'!$B$8/2),'I_Budget Input Data'!$D$102*0.4/('I_Inputs &amp; Assumptions'!$B$8/2)),IF('I_Budget Input Data'!$E$102="Back-loaded",IF(19&lt;='I_Inputs &amp; Assumptions'!$B$8/2,'I_Budget Input Data'!$D$102*0.4/('I_Inputs &amp; Assumptions'!$B$8/2),'I_Budget Input Data'!$D$102*0.6/('I_Inputs &amp; Assumptions'!$B$8/2)),IF('I_Budget Input Data'!$E$102="Mid-weighted",IF(19&lt;='I_Inputs &amp; Assumptions'!$B$8/4,'I_Budget Input Data'!$D$102*0.2/('I_Inputs &amp; Assumptions'!$B$8/4),IF(19&lt;='I_Inputs &amp; Assumptions'!$B$8*0.75,'I_Budget Input Data'!$D$102*0.6/('I_Inputs &amp; Assumptions'!$B$8/2),'I_Budget Input Data'!$D$102*0.2/('I_Inputs &amp; Assumptions'!$B$8/4))),IF('I_Budget Input Data'!$E$102="At Completion",IF(19='I_Inputs &amp; Assumptions'!$B$8,'I_Budget Input Data'!$D$102,0),'I_Budget Input Data'!$D$102/'I_Inputs &amp; Assumptions'!$B$8)))))),0)</f>
        <v>0</v>
      </c>
      <c r="V102" s="91">
        <f>IF(20&lt;='I_Inputs &amp; Assumptions'!$B$8,IF('I_Budget Input Data'!$E$102="Upfront",IF(20=1,'I_Budget Input Data'!$D$102,0),IF('I_Budget Input Data'!$E$102="Equal",'I_Budget Input Data'!$D$102/'I_Inputs &amp; Assumptions'!$B$8,IF('I_Budget Input Data'!$E$102="Front-loaded",IF(20&lt;='I_Inputs &amp; Assumptions'!$B$8/2,'I_Budget Input Data'!$D$102*0.6/('I_Inputs &amp; Assumptions'!$B$8/2),'I_Budget Input Data'!$D$102*0.4/('I_Inputs &amp; Assumptions'!$B$8/2)),IF('I_Budget Input Data'!$E$102="Back-loaded",IF(20&lt;='I_Inputs &amp; Assumptions'!$B$8/2,'I_Budget Input Data'!$D$102*0.4/('I_Inputs &amp; Assumptions'!$B$8/2),'I_Budget Input Data'!$D$102*0.6/('I_Inputs &amp; Assumptions'!$B$8/2)),IF('I_Budget Input Data'!$E$102="Mid-weighted",IF(20&lt;='I_Inputs &amp; Assumptions'!$B$8/4,'I_Budget Input Data'!$D$102*0.2/('I_Inputs &amp; Assumptions'!$B$8/4),IF(20&lt;='I_Inputs &amp; Assumptions'!$B$8*0.75,'I_Budget Input Data'!$D$102*0.6/('I_Inputs &amp; Assumptions'!$B$8/2),'I_Budget Input Data'!$D$102*0.2/('I_Inputs &amp; Assumptions'!$B$8/4))),IF('I_Budget Input Data'!$E$102="At Completion",IF(20='I_Inputs &amp; Assumptions'!$B$8,'I_Budget Input Data'!$D$102,0),'I_Budget Input Data'!$D$102/'I_Inputs &amp; Assumptions'!$B$8)))))),0)</f>
        <v>0</v>
      </c>
      <c r="W102" s="91">
        <f>IF(21&lt;='I_Inputs &amp; Assumptions'!$B$8,IF('I_Budget Input Data'!$E$102="Upfront",IF(21=1,'I_Budget Input Data'!$D$102,0),IF('I_Budget Input Data'!$E$102="Equal",'I_Budget Input Data'!$D$102/'I_Inputs &amp; Assumptions'!$B$8,IF('I_Budget Input Data'!$E$102="Front-loaded",IF(21&lt;='I_Inputs &amp; Assumptions'!$B$8/2,'I_Budget Input Data'!$D$102*0.6/('I_Inputs &amp; Assumptions'!$B$8/2),'I_Budget Input Data'!$D$102*0.4/('I_Inputs &amp; Assumptions'!$B$8/2)),IF('I_Budget Input Data'!$E$102="Back-loaded",IF(21&lt;='I_Inputs &amp; Assumptions'!$B$8/2,'I_Budget Input Data'!$D$102*0.4/('I_Inputs &amp; Assumptions'!$B$8/2),'I_Budget Input Data'!$D$102*0.6/('I_Inputs &amp; Assumptions'!$B$8/2)),IF('I_Budget Input Data'!$E$102="Mid-weighted",IF(21&lt;='I_Inputs &amp; Assumptions'!$B$8/4,'I_Budget Input Data'!$D$102*0.2/('I_Inputs &amp; Assumptions'!$B$8/4),IF(21&lt;='I_Inputs &amp; Assumptions'!$B$8*0.75,'I_Budget Input Data'!$D$102*0.6/('I_Inputs &amp; Assumptions'!$B$8/2),'I_Budget Input Data'!$D$102*0.2/('I_Inputs &amp; Assumptions'!$B$8/4))),IF('I_Budget Input Data'!$E$102="At Completion",IF(21='I_Inputs &amp; Assumptions'!$B$8,'I_Budget Input Data'!$D$102,0),'I_Budget Input Data'!$D$102/'I_Inputs &amp; Assumptions'!$B$8)))))),0)</f>
        <v>0</v>
      </c>
      <c r="X102" s="91">
        <f>IF(22&lt;='I_Inputs &amp; Assumptions'!$B$8,IF('I_Budget Input Data'!$E$102="Upfront",IF(22=1,'I_Budget Input Data'!$D$102,0),IF('I_Budget Input Data'!$E$102="Equal",'I_Budget Input Data'!$D$102/'I_Inputs &amp; Assumptions'!$B$8,IF('I_Budget Input Data'!$E$102="Front-loaded",IF(22&lt;='I_Inputs &amp; Assumptions'!$B$8/2,'I_Budget Input Data'!$D$102*0.6/('I_Inputs &amp; Assumptions'!$B$8/2),'I_Budget Input Data'!$D$102*0.4/('I_Inputs &amp; Assumptions'!$B$8/2)),IF('I_Budget Input Data'!$E$102="Back-loaded",IF(22&lt;='I_Inputs &amp; Assumptions'!$B$8/2,'I_Budget Input Data'!$D$102*0.4/('I_Inputs &amp; Assumptions'!$B$8/2),'I_Budget Input Data'!$D$102*0.6/('I_Inputs &amp; Assumptions'!$B$8/2)),IF('I_Budget Input Data'!$E$102="Mid-weighted",IF(22&lt;='I_Inputs &amp; Assumptions'!$B$8/4,'I_Budget Input Data'!$D$102*0.2/('I_Inputs &amp; Assumptions'!$B$8/4),IF(22&lt;='I_Inputs &amp; Assumptions'!$B$8*0.75,'I_Budget Input Data'!$D$102*0.6/('I_Inputs &amp; Assumptions'!$B$8/2),'I_Budget Input Data'!$D$102*0.2/('I_Inputs &amp; Assumptions'!$B$8/4))),IF('I_Budget Input Data'!$E$102="At Completion",IF(22='I_Inputs &amp; Assumptions'!$B$8,'I_Budget Input Data'!$D$102,0),'I_Budget Input Data'!$D$102/'I_Inputs &amp; Assumptions'!$B$8)))))),0)</f>
        <v>0</v>
      </c>
      <c r="Y102" s="91">
        <f>IF(23&lt;='I_Inputs &amp; Assumptions'!$B$8,IF('I_Budget Input Data'!$E$102="Upfront",IF(23=1,'I_Budget Input Data'!$D$102,0),IF('I_Budget Input Data'!$E$102="Equal",'I_Budget Input Data'!$D$102/'I_Inputs &amp; Assumptions'!$B$8,IF('I_Budget Input Data'!$E$102="Front-loaded",IF(23&lt;='I_Inputs &amp; Assumptions'!$B$8/2,'I_Budget Input Data'!$D$102*0.6/('I_Inputs &amp; Assumptions'!$B$8/2),'I_Budget Input Data'!$D$102*0.4/('I_Inputs &amp; Assumptions'!$B$8/2)),IF('I_Budget Input Data'!$E$102="Back-loaded",IF(23&lt;='I_Inputs &amp; Assumptions'!$B$8/2,'I_Budget Input Data'!$D$102*0.4/('I_Inputs &amp; Assumptions'!$B$8/2),'I_Budget Input Data'!$D$102*0.6/('I_Inputs &amp; Assumptions'!$B$8/2)),IF('I_Budget Input Data'!$E$102="Mid-weighted",IF(23&lt;='I_Inputs &amp; Assumptions'!$B$8/4,'I_Budget Input Data'!$D$102*0.2/('I_Inputs &amp; Assumptions'!$B$8/4),IF(23&lt;='I_Inputs &amp; Assumptions'!$B$8*0.75,'I_Budget Input Data'!$D$102*0.6/('I_Inputs &amp; Assumptions'!$B$8/2),'I_Budget Input Data'!$D$102*0.2/('I_Inputs &amp; Assumptions'!$B$8/4))),IF('I_Budget Input Data'!$E$102="At Completion",IF(23='I_Inputs &amp; Assumptions'!$B$8,'I_Budget Input Data'!$D$102,0),'I_Budget Input Data'!$D$102/'I_Inputs &amp; Assumptions'!$B$8)))))),0)</f>
        <v>0</v>
      </c>
      <c r="Z102" s="91">
        <f>IF(24&lt;='I_Inputs &amp; Assumptions'!$B$8,IF('I_Budget Input Data'!$E$102="Upfront",IF(24=1,'I_Budget Input Data'!$D$102,0),IF('I_Budget Input Data'!$E$102="Equal",'I_Budget Input Data'!$D$102/'I_Inputs &amp; Assumptions'!$B$8,IF('I_Budget Input Data'!$E$102="Front-loaded",IF(24&lt;='I_Inputs &amp; Assumptions'!$B$8/2,'I_Budget Input Data'!$D$102*0.6/('I_Inputs &amp; Assumptions'!$B$8/2),'I_Budget Input Data'!$D$102*0.4/('I_Inputs &amp; Assumptions'!$B$8/2)),IF('I_Budget Input Data'!$E$102="Back-loaded",IF(24&lt;='I_Inputs &amp; Assumptions'!$B$8/2,'I_Budget Input Data'!$D$102*0.4/('I_Inputs &amp; Assumptions'!$B$8/2),'I_Budget Input Data'!$D$102*0.6/('I_Inputs &amp; Assumptions'!$B$8/2)),IF('I_Budget Input Data'!$E$102="Mid-weighted",IF(24&lt;='I_Inputs &amp; Assumptions'!$B$8/4,'I_Budget Input Data'!$D$102*0.2/('I_Inputs &amp; Assumptions'!$B$8/4),IF(24&lt;='I_Inputs &amp; Assumptions'!$B$8*0.75,'I_Budget Input Data'!$D$102*0.6/('I_Inputs &amp; Assumptions'!$B$8/2),'I_Budget Input Data'!$D$102*0.2/('I_Inputs &amp; Assumptions'!$B$8/4))),IF('I_Budget Input Data'!$E$102="At Completion",IF(24='I_Inputs &amp; Assumptions'!$B$8,'I_Budget Input Data'!$D$102,0),'I_Budget Input Data'!$D$102/'I_Inputs &amp; Assumptions'!$B$8)))))),0)</f>
        <v>0</v>
      </c>
      <c r="AA102" s="91">
        <f>IF(25&lt;='I_Inputs &amp; Assumptions'!$B$8,IF('I_Budget Input Data'!$E$102="Upfront",IF(25=1,'I_Budget Input Data'!$D$102,0),IF('I_Budget Input Data'!$E$102="Equal",'I_Budget Input Data'!$D$102/'I_Inputs &amp; Assumptions'!$B$8,IF('I_Budget Input Data'!$E$102="Front-loaded",IF(25&lt;='I_Inputs &amp; Assumptions'!$B$8/2,'I_Budget Input Data'!$D$102*0.6/('I_Inputs &amp; Assumptions'!$B$8/2),'I_Budget Input Data'!$D$102*0.4/('I_Inputs &amp; Assumptions'!$B$8/2)),IF('I_Budget Input Data'!$E$102="Back-loaded",IF(25&lt;='I_Inputs &amp; Assumptions'!$B$8/2,'I_Budget Input Data'!$D$102*0.4/('I_Inputs &amp; Assumptions'!$B$8/2),'I_Budget Input Data'!$D$102*0.6/('I_Inputs &amp; Assumptions'!$B$8/2)),IF('I_Budget Input Data'!$E$102="Mid-weighted",IF(25&lt;='I_Inputs &amp; Assumptions'!$B$8/4,'I_Budget Input Data'!$D$102*0.2/('I_Inputs &amp; Assumptions'!$B$8/4),IF(25&lt;='I_Inputs &amp; Assumptions'!$B$8*0.75,'I_Budget Input Data'!$D$102*0.6/('I_Inputs &amp; Assumptions'!$B$8/2),'I_Budget Input Data'!$D$102*0.2/('I_Inputs &amp; Assumptions'!$B$8/4))),IF('I_Budget Input Data'!$E$102="At Completion",IF(25='I_Inputs &amp; Assumptions'!$B$8,'I_Budget Input Data'!$D$102,0),'I_Budget Input Data'!$D$102/'I_Inputs &amp; Assumptions'!$B$8)))))),0)</f>
        <v>0</v>
      </c>
      <c r="AB102" s="91">
        <f>IF(26&lt;='I_Inputs &amp; Assumptions'!$B$8,IF('I_Budget Input Data'!$E$102="Upfront",IF(26=1,'I_Budget Input Data'!$D$102,0),IF('I_Budget Input Data'!$E$102="Equal",'I_Budget Input Data'!$D$102/'I_Inputs &amp; Assumptions'!$B$8,IF('I_Budget Input Data'!$E$102="Front-loaded",IF(26&lt;='I_Inputs &amp; Assumptions'!$B$8/2,'I_Budget Input Data'!$D$102*0.6/('I_Inputs &amp; Assumptions'!$B$8/2),'I_Budget Input Data'!$D$102*0.4/('I_Inputs &amp; Assumptions'!$B$8/2)),IF('I_Budget Input Data'!$E$102="Back-loaded",IF(26&lt;='I_Inputs &amp; Assumptions'!$B$8/2,'I_Budget Input Data'!$D$102*0.4/('I_Inputs &amp; Assumptions'!$B$8/2),'I_Budget Input Data'!$D$102*0.6/('I_Inputs &amp; Assumptions'!$B$8/2)),IF('I_Budget Input Data'!$E$102="Mid-weighted",IF(26&lt;='I_Inputs &amp; Assumptions'!$B$8/4,'I_Budget Input Data'!$D$102*0.2/('I_Inputs &amp; Assumptions'!$B$8/4),IF(26&lt;='I_Inputs &amp; Assumptions'!$B$8*0.75,'I_Budget Input Data'!$D$102*0.6/('I_Inputs &amp; Assumptions'!$B$8/2),'I_Budget Input Data'!$D$102*0.2/('I_Inputs &amp; Assumptions'!$B$8/4))),IF('I_Budget Input Data'!$E$102="At Completion",IF(26='I_Inputs &amp; Assumptions'!$B$8,'I_Budget Input Data'!$D$102,0),'I_Budget Input Data'!$D$102/'I_Inputs &amp; Assumptions'!$B$8)))))),0)</f>
        <v>0</v>
      </c>
      <c r="AC102" s="91">
        <f>IF(27&lt;='I_Inputs &amp; Assumptions'!$B$8,IF('I_Budget Input Data'!$E$102="Upfront",IF(27=1,'I_Budget Input Data'!$D$102,0),IF('I_Budget Input Data'!$E$102="Equal",'I_Budget Input Data'!$D$102/'I_Inputs &amp; Assumptions'!$B$8,IF('I_Budget Input Data'!$E$102="Front-loaded",IF(27&lt;='I_Inputs &amp; Assumptions'!$B$8/2,'I_Budget Input Data'!$D$102*0.6/('I_Inputs &amp; Assumptions'!$B$8/2),'I_Budget Input Data'!$D$102*0.4/('I_Inputs &amp; Assumptions'!$B$8/2)),IF('I_Budget Input Data'!$E$102="Back-loaded",IF(27&lt;='I_Inputs &amp; Assumptions'!$B$8/2,'I_Budget Input Data'!$D$102*0.4/('I_Inputs &amp; Assumptions'!$B$8/2),'I_Budget Input Data'!$D$102*0.6/('I_Inputs &amp; Assumptions'!$B$8/2)),IF('I_Budget Input Data'!$E$102="Mid-weighted",IF(27&lt;='I_Inputs &amp; Assumptions'!$B$8/4,'I_Budget Input Data'!$D$102*0.2/('I_Inputs &amp; Assumptions'!$B$8/4),IF(27&lt;='I_Inputs &amp; Assumptions'!$B$8*0.75,'I_Budget Input Data'!$D$102*0.6/('I_Inputs &amp; Assumptions'!$B$8/2),'I_Budget Input Data'!$D$102*0.2/('I_Inputs &amp; Assumptions'!$B$8/4))),IF('I_Budget Input Data'!$E$102="At Completion",IF(27='I_Inputs &amp; Assumptions'!$B$8,'I_Budget Input Data'!$D$102,0),'I_Budget Input Data'!$D$102/'I_Inputs &amp; Assumptions'!$B$8)))))),0)</f>
        <v>0</v>
      </c>
      <c r="AD102" s="91">
        <f>IF(28&lt;='I_Inputs &amp; Assumptions'!$B$8,IF('I_Budget Input Data'!$E$102="Upfront",IF(28=1,'I_Budget Input Data'!$D$102,0),IF('I_Budget Input Data'!$E$102="Equal",'I_Budget Input Data'!$D$102/'I_Inputs &amp; Assumptions'!$B$8,IF('I_Budget Input Data'!$E$102="Front-loaded",IF(28&lt;='I_Inputs &amp; Assumptions'!$B$8/2,'I_Budget Input Data'!$D$102*0.6/('I_Inputs &amp; Assumptions'!$B$8/2),'I_Budget Input Data'!$D$102*0.4/('I_Inputs &amp; Assumptions'!$B$8/2)),IF('I_Budget Input Data'!$E$102="Back-loaded",IF(28&lt;='I_Inputs &amp; Assumptions'!$B$8/2,'I_Budget Input Data'!$D$102*0.4/('I_Inputs &amp; Assumptions'!$B$8/2),'I_Budget Input Data'!$D$102*0.6/('I_Inputs &amp; Assumptions'!$B$8/2)),IF('I_Budget Input Data'!$E$102="Mid-weighted",IF(28&lt;='I_Inputs &amp; Assumptions'!$B$8/4,'I_Budget Input Data'!$D$102*0.2/('I_Inputs &amp; Assumptions'!$B$8/4),IF(28&lt;='I_Inputs &amp; Assumptions'!$B$8*0.75,'I_Budget Input Data'!$D$102*0.6/('I_Inputs &amp; Assumptions'!$B$8/2),'I_Budget Input Data'!$D$102*0.2/('I_Inputs &amp; Assumptions'!$B$8/4))),IF('I_Budget Input Data'!$E$102="At Completion",IF(28='I_Inputs &amp; Assumptions'!$B$8,'I_Budget Input Data'!$D$102,0),'I_Budget Input Data'!$D$102/'I_Inputs &amp; Assumptions'!$B$8)))))),0)</f>
        <v>0</v>
      </c>
      <c r="AE102" s="91">
        <f>IF(29&lt;='I_Inputs &amp; Assumptions'!$B$8,IF('I_Budget Input Data'!$E$102="Upfront",IF(29=1,'I_Budget Input Data'!$D$102,0),IF('I_Budget Input Data'!$E$102="Equal",'I_Budget Input Data'!$D$102/'I_Inputs &amp; Assumptions'!$B$8,IF('I_Budget Input Data'!$E$102="Front-loaded",IF(29&lt;='I_Inputs &amp; Assumptions'!$B$8/2,'I_Budget Input Data'!$D$102*0.6/('I_Inputs &amp; Assumptions'!$B$8/2),'I_Budget Input Data'!$D$102*0.4/('I_Inputs &amp; Assumptions'!$B$8/2)),IF('I_Budget Input Data'!$E$102="Back-loaded",IF(29&lt;='I_Inputs &amp; Assumptions'!$B$8/2,'I_Budget Input Data'!$D$102*0.4/('I_Inputs &amp; Assumptions'!$B$8/2),'I_Budget Input Data'!$D$102*0.6/('I_Inputs &amp; Assumptions'!$B$8/2)),IF('I_Budget Input Data'!$E$102="Mid-weighted",IF(29&lt;='I_Inputs &amp; Assumptions'!$B$8/4,'I_Budget Input Data'!$D$102*0.2/('I_Inputs &amp; Assumptions'!$B$8/4),IF(29&lt;='I_Inputs &amp; Assumptions'!$B$8*0.75,'I_Budget Input Data'!$D$102*0.6/('I_Inputs &amp; Assumptions'!$B$8/2),'I_Budget Input Data'!$D$102*0.2/('I_Inputs &amp; Assumptions'!$B$8/4))),IF('I_Budget Input Data'!$E$102="At Completion",IF(29='I_Inputs &amp; Assumptions'!$B$8,'I_Budget Input Data'!$D$102,0),'I_Budget Input Data'!$D$102/'I_Inputs &amp; Assumptions'!$B$8)))))),0)</f>
        <v>0</v>
      </c>
      <c r="AF102" s="91">
        <f>IF(30&lt;='I_Inputs &amp; Assumptions'!$B$8,IF('I_Budget Input Data'!$E$102="Upfront",IF(30=1,'I_Budget Input Data'!$D$102,0),IF('I_Budget Input Data'!$E$102="Equal",'I_Budget Input Data'!$D$102/'I_Inputs &amp; Assumptions'!$B$8,IF('I_Budget Input Data'!$E$102="Front-loaded",IF(30&lt;='I_Inputs &amp; Assumptions'!$B$8/2,'I_Budget Input Data'!$D$102*0.6/('I_Inputs &amp; Assumptions'!$B$8/2),'I_Budget Input Data'!$D$102*0.4/('I_Inputs &amp; Assumptions'!$B$8/2)),IF('I_Budget Input Data'!$E$102="Back-loaded",IF(30&lt;='I_Inputs &amp; Assumptions'!$B$8/2,'I_Budget Input Data'!$D$102*0.4/('I_Inputs &amp; Assumptions'!$B$8/2),'I_Budget Input Data'!$D$102*0.6/('I_Inputs &amp; Assumptions'!$B$8/2)),IF('I_Budget Input Data'!$E$102="Mid-weighted",IF(30&lt;='I_Inputs &amp; Assumptions'!$B$8/4,'I_Budget Input Data'!$D$102*0.2/('I_Inputs &amp; Assumptions'!$B$8/4),IF(30&lt;='I_Inputs &amp; Assumptions'!$B$8*0.75,'I_Budget Input Data'!$D$102*0.6/('I_Inputs &amp; Assumptions'!$B$8/2),'I_Budget Input Data'!$D$102*0.2/('I_Inputs &amp; Assumptions'!$B$8/4))),IF('I_Budget Input Data'!$E$102="At Completion",IF(30='I_Inputs &amp; Assumptions'!$B$8,'I_Budget Input Data'!$D$102,0),'I_Budget Input Data'!$D$102/'I_Inputs &amp; Assumptions'!$B$8)))))),0)</f>
        <v>0</v>
      </c>
      <c r="AG102" s="91">
        <f>IF(31&lt;='I_Inputs &amp; Assumptions'!$B$8,IF('I_Budget Input Data'!$E$102="Upfront",IF(31=1,'I_Budget Input Data'!$D$102,0),IF('I_Budget Input Data'!$E$102="Equal",'I_Budget Input Data'!$D$102/'I_Inputs &amp; Assumptions'!$B$8,IF('I_Budget Input Data'!$E$102="Front-loaded",IF(31&lt;='I_Inputs &amp; Assumptions'!$B$8/2,'I_Budget Input Data'!$D$102*0.6/('I_Inputs &amp; Assumptions'!$B$8/2),'I_Budget Input Data'!$D$102*0.4/('I_Inputs &amp; Assumptions'!$B$8/2)),IF('I_Budget Input Data'!$E$102="Back-loaded",IF(31&lt;='I_Inputs &amp; Assumptions'!$B$8/2,'I_Budget Input Data'!$D$102*0.4/('I_Inputs &amp; Assumptions'!$B$8/2),'I_Budget Input Data'!$D$102*0.6/('I_Inputs &amp; Assumptions'!$B$8/2)),IF('I_Budget Input Data'!$E$102="Mid-weighted",IF(31&lt;='I_Inputs &amp; Assumptions'!$B$8/4,'I_Budget Input Data'!$D$102*0.2/('I_Inputs &amp; Assumptions'!$B$8/4),IF(31&lt;='I_Inputs &amp; Assumptions'!$B$8*0.75,'I_Budget Input Data'!$D$102*0.6/('I_Inputs &amp; Assumptions'!$B$8/2),'I_Budget Input Data'!$D$102*0.2/('I_Inputs &amp; Assumptions'!$B$8/4))),IF('I_Budget Input Data'!$E$102="At Completion",IF(31='I_Inputs &amp; Assumptions'!$B$8,'I_Budget Input Data'!$D$102,0),'I_Budget Input Data'!$D$102/'I_Inputs &amp; Assumptions'!$B$8)))))),0)</f>
        <v>0</v>
      </c>
      <c r="AH102" s="91">
        <f>IF(32&lt;='I_Inputs &amp; Assumptions'!$B$8,IF('I_Budget Input Data'!$E$102="Upfront",IF(32=1,'I_Budget Input Data'!$D$102,0),IF('I_Budget Input Data'!$E$102="Equal",'I_Budget Input Data'!$D$102/'I_Inputs &amp; Assumptions'!$B$8,IF('I_Budget Input Data'!$E$102="Front-loaded",IF(32&lt;='I_Inputs &amp; Assumptions'!$B$8/2,'I_Budget Input Data'!$D$102*0.6/('I_Inputs &amp; Assumptions'!$B$8/2),'I_Budget Input Data'!$D$102*0.4/('I_Inputs &amp; Assumptions'!$B$8/2)),IF('I_Budget Input Data'!$E$102="Back-loaded",IF(32&lt;='I_Inputs &amp; Assumptions'!$B$8/2,'I_Budget Input Data'!$D$102*0.4/('I_Inputs &amp; Assumptions'!$B$8/2),'I_Budget Input Data'!$D$102*0.6/('I_Inputs &amp; Assumptions'!$B$8/2)),IF('I_Budget Input Data'!$E$102="Mid-weighted",IF(32&lt;='I_Inputs &amp; Assumptions'!$B$8/4,'I_Budget Input Data'!$D$102*0.2/('I_Inputs &amp; Assumptions'!$B$8/4),IF(32&lt;='I_Inputs &amp; Assumptions'!$B$8*0.75,'I_Budget Input Data'!$D$102*0.6/('I_Inputs &amp; Assumptions'!$B$8/2),'I_Budget Input Data'!$D$102*0.2/('I_Inputs &amp; Assumptions'!$B$8/4))),IF('I_Budget Input Data'!$E$102="At Completion",IF(32='I_Inputs &amp; Assumptions'!$B$8,'I_Budget Input Data'!$D$102,0),'I_Budget Input Data'!$D$102/'I_Inputs &amp; Assumptions'!$B$8)))))),0)</f>
        <v>0</v>
      </c>
      <c r="AI102" s="91">
        <f>IF(33&lt;='I_Inputs &amp; Assumptions'!$B$8,IF('I_Budget Input Data'!$E$102="Upfront",IF(33=1,'I_Budget Input Data'!$D$102,0),IF('I_Budget Input Data'!$E$102="Equal",'I_Budget Input Data'!$D$102/'I_Inputs &amp; Assumptions'!$B$8,IF('I_Budget Input Data'!$E$102="Front-loaded",IF(33&lt;='I_Inputs &amp; Assumptions'!$B$8/2,'I_Budget Input Data'!$D$102*0.6/('I_Inputs &amp; Assumptions'!$B$8/2),'I_Budget Input Data'!$D$102*0.4/('I_Inputs &amp; Assumptions'!$B$8/2)),IF('I_Budget Input Data'!$E$102="Back-loaded",IF(33&lt;='I_Inputs &amp; Assumptions'!$B$8/2,'I_Budget Input Data'!$D$102*0.4/('I_Inputs &amp; Assumptions'!$B$8/2),'I_Budget Input Data'!$D$102*0.6/('I_Inputs &amp; Assumptions'!$B$8/2)),IF('I_Budget Input Data'!$E$102="Mid-weighted",IF(33&lt;='I_Inputs &amp; Assumptions'!$B$8/4,'I_Budget Input Data'!$D$102*0.2/('I_Inputs &amp; Assumptions'!$B$8/4),IF(33&lt;='I_Inputs &amp; Assumptions'!$B$8*0.75,'I_Budget Input Data'!$D$102*0.6/('I_Inputs &amp; Assumptions'!$B$8/2),'I_Budget Input Data'!$D$102*0.2/('I_Inputs &amp; Assumptions'!$B$8/4))),IF('I_Budget Input Data'!$E$102="At Completion",IF(33='I_Inputs &amp; Assumptions'!$B$8,'I_Budget Input Data'!$D$102,0),'I_Budget Input Data'!$D$102/'I_Inputs &amp; Assumptions'!$B$8)))))),0)</f>
        <v>0</v>
      </c>
      <c r="AJ102" s="91">
        <f>IF(34&lt;='I_Inputs &amp; Assumptions'!$B$8,IF('I_Budget Input Data'!$E$102="Upfront",IF(34=1,'I_Budget Input Data'!$D$102,0),IF('I_Budget Input Data'!$E$102="Equal",'I_Budget Input Data'!$D$102/'I_Inputs &amp; Assumptions'!$B$8,IF('I_Budget Input Data'!$E$102="Front-loaded",IF(34&lt;='I_Inputs &amp; Assumptions'!$B$8/2,'I_Budget Input Data'!$D$102*0.6/('I_Inputs &amp; Assumptions'!$B$8/2),'I_Budget Input Data'!$D$102*0.4/('I_Inputs &amp; Assumptions'!$B$8/2)),IF('I_Budget Input Data'!$E$102="Back-loaded",IF(34&lt;='I_Inputs &amp; Assumptions'!$B$8/2,'I_Budget Input Data'!$D$102*0.4/('I_Inputs &amp; Assumptions'!$B$8/2),'I_Budget Input Data'!$D$102*0.6/('I_Inputs &amp; Assumptions'!$B$8/2)),IF('I_Budget Input Data'!$E$102="Mid-weighted",IF(34&lt;='I_Inputs &amp; Assumptions'!$B$8/4,'I_Budget Input Data'!$D$102*0.2/('I_Inputs &amp; Assumptions'!$B$8/4),IF(34&lt;='I_Inputs &amp; Assumptions'!$B$8*0.75,'I_Budget Input Data'!$D$102*0.6/('I_Inputs &amp; Assumptions'!$B$8/2),'I_Budget Input Data'!$D$102*0.2/('I_Inputs &amp; Assumptions'!$B$8/4))),IF('I_Budget Input Data'!$E$102="At Completion",IF(34='I_Inputs &amp; Assumptions'!$B$8,'I_Budget Input Data'!$D$102,0),'I_Budget Input Data'!$D$102/'I_Inputs &amp; Assumptions'!$B$8)))))),0)</f>
        <v>0</v>
      </c>
      <c r="AK102" s="91">
        <f>IF(35&lt;='I_Inputs &amp; Assumptions'!$B$8,IF('I_Budget Input Data'!$E$102="Upfront",IF(35=1,'I_Budget Input Data'!$D$102,0),IF('I_Budget Input Data'!$E$102="Equal",'I_Budget Input Data'!$D$102/'I_Inputs &amp; Assumptions'!$B$8,IF('I_Budget Input Data'!$E$102="Front-loaded",IF(35&lt;='I_Inputs &amp; Assumptions'!$B$8/2,'I_Budget Input Data'!$D$102*0.6/('I_Inputs &amp; Assumptions'!$B$8/2),'I_Budget Input Data'!$D$102*0.4/('I_Inputs &amp; Assumptions'!$B$8/2)),IF('I_Budget Input Data'!$E$102="Back-loaded",IF(35&lt;='I_Inputs &amp; Assumptions'!$B$8/2,'I_Budget Input Data'!$D$102*0.4/('I_Inputs &amp; Assumptions'!$B$8/2),'I_Budget Input Data'!$D$102*0.6/('I_Inputs &amp; Assumptions'!$B$8/2)),IF('I_Budget Input Data'!$E$102="Mid-weighted",IF(35&lt;='I_Inputs &amp; Assumptions'!$B$8/4,'I_Budget Input Data'!$D$102*0.2/('I_Inputs &amp; Assumptions'!$B$8/4),IF(35&lt;='I_Inputs &amp; Assumptions'!$B$8*0.75,'I_Budget Input Data'!$D$102*0.6/('I_Inputs &amp; Assumptions'!$B$8/2),'I_Budget Input Data'!$D$102*0.2/('I_Inputs &amp; Assumptions'!$B$8/4))),IF('I_Budget Input Data'!$E$102="At Completion",IF(35='I_Inputs &amp; Assumptions'!$B$8,'I_Budget Input Data'!$D$102,0),'I_Budget Input Data'!$D$102/'I_Inputs &amp; Assumptions'!$B$8)))))),0)</f>
        <v>0</v>
      </c>
      <c r="AL102" s="91">
        <f>IF(36&lt;='I_Inputs &amp; Assumptions'!$B$8,IF('I_Budget Input Data'!$E$102="Upfront",IF(36=1,'I_Budget Input Data'!$D$102,0),IF('I_Budget Input Data'!$E$102="Equal",'I_Budget Input Data'!$D$102/'I_Inputs &amp; Assumptions'!$B$8,IF('I_Budget Input Data'!$E$102="Front-loaded",IF(36&lt;='I_Inputs &amp; Assumptions'!$B$8/2,'I_Budget Input Data'!$D$102*0.6/('I_Inputs &amp; Assumptions'!$B$8/2),'I_Budget Input Data'!$D$102*0.4/('I_Inputs &amp; Assumptions'!$B$8/2)),IF('I_Budget Input Data'!$E$102="Back-loaded",IF(36&lt;='I_Inputs &amp; Assumptions'!$B$8/2,'I_Budget Input Data'!$D$102*0.4/('I_Inputs &amp; Assumptions'!$B$8/2),'I_Budget Input Data'!$D$102*0.6/('I_Inputs &amp; Assumptions'!$B$8/2)),IF('I_Budget Input Data'!$E$102="Mid-weighted",IF(36&lt;='I_Inputs &amp; Assumptions'!$B$8/4,'I_Budget Input Data'!$D$102*0.2/('I_Inputs &amp; Assumptions'!$B$8/4),IF(36&lt;='I_Inputs &amp; Assumptions'!$B$8*0.75,'I_Budget Input Data'!$D$102*0.6/('I_Inputs &amp; Assumptions'!$B$8/2),'I_Budget Input Data'!$D$102*0.2/('I_Inputs &amp; Assumptions'!$B$8/4))),IF('I_Budget Input Data'!$E$102="At Completion",IF(36='I_Inputs &amp; Assumptions'!$B$8,'I_Budget Input Data'!$D$102,0),'I_Budget Input Data'!$D$102/'I_Inputs &amp; Assumptions'!$B$8)))))),0)</f>
        <v>0</v>
      </c>
    </row>
    <row r="103" spans="1:38" ht="15" customHeight="1" x14ac:dyDescent="0.2">
      <c r="A103" t="s">
        <v>146</v>
      </c>
      <c r="C103" s="91">
        <f>IF(1&lt;='I_Inputs &amp; Assumptions'!$B$8,IF('I_Budget Input Data'!$E$103="Upfront",IF(1=1,'I_Budget Input Data'!$D$103,0),IF('I_Budget Input Data'!$E$103="Equal",'I_Budget Input Data'!$D$103/'I_Inputs &amp; Assumptions'!$B$8,IF('I_Budget Input Data'!$E$103="Front-loaded",IF(1&lt;='I_Inputs &amp; Assumptions'!$B$8/2,'I_Budget Input Data'!$D$103*0.6/('I_Inputs &amp; Assumptions'!$B$8/2),'I_Budget Input Data'!$D$103*0.4/('I_Inputs &amp; Assumptions'!$B$8/2)),IF('I_Budget Input Data'!$E$103="Back-loaded",IF(1&lt;='I_Inputs &amp; Assumptions'!$B$8/2,'I_Budget Input Data'!$D$103*0.4/('I_Inputs &amp; Assumptions'!$B$8/2),'I_Budget Input Data'!$D$103*0.6/('I_Inputs &amp; Assumptions'!$B$8/2)),IF('I_Budget Input Data'!$E$103="Mid-weighted",IF(1&lt;='I_Inputs &amp; Assumptions'!$B$8/4,'I_Budget Input Data'!$D$103*0.2/('I_Inputs &amp; Assumptions'!$B$8/4),IF(1&lt;='I_Inputs &amp; Assumptions'!$B$8*0.75,'I_Budget Input Data'!$D$103*0.6/('I_Inputs &amp; Assumptions'!$B$8/2),'I_Budget Input Data'!$D$103*0.2/('I_Inputs &amp; Assumptions'!$B$8/4))),IF('I_Budget Input Data'!$E$103="At Completion",IF(1='I_Inputs &amp; Assumptions'!$B$8,'I_Budget Input Data'!$D$103,0),'I_Budget Input Data'!$D$103/'I_Inputs &amp; Assumptions'!$B$8)))))),0)</f>
        <v>3830.7692307692309</v>
      </c>
      <c r="D103" s="91">
        <f>IF(2&lt;='I_Inputs &amp; Assumptions'!$B$8,IF('I_Budget Input Data'!$E$103="Upfront",IF(2=1,'I_Budget Input Data'!$D$103,0),IF('I_Budget Input Data'!$E$103="Equal",'I_Budget Input Data'!$D$103/'I_Inputs &amp; Assumptions'!$B$8,IF('I_Budget Input Data'!$E$103="Front-loaded",IF(2&lt;='I_Inputs &amp; Assumptions'!$B$8/2,'I_Budget Input Data'!$D$103*0.6/('I_Inputs &amp; Assumptions'!$B$8/2),'I_Budget Input Data'!$D$103*0.4/('I_Inputs &amp; Assumptions'!$B$8/2)),IF('I_Budget Input Data'!$E$103="Back-loaded",IF(2&lt;='I_Inputs &amp; Assumptions'!$B$8/2,'I_Budget Input Data'!$D$103*0.4/('I_Inputs &amp; Assumptions'!$B$8/2),'I_Budget Input Data'!$D$103*0.6/('I_Inputs &amp; Assumptions'!$B$8/2)),IF('I_Budget Input Data'!$E$103="Mid-weighted",IF(2&lt;='I_Inputs &amp; Assumptions'!$B$8/4,'I_Budget Input Data'!$D$103*0.2/('I_Inputs &amp; Assumptions'!$B$8/4),IF(2&lt;='I_Inputs &amp; Assumptions'!$B$8*0.75,'I_Budget Input Data'!$D$103*0.6/('I_Inputs &amp; Assumptions'!$B$8/2),'I_Budget Input Data'!$D$103*0.2/('I_Inputs &amp; Assumptions'!$B$8/4))),IF('I_Budget Input Data'!$E$103="At Completion",IF(2='I_Inputs &amp; Assumptions'!$B$8,'I_Budget Input Data'!$D$103,0),'I_Budget Input Data'!$D$103/'I_Inputs &amp; Assumptions'!$B$8)))))),0)</f>
        <v>3830.7692307692309</v>
      </c>
      <c r="E103" s="91">
        <f>IF(3&lt;='I_Inputs &amp; Assumptions'!$B$8,IF('I_Budget Input Data'!$E$103="Upfront",IF(3=1,'I_Budget Input Data'!$D$103,0),IF('I_Budget Input Data'!$E$103="Equal",'I_Budget Input Data'!$D$103/'I_Inputs &amp; Assumptions'!$B$8,IF('I_Budget Input Data'!$E$103="Front-loaded",IF(3&lt;='I_Inputs &amp; Assumptions'!$B$8/2,'I_Budget Input Data'!$D$103*0.6/('I_Inputs &amp; Assumptions'!$B$8/2),'I_Budget Input Data'!$D$103*0.4/('I_Inputs &amp; Assumptions'!$B$8/2)),IF('I_Budget Input Data'!$E$103="Back-loaded",IF(3&lt;='I_Inputs &amp; Assumptions'!$B$8/2,'I_Budget Input Data'!$D$103*0.4/('I_Inputs &amp; Assumptions'!$B$8/2),'I_Budget Input Data'!$D$103*0.6/('I_Inputs &amp; Assumptions'!$B$8/2)),IF('I_Budget Input Data'!$E$103="Mid-weighted",IF(3&lt;='I_Inputs &amp; Assumptions'!$B$8/4,'I_Budget Input Data'!$D$103*0.2/('I_Inputs &amp; Assumptions'!$B$8/4),IF(3&lt;='I_Inputs &amp; Assumptions'!$B$8*0.75,'I_Budget Input Data'!$D$103*0.6/('I_Inputs &amp; Assumptions'!$B$8/2),'I_Budget Input Data'!$D$103*0.2/('I_Inputs &amp; Assumptions'!$B$8/4))),IF('I_Budget Input Data'!$E$103="At Completion",IF(3='I_Inputs &amp; Assumptions'!$B$8,'I_Budget Input Data'!$D$103,0),'I_Budget Input Data'!$D$103/'I_Inputs &amp; Assumptions'!$B$8)))))),0)</f>
        <v>3830.7692307692309</v>
      </c>
      <c r="F103" s="91">
        <f>IF(4&lt;='I_Inputs &amp; Assumptions'!$B$8,IF('I_Budget Input Data'!$E$103="Upfront",IF(4=1,'I_Budget Input Data'!$D$103,0),IF('I_Budget Input Data'!$E$103="Equal",'I_Budget Input Data'!$D$103/'I_Inputs &amp; Assumptions'!$B$8,IF('I_Budget Input Data'!$E$103="Front-loaded",IF(4&lt;='I_Inputs &amp; Assumptions'!$B$8/2,'I_Budget Input Data'!$D$103*0.6/('I_Inputs &amp; Assumptions'!$B$8/2),'I_Budget Input Data'!$D$103*0.4/('I_Inputs &amp; Assumptions'!$B$8/2)),IF('I_Budget Input Data'!$E$103="Back-loaded",IF(4&lt;='I_Inputs &amp; Assumptions'!$B$8/2,'I_Budget Input Data'!$D$103*0.4/('I_Inputs &amp; Assumptions'!$B$8/2),'I_Budget Input Data'!$D$103*0.6/('I_Inputs &amp; Assumptions'!$B$8/2)),IF('I_Budget Input Data'!$E$103="Mid-weighted",IF(4&lt;='I_Inputs &amp; Assumptions'!$B$8/4,'I_Budget Input Data'!$D$103*0.2/('I_Inputs &amp; Assumptions'!$B$8/4),IF(4&lt;='I_Inputs &amp; Assumptions'!$B$8*0.75,'I_Budget Input Data'!$D$103*0.6/('I_Inputs &amp; Assumptions'!$B$8/2),'I_Budget Input Data'!$D$103*0.2/('I_Inputs &amp; Assumptions'!$B$8/4))),IF('I_Budget Input Data'!$E$103="At Completion",IF(4='I_Inputs &amp; Assumptions'!$B$8,'I_Budget Input Data'!$D$103,0),'I_Budget Input Data'!$D$103/'I_Inputs &amp; Assumptions'!$B$8)))))),0)</f>
        <v>3830.7692307692309</v>
      </c>
      <c r="G103" s="91">
        <f>IF(5&lt;='I_Inputs &amp; Assumptions'!$B$8,IF('I_Budget Input Data'!$E$103="Upfront",IF(5=1,'I_Budget Input Data'!$D$103,0),IF('I_Budget Input Data'!$E$103="Equal",'I_Budget Input Data'!$D$103/'I_Inputs &amp; Assumptions'!$B$8,IF('I_Budget Input Data'!$E$103="Front-loaded",IF(5&lt;='I_Inputs &amp; Assumptions'!$B$8/2,'I_Budget Input Data'!$D$103*0.6/('I_Inputs &amp; Assumptions'!$B$8/2),'I_Budget Input Data'!$D$103*0.4/('I_Inputs &amp; Assumptions'!$B$8/2)),IF('I_Budget Input Data'!$E$103="Back-loaded",IF(5&lt;='I_Inputs &amp; Assumptions'!$B$8/2,'I_Budget Input Data'!$D$103*0.4/('I_Inputs &amp; Assumptions'!$B$8/2),'I_Budget Input Data'!$D$103*0.6/('I_Inputs &amp; Assumptions'!$B$8/2)),IF('I_Budget Input Data'!$E$103="Mid-weighted",IF(5&lt;='I_Inputs &amp; Assumptions'!$B$8/4,'I_Budget Input Data'!$D$103*0.2/('I_Inputs &amp; Assumptions'!$B$8/4),IF(5&lt;='I_Inputs &amp; Assumptions'!$B$8*0.75,'I_Budget Input Data'!$D$103*0.6/('I_Inputs &amp; Assumptions'!$B$8/2),'I_Budget Input Data'!$D$103*0.2/('I_Inputs &amp; Assumptions'!$B$8/4))),IF('I_Budget Input Data'!$E$103="At Completion",IF(5='I_Inputs &amp; Assumptions'!$B$8,'I_Budget Input Data'!$D$103,0),'I_Budget Input Data'!$D$103/'I_Inputs &amp; Assumptions'!$B$8)))))),0)</f>
        <v>3830.7692307692309</v>
      </c>
      <c r="H103" s="91">
        <f>IF(6&lt;='I_Inputs &amp; Assumptions'!$B$8,IF('I_Budget Input Data'!$E$103="Upfront",IF(6=1,'I_Budget Input Data'!$D$103,0),IF('I_Budget Input Data'!$E$103="Equal",'I_Budget Input Data'!$D$103/'I_Inputs &amp; Assumptions'!$B$8,IF('I_Budget Input Data'!$E$103="Front-loaded",IF(6&lt;='I_Inputs &amp; Assumptions'!$B$8/2,'I_Budget Input Data'!$D$103*0.6/('I_Inputs &amp; Assumptions'!$B$8/2),'I_Budget Input Data'!$D$103*0.4/('I_Inputs &amp; Assumptions'!$B$8/2)),IF('I_Budget Input Data'!$E$103="Back-loaded",IF(6&lt;='I_Inputs &amp; Assumptions'!$B$8/2,'I_Budget Input Data'!$D$103*0.4/('I_Inputs &amp; Assumptions'!$B$8/2),'I_Budget Input Data'!$D$103*0.6/('I_Inputs &amp; Assumptions'!$B$8/2)),IF('I_Budget Input Data'!$E$103="Mid-weighted",IF(6&lt;='I_Inputs &amp; Assumptions'!$B$8/4,'I_Budget Input Data'!$D$103*0.2/('I_Inputs &amp; Assumptions'!$B$8/4),IF(6&lt;='I_Inputs &amp; Assumptions'!$B$8*0.75,'I_Budget Input Data'!$D$103*0.6/('I_Inputs &amp; Assumptions'!$B$8/2),'I_Budget Input Data'!$D$103*0.2/('I_Inputs &amp; Assumptions'!$B$8/4))),IF('I_Budget Input Data'!$E$103="At Completion",IF(6='I_Inputs &amp; Assumptions'!$B$8,'I_Budget Input Data'!$D$103,0),'I_Budget Input Data'!$D$103/'I_Inputs &amp; Assumptions'!$B$8)))))),0)</f>
        <v>3830.7692307692309</v>
      </c>
      <c r="I103" s="91">
        <f>IF(7&lt;='I_Inputs &amp; Assumptions'!$B$8,IF('I_Budget Input Data'!$E$103="Upfront",IF(7=1,'I_Budget Input Data'!$D$103,0),IF('I_Budget Input Data'!$E$103="Equal",'I_Budget Input Data'!$D$103/'I_Inputs &amp; Assumptions'!$B$8,IF('I_Budget Input Data'!$E$103="Front-loaded",IF(7&lt;='I_Inputs &amp; Assumptions'!$B$8/2,'I_Budget Input Data'!$D$103*0.6/('I_Inputs &amp; Assumptions'!$B$8/2),'I_Budget Input Data'!$D$103*0.4/('I_Inputs &amp; Assumptions'!$B$8/2)),IF('I_Budget Input Data'!$E$103="Back-loaded",IF(7&lt;='I_Inputs &amp; Assumptions'!$B$8/2,'I_Budget Input Data'!$D$103*0.4/('I_Inputs &amp; Assumptions'!$B$8/2),'I_Budget Input Data'!$D$103*0.6/('I_Inputs &amp; Assumptions'!$B$8/2)),IF('I_Budget Input Data'!$E$103="Mid-weighted",IF(7&lt;='I_Inputs &amp; Assumptions'!$B$8/4,'I_Budget Input Data'!$D$103*0.2/('I_Inputs &amp; Assumptions'!$B$8/4),IF(7&lt;='I_Inputs &amp; Assumptions'!$B$8*0.75,'I_Budget Input Data'!$D$103*0.6/('I_Inputs &amp; Assumptions'!$B$8/2),'I_Budget Input Data'!$D$103*0.2/('I_Inputs &amp; Assumptions'!$B$8/4))),IF('I_Budget Input Data'!$E$103="At Completion",IF(7='I_Inputs &amp; Assumptions'!$B$8,'I_Budget Input Data'!$D$103,0),'I_Budget Input Data'!$D$103/'I_Inputs &amp; Assumptions'!$B$8)))))),0)</f>
        <v>3830.7692307692309</v>
      </c>
      <c r="J103" s="91">
        <f>IF(8&lt;='I_Inputs &amp; Assumptions'!$B$8,IF('I_Budget Input Data'!$E$103="Upfront",IF(8=1,'I_Budget Input Data'!$D$103,0),IF('I_Budget Input Data'!$E$103="Equal",'I_Budget Input Data'!$D$103/'I_Inputs &amp; Assumptions'!$B$8,IF('I_Budget Input Data'!$E$103="Front-loaded",IF(8&lt;='I_Inputs &amp; Assumptions'!$B$8/2,'I_Budget Input Data'!$D$103*0.6/('I_Inputs &amp; Assumptions'!$B$8/2),'I_Budget Input Data'!$D$103*0.4/('I_Inputs &amp; Assumptions'!$B$8/2)),IF('I_Budget Input Data'!$E$103="Back-loaded",IF(8&lt;='I_Inputs &amp; Assumptions'!$B$8/2,'I_Budget Input Data'!$D$103*0.4/('I_Inputs &amp; Assumptions'!$B$8/2),'I_Budget Input Data'!$D$103*0.6/('I_Inputs &amp; Assumptions'!$B$8/2)),IF('I_Budget Input Data'!$E$103="Mid-weighted",IF(8&lt;='I_Inputs &amp; Assumptions'!$B$8/4,'I_Budget Input Data'!$D$103*0.2/('I_Inputs &amp; Assumptions'!$B$8/4),IF(8&lt;='I_Inputs &amp; Assumptions'!$B$8*0.75,'I_Budget Input Data'!$D$103*0.6/('I_Inputs &amp; Assumptions'!$B$8/2),'I_Budget Input Data'!$D$103*0.2/('I_Inputs &amp; Assumptions'!$B$8/4))),IF('I_Budget Input Data'!$E$103="At Completion",IF(8='I_Inputs &amp; Assumptions'!$B$8,'I_Budget Input Data'!$D$103,0),'I_Budget Input Data'!$D$103/'I_Inputs &amp; Assumptions'!$B$8)))))),0)</f>
        <v>3830.7692307692309</v>
      </c>
      <c r="K103" s="91">
        <f>IF(9&lt;='I_Inputs &amp; Assumptions'!$B$8,IF('I_Budget Input Data'!$E$103="Upfront",IF(9=1,'I_Budget Input Data'!$D$103,0),IF('I_Budget Input Data'!$E$103="Equal",'I_Budget Input Data'!$D$103/'I_Inputs &amp; Assumptions'!$B$8,IF('I_Budget Input Data'!$E$103="Front-loaded",IF(9&lt;='I_Inputs &amp; Assumptions'!$B$8/2,'I_Budget Input Data'!$D$103*0.6/('I_Inputs &amp; Assumptions'!$B$8/2),'I_Budget Input Data'!$D$103*0.4/('I_Inputs &amp; Assumptions'!$B$8/2)),IF('I_Budget Input Data'!$E$103="Back-loaded",IF(9&lt;='I_Inputs &amp; Assumptions'!$B$8/2,'I_Budget Input Data'!$D$103*0.4/('I_Inputs &amp; Assumptions'!$B$8/2),'I_Budget Input Data'!$D$103*0.6/('I_Inputs &amp; Assumptions'!$B$8/2)),IF('I_Budget Input Data'!$E$103="Mid-weighted",IF(9&lt;='I_Inputs &amp; Assumptions'!$B$8/4,'I_Budget Input Data'!$D$103*0.2/('I_Inputs &amp; Assumptions'!$B$8/4),IF(9&lt;='I_Inputs &amp; Assumptions'!$B$8*0.75,'I_Budget Input Data'!$D$103*0.6/('I_Inputs &amp; Assumptions'!$B$8/2),'I_Budget Input Data'!$D$103*0.2/('I_Inputs &amp; Assumptions'!$B$8/4))),IF('I_Budget Input Data'!$E$103="At Completion",IF(9='I_Inputs &amp; Assumptions'!$B$8,'I_Budget Input Data'!$D$103,0),'I_Budget Input Data'!$D$103/'I_Inputs &amp; Assumptions'!$B$8)))))),0)</f>
        <v>3830.7692307692309</v>
      </c>
      <c r="L103" s="91">
        <f>IF(10&lt;='I_Inputs &amp; Assumptions'!$B$8,IF('I_Budget Input Data'!$E$103="Upfront",IF(10=1,'I_Budget Input Data'!$D$103,0),IF('I_Budget Input Data'!$E$103="Equal",'I_Budget Input Data'!$D$103/'I_Inputs &amp; Assumptions'!$B$8,IF('I_Budget Input Data'!$E$103="Front-loaded",IF(10&lt;='I_Inputs &amp; Assumptions'!$B$8/2,'I_Budget Input Data'!$D$103*0.6/('I_Inputs &amp; Assumptions'!$B$8/2),'I_Budget Input Data'!$D$103*0.4/('I_Inputs &amp; Assumptions'!$B$8/2)),IF('I_Budget Input Data'!$E$103="Back-loaded",IF(10&lt;='I_Inputs &amp; Assumptions'!$B$8/2,'I_Budget Input Data'!$D$103*0.4/('I_Inputs &amp; Assumptions'!$B$8/2),'I_Budget Input Data'!$D$103*0.6/('I_Inputs &amp; Assumptions'!$B$8/2)),IF('I_Budget Input Data'!$E$103="Mid-weighted",IF(10&lt;='I_Inputs &amp; Assumptions'!$B$8/4,'I_Budget Input Data'!$D$103*0.2/('I_Inputs &amp; Assumptions'!$B$8/4),IF(10&lt;='I_Inputs &amp; Assumptions'!$B$8*0.75,'I_Budget Input Data'!$D$103*0.6/('I_Inputs &amp; Assumptions'!$B$8/2),'I_Budget Input Data'!$D$103*0.2/('I_Inputs &amp; Assumptions'!$B$8/4))),IF('I_Budget Input Data'!$E$103="At Completion",IF(10='I_Inputs &amp; Assumptions'!$B$8,'I_Budget Input Data'!$D$103,0),'I_Budget Input Data'!$D$103/'I_Inputs &amp; Assumptions'!$B$8)))))),0)</f>
        <v>3830.7692307692309</v>
      </c>
      <c r="M103" s="91">
        <f>IF(11&lt;='I_Inputs &amp; Assumptions'!$B$8,IF('I_Budget Input Data'!$E$103="Upfront",IF(11=1,'I_Budget Input Data'!$D$103,0),IF('I_Budget Input Data'!$E$103="Equal",'I_Budget Input Data'!$D$103/'I_Inputs &amp; Assumptions'!$B$8,IF('I_Budget Input Data'!$E$103="Front-loaded",IF(11&lt;='I_Inputs &amp; Assumptions'!$B$8/2,'I_Budget Input Data'!$D$103*0.6/('I_Inputs &amp; Assumptions'!$B$8/2),'I_Budget Input Data'!$D$103*0.4/('I_Inputs &amp; Assumptions'!$B$8/2)),IF('I_Budget Input Data'!$E$103="Back-loaded",IF(11&lt;='I_Inputs &amp; Assumptions'!$B$8/2,'I_Budget Input Data'!$D$103*0.4/('I_Inputs &amp; Assumptions'!$B$8/2),'I_Budget Input Data'!$D$103*0.6/('I_Inputs &amp; Assumptions'!$B$8/2)),IF('I_Budget Input Data'!$E$103="Mid-weighted",IF(11&lt;='I_Inputs &amp; Assumptions'!$B$8/4,'I_Budget Input Data'!$D$103*0.2/('I_Inputs &amp; Assumptions'!$B$8/4),IF(11&lt;='I_Inputs &amp; Assumptions'!$B$8*0.75,'I_Budget Input Data'!$D$103*0.6/('I_Inputs &amp; Assumptions'!$B$8/2),'I_Budget Input Data'!$D$103*0.2/('I_Inputs &amp; Assumptions'!$B$8/4))),IF('I_Budget Input Data'!$E$103="At Completion",IF(11='I_Inputs &amp; Assumptions'!$B$8,'I_Budget Input Data'!$D$103,0),'I_Budget Input Data'!$D$103/'I_Inputs &amp; Assumptions'!$B$8)))))),0)</f>
        <v>3830.7692307692309</v>
      </c>
      <c r="N103" s="91">
        <f>IF(12&lt;='I_Inputs &amp; Assumptions'!$B$8,IF('I_Budget Input Data'!$E$103="Upfront",IF(12=1,'I_Budget Input Data'!$D$103,0),IF('I_Budget Input Data'!$E$103="Equal",'I_Budget Input Data'!$D$103/'I_Inputs &amp; Assumptions'!$B$8,IF('I_Budget Input Data'!$E$103="Front-loaded",IF(12&lt;='I_Inputs &amp; Assumptions'!$B$8/2,'I_Budget Input Data'!$D$103*0.6/('I_Inputs &amp; Assumptions'!$B$8/2),'I_Budget Input Data'!$D$103*0.4/('I_Inputs &amp; Assumptions'!$B$8/2)),IF('I_Budget Input Data'!$E$103="Back-loaded",IF(12&lt;='I_Inputs &amp; Assumptions'!$B$8/2,'I_Budget Input Data'!$D$103*0.4/('I_Inputs &amp; Assumptions'!$B$8/2),'I_Budget Input Data'!$D$103*0.6/('I_Inputs &amp; Assumptions'!$B$8/2)),IF('I_Budget Input Data'!$E$103="Mid-weighted",IF(12&lt;='I_Inputs &amp; Assumptions'!$B$8/4,'I_Budget Input Data'!$D$103*0.2/('I_Inputs &amp; Assumptions'!$B$8/4),IF(12&lt;='I_Inputs &amp; Assumptions'!$B$8*0.75,'I_Budget Input Data'!$D$103*0.6/('I_Inputs &amp; Assumptions'!$B$8/2),'I_Budget Input Data'!$D$103*0.2/('I_Inputs &amp; Assumptions'!$B$8/4))),IF('I_Budget Input Data'!$E$103="At Completion",IF(12='I_Inputs &amp; Assumptions'!$B$8,'I_Budget Input Data'!$D$103,0),'I_Budget Input Data'!$D$103/'I_Inputs &amp; Assumptions'!$B$8)))))),0)</f>
        <v>3830.7692307692309</v>
      </c>
      <c r="O103" s="91">
        <f>IF(13&lt;='I_Inputs &amp; Assumptions'!$B$8,IF('I_Budget Input Data'!$E$103="Upfront",IF(13=1,'I_Budget Input Data'!$D$103,0),IF('I_Budget Input Data'!$E$103="Equal",'I_Budget Input Data'!$D$103/'I_Inputs &amp; Assumptions'!$B$8,IF('I_Budget Input Data'!$E$103="Front-loaded",IF(13&lt;='I_Inputs &amp; Assumptions'!$B$8/2,'I_Budget Input Data'!$D$103*0.6/('I_Inputs &amp; Assumptions'!$B$8/2),'I_Budget Input Data'!$D$103*0.4/('I_Inputs &amp; Assumptions'!$B$8/2)),IF('I_Budget Input Data'!$E$103="Back-loaded",IF(13&lt;='I_Inputs &amp; Assumptions'!$B$8/2,'I_Budget Input Data'!$D$103*0.4/('I_Inputs &amp; Assumptions'!$B$8/2),'I_Budget Input Data'!$D$103*0.6/('I_Inputs &amp; Assumptions'!$B$8/2)),IF('I_Budget Input Data'!$E$103="Mid-weighted",IF(13&lt;='I_Inputs &amp; Assumptions'!$B$8/4,'I_Budget Input Data'!$D$103*0.2/('I_Inputs &amp; Assumptions'!$B$8/4),IF(13&lt;='I_Inputs &amp; Assumptions'!$B$8*0.75,'I_Budget Input Data'!$D$103*0.6/('I_Inputs &amp; Assumptions'!$B$8/2),'I_Budget Input Data'!$D$103*0.2/('I_Inputs &amp; Assumptions'!$B$8/4))),IF('I_Budget Input Data'!$E$103="At Completion",IF(13='I_Inputs &amp; Assumptions'!$B$8,'I_Budget Input Data'!$D$103,0),'I_Budget Input Data'!$D$103/'I_Inputs &amp; Assumptions'!$B$8)))))),0)</f>
        <v>3830.7692307692309</v>
      </c>
      <c r="P103" s="91">
        <f>IF(14&lt;='I_Inputs &amp; Assumptions'!$B$8,IF('I_Budget Input Data'!$E$103="Upfront",IF(14=1,'I_Budget Input Data'!$D$103,0),IF('I_Budget Input Data'!$E$103="Equal",'I_Budget Input Data'!$D$103/'I_Inputs &amp; Assumptions'!$B$8,IF('I_Budget Input Data'!$E$103="Front-loaded",IF(14&lt;='I_Inputs &amp; Assumptions'!$B$8/2,'I_Budget Input Data'!$D$103*0.6/('I_Inputs &amp; Assumptions'!$B$8/2),'I_Budget Input Data'!$D$103*0.4/('I_Inputs &amp; Assumptions'!$B$8/2)),IF('I_Budget Input Data'!$E$103="Back-loaded",IF(14&lt;='I_Inputs &amp; Assumptions'!$B$8/2,'I_Budget Input Data'!$D$103*0.4/('I_Inputs &amp; Assumptions'!$B$8/2),'I_Budget Input Data'!$D$103*0.6/('I_Inputs &amp; Assumptions'!$B$8/2)),IF('I_Budget Input Data'!$E$103="Mid-weighted",IF(14&lt;='I_Inputs &amp; Assumptions'!$B$8/4,'I_Budget Input Data'!$D$103*0.2/('I_Inputs &amp; Assumptions'!$B$8/4),IF(14&lt;='I_Inputs &amp; Assumptions'!$B$8*0.75,'I_Budget Input Data'!$D$103*0.6/('I_Inputs &amp; Assumptions'!$B$8/2),'I_Budget Input Data'!$D$103*0.2/('I_Inputs &amp; Assumptions'!$B$8/4))),IF('I_Budget Input Data'!$E$103="At Completion",IF(14='I_Inputs &amp; Assumptions'!$B$8,'I_Budget Input Data'!$D$103,0),'I_Budget Input Data'!$D$103/'I_Inputs &amp; Assumptions'!$B$8)))))),0)</f>
        <v>0</v>
      </c>
      <c r="Q103" s="91">
        <f>IF(15&lt;='I_Inputs &amp; Assumptions'!$B$8,IF('I_Budget Input Data'!$E$103="Upfront",IF(15=1,'I_Budget Input Data'!$D$103,0),IF('I_Budget Input Data'!$E$103="Equal",'I_Budget Input Data'!$D$103/'I_Inputs &amp; Assumptions'!$B$8,IF('I_Budget Input Data'!$E$103="Front-loaded",IF(15&lt;='I_Inputs &amp; Assumptions'!$B$8/2,'I_Budget Input Data'!$D$103*0.6/('I_Inputs &amp; Assumptions'!$B$8/2),'I_Budget Input Data'!$D$103*0.4/('I_Inputs &amp; Assumptions'!$B$8/2)),IF('I_Budget Input Data'!$E$103="Back-loaded",IF(15&lt;='I_Inputs &amp; Assumptions'!$B$8/2,'I_Budget Input Data'!$D$103*0.4/('I_Inputs &amp; Assumptions'!$B$8/2),'I_Budget Input Data'!$D$103*0.6/('I_Inputs &amp; Assumptions'!$B$8/2)),IF('I_Budget Input Data'!$E$103="Mid-weighted",IF(15&lt;='I_Inputs &amp; Assumptions'!$B$8/4,'I_Budget Input Data'!$D$103*0.2/('I_Inputs &amp; Assumptions'!$B$8/4),IF(15&lt;='I_Inputs &amp; Assumptions'!$B$8*0.75,'I_Budget Input Data'!$D$103*0.6/('I_Inputs &amp; Assumptions'!$B$8/2),'I_Budget Input Data'!$D$103*0.2/('I_Inputs &amp; Assumptions'!$B$8/4))),IF('I_Budget Input Data'!$E$103="At Completion",IF(15='I_Inputs &amp; Assumptions'!$B$8,'I_Budget Input Data'!$D$103,0),'I_Budget Input Data'!$D$103/'I_Inputs &amp; Assumptions'!$B$8)))))),0)</f>
        <v>0</v>
      </c>
      <c r="R103" s="91">
        <f>IF(16&lt;='I_Inputs &amp; Assumptions'!$B$8,IF('I_Budget Input Data'!$E$103="Upfront",IF(16=1,'I_Budget Input Data'!$D$103,0),IF('I_Budget Input Data'!$E$103="Equal",'I_Budget Input Data'!$D$103/'I_Inputs &amp; Assumptions'!$B$8,IF('I_Budget Input Data'!$E$103="Front-loaded",IF(16&lt;='I_Inputs &amp; Assumptions'!$B$8/2,'I_Budget Input Data'!$D$103*0.6/('I_Inputs &amp; Assumptions'!$B$8/2),'I_Budget Input Data'!$D$103*0.4/('I_Inputs &amp; Assumptions'!$B$8/2)),IF('I_Budget Input Data'!$E$103="Back-loaded",IF(16&lt;='I_Inputs &amp; Assumptions'!$B$8/2,'I_Budget Input Data'!$D$103*0.4/('I_Inputs &amp; Assumptions'!$B$8/2),'I_Budget Input Data'!$D$103*0.6/('I_Inputs &amp; Assumptions'!$B$8/2)),IF('I_Budget Input Data'!$E$103="Mid-weighted",IF(16&lt;='I_Inputs &amp; Assumptions'!$B$8/4,'I_Budget Input Data'!$D$103*0.2/('I_Inputs &amp; Assumptions'!$B$8/4),IF(16&lt;='I_Inputs &amp; Assumptions'!$B$8*0.75,'I_Budget Input Data'!$D$103*0.6/('I_Inputs &amp; Assumptions'!$B$8/2),'I_Budget Input Data'!$D$103*0.2/('I_Inputs &amp; Assumptions'!$B$8/4))),IF('I_Budget Input Data'!$E$103="At Completion",IF(16='I_Inputs &amp; Assumptions'!$B$8,'I_Budget Input Data'!$D$103,0),'I_Budget Input Data'!$D$103/'I_Inputs &amp; Assumptions'!$B$8)))))),0)</f>
        <v>0</v>
      </c>
      <c r="S103" s="91">
        <f>IF(17&lt;='I_Inputs &amp; Assumptions'!$B$8,IF('I_Budget Input Data'!$E$103="Upfront",IF(17=1,'I_Budget Input Data'!$D$103,0),IF('I_Budget Input Data'!$E$103="Equal",'I_Budget Input Data'!$D$103/'I_Inputs &amp; Assumptions'!$B$8,IF('I_Budget Input Data'!$E$103="Front-loaded",IF(17&lt;='I_Inputs &amp; Assumptions'!$B$8/2,'I_Budget Input Data'!$D$103*0.6/('I_Inputs &amp; Assumptions'!$B$8/2),'I_Budget Input Data'!$D$103*0.4/('I_Inputs &amp; Assumptions'!$B$8/2)),IF('I_Budget Input Data'!$E$103="Back-loaded",IF(17&lt;='I_Inputs &amp; Assumptions'!$B$8/2,'I_Budget Input Data'!$D$103*0.4/('I_Inputs &amp; Assumptions'!$B$8/2),'I_Budget Input Data'!$D$103*0.6/('I_Inputs &amp; Assumptions'!$B$8/2)),IF('I_Budget Input Data'!$E$103="Mid-weighted",IF(17&lt;='I_Inputs &amp; Assumptions'!$B$8/4,'I_Budget Input Data'!$D$103*0.2/('I_Inputs &amp; Assumptions'!$B$8/4),IF(17&lt;='I_Inputs &amp; Assumptions'!$B$8*0.75,'I_Budget Input Data'!$D$103*0.6/('I_Inputs &amp; Assumptions'!$B$8/2),'I_Budget Input Data'!$D$103*0.2/('I_Inputs &amp; Assumptions'!$B$8/4))),IF('I_Budget Input Data'!$E$103="At Completion",IF(17='I_Inputs &amp; Assumptions'!$B$8,'I_Budget Input Data'!$D$103,0),'I_Budget Input Data'!$D$103/'I_Inputs &amp; Assumptions'!$B$8)))))),0)</f>
        <v>0</v>
      </c>
      <c r="T103" s="91">
        <f>IF(18&lt;='I_Inputs &amp; Assumptions'!$B$8,IF('I_Budget Input Data'!$E$103="Upfront",IF(18=1,'I_Budget Input Data'!$D$103,0),IF('I_Budget Input Data'!$E$103="Equal",'I_Budget Input Data'!$D$103/'I_Inputs &amp; Assumptions'!$B$8,IF('I_Budget Input Data'!$E$103="Front-loaded",IF(18&lt;='I_Inputs &amp; Assumptions'!$B$8/2,'I_Budget Input Data'!$D$103*0.6/('I_Inputs &amp; Assumptions'!$B$8/2),'I_Budget Input Data'!$D$103*0.4/('I_Inputs &amp; Assumptions'!$B$8/2)),IF('I_Budget Input Data'!$E$103="Back-loaded",IF(18&lt;='I_Inputs &amp; Assumptions'!$B$8/2,'I_Budget Input Data'!$D$103*0.4/('I_Inputs &amp; Assumptions'!$B$8/2),'I_Budget Input Data'!$D$103*0.6/('I_Inputs &amp; Assumptions'!$B$8/2)),IF('I_Budget Input Data'!$E$103="Mid-weighted",IF(18&lt;='I_Inputs &amp; Assumptions'!$B$8/4,'I_Budget Input Data'!$D$103*0.2/('I_Inputs &amp; Assumptions'!$B$8/4),IF(18&lt;='I_Inputs &amp; Assumptions'!$B$8*0.75,'I_Budget Input Data'!$D$103*0.6/('I_Inputs &amp; Assumptions'!$B$8/2),'I_Budget Input Data'!$D$103*0.2/('I_Inputs &amp; Assumptions'!$B$8/4))),IF('I_Budget Input Data'!$E$103="At Completion",IF(18='I_Inputs &amp; Assumptions'!$B$8,'I_Budget Input Data'!$D$103,0),'I_Budget Input Data'!$D$103/'I_Inputs &amp; Assumptions'!$B$8)))))),0)</f>
        <v>0</v>
      </c>
      <c r="U103" s="91">
        <f>IF(19&lt;='I_Inputs &amp; Assumptions'!$B$8,IF('I_Budget Input Data'!$E$103="Upfront",IF(19=1,'I_Budget Input Data'!$D$103,0),IF('I_Budget Input Data'!$E$103="Equal",'I_Budget Input Data'!$D$103/'I_Inputs &amp; Assumptions'!$B$8,IF('I_Budget Input Data'!$E$103="Front-loaded",IF(19&lt;='I_Inputs &amp; Assumptions'!$B$8/2,'I_Budget Input Data'!$D$103*0.6/('I_Inputs &amp; Assumptions'!$B$8/2),'I_Budget Input Data'!$D$103*0.4/('I_Inputs &amp; Assumptions'!$B$8/2)),IF('I_Budget Input Data'!$E$103="Back-loaded",IF(19&lt;='I_Inputs &amp; Assumptions'!$B$8/2,'I_Budget Input Data'!$D$103*0.4/('I_Inputs &amp; Assumptions'!$B$8/2),'I_Budget Input Data'!$D$103*0.6/('I_Inputs &amp; Assumptions'!$B$8/2)),IF('I_Budget Input Data'!$E$103="Mid-weighted",IF(19&lt;='I_Inputs &amp; Assumptions'!$B$8/4,'I_Budget Input Data'!$D$103*0.2/('I_Inputs &amp; Assumptions'!$B$8/4),IF(19&lt;='I_Inputs &amp; Assumptions'!$B$8*0.75,'I_Budget Input Data'!$D$103*0.6/('I_Inputs &amp; Assumptions'!$B$8/2),'I_Budget Input Data'!$D$103*0.2/('I_Inputs &amp; Assumptions'!$B$8/4))),IF('I_Budget Input Data'!$E$103="At Completion",IF(19='I_Inputs &amp; Assumptions'!$B$8,'I_Budget Input Data'!$D$103,0),'I_Budget Input Data'!$D$103/'I_Inputs &amp; Assumptions'!$B$8)))))),0)</f>
        <v>0</v>
      </c>
      <c r="V103" s="91">
        <f>IF(20&lt;='I_Inputs &amp; Assumptions'!$B$8,IF('I_Budget Input Data'!$E$103="Upfront",IF(20=1,'I_Budget Input Data'!$D$103,0),IF('I_Budget Input Data'!$E$103="Equal",'I_Budget Input Data'!$D$103/'I_Inputs &amp; Assumptions'!$B$8,IF('I_Budget Input Data'!$E$103="Front-loaded",IF(20&lt;='I_Inputs &amp; Assumptions'!$B$8/2,'I_Budget Input Data'!$D$103*0.6/('I_Inputs &amp; Assumptions'!$B$8/2),'I_Budget Input Data'!$D$103*0.4/('I_Inputs &amp; Assumptions'!$B$8/2)),IF('I_Budget Input Data'!$E$103="Back-loaded",IF(20&lt;='I_Inputs &amp; Assumptions'!$B$8/2,'I_Budget Input Data'!$D$103*0.4/('I_Inputs &amp; Assumptions'!$B$8/2),'I_Budget Input Data'!$D$103*0.6/('I_Inputs &amp; Assumptions'!$B$8/2)),IF('I_Budget Input Data'!$E$103="Mid-weighted",IF(20&lt;='I_Inputs &amp; Assumptions'!$B$8/4,'I_Budget Input Data'!$D$103*0.2/('I_Inputs &amp; Assumptions'!$B$8/4),IF(20&lt;='I_Inputs &amp; Assumptions'!$B$8*0.75,'I_Budget Input Data'!$D$103*0.6/('I_Inputs &amp; Assumptions'!$B$8/2),'I_Budget Input Data'!$D$103*0.2/('I_Inputs &amp; Assumptions'!$B$8/4))),IF('I_Budget Input Data'!$E$103="At Completion",IF(20='I_Inputs &amp; Assumptions'!$B$8,'I_Budget Input Data'!$D$103,0),'I_Budget Input Data'!$D$103/'I_Inputs &amp; Assumptions'!$B$8)))))),0)</f>
        <v>0</v>
      </c>
      <c r="W103" s="91">
        <f>IF(21&lt;='I_Inputs &amp; Assumptions'!$B$8,IF('I_Budget Input Data'!$E$103="Upfront",IF(21=1,'I_Budget Input Data'!$D$103,0),IF('I_Budget Input Data'!$E$103="Equal",'I_Budget Input Data'!$D$103/'I_Inputs &amp; Assumptions'!$B$8,IF('I_Budget Input Data'!$E$103="Front-loaded",IF(21&lt;='I_Inputs &amp; Assumptions'!$B$8/2,'I_Budget Input Data'!$D$103*0.6/('I_Inputs &amp; Assumptions'!$B$8/2),'I_Budget Input Data'!$D$103*0.4/('I_Inputs &amp; Assumptions'!$B$8/2)),IF('I_Budget Input Data'!$E$103="Back-loaded",IF(21&lt;='I_Inputs &amp; Assumptions'!$B$8/2,'I_Budget Input Data'!$D$103*0.4/('I_Inputs &amp; Assumptions'!$B$8/2),'I_Budget Input Data'!$D$103*0.6/('I_Inputs &amp; Assumptions'!$B$8/2)),IF('I_Budget Input Data'!$E$103="Mid-weighted",IF(21&lt;='I_Inputs &amp; Assumptions'!$B$8/4,'I_Budget Input Data'!$D$103*0.2/('I_Inputs &amp; Assumptions'!$B$8/4),IF(21&lt;='I_Inputs &amp; Assumptions'!$B$8*0.75,'I_Budget Input Data'!$D$103*0.6/('I_Inputs &amp; Assumptions'!$B$8/2),'I_Budget Input Data'!$D$103*0.2/('I_Inputs &amp; Assumptions'!$B$8/4))),IF('I_Budget Input Data'!$E$103="At Completion",IF(21='I_Inputs &amp; Assumptions'!$B$8,'I_Budget Input Data'!$D$103,0),'I_Budget Input Data'!$D$103/'I_Inputs &amp; Assumptions'!$B$8)))))),0)</f>
        <v>0</v>
      </c>
      <c r="X103" s="91">
        <f>IF(22&lt;='I_Inputs &amp; Assumptions'!$B$8,IF('I_Budget Input Data'!$E$103="Upfront",IF(22=1,'I_Budget Input Data'!$D$103,0),IF('I_Budget Input Data'!$E$103="Equal",'I_Budget Input Data'!$D$103/'I_Inputs &amp; Assumptions'!$B$8,IF('I_Budget Input Data'!$E$103="Front-loaded",IF(22&lt;='I_Inputs &amp; Assumptions'!$B$8/2,'I_Budget Input Data'!$D$103*0.6/('I_Inputs &amp; Assumptions'!$B$8/2),'I_Budget Input Data'!$D$103*0.4/('I_Inputs &amp; Assumptions'!$B$8/2)),IF('I_Budget Input Data'!$E$103="Back-loaded",IF(22&lt;='I_Inputs &amp; Assumptions'!$B$8/2,'I_Budget Input Data'!$D$103*0.4/('I_Inputs &amp; Assumptions'!$B$8/2),'I_Budget Input Data'!$D$103*0.6/('I_Inputs &amp; Assumptions'!$B$8/2)),IF('I_Budget Input Data'!$E$103="Mid-weighted",IF(22&lt;='I_Inputs &amp; Assumptions'!$B$8/4,'I_Budget Input Data'!$D$103*0.2/('I_Inputs &amp; Assumptions'!$B$8/4),IF(22&lt;='I_Inputs &amp; Assumptions'!$B$8*0.75,'I_Budget Input Data'!$D$103*0.6/('I_Inputs &amp; Assumptions'!$B$8/2),'I_Budget Input Data'!$D$103*0.2/('I_Inputs &amp; Assumptions'!$B$8/4))),IF('I_Budget Input Data'!$E$103="At Completion",IF(22='I_Inputs &amp; Assumptions'!$B$8,'I_Budget Input Data'!$D$103,0),'I_Budget Input Data'!$D$103/'I_Inputs &amp; Assumptions'!$B$8)))))),0)</f>
        <v>0</v>
      </c>
      <c r="Y103" s="91">
        <f>IF(23&lt;='I_Inputs &amp; Assumptions'!$B$8,IF('I_Budget Input Data'!$E$103="Upfront",IF(23=1,'I_Budget Input Data'!$D$103,0),IF('I_Budget Input Data'!$E$103="Equal",'I_Budget Input Data'!$D$103/'I_Inputs &amp; Assumptions'!$B$8,IF('I_Budget Input Data'!$E$103="Front-loaded",IF(23&lt;='I_Inputs &amp; Assumptions'!$B$8/2,'I_Budget Input Data'!$D$103*0.6/('I_Inputs &amp; Assumptions'!$B$8/2),'I_Budget Input Data'!$D$103*0.4/('I_Inputs &amp; Assumptions'!$B$8/2)),IF('I_Budget Input Data'!$E$103="Back-loaded",IF(23&lt;='I_Inputs &amp; Assumptions'!$B$8/2,'I_Budget Input Data'!$D$103*0.4/('I_Inputs &amp; Assumptions'!$B$8/2),'I_Budget Input Data'!$D$103*0.6/('I_Inputs &amp; Assumptions'!$B$8/2)),IF('I_Budget Input Data'!$E$103="Mid-weighted",IF(23&lt;='I_Inputs &amp; Assumptions'!$B$8/4,'I_Budget Input Data'!$D$103*0.2/('I_Inputs &amp; Assumptions'!$B$8/4),IF(23&lt;='I_Inputs &amp; Assumptions'!$B$8*0.75,'I_Budget Input Data'!$D$103*0.6/('I_Inputs &amp; Assumptions'!$B$8/2),'I_Budget Input Data'!$D$103*0.2/('I_Inputs &amp; Assumptions'!$B$8/4))),IF('I_Budget Input Data'!$E$103="At Completion",IF(23='I_Inputs &amp; Assumptions'!$B$8,'I_Budget Input Data'!$D$103,0),'I_Budget Input Data'!$D$103/'I_Inputs &amp; Assumptions'!$B$8)))))),0)</f>
        <v>0</v>
      </c>
      <c r="Z103" s="91">
        <f>IF(24&lt;='I_Inputs &amp; Assumptions'!$B$8,IF('I_Budget Input Data'!$E$103="Upfront",IF(24=1,'I_Budget Input Data'!$D$103,0),IF('I_Budget Input Data'!$E$103="Equal",'I_Budget Input Data'!$D$103/'I_Inputs &amp; Assumptions'!$B$8,IF('I_Budget Input Data'!$E$103="Front-loaded",IF(24&lt;='I_Inputs &amp; Assumptions'!$B$8/2,'I_Budget Input Data'!$D$103*0.6/('I_Inputs &amp; Assumptions'!$B$8/2),'I_Budget Input Data'!$D$103*0.4/('I_Inputs &amp; Assumptions'!$B$8/2)),IF('I_Budget Input Data'!$E$103="Back-loaded",IF(24&lt;='I_Inputs &amp; Assumptions'!$B$8/2,'I_Budget Input Data'!$D$103*0.4/('I_Inputs &amp; Assumptions'!$B$8/2),'I_Budget Input Data'!$D$103*0.6/('I_Inputs &amp; Assumptions'!$B$8/2)),IF('I_Budget Input Data'!$E$103="Mid-weighted",IF(24&lt;='I_Inputs &amp; Assumptions'!$B$8/4,'I_Budget Input Data'!$D$103*0.2/('I_Inputs &amp; Assumptions'!$B$8/4),IF(24&lt;='I_Inputs &amp; Assumptions'!$B$8*0.75,'I_Budget Input Data'!$D$103*0.6/('I_Inputs &amp; Assumptions'!$B$8/2),'I_Budget Input Data'!$D$103*0.2/('I_Inputs &amp; Assumptions'!$B$8/4))),IF('I_Budget Input Data'!$E$103="At Completion",IF(24='I_Inputs &amp; Assumptions'!$B$8,'I_Budget Input Data'!$D$103,0),'I_Budget Input Data'!$D$103/'I_Inputs &amp; Assumptions'!$B$8)))))),0)</f>
        <v>0</v>
      </c>
      <c r="AA103" s="91">
        <f>IF(25&lt;='I_Inputs &amp; Assumptions'!$B$8,IF('I_Budget Input Data'!$E$103="Upfront",IF(25=1,'I_Budget Input Data'!$D$103,0),IF('I_Budget Input Data'!$E$103="Equal",'I_Budget Input Data'!$D$103/'I_Inputs &amp; Assumptions'!$B$8,IF('I_Budget Input Data'!$E$103="Front-loaded",IF(25&lt;='I_Inputs &amp; Assumptions'!$B$8/2,'I_Budget Input Data'!$D$103*0.6/('I_Inputs &amp; Assumptions'!$B$8/2),'I_Budget Input Data'!$D$103*0.4/('I_Inputs &amp; Assumptions'!$B$8/2)),IF('I_Budget Input Data'!$E$103="Back-loaded",IF(25&lt;='I_Inputs &amp; Assumptions'!$B$8/2,'I_Budget Input Data'!$D$103*0.4/('I_Inputs &amp; Assumptions'!$B$8/2),'I_Budget Input Data'!$D$103*0.6/('I_Inputs &amp; Assumptions'!$B$8/2)),IF('I_Budget Input Data'!$E$103="Mid-weighted",IF(25&lt;='I_Inputs &amp; Assumptions'!$B$8/4,'I_Budget Input Data'!$D$103*0.2/('I_Inputs &amp; Assumptions'!$B$8/4),IF(25&lt;='I_Inputs &amp; Assumptions'!$B$8*0.75,'I_Budget Input Data'!$D$103*0.6/('I_Inputs &amp; Assumptions'!$B$8/2),'I_Budget Input Data'!$D$103*0.2/('I_Inputs &amp; Assumptions'!$B$8/4))),IF('I_Budget Input Data'!$E$103="At Completion",IF(25='I_Inputs &amp; Assumptions'!$B$8,'I_Budget Input Data'!$D$103,0),'I_Budget Input Data'!$D$103/'I_Inputs &amp; Assumptions'!$B$8)))))),0)</f>
        <v>0</v>
      </c>
      <c r="AB103" s="91">
        <f>IF(26&lt;='I_Inputs &amp; Assumptions'!$B$8,IF('I_Budget Input Data'!$E$103="Upfront",IF(26=1,'I_Budget Input Data'!$D$103,0),IF('I_Budget Input Data'!$E$103="Equal",'I_Budget Input Data'!$D$103/'I_Inputs &amp; Assumptions'!$B$8,IF('I_Budget Input Data'!$E$103="Front-loaded",IF(26&lt;='I_Inputs &amp; Assumptions'!$B$8/2,'I_Budget Input Data'!$D$103*0.6/('I_Inputs &amp; Assumptions'!$B$8/2),'I_Budget Input Data'!$D$103*0.4/('I_Inputs &amp; Assumptions'!$B$8/2)),IF('I_Budget Input Data'!$E$103="Back-loaded",IF(26&lt;='I_Inputs &amp; Assumptions'!$B$8/2,'I_Budget Input Data'!$D$103*0.4/('I_Inputs &amp; Assumptions'!$B$8/2),'I_Budget Input Data'!$D$103*0.6/('I_Inputs &amp; Assumptions'!$B$8/2)),IF('I_Budget Input Data'!$E$103="Mid-weighted",IF(26&lt;='I_Inputs &amp; Assumptions'!$B$8/4,'I_Budget Input Data'!$D$103*0.2/('I_Inputs &amp; Assumptions'!$B$8/4),IF(26&lt;='I_Inputs &amp; Assumptions'!$B$8*0.75,'I_Budget Input Data'!$D$103*0.6/('I_Inputs &amp; Assumptions'!$B$8/2),'I_Budget Input Data'!$D$103*0.2/('I_Inputs &amp; Assumptions'!$B$8/4))),IF('I_Budget Input Data'!$E$103="At Completion",IF(26='I_Inputs &amp; Assumptions'!$B$8,'I_Budget Input Data'!$D$103,0),'I_Budget Input Data'!$D$103/'I_Inputs &amp; Assumptions'!$B$8)))))),0)</f>
        <v>0</v>
      </c>
      <c r="AC103" s="91">
        <f>IF(27&lt;='I_Inputs &amp; Assumptions'!$B$8,IF('I_Budget Input Data'!$E$103="Upfront",IF(27=1,'I_Budget Input Data'!$D$103,0),IF('I_Budget Input Data'!$E$103="Equal",'I_Budget Input Data'!$D$103/'I_Inputs &amp; Assumptions'!$B$8,IF('I_Budget Input Data'!$E$103="Front-loaded",IF(27&lt;='I_Inputs &amp; Assumptions'!$B$8/2,'I_Budget Input Data'!$D$103*0.6/('I_Inputs &amp; Assumptions'!$B$8/2),'I_Budget Input Data'!$D$103*0.4/('I_Inputs &amp; Assumptions'!$B$8/2)),IF('I_Budget Input Data'!$E$103="Back-loaded",IF(27&lt;='I_Inputs &amp; Assumptions'!$B$8/2,'I_Budget Input Data'!$D$103*0.4/('I_Inputs &amp; Assumptions'!$B$8/2),'I_Budget Input Data'!$D$103*0.6/('I_Inputs &amp; Assumptions'!$B$8/2)),IF('I_Budget Input Data'!$E$103="Mid-weighted",IF(27&lt;='I_Inputs &amp; Assumptions'!$B$8/4,'I_Budget Input Data'!$D$103*0.2/('I_Inputs &amp; Assumptions'!$B$8/4),IF(27&lt;='I_Inputs &amp; Assumptions'!$B$8*0.75,'I_Budget Input Data'!$D$103*0.6/('I_Inputs &amp; Assumptions'!$B$8/2),'I_Budget Input Data'!$D$103*0.2/('I_Inputs &amp; Assumptions'!$B$8/4))),IF('I_Budget Input Data'!$E$103="At Completion",IF(27='I_Inputs &amp; Assumptions'!$B$8,'I_Budget Input Data'!$D$103,0),'I_Budget Input Data'!$D$103/'I_Inputs &amp; Assumptions'!$B$8)))))),0)</f>
        <v>0</v>
      </c>
      <c r="AD103" s="91">
        <f>IF(28&lt;='I_Inputs &amp; Assumptions'!$B$8,IF('I_Budget Input Data'!$E$103="Upfront",IF(28=1,'I_Budget Input Data'!$D$103,0),IF('I_Budget Input Data'!$E$103="Equal",'I_Budget Input Data'!$D$103/'I_Inputs &amp; Assumptions'!$B$8,IF('I_Budget Input Data'!$E$103="Front-loaded",IF(28&lt;='I_Inputs &amp; Assumptions'!$B$8/2,'I_Budget Input Data'!$D$103*0.6/('I_Inputs &amp; Assumptions'!$B$8/2),'I_Budget Input Data'!$D$103*0.4/('I_Inputs &amp; Assumptions'!$B$8/2)),IF('I_Budget Input Data'!$E$103="Back-loaded",IF(28&lt;='I_Inputs &amp; Assumptions'!$B$8/2,'I_Budget Input Data'!$D$103*0.4/('I_Inputs &amp; Assumptions'!$B$8/2),'I_Budget Input Data'!$D$103*0.6/('I_Inputs &amp; Assumptions'!$B$8/2)),IF('I_Budget Input Data'!$E$103="Mid-weighted",IF(28&lt;='I_Inputs &amp; Assumptions'!$B$8/4,'I_Budget Input Data'!$D$103*0.2/('I_Inputs &amp; Assumptions'!$B$8/4),IF(28&lt;='I_Inputs &amp; Assumptions'!$B$8*0.75,'I_Budget Input Data'!$D$103*0.6/('I_Inputs &amp; Assumptions'!$B$8/2),'I_Budget Input Data'!$D$103*0.2/('I_Inputs &amp; Assumptions'!$B$8/4))),IF('I_Budget Input Data'!$E$103="At Completion",IF(28='I_Inputs &amp; Assumptions'!$B$8,'I_Budget Input Data'!$D$103,0),'I_Budget Input Data'!$D$103/'I_Inputs &amp; Assumptions'!$B$8)))))),0)</f>
        <v>0</v>
      </c>
      <c r="AE103" s="91">
        <f>IF(29&lt;='I_Inputs &amp; Assumptions'!$B$8,IF('I_Budget Input Data'!$E$103="Upfront",IF(29=1,'I_Budget Input Data'!$D$103,0),IF('I_Budget Input Data'!$E$103="Equal",'I_Budget Input Data'!$D$103/'I_Inputs &amp; Assumptions'!$B$8,IF('I_Budget Input Data'!$E$103="Front-loaded",IF(29&lt;='I_Inputs &amp; Assumptions'!$B$8/2,'I_Budget Input Data'!$D$103*0.6/('I_Inputs &amp; Assumptions'!$B$8/2),'I_Budget Input Data'!$D$103*0.4/('I_Inputs &amp; Assumptions'!$B$8/2)),IF('I_Budget Input Data'!$E$103="Back-loaded",IF(29&lt;='I_Inputs &amp; Assumptions'!$B$8/2,'I_Budget Input Data'!$D$103*0.4/('I_Inputs &amp; Assumptions'!$B$8/2),'I_Budget Input Data'!$D$103*0.6/('I_Inputs &amp; Assumptions'!$B$8/2)),IF('I_Budget Input Data'!$E$103="Mid-weighted",IF(29&lt;='I_Inputs &amp; Assumptions'!$B$8/4,'I_Budget Input Data'!$D$103*0.2/('I_Inputs &amp; Assumptions'!$B$8/4),IF(29&lt;='I_Inputs &amp; Assumptions'!$B$8*0.75,'I_Budget Input Data'!$D$103*0.6/('I_Inputs &amp; Assumptions'!$B$8/2),'I_Budget Input Data'!$D$103*0.2/('I_Inputs &amp; Assumptions'!$B$8/4))),IF('I_Budget Input Data'!$E$103="At Completion",IF(29='I_Inputs &amp; Assumptions'!$B$8,'I_Budget Input Data'!$D$103,0),'I_Budget Input Data'!$D$103/'I_Inputs &amp; Assumptions'!$B$8)))))),0)</f>
        <v>0</v>
      </c>
      <c r="AF103" s="91">
        <f>IF(30&lt;='I_Inputs &amp; Assumptions'!$B$8,IF('I_Budget Input Data'!$E$103="Upfront",IF(30=1,'I_Budget Input Data'!$D$103,0),IF('I_Budget Input Data'!$E$103="Equal",'I_Budget Input Data'!$D$103/'I_Inputs &amp; Assumptions'!$B$8,IF('I_Budget Input Data'!$E$103="Front-loaded",IF(30&lt;='I_Inputs &amp; Assumptions'!$B$8/2,'I_Budget Input Data'!$D$103*0.6/('I_Inputs &amp; Assumptions'!$B$8/2),'I_Budget Input Data'!$D$103*0.4/('I_Inputs &amp; Assumptions'!$B$8/2)),IF('I_Budget Input Data'!$E$103="Back-loaded",IF(30&lt;='I_Inputs &amp; Assumptions'!$B$8/2,'I_Budget Input Data'!$D$103*0.4/('I_Inputs &amp; Assumptions'!$B$8/2),'I_Budget Input Data'!$D$103*0.6/('I_Inputs &amp; Assumptions'!$B$8/2)),IF('I_Budget Input Data'!$E$103="Mid-weighted",IF(30&lt;='I_Inputs &amp; Assumptions'!$B$8/4,'I_Budget Input Data'!$D$103*0.2/('I_Inputs &amp; Assumptions'!$B$8/4),IF(30&lt;='I_Inputs &amp; Assumptions'!$B$8*0.75,'I_Budget Input Data'!$D$103*0.6/('I_Inputs &amp; Assumptions'!$B$8/2),'I_Budget Input Data'!$D$103*0.2/('I_Inputs &amp; Assumptions'!$B$8/4))),IF('I_Budget Input Data'!$E$103="At Completion",IF(30='I_Inputs &amp; Assumptions'!$B$8,'I_Budget Input Data'!$D$103,0),'I_Budget Input Data'!$D$103/'I_Inputs &amp; Assumptions'!$B$8)))))),0)</f>
        <v>0</v>
      </c>
      <c r="AG103" s="91">
        <f>IF(31&lt;='I_Inputs &amp; Assumptions'!$B$8,IF('I_Budget Input Data'!$E$103="Upfront",IF(31=1,'I_Budget Input Data'!$D$103,0),IF('I_Budget Input Data'!$E$103="Equal",'I_Budget Input Data'!$D$103/'I_Inputs &amp; Assumptions'!$B$8,IF('I_Budget Input Data'!$E$103="Front-loaded",IF(31&lt;='I_Inputs &amp; Assumptions'!$B$8/2,'I_Budget Input Data'!$D$103*0.6/('I_Inputs &amp; Assumptions'!$B$8/2),'I_Budget Input Data'!$D$103*0.4/('I_Inputs &amp; Assumptions'!$B$8/2)),IF('I_Budget Input Data'!$E$103="Back-loaded",IF(31&lt;='I_Inputs &amp; Assumptions'!$B$8/2,'I_Budget Input Data'!$D$103*0.4/('I_Inputs &amp; Assumptions'!$B$8/2),'I_Budget Input Data'!$D$103*0.6/('I_Inputs &amp; Assumptions'!$B$8/2)),IF('I_Budget Input Data'!$E$103="Mid-weighted",IF(31&lt;='I_Inputs &amp; Assumptions'!$B$8/4,'I_Budget Input Data'!$D$103*0.2/('I_Inputs &amp; Assumptions'!$B$8/4),IF(31&lt;='I_Inputs &amp; Assumptions'!$B$8*0.75,'I_Budget Input Data'!$D$103*0.6/('I_Inputs &amp; Assumptions'!$B$8/2),'I_Budget Input Data'!$D$103*0.2/('I_Inputs &amp; Assumptions'!$B$8/4))),IF('I_Budget Input Data'!$E$103="At Completion",IF(31='I_Inputs &amp; Assumptions'!$B$8,'I_Budget Input Data'!$D$103,0),'I_Budget Input Data'!$D$103/'I_Inputs &amp; Assumptions'!$B$8)))))),0)</f>
        <v>0</v>
      </c>
      <c r="AH103" s="91">
        <f>IF(32&lt;='I_Inputs &amp; Assumptions'!$B$8,IF('I_Budget Input Data'!$E$103="Upfront",IF(32=1,'I_Budget Input Data'!$D$103,0),IF('I_Budget Input Data'!$E$103="Equal",'I_Budget Input Data'!$D$103/'I_Inputs &amp; Assumptions'!$B$8,IF('I_Budget Input Data'!$E$103="Front-loaded",IF(32&lt;='I_Inputs &amp; Assumptions'!$B$8/2,'I_Budget Input Data'!$D$103*0.6/('I_Inputs &amp; Assumptions'!$B$8/2),'I_Budget Input Data'!$D$103*0.4/('I_Inputs &amp; Assumptions'!$B$8/2)),IF('I_Budget Input Data'!$E$103="Back-loaded",IF(32&lt;='I_Inputs &amp; Assumptions'!$B$8/2,'I_Budget Input Data'!$D$103*0.4/('I_Inputs &amp; Assumptions'!$B$8/2),'I_Budget Input Data'!$D$103*0.6/('I_Inputs &amp; Assumptions'!$B$8/2)),IF('I_Budget Input Data'!$E$103="Mid-weighted",IF(32&lt;='I_Inputs &amp; Assumptions'!$B$8/4,'I_Budget Input Data'!$D$103*0.2/('I_Inputs &amp; Assumptions'!$B$8/4),IF(32&lt;='I_Inputs &amp; Assumptions'!$B$8*0.75,'I_Budget Input Data'!$D$103*0.6/('I_Inputs &amp; Assumptions'!$B$8/2),'I_Budget Input Data'!$D$103*0.2/('I_Inputs &amp; Assumptions'!$B$8/4))),IF('I_Budget Input Data'!$E$103="At Completion",IF(32='I_Inputs &amp; Assumptions'!$B$8,'I_Budget Input Data'!$D$103,0),'I_Budget Input Data'!$D$103/'I_Inputs &amp; Assumptions'!$B$8)))))),0)</f>
        <v>0</v>
      </c>
      <c r="AI103" s="91">
        <f>IF(33&lt;='I_Inputs &amp; Assumptions'!$B$8,IF('I_Budget Input Data'!$E$103="Upfront",IF(33=1,'I_Budget Input Data'!$D$103,0),IF('I_Budget Input Data'!$E$103="Equal",'I_Budget Input Data'!$D$103/'I_Inputs &amp; Assumptions'!$B$8,IF('I_Budget Input Data'!$E$103="Front-loaded",IF(33&lt;='I_Inputs &amp; Assumptions'!$B$8/2,'I_Budget Input Data'!$D$103*0.6/('I_Inputs &amp; Assumptions'!$B$8/2),'I_Budget Input Data'!$D$103*0.4/('I_Inputs &amp; Assumptions'!$B$8/2)),IF('I_Budget Input Data'!$E$103="Back-loaded",IF(33&lt;='I_Inputs &amp; Assumptions'!$B$8/2,'I_Budget Input Data'!$D$103*0.4/('I_Inputs &amp; Assumptions'!$B$8/2),'I_Budget Input Data'!$D$103*0.6/('I_Inputs &amp; Assumptions'!$B$8/2)),IF('I_Budget Input Data'!$E$103="Mid-weighted",IF(33&lt;='I_Inputs &amp; Assumptions'!$B$8/4,'I_Budget Input Data'!$D$103*0.2/('I_Inputs &amp; Assumptions'!$B$8/4),IF(33&lt;='I_Inputs &amp; Assumptions'!$B$8*0.75,'I_Budget Input Data'!$D$103*0.6/('I_Inputs &amp; Assumptions'!$B$8/2),'I_Budget Input Data'!$D$103*0.2/('I_Inputs &amp; Assumptions'!$B$8/4))),IF('I_Budget Input Data'!$E$103="At Completion",IF(33='I_Inputs &amp; Assumptions'!$B$8,'I_Budget Input Data'!$D$103,0),'I_Budget Input Data'!$D$103/'I_Inputs &amp; Assumptions'!$B$8)))))),0)</f>
        <v>0</v>
      </c>
      <c r="AJ103" s="91">
        <f>IF(34&lt;='I_Inputs &amp; Assumptions'!$B$8,IF('I_Budget Input Data'!$E$103="Upfront",IF(34=1,'I_Budget Input Data'!$D$103,0),IF('I_Budget Input Data'!$E$103="Equal",'I_Budget Input Data'!$D$103/'I_Inputs &amp; Assumptions'!$B$8,IF('I_Budget Input Data'!$E$103="Front-loaded",IF(34&lt;='I_Inputs &amp; Assumptions'!$B$8/2,'I_Budget Input Data'!$D$103*0.6/('I_Inputs &amp; Assumptions'!$B$8/2),'I_Budget Input Data'!$D$103*0.4/('I_Inputs &amp; Assumptions'!$B$8/2)),IF('I_Budget Input Data'!$E$103="Back-loaded",IF(34&lt;='I_Inputs &amp; Assumptions'!$B$8/2,'I_Budget Input Data'!$D$103*0.4/('I_Inputs &amp; Assumptions'!$B$8/2),'I_Budget Input Data'!$D$103*0.6/('I_Inputs &amp; Assumptions'!$B$8/2)),IF('I_Budget Input Data'!$E$103="Mid-weighted",IF(34&lt;='I_Inputs &amp; Assumptions'!$B$8/4,'I_Budget Input Data'!$D$103*0.2/('I_Inputs &amp; Assumptions'!$B$8/4),IF(34&lt;='I_Inputs &amp; Assumptions'!$B$8*0.75,'I_Budget Input Data'!$D$103*0.6/('I_Inputs &amp; Assumptions'!$B$8/2),'I_Budget Input Data'!$D$103*0.2/('I_Inputs &amp; Assumptions'!$B$8/4))),IF('I_Budget Input Data'!$E$103="At Completion",IF(34='I_Inputs &amp; Assumptions'!$B$8,'I_Budget Input Data'!$D$103,0),'I_Budget Input Data'!$D$103/'I_Inputs &amp; Assumptions'!$B$8)))))),0)</f>
        <v>0</v>
      </c>
      <c r="AK103" s="91">
        <f>IF(35&lt;='I_Inputs &amp; Assumptions'!$B$8,IF('I_Budget Input Data'!$E$103="Upfront",IF(35=1,'I_Budget Input Data'!$D$103,0),IF('I_Budget Input Data'!$E$103="Equal",'I_Budget Input Data'!$D$103/'I_Inputs &amp; Assumptions'!$B$8,IF('I_Budget Input Data'!$E$103="Front-loaded",IF(35&lt;='I_Inputs &amp; Assumptions'!$B$8/2,'I_Budget Input Data'!$D$103*0.6/('I_Inputs &amp; Assumptions'!$B$8/2),'I_Budget Input Data'!$D$103*0.4/('I_Inputs &amp; Assumptions'!$B$8/2)),IF('I_Budget Input Data'!$E$103="Back-loaded",IF(35&lt;='I_Inputs &amp; Assumptions'!$B$8/2,'I_Budget Input Data'!$D$103*0.4/('I_Inputs &amp; Assumptions'!$B$8/2),'I_Budget Input Data'!$D$103*0.6/('I_Inputs &amp; Assumptions'!$B$8/2)),IF('I_Budget Input Data'!$E$103="Mid-weighted",IF(35&lt;='I_Inputs &amp; Assumptions'!$B$8/4,'I_Budget Input Data'!$D$103*0.2/('I_Inputs &amp; Assumptions'!$B$8/4),IF(35&lt;='I_Inputs &amp; Assumptions'!$B$8*0.75,'I_Budget Input Data'!$D$103*0.6/('I_Inputs &amp; Assumptions'!$B$8/2),'I_Budget Input Data'!$D$103*0.2/('I_Inputs &amp; Assumptions'!$B$8/4))),IF('I_Budget Input Data'!$E$103="At Completion",IF(35='I_Inputs &amp; Assumptions'!$B$8,'I_Budget Input Data'!$D$103,0),'I_Budget Input Data'!$D$103/'I_Inputs &amp; Assumptions'!$B$8)))))),0)</f>
        <v>0</v>
      </c>
      <c r="AL103" s="91">
        <f>IF(36&lt;='I_Inputs &amp; Assumptions'!$B$8,IF('I_Budget Input Data'!$E$103="Upfront",IF(36=1,'I_Budget Input Data'!$D$103,0),IF('I_Budget Input Data'!$E$103="Equal",'I_Budget Input Data'!$D$103/'I_Inputs &amp; Assumptions'!$B$8,IF('I_Budget Input Data'!$E$103="Front-loaded",IF(36&lt;='I_Inputs &amp; Assumptions'!$B$8/2,'I_Budget Input Data'!$D$103*0.6/('I_Inputs &amp; Assumptions'!$B$8/2),'I_Budget Input Data'!$D$103*0.4/('I_Inputs &amp; Assumptions'!$B$8/2)),IF('I_Budget Input Data'!$E$103="Back-loaded",IF(36&lt;='I_Inputs &amp; Assumptions'!$B$8/2,'I_Budget Input Data'!$D$103*0.4/('I_Inputs &amp; Assumptions'!$B$8/2),'I_Budget Input Data'!$D$103*0.6/('I_Inputs &amp; Assumptions'!$B$8/2)),IF('I_Budget Input Data'!$E$103="Mid-weighted",IF(36&lt;='I_Inputs &amp; Assumptions'!$B$8/4,'I_Budget Input Data'!$D$103*0.2/('I_Inputs &amp; Assumptions'!$B$8/4),IF(36&lt;='I_Inputs &amp; Assumptions'!$B$8*0.75,'I_Budget Input Data'!$D$103*0.6/('I_Inputs &amp; Assumptions'!$B$8/2),'I_Budget Input Data'!$D$103*0.2/('I_Inputs &amp; Assumptions'!$B$8/4))),IF('I_Budget Input Data'!$E$103="At Completion",IF(36='I_Inputs &amp; Assumptions'!$B$8,'I_Budget Input Data'!$D$103,0),'I_Budget Input Data'!$D$103/'I_Inputs &amp; Assumptions'!$B$8)))))),0)</f>
        <v>0</v>
      </c>
    </row>
    <row r="104" spans="1:38" ht="15" customHeight="1" x14ac:dyDescent="0.2">
      <c r="A104" t="s">
        <v>146</v>
      </c>
      <c r="C104" s="91">
        <f>IF(1&lt;='I_Inputs &amp; Assumptions'!$B$8,IF('I_Budget Input Data'!$E$104="Upfront",IF(1=1,'I_Budget Input Data'!$D$104,0),IF('I_Budget Input Data'!$E$104="Equal",'I_Budget Input Data'!$D$104/'I_Inputs &amp; Assumptions'!$B$8,IF('I_Budget Input Data'!$E$104="Front-loaded",IF(1&lt;='I_Inputs &amp; Assumptions'!$B$8/2,'I_Budget Input Data'!$D$104*0.6/('I_Inputs &amp; Assumptions'!$B$8/2),'I_Budget Input Data'!$D$104*0.4/('I_Inputs &amp; Assumptions'!$B$8/2)),IF('I_Budget Input Data'!$E$104="Back-loaded",IF(1&lt;='I_Inputs &amp; Assumptions'!$B$8/2,'I_Budget Input Data'!$D$104*0.4/('I_Inputs &amp; Assumptions'!$B$8/2),'I_Budget Input Data'!$D$104*0.6/('I_Inputs &amp; Assumptions'!$B$8/2)),IF('I_Budget Input Data'!$E$104="Mid-weighted",IF(1&lt;='I_Inputs &amp; Assumptions'!$B$8/4,'I_Budget Input Data'!$D$104*0.2/('I_Inputs &amp; Assumptions'!$B$8/4),IF(1&lt;='I_Inputs &amp; Assumptions'!$B$8*0.75,'I_Budget Input Data'!$D$104*0.6/('I_Inputs &amp; Assumptions'!$B$8/2),'I_Budget Input Data'!$D$104*0.2/('I_Inputs &amp; Assumptions'!$B$8/4))),IF('I_Budget Input Data'!$E$104="At Completion",IF(1='I_Inputs &amp; Assumptions'!$B$8,'I_Budget Input Data'!$D$104,0),'I_Budget Input Data'!$D$104/'I_Inputs &amp; Assumptions'!$B$8)))))),0)</f>
        <v>12123.076923076924</v>
      </c>
      <c r="D104" s="91">
        <f>IF(2&lt;='I_Inputs &amp; Assumptions'!$B$8,IF('I_Budget Input Data'!$E$104="Upfront",IF(2=1,'I_Budget Input Data'!$D$104,0),IF('I_Budget Input Data'!$E$104="Equal",'I_Budget Input Data'!$D$104/'I_Inputs &amp; Assumptions'!$B$8,IF('I_Budget Input Data'!$E$104="Front-loaded",IF(2&lt;='I_Inputs &amp; Assumptions'!$B$8/2,'I_Budget Input Data'!$D$104*0.6/('I_Inputs &amp; Assumptions'!$B$8/2),'I_Budget Input Data'!$D$104*0.4/('I_Inputs &amp; Assumptions'!$B$8/2)),IF('I_Budget Input Data'!$E$104="Back-loaded",IF(2&lt;='I_Inputs &amp; Assumptions'!$B$8/2,'I_Budget Input Data'!$D$104*0.4/('I_Inputs &amp; Assumptions'!$B$8/2),'I_Budget Input Data'!$D$104*0.6/('I_Inputs &amp; Assumptions'!$B$8/2)),IF('I_Budget Input Data'!$E$104="Mid-weighted",IF(2&lt;='I_Inputs &amp; Assumptions'!$B$8/4,'I_Budget Input Data'!$D$104*0.2/('I_Inputs &amp; Assumptions'!$B$8/4),IF(2&lt;='I_Inputs &amp; Assumptions'!$B$8*0.75,'I_Budget Input Data'!$D$104*0.6/('I_Inputs &amp; Assumptions'!$B$8/2),'I_Budget Input Data'!$D$104*0.2/('I_Inputs &amp; Assumptions'!$B$8/4))),IF('I_Budget Input Data'!$E$104="At Completion",IF(2='I_Inputs &amp; Assumptions'!$B$8,'I_Budget Input Data'!$D$104,0),'I_Budget Input Data'!$D$104/'I_Inputs &amp; Assumptions'!$B$8)))))),0)</f>
        <v>12123.076923076924</v>
      </c>
      <c r="E104" s="91">
        <f>IF(3&lt;='I_Inputs &amp; Assumptions'!$B$8,IF('I_Budget Input Data'!$E$104="Upfront",IF(3=1,'I_Budget Input Data'!$D$104,0),IF('I_Budget Input Data'!$E$104="Equal",'I_Budget Input Data'!$D$104/'I_Inputs &amp; Assumptions'!$B$8,IF('I_Budget Input Data'!$E$104="Front-loaded",IF(3&lt;='I_Inputs &amp; Assumptions'!$B$8/2,'I_Budget Input Data'!$D$104*0.6/('I_Inputs &amp; Assumptions'!$B$8/2),'I_Budget Input Data'!$D$104*0.4/('I_Inputs &amp; Assumptions'!$B$8/2)),IF('I_Budget Input Data'!$E$104="Back-loaded",IF(3&lt;='I_Inputs &amp; Assumptions'!$B$8/2,'I_Budget Input Data'!$D$104*0.4/('I_Inputs &amp; Assumptions'!$B$8/2),'I_Budget Input Data'!$D$104*0.6/('I_Inputs &amp; Assumptions'!$B$8/2)),IF('I_Budget Input Data'!$E$104="Mid-weighted",IF(3&lt;='I_Inputs &amp; Assumptions'!$B$8/4,'I_Budget Input Data'!$D$104*0.2/('I_Inputs &amp; Assumptions'!$B$8/4),IF(3&lt;='I_Inputs &amp; Assumptions'!$B$8*0.75,'I_Budget Input Data'!$D$104*0.6/('I_Inputs &amp; Assumptions'!$B$8/2),'I_Budget Input Data'!$D$104*0.2/('I_Inputs &amp; Assumptions'!$B$8/4))),IF('I_Budget Input Data'!$E$104="At Completion",IF(3='I_Inputs &amp; Assumptions'!$B$8,'I_Budget Input Data'!$D$104,0),'I_Budget Input Data'!$D$104/'I_Inputs &amp; Assumptions'!$B$8)))))),0)</f>
        <v>12123.076923076924</v>
      </c>
      <c r="F104" s="91">
        <f>IF(4&lt;='I_Inputs &amp; Assumptions'!$B$8,IF('I_Budget Input Data'!$E$104="Upfront",IF(4=1,'I_Budget Input Data'!$D$104,0),IF('I_Budget Input Data'!$E$104="Equal",'I_Budget Input Data'!$D$104/'I_Inputs &amp; Assumptions'!$B$8,IF('I_Budget Input Data'!$E$104="Front-loaded",IF(4&lt;='I_Inputs &amp; Assumptions'!$B$8/2,'I_Budget Input Data'!$D$104*0.6/('I_Inputs &amp; Assumptions'!$B$8/2),'I_Budget Input Data'!$D$104*0.4/('I_Inputs &amp; Assumptions'!$B$8/2)),IF('I_Budget Input Data'!$E$104="Back-loaded",IF(4&lt;='I_Inputs &amp; Assumptions'!$B$8/2,'I_Budget Input Data'!$D$104*0.4/('I_Inputs &amp; Assumptions'!$B$8/2),'I_Budget Input Data'!$D$104*0.6/('I_Inputs &amp; Assumptions'!$B$8/2)),IF('I_Budget Input Data'!$E$104="Mid-weighted",IF(4&lt;='I_Inputs &amp; Assumptions'!$B$8/4,'I_Budget Input Data'!$D$104*0.2/('I_Inputs &amp; Assumptions'!$B$8/4),IF(4&lt;='I_Inputs &amp; Assumptions'!$B$8*0.75,'I_Budget Input Data'!$D$104*0.6/('I_Inputs &amp; Assumptions'!$B$8/2),'I_Budget Input Data'!$D$104*0.2/('I_Inputs &amp; Assumptions'!$B$8/4))),IF('I_Budget Input Data'!$E$104="At Completion",IF(4='I_Inputs &amp; Assumptions'!$B$8,'I_Budget Input Data'!$D$104,0),'I_Budget Input Data'!$D$104/'I_Inputs &amp; Assumptions'!$B$8)))))),0)</f>
        <v>12123.076923076924</v>
      </c>
      <c r="G104" s="91">
        <f>IF(5&lt;='I_Inputs &amp; Assumptions'!$B$8,IF('I_Budget Input Data'!$E$104="Upfront",IF(5=1,'I_Budget Input Data'!$D$104,0),IF('I_Budget Input Data'!$E$104="Equal",'I_Budget Input Data'!$D$104/'I_Inputs &amp; Assumptions'!$B$8,IF('I_Budget Input Data'!$E$104="Front-loaded",IF(5&lt;='I_Inputs &amp; Assumptions'!$B$8/2,'I_Budget Input Data'!$D$104*0.6/('I_Inputs &amp; Assumptions'!$B$8/2),'I_Budget Input Data'!$D$104*0.4/('I_Inputs &amp; Assumptions'!$B$8/2)),IF('I_Budget Input Data'!$E$104="Back-loaded",IF(5&lt;='I_Inputs &amp; Assumptions'!$B$8/2,'I_Budget Input Data'!$D$104*0.4/('I_Inputs &amp; Assumptions'!$B$8/2),'I_Budget Input Data'!$D$104*0.6/('I_Inputs &amp; Assumptions'!$B$8/2)),IF('I_Budget Input Data'!$E$104="Mid-weighted",IF(5&lt;='I_Inputs &amp; Assumptions'!$B$8/4,'I_Budget Input Data'!$D$104*0.2/('I_Inputs &amp; Assumptions'!$B$8/4),IF(5&lt;='I_Inputs &amp; Assumptions'!$B$8*0.75,'I_Budget Input Data'!$D$104*0.6/('I_Inputs &amp; Assumptions'!$B$8/2),'I_Budget Input Data'!$D$104*0.2/('I_Inputs &amp; Assumptions'!$B$8/4))),IF('I_Budget Input Data'!$E$104="At Completion",IF(5='I_Inputs &amp; Assumptions'!$B$8,'I_Budget Input Data'!$D$104,0),'I_Budget Input Data'!$D$104/'I_Inputs &amp; Assumptions'!$B$8)))))),0)</f>
        <v>12123.076923076924</v>
      </c>
      <c r="H104" s="91">
        <f>IF(6&lt;='I_Inputs &amp; Assumptions'!$B$8,IF('I_Budget Input Data'!$E$104="Upfront",IF(6=1,'I_Budget Input Data'!$D$104,0),IF('I_Budget Input Data'!$E$104="Equal",'I_Budget Input Data'!$D$104/'I_Inputs &amp; Assumptions'!$B$8,IF('I_Budget Input Data'!$E$104="Front-loaded",IF(6&lt;='I_Inputs &amp; Assumptions'!$B$8/2,'I_Budget Input Data'!$D$104*0.6/('I_Inputs &amp; Assumptions'!$B$8/2),'I_Budget Input Data'!$D$104*0.4/('I_Inputs &amp; Assumptions'!$B$8/2)),IF('I_Budget Input Data'!$E$104="Back-loaded",IF(6&lt;='I_Inputs &amp; Assumptions'!$B$8/2,'I_Budget Input Data'!$D$104*0.4/('I_Inputs &amp; Assumptions'!$B$8/2),'I_Budget Input Data'!$D$104*0.6/('I_Inputs &amp; Assumptions'!$B$8/2)),IF('I_Budget Input Data'!$E$104="Mid-weighted",IF(6&lt;='I_Inputs &amp; Assumptions'!$B$8/4,'I_Budget Input Data'!$D$104*0.2/('I_Inputs &amp; Assumptions'!$B$8/4),IF(6&lt;='I_Inputs &amp; Assumptions'!$B$8*0.75,'I_Budget Input Data'!$D$104*0.6/('I_Inputs &amp; Assumptions'!$B$8/2),'I_Budget Input Data'!$D$104*0.2/('I_Inputs &amp; Assumptions'!$B$8/4))),IF('I_Budget Input Data'!$E$104="At Completion",IF(6='I_Inputs &amp; Assumptions'!$B$8,'I_Budget Input Data'!$D$104,0),'I_Budget Input Data'!$D$104/'I_Inputs &amp; Assumptions'!$B$8)))))),0)</f>
        <v>12123.076923076924</v>
      </c>
      <c r="I104" s="91">
        <f>IF(7&lt;='I_Inputs &amp; Assumptions'!$B$8,IF('I_Budget Input Data'!$E$104="Upfront",IF(7=1,'I_Budget Input Data'!$D$104,0),IF('I_Budget Input Data'!$E$104="Equal",'I_Budget Input Data'!$D$104/'I_Inputs &amp; Assumptions'!$B$8,IF('I_Budget Input Data'!$E$104="Front-loaded",IF(7&lt;='I_Inputs &amp; Assumptions'!$B$8/2,'I_Budget Input Data'!$D$104*0.6/('I_Inputs &amp; Assumptions'!$B$8/2),'I_Budget Input Data'!$D$104*0.4/('I_Inputs &amp; Assumptions'!$B$8/2)),IF('I_Budget Input Data'!$E$104="Back-loaded",IF(7&lt;='I_Inputs &amp; Assumptions'!$B$8/2,'I_Budget Input Data'!$D$104*0.4/('I_Inputs &amp; Assumptions'!$B$8/2),'I_Budget Input Data'!$D$104*0.6/('I_Inputs &amp; Assumptions'!$B$8/2)),IF('I_Budget Input Data'!$E$104="Mid-weighted",IF(7&lt;='I_Inputs &amp; Assumptions'!$B$8/4,'I_Budget Input Data'!$D$104*0.2/('I_Inputs &amp; Assumptions'!$B$8/4),IF(7&lt;='I_Inputs &amp; Assumptions'!$B$8*0.75,'I_Budget Input Data'!$D$104*0.6/('I_Inputs &amp; Assumptions'!$B$8/2),'I_Budget Input Data'!$D$104*0.2/('I_Inputs &amp; Assumptions'!$B$8/4))),IF('I_Budget Input Data'!$E$104="At Completion",IF(7='I_Inputs &amp; Assumptions'!$B$8,'I_Budget Input Data'!$D$104,0),'I_Budget Input Data'!$D$104/'I_Inputs &amp; Assumptions'!$B$8)))))),0)</f>
        <v>12123.076923076924</v>
      </c>
      <c r="J104" s="91">
        <f>IF(8&lt;='I_Inputs &amp; Assumptions'!$B$8,IF('I_Budget Input Data'!$E$104="Upfront",IF(8=1,'I_Budget Input Data'!$D$104,0),IF('I_Budget Input Data'!$E$104="Equal",'I_Budget Input Data'!$D$104/'I_Inputs &amp; Assumptions'!$B$8,IF('I_Budget Input Data'!$E$104="Front-loaded",IF(8&lt;='I_Inputs &amp; Assumptions'!$B$8/2,'I_Budget Input Data'!$D$104*0.6/('I_Inputs &amp; Assumptions'!$B$8/2),'I_Budget Input Data'!$D$104*0.4/('I_Inputs &amp; Assumptions'!$B$8/2)),IF('I_Budget Input Data'!$E$104="Back-loaded",IF(8&lt;='I_Inputs &amp; Assumptions'!$B$8/2,'I_Budget Input Data'!$D$104*0.4/('I_Inputs &amp; Assumptions'!$B$8/2),'I_Budget Input Data'!$D$104*0.6/('I_Inputs &amp; Assumptions'!$B$8/2)),IF('I_Budget Input Data'!$E$104="Mid-weighted",IF(8&lt;='I_Inputs &amp; Assumptions'!$B$8/4,'I_Budget Input Data'!$D$104*0.2/('I_Inputs &amp; Assumptions'!$B$8/4),IF(8&lt;='I_Inputs &amp; Assumptions'!$B$8*0.75,'I_Budget Input Data'!$D$104*0.6/('I_Inputs &amp; Assumptions'!$B$8/2),'I_Budget Input Data'!$D$104*0.2/('I_Inputs &amp; Assumptions'!$B$8/4))),IF('I_Budget Input Data'!$E$104="At Completion",IF(8='I_Inputs &amp; Assumptions'!$B$8,'I_Budget Input Data'!$D$104,0),'I_Budget Input Data'!$D$104/'I_Inputs &amp; Assumptions'!$B$8)))))),0)</f>
        <v>12123.076923076924</v>
      </c>
      <c r="K104" s="91">
        <f>IF(9&lt;='I_Inputs &amp; Assumptions'!$B$8,IF('I_Budget Input Data'!$E$104="Upfront",IF(9=1,'I_Budget Input Data'!$D$104,0),IF('I_Budget Input Data'!$E$104="Equal",'I_Budget Input Data'!$D$104/'I_Inputs &amp; Assumptions'!$B$8,IF('I_Budget Input Data'!$E$104="Front-loaded",IF(9&lt;='I_Inputs &amp; Assumptions'!$B$8/2,'I_Budget Input Data'!$D$104*0.6/('I_Inputs &amp; Assumptions'!$B$8/2),'I_Budget Input Data'!$D$104*0.4/('I_Inputs &amp; Assumptions'!$B$8/2)),IF('I_Budget Input Data'!$E$104="Back-loaded",IF(9&lt;='I_Inputs &amp; Assumptions'!$B$8/2,'I_Budget Input Data'!$D$104*0.4/('I_Inputs &amp; Assumptions'!$B$8/2),'I_Budget Input Data'!$D$104*0.6/('I_Inputs &amp; Assumptions'!$B$8/2)),IF('I_Budget Input Data'!$E$104="Mid-weighted",IF(9&lt;='I_Inputs &amp; Assumptions'!$B$8/4,'I_Budget Input Data'!$D$104*0.2/('I_Inputs &amp; Assumptions'!$B$8/4),IF(9&lt;='I_Inputs &amp; Assumptions'!$B$8*0.75,'I_Budget Input Data'!$D$104*0.6/('I_Inputs &amp; Assumptions'!$B$8/2),'I_Budget Input Data'!$D$104*0.2/('I_Inputs &amp; Assumptions'!$B$8/4))),IF('I_Budget Input Data'!$E$104="At Completion",IF(9='I_Inputs &amp; Assumptions'!$B$8,'I_Budget Input Data'!$D$104,0),'I_Budget Input Data'!$D$104/'I_Inputs &amp; Assumptions'!$B$8)))))),0)</f>
        <v>12123.076923076924</v>
      </c>
      <c r="L104" s="91">
        <f>IF(10&lt;='I_Inputs &amp; Assumptions'!$B$8,IF('I_Budget Input Data'!$E$104="Upfront",IF(10=1,'I_Budget Input Data'!$D$104,0),IF('I_Budget Input Data'!$E$104="Equal",'I_Budget Input Data'!$D$104/'I_Inputs &amp; Assumptions'!$B$8,IF('I_Budget Input Data'!$E$104="Front-loaded",IF(10&lt;='I_Inputs &amp; Assumptions'!$B$8/2,'I_Budget Input Data'!$D$104*0.6/('I_Inputs &amp; Assumptions'!$B$8/2),'I_Budget Input Data'!$D$104*0.4/('I_Inputs &amp; Assumptions'!$B$8/2)),IF('I_Budget Input Data'!$E$104="Back-loaded",IF(10&lt;='I_Inputs &amp; Assumptions'!$B$8/2,'I_Budget Input Data'!$D$104*0.4/('I_Inputs &amp; Assumptions'!$B$8/2),'I_Budget Input Data'!$D$104*0.6/('I_Inputs &amp; Assumptions'!$B$8/2)),IF('I_Budget Input Data'!$E$104="Mid-weighted",IF(10&lt;='I_Inputs &amp; Assumptions'!$B$8/4,'I_Budget Input Data'!$D$104*0.2/('I_Inputs &amp; Assumptions'!$B$8/4),IF(10&lt;='I_Inputs &amp; Assumptions'!$B$8*0.75,'I_Budget Input Data'!$D$104*0.6/('I_Inputs &amp; Assumptions'!$B$8/2),'I_Budget Input Data'!$D$104*0.2/('I_Inputs &amp; Assumptions'!$B$8/4))),IF('I_Budget Input Data'!$E$104="At Completion",IF(10='I_Inputs &amp; Assumptions'!$B$8,'I_Budget Input Data'!$D$104,0),'I_Budget Input Data'!$D$104/'I_Inputs &amp; Assumptions'!$B$8)))))),0)</f>
        <v>12123.076923076924</v>
      </c>
      <c r="M104" s="91">
        <f>IF(11&lt;='I_Inputs &amp; Assumptions'!$B$8,IF('I_Budget Input Data'!$E$104="Upfront",IF(11=1,'I_Budget Input Data'!$D$104,0),IF('I_Budget Input Data'!$E$104="Equal",'I_Budget Input Data'!$D$104/'I_Inputs &amp; Assumptions'!$B$8,IF('I_Budget Input Data'!$E$104="Front-loaded",IF(11&lt;='I_Inputs &amp; Assumptions'!$B$8/2,'I_Budget Input Data'!$D$104*0.6/('I_Inputs &amp; Assumptions'!$B$8/2),'I_Budget Input Data'!$D$104*0.4/('I_Inputs &amp; Assumptions'!$B$8/2)),IF('I_Budget Input Data'!$E$104="Back-loaded",IF(11&lt;='I_Inputs &amp; Assumptions'!$B$8/2,'I_Budget Input Data'!$D$104*0.4/('I_Inputs &amp; Assumptions'!$B$8/2),'I_Budget Input Data'!$D$104*0.6/('I_Inputs &amp; Assumptions'!$B$8/2)),IF('I_Budget Input Data'!$E$104="Mid-weighted",IF(11&lt;='I_Inputs &amp; Assumptions'!$B$8/4,'I_Budget Input Data'!$D$104*0.2/('I_Inputs &amp; Assumptions'!$B$8/4),IF(11&lt;='I_Inputs &amp; Assumptions'!$B$8*0.75,'I_Budget Input Data'!$D$104*0.6/('I_Inputs &amp; Assumptions'!$B$8/2),'I_Budget Input Data'!$D$104*0.2/('I_Inputs &amp; Assumptions'!$B$8/4))),IF('I_Budget Input Data'!$E$104="At Completion",IF(11='I_Inputs &amp; Assumptions'!$B$8,'I_Budget Input Data'!$D$104,0),'I_Budget Input Data'!$D$104/'I_Inputs &amp; Assumptions'!$B$8)))))),0)</f>
        <v>12123.076923076924</v>
      </c>
      <c r="N104" s="91">
        <f>IF(12&lt;='I_Inputs &amp; Assumptions'!$B$8,IF('I_Budget Input Data'!$E$104="Upfront",IF(12=1,'I_Budget Input Data'!$D$104,0),IF('I_Budget Input Data'!$E$104="Equal",'I_Budget Input Data'!$D$104/'I_Inputs &amp; Assumptions'!$B$8,IF('I_Budget Input Data'!$E$104="Front-loaded",IF(12&lt;='I_Inputs &amp; Assumptions'!$B$8/2,'I_Budget Input Data'!$D$104*0.6/('I_Inputs &amp; Assumptions'!$B$8/2),'I_Budget Input Data'!$D$104*0.4/('I_Inputs &amp; Assumptions'!$B$8/2)),IF('I_Budget Input Data'!$E$104="Back-loaded",IF(12&lt;='I_Inputs &amp; Assumptions'!$B$8/2,'I_Budget Input Data'!$D$104*0.4/('I_Inputs &amp; Assumptions'!$B$8/2),'I_Budget Input Data'!$D$104*0.6/('I_Inputs &amp; Assumptions'!$B$8/2)),IF('I_Budget Input Data'!$E$104="Mid-weighted",IF(12&lt;='I_Inputs &amp; Assumptions'!$B$8/4,'I_Budget Input Data'!$D$104*0.2/('I_Inputs &amp; Assumptions'!$B$8/4),IF(12&lt;='I_Inputs &amp; Assumptions'!$B$8*0.75,'I_Budget Input Data'!$D$104*0.6/('I_Inputs &amp; Assumptions'!$B$8/2),'I_Budget Input Data'!$D$104*0.2/('I_Inputs &amp; Assumptions'!$B$8/4))),IF('I_Budget Input Data'!$E$104="At Completion",IF(12='I_Inputs &amp; Assumptions'!$B$8,'I_Budget Input Data'!$D$104,0),'I_Budget Input Data'!$D$104/'I_Inputs &amp; Assumptions'!$B$8)))))),0)</f>
        <v>12123.076923076924</v>
      </c>
      <c r="O104" s="91">
        <f>IF(13&lt;='I_Inputs &amp; Assumptions'!$B$8,IF('I_Budget Input Data'!$E$104="Upfront",IF(13=1,'I_Budget Input Data'!$D$104,0),IF('I_Budget Input Data'!$E$104="Equal",'I_Budget Input Data'!$D$104/'I_Inputs &amp; Assumptions'!$B$8,IF('I_Budget Input Data'!$E$104="Front-loaded",IF(13&lt;='I_Inputs &amp; Assumptions'!$B$8/2,'I_Budget Input Data'!$D$104*0.6/('I_Inputs &amp; Assumptions'!$B$8/2),'I_Budget Input Data'!$D$104*0.4/('I_Inputs &amp; Assumptions'!$B$8/2)),IF('I_Budget Input Data'!$E$104="Back-loaded",IF(13&lt;='I_Inputs &amp; Assumptions'!$B$8/2,'I_Budget Input Data'!$D$104*0.4/('I_Inputs &amp; Assumptions'!$B$8/2),'I_Budget Input Data'!$D$104*0.6/('I_Inputs &amp; Assumptions'!$B$8/2)),IF('I_Budget Input Data'!$E$104="Mid-weighted",IF(13&lt;='I_Inputs &amp; Assumptions'!$B$8/4,'I_Budget Input Data'!$D$104*0.2/('I_Inputs &amp; Assumptions'!$B$8/4),IF(13&lt;='I_Inputs &amp; Assumptions'!$B$8*0.75,'I_Budget Input Data'!$D$104*0.6/('I_Inputs &amp; Assumptions'!$B$8/2),'I_Budget Input Data'!$D$104*0.2/('I_Inputs &amp; Assumptions'!$B$8/4))),IF('I_Budget Input Data'!$E$104="At Completion",IF(13='I_Inputs &amp; Assumptions'!$B$8,'I_Budget Input Data'!$D$104,0),'I_Budget Input Data'!$D$104/'I_Inputs &amp; Assumptions'!$B$8)))))),0)</f>
        <v>12123.076923076924</v>
      </c>
      <c r="P104" s="91">
        <f>IF(14&lt;='I_Inputs &amp; Assumptions'!$B$8,IF('I_Budget Input Data'!$E$104="Upfront",IF(14=1,'I_Budget Input Data'!$D$104,0),IF('I_Budget Input Data'!$E$104="Equal",'I_Budget Input Data'!$D$104/'I_Inputs &amp; Assumptions'!$B$8,IF('I_Budget Input Data'!$E$104="Front-loaded",IF(14&lt;='I_Inputs &amp; Assumptions'!$B$8/2,'I_Budget Input Data'!$D$104*0.6/('I_Inputs &amp; Assumptions'!$B$8/2),'I_Budget Input Data'!$D$104*0.4/('I_Inputs &amp; Assumptions'!$B$8/2)),IF('I_Budget Input Data'!$E$104="Back-loaded",IF(14&lt;='I_Inputs &amp; Assumptions'!$B$8/2,'I_Budget Input Data'!$D$104*0.4/('I_Inputs &amp; Assumptions'!$B$8/2),'I_Budget Input Data'!$D$104*0.6/('I_Inputs &amp; Assumptions'!$B$8/2)),IF('I_Budget Input Data'!$E$104="Mid-weighted",IF(14&lt;='I_Inputs &amp; Assumptions'!$B$8/4,'I_Budget Input Data'!$D$104*0.2/('I_Inputs &amp; Assumptions'!$B$8/4),IF(14&lt;='I_Inputs &amp; Assumptions'!$B$8*0.75,'I_Budget Input Data'!$D$104*0.6/('I_Inputs &amp; Assumptions'!$B$8/2),'I_Budget Input Data'!$D$104*0.2/('I_Inputs &amp; Assumptions'!$B$8/4))),IF('I_Budget Input Data'!$E$104="At Completion",IF(14='I_Inputs &amp; Assumptions'!$B$8,'I_Budget Input Data'!$D$104,0),'I_Budget Input Data'!$D$104/'I_Inputs &amp; Assumptions'!$B$8)))))),0)</f>
        <v>0</v>
      </c>
      <c r="Q104" s="91">
        <f>IF(15&lt;='I_Inputs &amp; Assumptions'!$B$8,IF('I_Budget Input Data'!$E$104="Upfront",IF(15=1,'I_Budget Input Data'!$D$104,0),IF('I_Budget Input Data'!$E$104="Equal",'I_Budget Input Data'!$D$104/'I_Inputs &amp; Assumptions'!$B$8,IF('I_Budget Input Data'!$E$104="Front-loaded",IF(15&lt;='I_Inputs &amp; Assumptions'!$B$8/2,'I_Budget Input Data'!$D$104*0.6/('I_Inputs &amp; Assumptions'!$B$8/2),'I_Budget Input Data'!$D$104*0.4/('I_Inputs &amp; Assumptions'!$B$8/2)),IF('I_Budget Input Data'!$E$104="Back-loaded",IF(15&lt;='I_Inputs &amp; Assumptions'!$B$8/2,'I_Budget Input Data'!$D$104*0.4/('I_Inputs &amp; Assumptions'!$B$8/2),'I_Budget Input Data'!$D$104*0.6/('I_Inputs &amp; Assumptions'!$B$8/2)),IF('I_Budget Input Data'!$E$104="Mid-weighted",IF(15&lt;='I_Inputs &amp; Assumptions'!$B$8/4,'I_Budget Input Data'!$D$104*0.2/('I_Inputs &amp; Assumptions'!$B$8/4),IF(15&lt;='I_Inputs &amp; Assumptions'!$B$8*0.75,'I_Budget Input Data'!$D$104*0.6/('I_Inputs &amp; Assumptions'!$B$8/2),'I_Budget Input Data'!$D$104*0.2/('I_Inputs &amp; Assumptions'!$B$8/4))),IF('I_Budget Input Data'!$E$104="At Completion",IF(15='I_Inputs &amp; Assumptions'!$B$8,'I_Budget Input Data'!$D$104,0),'I_Budget Input Data'!$D$104/'I_Inputs &amp; Assumptions'!$B$8)))))),0)</f>
        <v>0</v>
      </c>
      <c r="R104" s="91">
        <f>IF(16&lt;='I_Inputs &amp; Assumptions'!$B$8,IF('I_Budget Input Data'!$E$104="Upfront",IF(16=1,'I_Budget Input Data'!$D$104,0),IF('I_Budget Input Data'!$E$104="Equal",'I_Budget Input Data'!$D$104/'I_Inputs &amp; Assumptions'!$B$8,IF('I_Budget Input Data'!$E$104="Front-loaded",IF(16&lt;='I_Inputs &amp; Assumptions'!$B$8/2,'I_Budget Input Data'!$D$104*0.6/('I_Inputs &amp; Assumptions'!$B$8/2),'I_Budget Input Data'!$D$104*0.4/('I_Inputs &amp; Assumptions'!$B$8/2)),IF('I_Budget Input Data'!$E$104="Back-loaded",IF(16&lt;='I_Inputs &amp; Assumptions'!$B$8/2,'I_Budget Input Data'!$D$104*0.4/('I_Inputs &amp; Assumptions'!$B$8/2),'I_Budget Input Data'!$D$104*0.6/('I_Inputs &amp; Assumptions'!$B$8/2)),IF('I_Budget Input Data'!$E$104="Mid-weighted",IF(16&lt;='I_Inputs &amp; Assumptions'!$B$8/4,'I_Budget Input Data'!$D$104*0.2/('I_Inputs &amp; Assumptions'!$B$8/4),IF(16&lt;='I_Inputs &amp; Assumptions'!$B$8*0.75,'I_Budget Input Data'!$D$104*0.6/('I_Inputs &amp; Assumptions'!$B$8/2),'I_Budget Input Data'!$D$104*0.2/('I_Inputs &amp; Assumptions'!$B$8/4))),IF('I_Budget Input Data'!$E$104="At Completion",IF(16='I_Inputs &amp; Assumptions'!$B$8,'I_Budget Input Data'!$D$104,0),'I_Budget Input Data'!$D$104/'I_Inputs &amp; Assumptions'!$B$8)))))),0)</f>
        <v>0</v>
      </c>
      <c r="S104" s="91">
        <f>IF(17&lt;='I_Inputs &amp; Assumptions'!$B$8,IF('I_Budget Input Data'!$E$104="Upfront",IF(17=1,'I_Budget Input Data'!$D$104,0),IF('I_Budget Input Data'!$E$104="Equal",'I_Budget Input Data'!$D$104/'I_Inputs &amp; Assumptions'!$B$8,IF('I_Budget Input Data'!$E$104="Front-loaded",IF(17&lt;='I_Inputs &amp; Assumptions'!$B$8/2,'I_Budget Input Data'!$D$104*0.6/('I_Inputs &amp; Assumptions'!$B$8/2),'I_Budget Input Data'!$D$104*0.4/('I_Inputs &amp; Assumptions'!$B$8/2)),IF('I_Budget Input Data'!$E$104="Back-loaded",IF(17&lt;='I_Inputs &amp; Assumptions'!$B$8/2,'I_Budget Input Data'!$D$104*0.4/('I_Inputs &amp; Assumptions'!$B$8/2),'I_Budget Input Data'!$D$104*0.6/('I_Inputs &amp; Assumptions'!$B$8/2)),IF('I_Budget Input Data'!$E$104="Mid-weighted",IF(17&lt;='I_Inputs &amp; Assumptions'!$B$8/4,'I_Budget Input Data'!$D$104*0.2/('I_Inputs &amp; Assumptions'!$B$8/4),IF(17&lt;='I_Inputs &amp; Assumptions'!$B$8*0.75,'I_Budget Input Data'!$D$104*0.6/('I_Inputs &amp; Assumptions'!$B$8/2),'I_Budget Input Data'!$D$104*0.2/('I_Inputs &amp; Assumptions'!$B$8/4))),IF('I_Budget Input Data'!$E$104="At Completion",IF(17='I_Inputs &amp; Assumptions'!$B$8,'I_Budget Input Data'!$D$104,0),'I_Budget Input Data'!$D$104/'I_Inputs &amp; Assumptions'!$B$8)))))),0)</f>
        <v>0</v>
      </c>
      <c r="T104" s="91">
        <f>IF(18&lt;='I_Inputs &amp; Assumptions'!$B$8,IF('I_Budget Input Data'!$E$104="Upfront",IF(18=1,'I_Budget Input Data'!$D$104,0),IF('I_Budget Input Data'!$E$104="Equal",'I_Budget Input Data'!$D$104/'I_Inputs &amp; Assumptions'!$B$8,IF('I_Budget Input Data'!$E$104="Front-loaded",IF(18&lt;='I_Inputs &amp; Assumptions'!$B$8/2,'I_Budget Input Data'!$D$104*0.6/('I_Inputs &amp; Assumptions'!$B$8/2),'I_Budget Input Data'!$D$104*0.4/('I_Inputs &amp; Assumptions'!$B$8/2)),IF('I_Budget Input Data'!$E$104="Back-loaded",IF(18&lt;='I_Inputs &amp; Assumptions'!$B$8/2,'I_Budget Input Data'!$D$104*0.4/('I_Inputs &amp; Assumptions'!$B$8/2),'I_Budget Input Data'!$D$104*0.6/('I_Inputs &amp; Assumptions'!$B$8/2)),IF('I_Budget Input Data'!$E$104="Mid-weighted",IF(18&lt;='I_Inputs &amp; Assumptions'!$B$8/4,'I_Budget Input Data'!$D$104*0.2/('I_Inputs &amp; Assumptions'!$B$8/4),IF(18&lt;='I_Inputs &amp; Assumptions'!$B$8*0.75,'I_Budget Input Data'!$D$104*0.6/('I_Inputs &amp; Assumptions'!$B$8/2),'I_Budget Input Data'!$D$104*0.2/('I_Inputs &amp; Assumptions'!$B$8/4))),IF('I_Budget Input Data'!$E$104="At Completion",IF(18='I_Inputs &amp; Assumptions'!$B$8,'I_Budget Input Data'!$D$104,0),'I_Budget Input Data'!$D$104/'I_Inputs &amp; Assumptions'!$B$8)))))),0)</f>
        <v>0</v>
      </c>
      <c r="U104" s="91">
        <f>IF(19&lt;='I_Inputs &amp; Assumptions'!$B$8,IF('I_Budget Input Data'!$E$104="Upfront",IF(19=1,'I_Budget Input Data'!$D$104,0),IF('I_Budget Input Data'!$E$104="Equal",'I_Budget Input Data'!$D$104/'I_Inputs &amp; Assumptions'!$B$8,IF('I_Budget Input Data'!$E$104="Front-loaded",IF(19&lt;='I_Inputs &amp; Assumptions'!$B$8/2,'I_Budget Input Data'!$D$104*0.6/('I_Inputs &amp; Assumptions'!$B$8/2),'I_Budget Input Data'!$D$104*0.4/('I_Inputs &amp; Assumptions'!$B$8/2)),IF('I_Budget Input Data'!$E$104="Back-loaded",IF(19&lt;='I_Inputs &amp; Assumptions'!$B$8/2,'I_Budget Input Data'!$D$104*0.4/('I_Inputs &amp; Assumptions'!$B$8/2),'I_Budget Input Data'!$D$104*0.6/('I_Inputs &amp; Assumptions'!$B$8/2)),IF('I_Budget Input Data'!$E$104="Mid-weighted",IF(19&lt;='I_Inputs &amp; Assumptions'!$B$8/4,'I_Budget Input Data'!$D$104*0.2/('I_Inputs &amp; Assumptions'!$B$8/4),IF(19&lt;='I_Inputs &amp; Assumptions'!$B$8*0.75,'I_Budget Input Data'!$D$104*0.6/('I_Inputs &amp; Assumptions'!$B$8/2),'I_Budget Input Data'!$D$104*0.2/('I_Inputs &amp; Assumptions'!$B$8/4))),IF('I_Budget Input Data'!$E$104="At Completion",IF(19='I_Inputs &amp; Assumptions'!$B$8,'I_Budget Input Data'!$D$104,0),'I_Budget Input Data'!$D$104/'I_Inputs &amp; Assumptions'!$B$8)))))),0)</f>
        <v>0</v>
      </c>
      <c r="V104" s="91">
        <f>IF(20&lt;='I_Inputs &amp; Assumptions'!$B$8,IF('I_Budget Input Data'!$E$104="Upfront",IF(20=1,'I_Budget Input Data'!$D$104,0),IF('I_Budget Input Data'!$E$104="Equal",'I_Budget Input Data'!$D$104/'I_Inputs &amp; Assumptions'!$B$8,IF('I_Budget Input Data'!$E$104="Front-loaded",IF(20&lt;='I_Inputs &amp; Assumptions'!$B$8/2,'I_Budget Input Data'!$D$104*0.6/('I_Inputs &amp; Assumptions'!$B$8/2),'I_Budget Input Data'!$D$104*0.4/('I_Inputs &amp; Assumptions'!$B$8/2)),IF('I_Budget Input Data'!$E$104="Back-loaded",IF(20&lt;='I_Inputs &amp; Assumptions'!$B$8/2,'I_Budget Input Data'!$D$104*0.4/('I_Inputs &amp; Assumptions'!$B$8/2),'I_Budget Input Data'!$D$104*0.6/('I_Inputs &amp; Assumptions'!$B$8/2)),IF('I_Budget Input Data'!$E$104="Mid-weighted",IF(20&lt;='I_Inputs &amp; Assumptions'!$B$8/4,'I_Budget Input Data'!$D$104*0.2/('I_Inputs &amp; Assumptions'!$B$8/4),IF(20&lt;='I_Inputs &amp; Assumptions'!$B$8*0.75,'I_Budget Input Data'!$D$104*0.6/('I_Inputs &amp; Assumptions'!$B$8/2),'I_Budget Input Data'!$D$104*0.2/('I_Inputs &amp; Assumptions'!$B$8/4))),IF('I_Budget Input Data'!$E$104="At Completion",IF(20='I_Inputs &amp; Assumptions'!$B$8,'I_Budget Input Data'!$D$104,0),'I_Budget Input Data'!$D$104/'I_Inputs &amp; Assumptions'!$B$8)))))),0)</f>
        <v>0</v>
      </c>
      <c r="W104" s="91">
        <f>IF(21&lt;='I_Inputs &amp; Assumptions'!$B$8,IF('I_Budget Input Data'!$E$104="Upfront",IF(21=1,'I_Budget Input Data'!$D$104,0),IF('I_Budget Input Data'!$E$104="Equal",'I_Budget Input Data'!$D$104/'I_Inputs &amp; Assumptions'!$B$8,IF('I_Budget Input Data'!$E$104="Front-loaded",IF(21&lt;='I_Inputs &amp; Assumptions'!$B$8/2,'I_Budget Input Data'!$D$104*0.6/('I_Inputs &amp; Assumptions'!$B$8/2),'I_Budget Input Data'!$D$104*0.4/('I_Inputs &amp; Assumptions'!$B$8/2)),IF('I_Budget Input Data'!$E$104="Back-loaded",IF(21&lt;='I_Inputs &amp; Assumptions'!$B$8/2,'I_Budget Input Data'!$D$104*0.4/('I_Inputs &amp; Assumptions'!$B$8/2),'I_Budget Input Data'!$D$104*0.6/('I_Inputs &amp; Assumptions'!$B$8/2)),IF('I_Budget Input Data'!$E$104="Mid-weighted",IF(21&lt;='I_Inputs &amp; Assumptions'!$B$8/4,'I_Budget Input Data'!$D$104*0.2/('I_Inputs &amp; Assumptions'!$B$8/4),IF(21&lt;='I_Inputs &amp; Assumptions'!$B$8*0.75,'I_Budget Input Data'!$D$104*0.6/('I_Inputs &amp; Assumptions'!$B$8/2),'I_Budget Input Data'!$D$104*0.2/('I_Inputs &amp; Assumptions'!$B$8/4))),IF('I_Budget Input Data'!$E$104="At Completion",IF(21='I_Inputs &amp; Assumptions'!$B$8,'I_Budget Input Data'!$D$104,0),'I_Budget Input Data'!$D$104/'I_Inputs &amp; Assumptions'!$B$8)))))),0)</f>
        <v>0</v>
      </c>
      <c r="X104" s="91">
        <f>IF(22&lt;='I_Inputs &amp; Assumptions'!$B$8,IF('I_Budget Input Data'!$E$104="Upfront",IF(22=1,'I_Budget Input Data'!$D$104,0),IF('I_Budget Input Data'!$E$104="Equal",'I_Budget Input Data'!$D$104/'I_Inputs &amp; Assumptions'!$B$8,IF('I_Budget Input Data'!$E$104="Front-loaded",IF(22&lt;='I_Inputs &amp; Assumptions'!$B$8/2,'I_Budget Input Data'!$D$104*0.6/('I_Inputs &amp; Assumptions'!$B$8/2),'I_Budget Input Data'!$D$104*0.4/('I_Inputs &amp; Assumptions'!$B$8/2)),IF('I_Budget Input Data'!$E$104="Back-loaded",IF(22&lt;='I_Inputs &amp; Assumptions'!$B$8/2,'I_Budget Input Data'!$D$104*0.4/('I_Inputs &amp; Assumptions'!$B$8/2),'I_Budget Input Data'!$D$104*0.6/('I_Inputs &amp; Assumptions'!$B$8/2)),IF('I_Budget Input Data'!$E$104="Mid-weighted",IF(22&lt;='I_Inputs &amp; Assumptions'!$B$8/4,'I_Budget Input Data'!$D$104*0.2/('I_Inputs &amp; Assumptions'!$B$8/4),IF(22&lt;='I_Inputs &amp; Assumptions'!$B$8*0.75,'I_Budget Input Data'!$D$104*0.6/('I_Inputs &amp; Assumptions'!$B$8/2),'I_Budget Input Data'!$D$104*0.2/('I_Inputs &amp; Assumptions'!$B$8/4))),IF('I_Budget Input Data'!$E$104="At Completion",IF(22='I_Inputs &amp; Assumptions'!$B$8,'I_Budget Input Data'!$D$104,0),'I_Budget Input Data'!$D$104/'I_Inputs &amp; Assumptions'!$B$8)))))),0)</f>
        <v>0</v>
      </c>
      <c r="Y104" s="91">
        <f>IF(23&lt;='I_Inputs &amp; Assumptions'!$B$8,IF('I_Budget Input Data'!$E$104="Upfront",IF(23=1,'I_Budget Input Data'!$D$104,0),IF('I_Budget Input Data'!$E$104="Equal",'I_Budget Input Data'!$D$104/'I_Inputs &amp; Assumptions'!$B$8,IF('I_Budget Input Data'!$E$104="Front-loaded",IF(23&lt;='I_Inputs &amp; Assumptions'!$B$8/2,'I_Budget Input Data'!$D$104*0.6/('I_Inputs &amp; Assumptions'!$B$8/2),'I_Budget Input Data'!$D$104*0.4/('I_Inputs &amp; Assumptions'!$B$8/2)),IF('I_Budget Input Data'!$E$104="Back-loaded",IF(23&lt;='I_Inputs &amp; Assumptions'!$B$8/2,'I_Budget Input Data'!$D$104*0.4/('I_Inputs &amp; Assumptions'!$B$8/2),'I_Budget Input Data'!$D$104*0.6/('I_Inputs &amp; Assumptions'!$B$8/2)),IF('I_Budget Input Data'!$E$104="Mid-weighted",IF(23&lt;='I_Inputs &amp; Assumptions'!$B$8/4,'I_Budget Input Data'!$D$104*0.2/('I_Inputs &amp; Assumptions'!$B$8/4),IF(23&lt;='I_Inputs &amp; Assumptions'!$B$8*0.75,'I_Budget Input Data'!$D$104*0.6/('I_Inputs &amp; Assumptions'!$B$8/2),'I_Budget Input Data'!$D$104*0.2/('I_Inputs &amp; Assumptions'!$B$8/4))),IF('I_Budget Input Data'!$E$104="At Completion",IF(23='I_Inputs &amp; Assumptions'!$B$8,'I_Budget Input Data'!$D$104,0),'I_Budget Input Data'!$D$104/'I_Inputs &amp; Assumptions'!$B$8)))))),0)</f>
        <v>0</v>
      </c>
      <c r="Z104" s="91">
        <f>IF(24&lt;='I_Inputs &amp; Assumptions'!$B$8,IF('I_Budget Input Data'!$E$104="Upfront",IF(24=1,'I_Budget Input Data'!$D$104,0),IF('I_Budget Input Data'!$E$104="Equal",'I_Budget Input Data'!$D$104/'I_Inputs &amp; Assumptions'!$B$8,IF('I_Budget Input Data'!$E$104="Front-loaded",IF(24&lt;='I_Inputs &amp; Assumptions'!$B$8/2,'I_Budget Input Data'!$D$104*0.6/('I_Inputs &amp; Assumptions'!$B$8/2),'I_Budget Input Data'!$D$104*0.4/('I_Inputs &amp; Assumptions'!$B$8/2)),IF('I_Budget Input Data'!$E$104="Back-loaded",IF(24&lt;='I_Inputs &amp; Assumptions'!$B$8/2,'I_Budget Input Data'!$D$104*0.4/('I_Inputs &amp; Assumptions'!$B$8/2),'I_Budget Input Data'!$D$104*0.6/('I_Inputs &amp; Assumptions'!$B$8/2)),IF('I_Budget Input Data'!$E$104="Mid-weighted",IF(24&lt;='I_Inputs &amp; Assumptions'!$B$8/4,'I_Budget Input Data'!$D$104*0.2/('I_Inputs &amp; Assumptions'!$B$8/4),IF(24&lt;='I_Inputs &amp; Assumptions'!$B$8*0.75,'I_Budget Input Data'!$D$104*0.6/('I_Inputs &amp; Assumptions'!$B$8/2),'I_Budget Input Data'!$D$104*0.2/('I_Inputs &amp; Assumptions'!$B$8/4))),IF('I_Budget Input Data'!$E$104="At Completion",IF(24='I_Inputs &amp; Assumptions'!$B$8,'I_Budget Input Data'!$D$104,0),'I_Budget Input Data'!$D$104/'I_Inputs &amp; Assumptions'!$B$8)))))),0)</f>
        <v>0</v>
      </c>
      <c r="AA104" s="91">
        <f>IF(25&lt;='I_Inputs &amp; Assumptions'!$B$8,IF('I_Budget Input Data'!$E$104="Upfront",IF(25=1,'I_Budget Input Data'!$D$104,0),IF('I_Budget Input Data'!$E$104="Equal",'I_Budget Input Data'!$D$104/'I_Inputs &amp; Assumptions'!$B$8,IF('I_Budget Input Data'!$E$104="Front-loaded",IF(25&lt;='I_Inputs &amp; Assumptions'!$B$8/2,'I_Budget Input Data'!$D$104*0.6/('I_Inputs &amp; Assumptions'!$B$8/2),'I_Budget Input Data'!$D$104*0.4/('I_Inputs &amp; Assumptions'!$B$8/2)),IF('I_Budget Input Data'!$E$104="Back-loaded",IF(25&lt;='I_Inputs &amp; Assumptions'!$B$8/2,'I_Budget Input Data'!$D$104*0.4/('I_Inputs &amp; Assumptions'!$B$8/2),'I_Budget Input Data'!$D$104*0.6/('I_Inputs &amp; Assumptions'!$B$8/2)),IF('I_Budget Input Data'!$E$104="Mid-weighted",IF(25&lt;='I_Inputs &amp; Assumptions'!$B$8/4,'I_Budget Input Data'!$D$104*0.2/('I_Inputs &amp; Assumptions'!$B$8/4),IF(25&lt;='I_Inputs &amp; Assumptions'!$B$8*0.75,'I_Budget Input Data'!$D$104*0.6/('I_Inputs &amp; Assumptions'!$B$8/2),'I_Budget Input Data'!$D$104*0.2/('I_Inputs &amp; Assumptions'!$B$8/4))),IF('I_Budget Input Data'!$E$104="At Completion",IF(25='I_Inputs &amp; Assumptions'!$B$8,'I_Budget Input Data'!$D$104,0),'I_Budget Input Data'!$D$104/'I_Inputs &amp; Assumptions'!$B$8)))))),0)</f>
        <v>0</v>
      </c>
      <c r="AB104" s="91">
        <f>IF(26&lt;='I_Inputs &amp; Assumptions'!$B$8,IF('I_Budget Input Data'!$E$104="Upfront",IF(26=1,'I_Budget Input Data'!$D$104,0),IF('I_Budget Input Data'!$E$104="Equal",'I_Budget Input Data'!$D$104/'I_Inputs &amp; Assumptions'!$B$8,IF('I_Budget Input Data'!$E$104="Front-loaded",IF(26&lt;='I_Inputs &amp; Assumptions'!$B$8/2,'I_Budget Input Data'!$D$104*0.6/('I_Inputs &amp; Assumptions'!$B$8/2),'I_Budget Input Data'!$D$104*0.4/('I_Inputs &amp; Assumptions'!$B$8/2)),IF('I_Budget Input Data'!$E$104="Back-loaded",IF(26&lt;='I_Inputs &amp; Assumptions'!$B$8/2,'I_Budget Input Data'!$D$104*0.4/('I_Inputs &amp; Assumptions'!$B$8/2),'I_Budget Input Data'!$D$104*0.6/('I_Inputs &amp; Assumptions'!$B$8/2)),IF('I_Budget Input Data'!$E$104="Mid-weighted",IF(26&lt;='I_Inputs &amp; Assumptions'!$B$8/4,'I_Budget Input Data'!$D$104*0.2/('I_Inputs &amp; Assumptions'!$B$8/4),IF(26&lt;='I_Inputs &amp; Assumptions'!$B$8*0.75,'I_Budget Input Data'!$D$104*0.6/('I_Inputs &amp; Assumptions'!$B$8/2),'I_Budget Input Data'!$D$104*0.2/('I_Inputs &amp; Assumptions'!$B$8/4))),IF('I_Budget Input Data'!$E$104="At Completion",IF(26='I_Inputs &amp; Assumptions'!$B$8,'I_Budget Input Data'!$D$104,0),'I_Budget Input Data'!$D$104/'I_Inputs &amp; Assumptions'!$B$8)))))),0)</f>
        <v>0</v>
      </c>
      <c r="AC104" s="91">
        <f>IF(27&lt;='I_Inputs &amp; Assumptions'!$B$8,IF('I_Budget Input Data'!$E$104="Upfront",IF(27=1,'I_Budget Input Data'!$D$104,0),IF('I_Budget Input Data'!$E$104="Equal",'I_Budget Input Data'!$D$104/'I_Inputs &amp; Assumptions'!$B$8,IF('I_Budget Input Data'!$E$104="Front-loaded",IF(27&lt;='I_Inputs &amp; Assumptions'!$B$8/2,'I_Budget Input Data'!$D$104*0.6/('I_Inputs &amp; Assumptions'!$B$8/2),'I_Budget Input Data'!$D$104*0.4/('I_Inputs &amp; Assumptions'!$B$8/2)),IF('I_Budget Input Data'!$E$104="Back-loaded",IF(27&lt;='I_Inputs &amp; Assumptions'!$B$8/2,'I_Budget Input Data'!$D$104*0.4/('I_Inputs &amp; Assumptions'!$B$8/2),'I_Budget Input Data'!$D$104*0.6/('I_Inputs &amp; Assumptions'!$B$8/2)),IF('I_Budget Input Data'!$E$104="Mid-weighted",IF(27&lt;='I_Inputs &amp; Assumptions'!$B$8/4,'I_Budget Input Data'!$D$104*0.2/('I_Inputs &amp; Assumptions'!$B$8/4),IF(27&lt;='I_Inputs &amp; Assumptions'!$B$8*0.75,'I_Budget Input Data'!$D$104*0.6/('I_Inputs &amp; Assumptions'!$B$8/2),'I_Budget Input Data'!$D$104*0.2/('I_Inputs &amp; Assumptions'!$B$8/4))),IF('I_Budget Input Data'!$E$104="At Completion",IF(27='I_Inputs &amp; Assumptions'!$B$8,'I_Budget Input Data'!$D$104,0),'I_Budget Input Data'!$D$104/'I_Inputs &amp; Assumptions'!$B$8)))))),0)</f>
        <v>0</v>
      </c>
      <c r="AD104" s="91">
        <f>IF(28&lt;='I_Inputs &amp; Assumptions'!$B$8,IF('I_Budget Input Data'!$E$104="Upfront",IF(28=1,'I_Budget Input Data'!$D$104,0),IF('I_Budget Input Data'!$E$104="Equal",'I_Budget Input Data'!$D$104/'I_Inputs &amp; Assumptions'!$B$8,IF('I_Budget Input Data'!$E$104="Front-loaded",IF(28&lt;='I_Inputs &amp; Assumptions'!$B$8/2,'I_Budget Input Data'!$D$104*0.6/('I_Inputs &amp; Assumptions'!$B$8/2),'I_Budget Input Data'!$D$104*0.4/('I_Inputs &amp; Assumptions'!$B$8/2)),IF('I_Budget Input Data'!$E$104="Back-loaded",IF(28&lt;='I_Inputs &amp; Assumptions'!$B$8/2,'I_Budget Input Data'!$D$104*0.4/('I_Inputs &amp; Assumptions'!$B$8/2),'I_Budget Input Data'!$D$104*0.6/('I_Inputs &amp; Assumptions'!$B$8/2)),IF('I_Budget Input Data'!$E$104="Mid-weighted",IF(28&lt;='I_Inputs &amp; Assumptions'!$B$8/4,'I_Budget Input Data'!$D$104*0.2/('I_Inputs &amp; Assumptions'!$B$8/4),IF(28&lt;='I_Inputs &amp; Assumptions'!$B$8*0.75,'I_Budget Input Data'!$D$104*0.6/('I_Inputs &amp; Assumptions'!$B$8/2),'I_Budget Input Data'!$D$104*0.2/('I_Inputs &amp; Assumptions'!$B$8/4))),IF('I_Budget Input Data'!$E$104="At Completion",IF(28='I_Inputs &amp; Assumptions'!$B$8,'I_Budget Input Data'!$D$104,0),'I_Budget Input Data'!$D$104/'I_Inputs &amp; Assumptions'!$B$8)))))),0)</f>
        <v>0</v>
      </c>
      <c r="AE104" s="91">
        <f>IF(29&lt;='I_Inputs &amp; Assumptions'!$B$8,IF('I_Budget Input Data'!$E$104="Upfront",IF(29=1,'I_Budget Input Data'!$D$104,0),IF('I_Budget Input Data'!$E$104="Equal",'I_Budget Input Data'!$D$104/'I_Inputs &amp; Assumptions'!$B$8,IF('I_Budget Input Data'!$E$104="Front-loaded",IF(29&lt;='I_Inputs &amp; Assumptions'!$B$8/2,'I_Budget Input Data'!$D$104*0.6/('I_Inputs &amp; Assumptions'!$B$8/2),'I_Budget Input Data'!$D$104*0.4/('I_Inputs &amp; Assumptions'!$B$8/2)),IF('I_Budget Input Data'!$E$104="Back-loaded",IF(29&lt;='I_Inputs &amp; Assumptions'!$B$8/2,'I_Budget Input Data'!$D$104*0.4/('I_Inputs &amp; Assumptions'!$B$8/2),'I_Budget Input Data'!$D$104*0.6/('I_Inputs &amp; Assumptions'!$B$8/2)),IF('I_Budget Input Data'!$E$104="Mid-weighted",IF(29&lt;='I_Inputs &amp; Assumptions'!$B$8/4,'I_Budget Input Data'!$D$104*0.2/('I_Inputs &amp; Assumptions'!$B$8/4),IF(29&lt;='I_Inputs &amp; Assumptions'!$B$8*0.75,'I_Budget Input Data'!$D$104*0.6/('I_Inputs &amp; Assumptions'!$B$8/2),'I_Budget Input Data'!$D$104*0.2/('I_Inputs &amp; Assumptions'!$B$8/4))),IF('I_Budget Input Data'!$E$104="At Completion",IF(29='I_Inputs &amp; Assumptions'!$B$8,'I_Budget Input Data'!$D$104,0),'I_Budget Input Data'!$D$104/'I_Inputs &amp; Assumptions'!$B$8)))))),0)</f>
        <v>0</v>
      </c>
      <c r="AF104" s="91">
        <f>IF(30&lt;='I_Inputs &amp; Assumptions'!$B$8,IF('I_Budget Input Data'!$E$104="Upfront",IF(30=1,'I_Budget Input Data'!$D$104,0),IF('I_Budget Input Data'!$E$104="Equal",'I_Budget Input Data'!$D$104/'I_Inputs &amp; Assumptions'!$B$8,IF('I_Budget Input Data'!$E$104="Front-loaded",IF(30&lt;='I_Inputs &amp; Assumptions'!$B$8/2,'I_Budget Input Data'!$D$104*0.6/('I_Inputs &amp; Assumptions'!$B$8/2),'I_Budget Input Data'!$D$104*0.4/('I_Inputs &amp; Assumptions'!$B$8/2)),IF('I_Budget Input Data'!$E$104="Back-loaded",IF(30&lt;='I_Inputs &amp; Assumptions'!$B$8/2,'I_Budget Input Data'!$D$104*0.4/('I_Inputs &amp; Assumptions'!$B$8/2),'I_Budget Input Data'!$D$104*0.6/('I_Inputs &amp; Assumptions'!$B$8/2)),IF('I_Budget Input Data'!$E$104="Mid-weighted",IF(30&lt;='I_Inputs &amp; Assumptions'!$B$8/4,'I_Budget Input Data'!$D$104*0.2/('I_Inputs &amp; Assumptions'!$B$8/4),IF(30&lt;='I_Inputs &amp; Assumptions'!$B$8*0.75,'I_Budget Input Data'!$D$104*0.6/('I_Inputs &amp; Assumptions'!$B$8/2),'I_Budget Input Data'!$D$104*0.2/('I_Inputs &amp; Assumptions'!$B$8/4))),IF('I_Budget Input Data'!$E$104="At Completion",IF(30='I_Inputs &amp; Assumptions'!$B$8,'I_Budget Input Data'!$D$104,0),'I_Budget Input Data'!$D$104/'I_Inputs &amp; Assumptions'!$B$8)))))),0)</f>
        <v>0</v>
      </c>
      <c r="AG104" s="91">
        <f>IF(31&lt;='I_Inputs &amp; Assumptions'!$B$8,IF('I_Budget Input Data'!$E$104="Upfront",IF(31=1,'I_Budget Input Data'!$D$104,0),IF('I_Budget Input Data'!$E$104="Equal",'I_Budget Input Data'!$D$104/'I_Inputs &amp; Assumptions'!$B$8,IF('I_Budget Input Data'!$E$104="Front-loaded",IF(31&lt;='I_Inputs &amp; Assumptions'!$B$8/2,'I_Budget Input Data'!$D$104*0.6/('I_Inputs &amp; Assumptions'!$B$8/2),'I_Budget Input Data'!$D$104*0.4/('I_Inputs &amp; Assumptions'!$B$8/2)),IF('I_Budget Input Data'!$E$104="Back-loaded",IF(31&lt;='I_Inputs &amp; Assumptions'!$B$8/2,'I_Budget Input Data'!$D$104*0.4/('I_Inputs &amp; Assumptions'!$B$8/2),'I_Budget Input Data'!$D$104*0.6/('I_Inputs &amp; Assumptions'!$B$8/2)),IF('I_Budget Input Data'!$E$104="Mid-weighted",IF(31&lt;='I_Inputs &amp; Assumptions'!$B$8/4,'I_Budget Input Data'!$D$104*0.2/('I_Inputs &amp; Assumptions'!$B$8/4),IF(31&lt;='I_Inputs &amp; Assumptions'!$B$8*0.75,'I_Budget Input Data'!$D$104*0.6/('I_Inputs &amp; Assumptions'!$B$8/2),'I_Budget Input Data'!$D$104*0.2/('I_Inputs &amp; Assumptions'!$B$8/4))),IF('I_Budget Input Data'!$E$104="At Completion",IF(31='I_Inputs &amp; Assumptions'!$B$8,'I_Budget Input Data'!$D$104,0),'I_Budget Input Data'!$D$104/'I_Inputs &amp; Assumptions'!$B$8)))))),0)</f>
        <v>0</v>
      </c>
      <c r="AH104" s="91">
        <f>IF(32&lt;='I_Inputs &amp; Assumptions'!$B$8,IF('I_Budget Input Data'!$E$104="Upfront",IF(32=1,'I_Budget Input Data'!$D$104,0),IF('I_Budget Input Data'!$E$104="Equal",'I_Budget Input Data'!$D$104/'I_Inputs &amp; Assumptions'!$B$8,IF('I_Budget Input Data'!$E$104="Front-loaded",IF(32&lt;='I_Inputs &amp; Assumptions'!$B$8/2,'I_Budget Input Data'!$D$104*0.6/('I_Inputs &amp; Assumptions'!$B$8/2),'I_Budget Input Data'!$D$104*0.4/('I_Inputs &amp; Assumptions'!$B$8/2)),IF('I_Budget Input Data'!$E$104="Back-loaded",IF(32&lt;='I_Inputs &amp; Assumptions'!$B$8/2,'I_Budget Input Data'!$D$104*0.4/('I_Inputs &amp; Assumptions'!$B$8/2),'I_Budget Input Data'!$D$104*0.6/('I_Inputs &amp; Assumptions'!$B$8/2)),IF('I_Budget Input Data'!$E$104="Mid-weighted",IF(32&lt;='I_Inputs &amp; Assumptions'!$B$8/4,'I_Budget Input Data'!$D$104*0.2/('I_Inputs &amp; Assumptions'!$B$8/4),IF(32&lt;='I_Inputs &amp; Assumptions'!$B$8*0.75,'I_Budget Input Data'!$D$104*0.6/('I_Inputs &amp; Assumptions'!$B$8/2),'I_Budget Input Data'!$D$104*0.2/('I_Inputs &amp; Assumptions'!$B$8/4))),IF('I_Budget Input Data'!$E$104="At Completion",IF(32='I_Inputs &amp; Assumptions'!$B$8,'I_Budget Input Data'!$D$104,0),'I_Budget Input Data'!$D$104/'I_Inputs &amp; Assumptions'!$B$8)))))),0)</f>
        <v>0</v>
      </c>
      <c r="AI104" s="91">
        <f>IF(33&lt;='I_Inputs &amp; Assumptions'!$B$8,IF('I_Budget Input Data'!$E$104="Upfront",IF(33=1,'I_Budget Input Data'!$D$104,0),IF('I_Budget Input Data'!$E$104="Equal",'I_Budget Input Data'!$D$104/'I_Inputs &amp; Assumptions'!$B$8,IF('I_Budget Input Data'!$E$104="Front-loaded",IF(33&lt;='I_Inputs &amp; Assumptions'!$B$8/2,'I_Budget Input Data'!$D$104*0.6/('I_Inputs &amp; Assumptions'!$B$8/2),'I_Budget Input Data'!$D$104*0.4/('I_Inputs &amp; Assumptions'!$B$8/2)),IF('I_Budget Input Data'!$E$104="Back-loaded",IF(33&lt;='I_Inputs &amp; Assumptions'!$B$8/2,'I_Budget Input Data'!$D$104*0.4/('I_Inputs &amp; Assumptions'!$B$8/2),'I_Budget Input Data'!$D$104*0.6/('I_Inputs &amp; Assumptions'!$B$8/2)),IF('I_Budget Input Data'!$E$104="Mid-weighted",IF(33&lt;='I_Inputs &amp; Assumptions'!$B$8/4,'I_Budget Input Data'!$D$104*0.2/('I_Inputs &amp; Assumptions'!$B$8/4),IF(33&lt;='I_Inputs &amp; Assumptions'!$B$8*0.75,'I_Budget Input Data'!$D$104*0.6/('I_Inputs &amp; Assumptions'!$B$8/2),'I_Budget Input Data'!$D$104*0.2/('I_Inputs &amp; Assumptions'!$B$8/4))),IF('I_Budget Input Data'!$E$104="At Completion",IF(33='I_Inputs &amp; Assumptions'!$B$8,'I_Budget Input Data'!$D$104,0),'I_Budget Input Data'!$D$104/'I_Inputs &amp; Assumptions'!$B$8)))))),0)</f>
        <v>0</v>
      </c>
      <c r="AJ104" s="91">
        <f>IF(34&lt;='I_Inputs &amp; Assumptions'!$B$8,IF('I_Budget Input Data'!$E$104="Upfront",IF(34=1,'I_Budget Input Data'!$D$104,0),IF('I_Budget Input Data'!$E$104="Equal",'I_Budget Input Data'!$D$104/'I_Inputs &amp; Assumptions'!$B$8,IF('I_Budget Input Data'!$E$104="Front-loaded",IF(34&lt;='I_Inputs &amp; Assumptions'!$B$8/2,'I_Budget Input Data'!$D$104*0.6/('I_Inputs &amp; Assumptions'!$B$8/2),'I_Budget Input Data'!$D$104*0.4/('I_Inputs &amp; Assumptions'!$B$8/2)),IF('I_Budget Input Data'!$E$104="Back-loaded",IF(34&lt;='I_Inputs &amp; Assumptions'!$B$8/2,'I_Budget Input Data'!$D$104*0.4/('I_Inputs &amp; Assumptions'!$B$8/2),'I_Budget Input Data'!$D$104*0.6/('I_Inputs &amp; Assumptions'!$B$8/2)),IF('I_Budget Input Data'!$E$104="Mid-weighted",IF(34&lt;='I_Inputs &amp; Assumptions'!$B$8/4,'I_Budget Input Data'!$D$104*0.2/('I_Inputs &amp; Assumptions'!$B$8/4),IF(34&lt;='I_Inputs &amp; Assumptions'!$B$8*0.75,'I_Budget Input Data'!$D$104*0.6/('I_Inputs &amp; Assumptions'!$B$8/2),'I_Budget Input Data'!$D$104*0.2/('I_Inputs &amp; Assumptions'!$B$8/4))),IF('I_Budget Input Data'!$E$104="At Completion",IF(34='I_Inputs &amp; Assumptions'!$B$8,'I_Budget Input Data'!$D$104,0),'I_Budget Input Data'!$D$104/'I_Inputs &amp; Assumptions'!$B$8)))))),0)</f>
        <v>0</v>
      </c>
      <c r="AK104" s="91">
        <f>IF(35&lt;='I_Inputs &amp; Assumptions'!$B$8,IF('I_Budget Input Data'!$E$104="Upfront",IF(35=1,'I_Budget Input Data'!$D$104,0),IF('I_Budget Input Data'!$E$104="Equal",'I_Budget Input Data'!$D$104/'I_Inputs &amp; Assumptions'!$B$8,IF('I_Budget Input Data'!$E$104="Front-loaded",IF(35&lt;='I_Inputs &amp; Assumptions'!$B$8/2,'I_Budget Input Data'!$D$104*0.6/('I_Inputs &amp; Assumptions'!$B$8/2),'I_Budget Input Data'!$D$104*0.4/('I_Inputs &amp; Assumptions'!$B$8/2)),IF('I_Budget Input Data'!$E$104="Back-loaded",IF(35&lt;='I_Inputs &amp; Assumptions'!$B$8/2,'I_Budget Input Data'!$D$104*0.4/('I_Inputs &amp; Assumptions'!$B$8/2),'I_Budget Input Data'!$D$104*0.6/('I_Inputs &amp; Assumptions'!$B$8/2)),IF('I_Budget Input Data'!$E$104="Mid-weighted",IF(35&lt;='I_Inputs &amp; Assumptions'!$B$8/4,'I_Budget Input Data'!$D$104*0.2/('I_Inputs &amp; Assumptions'!$B$8/4),IF(35&lt;='I_Inputs &amp; Assumptions'!$B$8*0.75,'I_Budget Input Data'!$D$104*0.6/('I_Inputs &amp; Assumptions'!$B$8/2),'I_Budget Input Data'!$D$104*0.2/('I_Inputs &amp; Assumptions'!$B$8/4))),IF('I_Budget Input Data'!$E$104="At Completion",IF(35='I_Inputs &amp; Assumptions'!$B$8,'I_Budget Input Data'!$D$104,0),'I_Budget Input Data'!$D$104/'I_Inputs &amp; Assumptions'!$B$8)))))),0)</f>
        <v>0</v>
      </c>
      <c r="AL104" s="91">
        <f>IF(36&lt;='I_Inputs &amp; Assumptions'!$B$8,IF('I_Budget Input Data'!$E$104="Upfront",IF(36=1,'I_Budget Input Data'!$D$104,0),IF('I_Budget Input Data'!$E$104="Equal",'I_Budget Input Data'!$D$104/'I_Inputs &amp; Assumptions'!$B$8,IF('I_Budget Input Data'!$E$104="Front-loaded",IF(36&lt;='I_Inputs &amp; Assumptions'!$B$8/2,'I_Budget Input Data'!$D$104*0.6/('I_Inputs &amp; Assumptions'!$B$8/2),'I_Budget Input Data'!$D$104*0.4/('I_Inputs &amp; Assumptions'!$B$8/2)),IF('I_Budget Input Data'!$E$104="Back-loaded",IF(36&lt;='I_Inputs &amp; Assumptions'!$B$8/2,'I_Budget Input Data'!$D$104*0.4/('I_Inputs &amp; Assumptions'!$B$8/2),'I_Budget Input Data'!$D$104*0.6/('I_Inputs &amp; Assumptions'!$B$8/2)),IF('I_Budget Input Data'!$E$104="Mid-weighted",IF(36&lt;='I_Inputs &amp; Assumptions'!$B$8/4,'I_Budget Input Data'!$D$104*0.2/('I_Inputs &amp; Assumptions'!$B$8/4),IF(36&lt;='I_Inputs &amp; Assumptions'!$B$8*0.75,'I_Budget Input Data'!$D$104*0.6/('I_Inputs &amp; Assumptions'!$B$8/2),'I_Budget Input Data'!$D$104*0.2/('I_Inputs &amp; Assumptions'!$B$8/4))),IF('I_Budget Input Data'!$E$104="At Completion",IF(36='I_Inputs &amp; Assumptions'!$B$8,'I_Budget Input Data'!$D$104,0),'I_Budget Input Data'!$D$104/'I_Inputs &amp; Assumptions'!$B$8)))))),0)</f>
        <v>0</v>
      </c>
    </row>
    <row r="105" spans="1:38" ht="15" customHeight="1" x14ac:dyDescent="0.2">
      <c r="A105" t="s">
        <v>146</v>
      </c>
      <c r="B105" t="s">
        <v>221</v>
      </c>
      <c r="C105" s="91">
        <f>IF(1&lt;='I_Inputs &amp; Assumptions'!$B$8,IF('I_Budget Input Data'!$E$105="Upfront",IF(1=1,'I_Budget Input Data'!$D$105,0),IF('I_Budget Input Data'!$E$105="Equal",'I_Budget Input Data'!$D$105/'I_Inputs &amp; Assumptions'!$B$8,IF('I_Budget Input Data'!$E$105="Front-loaded",IF(1&lt;='I_Inputs &amp; Assumptions'!$B$8/2,'I_Budget Input Data'!$D$105*0.6/('I_Inputs &amp; Assumptions'!$B$8/2),'I_Budget Input Data'!$D$105*0.4/('I_Inputs &amp; Assumptions'!$B$8/2)),IF('I_Budget Input Data'!$E$105="Back-loaded",IF(1&lt;='I_Inputs &amp; Assumptions'!$B$8/2,'I_Budget Input Data'!$D$105*0.4/('I_Inputs &amp; Assumptions'!$B$8/2),'I_Budget Input Data'!$D$105*0.6/('I_Inputs &amp; Assumptions'!$B$8/2)),IF('I_Budget Input Data'!$E$105="Mid-weighted",IF(1&lt;='I_Inputs &amp; Assumptions'!$B$8/4,'I_Budget Input Data'!$D$105*0.2/('I_Inputs &amp; Assumptions'!$B$8/4),IF(1&lt;='I_Inputs &amp; Assumptions'!$B$8*0.75,'I_Budget Input Data'!$D$105*0.6/('I_Inputs &amp; Assumptions'!$B$8/2),'I_Budget Input Data'!$D$105*0.2/('I_Inputs &amp; Assumptions'!$B$8/4))),IF('I_Budget Input Data'!$E$105="At Completion",IF(1='I_Inputs &amp; Assumptions'!$B$8,'I_Budget Input Data'!$D$105,0),'I_Budget Input Data'!$D$105/'I_Inputs &amp; Assumptions'!$B$8)))))),0)</f>
        <v>19084.615384615383</v>
      </c>
      <c r="D105" s="91">
        <f>IF(2&lt;='I_Inputs &amp; Assumptions'!$B$8,IF('I_Budget Input Data'!$E$105="Upfront",IF(2=1,'I_Budget Input Data'!$D$105,0),IF('I_Budget Input Data'!$E$105="Equal",'I_Budget Input Data'!$D$105/'I_Inputs &amp; Assumptions'!$B$8,IF('I_Budget Input Data'!$E$105="Front-loaded",IF(2&lt;='I_Inputs &amp; Assumptions'!$B$8/2,'I_Budget Input Data'!$D$105*0.6/('I_Inputs &amp; Assumptions'!$B$8/2),'I_Budget Input Data'!$D$105*0.4/('I_Inputs &amp; Assumptions'!$B$8/2)),IF('I_Budget Input Data'!$E$105="Back-loaded",IF(2&lt;='I_Inputs &amp; Assumptions'!$B$8/2,'I_Budget Input Data'!$D$105*0.4/('I_Inputs &amp; Assumptions'!$B$8/2),'I_Budget Input Data'!$D$105*0.6/('I_Inputs &amp; Assumptions'!$B$8/2)),IF('I_Budget Input Data'!$E$105="Mid-weighted",IF(2&lt;='I_Inputs &amp; Assumptions'!$B$8/4,'I_Budget Input Data'!$D$105*0.2/('I_Inputs &amp; Assumptions'!$B$8/4),IF(2&lt;='I_Inputs &amp; Assumptions'!$B$8*0.75,'I_Budget Input Data'!$D$105*0.6/('I_Inputs &amp; Assumptions'!$B$8/2),'I_Budget Input Data'!$D$105*0.2/('I_Inputs &amp; Assumptions'!$B$8/4))),IF('I_Budget Input Data'!$E$105="At Completion",IF(2='I_Inputs &amp; Assumptions'!$B$8,'I_Budget Input Data'!$D$105,0),'I_Budget Input Data'!$D$105/'I_Inputs &amp; Assumptions'!$B$8)))))),0)</f>
        <v>19084.615384615383</v>
      </c>
      <c r="E105" s="91">
        <f>IF(3&lt;='I_Inputs &amp; Assumptions'!$B$8,IF('I_Budget Input Data'!$E$105="Upfront",IF(3=1,'I_Budget Input Data'!$D$105,0),IF('I_Budget Input Data'!$E$105="Equal",'I_Budget Input Data'!$D$105/'I_Inputs &amp; Assumptions'!$B$8,IF('I_Budget Input Data'!$E$105="Front-loaded",IF(3&lt;='I_Inputs &amp; Assumptions'!$B$8/2,'I_Budget Input Data'!$D$105*0.6/('I_Inputs &amp; Assumptions'!$B$8/2),'I_Budget Input Data'!$D$105*0.4/('I_Inputs &amp; Assumptions'!$B$8/2)),IF('I_Budget Input Data'!$E$105="Back-loaded",IF(3&lt;='I_Inputs &amp; Assumptions'!$B$8/2,'I_Budget Input Data'!$D$105*0.4/('I_Inputs &amp; Assumptions'!$B$8/2),'I_Budget Input Data'!$D$105*0.6/('I_Inputs &amp; Assumptions'!$B$8/2)),IF('I_Budget Input Data'!$E$105="Mid-weighted",IF(3&lt;='I_Inputs &amp; Assumptions'!$B$8/4,'I_Budget Input Data'!$D$105*0.2/('I_Inputs &amp; Assumptions'!$B$8/4),IF(3&lt;='I_Inputs &amp; Assumptions'!$B$8*0.75,'I_Budget Input Data'!$D$105*0.6/('I_Inputs &amp; Assumptions'!$B$8/2),'I_Budget Input Data'!$D$105*0.2/('I_Inputs &amp; Assumptions'!$B$8/4))),IF('I_Budget Input Data'!$E$105="At Completion",IF(3='I_Inputs &amp; Assumptions'!$B$8,'I_Budget Input Data'!$D$105,0),'I_Budget Input Data'!$D$105/'I_Inputs &amp; Assumptions'!$B$8)))))),0)</f>
        <v>19084.615384615383</v>
      </c>
      <c r="F105" s="91">
        <f>IF(4&lt;='I_Inputs &amp; Assumptions'!$B$8,IF('I_Budget Input Data'!$E$105="Upfront",IF(4=1,'I_Budget Input Data'!$D$105,0),IF('I_Budget Input Data'!$E$105="Equal",'I_Budget Input Data'!$D$105/'I_Inputs &amp; Assumptions'!$B$8,IF('I_Budget Input Data'!$E$105="Front-loaded",IF(4&lt;='I_Inputs &amp; Assumptions'!$B$8/2,'I_Budget Input Data'!$D$105*0.6/('I_Inputs &amp; Assumptions'!$B$8/2),'I_Budget Input Data'!$D$105*0.4/('I_Inputs &amp; Assumptions'!$B$8/2)),IF('I_Budget Input Data'!$E$105="Back-loaded",IF(4&lt;='I_Inputs &amp; Assumptions'!$B$8/2,'I_Budget Input Data'!$D$105*0.4/('I_Inputs &amp; Assumptions'!$B$8/2),'I_Budget Input Data'!$D$105*0.6/('I_Inputs &amp; Assumptions'!$B$8/2)),IF('I_Budget Input Data'!$E$105="Mid-weighted",IF(4&lt;='I_Inputs &amp; Assumptions'!$B$8/4,'I_Budget Input Data'!$D$105*0.2/('I_Inputs &amp; Assumptions'!$B$8/4),IF(4&lt;='I_Inputs &amp; Assumptions'!$B$8*0.75,'I_Budget Input Data'!$D$105*0.6/('I_Inputs &amp; Assumptions'!$B$8/2),'I_Budget Input Data'!$D$105*0.2/('I_Inputs &amp; Assumptions'!$B$8/4))),IF('I_Budget Input Data'!$E$105="At Completion",IF(4='I_Inputs &amp; Assumptions'!$B$8,'I_Budget Input Data'!$D$105,0),'I_Budget Input Data'!$D$105/'I_Inputs &amp; Assumptions'!$B$8)))))),0)</f>
        <v>19084.615384615383</v>
      </c>
      <c r="G105" s="91">
        <f>IF(5&lt;='I_Inputs &amp; Assumptions'!$B$8,IF('I_Budget Input Data'!$E$105="Upfront",IF(5=1,'I_Budget Input Data'!$D$105,0),IF('I_Budget Input Data'!$E$105="Equal",'I_Budget Input Data'!$D$105/'I_Inputs &amp; Assumptions'!$B$8,IF('I_Budget Input Data'!$E$105="Front-loaded",IF(5&lt;='I_Inputs &amp; Assumptions'!$B$8/2,'I_Budget Input Data'!$D$105*0.6/('I_Inputs &amp; Assumptions'!$B$8/2),'I_Budget Input Data'!$D$105*0.4/('I_Inputs &amp; Assumptions'!$B$8/2)),IF('I_Budget Input Data'!$E$105="Back-loaded",IF(5&lt;='I_Inputs &amp; Assumptions'!$B$8/2,'I_Budget Input Data'!$D$105*0.4/('I_Inputs &amp; Assumptions'!$B$8/2),'I_Budget Input Data'!$D$105*0.6/('I_Inputs &amp; Assumptions'!$B$8/2)),IF('I_Budget Input Data'!$E$105="Mid-weighted",IF(5&lt;='I_Inputs &amp; Assumptions'!$B$8/4,'I_Budget Input Data'!$D$105*0.2/('I_Inputs &amp; Assumptions'!$B$8/4),IF(5&lt;='I_Inputs &amp; Assumptions'!$B$8*0.75,'I_Budget Input Data'!$D$105*0.6/('I_Inputs &amp; Assumptions'!$B$8/2),'I_Budget Input Data'!$D$105*0.2/('I_Inputs &amp; Assumptions'!$B$8/4))),IF('I_Budget Input Data'!$E$105="At Completion",IF(5='I_Inputs &amp; Assumptions'!$B$8,'I_Budget Input Data'!$D$105,0),'I_Budget Input Data'!$D$105/'I_Inputs &amp; Assumptions'!$B$8)))))),0)</f>
        <v>19084.615384615383</v>
      </c>
      <c r="H105" s="91">
        <f>IF(6&lt;='I_Inputs &amp; Assumptions'!$B$8,IF('I_Budget Input Data'!$E$105="Upfront",IF(6=1,'I_Budget Input Data'!$D$105,0),IF('I_Budget Input Data'!$E$105="Equal",'I_Budget Input Data'!$D$105/'I_Inputs &amp; Assumptions'!$B$8,IF('I_Budget Input Data'!$E$105="Front-loaded",IF(6&lt;='I_Inputs &amp; Assumptions'!$B$8/2,'I_Budget Input Data'!$D$105*0.6/('I_Inputs &amp; Assumptions'!$B$8/2),'I_Budget Input Data'!$D$105*0.4/('I_Inputs &amp; Assumptions'!$B$8/2)),IF('I_Budget Input Data'!$E$105="Back-loaded",IF(6&lt;='I_Inputs &amp; Assumptions'!$B$8/2,'I_Budget Input Data'!$D$105*0.4/('I_Inputs &amp; Assumptions'!$B$8/2),'I_Budget Input Data'!$D$105*0.6/('I_Inputs &amp; Assumptions'!$B$8/2)),IF('I_Budget Input Data'!$E$105="Mid-weighted",IF(6&lt;='I_Inputs &amp; Assumptions'!$B$8/4,'I_Budget Input Data'!$D$105*0.2/('I_Inputs &amp; Assumptions'!$B$8/4),IF(6&lt;='I_Inputs &amp; Assumptions'!$B$8*0.75,'I_Budget Input Data'!$D$105*0.6/('I_Inputs &amp; Assumptions'!$B$8/2),'I_Budget Input Data'!$D$105*0.2/('I_Inputs &amp; Assumptions'!$B$8/4))),IF('I_Budget Input Data'!$E$105="At Completion",IF(6='I_Inputs &amp; Assumptions'!$B$8,'I_Budget Input Data'!$D$105,0),'I_Budget Input Data'!$D$105/'I_Inputs &amp; Assumptions'!$B$8)))))),0)</f>
        <v>19084.615384615383</v>
      </c>
      <c r="I105" s="91">
        <f>IF(7&lt;='I_Inputs &amp; Assumptions'!$B$8,IF('I_Budget Input Data'!$E$105="Upfront",IF(7=1,'I_Budget Input Data'!$D$105,0),IF('I_Budget Input Data'!$E$105="Equal",'I_Budget Input Data'!$D$105/'I_Inputs &amp; Assumptions'!$B$8,IF('I_Budget Input Data'!$E$105="Front-loaded",IF(7&lt;='I_Inputs &amp; Assumptions'!$B$8/2,'I_Budget Input Data'!$D$105*0.6/('I_Inputs &amp; Assumptions'!$B$8/2),'I_Budget Input Data'!$D$105*0.4/('I_Inputs &amp; Assumptions'!$B$8/2)),IF('I_Budget Input Data'!$E$105="Back-loaded",IF(7&lt;='I_Inputs &amp; Assumptions'!$B$8/2,'I_Budget Input Data'!$D$105*0.4/('I_Inputs &amp; Assumptions'!$B$8/2),'I_Budget Input Data'!$D$105*0.6/('I_Inputs &amp; Assumptions'!$B$8/2)),IF('I_Budget Input Data'!$E$105="Mid-weighted",IF(7&lt;='I_Inputs &amp; Assumptions'!$B$8/4,'I_Budget Input Data'!$D$105*0.2/('I_Inputs &amp; Assumptions'!$B$8/4),IF(7&lt;='I_Inputs &amp; Assumptions'!$B$8*0.75,'I_Budget Input Data'!$D$105*0.6/('I_Inputs &amp; Assumptions'!$B$8/2),'I_Budget Input Data'!$D$105*0.2/('I_Inputs &amp; Assumptions'!$B$8/4))),IF('I_Budget Input Data'!$E$105="At Completion",IF(7='I_Inputs &amp; Assumptions'!$B$8,'I_Budget Input Data'!$D$105,0),'I_Budget Input Data'!$D$105/'I_Inputs &amp; Assumptions'!$B$8)))))),0)</f>
        <v>19084.615384615383</v>
      </c>
      <c r="J105" s="91">
        <f>IF(8&lt;='I_Inputs &amp; Assumptions'!$B$8,IF('I_Budget Input Data'!$E$105="Upfront",IF(8=1,'I_Budget Input Data'!$D$105,0),IF('I_Budget Input Data'!$E$105="Equal",'I_Budget Input Data'!$D$105/'I_Inputs &amp; Assumptions'!$B$8,IF('I_Budget Input Data'!$E$105="Front-loaded",IF(8&lt;='I_Inputs &amp; Assumptions'!$B$8/2,'I_Budget Input Data'!$D$105*0.6/('I_Inputs &amp; Assumptions'!$B$8/2),'I_Budget Input Data'!$D$105*0.4/('I_Inputs &amp; Assumptions'!$B$8/2)),IF('I_Budget Input Data'!$E$105="Back-loaded",IF(8&lt;='I_Inputs &amp; Assumptions'!$B$8/2,'I_Budget Input Data'!$D$105*0.4/('I_Inputs &amp; Assumptions'!$B$8/2),'I_Budget Input Data'!$D$105*0.6/('I_Inputs &amp; Assumptions'!$B$8/2)),IF('I_Budget Input Data'!$E$105="Mid-weighted",IF(8&lt;='I_Inputs &amp; Assumptions'!$B$8/4,'I_Budget Input Data'!$D$105*0.2/('I_Inputs &amp; Assumptions'!$B$8/4),IF(8&lt;='I_Inputs &amp; Assumptions'!$B$8*0.75,'I_Budget Input Data'!$D$105*0.6/('I_Inputs &amp; Assumptions'!$B$8/2),'I_Budget Input Data'!$D$105*0.2/('I_Inputs &amp; Assumptions'!$B$8/4))),IF('I_Budget Input Data'!$E$105="At Completion",IF(8='I_Inputs &amp; Assumptions'!$B$8,'I_Budget Input Data'!$D$105,0),'I_Budget Input Data'!$D$105/'I_Inputs &amp; Assumptions'!$B$8)))))),0)</f>
        <v>19084.615384615383</v>
      </c>
      <c r="K105" s="91">
        <f>IF(9&lt;='I_Inputs &amp; Assumptions'!$B$8,IF('I_Budget Input Data'!$E$105="Upfront",IF(9=1,'I_Budget Input Data'!$D$105,0),IF('I_Budget Input Data'!$E$105="Equal",'I_Budget Input Data'!$D$105/'I_Inputs &amp; Assumptions'!$B$8,IF('I_Budget Input Data'!$E$105="Front-loaded",IF(9&lt;='I_Inputs &amp; Assumptions'!$B$8/2,'I_Budget Input Data'!$D$105*0.6/('I_Inputs &amp; Assumptions'!$B$8/2),'I_Budget Input Data'!$D$105*0.4/('I_Inputs &amp; Assumptions'!$B$8/2)),IF('I_Budget Input Data'!$E$105="Back-loaded",IF(9&lt;='I_Inputs &amp; Assumptions'!$B$8/2,'I_Budget Input Data'!$D$105*0.4/('I_Inputs &amp; Assumptions'!$B$8/2),'I_Budget Input Data'!$D$105*0.6/('I_Inputs &amp; Assumptions'!$B$8/2)),IF('I_Budget Input Data'!$E$105="Mid-weighted",IF(9&lt;='I_Inputs &amp; Assumptions'!$B$8/4,'I_Budget Input Data'!$D$105*0.2/('I_Inputs &amp; Assumptions'!$B$8/4),IF(9&lt;='I_Inputs &amp; Assumptions'!$B$8*0.75,'I_Budget Input Data'!$D$105*0.6/('I_Inputs &amp; Assumptions'!$B$8/2),'I_Budget Input Data'!$D$105*0.2/('I_Inputs &amp; Assumptions'!$B$8/4))),IF('I_Budget Input Data'!$E$105="At Completion",IF(9='I_Inputs &amp; Assumptions'!$B$8,'I_Budget Input Data'!$D$105,0),'I_Budget Input Data'!$D$105/'I_Inputs &amp; Assumptions'!$B$8)))))),0)</f>
        <v>19084.615384615383</v>
      </c>
      <c r="L105" s="91">
        <f>IF(10&lt;='I_Inputs &amp; Assumptions'!$B$8,IF('I_Budget Input Data'!$E$105="Upfront",IF(10=1,'I_Budget Input Data'!$D$105,0),IF('I_Budget Input Data'!$E$105="Equal",'I_Budget Input Data'!$D$105/'I_Inputs &amp; Assumptions'!$B$8,IF('I_Budget Input Data'!$E$105="Front-loaded",IF(10&lt;='I_Inputs &amp; Assumptions'!$B$8/2,'I_Budget Input Data'!$D$105*0.6/('I_Inputs &amp; Assumptions'!$B$8/2),'I_Budget Input Data'!$D$105*0.4/('I_Inputs &amp; Assumptions'!$B$8/2)),IF('I_Budget Input Data'!$E$105="Back-loaded",IF(10&lt;='I_Inputs &amp; Assumptions'!$B$8/2,'I_Budget Input Data'!$D$105*0.4/('I_Inputs &amp; Assumptions'!$B$8/2),'I_Budget Input Data'!$D$105*0.6/('I_Inputs &amp; Assumptions'!$B$8/2)),IF('I_Budget Input Data'!$E$105="Mid-weighted",IF(10&lt;='I_Inputs &amp; Assumptions'!$B$8/4,'I_Budget Input Data'!$D$105*0.2/('I_Inputs &amp; Assumptions'!$B$8/4),IF(10&lt;='I_Inputs &amp; Assumptions'!$B$8*0.75,'I_Budget Input Data'!$D$105*0.6/('I_Inputs &amp; Assumptions'!$B$8/2),'I_Budget Input Data'!$D$105*0.2/('I_Inputs &amp; Assumptions'!$B$8/4))),IF('I_Budget Input Data'!$E$105="At Completion",IF(10='I_Inputs &amp; Assumptions'!$B$8,'I_Budget Input Data'!$D$105,0),'I_Budget Input Data'!$D$105/'I_Inputs &amp; Assumptions'!$B$8)))))),0)</f>
        <v>19084.615384615383</v>
      </c>
      <c r="M105" s="91">
        <f>IF(11&lt;='I_Inputs &amp; Assumptions'!$B$8,IF('I_Budget Input Data'!$E$105="Upfront",IF(11=1,'I_Budget Input Data'!$D$105,0),IF('I_Budget Input Data'!$E$105="Equal",'I_Budget Input Data'!$D$105/'I_Inputs &amp; Assumptions'!$B$8,IF('I_Budget Input Data'!$E$105="Front-loaded",IF(11&lt;='I_Inputs &amp; Assumptions'!$B$8/2,'I_Budget Input Data'!$D$105*0.6/('I_Inputs &amp; Assumptions'!$B$8/2),'I_Budget Input Data'!$D$105*0.4/('I_Inputs &amp; Assumptions'!$B$8/2)),IF('I_Budget Input Data'!$E$105="Back-loaded",IF(11&lt;='I_Inputs &amp; Assumptions'!$B$8/2,'I_Budget Input Data'!$D$105*0.4/('I_Inputs &amp; Assumptions'!$B$8/2),'I_Budget Input Data'!$D$105*0.6/('I_Inputs &amp; Assumptions'!$B$8/2)),IF('I_Budget Input Data'!$E$105="Mid-weighted",IF(11&lt;='I_Inputs &amp; Assumptions'!$B$8/4,'I_Budget Input Data'!$D$105*0.2/('I_Inputs &amp; Assumptions'!$B$8/4),IF(11&lt;='I_Inputs &amp; Assumptions'!$B$8*0.75,'I_Budget Input Data'!$D$105*0.6/('I_Inputs &amp; Assumptions'!$B$8/2),'I_Budget Input Data'!$D$105*0.2/('I_Inputs &amp; Assumptions'!$B$8/4))),IF('I_Budget Input Data'!$E$105="At Completion",IF(11='I_Inputs &amp; Assumptions'!$B$8,'I_Budget Input Data'!$D$105,0),'I_Budget Input Data'!$D$105/'I_Inputs &amp; Assumptions'!$B$8)))))),0)</f>
        <v>19084.615384615383</v>
      </c>
      <c r="N105" s="91">
        <f>IF(12&lt;='I_Inputs &amp; Assumptions'!$B$8,IF('I_Budget Input Data'!$E$105="Upfront",IF(12=1,'I_Budget Input Data'!$D$105,0),IF('I_Budget Input Data'!$E$105="Equal",'I_Budget Input Data'!$D$105/'I_Inputs &amp; Assumptions'!$B$8,IF('I_Budget Input Data'!$E$105="Front-loaded",IF(12&lt;='I_Inputs &amp; Assumptions'!$B$8/2,'I_Budget Input Data'!$D$105*0.6/('I_Inputs &amp; Assumptions'!$B$8/2),'I_Budget Input Data'!$D$105*0.4/('I_Inputs &amp; Assumptions'!$B$8/2)),IF('I_Budget Input Data'!$E$105="Back-loaded",IF(12&lt;='I_Inputs &amp; Assumptions'!$B$8/2,'I_Budget Input Data'!$D$105*0.4/('I_Inputs &amp; Assumptions'!$B$8/2),'I_Budget Input Data'!$D$105*0.6/('I_Inputs &amp; Assumptions'!$B$8/2)),IF('I_Budget Input Data'!$E$105="Mid-weighted",IF(12&lt;='I_Inputs &amp; Assumptions'!$B$8/4,'I_Budget Input Data'!$D$105*0.2/('I_Inputs &amp; Assumptions'!$B$8/4),IF(12&lt;='I_Inputs &amp; Assumptions'!$B$8*0.75,'I_Budget Input Data'!$D$105*0.6/('I_Inputs &amp; Assumptions'!$B$8/2),'I_Budget Input Data'!$D$105*0.2/('I_Inputs &amp; Assumptions'!$B$8/4))),IF('I_Budget Input Data'!$E$105="At Completion",IF(12='I_Inputs &amp; Assumptions'!$B$8,'I_Budget Input Data'!$D$105,0),'I_Budget Input Data'!$D$105/'I_Inputs &amp; Assumptions'!$B$8)))))),0)</f>
        <v>19084.615384615383</v>
      </c>
      <c r="O105" s="91">
        <f>IF(13&lt;='I_Inputs &amp; Assumptions'!$B$8,IF('I_Budget Input Data'!$E$105="Upfront",IF(13=1,'I_Budget Input Data'!$D$105,0),IF('I_Budget Input Data'!$E$105="Equal",'I_Budget Input Data'!$D$105/'I_Inputs &amp; Assumptions'!$B$8,IF('I_Budget Input Data'!$E$105="Front-loaded",IF(13&lt;='I_Inputs &amp; Assumptions'!$B$8/2,'I_Budget Input Data'!$D$105*0.6/('I_Inputs &amp; Assumptions'!$B$8/2),'I_Budget Input Data'!$D$105*0.4/('I_Inputs &amp; Assumptions'!$B$8/2)),IF('I_Budget Input Data'!$E$105="Back-loaded",IF(13&lt;='I_Inputs &amp; Assumptions'!$B$8/2,'I_Budget Input Data'!$D$105*0.4/('I_Inputs &amp; Assumptions'!$B$8/2),'I_Budget Input Data'!$D$105*0.6/('I_Inputs &amp; Assumptions'!$B$8/2)),IF('I_Budget Input Data'!$E$105="Mid-weighted",IF(13&lt;='I_Inputs &amp; Assumptions'!$B$8/4,'I_Budget Input Data'!$D$105*0.2/('I_Inputs &amp; Assumptions'!$B$8/4),IF(13&lt;='I_Inputs &amp; Assumptions'!$B$8*0.75,'I_Budget Input Data'!$D$105*0.6/('I_Inputs &amp; Assumptions'!$B$8/2),'I_Budget Input Data'!$D$105*0.2/('I_Inputs &amp; Assumptions'!$B$8/4))),IF('I_Budget Input Data'!$E$105="At Completion",IF(13='I_Inputs &amp; Assumptions'!$B$8,'I_Budget Input Data'!$D$105,0),'I_Budget Input Data'!$D$105/'I_Inputs &amp; Assumptions'!$B$8)))))),0)</f>
        <v>19084.615384615383</v>
      </c>
      <c r="P105" s="91">
        <f>IF(14&lt;='I_Inputs &amp; Assumptions'!$B$8,IF('I_Budget Input Data'!$E$105="Upfront",IF(14=1,'I_Budget Input Data'!$D$105,0),IF('I_Budget Input Data'!$E$105="Equal",'I_Budget Input Data'!$D$105/'I_Inputs &amp; Assumptions'!$B$8,IF('I_Budget Input Data'!$E$105="Front-loaded",IF(14&lt;='I_Inputs &amp; Assumptions'!$B$8/2,'I_Budget Input Data'!$D$105*0.6/('I_Inputs &amp; Assumptions'!$B$8/2),'I_Budget Input Data'!$D$105*0.4/('I_Inputs &amp; Assumptions'!$B$8/2)),IF('I_Budget Input Data'!$E$105="Back-loaded",IF(14&lt;='I_Inputs &amp; Assumptions'!$B$8/2,'I_Budget Input Data'!$D$105*0.4/('I_Inputs &amp; Assumptions'!$B$8/2),'I_Budget Input Data'!$D$105*0.6/('I_Inputs &amp; Assumptions'!$B$8/2)),IF('I_Budget Input Data'!$E$105="Mid-weighted",IF(14&lt;='I_Inputs &amp; Assumptions'!$B$8/4,'I_Budget Input Data'!$D$105*0.2/('I_Inputs &amp; Assumptions'!$B$8/4),IF(14&lt;='I_Inputs &amp; Assumptions'!$B$8*0.75,'I_Budget Input Data'!$D$105*0.6/('I_Inputs &amp; Assumptions'!$B$8/2),'I_Budget Input Data'!$D$105*0.2/('I_Inputs &amp; Assumptions'!$B$8/4))),IF('I_Budget Input Data'!$E$105="At Completion",IF(14='I_Inputs &amp; Assumptions'!$B$8,'I_Budget Input Data'!$D$105,0),'I_Budget Input Data'!$D$105/'I_Inputs &amp; Assumptions'!$B$8)))))),0)</f>
        <v>0</v>
      </c>
      <c r="Q105" s="91">
        <f>IF(15&lt;='I_Inputs &amp; Assumptions'!$B$8,IF('I_Budget Input Data'!$E$105="Upfront",IF(15=1,'I_Budget Input Data'!$D$105,0),IF('I_Budget Input Data'!$E$105="Equal",'I_Budget Input Data'!$D$105/'I_Inputs &amp; Assumptions'!$B$8,IF('I_Budget Input Data'!$E$105="Front-loaded",IF(15&lt;='I_Inputs &amp; Assumptions'!$B$8/2,'I_Budget Input Data'!$D$105*0.6/('I_Inputs &amp; Assumptions'!$B$8/2),'I_Budget Input Data'!$D$105*0.4/('I_Inputs &amp; Assumptions'!$B$8/2)),IF('I_Budget Input Data'!$E$105="Back-loaded",IF(15&lt;='I_Inputs &amp; Assumptions'!$B$8/2,'I_Budget Input Data'!$D$105*0.4/('I_Inputs &amp; Assumptions'!$B$8/2),'I_Budget Input Data'!$D$105*0.6/('I_Inputs &amp; Assumptions'!$B$8/2)),IF('I_Budget Input Data'!$E$105="Mid-weighted",IF(15&lt;='I_Inputs &amp; Assumptions'!$B$8/4,'I_Budget Input Data'!$D$105*0.2/('I_Inputs &amp; Assumptions'!$B$8/4),IF(15&lt;='I_Inputs &amp; Assumptions'!$B$8*0.75,'I_Budget Input Data'!$D$105*0.6/('I_Inputs &amp; Assumptions'!$B$8/2),'I_Budget Input Data'!$D$105*0.2/('I_Inputs &amp; Assumptions'!$B$8/4))),IF('I_Budget Input Data'!$E$105="At Completion",IF(15='I_Inputs &amp; Assumptions'!$B$8,'I_Budget Input Data'!$D$105,0),'I_Budget Input Data'!$D$105/'I_Inputs &amp; Assumptions'!$B$8)))))),0)</f>
        <v>0</v>
      </c>
      <c r="R105" s="91">
        <f>IF(16&lt;='I_Inputs &amp; Assumptions'!$B$8,IF('I_Budget Input Data'!$E$105="Upfront",IF(16=1,'I_Budget Input Data'!$D$105,0),IF('I_Budget Input Data'!$E$105="Equal",'I_Budget Input Data'!$D$105/'I_Inputs &amp; Assumptions'!$B$8,IF('I_Budget Input Data'!$E$105="Front-loaded",IF(16&lt;='I_Inputs &amp; Assumptions'!$B$8/2,'I_Budget Input Data'!$D$105*0.6/('I_Inputs &amp; Assumptions'!$B$8/2),'I_Budget Input Data'!$D$105*0.4/('I_Inputs &amp; Assumptions'!$B$8/2)),IF('I_Budget Input Data'!$E$105="Back-loaded",IF(16&lt;='I_Inputs &amp; Assumptions'!$B$8/2,'I_Budget Input Data'!$D$105*0.4/('I_Inputs &amp; Assumptions'!$B$8/2),'I_Budget Input Data'!$D$105*0.6/('I_Inputs &amp; Assumptions'!$B$8/2)),IF('I_Budget Input Data'!$E$105="Mid-weighted",IF(16&lt;='I_Inputs &amp; Assumptions'!$B$8/4,'I_Budget Input Data'!$D$105*0.2/('I_Inputs &amp; Assumptions'!$B$8/4),IF(16&lt;='I_Inputs &amp; Assumptions'!$B$8*0.75,'I_Budget Input Data'!$D$105*0.6/('I_Inputs &amp; Assumptions'!$B$8/2),'I_Budget Input Data'!$D$105*0.2/('I_Inputs &amp; Assumptions'!$B$8/4))),IF('I_Budget Input Data'!$E$105="At Completion",IF(16='I_Inputs &amp; Assumptions'!$B$8,'I_Budget Input Data'!$D$105,0),'I_Budget Input Data'!$D$105/'I_Inputs &amp; Assumptions'!$B$8)))))),0)</f>
        <v>0</v>
      </c>
      <c r="S105" s="91">
        <f>IF(17&lt;='I_Inputs &amp; Assumptions'!$B$8,IF('I_Budget Input Data'!$E$105="Upfront",IF(17=1,'I_Budget Input Data'!$D$105,0),IF('I_Budget Input Data'!$E$105="Equal",'I_Budget Input Data'!$D$105/'I_Inputs &amp; Assumptions'!$B$8,IF('I_Budget Input Data'!$E$105="Front-loaded",IF(17&lt;='I_Inputs &amp; Assumptions'!$B$8/2,'I_Budget Input Data'!$D$105*0.6/('I_Inputs &amp; Assumptions'!$B$8/2),'I_Budget Input Data'!$D$105*0.4/('I_Inputs &amp; Assumptions'!$B$8/2)),IF('I_Budget Input Data'!$E$105="Back-loaded",IF(17&lt;='I_Inputs &amp; Assumptions'!$B$8/2,'I_Budget Input Data'!$D$105*0.4/('I_Inputs &amp; Assumptions'!$B$8/2),'I_Budget Input Data'!$D$105*0.6/('I_Inputs &amp; Assumptions'!$B$8/2)),IF('I_Budget Input Data'!$E$105="Mid-weighted",IF(17&lt;='I_Inputs &amp; Assumptions'!$B$8/4,'I_Budget Input Data'!$D$105*0.2/('I_Inputs &amp; Assumptions'!$B$8/4),IF(17&lt;='I_Inputs &amp; Assumptions'!$B$8*0.75,'I_Budget Input Data'!$D$105*0.6/('I_Inputs &amp; Assumptions'!$B$8/2),'I_Budget Input Data'!$D$105*0.2/('I_Inputs &amp; Assumptions'!$B$8/4))),IF('I_Budget Input Data'!$E$105="At Completion",IF(17='I_Inputs &amp; Assumptions'!$B$8,'I_Budget Input Data'!$D$105,0),'I_Budget Input Data'!$D$105/'I_Inputs &amp; Assumptions'!$B$8)))))),0)</f>
        <v>0</v>
      </c>
      <c r="T105" s="91">
        <f>IF(18&lt;='I_Inputs &amp; Assumptions'!$B$8,IF('I_Budget Input Data'!$E$105="Upfront",IF(18=1,'I_Budget Input Data'!$D$105,0),IF('I_Budget Input Data'!$E$105="Equal",'I_Budget Input Data'!$D$105/'I_Inputs &amp; Assumptions'!$B$8,IF('I_Budget Input Data'!$E$105="Front-loaded",IF(18&lt;='I_Inputs &amp; Assumptions'!$B$8/2,'I_Budget Input Data'!$D$105*0.6/('I_Inputs &amp; Assumptions'!$B$8/2),'I_Budget Input Data'!$D$105*0.4/('I_Inputs &amp; Assumptions'!$B$8/2)),IF('I_Budget Input Data'!$E$105="Back-loaded",IF(18&lt;='I_Inputs &amp; Assumptions'!$B$8/2,'I_Budget Input Data'!$D$105*0.4/('I_Inputs &amp; Assumptions'!$B$8/2),'I_Budget Input Data'!$D$105*0.6/('I_Inputs &amp; Assumptions'!$B$8/2)),IF('I_Budget Input Data'!$E$105="Mid-weighted",IF(18&lt;='I_Inputs &amp; Assumptions'!$B$8/4,'I_Budget Input Data'!$D$105*0.2/('I_Inputs &amp; Assumptions'!$B$8/4),IF(18&lt;='I_Inputs &amp; Assumptions'!$B$8*0.75,'I_Budget Input Data'!$D$105*0.6/('I_Inputs &amp; Assumptions'!$B$8/2),'I_Budget Input Data'!$D$105*0.2/('I_Inputs &amp; Assumptions'!$B$8/4))),IF('I_Budget Input Data'!$E$105="At Completion",IF(18='I_Inputs &amp; Assumptions'!$B$8,'I_Budget Input Data'!$D$105,0),'I_Budget Input Data'!$D$105/'I_Inputs &amp; Assumptions'!$B$8)))))),0)</f>
        <v>0</v>
      </c>
      <c r="U105" s="91">
        <f>IF(19&lt;='I_Inputs &amp; Assumptions'!$B$8,IF('I_Budget Input Data'!$E$105="Upfront",IF(19=1,'I_Budget Input Data'!$D$105,0),IF('I_Budget Input Data'!$E$105="Equal",'I_Budget Input Data'!$D$105/'I_Inputs &amp; Assumptions'!$B$8,IF('I_Budget Input Data'!$E$105="Front-loaded",IF(19&lt;='I_Inputs &amp; Assumptions'!$B$8/2,'I_Budget Input Data'!$D$105*0.6/('I_Inputs &amp; Assumptions'!$B$8/2),'I_Budget Input Data'!$D$105*0.4/('I_Inputs &amp; Assumptions'!$B$8/2)),IF('I_Budget Input Data'!$E$105="Back-loaded",IF(19&lt;='I_Inputs &amp; Assumptions'!$B$8/2,'I_Budget Input Data'!$D$105*0.4/('I_Inputs &amp; Assumptions'!$B$8/2),'I_Budget Input Data'!$D$105*0.6/('I_Inputs &amp; Assumptions'!$B$8/2)),IF('I_Budget Input Data'!$E$105="Mid-weighted",IF(19&lt;='I_Inputs &amp; Assumptions'!$B$8/4,'I_Budget Input Data'!$D$105*0.2/('I_Inputs &amp; Assumptions'!$B$8/4),IF(19&lt;='I_Inputs &amp; Assumptions'!$B$8*0.75,'I_Budget Input Data'!$D$105*0.6/('I_Inputs &amp; Assumptions'!$B$8/2),'I_Budget Input Data'!$D$105*0.2/('I_Inputs &amp; Assumptions'!$B$8/4))),IF('I_Budget Input Data'!$E$105="At Completion",IF(19='I_Inputs &amp; Assumptions'!$B$8,'I_Budget Input Data'!$D$105,0),'I_Budget Input Data'!$D$105/'I_Inputs &amp; Assumptions'!$B$8)))))),0)</f>
        <v>0</v>
      </c>
      <c r="V105" s="91">
        <f>IF(20&lt;='I_Inputs &amp; Assumptions'!$B$8,IF('I_Budget Input Data'!$E$105="Upfront",IF(20=1,'I_Budget Input Data'!$D$105,0),IF('I_Budget Input Data'!$E$105="Equal",'I_Budget Input Data'!$D$105/'I_Inputs &amp; Assumptions'!$B$8,IF('I_Budget Input Data'!$E$105="Front-loaded",IF(20&lt;='I_Inputs &amp; Assumptions'!$B$8/2,'I_Budget Input Data'!$D$105*0.6/('I_Inputs &amp; Assumptions'!$B$8/2),'I_Budget Input Data'!$D$105*0.4/('I_Inputs &amp; Assumptions'!$B$8/2)),IF('I_Budget Input Data'!$E$105="Back-loaded",IF(20&lt;='I_Inputs &amp; Assumptions'!$B$8/2,'I_Budget Input Data'!$D$105*0.4/('I_Inputs &amp; Assumptions'!$B$8/2),'I_Budget Input Data'!$D$105*0.6/('I_Inputs &amp; Assumptions'!$B$8/2)),IF('I_Budget Input Data'!$E$105="Mid-weighted",IF(20&lt;='I_Inputs &amp; Assumptions'!$B$8/4,'I_Budget Input Data'!$D$105*0.2/('I_Inputs &amp; Assumptions'!$B$8/4),IF(20&lt;='I_Inputs &amp; Assumptions'!$B$8*0.75,'I_Budget Input Data'!$D$105*0.6/('I_Inputs &amp; Assumptions'!$B$8/2),'I_Budget Input Data'!$D$105*0.2/('I_Inputs &amp; Assumptions'!$B$8/4))),IF('I_Budget Input Data'!$E$105="At Completion",IF(20='I_Inputs &amp; Assumptions'!$B$8,'I_Budget Input Data'!$D$105,0),'I_Budget Input Data'!$D$105/'I_Inputs &amp; Assumptions'!$B$8)))))),0)</f>
        <v>0</v>
      </c>
      <c r="W105" s="91">
        <f>IF(21&lt;='I_Inputs &amp; Assumptions'!$B$8,IF('I_Budget Input Data'!$E$105="Upfront",IF(21=1,'I_Budget Input Data'!$D$105,0),IF('I_Budget Input Data'!$E$105="Equal",'I_Budget Input Data'!$D$105/'I_Inputs &amp; Assumptions'!$B$8,IF('I_Budget Input Data'!$E$105="Front-loaded",IF(21&lt;='I_Inputs &amp; Assumptions'!$B$8/2,'I_Budget Input Data'!$D$105*0.6/('I_Inputs &amp; Assumptions'!$B$8/2),'I_Budget Input Data'!$D$105*0.4/('I_Inputs &amp; Assumptions'!$B$8/2)),IF('I_Budget Input Data'!$E$105="Back-loaded",IF(21&lt;='I_Inputs &amp; Assumptions'!$B$8/2,'I_Budget Input Data'!$D$105*0.4/('I_Inputs &amp; Assumptions'!$B$8/2),'I_Budget Input Data'!$D$105*0.6/('I_Inputs &amp; Assumptions'!$B$8/2)),IF('I_Budget Input Data'!$E$105="Mid-weighted",IF(21&lt;='I_Inputs &amp; Assumptions'!$B$8/4,'I_Budget Input Data'!$D$105*0.2/('I_Inputs &amp; Assumptions'!$B$8/4),IF(21&lt;='I_Inputs &amp; Assumptions'!$B$8*0.75,'I_Budget Input Data'!$D$105*0.6/('I_Inputs &amp; Assumptions'!$B$8/2),'I_Budget Input Data'!$D$105*0.2/('I_Inputs &amp; Assumptions'!$B$8/4))),IF('I_Budget Input Data'!$E$105="At Completion",IF(21='I_Inputs &amp; Assumptions'!$B$8,'I_Budget Input Data'!$D$105,0),'I_Budget Input Data'!$D$105/'I_Inputs &amp; Assumptions'!$B$8)))))),0)</f>
        <v>0</v>
      </c>
      <c r="X105" s="91">
        <f>IF(22&lt;='I_Inputs &amp; Assumptions'!$B$8,IF('I_Budget Input Data'!$E$105="Upfront",IF(22=1,'I_Budget Input Data'!$D$105,0),IF('I_Budget Input Data'!$E$105="Equal",'I_Budget Input Data'!$D$105/'I_Inputs &amp; Assumptions'!$B$8,IF('I_Budget Input Data'!$E$105="Front-loaded",IF(22&lt;='I_Inputs &amp; Assumptions'!$B$8/2,'I_Budget Input Data'!$D$105*0.6/('I_Inputs &amp; Assumptions'!$B$8/2),'I_Budget Input Data'!$D$105*0.4/('I_Inputs &amp; Assumptions'!$B$8/2)),IF('I_Budget Input Data'!$E$105="Back-loaded",IF(22&lt;='I_Inputs &amp; Assumptions'!$B$8/2,'I_Budget Input Data'!$D$105*0.4/('I_Inputs &amp; Assumptions'!$B$8/2),'I_Budget Input Data'!$D$105*0.6/('I_Inputs &amp; Assumptions'!$B$8/2)),IF('I_Budget Input Data'!$E$105="Mid-weighted",IF(22&lt;='I_Inputs &amp; Assumptions'!$B$8/4,'I_Budget Input Data'!$D$105*0.2/('I_Inputs &amp; Assumptions'!$B$8/4),IF(22&lt;='I_Inputs &amp; Assumptions'!$B$8*0.75,'I_Budget Input Data'!$D$105*0.6/('I_Inputs &amp; Assumptions'!$B$8/2),'I_Budget Input Data'!$D$105*0.2/('I_Inputs &amp; Assumptions'!$B$8/4))),IF('I_Budget Input Data'!$E$105="At Completion",IF(22='I_Inputs &amp; Assumptions'!$B$8,'I_Budget Input Data'!$D$105,0),'I_Budget Input Data'!$D$105/'I_Inputs &amp; Assumptions'!$B$8)))))),0)</f>
        <v>0</v>
      </c>
      <c r="Y105" s="91">
        <f>IF(23&lt;='I_Inputs &amp; Assumptions'!$B$8,IF('I_Budget Input Data'!$E$105="Upfront",IF(23=1,'I_Budget Input Data'!$D$105,0),IF('I_Budget Input Data'!$E$105="Equal",'I_Budget Input Data'!$D$105/'I_Inputs &amp; Assumptions'!$B$8,IF('I_Budget Input Data'!$E$105="Front-loaded",IF(23&lt;='I_Inputs &amp; Assumptions'!$B$8/2,'I_Budget Input Data'!$D$105*0.6/('I_Inputs &amp; Assumptions'!$B$8/2),'I_Budget Input Data'!$D$105*0.4/('I_Inputs &amp; Assumptions'!$B$8/2)),IF('I_Budget Input Data'!$E$105="Back-loaded",IF(23&lt;='I_Inputs &amp; Assumptions'!$B$8/2,'I_Budget Input Data'!$D$105*0.4/('I_Inputs &amp; Assumptions'!$B$8/2),'I_Budget Input Data'!$D$105*0.6/('I_Inputs &amp; Assumptions'!$B$8/2)),IF('I_Budget Input Data'!$E$105="Mid-weighted",IF(23&lt;='I_Inputs &amp; Assumptions'!$B$8/4,'I_Budget Input Data'!$D$105*0.2/('I_Inputs &amp; Assumptions'!$B$8/4),IF(23&lt;='I_Inputs &amp; Assumptions'!$B$8*0.75,'I_Budget Input Data'!$D$105*0.6/('I_Inputs &amp; Assumptions'!$B$8/2),'I_Budget Input Data'!$D$105*0.2/('I_Inputs &amp; Assumptions'!$B$8/4))),IF('I_Budget Input Data'!$E$105="At Completion",IF(23='I_Inputs &amp; Assumptions'!$B$8,'I_Budget Input Data'!$D$105,0),'I_Budget Input Data'!$D$105/'I_Inputs &amp; Assumptions'!$B$8)))))),0)</f>
        <v>0</v>
      </c>
      <c r="Z105" s="91">
        <f>IF(24&lt;='I_Inputs &amp; Assumptions'!$B$8,IF('I_Budget Input Data'!$E$105="Upfront",IF(24=1,'I_Budget Input Data'!$D$105,0),IF('I_Budget Input Data'!$E$105="Equal",'I_Budget Input Data'!$D$105/'I_Inputs &amp; Assumptions'!$B$8,IF('I_Budget Input Data'!$E$105="Front-loaded",IF(24&lt;='I_Inputs &amp; Assumptions'!$B$8/2,'I_Budget Input Data'!$D$105*0.6/('I_Inputs &amp; Assumptions'!$B$8/2),'I_Budget Input Data'!$D$105*0.4/('I_Inputs &amp; Assumptions'!$B$8/2)),IF('I_Budget Input Data'!$E$105="Back-loaded",IF(24&lt;='I_Inputs &amp; Assumptions'!$B$8/2,'I_Budget Input Data'!$D$105*0.4/('I_Inputs &amp; Assumptions'!$B$8/2),'I_Budget Input Data'!$D$105*0.6/('I_Inputs &amp; Assumptions'!$B$8/2)),IF('I_Budget Input Data'!$E$105="Mid-weighted",IF(24&lt;='I_Inputs &amp; Assumptions'!$B$8/4,'I_Budget Input Data'!$D$105*0.2/('I_Inputs &amp; Assumptions'!$B$8/4),IF(24&lt;='I_Inputs &amp; Assumptions'!$B$8*0.75,'I_Budget Input Data'!$D$105*0.6/('I_Inputs &amp; Assumptions'!$B$8/2),'I_Budget Input Data'!$D$105*0.2/('I_Inputs &amp; Assumptions'!$B$8/4))),IF('I_Budget Input Data'!$E$105="At Completion",IF(24='I_Inputs &amp; Assumptions'!$B$8,'I_Budget Input Data'!$D$105,0),'I_Budget Input Data'!$D$105/'I_Inputs &amp; Assumptions'!$B$8)))))),0)</f>
        <v>0</v>
      </c>
      <c r="AA105" s="91">
        <f>IF(25&lt;='I_Inputs &amp; Assumptions'!$B$8,IF('I_Budget Input Data'!$E$105="Upfront",IF(25=1,'I_Budget Input Data'!$D$105,0),IF('I_Budget Input Data'!$E$105="Equal",'I_Budget Input Data'!$D$105/'I_Inputs &amp; Assumptions'!$B$8,IF('I_Budget Input Data'!$E$105="Front-loaded",IF(25&lt;='I_Inputs &amp; Assumptions'!$B$8/2,'I_Budget Input Data'!$D$105*0.6/('I_Inputs &amp; Assumptions'!$B$8/2),'I_Budget Input Data'!$D$105*0.4/('I_Inputs &amp; Assumptions'!$B$8/2)),IF('I_Budget Input Data'!$E$105="Back-loaded",IF(25&lt;='I_Inputs &amp; Assumptions'!$B$8/2,'I_Budget Input Data'!$D$105*0.4/('I_Inputs &amp; Assumptions'!$B$8/2),'I_Budget Input Data'!$D$105*0.6/('I_Inputs &amp; Assumptions'!$B$8/2)),IF('I_Budget Input Data'!$E$105="Mid-weighted",IF(25&lt;='I_Inputs &amp; Assumptions'!$B$8/4,'I_Budget Input Data'!$D$105*0.2/('I_Inputs &amp; Assumptions'!$B$8/4),IF(25&lt;='I_Inputs &amp; Assumptions'!$B$8*0.75,'I_Budget Input Data'!$D$105*0.6/('I_Inputs &amp; Assumptions'!$B$8/2),'I_Budget Input Data'!$D$105*0.2/('I_Inputs &amp; Assumptions'!$B$8/4))),IF('I_Budget Input Data'!$E$105="At Completion",IF(25='I_Inputs &amp; Assumptions'!$B$8,'I_Budget Input Data'!$D$105,0),'I_Budget Input Data'!$D$105/'I_Inputs &amp; Assumptions'!$B$8)))))),0)</f>
        <v>0</v>
      </c>
      <c r="AB105" s="91">
        <f>IF(26&lt;='I_Inputs &amp; Assumptions'!$B$8,IF('I_Budget Input Data'!$E$105="Upfront",IF(26=1,'I_Budget Input Data'!$D$105,0),IF('I_Budget Input Data'!$E$105="Equal",'I_Budget Input Data'!$D$105/'I_Inputs &amp; Assumptions'!$B$8,IF('I_Budget Input Data'!$E$105="Front-loaded",IF(26&lt;='I_Inputs &amp; Assumptions'!$B$8/2,'I_Budget Input Data'!$D$105*0.6/('I_Inputs &amp; Assumptions'!$B$8/2),'I_Budget Input Data'!$D$105*0.4/('I_Inputs &amp; Assumptions'!$B$8/2)),IF('I_Budget Input Data'!$E$105="Back-loaded",IF(26&lt;='I_Inputs &amp; Assumptions'!$B$8/2,'I_Budget Input Data'!$D$105*0.4/('I_Inputs &amp; Assumptions'!$B$8/2),'I_Budget Input Data'!$D$105*0.6/('I_Inputs &amp; Assumptions'!$B$8/2)),IF('I_Budget Input Data'!$E$105="Mid-weighted",IF(26&lt;='I_Inputs &amp; Assumptions'!$B$8/4,'I_Budget Input Data'!$D$105*0.2/('I_Inputs &amp; Assumptions'!$B$8/4),IF(26&lt;='I_Inputs &amp; Assumptions'!$B$8*0.75,'I_Budget Input Data'!$D$105*0.6/('I_Inputs &amp; Assumptions'!$B$8/2),'I_Budget Input Data'!$D$105*0.2/('I_Inputs &amp; Assumptions'!$B$8/4))),IF('I_Budget Input Data'!$E$105="At Completion",IF(26='I_Inputs &amp; Assumptions'!$B$8,'I_Budget Input Data'!$D$105,0),'I_Budget Input Data'!$D$105/'I_Inputs &amp; Assumptions'!$B$8)))))),0)</f>
        <v>0</v>
      </c>
      <c r="AC105" s="91">
        <f>IF(27&lt;='I_Inputs &amp; Assumptions'!$B$8,IF('I_Budget Input Data'!$E$105="Upfront",IF(27=1,'I_Budget Input Data'!$D$105,0),IF('I_Budget Input Data'!$E$105="Equal",'I_Budget Input Data'!$D$105/'I_Inputs &amp; Assumptions'!$B$8,IF('I_Budget Input Data'!$E$105="Front-loaded",IF(27&lt;='I_Inputs &amp; Assumptions'!$B$8/2,'I_Budget Input Data'!$D$105*0.6/('I_Inputs &amp; Assumptions'!$B$8/2),'I_Budget Input Data'!$D$105*0.4/('I_Inputs &amp; Assumptions'!$B$8/2)),IF('I_Budget Input Data'!$E$105="Back-loaded",IF(27&lt;='I_Inputs &amp; Assumptions'!$B$8/2,'I_Budget Input Data'!$D$105*0.4/('I_Inputs &amp; Assumptions'!$B$8/2),'I_Budget Input Data'!$D$105*0.6/('I_Inputs &amp; Assumptions'!$B$8/2)),IF('I_Budget Input Data'!$E$105="Mid-weighted",IF(27&lt;='I_Inputs &amp; Assumptions'!$B$8/4,'I_Budget Input Data'!$D$105*0.2/('I_Inputs &amp; Assumptions'!$B$8/4),IF(27&lt;='I_Inputs &amp; Assumptions'!$B$8*0.75,'I_Budget Input Data'!$D$105*0.6/('I_Inputs &amp; Assumptions'!$B$8/2),'I_Budget Input Data'!$D$105*0.2/('I_Inputs &amp; Assumptions'!$B$8/4))),IF('I_Budget Input Data'!$E$105="At Completion",IF(27='I_Inputs &amp; Assumptions'!$B$8,'I_Budget Input Data'!$D$105,0),'I_Budget Input Data'!$D$105/'I_Inputs &amp; Assumptions'!$B$8)))))),0)</f>
        <v>0</v>
      </c>
      <c r="AD105" s="91">
        <f>IF(28&lt;='I_Inputs &amp; Assumptions'!$B$8,IF('I_Budget Input Data'!$E$105="Upfront",IF(28=1,'I_Budget Input Data'!$D$105,0),IF('I_Budget Input Data'!$E$105="Equal",'I_Budget Input Data'!$D$105/'I_Inputs &amp; Assumptions'!$B$8,IF('I_Budget Input Data'!$E$105="Front-loaded",IF(28&lt;='I_Inputs &amp; Assumptions'!$B$8/2,'I_Budget Input Data'!$D$105*0.6/('I_Inputs &amp; Assumptions'!$B$8/2),'I_Budget Input Data'!$D$105*0.4/('I_Inputs &amp; Assumptions'!$B$8/2)),IF('I_Budget Input Data'!$E$105="Back-loaded",IF(28&lt;='I_Inputs &amp; Assumptions'!$B$8/2,'I_Budget Input Data'!$D$105*0.4/('I_Inputs &amp; Assumptions'!$B$8/2),'I_Budget Input Data'!$D$105*0.6/('I_Inputs &amp; Assumptions'!$B$8/2)),IF('I_Budget Input Data'!$E$105="Mid-weighted",IF(28&lt;='I_Inputs &amp; Assumptions'!$B$8/4,'I_Budget Input Data'!$D$105*0.2/('I_Inputs &amp; Assumptions'!$B$8/4),IF(28&lt;='I_Inputs &amp; Assumptions'!$B$8*0.75,'I_Budget Input Data'!$D$105*0.6/('I_Inputs &amp; Assumptions'!$B$8/2),'I_Budget Input Data'!$D$105*0.2/('I_Inputs &amp; Assumptions'!$B$8/4))),IF('I_Budget Input Data'!$E$105="At Completion",IF(28='I_Inputs &amp; Assumptions'!$B$8,'I_Budget Input Data'!$D$105,0),'I_Budget Input Data'!$D$105/'I_Inputs &amp; Assumptions'!$B$8)))))),0)</f>
        <v>0</v>
      </c>
      <c r="AE105" s="91">
        <f>IF(29&lt;='I_Inputs &amp; Assumptions'!$B$8,IF('I_Budget Input Data'!$E$105="Upfront",IF(29=1,'I_Budget Input Data'!$D$105,0),IF('I_Budget Input Data'!$E$105="Equal",'I_Budget Input Data'!$D$105/'I_Inputs &amp; Assumptions'!$B$8,IF('I_Budget Input Data'!$E$105="Front-loaded",IF(29&lt;='I_Inputs &amp; Assumptions'!$B$8/2,'I_Budget Input Data'!$D$105*0.6/('I_Inputs &amp; Assumptions'!$B$8/2),'I_Budget Input Data'!$D$105*0.4/('I_Inputs &amp; Assumptions'!$B$8/2)),IF('I_Budget Input Data'!$E$105="Back-loaded",IF(29&lt;='I_Inputs &amp; Assumptions'!$B$8/2,'I_Budget Input Data'!$D$105*0.4/('I_Inputs &amp; Assumptions'!$B$8/2),'I_Budget Input Data'!$D$105*0.6/('I_Inputs &amp; Assumptions'!$B$8/2)),IF('I_Budget Input Data'!$E$105="Mid-weighted",IF(29&lt;='I_Inputs &amp; Assumptions'!$B$8/4,'I_Budget Input Data'!$D$105*0.2/('I_Inputs &amp; Assumptions'!$B$8/4),IF(29&lt;='I_Inputs &amp; Assumptions'!$B$8*0.75,'I_Budget Input Data'!$D$105*0.6/('I_Inputs &amp; Assumptions'!$B$8/2),'I_Budget Input Data'!$D$105*0.2/('I_Inputs &amp; Assumptions'!$B$8/4))),IF('I_Budget Input Data'!$E$105="At Completion",IF(29='I_Inputs &amp; Assumptions'!$B$8,'I_Budget Input Data'!$D$105,0),'I_Budget Input Data'!$D$105/'I_Inputs &amp; Assumptions'!$B$8)))))),0)</f>
        <v>0</v>
      </c>
      <c r="AF105" s="91">
        <f>IF(30&lt;='I_Inputs &amp; Assumptions'!$B$8,IF('I_Budget Input Data'!$E$105="Upfront",IF(30=1,'I_Budget Input Data'!$D$105,0),IF('I_Budget Input Data'!$E$105="Equal",'I_Budget Input Data'!$D$105/'I_Inputs &amp; Assumptions'!$B$8,IF('I_Budget Input Data'!$E$105="Front-loaded",IF(30&lt;='I_Inputs &amp; Assumptions'!$B$8/2,'I_Budget Input Data'!$D$105*0.6/('I_Inputs &amp; Assumptions'!$B$8/2),'I_Budget Input Data'!$D$105*0.4/('I_Inputs &amp; Assumptions'!$B$8/2)),IF('I_Budget Input Data'!$E$105="Back-loaded",IF(30&lt;='I_Inputs &amp; Assumptions'!$B$8/2,'I_Budget Input Data'!$D$105*0.4/('I_Inputs &amp; Assumptions'!$B$8/2),'I_Budget Input Data'!$D$105*0.6/('I_Inputs &amp; Assumptions'!$B$8/2)),IF('I_Budget Input Data'!$E$105="Mid-weighted",IF(30&lt;='I_Inputs &amp; Assumptions'!$B$8/4,'I_Budget Input Data'!$D$105*0.2/('I_Inputs &amp; Assumptions'!$B$8/4),IF(30&lt;='I_Inputs &amp; Assumptions'!$B$8*0.75,'I_Budget Input Data'!$D$105*0.6/('I_Inputs &amp; Assumptions'!$B$8/2),'I_Budget Input Data'!$D$105*0.2/('I_Inputs &amp; Assumptions'!$B$8/4))),IF('I_Budget Input Data'!$E$105="At Completion",IF(30='I_Inputs &amp; Assumptions'!$B$8,'I_Budget Input Data'!$D$105,0),'I_Budget Input Data'!$D$105/'I_Inputs &amp; Assumptions'!$B$8)))))),0)</f>
        <v>0</v>
      </c>
      <c r="AG105" s="91">
        <f>IF(31&lt;='I_Inputs &amp; Assumptions'!$B$8,IF('I_Budget Input Data'!$E$105="Upfront",IF(31=1,'I_Budget Input Data'!$D$105,0),IF('I_Budget Input Data'!$E$105="Equal",'I_Budget Input Data'!$D$105/'I_Inputs &amp; Assumptions'!$B$8,IF('I_Budget Input Data'!$E$105="Front-loaded",IF(31&lt;='I_Inputs &amp; Assumptions'!$B$8/2,'I_Budget Input Data'!$D$105*0.6/('I_Inputs &amp; Assumptions'!$B$8/2),'I_Budget Input Data'!$D$105*0.4/('I_Inputs &amp; Assumptions'!$B$8/2)),IF('I_Budget Input Data'!$E$105="Back-loaded",IF(31&lt;='I_Inputs &amp; Assumptions'!$B$8/2,'I_Budget Input Data'!$D$105*0.4/('I_Inputs &amp; Assumptions'!$B$8/2),'I_Budget Input Data'!$D$105*0.6/('I_Inputs &amp; Assumptions'!$B$8/2)),IF('I_Budget Input Data'!$E$105="Mid-weighted",IF(31&lt;='I_Inputs &amp; Assumptions'!$B$8/4,'I_Budget Input Data'!$D$105*0.2/('I_Inputs &amp; Assumptions'!$B$8/4),IF(31&lt;='I_Inputs &amp; Assumptions'!$B$8*0.75,'I_Budget Input Data'!$D$105*0.6/('I_Inputs &amp; Assumptions'!$B$8/2),'I_Budget Input Data'!$D$105*0.2/('I_Inputs &amp; Assumptions'!$B$8/4))),IF('I_Budget Input Data'!$E$105="At Completion",IF(31='I_Inputs &amp; Assumptions'!$B$8,'I_Budget Input Data'!$D$105,0),'I_Budget Input Data'!$D$105/'I_Inputs &amp; Assumptions'!$B$8)))))),0)</f>
        <v>0</v>
      </c>
      <c r="AH105" s="91">
        <f>IF(32&lt;='I_Inputs &amp; Assumptions'!$B$8,IF('I_Budget Input Data'!$E$105="Upfront",IF(32=1,'I_Budget Input Data'!$D$105,0),IF('I_Budget Input Data'!$E$105="Equal",'I_Budget Input Data'!$D$105/'I_Inputs &amp; Assumptions'!$B$8,IF('I_Budget Input Data'!$E$105="Front-loaded",IF(32&lt;='I_Inputs &amp; Assumptions'!$B$8/2,'I_Budget Input Data'!$D$105*0.6/('I_Inputs &amp; Assumptions'!$B$8/2),'I_Budget Input Data'!$D$105*0.4/('I_Inputs &amp; Assumptions'!$B$8/2)),IF('I_Budget Input Data'!$E$105="Back-loaded",IF(32&lt;='I_Inputs &amp; Assumptions'!$B$8/2,'I_Budget Input Data'!$D$105*0.4/('I_Inputs &amp; Assumptions'!$B$8/2),'I_Budget Input Data'!$D$105*0.6/('I_Inputs &amp; Assumptions'!$B$8/2)),IF('I_Budget Input Data'!$E$105="Mid-weighted",IF(32&lt;='I_Inputs &amp; Assumptions'!$B$8/4,'I_Budget Input Data'!$D$105*0.2/('I_Inputs &amp; Assumptions'!$B$8/4),IF(32&lt;='I_Inputs &amp; Assumptions'!$B$8*0.75,'I_Budget Input Data'!$D$105*0.6/('I_Inputs &amp; Assumptions'!$B$8/2),'I_Budget Input Data'!$D$105*0.2/('I_Inputs &amp; Assumptions'!$B$8/4))),IF('I_Budget Input Data'!$E$105="At Completion",IF(32='I_Inputs &amp; Assumptions'!$B$8,'I_Budget Input Data'!$D$105,0),'I_Budget Input Data'!$D$105/'I_Inputs &amp; Assumptions'!$B$8)))))),0)</f>
        <v>0</v>
      </c>
      <c r="AI105" s="91">
        <f>IF(33&lt;='I_Inputs &amp; Assumptions'!$B$8,IF('I_Budget Input Data'!$E$105="Upfront",IF(33=1,'I_Budget Input Data'!$D$105,0),IF('I_Budget Input Data'!$E$105="Equal",'I_Budget Input Data'!$D$105/'I_Inputs &amp; Assumptions'!$B$8,IF('I_Budget Input Data'!$E$105="Front-loaded",IF(33&lt;='I_Inputs &amp; Assumptions'!$B$8/2,'I_Budget Input Data'!$D$105*0.6/('I_Inputs &amp; Assumptions'!$B$8/2),'I_Budget Input Data'!$D$105*0.4/('I_Inputs &amp; Assumptions'!$B$8/2)),IF('I_Budget Input Data'!$E$105="Back-loaded",IF(33&lt;='I_Inputs &amp; Assumptions'!$B$8/2,'I_Budget Input Data'!$D$105*0.4/('I_Inputs &amp; Assumptions'!$B$8/2),'I_Budget Input Data'!$D$105*0.6/('I_Inputs &amp; Assumptions'!$B$8/2)),IF('I_Budget Input Data'!$E$105="Mid-weighted",IF(33&lt;='I_Inputs &amp; Assumptions'!$B$8/4,'I_Budget Input Data'!$D$105*0.2/('I_Inputs &amp; Assumptions'!$B$8/4),IF(33&lt;='I_Inputs &amp; Assumptions'!$B$8*0.75,'I_Budget Input Data'!$D$105*0.6/('I_Inputs &amp; Assumptions'!$B$8/2),'I_Budget Input Data'!$D$105*0.2/('I_Inputs &amp; Assumptions'!$B$8/4))),IF('I_Budget Input Data'!$E$105="At Completion",IF(33='I_Inputs &amp; Assumptions'!$B$8,'I_Budget Input Data'!$D$105,0),'I_Budget Input Data'!$D$105/'I_Inputs &amp; Assumptions'!$B$8)))))),0)</f>
        <v>0</v>
      </c>
      <c r="AJ105" s="91">
        <f>IF(34&lt;='I_Inputs &amp; Assumptions'!$B$8,IF('I_Budget Input Data'!$E$105="Upfront",IF(34=1,'I_Budget Input Data'!$D$105,0),IF('I_Budget Input Data'!$E$105="Equal",'I_Budget Input Data'!$D$105/'I_Inputs &amp; Assumptions'!$B$8,IF('I_Budget Input Data'!$E$105="Front-loaded",IF(34&lt;='I_Inputs &amp; Assumptions'!$B$8/2,'I_Budget Input Data'!$D$105*0.6/('I_Inputs &amp; Assumptions'!$B$8/2),'I_Budget Input Data'!$D$105*0.4/('I_Inputs &amp; Assumptions'!$B$8/2)),IF('I_Budget Input Data'!$E$105="Back-loaded",IF(34&lt;='I_Inputs &amp; Assumptions'!$B$8/2,'I_Budget Input Data'!$D$105*0.4/('I_Inputs &amp; Assumptions'!$B$8/2),'I_Budget Input Data'!$D$105*0.6/('I_Inputs &amp; Assumptions'!$B$8/2)),IF('I_Budget Input Data'!$E$105="Mid-weighted",IF(34&lt;='I_Inputs &amp; Assumptions'!$B$8/4,'I_Budget Input Data'!$D$105*0.2/('I_Inputs &amp; Assumptions'!$B$8/4),IF(34&lt;='I_Inputs &amp; Assumptions'!$B$8*0.75,'I_Budget Input Data'!$D$105*0.6/('I_Inputs &amp; Assumptions'!$B$8/2),'I_Budget Input Data'!$D$105*0.2/('I_Inputs &amp; Assumptions'!$B$8/4))),IF('I_Budget Input Data'!$E$105="At Completion",IF(34='I_Inputs &amp; Assumptions'!$B$8,'I_Budget Input Data'!$D$105,0),'I_Budget Input Data'!$D$105/'I_Inputs &amp; Assumptions'!$B$8)))))),0)</f>
        <v>0</v>
      </c>
      <c r="AK105" s="91">
        <f>IF(35&lt;='I_Inputs &amp; Assumptions'!$B$8,IF('I_Budget Input Data'!$E$105="Upfront",IF(35=1,'I_Budget Input Data'!$D$105,0),IF('I_Budget Input Data'!$E$105="Equal",'I_Budget Input Data'!$D$105/'I_Inputs &amp; Assumptions'!$B$8,IF('I_Budget Input Data'!$E$105="Front-loaded",IF(35&lt;='I_Inputs &amp; Assumptions'!$B$8/2,'I_Budget Input Data'!$D$105*0.6/('I_Inputs &amp; Assumptions'!$B$8/2),'I_Budget Input Data'!$D$105*0.4/('I_Inputs &amp; Assumptions'!$B$8/2)),IF('I_Budget Input Data'!$E$105="Back-loaded",IF(35&lt;='I_Inputs &amp; Assumptions'!$B$8/2,'I_Budget Input Data'!$D$105*0.4/('I_Inputs &amp; Assumptions'!$B$8/2),'I_Budget Input Data'!$D$105*0.6/('I_Inputs &amp; Assumptions'!$B$8/2)),IF('I_Budget Input Data'!$E$105="Mid-weighted",IF(35&lt;='I_Inputs &amp; Assumptions'!$B$8/4,'I_Budget Input Data'!$D$105*0.2/('I_Inputs &amp; Assumptions'!$B$8/4),IF(35&lt;='I_Inputs &amp; Assumptions'!$B$8*0.75,'I_Budget Input Data'!$D$105*0.6/('I_Inputs &amp; Assumptions'!$B$8/2),'I_Budget Input Data'!$D$105*0.2/('I_Inputs &amp; Assumptions'!$B$8/4))),IF('I_Budget Input Data'!$E$105="At Completion",IF(35='I_Inputs &amp; Assumptions'!$B$8,'I_Budget Input Data'!$D$105,0),'I_Budget Input Data'!$D$105/'I_Inputs &amp; Assumptions'!$B$8)))))),0)</f>
        <v>0</v>
      </c>
      <c r="AL105" s="91">
        <f>IF(36&lt;='I_Inputs &amp; Assumptions'!$B$8,IF('I_Budget Input Data'!$E$105="Upfront",IF(36=1,'I_Budget Input Data'!$D$105,0),IF('I_Budget Input Data'!$E$105="Equal",'I_Budget Input Data'!$D$105/'I_Inputs &amp; Assumptions'!$B$8,IF('I_Budget Input Data'!$E$105="Front-loaded",IF(36&lt;='I_Inputs &amp; Assumptions'!$B$8/2,'I_Budget Input Data'!$D$105*0.6/('I_Inputs &amp; Assumptions'!$B$8/2),'I_Budget Input Data'!$D$105*0.4/('I_Inputs &amp; Assumptions'!$B$8/2)),IF('I_Budget Input Data'!$E$105="Back-loaded",IF(36&lt;='I_Inputs &amp; Assumptions'!$B$8/2,'I_Budget Input Data'!$D$105*0.4/('I_Inputs &amp; Assumptions'!$B$8/2),'I_Budget Input Data'!$D$105*0.6/('I_Inputs &amp; Assumptions'!$B$8/2)),IF('I_Budget Input Data'!$E$105="Mid-weighted",IF(36&lt;='I_Inputs &amp; Assumptions'!$B$8/4,'I_Budget Input Data'!$D$105*0.2/('I_Inputs &amp; Assumptions'!$B$8/4),IF(36&lt;='I_Inputs &amp; Assumptions'!$B$8*0.75,'I_Budget Input Data'!$D$105*0.6/('I_Inputs &amp; Assumptions'!$B$8/2),'I_Budget Input Data'!$D$105*0.2/('I_Inputs &amp; Assumptions'!$B$8/4))),IF('I_Budget Input Data'!$E$105="At Completion",IF(36='I_Inputs &amp; Assumptions'!$B$8,'I_Budget Input Data'!$D$105,0),'I_Budget Input Data'!$D$105/'I_Inputs &amp; Assumptions'!$B$8)))))),0)</f>
        <v>0</v>
      </c>
    </row>
    <row r="106" spans="1:38" ht="15" customHeight="1" x14ac:dyDescent="0.2">
      <c r="A106" t="s">
        <v>146</v>
      </c>
      <c r="B106" t="s">
        <v>222</v>
      </c>
      <c r="C106" s="91">
        <f>IF(1&lt;='I_Inputs &amp; Assumptions'!$B$8,IF('I_Budget Input Data'!$E$106="Upfront",IF(1=1,'I_Budget Input Data'!$D$106,0),IF('I_Budget Input Data'!$E$106="Equal",'I_Budget Input Data'!$D$106/'I_Inputs &amp; Assumptions'!$B$8,IF('I_Budget Input Data'!$E$106="Front-loaded",IF(1&lt;='I_Inputs &amp; Assumptions'!$B$8/2,'I_Budget Input Data'!$D$106*0.6/('I_Inputs &amp; Assumptions'!$B$8/2),'I_Budget Input Data'!$D$106*0.4/('I_Inputs &amp; Assumptions'!$B$8/2)),IF('I_Budget Input Data'!$E$106="Back-loaded",IF(1&lt;='I_Inputs &amp; Assumptions'!$B$8/2,'I_Budget Input Data'!$D$106*0.4/('I_Inputs &amp; Assumptions'!$B$8/2),'I_Budget Input Data'!$D$106*0.6/('I_Inputs &amp; Assumptions'!$B$8/2)),IF('I_Budget Input Data'!$E$106="Mid-weighted",IF(1&lt;='I_Inputs &amp; Assumptions'!$B$8/4,'I_Budget Input Data'!$D$106*0.2/('I_Inputs &amp; Assumptions'!$B$8/4),IF(1&lt;='I_Inputs &amp; Assumptions'!$B$8*0.75,'I_Budget Input Data'!$D$106*0.6/('I_Inputs &amp; Assumptions'!$B$8/2),'I_Budget Input Data'!$D$106*0.2/('I_Inputs &amp; Assumptions'!$B$8/4))),IF('I_Budget Input Data'!$E$106="At Completion",IF(1='I_Inputs &amp; Assumptions'!$B$8,'I_Budget Input Data'!$D$106,0),'I_Budget Input Data'!$D$106/'I_Inputs &amp; Assumptions'!$B$8)))))),0)</f>
        <v>8373.0769230769238</v>
      </c>
      <c r="D106" s="91">
        <f>IF(2&lt;='I_Inputs &amp; Assumptions'!$B$8,IF('I_Budget Input Data'!$E$106="Upfront",IF(2=1,'I_Budget Input Data'!$D$106,0),IF('I_Budget Input Data'!$E$106="Equal",'I_Budget Input Data'!$D$106/'I_Inputs &amp; Assumptions'!$B$8,IF('I_Budget Input Data'!$E$106="Front-loaded",IF(2&lt;='I_Inputs &amp; Assumptions'!$B$8/2,'I_Budget Input Data'!$D$106*0.6/('I_Inputs &amp; Assumptions'!$B$8/2),'I_Budget Input Data'!$D$106*0.4/('I_Inputs &amp; Assumptions'!$B$8/2)),IF('I_Budget Input Data'!$E$106="Back-loaded",IF(2&lt;='I_Inputs &amp; Assumptions'!$B$8/2,'I_Budget Input Data'!$D$106*0.4/('I_Inputs &amp; Assumptions'!$B$8/2),'I_Budget Input Data'!$D$106*0.6/('I_Inputs &amp; Assumptions'!$B$8/2)),IF('I_Budget Input Data'!$E$106="Mid-weighted",IF(2&lt;='I_Inputs &amp; Assumptions'!$B$8/4,'I_Budget Input Data'!$D$106*0.2/('I_Inputs &amp; Assumptions'!$B$8/4),IF(2&lt;='I_Inputs &amp; Assumptions'!$B$8*0.75,'I_Budget Input Data'!$D$106*0.6/('I_Inputs &amp; Assumptions'!$B$8/2),'I_Budget Input Data'!$D$106*0.2/('I_Inputs &amp; Assumptions'!$B$8/4))),IF('I_Budget Input Data'!$E$106="At Completion",IF(2='I_Inputs &amp; Assumptions'!$B$8,'I_Budget Input Data'!$D$106,0),'I_Budget Input Data'!$D$106/'I_Inputs &amp; Assumptions'!$B$8)))))),0)</f>
        <v>8373.0769230769238</v>
      </c>
      <c r="E106" s="91">
        <f>IF(3&lt;='I_Inputs &amp; Assumptions'!$B$8,IF('I_Budget Input Data'!$E$106="Upfront",IF(3=1,'I_Budget Input Data'!$D$106,0),IF('I_Budget Input Data'!$E$106="Equal",'I_Budget Input Data'!$D$106/'I_Inputs &amp; Assumptions'!$B$8,IF('I_Budget Input Data'!$E$106="Front-loaded",IF(3&lt;='I_Inputs &amp; Assumptions'!$B$8/2,'I_Budget Input Data'!$D$106*0.6/('I_Inputs &amp; Assumptions'!$B$8/2),'I_Budget Input Data'!$D$106*0.4/('I_Inputs &amp; Assumptions'!$B$8/2)),IF('I_Budget Input Data'!$E$106="Back-loaded",IF(3&lt;='I_Inputs &amp; Assumptions'!$B$8/2,'I_Budget Input Data'!$D$106*0.4/('I_Inputs &amp; Assumptions'!$B$8/2),'I_Budget Input Data'!$D$106*0.6/('I_Inputs &amp; Assumptions'!$B$8/2)),IF('I_Budget Input Data'!$E$106="Mid-weighted",IF(3&lt;='I_Inputs &amp; Assumptions'!$B$8/4,'I_Budget Input Data'!$D$106*0.2/('I_Inputs &amp; Assumptions'!$B$8/4),IF(3&lt;='I_Inputs &amp; Assumptions'!$B$8*0.75,'I_Budget Input Data'!$D$106*0.6/('I_Inputs &amp; Assumptions'!$B$8/2),'I_Budget Input Data'!$D$106*0.2/('I_Inputs &amp; Assumptions'!$B$8/4))),IF('I_Budget Input Data'!$E$106="At Completion",IF(3='I_Inputs &amp; Assumptions'!$B$8,'I_Budget Input Data'!$D$106,0),'I_Budget Input Data'!$D$106/'I_Inputs &amp; Assumptions'!$B$8)))))),0)</f>
        <v>8373.0769230769238</v>
      </c>
      <c r="F106" s="91">
        <f>IF(4&lt;='I_Inputs &amp; Assumptions'!$B$8,IF('I_Budget Input Data'!$E$106="Upfront",IF(4=1,'I_Budget Input Data'!$D$106,0),IF('I_Budget Input Data'!$E$106="Equal",'I_Budget Input Data'!$D$106/'I_Inputs &amp; Assumptions'!$B$8,IF('I_Budget Input Data'!$E$106="Front-loaded",IF(4&lt;='I_Inputs &amp; Assumptions'!$B$8/2,'I_Budget Input Data'!$D$106*0.6/('I_Inputs &amp; Assumptions'!$B$8/2),'I_Budget Input Data'!$D$106*0.4/('I_Inputs &amp; Assumptions'!$B$8/2)),IF('I_Budget Input Data'!$E$106="Back-loaded",IF(4&lt;='I_Inputs &amp; Assumptions'!$B$8/2,'I_Budget Input Data'!$D$106*0.4/('I_Inputs &amp; Assumptions'!$B$8/2),'I_Budget Input Data'!$D$106*0.6/('I_Inputs &amp; Assumptions'!$B$8/2)),IF('I_Budget Input Data'!$E$106="Mid-weighted",IF(4&lt;='I_Inputs &amp; Assumptions'!$B$8/4,'I_Budget Input Data'!$D$106*0.2/('I_Inputs &amp; Assumptions'!$B$8/4),IF(4&lt;='I_Inputs &amp; Assumptions'!$B$8*0.75,'I_Budget Input Data'!$D$106*0.6/('I_Inputs &amp; Assumptions'!$B$8/2),'I_Budget Input Data'!$D$106*0.2/('I_Inputs &amp; Assumptions'!$B$8/4))),IF('I_Budget Input Data'!$E$106="At Completion",IF(4='I_Inputs &amp; Assumptions'!$B$8,'I_Budget Input Data'!$D$106,0),'I_Budget Input Data'!$D$106/'I_Inputs &amp; Assumptions'!$B$8)))))),0)</f>
        <v>8373.0769230769238</v>
      </c>
      <c r="G106" s="91">
        <f>IF(5&lt;='I_Inputs &amp; Assumptions'!$B$8,IF('I_Budget Input Data'!$E$106="Upfront",IF(5=1,'I_Budget Input Data'!$D$106,0),IF('I_Budget Input Data'!$E$106="Equal",'I_Budget Input Data'!$D$106/'I_Inputs &amp; Assumptions'!$B$8,IF('I_Budget Input Data'!$E$106="Front-loaded",IF(5&lt;='I_Inputs &amp; Assumptions'!$B$8/2,'I_Budget Input Data'!$D$106*0.6/('I_Inputs &amp; Assumptions'!$B$8/2),'I_Budget Input Data'!$D$106*0.4/('I_Inputs &amp; Assumptions'!$B$8/2)),IF('I_Budget Input Data'!$E$106="Back-loaded",IF(5&lt;='I_Inputs &amp; Assumptions'!$B$8/2,'I_Budget Input Data'!$D$106*0.4/('I_Inputs &amp; Assumptions'!$B$8/2),'I_Budget Input Data'!$D$106*0.6/('I_Inputs &amp; Assumptions'!$B$8/2)),IF('I_Budget Input Data'!$E$106="Mid-weighted",IF(5&lt;='I_Inputs &amp; Assumptions'!$B$8/4,'I_Budget Input Data'!$D$106*0.2/('I_Inputs &amp; Assumptions'!$B$8/4),IF(5&lt;='I_Inputs &amp; Assumptions'!$B$8*0.75,'I_Budget Input Data'!$D$106*0.6/('I_Inputs &amp; Assumptions'!$B$8/2),'I_Budget Input Data'!$D$106*0.2/('I_Inputs &amp; Assumptions'!$B$8/4))),IF('I_Budget Input Data'!$E$106="At Completion",IF(5='I_Inputs &amp; Assumptions'!$B$8,'I_Budget Input Data'!$D$106,0),'I_Budget Input Data'!$D$106/'I_Inputs &amp; Assumptions'!$B$8)))))),0)</f>
        <v>8373.0769230769238</v>
      </c>
      <c r="H106" s="91">
        <f>IF(6&lt;='I_Inputs &amp; Assumptions'!$B$8,IF('I_Budget Input Data'!$E$106="Upfront",IF(6=1,'I_Budget Input Data'!$D$106,0),IF('I_Budget Input Data'!$E$106="Equal",'I_Budget Input Data'!$D$106/'I_Inputs &amp; Assumptions'!$B$8,IF('I_Budget Input Data'!$E$106="Front-loaded",IF(6&lt;='I_Inputs &amp; Assumptions'!$B$8/2,'I_Budget Input Data'!$D$106*0.6/('I_Inputs &amp; Assumptions'!$B$8/2),'I_Budget Input Data'!$D$106*0.4/('I_Inputs &amp; Assumptions'!$B$8/2)),IF('I_Budget Input Data'!$E$106="Back-loaded",IF(6&lt;='I_Inputs &amp; Assumptions'!$B$8/2,'I_Budget Input Data'!$D$106*0.4/('I_Inputs &amp; Assumptions'!$B$8/2),'I_Budget Input Data'!$D$106*0.6/('I_Inputs &amp; Assumptions'!$B$8/2)),IF('I_Budget Input Data'!$E$106="Mid-weighted",IF(6&lt;='I_Inputs &amp; Assumptions'!$B$8/4,'I_Budget Input Data'!$D$106*0.2/('I_Inputs &amp; Assumptions'!$B$8/4),IF(6&lt;='I_Inputs &amp; Assumptions'!$B$8*0.75,'I_Budget Input Data'!$D$106*0.6/('I_Inputs &amp; Assumptions'!$B$8/2),'I_Budget Input Data'!$D$106*0.2/('I_Inputs &amp; Assumptions'!$B$8/4))),IF('I_Budget Input Data'!$E$106="At Completion",IF(6='I_Inputs &amp; Assumptions'!$B$8,'I_Budget Input Data'!$D$106,0),'I_Budget Input Data'!$D$106/'I_Inputs &amp; Assumptions'!$B$8)))))),0)</f>
        <v>8373.0769230769238</v>
      </c>
      <c r="I106" s="91">
        <f>IF(7&lt;='I_Inputs &amp; Assumptions'!$B$8,IF('I_Budget Input Data'!$E$106="Upfront",IF(7=1,'I_Budget Input Data'!$D$106,0),IF('I_Budget Input Data'!$E$106="Equal",'I_Budget Input Data'!$D$106/'I_Inputs &amp; Assumptions'!$B$8,IF('I_Budget Input Data'!$E$106="Front-loaded",IF(7&lt;='I_Inputs &amp; Assumptions'!$B$8/2,'I_Budget Input Data'!$D$106*0.6/('I_Inputs &amp; Assumptions'!$B$8/2),'I_Budget Input Data'!$D$106*0.4/('I_Inputs &amp; Assumptions'!$B$8/2)),IF('I_Budget Input Data'!$E$106="Back-loaded",IF(7&lt;='I_Inputs &amp; Assumptions'!$B$8/2,'I_Budget Input Data'!$D$106*0.4/('I_Inputs &amp; Assumptions'!$B$8/2),'I_Budget Input Data'!$D$106*0.6/('I_Inputs &amp; Assumptions'!$B$8/2)),IF('I_Budget Input Data'!$E$106="Mid-weighted",IF(7&lt;='I_Inputs &amp; Assumptions'!$B$8/4,'I_Budget Input Data'!$D$106*0.2/('I_Inputs &amp; Assumptions'!$B$8/4),IF(7&lt;='I_Inputs &amp; Assumptions'!$B$8*0.75,'I_Budget Input Data'!$D$106*0.6/('I_Inputs &amp; Assumptions'!$B$8/2),'I_Budget Input Data'!$D$106*0.2/('I_Inputs &amp; Assumptions'!$B$8/4))),IF('I_Budget Input Data'!$E$106="At Completion",IF(7='I_Inputs &amp; Assumptions'!$B$8,'I_Budget Input Data'!$D$106,0),'I_Budget Input Data'!$D$106/'I_Inputs &amp; Assumptions'!$B$8)))))),0)</f>
        <v>8373.0769230769238</v>
      </c>
      <c r="J106" s="91">
        <f>IF(8&lt;='I_Inputs &amp; Assumptions'!$B$8,IF('I_Budget Input Data'!$E$106="Upfront",IF(8=1,'I_Budget Input Data'!$D$106,0),IF('I_Budget Input Data'!$E$106="Equal",'I_Budget Input Data'!$D$106/'I_Inputs &amp; Assumptions'!$B$8,IF('I_Budget Input Data'!$E$106="Front-loaded",IF(8&lt;='I_Inputs &amp; Assumptions'!$B$8/2,'I_Budget Input Data'!$D$106*0.6/('I_Inputs &amp; Assumptions'!$B$8/2),'I_Budget Input Data'!$D$106*0.4/('I_Inputs &amp; Assumptions'!$B$8/2)),IF('I_Budget Input Data'!$E$106="Back-loaded",IF(8&lt;='I_Inputs &amp; Assumptions'!$B$8/2,'I_Budget Input Data'!$D$106*0.4/('I_Inputs &amp; Assumptions'!$B$8/2),'I_Budget Input Data'!$D$106*0.6/('I_Inputs &amp; Assumptions'!$B$8/2)),IF('I_Budget Input Data'!$E$106="Mid-weighted",IF(8&lt;='I_Inputs &amp; Assumptions'!$B$8/4,'I_Budget Input Data'!$D$106*0.2/('I_Inputs &amp; Assumptions'!$B$8/4),IF(8&lt;='I_Inputs &amp; Assumptions'!$B$8*0.75,'I_Budget Input Data'!$D$106*0.6/('I_Inputs &amp; Assumptions'!$B$8/2),'I_Budget Input Data'!$D$106*0.2/('I_Inputs &amp; Assumptions'!$B$8/4))),IF('I_Budget Input Data'!$E$106="At Completion",IF(8='I_Inputs &amp; Assumptions'!$B$8,'I_Budget Input Data'!$D$106,0),'I_Budget Input Data'!$D$106/'I_Inputs &amp; Assumptions'!$B$8)))))),0)</f>
        <v>8373.0769230769238</v>
      </c>
      <c r="K106" s="91">
        <f>IF(9&lt;='I_Inputs &amp; Assumptions'!$B$8,IF('I_Budget Input Data'!$E$106="Upfront",IF(9=1,'I_Budget Input Data'!$D$106,0),IF('I_Budget Input Data'!$E$106="Equal",'I_Budget Input Data'!$D$106/'I_Inputs &amp; Assumptions'!$B$8,IF('I_Budget Input Data'!$E$106="Front-loaded",IF(9&lt;='I_Inputs &amp; Assumptions'!$B$8/2,'I_Budget Input Data'!$D$106*0.6/('I_Inputs &amp; Assumptions'!$B$8/2),'I_Budget Input Data'!$D$106*0.4/('I_Inputs &amp; Assumptions'!$B$8/2)),IF('I_Budget Input Data'!$E$106="Back-loaded",IF(9&lt;='I_Inputs &amp; Assumptions'!$B$8/2,'I_Budget Input Data'!$D$106*0.4/('I_Inputs &amp; Assumptions'!$B$8/2),'I_Budget Input Data'!$D$106*0.6/('I_Inputs &amp; Assumptions'!$B$8/2)),IF('I_Budget Input Data'!$E$106="Mid-weighted",IF(9&lt;='I_Inputs &amp; Assumptions'!$B$8/4,'I_Budget Input Data'!$D$106*0.2/('I_Inputs &amp; Assumptions'!$B$8/4),IF(9&lt;='I_Inputs &amp; Assumptions'!$B$8*0.75,'I_Budget Input Data'!$D$106*0.6/('I_Inputs &amp; Assumptions'!$B$8/2),'I_Budget Input Data'!$D$106*0.2/('I_Inputs &amp; Assumptions'!$B$8/4))),IF('I_Budget Input Data'!$E$106="At Completion",IF(9='I_Inputs &amp; Assumptions'!$B$8,'I_Budget Input Data'!$D$106,0),'I_Budget Input Data'!$D$106/'I_Inputs &amp; Assumptions'!$B$8)))))),0)</f>
        <v>8373.0769230769238</v>
      </c>
      <c r="L106" s="91">
        <f>IF(10&lt;='I_Inputs &amp; Assumptions'!$B$8,IF('I_Budget Input Data'!$E$106="Upfront",IF(10=1,'I_Budget Input Data'!$D$106,0),IF('I_Budget Input Data'!$E$106="Equal",'I_Budget Input Data'!$D$106/'I_Inputs &amp; Assumptions'!$B$8,IF('I_Budget Input Data'!$E$106="Front-loaded",IF(10&lt;='I_Inputs &amp; Assumptions'!$B$8/2,'I_Budget Input Data'!$D$106*0.6/('I_Inputs &amp; Assumptions'!$B$8/2),'I_Budget Input Data'!$D$106*0.4/('I_Inputs &amp; Assumptions'!$B$8/2)),IF('I_Budget Input Data'!$E$106="Back-loaded",IF(10&lt;='I_Inputs &amp; Assumptions'!$B$8/2,'I_Budget Input Data'!$D$106*0.4/('I_Inputs &amp; Assumptions'!$B$8/2),'I_Budget Input Data'!$D$106*0.6/('I_Inputs &amp; Assumptions'!$B$8/2)),IF('I_Budget Input Data'!$E$106="Mid-weighted",IF(10&lt;='I_Inputs &amp; Assumptions'!$B$8/4,'I_Budget Input Data'!$D$106*0.2/('I_Inputs &amp; Assumptions'!$B$8/4),IF(10&lt;='I_Inputs &amp; Assumptions'!$B$8*0.75,'I_Budget Input Data'!$D$106*0.6/('I_Inputs &amp; Assumptions'!$B$8/2),'I_Budget Input Data'!$D$106*0.2/('I_Inputs &amp; Assumptions'!$B$8/4))),IF('I_Budget Input Data'!$E$106="At Completion",IF(10='I_Inputs &amp; Assumptions'!$B$8,'I_Budget Input Data'!$D$106,0),'I_Budget Input Data'!$D$106/'I_Inputs &amp; Assumptions'!$B$8)))))),0)</f>
        <v>8373.0769230769238</v>
      </c>
      <c r="M106" s="91">
        <f>IF(11&lt;='I_Inputs &amp; Assumptions'!$B$8,IF('I_Budget Input Data'!$E$106="Upfront",IF(11=1,'I_Budget Input Data'!$D$106,0),IF('I_Budget Input Data'!$E$106="Equal",'I_Budget Input Data'!$D$106/'I_Inputs &amp; Assumptions'!$B$8,IF('I_Budget Input Data'!$E$106="Front-loaded",IF(11&lt;='I_Inputs &amp; Assumptions'!$B$8/2,'I_Budget Input Data'!$D$106*0.6/('I_Inputs &amp; Assumptions'!$B$8/2),'I_Budget Input Data'!$D$106*0.4/('I_Inputs &amp; Assumptions'!$B$8/2)),IF('I_Budget Input Data'!$E$106="Back-loaded",IF(11&lt;='I_Inputs &amp; Assumptions'!$B$8/2,'I_Budget Input Data'!$D$106*0.4/('I_Inputs &amp; Assumptions'!$B$8/2),'I_Budget Input Data'!$D$106*0.6/('I_Inputs &amp; Assumptions'!$B$8/2)),IF('I_Budget Input Data'!$E$106="Mid-weighted",IF(11&lt;='I_Inputs &amp; Assumptions'!$B$8/4,'I_Budget Input Data'!$D$106*0.2/('I_Inputs &amp; Assumptions'!$B$8/4),IF(11&lt;='I_Inputs &amp; Assumptions'!$B$8*0.75,'I_Budget Input Data'!$D$106*0.6/('I_Inputs &amp; Assumptions'!$B$8/2),'I_Budget Input Data'!$D$106*0.2/('I_Inputs &amp; Assumptions'!$B$8/4))),IF('I_Budget Input Data'!$E$106="At Completion",IF(11='I_Inputs &amp; Assumptions'!$B$8,'I_Budget Input Data'!$D$106,0),'I_Budget Input Data'!$D$106/'I_Inputs &amp; Assumptions'!$B$8)))))),0)</f>
        <v>8373.0769230769238</v>
      </c>
      <c r="N106" s="91">
        <f>IF(12&lt;='I_Inputs &amp; Assumptions'!$B$8,IF('I_Budget Input Data'!$E$106="Upfront",IF(12=1,'I_Budget Input Data'!$D$106,0),IF('I_Budget Input Data'!$E$106="Equal",'I_Budget Input Data'!$D$106/'I_Inputs &amp; Assumptions'!$B$8,IF('I_Budget Input Data'!$E$106="Front-loaded",IF(12&lt;='I_Inputs &amp; Assumptions'!$B$8/2,'I_Budget Input Data'!$D$106*0.6/('I_Inputs &amp; Assumptions'!$B$8/2),'I_Budget Input Data'!$D$106*0.4/('I_Inputs &amp; Assumptions'!$B$8/2)),IF('I_Budget Input Data'!$E$106="Back-loaded",IF(12&lt;='I_Inputs &amp; Assumptions'!$B$8/2,'I_Budget Input Data'!$D$106*0.4/('I_Inputs &amp; Assumptions'!$B$8/2),'I_Budget Input Data'!$D$106*0.6/('I_Inputs &amp; Assumptions'!$B$8/2)),IF('I_Budget Input Data'!$E$106="Mid-weighted",IF(12&lt;='I_Inputs &amp; Assumptions'!$B$8/4,'I_Budget Input Data'!$D$106*0.2/('I_Inputs &amp; Assumptions'!$B$8/4),IF(12&lt;='I_Inputs &amp; Assumptions'!$B$8*0.75,'I_Budget Input Data'!$D$106*0.6/('I_Inputs &amp; Assumptions'!$B$8/2),'I_Budget Input Data'!$D$106*0.2/('I_Inputs &amp; Assumptions'!$B$8/4))),IF('I_Budget Input Data'!$E$106="At Completion",IF(12='I_Inputs &amp; Assumptions'!$B$8,'I_Budget Input Data'!$D$106,0),'I_Budget Input Data'!$D$106/'I_Inputs &amp; Assumptions'!$B$8)))))),0)</f>
        <v>8373.0769230769238</v>
      </c>
      <c r="O106" s="91">
        <f>IF(13&lt;='I_Inputs &amp; Assumptions'!$B$8,IF('I_Budget Input Data'!$E$106="Upfront",IF(13=1,'I_Budget Input Data'!$D$106,0),IF('I_Budget Input Data'!$E$106="Equal",'I_Budget Input Data'!$D$106/'I_Inputs &amp; Assumptions'!$B$8,IF('I_Budget Input Data'!$E$106="Front-loaded",IF(13&lt;='I_Inputs &amp; Assumptions'!$B$8/2,'I_Budget Input Data'!$D$106*0.6/('I_Inputs &amp; Assumptions'!$B$8/2),'I_Budget Input Data'!$D$106*0.4/('I_Inputs &amp; Assumptions'!$B$8/2)),IF('I_Budget Input Data'!$E$106="Back-loaded",IF(13&lt;='I_Inputs &amp; Assumptions'!$B$8/2,'I_Budget Input Data'!$D$106*0.4/('I_Inputs &amp; Assumptions'!$B$8/2),'I_Budget Input Data'!$D$106*0.6/('I_Inputs &amp; Assumptions'!$B$8/2)),IF('I_Budget Input Data'!$E$106="Mid-weighted",IF(13&lt;='I_Inputs &amp; Assumptions'!$B$8/4,'I_Budget Input Data'!$D$106*0.2/('I_Inputs &amp; Assumptions'!$B$8/4),IF(13&lt;='I_Inputs &amp; Assumptions'!$B$8*0.75,'I_Budget Input Data'!$D$106*0.6/('I_Inputs &amp; Assumptions'!$B$8/2),'I_Budget Input Data'!$D$106*0.2/('I_Inputs &amp; Assumptions'!$B$8/4))),IF('I_Budget Input Data'!$E$106="At Completion",IF(13='I_Inputs &amp; Assumptions'!$B$8,'I_Budget Input Data'!$D$106,0),'I_Budget Input Data'!$D$106/'I_Inputs &amp; Assumptions'!$B$8)))))),0)</f>
        <v>8373.0769230769238</v>
      </c>
      <c r="P106" s="91">
        <f>IF(14&lt;='I_Inputs &amp; Assumptions'!$B$8,IF('I_Budget Input Data'!$E$106="Upfront",IF(14=1,'I_Budget Input Data'!$D$106,0),IF('I_Budget Input Data'!$E$106="Equal",'I_Budget Input Data'!$D$106/'I_Inputs &amp; Assumptions'!$B$8,IF('I_Budget Input Data'!$E$106="Front-loaded",IF(14&lt;='I_Inputs &amp; Assumptions'!$B$8/2,'I_Budget Input Data'!$D$106*0.6/('I_Inputs &amp; Assumptions'!$B$8/2),'I_Budget Input Data'!$D$106*0.4/('I_Inputs &amp; Assumptions'!$B$8/2)),IF('I_Budget Input Data'!$E$106="Back-loaded",IF(14&lt;='I_Inputs &amp; Assumptions'!$B$8/2,'I_Budget Input Data'!$D$106*0.4/('I_Inputs &amp; Assumptions'!$B$8/2),'I_Budget Input Data'!$D$106*0.6/('I_Inputs &amp; Assumptions'!$B$8/2)),IF('I_Budget Input Data'!$E$106="Mid-weighted",IF(14&lt;='I_Inputs &amp; Assumptions'!$B$8/4,'I_Budget Input Data'!$D$106*0.2/('I_Inputs &amp; Assumptions'!$B$8/4),IF(14&lt;='I_Inputs &amp; Assumptions'!$B$8*0.75,'I_Budget Input Data'!$D$106*0.6/('I_Inputs &amp; Assumptions'!$B$8/2),'I_Budget Input Data'!$D$106*0.2/('I_Inputs &amp; Assumptions'!$B$8/4))),IF('I_Budget Input Data'!$E$106="At Completion",IF(14='I_Inputs &amp; Assumptions'!$B$8,'I_Budget Input Data'!$D$106,0),'I_Budget Input Data'!$D$106/'I_Inputs &amp; Assumptions'!$B$8)))))),0)</f>
        <v>0</v>
      </c>
      <c r="Q106" s="91">
        <f>IF(15&lt;='I_Inputs &amp; Assumptions'!$B$8,IF('I_Budget Input Data'!$E$106="Upfront",IF(15=1,'I_Budget Input Data'!$D$106,0),IF('I_Budget Input Data'!$E$106="Equal",'I_Budget Input Data'!$D$106/'I_Inputs &amp; Assumptions'!$B$8,IF('I_Budget Input Data'!$E$106="Front-loaded",IF(15&lt;='I_Inputs &amp; Assumptions'!$B$8/2,'I_Budget Input Data'!$D$106*0.6/('I_Inputs &amp; Assumptions'!$B$8/2),'I_Budget Input Data'!$D$106*0.4/('I_Inputs &amp; Assumptions'!$B$8/2)),IF('I_Budget Input Data'!$E$106="Back-loaded",IF(15&lt;='I_Inputs &amp; Assumptions'!$B$8/2,'I_Budget Input Data'!$D$106*0.4/('I_Inputs &amp; Assumptions'!$B$8/2),'I_Budget Input Data'!$D$106*0.6/('I_Inputs &amp; Assumptions'!$B$8/2)),IF('I_Budget Input Data'!$E$106="Mid-weighted",IF(15&lt;='I_Inputs &amp; Assumptions'!$B$8/4,'I_Budget Input Data'!$D$106*0.2/('I_Inputs &amp; Assumptions'!$B$8/4),IF(15&lt;='I_Inputs &amp; Assumptions'!$B$8*0.75,'I_Budget Input Data'!$D$106*0.6/('I_Inputs &amp; Assumptions'!$B$8/2),'I_Budget Input Data'!$D$106*0.2/('I_Inputs &amp; Assumptions'!$B$8/4))),IF('I_Budget Input Data'!$E$106="At Completion",IF(15='I_Inputs &amp; Assumptions'!$B$8,'I_Budget Input Data'!$D$106,0),'I_Budget Input Data'!$D$106/'I_Inputs &amp; Assumptions'!$B$8)))))),0)</f>
        <v>0</v>
      </c>
      <c r="R106" s="91">
        <f>IF(16&lt;='I_Inputs &amp; Assumptions'!$B$8,IF('I_Budget Input Data'!$E$106="Upfront",IF(16=1,'I_Budget Input Data'!$D$106,0),IF('I_Budget Input Data'!$E$106="Equal",'I_Budget Input Data'!$D$106/'I_Inputs &amp; Assumptions'!$B$8,IF('I_Budget Input Data'!$E$106="Front-loaded",IF(16&lt;='I_Inputs &amp; Assumptions'!$B$8/2,'I_Budget Input Data'!$D$106*0.6/('I_Inputs &amp; Assumptions'!$B$8/2),'I_Budget Input Data'!$D$106*0.4/('I_Inputs &amp; Assumptions'!$B$8/2)),IF('I_Budget Input Data'!$E$106="Back-loaded",IF(16&lt;='I_Inputs &amp; Assumptions'!$B$8/2,'I_Budget Input Data'!$D$106*0.4/('I_Inputs &amp; Assumptions'!$B$8/2),'I_Budget Input Data'!$D$106*0.6/('I_Inputs &amp; Assumptions'!$B$8/2)),IF('I_Budget Input Data'!$E$106="Mid-weighted",IF(16&lt;='I_Inputs &amp; Assumptions'!$B$8/4,'I_Budget Input Data'!$D$106*0.2/('I_Inputs &amp; Assumptions'!$B$8/4),IF(16&lt;='I_Inputs &amp; Assumptions'!$B$8*0.75,'I_Budget Input Data'!$D$106*0.6/('I_Inputs &amp; Assumptions'!$B$8/2),'I_Budget Input Data'!$D$106*0.2/('I_Inputs &amp; Assumptions'!$B$8/4))),IF('I_Budget Input Data'!$E$106="At Completion",IF(16='I_Inputs &amp; Assumptions'!$B$8,'I_Budget Input Data'!$D$106,0),'I_Budget Input Data'!$D$106/'I_Inputs &amp; Assumptions'!$B$8)))))),0)</f>
        <v>0</v>
      </c>
      <c r="S106" s="91">
        <f>IF(17&lt;='I_Inputs &amp; Assumptions'!$B$8,IF('I_Budget Input Data'!$E$106="Upfront",IF(17=1,'I_Budget Input Data'!$D$106,0),IF('I_Budget Input Data'!$E$106="Equal",'I_Budget Input Data'!$D$106/'I_Inputs &amp; Assumptions'!$B$8,IF('I_Budget Input Data'!$E$106="Front-loaded",IF(17&lt;='I_Inputs &amp; Assumptions'!$B$8/2,'I_Budget Input Data'!$D$106*0.6/('I_Inputs &amp; Assumptions'!$B$8/2),'I_Budget Input Data'!$D$106*0.4/('I_Inputs &amp; Assumptions'!$B$8/2)),IF('I_Budget Input Data'!$E$106="Back-loaded",IF(17&lt;='I_Inputs &amp; Assumptions'!$B$8/2,'I_Budget Input Data'!$D$106*0.4/('I_Inputs &amp; Assumptions'!$B$8/2),'I_Budget Input Data'!$D$106*0.6/('I_Inputs &amp; Assumptions'!$B$8/2)),IF('I_Budget Input Data'!$E$106="Mid-weighted",IF(17&lt;='I_Inputs &amp; Assumptions'!$B$8/4,'I_Budget Input Data'!$D$106*0.2/('I_Inputs &amp; Assumptions'!$B$8/4),IF(17&lt;='I_Inputs &amp; Assumptions'!$B$8*0.75,'I_Budget Input Data'!$D$106*0.6/('I_Inputs &amp; Assumptions'!$B$8/2),'I_Budget Input Data'!$D$106*0.2/('I_Inputs &amp; Assumptions'!$B$8/4))),IF('I_Budget Input Data'!$E$106="At Completion",IF(17='I_Inputs &amp; Assumptions'!$B$8,'I_Budget Input Data'!$D$106,0),'I_Budget Input Data'!$D$106/'I_Inputs &amp; Assumptions'!$B$8)))))),0)</f>
        <v>0</v>
      </c>
      <c r="T106" s="91">
        <f>IF(18&lt;='I_Inputs &amp; Assumptions'!$B$8,IF('I_Budget Input Data'!$E$106="Upfront",IF(18=1,'I_Budget Input Data'!$D$106,0),IF('I_Budget Input Data'!$E$106="Equal",'I_Budget Input Data'!$D$106/'I_Inputs &amp; Assumptions'!$B$8,IF('I_Budget Input Data'!$E$106="Front-loaded",IF(18&lt;='I_Inputs &amp; Assumptions'!$B$8/2,'I_Budget Input Data'!$D$106*0.6/('I_Inputs &amp; Assumptions'!$B$8/2),'I_Budget Input Data'!$D$106*0.4/('I_Inputs &amp; Assumptions'!$B$8/2)),IF('I_Budget Input Data'!$E$106="Back-loaded",IF(18&lt;='I_Inputs &amp; Assumptions'!$B$8/2,'I_Budget Input Data'!$D$106*0.4/('I_Inputs &amp; Assumptions'!$B$8/2),'I_Budget Input Data'!$D$106*0.6/('I_Inputs &amp; Assumptions'!$B$8/2)),IF('I_Budget Input Data'!$E$106="Mid-weighted",IF(18&lt;='I_Inputs &amp; Assumptions'!$B$8/4,'I_Budget Input Data'!$D$106*0.2/('I_Inputs &amp; Assumptions'!$B$8/4),IF(18&lt;='I_Inputs &amp; Assumptions'!$B$8*0.75,'I_Budget Input Data'!$D$106*0.6/('I_Inputs &amp; Assumptions'!$B$8/2),'I_Budget Input Data'!$D$106*0.2/('I_Inputs &amp; Assumptions'!$B$8/4))),IF('I_Budget Input Data'!$E$106="At Completion",IF(18='I_Inputs &amp; Assumptions'!$B$8,'I_Budget Input Data'!$D$106,0),'I_Budget Input Data'!$D$106/'I_Inputs &amp; Assumptions'!$B$8)))))),0)</f>
        <v>0</v>
      </c>
      <c r="U106" s="91">
        <f>IF(19&lt;='I_Inputs &amp; Assumptions'!$B$8,IF('I_Budget Input Data'!$E$106="Upfront",IF(19=1,'I_Budget Input Data'!$D$106,0),IF('I_Budget Input Data'!$E$106="Equal",'I_Budget Input Data'!$D$106/'I_Inputs &amp; Assumptions'!$B$8,IF('I_Budget Input Data'!$E$106="Front-loaded",IF(19&lt;='I_Inputs &amp; Assumptions'!$B$8/2,'I_Budget Input Data'!$D$106*0.6/('I_Inputs &amp; Assumptions'!$B$8/2),'I_Budget Input Data'!$D$106*0.4/('I_Inputs &amp; Assumptions'!$B$8/2)),IF('I_Budget Input Data'!$E$106="Back-loaded",IF(19&lt;='I_Inputs &amp; Assumptions'!$B$8/2,'I_Budget Input Data'!$D$106*0.4/('I_Inputs &amp; Assumptions'!$B$8/2),'I_Budget Input Data'!$D$106*0.6/('I_Inputs &amp; Assumptions'!$B$8/2)),IF('I_Budget Input Data'!$E$106="Mid-weighted",IF(19&lt;='I_Inputs &amp; Assumptions'!$B$8/4,'I_Budget Input Data'!$D$106*0.2/('I_Inputs &amp; Assumptions'!$B$8/4),IF(19&lt;='I_Inputs &amp; Assumptions'!$B$8*0.75,'I_Budget Input Data'!$D$106*0.6/('I_Inputs &amp; Assumptions'!$B$8/2),'I_Budget Input Data'!$D$106*0.2/('I_Inputs &amp; Assumptions'!$B$8/4))),IF('I_Budget Input Data'!$E$106="At Completion",IF(19='I_Inputs &amp; Assumptions'!$B$8,'I_Budget Input Data'!$D$106,0),'I_Budget Input Data'!$D$106/'I_Inputs &amp; Assumptions'!$B$8)))))),0)</f>
        <v>0</v>
      </c>
      <c r="V106" s="91">
        <f>IF(20&lt;='I_Inputs &amp; Assumptions'!$B$8,IF('I_Budget Input Data'!$E$106="Upfront",IF(20=1,'I_Budget Input Data'!$D$106,0),IF('I_Budget Input Data'!$E$106="Equal",'I_Budget Input Data'!$D$106/'I_Inputs &amp; Assumptions'!$B$8,IF('I_Budget Input Data'!$E$106="Front-loaded",IF(20&lt;='I_Inputs &amp; Assumptions'!$B$8/2,'I_Budget Input Data'!$D$106*0.6/('I_Inputs &amp; Assumptions'!$B$8/2),'I_Budget Input Data'!$D$106*0.4/('I_Inputs &amp; Assumptions'!$B$8/2)),IF('I_Budget Input Data'!$E$106="Back-loaded",IF(20&lt;='I_Inputs &amp; Assumptions'!$B$8/2,'I_Budget Input Data'!$D$106*0.4/('I_Inputs &amp; Assumptions'!$B$8/2),'I_Budget Input Data'!$D$106*0.6/('I_Inputs &amp; Assumptions'!$B$8/2)),IF('I_Budget Input Data'!$E$106="Mid-weighted",IF(20&lt;='I_Inputs &amp; Assumptions'!$B$8/4,'I_Budget Input Data'!$D$106*0.2/('I_Inputs &amp; Assumptions'!$B$8/4),IF(20&lt;='I_Inputs &amp; Assumptions'!$B$8*0.75,'I_Budget Input Data'!$D$106*0.6/('I_Inputs &amp; Assumptions'!$B$8/2),'I_Budget Input Data'!$D$106*0.2/('I_Inputs &amp; Assumptions'!$B$8/4))),IF('I_Budget Input Data'!$E$106="At Completion",IF(20='I_Inputs &amp; Assumptions'!$B$8,'I_Budget Input Data'!$D$106,0),'I_Budget Input Data'!$D$106/'I_Inputs &amp; Assumptions'!$B$8)))))),0)</f>
        <v>0</v>
      </c>
      <c r="W106" s="91">
        <f>IF(21&lt;='I_Inputs &amp; Assumptions'!$B$8,IF('I_Budget Input Data'!$E$106="Upfront",IF(21=1,'I_Budget Input Data'!$D$106,0),IF('I_Budget Input Data'!$E$106="Equal",'I_Budget Input Data'!$D$106/'I_Inputs &amp; Assumptions'!$B$8,IF('I_Budget Input Data'!$E$106="Front-loaded",IF(21&lt;='I_Inputs &amp; Assumptions'!$B$8/2,'I_Budget Input Data'!$D$106*0.6/('I_Inputs &amp; Assumptions'!$B$8/2),'I_Budget Input Data'!$D$106*0.4/('I_Inputs &amp; Assumptions'!$B$8/2)),IF('I_Budget Input Data'!$E$106="Back-loaded",IF(21&lt;='I_Inputs &amp; Assumptions'!$B$8/2,'I_Budget Input Data'!$D$106*0.4/('I_Inputs &amp; Assumptions'!$B$8/2),'I_Budget Input Data'!$D$106*0.6/('I_Inputs &amp; Assumptions'!$B$8/2)),IF('I_Budget Input Data'!$E$106="Mid-weighted",IF(21&lt;='I_Inputs &amp; Assumptions'!$B$8/4,'I_Budget Input Data'!$D$106*0.2/('I_Inputs &amp; Assumptions'!$B$8/4),IF(21&lt;='I_Inputs &amp; Assumptions'!$B$8*0.75,'I_Budget Input Data'!$D$106*0.6/('I_Inputs &amp; Assumptions'!$B$8/2),'I_Budget Input Data'!$D$106*0.2/('I_Inputs &amp; Assumptions'!$B$8/4))),IF('I_Budget Input Data'!$E$106="At Completion",IF(21='I_Inputs &amp; Assumptions'!$B$8,'I_Budget Input Data'!$D$106,0),'I_Budget Input Data'!$D$106/'I_Inputs &amp; Assumptions'!$B$8)))))),0)</f>
        <v>0</v>
      </c>
      <c r="X106" s="91">
        <f>IF(22&lt;='I_Inputs &amp; Assumptions'!$B$8,IF('I_Budget Input Data'!$E$106="Upfront",IF(22=1,'I_Budget Input Data'!$D$106,0),IF('I_Budget Input Data'!$E$106="Equal",'I_Budget Input Data'!$D$106/'I_Inputs &amp; Assumptions'!$B$8,IF('I_Budget Input Data'!$E$106="Front-loaded",IF(22&lt;='I_Inputs &amp; Assumptions'!$B$8/2,'I_Budget Input Data'!$D$106*0.6/('I_Inputs &amp; Assumptions'!$B$8/2),'I_Budget Input Data'!$D$106*0.4/('I_Inputs &amp; Assumptions'!$B$8/2)),IF('I_Budget Input Data'!$E$106="Back-loaded",IF(22&lt;='I_Inputs &amp; Assumptions'!$B$8/2,'I_Budget Input Data'!$D$106*0.4/('I_Inputs &amp; Assumptions'!$B$8/2),'I_Budget Input Data'!$D$106*0.6/('I_Inputs &amp; Assumptions'!$B$8/2)),IF('I_Budget Input Data'!$E$106="Mid-weighted",IF(22&lt;='I_Inputs &amp; Assumptions'!$B$8/4,'I_Budget Input Data'!$D$106*0.2/('I_Inputs &amp; Assumptions'!$B$8/4),IF(22&lt;='I_Inputs &amp; Assumptions'!$B$8*0.75,'I_Budget Input Data'!$D$106*0.6/('I_Inputs &amp; Assumptions'!$B$8/2),'I_Budget Input Data'!$D$106*0.2/('I_Inputs &amp; Assumptions'!$B$8/4))),IF('I_Budget Input Data'!$E$106="At Completion",IF(22='I_Inputs &amp; Assumptions'!$B$8,'I_Budget Input Data'!$D$106,0),'I_Budget Input Data'!$D$106/'I_Inputs &amp; Assumptions'!$B$8)))))),0)</f>
        <v>0</v>
      </c>
      <c r="Y106" s="91">
        <f>IF(23&lt;='I_Inputs &amp; Assumptions'!$B$8,IF('I_Budget Input Data'!$E$106="Upfront",IF(23=1,'I_Budget Input Data'!$D$106,0),IF('I_Budget Input Data'!$E$106="Equal",'I_Budget Input Data'!$D$106/'I_Inputs &amp; Assumptions'!$B$8,IF('I_Budget Input Data'!$E$106="Front-loaded",IF(23&lt;='I_Inputs &amp; Assumptions'!$B$8/2,'I_Budget Input Data'!$D$106*0.6/('I_Inputs &amp; Assumptions'!$B$8/2),'I_Budget Input Data'!$D$106*0.4/('I_Inputs &amp; Assumptions'!$B$8/2)),IF('I_Budget Input Data'!$E$106="Back-loaded",IF(23&lt;='I_Inputs &amp; Assumptions'!$B$8/2,'I_Budget Input Data'!$D$106*0.4/('I_Inputs &amp; Assumptions'!$B$8/2),'I_Budget Input Data'!$D$106*0.6/('I_Inputs &amp; Assumptions'!$B$8/2)),IF('I_Budget Input Data'!$E$106="Mid-weighted",IF(23&lt;='I_Inputs &amp; Assumptions'!$B$8/4,'I_Budget Input Data'!$D$106*0.2/('I_Inputs &amp; Assumptions'!$B$8/4),IF(23&lt;='I_Inputs &amp; Assumptions'!$B$8*0.75,'I_Budget Input Data'!$D$106*0.6/('I_Inputs &amp; Assumptions'!$B$8/2),'I_Budget Input Data'!$D$106*0.2/('I_Inputs &amp; Assumptions'!$B$8/4))),IF('I_Budget Input Data'!$E$106="At Completion",IF(23='I_Inputs &amp; Assumptions'!$B$8,'I_Budget Input Data'!$D$106,0),'I_Budget Input Data'!$D$106/'I_Inputs &amp; Assumptions'!$B$8)))))),0)</f>
        <v>0</v>
      </c>
      <c r="Z106" s="91">
        <f>IF(24&lt;='I_Inputs &amp; Assumptions'!$B$8,IF('I_Budget Input Data'!$E$106="Upfront",IF(24=1,'I_Budget Input Data'!$D$106,0),IF('I_Budget Input Data'!$E$106="Equal",'I_Budget Input Data'!$D$106/'I_Inputs &amp; Assumptions'!$B$8,IF('I_Budget Input Data'!$E$106="Front-loaded",IF(24&lt;='I_Inputs &amp; Assumptions'!$B$8/2,'I_Budget Input Data'!$D$106*0.6/('I_Inputs &amp; Assumptions'!$B$8/2),'I_Budget Input Data'!$D$106*0.4/('I_Inputs &amp; Assumptions'!$B$8/2)),IF('I_Budget Input Data'!$E$106="Back-loaded",IF(24&lt;='I_Inputs &amp; Assumptions'!$B$8/2,'I_Budget Input Data'!$D$106*0.4/('I_Inputs &amp; Assumptions'!$B$8/2),'I_Budget Input Data'!$D$106*0.6/('I_Inputs &amp; Assumptions'!$B$8/2)),IF('I_Budget Input Data'!$E$106="Mid-weighted",IF(24&lt;='I_Inputs &amp; Assumptions'!$B$8/4,'I_Budget Input Data'!$D$106*0.2/('I_Inputs &amp; Assumptions'!$B$8/4),IF(24&lt;='I_Inputs &amp; Assumptions'!$B$8*0.75,'I_Budget Input Data'!$D$106*0.6/('I_Inputs &amp; Assumptions'!$B$8/2),'I_Budget Input Data'!$D$106*0.2/('I_Inputs &amp; Assumptions'!$B$8/4))),IF('I_Budget Input Data'!$E$106="At Completion",IF(24='I_Inputs &amp; Assumptions'!$B$8,'I_Budget Input Data'!$D$106,0),'I_Budget Input Data'!$D$106/'I_Inputs &amp; Assumptions'!$B$8)))))),0)</f>
        <v>0</v>
      </c>
      <c r="AA106" s="91">
        <f>IF(25&lt;='I_Inputs &amp; Assumptions'!$B$8,IF('I_Budget Input Data'!$E$106="Upfront",IF(25=1,'I_Budget Input Data'!$D$106,0),IF('I_Budget Input Data'!$E$106="Equal",'I_Budget Input Data'!$D$106/'I_Inputs &amp; Assumptions'!$B$8,IF('I_Budget Input Data'!$E$106="Front-loaded",IF(25&lt;='I_Inputs &amp; Assumptions'!$B$8/2,'I_Budget Input Data'!$D$106*0.6/('I_Inputs &amp; Assumptions'!$B$8/2),'I_Budget Input Data'!$D$106*0.4/('I_Inputs &amp; Assumptions'!$B$8/2)),IF('I_Budget Input Data'!$E$106="Back-loaded",IF(25&lt;='I_Inputs &amp; Assumptions'!$B$8/2,'I_Budget Input Data'!$D$106*0.4/('I_Inputs &amp; Assumptions'!$B$8/2),'I_Budget Input Data'!$D$106*0.6/('I_Inputs &amp; Assumptions'!$B$8/2)),IF('I_Budget Input Data'!$E$106="Mid-weighted",IF(25&lt;='I_Inputs &amp; Assumptions'!$B$8/4,'I_Budget Input Data'!$D$106*0.2/('I_Inputs &amp; Assumptions'!$B$8/4),IF(25&lt;='I_Inputs &amp; Assumptions'!$B$8*0.75,'I_Budget Input Data'!$D$106*0.6/('I_Inputs &amp; Assumptions'!$B$8/2),'I_Budget Input Data'!$D$106*0.2/('I_Inputs &amp; Assumptions'!$B$8/4))),IF('I_Budget Input Data'!$E$106="At Completion",IF(25='I_Inputs &amp; Assumptions'!$B$8,'I_Budget Input Data'!$D$106,0),'I_Budget Input Data'!$D$106/'I_Inputs &amp; Assumptions'!$B$8)))))),0)</f>
        <v>0</v>
      </c>
      <c r="AB106" s="91">
        <f>IF(26&lt;='I_Inputs &amp; Assumptions'!$B$8,IF('I_Budget Input Data'!$E$106="Upfront",IF(26=1,'I_Budget Input Data'!$D$106,0),IF('I_Budget Input Data'!$E$106="Equal",'I_Budget Input Data'!$D$106/'I_Inputs &amp; Assumptions'!$B$8,IF('I_Budget Input Data'!$E$106="Front-loaded",IF(26&lt;='I_Inputs &amp; Assumptions'!$B$8/2,'I_Budget Input Data'!$D$106*0.6/('I_Inputs &amp; Assumptions'!$B$8/2),'I_Budget Input Data'!$D$106*0.4/('I_Inputs &amp; Assumptions'!$B$8/2)),IF('I_Budget Input Data'!$E$106="Back-loaded",IF(26&lt;='I_Inputs &amp; Assumptions'!$B$8/2,'I_Budget Input Data'!$D$106*0.4/('I_Inputs &amp; Assumptions'!$B$8/2),'I_Budget Input Data'!$D$106*0.6/('I_Inputs &amp; Assumptions'!$B$8/2)),IF('I_Budget Input Data'!$E$106="Mid-weighted",IF(26&lt;='I_Inputs &amp; Assumptions'!$B$8/4,'I_Budget Input Data'!$D$106*0.2/('I_Inputs &amp; Assumptions'!$B$8/4),IF(26&lt;='I_Inputs &amp; Assumptions'!$B$8*0.75,'I_Budget Input Data'!$D$106*0.6/('I_Inputs &amp; Assumptions'!$B$8/2),'I_Budget Input Data'!$D$106*0.2/('I_Inputs &amp; Assumptions'!$B$8/4))),IF('I_Budget Input Data'!$E$106="At Completion",IF(26='I_Inputs &amp; Assumptions'!$B$8,'I_Budget Input Data'!$D$106,0),'I_Budget Input Data'!$D$106/'I_Inputs &amp; Assumptions'!$B$8)))))),0)</f>
        <v>0</v>
      </c>
      <c r="AC106" s="91">
        <f>IF(27&lt;='I_Inputs &amp; Assumptions'!$B$8,IF('I_Budget Input Data'!$E$106="Upfront",IF(27=1,'I_Budget Input Data'!$D$106,0),IF('I_Budget Input Data'!$E$106="Equal",'I_Budget Input Data'!$D$106/'I_Inputs &amp; Assumptions'!$B$8,IF('I_Budget Input Data'!$E$106="Front-loaded",IF(27&lt;='I_Inputs &amp; Assumptions'!$B$8/2,'I_Budget Input Data'!$D$106*0.6/('I_Inputs &amp; Assumptions'!$B$8/2),'I_Budget Input Data'!$D$106*0.4/('I_Inputs &amp; Assumptions'!$B$8/2)),IF('I_Budget Input Data'!$E$106="Back-loaded",IF(27&lt;='I_Inputs &amp; Assumptions'!$B$8/2,'I_Budget Input Data'!$D$106*0.4/('I_Inputs &amp; Assumptions'!$B$8/2),'I_Budget Input Data'!$D$106*0.6/('I_Inputs &amp; Assumptions'!$B$8/2)),IF('I_Budget Input Data'!$E$106="Mid-weighted",IF(27&lt;='I_Inputs &amp; Assumptions'!$B$8/4,'I_Budget Input Data'!$D$106*0.2/('I_Inputs &amp; Assumptions'!$B$8/4),IF(27&lt;='I_Inputs &amp; Assumptions'!$B$8*0.75,'I_Budget Input Data'!$D$106*0.6/('I_Inputs &amp; Assumptions'!$B$8/2),'I_Budget Input Data'!$D$106*0.2/('I_Inputs &amp; Assumptions'!$B$8/4))),IF('I_Budget Input Data'!$E$106="At Completion",IF(27='I_Inputs &amp; Assumptions'!$B$8,'I_Budget Input Data'!$D$106,0),'I_Budget Input Data'!$D$106/'I_Inputs &amp; Assumptions'!$B$8)))))),0)</f>
        <v>0</v>
      </c>
      <c r="AD106" s="91">
        <f>IF(28&lt;='I_Inputs &amp; Assumptions'!$B$8,IF('I_Budget Input Data'!$E$106="Upfront",IF(28=1,'I_Budget Input Data'!$D$106,0),IF('I_Budget Input Data'!$E$106="Equal",'I_Budget Input Data'!$D$106/'I_Inputs &amp; Assumptions'!$B$8,IF('I_Budget Input Data'!$E$106="Front-loaded",IF(28&lt;='I_Inputs &amp; Assumptions'!$B$8/2,'I_Budget Input Data'!$D$106*0.6/('I_Inputs &amp; Assumptions'!$B$8/2),'I_Budget Input Data'!$D$106*0.4/('I_Inputs &amp; Assumptions'!$B$8/2)),IF('I_Budget Input Data'!$E$106="Back-loaded",IF(28&lt;='I_Inputs &amp; Assumptions'!$B$8/2,'I_Budget Input Data'!$D$106*0.4/('I_Inputs &amp; Assumptions'!$B$8/2),'I_Budget Input Data'!$D$106*0.6/('I_Inputs &amp; Assumptions'!$B$8/2)),IF('I_Budget Input Data'!$E$106="Mid-weighted",IF(28&lt;='I_Inputs &amp; Assumptions'!$B$8/4,'I_Budget Input Data'!$D$106*0.2/('I_Inputs &amp; Assumptions'!$B$8/4),IF(28&lt;='I_Inputs &amp; Assumptions'!$B$8*0.75,'I_Budget Input Data'!$D$106*0.6/('I_Inputs &amp; Assumptions'!$B$8/2),'I_Budget Input Data'!$D$106*0.2/('I_Inputs &amp; Assumptions'!$B$8/4))),IF('I_Budget Input Data'!$E$106="At Completion",IF(28='I_Inputs &amp; Assumptions'!$B$8,'I_Budget Input Data'!$D$106,0),'I_Budget Input Data'!$D$106/'I_Inputs &amp; Assumptions'!$B$8)))))),0)</f>
        <v>0</v>
      </c>
      <c r="AE106" s="91">
        <f>IF(29&lt;='I_Inputs &amp; Assumptions'!$B$8,IF('I_Budget Input Data'!$E$106="Upfront",IF(29=1,'I_Budget Input Data'!$D$106,0),IF('I_Budget Input Data'!$E$106="Equal",'I_Budget Input Data'!$D$106/'I_Inputs &amp; Assumptions'!$B$8,IF('I_Budget Input Data'!$E$106="Front-loaded",IF(29&lt;='I_Inputs &amp; Assumptions'!$B$8/2,'I_Budget Input Data'!$D$106*0.6/('I_Inputs &amp; Assumptions'!$B$8/2),'I_Budget Input Data'!$D$106*0.4/('I_Inputs &amp; Assumptions'!$B$8/2)),IF('I_Budget Input Data'!$E$106="Back-loaded",IF(29&lt;='I_Inputs &amp; Assumptions'!$B$8/2,'I_Budget Input Data'!$D$106*0.4/('I_Inputs &amp; Assumptions'!$B$8/2),'I_Budget Input Data'!$D$106*0.6/('I_Inputs &amp; Assumptions'!$B$8/2)),IF('I_Budget Input Data'!$E$106="Mid-weighted",IF(29&lt;='I_Inputs &amp; Assumptions'!$B$8/4,'I_Budget Input Data'!$D$106*0.2/('I_Inputs &amp; Assumptions'!$B$8/4),IF(29&lt;='I_Inputs &amp; Assumptions'!$B$8*0.75,'I_Budget Input Data'!$D$106*0.6/('I_Inputs &amp; Assumptions'!$B$8/2),'I_Budget Input Data'!$D$106*0.2/('I_Inputs &amp; Assumptions'!$B$8/4))),IF('I_Budget Input Data'!$E$106="At Completion",IF(29='I_Inputs &amp; Assumptions'!$B$8,'I_Budget Input Data'!$D$106,0),'I_Budget Input Data'!$D$106/'I_Inputs &amp; Assumptions'!$B$8)))))),0)</f>
        <v>0</v>
      </c>
      <c r="AF106" s="91">
        <f>IF(30&lt;='I_Inputs &amp; Assumptions'!$B$8,IF('I_Budget Input Data'!$E$106="Upfront",IF(30=1,'I_Budget Input Data'!$D$106,0),IF('I_Budget Input Data'!$E$106="Equal",'I_Budget Input Data'!$D$106/'I_Inputs &amp; Assumptions'!$B$8,IF('I_Budget Input Data'!$E$106="Front-loaded",IF(30&lt;='I_Inputs &amp; Assumptions'!$B$8/2,'I_Budget Input Data'!$D$106*0.6/('I_Inputs &amp; Assumptions'!$B$8/2),'I_Budget Input Data'!$D$106*0.4/('I_Inputs &amp; Assumptions'!$B$8/2)),IF('I_Budget Input Data'!$E$106="Back-loaded",IF(30&lt;='I_Inputs &amp; Assumptions'!$B$8/2,'I_Budget Input Data'!$D$106*0.4/('I_Inputs &amp; Assumptions'!$B$8/2),'I_Budget Input Data'!$D$106*0.6/('I_Inputs &amp; Assumptions'!$B$8/2)),IF('I_Budget Input Data'!$E$106="Mid-weighted",IF(30&lt;='I_Inputs &amp; Assumptions'!$B$8/4,'I_Budget Input Data'!$D$106*0.2/('I_Inputs &amp; Assumptions'!$B$8/4),IF(30&lt;='I_Inputs &amp; Assumptions'!$B$8*0.75,'I_Budget Input Data'!$D$106*0.6/('I_Inputs &amp; Assumptions'!$B$8/2),'I_Budget Input Data'!$D$106*0.2/('I_Inputs &amp; Assumptions'!$B$8/4))),IF('I_Budget Input Data'!$E$106="At Completion",IF(30='I_Inputs &amp; Assumptions'!$B$8,'I_Budget Input Data'!$D$106,0),'I_Budget Input Data'!$D$106/'I_Inputs &amp; Assumptions'!$B$8)))))),0)</f>
        <v>0</v>
      </c>
      <c r="AG106" s="91">
        <f>IF(31&lt;='I_Inputs &amp; Assumptions'!$B$8,IF('I_Budget Input Data'!$E$106="Upfront",IF(31=1,'I_Budget Input Data'!$D$106,0),IF('I_Budget Input Data'!$E$106="Equal",'I_Budget Input Data'!$D$106/'I_Inputs &amp; Assumptions'!$B$8,IF('I_Budget Input Data'!$E$106="Front-loaded",IF(31&lt;='I_Inputs &amp; Assumptions'!$B$8/2,'I_Budget Input Data'!$D$106*0.6/('I_Inputs &amp; Assumptions'!$B$8/2),'I_Budget Input Data'!$D$106*0.4/('I_Inputs &amp; Assumptions'!$B$8/2)),IF('I_Budget Input Data'!$E$106="Back-loaded",IF(31&lt;='I_Inputs &amp; Assumptions'!$B$8/2,'I_Budget Input Data'!$D$106*0.4/('I_Inputs &amp; Assumptions'!$B$8/2),'I_Budget Input Data'!$D$106*0.6/('I_Inputs &amp; Assumptions'!$B$8/2)),IF('I_Budget Input Data'!$E$106="Mid-weighted",IF(31&lt;='I_Inputs &amp; Assumptions'!$B$8/4,'I_Budget Input Data'!$D$106*0.2/('I_Inputs &amp; Assumptions'!$B$8/4),IF(31&lt;='I_Inputs &amp; Assumptions'!$B$8*0.75,'I_Budget Input Data'!$D$106*0.6/('I_Inputs &amp; Assumptions'!$B$8/2),'I_Budget Input Data'!$D$106*0.2/('I_Inputs &amp; Assumptions'!$B$8/4))),IF('I_Budget Input Data'!$E$106="At Completion",IF(31='I_Inputs &amp; Assumptions'!$B$8,'I_Budget Input Data'!$D$106,0),'I_Budget Input Data'!$D$106/'I_Inputs &amp; Assumptions'!$B$8)))))),0)</f>
        <v>0</v>
      </c>
      <c r="AH106" s="91">
        <f>IF(32&lt;='I_Inputs &amp; Assumptions'!$B$8,IF('I_Budget Input Data'!$E$106="Upfront",IF(32=1,'I_Budget Input Data'!$D$106,0),IF('I_Budget Input Data'!$E$106="Equal",'I_Budget Input Data'!$D$106/'I_Inputs &amp; Assumptions'!$B$8,IF('I_Budget Input Data'!$E$106="Front-loaded",IF(32&lt;='I_Inputs &amp; Assumptions'!$B$8/2,'I_Budget Input Data'!$D$106*0.6/('I_Inputs &amp; Assumptions'!$B$8/2),'I_Budget Input Data'!$D$106*0.4/('I_Inputs &amp; Assumptions'!$B$8/2)),IF('I_Budget Input Data'!$E$106="Back-loaded",IF(32&lt;='I_Inputs &amp; Assumptions'!$B$8/2,'I_Budget Input Data'!$D$106*0.4/('I_Inputs &amp; Assumptions'!$B$8/2),'I_Budget Input Data'!$D$106*0.6/('I_Inputs &amp; Assumptions'!$B$8/2)),IF('I_Budget Input Data'!$E$106="Mid-weighted",IF(32&lt;='I_Inputs &amp; Assumptions'!$B$8/4,'I_Budget Input Data'!$D$106*0.2/('I_Inputs &amp; Assumptions'!$B$8/4),IF(32&lt;='I_Inputs &amp; Assumptions'!$B$8*0.75,'I_Budget Input Data'!$D$106*0.6/('I_Inputs &amp; Assumptions'!$B$8/2),'I_Budget Input Data'!$D$106*0.2/('I_Inputs &amp; Assumptions'!$B$8/4))),IF('I_Budget Input Data'!$E$106="At Completion",IF(32='I_Inputs &amp; Assumptions'!$B$8,'I_Budget Input Data'!$D$106,0),'I_Budget Input Data'!$D$106/'I_Inputs &amp; Assumptions'!$B$8)))))),0)</f>
        <v>0</v>
      </c>
      <c r="AI106" s="91">
        <f>IF(33&lt;='I_Inputs &amp; Assumptions'!$B$8,IF('I_Budget Input Data'!$E$106="Upfront",IF(33=1,'I_Budget Input Data'!$D$106,0),IF('I_Budget Input Data'!$E$106="Equal",'I_Budget Input Data'!$D$106/'I_Inputs &amp; Assumptions'!$B$8,IF('I_Budget Input Data'!$E$106="Front-loaded",IF(33&lt;='I_Inputs &amp; Assumptions'!$B$8/2,'I_Budget Input Data'!$D$106*0.6/('I_Inputs &amp; Assumptions'!$B$8/2),'I_Budget Input Data'!$D$106*0.4/('I_Inputs &amp; Assumptions'!$B$8/2)),IF('I_Budget Input Data'!$E$106="Back-loaded",IF(33&lt;='I_Inputs &amp; Assumptions'!$B$8/2,'I_Budget Input Data'!$D$106*0.4/('I_Inputs &amp; Assumptions'!$B$8/2),'I_Budget Input Data'!$D$106*0.6/('I_Inputs &amp; Assumptions'!$B$8/2)),IF('I_Budget Input Data'!$E$106="Mid-weighted",IF(33&lt;='I_Inputs &amp; Assumptions'!$B$8/4,'I_Budget Input Data'!$D$106*0.2/('I_Inputs &amp; Assumptions'!$B$8/4),IF(33&lt;='I_Inputs &amp; Assumptions'!$B$8*0.75,'I_Budget Input Data'!$D$106*0.6/('I_Inputs &amp; Assumptions'!$B$8/2),'I_Budget Input Data'!$D$106*0.2/('I_Inputs &amp; Assumptions'!$B$8/4))),IF('I_Budget Input Data'!$E$106="At Completion",IF(33='I_Inputs &amp; Assumptions'!$B$8,'I_Budget Input Data'!$D$106,0),'I_Budget Input Data'!$D$106/'I_Inputs &amp; Assumptions'!$B$8)))))),0)</f>
        <v>0</v>
      </c>
      <c r="AJ106" s="91">
        <f>IF(34&lt;='I_Inputs &amp; Assumptions'!$B$8,IF('I_Budget Input Data'!$E$106="Upfront",IF(34=1,'I_Budget Input Data'!$D$106,0),IF('I_Budget Input Data'!$E$106="Equal",'I_Budget Input Data'!$D$106/'I_Inputs &amp; Assumptions'!$B$8,IF('I_Budget Input Data'!$E$106="Front-loaded",IF(34&lt;='I_Inputs &amp; Assumptions'!$B$8/2,'I_Budget Input Data'!$D$106*0.6/('I_Inputs &amp; Assumptions'!$B$8/2),'I_Budget Input Data'!$D$106*0.4/('I_Inputs &amp; Assumptions'!$B$8/2)),IF('I_Budget Input Data'!$E$106="Back-loaded",IF(34&lt;='I_Inputs &amp; Assumptions'!$B$8/2,'I_Budget Input Data'!$D$106*0.4/('I_Inputs &amp; Assumptions'!$B$8/2),'I_Budget Input Data'!$D$106*0.6/('I_Inputs &amp; Assumptions'!$B$8/2)),IF('I_Budget Input Data'!$E$106="Mid-weighted",IF(34&lt;='I_Inputs &amp; Assumptions'!$B$8/4,'I_Budget Input Data'!$D$106*0.2/('I_Inputs &amp; Assumptions'!$B$8/4),IF(34&lt;='I_Inputs &amp; Assumptions'!$B$8*0.75,'I_Budget Input Data'!$D$106*0.6/('I_Inputs &amp; Assumptions'!$B$8/2),'I_Budget Input Data'!$D$106*0.2/('I_Inputs &amp; Assumptions'!$B$8/4))),IF('I_Budget Input Data'!$E$106="At Completion",IF(34='I_Inputs &amp; Assumptions'!$B$8,'I_Budget Input Data'!$D$106,0),'I_Budget Input Data'!$D$106/'I_Inputs &amp; Assumptions'!$B$8)))))),0)</f>
        <v>0</v>
      </c>
      <c r="AK106" s="91">
        <f>IF(35&lt;='I_Inputs &amp; Assumptions'!$B$8,IF('I_Budget Input Data'!$E$106="Upfront",IF(35=1,'I_Budget Input Data'!$D$106,0),IF('I_Budget Input Data'!$E$106="Equal",'I_Budget Input Data'!$D$106/'I_Inputs &amp; Assumptions'!$B$8,IF('I_Budget Input Data'!$E$106="Front-loaded",IF(35&lt;='I_Inputs &amp; Assumptions'!$B$8/2,'I_Budget Input Data'!$D$106*0.6/('I_Inputs &amp; Assumptions'!$B$8/2),'I_Budget Input Data'!$D$106*0.4/('I_Inputs &amp; Assumptions'!$B$8/2)),IF('I_Budget Input Data'!$E$106="Back-loaded",IF(35&lt;='I_Inputs &amp; Assumptions'!$B$8/2,'I_Budget Input Data'!$D$106*0.4/('I_Inputs &amp; Assumptions'!$B$8/2),'I_Budget Input Data'!$D$106*0.6/('I_Inputs &amp; Assumptions'!$B$8/2)),IF('I_Budget Input Data'!$E$106="Mid-weighted",IF(35&lt;='I_Inputs &amp; Assumptions'!$B$8/4,'I_Budget Input Data'!$D$106*0.2/('I_Inputs &amp; Assumptions'!$B$8/4),IF(35&lt;='I_Inputs &amp; Assumptions'!$B$8*0.75,'I_Budget Input Data'!$D$106*0.6/('I_Inputs &amp; Assumptions'!$B$8/2),'I_Budget Input Data'!$D$106*0.2/('I_Inputs &amp; Assumptions'!$B$8/4))),IF('I_Budget Input Data'!$E$106="At Completion",IF(35='I_Inputs &amp; Assumptions'!$B$8,'I_Budget Input Data'!$D$106,0),'I_Budget Input Data'!$D$106/'I_Inputs &amp; Assumptions'!$B$8)))))),0)</f>
        <v>0</v>
      </c>
      <c r="AL106" s="91">
        <f>IF(36&lt;='I_Inputs &amp; Assumptions'!$B$8,IF('I_Budget Input Data'!$E$106="Upfront",IF(36=1,'I_Budget Input Data'!$D$106,0),IF('I_Budget Input Data'!$E$106="Equal",'I_Budget Input Data'!$D$106/'I_Inputs &amp; Assumptions'!$B$8,IF('I_Budget Input Data'!$E$106="Front-loaded",IF(36&lt;='I_Inputs &amp; Assumptions'!$B$8/2,'I_Budget Input Data'!$D$106*0.6/('I_Inputs &amp; Assumptions'!$B$8/2),'I_Budget Input Data'!$D$106*0.4/('I_Inputs &amp; Assumptions'!$B$8/2)),IF('I_Budget Input Data'!$E$106="Back-loaded",IF(36&lt;='I_Inputs &amp; Assumptions'!$B$8/2,'I_Budget Input Data'!$D$106*0.4/('I_Inputs &amp; Assumptions'!$B$8/2),'I_Budget Input Data'!$D$106*0.6/('I_Inputs &amp; Assumptions'!$B$8/2)),IF('I_Budget Input Data'!$E$106="Mid-weighted",IF(36&lt;='I_Inputs &amp; Assumptions'!$B$8/4,'I_Budget Input Data'!$D$106*0.2/('I_Inputs &amp; Assumptions'!$B$8/4),IF(36&lt;='I_Inputs &amp; Assumptions'!$B$8*0.75,'I_Budget Input Data'!$D$106*0.6/('I_Inputs &amp; Assumptions'!$B$8/2),'I_Budget Input Data'!$D$106*0.2/('I_Inputs &amp; Assumptions'!$B$8/4))),IF('I_Budget Input Data'!$E$106="At Completion",IF(36='I_Inputs &amp; Assumptions'!$B$8,'I_Budget Input Data'!$D$106,0),'I_Budget Input Data'!$D$106/'I_Inputs &amp; Assumptions'!$B$8)))))),0)</f>
        <v>0</v>
      </c>
    </row>
    <row r="107" spans="1:38" ht="15" customHeight="1" x14ac:dyDescent="0.2">
      <c r="A107" t="s">
        <v>146</v>
      </c>
      <c r="B107" t="s">
        <v>223</v>
      </c>
      <c r="C107" s="91">
        <v>0</v>
      </c>
      <c r="D107" s="91">
        <v>0</v>
      </c>
      <c r="E107" s="91">
        <v>0</v>
      </c>
      <c r="F107" s="91">
        <v>0</v>
      </c>
      <c r="G107" s="91">
        <v>0</v>
      </c>
      <c r="H107" s="91">
        <v>0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91">
        <v>0</v>
      </c>
      <c r="Z107" s="91">
        <v>0</v>
      </c>
      <c r="AA107" s="91">
        <v>0</v>
      </c>
      <c r="AB107" s="91">
        <v>0</v>
      </c>
      <c r="AC107" s="91">
        <v>0</v>
      </c>
      <c r="AD107" s="91">
        <v>0</v>
      </c>
      <c r="AE107" s="91">
        <v>0</v>
      </c>
      <c r="AF107" s="91">
        <v>0</v>
      </c>
      <c r="AG107" s="91">
        <v>0</v>
      </c>
      <c r="AH107" s="91">
        <v>0</v>
      </c>
      <c r="AI107" s="91">
        <v>0</v>
      </c>
      <c r="AJ107" s="91">
        <v>0</v>
      </c>
      <c r="AK107" s="91">
        <v>0</v>
      </c>
      <c r="AL107" s="91">
        <v>0</v>
      </c>
    </row>
    <row r="108" spans="1:38" ht="15" customHeight="1" x14ac:dyDescent="0.2">
      <c r="A108" t="s">
        <v>146</v>
      </c>
      <c r="B108" t="s">
        <v>224</v>
      </c>
      <c r="C108" s="91">
        <f>IF(1&lt;='I_Inputs &amp; Assumptions'!$B$8,IF('I_Budget Input Data'!$E$108="Upfront",IF(1=1,'I_Budget Input Data'!$D$108,0),IF('I_Budget Input Data'!$E$108="Equal",'I_Budget Input Data'!$D$108/'I_Inputs &amp; Assumptions'!$B$8,IF('I_Budget Input Data'!$E$108="Front-loaded",IF(1&lt;='I_Inputs &amp; Assumptions'!$B$8/2,'I_Budget Input Data'!$D$108*0.6/('I_Inputs &amp; Assumptions'!$B$8/2),'I_Budget Input Data'!$D$108*0.4/('I_Inputs &amp; Assumptions'!$B$8/2)),IF('I_Budget Input Data'!$E$108="Back-loaded",IF(1&lt;='I_Inputs &amp; Assumptions'!$B$8/2,'I_Budget Input Data'!$D$108*0.4/('I_Inputs &amp; Assumptions'!$B$8/2),'I_Budget Input Data'!$D$108*0.6/('I_Inputs &amp; Assumptions'!$B$8/2)),IF('I_Budget Input Data'!$E$108="Mid-weighted",IF(1&lt;='I_Inputs &amp; Assumptions'!$B$8/4,'I_Budget Input Data'!$D$108*0.2/('I_Inputs &amp; Assumptions'!$B$8/4),IF(1&lt;='I_Inputs &amp; Assumptions'!$B$8*0.75,'I_Budget Input Data'!$D$108*0.6/('I_Inputs &amp; Assumptions'!$B$8/2),'I_Budget Input Data'!$D$108*0.2/('I_Inputs &amp; Assumptions'!$B$8/4))),IF('I_Budget Input Data'!$E$108="At Completion",IF(1='I_Inputs &amp; Assumptions'!$B$8,'I_Budget Input Data'!$D$108,0),'I_Budget Input Data'!$D$108/'I_Inputs &amp; Assumptions'!$B$8)))))),0)</f>
        <v>52393.107692307691</v>
      </c>
      <c r="D108" s="91">
        <f>IF(2&lt;='I_Inputs &amp; Assumptions'!$B$8,IF('I_Budget Input Data'!$E$108="Upfront",IF(2=1,'I_Budget Input Data'!$D$108,0),IF('I_Budget Input Data'!$E$108="Equal",'I_Budget Input Data'!$D$108/'I_Inputs &amp; Assumptions'!$B$8,IF('I_Budget Input Data'!$E$108="Front-loaded",IF(2&lt;='I_Inputs &amp; Assumptions'!$B$8/2,'I_Budget Input Data'!$D$108*0.6/('I_Inputs &amp; Assumptions'!$B$8/2),'I_Budget Input Data'!$D$108*0.4/('I_Inputs &amp; Assumptions'!$B$8/2)),IF('I_Budget Input Data'!$E$108="Back-loaded",IF(2&lt;='I_Inputs &amp; Assumptions'!$B$8/2,'I_Budget Input Data'!$D$108*0.4/('I_Inputs &amp; Assumptions'!$B$8/2),'I_Budget Input Data'!$D$108*0.6/('I_Inputs &amp; Assumptions'!$B$8/2)),IF('I_Budget Input Data'!$E$108="Mid-weighted",IF(2&lt;='I_Inputs &amp; Assumptions'!$B$8/4,'I_Budget Input Data'!$D$108*0.2/('I_Inputs &amp; Assumptions'!$B$8/4),IF(2&lt;='I_Inputs &amp; Assumptions'!$B$8*0.75,'I_Budget Input Data'!$D$108*0.6/('I_Inputs &amp; Assumptions'!$B$8/2),'I_Budget Input Data'!$D$108*0.2/('I_Inputs &amp; Assumptions'!$B$8/4))),IF('I_Budget Input Data'!$E$108="At Completion",IF(2='I_Inputs &amp; Assumptions'!$B$8,'I_Budget Input Data'!$D$108,0),'I_Budget Input Data'!$D$108/'I_Inputs &amp; Assumptions'!$B$8)))))),0)</f>
        <v>52393.107692307691</v>
      </c>
      <c r="E108" s="91">
        <f>IF(3&lt;='I_Inputs &amp; Assumptions'!$B$8,IF('I_Budget Input Data'!$E$108="Upfront",IF(3=1,'I_Budget Input Data'!$D$108,0),IF('I_Budget Input Data'!$E$108="Equal",'I_Budget Input Data'!$D$108/'I_Inputs &amp; Assumptions'!$B$8,IF('I_Budget Input Data'!$E$108="Front-loaded",IF(3&lt;='I_Inputs &amp; Assumptions'!$B$8/2,'I_Budget Input Data'!$D$108*0.6/('I_Inputs &amp; Assumptions'!$B$8/2),'I_Budget Input Data'!$D$108*0.4/('I_Inputs &amp; Assumptions'!$B$8/2)),IF('I_Budget Input Data'!$E$108="Back-loaded",IF(3&lt;='I_Inputs &amp; Assumptions'!$B$8/2,'I_Budget Input Data'!$D$108*0.4/('I_Inputs &amp; Assumptions'!$B$8/2),'I_Budget Input Data'!$D$108*0.6/('I_Inputs &amp; Assumptions'!$B$8/2)),IF('I_Budget Input Data'!$E$108="Mid-weighted",IF(3&lt;='I_Inputs &amp; Assumptions'!$B$8/4,'I_Budget Input Data'!$D$108*0.2/('I_Inputs &amp; Assumptions'!$B$8/4),IF(3&lt;='I_Inputs &amp; Assumptions'!$B$8*0.75,'I_Budget Input Data'!$D$108*0.6/('I_Inputs &amp; Assumptions'!$B$8/2),'I_Budget Input Data'!$D$108*0.2/('I_Inputs &amp; Assumptions'!$B$8/4))),IF('I_Budget Input Data'!$E$108="At Completion",IF(3='I_Inputs &amp; Assumptions'!$B$8,'I_Budget Input Data'!$D$108,0),'I_Budget Input Data'!$D$108/'I_Inputs &amp; Assumptions'!$B$8)))))),0)</f>
        <v>52393.107692307691</v>
      </c>
      <c r="F108" s="91">
        <f>IF(4&lt;='I_Inputs &amp; Assumptions'!$B$8,IF('I_Budget Input Data'!$E$108="Upfront",IF(4=1,'I_Budget Input Data'!$D$108,0),IF('I_Budget Input Data'!$E$108="Equal",'I_Budget Input Data'!$D$108/'I_Inputs &amp; Assumptions'!$B$8,IF('I_Budget Input Data'!$E$108="Front-loaded",IF(4&lt;='I_Inputs &amp; Assumptions'!$B$8/2,'I_Budget Input Data'!$D$108*0.6/('I_Inputs &amp; Assumptions'!$B$8/2),'I_Budget Input Data'!$D$108*0.4/('I_Inputs &amp; Assumptions'!$B$8/2)),IF('I_Budget Input Data'!$E$108="Back-loaded",IF(4&lt;='I_Inputs &amp; Assumptions'!$B$8/2,'I_Budget Input Data'!$D$108*0.4/('I_Inputs &amp; Assumptions'!$B$8/2),'I_Budget Input Data'!$D$108*0.6/('I_Inputs &amp; Assumptions'!$B$8/2)),IF('I_Budget Input Data'!$E$108="Mid-weighted",IF(4&lt;='I_Inputs &amp; Assumptions'!$B$8/4,'I_Budget Input Data'!$D$108*0.2/('I_Inputs &amp; Assumptions'!$B$8/4),IF(4&lt;='I_Inputs &amp; Assumptions'!$B$8*0.75,'I_Budget Input Data'!$D$108*0.6/('I_Inputs &amp; Assumptions'!$B$8/2),'I_Budget Input Data'!$D$108*0.2/('I_Inputs &amp; Assumptions'!$B$8/4))),IF('I_Budget Input Data'!$E$108="At Completion",IF(4='I_Inputs &amp; Assumptions'!$B$8,'I_Budget Input Data'!$D$108,0),'I_Budget Input Data'!$D$108/'I_Inputs &amp; Assumptions'!$B$8)))))),0)</f>
        <v>78589.661538461543</v>
      </c>
      <c r="G108" s="91">
        <f>IF(5&lt;='I_Inputs &amp; Assumptions'!$B$8,IF('I_Budget Input Data'!$E$108="Upfront",IF(5=1,'I_Budget Input Data'!$D$108,0),IF('I_Budget Input Data'!$E$108="Equal",'I_Budget Input Data'!$D$108/'I_Inputs &amp; Assumptions'!$B$8,IF('I_Budget Input Data'!$E$108="Front-loaded",IF(5&lt;='I_Inputs &amp; Assumptions'!$B$8/2,'I_Budget Input Data'!$D$108*0.6/('I_Inputs &amp; Assumptions'!$B$8/2),'I_Budget Input Data'!$D$108*0.4/('I_Inputs &amp; Assumptions'!$B$8/2)),IF('I_Budget Input Data'!$E$108="Back-loaded",IF(5&lt;='I_Inputs &amp; Assumptions'!$B$8/2,'I_Budget Input Data'!$D$108*0.4/('I_Inputs &amp; Assumptions'!$B$8/2),'I_Budget Input Data'!$D$108*0.6/('I_Inputs &amp; Assumptions'!$B$8/2)),IF('I_Budget Input Data'!$E$108="Mid-weighted",IF(5&lt;='I_Inputs &amp; Assumptions'!$B$8/4,'I_Budget Input Data'!$D$108*0.2/('I_Inputs &amp; Assumptions'!$B$8/4),IF(5&lt;='I_Inputs &amp; Assumptions'!$B$8*0.75,'I_Budget Input Data'!$D$108*0.6/('I_Inputs &amp; Assumptions'!$B$8/2),'I_Budget Input Data'!$D$108*0.2/('I_Inputs &amp; Assumptions'!$B$8/4))),IF('I_Budget Input Data'!$E$108="At Completion",IF(5='I_Inputs &amp; Assumptions'!$B$8,'I_Budget Input Data'!$D$108,0),'I_Budget Input Data'!$D$108/'I_Inputs &amp; Assumptions'!$B$8)))))),0)</f>
        <v>78589.661538461543</v>
      </c>
      <c r="H108" s="91">
        <f>IF(6&lt;='I_Inputs &amp; Assumptions'!$B$8,IF('I_Budget Input Data'!$E$108="Upfront",IF(6=1,'I_Budget Input Data'!$D$108,0),IF('I_Budget Input Data'!$E$108="Equal",'I_Budget Input Data'!$D$108/'I_Inputs &amp; Assumptions'!$B$8,IF('I_Budget Input Data'!$E$108="Front-loaded",IF(6&lt;='I_Inputs &amp; Assumptions'!$B$8/2,'I_Budget Input Data'!$D$108*0.6/('I_Inputs &amp; Assumptions'!$B$8/2),'I_Budget Input Data'!$D$108*0.4/('I_Inputs &amp; Assumptions'!$B$8/2)),IF('I_Budget Input Data'!$E$108="Back-loaded",IF(6&lt;='I_Inputs &amp; Assumptions'!$B$8/2,'I_Budget Input Data'!$D$108*0.4/('I_Inputs &amp; Assumptions'!$B$8/2),'I_Budget Input Data'!$D$108*0.6/('I_Inputs &amp; Assumptions'!$B$8/2)),IF('I_Budget Input Data'!$E$108="Mid-weighted",IF(6&lt;='I_Inputs &amp; Assumptions'!$B$8/4,'I_Budget Input Data'!$D$108*0.2/('I_Inputs &amp; Assumptions'!$B$8/4),IF(6&lt;='I_Inputs &amp; Assumptions'!$B$8*0.75,'I_Budget Input Data'!$D$108*0.6/('I_Inputs &amp; Assumptions'!$B$8/2),'I_Budget Input Data'!$D$108*0.2/('I_Inputs &amp; Assumptions'!$B$8/4))),IF('I_Budget Input Data'!$E$108="At Completion",IF(6='I_Inputs &amp; Assumptions'!$B$8,'I_Budget Input Data'!$D$108,0),'I_Budget Input Data'!$D$108/'I_Inputs &amp; Assumptions'!$B$8)))))),0)</f>
        <v>78589.661538461543</v>
      </c>
      <c r="I108" s="91">
        <f>IF(7&lt;='I_Inputs &amp; Assumptions'!$B$8,IF('I_Budget Input Data'!$E$108="Upfront",IF(7=1,'I_Budget Input Data'!$D$108,0),IF('I_Budget Input Data'!$E$108="Equal",'I_Budget Input Data'!$D$108/'I_Inputs &amp; Assumptions'!$B$8,IF('I_Budget Input Data'!$E$108="Front-loaded",IF(7&lt;='I_Inputs &amp; Assumptions'!$B$8/2,'I_Budget Input Data'!$D$108*0.6/('I_Inputs &amp; Assumptions'!$B$8/2),'I_Budget Input Data'!$D$108*0.4/('I_Inputs &amp; Assumptions'!$B$8/2)),IF('I_Budget Input Data'!$E$108="Back-loaded",IF(7&lt;='I_Inputs &amp; Assumptions'!$B$8/2,'I_Budget Input Data'!$D$108*0.4/('I_Inputs &amp; Assumptions'!$B$8/2),'I_Budget Input Data'!$D$108*0.6/('I_Inputs &amp; Assumptions'!$B$8/2)),IF('I_Budget Input Data'!$E$108="Mid-weighted",IF(7&lt;='I_Inputs &amp; Assumptions'!$B$8/4,'I_Budget Input Data'!$D$108*0.2/('I_Inputs &amp; Assumptions'!$B$8/4),IF(7&lt;='I_Inputs &amp; Assumptions'!$B$8*0.75,'I_Budget Input Data'!$D$108*0.6/('I_Inputs &amp; Assumptions'!$B$8/2),'I_Budget Input Data'!$D$108*0.2/('I_Inputs &amp; Assumptions'!$B$8/4))),IF('I_Budget Input Data'!$E$108="At Completion",IF(7='I_Inputs &amp; Assumptions'!$B$8,'I_Budget Input Data'!$D$108,0),'I_Budget Input Data'!$D$108/'I_Inputs &amp; Assumptions'!$B$8)))))),0)</f>
        <v>78589.661538461543</v>
      </c>
      <c r="J108" s="91">
        <f>IF(8&lt;='I_Inputs &amp; Assumptions'!$B$8,IF('I_Budget Input Data'!$E$108="Upfront",IF(8=1,'I_Budget Input Data'!$D$108,0),IF('I_Budget Input Data'!$E$108="Equal",'I_Budget Input Data'!$D$108/'I_Inputs &amp; Assumptions'!$B$8,IF('I_Budget Input Data'!$E$108="Front-loaded",IF(8&lt;='I_Inputs &amp; Assumptions'!$B$8/2,'I_Budget Input Data'!$D$108*0.6/('I_Inputs &amp; Assumptions'!$B$8/2),'I_Budget Input Data'!$D$108*0.4/('I_Inputs &amp; Assumptions'!$B$8/2)),IF('I_Budget Input Data'!$E$108="Back-loaded",IF(8&lt;='I_Inputs &amp; Assumptions'!$B$8/2,'I_Budget Input Data'!$D$108*0.4/('I_Inputs &amp; Assumptions'!$B$8/2),'I_Budget Input Data'!$D$108*0.6/('I_Inputs &amp; Assumptions'!$B$8/2)),IF('I_Budget Input Data'!$E$108="Mid-weighted",IF(8&lt;='I_Inputs &amp; Assumptions'!$B$8/4,'I_Budget Input Data'!$D$108*0.2/('I_Inputs &amp; Assumptions'!$B$8/4),IF(8&lt;='I_Inputs &amp; Assumptions'!$B$8*0.75,'I_Budget Input Data'!$D$108*0.6/('I_Inputs &amp; Assumptions'!$B$8/2),'I_Budget Input Data'!$D$108*0.2/('I_Inputs &amp; Assumptions'!$B$8/4))),IF('I_Budget Input Data'!$E$108="At Completion",IF(8='I_Inputs &amp; Assumptions'!$B$8,'I_Budget Input Data'!$D$108,0),'I_Budget Input Data'!$D$108/'I_Inputs &amp; Assumptions'!$B$8)))))),0)</f>
        <v>78589.661538461543</v>
      </c>
      <c r="K108" s="91">
        <f>IF(9&lt;='I_Inputs &amp; Assumptions'!$B$8,IF('I_Budget Input Data'!$E$108="Upfront",IF(9=1,'I_Budget Input Data'!$D$108,0),IF('I_Budget Input Data'!$E$108="Equal",'I_Budget Input Data'!$D$108/'I_Inputs &amp; Assumptions'!$B$8,IF('I_Budget Input Data'!$E$108="Front-loaded",IF(9&lt;='I_Inputs &amp; Assumptions'!$B$8/2,'I_Budget Input Data'!$D$108*0.6/('I_Inputs &amp; Assumptions'!$B$8/2),'I_Budget Input Data'!$D$108*0.4/('I_Inputs &amp; Assumptions'!$B$8/2)),IF('I_Budget Input Data'!$E$108="Back-loaded",IF(9&lt;='I_Inputs &amp; Assumptions'!$B$8/2,'I_Budget Input Data'!$D$108*0.4/('I_Inputs &amp; Assumptions'!$B$8/2),'I_Budget Input Data'!$D$108*0.6/('I_Inputs &amp; Assumptions'!$B$8/2)),IF('I_Budget Input Data'!$E$108="Mid-weighted",IF(9&lt;='I_Inputs &amp; Assumptions'!$B$8/4,'I_Budget Input Data'!$D$108*0.2/('I_Inputs &amp; Assumptions'!$B$8/4),IF(9&lt;='I_Inputs &amp; Assumptions'!$B$8*0.75,'I_Budget Input Data'!$D$108*0.6/('I_Inputs &amp; Assumptions'!$B$8/2),'I_Budget Input Data'!$D$108*0.2/('I_Inputs &amp; Assumptions'!$B$8/4))),IF('I_Budget Input Data'!$E$108="At Completion",IF(9='I_Inputs &amp; Assumptions'!$B$8,'I_Budget Input Data'!$D$108,0),'I_Budget Input Data'!$D$108/'I_Inputs &amp; Assumptions'!$B$8)))))),0)</f>
        <v>78589.661538461543</v>
      </c>
      <c r="L108" s="91">
        <f>IF(10&lt;='I_Inputs &amp; Assumptions'!$B$8,IF('I_Budget Input Data'!$E$108="Upfront",IF(10=1,'I_Budget Input Data'!$D$108,0),IF('I_Budget Input Data'!$E$108="Equal",'I_Budget Input Data'!$D$108/'I_Inputs &amp; Assumptions'!$B$8,IF('I_Budget Input Data'!$E$108="Front-loaded",IF(10&lt;='I_Inputs &amp; Assumptions'!$B$8/2,'I_Budget Input Data'!$D$108*0.6/('I_Inputs &amp; Assumptions'!$B$8/2),'I_Budget Input Data'!$D$108*0.4/('I_Inputs &amp; Assumptions'!$B$8/2)),IF('I_Budget Input Data'!$E$108="Back-loaded",IF(10&lt;='I_Inputs &amp; Assumptions'!$B$8/2,'I_Budget Input Data'!$D$108*0.4/('I_Inputs &amp; Assumptions'!$B$8/2),'I_Budget Input Data'!$D$108*0.6/('I_Inputs &amp; Assumptions'!$B$8/2)),IF('I_Budget Input Data'!$E$108="Mid-weighted",IF(10&lt;='I_Inputs &amp; Assumptions'!$B$8/4,'I_Budget Input Data'!$D$108*0.2/('I_Inputs &amp; Assumptions'!$B$8/4),IF(10&lt;='I_Inputs &amp; Assumptions'!$B$8*0.75,'I_Budget Input Data'!$D$108*0.6/('I_Inputs &amp; Assumptions'!$B$8/2),'I_Budget Input Data'!$D$108*0.2/('I_Inputs &amp; Assumptions'!$B$8/4))),IF('I_Budget Input Data'!$E$108="At Completion",IF(10='I_Inputs &amp; Assumptions'!$B$8,'I_Budget Input Data'!$D$108,0),'I_Budget Input Data'!$D$108/'I_Inputs &amp; Assumptions'!$B$8)))))),0)</f>
        <v>52393.107692307691</v>
      </c>
      <c r="M108" s="91">
        <f>IF(11&lt;='I_Inputs &amp; Assumptions'!$B$8,IF('I_Budget Input Data'!$E$108="Upfront",IF(11=1,'I_Budget Input Data'!$D$108,0),IF('I_Budget Input Data'!$E$108="Equal",'I_Budget Input Data'!$D$108/'I_Inputs &amp; Assumptions'!$B$8,IF('I_Budget Input Data'!$E$108="Front-loaded",IF(11&lt;='I_Inputs &amp; Assumptions'!$B$8/2,'I_Budget Input Data'!$D$108*0.6/('I_Inputs &amp; Assumptions'!$B$8/2),'I_Budget Input Data'!$D$108*0.4/('I_Inputs &amp; Assumptions'!$B$8/2)),IF('I_Budget Input Data'!$E$108="Back-loaded",IF(11&lt;='I_Inputs &amp; Assumptions'!$B$8/2,'I_Budget Input Data'!$D$108*0.4/('I_Inputs &amp; Assumptions'!$B$8/2),'I_Budget Input Data'!$D$108*0.6/('I_Inputs &amp; Assumptions'!$B$8/2)),IF('I_Budget Input Data'!$E$108="Mid-weighted",IF(11&lt;='I_Inputs &amp; Assumptions'!$B$8/4,'I_Budget Input Data'!$D$108*0.2/('I_Inputs &amp; Assumptions'!$B$8/4),IF(11&lt;='I_Inputs &amp; Assumptions'!$B$8*0.75,'I_Budget Input Data'!$D$108*0.6/('I_Inputs &amp; Assumptions'!$B$8/2),'I_Budget Input Data'!$D$108*0.2/('I_Inputs &amp; Assumptions'!$B$8/4))),IF('I_Budget Input Data'!$E$108="At Completion",IF(11='I_Inputs &amp; Assumptions'!$B$8,'I_Budget Input Data'!$D$108,0),'I_Budget Input Data'!$D$108/'I_Inputs &amp; Assumptions'!$B$8)))))),0)</f>
        <v>52393.107692307691</v>
      </c>
      <c r="N108" s="91">
        <f>IF(12&lt;='I_Inputs &amp; Assumptions'!$B$8,IF('I_Budget Input Data'!$E$108="Upfront",IF(12=1,'I_Budget Input Data'!$D$108,0),IF('I_Budget Input Data'!$E$108="Equal",'I_Budget Input Data'!$D$108/'I_Inputs &amp; Assumptions'!$B$8,IF('I_Budget Input Data'!$E$108="Front-loaded",IF(12&lt;='I_Inputs &amp; Assumptions'!$B$8/2,'I_Budget Input Data'!$D$108*0.6/('I_Inputs &amp; Assumptions'!$B$8/2),'I_Budget Input Data'!$D$108*0.4/('I_Inputs &amp; Assumptions'!$B$8/2)),IF('I_Budget Input Data'!$E$108="Back-loaded",IF(12&lt;='I_Inputs &amp; Assumptions'!$B$8/2,'I_Budget Input Data'!$D$108*0.4/('I_Inputs &amp; Assumptions'!$B$8/2),'I_Budget Input Data'!$D$108*0.6/('I_Inputs &amp; Assumptions'!$B$8/2)),IF('I_Budget Input Data'!$E$108="Mid-weighted",IF(12&lt;='I_Inputs &amp; Assumptions'!$B$8/4,'I_Budget Input Data'!$D$108*0.2/('I_Inputs &amp; Assumptions'!$B$8/4),IF(12&lt;='I_Inputs &amp; Assumptions'!$B$8*0.75,'I_Budget Input Data'!$D$108*0.6/('I_Inputs &amp; Assumptions'!$B$8/2),'I_Budget Input Data'!$D$108*0.2/('I_Inputs &amp; Assumptions'!$B$8/4))),IF('I_Budget Input Data'!$E$108="At Completion",IF(12='I_Inputs &amp; Assumptions'!$B$8,'I_Budget Input Data'!$D$108,0),'I_Budget Input Data'!$D$108/'I_Inputs &amp; Assumptions'!$B$8)))))),0)</f>
        <v>52393.107692307691</v>
      </c>
      <c r="O108" s="91">
        <f>IF(13&lt;='I_Inputs &amp; Assumptions'!$B$8,IF('I_Budget Input Data'!$E$108="Upfront",IF(13=1,'I_Budget Input Data'!$D$108,0),IF('I_Budget Input Data'!$E$108="Equal",'I_Budget Input Data'!$D$108/'I_Inputs &amp; Assumptions'!$B$8,IF('I_Budget Input Data'!$E$108="Front-loaded",IF(13&lt;='I_Inputs &amp; Assumptions'!$B$8/2,'I_Budget Input Data'!$D$108*0.6/('I_Inputs &amp; Assumptions'!$B$8/2),'I_Budget Input Data'!$D$108*0.4/('I_Inputs &amp; Assumptions'!$B$8/2)),IF('I_Budget Input Data'!$E$108="Back-loaded",IF(13&lt;='I_Inputs &amp; Assumptions'!$B$8/2,'I_Budget Input Data'!$D$108*0.4/('I_Inputs &amp; Assumptions'!$B$8/2),'I_Budget Input Data'!$D$108*0.6/('I_Inputs &amp; Assumptions'!$B$8/2)),IF('I_Budget Input Data'!$E$108="Mid-weighted",IF(13&lt;='I_Inputs &amp; Assumptions'!$B$8/4,'I_Budget Input Data'!$D$108*0.2/('I_Inputs &amp; Assumptions'!$B$8/4),IF(13&lt;='I_Inputs &amp; Assumptions'!$B$8*0.75,'I_Budget Input Data'!$D$108*0.6/('I_Inputs &amp; Assumptions'!$B$8/2),'I_Budget Input Data'!$D$108*0.2/('I_Inputs &amp; Assumptions'!$B$8/4))),IF('I_Budget Input Data'!$E$108="At Completion",IF(13='I_Inputs &amp; Assumptions'!$B$8,'I_Budget Input Data'!$D$108,0),'I_Budget Input Data'!$D$108/'I_Inputs &amp; Assumptions'!$B$8)))))),0)</f>
        <v>52393.107692307691</v>
      </c>
      <c r="P108" s="91">
        <f>IF(14&lt;='I_Inputs &amp; Assumptions'!$B$8,IF('I_Budget Input Data'!$E$108="Upfront",IF(14=1,'I_Budget Input Data'!$D$108,0),IF('I_Budget Input Data'!$E$108="Equal",'I_Budget Input Data'!$D$108/'I_Inputs &amp; Assumptions'!$B$8,IF('I_Budget Input Data'!$E$108="Front-loaded",IF(14&lt;='I_Inputs &amp; Assumptions'!$B$8/2,'I_Budget Input Data'!$D$108*0.6/('I_Inputs &amp; Assumptions'!$B$8/2),'I_Budget Input Data'!$D$108*0.4/('I_Inputs &amp; Assumptions'!$B$8/2)),IF('I_Budget Input Data'!$E$108="Back-loaded",IF(14&lt;='I_Inputs &amp; Assumptions'!$B$8/2,'I_Budget Input Data'!$D$108*0.4/('I_Inputs &amp; Assumptions'!$B$8/2),'I_Budget Input Data'!$D$108*0.6/('I_Inputs &amp; Assumptions'!$B$8/2)),IF('I_Budget Input Data'!$E$108="Mid-weighted",IF(14&lt;='I_Inputs &amp; Assumptions'!$B$8/4,'I_Budget Input Data'!$D$108*0.2/('I_Inputs &amp; Assumptions'!$B$8/4),IF(14&lt;='I_Inputs &amp; Assumptions'!$B$8*0.75,'I_Budget Input Data'!$D$108*0.6/('I_Inputs &amp; Assumptions'!$B$8/2),'I_Budget Input Data'!$D$108*0.2/('I_Inputs &amp; Assumptions'!$B$8/4))),IF('I_Budget Input Data'!$E$108="At Completion",IF(14='I_Inputs &amp; Assumptions'!$B$8,'I_Budget Input Data'!$D$108,0),'I_Budget Input Data'!$D$108/'I_Inputs &amp; Assumptions'!$B$8)))))),0)</f>
        <v>0</v>
      </c>
      <c r="Q108" s="91">
        <f>IF(15&lt;='I_Inputs &amp; Assumptions'!$B$8,IF('I_Budget Input Data'!$E$108="Upfront",IF(15=1,'I_Budget Input Data'!$D$108,0),IF('I_Budget Input Data'!$E$108="Equal",'I_Budget Input Data'!$D$108/'I_Inputs &amp; Assumptions'!$B$8,IF('I_Budget Input Data'!$E$108="Front-loaded",IF(15&lt;='I_Inputs &amp; Assumptions'!$B$8/2,'I_Budget Input Data'!$D$108*0.6/('I_Inputs &amp; Assumptions'!$B$8/2),'I_Budget Input Data'!$D$108*0.4/('I_Inputs &amp; Assumptions'!$B$8/2)),IF('I_Budget Input Data'!$E$108="Back-loaded",IF(15&lt;='I_Inputs &amp; Assumptions'!$B$8/2,'I_Budget Input Data'!$D$108*0.4/('I_Inputs &amp; Assumptions'!$B$8/2),'I_Budget Input Data'!$D$108*0.6/('I_Inputs &amp; Assumptions'!$B$8/2)),IF('I_Budget Input Data'!$E$108="Mid-weighted",IF(15&lt;='I_Inputs &amp; Assumptions'!$B$8/4,'I_Budget Input Data'!$D$108*0.2/('I_Inputs &amp; Assumptions'!$B$8/4),IF(15&lt;='I_Inputs &amp; Assumptions'!$B$8*0.75,'I_Budget Input Data'!$D$108*0.6/('I_Inputs &amp; Assumptions'!$B$8/2),'I_Budget Input Data'!$D$108*0.2/('I_Inputs &amp; Assumptions'!$B$8/4))),IF('I_Budget Input Data'!$E$108="At Completion",IF(15='I_Inputs &amp; Assumptions'!$B$8,'I_Budget Input Data'!$D$108,0),'I_Budget Input Data'!$D$108/'I_Inputs &amp; Assumptions'!$B$8)))))),0)</f>
        <v>0</v>
      </c>
      <c r="R108" s="91">
        <f>IF(16&lt;='I_Inputs &amp; Assumptions'!$B$8,IF('I_Budget Input Data'!$E$108="Upfront",IF(16=1,'I_Budget Input Data'!$D$108,0),IF('I_Budget Input Data'!$E$108="Equal",'I_Budget Input Data'!$D$108/'I_Inputs &amp; Assumptions'!$B$8,IF('I_Budget Input Data'!$E$108="Front-loaded",IF(16&lt;='I_Inputs &amp; Assumptions'!$B$8/2,'I_Budget Input Data'!$D$108*0.6/('I_Inputs &amp; Assumptions'!$B$8/2),'I_Budget Input Data'!$D$108*0.4/('I_Inputs &amp; Assumptions'!$B$8/2)),IF('I_Budget Input Data'!$E$108="Back-loaded",IF(16&lt;='I_Inputs &amp; Assumptions'!$B$8/2,'I_Budget Input Data'!$D$108*0.4/('I_Inputs &amp; Assumptions'!$B$8/2),'I_Budget Input Data'!$D$108*0.6/('I_Inputs &amp; Assumptions'!$B$8/2)),IF('I_Budget Input Data'!$E$108="Mid-weighted",IF(16&lt;='I_Inputs &amp; Assumptions'!$B$8/4,'I_Budget Input Data'!$D$108*0.2/('I_Inputs &amp; Assumptions'!$B$8/4),IF(16&lt;='I_Inputs &amp; Assumptions'!$B$8*0.75,'I_Budget Input Data'!$D$108*0.6/('I_Inputs &amp; Assumptions'!$B$8/2),'I_Budget Input Data'!$D$108*0.2/('I_Inputs &amp; Assumptions'!$B$8/4))),IF('I_Budget Input Data'!$E$108="At Completion",IF(16='I_Inputs &amp; Assumptions'!$B$8,'I_Budget Input Data'!$D$108,0),'I_Budget Input Data'!$D$108/'I_Inputs &amp; Assumptions'!$B$8)))))),0)</f>
        <v>0</v>
      </c>
      <c r="S108" s="91">
        <f>IF(17&lt;='I_Inputs &amp; Assumptions'!$B$8,IF('I_Budget Input Data'!$E$108="Upfront",IF(17=1,'I_Budget Input Data'!$D$108,0),IF('I_Budget Input Data'!$E$108="Equal",'I_Budget Input Data'!$D$108/'I_Inputs &amp; Assumptions'!$B$8,IF('I_Budget Input Data'!$E$108="Front-loaded",IF(17&lt;='I_Inputs &amp; Assumptions'!$B$8/2,'I_Budget Input Data'!$D$108*0.6/('I_Inputs &amp; Assumptions'!$B$8/2),'I_Budget Input Data'!$D$108*0.4/('I_Inputs &amp; Assumptions'!$B$8/2)),IF('I_Budget Input Data'!$E$108="Back-loaded",IF(17&lt;='I_Inputs &amp; Assumptions'!$B$8/2,'I_Budget Input Data'!$D$108*0.4/('I_Inputs &amp; Assumptions'!$B$8/2),'I_Budget Input Data'!$D$108*0.6/('I_Inputs &amp; Assumptions'!$B$8/2)),IF('I_Budget Input Data'!$E$108="Mid-weighted",IF(17&lt;='I_Inputs &amp; Assumptions'!$B$8/4,'I_Budget Input Data'!$D$108*0.2/('I_Inputs &amp; Assumptions'!$B$8/4),IF(17&lt;='I_Inputs &amp; Assumptions'!$B$8*0.75,'I_Budget Input Data'!$D$108*0.6/('I_Inputs &amp; Assumptions'!$B$8/2),'I_Budget Input Data'!$D$108*0.2/('I_Inputs &amp; Assumptions'!$B$8/4))),IF('I_Budget Input Data'!$E$108="At Completion",IF(17='I_Inputs &amp; Assumptions'!$B$8,'I_Budget Input Data'!$D$108,0),'I_Budget Input Data'!$D$108/'I_Inputs &amp; Assumptions'!$B$8)))))),0)</f>
        <v>0</v>
      </c>
      <c r="T108" s="91">
        <f>IF(18&lt;='I_Inputs &amp; Assumptions'!$B$8,IF('I_Budget Input Data'!$E$108="Upfront",IF(18=1,'I_Budget Input Data'!$D$108,0),IF('I_Budget Input Data'!$E$108="Equal",'I_Budget Input Data'!$D$108/'I_Inputs &amp; Assumptions'!$B$8,IF('I_Budget Input Data'!$E$108="Front-loaded",IF(18&lt;='I_Inputs &amp; Assumptions'!$B$8/2,'I_Budget Input Data'!$D$108*0.6/('I_Inputs &amp; Assumptions'!$B$8/2),'I_Budget Input Data'!$D$108*0.4/('I_Inputs &amp; Assumptions'!$B$8/2)),IF('I_Budget Input Data'!$E$108="Back-loaded",IF(18&lt;='I_Inputs &amp; Assumptions'!$B$8/2,'I_Budget Input Data'!$D$108*0.4/('I_Inputs &amp; Assumptions'!$B$8/2),'I_Budget Input Data'!$D$108*0.6/('I_Inputs &amp; Assumptions'!$B$8/2)),IF('I_Budget Input Data'!$E$108="Mid-weighted",IF(18&lt;='I_Inputs &amp; Assumptions'!$B$8/4,'I_Budget Input Data'!$D$108*0.2/('I_Inputs &amp; Assumptions'!$B$8/4),IF(18&lt;='I_Inputs &amp; Assumptions'!$B$8*0.75,'I_Budget Input Data'!$D$108*0.6/('I_Inputs &amp; Assumptions'!$B$8/2),'I_Budget Input Data'!$D$108*0.2/('I_Inputs &amp; Assumptions'!$B$8/4))),IF('I_Budget Input Data'!$E$108="At Completion",IF(18='I_Inputs &amp; Assumptions'!$B$8,'I_Budget Input Data'!$D$108,0),'I_Budget Input Data'!$D$108/'I_Inputs &amp; Assumptions'!$B$8)))))),0)</f>
        <v>0</v>
      </c>
      <c r="U108" s="91">
        <f>IF(19&lt;='I_Inputs &amp; Assumptions'!$B$8,IF('I_Budget Input Data'!$E$108="Upfront",IF(19=1,'I_Budget Input Data'!$D$108,0),IF('I_Budget Input Data'!$E$108="Equal",'I_Budget Input Data'!$D$108/'I_Inputs &amp; Assumptions'!$B$8,IF('I_Budget Input Data'!$E$108="Front-loaded",IF(19&lt;='I_Inputs &amp; Assumptions'!$B$8/2,'I_Budget Input Data'!$D$108*0.6/('I_Inputs &amp; Assumptions'!$B$8/2),'I_Budget Input Data'!$D$108*0.4/('I_Inputs &amp; Assumptions'!$B$8/2)),IF('I_Budget Input Data'!$E$108="Back-loaded",IF(19&lt;='I_Inputs &amp; Assumptions'!$B$8/2,'I_Budget Input Data'!$D$108*0.4/('I_Inputs &amp; Assumptions'!$B$8/2),'I_Budget Input Data'!$D$108*0.6/('I_Inputs &amp; Assumptions'!$B$8/2)),IF('I_Budget Input Data'!$E$108="Mid-weighted",IF(19&lt;='I_Inputs &amp; Assumptions'!$B$8/4,'I_Budget Input Data'!$D$108*0.2/('I_Inputs &amp; Assumptions'!$B$8/4),IF(19&lt;='I_Inputs &amp; Assumptions'!$B$8*0.75,'I_Budget Input Data'!$D$108*0.6/('I_Inputs &amp; Assumptions'!$B$8/2),'I_Budget Input Data'!$D$108*0.2/('I_Inputs &amp; Assumptions'!$B$8/4))),IF('I_Budget Input Data'!$E$108="At Completion",IF(19='I_Inputs &amp; Assumptions'!$B$8,'I_Budget Input Data'!$D$108,0),'I_Budget Input Data'!$D$108/'I_Inputs &amp; Assumptions'!$B$8)))))),0)</f>
        <v>0</v>
      </c>
      <c r="V108" s="91">
        <f>IF(20&lt;='I_Inputs &amp; Assumptions'!$B$8,IF('I_Budget Input Data'!$E$108="Upfront",IF(20=1,'I_Budget Input Data'!$D$108,0),IF('I_Budget Input Data'!$E$108="Equal",'I_Budget Input Data'!$D$108/'I_Inputs &amp; Assumptions'!$B$8,IF('I_Budget Input Data'!$E$108="Front-loaded",IF(20&lt;='I_Inputs &amp; Assumptions'!$B$8/2,'I_Budget Input Data'!$D$108*0.6/('I_Inputs &amp; Assumptions'!$B$8/2),'I_Budget Input Data'!$D$108*0.4/('I_Inputs &amp; Assumptions'!$B$8/2)),IF('I_Budget Input Data'!$E$108="Back-loaded",IF(20&lt;='I_Inputs &amp; Assumptions'!$B$8/2,'I_Budget Input Data'!$D$108*0.4/('I_Inputs &amp; Assumptions'!$B$8/2),'I_Budget Input Data'!$D$108*0.6/('I_Inputs &amp; Assumptions'!$B$8/2)),IF('I_Budget Input Data'!$E$108="Mid-weighted",IF(20&lt;='I_Inputs &amp; Assumptions'!$B$8/4,'I_Budget Input Data'!$D$108*0.2/('I_Inputs &amp; Assumptions'!$B$8/4),IF(20&lt;='I_Inputs &amp; Assumptions'!$B$8*0.75,'I_Budget Input Data'!$D$108*0.6/('I_Inputs &amp; Assumptions'!$B$8/2),'I_Budget Input Data'!$D$108*0.2/('I_Inputs &amp; Assumptions'!$B$8/4))),IF('I_Budget Input Data'!$E$108="At Completion",IF(20='I_Inputs &amp; Assumptions'!$B$8,'I_Budget Input Data'!$D$108,0),'I_Budget Input Data'!$D$108/'I_Inputs &amp; Assumptions'!$B$8)))))),0)</f>
        <v>0</v>
      </c>
      <c r="W108" s="91">
        <f>IF(21&lt;='I_Inputs &amp; Assumptions'!$B$8,IF('I_Budget Input Data'!$E$108="Upfront",IF(21=1,'I_Budget Input Data'!$D$108,0),IF('I_Budget Input Data'!$E$108="Equal",'I_Budget Input Data'!$D$108/'I_Inputs &amp; Assumptions'!$B$8,IF('I_Budget Input Data'!$E$108="Front-loaded",IF(21&lt;='I_Inputs &amp; Assumptions'!$B$8/2,'I_Budget Input Data'!$D$108*0.6/('I_Inputs &amp; Assumptions'!$B$8/2),'I_Budget Input Data'!$D$108*0.4/('I_Inputs &amp; Assumptions'!$B$8/2)),IF('I_Budget Input Data'!$E$108="Back-loaded",IF(21&lt;='I_Inputs &amp; Assumptions'!$B$8/2,'I_Budget Input Data'!$D$108*0.4/('I_Inputs &amp; Assumptions'!$B$8/2),'I_Budget Input Data'!$D$108*0.6/('I_Inputs &amp; Assumptions'!$B$8/2)),IF('I_Budget Input Data'!$E$108="Mid-weighted",IF(21&lt;='I_Inputs &amp; Assumptions'!$B$8/4,'I_Budget Input Data'!$D$108*0.2/('I_Inputs &amp; Assumptions'!$B$8/4),IF(21&lt;='I_Inputs &amp; Assumptions'!$B$8*0.75,'I_Budget Input Data'!$D$108*0.6/('I_Inputs &amp; Assumptions'!$B$8/2),'I_Budget Input Data'!$D$108*0.2/('I_Inputs &amp; Assumptions'!$B$8/4))),IF('I_Budget Input Data'!$E$108="At Completion",IF(21='I_Inputs &amp; Assumptions'!$B$8,'I_Budget Input Data'!$D$108,0),'I_Budget Input Data'!$D$108/'I_Inputs &amp; Assumptions'!$B$8)))))),0)</f>
        <v>0</v>
      </c>
      <c r="X108" s="91">
        <f>IF(22&lt;='I_Inputs &amp; Assumptions'!$B$8,IF('I_Budget Input Data'!$E$108="Upfront",IF(22=1,'I_Budget Input Data'!$D$108,0),IF('I_Budget Input Data'!$E$108="Equal",'I_Budget Input Data'!$D$108/'I_Inputs &amp; Assumptions'!$B$8,IF('I_Budget Input Data'!$E$108="Front-loaded",IF(22&lt;='I_Inputs &amp; Assumptions'!$B$8/2,'I_Budget Input Data'!$D$108*0.6/('I_Inputs &amp; Assumptions'!$B$8/2),'I_Budget Input Data'!$D$108*0.4/('I_Inputs &amp; Assumptions'!$B$8/2)),IF('I_Budget Input Data'!$E$108="Back-loaded",IF(22&lt;='I_Inputs &amp; Assumptions'!$B$8/2,'I_Budget Input Data'!$D$108*0.4/('I_Inputs &amp; Assumptions'!$B$8/2),'I_Budget Input Data'!$D$108*0.6/('I_Inputs &amp; Assumptions'!$B$8/2)),IF('I_Budget Input Data'!$E$108="Mid-weighted",IF(22&lt;='I_Inputs &amp; Assumptions'!$B$8/4,'I_Budget Input Data'!$D$108*0.2/('I_Inputs &amp; Assumptions'!$B$8/4),IF(22&lt;='I_Inputs &amp; Assumptions'!$B$8*0.75,'I_Budget Input Data'!$D$108*0.6/('I_Inputs &amp; Assumptions'!$B$8/2),'I_Budget Input Data'!$D$108*0.2/('I_Inputs &amp; Assumptions'!$B$8/4))),IF('I_Budget Input Data'!$E$108="At Completion",IF(22='I_Inputs &amp; Assumptions'!$B$8,'I_Budget Input Data'!$D$108,0),'I_Budget Input Data'!$D$108/'I_Inputs &amp; Assumptions'!$B$8)))))),0)</f>
        <v>0</v>
      </c>
      <c r="Y108" s="91">
        <f>IF(23&lt;='I_Inputs &amp; Assumptions'!$B$8,IF('I_Budget Input Data'!$E$108="Upfront",IF(23=1,'I_Budget Input Data'!$D$108,0),IF('I_Budget Input Data'!$E$108="Equal",'I_Budget Input Data'!$D$108/'I_Inputs &amp; Assumptions'!$B$8,IF('I_Budget Input Data'!$E$108="Front-loaded",IF(23&lt;='I_Inputs &amp; Assumptions'!$B$8/2,'I_Budget Input Data'!$D$108*0.6/('I_Inputs &amp; Assumptions'!$B$8/2),'I_Budget Input Data'!$D$108*0.4/('I_Inputs &amp; Assumptions'!$B$8/2)),IF('I_Budget Input Data'!$E$108="Back-loaded",IF(23&lt;='I_Inputs &amp; Assumptions'!$B$8/2,'I_Budget Input Data'!$D$108*0.4/('I_Inputs &amp; Assumptions'!$B$8/2),'I_Budget Input Data'!$D$108*0.6/('I_Inputs &amp; Assumptions'!$B$8/2)),IF('I_Budget Input Data'!$E$108="Mid-weighted",IF(23&lt;='I_Inputs &amp; Assumptions'!$B$8/4,'I_Budget Input Data'!$D$108*0.2/('I_Inputs &amp; Assumptions'!$B$8/4),IF(23&lt;='I_Inputs &amp; Assumptions'!$B$8*0.75,'I_Budget Input Data'!$D$108*0.6/('I_Inputs &amp; Assumptions'!$B$8/2),'I_Budget Input Data'!$D$108*0.2/('I_Inputs &amp; Assumptions'!$B$8/4))),IF('I_Budget Input Data'!$E$108="At Completion",IF(23='I_Inputs &amp; Assumptions'!$B$8,'I_Budget Input Data'!$D$108,0),'I_Budget Input Data'!$D$108/'I_Inputs &amp; Assumptions'!$B$8)))))),0)</f>
        <v>0</v>
      </c>
      <c r="Z108" s="91">
        <f>IF(24&lt;='I_Inputs &amp; Assumptions'!$B$8,IF('I_Budget Input Data'!$E$108="Upfront",IF(24=1,'I_Budget Input Data'!$D$108,0),IF('I_Budget Input Data'!$E$108="Equal",'I_Budget Input Data'!$D$108/'I_Inputs &amp; Assumptions'!$B$8,IF('I_Budget Input Data'!$E$108="Front-loaded",IF(24&lt;='I_Inputs &amp; Assumptions'!$B$8/2,'I_Budget Input Data'!$D$108*0.6/('I_Inputs &amp; Assumptions'!$B$8/2),'I_Budget Input Data'!$D$108*0.4/('I_Inputs &amp; Assumptions'!$B$8/2)),IF('I_Budget Input Data'!$E$108="Back-loaded",IF(24&lt;='I_Inputs &amp; Assumptions'!$B$8/2,'I_Budget Input Data'!$D$108*0.4/('I_Inputs &amp; Assumptions'!$B$8/2),'I_Budget Input Data'!$D$108*0.6/('I_Inputs &amp; Assumptions'!$B$8/2)),IF('I_Budget Input Data'!$E$108="Mid-weighted",IF(24&lt;='I_Inputs &amp; Assumptions'!$B$8/4,'I_Budget Input Data'!$D$108*0.2/('I_Inputs &amp; Assumptions'!$B$8/4),IF(24&lt;='I_Inputs &amp; Assumptions'!$B$8*0.75,'I_Budget Input Data'!$D$108*0.6/('I_Inputs &amp; Assumptions'!$B$8/2),'I_Budget Input Data'!$D$108*0.2/('I_Inputs &amp; Assumptions'!$B$8/4))),IF('I_Budget Input Data'!$E$108="At Completion",IF(24='I_Inputs &amp; Assumptions'!$B$8,'I_Budget Input Data'!$D$108,0),'I_Budget Input Data'!$D$108/'I_Inputs &amp; Assumptions'!$B$8)))))),0)</f>
        <v>0</v>
      </c>
      <c r="AA108" s="91">
        <f>IF(25&lt;='I_Inputs &amp; Assumptions'!$B$8,IF('I_Budget Input Data'!$E$108="Upfront",IF(25=1,'I_Budget Input Data'!$D$108,0),IF('I_Budget Input Data'!$E$108="Equal",'I_Budget Input Data'!$D$108/'I_Inputs &amp; Assumptions'!$B$8,IF('I_Budget Input Data'!$E$108="Front-loaded",IF(25&lt;='I_Inputs &amp; Assumptions'!$B$8/2,'I_Budget Input Data'!$D$108*0.6/('I_Inputs &amp; Assumptions'!$B$8/2),'I_Budget Input Data'!$D$108*0.4/('I_Inputs &amp; Assumptions'!$B$8/2)),IF('I_Budget Input Data'!$E$108="Back-loaded",IF(25&lt;='I_Inputs &amp; Assumptions'!$B$8/2,'I_Budget Input Data'!$D$108*0.4/('I_Inputs &amp; Assumptions'!$B$8/2),'I_Budget Input Data'!$D$108*0.6/('I_Inputs &amp; Assumptions'!$B$8/2)),IF('I_Budget Input Data'!$E$108="Mid-weighted",IF(25&lt;='I_Inputs &amp; Assumptions'!$B$8/4,'I_Budget Input Data'!$D$108*0.2/('I_Inputs &amp; Assumptions'!$B$8/4),IF(25&lt;='I_Inputs &amp; Assumptions'!$B$8*0.75,'I_Budget Input Data'!$D$108*0.6/('I_Inputs &amp; Assumptions'!$B$8/2),'I_Budget Input Data'!$D$108*0.2/('I_Inputs &amp; Assumptions'!$B$8/4))),IF('I_Budget Input Data'!$E$108="At Completion",IF(25='I_Inputs &amp; Assumptions'!$B$8,'I_Budget Input Data'!$D$108,0),'I_Budget Input Data'!$D$108/'I_Inputs &amp; Assumptions'!$B$8)))))),0)</f>
        <v>0</v>
      </c>
      <c r="AB108" s="91">
        <f>IF(26&lt;='I_Inputs &amp; Assumptions'!$B$8,IF('I_Budget Input Data'!$E$108="Upfront",IF(26=1,'I_Budget Input Data'!$D$108,0),IF('I_Budget Input Data'!$E$108="Equal",'I_Budget Input Data'!$D$108/'I_Inputs &amp; Assumptions'!$B$8,IF('I_Budget Input Data'!$E$108="Front-loaded",IF(26&lt;='I_Inputs &amp; Assumptions'!$B$8/2,'I_Budget Input Data'!$D$108*0.6/('I_Inputs &amp; Assumptions'!$B$8/2),'I_Budget Input Data'!$D$108*0.4/('I_Inputs &amp; Assumptions'!$B$8/2)),IF('I_Budget Input Data'!$E$108="Back-loaded",IF(26&lt;='I_Inputs &amp; Assumptions'!$B$8/2,'I_Budget Input Data'!$D$108*0.4/('I_Inputs &amp; Assumptions'!$B$8/2),'I_Budget Input Data'!$D$108*0.6/('I_Inputs &amp; Assumptions'!$B$8/2)),IF('I_Budget Input Data'!$E$108="Mid-weighted",IF(26&lt;='I_Inputs &amp; Assumptions'!$B$8/4,'I_Budget Input Data'!$D$108*0.2/('I_Inputs &amp; Assumptions'!$B$8/4),IF(26&lt;='I_Inputs &amp; Assumptions'!$B$8*0.75,'I_Budget Input Data'!$D$108*0.6/('I_Inputs &amp; Assumptions'!$B$8/2),'I_Budget Input Data'!$D$108*0.2/('I_Inputs &amp; Assumptions'!$B$8/4))),IF('I_Budget Input Data'!$E$108="At Completion",IF(26='I_Inputs &amp; Assumptions'!$B$8,'I_Budget Input Data'!$D$108,0),'I_Budget Input Data'!$D$108/'I_Inputs &amp; Assumptions'!$B$8)))))),0)</f>
        <v>0</v>
      </c>
      <c r="AC108" s="91">
        <f>IF(27&lt;='I_Inputs &amp; Assumptions'!$B$8,IF('I_Budget Input Data'!$E$108="Upfront",IF(27=1,'I_Budget Input Data'!$D$108,0),IF('I_Budget Input Data'!$E$108="Equal",'I_Budget Input Data'!$D$108/'I_Inputs &amp; Assumptions'!$B$8,IF('I_Budget Input Data'!$E$108="Front-loaded",IF(27&lt;='I_Inputs &amp; Assumptions'!$B$8/2,'I_Budget Input Data'!$D$108*0.6/('I_Inputs &amp; Assumptions'!$B$8/2),'I_Budget Input Data'!$D$108*0.4/('I_Inputs &amp; Assumptions'!$B$8/2)),IF('I_Budget Input Data'!$E$108="Back-loaded",IF(27&lt;='I_Inputs &amp; Assumptions'!$B$8/2,'I_Budget Input Data'!$D$108*0.4/('I_Inputs &amp; Assumptions'!$B$8/2),'I_Budget Input Data'!$D$108*0.6/('I_Inputs &amp; Assumptions'!$B$8/2)),IF('I_Budget Input Data'!$E$108="Mid-weighted",IF(27&lt;='I_Inputs &amp; Assumptions'!$B$8/4,'I_Budget Input Data'!$D$108*0.2/('I_Inputs &amp; Assumptions'!$B$8/4),IF(27&lt;='I_Inputs &amp; Assumptions'!$B$8*0.75,'I_Budget Input Data'!$D$108*0.6/('I_Inputs &amp; Assumptions'!$B$8/2),'I_Budget Input Data'!$D$108*0.2/('I_Inputs &amp; Assumptions'!$B$8/4))),IF('I_Budget Input Data'!$E$108="At Completion",IF(27='I_Inputs &amp; Assumptions'!$B$8,'I_Budget Input Data'!$D$108,0),'I_Budget Input Data'!$D$108/'I_Inputs &amp; Assumptions'!$B$8)))))),0)</f>
        <v>0</v>
      </c>
      <c r="AD108" s="91">
        <f>IF(28&lt;='I_Inputs &amp; Assumptions'!$B$8,IF('I_Budget Input Data'!$E$108="Upfront",IF(28=1,'I_Budget Input Data'!$D$108,0),IF('I_Budget Input Data'!$E$108="Equal",'I_Budget Input Data'!$D$108/'I_Inputs &amp; Assumptions'!$B$8,IF('I_Budget Input Data'!$E$108="Front-loaded",IF(28&lt;='I_Inputs &amp; Assumptions'!$B$8/2,'I_Budget Input Data'!$D$108*0.6/('I_Inputs &amp; Assumptions'!$B$8/2),'I_Budget Input Data'!$D$108*0.4/('I_Inputs &amp; Assumptions'!$B$8/2)),IF('I_Budget Input Data'!$E$108="Back-loaded",IF(28&lt;='I_Inputs &amp; Assumptions'!$B$8/2,'I_Budget Input Data'!$D$108*0.4/('I_Inputs &amp; Assumptions'!$B$8/2),'I_Budget Input Data'!$D$108*0.6/('I_Inputs &amp; Assumptions'!$B$8/2)),IF('I_Budget Input Data'!$E$108="Mid-weighted",IF(28&lt;='I_Inputs &amp; Assumptions'!$B$8/4,'I_Budget Input Data'!$D$108*0.2/('I_Inputs &amp; Assumptions'!$B$8/4),IF(28&lt;='I_Inputs &amp; Assumptions'!$B$8*0.75,'I_Budget Input Data'!$D$108*0.6/('I_Inputs &amp; Assumptions'!$B$8/2),'I_Budget Input Data'!$D$108*0.2/('I_Inputs &amp; Assumptions'!$B$8/4))),IF('I_Budget Input Data'!$E$108="At Completion",IF(28='I_Inputs &amp; Assumptions'!$B$8,'I_Budget Input Data'!$D$108,0),'I_Budget Input Data'!$D$108/'I_Inputs &amp; Assumptions'!$B$8)))))),0)</f>
        <v>0</v>
      </c>
      <c r="AE108" s="91">
        <f>IF(29&lt;='I_Inputs &amp; Assumptions'!$B$8,IF('I_Budget Input Data'!$E$108="Upfront",IF(29=1,'I_Budget Input Data'!$D$108,0),IF('I_Budget Input Data'!$E$108="Equal",'I_Budget Input Data'!$D$108/'I_Inputs &amp; Assumptions'!$B$8,IF('I_Budget Input Data'!$E$108="Front-loaded",IF(29&lt;='I_Inputs &amp; Assumptions'!$B$8/2,'I_Budget Input Data'!$D$108*0.6/('I_Inputs &amp; Assumptions'!$B$8/2),'I_Budget Input Data'!$D$108*0.4/('I_Inputs &amp; Assumptions'!$B$8/2)),IF('I_Budget Input Data'!$E$108="Back-loaded",IF(29&lt;='I_Inputs &amp; Assumptions'!$B$8/2,'I_Budget Input Data'!$D$108*0.4/('I_Inputs &amp; Assumptions'!$B$8/2),'I_Budget Input Data'!$D$108*0.6/('I_Inputs &amp; Assumptions'!$B$8/2)),IF('I_Budget Input Data'!$E$108="Mid-weighted",IF(29&lt;='I_Inputs &amp; Assumptions'!$B$8/4,'I_Budget Input Data'!$D$108*0.2/('I_Inputs &amp; Assumptions'!$B$8/4),IF(29&lt;='I_Inputs &amp; Assumptions'!$B$8*0.75,'I_Budget Input Data'!$D$108*0.6/('I_Inputs &amp; Assumptions'!$B$8/2),'I_Budget Input Data'!$D$108*0.2/('I_Inputs &amp; Assumptions'!$B$8/4))),IF('I_Budget Input Data'!$E$108="At Completion",IF(29='I_Inputs &amp; Assumptions'!$B$8,'I_Budget Input Data'!$D$108,0),'I_Budget Input Data'!$D$108/'I_Inputs &amp; Assumptions'!$B$8)))))),0)</f>
        <v>0</v>
      </c>
      <c r="AF108" s="91">
        <f>IF(30&lt;='I_Inputs &amp; Assumptions'!$B$8,IF('I_Budget Input Data'!$E$108="Upfront",IF(30=1,'I_Budget Input Data'!$D$108,0),IF('I_Budget Input Data'!$E$108="Equal",'I_Budget Input Data'!$D$108/'I_Inputs &amp; Assumptions'!$B$8,IF('I_Budget Input Data'!$E$108="Front-loaded",IF(30&lt;='I_Inputs &amp; Assumptions'!$B$8/2,'I_Budget Input Data'!$D$108*0.6/('I_Inputs &amp; Assumptions'!$B$8/2),'I_Budget Input Data'!$D$108*0.4/('I_Inputs &amp; Assumptions'!$B$8/2)),IF('I_Budget Input Data'!$E$108="Back-loaded",IF(30&lt;='I_Inputs &amp; Assumptions'!$B$8/2,'I_Budget Input Data'!$D$108*0.4/('I_Inputs &amp; Assumptions'!$B$8/2),'I_Budget Input Data'!$D$108*0.6/('I_Inputs &amp; Assumptions'!$B$8/2)),IF('I_Budget Input Data'!$E$108="Mid-weighted",IF(30&lt;='I_Inputs &amp; Assumptions'!$B$8/4,'I_Budget Input Data'!$D$108*0.2/('I_Inputs &amp; Assumptions'!$B$8/4),IF(30&lt;='I_Inputs &amp; Assumptions'!$B$8*0.75,'I_Budget Input Data'!$D$108*0.6/('I_Inputs &amp; Assumptions'!$B$8/2),'I_Budget Input Data'!$D$108*0.2/('I_Inputs &amp; Assumptions'!$B$8/4))),IF('I_Budget Input Data'!$E$108="At Completion",IF(30='I_Inputs &amp; Assumptions'!$B$8,'I_Budget Input Data'!$D$108,0),'I_Budget Input Data'!$D$108/'I_Inputs &amp; Assumptions'!$B$8)))))),0)</f>
        <v>0</v>
      </c>
      <c r="AG108" s="91">
        <f>IF(31&lt;='I_Inputs &amp; Assumptions'!$B$8,IF('I_Budget Input Data'!$E$108="Upfront",IF(31=1,'I_Budget Input Data'!$D$108,0),IF('I_Budget Input Data'!$E$108="Equal",'I_Budget Input Data'!$D$108/'I_Inputs &amp; Assumptions'!$B$8,IF('I_Budget Input Data'!$E$108="Front-loaded",IF(31&lt;='I_Inputs &amp; Assumptions'!$B$8/2,'I_Budget Input Data'!$D$108*0.6/('I_Inputs &amp; Assumptions'!$B$8/2),'I_Budget Input Data'!$D$108*0.4/('I_Inputs &amp; Assumptions'!$B$8/2)),IF('I_Budget Input Data'!$E$108="Back-loaded",IF(31&lt;='I_Inputs &amp; Assumptions'!$B$8/2,'I_Budget Input Data'!$D$108*0.4/('I_Inputs &amp; Assumptions'!$B$8/2),'I_Budget Input Data'!$D$108*0.6/('I_Inputs &amp; Assumptions'!$B$8/2)),IF('I_Budget Input Data'!$E$108="Mid-weighted",IF(31&lt;='I_Inputs &amp; Assumptions'!$B$8/4,'I_Budget Input Data'!$D$108*0.2/('I_Inputs &amp; Assumptions'!$B$8/4),IF(31&lt;='I_Inputs &amp; Assumptions'!$B$8*0.75,'I_Budget Input Data'!$D$108*0.6/('I_Inputs &amp; Assumptions'!$B$8/2),'I_Budget Input Data'!$D$108*0.2/('I_Inputs &amp; Assumptions'!$B$8/4))),IF('I_Budget Input Data'!$E$108="At Completion",IF(31='I_Inputs &amp; Assumptions'!$B$8,'I_Budget Input Data'!$D$108,0),'I_Budget Input Data'!$D$108/'I_Inputs &amp; Assumptions'!$B$8)))))),0)</f>
        <v>0</v>
      </c>
      <c r="AH108" s="91">
        <f>IF(32&lt;='I_Inputs &amp; Assumptions'!$B$8,IF('I_Budget Input Data'!$E$108="Upfront",IF(32=1,'I_Budget Input Data'!$D$108,0),IF('I_Budget Input Data'!$E$108="Equal",'I_Budget Input Data'!$D$108/'I_Inputs &amp; Assumptions'!$B$8,IF('I_Budget Input Data'!$E$108="Front-loaded",IF(32&lt;='I_Inputs &amp; Assumptions'!$B$8/2,'I_Budget Input Data'!$D$108*0.6/('I_Inputs &amp; Assumptions'!$B$8/2),'I_Budget Input Data'!$D$108*0.4/('I_Inputs &amp; Assumptions'!$B$8/2)),IF('I_Budget Input Data'!$E$108="Back-loaded",IF(32&lt;='I_Inputs &amp; Assumptions'!$B$8/2,'I_Budget Input Data'!$D$108*0.4/('I_Inputs &amp; Assumptions'!$B$8/2),'I_Budget Input Data'!$D$108*0.6/('I_Inputs &amp; Assumptions'!$B$8/2)),IF('I_Budget Input Data'!$E$108="Mid-weighted",IF(32&lt;='I_Inputs &amp; Assumptions'!$B$8/4,'I_Budget Input Data'!$D$108*0.2/('I_Inputs &amp; Assumptions'!$B$8/4),IF(32&lt;='I_Inputs &amp; Assumptions'!$B$8*0.75,'I_Budget Input Data'!$D$108*0.6/('I_Inputs &amp; Assumptions'!$B$8/2),'I_Budget Input Data'!$D$108*0.2/('I_Inputs &amp; Assumptions'!$B$8/4))),IF('I_Budget Input Data'!$E$108="At Completion",IF(32='I_Inputs &amp; Assumptions'!$B$8,'I_Budget Input Data'!$D$108,0),'I_Budget Input Data'!$D$108/'I_Inputs &amp; Assumptions'!$B$8)))))),0)</f>
        <v>0</v>
      </c>
      <c r="AI108" s="91">
        <f>IF(33&lt;='I_Inputs &amp; Assumptions'!$B$8,IF('I_Budget Input Data'!$E$108="Upfront",IF(33=1,'I_Budget Input Data'!$D$108,0),IF('I_Budget Input Data'!$E$108="Equal",'I_Budget Input Data'!$D$108/'I_Inputs &amp; Assumptions'!$B$8,IF('I_Budget Input Data'!$E$108="Front-loaded",IF(33&lt;='I_Inputs &amp; Assumptions'!$B$8/2,'I_Budget Input Data'!$D$108*0.6/('I_Inputs &amp; Assumptions'!$B$8/2),'I_Budget Input Data'!$D$108*0.4/('I_Inputs &amp; Assumptions'!$B$8/2)),IF('I_Budget Input Data'!$E$108="Back-loaded",IF(33&lt;='I_Inputs &amp; Assumptions'!$B$8/2,'I_Budget Input Data'!$D$108*0.4/('I_Inputs &amp; Assumptions'!$B$8/2),'I_Budget Input Data'!$D$108*0.6/('I_Inputs &amp; Assumptions'!$B$8/2)),IF('I_Budget Input Data'!$E$108="Mid-weighted",IF(33&lt;='I_Inputs &amp; Assumptions'!$B$8/4,'I_Budget Input Data'!$D$108*0.2/('I_Inputs &amp; Assumptions'!$B$8/4),IF(33&lt;='I_Inputs &amp; Assumptions'!$B$8*0.75,'I_Budget Input Data'!$D$108*0.6/('I_Inputs &amp; Assumptions'!$B$8/2),'I_Budget Input Data'!$D$108*0.2/('I_Inputs &amp; Assumptions'!$B$8/4))),IF('I_Budget Input Data'!$E$108="At Completion",IF(33='I_Inputs &amp; Assumptions'!$B$8,'I_Budget Input Data'!$D$108,0),'I_Budget Input Data'!$D$108/'I_Inputs &amp; Assumptions'!$B$8)))))),0)</f>
        <v>0</v>
      </c>
      <c r="AJ108" s="91">
        <f>IF(34&lt;='I_Inputs &amp; Assumptions'!$B$8,IF('I_Budget Input Data'!$E$108="Upfront",IF(34=1,'I_Budget Input Data'!$D$108,0),IF('I_Budget Input Data'!$E$108="Equal",'I_Budget Input Data'!$D$108/'I_Inputs &amp; Assumptions'!$B$8,IF('I_Budget Input Data'!$E$108="Front-loaded",IF(34&lt;='I_Inputs &amp; Assumptions'!$B$8/2,'I_Budget Input Data'!$D$108*0.6/('I_Inputs &amp; Assumptions'!$B$8/2),'I_Budget Input Data'!$D$108*0.4/('I_Inputs &amp; Assumptions'!$B$8/2)),IF('I_Budget Input Data'!$E$108="Back-loaded",IF(34&lt;='I_Inputs &amp; Assumptions'!$B$8/2,'I_Budget Input Data'!$D$108*0.4/('I_Inputs &amp; Assumptions'!$B$8/2),'I_Budget Input Data'!$D$108*0.6/('I_Inputs &amp; Assumptions'!$B$8/2)),IF('I_Budget Input Data'!$E$108="Mid-weighted",IF(34&lt;='I_Inputs &amp; Assumptions'!$B$8/4,'I_Budget Input Data'!$D$108*0.2/('I_Inputs &amp; Assumptions'!$B$8/4),IF(34&lt;='I_Inputs &amp; Assumptions'!$B$8*0.75,'I_Budget Input Data'!$D$108*0.6/('I_Inputs &amp; Assumptions'!$B$8/2),'I_Budget Input Data'!$D$108*0.2/('I_Inputs &amp; Assumptions'!$B$8/4))),IF('I_Budget Input Data'!$E$108="At Completion",IF(34='I_Inputs &amp; Assumptions'!$B$8,'I_Budget Input Data'!$D$108,0),'I_Budget Input Data'!$D$108/'I_Inputs &amp; Assumptions'!$B$8)))))),0)</f>
        <v>0</v>
      </c>
      <c r="AK108" s="91">
        <f>IF(35&lt;='I_Inputs &amp; Assumptions'!$B$8,IF('I_Budget Input Data'!$E$108="Upfront",IF(35=1,'I_Budget Input Data'!$D$108,0),IF('I_Budget Input Data'!$E$108="Equal",'I_Budget Input Data'!$D$108/'I_Inputs &amp; Assumptions'!$B$8,IF('I_Budget Input Data'!$E$108="Front-loaded",IF(35&lt;='I_Inputs &amp; Assumptions'!$B$8/2,'I_Budget Input Data'!$D$108*0.6/('I_Inputs &amp; Assumptions'!$B$8/2),'I_Budget Input Data'!$D$108*0.4/('I_Inputs &amp; Assumptions'!$B$8/2)),IF('I_Budget Input Data'!$E$108="Back-loaded",IF(35&lt;='I_Inputs &amp; Assumptions'!$B$8/2,'I_Budget Input Data'!$D$108*0.4/('I_Inputs &amp; Assumptions'!$B$8/2),'I_Budget Input Data'!$D$108*0.6/('I_Inputs &amp; Assumptions'!$B$8/2)),IF('I_Budget Input Data'!$E$108="Mid-weighted",IF(35&lt;='I_Inputs &amp; Assumptions'!$B$8/4,'I_Budget Input Data'!$D$108*0.2/('I_Inputs &amp; Assumptions'!$B$8/4),IF(35&lt;='I_Inputs &amp; Assumptions'!$B$8*0.75,'I_Budget Input Data'!$D$108*0.6/('I_Inputs &amp; Assumptions'!$B$8/2),'I_Budget Input Data'!$D$108*0.2/('I_Inputs &amp; Assumptions'!$B$8/4))),IF('I_Budget Input Data'!$E$108="At Completion",IF(35='I_Inputs &amp; Assumptions'!$B$8,'I_Budget Input Data'!$D$108,0),'I_Budget Input Data'!$D$108/'I_Inputs &amp; Assumptions'!$B$8)))))),0)</f>
        <v>0</v>
      </c>
      <c r="AL108" s="91">
        <f>IF(36&lt;='I_Inputs &amp; Assumptions'!$B$8,IF('I_Budget Input Data'!$E$108="Upfront",IF(36=1,'I_Budget Input Data'!$D$108,0),IF('I_Budget Input Data'!$E$108="Equal",'I_Budget Input Data'!$D$108/'I_Inputs &amp; Assumptions'!$B$8,IF('I_Budget Input Data'!$E$108="Front-loaded",IF(36&lt;='I_Inputs &amp; Assumptions'!$B$8/2,'I_Budget Input Data'!$D$108*0.6/('I_Inputs &amp; Assumptions'!$B$8/2),'I_Budget Input Data'!$D$108*0.4/('I_Inputs &amp; Assumptions'!$B$8/2)),IF('I_Budget Input Data'!$E$108="Back-loaded",IF(36&lt;='I_Inputs &amp; Assumptions'!$B$8/2,'I_Budget Input Data'!$D$108*0.4/('I_Inputs &amp; Assumptions'!$B$8/2),'I_Budget Input Data'!$D$108*0.6/('I_Inputs &amp; Assumptions'!$B$8/2)),IF('I_Budget Input Data'!$E$108="Mid-weighted",IF(36&lt;='I_Inputs &amp; Assumptions'!$B$8/4,'I_Budget Input Data'!$D$108*0.2/('I_Inputs &amp; Assumptions'!$B$8/4),IF(36&lt;='I_Inputs &amp; Assumptions'!$B$8*0.75,'I_Budget Input Data'!$D$108*0.6/('I_Inputs &amp; Assumptions'!$B$8/2),'I_Budget Input Data'!$D$108*0.2/('I_Inputs &amp; Assumptions'!$B$8/4))),IF('I_Budget Input Data'!$E$108="At Completion",IF(36='I_Inputs &amp; Assumptions'!$B$8,'I_Budget Input Data'!$D$108,0),'I_Budget Input Data'!$D$108/'I_Inputs &amp; Assumptions'!$B$8)))))),0)</f>
        <v>0</v>
      </c>
    </row>
    <row r="109" spans="1:38" ht="15" customHeight="1" x14ac:dyDescent="0.2">
      <c r="A109" t="s">
        <v>146</v>
      </c>
      <c r="B109" t="s">
        <v>225</v>
      </c>
      <c r="C109" s="91">
        <v>0</v>
      </c>
      <c r="D109" s="91">
        <v>0</v>
      </c>
      <c r="E109" s="91">
        <v>0</v>
      </c>
      <c r="F109" s="91">
        <v>0</v>
      </c>
      <c r="G109" s="91">
        <v>0</v>
      </c>
      <c r="H109" s="91">
        <v>0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91">
        <v>0</v>
      </c>
      <c r="Z109" s="91">
        <v>0</v>
      </c>
      <c r="AA109" s="91">
        <v>0</v>
      </c>
      <c r="AB109" s="91">
        <v>0</v>
      </c>
      <c r="AC109" s="91">
        <v>0</v>
      </c>
      <c r="AD109" s="91">
        <v>0</v>
      </c>
      <c r="AE109" s="91">
        <v>0</v>
      </c>
      <c r="AF109" s="91">
        <v>0</v>
      </c>
      <c r="AG109" s="91">
        <v>0</v>
      </c>
      <c r="AH109" s="91">
        <v>0</v>
      </c>
      <c r="AI109" s="91">
        <v>0</v>
      </c>
      <c r="AJ109" s="91">
        <v>0</v>
      </c>
      <c r="AK109" s="91">
        <v>0</v>
      </c>
      <c r="AL109" s="91">
        <v>0</v>
      </c>
    </row>
    <row r="110" spans="1:38" ht="15" customHeight="1" x14ac:dyDescent="0.2">
      <c r="A110" t="s">
        <v>146</v>
      </c>
      <c r="B110" t="s">
        <v>226</v>
      </c>
      <c r="C110" s="91">
        <f>IF(1&lt;='I_Inputs &amp; Assumptions'!$B$8,IF('I_Budget Input Data'!$E$110="Upfront",IF(1=1,'I_Budget Input Data'!$D$110,0),IF('I_Budget Input Data'!$E$110="Equal",'I_Budget Input Data'!$D$110/'I_Inputs &amp; Assumptions'!$B$8,IF('I_Budget Input Data'!$E$110="Front-loaded",IF(1&lt;='I_Inputs &amp; Assumptions'!$B$8/2,'I_Budget Input Data'!$D$110*0.6/('I_Inputs &amp; Assumptions'!$B$8/2),'I_Budget Input Data'!$D$110*0.4/('I_Inputs &amp; Assumptions'!$B$8/2)),IF('I_Budget Input Data'!$E$110="Back-loaded",IF(1&lt;='I_Inputs &amp; Assumptions'!$B$8/2,'I_Budget Input Data'!$D$110*0.4/('I_Inputs &amp; Assumptions'!$B$8/2),'I_Budget Input Data'!$D$110*0.6/('I_Inputs &amp; Assumptions'!$B$8/2)),IF('I_Budget Input Data'!$E$110="Mid-weighted",IF(1&lt;='I_Inputs &amp; Assumptions'!$B$8/4,'I_Budget Input Data'!$D$110*0.2/('I_Inputs &amp; Assumptions'!$B$8/4),IF(1&lt;='I_Inputs &amp; Assumptions'!$B$8*0.75,'I_Budget Input Data'!$D$110*0.6/('I_Inputs &amp; Assumptions'!$B$8/2),'I_Budget Input Data'!$D$110*0.2/('I_Inputs &amp; Assumptions'!$B$8/4))),IF('I_Budget Input Data'!$E$110="At Completion",IF(1='I_Inputs &amp; Assumptions'!$B$8,'I_Budget Input Data'!$D$110,0),'I_Budget Input Data'!$D$110/'I_Inputs &amp; Assumptions'!$B$8)))))),0)</f>
        <v>144361.78461538462</v>
      </c>
      <c r="D110" s="91">
        <f>IF(2&lt;='I_Inputs &amp; Assumptions'!$B$8,IF('I_Budget Input Data'!$E$110="Upfront",IF(2=1,'I_Budget Input Data'!$D$110,0),IF('I_Budget Input Data'!$E$110="Equal",'I_Budget Input Data'!$D$110/'I_Inputs &amp; Assumptions'!$B$8,IF('I_Budget Input Data'!$E$110="Front-loaded",IF(2&lt;='I_Inputs &amp; Assumptions'!$B$8/2,'I_Budget Input Data'!$D$110*0.6/('I_Inputs &amp; Assumptions'!$B$8/2),'I_Budget Input Data'!$D$110*0.4/('I_Inputs &amp; Assumptions'!$B$8/2)),IF('I_Budget Input Data'!$E$110="Back-loaded",IF(2&lt;='I_Inputs &amp; Assumptions'!$B$8/2,'I_Budget Input Data'!$D$110*0.4/('I_Inputs &amp; Assumptions'!$B$8/2),'I_Budget Input Data'!$D$110*0.6/('I_Inputs &amp; Assumptions'!$B$8/2)),IF('I_Budget Input Data'!$E$110="Mid-weighted",IF(2&lt;='I_Inputs &amp; Assumptions'!$B$8/4,'I_Budget Input Data'!$D$110*0.2/('I_Inputs &amp; Assumptions'!$B$8/4),IF(2&lt;='I_Inputs &amp; Assumptions'!$B$8*0.75,'I_Budget Input Data'!$D$110*0.6/('I_Inputs &amp; Assumptions'!$B$8/2),'I_Budget Input Data'!$D$110*0.2/('I_Inputs &amp; Assumptions'!$B$8/4))),IF('I_Budget Input Data'!$E$110="At Completion",IF(2='I_Inputs &amp; Assumptions'!$B$8,'I_Budget Input Data'!$D$110,0),'I_Budget Input Data'!$D$110/'I_Inputs &amp; Assumptions'!$B$8)))))),0)</f>
        <v>144361.78461538462</v>
      </c>
      <c r="E110" s="91">
        <f>IF(3&lt;='I_Inputs &amp; Assumptions'!$B$8,IF('I_Budget Input Data'!$E$110="Upfront",IF(3=1,'I_Budget Input Data'!$D$110,0),IF('I_Budget Input Data'!$E$110="Equal",'I_Budget Input Data'!$D$110/'I_Inputs &amp; Assumptions'!$B$8,IF('I_Budget Input Data'!$E$110="Front-loaded",IF(3&lt;='I_Inputs &amp; Assumptions'!$B$8/2,'I_Budget Input Data'!$D$110*0.6/('I_Inputs &amp; Assumptions'!$B$8/2),'I_Budget Input Data'!$D$110*0.4/('I_Inputs &amp; Assumptions'!$B$8/2)),IF('I_Budget Input Data'!$E$110="Back-loaded",IF(3&lt;='I_Inputs &amp; Assumptions'!$B$8/2,'I_Budget Input Data'!$D$110*0.4/('I_Inputs &amp; Assumptions'!$B$8/2),'I_Budget Input Data'!$D$110*0.6/('I_Inputs &amp; Assumptions'!$B$8/2)),IF('I_Budget Input Data'!$E$110="Mid-weighted",IF(3&lt;='I_Inputs &amp; Assumptions'!$B$8/4,'I_Budget Input Data'!$D$110*0.2/('I_Inputs &amp; Assumptions'!$B$8/4),IF(3&lt;='I_Inputs &amp; Assumptions'!$B$8*0.75,'I_Budget Input Data'!$D$110*0.6/('I_Inputs &amp; Assumptions'!$B$8/2),'I_Budget Input Data'!$D$110*0.2/('I_Inputs &amp; Assumptions'!$B$8/4))),IF('I_Budget Input Data'!$E$110="At Completion",IF(3='I_Inputs &amp; Assumptions'!$B$8,'I_Budget Input Data'!$D$110,0),'I_Budget Input Data'!$D$110/'I_Inputs &amp; Assumptions'!$B$8)))))),0)</f>
        <v>144361.78461538462</v>
      </c>
      <c r="F110" s="91">
        <f>IF(4&lt;='I_Inputs &amp; Assumptions'!$B$8,IF('I_Budget Input Data'!$E$110="Upfront",IF(4=1,'I_Budget Input Data'!$D$110,0),IF('I_Budget Input Data'!$E$110="Equal",'I_Budget Input Data'!$D$110/'I_Inputs &amp; Assumptions'!$B$8,IF('I_Budget Input Data'!$E$110="Front-loaded",IF(4&lt;='I_Inputs &amp; Assumptions'!$B$8/2,'I_Budget Input Data'!$D$110*0.6/('I_Inputs &amp; Assumptions'!$B$8/2),'I_Budget Input Data'!$D$110*0.4/('I_Inputs &amp; Assumptions'!$B$8/2)),IF('I_Budget Input Data'!$E$110="Back-loaded",IF(4&lt;='I_Inputs &amp; Assumptions'!$B$8/2,'I_Budget Input Data'!$D$110*0.4/('I_Inputs &amp; Assumptions'!$B$8/2),'I_Budget Input Data'!$D$110*0.6/('I_Inputs &amp; Assumptions'!$B$8/2)),IF('I_Budget Input Data'!$E$110="Mid-weighted",IF(4&lt;='I_Inputs &amp; Assumptions'!$B$8/4,'I_Budget Input Data'!$D$110*0.2/('I_Inputs &amp; Assumptions'!$B$8/4),IF(4&lt;='I_Inputs &amp; Assumptions'!$B$8*0.75,'I_Budget Input Data'!$D$110*0.6/('I_Inputs &amp; Assumptions'!$B$8/2),'I_Budget Input Data'!$D$110*0.2/('I_Inputs &amp; Assumptions'!$B$8/4))),IF('I_Budget Input Data'!$E$110="At Completion",IF(4='I_Inputs &amp; Assumptions'!$B$8,'I_Budget Input Data'!$D$110,0),'I_Budget Input Data'!$D$110/'I_Inputs &amp; Assumptions'!$B$8)))))),0)</f>
        <v>144361.78461538462</v>
      </c>
      <c r="G110" s="91">
        <f>IF(5&lt;='I_Inputs &amp; Assumptions'!$B$8,IF('I_Budget Input Data'!$E$110="Upfront",IF(5=1,'I_Budget Input Data'!$D$110,0),IF('I_Budget Input Data'!$E$110="Equal",'I_Budget Input Data'!$D$110/'I_Inputs &amp; Assumptions'!$B$8,IF('I_Budget Input Data'!$E$110="Front-loaded",IF(5&lt;='I_Inputs &amp; Assumptions'!$B$8/2,'I_Budget Input Data'!$D$110*0.6/('I_Inputs &amp; Assumptions'!$B$8/2),'I_Budget Input Data'!$D$110*0.4/('I_Inputs &amp; Assumptions'!$B$8/2)),IF('I_Budget Input Data'!$E$110="Back-loaded",IF(5&lt;='I_Inputs &amp; Assumptions'!$B$8/2,'I_Budget Input Data'!$D$110*0.4/('I_Inputs &amp; Assumptions'!$B$8/2),'I_Budget Input Data'!$D$110*0.6/('I_Inputs &amp; Assumptions'!$B$8/2)),IF('I_Budget Input Data'!$E$110="Mid-weighted",IF(5&lt;='I_Inputs &amp; Assumptions'!$B$8/4,'I_Budget Input Data'!$D$110*0.2/('I_Inputs &amp; Assumptions'!$B$8/4),IF(5&lt;='I_Inputs &amp; Assumptions'!$B$8*0.75,'I_Budget Input Data'!$D$110*0.6/('I_Inputs &amp; Assumptions'!$B$8/2),'I_Budget Input Data'!$D$110*0.2/('I_Inputs &amp; Assumptions'!$B$8/4))),IF('I_Budget Input Data'!$E$110="At Completion",IF(5='I_Inputs &amp; Assumptions'!$B$8,'I_Budget Input Data'!$D$110,0),'I_Budget Input Data'!$D$110/'I_Inputs &amp; Assumptions'!$B$8)))))),0)</f>
        <v>144361.78461538462</v>
      </c>
      <c r="H110" s="91">
        <f>IF(6&lt;='I_Inputs &amp; Assumptions'!$B$8,IF('I_Budget Input Data'!$E$110="Upfront",IF(6=1,'I_Budget Input Data'!$D$110,0),IF('I_Budget Input Data'!$E$110="Equal",'I_Budget Input Data'!$D$110/'I_Inputs &amp; Assumptions'!$B$8,IF('I_Budget Input Data'!$E$110="Front-loaded",IF(6&lt;='I_Inputs &amp; Assumptions'!$B$8/2,'I_Budget Input Data'!$D$110*0.6/('I_Inputs &amp; Assumptions'!$B$8/2),'I_Budget Input Data'!$D$110*0.4/('I_Inputs &amp; Assumptions'!$B$8/2)),IF('I_Budget Input Data'!$E$110="Back-loaded",IF(6&lt;='I_Inputs &amp; Assumptions'!$B$8/2,'I_Budget Input Data'!$D$110*0.4/('I_Inputs &amp; Assumptions'!$B$8/2),'I_Budget Input Data'!$D$110*0.6/('I_Inputs &amp; Assumptions'!$B$8/2)),IF('I_Budget Input Data'!$E$110="Mid-weighted",IF(6&lt;='I_Inputs &amp; Assumptions'!$B$8/4,'I_Budget Input Data'!$D$110*0.2/('I_Inputs &amp; Assumptions'!$B$8/4),IF(6&lt;='I_Inputs &amp; Assumptions'!$B$8*0.75,'I_Budget Input Data'!$D$110*0.6/('I_Inputs &amp; Assumptions'!$B$8/2),'I_Budget Input Data'!$D$110*0.2/('I_Inputs &amp; Assumptions'!$B$8/4))),IF('I_Budget Input Data'!$E$110="At Completion",IF(6='I_Inputs &amp; Assumptions'!$B$8,'I_Budget Input Data'!$D$110,0),'I_Budget Input Data'!$D$110/'I_Inputs &amp; Assumptions'!$B$8)))))),0)</f>
        <v>144361.78461538462</v>
      </c>
      <c r="I110" s="91">
        <f>IF(7&lt;='I_Inputs &amp; Assumptions'!$B$8,IF('I_Budget Input Data'!$E$110="Upfront",IF(7=1,'I_Budget Input Data'!$D$110,0),IF('I_Budget Input Data'!$E$110="Equal",'I_Budget Input Data'!$D$110/'I_Inputs &amp; Assumptions'!$B$8,IF('I_Budget Input Data'!$E$110="Front-loaded",IF(7&lt;='I_Inputs &amp; Assumptions'!$B$8/2,'I_Budget Input Data'!$D$110*0.6/('I_Inputs &amp; Assumptions'!$B$8/2),'I_Budget Input Data'!$D$110*0.4/('I_Inputs &amp; Assumptions'!$B$8/2)),IF('I_Budget Input Data'!$E$110="Back-loaded",IF(7&lt;='I_Inputs &amp; Assumptions'!$B$8/2,'I_Budget Input Data'!$D$110*0.4/('I_Inputs &amp; Assumptions'!$B$8/2),'I_Budget Input Data'!$D$110*0.6/('I_Inputs &amp; Assumptions'!$B$8/2)),IF('I_Budget Input Data'!$E$110="Mid-weighted",IF(7&lt;='I_Inputs &amp; Assumptions'!$B$8/4,'I_Budget Input Data'!$D$110*0.2/('I_Inputs &amp; Assumptions'!$B$8/4),IF(7&lt;='I_Inputs &amp; Assumptions'!$B$8*0.75,'I_Budget Input Data'!$D$110*0.6/('I_Inputs &amp; Assumptions'!$B$8/2),'I_Budget Input Data'!$D$110*0.2/('I_Inputs &amp; Assumptions'!$B$8/4))),IF('I_Budget Input Data'!$E$110="At Completion",IF(7='I_Inputs &amp; Assumptions'!$B$8,'I_Budget Input Data'!$D$110,0),'I_Budget Input Data'!$D$110/'I_Inputs &amp; Assumptions'!$B$8)))))),0)</f>
        <v>216542.67692307691</v>
      </c>
      <c r="J110" s="91">
        <f>IF(8&lt;='I_Inputs &amp; Assumptions'!$B$8,IF('I_Budget Input Data'!$E$110="Upfront",IF(8=1,'I_Budget Input Data'!$D$110,0),IF('I_Budget Input Data'!$E$110="Equal",'I_Budget Input Data'!$D$110/'I_Inputs &amp; Assumptions'!$B$8,IF('I_Budget Input Data'!$E$110="Front-loaded",IF(8&lt;='I_Inputs &amp; Assumptions'!$B$8/2,'I_Budget Input Data'!$D$110*0.6/('I_Inputs &amp; Assumptions'!$B$8/2),'I_Budget Input Data'!$D$110*0.4/('I_Inputs &amp; Assumptions'!$B$8/2)),IF('I_Budget Input Data'!$E$110="Back-loaded",IF(8&lt;='I_Inputs &amp; Assumptions'!$B$8/2,'I_Budget Input Data'!$D$110*0.4/('I_Inputs &amp; Assumptions'!$B$8/2),'I_Budget Input Data'!$D$110*0.6/('I_Inputs &amp; Assumptions'!$B$8/2)),IF('I_Budget Input Data'!$E$110="Mid-weighted",IF(8&lt;='I_Inputs &amp; Assumptions'!$B$8/4,'I_Budget Input Data'!$D$110*0.2/('I_Inputs &amp; Assumptions'!$B$8/4),IF(8&lt;='I_Inputs &amp; Assumptions'!$B$8*0.75,'I_Budget Input Data'!$D$110*0.6/('I_Inputs &amp; Assumptions'!$B$8/2),'I_Budget Input Data'!$D$110*0.2/('I_Inputs &amp; Assumptions'!$B$8/4))),IF('I_Budget Input Data'!$E$110="At Completion",IF(8='I_Inputs &amp; Assumptions'!$B$8,'I_Budget Input Data'!$D$110,0),'I_Budget Input Data'!$D$110/'I_Inputs &amp; Assumptions'!$B$8)))))),0)</f>
        <v>216542.67692307691</v>
      </c>
      <c r="K110" s="91">
        <f>IF(9&lt;='I_Inputs &amp; Assumptions'!$B$8,IF('I_Budget Input Data'!$E$110="Upfront",IF(9=1,'I_Budget Input Data'!$D$110,0),IF('I_Budget Input Data'!$E$110="Equal",'I_Budget Input Data'!$D$110/'I_Inputs &amp; Assumptions'!$B$8,IF('I_Budget Input Data'!$E$110="Front-loaded",IF(9&lt;='I_Inputs &amp; Assumptions'!$B$8/2,'I_Budget Input Data'!$D$110*0.6/('I_Inputs &amp; Assumptions'!$B$8/2),'I_Budget Input Data'!$D$110*0.4/('I_Inputs &amp; Assumptions'!$B$8/2)),IF('I_Budget Input Data'!$E$110="Back-loaded",IF(9&lt;='I_Inputs &amp; Assumptions'!$B$8/2,'I_Budget Input Data'!$D$110*0.4/('I_Inputs &amp; Assumptions'!$B$8/2),'I_Budget Input Data'!$D$110*0.6/('I_Inputs &amp; Assumptions'!$B$8/2)),IF('I_Budget Input Data'!$E$110="Mid-weighted",IF(9&lt;='I_Inputs &amp; Assumptions'!$B$8/4,'I_Budget Input Data'!$D$110*0.2/('I_Inputs &amp; Assumptions'!$B$8/4),IF(9&lt;='I_Inputs &amp; Assumptions'!$B$8*0.75,'I_Budget Input Data'!$D$110*0.6/('I_Inputs &amp; Assumptions'!$B$8/2),'I_Budget Input Data'!$D$110*0.2/('I_Inputs &amp; Assumptions'!$B$8/4))),IF('I_Budget Input Data'!$E$110="At Completion",IF(9='I_Inputs &amp; Assumptions'!$B$8,'I_Budget Input Data'!$D$110,0),'I_Budget Input Data'!$D$110/'I_Inputs &amp; Assumptions'!$B$8)))))),0)</f>
        <v>216542.67692307691</v>
      </c>
      <c r="L110" s="91">
        <f>IF(10&lt;='I_Inputs &amp; Assumptions'!$B$8,IF('I_Budget Input Data'!$E$110="Upfront",IF(10=1,'I_Budget Input Data'!$D$110,0),IF('I_Budget Input Data'!$E$110="Equal",'I_Budget Input Data'!$D$110/'I_Inputs &amp; Assumptions'!$B$8,IF('I_Budget Input Data'!$E$110="Front-loaded",IF(10&lt;='I_Inputs &amp; Assumptions'!$B$8/2,'I_Budget Input Data'!$D$110*0.6/('I_Inputs &amp; Assumptions'!$B$8/2),'I_Budget Input Data'!$D$110*0.4/('I_Inputs &amp; Assumptions'!$B$8/2)),IF('I_Budget Input Data'!$E$110="Back-loaded",IF(10&lt;='I_Inputs &amp; Assumptions'!$B$8/2,'I_Budget Input Data'!$D$110*0.4/('I_Inputs &amp; Assumptions'!$B$8/2),'I_Budget Input Data'!$D$110*0.6/('I_Inputs &amp; Assumptions'!$B$8/2)),IF('I_Budget Input Data'!$E$110="Mid-weighted",IF(10&lt;='I_Inputs &amp; Assumptions'!$B$8/4,'I_Budget Input Data'!$D$110*0.2/('I_Inputs &amp; Assumptions'!$B$8/4),IF(10&lt;='I_Inputs &amp; Assumptions'!$B$8*0.75,'I_Budget Input Data'!$D$110*0.6/('I_Inputs &amp; Assumptions'!$B$8/2),'I_Budget Input Data'!$D$110*0.2/('I_Inputs &amp; Assumptions'!$B$8/4))),IF('I_Budget Input Data'!$E$110="At Completion",IF(10='I_Inputs &amp; Assumptions'!$B$8,'I_Budget Input Data'!$D$110,0),'I_Budget Input Data'!$D$110/'I_Inputs &amp; Assumptions'!$B$8)))))),0)</f>
        <v>216542.67692307691</v>
      </c>
      <c r="M110" s="91">
        <f>IF(11&lt;='I_Inputs &amp; Assumptions'!$B$8,IF('I_Budget Input Data'!$E$110="Upfront",IF(11=1,'I_Budget Input Data'!$D$110,0),IF('I_Budget Input Data'!$E$110="Equal",'I_Budget Input Data'!$D$110/'I_Inputs &amp; Assumptions'!$B$8,IF('I_Budget Input Data'!$E$110="Front-loaded",IF(11&lt;='I_Inputs &amp; Assumptions'!$B$8/2,'I_Budget Input Data'!$D$110*0.6/('I_Inputs &amp; Assumptions'!$B$8/2),'I_Budget Input Data'!$D$110*0.4/('I_Inputs &amp; Assumptions'!$B$8/2)),IF('I_Budget Input Data'!$E$110="Back-loaded",IF(11&lt;='I_Inputs &amp; Assumptions'!$B$8/2,'I_Budget Input Data'!$D$110*0.4/('I_Inputs &amp; Assumptions'!$B$8/2),'I_Budget Input Data'!$D$110*0.6/('I_Inputs &amp; Assumptions'!$B$8/2)),IF('I_Budget Input Data'!$E$110="Mid-weighted",IF(11&lt;='I_Inputs &amp; Assumptions'!$B$8/4,'I_Budget Input Data'!$D$110*0.2/('I_Inputs &amp; Assumptions'!$B$8/4),IF(11&lt;='I_Inputs &amp; Assumptions'!$B$8*0.75,'I_Budget Input Data'!$D$110*0.6/('I_Inputs &amp; Assumptions'!$B$8/2),'I_Budget Input Data'!$D$110*0.2/('I_Inputs &amp; Assumptions'!$B$8/4))),IF('I_Budget Input Data'!$E$110="At Completion",IF(11='I_Inputs &amp; Assumptions'!$B$8,'I_Budget Input Data'!$D$110,0),'I_Budget Input Data'!$D$110/'I_Inputs &amp; Assumptions'!$B$8)))))),0)</f>
        <v>216542.67692307691</v>
      </c>
      <c r="N110" s="91">
        <f>IF(12&lt;='I_Inputs &amp; Assumptions'!$B$8,IF('I_Budget Input Data'!$E$110="Upfront",IF(12=1,'I_Budget Input Data'!$D$110,0),IF('I_Budget Input Data'!$E$110="Equal",'I_Budget Input Data'!$D$110/'I_Inputs &amp; Assumptions'!$B$8,IF('I_Budget Input Data'!$E$110="Front-loaded",IF(12&lt;='I_Inputs &amp; Assumptions'!$B$8/2,'I_Budget Input Data'!$D$110*0.6/('I_Inputs &amp; Assumptions'!$B$8/2),'I_Budget Input Data'!$D$110*0.4/('I_Inputs &amp; Assumptions'!$B$8/2)),IF('I_Budget Input Data'!$E$110="Back-loaded",IF(12&lt;='I_Inputs &amp; Assumptions'!$B$8/2,'I_Budget Input Data'!$D$110*0.4/('I_Inputs &amp; Assumptions'!$B$8/2),'I_Budget Input Data'!$D$110*0.6/('I_Inputs &amp; Assumptions'!$B$8/2)),IF('I_Budget Input Data'!$E$110="Mid-weighted",IF(12&lt;='I_Inputs &amp; Assumptions'!$B$8/4,'I_Budget Input Data'!$D$110*0.2/('I_Inputs &amp; Assumptions'!$B$8/4),IF(12&lt;='I_Inputs &amp; Assumptions'!$B$8*0.75,'I_Budget Input Data'!$D$110*0.6/('I_Inputs &amp; Assumptions'!$B$8/2),'I_Budget Input Data'!$D$110*0.2/('I_Inputs &amp; Assumptions'!$B$8/4))),IF('I_Budget Input Data'!$E$110="At Completion",IF(12='I_Inputs &amp; Assumptions'!$B$8,'I_Budget Input Data'!$D$110,0),'I_Budget Input Data'!$D$110/'I_Inputs &amp; Assumptions'!$B$8)))))),0)</f>
        <v>216542.67692307691</v>
      </c>
      <c r="O110" s="91">
        <f>IF(13&lt;='I_Inputs &amp; Assumptions'!$B$8,IF('I_Budget Input Data'!$E$110="Upfront",IF(13=1,'I_Budget Input Data'!$D$110,0),IF('I_Budget Input Data'!$E$110="Equal",'I_Budget Input Data'!$D$110/'I_Inputs &amp; Assumptions'!$B$8,IF('I_Budget Input Data'!$E$110="Front-loaded",IF(13&lt;='I_Inputs &amp; Assumptions'!$B$8/2,'I_Budget Input Data'!$D$110*0.6/('I_Inputs &amp; Assumptions'!$B$8/2),'I_Budget Input Data'!$D$110*0.4/('I_Inputs &amp; Assumptions'!$B$8/2)),IF('I_Budget Input Data'!$E$110="Back-loaded",IF(13&lt;='I_Inputs &amp; Assumptions'!$B$8/2,'I_Budget Input Data'!$D$110*0.4/('I_Inputs &amp; Assumptions'!$B$8/2),'I_Budget Input Data'!$D$110*0.6/('I_Inputs &amp; Assumptions'!$B$8/2)),IF('I_Budget Input Data'!$E$110="Mid-weighted",IF(13&lt;='I_Inputs &amp; Assumptions'!$B$8/4,'I_Budget Input Data'!$D$110*0.2/('I_Inputs &amp; Assumptions'!$B$8/4),IF(13&lt;='I_Inputs &amp; Assumptions'!$B$8*0.75,'I_Budget Input Data'!$D$110*0.6/('I_Inputs &amp; Assumptions'!$B$8/2),'I_Budget Input Data'!$D$110*0.2/('I_Inputs &amp; Assumptions'!$B$8/4))),IF('I_Budget Input Data'!$E$110="At Completion",IF(13='I_Inputs &amp; Assumptions'!$B$8,'I_Budget Input Data'!$D$110,0),'I_Budget Input Data'!$D$110/'I_Inputs &amp; Assumptions'!$B$8)))))),0)</f>
        <v>216542.67692307691</v>
      </c>
      <c r="P110" s="91">
        <f>IF(14&lt;='I_Inputs &amp; Assumptions'!$B$8,IF('I_Budget Input Data'!$E$110="Upfront",IF(14=1,'I_Budget Input Data'!$D$110,0),IF('I_Budget Input Data'!$E$110="Equal",'I_Budget Input Data'!$D$110/'I_Inputs &amp; Assumptions'!$B$8,IF('I_Budget Input Data'!$E$110="Front-loaded",IF(14&lt;='I_Inputs &amp; Assumptions'!$B$8/2,'I_Budget Input Data'!$D$110*0.6/('I_Inputs &amp; Assumptions'!$B$8/2),'I_Budget Input Data'!$D$110*0.4/('I_Inputs &amp; Assumptions'!$B$8/2)),IF('I_Budget Input Data'!$E$110="Back-loaded",IF(14&lt;='I_Inputs &amp; Assumptions'!$B$8/2,'I_Budget Input Data'!$D$110*0.4/('I_Inputs &amp; Assumptions'!$B$8/2),'I_Budget Input Data'!$D$110*0.6/('I_Inputs &amp; Assumptions'!$B$8/2)),IF('I_Budget Input Data'!$E$110="Mid-weighted",IF(14&lt;='I_Inputs &amp; Assumptions'!$B$8/4,'I_Budget Input Data'!$D$110*0.2/('I_Inputs &amp; Assumptions'!$B$8/4),IF(14&lt;='I_Inputs &amp; Assumptions'!$B$8*0.75,'I_Budget Input Data'!$D$110*0.6/('I_Inputs &amp; Assumptions'!$B$8/2),'I_Budget Input Data'!$D$110*0.2/('I_Inputs &amp; Assumptions'!$B$8/4))),IF('I_Budget Input Data'!$E$110="At Completion",IF(14='I_Inputs &amp; Assumptions'!$B$8,'I_Budget Input Data'!$D$110,0),'I_Budget Input Data'!$D$110/'I_Inputs &amp; Assumptions'!$B$8)))))),0)</f>
        <v>0</v>
      </c>
      <c r="Q110" s="91">
        <f>IF(15&lt;='I_Inputs &amp; Assumptions'!$B$8,IF('I_Budget Input Data'!$E$110="Upfront",IF(15=1,'I_Budget Input Data'!$D$110,0),IF('I_Budget Input Data'!$E$110="Equal",'I_Budget Input Data'!$D$110/'I_Inputs &amp; Assumptions'!$B$8,IF('I_Budget Input Data'!$E$110="Front-loaded",IF(15&lt;='I_Inputs &amp; Assumptions'!$B$8/2,'I_Budget Input Data'!$D$110*0.6/('I_Inputs &amp; Assumptions'!$B$8/2),'I_Budget Input Data'!$D$110*0.4/('I_Inputs &amp; Assumptions'!$B$8/2)),IF('I_Budget Input Data'!$E$110="Back-loaded",IF(15&lt;='I_Inputs &amp; Assumptions'!$B$8/2,'I_Budget Input Data'!$D$110*0.4/('I_Inputs &amp; Assumptions'!$B$8/2),'I_Budget Input Data'!$D$110*0.6/('I_Inputs &amp; Assumptions'!$B$8/2)),IF('I_Budget Input Data'!$E$110="Mid-weighted",IF(15&lt;='I_Inputs &amp; Assumptions'!$B$8/4,'I_Budget Input Data'!$D$110*0.2/('I_Inputs &amp; Assumptions'!$B$8/4),IF(15&lt;='I_Inputs &amp; Assumptions'!$B$8*0.75,'I_Budget Input Data'!$D$110*0.6/('I_Inputs &amp; Assumptions'!$B$8/2),'I_Budget Input Data'!$D$110*0.2/('I_Inputs &amp; Assumptions'!$B$8/4))),IF('I_Budget Input Data'!$E$110="At Completion",IF(15='I_Inputs &amp; Assumptions'!$B$8,'I_Budget Input Data'!$D$110,0),'I_Budget Input Data'!$D$110/'I_Inputs &amp; Assumptions'!$B$8)))))),0)</f>
        <v>0</v>
      </c>
      <c r="R110" s="91">
        <f>IF(16&lt;='I_Inputs &amp; Assumptions'!$B$8,IF('I_Budget Input Data'!$E$110="Upfront",IF(16=1,'I_Budget Input Data'!$D$110,0),IF('I_Budget Input Data'!$E$110="Equal",'I_Budget Input Data'!$D$110/'I_Inputs &amp; Assumptions'!$B$8,IF('I_Budget Input Data'!$E$110="Front-loaded",IF(16&lt;='I_Inputs &amp; Assumptions'!$B$8/2,'I_Budget Input Data'!$D$110*0.6/('I_Inputs &amp; Assumptions'!$B$8/2),'I_Budget Input Data'!$D$110*0.4/('I_Inputs &amp; Assumptions'!$B$8/2)),IF('I_Budget Input Data'!$E$110="Back-loaded",IF(16&lt;='I_Inputs &amp; Assumptions'!$B$8/2,'I_Budget Input Data'!$D$110*0.4/('I_Inputs &amp; Assumptions'!$B$8/2),'I_Budget Input Data'!$D$110*0.6/('I_Inputs &amp; Assumptions'!$B$8/2)),IF('I_Budget Input Data'!$E$110="Mid-weighted",IF(16&lt;='I_Inputs &amp; Assumptions'!$B$8/4,'I_Budget Input Data'!$D$110*0.2/('I_Inputs &amp; Assumptions'!$B$8/4),IF(16&lt;='I_Inputs &amp; Assumptions'!$B$8*0.75,'I_Budget Input Data'!$D$110*0.6/('I_Inputs &amp; Assumptions'!$B$8/2),'I_Budget Input Data'!$D$110*0.2/('I_Inputs &amp; Assumptions'!$B$8/4))),IF('I_Budget Input Data'!$E$110="At Completion",IF(16='I_Inputs &amp; Assumptions'!$B$8,'I_Budget Input Data'!$D$110,0),'I_Budget Input Data'!$D$110/'I_Inputs &amp; Assumptions'!$B$8)))))),0)</f>
        <v>0</v>
      </c>
      <c r="S110" s="91">
        <f>IF(17&lt;='I_Inputs &amp; Assumptions'!$B$8,IF('I_Budget Input Data'!$E$110="Upfront",IF(17=1,'I_Budget Input Data'!$D$110,0),IF('I_Budget Input Data'!$E$110="Equal",'I_Budget Input Data'!$D$110/'I_Inputs &amp; Assumptions'!$B$8,IF('I_Budget Input Data'!$E$110="Front-loaded",IF(17&lt;='I_Inputs &amp; Assumptions'!$B$8/2,'I_Budget Input Data'!$D$110*0.6/('I_Inputs &amp; Assumptions'!$B$8/2),'I_Budget Input Data'!$D$110*0.4/('I_Inputs &amp; Assumptions'!$B$8/2)),IF('I_Budget Input Data'!$E$110="Back-loaded",IF(17&lt;='I_Inputs &amp; Assumptions'!$B$8/2,'I_Budget Input Data'!$D$110*0.4/('I_Inputs &amp; Assumptions'!$B$8/2),'I_Budget Input Data'!$D$110*0.6/('I_Inputs &amp; Assumptions'!$B$8/2)),IF('I_Budget Input Data'!$E$110="Mid-weighted",IF(17&lt;='I_Inputs &amp; Assumptions'!$B$8/4,'I_Budget Input Data'!$D$110*0.2/('I_Inputs &amp; Assumptions'!$B$8/4),IF(17&lt;='I_Inputs &amp; Assumptions'!$B$8*0.75,'I_Budget Input Data'!$D$110*0.6/('I_Inputs &amp; Assumptions'!$B$8/2),'I_Budget Input Data'!$D$110*0.2/('I_Inputs &amp; Assumptions'!$B$8/4))),IF('I_Budget Input Data'!$E$110="At Completion",IF(17='I_Inputs &amp; Assumptions'!$B$8,'I_Budget Input Data'!$D$110,0),'I_Budget Input Data'!$D$110/'I_Inputs &amp; Assumptions'!$B$8)))))),0)</f>
        <v>0</v>
      </c>
      <c r="T110" s="91">
        <f>IF(18&lt;='I_Inputs &amp; Assumptions'!$B$8,IF('I_Budget Input Data'!$E$110="Upfront",IF(18=1,'I_Budget Input Data'!$D$110,0),IF('I_Budget Input Data'!$E$110="Equal",'I_Budget Input Data'!$D$110/'I_Inputs &amp; Assumptions'!$B$8,IF('I_Budget Input Data'!$E$110="Front-loaded",IF(18&lt;='I_Inputs &amp; Assumptions'!$B$8/2,'I_Budget Input Data'!$D$110*0.6/('I_Inputs &amp; Assumptions'!$B$8/2),'I_Budget Input Data'!$D$110*0.4/('I_Inputs &amp; Assumptions'!$B$8/2)),IF('I_Budget Input Data'!$E$110="Back-loaded",IF(18&lt;='I_Inputs &amp; Assumptions'!$B$8/2,'I_Budget Input Data'!$D$110*0.4/('I_Inputs &amp; Assumptions'!$B$8/2),'I_Budget Input Data'!$D$110*0.6/('I_Inputs &amp; Assumptions'!$B$8/2)),IF('I_Budget Input Data'!$E$110="Mid-weighted",IF(18&lt;='I_Inputs &amp; Assumptions'!$B$8/4,'I_Budget Input Data'!$D$110*0.2/('I_Inputs &amp; Assumptions'!$B$8/4),IF(18&lt;='I_Inputs &amp; Assumptions'!$B$8*0.75,'I_Budget Input Data'!$D$110*0.6/('I_Inputs &amp; Assumptions'!$B$8/2),'I_Budget Input Data'!$D$110*0.2/('I_Inputs &amp; Assumptions'!$B$8/4))),IF('I_Budget Input Data'!$E$110="At Completion",IF(18='I_Inputs &amp; Assumptions'!$B$8,'I_Budget Input Data'!$D$110,0),'I_Budget Input Data'!$D$110/'I_Inputs &amp; Assumptions'!$B$8)))))),0)</f>
        <v>0</v>
      </c>
      <c r="U110" s="91">
        <f>IF(19&lt;='I_Inputs &amp; Assumptions'!$B$8,IF('I_Budget Input Data'!$E$110="Upfront",IF(19=1,'I_Budget Input Data'!$D$110,0),IF('I_Budget Input Data'!$E$110="Equal",'I_Budget Input Data'!$D$110/'I_Inputs &amp; Assumptions'!$B$8,IF('I_Budget Input Data'!$E$110="Front-loaded",IF(19&lt;='I_Inputs &amp; Assumptions'!$B$8/2,'I_Budget Input Data'!$D$110*0.6/('I_Inputs &amp; Assumptions'!$B$8/2),'I_Budget Input Data'!$D$110*0.4/('I_Inputs &amp; Assumptions'!$B$8/2)),IF('I_Budget Input Data'!$E$110="Back-loaded",IF(19&lt;='I_Inputs &amp; Assumptions'!$B$8/2,'I_Budget Input Data'!$D$110*0.4/('I_Inputs &amp; Assumptions'!$B$8/2),'I_Budget Input Data'!$D$110*0.6/('I_Inputs &amp; Assumptions'!$B$8/2)),IF('I_Budget Input Data'!$E$110="Mid-weighted",IF(19&lt;='I_Inputs &amp; Assumptions'!$B$8/4,'I_Budget Input Data'!$D$110*0.2/('I_Inputs &amp; Assumptions'!$B$8/4),IF(19&lt;='I_Inputs &amp; Assumptions'!$B$8*0.75,'I_Budget Input Data'!$D$110*0.6/('I_Inputs &amp; Assumptions'!$B$8/2),'I_Budget Input Data'!$D$110*0.2/('I_Inputs &amp; Assumptions'!$B$8/4))),IF('I_Budget Input Data'!$E$110="At Completion",IF(19='I_Inputs &amp; Assumptions'!$B$8,'I_Budget Input Data'!$D$110,0),'I_Budget Input Data'!$D$110/'I_Inputs &amp; Assumptions'!$B$8)))))),0)</f>
        <v>0</v>
      </c>
      <c r="V110" s="91">
        <f>IF(20&lt;='I_Inputs &amp; Assumptions'!$B$8,IF('I_Budget Input Data'!$E$110="Upfront",IF(20=1,'I_Budget Input Data'!$D$110,0),IF('I_Budget Input Data'!$E$110="Equal",'I_Budget Input Data'!$D$110/'I_Inputs &amp; Assumptions'!$B$8,IF('I_Budget Input Data'!$E$110="Front-loaded",IF(20&lt;='I_Inputs &amp; Assumptions'!$B$8/2,'I_Budget Input Data'!$D$110*0.6/('I_Inputs &amp; Assumptions'!$B$8/2),'I_Budget Input Data'!$D$110*0.4/('I_Inputs &amp; Assumptions'!$B$8/2)),IF('I_Budget Input Data'!$E$110="Back-loaded",IF(20&lt;='I_Inputs &amp; Assumptions'!$B$8/2,'I_Budget Input Data'!$D$110*0.4/('I_Inputs &amp; Assumptions'!$B$8/2),'I_Budget Input Data'!$D$110*0.6/('I_Inputs &amp; Assumptions'!$B$8/2)),IF('I_Budget Input Data'!$E$110="Mid-weighted",IF(20&lt;='I_Inputs &amp; Assumptions'!$B$8/4,'I_Budget Input Data'!$D$110*0.2/('I_Inputs &amp; Assumptions'!$B$8/4),IF(20&lt;='I_Inputs &amp; Assumptions'!$B$8*0.75,'I_Budget Input Data'!$D$110*0.6/('I_Inputs &amp; Assumptions'!$B$8/2),'I_Budget Input Data'!$D$110*0.2/('I_Inputs &amp; Assumptions'!$B$8/4))),IF('I_Budget Input Data'!$E$110="At Completion",IF(20='I_Inputs &amp; Assumptions'!$B$8,'I_Budget Input Data'!$D$110,0),'I_Budget Input Data'!$D$110/'I_Inputs &amp; Assumptions'!$B$8)))))),0)</f>
        <v>0</v>
      </c>
      <c r="W110" s="91">
        <f>IF(21&lt;='I_Inputs &amp; Assumptions'!$B$8,IF('I_Budget Input Data'!$E$110="Upfront",IF(21=1,'I_Budget Input Data'!$D$110,0),IF('I_Budget Input Data'!$E$110="Equal",'I_Budget Input Data'!$D$110/'I_Inputs &amp; Assumptions'!$B$8,IF('I_Budget Input Data'!$E$110="Front-loaded",IF(21&lt;='I_Inputs &amp; Assumptions'!$B$8/2,'I_Budget Input Data'!$D$110*0.6/('I_Inputs &amp; Assumptions'!$B$8/2),'I_Budget Input Data'!$D$110*0.4/('I_Inputs &amp; Assumptions'!$B$8/2)),IF('I_Budget Input Data'!$E$110="Back-loaded",IF(21&lt;='I_Inputs &amp; Assumptions'!$B$8/2,'I_Budget Input Data'!$D$110*0.4/('I_Inputs &amp; Assumptions'!$B$8/2),'I_Budget Input Data'!$D$110*0.6/('I_Inputs &amp; Assumptions'!$B$8/2)),IF('I_Budget Input Data'!$E$110="Mid-weighted",IF(21&lt;='I_Inputs &amp; Assumptions'!$B$8/4,'I_Budget Input Data'!$D$110*0.2/('I_Inputs &amp; Assumptions'!$B$8/4),IF(21&lt;='I_Inputs &amp; Assumptions'!$B$8*0.75,'I_Budget Input Data'!$D$110*0.6/('I_Inputs &amp; Assumptions'!$B$8/2),'I_Budget Input Data'!$D$110*0.2/('I_Inputs &amp; Assumptions'!$B$8/4))),IF('I_Budget Input Data'!$E$110="At Completion",IF(21='I_Inputs &amp; Assumptions'!$B$8,'I_Budget Input Data'!$D$110,0),'I_Budget Input Data'!$D$110/'I_Inputs &amp; Assumptions'!$B$8)))))),0)</f>
        <v>0</v>
      </c>
      <c r="X110" s="91">
        <f>IF(22&lt;='I_Inputs &amp; Assumptions'!$B$8,IF('I_Budget Input Data'!$E$110="Upfront",IF(22=1,'I_Budget Input Data'!$D$110,0),IF('I_Budget Input Data'!$E$110="Equal",'I_Budget Input Data'!$D$110/'I_Inputs &amp; Assumptions'!$B$8,IF('I_Budget Input Data'!$E$110="Front-loaded",IF(22&lt;='I_Inputs &amp; Assumptions'!$B$8/2,'I_Budget Input Data'!$D$110*0.6/('I_Inputs &amp; Assumptions'!$B$8/2),'I_Budget Input Data'!$D$110*0.4/('I_Inputs &amp; Assumptions'!$B$8/2)),IF('I_Budget Input Data'!$E$110="Back-loaded",IF(22&lt;='I_Inputs &amp; Assumptions'!$B$8/2,'I_Budget Input Data'!$D$110*0.4/('I_Inputs &amp; Assumptions'!$B$8/2),'I_Budget Input Data'!$D$110*0.6/('I_Inputs &amp; Assumptions'!$B$8/2)),IF('I_Budget Input Data'!$E$110="Mid-weighted",IF(22&lt;='I_Inputs &amp; Assumptions'!$B$8/4,'I_Budget Input Data'!$D$110*0.2/('I_Inputs &amp; Assumptions'!$B$8/4),IF(22&lt;='I_Inputs &amp; Assumptions'!$B$8*0.75,'I_Budget Input Data'!$D$110*0.6/('I_Inputs &amp; Assumptions'!$B$8/2),'I_Budget Input Data'!$D$110*0.2/('I_Inputs &amp; Assumptions'!$B$8/4))),IF('I_Budget Input Data'!$E$110="At Completion",IF(22='I_Inputs &amp; Assumptions'!$B$8,'I_Budget Input Data'!$D$110,0),'I_Budget Input Data'!$D$110/'I_Inputs &amp; Assumptions'!$B$8)))))),0)</f>
        <v>0</v>
      </c>
      <c r="Y110" s="91">
        <f>IF(23&lt;='I_Inputs &amp; Assumptions'!$B$8,IF('I_Budget Input Data'!$E$110="Upfront",IF(23=1,'I_Budget Input Data'!$D$110,0),IF('I_Budget Input Data'!$E$110="Equal",'I_Budget Input Data'!$D$110/'I_Inputs &amp; Assumptions'!$B$8,IF('I_Budget Input Data'!$E$110="Front-loaded",IF(23&lt;='I_Inputs &amp; Assumptions'!$B$8/2,'I_Budget Input Data'!$D$110*0.6/('I_Inputs &amp; Assumptions'!$B$8/2),'I_Budget Input Data'!$D$110*0.4/('I_Inputs &amp; Assumptions'!$B$8/2)),IF('I_Budget Input Data'!$E$110="Back-loaded",IF(23&lt;='I_Inputs &amp; Assumptions'!$B$8/2,'I_Budget Input Data'!$D$110*0.4/('I_Inputs &amp; Assumptions'!$B$8/2),'I_Budget Input Data'!$D$110*0.6/('I_Inputs &amp; Assumptions'!$B$8/2)),IF('I_Budget Input Data'!$E$110="Mid-weighted",IF(23&lt;='I_Inputs &amp; Assumptions'!$B$8/4,'I_Budget Input Data'!$D$110*0.2/('I_Inputs &amp; Assumptions'!$B$8/4),IF(23&lt;='I_Inputs &amp; Assumptions'!$B$8*0.75,'I_Budget Input Data'!$D$110*0.6/('I_Inputs &amp; Assumptions'!$B$8/2),'I_Budget Input Data'!$D$110*0.2/('I_Inputs &amp; Assumptions'!$B$8/4))),IF('I_Budget Input Data'!$E$110="At Completion",IF(23='I_Inputs &amp; Assumptions'!$B$8,'I_Budget Input Data'!$D$110,0),'I_Budget Input Data'!$D$110/'I_Inputs &amp; Assumptions'!$B$8)))))),0)</f>
        <v>0</v>
      </c>
      <c r="Z110" s="91">
        <f>IF(24&lt;='I_Inputs &amp; Assumptions'!$B$8,IF('I_Budget Input Data'!$E$110="Upfront",IF(24=1,'I_Budget Input Data'!$D$110,0),IF('I_Budget Input Data'!$E$110="Equal",'I_Budget Input Data'!$D$110/'I_Inputs &amp; Assumptions'!$B$8,IF('I_Budget Input Data'!$E$110="Front-loaded",IF(24&lt;='I_Inputs &amp; Assumptions'!$B$8/2,'I_Budget Input Data'!$D$110*0.6/('I_Inputs &amp; Assumptions'!$B$8/2),'I_Budget Input Data'!$D$110*0.4/('I_Inputs &amp; Assumptions'!$B$8/2)),IF('I_Budget Input Data'!$E$110="Back-loaded",IF(24&lt;='I_Inputs &amp; Assumptions'!$B$8/2,'I_Budget Input Data'!$D$110*0.4/('I_Inputs &amp; Assumptions'!$B$8/2),'I_Budget Input Data'!$D$110*0.6/('I_Inputs &amp; Assumptions'!$B$8/2)),IF('I_Budget Input Data'!$E$110="Mid-weighted",IF(24&lt;='I_Inputs &amp; Assumptions'!$B$8/4,'I_Budget Input Data'!$D$110*0.2/('I_Inputs &amp; Assumptions'!$B$8/4),IF(24&lt;='I_Inputs &amp; Assumptions'!$B$8*0.75,'I_Budget Input Data'!$D$110*0.6/('I_Inputs &amp; Assumptions'!$B$8/2),'I_Budget Input Data'!$D$110*0.2/('I_Inputs &amp; Assumptions'!$B$8/4))),IF('I_Budget Input Data'!$E$110="At Completion",IF(24='I_Inputs &amp; Assumptions'!$B$8,'I_Budget Input Data'!$D$110,0),'I_Budget Input Data'!$D$110/'I_Inputs &amp; Assumptions'!$B$8)))))),0)</f>
        <v>0</v>
      </c>
      <c r="AA110" s="91">
        <f>IF(25&lt;='I_Inputs &amp; Assumptions'!$B$8,IF('I_Budget Input Data'!$E$110="Upfront",IF(25=1,'I_Budget Input Data'!$D$110,0),IF('I_Budget Input Data'!$E$110="Equal",'I_Budget Input Data'!$D$110/'I_Inputs &amp; Assumptions'!$B$8,IF('I_Budget Input Data'!$E$110="Front-loaded",IF(25&lt;='I_Inputs &amp; Assumptions'!$B$8/2,'I_Budget Input Data'!$D$110*0.6/('I_Inputs &amp; Assumptions'!$B$8/2),'I_Budget Input Data'!$D$110*0.4/('I_Inputs &amp; Assumptions'!$B$8/2)),IF('I_Budget Input Data'!$E$110="Back-loaded",IF(25&lt;='I_Inputs &amp; Assumptions'!$B$8/2,'I_Budget Input Data'!$D$110*0.4/('I_Inputs &amp; Assumptions'!$B$8/2),'I_Budget Input Data'!$D$110*0.6/('I_Inputs &amp; Assumptions'!$B$8/2)),IF('I_Budget Input Data'!$E$110="Mid-weighted",IF(25&lt;='I_Inputs &amp; Assumptions'!$B$8/4,'I_Budget Input Data'!$D$110*0.2/('I_Inputs &amp; Assumptions'!$B$8/4),IF(25&lt;='I_Inputs &amp; Assumptions'!$B$8*0.75,'I_Budget Input Data'!$D$110*0.6/('I_Inputs &amp; Assumptions'!$B$8/2),'I_Budget Input Data'!$D$110*0.2/('I_Inputs &amp; Assumptions'!$B$8/4))),IF('I_Budget Input Data'!$E$110="At Completion",IF(25='I_Inputs &amp; Assumptions'!$B$8,'I_Budget Input Data'!$D$110,0),'I_Budget Input Data'!$D$110/'I_Inputs &amp; Assumptions'!$B$8)))))),0)</f>
        <v>0</v>
      </c>
      <c r="AB110" s="91">
        <f>IF(26&lt;='I_Inputs &amp; Assumptions'!$B$8,IF('I_Budget Input Data'!$E$110="Upfront",IF(26=1,'I_Budget Input Data'!$D$110,0),IF('I_Budget Input Data'!$E$110="Equal",'I_Budget Input Data'!$D$110/'I_Inputs &amp; Assumptions'!$B$8,IF('I_Budget Input Data'!$E$110="Front-loaded",IF(26&lt;='I_Inputs &amp; Assumptions'!$B$8/2,'I_Budget Input Data'!$D$110*0.6/('I_Inputs &amp; Assumptions'!$B$8/2),'I_Budget Input Data'!$D$110*0.4/('I_Inputs &amp; Assumptions'!$B$8/2)),IF('I_Budget Input Data'!$E$110="Back-loaded",IF(26&lt;='I_Inputs &amp; Assumptions'!$B$8/2,'I_Budget Input Data'!$D$110*0.4/('I_Inputs &amp; Assumptions'!$B$8/2),'I_Budget Input Data'!$D$110*0.6/('I_Inputs &amp; Assumptions'!$B$8/2)),IF('I_Budget Input Data'!$E$110="Mid-weighted",IF(26&lt;='I_Inputs &amp; Assumptions'!$B$8/4,'I_Budget Input Data'!$D$110*0.2/('I_Inputs &amp; Assumptions'!$B$8/4),IF(26&lt;='I_Inputs &amp; Assumptions'!$B$8*0.75,'I_Budget Input Data'!$D$110*0.6/('I_Inputs &amp; Assumptions'!$B$8/2),'I_Budget Input Data'!$D$110*0.2/('I_Inputs &amp; Assumptions'!$B$8/4))),IF('I_Budget Input Data'!$E$110="At Completion",IF(26='I_Inputs &amp; Assumptions'!$B$8,'I_Budget Input Data'!$D$110,0),'I_Budget Input Data'!$D$110/'I_Inputs &amp; Assumptions'!$B$8)))))),0)</f>
        <v>0</v>
      </c>
      <c r="AC110" s="91">
        <f>IF(27&lt;='I_Inputs &amp; Assumptions'!$B$8,IF('I_Budget Input Data'!$E$110="Upfront",IF(27=1,'I_Budget Input Data'!$D$110,0),IF('I_Budget Input Data'!$E$110="Equal",'I_Budget Input Data'!$D$110/'I_Inputs &amp; Assumptions'!$B$8,IF('I_Budget Input Data'!$E$110="Front-loaded",IF(27&lt;='I_Inputs &amp; Assumptions'!$B$8/2,'I_Budget Input Data'!$D$110*0.6/('I_Inputs &amp; Assumptions'!$B$8/2),'I_Budget Input Data'!$D$110*0.4/('I_Inputs &amp; Assumptions'!$B$8/2)),IF('I_Budget Input Data'!$E$110="Back-loaded",IF(27&lt;='I_Inputs &amp; Assumptions'!$B$8/2,'I_Budget Input Data'!$D$110*0.4/('I_Inputs &amp; Assumptions'!$B$8/2),'I_Budget Input Data'!$D$110*0.6/('I_Inputs &amp; Assumptions'!$B$8/2)),IF('I_Budget Input Data'!$E$110="Mid-weighted",IF(27&lt;='I_Inputs &amp; Assumptions'!$B$8/4,'I_Budget Input Data'!$D$110*0.2/('I_Inputs &amp; Assumptions'!$B$8/4),IF(27&lt;='I_Inputs &amp; Assumptions'!$B$8*0.75,'I_Budget Input Data'!$D$110*0.6/('I_Inputs &amp; Assumptions'!$B$8/2),'I_Budget Input Data'!$D$110*0.2/('I_Inputs &amp; Assumptions'!$B$8/4))),IF('I_Budget Input Data'!$E$110="At Completion",IF(27='I_Inputs &amp; Assumptions'!$B$8,'I_Budget Input Data'!$D$110,0),'I_Budget Input Data'!$D$110/'I_Inputs &amp; Assumptions'!$B$8)))))),0)</f>
        <v>0</v>
      </c>
      <c r="AD110" s="91">
        <f>IF(28&lt;='I_Inputs &amp; Assumptions'!$B$8,IF('I_Budget Input Data'!$E$110="Upfront",IF(28=1,'I_Budget Input Data'!$D$110,0),IF('I_Budget Input Data'!$E$110="Equal",'I_Budget Input Data'!$D$110/'I_Inputs &amp; Assumptions'!$B$8,IF('I_Budget Input Data'!$E$110="Front-loaded",IF(28&lt;='I_Inputs &amp; Assumptions'!$B$8/2,'I_Budget Input Data'!$D$110*0.6/('I_Inputs &amp; Assumptions'!$B$8/2),'I_Budget Input Data'!$D$110*0.4/('I_Inputs &amp; Assumptions'!$B$8/2)),IF('I_Budget Input Data'!$E$110="Back-loaded",IF(28&lt;='I_Inputs &amp; Assumptions'!$B$8/2,'I_Budget Input Data'!$D$110*0.4/('I_Inputs &amp; Assumptions'!$B$8/2),'I_Budget Input Data'!$D$110*0.6/('I_Inputs &amp; Assumptions'!$B$8/2)),IF('I_Budget Input Data'!$E$110="Mid-weighted",IF(28&lt;='I_Inputs &amp; Assumptions'!$B$8/4,'I_Budget Input Data'!$D$110*0.2/('I_Inputs &amp; Assumptions'!$B$8/4),IF(28&lt;='I_Inputs &amp; Assumptions'!$B$8*0.75,'I_Budget Input Data'!$D$110*0.6/('I_Inputs &amp; Assumptions'!$B$8/2),'I_Budget Input Data'!$D$110*0.2/('I_Inputs &amp; Assumptions'!$B$8/4))),IF('I_Budget Input Data'!$E$110="At Completion",IF(28='I_Inputs &amp; Assumptions'!$B$8,'I_Budget Input Data'!$D$110,0),'I_Budget Input Data'!$D$110/'I_Inputs &amp; Assumptions'!$B$8)))))),0)</f>
        <v>0</v>
      </c>
      <c r="AE110" s="91">
        <f>IF(29&lt;='I_Inputs &amp; Assumptions'!$B$8,IF('I_Budget Input Data'!$E$110="Upfront",IF(29=1,'I_Budget Input Data'!$D$110,0),IF('I_Budget Input Data'!$E$110="Equal",'I_Budget Input Data'!$D$110/'I_Inputs &amp; Assumptions'!$B$8,IF('I_Budget Input Data'!$E$110="Front-loaded",IF(29&lt;='I_Inputs &amp; Assumptions'!$B$8/2,'I_Budget Input Data'!$D$110*0.6/('I_Inputs &amp; Assumptions'!$B$8/2),'I_Budget Input Data'!$D$110*0.4/('I_Inputs &amp; Assumptions'!$B$8/2)),IF('I_Budget Input Data'!$E$110="Back-loaded",IF(29&lt;='I_Inputs &amp; Assumptions'!$B$8/2,'I_Budget Input Data'!$D$110*0.4/('I_Inputs &amp; Assumptions'!$B$8/2),'I_Budget Input Data'!$D$110*0.6/('I_Inputs &amp; Assumptions'!$B$8/2)),IF('I_Budget Input Data'!$E$110="Mid-weighted",IF(29&lt;='I_Inputs &amp; Assumptions'!$B$8/4,'I_Budget Input Data'!$D$110*0.2/('I_Inputs &amp; Assumptions'!$B$8/4),IF(29&lt;='I_Inputs &amp; Assumptions'!$B$8*0.75,'I_Budget Input Data'!$D$110*0.6/('I_Inputs &amp; Assumptions'!$B$8/2),'I_Budget Input Data'!$D$110*0.2/('I_Inputs &amp; Assumptions'!$B$8/4))),IF('I_Budget Input Data'!$E$110="At Completion",IF(29='I_Inputs &amp; Assumptions'!$B$8,'I_Budget Input Data'!$D$110,0),'I_Budget Input Data'!$D$110/'I_Inputs &amp; Assumptions'!$B$8)))))),0)</f>
        <v>0</v>
      </c>
      <c r="AF110" s="91">
        <f>IF(30&lt;='I_Inputs &amp; Assumptions'!$B$8,IF('I_Budget Input Data'!$E$110="Upfront",IF(30=1,'I_Budget Input Data'!$D$110,0),IF('I_Budget Input Data'!$E$110="Equal",'I_Budget Input Data'!$D$110/'I_Inputs &amp; Assumptions'!$B$8,IF('I_Budget Input Data'!$E$110="Front-loaded",IF(30&lt;='I_Inputs &amp; Assumptions'!$B$8/2,'I_Budget Input Data'!$D$110*0.6/('I_Inputs &amp; Assumptions'!$B$8/2),'I_Budget Input Data'!$D$110*0.4/('I_Inputs &amp; Assumptions'!$B$8/2)),IF('I_Budget Input Data'!$E$110="Back-loaded",IF(30&lt;='I_Inputs &amp; Assumptions'!$B$8/2,'I_Budget Input Data'!$D$110*0.4/('I_Inputs &amp; Assumptions'!$B$8/2),'I_Budget Input Data'!$D$110*0.6/('I_Inputs &amp; Assumptions'!$B$8/2)),IF('I_Budget Input Data'!$E$110="Mid-weighted",IF(30&lt;='I_Inputs &amp; Assumptions'!$B$8/4,'I_Budget Input Data'!$D$110*0.2/('I_Inputs &amp; Assumptions'!$B$8/4),IF(30&lt;='I_Inputs &amp; Assumptions'!$B$8*0.75,'I_Budget Input Data'!$D$110*0.6/('I_Inputs &amp; Assumptions'!$B$8/2),'I_Budget Input Data'!$D$110*0.2/('I_Inputs &amp; Assumptions'!$B$8/4))),IF('I_Budget Input Data'!$E$110="At Completion",IF(30='I_Inputs &amp; Assumptions'!$B$8,'I_Budget Input Data'!$D$110,0),'I_Budget Input Data'!$D$110/'I_Inputs &amp; Assumptions'!$B$8)))))),0)</f>
        <v>0</v>
      </c>
      <c r="AG110" s="91">
        <f>IF(31&lt;='I_Inputs &amp; Assumptions'!$B$8,IF('I_Budget Input Data'!$E$110="Upfront",IF(31=1,'I_Budget Input Data'!$D$110,0),IF('I_Budget Input Data'!$E$110="Equal",'I_Budget Input Data'!$D$110/'I_Inputs &amp; Assumptions'!$B$8,IF('I_Budget Input Data'!$E$110="Front-loaded",IF(31&lt;='I_Inputs &amp; Assumptions'!$B$8/2,'I_Budget Input Data'!$D$110*0.6/('I_Inputs &amp; Assumptions'!$B$8/2),'I_Budget Input Data'!$D$110*0.4/('I_Inputs &amp; Assumptions'!$B$8/2)),IF('I_Budget Input Data'!$E$110="Back-loaded",IF(31&lt;='I_Inputs &amp; Assumptions'!$B$8/2,'I_Budget Input Data'!$D$110*0.4/('I_Inputs &amp; Assumptions'!$B$8/2),'I_Budget Input Data'!$D$110*0.6/('I_Inputs &amp; Assumptions'!$B$8/2)),IF('I_Budget Input Data'!$E$110="Mid-weighted",IF(31&lt;='I_Inputs &amp; Assumptions'!$B$8/4,'I_Budget Input Data'!$D$110*0.2/('I_Inputs &amp; Assumptions'!$B$8/4),IF(31&lt;='I_Inputs &amp; Assumptions'!$B$8*0.75,'I_Budget Input Data'!$D$110*0.6/('I_Inputs &amp; Assumptions'!$B$8/2),'I_Budget Input Data'!$D$110*0.2/('I_Inputs &amp; Assumptions'!$B$8/4))),IF('I_Budget Input Data'!$E$110="At Completion",IF(31='I_Inputs &amp; Assumptions'!$B$8,'I_Budget Input Data'!$D$110,0),'I_Budget Input Data'!$D$110/'I_Inputs &amp; Assumptions'!$B$8)))))),0)</f>
        <v>0</v>
      </c>
      <c r="AH110" s="91">
        <f>IF(32&lt;='I_Inputs &amp; Assumptions'!$B$8,IF('I_Budget Input Data'!$E$110="Upfront",IF(32=1,'I_Budget Input Data'!$D$110,0),IF('I_Budget Input Data'!$E$110="Equal",'I_Budget Input Data'!$D$110/'I_Inputs &amp; Assumptions'!$B$8,IF('I_Budget Input Data'!$E$110="Front-loaded",IF(32&lt;='I_Inputs &amp; Assumptions'!$B$8/2,'I_Budget Input Data'!$D$110*0.6/('I_Inputs &amp; Assumptions'!$B$8/2),'I_Budget Input Data'!$D$110*0.4/('I_Inputs &amp; Assumptions'!$B$8/2)),IF('I_Budget Input Data'!$E$110="Back-loaded",IF(32&lt;='I_Inputs &amp; Assumptions'!$B$8/2,'I_Budget Input Data'!$D$110*0.4/('I_Inputs &amp; Assumptions'!$B$8/2),'I_Budget Input Data'!$D$110*0.6/('I_Inputs &amp; Assumptions'!$B$8/2)),IF('I_Budget Input Data'!$E$110="Mid-weighted",IF(32&lt;='I_Inputs &amp; Assumptions'!$B$8/4,'I_Budget Input Data'!$D$110*0.2/('I_Inputs &amp; Assumptions'!$B$8/4),IF(32&lt;='I_Inputs &amp; Assumptions'!$B$8*0.75,'I_Budget Input Data'!$D$110*0.6/('I_Inputs &amp; Assumptions'!$B$8/2),'I_Budget Input Data'!$D$110*0.2/('I_Inputs &amp; Assumptions'!$B$8/4))),IF('I_Budget Input Data'!$E$110="At Completion",IF(32='I_Inputs &amp; Assumptions'!$B$8,'I_Budget Input Data'!$D$110,0),'I_Budget Input Data'!$D$110/'I_Inputs &amp; Assumptions'!$B$8)))))),0)</f>
        <v>0</v>
      </c>
      <c r="AI110" s="91">
        <f>IF(33&lt;='I_Inputs &amp; Assumptions'!$B$8,IF('I_Budget Input Data'!$E$110="Upfront",IF(33=1,'I_Budget Input Data'!$D$110,0),IF('I_Budget Input Data'!$E$110="Equal",'I_Budget Input Data'!$D$110/'I_Inputs &amp; Assumptions'!$B$8,IF('I_Budget Input Data'!$E$110="Front-loaded",IF(33&lt;='I_Inputs &amp; Assumptions'!$B$8/2,'I_Budget Input Data'!$D$110*0.6/('I_Inputs &amp; Assumptions'!$B$8/2),'I_Budget Input Data'!$D$110*0.4/('I_Inputs &amp; Assumptions'!$B$8/2)),IF('I_Budget Input Data'!$E$110="Back-loaded",IF(33&lt;='I_Inputs &amp; Assumptions'!$B$8/2,'I_Budget Input Data'!$D$110*0.4/('I_Inputs &amp; Assumptions'!$B$8/2),'I_Budget Input Data'!$D$110*0.6/('I_Inputs &amp; Assumptions'!$B$8/2)),IF('I_Budget Input Data'!$E$110="Mid-weighted",IF(33&lt;='I_Inputs &amp; Assumptions'!$B$8/4,'I_Budget Input Data'!$D$110*0.2/('I_Inputs &amp; Assumptions'!$B$8/4),IF(33&lt;='I_Inputs &amp; Assumptions'!$B$8*0.75,'I_Budget Input Data'!$D$110*0.6/('I_Inputs &amp; Assumptions'!$B$8/2),'I_Budget Input Data'!$D$110*0.2/('I_Inputs &amp; Assumptions'!$B$8/4))),IF('I_Budget Input Data'!$E$110="At Completion",IF(33='I_Inputs &amp; Assumptions'!$B$8,'I_Budget Input Data'!$D$110,0),'I_Budget Input Data'!$D$110/'I_Inputs &amp; Assumptions'!$B$8)))))),0)</f>
        <v>0</v>
      </c>
      <c r="AJ110" s="91">
        <f>IF(34&lt;='I_Inputs &amp; Assumptions'!$B$8,IF('I_Budget Input Data'!$E$110="Upfront",IF(34=1,'I_Budget Input Data'!$D$110,0),IF('I_Budget Input Data'!$E$110="Equal",'I_Budget Input Data'!$D$110/'I_Inputs &amp; Assumptions'!$B$8,IF('I_Budget Input Data'!$E$110="Front-loaded",IF(34&lt;='I_Inputs &amp; Assumptions'!$B$8/2,'I_Budget Input Data'!$D$110*0.6/('I_Inputs &amp; Assumptions'!$B$8/2),'I_Budget Input Data'!$D$110*0.4/('I_Inputs &amp; Assumptions'!$B$8/2)),IF('I_Budget Input Data'!$E$110="Back-loaded",IF(34&lt;='I_Inputs &amp; Assumptions'!$B$8/2,'I_Budget Input Data'!$D$110*0.4/('I_Inputs &amp; Assumptions'!$B$8/2),'I_Budget Input Data'!$D$110*0.6/('I_Inputs &amp; Assumptions'!$B$8/2)),IF('I_Budget Input Data'!$E$110="Mid-weighted",IF(34&lt;='I_Inputs &amp; Assumptions'!$B$8/4,'I_Budget Input Data'!$D$110*0.2/('I_Inputs &amp; Assumptions'!$B$8/4),IF(34&lt;='I_Inputs &amp; Assumptions'!$B$8*0.75,'I_Budget Input Data'!$D$110*0.6/('I_Inputs &amp; Assumptions'!$B$8/2),'I_Budget Input Data'!$D$110*0.2/('I_Inputs &amp; Assumptions'!$B$8/4))),IF('I_Budget Input Data'!$E$110="At Completion",IF(34='I_Inputs &amp; Assumptions'!$B$8,'I_Budget Input Data'!$D$110,0),'I_Budget Input Data'!$D$110/'I_Inputs &amp; Assumptions'!$B$8)))))),0)</f>
        <v>0</v>
      </c>
      <c r="AK110" s="91">
        <f>IF(35&lt;='I_Inputs &amp; Assumptions'!$B$8,IF('I_Budget Input Data'!$E$110="Upfront",IF(35=1,'I_Budget Input Data'!$D$110,0),IF('I_Budget Input Data'!$E$110="Equal",'I_Budget Input Data'!$D$110/'I_Inputs &amp; Assumptions'!$B$8,IF('I_Budget Input Data'!$E$110="Front-loaded",IF(35&lt;='I_Inputs &amp; Assumptions'!$B$8/2,'I_Budget Input Data'!$D$110*0.6/('I_Inputs &amp; Assumptions'!$B$8/2),'I_Budget Input Data'!$D$110*0.4/('I_Inputs &amp; Assumptions'!$B$8/2)),IF('I_Budget Input Data'!$E$110="Back-loaded",IF(35&lt;='I_Inputs &amp; Assumptions'!$B$8/2,'I_Budget Input Data'!$D$110*0.4/('I_Inputs &amp; Assumptions'!$B$8/2),'I_Budget Input Data'!$D$110*0.6/('I_Inputs &amp; Assumptions'!$B$8/2)),IF('I_Budget Input Data'!$E$110="Mid-weighted",IF(35&lt;='I_Inputs &amp; Assumptions'!$B$8/4,'I_Budget Input Data'!$D$110*0.2/('I_Inputs &amp; Assumptions'!$B$8/4),IF(35&lt;='I_Inputs &amp; Assumptions'!$B$8*0.75,'I_Budget Input Data'!$D$110*0.6/('I_Inputs &amp; Assumptions'!$B$8/2),'I_Budget Input Data'!$D$110*0.2/('I_Inputs &amp; Assumptions'!$B$8/4))),IF('I_Budget Input Data'!$E$110="At Completion",IF(35='I_Inputs &amp; Assumptions'!$B$8,'I_Budget Input Data'!$D$110,0),'I_Budget Input Data'!$D$110/'I_Inputs &amp; Assumptions'!$B$8)))))),0)</f>
        <v>0</v>
      </c>
      <c r="AL110" s="91">
        <f>IF(36&lt;='I_Inputs &amp; Assumptions'!$B$8,IF('I_Budget Input Data'!$E$110="Upfront",IF(36=1,'I_Budget Input Data'!$D$110,0),IF('I_Budget Input Data'!$E$110="Equal",'I_Budget Input Data'!$D$110/'I_Inputs &amp; Assumptions'!$B$8,IF('I_Budget Input Data'!$E$110="Front-loaded",IF(36&lt;='I_Inputs &amp; Assumptions'!$B$8/2,'I_Budget Input Data'!$D$110*0.6/('I_Inputs &amp; Assumptions'!$B$8/2),'I_Budget Input Data'!$D$110*0.4/('I_Inputs &amp; Assumptions'!$B$8/2)),IF('I_Budget Input Data'!$E$110="Back-loaded",IF(36&lt;='I_Inputs &amp; Assumptions'!$B$8/2,'I_Budget Input Data'!$D$110*0.4/('I_Inputs &amp; Assumptions'!$B$8/2),'I_Budget Input Data'!$D$110*0.6/('I_Inputs &amp; Assumptions'!$B$8/2)),IF('I_Budget Input Data'!$E$110="Mid-weighted",IF(36&lt;='I_Inputs &amp; Assumptions'!$B$8/4,'I_Budget Input Data'!$D$110*0.2/('I_Inputs &amp; Assumptions'!$B$8/4),IF(36&lt;='I_Inputs &amp; Assumptions'!$B$8*0.75,'I_Budget Input Data'!$D$110*0.6/('I_Inputs &amp; Assumptions'!$B$8/2),'I_Budget Input Data'!$D$110*0.2/('I_Inputs &amp; Assumptions'!$B$8/4))),IF('I_Budget Input Data'!$E$110="At Completion",IF(36='I_Inputs &amp; Assumptions'!$B$8,'I_Budget Input Data'!$D$110,0),'I_Budget Input Data'!$D$110/'I_Inputs &amp; Assumptions'!$B$8)))))),0)</f>
        <v>0</v>
      </c>
    </row>
    <row r="111" spans="1:38" ht="15" customHeight="1" x14ac:dyDescent="0.2">
      <c r="A111" t="s">
        <v>146</v>
      </c>
      <c r="B111" t="s">
        <v>227</v>
      </c>
      <c r="C111" s="91">
        <f>IF(1&lt;='I_Inputs &amp; Assumptions'!$B$8,IF('I_Budget Input Data'!$E$111="Upfront",IF(1=1,'I_Budget Input Data'!$D$111,0),IF('I_Budget Input Data'!$E$111="Equal",'I_Budget Input Data'!$D$111/'I_Inputs &amp; Assumptions'!$B$8,IF('I_Budget Input Data'!$E$111="Front-loaded",IF(1&lt;='I_Inputs &amp; Assumptions'!$B$8/2,'I_Budget Input Data'!$D$111*0.6/('I_Inputs &amp; Assumptions'!$B$8/2),'I_Budget Input Data'!$D$111*0.4/('I_Inputs &amp; Assumptions'!$B$8/2)),IF('I_Budget Input Data'!$E$111="Back-loaded",IF(1&lt;='I_Inputs &amp; Assumptions'!$B$8/2,'I_Budget Input Data'!$D$111*0.4/('I_Inputs &amp; Assumptions'!$B$8/2),'I_Budget Input Data'!$D$111*0.6/('I_Inputs &amp; Assumptions'!$B$8/2)),IF('I_Budget Input Data'!$E$111="Mid-weighted",IF(1&lt;='I_Inputs &amp; Assumptions'!$B$8/4,'I_Budget Input Data'!$D$111*0.2/('I_Inputs &amp; Assumptions'!$B$8/4),IF(1&lt;='I_Inputs &amp; Assumptions'!$B$8*0.75,'I_Budget Input Data'!$D$111*0.6/('I_Inputs &amp; Assumptions'!$B$8/2),'I_Budget Input Data'!$D$111*0.2/('I_Inputs &amp; Assumptions'!$B$8/4))),IF('I_Budget Input Data'!$E$111="At Completion",IF(1='I_Inputs &amp; Assumptions'!$B$8,'I_Budget Input Data'!$D$111,0),'I_Budget Input Data'!$D$111/'I_Inputs &amp; Assumptions'!$B$8)))))),0)</f>
        <v>11026.707692307693</v>
      </c>
      <c r="D111" s="91">
        <f>IF(2&lt;='I_Inputs &amp; Assumptions'!$B$8,IF('I_Budget Input Data'!$E$111="Upfront",IF(2=1,'I_Budget Input Data'!$D$111,0),IF('I_Budget Input Data'!$E$111="Equal",'I_Budget Input Data'!$D$111/'I_Inputs &amp; Assumptions'!$B$8,IF('I_Budget Input Data'!$E$111="Front-loaded",IF(2&lt;='I_Inputs &amp; Assumptions'!$B$8/2,'I_Budget Input Data'!$D$111*0.6/('I_Inputs &amp; Assumptions'!$B$8/2),'I_Budget Input Data'!$D$111*0.4/('I_Inputs &amp; Assumptions'!$B$8/2)),IF('I_Budget Input Data'!$E$111="Back-loaded",IF(2&lt;='I_Inputs &amp; Assumptions'!$B$8/2,'I_Budget Input Data'!$D$111*0.4/('I_Inputs &amp; Assumptions'!$B$8/2),'I_Budget Input Data'!$D$111*0.6/('I_Inputs &amp; Assumptions'!$B$8/2)),IF('I_Budget Input Data'!$E$111="Mid-weighted",IF(2&lt;='I_Inputs &amp; Assumptions'!$B$8/4,'I_Budget Input Data'!$D$111*0.2/('I_Inputs &amp; Assumptions'!$B$8/4),IF(2&lt;='I_Inputs &amp; Assumptions'!$B$8*0.75,'I_Budget Input Data'!$D$111*0.6/('I_Inputs &amp; Assumptions'!$B$8/2),'I_Budget Input Data'!$D$111*0.2/('I_Inputs &amp; Assumptions'!$B$8/4))),IF('I_Budget Input Data'!$E$111="At Completion",IF(2='I_Inputs &amp; Assumptions'!$B$8,'I_Budget Input Data'!$D$111,0),'I_Budget Input Data'!$D$111/'I_Inputs &amp; Assumptions'!$B$8)))))),0)</f>
        <v>11026.707692307693</v>
      </c>
      <c r="E111" s="91">
        <f>IF(3&lt;='I_Inputs &amp; Assumptions'!$B$8,IF('I_Budget Input Data'!$E$111="Upfront",IF(3=1,'I_Budget Input Data'!$D$111,0),IF('I_Budget Input Data'!$E$111="Equal",'I_Budget Input Data'!$D$111/'I_Inputs &amp; Assumptions'!$B$8,IF('I_Budget Input Data'!$E$111="Front-loaded",IF(3&lt;='I_Inputs &amp; Assumptions'!$B$8/2,'I_Budget Input Data'!$D$111*0.6/('I_Inputs &amp; Assumptions'!$B$8/2),'I_Budget Input Data'!$D$111*0.4/('I_Inputs &amp; Assumptions'!$B$8/2)),IF('I_Budget Input Data'!$E$111="Back-loaded",IF(3&lt;='I_Inputs &amp; Assumptions'!$B$8/2,'I_Budget Input Data'!$D$111*0.4/('I_Inputs &amp; Assumptions'!$B$8/2),'I_Budget Input Data'!$D$111*0.6/('I_Inputs &amp; Assumptions'!$B$8/2)),IF('I_Budget Input Data'!$E$111="Mid-weighted",IF(3&lt;='I_Inputs &amp; Assumptions'!$B$8/4,'I_Budget Input Data'!$D$111*0.2/('I_Inputs &amp; Assumptions'!$B$8/4),IF(3&lt;='I_Inputs &amp; Assumptions'!$B$8*0.75,'I_Budget Input Data'!$D$111*0.6/('I_Inputs &amp; Assumptions'!$B$8/2),'I_Budget Input Data'!$D$111*0.2/('I_Inputs &amp; Assumptions'!$B$8/4))),IF('I_Budget Input Data'!$E$111="At Completion",IF(3='I_Inputs &amp; Assumptions'!$B$8,'I_Budget Input Data'!$D$111,0),'I_Budget Input Data'!$D$111/'I_Inputs &amp; Assumptions'!$B$8)))))),0)</f>
        <v>11026.707692307693</v>
      </c>
      <c r="F111" s="91">
        <f>IF(4&lt;='I_Inputs &amp; Assumptions'!$B$8,IF('I_Budget Input Data'!$E$111="Upfront",IF(4=1,'I_Budget Input Data'!$D$111,0),IF('I_Budget Input Data'!$E$111="Equal",'I_Budget Input Data'!$D$111/'I_Inputs &amp; Assumptions'!$B$8,IF('I_Budget Input Data'!$E$111="Front-loaded",IF(4&lt;='I_Inputs &amp; Assumptions'!$B$8/2,'I_Budget Input Data'!$D$111*0.6/('I_Inputs &amp; Assumptions'!$B$8/2),'I_Budget Input Data'!$D$111*0.4/('I_Inputs &amp; Assumptions'!$B$8/2)),IF('I_Budget Input Data'!$E$111="Back-loaded",IF(4&lt;='I_Inputs &amp; Assumptions'!$B$8/2,'I_Budget Input Data'!$D$111*0.4/('I_Inputs &amp; Assumptions'!$B$8/2),'I_Budget Input Data'!$D$111*0.6/('I_Inputs &amp; Assumptions'!$B$8/2)),IF('I_Budget Input Data'!$E$111="Mid-weighted",IF(4&lt;='I_Inputs &amp; Assumptions'!$B$8/4,'I_Budget Input Data'!$D$111*0.2/('I_Inputs &amp; Assumptions'!$B$8/4),IF(4&lt;='I_Inputs &amp; Assumptions'!$B$8*0.75,'I_Budget Input Data'!$D$111*0.6/('I_Inputs &amp; Assumptions'!$B$8/2),'I_Budget Input Data'!$D$111*0.2/('I_Inputs &amp; Assumptions'!$B$8/4))),IF('I_Budget Input Data'!$E$111="At Completion",IF(4='I_Inputs &amp; Assumptions'!$B$8,'I_Budget Input Data'!$D$111,0),'I_Budget Input Data'!$D$111/'I_Inputs &amp; Assumptions'!$B$8)))))),0)</f>
        <v>11026.707692307693</v>
      </c>
      <c r="G111" s="91">
        <f>IF(5&lt;='I_Inputs &amp; Assumptions'!$B$8,IF('I_Budget Input Data'!$E$111="Upfront",IF(5=1,'I_Budget Input Data'!$D$111,0),IF('I_Budget Input Data'!$E$111="Equal",'I_Budget Input Data'!$D$111/'I_Inputs &amp; Assumptions'!$B$8,IF('I_Budget Input Data'!$E$111="Front-loaded",IF(5&lt;='I_Inputs &amp; Assumptions'!$B$8/2,'I_Budget Input Data'!$D$111*0.6/('I_Inputs &amp; Assumptions'!$B$8/2),'I_Budget Input Data'!$D$111*0.4/('I_Inputs &amp; Assumptions'!$B$8/2)),IF('I_Budget Input Data'!$E$111="Back-loaded",IF(5&lt;='I_Inputs &amp; Assumptions'!$B$8/2,'I_Budget Input Data'!$D$111*0.4/('I_Inputs &amp; Assumptions'!$B$8/2),'I_Budget Input Data'!$D$111*0.6/('I_Inputs &amp; Assumptions'!$B$8/2)),IF('I_Budget Input Data'!$E$111="Mid-weighted",IF(5&lt;='I_Inputs &amp; Assumptions'!$B$8/4,'I_Budget Input Data'!$D$111*0.2/('I_Inputs &amp; Assumptions'!$B$8/4),IF(5&lt;='I_Inputs &amp; Assumptions'!$B$8*0.75,'I_Budget Input Data'!$D$111*0.6/('I_Inputs &amp; Assumptions'!$B$8/2),'I_Budget Input Data'!$D$111*0.2/('I_Inputs &amp; Assumptions'!$B$8/4))),IF('I_Budget Input Data'!$E$111="At Completion",IF(5='I_Inputs &amp; Assumptions'!$B$8,'I_Budget Input Data'!$D$111,0),'I_Budget Input Data'!$D$111/'I_Inputs &amp; Assumptions'!$B$8)))))),0)</f>
        <v>11026.707692307693</v>
      </c>
      <c r="H111" s="91">
        <f>IF(6&lt;='I_Inputs &amp; Assumptions'!$B$8,IF('I_Budget Input Data'!$E$111="Upfront",IF(6=1,'I_Budget Input Data'!$D$111,0),IF('I_Budget Input Data'!$E$111="Equal",'I_Budget Input Data'!$D$111/'I_Inputs &amp; Assumptions'!$B$8,IF('I_Budget Input Data'!$E$111="Front-loaded",IF(6&lt;='I_Inputs &amp; Assumptions'!$B$8/2,'I_Budget Input Data'!$D$111*0.6/('I_Inputs &amp; Assumptions'!$B$8/2),'I_Budget Input Data'!$D$111*0.4/('I_Inputs &amp; Assumptions'!$B$8/2)),IF('I_Budget Input Data'!$E$111="Back-loaded",IF(6&lt;='I_Inputs &amp; Assumptions'!$B$8/2,'I_Budget Input Data'!$D$111*0.4/('I_Inputs &amp; Assumptions'!$B$8/2),'I_Budget Input Data'!$D$111*0.6/('I_Inputs &amp; Assumptions'!$B$8/2)),IF('I_Budget Input Data'!$E$111="Mid-weighted",IF(6&lt;='I_Inputs &amp; Assumptions'!$B$8/4,'I_Budget Input Data'!$D$111*0.2/('I_Inputs &amp; Assumptions'!$B$8/4),IF(6&lt;='I_Inputs &amp; Assumptions'!$B$8*0.75,'I_Budget Input Data'!$D$111*0.6/('I_Inputs &amp; Assumptions'!$B$8/2),'I_Budget Input Data'!$D$111*0.2/('I_Inputs &amp; Assumptions'!$B$8/4))),IF('I_Budget Input Data'!$E$111="At Completion",IF(6='I_Inputs &amp; Assumptions'!$B$8,'I_Budget Input Data'!$D$111,0),'I_Budget Input Data'!$D$111/'I_Inputs &amp; Assumptions'!$B$8)))))),0)</f>
        <v>11026.707692307693</v>
      </c>
      <c r="I111" s="91">
        <f>IF(7&lt;='I_Inputs &amp; Assumptions'!$B$8,IF('I_Budget Input Data'!$E$111="Upfront",IF(7=1,'I_Budget Input Data'!$D$111,0),IF('I_Budget Input Data'!$E$111="Equal",'I_Budget Input Data'!$D$111/'I_Inputs &amp; Assumptions'!$B$8,IF('I_Budget Input Data'!$E$111="Front-loaded",IF(7&lt;='I_Inputs &amp; Assumptions'!$B$8/2,'I_Budget Input Data'!$D$111*0.6/('I_Inputs &amp; Assumptions'!$B$8/2),'I_Budget Input Data'!$D$111*0.4/('I_Inputs &amp; Assumptions'!$B$8/2)),IF('I_Budget Input Data'!$E$111="Back-loaded",IF(7&lt;='I_Inputs &amp; Assumptions'!$B$8/2,'I_Budget Input Data'!$D$111*0.4/('I_Inputs &amp; Assumptions'!$B$8/2),'I_Budget Input Data'!$D$111*0.6/('I_Inputs &amp; Assumptions'!$B$8/2)),IF('I_Budget Input Data'!$E$111="Mid-weighted",IF(7&lt;='I_Inputs &amp; Assumptions'!$B$8/4,'I_Budget Input Data'!$D$111*0.2/('I_Inputs &amp; Assumptions'!$B$8/4),IF(7&lt;='I_Inputs &amp; Assumptions'!$B$8*0.75,'I_Budget Input Data'!$D$111*0.6/('I_Inputs &amp; Assumptions'!$B$8/2),'I_Budget Input Data'!$D$111*0.2/('I_Inputs &amp; Assumptions'!$B$8/4))),IF('I_Budget Input Data'!$E$111="At Completion",IF(7='I_Inputs &amp; Assumptions'!$B$8,'I_Budget Input Data'!$D$111,0),'I_Budget Input Data'!$D$111/'I_Inputs &amp; Assumptions'!$B$8)))))),0)</f>
        <v>16540.061538461538</v>
      </c>
      <c r="J111" s="91">
        <f>IF(8&lt;='I_Inputs &amp; Assumptions'!$B$8,IF('I_Budget Input Data'!$E$111="Upfront",IF(8=1,'I_Budget Input Data'!$D$111,0),IF('I_Budget Input Data'!$E$111="Equal",'I_Budget Input Data'!$D$111/'I_Inputs &amp; Assumptions'!$B$8,IF('I_Budget Input Data'!$E$111="Front-loaded",IF(8&lt;='I_Inputs &amp; Assumptions'!$B$8/2,'I_Budget Input Data'!$D$111*0.6/('I_Inputs &amp; Assumptions'!$B$8/2),'I_Budget Input Data'!$D$111*0.4/('I_Inputs &amp; Assumptions'!$B$8/2)),IF('I_Budget Input Data'!$E$111="Back-loaded",IF(8&lt;='I_Inputs &amp; Assumptions'!$B$8/2,'I_Budget Input Data'!$D$111*0.4/('I_Inputs &amp; Assumptions'!$B$8/2),'I_Budget Input Data'!$D$111*0.6/('I_Inputs &amp; Assumptions'!$B$8/2)),IF('I_Budget Input Data'!$E$111="Mid-weighted",IF(8&lt;='I_Inputs &amp; Assumptions'!$B$8/4,'I_Budget Input Data'!$D$111*0.2/('I_Inputs &amp; Assumptions'!$B$8/4),IF(8&lt;='I_Inputs &amp; Assumptions'!$B$8*0.75,'I_Budget Input Data'!$D$111*0.6/('I_Inputs &amp; Assumptions'!$B$8/2),'I_Budget Input Data'!$D$111*0.2/('I_Inputs &amp; Assumptions'!$B$8/4))),IF('I_Budget Input Data'!$E$111="At Completion",IF(8='I_Inputs &amp; Assumptions'!$B$8,'I_Budget Input Data'!$D$111,0),'I_Budget Input Data'!$D$111/'I_Inputs &amp; Assumptions'!$B$8)))))),0)</f>
        <v>16540.061538461538</v>
      </c>
      <c r="K111" s="91">
        <f>IF(9&lt;='I_Inputs &amp; Assumptions'!$B$8,IF('I_Budget Input Data'!$E$111="Upfront",IF(9=1,'I_Budget Input Data'!$D$111,0),IF('I_Budget Input Data'!$E$111="Equal",'I_Budget Input Data'!$D$111/'I_Inputs &amp; Assumptions'!$B$8,IF('I_Budget Input Data'!$E$111="Front-loaded",IF(9&lt;='I_Inputs &amp; Assumptions'!$B$8/2,'I_Budget Input Data'!$D$111*0.6/('I_Inputs &amp; Assumptions'!$B$8/2),'I_Budget Input Data'!$D$111*0.4/('I_Inputs &amp; Assumptions'!$B$8/2)),IF('I_Budget Input Data'!$E$111="Back-loaded",IF(9&lt;='I_Inputs &amp; Assumptions'!$B$8/2,'I_Budget Input Data'!$D$111*0.4/('I_Inputs &amp; Assumptions'!$B$8/2),'I_Budget Input Data'!$D$111*0.6/('I_Inputs &amp; Assumptions'!$B$8/2)),IF('I_Budget Input Data'!$E$111="Mid-weighted",IF(9&lt;='I_Inputs &amp; Assumptions'!$B$8/4,'I_Budget Input Data'!$D$111*0.2/('I_Inputs &amp; Assumptions'!$B$8/4),IF(9&lt;='I_Inputs &amp; Assumptions'!$B$8*0.75,'I_Budget Input Data'!$D$111*0.6/('I_Inputs &amp; Assumptions'!$B$8/2),'I_Budget Input Data'!$D$111*0.2/('I_Inputs &amp; Assumptions'!$B$8/4))),IF('I_Budget Input Data'!$E$111="At Completion",IF(9='I_Inputs &amp; Assumptions'!$B$8,'I_Budget Input Data'!$D$111,0),'I_Budget Input Data'!$D$111/'I_Inputs &amp; Assumptions'!$B$8)))))),0)</f>
        <v>16540.061538461538</v>
      </c>
      <c r="L111" s="91">
        <f>IF(10&lt;='I_Inputs &amp; Assumptions'!$B$8,IF('I_Budget Input Data'!$E$111="Upfront",IF(10=1,'I_Budget Input Data'!$D$111,0),IF('I_Budget Input Data'!$E$111="Equal",'I_Budget Input Data'!$D$111/'I_Inputs &amp; Assumptions'!$B$8,IF('I_Budget Input Data'!$E$111="Front-loaded",IF(10&lt;='I_Inputs &amp; Assumptions'!$B$8/2,'I_Budget Input Data'!$D$111*0.6/('I_Inputs &amp; Assumptions'!$B$8/2),'I_Budget Input Data'!$D$111*0.4/('I_Inputs &amp; Assumptions'!$B$8/2)),IF('I_Budget Input Data'!$E$111="Back-loaded",IF(10&lt;='I_Inputs &amp; Assumptions'!$B$8/2,'I_Budget Input Data'!$D$111*0.4/('I_Inputs &amp; Assumptions'!$B$8/2),'I_Budget Input Data'!$D$111*0.6/('I_Inputs &amp; Assumptions'!$B$8/2)),IF('I_Budget Input Data'!$E$111="Mid-weighted",IF(10&lt;='I_Inputs &amp; Assumptions'!$B$8/4,'I_Budget Input Data'!$D$111*0.2/('I_Inputs &amp; Assumptions'!$B$8/4),IF(10&lt;='I_Inputs &amp; Assumptions'!$B$8*0.75,'I_Budget Input Data'!$D$111*0.6/('I_Inputs &amp; Assumptions'!$B$8/2),'I_Budget Input Data'!$D$111*0.2/('I_Inputs &amp; Assumptions'!$B$8/4))),IF('I_Budget Input Data'!$E$111="At Completion",IF(10='I_Inputs &amp; Assumptions'!$B$8,'I_Budget Input Data'!$D$111,0),'I_Budget Input Data'!$D$111/'I_Inputs &amp; Assumptions'!$B$8)))))),0)</f>
        <v>16540.061538461538</v>
      </c>
      <c r="M111" s="91">
        <f>IF(11&lt;='I_Inputs &amp; Assumptions'!$B$8,IF('I_Budget Input Data'!$E$111="Upfront",IF(11=1,'I_Budget Input Data'!$D$111,0),IF('I_Budget Input Data'!$E$111="Equal",'I_Budget Input Data'!$D$111/'I_Inputs &amp; Assumptions'!$B$8,IF('I_Budget Input Data'!$E$111="Front-loaded",IF(11&lt;='I_Inputs &amp; Assumptions'!$B$8/2,'I_Budget Input Data'!$D$111*0.6/('I_Inputs &amp; Assumptions'!$B$8/2),'I_Budget Input Data'!$D$111*0.4/('I_Inputs &amp; Assumptions'!$B$8/2)),IF('I_Budget Input Data'!$E$111="Back-loaded",IF(11&lt;='I_Inputs &amp; Assumptions'!$B$8/2,'I_Budget Input Data'!$D$111*0.4/('I_Inputs &amp; Assumptions'!$B$8/2),'I_Budget Input Data'!$D$111*0.6/('I_Inputs &amp; Assumptions'!$B$8/2)),IF('I_Budget Input Data'!$E$111="Mid-weighted",IF(11&lt;='I_Inputs &amp; Assumptions'!$B$8/4,'I_Budget Input Data'!$D$111*0.2/('I_Inputs &amp; Assumptions'!$B$8/4),IF(11&lt;='I_Inputs &amp; Assumptions'!$B$8*0.75,'I_Budget Input Data'!$D$111*0.6/('I_Inputs &amp; Assumptions'!$B$8/2),'I_Budget Input Data'!$D$111*0.2/('I_Inputs &amp; Assumptions'!$B$8/4))),IF('I_Budget Input Data'!$E$111="At Completion",IF(11='I_Inputs &amp; Assumptions'!$B$8,'I_Budget Input Data'!$D$111,0),'I_Budget Input Data'!$D$111/'I_Inputs &amp; Assumptions'!$B$8)))))),0)</f>
        <v>16540.061538461538</v>
      </c>
      <c r="N111" s="91">
        <f>IF(12&lt;='I_Inputs &amp; Assumptions'!$B$8,IF('I_Budget Input Data'!$E$111="Upfront",IF(12=1,'I_Budget Input Data'!$D$111,0),IF('I_Budget Input Data'!$E$111="Equal",'I_Budget Input Data'!$D$111/'I_Inputs &amp; Assumptions'!$B$8,IF('I_Budget Input Data'!$E$111="Front-loaded",IF(12&lt;='I_Inputs &amp; Assumptions'!$B$8/2,'I_Budget Input Data'!$D$111*0.6/('I_Inputs &amp; Assumptions'!$B$8/2),'I_Budget Input Data'!$D$111*0.4/('I_Inputs &amp; Assumptions'!$B$8/2)),IF('I_Budget Input Data'!$E$111="Back-loaded",IF(12&lt;='I_Inputs &amp; Assumptions'!$B$8/2,'I_Budget Input Data'!$D$111*0.4/('I_Inputs &amp; Assumptions'!$B$8/2),'I_Budget Input Data'!$D$111*0.6/('I_Inputs &amp; Assumptions'!$B$8/2)),IF('I_Budget Input Data'!$E$111="Mid-weighted",IF(12&lt;='I_Inputs &amp; Assumptions'!$B$8/4,'I_Budget Input Data'!$D$111*0.2/('I_Inputs &amp; Assumptions'!$B$8/4),IF(12&lt;='I_Inputs &amp; Assumptions'!$B$8*0.75,'I_Budget Input Data'!$D$111*0.6/('I_Inputs &amp; Assumptions'!$B$8/2),'I_Budget Input Data'!$D$111*0.2/('I_Inputs &amp; Assumptions'!$B$8/4))),IF('I_Budget Input Data'!$E$111="At Completion",IF(12='I_Inputs &amp; Assumptions'!$B$8,'I_Budget Input Data'!$D$111,0),'I_Budget Input Data'!$D$111/'I_Inputs &amp; Assumptions'!$B$8)))))),0)</f>
        <v>16540.061538461538</v>
      </c>
      <c r="O111" s="91">
        <f>IF(13&lt;='I_Inputs &amp; Assumptions'!$B$8,IF('I_Budget Input Data'!$E$111="Upfront",IF(13=1,'I_Budget Input Data'!$D$111,0),IF('I_Budget Input Data'!$E$111="Equal",'I_Budget Input Data'!$D$111/'I_Inputs &amp; Assumptions'!$B$8,IF('I_Budget Input Data'!$E$111="Front-loaded",IF(13&lt;='I_Inputs &amp; Assumptions'!$B$8/2,'I_Budget Input Data'!$D$111*0.6/('I_Inputs &amp; Assumptions'!$B$8/2),'I_Budget Input Data'!$D$111*0.4/('I_Inputs &amp; Assumptions'!$B$8/2)),IF('I_Budget Input Data'!$E$111="Back-loaded",IF(13&lt;='I_Inputs &amp; Assumptions'!$B$8/2,'I_Budget Input Data'!$D$111*0.4/('I_Inputs &amp; Assumptions'!$B$8/2),'I_Budget Input Data'!$D$111*0.6/('I_Inputs &amp; Assumptions'!$B$8/2)),IF('I_Budget Input Data'!$E$111="Mid-weighted",IF(13&lt;='I_Inputs &amp; Assumptions'!$B$8/4,'I_Budget Input Data'!$D$111*0.2/('I_Inputs &amp; Assumptions'!$B$8/4),IF(13&lt;='I_Inputs &amp; Assumptions'!$B$8*0.75,'I_Budget Input Data'!$D$111*0.6/('I_Inputs &amp; Assumptions'!$B$8/2),'I_Budget Input Data'!$D$111*0.2/('I_Inputs &amp; Assumptions'!$B$8/4))),IF('I_Budget Input Data'!$E$111="At Completion",IF(13='I_Inputs &amp; Assumptions'!$B$8,'I_Budget Input Data'!$D$111,0),'I_Budget Input Data'!$D$111/'I_Inputs &amp; Assumptions'!$B$8)))))),0)</f>
        <v>16540.061538461538</v>
      </c>
      <c r="P111" s="91">
        <f>IF(14&lt;='I_Inputs &amp; Assumptions'!$B$8,IF('I_Budget Input Data'!$E$111="Upfront",IF(14=1,'I_Budget Input Data'!$D$111,0),IF('I_Budget Input Data'!$E$111="Equal",'I_Budget Input Data'!$D$111/'I_Inputs &amp; Assumptions'!$B$8,IF('I_Budget Input Data'!$E$111="Front-loaded",IF(14&lt;='I_Inputs &amp; Assumptions'!$B$8/2,'I_Budget Input Data'!$D$111*0.6/('I_Inputs &amp; Assumptions'!$B$8/2),'I_Budget Input Data'!$D$111*0.4/('I_Inputs &amp; Assumptions'!$B$8/2)),IF('I_Budget Input Data'!$E$111="Back-loaded",IF(14&lt;='I_Inputs &amp; Assumptions'!$B$8/2,'I_Budget Input Data'!$D$111*0.4/('I_Inputs &amp; Assumptions'!$B$8/2),'I_Budget Input Data'!$D$111*0.6/('I_Inputs &amp; Assumptions'!$B$8/2)),IF('I_Budget Input Data'!$E$111="Mid-weighted",IF(14&lt;='I_Inputs &amp; Assumptions'!$B$8/4,'I_Budget Input Data'!$D$111*0.2/('I_Inputs &amp; Assumptions'!$B$8/4),IF(14&lt;='I_Inputs &amp; Assumptions'!$B$8*0.75,'I_Budget Input Data'!$D$111*0.6/('I_Inputs &amp; Assumptions'!$B$8/2),'I_Budget Input Data'!$D$111*0.2/('I_Inputs &amp; Assumptions'!$B$8/4))),IF('I_Budget Input Data'!$E$111="At Completion",IF(14='I_Inputs &amp; Assumptions'!$B$8,'I_Budget Input Data'!$D$111,0),'I_Budget Input Data'!$D$111/'I_Inputs &amp; Assumptions'!$B$8)))))),0)</f>
        <v>0</v>
      </c>
      <c r="Q111" s="91">
        <f>IF(15&lt;='I_Inputs &amp; Assumptions'!$B$8,IF('I_Budget Input Data'!$E$111="Upfront",IF(15=1,'I_Budget Input Data'!$D$111,0),IF('I_Budget Input Data'!$E$111="Equal",'I_Budget Input Data'!$D$111/'I_Inputs &amp; Assumptions'!$B$8,IF('I_Budget Input Data'!$E$111="Front-loaded",IF(15&lt;='I_Inputs &amp; Assumptions'!$B$8/2,'I_Budget Input Data'!$D$111*0.6/('I_Inputs &amp; Assumptions'!$B$8/2),'I_Budget Input Data'!$D$111*0.4/('I_Inputs &amp; Assumptions'!$B$8/2)),IF('I_Budget Input Data'!$E$111="Back-loaded",IF(15&lt;='I_Inputs &amp; Assumptions'!$B$8/2,'I_Budget Input Data'!$D$111*0.4/('I_Inputs &amp; Assumptions'!$B$8/2),'I_Budget Input Data'!$D$111*0.6/('I_Inputs &amp; Assumptions'!$B$8/2)),IF('I_Budget Input Data'!$E$111="Mid-weighted",IF(15&lt;='I_Inputs &amp; Assumptions'!$B$8/4,'I_Budget Input Data'!$D$111*0.2/('I_Inputs &amp; Assumptions'!$B$8/4),IF(15&lt;='I_Inputs &amp; Assumptions'!$B$8*0.75,'I_Budget Input Data'!$D$111*0.6/('I_Inputs &amp; Assumptions'!$B$8/2),'I_Budget Input Data'!$D$111*0.2/('I_Inputs &amp; Assumptions'!$B$8/4))),IF('I_Budget Input Data'!$E$111="At Completion",IF(15='I_Inputs &amp; Assumptions'!$B$8,'I_Budget Input Data'!$D$111,0),'I_Budget Input Data'!$D$111/'I_Inputs &amp; Assumptions'!$B$8)))))),0)</f>
        <v>0</v>
      </c>
      <c r="R111" s="91">
        <f>IF(16&lt;='I_Inputs &amp; Assumptions'!$B$8,IF('I_Budget Input Data'!$E$111="Upfront",IF(16=1,'I_Budget Input Data'!$D$111,0),IF('I_Budget Input Data'!$E$111="Equal",'I_Budget Input Data'!$D$111/'I_Inputs &amp; Assumptions'!$B$8,IF('I_Budget Input Data'!$E$111="Front-loaded",IF(16&lt;='I_Inputs &amp; Assumptions'!$B$8/2,'I_Budget Input Data'!$D$111*0.6/('I_Inputs &amp; Assumptions'!$B$8/2),'I_Budget Input Data'!$D$111*0.4/('I_Inputs &amp; Assumptions'!$B$8/2)),IF('I_Budget Input Data'!$E$111="Back-loaded",IF(16&lt;='I_Inputs &amp; Assumptions'!$B$8/2,'I_Budget Input Data'!$D$111*0.4/('I_Inputs &amp; Assumptions'!$B$8/2),'I_Budget Input Data'!$D$111*0.6/('I_Inputs &amp; Assumptions'!$B$8/2)),IF('I_Budget Input Data'!$E$111="Mid-weighted",IF(16&lt;='I_Inputs &amp; Assumptions'!$B$8/4,'I_Budget Input Data'!$D$111*0.2/('I_Inputs &amp; Assumptions'!$B$8/4),IF(16&lt;='I_Inputs &amp; Assumptions'!$B$8*0.75,'I_Budget Input Data'!$D$111*0.6/('I_Inputs &amp; Assumptions'!$B$8/2),'I_Budget Input Data'!$D$111*0.2/('I_Inputs &amp; Assumptions'!$B$8/4))),IF('I_Budget Input Data'!$E$111="At Completion",IF(16='I_Inputs &amp; Assumptions'!$B$8,'I_Budget Input Data'!$D$111,0),'I_Budget Input Data'!$D$111/'I_Inputs &amp; Assumptions'!$B$8)))))),0)</f>
        <v>0</v>
      </c>
      <c r="S111" s="91">
        <f>IF(17&lt;='I_Inputs &amp; Assumptions'!$B$8,IF('I_Budget Input Data'!$E$111="Upfront",IF(17=1,'I_Budget Input Data'!$D$111,0),IF('I_Budget Input Data'!$E$111="Equal",'I_Budget Input Data'!$D$111/'I_Inputs &amp; Assumptions'!$B$8,IF('I_Budget Input Data'!$E$111="Front-loaded",IF(17&lt;='I_Inputs &amp; Assumptions'!$B$8/2,'I_Budget Input Data'!$D$111*0.6/('I_Inputs &amp; Assumptions'!$B$8/2),'I_Budget Input Data'!$D$111*0.4/('I_Inputs &amp; Assumptions'!$B$8/2)),IF('I_Budget Input Data'!$E$111="Back-loaded",IF(17&lt;='I_Inputs &amp; Assumptions'!$B$8/2,'I_Budget Input Data'!$D$111*0.4/('I_Inputs &amp; Assumptions'!$B$8/2),'I_Budget Input Data'!$D$111*0.6/('I_Inputs &amp; Assumptions'!$B$8/2)),IF('I_Budget Input Data'!$E$111="Mid-weighted",IF(17&lt;='I_Inputs &amp; Assumptions'!$B$8/4,'I_Budget Input Data'!$D$111*0.2/('I_Inputs &amp; Assumptions'!$B$8/4),IF(17&lt;='I_Inputs &amp; Assumptions'!$B$8*0.75,'I_Budget Input Data'!$D$111*0.6/('I_Inputs &amp; Assumptions'!$B$8/2),'I_Budget Input Data'!$D$111*0.2/('I_Inputs &amp; Assumptions'!$B$8/4))),IF('I_Budget Input Data'!$E$111="At Completion",IF(17='I_Inputs &amp; Assumptions'!$B$8,'I_Budget Input Data'!$D$111,0),'I_Budget Input Data'!$D$111/'I_Inputs &amp; Assumptions'!$B$8)))))),0)</f>
        <v>0</v>
      </c>
      <c r="T111" s="91">
        <f>IF(18&lt;='I_Inputs &amp; Assumptions'!$B$8,IF('I_Budget Input Data'!$E$111="Upfront",IF(18=1,'I_Budget Input Data'!$D$111,0),IF('I_Budget Input Data'!$E$111="Equal",'I_Budget Input Data'!$D$111/'I_Inputs &amp; Assumptions'!$B$8,IF('I_Budget Input Data'!$E$111="Front-loaded",IF(18&lt;='I_Inputs &amp; Assumptions'!$B$8/2,'I_Budget Input Data'!$D$111*0.6/('I_Inputs &amp; Assumptions'!$B$8/2),'I_Budget Input Data'!$D$111*0.4/('I_Inputs &amp; Assumptions'!$B$8/2)),IF('I_Budget Input Data'!$E$111="Back-loaded",IF(18&lt;='I_Inputs &amp; Assumptions'!$B$8/2,'I_Budget Input Data'!$D$111*0.4/('I_Inputs &amp; Assumptions'!$B$8/2),'I_Budget Input Data'!$D$111*0.6/('I_Inputs &amp; Assumptions'!$B$8/2)),IF('I_Budget Input Data'!$E$111="Mid-weighted",IF(18&lt;='I_Inputs &amp; Assumptions'!$B$8/4,'I_Budget Input Data'!$D$111*0.2/('I_Inputs &amp; Assumptions'!$B$8/4),IF(18&lt;='I_Inputs &amp; Assumptions'!$B$8*0.75,'I_Budget Input Data'!$D$111*0.6/('I_Inputs &amp; Assumptions'!$B$8/2),'I_Budget Input Data'!$D$111*0.2/('I_Inputs &amp; Assumptions'!$B$8/4))),IF('I_Budget Input Data'!$E$111="At Completion",IF(18='I_Inputs &amp; Assumptions'!$B$8,'I_Budget Input Data'!$D$111,0),'I_Budget Input Data'!$D$111/'I_Inputs &amp; Assumptions'!$B$8)))))),0)</f>
        <v>0</v>
      </c>
      <c r="U111" s="91">
        <f>IF(19&lt;='I_Inputs &amp; Assumptions'!$B$8,IF('I_Budget Input Data'!$E$111="Upfront",IF(19=1,'I_Budget Input Data'!$D$111,0),IF('I_Budget Input Data'!$E$111="Equal",'I_Budget Input Data'!$D$111/'I_Inputs &amp; Assumptions'!$B$8,IF('I_Budget Input Data'!$E$111="Front-loaded",IF(19&lt;='I_Inputs &amp; Assumptions'!$B$8/2,'I_Budget Input Data'!$D$111*0.6/('I_Inputs &amp; Assumptions'!$B$8/2),'I_Budget Input Data'!$D$111*0.4/('I_Inputs &amp; Assumptions'!$B$8/2)),IF('I_Budget Input Data'!$E$111="Back-loaded",IF(19&lt;='I_Inputs &amp; Assumptions'!$B$8/2,'I_Budget Input Data'!$D$111*0.4/('I_Inputs &amp; Assumptions'!$B$8/2),'I_Budget Input Data'!$D$111*0.6/('I_Inputs &amp; Assumptions'!$B$8/2)),IF('I_Budget Input Data'!$E$111="Mid-weighted",IF(19&lt;='I_Inputs &amp; Assumptions'!$B$8/4,'I_Budget Input Data'!$D$111*0.2/('I_Inputs &amp; Assumptions'!$B$8/4),IF(19&lt;='I_Inputs &amp; Assumptions'!$B$8*0.75,'I_Budget Input Data'!$D$111*0.6/('I_Inputs &amp; Assumptions'!$B$8/2),'I_Budget Input Data'!$D$111*0.2/('I_Inputs &amp; Assumptions'!$B$8/4))),IF('I_Budget Input Data'!$E$111="At Completion",IF(19='I_Inputs &amp; Assumptions'!$B$8,'I_Budget Input Data'!$D$111,0),'I_Budget Input Data'!$D$111/'I_Inputs &amp; Assumptions'!$B$8)))))),0)</f>
        <v>0</v>
      </c>
      <c r="V111" s="91">
        <f>IF(20&lt;='I_Inputs &amp; Assumptions'!$B$8,IF('I_Budget Input Data'!$E$111="Upfront",IF(20=1,'I_Budget Input Data'!$D$111,0),IF('I_Budget Input Data'!$E$111="Equal",'I_Budget Input Data'!$D$111/'I_Inputs &amp; Assumptions'!$B$8,IF('I_Budget Input Data'!$E$111="Front-loaded",IF(20&lt;='I_Inputs &amp; Assumptions'!$B$8/2,'I_Budget Input Data'!$D$111*0.6/('I_Inputs &amp; Assumptions'!$B$8/2),'I_Budget Input Data'!$D$111*0.4/('I_Inputs &amp; Assumptions'!$B$8/2)),IF('I_Budget Input Data'!$E$111="Back-loaded",IF(20&lt;='I_Inputs &amp; Assumptions'!$B$8/2,'I_Budget Input Data'!$D$111*0.4/('I_Inputs &amp; Assumptions'!$B$8/2),'I_Budget Input Data'!$D$111*0.6/('I_Inputs &amp; Assumptions'!$B$8/2)),IF('I_Budget Input Data'!$E$111="Mid-weighted",IF(20&lt;='I_Inputs &amp; Assumptions'!$B$8/4,'I_Budget Input Data'!$D$111*0.2/('I_Inputs &amp; Assumptions'!$B$8/4),IF(20&lt;='I_Inputs &amp; Assumptions'!$B$8*0.75,'I_Budget Input Data'!$D$111*0.6/('I_Inputs &amp; Assumptions'!$B$8/2),'I_Budget Input Data'!$D$111*0.2/('I_Inputs &amp; Assumptions'!$B$8/4))),IF('I_Budget Input Data'!$E$111="At Completion",IF(20='I_Inputs &amp; Assumptions'!$B$8,'I_Budget Input Data'!$D$111,0),'I_Budget Input Data'!$D$111/'I_Inputs &amp; Assumptions'!$B$8)))))),0)</f>
        <v>0</v>
      </c>
      <c r="W111" s="91">
        <f>IF(21&lt;='I_Inputs &amp; Assumptions'!$B$8,IF('I_Budget Input Data'!$E$111="Upfront",IF(21=1,'I_Budget Input Data'!$D$111,0),IF('I_Budget Input Data'!$E$111="Equal",'I_Budget Input Data'!$D$111/'I_Inputs &amp; Assumptions'!$B$8,IF('I_Budget Input Data'!$E$111="Front-loaded",IF(21&lt;='I_Inputs &amp; Assumptions'!$B$8/2,'I_Budget Input Data'!$D$111*0.6/('I_Inputs &amp; Assumptions'!$B$8/2),'I_Budget Input Data'!$D$111*0.4/('I_Inputs &amp; Assumptions'!$B$8/2)),IF('I_Budget Input Data'!$E$111="Back-loaded",IF(21&lt;='I_Inputs &amp; Assumptions'!$B$8/2,'I_Budget Input Data'!$D$111*0.4/('I_Inputs &amp; Assumptions'!$B$8/2),'I_Budget Input Data'!$D$111*0.6/('I_Inputs &amp; Assumptions'!$B$8/2)),IF('I_Budget Input Data'!$E$111="Mid-weighted",IF(21&lt;='I_Inputs &amp; Assumptions'!$B$8/4,'I_Budget Input Data'!$D$111*0.2/('I_Inputs &amp; Assumptions'!$B$8/4),IF(21&lt;='I_Inputs &amp; Assumptions'!$B$8*0.75,'I_Budget Input Data'!$D$111*0.6/('I_Inputs &amp; Assumptions'!$B$8/2),'I_Budget Input Data'!$D$111*0.2/('I_Inputs &amp; Assumptions'!$B$8/4))),IF('I_Budget Input Data'!$E$111="At Completion",IF(21='I_Inputs &amp; Assumptions'!$B$8,'I_Budget Input Data'!$D$111,0),'I_Budget Input Data'!$D$111/'I_Inputs &amp; Assumptions'!$B$8)))))),0)</f>
        <v>0</v>
      </c>
      <c r="X111" s="91">
        <f>IF(22&lt;='I_Inputs &amp; Assumptions'!$B$8,IF('I_Budget Input Data'!$E$111="Upfront",IF(22=1,'I_Budget Input Data'!$D$111,0),IF('I_Budget Input Data'!$E$111="Equal",'I_Budget Input Data'!$D$111/'I_Inputs &amp; Assumptions'!$B$8,IF('I_Budget Input Data'!$E$111="Front-loaded",IF(22&lt;='I_Inputs &amp; Assumptions'!$B$8/2,'I_Budget Input Data'!$D$111*0.6/('I_Inputs &amp; Assumptions'!$B$8/2),'I_Budget Input Data'!$D$111*0.4/('I_Inputs &amp; Assumptions'!$B$8/2)),IF('I_Budget Input Data'!$E$111="Back-loaded",IF(22&lt;='I_Inputs &amp; Assumptions'!$B$8/2,'I_Budget Input Data'!$D$111*0.4/('I_Inputs &amp; Assumptions'!$B$8/2),'I_Budget Input Data'!$D$111*0.6/('I_Inputs &amp; Assumptions'!$B$8/2)),IF('I_Budget Input Data'!$E$111="Mid-weighted",IF(22&lt;='I_Inputs &amp; Assumptions'!$B$8/4,'I_Budget Input Data'!$D$111*0.2/('I_Inputs &amp; Assumptions'!$B$8/4),IF(22&lt;='I_Inputs &amp; Assumptions'!$B$8*0.75,'I_Budget Input Data'!$D$111*0.6/('I_Inputs &amp; Assumptions'!$B$8/2),'I_Budget Input Data'!$D$111*0.2/('I_Inputs &amp; Assumptions'!$B$8/4))),IF('I_Budget Input Data'!$E$111="At Completion",IF(22='I_Inputs &amp; Assumptions'!$B$8,'I_Budget Input Data'!$D$111,0),'I_Budget Input Data'!$D$111/'I_Inputs &amp; Assumptions'!$B$8)))))),0)</f>
        <v>0</v>
      </c>
      <c r="Y111" s="91">
        <f>IF(23&lt;='I_Inputs &amp; Assumptions'!$B$8,IF('I_Budget Input Data'!$E$111="Upfront",IF(23=1,'I_Budget Input Data'!$D$111,0),IF('I_Budget Input Data'!$E$111="Equal",'I_Budget Input Data'!$D$111/'I_Inputs &amp; Assumptions'!$B$8,IF('I_Budget Input Data'!$E$111="Front-loaded",IF(23&lt;='I_Inputs &amp; Assumptions'!$B$8/2,'I_Budget Input Data'!$D$111*0.6/('I_Inputs &amp; Assumptions'!$B$8/2),'I_Budget Input Data'!$D$111*0.4/('I_Inputs &amp; Assumptions'!$B$8/2)),IF('I_Budget Input Data'!$E$111="Back-loaded",IF(23&lt;='I_Inputs &amp; Assumptions'!$B$8/2,'I_Budget Input Data'!$D$111*0.4/('I_Inputs &amp; Assumptions'!$B$8/2),'I_Budget Input Data'!$D$111*0.6/('I_Inputs &amp; Assumptions'!$B$8/2)),IF('I_Budget Input Data'!$E$111="Mid-weighted",IF(23&lt;='I_Inputs &amp; Assumptions'!$B$8/4,'I_Budget Input Data'!$D$111*0.2/('I_Inputs &amp; Assumptions'!$B$8/4),IF(23&lt;='I_Inputs &amp; Assumptions'!$B$8*0.75,'I_Budget Input Data'!$D$111*0.6/('I_Inputs &amp; Assumptions'!$B$8/2),'I_Budget Input Data'!$D$111*0.2/('I_Inputs &amp; Assumptions'!$B$8/4))),IF('I_Budget Input Data'!$E$111="At Completion",IF(23='I_Inputs &amp; Assumptions'!$B$8,'I_Budget Input Data'!$D$111,0),'I_Budget Input Data'!$D$111/'I_Inputs &amp; Assumptions'!$B$8)))))),0)</f>
        <v>0</v>
      </c>
      <c r="Z111" s="91">
        <f>IF(24&lt;='I_Inputs &amp; Assumptions'!$B$8,IF('I_Budget Input Data'!$E$111="Upfront",IF(24=1,'I_Budget Input Data'!$D$111,0),IF('I_Budget Input Data'!$E$111="Equal",'I_Budget Input Data'!$D$111/'I_Inputs &amp; Assumptions'!$B$8,IF('I_Budget Input Data'!$E$111="Front-loaded",IF(24&lt;='I_Inputs &amp; Assumptions'!$B$8/2,'I_Budget Input Data'!$D$111*0.6/('I_Inputs &amp; Assumptions'!$B$8/2),'I_Budget Input Data'!$D$111*0.4/('I_Inputs &amp; Assumptions'!$B$8/2)),IF('I_Budget Input Data'!$E$111="Back-loaded",IF(24&lt;='I_Inputs &amp; Assumptions'!$B$8/2,'I_Budget Input Data'!$D$111*0.4/('I_Inputs &amp; Assumptions'!$B$8/2),'I_Budget Input Data'!$D$111*0.6/('I_Inputs &amp; Assumptions'!$B$8/2)),IF('I_Budget Input Data'!$E$111="Mid-weighted",IF(24&lt;='I_Inputs &amp; Assumptions'!$B$8/4,'I_Budget Input Data'!$D$111*0.2/('I_Inputs &amp; Assumptions'!$B$8/4),IF(24&lt;='I_Inputs &amp; Assumptions'!$B$8*0.75,'I_Budget Input Data'!$D$111*0.6/('I_Inputs &amp; Assumptions'!$B$8/2),'I_Budget Input Data'!$D$111*0.2/('I_Inputs &amp; Assumptions'!$B$8/4))),IF('I_Budget Input Data'!$E$111="At Completion",IF(24='I_Inputs &amp; Assumptions'!$B$8,'I_Budget Input Data'!$D$111,0),'I_Budget Input Data'!$D$111/'I_Inputs &amp; Assumptions'!$B$8)))))),0)</f>
        <v>0</v>
      </c>
      <c r="AA111" s="91">
        <f>IF(25&lt;='I_Inputs &amp; Assumptions'!$B$8,IF('I_Budget Input Data'!$E$111="Upfront",IF(25=1,'I_Budget Input Data'!$D$111,0),IF('I_Budget Input Data'!$E$111="Equal",'I_Budget Input Data'!$D$111/'I_Inputs &amp; Assumptions'!$B$8,IF('I_Budget Input Data'!$E$111="Front-loaded",IF(25&lt;='I_Inputs &amp; Assumptions'!$B$8/2,'I_Budget Input Data'!$D$111*0.6/('I_Inputs &amp; Assumptions'!$B$8/2),'I_Budget Input Data'!$D$111*0.4/('I_Inputs &amp; Assumptions'!$B$8/2)),IF('I_Budget Input Data'!$E$111="Back-loaded",IF(25&lt;='I_Inputs &amp; Assumptions'!$B$8/2,'I_Budget Input Data'!$D$111*0.4/('I_Inputs &amp; Assumptions'!$B$8/2),'I_Budget Input Data'!$D$111*0.6/('I_Inputs &amp; Assumptions'!$B$8/2)),IF('I_Budget Input Data'!$E$111="Mid-weighted",IF(25&lt;='I_Inputs &amp; Assumptions'!$B$8/4,'I_Budget Input Data'!$D$111*0.2/('I_Inputs &amp; Assumptions'!$B$8/4),IF(25&lt;='I_Inputs &amp; Assumptions'!$B$8*0.75,'I_Budget Input Data'!$D$111*0.6/('I_Inputs &amp; Assumptions'!$B$8/2),'I_Budget Input Data'!$D$111*0.2/('I_Inputs &amp; Assumptions'!$B$8/4))),IF('I_Budget Input Data'!$E$111="At Completion",IF(25='I_Inputs &amp; Assumptions'!$B$8,'I_Budget Input Data'!$D$111,0),'I_Budget Input Data'!$D$111/'I_Inputs &amp; Assumptions'!$B$8)))))),0)</f>
        <v>0</v>
      </c>
      <c r="AB111" s="91">
        <f>IF(26&lt;='I_Inputs &amp; Assumptions'!$B$8,IF('I_Budget Input Data'!$E$111="Upfront",IF(26=1,'I_Budget Input Data'!$D$111,0),IF('I_Budget Input Data'!$E$111="Equal",'I_Budget Input Data'!$D$111/'I_Inputs &amp; Assumptions'!$B$8,IF('I_Budget Input Data'!$E$111="Front-loaded",IF(26&lt;='I_Inputs &amp; Assumptions'!$B$8/2,'I_Budget Input Data'!$D$111*0.6/('I_Inputs &amp; Assumptions'!$B$8/2),'I_Budget Input Data'!$D$111*0.4/('I_Inputs &amp; Assumptions'!$B$8/2)),IF('I_Budget Input Data'!$E$111="Back-loaded",IF(26&lt;='I_Inputs &amp; Assumptions'!$B$8/2,'I_Budget Input Data'!$D$111*0.4/('I_Inputs &amp; Assumptions'!$B$8/2),'I_Budget Input Data'!$D$111*0.6/('I_Inputs &amp; Assumptions'!$B$8/2)),IF('I_Budget Input Data'!$E$111="Mid-weighted",IF(26&lt;='I_Inputs &amp; Assumptions'!$B$8/4,'I_Budget Input Data'!$D$111*0.2/('I_Inputs &amp; Assumptions'!$B$8/4),IF(26&lt;='I_Inputs &amp; Assumptions'!$B$8*0.75,'I_Budget Input Data'!$D$111*0.6/('I_Inputs &amp; Assumptions'!$B$8/2),'I_Budget Input Data'!$D$111*0.2/('I_Inputs &amp; Assumptions'!$B$8/4))),IF('I_Budget Input Data'!$E$111="At Completion",IF(26='I_Inputs &amp; Assumptions'!$B$8,'I_Budget Input Data'!$D$111,0),'I_Budget Input Data'!$D$111/'I_Inputs &amp; Assumptions'!$B$8)))))),0)</f>
        <v>0</v>
      </c>
      <c r="AC111" s="91">
        <f>IF(27&lt;='I_Inputs &amp; Assumptions'!$B$8,IF('I_Budget Input Data'!$E$111="Upfront",IF(27=1,'I_Budget Input Data'!$D$111,0),IF('I_Budget Input Data'!$E$111="Equal",'I_Budget Input Data'!$D$111/'I_Inputs &amp; Assumptions'!$B$8,IF('I_Budget Input Data'!$E$111="Front-loaded",IF(27&lt;='I_Inputs &amp; Assumptions'!$B$8/2,'I_Budget Input Data'!$D$111*0.6/('I_Inputs &amp; Assumptions'!$B$8/2),'I_Budget Input Data'!$D$111*0.4/('I_Inputs &amp; Assumptions'!$B$8/2)),IF('I_Budget Input Data'!$E$111="Back-loaded",IF(27&lt;='I_Inputs &amp; Assumptions'!$B$8/2,'I_Budget Input Data'!$D$111*0.4/('I_Inputs &amp; Assumptions'!$B$8/2),'I_Budget Input Data'!$D$111*0.6/('I_Inputs &amp; Assumptions'!$B$8/2)),IF('I_Budget Input Data'!$E$111="Mid-weighted",IF(27&lt;='I_Inputs &amp; Assumptions'!$B$8/4,'I_Budget Input Data'!$D$111*0.2/('I_Inputs &amp; Assumptions'!$B$8/4),IF(27&lt;='I_Inputs &amp; Assumptions'!$B$8*0.75,'I_Budget Input Data'!$D$111*0.6/('I_Inputs &amp; Assumptions'!$B$8/2),'I_Budget Input Data'!$D$111*0.2/('I_Inputs &amp; Assumptions'!$B$8/4))),IF('I_Budget Input Data'!$E$111="At Completion",IF(27='I_Inputs &amp; Assumptions'!$B$8,'I_Budget Input Data'!$D$111,0),'I_Budget Input Data'!$D$111/'I_Inputs &amp; Assumptions'!$B$8)))))),0)</f>
        <v>0</v>
      </c>
      <c r="AD111" s="91">
        <f>IF(28&lt;='I_Inputs &amp; Assumptions'!$B$8,IF('I_Budget Input Data'!$E$111="Upfront",IF(28=1,'I_Budget Input Data'!$D$111,0),IF('I_Budget Input Data'!$E$111="Equal",'I_Budget Input Data'!$D$111/'I_Inputs &amp; Assumptions'!$B$8,IF('I_Budget Input Data'!$E$111="Front-loaded",IF(28&lt;='I_Inputs &amp; Assumptions'!$B$8/2,'I_Budget Input Data'!$D$111*0.6/('I_Inputs &amp; Assumptions'!$B$8/2),'I_Budget Input Data'!$D$111*0.4/('I_Inputs &amp; Assumptions'!$B$8/2)),IF('I_Budget Input Data'!$E$111="Back-loaded",IF(28&lt;='I_Inputs &amp; Assumptions'!$B$8/2,'I_Budget Input Data'!$D$111*0.4/('I_Inputs &amp; Assumptions'!$B$8/2),'I_Budget Input Data'!$D$111*0.6/('I_Inputs &amp; Assumptions'!$B$8/2)),IF('I_Budget Input Data'!$E$111="Mid-weighted",IF(28&lt;='I_Inputs &amp; Assumptions'!$B$8/4,'I_Budget Input Data'!$D$111*0.2/('I_Inputs &amp; Assumptions'!$B$8/4),IF(28&lt;='I_Inputs &amp; Assumptions'!$B$8*0.75,'I_Budget Input Data'!$D$111*0.6/('I_Inputs &amp; Assumptions'!$B$8/2),'I_Budget Input Data'!$D$111*0.2/('I_Inputs &amp; Assumptions'!$B$8/4))),IF('I_Budget Input Data'!$E$111="At Completion",IF(28='I_Inputs &amp; Assumptions'!$B$8,'I_Budget Input Data'!$D$111,0),'I_Budget Input Data'!$D$111/'I_Inputs &amp; Assumptions'!$B$8)))))),0)</f>
        <v>0</v>
      </c>
      <c r="AE111" s="91">
        <f>IF(29&lt;='I_Inputs &amp; Assumptions'!$B$8,IF('I_Budget Input Data'!$E$111="Upfront",IF(29=1,'I_Budget Input Data'!$D$111,0),IF('I_Budget Input Data'!$E$111="Equal",'I_Budget Input Data'!$D$111/'I_Inputs &amp; Assumptions'!$B$8,IF('I_Budget Input Data'!$E$111="Front-loaded",IF(29&lt;='I_Inputs &amp; Assumptions'!$B$8/2,'I_Budget Input Data'!$D$111*0.6/('I_Inputs &amp; Assumptions'!$B$8/2),'I_Budget Input Data'!$D$111*0.4/('I_Inputs &amp; Assumptions'!$B$8/2)),IF('I_Budget Input Data'!$E$111="Back-loaded",IF(29&lt;='I_Inputs &amp; Assumptions'!$B$8/2,'I_Budget Input Data'!$D$111*0.4/('I_Inputs &amp; Assumptions'!$B$8/2),'I_Budget Input Data'!$D$111*0.6/('I_Inputs &amp; Assumptions'!$B$8/2)),IF('I_Budget Input Data'!$E$111="Mid-weighted",IF(29&lt;='I_Inputs &amp; Assumptions'!$B$8/4,'I_Budget Input Data'!$D$111*0.2/('I_Inputs &amp; Assumptions'!$B$8/4),IF(29&lt;='I_Inputs &amp; Assumptions'!$B$8*0.75,'I_Budget Input Data'!$D$111*0.6/('I_Inputs &amp; Assumptions'!$B$8/2),'I_Budget Input Data'!$D$111*0.2/('I_Inputs &amp; Assumptions'!$B$8/4))),IF('I_Budget Input Data'!$E$111="At Completion",IF(29='I_Inputs &amp; Assumptions'!$B$8,'I_Budget Input Data'!$D$111,0),'I_Budget Input Data'!$D$111/'I_Inputs &amp; Assumptions'!$B$8)))))),0)</f>
        <v>0</v>
      </c>
      <c r="AF111" s="91">
        <f>IF(30&lt;='I_Inputs &amp; Assumptions'!$B$8,IF('I_Budget Input Data'!$E$111="Upfront",IF(30=1,'I_Budget Input Data'!$D$111,0),IF('I_Budget Input Data'!$E$111="Equal",'I_Budget Input Data'!$D$111/'I_Inputs &amp; Assumptions'!$B$8,IF('I_Budget Input Data'!$E$111="Front-loaded",IF(30&lt;='I_Inputs &amp; Assumptions'!$B$8/2,'I_Budget Input Data'!$D$111*0.6/('I_Inputs &amp; Assumptions'!$B$8/2),'I_Budget Input Data'!$D$111*0.4/('I_Inputs &amp; Assumptions'!$B$8/2)),IF('I_Budget Input Data'!$E$111="Back-loaded",IF(30&lt;='I_Inputs &amp; Assumptions'!$B$8/2,'I_Budget Input Data'!$D$111*0.4/('I_Inputs &amp; Assumptions'!$B$8/2),'I_Budget Input Data'!$D$111*0.6/('I_Inputs &amp; Assumptions'!$B$8/2)),IF('I_Budget Input Data'!$E$111="Mid-weighted",IF(30&lt;='I_Inputs &amp; Assumptions'!$B$8/4,'I_Budget Input Data'!$D$111*0.2/('I_Inputs &amp; Assumptions'!$B$8/4),IF(30&lt;='I_Inputs &amp; Assumptions'!$B$8*0.75,'I_Budget Input Data'!$D$111*0.6/('I_Inputs &amp; Assumptions'!$B$8/2),'I_Budget Input Data'!$D$111*0.2/('I_Inputs &amp; Assumptions'!$B$8/4))),IF('I_Budget Input Data'!$E$111="At Completion",IF(30='I_Inputs &amp; Assumptions'!$B$8,'I_Budget Input Data'!$D$111,0),'I_Budget Input Data'!$D$111/'I_Inputs &amp; Assumptions'!$B$8)))))),0)</f>
        <v>0</v>
      </c>
      <c r="AG111" s="91">
        <f>IF(31&lt;='I_Inputs &amp; Assumptions'!$B$8,IF('I_Budget Input Data'!$E$111="Upfront",IF(31=1,'I_Budget Input Data'!$D$111,0),IF('I_Budget Input Data'!$E$111="Equal",'I_Budget Input Data'!$D$111/'I_Inputs &amp; Assumptions'!$B$8,IF('I_Budget Input Data'!$E$111="Front-loaded",IF(31&lt;='I_Inputs &amp; Assumptions'!$B$8/2,'I_Budget Input Data'!$D$111*0.6/('I_Inputs &amp; Assumptions'!$B$8/2),'I_Budget Input Data'!$D$111*0.4/('I_Inputs &amp; Assumptions'!$B$8/2)),IF('I_Budget Input Data'!$E$111="Back-loaded",IF(31&lt;='I_Inputs &amp; Assumptions'!$B$8/2,'I_Budget Input Data'!$D$111*0.4/('I_Inputs &amp; Assumptions'!$B$8/2),'I_Budget Input Data'!$D$111*0.6/('I_Inputs &amp; Assumptions'!$B$8/2)),IF('I_Budget Input Data'!$E$111="Mid-weighted",IF(31&lt;='I_Inputs &amp; Assumptions'!$B$8/4,'I_Budget Input Data'!$D$111*0.2/('I_Inputs &amp; Assumptions'!$B$8/4),IF(31&lt;='I_Inputs &amp; Assumptions'!$B$8*0.75,'I_Budget Input Data'!$D$111*0.6/('I_Inputs &amp; Assumptions'!$B$8/2),'I_Budget Input Data'!$D$111*0.2/('I_Inputs &amp; Assumptions'!$B$8/4))),IF('I_Budget Input Data'!$E$111="At Completion",IF(31='I_Inputs &amp; Assumptions'!$B$8,'I_Budget Input Data'!$D$111,0),'I_Budget Input Data'!$D$111/'I_Inputs &amp; Assumptions'!$B$8)))))),0)</f>
        <v>0</v>
      </c>
      <c r="AH111" s="91">
        <f>IF(32&lt;='I_Inputs &amp; Assumptions'!$B$8,IF('I_Budget Input Data'!$E$111="Upfront",IF(32=1,'I_Budget Input Data'!$D$111,0),IF('I_Budget Input Data'!$E$111="Equal",'I_Budget Input Data'!$D$111/'I_Inputs &amp; Assumptions'!$B$8,IF('I_Budget Input Data'!$E$111="Front-loaded",IF(32&lt;='I_Inputs &amp; Assumptions'!$B$8/2,'I_Budget Input Data'!$D$111*0.6/('I_Inputs &amp; Assumptions'!$B$8/2),'I_Budget Input Data'!$D$111*0.4/('I_Inputs &amp; Assumptions'!$B$8/2)),IF('I_Budget Input Data'!$E$111="Back-loaded",IF(32&lt;='I_Inputs &amp; Assumptions'!$B$8/2,'I_Budget Input Data'!$D$111*0.4/('I_Inputs &amp; Assumptions'!$B$8/2),'I_Budget Input Data'!$D$111*0.6/('I_Inputs &amp; Assumptions'!$B$8/2)),IF('I_Budget Input Data'!$E$111="Mid-weighted",IF(32&lt;='I_Inputs &amp; Assumptions'!$B$8/4,'I_Budget Input Data'!$D$111*0.2/('I_Inputs &amp; Assumptions'!$B$8/4),IF(32&lt;='I_Inputs &amp; Assumptions'!$B$8*0.75,'I_Budget Input Data'!$D$111*0.6/('I_Inputs &amp; Assumptions'!$B$8/2),'I_Budget Input Data'!$D$111*0.2/('I_Inputs &amp; Assumptions'!$B$8/4))),IF('I_Budget Input Data'!$E$111="At Completion",IF(32='I_Inputs &amp; Assumptions'!$B$8,'I_Budget Input Data'!$D$111,0),'I_Budget Input Data'!$D$111/'I_Inputs &amp; Assumptions'!$B$8)))))),0)</f>
        <v>0</v>
      </c>
      <c r="AI111" s="91">
        <f>IF(33&lt;='I_Inputs &amp; Assumptions'!$B$8,IF('I_Budget Input Data'!$E$111="Upfront",IF(33=1,'I_Budget Input Data'!$D$111,0),IF('I_Budget Input Data'!$E$111="Equal",'I_Budget Input Data'!$D$111/'I_Inputs &amp; Assumptions'!$B$8,IF('I_Budget Input Data'!$E$111="Front-loaded",IF(33&lt;='I_Inputs &amp; Assumptions'!$B$8/2,'I_Budget Input Data'!$D$111*0.6/('I_Inputs &amp; Assumptions'!$B$8/2),'I_Budget Input Data'!$D$111*0.4/('I_Inputs &amp; Assumptions'!$B$8/2)),IF('I_Budget Input Data'!$E$111="Back-loaded",IF(33&lt;='I_Inputs &amp; Assumptions'!$B$8/2,'I_Budget Input Data'!$D$111*0.4/('I_Inputs &amp; Assumptions'!$B$8/2),'I_Budget Input Data'!$D$111*0.6/('I_Inputs &amp; Assumptions'!$B$8/2)),IF('I_Budget Input Data'!$E$111="Mid-weighted",IF(33&lt;='I_Inputs &amp; Assumptions'!$B$8/4,'I_Budget Input Data'!$D$111*0.2/('I_Inputs &amp; Assumptions'!$B$8/4),IF(33&lt;='I_Inputs &amp; Assumptions'!$B$8*0.75,'I_Budget Input Data'!$D$111*0.6/('I_Inputs &amp; Assumptions'!$B$8/2),'I_Budget Input Data'!$D$111*0.2/('I_Inputs &amp; Assumptions'!$B$8/4))),IF('I_Budget Input Data'!$E$111="At Completion",IF(33='I_Inputs &amp; Assumptions'!$B$8,'I_Budget Input Data'!$D$111,0),'I_Budget Input Data'!$D$111/'I_Inputs &amp; Assumptions'!$B$8)))))),0)</f>
        <v>0</v>
      </c>
      <c r="AJ111" s="91">
        <f>IF(34&lt;='I_Inputs &amp; Assumptions'!$B$8,IF('I_Budget Input Data'!$E$111="Upfront",IF(34=1,'I_Budget Input Data'!$D$111,0),IF('I_Budget Input Data'!$E$111="Equal",'I_Budget Input Data'!$D$111/'I_Inputs &amp; Assumptions'!$B$8,IF('I_Budget Input Data'!$E$111="Front-loaded",IF(34&lt;='I_Inputs &amp; Assumptions'!$B$8/2,'I_Budget Input Data'!$D$111*0.6/('I_Inputs &amp; Assumptions'!$B$8/2),'I_Budget Input Data'!$D$111*0.4/('I_Inputs &amp; Assumptions'!$B$8/2)),IF('I_Budget Input Data'!$E$111="Back-loaded",IF(34&lt;='I_Inputs &amp; Assumptions'!$B$8/2,'I_Budget Input Data'!$D$111*0.4/('I_Inputs &amp; Assumptions'!$B$8/2),'I_Budget Input Data'!$D$111*0.6/('I_Inputs &amp; Assumptions'!$B$8/2)),IF('I_Budget Input Data'!$E$111="Mid-weighted",IF(34&lt;='I_Inputs &amp; Assumptions'!$B$8/4,'I_Budget Input Data'!$D$111*0.2/('I_Inputs &amp; Assumptions'!$B$8/4),IF(34&lt;='I_Inputs &amp; Assumptions'!$B$8*0.75,'I_Budget Input Data'!$D$111*0.6/('I_Inputs &amp; Assumptions'!$B$8/2),'I_Budget Input Data'!$D$111*0.2/('I_Inputs &amp; Assumptions'!$B$8/4))),IF('I_Budget Input Data'!$E$111="At Completion",IF(34='I_Inputs &amp; Assumptions'!$B$8,'I_Budget Input Data'!$D$111,0),'I_Budget Input Data'!$D$111/'I_Inputs &amp; Assumptions'!$B$8)))))),0)</f>
        <v>0</v>
      </c>
      <c r="AK111" s="91">
        <f>IF(35&lt;='I_Inputs &amp; Assumptions'!$B$8,IF('I_Budget Input Data'!$E$111="Upfront",IF(35=1,'I_Budget Input Data'!$D$111,0),IF('I_Budget Input Data'!$E$111="Equal",'I_Budget Input Data'!$D$111/'I_Inputs &amp; Assumptions'!$B$8,IF('I_Budget Input Data'!$E$111="Front-loaded",IF(35&lt;='I_Inputs &amp; Assumptions'!$B$8/2,'I_Budget Input Data'!$D$111*0.6/('I_Inputs &amp; Assumptions'!$B$8/2),'I_Budget Input Data'!$D$111*0.4/('I_Inputs &amp; Assumptions'!$B$8/2)),IF('I_Budget Input Data'!$E$111="Back-loaded",IF(35&lt;='I_Inputs &amp; Assumptions'!$B$8/2,'I_Budget Input Data'!$D$111*0.4/('I_Inputs &amp; Assumptions'!$B$8/2),'I_Budget Input Data'!$D$111*0.6/('I_Inputs &amp; Assumptions'!$B$8/2)),IF('I_Budget Input Data'!$E$111="Mid-weighted",IF(35&lt;='I_Inputs &amp; Assumptions'!$B$8/4,'I_Budget Input Data'!$D$111*0.2/('I_Inputs &amp; Assumptions'!$B$8/4),IF(35&lt;='I_Inputs &amp; Assumptions'!$B$8*0.75,'I_Budget Input Data'!$D$111*0.6/('I_Inputs &amp; Assumptions'!$B$8/2),'I_Budget Input Data'!$D$111*0.2/('I_Inputs &amp; Assumptions'!$B$8/4))),IF('I_Budget Input Data'!$E$111="At Completion",IF(35='I_Inputs &amp; Assumptions'!$B$8,'I_Budget Input Data'!$D$111,0),'I_Budget Input Data'!$D$111/'I_Inputs &amp; Assumptions'!$B$8)))))),0)</f>
        <v>0</v>
      </c>
      <c r="AL111" s="91">
        <f>IF(36&lt;='I_Inputs &amp; Assumptions'!$B$8,IF('I_Budget Input Data'!$E$111="Upfront",IF(36=1,'I_Budget Input Data'!$D$111,0),IF('I_Budget Input Data'!$E$111="Equal",'I_Budget Input Data'!$D$111/'I_Inputs &amp; Assumptions'!$B$8,IF('I_Budget Input Data'!$E$111="Front-loaded",IF(36&lt;='I_Inputs &amp; Assumptions'!$B$8/2,'I_Budget Input Data'!$D$111*0.6/('I_Inputs &amp; Assumptions'!$B$8/2),'I_Budget Input Data'!$D$111*0.4/('I_Inputs &amp; Assumptions'!$B$8/2)),IF('I_Budget Input Data'!$E$111="Back-loaded",IF(36&lt;='I_Inputs &amp; Assumptions'!$B$8/2,'I_Budget Input Data'!$D$111*0.4/('I_Inputs &amp; Assumptions'!$B$8/2),'I_Budget Input Data'!$D$111*0.6/('I_Inputs &amp; Assumptions'!$B$8/2)),IF('I_Budget Input Data'!$E$111="Mid-weighted",IF(36&lt;='I_Inputs &amp; Assumptions'!$B$8/4,'I_Budget Input Data'!$D$111*0.2/('I_Inputs &amp; Assumptions'!$B$8/4),IF(36&lt;='I_Inputs &amp; Assumptions'!$B$8*0.75,'I_Budget Input Data'!$D$111*0.6/('I_Inputs &amp; Assumptions'!$B$8/2),'I_Budget Input Data'!$D$111*0.2/('I_Inputs &amp; Assumptions'!$B$8/4))),IF('I_Budget Input Data'!$E$111="At Completion",IF(36='I_Inputs &amp; Assumptions'!$B$8,'I_Budget Input Data'!$D$111,0),'I_Budget Input Data'!$D$111/'I_Inputs &amp; Assumptions'!$B$8)))))),0)</f>
        <v>0</v>
      </c>
    </row>
    <row r="112" spans="1:38" ht="15" customHeight="1" x14ac:dyDescent="0.2">
      <c r="A112" t="s">
        <v>146</v>
      </c>
      <c r="B112" t="s">
        <v>228</v>
      </c>
      <c r="C112" s="91">
        <v>0</v>
      </c>
      <c r="D112" s="91">
        <v>0</v>
      </c>
      <c r="E112" s="91">
        <v>0</v>
      </c>
      <c r="F112" s="91">
        <v>0</v>
      </c>
      <c r="G112" s="91">
        <v>0</v>
      </c>
      <c r="H112" s="91">
        <v>0</v>
      </c>
      <c r="I112" s="91">
        <v>0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91">
        <v>0</v>
      </c>
      <c r="Z112" s="91">
        <v>0</v>
      </c>
      <c r="AA112" s="91">
        <v>0</v>
      </c>
      <c r="AB112" s="91">
        <v>0</v>
      </c>
      <c r="AC112" s="91">
        <v>0</v>
      </c>
      <c r="AD112" s="91">
        <v>0</v>
      </c>
      <c r="AE112" s="91">
        <v>0</v>
      </c>
      <c r="AF112" s="91">
        <v>0</v>
      </c>
      <c r="AG112" s="91">
        <v>0</v>
      </c>
      <c r="AH112" s="91">
        <v>0</v>
      </c>
      <c r="AI112" s="91">
        <v>0</v>
      </c>
      <c r="AJ112" s="91">
        <v>0</v>
      </c>
      <c r="AK112" s="91">
        <v>0</v>
      </c>
      <c r="AL112" s="91">
        <v>0</v>
      </c>
    </row>
    <row r="113" spans="1:38" ht="15" customHeight="1" x14ac:dyDescent="0.2">
      <c r="A113" t="s">
        <v>146</v>
      </c>
      <c r="B113" t="s">
        <v>229</v>
      </c>
      <c r="C113" s="91">
        <f>IF(1&lt;='I_Inputs &amp; Assumptions'!$B$8,IF('I_Budget Input Data'!$E$113="Upfront",IF(1=1,'I_Budget Input Data'!$D$113,0),IF('I_Budget Input Data'!$E$113="Equal",'I_Budget Input Data'!$D$113/'I_Inputs &amp; Assumptions'!$B$8,IF('I_Budget Input Data'!$E$113="Front-loaded",IF(1&lt;='I_Inputs &amp; Assumptions'!$B$8/2,'I_Budget Input Data'!$D$113*0.6/('I_Inputs &amp; Assumptions'!$B$8/2),'I_Budget Input Data'!$D$113*0.4/('I_Inputs &amp; Assumptions'!$B$8/2)),IF('I_Budget Input Data'!$E$113="Back-loaded",IF(1&lt;='I_Inputs &amp; Assumptions'!$B$8/2,'I_Budget Input Data'!$D$113*0.4/('I_Inputs &amp; Assumptions'!$B$8/2),'I_Budget Input Data'!$D$113*0.6/('I_Inputs &amp; Assumptions'!$B$8/2)),IF('I_Budget Input Data'!$E$113="Mid-weighted",IF(1&lt;='I_Inputs &amp; Assumptions'!$B$8/4,'I_Budget Input Data'!$D$113*0.2/('I_Inputs &amp; Assumptions'!$B$8/4),IF(1&lt;='I_Inputs &amp; Assumptions'!$B$8*0.75,'I_Budget Input Data'!$D$113*0.6/('I_Inputs &amp; Assumptions'!$B$8/2),'I_Budget Input Data'!$D$113*0.2/('I_Inputs &amp; Assumptions'!$B$8/4))),IF('I_Budget Input Data'!$E$113="At Completion",IF(1='I_Inputs &amp; Assumptions'!$B$8,'I_Budget Input Data'!$D$113,0),'I_Budget Input Data'!$D$113/'I_Inputs &amp; Assumptions'!$B$8)))))),0)</f>
        <v>12852.861538461539</v>
      </c>
      <c r="D113" s="91">
        <f>IF(2&lt;='I_Inputs &amp; Assumptions'!$B$8,IF('I_Budget Input Data'!$E$113="Upfront",IF(2=1,'I_Budget Input Data'!$D$113,0),IF('I_Budget Input Data'!$E$113="Equal",'I_Budget Input Data'!$D$113/'I_Inputs &amp; Assumptions'!$B$8,IF('I_Budget Input Data'!$E$113="Front-loaded",IF(2&lt;='I_Inputs &amp; Assumptions'!$B$8/2,'I_Budget Input Data'!$D$113*0.6/('I_Inputs &amp; Assumptions'!$B$8/2),'I_Budget Input Data'!$D$113*0.4/('I_Inputs &amp; Assumptions'!$B$8/2)),IF('I_Budget Input Data'!$E$113="Back-loaded",IF(2&lt;='I_Inputs &amp; Assumptions'!$B$8/2,'I_Budget Input Data'!$D$113*0.4/('I_Inputs &amp; Assumptions'!$B$8/2),'I_Budget Input Data'!$D$113*0.6/('I_Inputs &amp; Assumptions'!$B$8/2)),IF('I_Budget Input Data'!$E$113="Mid-weighted",IF(2&lt;='I_Inputs &amp; Assumptions'!$B$8/4,'I_Budget Input Data'!$D$113*0.2/('I_Inputs &amp; Assumptions'!$B$8/4),IF(2&lt;='I_Inputs &amp; Assumptions'!$B$8*0.75,'I_Budget Input Data'!$D$113*0.6/('I_Inputs &amp; Assumptions'!$B$8/2),'I_Budget Input Data'!$D$113*0.2/('I_Inputs &amp; Assumptions'!$B$8/4))),IF('I_Budget Input Data'!$E$113="At Completion",IF(2='I_Inputs &amp; Assumptions'!$B$8,'I_Budget Input Data'!$D$113,0),'I_Budget Input Data'!$D$113/'I_Inputs &amp; Assumptions'!$B$8)))))),0)</f>
        <v>12852.861538461539</v>
      </c>
      <c r="E113" s="91">
        <f>IF(3&lt;='I_Inputs &amp; Assumptions'!$B$8,IF('I_Budget Input Data'!$E$113="Upfront",IF(3=1,'I_Budget Input Data'!$D$113,0),IF('I_Budget Input Data'!$E$113="Equal",'I_Budget Input Data'!$D$113/'I_Inputs &amp; Assumptions'!$B$8,IF('I_Budget Input Data'!$E$113="Front-loaded",IF(3&lt;='I_Inputs &amp; Assumptions'!$B$8/2,'I_Budget Input Data'!$D$113*0.6/('I_Inputs &amp; Assumptions'!$B$8/2),'I_Budget Input Data'!$D$113*0.4/('I_Inputs &amp; Assumptions'!$B$8/2)),IF('I_Budget Input Data'!$E$113="Back-loaded",IF(3&lt;='I_Inputs &amp; Assumptions'!$B$8/2,'I_Budget Input Data'!$D$113*0.4/('I_Inputs &amp; Assumptions'!$B$8/2),'I_Budget Input Data'!$D$113*0.6/('I_Inputs &amp; Assumptions'!$B$8/2)),IF('I_Budget Input Data'!$E$113="Mid-weighted",IF(3&lt;='I_Inputs &amp; Assumptions'!$B$8/4,'I_Budget Input Data'!$D$113*0.2/('I_Inputs &amp; Assumptions'!$B$8/4),IF(3&lt;='I_Inputs &amp; Assumptions'!$B$8*0.75,'I_Budget Input Data'!$D$113*0.6/('I_Inputs &amp; Assumptions'!$B$8/2),'I_Budget Input Data'!$D$113*0.2/('I_Inputs &amp; Assumptions'!$B$8/4))),IF('I_Budget Input Data'!$E$113="At Completion",IF(3='I_Inputs &amp; Assumptions'!$B$8,'I_Budget Input Data'!$D$113,0),'I_Budget Input Data'!$D$113/'I_Inputs &amp; Assumptions'!$B$8)))))),0)</f>
        <v>12852.861538461539</v>
      </c>
      <c r="F113" s="91">
        <f>IF(4&lt;='I_Inputs &amp; Assumptions'!$B$8,IF('I_Budget Input Data'!$E$113="Upfront",IF(4=1,'I_Budget Input Data'!$D$113,0),IF('I_Budget Input Data'!$E$113="Equal",'I_Budget Input Data'!$D$113/'I_Inputs &amp; Assumptions'!$B$8,IF('I_Budget Input Data'!$E$113="Front-loaded",IF(4&lt;='I_Inputs &amp; Assumptions'!$B$8/2,'I_Budget Input Data'!$D$113*0.6/('I_Inputs &amp; Assumptions'!$B$8/2),'I_Budget Input Data'!$D$113*0.4/('I_Inputs &amp; Assumptions'!$B$8/2)),IF('I_Budget Input Data'!$E$113="Back-loaded",IF(4&lt;='I_Inputs &amp; Assumptions'!$B$8/2,'I_Budget Input Data'!$D$113*0.4/('I_Inputs &amp; Assumptions'!$B$8/2),'I_Budget Input Data'!$D$113*0.6/('I_Inputs &amp; Assumptions'!$B$8/2)),IF('I_Budget Input Data'!$E$113="Mid-weighted",IF(4&lt;='I_Inputs &amp; Assumptions'!$B$8/4,'I_Budget Input Data'!$D$113*0.2/('I_Inputs &amp; Assumptions'!$B$8/4),IF(4&lt;='I_Inputs &amp; Assumptions'!$B$8*0.75,'I_Budget Input Data'!$D$113*0.6/('I_Inputs &amp; Assumptions'!$B$8/2),'I_Budget Input Data'!$D$113*0.2/('I_Inputs &amp; Assumptions'!$B$8/4))),IF('I_Budget Input Data'!$E$113="At Completion",IF(4='I_Inputs &amp; Assumptions'!$B$8,'I_Budget Input Data'!$D$113,0),'I_Budget Input Data'!$D$113/'I_Inputs &amp; Assumptions'!$B$8)))))),0)</f>
        <v>12852.861538461539</v>
      </c>
      <c r="G113" s="91">
        <f>IF(5&lt;='I_Inputs &amp; Assumptions'!$B$8,IF('I_Budget Input Data'!$E$113="Upfront",IF(5=1,'I_Budget Input Data'!$D$113,0),IF('I_Budget Input Data'!$E$113="Equal",'I_Budget Input Data'!$D$113/'I_Inputs &amp; Assumptions'!$B$8,IF('I_Budget Input Data'!$E$113="Front-loaded",IF(5&lt;='I_Inputs &amp; Assumptions'!$B$8/2,'I_Budget Input Data'!$D$113*0.6/('I_Inputs &amp; Assumptions'!$B$8/2),'I_Budget Input Data'!$D$113*0.4/('I_Inputs &amp; Assumptions'!$B$8/2)),IF('I_Budget Input Data'!$E$113="Back-loaded",IF(5&lt;='I_Inputs &amp; Assumptions'!$B$8/2,'I_Budget Input Data'!$D$113*0.4/('I_Inputs &amp; Assumptions'!$B$8/2),'I_Budget Input Data'!$D$113*0.6/('I_Inputs &amp; Assumptions'!$B$8/2)),IF('I_Budget Input Data'!$E$113="Mid-weighted",IF(5&lt;='I_Inputs &amp; Assumptions'!$B$8/4,'I_Budget Input Data'!$D$113*0.2/('I_Inputs &amp; Assumptions'!$B$8/4),IF(5&lt;='I_Inputs &amp; Assumptions'!$B$8*0.75,'I_Budget Input Data'!$D$113*0.6/('I_Inputs &amp; Assumptions'!$B$8/2),'I_Budget Input Data'!$D$113*0.2/('I_Inputs &amp; Assumptions'!$B$8/4))),IF('I_Budget Input Data'!$E$113="At Completion",IF(5='I_Inputs &amp; Assumptions'!$B$8,'I_Budget Input Data'!$D$113,0),'I_Budget Input Data'!$D$113/'I_Inputs &amp; Assumptions'!$B$8)))))),0)</f>
        <v>12852.861538461539</v>
      </c>
      <c r="H113" s="91">
        <f>IF(6&lt;='I_Inputs &amp; Assumptions'!$B$8,IF('I_Budget Input Data'!$E$113="Upfront",IF(6=1,'I_Budget Input Data'!$D$113,0),IF('I_Budget Input Data'!$E$113="Equal",'I_Budget Input Data'!$D$113/'I_Inputs &amp; Assumptions'!$B$8,IF('I_Budget Input Data'!$E$113="Front-loaded",IF(6&lt;='I_Inputs &amp; Assumptions'!$B$8/2,'I_Budget Input Data'!$D$113*0.6/('I_Inputs &amp; Assumptions'!$B$8/2),'I_Budget Input Data'!$D$113*0.4/('I_Inputs &amp; Assumptions'!$B$8/2)),IF('I_Budget Input Data'!$E$113="Back-loaded",IF(6&lt;='I_Inputs &amp; Assumptions'!$B$8/2,'I_Budget Input Data'!$D$113*0.4/('I_Inputs &amp; Assumptions'!$B$8/2),'I_Budget Input Data'!$D$113*0.6/('I_Inputs &amp; Assumptions'!$B$8/2)),IF('I_Budget Input Data'!$E$113="Mid-weighted",IF(6&lt;='I_Inputs &amp; Assumptions'!$B$8/4,'I_Budget Input Data'!$D$113*0.2/('I_Inputs &amp; Assumptions'!$B$8/4),IF(6&lt;='I_Inputs &amp; Assumptions'!$B$8*0.75,'I_Budget Input Data'!$D$113*0.6/('I_Inputs &amp; Assumptions'!$B$8/2),'I_Budget Input Data'!$D$113*0.2/('I_Inputs &amp; Assumptions'!$B$8/4))),IF('I_Budget Input Data'!$E$113="At Completion",IF(6='I_Inputs &amp; Assumptions'!$B$8,'I_Budget Input Data'!$D$113,0),'I_Budget Input Data'!$D$113/'I_Inputs &amp; Assumptions'!$B$8)))))),0)</f>
        <v>12852.861538461539</v>
      </c>
      <c r="I113" s="91">
        <f>IF(7&lt;='I_Inputs &amp; Assumptions'!$B$8,IF('I_Budget Input Data'!$E$113="Upfront",IF(7=1,'I_Budget Input Data'!$D$113,0),IF('I_Budget Input Data'!$E$113="Equal",'I_Budget Input Data'!$D$113/'I_Inputs &amp; Assumptions'!$B$8,IF('I_Budget Input Data'!$E$113="Front-loaded",IF(7&lt;='I_Inputs &amp; Assumptions'!$B$8/2,'I_Budget Input Data'!$D$113*0.6/('I_Inputs &amp; Assumptions'!$B$8/2),'I_Budget Input Data'!$D$113*0.4/('I_Inputs &amp; Assumptions'!$B$8/2)),IF('I_Budget Input Data'!$E$113="Back-loaded",IF(7&lt;='I_Inputs &amp; Assumptions'!$B$8/2,'I_Budget Input Data'!$D$113*0.4/('I_Inputs &amp; Assumptions'!$B$8/2),'I_Budget Input Data'!$D$113*0.6/('I_Inputs &amp; Assumptions'!$B$8/2)),IF('I_Budget Input Data'!$E$113="Mid-weighted",IF(7&lt;='I_Inputs &amp; Assumptions'!$B$8/4,'I_Budget Input Data'!$D$113*0.2/('I_Inputs &amp; Assumptions'!$B$8/4),IF(7&lt;='I_Inputs &amp; Assumptions'!$B$8*0.75,'I_Budget Input Data'!$D$113*0.6/('I_Inputs &amp; Assumptions'!$B$8/2),'I_Budget Input Data'!$D$113*0.2/('I_Inputs &amp; Assumptions'!$B$8/4))),IF('I_Budget Input Data'!$E$113="At Completion",IF(7='I_Inputs &amp; Assumptions'!$B$8,'I_Budget Input Data'!$D$113,0),'I_Budget Input Data'!$D$113/'I_Inputs &amp; Assumptions'!$B$8)))))),0)</f>
        <v>19279.292307692307</v>
      </c>
      <c r="J113" s="91">
        <f>IF(8&lt;='I_Inputs &amp; Assumptions'!$B$8,IF('I_Budget Input Data'!$E$113="Upfront",IF(8=1,'I_Budget Input Data'!$D$113,0),IF('I_Budget Input Data'!$E$113="Equal",'I_Budget Input Data'!$D$113/'I_Inputs &amp; Assumptions'!$B$8,IF('I_Budget Input Data'!$E$113="Front-loaded",IF(8&lt;='I_Inputs &amp; Assumptions'!$B$8/2,'I_Budget Input Data'!$D$113*0.6/('I_Inputs &amp; Assumptions'!$B$8/2),'I_Budget Input Data'!$D$113*0.4/('I_Inputs &amp; Assumptions'!$B$8/2)),IF('I_Budget Input Data'!$E$113="Back-loaded",IF(8&lt;='I_Inputs &amp; Assumptions'!$B$8/2,'I_Budget Input Data'!$D$113*0.4/('I_Inputs &amp; Assumptions'!$B$8/2),'I_Budget Input Data'!$D$113*0.6/('I_Inputs &amp; Assumptions'!$B$8/2)),IF('I_Budget Input Data'!$E$113="Mid-weighted",IF(8&lt;='I_Inputs &amp; Assumptions'!$B$8/4,'I_Budget Input Data'!$D$113*0.2/('I_Inputs &amp; Assumptions'!$B$8/4),IF(8&lt;='I_Inputs &amp; Assumptions'!$B$8*0.75,'I_Budget Input Data'!$D$113*0.6/('I_Inputs &amp; Assumptions'!$B$8/2),'I_Budget Input Data'!$D$113*0.2/('I_Inputs &amp; Assumptions'!$B$8/4))),IF('I_Budget Input Data'!$E$113="At Completion",IF(8='I_Inputs &amp; Assumptions'!$B$8,'I_Budget Input Data'!$D$113,0),'I_Budget Input Data'!$D$113/'I_Inputs &amp; Assumptions'!$B$8)))))),0)</f>
        <v>19279.292307692307</v>
      </c>
      <c r="K113" s="91">
        <f>IF(9&lt;='I_Inputs &amp; Assumptions'!$B$8,IF('I_Budget Input Data'!$E$113="Upfront",IF(9=1,'I_Budget Input Data'!$D$113,0),IF('I_Budget Input Data'!$E$113="Equal",'I_Budget Input Data'!$D$113/'I_Inputs &amp; Assumptions'!$B$8,IF('I_Budget Input Data'!$E$113="Front-loaded",IF(9&lt;='I_Inputs &amp; Assumptions'!$B$8/2,'I_Budget Input Data'!$D$113*0.6/('I_Inputs &amp; Assumptions'!$B$8/2),'I_Budget Input Data'!$D$113*0.4/('I_Inputs &amp; Assumptions'!$B$8/2)),IF('I_Budget Input Data'!$E$113="Back-loaded",IF(9&lt;='I_Inputs &amp; Assumptions'!$B$8/2,'I_Budget Input Data'!$D$113*0.4/('I_Inputs &amp; Assumptions'!$B$8/2),'I_Budget Input Data'!$D$113*0.6/('I_Inputs &amp; Assumptions'!$B$8/2)),IF('I_Budget Input Data'!$E$113="Mid-weighted",IF(9&lt;='I_Inputs &amp; Assumptions'!$B$8/4,'I_Budget Input Data'!$D$113*0.2/('I_Inputs &amp; Assumptions'!$B$8/4),IF(9&lt;='I_Inputs &amp; Assumptions'!$B$8*0.75,'I_Budget Input Data'!$D$113*0.6/('I_Inputs &amp; Assumptions'!$B$8/2),'I_Budget Input Data'!$D$113*0.2/('I_Inputs &amp; Assumptions'!$B$8/4))),IF('I_Budget Input Data'!$E$113="At Completion",IF(9='I_Inputs &amp; Assumptions'!$B$8,'I_Budget Input Data'!$D$113,0),'I_Budget Input Data'!$D$113/'I_Inputs &amp; Assumptions'!$B$8)))))),0)</f>
        <v>19279.292307692307</v>
      </c>
      <c r="L113" s="91">
        <f>IF(10&lt;='I_Inputs &amp; Assumptions'!$B$8,IF('I_Budget Input Data'!$E$113="Upfront",IF(10=1,'I_Budget Input Data'!$D$113,0),IF('I_Budget Input Data'!$E$113="Equal",'I_Budget Input Data'!$D$113/'I_Inputs &amp; Assumptions'!$B$8,IF('I_Budget Input Data'!$E$113="Front-loaded",IF(10&lt;='I_Inputs &amp; Assumptions'!$B$8/2,'I_Budget Input Data'!$D$113*0.6/('I_Inputs &amp; Assumptions'!$B$8/2),'I_Budget Input Data'!$D$113*0.4/('I_Inputs &amp; Assumptions'!$B$8/2)),IF('I_Budget Input Data'!$E$113="Back-loaded",IF(10&lt;='I_Inputs &amp; Assumptions'!$B$8/2,'I_Budget Input Data'!$D$113*0.4/('I_Inputs &amp; Assumptions'!$B$8/2),'I_Budget Input Data'!$D$113*0.6/('I_Inputs &amp; Assumptions'!$B$8/2)),IF('I_Budget Input Data'!$E$113="Mid-weighted",IF(10&lt;='I_Inputs &amp; Assumptions'!$B$8/4,'I_Budget Input Data'!$D$113*0.2/('I_Inputs &amp; Assumptions'!$B$8/4),IF(10&lt;='I_Inputs &amp; Assumptions'!$B$8*0.75,'I_Budget Input Data'!$D$113*0.6/('I_Inputs &amp; Assumptions'!$B$8/2),'I_Budget Input Data'!$D$113*0.2/('I_Inputs &amp; Assumptions'!$B$8/4))),IF('I_Budget Input Data'!$E$113="At Completion",IF(10='I_Inputs &amp; Assumptions'!$B$8,'I_Budget Input Data'!$D$113,0),'I_Budget Input Data'!$D$113/'I_Inputs &amp; Assumptions'!$B$8)))))),0)</f>
        <v>19279.292307692307</v>
      </c>
      <c r="M113" s="91">
        <f>IF(11&lt;='I_Inputs &amp; Assumptions'!$B$8,IF('I_Budget Input Data'!$E$113="Upfront",IF(11=1,'I_Budget Input Data'!$D$113,0),IF('I_Budget Input Data'!$E$113="Equal",'I_Budget Input Data'!$D$113/'I_Inputs &amp; Assumptions'!$B$8,IF('I_Budget Input Data'!$E$113="Front-loaded",IF(11&lt;='I_Inputs &amp; Assumptions'!$B$8/2,'I_Budget Input Data'!$D$113*0.6/('I_Inputs &amp; Assumptions'!$B$8/2),'I_Budget Input Data'!$D$113*0.4/('I_Inputs &amp; Assumptions'!$B$8/2)),IF('I_Budget Input Data'!$E$113="Back-loaded",IF(11&lt;='I_Inputs &amp; Assumptions'!$B$8/2,'I_Budget Input Data'!$D$113*0.4/('I_Inputs &amp; Assumptions'!$B$8/2),'I_Budget Input Data'!$D$113*0.6/('I_Inputs &amp; Assumptions'!$B$8/2)),IF('I_Budget Input Data'!$E$113="Mid-weighted",IF(11&lt;='I_Inputs &amp; Assumptions'!$B$8/4,'I_Budget Input Data'!$D$113*0.2/('I_Inputs &amp; Assumptions'!$B$8/4),IF(11&lt;='I_Inputs &amp; Assumptions'!$B$8*0.75,'I_Budget Input Data'!$D$113*0.6/('I_Inputs &amp; Assumptions'!$B$8/2),'I_Budget Input Data'!$D$113*0.2/('I_Inputs &amp; Assumptions'!$B$8/4))),IF('I_Budget Input Data'!$E$113="At Completion",IF(11='I_Inputs &amp; Assumptions'!$B$8,'I_Budget Input Data'!$D$113,0),'I_Budget Input Data'!$D$113/'I_Inputs &amp; Assumptions'!$B$8)))))),0)</f>
        <v>19279.292307692307</v>
      </c>
      <c r="N113" s="91">
        <f>IF(12&lt;='I_Inputs &amp; Assumptions'!$B$8,IF('I_Budget Input Data'!$E$113="Upfront",IF(12=1,'I_Budget Input Data'!$D$113,0),IF('I_Budget Input Data'!$E$113="Equal",'I_Budget Input Data'!$D$113/'I_Inputs &amp; Assumptions'!$B$8,IF('I_Budget Input Data'!$E$113="Front-loaded",IF(12&lt;='I_Inputs &amp; Assumptions'!$B$8/2,'I_Budget Input Data'!$D$113*0.6/('I_Inputs &amp; Assumptions'!$B$8/2),'I_Budget Input Data'!$D$113*0.4/('I_Inputs &amp; Assumptions'!$B$8/2)),IF('I_Budget Input Data'!$E$113="Back-loaded",IF(12&lt;='I_Inputs &amp; Assumptions'!$B$8/2,'I_Budget Input Data'!$D$113*0.4/('I_Inputs &amp; Assumptions'!$B$8/2),'I_Budget Input Data'!$D$113*0.6/('I_Inputs &amp; Assumptions'!$B$8/2)),IF('I_Budget Input Data'!$E$113="Mid-weighted",IF(12&lt;='I_Inputs &amp; Assumptions'!$B$8/4,'I_Budget Input Data'!$D$113*0.2/('I_Inputs &amp; Assumptions'!$B$8/4),IF(12&lt;='I_Inputs &amp; Assumptions'!$B$8*0.75,'I_Budget Input Data'!$D$113*0.6/('I_Inputs &amp; Assumptions'!$B$8/2),'I_Budget Input Data'!$D$113*0.2/('I_Inputs &amp; Assumptions'!$B$8/4))),IF('I_Budget Input Data'!$E$113="At Completion",IF(12='I_Inputs &amp; Assumptions'!$B$8,'I_Budget Input Data'!$D$113,0),'I_Budget Input Data'!$D$113/'I_Inputs &amp; Assumptions'!$B$8)))))),0)</f>
        <v>19279.292307692307</v>
      </c>
      <c r="O113" s="91">
        <f>IF(13&lt;='I_Inputs &amp; Assumptions'!$B$8,IF('I_Budget Input Data'!$E$113="Upfront",IF(13=1,'I_Budget Input Data'!$D$113,0),IF('I_Budget Input Data'!$E$113="Equal",'I_Budget Input Data'!$D$113/'I_Inputs &amp; Assumptions'!$B$8,IF('I_Budget Input Data'!$E$113="Front-loaded",IF(13&lt;='I_Inputs &amp; Assumptions'!$B$8/2,'I_Budget Input Data'!$D$113*0.6/('I_Inputs &amp; Assumptions'!$B$8/2),'I_Budget Input Data'!$D$113*0.4/('I_Inputs &amp; Assumptions'!$B$8/2)),IF('I_Budget Input Data'!$E$113="Back-loaded",IF(13&lt;='I_Inputs &amp; Assumptions'!$B$8/2,'I_Budget Input Data'!$D$113*0.4/('I_Inputs &amp; Assumptions'!$B$8/2),'I_Budget Input Data'!$D$113*0.6/('I_Inputs &amp; Assumptions'!$B$8/2)),IF('I_Budget Input Data'!$E$113="Mid-weighted",IF(13&lt;='I_Inputs &amp; Assumptions'!$B$8/4,'I_Budget Input Data'!$D$113*0.2/('I_Inputs &amp; Assumptions'!$B$8/4),IF(13&lt;='I_Inputs &amp; Assumptions'!$B$8*0.75,'I_Budget Input Data'!$D$113*0.6/('I_Inputs &amp; Assumptions'!$B$8/2),'I_Budget Input Data'!$D$113*0.2/('I_Inputs &amp; Assumptions'!$B$8/4))),IF('I_Budget Input Data'!$E$113="At Completion",IF(13='I_Inputs &amp; Assumptions'!$B$8,'I_Budget Input Data'!$D$113,0),'I_Budget Input Data'!$D$113/'I_Inputs &amp; Assumptions'!$B$8)))))),0)</f>
        <v>19279.292307692307</v>
      </c>
      <c r="P113" s="91">
        <f>IF(14&lt;='I_Inputs &amp; Assumptions'!$B$8,IF('I_Budget Input Data'!$E$113="Upfront",IF(14=1,'I_Budget Input Data'!$D$113,0),IF('I_Budget Input Data'!$E$113="Equal",'I_Budget Input Data'!$D$113/'I_Inputs &amp; Assumptions'!$B$8,IF('I_Budget Input Data'!$E$113="Front-loaded",IF(14&lt;='I_Inputs &amp; Assumptions'!$B$8/2,'I_Budget Input Data'!$D$113*0.6/('I_Inputs &amp; Assumptions'!$B$8/2),'I_Budget Input Data'!$D$113*0.4/('I_Inputs &amp; Assumptions'!$B$8/2)),IF('I_Budget Input Data'!$E$113="Back-loaded",IF(14&lt;='I_Inputs &amp; Assumptions'!$B$8/2,'I_Budget Input Data'!$D$113*0.4/('I_Inputs &amp; Assumptions'!$B$8/2),'I_Budget Input Data'!$D$113*0.6/('I_Inputs &amp; Assumptions'!$B$8/2)),IF('I_Budget Input Data'!$E$113="Mid-weighted",IF(14&lt;='I_Inputs &amp; Assumptions'!$B$8/4,'I_Budget Input Data'!$D$113*0.2/('I_Inputs &amp; Assumptions'!$B$8/4),IF(14&lt;='I_Inputs &amp; Assumptions'!$B$8*0.75,'I_Budget Input Data'!$D$113*0.6/('I_Inputs &amp; Assumptions'!$B$8/2),'I_Budget Input Data'!$D$113*0.2/('I_Inputs &amp; Assumptions'!$B$8/4))),IF('I_Budget Input Data'!$E$113="At Completion",IF(14='I_Inputs &amp; Assumptions'!$B$8,'I_Budget Input Data'!$D$113,0),'I_Budget Input Data'!$D$113/'I_Inputs &amp; Assumptions'!$B$8)))))),0)</f>
        <v>0</v>
      </c>
      <c r="Q113" s="91">
        <f>IF(15&lt;='I_Inputs &amp; Assumptions'!$B$8,IF('I_Budget Input Data'!$E$113="Upfront",IF(15=1,'I_Budget Input Data'!$D$113,0),IF('I_Budget Input Data'!$E$113="Equal",'I_Budget Input Data'!$D$113/'I_Inputs &amp; Assumptions'!$B$8,IF('I_Budget Input Data'!$E$113="Front-loaded",IF(15&lt;='I_Inputs &amp; Assumptions'!$B$8/2,'I_Budget Input Data'!$D$113*0.6/('I_Inputs &amp; Assumptions'!$B$8/2),'I_Budget Input Data'!$D$113*0.4/('I_Inputs &amp; Assumptions'!$B$8/2)),IF('I_Budget Input Data'!$E$113="Back-loaded",IF(15&lt;='I_Inputs &amp; Assumptions'!$B$8/2,'I_Budget Input Data'!$D$113*0.4/('I_Inputs &amp; Assumptions'!$B$8/2),'I_Budget Input Data'!$D$113*0.6/('I_Inputs &amp; Assumptions'!$B$8/2)),IF('I_Budget Input Data'!$E$113="Mid-weighted",IF(15&lt;='I_Inputs &amp; Assumptions'!$B$8/4,'I_Budget Input Data'!$D$113*0.2/('I_Inputs &amp; Assumptions'!$B$8/4),IF(15&lt;='I_Inputs &amp; Assumptions'!$B$8*0.75,'I_Budget Input Data'!$D$113*0.6/('I_Inputs &amp; Assumptions'!$B$8/2),'I_Budget Input Data'!$D$113*0.2/('I_Inputs &amp; Assumptions'!$B$8/4))),IF('I_Budget Input Data'!$E$113="At Completion",IF(15='I_Inputs &amp; Assumptions'!$B$8,'I_Budget Input Data'!$D$113,0),'I_Budget Input Data'!$D$113/'I_Inputs &amp; Assumptions'!$B$8)))))),0)</f>
        <v>0</v>
      </c>
      <c r="R113" s="91">
        <f>IF(16&lt;='I_Inputs &amp; Assumptions'!$B$8,IF('I_Budget Input Data'!$E$113="Upfront",IF(16=1,'I_Budget Input Data'!$D$113,0),IF('I_Budget Input Data'!$E$113="Equal",'I_Budget Input Data'!$D$113/'I_Inputs &amp; Assumptions'!$B$8,IF('I_Budget Input Data'!$E$113="Front-loaded",IF(16&lt;='I_Inputs &amp; Assumptions'!$B$8/2,'I_Budget Input Data'!$D$113*0.6/('I_Inputs &amp; Assumptions'!$B$8/2),'I_Budget Input Data'!$D$113*0.4/('I_Inputs &amp; Assumptions'!$B$8/2)),IF('I_Budget Input Data'!$E$113="Back-loaded",IF(16&lt;='I_Inputs &amp; Assumptions'!$B$8/2,'I_Budget Input Data'!$D$113*0.4/('I_Inputs &amp; Assumptions'!$B$8/2),'I_Budget Input Data'!$D$113*0.6/('I_Inputs &amp; Assumptions'!$B$8/2)),IF('I_Budget Input Data'!$E$113="Mid-weighted",IF(16&lt;='I_Inputs &amp; Assumptions'!$B$8/4,'I_Budget Input Data'!$D$113*0.2/('I_Inputs &amp; Assumptions'!$B$8/4),IF(16&lt;='I_Inputs &amp; Assumptions'!$B$8*0.75,'I_Budget Input Data'!$D$113*0.6/('I_Inputs &amp; Assumptions'!$B$8/2),'I_Budget Input Data'!$D$113*0.2/('I_Inputs &amp; Assumptions'!$B$8/4))),IF('I_Budget Input Data'!$E$113="At Completion",IF(16='I_Inputs &amp; Assumptions'!$B$8,'I_Budget Input Data'!$D$113,0),'I_Budget Input Data'!$D$113/'I_Inputs &amp; Assumptions'!$B$8)))))),0)</f>
        <v>0</v>
      </c>
      <c r="S113" s="91">
        <f>IF(17&lt;='I_Inputs &amp; Assumptions'!$B$8,IF('I_Budget Input Data'!$E$113="Upfront",IF(17=1,'I_Budget Input Data'!$D$113,0),IF('I_Budget Input Data'!$E$113="Equal",'I_Budget Input Data'!$D$113/'I_Inputs &amp; Assumptions'!$B$8,IF('I_Budget Input Data'!$E$113="Front-loaded",IF(17&lt;='I_Inputs &amp; Assumptions'!$B$8/2,'I_Budget Input Data'!$D$113*0.6/('I_Inputs &amp; Assumptions'!$B$8/2),'I_Budget Input Data'!$D$113*0.4/('I_Inputs &amp; Assumptions'!$B$8/2)),IF('I_Budget Input Data'!$E$113="Back-loaded",IF(17&lt;='I_Inputs &amp; Assumptions'!$B$8/2,'I_Budget Input Data'!$D$113*0.4/('I_Inputs &amp; Assumptions'!$B$8/2),'I_Budget Input Data'!$D$113*0.6/('I_Inputs &amp; Assumptions'!$B$8/2)),IF('I_Budget Input Data'!$E$113="Mid-weighted",IF(17&lt;='I_Inputs &amp; Assumptions'!$B$8/4,'I_Budget Input Data'!$D$113*0.2/('I_Inputs &amp; Assumptions'!$B$8/4),IF(17&lt;='I_Inputs &amp; Assumptions'!$B$8*0.75,'I_Budget Input Data'!$D$113*0.6/('I_Inputs &amp; Assumptions'!$B$8/2),'I_Budget Input Data'!$D$113*0.2/('I_Inputs &amp; Assumptions'!$B$8/4))),IF('I_Budget Input Data'!$E$113="At Completion",IF(17='I_Inputs &amp; Assumptions'!$B$8,'I_Budget Input Data'!$D$113,0),'I_Budget Input Data'!$D$113/'I_Inputs &amp; Assumptions'!$B$8)))))),0)</f>
        <v>0</v>
      </c>
      <c r="T113" s="91">
        <f>IF(18&lt;='I_Inputs &amp; Assumptions'!$B$8,IF('I_Budget Input Data'!$E$113="Upfront",IF(18=1,'I_Budget Input Data'!$D$113,0),IF('I_Budget Input Data'!$E$113="Equal",'I_Budget Input Data'!$D$113/'I_Inputs &amp; Assumptions'!$B$8,IF('I_Budget Input Data'!$E$113="Front-loaded",IF(18&lt;='I_Inputs &amp; Assumptions'!$B$8/2,'I_Budget Input Data'!$D$113*0.6/('I_Inputs &amp; Assumptions'!$B$8/2),'I_Budget Input Data'!$D$113*0.4/('I_Inputs &amp; Assumptions'!$B$8/2)),IF('I_Budget Input Data'!$E$113="Back-loaded",IF(18&lt;='I_Inputs &amp; Assumptions'!$B$8/2,'I_Budget Input Data'!$D$113*0.4/('I_Inputs &amp; Assumptions'!$B$8/2),'I_Budget Input Data'!$D$113*0.6/('I_Inputs &amp; Assumptions'!$B$8/2)),IF('I_Budget Input Data'!$E$113="Mid-weighted",IF(18&lt;='I_Inputs &amp; Assumptions'!$B$8/4,'I_Budget Input Data'!$D$113*0.2/('I_Inputs &amp; Assumptions'!$B$8/4),IF(18&lt;='I_Inputs &amp; Assumptions'!$B$8*0.75,'I_Budget Input Data'!$D$113*0.6/('I_Inputs &amp; Assumptions'!$B$8/2),'I_Budget Input Data'!$D$113*0.2/('I_Inputs &amp; Assumptions'!$B$8/4))),IF('I_Budget Input Data'!$E$113="At Completion",IF(18='I_Inputs &amp; Assumptions'!$B$8,'I_Budget Input Data'!$D$113,0),'I_Budget Input Data'!$D$113/'I_Inputs &amp; Assumptions'!$B$8)))))),0)</f>
        <v>0</v>
      </c>
      <c r="U113" s="91">
        <f>IF(19&lt;='I_Inputs &amp; Assumptions'!$B$8,IF('I_Budget Input Data'!$E$113="Upfront",IF(19=1,'I_Budget Input Data'!$D$113,0),IF('I_Budget Input Data'!$E$113="Equal",'I_Budget Input Data'!$D$113/'I_Inputs &amp; Assumptions'!$B$8,IF('I_Budget Input Data'!$E$113="Front-loaded",IF(19&lt;='I_Inputs &amp; Assumptions'!$B$8/2,'I_Budget Input Data'!$D$113*0.6/('I_Inputs &amp; Assumptions'!$B$8/2),'I_Budget Input Data'!$D$113*0.4/('I_Inputs &amp; Assumptions'!$B$8/2)),IF('I_Budget Input Data'!$E$113="Back-loaded",IF(19&lt;='I_Inputs &amp; Assumptions'!$B$8/2,'I_Budget Input Data'!$D$113*0.4/('I_Inputs &amp; Assumptions'!$B$8/2),'I_Budget Input Data'!$D$113*0.6/('I_Inputs &amp; Assumptions'!$B$8/2)),IF('I_Budget Input Data'!$E$113="Mid-weighted",IF(19&lt;='I_Inputs &amp; Assumptions'!$B$8/4,'I_Budget Input Data'!$D$113*0.2/('I_Inputs &amp; Assumptions'!$B$8/4),IF(19&lt;='I_Inputs &amp; Assumptions'!$B$8*0.75,'I_Budget Input Data'!$D$113*0.6/('I_Inputs &amp; Assumptions'!$B$8/2),'I_Budget Input Data'!$D$113*0.2/('I_Inputs &amp; Assumptions'!$B$8/4))),IF('I_Budget Input Data'!$E$113="At Completion",IF(19='I_Inputs &amp; Assumptions'!$B$8,'I_Budget Input Data'!$D$113,0),'I_Budget Input Data'!$D$113/'I_Inputs &amp; Assumptions'!$B$8)))))),0)</f>
        <v>0</v>
      </c>
      <c r="V113" s="91">
        <f>IF(20&lt;='I_Inputs &amp; Assumptions'!$B$8,IF('I_Budget Input Data'!$E$113="Upfront",IF(20=1,'I_Budget Input Data'!$D$113,0),IF('I_Budget Input Data'!$E$113="Equal",'I_Budget Input Data'!$D$113/'I_Inputs &amp; Assumptions'!$B$8,IF('I_Budget Input Data'!$E$113="Front-loaded",IF(20&lt;='I_Inputs &amp; Assumptions'!$B$8/2,'I_Budget Input Data'!$D$113*0.6/('I_Inputs &amp; Assumptions'!$B$8/2),'I_Budget Input Data'!$D$113*0.4/('I_Inputs &amp; Assumptions'!$B$8/2)),IF('I_Budget Input Data'!$E$113="Back-loaded",IF(20&lt;='I_Inputs &amp; Assumptions'!$B$8/2,'I_Budget Input Data'!$D$113*0.4/('I_Inputs &amp; Assumptions'!$B$8/2),'I_Budget Input Data'!$D$113*0.6/('I_Inputs &amp; Assumptions'!$B$8/2)),IF('I_Budget Input Data'!$E$113="Mid-weighted",IF(20&lt;='I_Inputs &amp; Assumptions'!$B$8/4,'I_Budget Input Data'!$D$113*0.2/('I_Inputs &amp; Assumptions'!$B$8/4),IF(20&lt;='I_Inputs &amp; Assumptions'!$B$8*0.75,'I_Budget Input Data'!$D$113*0.6/('I_Inputs &amp; Assumptions'!$B$8/2),'I_Budget Input Data'!$D$113*0.2/('I_Inputs &amp; Assumptions'!$B$8/4))),IF('I_Budget Input Data'!$E$113="At Completion",IF(20='I_Inputs &amp; Assumptions'!$B$8,'I_Budget Input Data'!$D$113,0),'I_Budget Input Data'!$D$113/'I_Inputs &amp; Assumptions'!$B$8)))))),0)</f>
        <v>0</v>
      </c>
      <c r="W113" s="91">
        <f>IF(21&lt;='I_Inputs &amp; Assumptions'!$B$8,IF('I_Budget Input Data'!$E$113="Upfront",IF(21=1,'I_Budget Input Data'!$D$113,0),IF('I_Budget Input Data'!$E$113="Equal",'I_Budget Input Data'!$D$113/'I_Inputs &amp; Assumptions'!$B$8,IF('I_Budget Input Data'!$E$113="Front-loaded",IF(21&lt;='I_Inputs &amp; Assumptions'!$B$8/2,'I_Budget Input Data'!$D$113*0.6/('I_Inputs &amp; Assumptions'!$B$8/2),'I_Budget Input Data'!$D$113*0.4/('I_Inputs &amp; Assumptions'!$B$8/2)),IF('I_Budget Input Data'!$E$113="Back-loaded",IF(21&lt;='I_Inputs &amp; Assumptions'!$B$8/2,'I_Budget Input Data'!$D$113*0.4/('I_Inputs &amp; Assumptions'!$B$8/2),'I_Budget Input Data'!$D$113*0.6/('I_Inputs &amp; Assumptions'!$B$8/2)),IF('I_Budget Input Data'!$E$113="Mid-weighted",IF(21&lt;='I_Inputs &amp; Assumptions'!$B$8/4,'I_Budget Input Data'!$D$113*0.2/('I_Inputs &amp; Assumptions'!$B$8/4),IF(21&lt;='I_Inputs &amp; Assumptions'!$B$8*0.75,'I_Budget Input Data'!$D$113*0.6/('I_Inputs &amp; Assumptions'!$B$8/2),'I_Budget Input Data'!$D$113*0.2/('I_Inputs &amp; Assumptions'!$B$8/4))),IF('I_Budget Input Data'!$E$113="At Completion",IF(21='I_Inputs &amp; Assumptions'!$B$8,'I_Budget Input Data'!$D$113,0),'I_Budget Input Data'!$D$113/'I_Inputs &amp; Assumptions'!$B$8)))))),0)</f>
        <v>0</v>
      </c>
      <c r="X113" s="91">
        <f>IF(22&lt;='I_Inputs &amp; Assumptions'!$B$8,IF('I_Budget Input Data'!$E$113="Upfront",IF(22=1,'I_Budget Input Data'!$D$113,0),IF('I_Budget Input Data'!$E$113="Equal",'I_Budget Input Data'!$D$113/'I_Inputs &amp; Assumptions'!$B$8,IF('I_Budget Input Data'!$E$113="Front-loaded",IF(22&lt;='I_Inputs &amp; Assumptions'!$B$8/2,'I_Budget Input Data'!$D$113*0.6/('I_Inputs &amp; Assumptions'!$B$8/2),'I_Budget Input Data'!$D$113*0.4/('I_Inputs &amp; Assumptions'!$B$8/2)),IF('I_Budget Input Data'!$E$113="Back-loaded",IF(22&lt;='I_Inputs &amp; Assumptions'!$B$8/2,'I_Budget Input Data'!$D$113*0.4/('I_Inputs &amp; Assumptions'!$B$8/2),'I_Budget Input Data'!$D$113*0.6/('I_Inputs &amp; Assumptions'!$B$8/2)),IF('I_Budget Input Data'!$E$113="Mid-weighted",IF(22&lt;='I_Inputs &amp; Assumptions'!$B$8/4,'I_Budget Input Data'!$D$113*0.2/('I_Inputs &amp; Assumptions'!$B$8/4),IF(22&lt;='I_Inputs &amp; Assumptions'!$B$8*0.75,'I_Budget Input Data'!$D$113*0.6/('I_Inputs &amp; Assumptions'!$B$8/2),'I_Budget Input Data'!$D$113*0.2/('I_Inputs &amp; Assumptions'!$B$8/4))),IF('I_Budget Input Data'!$E$113="At Completion",IF(22='I_Inputs &amp; Assumptions'!$B$8,'I_Budget Input Data'!$D$113,0),'I_Budget Input Data'!$D$113/'I_Inputs &amp; Assumptions'!$B$8)))))),0)</f>
        <v>0</v>
      </c>
      <c r="Y113" s="91">
        <f>IF(23&lt;='I_Inputs &amp; Assumptions'!$B$8,IF('I_Budget Input Data'!$E$113="Upfront",IF(23=1,'I_Budget Input Data'!$D$113,0),IF('I_Budget Input Data'!$E$113="Equal",'I_Budget Input Data'!$D$113/'I_Inputs &amp; Assumptions'!$B$8,IF('I_Budget Input Data'!$E$113="Front-loaded",IF(23&lt;='I_Inputs &amp; Assumptions'!$B$8/2,'I_Budget Input Data'!$D$113*0.6/('I_Inputs &amp; Assumptions'!$B$8/2),'I_Budget Input Data'!$D$113*0.4/('I_Inputs &amp; Assumptions'!$B$8/2)),IF('I_Budget Input Data'!$E$113="Back-loaded",IF(23&lt;='I_Inputs &amp; Assumptions'!$B$8/2,'I_Budget Input Data'!$D$113*0.4/('I_Inputs &amp; Assumptions'!$B$8/2),'I_Budget Input Data'!$D$113*0.6/('I_Inputs &amp; Assumptions'!$B$8/2)),IF('I_Budget Input Data'!$E$113="Mid-weighted",IF(23&lt;='I_Inputs &amp; Assumptions'!$B$8/4,'I_Budget Input Data'!$D$113*0.2/('I_Inputs &amp; Assumptions'!$B$8/4),IF(23&lt;='I_Inputs &amp; Assumptions'!$B$8*0.75,'I_Budget Input Data'!$D$113*0.6/('I_Inputs &amp; Assumptions'!$B$8/2),'I_Budget Input Data'!$D$113*0.2/('I_Inputs &amp; Assumptions'!$B$8/4))),IF('I_Budget Input Data'!$E$113="At Completion",IF(23='I_Inputs &amp; Assumptions'!$B$8,'I_Budget Input Data'!$D$113,0),'I_Budget Input Data'!$D$113/'I_Inputs &amp; Assumptions'!$B$8)))))),0)</f>
        <v>0</v>
      </c>
      <c r="Z113" s="91">
        <f>IF(24&lt;='I_Inputs &amp; Assumptions'!$B$8,IF('I_Budget Input Data'!$E$113="Upfront",IF(24=1,'I_Budget Input Data'!$D$113,0),IF('I_Budget Input Data'!$E$113="Equal",'I_Budget Input Data'!$D$113/'I_Inputs &amp; Assumptions'!$B$8,IF('I_Budget Input Data'!$E$113="Front-loaded",IF(24&lt;='I_Inputs &amp; Assumptions'!$B$8/2,'I_Budget Input Data'!$D$113*0.6/('I_Inputs &amp; Assumptions'!$B$8/2),'I_Budget Input Data'!$D$113*0.4/('I_Inputs &amp; Assumptions'!$B$8/2)),IF('I_Budget Input Data'!$E$113="Back-loaded",IF(24&lt;='I_Inputs &amp; Assumptions'!$B$8/2,'I_Budget Input Data'!$D$113*0.4/('I_Inputs &amp; Assumptions'!$B$8/2),'I_Budget Input Data'!$D$113*0.6/('I_Inputs &amp; Assumptions'!$B$8/2)),IF('I_Budget Input Data'!$E$113="Mid-weighted",IF(24&lt;='I_Inputs &amp; Assumptions'!$B$8/4,'I_Budget Input Data'!$D$113*0.2/('I_Inputs &amp; Assumptions'!$B$8/4),IF(24&lt;='I_Inputs &amp; Assumptions'!$B$8*0.75,'I_Budget Input Data'!$D$113*0.6/('I_Inputs &amp; Assumptions'!$B$8/2),'I_Budget Input Data'!$D$113*0.2/('I_Inputs &amp; Assumptions'!$B$8/4))),IF('I_Budget Input Data'!$E$113="At Completion",IF(24='I_Inputs &amp; Assumptions'!$B$8,'I_Budget Input Data'!$D$113,0),'I_Budget Input Data'!$D$113/'I_Inputs &amp; Assumptions'!$B$8)))))),0)</f>
        <v>0</v>
      </c>
      <c r="AA113" s="91">
        <f>IF(25&lt;='I_Inputs &amp; Assumptions'!$B$8,IF('I_Budget Input Data'!$E$113="Upfront",IF(25=1,'I_Budget Input Data'!$D$113,0),IF('I_Budget Input Data'!$E$113="Equal",'I_Budget Input Data'!$D$113/'I_Inputs &amp; Assumptions'!$B$8,IF('I_Budget Input Data'!$E$113="Front-loaded",IF(25&lt;='I_Inputs &amp; Assumptions'!$B$8/2,'I_Budget Input Data'!$D$113*0.6/('I_Inputs &amp; Assumptions'!$B$8/2),'I_Budget Input Data'!$D$113*0.4/('I_Inputs &amp; Assumptions'!$B$8/2)),IF('I_Budget Input Data'!$E$113="Back-loaded",IF(25&lt;='I_Inputs &amp; Assumptions'!$B$8/2,'I_Budget Input Data'!$D$113*0.4/('I_Inputs &amp; Assumptions'!$B$8/2),'I_Budget Input Data'!$D$113*0.6/('I_Inputs &amp; Assumptions'!$B$8/2)),IF('I_Budget Input Data'!$E$113="Mid-weighted",IF(25&lt;='I_Inputs &amp; Assumptions'!$B$8/4,'I_Budget Input Data'!$D$113*0.2/('I_Inputs &amp; Assumptions'!$B$8/4),IF(25&lt;='I_Inputs &amp; Assumptions'!$B$8*0.75,'I_Budget Input Data'!$D$113*0.6/('I_Inputs &amp; Assumptions'!$B$8/2),'I_Budget Input Data'!$D$113*0.2/('I_Inputs &amp; Assumptions'!$B$8/4))),IF('I_Budget Input Data'!$E$113="At Completion",IF(25='I_Inputs &amp; Assumptions'!$B$8,'I_Budget Input Data'!$D$113,0),'I_Budget Input Data'!$D$113/'I_Inputs &amp; Assumptions'!$B$8)))))),0)</f>
        <v>0</v>
      </c>
      <c r="AB113" s="91">
        <f>IF(26&lt;='I_Inputs &amp; Assumptions'!$B$8,IF('I_Budget Input Data'!$E$113="Upfront",IF(26=1,'I_Budget Input Data'!$D$113,0),IF('I_Budget Input Data'!$E$113="Equal",'I_Budget Input Data'!$D$113/'I_Inputs &amp; Assumptions'!$B$8,IF('I_Budget Input Data'!$E$113="Front-loaded",IF(26&lt;='I_Inputs &amp; Assumptions'!$B$8/2,'I_Budget Input Data'!$D$113*0.6/('I_Inputs &amp; Assumptions'!$B$8/2),'I_Budget Input Data'!$D$113*0.4/('I_Inputs &amp; Assumptions'!$B$8/2)),IF('I_Budget Input Data'!$E$113="Back-loaded",IF(26&lt;='I_Inputs &amp; Assumptions'!$B$8/2,'I_Budget Input Data'!$D$113*0.4/('I_Inputs &amp; Assumptions'!$B$8/2),'I_Budget Input Data'!$D$113*0.6/('I_Inputs &amp; Assumptions'!$B$8/2)),IF('I_Budget Input Data'!$E$113="Mid-weighted",IF(26&lt;='I_Inputs &amp; Assumptions'!$B$8/4,'I_Budget Input Data'!$D$113*0.2/('I_Inputs &amp; Assumptions'!$B$8/4),IF(26&lt;='I_Inputs &amp; Assumptions'!$B$8*0.75,'I_Budget Input Data'!$D$113*0.6/('I_Inputs &amp; Assumptions'!$B$8/2),'I_Budget Input Data'!$D$113*0.2/('I_Inputs &amp; Assumptions'!$B$8/4))),IF('I_Budget Input Data'!$E$113="At Completion",IF(26='I_Inputs &amp; Assumptions'!$B$8,'I_Budget Input Data'!$D$113,0),'I_Budget Input Data'!$D$113/'I_Inputs &amp; Assumptions'!$B$8)))))),0)</f>
        <v>0</v>
      </c>
      <c r="AC113" s="91">
        <f>IF(27&lt;='I_Inputs &amp; Assumptions'!$B$8,IF('I_Budget Input Data'!$E$113="Upfront",IF(27=1,'I_Budget Input Data'!$D$113,0),IF('I_Budget Input Data'!$E$113="Equal",'I_Budget Input Data'!$D$113/'I_Inputs &amp; Assumptions'!$B$8,IF('I_Budget Input Data'!$E$113="Front-loaded",IF(27&lt;='I_Inputs &amp; Assumptions'!$B$8/2,'I_Budget Input Data'!$D$113*0.6/('I_Inputs &amp; Assumptions'!$B$8/2),'I_Budget Input Data'!$D$113*0.4/('I_Inputs &amp; Assumptions'!$B$8/2)),IF('I_Budget Input Data'!$E$113="Back-loaded",IF(27&lt;='I_Inputs &amp; Assumptions'!$B$8/2,'I_Budget Input Data'!$D$113*0.4/('I_Inputs &amp; Assumptions'!$B$8/2),'I_Budget Input Data'!$D$113*0.6/('I_Inputs &amp; Assumptions'!$B$8/2)),IF('I_Budget Input Data'!$E$113="Mid-weighted",IF(27&lt;='I_Inputs &amp; Assumptions'!$B$8/4,'I_Budget Input Data'!$D$113*0.2/('I_Inputs &amp; Assumptions'!$B$8/4),IF(27&lt;='I_Inputs &amp; Assumptions'!$B$8*0.75,'I_Budget Input Data'!$D$113*0.6/('I_Inputs &amp; Assumptions'!$B$8/2),'I_Budget Input Data'!$D$113*0.2/('I_Inputs &amp; Assumptions'!$B$8/4))),IF('I_Budget Input Data'!$E$113="At Completion",IF(27='I_Inputs &amp; Assumptions'!$B$8,'I_Budget Input Data'!$D$113,0),'I_Budget Input Data'!$D$113/'I_Inputs &amp; Assumptions'!$B$8)))))),0)</f>
        <v>0</v>
      </c>
      <c r="AD113" s="91">
        <f>IF(28&lt;='I_Inputs &amp; Assumptions'!$B$8,IF('I_Budget Input Data'!$E$113="Upfront",IF(28=1,'I_Budget Input Data'!$D$113,0),IF('I_Budget Input Data'!$E$113="Equal",'I_Budget Input Data'!$D$113/'I_Inputs &amp; Assumptions'!$B$8,IF('I_Budget Input Data'!$E$113="Front-loaded",IF(28&lt;='I_Inputs &amp; Assumptions'!$B$8/2,'I_Budget Input Data'!$D$113*0.6/('I_Inputs &amp; Assumptions'!$B$8/2),'I_Budget Input Data'!$D$113*0.4/('I_Inputs &amp; Assumptions'!$B$8/2)),IF('I_Budget Input Data'!$E$113="Back-loaded",IF(28&lt;='I_Inputs &amp; Assumptions'!$B$8/2,'I_Budget Input Data'!$D$113*0.4/('I_Inputs &amp; Assumptions'!$B$8/2),'I_Budget Input Data'!$D$113*0.6/('I_Inputs &amp; Assumptions'!$B$8/2)),IF('I_Budget Input Data'!$E$113="Mid-weighted",IF(28&lt;='I_Inputs &amp; Assumptions'!$B$8/4,'I_Budget Input Data'!$D$113*0.2/('I_Inputs &amp; Assumptions'!$B$8/4),IF(28&lt;='I_Inputs &amp; Assumptions'!$B$8*0.75,'I_Budget Input Data'!$D$113*0.6/('I_Inputs &amp; Assumptions'!$B$8/2),'I_Budget Input Data'!$D$113*0.2/('I_Inputs &amp; Assumptions'!$B$8/4))),IF('I_Budget Input Data'!$E$113="At Completion",IF(28='I_Inputs &amp; Assumptions'!$B$8,'I_Budget Input Data'!$D$113,0),'I_Budget Input Data'!$D$113/'I_Inputs &amp; Assumptions'!$B$8)))))),0)</f>
        <v>0</v>
      </c>
      <c r="AE113" s="91">
        <f>IF(29&lt;='I_Inputs &amp; Assumptions'!$B$8,IF('I_Budget Input Data'!$E$113="Upfront",IF(29=1,'I_Budget Input Data'!$D$113,0),IF('I_Budget Input Data'!$E$113="Equal",'I_Budget Input Data'!$D$113/'I_Inputs &amp; Assumptions'!$B$8,IF('I_Budget Input Data'!$E$113="Front-loaded",IF(29&lt;='I_Inputs &amp; Assumptions'!$B$8/2,'I_Budget Input Data'!$D$113*0.6/('I_Inputs &amp; Assumptions'!$B$8/2),'I_Budget Input Data'!$D$113*0.4/('I_Inputs &amp; Assumptions'!$B$8/2)),IF('I_Budget Input Data'!$E$113="Back-loaded",IF(29&lt;='I_Inputs &amp; Assumptions'!$B$8/2,'I_Budget Input Data'!$D$113*0.4/('I_Inputs &amp; Assumptions'!$B$8/2),'I_Budget Input Data'!$D$113*0.6/('I_Inputs &amp; Assumptions'!$B$8/2)),IF('I_Budget Input Data'!$E$113="Mid-weighted",IF(29&lt;='I_Inputs &amp; Assumptions'!$B$8/4,'I_Budget Input Data'!$D$113*0.2/('I_Inputs &amp; Assumptions'!$B$8/4),IF(29&lt;='I_Inputs &amp; Assumptions'!$B$8*0.75,'I_Budget Input Data'!$D$113*0.6/('I_Inputs &amp; Assumptions'!$B$8/2),'I_Budget Input Data'!$D$113*0.2/('I_Inputs &amp; Assumptions'!$B$8/4))),IF('I_Budget Input Data'!$E$113="At Completion",IF(29='I_Inputs &amp; Assumptions'!$B$8,'I_Budget Input Data'!$D$113,0),'I_Budget Input Data'!$D$113/'I_Inputs &amp; Assumptions'!$B$8)))))),0)</f>
        <v>0</v>
      </c>
      <c r="AF113" s="91">
        <f>IF(30&lt;='I_Inputs &amp; Assumptions'!$B$8,IF('I_Budget Input Data'!$E$113="Upfront",IF(30=1,'I_Budget Input Data'!$D$113,0),IF('I_Budget Input Data'!$E$113="Equal",'I_Budget Input Data'!$D$113/'I_Inputs &amp; Assumptions'!$B$8,IF('I_Budget Input Data'!$E$113="Front-loaded",IF(30&lt;='I_Inputs &amp; Assumptions'!$B$8/2,'I_Budget Input Data'!$D$113*0.6/('I_Inputs &amp; Assumptions'!$B$8/2),'I_Budget Input Data'!$D$113*0.4/('I_Inputs &amp; Assumptions'!$B$8/2)),IF('I_Budget Input Data'!$E$113="Back-loaded",IF(30&lt;='I_Inputs &amp; Assumptions'!$B$8/2,'I_Budget Input Data'!$D$113*0.4/('I_Inputs &amp; Assumptions'!$B$8/2),'I_Budget Input Data'!$D$113*0.6/('I_Inputs &amp; Assumptions'!$B$8/2)),IF('I_Budget Input Data'!$E$113="Mid-weighted",IF(30&lt;='I_Inputs &amp; Assumptions'!$B$8/4,'I_Budget Input Data'!$D$113*0.2/('I_Inputs &amp; Assumptions'!$B$8/4),IF(30&lt;='I_Inputs &amp; Assumptions'!$B$8*0.75,'I_Budget Input Data'!$D$113*0.6/('I_Inputs &amp; Assumptions'!$B$8/2),'I_Budget Input Data'!$D$113*0.2/('I_Inputs &amp; Assumptions'!$B$8/4))),IF('I_Budget Input Data'!$E$113="At Completion",IF(30='I_Inputs &amp; Assumptions'!$B$8,'I_Budget Input Data'!$D$113,0),'I_Budget Input Data'!$D$113/'I_Inputs &amp; Assumptions'!$B$8)))))),0)</f>
        <v>0</v>
      </c>
      <c r="AG113" s="91">
        <f>IF(31&lt;='I_Inputs &amp; Assumptions'!$B$8,IF('I_Budget Input Data'!$E$113="Upfront",IF(31=1,'I_Budget Input Data'!$D$113,0),IF('I_Budget Input Data'!$E$113="Equal",'I_Budget Input Data'!$D$113/'I_Inputs &amp; Assumptions'!$B$8,IF('I_Budget Input Data'!$E$113="Front-loaded",IF(31&lt;='I_Inputs &amp; Assumptions'!$B$8/2,'I_Budget Input Data'!$D$113*0.6/('I_Inputs &amp; Assumptions'!$B$8/2),'I_Budget Input Data'!$D$113*0.4/('I_Inputs &amp; Assumptions'!$B$8/2)),IF('I_Budget Input Data'!$E$113="Back-loaded",IF(31&lt;='I_Inputs &amp; Assumptions'!$B$8/2,'I_Budget Input Data'!$D$113*0.4/('I_Inputs &amp; Assumptions'!$B$8/2),'I_Budget Input Data'!$D$113*0.6/('I_Inputs &amp; Assumptions'!$B$8/2)),IF('I_Budget Input Data'!$E$113="Mid-weighted",IF(31&lt;='I_Inputs &amp; Assumptions'!$B$8/4,'I_Budget Input Data'!$D$113*0.2/('I_Inputs &amp; Assumptions'!$B$8/4),IF(31&lt;='I_Inputs &amp; Assumptions'!$B$8*0.75,'I_Budget Input Data'!$D$113*0.6/('I_Inputs &amp; Assumptions'!$B$8/2),'I_Budget Input Data'!$D$113*0.2/('I_Inputs &amp; Assumptions'!$B$8/4))),IF('I_Budget Input Data'!$E$113="At Completion",IF(31='I_Inputs &amp; Assumptions'!$B$8,'I_Budget Input Data'!$D$113,0),'I_Budget Input Data'!$D$113/'I_Inputs &amp; Assumptions'!$B$8)))))),0)</f>
        <v>0</v>
      </c>
      <c r="AH113" s="91">
        <f>IF(32&lt;='I_Inputs &amp; Assumptions'!$B$8,IF('I_Budget Input Data'!$E$113="Upfront",IF(32=1,'I_Budget Input Data'!$D$113,0),IF('I_Budget Input Data'!$E$113="Equal",'I_Budget Input Data'!$D$113/'I_Inputs &amp; Assumptions'!$B$8,IF('I_Budget Input Data'!$E$113="Front-loaded",IF(32&lt;='I_Inputs &amp; Assumptions'!$B$8/2,'I_Budget Input Data'!$D$113*0.6/('I_Inputs &amp; Assumptions'!$B$8/2),'I_Budget Input Data'!$D$113*0.4/('I_Inputs &amp; Assumptions'!$B$8/2)),IF('I_Budget Input Data'!$E$113="Back-loaded",IF(32&lt;='I_Inputs &amp; Assumptions'!$B$8/2,'I_Budget Input Data'!$D$113*0.4/('I_Inputs &amp; Assumptions'!$B$8/2),'I_Budget Input Data'!$D$113*0.6/('I_Inputs &amp; Assumptions'!$B$8/2)),IF('I_Budget Input Data'!$E$113="Mid-weighted",IF(32&lt;='I_Inputs &amp; Assumptions'!$B$8/4,'I_Budget Input Data'!$D$113*0.2/('I_Inputs &amp; Assumptions'!$B$8/4),IF(32&lt;='I_Inputs &amp; Assumptions'!$B$8*0.75,'I_Budget Input Data'!$D$113*0.6/('I_Inputs &amp; Assumptions'!$B$8/2),'I_Budget Input Data'!$D$113*0.2/('I_Inputs &amp; Assumptions'!$B$8/4))),IF('I_Budget Input Data'!$E$113="At Completion",IF(32='I_Inputs &amp; Assumptions'!$B$8,'I_Budget Input Data'!$D$113,0),'I_Budget Input Data'!$D$113/'I_Inputs &amp; Assumptions'!$B$8)))))),0)</f>
        <v>0</v>
      </c>
      <c r="AI113" s="91">
        <f>IF(33&lt;='I_Inputs &amp; Assumptions'!$B$8,IF('I_Budget Input Data'!$E$113="Upfront",IF(33=1,'I_Budget Input Data'!$D$113,0),IF('I_Budget Input Data'!$E$113="Equal",'I_Budget Input Data'!$D$113/'I_Inputs &amp; Assumptions'!$B$8,IF('I_Budget Input Data'!$E$113="Front-loaded",IF(33&lt;='I_Inputs &amp; Assumptions'!$B$8/2,'I_Budget Input Data'!$D$113*0.6/('I_Inputs &amp; Assumptions'!$B$8/2),'I_Budget Input Data'!$D$113*0.4/('I_Inputs &amp; Assumptions'!$B$8/2)),IF('I_Budget Input Data'!$E$113="Back-loaded",IF(33&lt;='I_Inputs &amp; Assumptions'!$B$8/2,'I_Budget Input Data'!$D$113*0.4/('I_Inputs &amp; Assumptions'!$B$8/2),'I_Budget Input Data'!$D$113*0.6/('I_Inputs &amp; Assumptions'!$B$8/2)),IF('I_Budget Input Data'!$E$113="Mid-weighted",IF(33&lt;='I_Inputs &amp; Assumptions'!$B$8/4,'I_Budget Input Data'!$D$113*0.2/('I_Inputs &amp; Assumptions'!$B$8/4),IF(33&lt;='I_Inputs &amp; Assumptions'!$B$8*0.75,'I_Budget Input Data'!$D$113*0.6/('I_Inputs &amp; Assumptions'!$B$8/2),'I_Budget Input Data'!$D$113*0.2/('I_Inputs &amp; Assumptions'!$B$8/4))),IF('I_Budget Input Data'!$E$113="At Completion",IF(33='I_Inputs &amp; Assumptions'!$B$8,'I_Budget Input Data'!$D$113,0),'I_Budget Input Data'!$D$113/'I_Inputs &amp; Assumptions'!$B$8)))))),0)</f>
        <v>0</v>
      </c>
      <c r="AJ113" s="91">
        <f>IF(34&lt;='I_Inputs &amp; Assumptions'!$B$8,IF('I_Budget Input Data'!$E$113="Upfront",IF(34=1,'I_Budget Input Data'!$D$113,0),IF('I_Budget Input Data'!$E$113="Equal",'I_Budget Input Data'!$D$113/'I_Inputs &amp; Assumptions'!$B$8,IF('I_Budget Input Data'!$E$113="Front-loaded",IF(34&lt;='I_Inputs &amp; Assumptions'!$B$8/2,'I_Budget Input Data'!$D$113*0.6/('I_Inputs &amp; Assumptions'!$B$8/2),'I_Budget Input Data'!$D$113*0.4/('I_Inputs &amp; Assumptions'!$B$8/2)),IF('I_Budget Input Data'!$E$113="Back-loaded",IF(34&lt;='I_Inputs &amp; Assumptions'!$B$8/2,'I_Budget Input Data'!$D$113*0.4/('I_Inputs &amp; Assumptions'!$B$8/2),'I_Budget Input Data'!$D$113*0.6/('I_Inputs &amp; Assumptions'!$B$8/2)),IF('I_Budget Input Data'!$E$113="Mid-weighted",IF(34&lt;='I_Inputs &amp; Assumptions'!$B$8/4,'I_Budget Input Data'!$D$113*0.2/('I_Inputs &amp; Assumptions'!$B$8/4),IF(34&lt;='I_Inputs &amp; Assumptions'!$B$8*0.75,'I_Budget Input Data'!$D$113*0.6/('I_Inputs &amp; Assumptions'!$B$8/2),'I_Budget Input Data'!$D$113*0.2/('I_Inputs &amp; Assumptions'!$B$8/4))),IF('I_Budget Input Data'!$E$113="At Completion",IF(34='I_Inputs &amp; Assumptions'!$B$8,'I_Budget Input Data'!$D$113,0),'I_Budget Input Data'!$D$113/'I_Inputs &amp; Assumptions'!$B$8)))))),0)</f>
        <v>0</v>
      </c>
      <c r="AK113" s="91">
        <f>IF(35&lt;='I_Inputs &amp; Assumptions'!$B$8,IF('I_Budget Input Data'!$E$113="Upfront",IF(35=1,'I_Budget Input Data'!$D$113,0),IF('I_Budget Input Data'!$E$113="Equal",'I_Budget Input Data'!$D$113/'I_Inputs &amp; Assumptions'!$B$8,IF('I_Budget Input Data'!$E$113="Front-loaded",IF(35&lt;='I_Inputs &amp; Assumptions'!$B$8/2,'I_Budget Input Data'!$D$113*0.6/('I_Inputs &amp; Assumptions'!$B$8/2),'I_Budget Input Data'!$D$113*0.4/('I_Inputs &amp; Assumptions'!$B$8/2)),IF('I_Budget Input Data'!$E$113="Back-loaded",IF(35&lt;='I_Inputs &amp; Assumptions'!$B$8/2,'I_Budget Input Data'!$D$113*0.4/('I_Inputs &amp; Assumptions'!$B$8/2),'I_Budget Input Data'!$D$113*0.6/('I_Inputs &amp; Assumptions'!$B$8/2)),IF('I_Budget Input Data'!$E$113="Mid-weighted",IF(35&lt;='I_Inputs &amp; Assumptions'!$B$8/4,'I_Budget Input Data'!$D$113*0.2/('I_Inputs &amp; Assumptions'!$B$8/4),IF(35&lt;='I_Inputs &amp; Assumptions'!$B$8*0.75,'I_Budget Input Data'!$D$113*0.6/('I_Inputs &amp; Assumptions'!$B$8/2),'I_Budget Input Data'!$D$113*0.2/('I_Inputs &amp; Assumptions'!$B$8/4))),IF('I_Budget Input Data'!$E$113="At Completion",IF(35='I_Inputs &amp; Assumptions'!$B$8,'I_Budget Input Data'!$D$113,0),'I_Budget Input Data'!$D$113/'I_Inputs &amp; Assumptions'!$B$8)))))),0)</f>
        <v>0</v>
      </c>
      <c r="AL113" s="91">
        <f>IF(36&lt;='I_Inputs &amp; Assumptions'!$B$8,IF('I_Budget Input Data'!$E$113="Upfront",IF(36=1,'I_Budget Input Data'!$D$113,0),IF('I_Budget Input Data'!$E$113="Equal",'I_Budget Input Data'!$D$113/'I_Inputs &amp; Assumptions'!$B$8,IF('I_Budget Input Data'!$E$113="Front-loaded",IF(36&lt;='I_Inputs &amp; Assumptions'!$B$8/2,'I_Budget Input Data'!$D$113*0.6/('I_Inputs &amp; Assumptions'!$B$8/2),'I_Budget Input Data'!$D$113*0.4/('I_Inputs &amp; Assumptions'!$B$8/2)),IF('I_Budget Input Data'!$E$113="Back-loaded",IF(36&lt;='I_Inputs &amp; Assumptions'!$B$8/2,'I_Budget Input Data'!$D$113*0.4/('I_Inputs &amp; Assumptions'!$B$8/2),'I_Budget Input Data'!$D$113*0.6/('I_Inputs &amp; Assumptions'!$B$8/2)),IF('I_Budget Input Data'!$E$113="Mid-weighted",IF(36&lt;='I_Inputs &amp; Assumptions'!$B$8/4,'I_Budget Input Data'!$D$113*0.2/('I_Inputs &amp; Assumptions'!$B$8/4),IF(36&lt;='I_Inputs &amp; Assumptions'!$B$8*0.75,'I_Budget Input Data'!$D$113*0.6/('I_Inputs &amp; Assumptions'!$B$8/2),'I_Budget Input Data'!$D$113*0.2/('I_Inputs &amp; Assumptions'!$B$8/4))),IF('I_Budget Input Data'!$E$113="At Completion",IF(36='I_Inputs &amp; Assumptions'!$B$8,'I_Budget Input Data'!$D$113,0),'I_Budget Input Data'!$D$113/'I_Inputs &amp; Assumptions'!$B$8)))))),0)</f>
        <v>0</v>
      </c>
    </row>
    <row r="114" spans="1:38" ht="15" customHeight="1" x14ac:dyDescent="0.2">
      <c r="A114" t="s">
        <v>146</v>
      </c>
      <c r="B114" t="s">
        <v>230</v>
      </c>
      <c r="C114" s="91">
        <f>IF(1&lt;='I_Inputs &amp; Assumptions'!$B$8,IF('I_Budget Input Data'!$E$114="Upfront",IF(1=1,'I_Budget Input Data'!$D$114,0),IF('I_Budget Input Data'!$E$114="Equal",'I_Budget Input Data'!$D$114/'I_Inputs &amp; Assumptions'!$B$8,IF('I_Budget Input Data'!$E$114="Front-loaded",IF(1&lt;='I_Inputs &amp; Assumptions'!$B$8/2,'I_Budget Input Data'!$D$114*0.6/('I_Inputs &amp; Assumptions'!$B$8/2),'I_Budget Input Data'!$D$114*0.4/('I_Inputs &amp; Assumptions'!$B$8/2)),IF('I_Budget Input Data'!$E$114="Back-loaded",IF(1&lt;='I_Inputs &amp; Assumptions'!$B$8/2,'I_Budget Input Data'!$D$114*0.4/('I_Inputs &amp; Assumptions'!$B$8/2),'I_Budget Input Data'!$D$114*0.6/('I_Inputs &amp; Assumptions'!$B$8/2)),IF('I_Budget Input Data'!$E$114="Mid-weighted",IF(1&lt;='I_Inputs &amp; Assumptions'!$B$8/4,'I_Budget Input Data'!$D$114*0.2/('I_Inputs &amp; Assumptions'!$B$8/4),IF(1&lt;='I_Inputs &amp; Assumptions'!$B$8*0.75,'I_Budget Input Data'!$D$114*0.6/('I_Inputs &amp; Assumptions'!$B$8/2),'I_Budget Input Data'!$D$114*0.2/('I_Inputs &amp; Assumptions'!$B$8/4))),IF('I_Budget Input Data'!$E$114="At Completion",IF(1='I_Inputs &amp; Assumptions'!$B$8,'I_Budget Input Data'!$D$114,0),'I_Budget Input Data'!$D$114/'I_Inputs &amp; Assumptions'!$B$8)))))),0)</f>
        <v>21126.153846153848</v>
      </c>
      <c r="D114" s="91">
        <f>IF(2&lt;='I_Inputs &amp; Assumptions'!$B$8,IF('I_Budget Input Data'!$E$114="Upfront",IF(2=1,'I_Budget Input Data'!$D$114,0),IF('I_Budget Input Data'!$E$114="Equal",'I_Budget Input Data'!$D$114/'I_Inputs &amp; Assumptions'!$B$8,IF('I_Budget Input Data'!$E$114="Front-loaded",IF(2&lt;='I_Inputs &amp; Assumptions'!$B$8/2,'I_Budget Input Data'!$D$114*0.6/('I_Inputs &amp; Assumptions'!$B$8/2),'I_Budget Input Data'!$D$114*0.4/('I_Inputs &amp; Assumptions'!$B$8/2)),IF('I_Budget Input Data'!$E$114="Back-loaded",IF(2&lt;='I_Inputs &amp; Assumptions'!$B$8/2,'I_Budget Input Data'!$D$114*0.4/('I_Inputs &amp; Assumptions'!$B$8/2),'I_Budget Input Data'!$D$114*0.6/('I_Inputs &amp; Assumptions'!$B$8/2)),IF('I_Budget Input Data'!$E$114="Mid-weighted",IF(2&lt;='I_Inputs &amp; Assumptions'!$B$8/4,'I_Budget Input Data'!$D$114*0.2/('I_Inputs &amp; Assumptions'!$B$8/4),IF(2&lt;='I_Inputs &amp; Assumptions'!$B$8*0.75,'I_Budget Input Data'!$D$114*0.6/('I_Inputs &amp; Assumptions'!$B$8/2),'I_Budget Input Data'!$D$114*0.2/('I_Inputs &amp; Assumptions'!$B$8/4))),IF('I_Budget Input Data'!$E$114="At Completion",IF(2='I_Inputs &amp; Assumptions'!$B$8,'I_Budget Input Data'!$D$114,0),'I_Budget Input Data'!$D$114/'I_Inputs &amp; Assumptions'!$B$8)))))),0)</f>
        <v>21126.153846153848</v>
      </c>
      <c r="E114" s="91">
        <f>IF(3&lt;='I_Inputs &amp; Assumptions'!$B$8,IF('I_Budget Input Data'!$E$114="Upfront",IF(3=1,'I_Budget Input Data'!$D$114,0),IF('I_Budget Input Data'!$E$114="Equal",'I_Budget Input Data'!$D$114/'I_Inputs &amp; Assumptions'!$B$8,IF('I_Budget Input Data'!$E$114="Front-loaded",IF(3&lt;='I_Inputs &amp; Assumptions'!$B$8/2,'I_Budget Input Data'!$D$114*0.6/('I_Inputs &amp; Assumptions'!$B$8/2),'I_Budget Input Data'!$D$114*0.4/('I_Inputs &amp; Assumptions'!$B$8/2)),IF('I_Budget Input Data'!$E$114="Back-loaded",IF(3&lt;='I_Inputs &amp; Assumptions'!$B$8/2,'I_Budget Input Data'!$D$114*0.4/('I_Inputs &amp; Assumptions'!$B$8/2),'I_Budget Input Data'!$D$114*0.6/('I_Inputs &amp; Assumptions'!$B$8/2)),IF('I_Budget Input Data'!$E$114="Mid-weighted",IF(3&lt;='I_Inputs &amp; Assumptions'!$B$8/4,'I_Budget Input Data'!$D$114*0.2/('I_Inputs &amp; Assumptions'!$B$8/4),IF(3&lt;='I_Inputs &amp; Assumptions'!$B$8*0.75,'I_Budget Input Data'!$D$114*0.6/('I_Inputs &amp; Assumptions'!$B$8/2),'I_Budget Input Data'!$D$114*0.2/('I_Inputs &amp; Assumptions'!$B$8/4))),IF('I_Budget Input Data'!$E$114="At Completion",IF(3='I_Inputs &amp; Assumptions'!$B$8,'I_Budget Input Data'!$D$114,0),'I_Budget Input Data'!$D$114/'I_Inputs &amp; Assumptions'!$B$8)))))),0)</f>
        <v>21126.153846153848</v>
      </c>
      <c r="F114" s="91">
        <f>IF(4&lt;='I_Inputs &amp; Assumptions'!$B$8,IF('I_Budget Input Data'!$E$114="Upfront",IF(4=1,'I_Budget Input Data'!$D$114,0),IF('I_Budget Input Data'!$E$114="Equal",'I_Budget Input Data'!$D$114/'I_Inputs &amp; Assumptions'!$B$8,IF('I_Budget Input Data'!$E$114="Front-loaded",IF(4&lt;='I_Inputs &amp; Assumptions'!$B$8/2,'I_Budget Input Data'!$D$114*0.6/('I_Inputs &amp; Assumptions'!$B$8/2),'I_Budget Input Data'!$D$114*0.4/('I_Inputs &amp; Assumptions'!$B$8/2)),IF('I_Budget Input Data'!$E$114="Back-loaded",IF(4&lt;='I_Inputs &amp; Assumptions'!$B$8/2,'I_Budget Input Data'!$D$114*0.4/('I_Inputs &amp; Assumptions'!$B$8/2),'I_Budget Input Data'!$D$114*0.6/('I_Inputs &amp; Assumptions'!$B$8/2)),IF('I_Budget Input Data'!$E$114="Mid-weighted",IF(4&lt;='I_Inputs &amp; Assumptions'!$B$8/4,'I_Budget Input Data'!$D$114*0.2/('I_Inputs &amp; Assumptions'!$B$8/4),IF(4&lt;='I_Inputs &amp; Assumptions'!$B$8*0.75,'I_Budget Input Data'!$D$114*0.6/('I_Inputs &amp; Assumptions'!$B$8/2),'I_Budget Input Data'!$D$114*0.2/('I_Inputs &amp; Assumptions'!$B$8/4))),IF('I_Budget Input Data'!$E$114="At Completion",IF(4='I_Inputs &amp; Assumptions'!$B$8,'I_Budget Input Data'!$D$114,0),'I_Budget Input Data'!$D$114/'I_Inputs &amp; Assumptions'!$B$8)))))),0)</f>
        <v>21126.153846153848</v>
      </c>
      <c r="G114" s="91">
        <f>IF(5&lt;='I_Inputs &amp; Assumptions'!$B$8,IF('I_Budget Input Data'!$E$114="Upfront",IF(5=1,'I_Budget Input Data'!$D$114,0),IF('I_Budget Input Data'!$E$114="Equal",'I_Budget Input Data'!$D$114/'I_Inputs &amp; Assumptions'!$B$8,IF('I_Budget Input Data'!$E$114="Front-loaded",IF(5&lt;='I_Inputs &amp; Assumptions'!$B$8/2,'I_Budget Input Data'!$D$114*0.6/('I_Inputs &amp; Assumptions'!$B$8/2),'I_Budget Input Data'!$D$114*0.4/('I_Inputs &amp; Assumptions'!$B$8/2)),IF('I_Budget Input Data'!$E$114="Back-loaded",IF(5&lt;='I_Inputs &amp; Assumptions'!$B$8/2,'I_Budget Input Data'!$D$114*0.4/('I_Inputs &amp; Assumptions'!$B$8/2),'I_Budget Input Data'!$D$114*0.6/('I_Inputs &amp; Assumptions'!$B$8/2)),IF('I_Budget Input Data'!$E$114="Mid-weighted",IF(5&lt;='I_Inputs &amp; Assumptions'!$B$8/4,'I_Budget Input Data'!$D$114*0.2/('I_Inputs &amp; Assumptions'!$B$8/4),IF(5&lt;='I_Inputs &amp; Assumptions'!$B$8*0.75,'I_Budget Input Data'!$D$114*0.6/('I_Inputs &amp; Assumptions'!$B$8/2),'I_Budget Input Data'!$D$114*0.2/('I_Inputs &amp; Assumptions'!$B$8/4))),IF('I_Budget Input Data'!$E$114="At Completion",IF(5='I_Inputs &amp; Assumptions'!$B$8,'I_Budget Input Data'!$D$114,0),'I_Budget Input Data'!$D$114/'I_Inputs &amp; Assumptions'!$B$8)))))),0)</f>
        <v>21126.153846153848</v>
      </c>
      <c r="H114" s="91">
        <f>IF(6&lt;='I_Inputs &amp; Assumptions'!$B$8,IF('I_Budget Input Data'!$E$114="Upfront",IF(6=1,'I_Budget Input Data'!$D$114,0),IF('I_Budget Input Data'!$E$114="Equal",'I_Budget Input Data'!$D$114/'I_Inputs &amp; Assumptions'!$B$8,IF('I_Budget Input Data'!$E$114="Front-loaded",IF(6&lt;='I_Inputs &amp; Assumptions'!$B$8/2,'I_Budget Input Data'!$D$114*0.6/('I_Inputs &amp; Assumptions'!$B$8/2),'I_Budget Input Data'!$D$114*0.4/('I_Inputs &amp; Assumptions'!$B$8/2)),IF('I_Budget Input Data'!$E$114="Back-loaded",IF(6&lt;='I_Inputs &amp; Assumptions'!$B$8/2,'I_Budget Input Data'!$D$114*0.4/('I_Inputs &amp; Assumptions'!$B$8/2),'I_Budget Input Data'!$D$114*0.6/('I_Inputs &amp; Assumptions'!$B$8/2)),IF('I_Budget Input Data'!$E$114="Mid-weighted",IF(6&lt;='I_Inputs &amp; Assumptions'!$B$8/4,'I_Budget Input Data'!$D$114*0.2/('I_Inputs &amp; Assumptions'!$B$8/4),IF(6&lt;='I_Inputs &amp; Assumptions'!$B$8*0.75,'I_Budget Input Data'!$D$114*0.6/('I_Inputs &amp; Assumptions'!$B$8/2),'I_Budget Input Data'!$D$114*0.2/('I_Inputs &amp; Assumptions'!$B$8/4))),IF('I_Budget Input Data'!$E$114="At Completion",IF(6='I_Inputs &amp; Assumptions'!$B$8,'I_Budget Input Data'!$D$114,0),'I_Budget Input Data'!$D$114/'I_Inputs &amp; Assumptions'!$B$8)))))),0)</f>
        <v>21126.153846153848</v>
      </c>
      <c r="I114" s="91">
        <f>IF(7&lt;='I_Inputs &amp; Assumptions'!$B$8,IF('I_Budget Input Data'!$E$114="Upfront",IF(7=1,'I_Budget Input Data'!$D$114,0),IF('I_Budget Input Data'!$E$114="Equal",'I_Budget Input Data'!$D$114/'I_Inputs &amp; Assumptions'!$B$8,IF('I_Budget Input Data'!$E$114="Front-loaded",IF(7&lt;='I_Inputs &amp; Assumptions'!$B$8/2,'I_Budget Input Data'!$D$114*0.6/('I_Inputs &amp; Assumptions'!$B$8/2),'I_Budget Input Data'!$D$114*0.4/('I_Inputs &amp; Assumptions'!$B$8/2)),IF('I_Budget Input Data'!$E$114="Back-loaded",IF(7&lt;='I_Inputs &amp; Assumptions'!$B$8/2,'I_Budget Input Data'!$D$114*0.4/('I_Inputs &amp; Assumptions'!$B$8/2),'I_Budget Input Data'!$D$114*0.6/('I_Inputs &amp; Assumptions'!$B$8/2)),IF('I_Budget Input Data'!$E$114="Mid-weighted",IF(7&lt;='I_Inputs &amp; Assumptions'!$B$8/4,'I_Budget Input Data'!$D$114*0.2/('I_Inputs &amp; Assumptions'!$B$8/4),IF(7&lt;='I_Inputs &amp; Assumptions'!$B$8*0.75,'I_Budget Input Data'!$D$114*0.6/('I_Inputs &amp; Assumptions'!$B$8/2),'I_Budget Input Data'!$D$114*0.2/('I_Inputs &amp; Assumptions'!$B$8/4))),IF('I_Budget Input Data'!$E$114="At Completion",IF(7='I_Inputs &amp; Assumptions'!$B$8,'I_Budget Input Data'!$D$114,0),'I_Budget Input Data'!$D$114/'I_Inputs &amp; Assumptions'!$B$8)))))),0)</f>
        <v>31689.23076923077</v>
      </c>
      <c r="J114" s="91">
        <f>IF(8&lt;='I_Inputs &amp; Assumptions'!$B$8,IF('I_Budget Input Data'!$E$114="Upfront",IF(8=1,'I_Budget Input Data'!$D$114,0),IF('I_Budget Input Data'!$E$114="Equal",'I_Budget Input Data'!$D$114/'I_Inputs &amp; Assumptions'!$B$8,IF('I_Budget Input Data'!$E$114="Front-loaded",IF(8&lt;='I_Inputs &amp; Assumptions'!$B$8/2,'I_Budget Input Data'!$D$114*0.6/('I_Inputs &amp; Assumptions'!$B$8/2),'I_Budget Input Data'!$D$114*0.4/('I_Inputs &amp; Assumptions'!$B$8/2)),IF('I_Budget Input Data'!$E$114="Back-loaded",IF(8&lt;='I_Inputs &amp; Assumptions'!$B$8/2,'I_Budget Input Data'!$D$114*0.4/('I_Inputs &amp; Assumptions'!$B$8/2),'I_Budget Input Data'!$D$114*0.6/('I_Inputs &amp; Assumptions'!$B$8/2)),IF('I_Budget Input Data'!$E$114="Mid-weighted",IF(8&lt;='I_Inputs &amp; Assumptions'!$B$8/4,'I_Budget Input Data'!$D$114*0.2/('I_Inputs &amp; Assumptions'!$B$8/4),IF(8&lt;='I_Inputs &amp; Assumptions'!$B$8*0.75,'I_Budget Input Data'!$D$114*0.6/('I_Inputs &amp; Assumptions'!$B$8/2),'I_Budget Input Data'!$D$114*0.2/('I_Inputs &amp; Assumptions'!$B$8/4))),IF('I_Budget Input Data'!$E$114="At Completion",IF(8='I_Inputs &amp; Assumptions'!$B$8,'I_Budget Input Data'!$D$114,0),'I_Budget Input Data'!$D$114/'I_Inputs &amp; Assumptions'!$B$8)))))),0)</f>
        <v>31689.23076923077</v>
      </c>
      <c r="K114" s="91">
        <f>IF(9&lt;='I_Inputs &amp; Assumptions'!$B$8,IF('I_Budget Input Data'!$E$114="Upfront",IF(9=1,'I_Budget Input Data'!$D$114,0),IF('I_Budget Input Data'!$E$114="Equal",'I_Budget Input Data'!$D$114/'I_Inputs &amp; Assumptions'!$B$8,IF('I_Budget Input Data'!$E$114="Front-loaded",IF(9&lt;='I_Inputs &amp; Assumptions'!$B$8/2,'I_Budget Input Data'!$D$114*0.6/('I_Inputs &amp; Assumptions'!$B$8/2),'I_Budget Input Data'!$D$114*0.4/('I_Inputs &amp; Assumptions'!$B$8/2)),IF('I_Budget Input Data'!$E$114="Back-loaded",IF(9&lt;='I_Inputs &amp; Assumptions'!$B$8/2,'I_Budget Input Data'!$D$114*0.4/('I_Inputs &amp; Assumptions'!$B$8/2),'I_Budget Input Data'!$D$114*0.6/('I_Inputs &amp; Assumptions'!$B$8/2)),IF('I_Budget Input Data'!$E$114="Mid-weighted",IF(9&lt;='I_Inputs &amp; Assumptions'!$B$8/4,'I_Budget Input Data'!$D$114*0.2/('I_Inputs &amp; Assumptions'!$B$8/4),IF(9&lt;='I_Inputs &amp; Assumptions'!$B$8*0.75,'I_Budget Input Data'!$D$114*0.6/('I_Inputs &amp; Assumptions'!$B$8/2),'I_Budget Input Data'!$D$114*0.2/('I_Inputs &amp; Assumptions'!$B$8/4))),IF('I_Budget Input Data'!$E$114="At Completion",IF(9='I_Inputs &amp; Assumptions'!$B$8,'I_Budget Input Data'!$D$114,0),'I_Budget Input Data'!$D$114/'I_Inputs &amp; Assumptions'!$B$8)))))),0)</f>
        <v>31689.23076923077</v>
      </c>
      <c r="L114" s="91">
        <f>IF(10&lt;='I_Inputs &amp; Assumptions'!$B$8,IF('I_Budget Input Data'!$E$114="Upfront",IF(10=1,'I_Budget Input Data'!$D$114,0),IF('I_Budget Input Data'!$E$114="Equal",'I_Budget Input Data'!$D$114/'I_Inputs &amp; Assumptions'!$B$8,IF('I_Budget Input Data'!$E$114="Front-loaded",IF(10&lt;='I_Inputs &amp; Assumptions'!$B$8/2,'I_Budget Input Data'!$D$114*0.6/('I_Inputs &amp; Assumptions'!$B$8/2),'I_Budget Input Data'!$D$114*0.4/('I_Inputs &amp; Assumptions'!$B$8/2)),IF('I_Budget Input Data'!$E$114="Back-loaded",IF(10&lt;='I_Inputs &amp; Assumptions'!$B$8/2,'I_Budget Input Data'!$D$114*0.4/('I_Inputs &amp; Assumptions'!$B$8/2),'I_Budget Input Data'!$D$114*0.6/('I_Inputs &amp; Assumptions'!$B$8/2)),IF('I_Budget Input Data'!$E$114="Mid-weighted",IF(10&lt;='I_Inputs &amp; Assumptions'!$B$8/4,'I_Budget Input Data'!$D$114*0.2/('I_Inputs &amp; Assumptions'!$B$8/4),IF(10&lt;='I_Inputs &amp; Assumptions'!$B$8*0.75,'I_Budget Input Data'!$D$114*0.6/('I_Inputs &amp; Assumptions'!$B$8/2),'I_Budget Input Data'!$D$114*0.2/('I_Inputs &amp; Assumptions'!$B$8/4))),IF('I_Budget Input Data'!$E$114="At Completion",IF(10='I_Inputs &amp; Assumptions'!$B$8,'I_Budget Input Data'!$D$114,0),'I_Budget Input Data'!$D$114/'I_Inputs &amp; Assumptions'!$B$8)))))),0)</f>
        <v>31689.23076923077</v>
      </c>
      <c r="M114" s="91">
        <f>IF(11&lt;='I_Inputs &amp; Assumptions'!$B$8,IF('I_Budget Input Data'!$E$114="Upfront",IF(11=1,'I_Budget Input Data'!$D$114,0),IF('I_Budget Input Data'!$E$114="Equal",'I_Budget Input Data'!$D$114/'I_Inputs &amp; Assumptions'!$B$8,IF('I_Budget Input Data'!$E$114="Front-loaded",IF(11&lt;='I_Inputs &amp; Assumptions'!$B$8/2,'I_Budget Input Data'!$D$114*0.6/('I_Inputs &amp; Assumptions'!$B$8/2),'I_Budget Input Data'!$D$114*0.4/('I_Inputs &amp; Assumptions'!$B$8/2)),IF('I_Budget Input Data'!$E$114="Back-loaded",IF(11&lt;='I_Inputs &amp; Assumptions'!$B$8/2,'I_Budget Input Data'!$D$114*0.4/('I_Inputs &amp; Assumptions'!$B$8/2),'I_Budget Input Data'!$D$114*0.6/('I_Inputs &amp; Assumptions'!$B$8/2)),IF('I_Budget Input Data'!$E$114="Mid-weighted",IF(11&lt;='I_Inputs &amp; Assumptions'!$B$8/4,'I_Budget Input Data'!$D$114*0.2/('I_Inputs &amp; Assumptions'!$B$8/4),IF(11&lt;='I_Inputs &amp; Assumptions'!$B$8*0.75,'I_Budget Input Data'!$D$114*0.6/('I_Inputs &amp; Assumptions'!$B$8/2),'I_Budget Input Data'!$D$114*0.2/('I_Inputs &amp; Assumptions'!$B$8/4))),IF('I_Budget Input Data'!$E$114="At Completion",IF(11='I_Inputs &amp; Assumptions'!$B$8,'I_Budget Input Data'!$D$114,0),'I_Budget Input Data'!$D$114/'I_Inputs &amp; Assumptions'!$B$8)))))),0)</f>
        <v>31689.23076923077</v>
      </c>
      <c r="N114" s="91">
        <f>IF(12&lt;='I_Inputs &amp; Assumptions'!$B$8,IF('I_Budget Input Data'!$E$114="Upfront",IF(12=1,'I_Budget Input Data'!$D$114,0),IF('I_Budget Input Data'!$E$114="Equal",'I_Budget Input Data'!$D$114/'I_Inputs &amp; Assumptions'!$B$8,IF('I_Budget Input Data'!$E$114="Front-loaded",IF(12&lt;='I_Inputs &amp; Assumptions'!$B$8/2,'I_Budget Input Data'!$D$114*0.6/('I_Inputs &amp; Assumptions'!$B$8/2),'I_Budget Input Data'!$D$114*0.4/('I_Inputs &amp; Assumptions'!$B$8/2)),IF('I_Budget Input Data'!$E$114="Back-loaded",IF(12&lt;='I_Inputs &amp; Assumptions'!$B$8/2,'I_Budget Input Data'!$D$114*0.4/('I_Inputs &amp; Assumptions'!$B$8/2),'I_Budget Input Data'!$D$114*0.6/('I_Inputs &amp; Assumptions'!$B$8/2)),IF('I_Budget Input Data'!$E$114="Mid-weighted",IF(12&lt;='I_Inputs &amp; Assumptions'!$B$8/4,'I_Budget Input Data'!$D$114*0.2/('I_Inputs &amp; Assumptions'!$B$8/4),IF(12&lt;='I_Inputs &amp; Assumptions'!$B$8*0.75,'I_Budget Input Data'!$D$114*0.6/('I_Inputs &amp; Assumptions'!$B$8/2),'I_Budget Input Data'!$D$114*0.2/('I_Inputs &amp; Assumptions'!$B$8/4))),IF('I_Budget Input Data'!$E$114="At Completion",IF(12='I_Inputs &amp; Assumptions'!$B$8,'I_Budget Input Data'!$D$114,0),'I_Budget Input Data'!$D$114/'I_Inputs &amp; Assumptions'!$B$8)))))),0)</f>
        <v>31689.23076923077</v>
      </c>
      <c r="O114" s="91">
        <f>IF(13&lt;='I_Inputs &amp; Assumptions'!$B$8,IF('I_Budget Input Data'!$E$114="Upfront",IF(13=1,'I_Budget Input Data'!$D$114,0),IF('I_Budget Input Data'!$E$114="Equal",'I_Budget Input Data'!$D$114/'I_Inputs &amp; Assumptions'!$B$8,IF('I_Budget Input Data'!$E$114="Front-loaded",IF(13&lt;='I_Inputs &amp; Assumptions'!$B$8/2,'I_Budget Input Data'!$D$114*0.6/('I_Inputs &amp; Assumptions'!$B$8/2),'I_Budget Input Data'!$D$114*0.4/('I_Inputs &amp; Assumptions'!$B$8/2)),IF('I_Budget Input Data'!$E$114="Back-loaded",IF(13&lt;='I_Inputs &amp; Assumptions'!$B$8/2,'I_Budget Input Data'!$D$114*0.4/('I_Inputs &amp; Assumptions'!$B$8/2),'I_Budget Input Data'!$D$114*0.6/('I_Inputs &amp; Assumptions'!$B$8/2)),IF('I_Budget Input Data'!$E$114="Mid-weighted",IF(13&lt;='I_Inputs &amp; Assumptions'!$B$8/4,'I_Budget Input Data'!$D$114*0.2/('I_Inputs &amp; Assumptions'!$B$8/4),IF(13&lt;='I_Inputs &amp; Assumptions'!$B$8*0.75,'I_Budget Input Data'!$D$114*0.6/('I_Inputs &amp; Assumptions'!$B$8/2),'I_Budget Input Data'!$D$114*0.2/('I_Inputs &amp; Assumptions'!$B$8/4))),IF('I_Budget Input Data'!$E$114="At Completion",IF(13='I_Inputs &amp; Assumptions'!$B$8,'I_Budget Input Data'!$D$114,0),'I_Budget Input Data'!$D$114/'I_Inputs &amp; Assumptions'!$B$8)))))),0)</f>
        <v>31689.23076923077</v>
      </c>
      <c r="P114" s="91">
        <f>IF(14&lt;='I_Inputs &amp; Assumptions'!$B$8,IF('I_Budget Input Data'!$E$114="Upfront",IF(14=1,'I_Budget Input Data'!$D$114,0),IF('I_Budget Input Data'!$E$114="Equal",'I_Budget Input Data'!$D$114/'I_Inputs &amp; Assumptions'!$B$8,IF('I_Budget Input Data'!$E$114="Front-loaded",IF(14&lt;='I_Inputs &amp; Assumptions'!$B$8/2,'I_Budget Input Data'!$D$114*0.6/('I_Inputs &amp; Assumptions'!$B$8/2),'I_Budget Input Data'!$D$114*0.4/('I_Inputs &amp; Assumptions'!$B$8/2)),IF('I_Budget Input Data'!$E$114="Back-loaded",IF(14&lt;='I_Inputs &amp; Assumptions'!$B$8/2,'I_Budget Input Data'!$D$114*0.4/('I_Inputs &amp; Assumptions'!$B$8/2),'I_Budget Input Data'!$D$114*0.6/('I_Inputs &amp; Assumptions'!$B$8/2)),IF('I_Budget Input Data'!$E$114="Mid-weighted",IF(14&lt;='I_Inputs &amp; Assumptions'!$B$8/4,'I_Budget Input Data'!$D$114*0.2/('I_Inputs &amp; Assumptions'!$B$8/4),IF(14&lt;='I_Inputs &amp; Assumptions'!$B$8*0.75,'I_Budget Input Data'!$D$114*0.6/('I_Inputs &amp; Assumptions'!$B$8/2),'I_Budget Input Data'!$D$114*0.2/('I_Inputs &amp; Assumptions'!$B$8/4))),IF('I_Budget Input Data'!$E$114="At Completion",IF(14='I_Inputs &amp; Assumptions'!$B$8,'I_Budget Input Data'!$D$114,0),'I_Budget Input Data'!$D$114/'I_Inputs &amp; Assumptions'!$B$8)))))),0)</f>
        <v>0</v>
      </c>
      <c r="Q114" s="91">
        <f>IF(15&lt;='I_Inputs &amp; Assumptions'!$B$8,IF('I_Budget Input Data'!$E$114="Upfront",IF(15=1,'I_Budget Input Data'!$D$114,0),IF('I_Budget Input Data'!$E$114="Equal",'I_Budget Input Data'!$D$114/'I_Inputs &amp; Assumptions'!$B$8,IF('I_Budget Input Data'!$E$114="Front-loaded",IF(15&lt;='I_Inputs &amp; Assumptions'!$B$8/2,'I_Budget Input Data'!$D$114*0.6/('I_Inputs &amp; Assumptions'!$B$8/2),'I_Budget Input Data'!$D$114*0.4/('I_Inputs &amp; Assumptions'!$B$8/2)),IF('I_Budget Input Data'!$E$114="Back-loaded",IF(15&lt;='I_Inputs &amp; Assumptions'!$B$8/2,'I_Budget Input Data'!$D$114*0.4/('I_Inputs &amp; Assumptions'!$B$8/2),'I_Budget Input Data'!$D$114*0.6/('I_Inputs &amp; Assumptions'!$B$8/2)),IF('I_Budget Input Data'!$E$114="Mid-weighted",IF(15&lt;='I_Inputs &amp; Assumptions'!$B$8/4,'I_Budget Input Data'!$D$114*0.2/('I_Inputs &amp; Assumptions'!$B$8/4),IF(15&lt;='I_Inputs &amp; Assumptions'!$B$8*0.75,'I_Budget Input Data'!$D$114*0.6/('I_Inputs &amp; Assumptions'!$B$8/2),'I_Budget Input Data'!$D$114*0.2/('I_Inputs &amp; Assumptions'!$B$8/4))),IF('I_Budget Input Data'!$E$114="At Completion",IF(15='I_Inputs &amp; Assumptions'!$B$8,'I_Budget Input Data'!$D$114,0),'I_Budget Input Data'!$D$114/'I_Inputs &amp; Assumptions'!$B$8)))))),0)</f>
        <v>0</v>
      </c>
      <c r="R114" s="91">
        <f>IF(16&lt;='I_Inputs &amp; Assumptions'!$B$8,IF('I_Budget Input Data'!$E$114="Upfront",IF(16=1,'I_Budget Input Data'!$D$114,0),IF('I_Budget Input Data'!$E$114="Equal",'I_Budget Input Data'!$D$114/'I_Inputs &amp; Assumptions'!$B$8,IF('I_Budget Input Data'!$E$114="Front-loaded",IF(16&lt;='I_Inputs &amp; Assumptions'!$B$8/2,'I_Budget Input Data'!$D$114*0.6/('I_Inputs &amp; Assumptions'!$B$8/2),'I_Budget Input Data'!$D$114*0.4/('I_Inputs &amp; Assumptions'!$B$8/2)),IF('I_Budget Input Data'!$E$114="Back-loaded",IF(16&lt;='I_Inputs &amp; Assumptions'!$B$8/2,'I_Budget Input Data'!$D$114*0.4/('I_Inputs &amp; Assumptions'!$B$8/2),'I_Budget Input Data'!$D$114*0.6/('I_Inputs &amp; Assumptions'!$B$8/2)),IF('I_Budget Input Data'!$E$114="Mid-weighted",IF(16&lt;='I_Inputs &amp; Assumptions'!$B$8/4,'I_Budget Input Data'!$D$114*0.2/('I_Inputs &amp; Assumptions'!$B$8/4),IF(16&lt;='I_Inputs &amp; Assumptions'!$B$8*0.75,'I_Budget Input Data'!$D$114*0.6/('I_Inputs &amp; Assumptions'!$B$8/2),'I_Budget Input Data'!$D$114*0.2/('I_Inputs &amp; Assumptions'!$B$8/4))),IF('I_Budget Input Data'!$E$114="At Completion",IF(16='I_Inputs &amp; Assumptions'!$B$8,'I_Budget Input Data'!$D$114,0),'I_Budget Input Data'!$D$114/'I_Inputs &amp; Assumptions'!$B$8)))))),0)</f>
        <v>0</v>
      </c>
      <c r="S114" s="91">
        <f>IF(17&lt;='I_Inputs &amp; Assumptions'!$B$8,IF('I_Budget Input Data'!$E$114="Upfront",IF(17=1,'I_Budget Input Data'!$D$114,0),IF('I_Budget Input Data'!$E$114="Equal",'I_Budget Input Data'!$D$114/'I_Inputs &amp; Assumptions'!$B$8,IF('I_Budget Input Data'!$E$114="Front-loaded",IF(17&lt;='I_Inputs &amp; Assumptions'!$B$8/2,'I_Budget Input Data'!$D$114*0.6/('I_Inputs &amp; Assumptions'!$B$8/2),'I_Budget Input Data'!$D$114*0.4/('I_Inputs &amp; Assumptions'!$B$8/2)),IF('I_Budget Input Data'!$E$114="Back-loaded",IF(17&lt;='I_Inputs &amp; Assumptions'!$B$8/2,'I_Budget Input Data'!$D$114*0.4/('I_Inputs &amp; Assumptions'!$B$8/2),'I_Budget Input Data'!$D$114*0.6/('I_Inputs &amp; Assumptions'!$B$8/2)),IF('I_Budget Input Data'!$E$114="Mid-weighted",IF(17&lt;='I_Inputs &amp; Assumptions'!$B$8/4,'I_Budget Input Data'!$D$114*0.2/('I_Inputs &amp; Assumptions'!$B$8/4),IF(17&lt;='I_Inputs &amp; Assumptions'!$B$8*0.75,'I_Budget Input Data'!$D$114*0.6/('I_Inputs &amp; Assumptions'!$B$8/2),'I_Budget Input Data'!$D$114*0.2/('I_Inputs &amp; Assumptions'!$B$8/4))),IF('I_Budget Input Data'!$E$114="At Completion",IF(17='I_Inputs &amp; Assumptions'!$B$8,'I_Budget Input Data'!$D$114,0),'I_Budget Input Data'!$D$114/'I_Inputs &amp; Assumptions'!$B$8)))))),0)</f>
        <v>0</v>
      </c>
      <c r="T114" s="91">
        <f>IF(18&lt;='I_Inputs &amp; Assumptions'!$B$8,IF('I_Budget Input Data'!$E$114="Upfront",IF(18=1,'I_Budget Input Data'!$D$114,0),IF('I_Budget Input Data'!$E$114="Equal",'I_Budget Input Data'!$D$114/'I_Inputs &amp; Assumptions'!$B$8,IF('I_Budget Input Data'!$E$114="Front-loaded",IF(18&lt;='I_Inputs &amp; Assumptions'!$B$8/2,'I_Budget Input Data'!$D$114*0.6/('I_Inputs &amp; Assumptions'!$B$8/2),'I_Budget Input Data'!$D$114*0.4/('I_Inputs &amp; Assumptions'!$B$8/2)),IF('I_Budget Input Data'!$E$114="Back-loaded",IF(18&lt;='I_Inputs &amp; Assumptions'!$B$8/2,'I_Budget Input Data'!$D$114*0.4/('I_Inputs &amp; Assumptions'!$B$8/2),'I_Budget Input Data'!$D$114*0.6/('I_Inputs &amp; Assumptions'!$B$8/2)),IF('I_Budget Input Data'!$E$114="Mid-weighted",IF(18&lt;='I_Inputs &amp; Assumptions'!$B$8/4,'I_Budget Input Data'!$D$114*0.2/('I_Inputs &amp; Assumptions'!$B$8/4),IF(18&lt;='I_Inputs &amp; Assumptions'!$B$8*0.75,'I_Budget Input Data'!$D$114*0.6/('I_Inputs &amp; Assumptions'!$B$8/2),'I_Budget Input Data'!$D$114*0.2/('I_Inputs &amp; Assumptions'!$B$8/4))),IF('I_Budget Input Data'!$E$114="At Completion",IF(18='I_Inputs &amp; Assumptions'!$B$8,'I_Budget Input Data'!$D$114,0),'I_Budget Input Data'!$D$114/'I_Inputs &amp; Assumptions'!$B$8)))))),0)</f>
        <v>0</v>
      </c>
      <c r="U114" s="91">
        <f>IF(19&lt;='I_Inputs &amp; Assumptions'!$B$8,IF('I_Budget Input Data'!$E$114="Upfront",IF(19=1,'I_Budget Input Data'!$D$114,0),IF('I_Budget Input Data'!$E$114="Equal",'I_Budget Input Data'!$D$114/'I_Inputs &amp; Assumptions'!$B$8,IF('I_Budget Input Data'!$E$114="Front-loaded",IF(19&lt;='I_Inputs &amp; Assumptions'!$B$8/2,'I_Budget Input Data'!$D$114*0.6/('I_Inputs &amp; Assumptions'!$B$8/2),'I_Budget Input Data'!$D$114*0.4/('I_Inputs &amp; Assumptions'!$B$8/2)),IF('I_Budget Input Data'!$E$114="Back-loaded",IF(19&lt;='I_Inputs &amp; Assumptions'!$B$8/2,'I_Budget Input Data'!$D$114*0.4/('I_Inputs &amp; Assumptions'!$B$8/2),'I_Budget Input Data'!$D$114*0.6/('I_Inputs &amp; Assumptions'!$B$8/2)),IF('I_Budget Input Data'!$E$114="Mid-weighted",IF(19&lt;='I_Inputs &amp; Assumptions'!$B$8/4,'I_Budget Input Data'!$D$114*0.2/('I_Inputs &amp; Assumptions'!$B$8/4),IF(19&lt;='I_Inputs &amp; Assumptions'!$B$8*0.75,'I_Budget Input Data'!$D$114*0.6/('I_Inputs &amp; Assumptions'!$B$8/2),'I_Budget Input Data'!$D$114*0.2/('I_Inputs &amp; Assumptions'!$B$8/4))),IF('I_Budget Input Data'!$E$114="At Completion",IF(19='I_Inputs &amp; Assumptions'!$B$8,'I_Budget Input Data'!$D$114,0),'I_Budget Input Data'!$D$114/'I_Inputs &amp; Assumptions'!$B$8)))))),0)</f>
        <v>0</v>
      </c>
      <c r="V114" s="91">
        <f>IF(20&lt;='I_Inputs &amp; Assumptions'!$B$8,IF('I_Budget Input Data'!$E$114="Upfront",IF(20=1,'I_Budget Input Data'!$D$114,0),IF('I_Budget Input Data'!$E$114="Equal",'I_Budget Input Data'!$D$114/'I_Inputs &amp; Assumptions'!$B$8,IF('I_Budget Input Data'!$E$114="Front-loaded",IF(20&lt;='I_Inputs &amp; Assumptions'!$B$8/2,'I_Budget Input Data'!$D$114*0.6/('I_Inputs &amp; Assumptions'!$B$8/2),'I_Budget Input Data'!$D$114*0.4/('I_Inputs &amp; Assumptions'!$B$8/2)),IF('I_Budget Input Data'!$E$114="Back-loaded",IF(20&lt;='I_Inputs &amp; Assumptions'!$B$8/2,'I_Budget Input Data'!$D$114*0.4/('I_Inputs &amp; Assumptions'!$B$8/2),'I_Budget Input Data'!$D$114*0.6/('I_Inputs &amp; Assumptions'!$B$8/2)),IF('I_Budget Input Data'!$E$114="Mid-weighted",IF(20&lt;='I_Inputs &amp; Assumptions'!$B$8/4,'I_Budget Input Data'!$D$114*0.2/('I_Inputs &amp; Assumptions'!$B$8/4),IF(20&lt;='I_Inputs &amp; Assumptions'!$B$8*0.75,'I_Budget Input Data'!$D$114*0.6/('I_Inputs &amp; Assumptions'!$B$8/2),'I_Budget Input Data'!$D$114*0.2/('I_Inputs &amp; Assumptions'!$B$8/4))),IF('I_Budget Input Data'!$E$114="At Completion",IF(20='I_Inputs &amp; Assumptions'!$B$8,'I_Budget Input Data'!$D$114,0),'I_Budget Input Data'!$D$114/'I_Inputs &amp; Assumptions'!$B$8)))))),0)</f>
        <v>0</v>
      </c>
      <c r="W114" s="91">
        <f>IF(21&lt;='I_Inputs &amp; Assumptions'!$B$8,IF('I_Budget Input Data'!$E$114="Upfront",IF(21=1,'I_Budget Input Data'!$D$114,0),IF('I_Budget Input Data'!$E$114="Equal",'I_Budget Input Data'!$D$114/'I_Inputs &amp; Assumptions'!$B$8,IF('I_Budget Input Data'!$E$114="Front-loaded",IF(21&lt;='I_Inputs &amp; Assumptions'!$B$8/2,'I_Budget Input Data'!$D$114*0.6/('I_Inputs &amp; Assumptions'!$B$8/2),'I_Budget Input Data'!$D$114*0.4/('I_Inputs &amp; Assumptions'!$B$8/2)),IF('I_Budget Input Data'!$E$114="Back-loaded",IF(21&lt;='I_Inputs &amp; Assumptions'!$B$8/2,'I_Budget Input Data'!$D$114*0.4/('I_Inputs &amp; Assumptions'!$B$8/2),'I_Budget Input Data'!$D$114*0.6/('I_Inputs &amp; Assumptions'!$B$8/2)),IF('I_Budget Input Data'!$E$114="Mid-weighted",IF(21&lt;='I_Inputs &amp; Assumptions'!$B$8/4,'I_Budget Input Data'!$D$114*0.2/('I_Inputs &amp; Assumptions'!$B$8/4),IF(21&lt;='I_Inputs &amp; Assumptions'!$B$8*0.75,'I_Budget Input Data'!$D$114*0.6/('I_Inputs &amp; Assumptions'!$B$8/2),'I_Budget Input Data'!$D$114*0.2/('I_Inputs &amp; Assumptions'!$B$8/4))),IF('I_Budget Input Data'!$E$114="At Completion",IF(21='I_Inputs &amp; Assumptions'!$B$8,'I_Budget Input Data'!$D$114,0),'I_Budget Input Data'!$D$114/'I_Inputs &amp; Assumptions'!$B$8)))))),0)</f>
        <v>0</v>
      </c>
      <c r="X114" s="91">
        <f>IF(22&lt;='I_Inputs &amp; Assumptions'!$B$8,IF('I_Budget Input Data'!$E$114="Upfront",IF(22=1,'I_Budget Input Data'!$D$114,0),IF('I_Budget Input Data'!$E$114="Equal",'I_Budget Input Data'!$D$114/'I_Inputs &amp; Assumptions'!$B$8,IF('I_Budget Input Data'!$E$114="Front-loaded",IF(22&lt;='I_Inputs &amp; Assumptions'!$B$8/2,'I_Budget Input Data'!$D$114*0.6/('I_Inputs &amp; Assumptions'!$B$8/2),'I_Budget Input Data'!$D$114*0.4/('I_Inputs &amp; Assumptions'!$B$8/2)),IF('I_Budget Input Data'!$E$114="Back-loaded",IF(22&lt;='I_Inputs &amp; Assumptions'!$B$8/2,'I_Budget Input Data'!$D$114*0.4/('I_Inputs &amp; Assumptions'!$B$8/2),'I_Budget Input Data'!$D$114*0.6/('I_Inputs &amp; Assumptions'!$B$8/2)),IF('I_Budget Input Data'!$E$114="Mid-weighted",IF(22&lt;='I_Inputs &amp; Assumptions'!$B$8/4,'I_Budget Input Data'!$D$114*0.2/('I_Inputs &amp; Assumptions'!$B$8/4),IF(22&lt;='I_Inputs &amp; Assumptions'!$B$8*0.75,'I_Budget Input Data'!$D$114*0.6/('I_Inputs &amp; Assumptions'!$B$8/2),'I_Budget Input Data'!$D$114*0.2/('I_Inputs &amp; Assumptions'!$B$8/4))),IF('I_Budget Input Data'!$E$114="At Completion",IF(22='I_Inputs &amp; Assumptions'!$B$8,'I_Budget Input Data'!$D$114,0),'I_Budget Input Data'!$D$114/'I_Inputs &amp; Assumptions'!$B$8)))))),0)</f>
        <v>0</v>
      </c>
      <c r="Y114" s="91">
        <f>IF(23&lt;='I_Inputs &amp; Assumptions'!$B$8,IF('I_Budget Input Data'!$E$114="Upfront",IF(23=1,'I_Budget Input Data'!$D$114,0),IF('I_Budget Input Data'!$E$114="Equal",'I_Budget Input Data'!$D$114/'I_Inputs &amp; Assumptions'!$B$8,IF('I_Budget Input Data'!$E$114="Front-loaded",IF(23&lt;='I_Inputs &amp; Assumptions'!$B$8/2,'I_Budget Input Data'!$D$114*0.6/('I_Inputs &amp; Assumptions'!$B$8/2),'I_Budget Input Data'!$D$114*0.4/('I_Inputs &amp; Assumptions'!$B$8/2)),IF('I_Budget Input Data'!$E$114="Back-loaded",IF(23&lt;='I_Inputs &amp; Assumptions'!$B$8/2,'I_Budget Input Data'!$D$114*0.4/('I_Inputs &amp; Assumptions'!$B$8/2),'I_Budget Input Data'!$D$114*0.6/('I_Inputs &amp; Assumptions'!$B$8/2)),IF('I_Budget Input Data'!$E$114="Mid-weighted",IF(23&lt;='I_Inputs &amp; Assumptions'!$B$8/4,'I_Budget Input Data'!$D$114*0.2/('I_Inputs &amp; Assumptions'!$B$8/4),IF(23&lt;='I_Inputs &amp; Assumptions'!$B$8*0.75,'I_Budget Input Data'!$D$114*0.6/('I_Inputs &amp; Assumptions'!$B$8/2),'I_Budget Input Data'!$D$114*0.2/('I_Inputs &amp; Assumptions'!$B$8/4))),IF('I_Budget Input Data'!$E$114="At Completion",IF(23='I_Inputs &amp; Assumptions'!$B$8,'I_Budget Input Data'!$D$114,0),'I_Budget Input Data'!$D$114/'I_Inputs &amp; Assumptions'!$B$8)))))),0)</f>
        <v>0</v>
      </c>
      <c r="Z114" s="91">
        <f>IF(24&lt;='I_Inputs &amp; Assumptions'!$B$8,IF('I_Budget Input Data'!$E$114="Upfront",IF(24=1,'I_Budget Input Data'!$D$114,0),IF('I_Budget Input Data'!$E$114="Equal",'I_Budget Input Data'!$D$114/'I_Inputs &amp; Assumptions'!$B$8,IF('I_Budget Input Data'!$E$114="Front-loaded",IF(24&lt;='I_Inputs &amp; Assumptions'!$B$8/2,'I_Budget Input Data'!$D$114*0.6/('I_Inputs &amp; Assumptions'!$B$8/2),'I_Budget Input Data'!$D$114*0.4/('I_Inputs &amp; Assumptions'!$B$8/2)),IF('I_Budget Input Data'!$E$114="Back-loaded",IF(24&lt;='I_Inputs &amp; Assumptions'!$B$8/2,'I_Budget Input Data'!$D$114*0.4/('I_Inputs &amp; Assumptions'!$B$8/2),'I_Budget Input Data'!$D$114*0.6/('I_Inputs &amp; Assumptions'!$B$8/2)),IF('I_Budget Input Data'!$E$114="Mid-weighted",IF(24&lt;='I_Inputs &amp; Assumptions'!$B$8/4,'I_Budget Input Data'!$D$114*0.2/('I_Inputs &amp; Assumptions'!$B$8/4),IF(24&lt;='I_Inputs &amp; Assumptions'!$B$8*0.75,'I_Budget Input Data'!$D$114*0.6/('I_Inputs &amp; Assumptions'!$B$8/2),'I_Budget Input Data'!$D$114*0.2/('I_Inputs &amp; Assumptions'!$B$8/4))),IF('I_Budget Input Data'!$E$114="At Completion",IF(24='I_Inputs &amp; Assumptions'!$B$8,'I_Budget Input Data'!$D$114,0),'I_Budget Input Data'!$D$114/'I_Inputs &amp; Assumptions'!$B$8)))))),0)</f>
        <v>0</v>
      </c>
      <c r="AA114" s="91">
        <f>IF(25&lt;='I_Inputs &amp; Assumptions'!$B$8,IF('I_Budget Input Data'!$E$114="Upfront",IF(25=1,'I_Budget Input Data'!$D$114,0),IF('I_Budget Input Data'!$E$114="Equal",'I_Budget Input Data'!$D$114/'I_Inputs &amp; Assumptions'!$B$8,IF('I_Budget Input Data'!$E$114="Front-loaded",IF(25&lt;='I_Inputs &amp; Assumptions'!$B$8/2,'I_Budget Input Data'!$D$114*0.6/('I_Inputs &amp; Assumptions'!$B$8/2),'I_Budget Input Data'!$D$114*0.4/('I_Inputs &amp; Assumptions'!$B$8/2)),IF('I_Budget Input Data'!$E$114="Back-loaded",IF(25&lt;='I_Inputs &amp; Assumptions'!$B$8/2,'I_Budget Input Data'!$D$114*0.4/('I_Inputs &amp; Assumptions'!$B$8/2),'I_Budget Input Data'!$D$114*0.6/('I_Inputs &amp; Assumptions'!$B$8/2)),IF('I_Budget Input Data'!$E$114="Mid-weighted",IF(25&lt;='I_Inputs &amp; Assumptions'!$B$8/4,'I_Budget Input Data'!$D$114*0.2/('I_Inputs &amp; Assumptions'!$B$8/4),IF(25&lt;='I_Inputs &amp; Assumptions'!$B$8*0.75,'I_Budget Input Data'!$D$114*0.6/('I_Inputs &amp; Assumptions'!$B$8/2),'I_Budget Input Data'!$D$114*0.2/('I_Inputs &amp; Assumptions'!$B$8/4))),IF('I_Budget Input Data'!$E$114="At Completion",IF(25='I_Inputs &amp; Assumptions'!$B$8,'I_Budget Input Data'!$D$114,0),'I_Budget Input Data'!$D$114/'I_Inputs &amp; Assumptions'!$B$8)))))),0)</f>
        <v>0</v>
      </c>
      <c r="AB114" s="91">
        <f>IF(26&lt;='I_Inputs &amp; Assumptions'!$B$8,IF('I_Budget Input Data'!$E$114="Upfront",IF(26=1,'I_Budget Input Data'!$D$114,0),IF('I_Budget Input Data'!$E$114="Equal",'I_Budget Input Data'!$D$114/'I_Inputs &amp; Assumptions'!$B$8,IF('I_Budget Input Data'!$E$114="Front-loaded",IF(26&lt;='I_Inputs &amp; Assumptions'!$B$8/2,'I_Budget Input Data'!$D$114*0.6/('I_Inputs &amp; Assumptions'!$B$8/2),'I_Budget Input Data'!$D$114*0.4/('I_Inputs &amp; Assumptions'!$B$8/2)),IF('I_Budget Input Data'!$E$114="Back-loaded",IF(26&lt;='I_Inputs &amp; Assumptions'!$B$8/2,'I_Budget Input Data'!$D$114*0.4/('I_Inputs &amp; Assumptions'!$B$8/2),'I_Budget Input Data'!$D$114*0.6/('I_Inputs &amp; Assumptions'!$B$8/2)),IF('I_Budget Input Data'!$E$114="Mid-weighted",IF(26&lt;='I_Inputs &amp; Assumptions'!$B$8/4,'I_Budget Input Data'!$D$114*0.2/('I_Inputs &amp; Assumptions'!$B$8/4),IF(26&lt;='I_Inputs &amp; Assumptions'!$B$8*0.75,'I_Budget Input Data'!$D$114*0.6/('I_Inputs &amp; Assumptions'!$B$8/2),'I_Budget Input Data'!$D$114*0.2/('I_Inputs &amp; Assumptions'!$B$8/4))),IF('I_Budget Input Data'!$E$114="At Completion",IF(26='I_Inputs &amp; Assumptions'!$B$8,'I_Budget Input Data'!$D$114,0),'I_Budget Input Data'!$D$114/'I_Inputs &amp; Assumptions'!$B$8)))))),0)</f>
        <v>0</v>
      </c>
      <c r="AC114" s="91">
        <f>IF(27&lt;='I_Inputs &amp; Assumptions'!$B$8,IF('I_Budget Input Data'!$E$114="Upfront",IF(27=1,'I_Budget Input Data'!$D$114,0),IF('I_Budget Input Data'!$E$114="Equal",'I_Budget Input Data'!$D$114/'I_Inputs &amp; Assumptions'!$B$8,IF('I_Budget Input Data'!$E$114="Front-loaded",IF(27&lt;='I_Inputs &amp; Assumptions'!$B$8/2,'I_Budget Input Data'!$D$114*0.6/('I_Inputs &amp; Assumptions'!$B$8/2),'I_Budget Input Data'!$D$114*0.4/('I_Inputs &amp; Assumptions'!$B$8/2)),IF('I_Budget Input Data'!$E$114="Back-loaded",IF(27&lt;='I_Inputs &amp; Assumptions'!$B$8/2,'I_Budget Input Data'!$D$114*0.4/('I_Inputs &amp; Assumptions'!$B$8/2),'I_Budget Input Data'!$D$114*0.6/('I_Inputs &amp; Assumptions'!$B$8/2)),IF('I_Budget Input Data'!$E$114="Mid-weighted",IF(27&lt;='I_Inputs &amp; Assumptions'!$B$8/4,'I_Budget Input Data'!$D$114*0.2/('I_Inputs &amp; Assumptions'!$B$8/4),IF(27&lt;='I_Inputs &amp; Assumptions'!$B$8*0.75,'I_Budget Input Data'!$D$114*0.6/('I_Inputs &amp; Assumptions'!$B$8/2),'I_Budget Input Data'!$D$114*0.2/('I_Inputs &amp; Assumptions'!$B$8/4))),IF('I_Budget Input Data'!$E$114="At Completion",IF(27='I_Inputs &amp; Assumptions'!$B$8,'I_Budget Input Data'!$D$114,0),'I_Budget Input Data'!$D$114/'I_Inputs &amp; Assumptions'!$B$8)))))),0)</f>
        <v>0</v>
      </c>
      <c r="AD114" s="91">
        <f>IF(28&lt;='I_Inputs &amp; Assumptions'!$B$8,IF('I_Budget Input Data'!$E$114="Upfront",IF(28=1,'I_Budget Input Data'!$D$114,0),IF('I_Budget Input Data'!$E$114="Equal",'I_Budget Input Data'!$D$114/'I_Inputs &amp; Assumptions'!$B$8,IF('I_Budget Input Data'!$E$114="Front-loaded",IF(28&lt;='I_Inputs &amp; Assumptions'!$B$8/2,'I_Budget Input Data'!$D$114*0.6/('I_Inputs &amp; Assumptions'!$B$8/2),'I_Budget Input Data'!$D$114*0.4/('I_Inputs &amp; Assumptions'!$B$8/2)),IF('I_Budget Input Data'!$E$114="Back-loaded",IF(28&lt;='I_Inputs &amp; Assumptions'!$B$8/2,'I_Budget Input Data'!$D$114*0.4/('I_Inputs &amp; Assumptions'!$B$8/2),'I_Budget Input Data'!$D$114*0.6/('I_Inputs &amp; Assumptions'!$B$8/2)),IF('I_Budget Input Data'!$E$114="Mid-weighted",IF(28&lt;='I_Inputs &amp; Assumptions'!$B$8/4,'I_Budget Input Data'!$D$114*0.2/('I_Inputs &amp; Assumptions'!$B$8/4),IF(28&lt;='I_Inputs &amp; Assumptions'!$B$8*0.75,'I_Budget Input Data'!$D$114*0.6/('I_Inputs &amp; Assumptions'!$B$8/2),'I_Budget Input Data'!$D$114*0.2/('I_Inputs &amp; Assumptions'!$B$8/4))),IF('I_Budget Input Data'!$E$114="At Completion",IF(28='I_Inputs &amp; Assumptions'!$B$8,'I_Budget Input Data'!$D$114,0),'I_Budget Input Data'!$D$114/'I_Inputs &amp; Assumptions'!$B$8)))))),0)</f>
        <v>0</v>
      </c>
      <c r="AE114" s="91">
        <f>IF(29&lt;='I_Inputs &amp; Assumptions'!$B$8,IF('I_Budget Input Data'!$E$114="Upfront",IF(29=1,'I_Budget Input Data'!$D$114,0),IF('I_Budget Input Data'!$E$114="Equal",'I_Budget Input Data'!$D$114/'I_Inputs &amp; Assumptions'!$B$8,IF('I_Budget Input Data'!$E$114="Front-loaded",IF(29&lt;='I_Inputs &amp; Assumptions'!$B$8/2,'I_Budget Input Data'!$D$114*0.6/('I_Inputs &amp; Assumptions'!$B$8/2),'I_Budget Input Data'!$D$114*0.4/('I_Inputs &amp; Assumptions'!$B$8/2)),IF('I_Budget Input Data'!$E$114="Back-loaded",IF(29&lt;='I_Inputs &amp; Assumptions'!$B$8/2,'I_Budget Input Data'!$D$114*0.4/('I_Inputs &amp; Assumptions'!$B$8/2),'I_Budget Input Data'!$D$114*0.6/('I_Inputs &amp; Assumptions'!$B$8/2)),IF('I_Budget Input Data'!$E$114="Mid-weighted",IF(29&lt;='I_Inputs &amp; Assumptions'!$B$8/4,'I_Budget Input Data'!$D$114*0.2/('I_Inputs &amp; Assumptions'!$B$8/4),IF(29&lt;='I_Inputs &amp; Assumptions'!$B$8*0.75,'I_Budget Input Data'!$D$114*0.6/('I_Inputs &amp; Assumptions'!$B$8/2),'I_Budget Input Data'!$D$114*0.2/('I_Inputs &amp; Assumptions'!$B$8/4))),IF('I_Budget Input Data'!$E$114="At Completion",IF(29='I_Inputs &amp; Assumptions'!$B$8,'I_Budget Input Data'!$D$114,0),'I_Budget Input Data'!$D$114/'I_Inputs &amp; Assumptions'!$B$8)))))),0)</f>
        <v>0</v>
      </c>
      <c r="AF114" s="91">
        <f>IF(30&lt;='I_Inputs &amp; Assumptions'!$B$8,IF('I_Budget Input Data'!$E$114="Upfront",IF(30=1,'I_Budget Input Data'!$D$114,0),IF('I_Budget Input Data'!$E$114="Equal",'I_Budget Input Data'!$D$114/'I_Inputs &amp; Assumptions'!$B$8,IF('I_Budget Input Data'!$E$114="Front-loaded",IF(30&lt;='I_Inputs &amp; Assumptions'!$B$8/2,'I_Budget Input Data'!$D$114*0.6/('I_Inputs &amp; Assumptions'!$B$8/2),'I_Budget Input Data'!$D$114*0.4/('I_Inputs &amp; Assumptions'!$B$8/2)),IF('I_Budget Input Data'!$E$114="Back-loaded",IF(30&lt;='I_Inputs &amp; Assumptions'!$B$8/2,'I_Budget Input Data'!$D$114*0.4/('I_Inputs &amp; Assumptions'!$B$8/2),'I_Budget Input Data'!$D$114*0.6/('I_Inputs &amp; Assumptions'!$B$8/2)),IF('I_Budget Input Data'!$E$114="Mid-weighted",IF(30&lt;='I_Inputs &amp; Assumptions'!$B$8/4,'I_Budget Input Data'!$D$114*0.2/('I_Inputs &amp; Assumptions'!$B$8/4),IF(30&lt;='I_Inputs &amp; Assumptions'!$B$8*0.75,'I_Budget Input Data'!$D$114*0.6/('I_Inputs &amp; Assumptions'!$B$8/2),'I_Budget Input Data'!$D$114*0.2/('I_Inputs &amp; Assumptions'!$B$8/4))),IF('I_Budget Input Data'!$E$114="At Completion",IF(30='I_Inputs &amp; Assumptions'!$B$8,'I_Budget Input Data'!$D$114,0),'I_Budget Input Data'!$D$114/'I_Inputs &amp; Assumptions'!$B$8)))))),0)</f>
        <v>0</v>
      </c>
      <c r="AG114" s="91">
        <f>IF(31&lt;='I_Inputs &amp; Assumptions'!$B$8,IF('I_Budget Input Data'!$E$114="Upfront",IF(31=1,'I_Budget Input Data'!$D$114,0),IF('I_Budget Input Data'!$E$114="Equal",'I_Budget Input Data'!$D$114/'I_Inputs &amp; Assumptions'!$B$8,IF('I_Budget Input Data'!$E$114="Front-loaded",IF(31&lt;='I_Inputs &amp; Assumptions'!$B$8/2,'I_Budget Input Data'!$D$114*0.6/('I_Inputs &amp; Assumptions'!$B$8/2),'I_Budget Input Data'!$D$114*0.4/('I_Inputs &amp; Assumptions'!$B$8/2)),IF('I_Budget Input Data'!$E$114="Back-loaded",IF(31&lt;='I_Inputs &amp; Assumptions'!$B$8/2,'I_Budget Input Data'!$D$114*0.4/('I_Inputs &amp; Assumptions'!$B$8/2),'I_Budget Input Data'!$D$114*0.6/('I_Inputs &amp; Assumptions'!$B$8/2)),IF('I_Budget Input Data'!$E$114="Mid-weighted",IF(31&lt;='I_Inputs &amp; Assumptions'!$B$8/4,'I_Budget Input Data'!$D$114*0.2/('I_Inputs &amp; Assumptions'!$B$8/4),IF(31&lt;='I_Inputs &amp; Assumptions'!$B$8*0.75,'I_Budget Input Data'!$D$114*0.6/('I_Inputs &amp; Assumptions'!$B$8/2),'I_Budget Input Data'!$D$114*0.2/('I_Inputs &amp; Assumptions'!$B$8/4))),IF('I_Budget Input Data'!$E$114="At Completion",IF(31='I_Inputs &amp; Assumptions'!$B$8,'I_Budget Input Data'!$D$114,0),'I_Budget Input Data'!$D$114/'I_Inputs &amp; Assumptions'!$B$8)))))),0)</f>
        <v>0</v>
      </c>
      <c r="AH114" s="91">
        <f>IF(32&lt;='I_Inputs &amp; Assumptions'!$B$8,IF('I_Budget Input Data'!$E$114="Upfront",IF(32=1,'I_Budget Input Data'!$D$114,0),IF('I_Budget Input Data'!$E$114="Equal",'I_Budget Input Data'!$D$114/'I_Inputs &amp; Assumptions'!$B$8,IF('I_Budget Input Data'!$E$114="Front-loaded",IF(32&lt;='I_Inputs &amp; Assumptions'!$B$8/2,'I_Budget Input Data'!$D$114*0.6/('I_Inputs &amp; Assumptions'!$B$8/2),'I_Budget Input Data'!$D$114*0.4/('I_Inputs &amp; Assumptions'!$B$8/2)),IF('I_Budget Input Data'!$E$114="Back-loaded",IF(32&lt;='I_Inputs &amp; Assumptions'!$B$8/2,'I_Budget Input Data'!$D$114*0.4/('I_Inputs &amp; Assumptions'!$B$8/2),'I_Budget Input Data'!$D$114*0.6/('I_Inputs &amp; Assumptions'!$B$8/2)),IF('I_Budget Input Data'!$E$114="Mid-weighted",IF(32&lt;='I_Inputs &amp; Assumptions'!$B$8/4,'I_Budget Input Data'!$D$114*0.2/('I_Inputs &amp; Assumptions'!$B$8/4),IF(32&lt;='I_Inputs &amp; Assumptions'!$B$8*0.75,'I_Budget Input Data'!$D$114*0.6/('I_Inputs &amp; Assumptions'!$B$8/2),'I_Budget Input Data'!$D$114*0.2/('I_Inputs &amp; Assumptions'!$B$8/4))),IF('I_Budget Input Data'!$E$114="At Completion",IF(32='I_Inputs &amp; Assumptions'!$B$8,'I_Budget Input Data'!$D$114,0),'I_Budget Input Data'!$D$114/'I_Inputs &amp; Assumptions'!$B$8)))))),0)</f>
        <v>0</v>
      </c>
      <c r="AI114" s="91">
        <f>IF(33&lt;='I_Inputs &amp; Assumptions'!$B$8,IF('I_Budget Input Data'!$E$114="Upfront",IF(33=1,'I_Budget Input Data'!$D$114,0),IF('I_Budget Input Data'!$E$114="Equal",'I_Budget Input Data'!$D$114/'I_Inputs &amp; Assumptions'!$B$8,IF('I_Budget Input Data'!$E$114="Front-loaded",IF(33&lt;='I_Inputs &amp; Assumptions'!$B$8/2,'I_Budget Input Data'!$D$114*0.6/('I_Inputs &amp; Assumptions'!$B$8/2),'I_Budget Input Data'!$D$114*0.4/('I_Inputs &amp; Assumptions'!$B$8/2)),IF('I_Budget Input Data'!$E$114="Back-loaded",IF(33&lt;='I_Inputs &amp; Assumptions'!$B$8/2,'I_Budget Input Data'!$D$114*0.4/('I_Inputs &amp; Assumptions'!$B$8/2),'I_Budget Input Data'!$D$114*0.6/('I_Inputs &amp; Assumptions'!$B$8/2)),IF('I_Budget Input Data'!$E$114="Mid-weighted",IF(33&lt;='I_Inputs &amp; Assumptions'!$B$8/4,'I_Budget Input Data'!$D$114*0.2/('I_Inputs &amp; Assumptions'!$B$8/4),IF(33&lt;='I_Inputs &amp; Assumptions'!$B$8*0.75,'I_Budget Input Data'!$D$114*0.6/('I_Inputs &amp; Assumptions'!$B$8/2),'I_Budget Input Data'!$D$114*0.2/('I_Inputs &amp; Assumptions'!$B$8/4))),IF('I_Budget Input Data'!$E$114="At Completion",IF(33='I_Inputs &amp; Assumptions'!$B$8,'I_Budget Input Data'!$D$114,0),'I_Budget Input Data'!$D$114/'I_Inputs &amp; Assumptions'!$B$8)))))),0)</f>
        <v>0</v>
      </c>
      <c r="AJ114" s="91">
        <f>IF(34&lt;='I_Inputs &amp; Assumptions'!$B$8,IF('I_Budget Input Data'!$E$114="Upfront",IF(34=1,'I_Budget Input Data'!$D$114,0),IF('I_Budget Input Data'!$E$114="Equal",'I_Budget Input Data'!$D$114/'I_Inputs &amp; Assumptions'!$B$8,IF('I_Budget Input Data'!$E$114="Front-loaded",IF(34&lt;='I_Inputs &amp; Assumptions'!$B$8/2,'I_Budget Input Data'!$D$114*0.6/('I_Inputs &amp; Assumptions'!$B$8/2),'I_Budget Input Data'!$D$114*0.4/('I_Inputs &amp; Assumptions'!$B$8/2)),IF('I_Budget Input Data'!$E$114="Back-loaded",IF(34&lt;='I_Inputs &amp; Assumptions'!$B$8/2,'I_Budget Input Data'!$D$114*0.4/('I_Inputs &amp; Assumptions'!$B$8/2),'I_Budget Input Data'!$D$114*0.6/('I_Inputs &amp; Assumptions'!$B$8/2)),IF('I_Budget Input Data'!$E$114="Mid-weighted",IF(34&lt;='I_Inputs &amp; Assumptions'!$B$8/4,'I_Budget Input Data'!$D$114*0.2/('I_Inputs &amp; Assumptions'!$B$8/4),IF(34&lt;='I_Inputs &amp; Assumptions'!$B$8*0.75,'I_Budget Input Data'!$D$114*0.6/('I_Inputs &amp; Assumptions'!$B$8/2),'I_Budget Input Data'!$D$114*0.2/('I_Inputs &amp; Assumptions'!$B$8/4))),IF('I_Budget Input Data'!$E$114="At Completion",IF(34='I_Inputs &amp; Assumptions'!$B$8,'I_Budget Input Data'!$D$114,0),'I_Budget Input Data'!$D$114/'I_Inputs &amp; Assumptions'!$B$8)))))),0)</f>
        <v>0</v>
      </c>
      <c r="AK114" s="91">
        <f>IF(35&lt;='I_Inputs &amp; Assumptions'!$B$8,IF('I_Budget Input Data'!$E$114="Upfront",IF(35=1,'I_Budget Input Data'!$D$114,0),IF('I_Budget Input Data'!$E$114="Equal",'I_Budget Input Data'!$D$114/'I_Inputs &amp; Assumptions'!$B$8,IF('I_Budget Input Data'!$E$114="Front-loaded",IF(35&lt;='I_Inputs &amp; Assumptions'!$B$8/2,'I_Budget Input Data'!$D$114*0.6/('I_Inputs &amp; Assumptions'!$B$8/2),'I_Budget Input Data'!$D$114*0.4/('I_Inputs &amp; Assumptions'!$B$8/2)),IF('I_Budget Input Data'!$E$114="Back-loaded",IF(35&lt;='I_Inputs &amp; Assumptions'!$B$8/2,'I_Budget Input Data'!$D$114*0.4/('I_Inputs &amp; Assumptions'!$B$8/2),'I_Budget Input Data'!$D$114*0.6/('I_Inputs &amp; Assumptions'!$B$8/2)),IF('I_Budget Input Data'!$E$114="Mid-weighted",IF(35&lt;='I_Inputs &amp; Assumptions'!$B$8/4,'I_Budget Input Data'!$D$114*0.2/('I_Inputs &amp; Assumptions'!$B$8/4),IF(35&lt;='I_Inputs &amp; Assumptions'!$B$8*0.75,'I_Budget Input Data'!$D$114*0.6/('I_Inputs &amp; Assumptions'!$B$8/2),'I_Budget Input Data'!$D$114*0.2/('I_Inputs &amp; Assumptions'!$B$8/4))),IF('I_Budget Input Data'!$E$114="At Completion",IF(35='I_Inputs &amp; Assumptions'!$B$8,'I_Budget Input Data'!$D$114,0),'I_Budget Input Data'!$D$114/'I_Inputs &amp; Assumptions'!$B$8)))))),0)</f>
        <v>0</v>
      </c>
      <c r="AL114" s="91">
        <f>IF(36&lt;='I_Inputs &amp; Assumptions'!$B$8,IF('I_Budget Input Data'!$E$114="Upfront",IF(36=1,'I_Budget Input Data'!$D$114,0),IF('I_Budget Input Data'!$E$114="Equal",'I_Budget Input Data'!$D$114/'I_Inputs &amp; Assumptions'!$B$8,IF('I_Budget Input Data'!$E$114="Front-loaded",IF(36&lt;='I_Inputs &amp; Assumptions'!$B$8/2,'I_Budget Input Data'!$D$114*0.6/('I_Inputs &amp; Assumptions'!$B$8/2),'I_Budget Input Data'!$D$114*0.4/('I_Inputs &amp; Assumptions'!$B$8/2)),IF('I_Budget Input Data'!$E$114="Back-loaded",IF(36&lt;='I_Inputs &amp; Assumptions'!$B$8/2,'I_Budget Input Data'!$D$114*0.4/('I_Inputs &amp; Assumptions'!$B$8/2),'I_Budget Input Data'!$D$114*0.6/('I_Inputs &amp; Assumptions'!$B$8/2)),IF('I_Budget Input Data'!$E$114="Mid-weighted",IF(36&lt;='I_Inputs &amp; Assumptions'!$B$8/4,'I_Budget Input Data'!$D$114*0.2/('I_Inputs &amp; Assumptions'!$B$8/4),IF(36&lt;='I_Inputs &amp; Assumptions'!$B$8*0.75,'I_Budget Input Data'!$D$114*0.6/('I_Inputs &amp; Assumptions'!$B$8/2),'I_Budget Input Data'!$D$114*0.2/('I_Inputs &amp; Assumptions'!$B$8/4))),IF('I_Budget Input Data'!$E$114="At Completion",IF(36='I_Inputs &amp; Assumptions'!$B$8,'I_Budget Input Data'!$D$114,0),'I_Budget Input Data'!$D$114/'I_Inputs &amp; Assumptions'!$B$8)))))),0)</f>
        <v>0</v>
      </c>
    </row>
    <row r="115" spans="1:38" ht="15" customHeight="1" x14ac:dyDescent="0.2">
      <c r="A115" t="s">
        <v>146</v>
      </c>
      <c r="C115" s="91">
        <v>0</v>
      </c>
      <c r="D115" s="91">
        <v>0</v>
      </c>
      <c r="E115" s="91">
        <v>0</v>
      </c>
      <c r="F115" s="91">
        <v>0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  <c r="L115" s="91">
        <v>0</v>
      </c>
      <c r="M115" s="91">
        <v>0</v>
      </c>
      <c r="N115" s="91">
        <v>0</v>
      </c>
      <c r="O115" s="91">
        <v>0</v>
      </c>
      <c r="P115" s="91">
        <v>0</v>
      </c>
      <c r="Q115" s="91">
        <v>0</v>
      </c>
      <c r="R115" s="91">
        <v>0</v>
      </c>
      <c r="S115" s="91">
        <v>0</v>
      </c>
      <c r="T115" s="91">
        <v>0</v>
      </c>
      <c r="U115" s="91">
        <v>0</v>
      </c>
      <c r="V115" s="91">
        <v>0</v>
      </c>
      <c r="W115" s="91">
        <v>0</v>
      </c>
      <c r="X115" s="91">
        <v>0</v>
      </c>
      <c r="Y115" s="91">
        <v>0</v>
      </c>
      <c r="Z115" s="91">
        <v>0</v>
      </c>
      <c r="AA115" s="91">
        <v>0</v>
      </c>
      <c r="AB115" s="91">
        <v>0</v>
      </c>
      <c r="AC115" s="91">
        <v>0</v>
      </c>
      <c r="AD115" s="91">
        <v>0</v>
      </c>
      <c r="AE115" s="91">
        <v>0</v>
      </c>
      <c r="AF115" s="91">
        <v>0</v>
      </c>
      <c r="AG115" s="91">
        <v>0</v>
      </c>
      <c r="AH115" s="91">
        <v>0</v>
      </c>
      <c r="AI115" s="91">
        <v>0</v>
      </c>
      <c r="AJ115" s="91">
        <v>0</v>
      </c>
      <c r="AK115" s="91">
        <v>0</v>
      </c>
      <c r="AL115" s="91">
        <v>0</v>
      </c>
    </row>
    <row r="116" spans="1:38" ht="15" customHeight="1" x14ac:dyDescent="0.2">
      <c r="A116" t="s">
        <v>146</v>
      </c>
      <c r="B116" t="s">
        <v>231</v>
      </c>
      <c r="C116" s="91">
        <f>IF(1&lt;='I_Inputs &amp; Assumptions'!$B$8,IF('I_Budget Input Data'!$E$116="Upfront",IF(1=1,'I_Budget Input Data'!$D$116,0),IF('I_Budget Input Data'!$E$116="Equal",'I_Budget Input Data'!$D$116/'I_Inputs &amp; Assumptions'!$B$8,IF('I_Budget Input Data'!$E$116="Front-loaded",IF(1&lt;='I_Inputs &amp; Assumptions'!$B$8/2,'I_Budget Input Data'!$D$116*0.6/('I_Inputs &amp; Assumptions'!$B$8/2),'I_Budget Input Data'!$D$116*0.4/('I_Inputs &amp; Assumptions'!$B$8/2)),IF('I_Budget Input Data'!$E$116="Back-loaded",IF(1&lt;='I_Inputs &amp; Assumptions'!$B$8/2,'I_Budget Input Data'!$D$116*0.4/('I_Inputs &amp; Assumptions'!$B$8/2),'I_Budget Input Data'!$D$116*0.6/('I_Inputs &amp; Assumptions'!$B$8/2)),IF('I_Budget Input Data'!$E$116="Mid-weighted",IF(1&lt;='I_Inputs &amp; Assumptions'!$B$8/4,'I_Budget Input Data'!$D$116*0.2/('I_Inputs &amp; Assumptions'!$B$8/4),IF(1&lt;='I_Inputs &amp; Assumptions'!$B$8*0.75,'I_Budget Input Data'!$D$116*0.6/('I_Inputs &amp; Assumptions'!$B$8/2),'I_Budget Input Data'!$D$116*0.2/('I_Inputs &amp; Assumptions'!$B$8/4))),IF('I_Budget Input Data'!$E$116="At Completion",IF(1='I_Inputs &amp; Assumptions'!$B$8,'I_Budget Input Data'!$D$116,0),'I_Budget Input Data'!$D$116/'I_Inputs &amp; Assumptions'!$B$8)))))),0)</f>
        <v>22523.076923076922</v>
      </c>
      <c r="D116" s="91">
        <f>IF(2&lt;='I_Inputs &amp; Assumptions'!$B$8,IF('I_Budget Input Data'!$E$116="Upfront",IF(2=1,'I_Budget Input Data'!$D$116,0),IF('I_Budget Input Data'!$E$116="Equal",'I_Budget Input Data'!$D$116/'I_Inputs &amp; Assumptions'!$B$8,IF('I_Budget Input Data'!$E$116="Front-loaded",IF(2&lt;='I_Inputs &amp; Assumptions'!$B$8/2,'I_Budget Input Data'!$D$116*0.6/('I_Inputs &amp; Assumptions'!$B$8/2),'I_Budget Input Data'!$D$116*0.4/('I_Inputs &amp; Assumptions'!$B$8/2)),IF('I_Budget Input Data'!$E$116="Back-loaded",IF(2&lt;='I_Inputs &amp; Assumptions'!$B$8/2,'I_Budget Input Data'!$D$116*0.4/('I_Inputs &amp; Assumptions'!$B$8/2),'I_Budget Input Data'!$D$116*0.6/('I_Inputs &amp; Assumptions'!$B$8/2)),IF('I_Budget Input Data'!$E$116="Mid-weighted",IF(2&lt;='I_Inputs &amp; Assumptions'!$B$8/4,'I_Budget Input Data'!$D$116*0.2/('I_Inputs &amp; Assumptions'!$B$8/4),IF(2&lt;='I_Inputs &amp; Assumptions'!$B$8*0.75,'I_Budget Input Data'!$D$116*0.6/('I_Inputs &amp; Assumptions'!$B$8/2),'I_Budget Input Data'!$D$116*0.2/('I_Inputs &amp; Assumptions'!$B$8/4))),IF('I_Budget Input Data'!$E$116="At Completion",IF(2='I_Inputs &amp; Assumptions'!$B$8,'I_Budget Input Data'!$D$116,0),'I_Budget Input Data'!$D$116/'I_Inputs &amp; Assumptions'!$B$8)))))),0)</f>
        <v>22523.076923076922</v>
      </c>
      <c r="E116" s="91">
        <f>IF(3&lt;='I_Inputs &amp; Assumptions'!$B$8,IF('I_Budget Input Data'!$E$116="Upfront",IF(3=1,'I_Budget Input Data'!$D$116,0),IF('I_Budget Input Data'!$E$116="Equal",'I_Budget Input Data'!$D$116/'I_Inputs &amp; Assumptions'!$B$8,IF('I_Budget Input Data'!$E$116="Front-loaded",IF(3&lt;='I_Inputs &amp; Assumptions'!$B$8/2,'I_Budget Input Data'!$D$116*0.6/('I_Inputs &amp; Assumptions'!$B$8/2),'I_Budget Input Data'!$D$116*0.4/('I_Inputs &amp; Assumptions'!$B$8/2)),IF('I_Budget Input Data'!$E$116="Back-loaded",IF(3&lt;='I_Inputs &amp; Assumptions'!$B$8/2,'I_Budget Input Data'!$D$116*0.4/('I_Inputs &amp; Assumptions'!$B$8/2),'I_Budget Input Data'!$D$116*0.6/('I_Inputs &amp; Assumptions'!$B$8/2)),IF('I_Budget Input Data'!$E$116="Mid-weighted",IF(3&lt;='I_Inputs &amp; Assumptions'!$B$8/4,'I_Budget Input Data'!$D$116*0.2/('I_Inputs &amp; Assumptions'!$B$8/4),IF(3&lt;='I_Inputs &amp; Assumptions'!$B$8*0.75,'I_Budget Input Data'!$D$116*0.6/('I_Inputs &amp; Assumptions'!$B$8/2),'I_Budget Input Data'!$D$116*0.2/('I_Inputs &amp; Assumptions'!$B$8/4))),IF('I_Budget Input Data'!$E$116="At Completion",IF(3='I_Inputs &amp; Assumptions'!$B$8,'I_Budget Input Data'!$D$116,0),'I_Budget Input Data'!$D$116/'I_Inputs &amp; Assumptions'!$B$8)))))),0)</f>
        <v>22523.076923076922</v>
      </c>
      <c r="F116" s="91">
        <f>IF(4&lt;='I_Inputs &amp; Assumptions'!$B$8,IF('I_Budget Input Data'!$E$116="Upfront",IF(4=1,'I_Budget Input Data'!$D$116,0),IF('I_Budget Input Data'!$E$116="Equal",'I_Budget Input Data'!$D$116/'I_Inputs &amp; Assumptions'!$B$8,IF('I_Budget Input Data'!$E$116="Front-loaded",IF(4&lt;='I_Inputs &amp; Assumptions'!$B$8/2,'I_Budget Input Data'!$D$116*0.6/('I_Inputs &amp; Assumptions'!$B$8/2),'I_Budget Input Data'!$D$116*0.4/('I_Inputs &amp; Assumptions'!$B$8/2)),IF('I_Budget Input Data'!$E$116="Back-loaded",IF(4&lt;='I_Inputs &amp; Assumptions'!$B$8/2,'I_Budget Input Data'!$D$116*0.4/('I_Inputs &amp; Assumptions'!$B$8/2),'I_Budget Input Data'!$D$116*0.6/('I_Inputs &amp; Assumptions'!$B$8/2)),IF('I_Budget Input Data'!$E$116="Mid-weighted",IF(4&lt;='I_Inputs &amp; Assumptions'!$B$8/4,'I_Budget Input Data'!$D$116*0.2/('I_Inputs &amp; Assumptions'!$B$8/4),IF(4&lt;='I_Inputs &amp; Assumptions'!$B$8*0.75,'I_Budget Input Data'!$D$116*0.6/('I_Inputs &amp; Assumptions'!$B$8/2),'I_Budget Input Data'!$D$116*0.2/('I_Inputs &amp; Assumptions'!$B$8/4))),IF('I_Budget Input Data'!$E$116="At Completion",IF(4='I_Inputs &amp; Assumptions'!$B$8,'I_Budget Input Data'!$D$116,0),'I_Budget Input Data'!$D$116/'I_Inputs &amp; Assumptions'!$B$8)))))),0)</f>
        <v>22523.076923076922</v>
      </c>
      <c r="G116" s="91">
        <f>IF(5&lt;='I_Inputs &amp; Assumptions'!$B$8,IF('I_Budget Input Data'!$E$116="Upfront",IF(5=1,'I_Budget Input Data'!$D$116,0),IF('I_Budget Input Data'!$E$116="Equal",'I_Budget Input Data'!$D$116/'I_Inputs &amp; Assumptions'!$B$8,IF('I_Budget Input Data'!$E$116="Front-loaded",IF(5&lt;='I_Inputs &amp; Assumptions'!$B$8/2,'I_Budget Input Data'!$D$116*0.6/('I_Inputs &amp; Assumptions'!$B$8/2),'I_Budget Input Data'!$D$116*0.4/('I_Inputs &amp; Assumptions'!$B$8/2)),IF('I_Budget Input Data'!$E$116="Back-loaded",IF(5&lt;='I_Inputs &amp; Assumptions'!$B$8/2,'I_Budget Input Data'!$D$116*0.4/('I_Inputs &amp; Assumptions'!$B$8/2),'I_Budget Input Data'!$D$116*0.6/('I_Inputs &amp; Assumptions'!$B$8/2)),IF('I_Budget Input Data'!$E$116="Mid-weighted",IF(5&lt;='I_Inputs &amp; Assumptions'!$B$8/4,'I_Budget Input Data'!$D$116*0.2/('I_Inputs &amp; Assumptions'!$B$8/4),IF(5&lt;='I_Inputs &amp; Assumptions'!$B$8*0.75,'I_Budget Input Data'!$D$116*0.6/('I_Inputs &amp; Assumptions'!$B$8/2),'I_Budget Input Data'!$D$116*0.2/('I_Inputs &amp; Assumptions'!$B$8/4))),IF('I_Budget Input Data'!$E$116="At Completion",IF(5='I_Inputs &amp; Assumptions'!$B$8,'I_Budget Input Data'!$D$116,0),'I_Budget Input Data'!$D$116/'I_Inputs &amp; Assumptions'!$B$8)))))),0)</f>
        <v>22523.076923076922</v>
      </c>
      <c r="H116" s="91">
        <f>IF(6&lt;='I_Inputs &amp; Assumptions'!$B$8,IF('I_Budget Input Data'!$E$116="Upfront",IF(6=1,'I_Budget Input Data'!$D$116,0),IF('I_Budget Input Data'!$E$116="Equal",'I_Budget Input Data'!$D$116/'I_Inputs &amp; Assumptions'!$B$8,IF('I_Budget Input Data'!$E$116="Front-loaded",IF(6&lt;='I_Inputs &amp; Assumptions'!$B$8/2,'I_Budget Input Data'!$D$116*0.6/('I_Inputs &amp; Assumptions'!$B$8/2),'I_Budget Input Data'!$D$116*0.4/('I_Inputs &amp; Assumptions'!$B$8/2)),IF('I_Budget Input Data'!$E$116="Back-loaded",IF(6&lt;='I_Inputs &amp; Assumptions'!$B$8/2,'I_Budget Input Data'!$D$116*0.4/('I_Inputs &amp; Assumptions'!$B$8/2),'I_Budget Input Data'!$D$116*0.6/('I_Inputs &amp; Assumptions'!$B$8/2)),IF('I_Budget Input Data'!$E$116="Mid-weighted",IF(6&lt;='I_Inputs &amp; Assumptions'!$B$8/4,'I_Budget Input Data'!$D$116*0.2/('I_Inputs &amp; Assumptions'!$B$8/4),IF(6&lt;='I_Inputs &amp; Assumptions'!$B$8*0.75,'I_Budget Input Data'!$D$116*0.6/('I_Inputs &amp; Assumptions'!$B$8/2),'I_Budget Input Data'!$D$116*0.2/('I_Inputs &amp; Assumptions'!$B$8/4))),IF('I_Budget Input Data'!$E$116="At Completion",IF(6='I_Inputs &amp; Assumptions'!$B$8,'I_Budget Input Data'!$D$116,0),'I_Budget Input Data'!$D$116/'I_Inputs &amp; Assumptions'!$B$8)))))),0)</f>
        <v>22523.076923076922</v>
      </c>
      <c r="I116" s="91">
        <f>IF(7&lt;='I_Inputs &amp; Assumptions'!$B$8,IF('I_Budget Input Data'!$E$116="Upfront",IF(7=1,'I_Budget Input Data'!$D$116,0),IF('I_Budget Input Data'!$E$116="Equal",'I_Budget Input Data'!$D$116/'I_Inputs &amp; Assumptions'!$B$8,IF('I_Budget Input Data'!$E$116="Front-loaded",IF(7&lt;='I_Inputs &amp; Assumptions'!$B$8/2,'I_Budget Input Data'!$D$116*0.6/('I_Inputs &amp; Assumptions'!$B$8/2),'I_Budget Input Data'!$D$116*0.4/('I_Inputs &amp; Assumptions'!$B$8/2)),IF('I_Budget Input Data'!$E$116="Back-loaded",IF(7&lt;='I_Inputs &amp; Assumptions'!$B$8/2,'I_Budget Input Data'!$D$116*0.4/('I_Inputs &amp; Assumptions'!$B$8/2),'I_Budget Input Data'!$D$116*0.6/('I_Inputs &amp; Assumptions'!$B$8/2)),IF('I_Budget Input Data'!$E$116="Mid-weighted",IF(7&lt;='I_Inputs &amp; Assumptions'!$B$8/4,'I_Budget Input Data'!$D$116*0.2/('I_Inputs &amp; Assumptions'!$B$8/4),IF(7&lt;='I_Inputs &amp; Assumptions'!$B$8*0.75,'I_Budget Input Data'!$D$116*0.6/('I_Inputs &amp; Assumptions'!$B$8/2),'I_Budget Input Data'!$D$116*0.2/('I_Inputs &amp; Assumptions'!$B$8/4))),IF('I_Budget Input Data'!$E$116="At Completion",IF(7='I_Inputs &amp; Assumptions'!$B$8,'I_Budget Input Data'!$D$116,0),'I_Budget Input Data'!$D$116/'I_Inputs &amp; Assumptions'!$B$8)))))),0)</f>
        <v>33784.615384615383</v>
      </c>
      <c r="J116" s="91">
        <f>IF(8&lt;='I_Inputs &amp; Assumptions'!$B$8,IF('I_Budget Input Data'!$E$116="Upfront",IF(8=1,'I_Budget Input Data'!$D$116,0),IF('I_Budget Input Data'!$E$116="Equal",'I_Budget Input Data'!$D$116/'I_Inputs &amp; Assumptions'!$B$8,IF('I_Budget Input Data'!$E$116="Front-loaded",IF(8&lt;='I_Inputs &amp; Assumptions'!$B$8/2,'I_Budget Input Data'!$D$116*0.6/('I_Inputs &amp; Assumptions'!$B$8/2),'I_Budget Input Data'!$D$116*0.4/('I_Inputs &amp; Assumptions'!$B$8/2)),IF('I_Budget Input Data'!$E$116="Back-loaded",IF(8&lt;='I_Inputs &amp; Assumptions'!$B$8/2,'I_Budget Input Data'!$D$116*0.4/('I_Inputs &amp; Assumptions'!$B$8/2),'I_Budget Input Data'!$D$116*0.6/('I_Inputs &amp; Assumptions'!$B$8/2)),IF('I_Budget Input Data'!$E$116="Mid-weighted",IF(8&lt;='I_Inputs &amp; Assumptions'!$B$8/4,'I_Budget Input Data'!$D$116*0.2/('I_Inputs &amp; Assumptions'!$B$8/4),IF(8&lt;='I_Inputs &amp; Assumptions'!$B$8*0.75,'I_Budget Input Data'!$D$116*0.6/('I_Inputs &amp; Assumptions'!$B$8/2),'I_Budget Input Data'!$D$116*0.2/('I_Inputs &amp; Assumptions'!$B$8/4))),IF('I_Budget Input Data'!$E$116="At Completion",IF(8='I_Inputs &amp; Assumptions'!$B$8,'I_Budget Input Data'!$D$116,0),'I_Budget Input Data'!$D$116/'I_Inputs &amp; Assumptions'!$B$8)))))),0)</f>
        <v>33784.615384615383</v>
      </c>
      <c r="K116" s="91">
        <f>IF(9&lt;='I_Inputs &amp; Assumptions'!$B$8,IF('I_Budget Input Data'!$E$116="Upfront",IF(9=1,'I_Budget Input Data'!$D$116,0),IF('I_Budget Input Data'!$E$116="Equal",'I_Budget Input Data'!$D$116/'I_Inputs &amp; Assumptions'!$B$8,IF('I_Budget Input Data'!$E$116="Front-loaded",IF(9&lt;='I_Inputs &amp; Assumptions'!$B$8/2,'I_Budget Input Data'!$D$116*0.6/('I_Inputs &amp; Assumptions'!$B$8/2),'I_Budget Input Data'!$D$116*0.4/('I_Inputs &amp; Assumptions'!$B$8/2)),IF('I_Budget Input Data'!$E$116="Back-loaded",IF(9&lt;='I_Inputs &amp; Assumptions'!$B$8/2,'I_Budget Input Data'!$D$116*0.4/('I_Inputs &amp; Assumptions'!$B$8/2),'I_Budget Input Data'!$D$116*0.6/('I_Inputs &amp; Assumptions'!$B$8/2)),IF('I_Budget Input Data'!$E$116="Mid-weighted",IF(9&lt;='I_Inputs &amp; Assumptions'!$B$8/4,'I_Budget Input Data'!$D$116*0.2/('I_Inputs &amp; Assumptions'!$B$8/4),IF(9&lt;='I_Inputs &amp; Assumptions'!$B$8*0.75,'I_Budget Input Data'!$D$116*0.6/('I_Inputs &amp; Assumptions'!$B$8/2),'I_Budget Input Data'!$D$116*0.2/('I_Inputs &amp; Assumptions'!$B$8/4))),IF('I_Budget Input Data'!$E$116="At Completion",IF(9='I_Inputs &amp; Assumptions'!$B$8,'I_Budget Input Data'!$D$116,0),'I_Budget Input Data'!$D$116/'I_Inputs &amp; Assumptions'!$B$8)))))),0)</f>
        <v>33784.615384615383</v>
      </c>
      <c r="L116" s="91">
        <f>IF(10&lt;='I_Inputs &amp; Assumptions'!$B$8,IF('I_Budget Input Data'!$E$116="Upfront",IF(10=1,'I_Budget Input Data'!$D$116,0),IF('I_Budget Input Data'!$E$116="Equal",'I_Budget Input Data'!$D$116/'I_Inputs &amp; Assumptions'!$B$8,IF('I_Budget Input Data'!$E$116="Front-loaded",IF(10&lt;='I_Inputs &amp; Assumptions'!$B$8/2,'I_Budget Input Data'!$D$116*0.6/('I_Inputs &amp; Assumptions'!$B$8/2),'I_Budget Input Data'!$D$116*0.4/('I_Inputs &amp; Assumptions'!$B$8/2)),IF('I_Budget Input Data'!$E$116="Back-loaded",IF(10&lt;='I_Inputs &amp; Assumptions'!$B$8/2,'I_Budget Input Data'!$D$116*0.4/('I_Inputs &amp; Assumptions'!$B$8/2),'I_Budget Input Data'!$D$116*0.6/('I_Inputs &amp; Assumptions'!$B$8/2)),IF('I_Budget Input Data'!$E$116="Mid-weighted",IF(10&lt;='I_Inputs &amp; Assumptions'!$B$8/4,'I_Budget Input Data'!$D$116*0.2/('I_Inputs &amp; Assumptions'!$B$8/4),IF(10&lt;='I_Inputs &amp; Assumptions'!$B$8*0.75,'I_Budget Input Data'!$D$116*0.6/('I_Inputs &amp; Assumptions'!$B$8/2),'I_Budget Input Data'!$D$116*0.2/('I_Inputs &amp; Assumptions'!$B$8/4))),IF('I_Budget Input Data'!$E$116="At Completion",IF(10='I_Inputs &amp; Assumptions'!$B$8,'I_Budget Input Data'!$D$116,0),'I_Budget Input Data'!$D$116/'I_Inputs &amp; Assumptions'!$B$8)))))),0)</f>
        <v>33784.615384615383</v>
      </c>
      <c r="M116" s="91">
        <f>IF(11&lt;='I_Inputs &amp; Assumptions'!$B$8,IF('I_Budget Input Data'!$E$116="Upfront",IF(11=1,'I_Budget Input Data'!$D$116,0),IF('I_Budget Input Data'!$E$116="Equal",'I_Budget Input Data'!$D$116/'I_Inputs &amp; Assumptions'!$B$8,IF('I_Budget Input Data'!$E$116="Front-loaded",IF(11&lt;='I_Inputs &amp; Assumptions'!$B$8/2,'I_Budget Input Data'!$D$116*0.6/('I_Inputs &amp; Assumptions'!$B$8/2),'I_Budget Input Data'!$D$116*0.4/('I_Inputs &amp; Assumptions'!$B$8/2)),IF('I_Budget Input Data'!$E$116="Back-loaded",IF(11&lt;='I_Inputs &amp; Assumptions'!$B$8/2,'I_Budget Input Data'!$D$116*0.4/('I_Inputs &amp; Assumptions'!$B$8/2),'I_Budget Input Data'!$D$116*0.6/('I_Inputs &amp; Assumptions'!$B$8/2)),IF('I_Budget Input Data'!$E$116="Mid-weighted",IF(11&lt;='I_Inputs &amp; Assumptions'!$B$8/4,'I_Budget Input Data'!$D$116*0.2/('I_Inputs &amp; Assumptions'!$B$8/4),IF(11&lt;='I_Inputs &amp; Assumptions'!$B$8*0.75,'I_Budget Input Data'!$D$116*0.6/('I_Inputs &amp; Assumptions'!$B$8/2),'I_Budget Input Data'!$D$116*0.2/('I_Inputs &amp; Assumptions'!$B$8/4))),IF('I_Budget Input Data'!$E$116="At Completion",IF(11='I_Inputs &amp; Assumptions'!$B$8,'I_Budget Input Data'!$D$116,0),'I_Budget Input Data'!$D$116/'I_Inputs &amp; Assumptions'!$B$8)))))),0)</f>
        <v>33784.615384615383</v>
      </c>
      <c r="N116" s="91">
        <f>IF(12&lt;='I_Inputs &amp; Assumptions'!$B$8,IF('I_Budget Input Data'!$E$116="Upfront",IF(12=1,'I_Budget Input Data'!$D$116,0),IF('I_Budget Input Data'!$E$116="Equal",'I_Budget Input Data'!$D$116/'I_Inputs &amp; Assumptions'!$B$8,IF('I_Budget Input Data'!$E$116="Front-loaded",IF(12&lt;='I_Inputs &amp; Assumptions'!$B$8/2,'I_Budget Input Data'!$D$116*0.6/('I_Inputs &amp; Assumptions'!$B$8/2),'I_Budget Input Data'!$D$116*0.4/('I_Inputs &amp; Assumptions'!$B$8/2)),IF('I_Budget Input Data'!$E$116="Back-loaded",IF(12&lt;='I_Inputs &amp; Assumptions'!$B$8/2,'I_Budget Input Data'!$D$116*0.4/('I_Inputs &amp; Assumptions'!$B$8/2),'I_Budget Input Data'!$D$116*0.6/('I_Inputs &amp; Assumptions'!$B$8/2)),IF('I_Budget Input Data'!$E$116="Mid-weighted",IF(12&lt;='I_Inputs &amp; Assumptions'!$B$8/4,'I_Budget Input Data'!$D$116*0.2/('I_Inputs &amp; Assumptions'!$B$8/4),IF(12&lt;='I_Inputs &amp; Assumptions'!$B$8*0.75,'I_Budget Input Data'!$D$116*0.6/('I_Inputs &amp; Assumptions'!$B$8/2),'I_Budget Input Data'!$D$116*0.2/('I_Inputs &amp; Assumptions'!$B$8/4))),IF('I_Budget Input Data'!$E$116="At Completion",IF(12='I_Inputs &amp; Assumptions'!$B$8,'I_Budget Input Data'!$D$116,0),'I_Budget Input Data'!$D$116/'I_Inputs &amp; Assumptions'!$B$8)))))),0)</f>
        <v>33784.615384615383</v>
      </c>
      <c r="O116" s="91">
        <f>IF(13&lt;='I_Inputs &amp; Assumptions'!$B$8,IF('I_Budget Input Data'!$E$116="Upfront",IF(13=1,'I_Budget Input Data'!$D$116,0),IF('I_Budget Input Data'!$E$116="Equal",'I_Budget Input Data'!$D$116/'I_Inputs &amp; Assumptions'!$B$8,IF('I_Budget Input Data'!$E$116="Front-loaded",IF(13&lt;='I_Inputs &amp; Assumptions'!$B$8/2,'I_Budget Input Data'!$D$116*0.6/('I_Inputs &amp; Assumptions'!$B$8/2),'I_Budget Input Data'!$D$116*0.4/('I_Inputs &amp; Assumptions'!$B$8/2)),IF('I_Budget Input Data'!$E$116="Back-loaded",IF(13&lt;='I_Inputs &amp; Assumptions'!$B$8/2,'I_Budget Input Data'!$D$116*0.4/('I_Inputs &amp; Assumptions'!$B$8/2),'I_Budget Input Data'!$D$116*0.6/('I_Inputs &amp; Assumptions'!$B$8/2)),IF('I_Budget Input Data'!$E$116="Mid-weighted",IF(13&lt;='I_Inputs &amp; Assumptions'!$B$8/4,'I_Budget Input Data'!$D$116*0.2/('I_Inputs &amp; Assumptions'!$B$8/4),IF(13&lt;='I_Inputs &amp; Assumptions'!$B$8*0.75,'I_Budget Input Data'!$D$116*0.6/('I_Inputs &amp; Assumptions'!$B$8/2),'I_Budget Input Data'!$D$116*0.2/('I_Inputs &amp; Assumptions'!$B$8/4))),IF('I_Budget Input Data'!$E$116="At Completion",IF(13='I_Inputs &amp; Assumptions'!$B$8,'I_Budget Input Data'!$D$116,0),'I_Budget Input Data'!$D$116/'I_Inputs &amp; Assumptions'!$B$8)))))),0)</f>
        <v>33784.615384615383</v>
      </c>
      <c r="P116" s="91">
        <f>IF(14&lt;='I_Inputs &amp; Assumptions'!$B$8,IF('I_Budget Input Data'!$E$116="Upfront",IF(14=1,'I_Budget Input Data'!$D$116,0),IF('I_Budget Input Data'!$E$116="Equal",'I_Budget Input Data'!$D$116/'I_Inputs &amp; Assumptions'!$B$8,IF('I_Budget Input Data'!$E$116="Front-loaded",IF(14&lt;='I_Inputs &amp; Assumptions'!$B$8/2,'I_Budget Input Data'!$D$116*0.6/('I_Inputs &amp; Assumptions'!$B$8/2),'I_Budget Input Data'!$D$116*0.4/('I_Inputs &amp; Assumptions'!$B$8/2)),IF('I_Budget Input Data'!$E$116="Back-loaded",IF(14&lt;='I_Inputs &amp; Assumptions'!$B$8/2,'I_Budget Input Data'!$D$116*0.4/('I_Inputs &amp; Assumptions'!$B$8/2),'I_Budget Input Data'!$D$116*0.6/('I_Inputs &amp; Assumptions'!$B$8/2)),IF('I_Budget Input Data'!$E$116="Mid-weighted",IF(14&lt;='I_Inputs &amp; Assumptions'!$B$8/4,'I_Budget Input Data'!$D$116*0.2/('I_Inputs &amp; Assumptions'!$B$8/4),IF(14&lt;='I_Inputs &amp; Assumptions'!$B$8*0.75,'I_Budget Input Data'!$D$116*0.6/('I_Inputs &amp; Assumptions'!$B$8/2),'I_Budget Input Data'!$D$116*0.2/('I_Inputs &amp; Assumptions'!$B$8/4))),IF('I_Budget Input Data'!$E$116="At Completion",IF(14='I_Inputs &amp; Assumptions'!$B$8,'I_Budget Input Data'!$D$116,0),'I_Budget Input Data'!$D$116/'I_Inputs &amp; Assumptions'!$B$8)))))),0)</f>
        <v>0</v>
      </c>
      <c r="Q116" s="91">
        <f>IF(15&lt;='I_Inputs &amp; Assumptions'!$B$8,IF('I_Budget Input Data'!$E$116="Upfront",IF(15=1,'I_Budget Input Data'!$D$116,0),IF('I_Budget Input Data'!$E$116="Equal",'I_Budget Input Data'!$D$116/'I_Inputs &amp; Assumptions'!$B$8,IF('I_Budget Input Data'!$E$116="Front-loaded",IF(15&lt;='I_Inputs &amp; Assumptions'!$B$8/2,'I_Budget Input Data'!$D$116*0.6/('I_Inputs &amp; Assumptions'!$B$8/2),'I_Budget Input Data'!$D$116*0.4/('I_Inputs &amp; Assumptions'!$B$8/2)),IF('I_Budget Input Data'!$E$116="Back-loaded",IF(15&lt;='I_Inputs &amp; Assumptions'!$B$8/2,'I_Budget Input Data'!$D$116*0.4/('I_Inputs &amp; Assumptions'!$B$8/2),'I_Budget Input Data'!$D$116*0.6/('I_Inputs &amp; Assumptions'!$B$8/2)),IF('I_Budget Input Data'!$E$116="Mid-weighted",IF(15&lt;='I_Inputs &amp; Assumptions'!$B$8/4,'I_Budget Input Data'!$D$116*0.2/('I_Inputs &amp; Assumptions'!$B$8/4),IF(15&lt;='I_Inputs &amp; Assumptions'!$B$8*0.75,'I_Budget Input Data'!$D$116*0.6/('I_Inputs &amp; Assumptions'!$B$8/2),'I_Budget Input Data'!$D$116*0.2/('I_Inputs &amp; Assumptions'!$B$8/4))),IF('I_Budget Input Data'!$E$116="At Completion",IF(15='I_Inputs &amp; Assumptions'!$B$8,'I_Budget Input Data'!$D$116,0),'I_Budget Input Data'!$D$116/'I_Inputs &amp; Assumptions'!$B$8)))))),0)</f>
        <v>0</v>
      </c>
      <c r="R116" s="91">
        <f>IF(16&lt;='I_Inputs &amp; Assumptions'!$B$8,IF('I_Budget Input Data'!$E$116="Upfront",IF(16=1,'I_Budget Input Data'!$D$116,0),IF('I_Budget Input Data'!$E$116="Equal",'I_Budget Input Data'!$D$116/'I_Inputs &amp; Assumptions'!$B$8,IF('I_Budget Input Data'!$E$116="Front-loaded",IF(16&lt;='I_Inputs &amp; Assumptions'!$B$8/2,'I_Budget Input Data'!$D$116*0.6/('I_Inputs &amp; Assumptions'!$B$8/2),'I_Budget Input Data'!$D$116*0.4/('I_Inputs &amp; Assumptions'!$B$8/2)),IF('I_Budget Input Data'!$E$116="Back-loaded",IF(16&lt;='I_Inputs &amp; Assumptions'!$B$8/2,'I_Budget Input Data'!$D$116*0.4/('I_Inputs &amp; Assumptions'!$B$8/2),'I_Budget Input Data'!$D$116*0.6/('I_Inputs &amp; Assumptions'!$B$8/2)),IF('I_Budget Input Data'!$E$116="Mid-weighted",IF(16&lt;='I_Inputs &amp; Assumptions'!$B$8/4,'I_Budget Input Data'!$D$116*0.2/('I_Inputs &amp; Assumptions'!$B$8/4),IF(16&lt;='I_Inputs &amp; Assumptions'!$B$8*0.75,'I_Budget Input Data'!$D$116*0.6/('I_Inputs &amp; Assumptions'!$B$8/2),'I_Budget Input Data'!$D$116*0.2/('I_Inputs &amp; Assumptions'!$B$8/4))),IF('I_Budget Input Data'!$E$116="At Completion",IF(16='I_Inputs &amp; Assumptions'!$B$8,'I_Budget Input Data'!$D$116,0),'I_Budget Input Data'!$D$116/'I_Inputs &amp; Assumptions'!$B$8)))))),0)</f>
        <v>0</v>
      </c>
      <c r="S116" s="91">
        <f>IF(17&lt;='I_Inputs &amp; Assumptions'!$B$8,IF('I_Budget Input Data'!$E$116="Upfront",IF(17=1,'I_Budget Input Data'!$D$116,0),IF('I_Budget Input Data'!$E$116="Equal",'I_Budget Input Data'!$D$116/'I_Inputs &amp; Assumptions'!$B$8,IF('I_Budget Input Data'!$E$116="Front-loaded",IF(17&lt;='I_Inputs &amp; Assumptions'!$B$8/2,'I_Budget Input Data'!$D$116*0.6/('I_Inputs &amp; Assumptions'!$B$8/2),'I_Budget Input Data'!$D$116*0.4/('I_Inputs &amp; Assumptions'!$B$8/2)),IF('I_Budget Input Data'!$E$116="Back-loaded",IF(17&lt;='I_Inputs &amp; Assumptions'!$B$8/2,'I_Budget Input Data'!$D$116*0.4/('I_Inputs &amp; Assumptions'!$B$8/2),'I_Budget Input Data'!$D$116*0.6/('I_Inputs &amp; Assumptions'!$B$8/2)),IF('I_Budget Input Data'!$E$116="Mid-weighted",IF(17&lt;='I_Inputs &amp; Assumptions'!$B$8/4,'I_Budget Input Data'!$D$116*0.2/('I_Inputs &amp; Assumptions'!$B$8/4),IF(17&lt;='I_Inputs &amp; Assumptions'!$B$8*0.75,'I_Budget Input Data'!$D$116*0.6/('I_Inputs &amp; Assumptions'!$B$8/2),'I_Budget Input Data'!$D$116*0.2/('I_Inputs &amp; Assumptions'!$B$8/4))),IF('I_Budget Input Data'!$E$116="At Completion",IF(17='I_Inputs &amp; Assumptions'!$B$8,'I_Budget Input Data'!$D$116,0),'I_Budget Input Data'!$D$116/'I_Inputs &amp; Assumptions'!$B$8)))))),0)</f>
        <v>0</v>
      </c>
      <c r="T116" s="91">
        <f>IF(18&lt;='I_Inputs &amp; Assumptions'!$B$8,IF('I_Budget Input Data'!$E$116="Upfront",IF(18=1,'I_Budget Input Data'!$D$116,0),IF('I_Budget Input Data'!$E$116="Equal",'I_Budget Input Data'!$D$116/'I_Inputs &amp; Assumptions'!$B$8,IF('I_Budget Input Data'!$E$116="Front-loaded",IF(18&lt;='I_Inputs &amp; Assumptions'!$B$8/2,'I_Budget Input Data'!$D$116*0.6/('I_Inputs &amp; Assumptions'!$B$8/2),'I_Budget Input Data'!$D$116*0.4/('I_Inputs &amp; Assumptions'!$B$8/2)),IF('I_Budget Input Data'!$E$116="Back-loaded",IF(18&lt;='I_Inputs &amp; Assumptions'!$B$8/2,'I_Budget Input Data'!$D$116*0.4/('I_Inputs &amp; Assumptions'!$B$8/2),'I_Budget Input Data'!$D$116*0.6/('I_Inputs &amp; Assumptions'!$B$8/2)),IF('I_Budget Input Data'!$E$116="Mid-weighted",IF(18&lt;='I_Inputs &amp; Assumptions'!$B$8/4,'I_Budget Input Data'!$D$116*0.2/('I_Inputs &amp; Assumptions'!$B$8/4),IF(18&lt;='I_Inputs &amp; Assumptions'!$B$8*0.75,'I_Budget Input Data'!$D$116*0.6/('I_Inputs &amp; Assumptions'!$B$8/2),'I_Budget Input Data'!$D$116*0.2/('I_Inputs &amp; Assumptions'!$B$8/4))),IF('I_Budget Input Data'!$E$116="At Completion",IF(18='I_Inputs &amp; Assumptions'!$B$8,'I_Budget Input Data'!$D$116,0),'I_Budget Input Data'!$D$116/'I_Inputs &amp; Assumptions'!$B$8)))))),0)</f>
        <v>0</v>
      </c>
      <c r="U116" s="91">
        <f>IF(19&lt;='I_Inputs &amp; Assumptions'!$B$8,IF('I_Budget Input Data'!$E$116="Upfront",IF(19=1,'I_Budget Input Data'!$D$116,0),IF('I_Budget Input Data'!$E$116="Equal",'I_Budget Input Data'!$D$116/'I_Inputs &amp; Assumptions'!$B$8,IF('I_Budget Input Data'!$E$116="Front-loaded",IF(19&lt;='I_Inputs &amp; Assumptions'!$B$8/2,'I_Budget Input Data'!$D$116*0.6/('I_Inputs &amp; Assumptions'!$B$8/2),'I_Budget Input Data'!$D$116*0.4/('I_Inputs &amp; Assumptions'!$B$8/2)),IF('I_Budget Input Data'!$E$116="Back-loaded",IF(19&lt;='I_Inputs &amp; Assumptions'!$B$8/2,'I_Budget Input Data'!$D$116*0.4/('I_Inputs &amp; Assumptions'!$B$8/2),'I_Budget Input Data'!$D$116*0.6/('I_Inputs &amp; Assumptions'!$B$8/2)),IF('I_Budget Input Data'!$E$116="Mid-weighted",IF(19&lt;='I_Inputs &amp; Assumptions'!$B$8/4,'I_Budget Input Data'!$D$116*0.2/('I_Inputs &amp; Assumptions'!$B$8/4),IF(19&lt;='I_Inputs &amp; Assumptions'!$B$8*0.75,'I_Budget Input Data'!$D$116*0.6/('I_Inputs &amp; Assumptions'!$B$8/2),'I_Budget Input Data'!$D$116*0.2/('I_Inputs &amp; Assumptions'!$B$8/4))),IF('I_Budget Input Data'!$E$116="At Completion",IF(19='I_Inputs &amp; Assumptions'!$B$8,'I_Budget Input Data'!$D$116,0),'I_Budget Input Data'!$D$116/'I_Inputs &amp; Assumptions'!$B$8)))))),0)</f>
        <v>0</v>
      </c>
      <c r="V116" s="91">
        <f>IF(20&lt;='I_Inputs &amp; Assumptions'!$B$8,IF('I_Budget Input Data'!$E$116="Upfront",IF(20=1,'I_Budget Input Data'!$D$116,0),IF('I_Budget Input Data'!$E$116="Equal",'I_Budget Input Data'!$D$116/'I_Inputs &amp; Assumptions'!$B$8,IF('I_Budget Input Data'!$E$116="Front-loaded",IF(20&lt;='I_Inputs &amp; Assumptions'!$B$8/2,'I_Budget Input Data'!$D$116*0.6/('I_Inputs &amp; Assumptions'!$B$8/2),'I_Budget Input Data'!$D$116*0.4/('I_Inputs &amp; Assumptions'!$B$8/2)),IF('I_Budget Input Data'!$E$116="Back-loaded",IF(20&lt;='I_Inputs &amp; Assumptions'!$B$8/2,'I_Budget Input Data'!$D$116*0.4/('I_Inputs &amp; Assumptions'!$B$8/2),'I_Budget Input Data'!$D$116*0.6/('I_Inputs &amp; Assumptions'!$B$8/2)),IF('I_Budget Input Data'!$E$116="Mid-weighted",IF(20&lt;='I_Inputs &amp; Assumptions'!$B$8/4,'I_Budget Input Data'!$D$116*0.2/('I_Inputs &amp; Assumptions'!$B$8/4),IF(20&lt;='I_Inputs &amp; Assumptions'!$B$8*0.75,'I_Budget Input Data'!$D$116*0.6/('I_Inputs &amp; Assumptions'!$B$8/2),'I_Budget Input Data'!$D$116*0.2/('I_Inputs &amp; Assumptions'!$B$8/4))),IF('I_Budget Input Data'!$E$116="At Completion",IF(20='I_Inputs &amp; Assumptions'!$B$8,'I_Budget Input Data'!$D$116,0),'I_Budget Input Data'!$D$116/'I_Inputs &amp; Assumptions'!$B$8)))))),0)</f>
        <v>0</v>
      </c>
      <c r="W116" s="91">
        <f>IF(21&lt;='I_Inputs &amp; Assumptions'!$B$8,IF('I_Budget Input Data'!$E$116="Upfront",IF(21=1,'I_Budget Input Data'!$D$116,0),IF('I_Budget Input Data'!$E$116="Equal",'I_Budget Input Data'!$D$116/'I_Inputs &amp; Assumptions'!$B$8,IF('I_Budget Input Data'!$E$116="Front-loaded",IF(21&lt;='I_Inputs &amp; Assumptions'!$B$8/2,'I_Budget Input Data'!$D$116*0.6/('I_Inputs &amp; Assumptions'!$B$8/2),'I_Budget Input Data'!$D$116*0.4/('I_Inputs &amp; Assumptions'!$B$8/2)),IF('I_Budget Input Data'!$E$116="Back-loaded",IF(21&lt;='I_Inputs &amp; Assumptions'!$B$8/2,'I_Budget Input Data'!$D$116*0.4/('I_Inputs &amp; Assumptions'!$B$8/2),'I_Budget Input Data'!$D$116*0.6/('I_Inputs &amp; Assumptions'!$B$8/2)),IF('I_Budget Input Data'!$E$116="Mid-weighted",IF(21&lt;='I_Inputs &amp; Assumptions'!$B$8/4,'I_Budget Input Data'!$D$116*0.2/('I_Inputs &amp; Assumptions'!$B$8/4),IF(21&lt;='I_Inputs &amp; Assumptions'!$B$8*0.75,'I_Budget Input Data'!$D$116*0.6/('I_Inputs &amp; Assumptions'!$B$8/2),'I_Budget Input Data'!$D$116*0.2/('I_Inputs &amp; Assumptions'!$B$8/4))),IF('I_Budget Input Data'!$E$116="At Completion",IF(21='I_Inputs &amp; Assumptions'!$B$8,'I_Budget Input Data'!$D$116,0),'I_Budget Input Data'!$D$116/'I_Inputs &amp; Assumptions'!$B$8)))))),0)</f>
        <v>0</v>
      </c>
      <c r="X116" s="91">
        <f>IF(22&lt;='I_Inputs &amp; Assumptions'!$B$8,IF('I_Budget Input Data'!$E$116="Upfront",IF(22=1,'I_Budget Input Data'!$D$116,0),IF('I_Budget Input Data'!$E$116="Equal",'I_Budget Input Data'!$D$116/'I_Inputs &amp; Assumptions'!$B$8,IF('I_Budget Input Data'!$E$116="Front-loaded",IF(22&lt;='I_Inputs &amp; Assumptions'!$B$8/2,'I_Budget Input Data'!$D$116*0.6/('I_Inputs &amp; Assumptions'!$B$8/2),'I_Budget Input Data'!$D$116*0.4/('I_Inputs &amp; Assumptions'!$B$8/2)),IF('I_Budget Input Data'!$E$116="Back-loaded",IF(22&lt;='I_Inputs &amp; Assumptions'!$B$8/2,'I_Budget Input Data'!$D$116*0.4/('I_Inputs &amp; Assumptions'!$B$8/2),'I_Budget Input Data'!$D$116*0.6/('I_Inputs &amp; Assumptions'!$B$8/2)),IF('I_Budget Input Data'!$E$116="Mid-weighted",IF(22&lt;='I_Inputs &amp; Assumptions'!$B$8/4,'I_Budget Input Data'!$D$116*0.2/('I_Inputs &amp; Assumptions'!$B$8/4),IF(22&lt;='I_Inputs &amp; Assumptions'!$B$8*0.75,'I_Budget Input Data'!$D$116*0.6/('I_Inputs &amp; Assumptions'!$B$8/2),'I_Budget Input Data'!$D$116*0.2/('I_Inputs &amp; Assumptions'!$B$8/4))),IF('I_Budget Input Data'!$E$116="At Completion",IF(22='I_Inputs &amp; Assumptions'!$B$8,'I_Budget Input Data'!$D$116,0),'I_Budget Input Data'!$D$116/'I_Inputs &amp; Assumptions'!$B$8)))))),0)</f>
        <v>0</v>
      </c>
      <c r="Y116" s="91">
        <f>IF(23&lt;='I_Inputs &amp; Assumptions'!$B$8,IF('I_Budget Input Data'!$E$116="Upfront",IF(23=1,'I_Budget Input Data'!$D$116,0),IF('I_Budget Input Data'!$E$116="Equal",'I_Budget Input Data'!$D$116/'I_Inputs &amp; Assumptions'!$B$8,IF('I_Budget Input Data'!$E$116="Front-loaded",IF(23&lt;='I_Inputs &amp; Assumptions'!$B$8/2,'I_Budget Input Data'!$D$116*0.6/('I_Inputs &amp; Assumptions'!$B$8/2),'I_Budget Input Data'!$D$116*0.4/('I_Inputs &amp; Assumptions'!$B$8/2)),IF('I_Budget Input Data'!$E$116="Back-loaded",IF(23&lt;='I_Inputs &amp; Assumptions'!$B$8/2,'I_Budget Input Data'!$D$116*0.4/('I_Inputs &amp; Assumptions'!$B$8/2),'I_Budget Input Data'!$D$116*0.6/('I_Inputs &amp; Assumptions'!$B$8/2)),IF('I_Budget Input Data'!$E$116="Mid-weighted",IF(23&lt;='I_Inputs &amp; Assumptions'!$B$8/4,'I_Budget Input Data'!$D$116*0.2/('I_Inputs &amp; Assumptions'!$B$8/4),IF(23&lt;='I_Inputs &amp; Assumptions'!$B$8*0.75,'I_Budget Input Data'!$D$116*0.6/('I_Inputs &amp; Assumptions'!$B$8/2),'I_Budget Input Data'!$D$116*0.2/('I_Inputs &amp; Assumptions'!$B$8/4))),IF('I_Budget Input Data'!$E$116="At Completion",IF(23='I_Inputs &amp; Assumptions'!$B$8,'I_Budget Input Data'!$D$116,0),'I_Budget Input Data'!$D$116/'I_Inputs &amp; Assumptions'!$B$8)))))),0)</f>
        <v>0</v>
      </c>
      <c r="Z116" s="91">
        <f>IF(24&lt;='I_Inputs &amp; Assumptions'!$B$8,IF('I_Budget Input Data'!$E$116="Upfront",IF(24=1,'I_Budget Input Data'!$D$116,0),IF('I_Budget Input Data'!$E$116="Equal",'I_Budget Input Data'!$D$116/'I_Inputs &amp; Assumptions'!$B$8,IF('I_Budget Input Data'!$E$116="Front-loaded",IF(24&lt;='I_Inputs &amp; Assumptions'!$B$8/2,'I_Budget Input Data'!$D$116*0.6/('I_Inputs &amp; Assumptions'!$B$8/2),'I_Budget Input Data'!$D$116*0.4/('I_Inputs &amp; Assumptions'!$B$8/2)),IF('I_Budget Input Data'!$E$116="Back-loaded",IF(24&lt;='I_Inputs &amp; Assumptions'!$B$8/2,'I_Budget Input Data'!$D$116*0.4/('I_Inputs &amp; Assumptions'!$B$8/2),'I_Budget Input Data'!$D$116*0.6/('I_Inputs &amp; Assumptions'!$B$8/2)),IF('I_Budget Input Data'!$E$116="Mid-weighted",IF(24&lt;='I_Inputs &amp; Assumptions'!$B$8/4,'I_Budget Input Data'!$D$116*0.2/('I_Inputs &amp; Assumptions'!$B$8/4),IF(24&lt;='I_Inputs &amp; Assumptions'!$B$8*0.75,'I_Budget Input Data'!$D$116*0.6/('I_Inputs &amp; Assumptions'!$B$8/2),'I_Budget Input Data'!$D$116*0.2/('I_Inputs &amp; Assumptions'!$B$8/4))),IF('I_Budget Input Data'!$E$116="At Completion",IF(24='I_Inputs &amp; Assumptions'!$B$8,'I_Budget Input Data'!$D$116,0),'I_Budget Input Data'!$D$116/'I_Inputs &amp; Assumptions'!$B$8)))))),0)</f>
        <v>0</v>
      </c>
      <c r="AA116" s="91">
        <f>IF(25&lt;='I_Inputs &amp; Assumptions'!$B$8,IF('I_Budget Input Data'!$E$116="Upfront",IF(25=1,'I_Budget Input Data'!$D$116,0),IF('I_Budget Input Data'!$E$116="Equal",'I_Budget Input Data'!$D$116/'I_Inputs &amp; Assumptions'!$B$8,IF('I_Budget Input Data'!$E$116="Front-loaded",IF(25&lt;='I_Inputs &amp; Assumptions'!$B$8/2,'I_Budget Input Data'!$D$116*0.6/('I_Inputs &amp; Assumptions'!$B$8/2),'I_Budget Input Data'!$D$116*0.4/('I_Inputs &amp; Assumptions'!$B$8/2)),IF('I_Budget Input Data'!$E$116="Back-loaded",IF(25&lt;='I_Inputs &amp; Assumptions'!$B$8/2,'I_Budget Input Data'!$D$116*0.4/('I_Inputs &amp; Assumptions'!$B$8/2),'I_Budget Input Data'!$D$116*0.6/('I_Inputs &amp; Assumptions'!$B$8/2)),IF('I_Budget Input Data'!$E$116="Mid-weighted",IF(25&lt;='I_Inputs &amp; Assumptions'!$B$8/4,'I_Budget Input Data'!$D$116*0.2/('I_Inputs &amp; Assumptions'!$B$8/4),IF(25&lt;='I_Inputs &amp; Assumptions'!$B$8*0.75,'I_Budget Input Data'!$D$116*0.6/('I_Inputs &amp; Assumptions'!$B$8/2),'I_Budget Input Data'!$D$116*0.2/('I_Inputs &amp; Assumptions'!$B$8/4))),IF('I_Budget Input Data'!$E$116="At Completion",IF(25='I_Inputs &amp; Assumptions'!$B$8,'I_Budget Input Data'!$D$116,0),'I_Budget Input Data'!$D$116/'I_Inputs &amp; Assumptions'!$B$8)))))),0)</f>
        <v>0</v>
      </c>
      <c r="AB116" s="91">
        <f>IF(26&lt;='I_Inputs &amp; Assumptions'!$B$8,IF('I_Budget Input Data'!$E$116="Upfront",IF(26=1,'I_Budget Input Data'!$D$116,0),IF('I_Budget Input Data'!$E$116="Equal",'I_Budget Input Data'!$D$116/'I_Inputs &amp; Assumptions'!$B$8,IF('I_Budget Input Data'!$E$116="Front-loaded",IF(26&lt;='I_Inputs &amp; Assumptions'!$B$8/2,'I_Budget Input Data'!$D$116*0.6/('I_Inputs &amp; Assumptions'!$B$8/2),'I_Budget Input Data'!$D$116*0.4/('I_Inputs &amp; Assumptions'!$B$8/2)),IF('I_Budget Input Data'!$E$116="Back-loaded",IF(26&lt;='I_Inputs &amp; Assumptions'!$B$8/2,'I_Budget Input Data'!$D$116*0.4/('I_Inputs &amp; Assumptions'!$B$8/2),'I_Budget Input Data'!$D$116*0.6/('I_Inputs &amp; Assumptions'!$B$8/2)),IF('I_Budget Input Data'!$E$116="Mid-weighted",IF(26&lt;='I_Inputs &amp; Assumptions'!$B$8/4,'I_Budget Input Data'!$D$116*0.2/('I_Inputs &amp; Assumptions'!$B$8/4),IF(26&lt;='I_Inputs &amp; Assumptions'!$B$8*0.75,'I_Budget Input Data'!$D$116*0.6/('I_Inputs &amp; Assumptions'!$B$8/2),'I_Budget Input Data'!$D$116*0.2/('I_Inputs &amp; Assumptions'!$B$8/4))),IF('I_Budget Input Data'!$E$116="At Completion",IF(26='I_Inputs &amp; Assumptions'!$B$8,'I_Budget Input Data'!$D$116,0),'I_Budget Input Data'!$D$116/'I_Inputs &amp; Assumptions'!$B$8)))))),0)</f>
        <v>0</v>
      </c>
      <c r="AC116" s="91">
        <f>IF(27&lt;='I_Inputs &amp; Assumptions'!$B$8,IF('I_Budget Input Data'!$E$116="Upfront",IF(27=1,'I_Budget Input Data'!$D$116,0),IF('I_Budget Input Data'!$E$116="Equal",'I_Budget Input Data'!$D$116/'I_Inputs &amp; Assumptions'!$B$8,IF('I_Budget Input Data'!$E$116="Front-loaded",IF(27&lt;='I_Inputs &amp; Assumptions'!$B$8/2,'I_Budget Input Data'!$D$116*0.6/('I_Inputs &amp; Assumptions'!$B$8/2),'I_Budget Input Data'!$D$116*0.4/('I_Inputs &amp; Assumptions'!$B$8/2)),IF('I_Budget Input Data'!$E$116="Back-loaded",IF(27&lt;='I_Inputs &amp; Assumptions'!$B$8/2,'I_Budget Input Data'!$D$116*0.4/('I_Inputs &amp; Assumptions'!$B$8/2),'I_Budget Input Data'!$D$116*0.6/('I_Inputs &amp; Assumptions'!$B$8/2)),IF('I_Budget Input Data'!$E$116="Mid-weighted",IF(27&lt;='I_Inputs &amp; Assumptions'!$B$8/4,'I_Budget Input Data'!$D$116*0.2/('I_Inputs &amp; Assumptions'!$B$8/4),IF(27&lt;='I_Inputs &amp; Assumptions'!$B$8*0.75,'I_Budget Input Data'!$D$116*0.6/('I_Inputs &amp; Assumptions'!$B$8/2),'I_Budget Input Data'!$D$116*0.2/('I_Inputs &amp; Assumptions'!$B$8/4))),IF('I_Budget Input Data'!$E$116="At Completion",IF(27='I_Inputs &amp; Assumptions'!$B$8,'I_Budget Input Data'!$D$116,0),'I_Budget Input Data'!$D$116/'I_Inputs &amp; Assumptions'!$B$8)))))),0)</f>
        <v>0</v>
      </c>
      <c r="AD116" s="91">
        <f>IF(28&lt;='I_Inputs &amp; Assumptions'!$B$8,IF('I_Budget Input Data'!$E$116="Upfront",IF(28=1,'I_Budget Input Data'!$D$116,0),IF('I_Budget Input Data'!$E$116="Equal",'I_Budget Input Data'!$D$116/'I_Inputs &amp; Assumptions'!$B$8,IF('I_Budget Input Data'!$E$116="Front-loaded",IF(28&lt;='I_Inputs &amp; Assumptions'!$B$8/2,'I_Budget Input Data'!$D$116*0.6/('I_Inputs &amp; Assumptions'!$B$8/2),'I_Budget Input Data'!$D$116*0.4/('I_Inputs &amp; Assumptions'!$B$8/2)),IF('I_Budget Input Data'!$E$116="Back-loaded",IF(28&lt;='I_Inputs &amp; Assumptions'!$B$8/2,'I_Budget Input Data'!$D$116*0.4/('I_Inputs &amp; Assumptions'!$B$8/2),'I_Budget Input Data'!$D$116*0.6/('I_Inputs &amp; Assumptions'!$B$8/2)),IF('I_Budget Input Data'!$E$116="Mid-weighted",IF(28&lt;='I_Inputs &amp; Assumptions'!$B$8/4,'I_Budget Input Data'!$D$116*0.2/('I_Inputs &amp; Assumptions'!$B$8/4),IF(28&lt;='I_Inputs &amp; Assumptions'!$B$8*0.75,'I_Budget Input Data'!$D$116*0.6/('I_Inputs &amp; Assumptions'!$B$8/2),'I_Budget Input Data'!$D$116*0.2/('I_Inputs &amp; Assumptions'!$B$8/4))),IF('I_Budget Input Data'!$E$116="At Completion",IF(28='I_Inputs &amp; Assumptions'!$B$8,'I_Budget Input Data'!$D$116,0),'I_Budget Input Data'!$D$116/'I_Inputs &amp; Assumptions'!$B$8)))))),0)</f>
        <v>0</v>
      </c>
      <c r="AE116" s="91">
        <f>IF(29&lt;='I_Inputs &amp; Assumptions'!$B$8,IF('I_Budget Input Data'!$E$116="Upfront",IF(29=1,'I_Budget Input Data'!$D$116,0),IF('I_Budget Input Data'!$E$116="Equal",'I_Budget Input Data'!$D$116/'I_Inputs &amp; Assumptions'!$B$8,IF('I_Budget Input Data'!$E$116="Front-loaded",IF(29&lt;='I_Inputs &amp; Assumptions'!$B$8/2,'I_Budget Input Data'!$D$116*0.6/('I_Inputs &amp; Assumptions'!$B$8/2),'I_Budget Input Data'!$D$116*0.4/('I_Inputs &amp; Assumptions'!$B$8/2)),IF('I_Budget Input Data'!$E$116="Back-loaded",IF(29&lt;='I_Inputs &amp; Assumptions'!$B$8/2,'I_Budget Input Data'!$D$116*0.4/('I_Inputs &amp; Assumptions'!$B$8/2),'I_Budget Input Data'!$D$116*0.6/('I_Inputs &amp; Assumptions'!$B$8/2)),IF('I_Budget Input Data'!$E$116="Mid-weighted",IF(29&lt;='I_Inputs &amp; Assumptions'!$B$8/4,'I_Budget Input Data'!$D$116*0.2/('I_Inputs &amp; Assumptions'!$B$8/4),IF(29&lt;='I_Inputs &amp; Assumptions'!$B$8*0.75,'I_Budget Input Data'!$D$116*0.6/('I_Inputs &amp; Assumptions'!$B$8/2),'I_Budget Input Data'!$D$116*0.2/('I_Inputs &amp; Assumptions'!$B$8/4))),IF('I_Budget Input Data'!$E$116="At Completion",IF(29='I_Inputs &amp; Assumptions'!$B$8,'I_Budget Input Data'!$D$116,0),'I_Budget Input Data'!$D$116/'I_Inputs &amp; Assumptions'!$B$8)))))),0)</f>
        <v>0</v>
      </c>
      <c r="AF116" s="91">
        <f>IF(30&lt;='I_Inputs &amp; Assumptions'!$B$8,IF('I_Budget Input Data'!$E$116="Upfront",IF(30=1,'I_Budget Input Data'!$D$116,0),IF('I_Budget Input Data'!$E$116="Equal",'I_Budget Input Data'!$D$116/'I_Inputs &amp; Assumptions'!$B$8,IF('I_Budget Input Data'!$E$116="Front-loaded",IF(30&lt;='I_Inputs &amp; Assumptions'!$B$8/2,'I_Budget Input Data'!$D$116*0.6/('I_Inputs &amp; Assumptions'!$B$8/2),'I_Budget Input Data'!$D$116*0.4/('I_Inputs &amp; Assumptions'!$B$8/2)),IF('I_Budget Input Data'!$E$116="Back-loaded",IF(30&lt;='I_Inputs &amp; Assumptions'!$B$8/2,'I_Budget Input Data'!$D$116*0.4/('I_Inputs &amp; Assumptions'!$B$8/2),'I_Budget Input Data'!$D$116*0.6/('I_Inputs &amp; Assumptions'!$B$8/2)),IF('I_Budget Input Data'!$E$116="Mid-weighted",IF(30&lt;='I_Inputs &amp; Assumptions'!$B$8/4,'I_Budget Input Data'!$D$116*0.2/('I_Inputs &amp; Assumptions'!$B$8/4),IF(30&lt;='I_Inputs &amp; Assumptions'!$B$8*0.75,'I_Budget Input Data'!$D$116*0.6/('I_Inputs &amp; Assumptions'!$B$8/2),'I_Budget Input Data'!$D$116*0.2/('I_Inputs &amp; Assumptions'!$B$8/4))),IF('I_Budget Input Data'!$E$116="At Completion",IF(30='I_Inputs &amp; Assumptions'!$B$8,'I_Budget Input Data'!$D$116,0),'I_Budget Input Data'!$D$116/'I_Inputs &amp; Assumptions'!$B$8)))))),0)</f>
        <v>0</v>
      </c>
      <c r="AG116" s="91">
        <f>IF(31&lt;='I_Inputs &amp; Assumptions'!$B$8,IF('I_Budget Input Data'!$E$116="Upfront",IF(31=1,'I_Budget Input Data'!$D$116,0),IF('I_Budget Input Data'!$E$116="Equal",'I_Budget Input Data'!$D$116/'I_Inputs &amp; Assumptions'!$B$8,IF('I_Budget Input Data'!$E$116="Front-loaded",IF(31&lt;='I_Inputs &amp; Assumptions'!$B$8/2,'I_Budget Input Data'!$D$116*0.6/('I_Inputs &amp; Assumptions'!$B$8/2),'I_Budget Input Data'!$D$116*0.4/('I_Inputs &amp; Assumptions'!$B$8/2)),IF('I_Budget Input Data'!$E$116="Back-loaded",IF(31&lt;='I_Inputs &amp; Assumptions'!$B$8/2,'I_Budget Input Data'!$D$116*0.4/('I_Inputs &amp; Assumptions'!$B$8/2),'I_Budget Input Data'!$D$116*0.6/('I_Inputs &amp; Assumptions'!$B$8/2)),IF('I_Budget Input Data'!$E$116="Mid-weighted",IF(31&lt;='I_Inputs &amp; Assumptions'!$B$8/4,'I_Budget Input Data'!$D$116*0.2/('I_Inputs &amp; Assumptions'!$B$8/4),IF(31&lt;='I_Inputs &amp; Assumptions'!$B$8*0.75,'I_Budget Input Data'!$D$116*0.6/('I_Inputs &amp; Assumptions'!$B$8/2),'I_Budget Input Data'!$D$116*0.2/('I_Inputs &amp; Assumptions'!$B$8/4))),IF('I_Budget Input Data'!$E$116="At Completion",IF(31='I_Inputs &amp; Assumptions'!$B$8,'I_Budget Input Data'!$D$116,0),'I_Budget Input Data'!$D$116/'I_Inputs &amp; Assumptions'!$B$8)))))),0)</f>
        <v>0</v>
      </c>
      <c r="AH116" s="91">
        <f>IF(32&lt;='I_Inputs &amp; Assumptions'!$B$8,IF('I_Budget Input Data'!$E$116="Upfront",IF(32=1,'I_Budget Input Data'!$D$116,0),IF('I_Budget Input Data'!$E$116="Equal",'I_Budget Input Data'!$D$116/'I_Inputs &amp; Assumptions'!$B$8,IF('I_Budget Input Data'!$E$116="Front-loaded",IF(32&lt;='I_Inputs &amp; Assumptions'!$B$8/2,'I_Budget Input Data'!$D$116*0.6/('I_Inputs &amp; Assumptions'!$B$8/2),'I_Budget Input Data'!$D$116*0.4/('I_Inputs &amp; Assumptions'!$B$8/2)),IF('I_Budget Input Data'!$E$116="Back-loaded",IF(32&lt;='I_Inputs &amp; Assumptions'!$B$8/2,'I_Budget Input Data'!$D$116*0.4/('I_Inputs &amp; Assumptions'!$B$8/2),'I_Budget Input Data'!$D$116*0.6/('I_Inputs &amp; Assumptions'!$B$8/2)),IF('I_Budget Input Data'!$E$116="Mid-weighted",IF(32&lt;='I_Inputs &amp; Assumptions'!$B$8/4,'I_Budget Input Data'!$D$116*0.2/('I_Inputs &amp; Assumptions'!$B$8/4),IF(32&lt;='I_Inputs &amp; Assumptions'!$B$8*0.75,'I_Budget Input Data'!$D$116*0.6/('I_Inputs &amp; Assumptions'!$B$8/2),'I_Budget Input Data'!$D$116*0.2/('I_Inputs &amp; Assumptions'!$B$8/4))),IF('I_Budget Input Data'!$E$116="At Completion",IF(32='I_Inputs &amp; Assumptions'!$B$8,'I_Budget Input Data'!$D$116,0),'I_Budget Input Data'!$D$116/'I_Inputs &amp; Assumptions'!$B$8)))))),0)</f>
        <v>0</v>
      </c>
      <c r="AI116" s="91">
        <f>IF(33&lt;='I_Inputs &amp; Assumptions'!$B$8,IF('I_Budget Input Data'!$E$116="Upfront",IF(33=1,'I_Budget Input Data'!$D$116,0),IF('I_Budget Input Data'!$E$116="Equal",'I_Budget Input Data'!$D$116/'I_Inputs &amp; Assumptions'!$B$8,IF('I_Budget Input Data'!$E$116="Front-loaded",IF(33&lt;='I_Inputs &amp; Assumptions'!$B$8/2,'I_Budget Input Data'!$D$116*0.6/('I_Inputs &amp; Assumptions'!$B$8/2),'I_Budget Input Data'!$D$116*0.4/('I_Inputs &amp; Assumptions'!$B$8/2)),IF('I_Budget Input Data'!$E$116="Back-loaded",IF(33&lt;='I_Inputs &amp; Assumptions'!$B$8/2,'I_Budget Input Data'!$D$116*0.4/('I_Inputs &amp; Assumptions'!$B$8/2),'I_Budget Input Data'!$D$116*0.6/('I_Inputs &amp; Assumptions'!$B$8/2)),IF('I_Budget Input Data'!$E$116="Mid-weighted",IF(33&lt;='I_Inputs &amp; Assumptions'!$B$8/4,'I_Budget Input Data'!$D$116*0.2/('I_Inputs &amp; Assumptions'!$B$8/4),IF(33&lt;='I_Inputs &amp; Assumptions'!$B$8*0.75,'I_Budget Input Data'!$D$116*0.6/('I_Inputs &amp; Assumptions'!$B$8/2),'I_Budget Input Data'!$D$116*0.2/('I_Inputs &amp; Assumptions'!$B$8/4))),IF('I_Budget Input Data'!$E$116="At Completion",IF(33='I_Inputs &amp; Assumptions'!$B$8,'I_Budget Input Data'!$D$116,0),'I_Budget Input Data'!$D$116/'I_Inputs &amp; Assumptions'!$B$8)))))),0)</f>
        <v>0</v>
      </c>
      <c r="AJ116" s="91">
        <f>IF(34&lt;='I_Inputs &amp; Assumptions'!$B$8,IF('I_Budget Input Data'!$E$116="Upfront",IF(34=1,'I_Budget Input Data'!$D$116,0),IF('I_Budget Input Data'!$E$116="Equal",'I_Budget Input Data'!$D$116/'I_Inputs &amp; Assumptions'!$B$8,IF('I_Budget Input Data'!$E$116="Front-loaded",IF(34&lt;='I_Inputs &amp; Assumptions'!$B$8/2,'I_Budget Input Data'!$D$116*0.6/('I_Inputs &amp; Assumptions'!$B$8/2),'I_Budget Input Data'!$D$116*0.4/('I_Inputs &amp; Assumptions'!$B$8/2)),IF('I_Budget Input Data'!$E$116="Back-loaded",IF(34&lt;='I_Inputs &amp; Assumptions'!$B$8/2,'I_Budget Input Data'!$D$116*0.4/('I_Inputs &amp; Assumptions'!$B$8/2),'I_Budget Input Data'!$D$116*0.6/('I_Inputs &amp; Assumptions'!$B$8/2)),IF('I_Budget Input Data'!$E$116="Mid-weighted",IF(34&lt;='I_Inputs &amp; Assumptions'!$B$8/4,'I_Budget Input Data'!$D$116*0.2/('I_Inputs &amp; Assumptions'!$B$8/4),IF(34&lt;='I_Inputs &amp; Assumptions'!$B$8*0.75,'I_Budget Input Data'!$D$116*0.6/('I_Inputs &amp; Assumptions'!$B$8/2),'I_Budget Input Data'!$D$116*0.2/('I_Inputs &amp; Assumptions'!$B$8/4))),IF('I_Budget Input Data'!$E$116="At Completion",IF(34='I_Inputs &amp; Assumptions'!$B$8,'I_Budget Input Data'!$D$116,0),'I_Budget Input Data'!$D$116/'I_Inputs &amp; Assumptions'!$B$8)))))),0)</f>
        <v>0</v>
      </c>
      <c r="AK116" s="91">
        <f>IF(35&lt;='I_Inputs &amp; Assumptions'!$B$8,IF('I_Budget Input Data'!$E$116="Upfront",IF(35=1,'I_Budget Input Data'!$D$116,0),IF('I_Budget Input Data'!$E$116="Equal",'I_Budget Input Data'!$D$116/'I_Inputs &amp; Assumptions'!$B$8,IF('I_Budget Input Data'!$E$116="Front-loaded",IF(35&lt;='I_Inputs &amp; Assumptions'!$B$8/2,'I_Budget Input Data'!$D$116*0.6/('I_Inputs &amp; Assumptions'!$B$8/2),'I_Budget Input Data'!$D$116*0.4/('I_Inputs &amp; Assumptions'!$B$8/2)),IF('I_Budget Input Data'!$E$116="Back-loaded",IF(35&lt;='I_Inputs &amp; Assumptions'!$B$8/2,'I_Budget Input Data'!$D$116*0.4/('I_Inputs &amp; Assumptions'!$B$8/2),'I_Budget Input Data'!$D$116*0.6/('I_Inputs &amp; Assumptions'!$B$8/2)),IF('I_Budget Input Data'!$E$116="Mid-weighted",IF(35&lt;='I_Inputs &amp; Assumptions'!$B$8/4,'I_Budget Input Data'!$D$116*0.2/('I_Inputs &amp; Assumptions'!$B$8/4),IF(35&lt;='I_Inputs &amp; Assumptions'!$B$8*0.75,'I_Budget Input Data'!$D$116*0.6/('I_Inputs &amp; Assumptions'!$B$8/2),'I_Budget Input Data'!$D$116*0.2/('I_Inputs &amp; Assumptions'!$B$8/4))),IF('I_Budget Input Data'!$E$116="At Completion",IF(35='I_Inputs &amp; Assumptions'!$B$8,'I_Budget Input Data'!$D$116,0),'I_Budget Input Data'!$D$116/'I_Inputs &amp; Assumptions'!$B$8)))))),0)</f>
        <v>0</v>
      </c>
      <c r="AL116" s="91">
        <f>IF(36&lt;='I_Inputs &amp; Assumptions'!$B$8,IF('I_Budget Input Data'!$E$116="Upfront",IF(36=1,'I_Budget Input Data'!$D$116,0),IF('I_Budget Input Data'!$E$116="Equal",'I_Budget Input Data'!$D$116/'I_Inputs &amp; Assumptions'!$B$8,IF('I_Budget Input Data'!$E$116="Front-loaded",IF(36&lt;='I_Inputs &amp; Assumptions'!$B$8/2,'I_Budget Input Data'!$D$116*0.6/('I_Inputs &amp; Assumptions'!$B$8/2),'I_Budget Input Data'!$D$116*0.4/('I_Inputs &amp; Assumptions'!$B$8/2)),IF('I_Budget Input Data'!$E$116="Back-loaded",IF(36&lt;='I_Inputs &amp; Assumptions'!$B$8/2,'I_Budget Input Data'!$D$116*0.4/('I_Inputs &amp; Assumptions'!$B$8/2),'I_Budget Input Data'!$D$116*0.6/('I_Inputs &amp; Assumptions'!$B$8/2)),IF('I_Budget Input Data'!$E$116="Mid-weighted",IF(36&lt;='I_Inputs &amp; Assumptions'!$B$8/4,'I_Budget Input Data'!$D$116*0.2/('I_Inputs &amp; Assumptions'!$B$8/4),IF(36&lt;='I_Inputs &amp; Assumptions'!$B$8*0.75,'I_Budget Input Data'!$D$116*0.6/('I_Inputs &amp; Assumptions'!$B$8/2),'I_Budget Input Data'!$D$116*0.2/('I_Inputs &amp; Assumptions'!$B$8/4))),IF('I_Budget Input Data'!$E$116="At Completion",IF(36='I_Inputs &amp; Assumptions'!$B$8,'I_Budget Input Data'!$D$116,0),'I_Budget Input Data'!$D$116/'I_Inputs &amp; Assumptions'!$B$8)))))),0)</f>
        <v>0</v>
      </c>
    </row>
    <row r="117" spans="1:38" ht="15" customHeight="1" x14ac:dyDescent="0.2">
      <c r="A117" t="s">
        <v>146</v>
      </c>
      <c r="C117" s="91">
        <f>IF(1&lt;='I_Inputs &amp; Assumptions'!$B$8,IF('I_Budget Input Data'!$E$117="Upfront",IF(1=1,'I_Budget Input Data'!$D$117,0),IF('I_Budget Input Data'!$E$117="Equal",'I_Budget Input Data'!$D$117/'I_Inputs &amp; Assumptions'!$B$8,IF('I_Budget Input Data'!$E$117="Front-loaded",IF(1&lt;='I_Inputs &amp; Assumptions'!$B$8/2,'I_Budget Input Data'!$D$117*0.6/('I_Inputs &amp; Assumptions'!$B$8/2),'I_Budget Input Data'!$D$117*0.4/('I_Inputs &amp; Assumptions'!$B$8/2)),IF('I_Budget Input Data'!$E$117="Back-loaded",IF(1&lt;='I_Inputs &amp; Assumptions'!$B$8/2,'I_Budget Input Data'!$D$117*0.4/('I_Inputs &amp; Assumptions'!$B$8/2),'I_Budget Input Data'!$D$117*0.6/('I_Inputs &amp; Assumptions'!$B$8/2)),IF('I_Budget Input Data'!$E$117="Mid-weighted",IF(1&lt;='I_Inputs &amp; Assumptions'!$B$8/4,'I_Budget Input Data'!$D$117*0.2/('I_Inputs &amp; Assumptions'!$B$8/4),IF(1&lt;='I_Inputs &amp; Assumptions'!$B$8*0.75,'I_Budget Input Data'!$D$117*0.6/('I_Inputs &amp; Assumptions'!$B$8/2),'I_Budget Input Data'!$D$117*0.2/('I_Inputs &amp; Assumptions'!$B$8/4))),IF('I_Budget Input Data'!$E$117="At Completion",IF(1='I_Inputs &amp; Assumptions'!$B$8,'I_Budget Input Data'!$D$117,0),'I_Budget Input Data'!$D$117/'I_Inputs &amp; Assumptions'!$B$8)))))),0)</f>
        <v>7846.1538461538457</v>
      </c>
      <c r="D117" s="91">
        <f>IF(2&lt;='I_Inputs &amp; Assumptions'!$B$8,IF('I_Budget Input Data'!$E$117="Upfront",IF(2=1,'I_Budget Input Data'!$D$117,0),IF('I_Budget Input Data'!$E$117="Equal",'I_Budget Input Data'!$D$117/'I_Inputs &amp; Assumptions'!$B$8,IF('I_Budget Input Data'!$E$117="Front-loaded",IF(2&lt;='I_Inputs &amp; Assumptions'!$B$8/2,'I_Budget Input Data'!$D$117*0.6/('I_Inputs &amp; Assumptions'!$B$8/2),'I_Budget Input Data'!$D$117*0.4/('I_Inputs &amp; Assumptions'!$B$8/2)),IF('I_Budget Input Data'!$E$117="Back-loaded",IF(2&lt;='I_Inputs &amp; Assumptions'!$B$8/2,'I_Budget Input Data'!$D$117*0.4/('I_Inputs &amp; Assumptions'!$B$8/2),'I_Budget Input Data'!$D$117*0.6/('I_Inputs &amp; Assumptions'!$B$8/2)),IF('I_Budget Input Data'!$E$117="Mid-weighted",IF(2&lt;='I_Inputs &amp; Assumptions'!$B$8/4,'I_Budget Input Data'!$D$117*0.2/('I_Inputs &amp; Assumptions'!$B$8/4),IF(2&lt;='I_Inputs &amp; Assumptions'!$B$8*0.75,'I_Budget Input Data'!$D$117*0.6/('I_Inputs &amp; Assumptions'!$B$8/2),'I_Budget Input Data'!$D$117*0.2/('I_Inputs &amp; Assumptions'!$B$8/4))),IF('I_Budget Input Data'!$E$117="At Completion",IF(2='I_Inputs &amp; Assumptions'!$B$8,'I_Budget Input Data'!$D$117,0),'I_Budget Input Data'!$D$117/'I_Inputs &amp; Assumptions'!$B$8)))))),0)</f>
        <v>7846.1538461538457</v>
      </c>
      <c r="E117" s="91">
        <f>IF(3&lt;='I_Inputs &amp; Assumptions'!$B$8,IF('I_Budget Input Data'!$E$117="Upfront",IF(3=1,'I_Budget Input Data'!$D$117,0),IF('I_Budget Input Data'!$E$117="Equal",'I_Budget Input Data'!$D$117/'I_Inputs &amp; Assumptions'!$B$8,IF('I_Budget Input Data'!$E$117="Front-loaded",IF(3&lt;='I_Inputs &amp; Assumptions'!$B$8/2,'I_Budget Input Data'!$D$117*0.6/('I_Inputs &amp; Assumptions'!$B$8/2),'I_Budget Input Data'!$D$117*0.4/('I_Inputs &amp; Assumptions'!$B$8/2)),IF('I_Budget Input Data'!$E$117="Back-loaded",IF(3&lt;='I_Inputs &amp; Assumptions'!$B$8/2,'I_Budget Input Data'!$D$117*0.4/('I_Inputs &amp; Assumptions'!$B$8/2),'I_Budget Input Data'!$D$117*0.6/('I_Inputs &amp; Assumptions'!$B$8/2)),IF('I_Budget Input Data'!$E$117="Mid-weighted",IF(3&lt;='I_Inputs &amp; Assumptions'!$B$8/4,'I_Budget Input Data'!$D$117*0.2/('I_Inputs &amp; Assumptions'!$B$8/4),IF(3&lt;='I_Inputs &amp; Assumptions'!$B$8*0.75,'I_Budget Input Data'!$D$117*0.6/('I_Inputs &amp; Assumptions'!$B$8/2),'I_Budget Input Data'!$D$117*0.2/('I_Inputs &amp; Assumptions'!$B$8/4))),IF('I_Budget Input Data'!$E$117="At Completion",IF(3='I_Inputs &amp; Assumptions'!$B$8,'I_Budget Input Data'!$D$117,0),'I_Budget Input Data'!$D$117/'I_Inputs &amp; Assumptions'!$B$8)))))),0)</f>
        <v>7846.1538461538457</v>
      </c>
      <c r="F117" s="91">
        <f>IF(4&lt;='I_Inputs &amp; Assumptions'!$B$8,IF('I_Budget Input Data'!$E$117="Upfront",IF(4=1,'I_Budget Input Data'!$D$117,0),IF('I_Budget Input Data'!$E$117="Equal",'I_Budget Input Data'!$D$117/'I_Inputs &amp; Assumptions'!$B$8,IF('I_Budget Input Data'!$E$117="Front-loaded",IF(4&lt;='I_Inputs &amp; Assumptions'!$B$8/2,'I_Budget Input Data'!$D$117*0.6/('I_Inputs &amp; Assumptions'!$B$8/2),'I_Budget Input Data'!$D$117*0.4/('I_Inputs &amp; Assumptions'!$B$8/2)),IF('I_Budget Input Data'!$E$117="Back-loaded",IF(4&lt;='I_Inputs &amp; Assumptions'!$B$8/2,'I_Budget Input Data'!$D$117*0.4/('I_Inputs &amp; Assumptions'!$B$8/2),'I_Budget Input Data'!$D$117*0.6/('I_Inputs &amp; Assumptions'!$B$8/2)),IF('I_Budget Input Data'!$E$117="Mid-weighted",IF(4&lt;='I_Inputs &amp; Assumptions'!$B$8/4,'I_Budget Input Data'!$D$117*0.2/('I_Inputs &amp; Assumptions'!$B$8/4),IF(4&lt;='I_Inputs &amp; Assumptions'!$B$8*0.75,'I_Budget Input Data'!$D$117*0.6/('I_Inputs &amp; Assumptions'!$B$8/2),'I_Budget Input Data'!$D$117*0.2/('I_Inputs &amp; Assumptions'!$B$8/4))),IF('I_Budget Input Data'!$E$117="At Completion",IF(4='I_Inputs &amp; Assumptions'!$B$8,'I_Budget Input Data'!$D$117,0),'I_Budget Input Data'!$D$117/'I_Inputs &amp; Assumptions'!$B$8)))))),0)</f>
        <v>7846.1538461538457</v>
      </c>
      <c r="G117" s="91">
        <f>IF(5&lt;='I_Inputs &amp; Assumptions'!$B$8,IF('I_Budget Input Data'!$E$117="Upfront",IF(5=1,'I_Budget Input Data'!$D$117,0),IF('I_Budget Input Data'!$E$117="Equal",'I_Budget Input Data'!$D$117/'I_Inputs &amp; Assumptions'!$B$8,IF('I_Budget Input Data'!$E$117="Front-loaded",IF(5&lt;='I_Inputs &amp; Assumptions'!$B$8/2,'I_Budget Input Data'!$D$117*0.6/('I_Inputs &amp; Assumptions'!$B$8/2),'I_Budget Input Data'!$D$117*0.4/('I_Inputs &amp; Assumptions'!$B$8/2)),IF('I_Budget Input Data'!$E$117="Back-loaded",IF(5&lt;='I_Inputs &amp; Assumptions'!$B$8/2,'I_Budget Input Data'!$D$117*0.4/('I_Inputs &amp; Assumptions'!$B$8/2),'I_Budget Input Data'!$D$117*0.6/('I_Inputs &amp; Assumptions'!$B$8/2)),IF('I_Budget Input Data'!$E$117="Mid-weighted",IF(5&lt;='I_Inputs &amp; Assumptions'!$B$8/4,'I_Budget Input Data'!$D$117*0.2/('I_Inputs &amp; Assumptions'!$B$8/4),IF(5&lt;='I_Inputs &amp; Assumptions'!$B$8*0.75,'I_Budget Input Data'!$D$117*0.6/('I_Inputs &amp; Assumptions'!$B$8/2),'I_Budget Input Data'!$D$117*0.2/('I_Inputs &amp; Assumptions'!$B$8/4))),IF('I_Budget Input Data'!$E$117="At Completion",IF(5='I_Inputs &amp; Assumptions'!$B$8,'I_Budget Input Data'!$D$117,0),'I_Budget Input Data'!$D$117/'I_Inputs &amp; Assumptions'!$B$8)))))),0)</f>
        <v>7846.1538461538457</v>
      </c>
      <c r="H117" s="91">
        <f>IF(6&lt;='I_Inputs &amp; Assumptions'!$B$8,IF('I_Budget Input Data'!$E$117="Upfront",IF(6=1,'I_Budget Input Data'!$D$117,0),IF('I_Budget Input Data'!$E$117="Equal",'I_Budget Input Data'!$D$117/'I_Inputs &amp; Assumptions'!$B$8,IF('I_Budget Input Data'!$E$117="Front-loaded",IF(6&lt;='I_Inputs &amp; Assumptions'!$B$8/2,'I_Budget Input Data'!$D$117*0.6/('I_Inputs &amp; Assumptions'!$B$8/2),'I_Budget Input Data'!$D$117*0.4/('I_Inputs &amp; Assumptions'!$B$8/2)),IF('I_Budget Input Data'!$E$117="Back-loaded",IF(6&lt;='I_Inputs &amp; Assumptions'!$B$8/2,'I_Budget Input Data'!$D$117*0.4/('I_Inputs &amp; Assumptions'!$B$8/2),'I_Budget Input Data'!$D$117*0.6/('I_Inputs &amp; Assumptions'!$B$8/2)),IF('I_Budget Input Data'!$E$117="Mid-weighted",IF(6&lt;='I_Inputs &amp; Assumptions'!$B$8/4,'I_Budget Input Data'!$D$117*0.2/('I_Inputs &amp; Assumptions'!$B$8/4),IF(6&lt;='I_Inputs &amp; Assumptions'!$B$8*0.75,'I_Budget Input Data'!$D$117*0.6/('I_Inputs &amp; Assumptions'!$B$8/2),'I_Budget Input Data'!$D$117*0.2/('I_Inputs &amp; Assumptions'!$B$8/4))),IF('I_Budget Input Data'!$E$117="At Completion",IF(6='I_Inputs &amp; Assumptions'!$B$8,'I_Budget Input Data'!$D$117,0),'I_Budget Input Data'!$D$117/'I_Inputs &amp; Assumptions'!$B$8)))))),0)</f>
        <v>7846.1538461538457</v>
      </c>
      <c r="I117" s="91">
        <f>IF(7&lt;='I_Inputs &amp; Assumptions'!$B$8,IF('I_Budget Input Data'!$E$117="Upfront",IF(7=1,'I_Budget Input Data'!$D$117,0),IF('I_Budget Input Data'!$E$117="Equal",'I_Budget Input Data'!$D$117/'I_Inputs &amp; Assumptions'!$B$8,IF('I_Budget Input Data'!$E$117="Front-loaded",IF(7&lt;='I_Inputs &amp; Assumptions'!$B$8/2,'I_Budget Input Data'!$D$117*0.6/('I_Inputs &amp; Assumptions'!$B$8/2),'I_Budget Input Data'!$D$117*0.4/('I_Inputs &amp; Assumptions'!$B$8/2)),IF('I_Budget Input Data'!$E$117="Back-loaded",IF(7&lt;='I_Inputs &amp; Assumptions'!$B$8/2,'I_Budget Input Data'!$D$117*0.4/('I_Inputs &amp; Assumptions'!$B$8/2),'I_Budget Input Data'!$D$117*0.6/('I_Inputs &amp; Assumptions'!$B$8/2)),IF('I_Budget Input Data'!$E$117="Mid-weighted",IF(7&lt;='I_Inputs &amp; Assumptions'!$B$8/4,'I_Budget Input Data'!$D$117*0.2/('I_Inputs &amp; Assumptions'!$B$8/4),IF(7&lt;='I_Inputs &amp; Assumptions'!$B$8*0.75,'I_Budget Input Data'!$D$117*0.6/('I_Inputs &amp; Assumptions'!$B$8/2),'I_Budget Input Data'!$D$117*0.2/('I_Inputs &amp; Assumptions'!$B$8/4))),IF('I_Budget Input Data'!$E$117="At Completion",IF(7='I_Inputs &amp; Assumptions'!$B$8,'I_Budget Input Data'!$D$117,0),'I_Budget Input Data'!$D$117/'I_Inputs &amp; Assumptions'!$B$8)))))),0)</f>
        <v>7846.1538461538457</v>
      </c>
      <c r="J117" s="91">
        <f>IF(8&lt;='I_Inputs &amp; Assumptions'!$B$8,IF('I_Budget Input Data'!$E$117="Upfront",IF(8=1,'I_Budget Input Data'!$D$117,0),IF('I_Budget Input Data'!$E$117="Equal",'I_Budget Input Data'!$D$117/'I_Inputs &amp; Assumptions'!$B$8,IF('I_Budget Input Data'!$E$117="Front-loaded",IF(8&lt;='I_Inputs &amp; Assumptions'!$B$8/2,'I_Budget Input Data'!$D$117*0.6/('I_Inputs &amp; Assumptions'!$B$8/2),'I_Budget Input Data'!$D$117*0.4/('I_Inputs &amp; Assumptions'!$B$8/2)),IF('I_Budget Input Data'!$E$117="Back-loaded",IF(8&lt;='I_Inputs &amp; Assumptions'!$B$8/2,'I_Budget Input Data'!$D$117*0.4/('I_Inputs &amp; Assumptions'!$B$8/2),'I_Budget Input Data'!$D$117*0.6/('I_Inputs &amp; Assumptions'!$B$8/2)),IF('I_Budget Input Data'!$E$117="Mid-weighted",IF(8&lt;='I_Inputs &amp; Assumptions'!$B$8/4,'I_Budget Input Data'!$D$117*0.2/('I_Inputs &amp; Assumptions'!$B$8/4),IF(8&lt;='I_Inputs &amp; Assumptions'!$B$8*0.75,'I_Budget Input Data'!$D$117*0.6/('I_Inputs &amp; Assumptions'!$B$8/2),'I_Budget Input Data'!$D$117*0.2/('I_Inputs &amp; Assumptions'!$B$8/4))),IF('I_Budget Input Data'!$E$117="At Completion",IF(8='I_Inputs &amp; Assumptions'!$B$8,'I_Budget Input Data'!$D$117,0),'I_Budget Input Data'!$D$117/'I_Inputs &amp; Assumptions'!$B$8)))))),0)</f>
        <v>7846.1538461538457</v>
      </c>
      <c r="K117" s="91">
        <f>IF(9&lt;='I_Inputs &amp; Assumptions'!$B$8,IF('I_Budget Input Data'!$E$117="Upfront",IF(9=1,'I_Budget Input Data'!$D$117,0),IF('I_Budget Input Data'!$E$117="Equal",'I_Budget Input Data'!$D$117/'I_Inputs &amp; Assumptions'!$B$8,IF('I_Budget Input Data'!$E$117="Front-loaded",IF(9&lt;='I_Inputs &amp; Assumptions'!$B$8/2,'I_Budget Input Data'!$D$117*0.6/('I_Inputs &amp; Assumptions'!$B$8/2),'I_Budget Input Data'!$D$117*0.4/('I_Inputs &amp; Assumptions'!$B$8/2)),IF('I_Budget Input Data'!$E$117="Back-loaded",IF(9&lt;='I_Inputs &amp; Assumptions'!$B$8/2,'I_Budget Input Data'!$D$117*0.4/('I_Inputs &amp; Assumptions'!$B$8/2),'I_Budget Input Data'!$D$117*0.6/('I_Inputs &amp; Assumptions'!$B$8/2)),IF('I_Budget Input Data'!$E$117="Mid-weighted",IF(9&lt;='I_Inputs &amp; Assumptions'!$B$8/4,'I_Budget Input Data'!$D$117*0.2/('I_Inputs &amp; Assumptions'!$B$8/4),IF(9&lt;='I_Inputs &amp; Assumptions'!$B$8*0.75,'I_Budget Input Data'!$D$117*0.6/('I_Inputs &amp; Assumptions'!$B$8/2),'I_Budget Input Data'!$D$117*0.2/('I_Inputs &amp; Assumptions'!$B$8/4))),IF('I_Budget Input Data'!$E$117="At Completion",IF(9='I_Inputs &amp; Assumptions'!$B$8,'I_Budget Input Data'!$D$117,0),'I_Budget Input Data'!$D$117/'I_Inputs &amp; Assumptions'!$B$8)))))),0)</f>
        <v>7846.1538461538457</v>
      </c>
      <c r="L117" s="91">
        <f>IF(10&lt;='I_Inputs &amp; Assumptions'!$B$8,IF('I_Budget Input Data'!$E$117="Upfront",IF(10=1,'I_Budget Input Data'!$D$117,0),IF('I_Budget Input Data'!$E$117="Equal",'I_Budget Input Data'!$D$117/'I_Inputs &amp; Assumptions'!$B$8,IF('I_Budget Input Data'!$E$117="Front-loaded",IF(10&lt;='I_Inputs &amp; Assumptions'!$B$8/2,'I_Budget Input Data'!$D$117*0.6/('I_Inputs &amp; Assumptions'!$B$8/2),'I_Budget Input Data'!$D$117*0.4/('I_Inputs &amp; Assumptions'!$B$8/2)),IF('I_Budget Input Data'!$E$117="Back-loaded",IF(10&lt;='I_Inputs &amp; Assumptions'!$B$8/2,'I_Budget Input Data'!$D$117*0.4/('I_Inputs &amp; Assumptions'!$B$8/2),'I_Budget Input Data'!$D$117*0.6/('I_Inputs &amp; Assumptions'!$B$8/2)),IF('I_Budget Input Data'!$E$117="Mid-weighted",IF(10&lt;='I_Inputs &amp; Assumptions'!$B$8/4,'I_Budget Input Data'!$D$117*0.2/('I_Inputs &amp; Assumptions'!$B$8/4),IF(10&lt;='I_Inputs &amp; Assumptions'!$B$8*0.75,'I_Budget Input Data'!$D$117*0.6/('I_Inputs &amp; Assumptions'!$B$8/2),'I_Budget Input Data'!$D$117*0.2/('I_Inputs &amp; Assumptions'!$B$8/4))),IF('I_Budget Input Data'!$E$117="At Completion",IF(10='I_Inputs &amp; Assumptions'!$B$8,'I_Budget Input Data'!$D$117,0),'I_Budget Input Data'!$D$117/'I_Inputs &amp; Assumptions'!$B$8)))))),0)</f>
        <v>7846.1538461538457</v>
      </c>
      <c r="M117" s="91">
        <f>IF(11&lt;='I_Inputs &amp; Assumptions'!$B$8,IF('I_Budget Input Data'!$E$117="Upfront",IF(11=1,'I_Budget Input Data'!$D$117,0),IF('I_Budget Input Data'!$E$117="Equal",'I_Budget Input Data'!$D$117/'I_Inputs &amp; Assumptions'!$B$8,IF('I_Budget Input Data'!$E$117="Front-loaded",IF(11&lt;='I_Inputs &amp; Assumptions'!$B$8/2,'I_Budget Input Data'!$D$117*0.6/('I_Inputs &amp; Assumptions'!$B$8/2),'I_Budget Input Data'!$D$117*0.4/('I_Inputs &amp; Assumptions'!$B$8/2)),IF('I_Budget Input Data'!$E$117="Back-loaded",IF(11&lt;='I_Inputs &amp; Assumptions'!$B$8/2,'I_Budget Input Data'!$D$117*0.4/('I_Inputs &amp; Assumptions'!$B$8/2),'I_Budget Input Data'!$D$117*0.6/('I_Inputs &amp; Assumptions'!$B$8/2)),IF('I_Budget Input Data'!$E$117="Mid-weighted",IF(11&lt;='I_Inputs &amp; Assumptions'!$B$8/4,'I_Budget Input Data'!$D$117*0.2/('I_Inputs &amp; Assumptions'!$B$8/4),IF(11&lt;='I_Inputs &amp; Assumptions'!$B$8*0.75,'I_Budget Input Data'!$D$117*0.6/('I_Inputs &amp; Assumptions'!$B$8/2),'I_Budget Input Data'!$D$117*0.2/('I_Inputs &amp; Assumptions'!$B$8/4))),IF('I_Budget Input Data'!$E$117="At Completion",IF(11='I_Inputs &amp; Assumptions'!$B$8,'I_Budget Input Data'!$D$117,0),'I_Budget Input Data'!$D$117/'I_Inputs &amp; Assumptions'!$B$8)))))),0)</f>
        <v>7846.1538461538457</v>
      </c>
      <c r="N117" s="91">
        <f>IF(12&lt;='I_Inputs &amp; Assumptions'!$B$8,IF('I_Budget Input Data'!$E$117="Upfront",IF(12=1,'I_Budget Input Data'!$D$117,0),IF('I_Budget Input Data'!$E$117="Equal",'I_Budget Input Data'!$D$117/'I_Inputs &amp; Assumptions'!$B$8,IF('I_Budget Input Data'!$E$117="Front-loaded",IF(12&lt;='I_Inputs &amp; Assumptions'!$B$8/2,'I_Budget Input Data'!$D$117*0.6/('I_Inputs &amp; Assumptions'!$B$8/2),'I_Budget Input Data'!$D$117*0.4/('I_Inputs &amp; Assumptions'!$B$8/2)),IF('I_Budget Input Data'!$E$117="Back-loaded",IF(12&lt;='I_Inputs &amp; Assumptions'!$B$8/2,'I_Budget Input Data'!$D$117*0.4/('I_Inputs &amp; Assumptions'!$B$8/2),'I_Budget Input Data'!$D$117*0.6/('I_Inputs &amp; Assumptions'!$B$8/2)),IF('I_Budget Input Data'!$E$117="Mid-weighted",IF(12&lt;='I_Inputs &amp; Assumptions'!$B$8/4,'I_Budget Input Data'!$D$117*0.2/('I_Inputs &amp; Assumptions'!$B$8/4),IF(12&lt;='I_Inputs &amp; Assumptions'!$B$8*0.75,'I_Budget Input Data'!$D$117*0.6/('I_Inputs &amp; Assumptions'!$B$8/2),'I_Budget Input Data'!$D$117*0.2/('I_Inputs &amp; Assumptions'!$B$8/4))),IF('I_Budget Input Data'!$E$117="At Completion",IF(12='I_Inputs &amp; Assumptions'!$B$8,'I_Budget Input Data'!$D$117,0),'I_Budget Input Data'!$D$117/'I_Inputs &amp; Assumptions'!$B$8)))))),0)</f>
        <v>7846.1538461538457</v>
      </c>
      <c r="O117" s="91">
        <f>IF(13&lt;='I_Inputs &amp; Assumptions'!$B$8,IF('I_Budget Input Data'!$E$117="Upfront",IF(13=1,'I_Budget Input Data'!$D$117,0),IF('I_Budget Input Data'!$E$117="Equal",'I_Budget Input Data'!$D$117/'I_Inputs &amp; Assumptions'!$B$8,IF('I_Budget Input Data'!$E$117="Front-loaded",IF(13&lt;='I_Inputs &amp; Assumptions'!$B$8/2,'I_Budget Input Data'!$D$117*0.6/('I_Inputs &amp; Assumptions'!$B$8/2),'I_Budget Input Data'!$D$117*0.4/('I_Inputs &amp; Assumptions'!$B$8/2)),IF('I_Budget Input Data'!$E$117="Back-loaded",IF(13&lt;='I_Inputs &amp; Assumptions'!$B$8/2,'I_Budget Input Data'!$D$117*0.4/('I_Inputs &amp; Assumptions'!$B$8/2),'I_Budget Input Data'!$D$117*0.6/('I_Inputs &amp; Assumptions'!$B$8/2)),IF('I_Budget Input Data'!$E$117="Mid-weighted",IF(13&lt;='I_Inputs &amp; Assumptions'!$B$8/4,'I_Budget Input Data'!$D$117*0.2/('I_Inputs &amp; Assumptions'!$B$8/4),IF(13&lt;='I_Inputs &amp; Assumptions'!$B$8*0.75,'I_Budget Input Data'!$D$117*0.6/('I_Inputs &amp; Assumptions'!$B$8/2),'I_Budget Input Data'!$D$117*0.2/('I_Inputs &amp; Assumptions'!$B$8/4))),IF('I_Budget Input Data'!$E$117="At Completion",IF(13='I_Inputs &amp; Assumptions'!$B$8,'I_Budget Input Data'!$D$117,0),'I_Budget Input Data'!$D$117/'I_Inputs &amp; Assumptions'!$B$8)))))),0)</f>
        <v>7846.1538461538457</v>
      </c>
      <c r="P117" s="91">
        <f>IF(14&lt;='I_Inputs &amp; Assumptions'!$B$8,IF('I_Budget Input Data'!$E$117="Upfront",IF(14=1,'I_Budget Input Data'!$D$117,0),IF('I_Budget Input Data'!$E$117="Equal",'I_Budget Input Data'!$D$117/'I_Inputs &amp; Assumptions'!$B$8,IF('I_Budget Input Data'!$E$117="Front-loaded",IF(14&lt;='I_Inputs &amp; Assumptions'!$B$8/2,'I_Budget Input Data'!$D$117*0.6/('I_Inputs &amp; Assumptions'!$B$8/2),'I_Budget Input Data'!$D$117*0.4/('I_Inputs &amp; Assumptions'!$B$8/2)),IF('I_Budget Input Data'!$E$117="Back-loaded",IF(14&lt;='I_Inputs &amp; Assumptions'!$B$8/2,'I_Budget Input Data'!$D$117*0.4/('I_Inputs &amp; Assumptions'!$B$8/2),'I_Budget Input Data'!$D$117*0.6/('I_Inputs &amp; Assumptions'!$B$8/2)),IF('I_Budget Input Data'!$E$117="Mid-weighted",IF(14&lt;='I_Inputs &amp; Assumptions'!$B$8/4,'I_Budget Input Data'!$D$117*0.2/('I_Inputs &amp; Assumptions'!$B$8/4),IF(14&lt;='I_Inputs &amp; Assumptions'!$B$8*0.75,'I_Budget Input Data'!$D$117*0.6/('I_Inputs &amp; Assumptions'!$B$8/2),'I_Budget Input Data'!$D$117*0.2/('I_Inputs &amp; Assumptions'!$B$8/4))),IF('I_Budget Input Data'!$E$117="At Completion",IF(14='I_Inputs &amp; Assumptions'!$B$8,'I_Budget Input Data'!$D$117,0),'I_Budget Input Data'!$D$117/'I_Inputs &amp; Assumptions'!$B$8)))))),0)</f>
        <v>0</v>
      </c>
      <c r="Q117" s="91">
        <f>IF(15&lt;='I_Inputs &amp; Assumptions'!$B$8,IF('I_Budget Input Data'!$E$117="Upfront",IF(15=1,'I_Budget Input Data'!$D$117,0),IF('I_Budget Input Data'!$E$117="Equal",'I_Budget Input Data'!$D$117/'I_Inputs &amp; Assumptions'!$B$8,IF('I_Budget Input Data'!$E$117="Front-loaded",IF(15&lt;='I_Inputs &amp; Assumptions'!$B$8/2,'I_Budget Input Data'!$D$117*0.6/('I_Inputs &amp; Assumptions'!$B$8/2),'I_Budget Input Data'!$D$117*0.4/('I_Inputs &amp; Assumptions'!$B$8/2)),IF('I_Budget Input Data'!$E$117="Back-loaded",IF(15&lt;='I_Inputs &amp; Assumptions'!$B$8/2,'I_Budget Input Data'!$D$117*0.4/('I_Inputs &amp; Assumptions'!$B$8/2),'I_Budget Input Data'!$D$117*0.6/('I_Inputs &amp; Assumptions'!$B$8/2)),IF('I_Budget Input Data'!$E$117="Mid-weighted",IF(15&lt;='I_Inputs &amp; Assumptions'!$B$8/4,'I_Budget Input Data'!$D$117*0.2/('I_Inputs &amp; Assumptions'!$B$8/4),IF(15&lt;='I_Inputs &amp; Assumptions'!$B$8*0.75,'I_Budget Input Data'!$D$117*0.6/('I_Inputs &amp; Assumptions'!$B$8/2),'I_Budget Input Data'!$D$117*0.2/('I_Inputs &amp; Assumptions'!$B$8/4))),IF('I_Budget Input Data'!$E$117="At Completion",IF(15='I_Inputs &amp; Assumptions'!$B$8,'I_Budget Input Data'!$D$117,0),'I_Budget Input Data'!$D$117/'I_Inputs &amp; Assumptions'!$B$8)))))),0)</f>
        <v>0</v>
      </c>
      <c r="R117" s="91">
        <f>IF(16&lt;='I_Inputs &amp; Assumptions'!$B$8,IF('I_Budget Input Data'!$E$117="Upfront",IF(16=1,'I_Budget Input Data'!$D$117,0),IF('I_Budget Input Data'!$E$117="Equal",'I_Budget Input Data'!$D$117/'I_Inputs &amp; Assumptions'!$B$8,IF('I_Budget Input Data'!$E$117="Front-loaded",IF(16&lt;='I_Inputs &amp; Assumptions'!$B$8/2,'I_Budget Input Data'!$D$117*0.6/('I_Inputs &amp; Assumptions'!$B$8/2),'I_Budget Input Data'!$D$117*0.4/('I_Inputs &amp; Assumptions'!$B$8/2)),IF('I_Budget Input Data'!$E$117="Back-loaded",IF(16&lt;='I_Inputs &amp; Assumptions'!$B$8/2,'I_Budget Input Data'!$D$117*0.4/('I_Inputs &amp; Assumptions'!$B$8/2),'I_Budget Input Data'!$D$117*0.6/('I_Inputs &amp; Assumptions'!$B$8/2)),IF('I_Budget Input Data'!$E$117="Mid-weighted",IF(16&lt;='I_Inputs &amp; Assumptions'!$B$8/4,'I_Budget Input Data'!$D$117*0.2/('I_Inputs &amp; Assumptions'!$B$8/4),IF(16&lt;='I_Inputs &amp; Assumptions'!$B$8*0.75,'I_Budget Input Data'!$D$117*0.6/('I_Inputs &amp; Assumptions'!$B$8/2),'I_Budget Input Data'!$D$117*0.2/('I_Inputs &amp; Assumptions'!$B$8/4))),IF('I_Budget Input Data'!$E$117="At Completion",IF(16='I_Inputs &amp; Assumptions'!$B$8,'I_Budget Input Data'!$D$117,0),'I_Budget Input Data'!$D$117/'I_Inputs &amp; Assumptions'!$B$8)))))),0)</f>
        <v>0</v>
      </c>
      <c r="S117" s="91">
        <f>IF(17&lt;='I_Inputs &amp; Assumptions'!$B$8,IF('I_Budget Input Data'!$E$117="Upfront",IF(17=1,'I_Budget Input Data'!$D$117,0),IF('I_Budget Input Data'!$E$117="Equal",'I_Budget Input Data'!$D$117/'I_Inputs &amp; Assumptions'!$B$8,IF('I_Budget Input Data'!$E$117="Front-loaded",IF(17&lt;='I_Inputs &amp; Assumptions'!$B$8/2,'I_Budget Input Data'!$D$117*0.6/('I_Inputs &amp; Assumptions'!$B$8/2),'I_Budget Input Data'!$D$117*0.4/('I_Inputs &amp; Assumptions'!$B$8/2)),IF('I_Budget Input Data'!$E$117="Back-loaded",IF(17&lt;='I_Inputs &amp; Assumptions'!$B$8/2,'I_Budget Input Data'!$D$117*0.4/('I_Inputs &amp; Assumptions'!$B$8/2),'I_Budget Input Data'!$D$117*0.6/('I_Inputs &amp; Assumptions'!$B$8/2)),IF('I_Budget Input Data'!$E$117="Mid-weighted",IF(17&lt;='I_Inputs &amp; Assumptions'!$B$8/4,'I_Budget Input Data'!$D$117*0.2/('I_Inputs &amp; Assumptions'!$B$8/4),IF(17&lt;='I_Inputs &amp; Assumptions'!$B$8*0.75,'I_Budget Input Data'!$D$117*0.6/('I_Inputs &amp; Assumptions'!$B$8/2),'I_Budget Input Data'!$D$117*0.2/('I_Inputs &amp; Assumptions'!$B$8/4))),IF('I_Budget Input Data'!$E$117="At Completion",IF(17='I_Inputs &amp; Assumptions'!$B$8,'I_Budget Input Data'!$D$117,0),'I_Budget Input Data'!$D$117/'I_Inputs &amp; Assumptions'!$B$8)))))),0)</f>
        <v>0</v>
      </c>
      <c r="T117" s="91">
        <f>IF(18&lt;='I_Inputs &amp; Assumptions'!$B$8,IF('I_Budget Input Data'!$E$117="Upfront",IF(18=1,'I_Budget Input Data'!$D$117,0),IF('I_Budget Input Data'!$E$117="Equal",'I_Budget Input Data'!$D$117/'I_Inputs &amp; Assumptions'!$B$8,IF('I_Budget Input Data'!$E$117="Front-loaded",IF(18&lt;='I_Inputs &amp; Assumptions'!$B$8/2,'I_Budget Input Data'!$D$117*0.6/('I_Inputs &amp; Assumptions'!$B$8/2),'I_Budget Input Data'!$D$117*0.4/('I_Inputs &amp; Assumptions'!$B$8/2)),IF('I_Budget Input Data'!$E$117="Back-loaded",IF(18&lt;='I_Inputs &amp; Assumptions'!$B$8/2,'I_Budget Input Data'!$D$117*0.4/('I_Inputs &amp; Assumptions'!$B$8/2),'I_Budget Input Data'!$D$117*0.6/('I_Inputs &amp; Assumptions'!$B$8/2)),IF('I_Budget Input Data'!$E$117="Mid-weighted",IF(18&lt;='I_Inputs &amp; Assumptions'!$B$8/4,'I_Budget Input Data'!$D$117*0.2/('I_Inputs &amp; Assumptions'!$B$8/4),IF(18&lt;='I_Inputs &amp; Assumptions'!$B$8*0.75,'I_Budget Input Data'!$D$117*0.6/('I_Inputs &amp; Assumptions'!$B$8/2),'I_Budget Input Data'!$D$117*0.2/('I_Inputs &amp; Assumptions'!$B$8/4))),IF('I_Budget Input Data'!$E$117="At Completion",IF(18='I_Inputs &amp; Assumptions'!$B$8,'I_Budget Input Data'!$D$117,0),'I_Budget Input Data'!$D$117/'I_Inputs &amp; Assumptions'!$B$8)))))),0)</f>
        <v>0</v>
      </c>
      <c r="U117" s="91">
        <f>IF(19&lt;='I_Inputs &amp; Assumptions'!$B$8,IF('I_Budget Input Data'!$E$117="Upfront",IF(19=1,'I_Budget Input Data'!$D$117,0),IF('I_Budget Input Data'!$E$117="Equal",'I_Budget Input Data'!$D$117/'I_Inputs &amp; Assumptions'!$B$8,IF('I_Budget Input Data'!$E$117="Front-loaded",IF(19&lt;='I_Inputs &amp; Assumptions'!$B$8/2,'I_Budget Input Data'!$D$117*0.6/('I_Inputs &amp; Assumptions'!$B$8/2),'I_Budget Input Data'!$D$117*0.4/('I_Inputs &amp; Assumptions'!$B$8/2)),IF('I_Budget Input Data'!$E$117="Back-loaded",IF(19&lt;='I_Inputs &amp; Assumptions'!$B$8/2,'I_Budget Input Data'!$D$117*0.4/('I_Inputs &amp; Assumptions'!$B$8/2),'I_Budget Input Data'!$D$117*0.6/('I_Inputs &amp; Assumptions'!$B$8/2)),IF('I_Budget Input Data'!$E$117="Mid-weighted",IF(19&lt;='I_Inputs &amp; Assumptions'!$B$8/4,'I_Budget Input Data'!$D$117*0.2/('I_Inputs &amp; Assumptions'!$B$8/4),IF(19&lt;='I_Inputs &amp; Assumptions'!$B$8*0.75,'I_Budget Input Data'!$D$117*0.6/('I_Inputs &amp; Assumptions'!$B$8/2),'I_Budget Input Data'!$D$117*0.2/('I_Inputs &amp; Assumptions'!$B$8/4))),IF('I_Budget Input Data'!$E$117="At Completion",IF(19='I_Inputs &amp; Assumptions'!$B$8,'I_Budget Input Data'!$D$117,0),'I_Budget Input Data'!$D$117/'I_Inputs &amp; Assumptions'!$B$8)))))),0)</f>
        <v>0</v>
      </c>
      <c r="V117" s="91">
        <f>IF(20&lt;='I_Inputs &amp; Assumptions'!$B$8,IF('I_Budget Input Data'!$E$117="Upfront",IF(20=1,'I_Budget Input Data'!$D$117,0),IF('I_Budget Input Data'!$E$117="Equal",'I_Budget Input Data'!$D$117/'I_Inputs &amp; Assumptions'!$B$8,IF('I_Budget Input Data'!$E$117="Front-loaded",IF(20&lt;='I_Inputs &amp; Assumptions'!$B$8/2,'I_Budget Input Data'!$D$117*0.6/('I_Inputs &amp; Assumptions'!$B$8/2),'I_Budget Input Data'!$D$117*0.4/('I_Inputs &amp; Assumptions'!$B$8/2)),IF('I_Budget Input Data'!$E$117="Back-loaded",IF(20&lt;='I_Inputs &amp; Assumptions'!$B$8/2,'I_Budget Input Data'!$D$117*0.4/('I_Inputs &amp; Assumptions'!$B$8/2),'I_Budget Input Data'!$D$117*0.6/('I_Inputs &amp; Assumptions'!$B$8/2)),IF('I_Budget Input Data'!$E$117="Mid-weighted",IF(20&lt;='I_Inputs &amp; Assumptions'!$B$8/4,'I_Budget Input Data'!$D$117*0.2/('I_Inputs &amp; Assumptions'!$B$8/4),IF(20&lt;='I_Inputs &amp; Assumptions'!$B$8*0.75,'I_Budget Input Data'!$D$117*0.6/('I_Inputs &amp; Assumptions'!$B$8/2),'I_Budget Input Data'!$D$117*0.2/('I_Inputs &amp; Assumptions'!$B$8/4))),IF('I_Budget Input Data'!$E$117="At Completion",IF(20='I_Inputs &amp; Assumptions'!$B$8,'I_Budget Input Data'!$D$117,0),'I_Budget Input Data'!$D$117/'I_Inputs &amp; Assumptions'!$B$8)))))),0)</f>
        <v>0</v>
      </c>
      <c r="W117" s="91">
        <f>IF(21&lt;='I_Inputs &amp; Assumptions'!$B$8,IF('I_Budget Input Data'!$E$117="Upfront",IF(21=1,'I_Budget Input Data'!$D$117,0),IF('I_Budget Input Data'!$E$117="Equal",'I_Budget Input Data'!$D$117/'I_Inputs &amp; Assumptions'!$B$8,IF('I_Budget Input Data'!$E$117="Front-loaded",IF(21&lt;='I_Inputs &amp; Assumptions'!$B$8/2,'I_Budget Input Data'!$D$117*0.6/('I_Inputs &amp; Assumptions'!$B$8/2),'I_Budget Input Data'!$D$117*0.4/('I_Inputs &amp; Assumptions'!$B$8/2)),IF('I_Budget Input Data'!$E$117="Back-loaded",IF(21&lt;='I_Inputs &amp; Assumptions'!$B$8/2,'I_Budget Input Data'!$D$117*0.4/('I_Inputs &amp; Assumptions'!$B$8/2),'I_Budget Input Data'!$D$117*0.6/('I_Inputs &amp; Assumptions'!$B$8/2)),IF('I_Budget Input Data'!$E$117="Mid-weighted",IF(21&lt;='I_Inputs &amp; Assumptions'!$B$8/4,'I_Budget Input Data'!$D$117*0.2/('I_Inputs &amp; Assumptions'!$B$8/4),IF(21&lt;='I_Inputs &amp; Assumptions'!$B$8*0.75,'I_Budget Input Data'!$D$117*0.6/('I_Inputs &amp; Assumptions'!$B$8/2),'I_Budget Input Data'!$D$117*0.2/('I_Inputs &amp; Assumptions'!$B$8/4))),IF('I_Budget Input Data'!$E$117="At Completion",IF(21='I_Inputs &amp; Assumptions'!$B$8,'I_Budget Input Data'!$D$117,0),'I_Budget Input Data'!$D$117/'I_Inputs &amp; Assumptions'!$B$8)))))),0)</f>
        <v>0</v>
      </c>
      <c r="X117" s="91">
        <f>IF(22&lt;='I_Inputs &amp; Assumptions'!$B$8,IF('I_Budget Input Data'!$E$117="Upfront",IF(22=1,'I_Budget Input Data'!$D$117,0),IF('I_Budget Input Data'!$E$117="Equal",'I_Budget Input Data'!$D$117/'I_Inputs &amp; Assumptions'!$B$8,IF('I_Budget Input Data'!$E$117="Front-loaded",IF(22&lt;='I_Inputs &amp; Assumptions'!$B$8/2,'I_Budget Input Data'!$D$117*0.6/('I_Inputs &amp; Assumptions'!$B$8/2),'I_Budget Input Data'!$D$117*0.4/('I_Inputs &amp; Assumptions'!$B$8/2)),IF('I_Budget Input Data'!$E$117="Back-loaded",IF(22&lt;='I_Inputs &amp; Assumptions'!$B$8/2,'I_Budget Input Data'!$D$117*0.4/('I_Inputs &amp; Assumptions'!$B$8/2),'I_Budget Input Data'!$D$117*0.6/('I_Inputs &amp; Assumptions'!$B$8/2)),IF('I_Budget Input Data'!$E$117="Mid-weighted",IF(22&lt;='I_Inputs &amp; Assumptions'!$B$8/4,'I_Budget Input Data'!$D$117*0.2/('I_Inputs &amp; Assumptions'!$B$8/4),IF(22&lt;='I_Inputs &amp; Assumptions'!$B$8*0.75,'I_Budget Input Data'!$D$117*0.6/('I_Inputs &amp; Assumptions'!$B$8/2),'I_Budget Input Data'!$D$117*0.2/('I_Inputs &amp; Assumptions'!$B$8/4))),IF('I_Budget Input Data'!$E$117="At Completion",IF(22='I_Inputs &amp; Assumptions'!$B$8,'I_Budget Input Data'!$D$117,0),'I_Budget Input Data'!$D$117/'I_Inputs &amp; Assumptions'!$B$8)))))),0)</f>
        <v>0</v>
      </c>
      <c r="Y117" s="91">
        <f>IF(23&lt;='I_Inputs &amp; Assumptions'!$B$8,IF('I_Budget Input Data'!$E$117="Upfront",IF(23=1,'I_Budget Input Data'!$D$117,0),IF('I_Budget Input Data'!$E$117="Equal",'I_Budget Input Data'!$D$117/'I_Inputs &amp; Assumptions'!$B$8,IF('I_Budget Input Data'!$E$117="Front-loaded",IF(23&lt;='I_Inputs &amp; Assumptions'!$B$8/2,'I_Budget Input Data'!$D$117*0.6/('I_Inputs &amp; Assumptions'!$B$8/2),'I_Budget Input Data'!$D$117*0.4/('I_Inputs &amp; Assumptions'!$B$8/2)),IF('I_Budget Input Data'!$E$117="Back-loaded",IF(23&lt;='I_Inputs &amp; Assumptions'!$B$8/2,'I_Budget Input Data'!$D$117*0.4/('I_Inputs &amp; Assumptions'!$B$8/2),'I_Budget Input Data'!$D$117*0.6/('I_Inputs &amp; Assumptions'!$B$8/2)),IF('I_Budget Input Data'!$E$117="Mid-weighted",IF(23&lt;='I_Inputs &amp; Assumptions'!$B$8/4,'I_Budget Input Data'!$D$117*0.2/('I_Inputs &amp; Assumptions'!$B$8/4),IF(23&lt;='I_Inputs &amp; Assumptions'!$B$8*0.75,'I_Budget Input Data'!$D$117*0.6/('I_Inputs &amp; Assumptions'!$B$8/2),'I_Budget Input Data'!$D$117*0.2/('I_Inputs &amp; Assumptions'!$B$8/4))),IF('I_Budget Input Data'!$E$117="At Completion",IF(23='I_Inputs &amp; Assumptions'!$B$8,'I_Budget Input Data'!$D$117,0),'I_Budget Input Data'!$D$117/'I_Inputs &amp; Assumptions'!$B$8)))))),0)</f>
        <v>0</v>
      </c>
      <c r="Z117" s="91">
        <f>IF(24&lt;='I_Inputs &amp; Assumptions'!$B$8,IF('I_Budget Input Data'!$E$117="Upfront",IF(24=1,'I_Budget Input Data'!$D$117,0),IF('I_Budget Input Data'!$E$117="Equal",'I_Budget Input Data'!$D$117/'I_Inputs &amp; Assumptions'!$B$8,IF('I_Budget Input Data'!$E$117="Front-loaded",IF(24&lt;='I_Inputs &amp; Assumptions'!$B$8/2,'I_Budget Input Data'!$D$117*0.6/('I_Inputs &amp; Assumptions'!$B$8/2),'I_Budget Input Data'!$D$117*0.4/('I_Inputs &amp; Assumptions'!$B$8/2)),IF('I_Budget Input Data'!$E$117="Back-loaded",IF(24&lt;='I_Inputs &amp; Assumptions'!$B$8/2,'I_Budget Input Data'!$D$117*0.4/('I_Inputs &amp; Assumptions'!$B$8/2),'I_Budget Input Data'!$D$117*0.6/('I_Inputs &amp; Assumptions'!$B$8/2)),IF('I_Budget Input Data'!$E$117="Mid-weighted",IF(24&lt;='I_Inputs &amp; Assumptions'!$B$8/4,'I_Budget Input Data'!$D$117*0.2/('I_Inputs &amp; Assumptions'!$B$8/4),IF(24&lt;='I_Inputs &amp; Assumptions'!$B$8*0.75,'I_Budget Input Data'!$D$117*0.6/('I_Inputs &amp; Assumptions'!$B$8/2),'I_Budget Input Data'!$D$117*0.2/('I_Inputs &amp; Assumptions'!$B$8/4))),IF('I_Budget Input Data'!$E$117="At Completion",IF(24='I_Inputs &amp; Assumptions'!$B$8,'I_Budget Input Data'!$D$117,0),'I_Budget Input Data'!$D$117/'I_Inputs &amp; Assumptions'!$B$8)))))),0)</f>
        <v>0</v>
      </c>
      <c r="AA117" s="91">
        <f>IF(25&lt;='I_Inputs &amp; Assumptions'!$B$8,IF('I_Budget Input Data'!$E$117="Upfront",IF(25=1,'I_Budget Input Data'!$D$117,0),IF('I_Budget Input Data'!$E$117="Equal",'I_Budget Input Data'!$D$117/'I_Inputs &amp; Assumptions'!$B$8,IF('I_Budget Input Data'!$E$117="Front-loaded",IF(25&lt;='I_Inputs &amp; Assumptions'!$B$8/2,'I_Budget Input Data'!$D$117*0.6/('I_Inputs &amp; Assumptions'!$B$8/2),'I_Budget Input Data'!$D$117*0.4/('I_Inputs &amp; Assumptions'!$B$8/2)),IF('I_Budget Input Data'!$E$117="Back-loaded",IF(25&lt;='I_Inputs &amp; Assumptions'!$B$8/2,'I_Budget Input Data'!$D$117*0.4/('I_Inputs &amp; Assumptions'!$B$8/2),'I_Budget Input Data'!$D$117*0.6/('I_Inputs &amp; Assumptions'!$B$8/2)),IF('I_Budget Input Data'!$E$117="Mid-weighted",IF(25&lt;='I_Inputs &amp; Assumptions'!$B$8/4,'I_Budget Input Data'!$D$117*0.2/('I_Inputs &amp; Assumptions'!$B$8/4),IF(25&lt;='I_Inputs &amp; Assumptions'!$B$8*0.75,'I_Budget Input Data'!$D$117*0.6/('I_Inputs &amp; Assumptions'!$B$8/2),'I_Budget Input Data'!$D$117*0.2/('I_Inputs &amp; Assumptions'!$B$8/4))),IF('I_Budget Input Data'!$E$117="At Completion",IF(25='I_Inputs &amp; Assumptions'!$B$8,'I_Budget Input Data'!$D$117,0),'I_Budget Input Data'!$D$117/'I_Inputs &amp; Assumptions'!$B$8)))))),0)</f>
        <v>0</v>
      </c>
      <c r="AB117" s="91">
        <f>IF(26&lt;='I_Inputs &amp; Assumptions'!$B$8,IF('I_Budget Input Data'!$E$117="Upfront",IF(26=1,'I_Budget Input Data'!$D$117,0),IF('I_Budget Input Data'!$E$117="Equal",'I_Budget Input Data'!$D$117/'I_Inputs &amp; Assumptions'!$B$8,IF('I_Budget Input Data'!$E$117="Front-loaded",IF(26&lt;='I_Inputs &amp; Assumptions'!$B$8/2,'I_Budget Input Data'!$D$117*0.6/('I_Inputs &amp; Assumptions'!$B$8/2),'I_Budget Input Data'!$D$117*0.4/('I_Inputs &amp; Assumptions'!$B$8/2)),IF('I_Budget Input Data'!$E$117="Back-loaded",IF(26&lt;='I_Inputs &amp; Assumptions'!$B$8/2,'I_Budget Input Data'!$D$117*0.4/('I_Inputs &amp; Assumptions'!$B$8/2),'I_Budget Input Data'!$D$117*0.6/('I_Inputs &amp; Assumptions'!$B$8/2)),IF('I_Budget Input Data'!$E$117="Mid-weighted",IF(26&lt;='I_Inputs &amp; Assumptions'!$B$8/4,'I_Budget Input Data'!$D$117*0.2/('I_Inputs &amp; Assumptions'!$B$8/4),IF(26&lt;='I_Inputs &amp; Assumptions'!$B$8*0.75,'I_Budget Input Data'!$D$117*0.6/('I_Inputs &amp; Assumptions'!$B$8/2),'I_Budget Input Data'!$D$117*0.2/('I_Inputs &amp; Assumptions'!$B$8/4))),IF('I_Budget Input Data'!$E$117="At Completion",IF(26='I_Inputs &amp; Assumptions'!$B$8,'I_Budget Input Data'!$D$117,0),'I_Budget Input Data'!$D$117/'I_Inputs &amp; Assumptions'!$B$8)))))),0)</f>
        <v>0</v>
      </c>
      <c r="AC117" s="91">
        <f>IF(27&lt;='I_Inputs &amp; Assumptions'!$B$8,IF('I_Budget Input Data'!$E$117="Upfront",IF(27=1,'I_Budget Input Data'!$D$117,0),IF('I_Budget Input Data'!$E$117="Equal",'I_Budget Input Data'!$D$117/'I_Inputs &amp; Assumptions'!$B$8,IF('I_Budget Input Data'!$E$117="Front-loaded",IF(27&lt;='I_Inputs &amp; Assumptions'!$B$8/2,'I_Budget Input Data'!$D$117*0.6/('I_Inputs &amp; Assumptions'!$B$8/2),'I_Budget Input Data'!$D$117*0.4/('I_Inputs &amp; Assumptions'!$B$8/2)),IF('I_Budget Input Data'!$E$117="Back-loaded",IF(27&lt;='I_Inputs &amp; Assumptions'!$B$8/2,'I_Budget Input Data'!$D$117*0.4/('I_Inputs &amp; Assumptions'!$B$8/2),'I_Budget Input Data'!$D$117*0.6/('I_Inputs &amp; Assumptions'!$B$8/2)),IF('I_Budget Input Data'!$E$117="Mid-weighted",IF(27&lt;='I_Inputs &amp; Assumptions'!$B$8/4,'I_Budget Input Data'!$D$117*0.2/('I_Inputs &amp; Assumptions'!$B$8/4),IF(27&lt;='I_Inputs &amp; Assumptions'!$B$8*0.75,'I_Budget Input Data'!$D$117*0.6/('I_Inputs &amp; Assumptions'!$B$8/2),'I_Budget Input Data'!$D$117*0.2/('I_Inputs &amp; Assumptions'!$B$8/4))),IF('I_Budget Input Data'!$E$117="At Completion",IF(27='I_Inputs &amp; Assumptions'!$B$8,'I_Budget Input Data'!$D$117,0),'I_Budget Input Data'!$D$117/'I_Inputs &amp; Assumptions'!$B$8)))))),0)</f>
        <v>0</v>
      </c>
      <c r="AD117" s="91">
        <f>IF(28&lt;='I_Inputs &amp; Assumptions'!$B$8,IF('I_Budget Input Data'!$E$117="Upfront",IF(28=1,'I_Budget Input Data'!$D$117,0),IF('I_Budget Input Data'!$E$117="Equal",'I_Budget Input Data'!$D$117/'I_Inputs &amp; Assumptions'!$B$8,IF('I_Budget Input Data'!$E$117="Front-loaded",IF(28&lt;='I_Inputs &amp; Assumptions'!$B$8/2,'I_Budget Input Data'!$D$117*0.6/('I_Inputs &amp; Assumptions'!$B$8/2),'I_Budget Input Data'!$D$117*0.4/('I_Inputs &amp; Assumptions'!$B$8/2)),IF('I_Budget Input Data'!$E$117="Back-loaded",IF(28&lt;='I_Inputs &amp; Assumptions'!$B$8/2,'I_Budget Input Data'!$D$117*0.4/('I_Inputs &amp; Assumptions'!$B$8/2),'I_Budget Input Data'!$D$117*0.6/('I_Inputs &amp; Assumptions'!$B$8/2)),IF('I_Budget Input Data'!$E$117="Mid-weighted",IF(28&lt;='I_Inputs &amp; Assumptions'!$B$8/4,'I_Budget Input Data'!$D$117*0.2/('I_Inputs &amp; Assumptions'!$B$8/4),IF(28&lt;='I_Inputs &amp; Assumptions'!$B$8*0.75,'I_Budget Input Data'!$D$117*0.6/('I_Inputs &amp; Assumptions'!$B$8/2),'I_Budget Input Data'!$D$117*0.2/('I_Inputs &amp; Assumptions'!$B$8/4))),IF('I_Budget Input Data'!$E$117="At Completion",IF(28='I_Inputs &amp; Assumptions'!$B$8,'I_Budget Input Data'!$D$117,0),'I_Budget Input Data'!$D$117/'I_Inputs &amp; Assumptions'!$B$8)))))),0)</f>
        <v>0</v>
      </c>
      <c r="AE117" s="91">
        <f>IF(29&lt;='I_Inputs &amp; Assumptions'!$B$8,IF('I_Budget Input Data'!$E$117="Upfront",IF(29=1,'I_Budget Input Data'!$D$117,0),IF('I_Budget Input Data'!$E$117="Equal",'I_Budget Input Data'!$D$117/'I_Inputs &amp; Assumptions'!$B$8,IF('I_Budget Input Data'!$E$117="Front-loaded",IF(29&lt;='I_Inputs &amp; Assumptions'!$B$8/2,'I_Budget Input Data'!$D$117*0.6/('I_Inputs &amp; Assumptions'!$B$8/2),'I_Budget Input Data'!$D$117*0.4/('I_Inputs &amp; Assumptions'!$B$8/2)),IF('I_Budget Input Data'!$E$117="Back-loaded",IF(29&lt;='I_Inputs &amp; Assumptions'!$B$8/2,'I_Budget Input Data'!$D$117*0.4/('I_Inputs &amp; Assumptions'!$B$8/2),'I_Budget Input Data'!$D$117*0.6/('I_Inputs &amp; Assumptions'!$B$8/2)),IF('I_Budget Input Data'!$E$117="Mid-weighted",IF(29&lt;='I_Inputs &amp; Assumptions'!$B$8/4,'I_Budget Input Data'!$D$117*0.2/('I_Inputs &amp; Assumptions'!$B$8/4),IF(29&lt;='I_Inputs &amp; Assumptions'!$B$8*0.75,'I_Budget Input Data'!$D$117*0.6/('I_Inputs &amp; Assumptions'!$B$8/2),'I_Budget Input Data'!$D$117*0.2/('I_Inputs &amp; Assumptions'!$B$8/4))),IF('I_Budget Input Data'!$E$117="At Completion",IF(29='I_Inputs &amp; Assumptions'!$B$8,'I_Budget Input Data'!$D$117,0),'I_Budget Input Data'!$D$117/'I_Inputs &amp; Assumptions'!$B$8)))))),0)</f>
        <v>0</v>
      </c>
      <c r="AF117" s="91">
        <f>IF(30&lt;='I_Inputs &amp; Assumptions'!$B$8,IF('I_Budget Input Data'!$E$117="Upfront",IF(30=1,'I_Budget Input Data'!$D$117,0),IF('I_Budget Input Data'!$E$117="Equal",'I_Budget Input Data'!$D$117/'I_Inputs &amp; Assumptions'!$B$8,IF('I_Budget Input Data'!$E$117="Front-loaded",IF(30&lt;='I_Inputs &amp; Assumptions'!$B$8/2,'I_Budget Input Data'!$D$117*0.6/('I_Inputs &amp; Assumptions'!$B$8/2),'I_Budget Input Data'!$D$117*0.4/('I_Inputs &amp; Assumptions'!$B$8/2)),IF('I_Budget Input Data'!$E$117="Back-loaded",IF(30&lt;='I_Inputs &amp; Assumptions'!$B$8/2,'I_Budget Input Data'!$D$117*0.4/('I_Inputs &amp; Assumptions'!$B$8/2),'I_Budget Input Data'!$D$117*0.6/('I_Inputs &amp; Assumptions'!$B$8/2)),IF('I_Budget Input Data'!$E$117="Mid-weighted",IF(30&lt;='I_Inputs &amp; Assumptions'!$B$8/4,'I_Budget Input Data'!$D$117*0.2/('I_Inputs &amp; Assumptions'!$B$8/4),IF(30&lt;='I_Inputs &amp; Assumptions'!$B$8*0.75,'I_Budget Input Data'!$D$117*0.6/('I_Inputs &amp; Assumptions'!$B$8/2),'I_Budget Input Data'!$D$117*0.2/('I_Inputs &amp; Assumptions'!$B$8/4))),IF('I_Budget Input Data'!$E$117="At Completion",IF(30='I_Inputs &amp; Assumptions'!$B$8,'I_Budget Input Data'!$D$117,0),'I_Budget Input Data'!$D$117/'I_Inputs &amp; Assumptions'!$B$8)))))),0)</f>
        <v>0</v>
      </c>
      <c r="AG117" s="91">
        <f>IF(31&lt;='I_Inputs &amp; Assumptions'!$B$8,IF('I_Budget Input Data'!$E$117="Upfront",IF(31=1,'I_Budget Input Data'!$D$117,0),IF('I_Budget Input Data'!$E$117="Equal",'I_Budget Input Data'!$D$117/'I_Inputs &amp; Assumptions'!$B$8,IF('I_Budget Input Data'!$E$117="Front-loaded",IF(31&lt;='I_Inputs &amp; Assumptions'!$B$8/2,'I_Budget Input Data'!$D$117*0.6/('I_Inputs &amp; Assumptions'!$B$8/2),'I_Budget Input Data'!$D$117*0.4/('I_Inputs &amp; Assumptions'!$B$8/2)),IF('I_Budget Input Data'!$E$117="Back-loaded",IF(31&lt;='I_Inputs &amp; Assumptions'!$B$8/2,'I_Budget Input Data'!$D$117*0.4/('I_Inputs &amp; Assumptions'!$B$8/2),'I_Budget Input Data'!$D$117*0.6/('I_Inputs &amp; Assumptions'!$B$8/2)),IF('I_Budget Input Data'!$E$117="Mid-weighted",IF(31&lt;='I_Inputs &amp; Assumptions'!$B$8/4,'I_Budget Input Data'!$D$117*0.2/('I_Inputs &amp; Assumptions'!$B$8/4),IF(31&lt;='I_Inputs &amp; Assumptions'!$B$8*0.75,'I_Budget Input Data'!$D$117*0.6/('I_Inputs &amp; Assumptions'!$B$8/2),'I_Budget Input Data'!$D$117*0.2/('I_Inputs &amp; Assumptions'!$B$8/4))),IF('I_Budget Input Data'!$E$117="At Completion",IF(31='I_Inputs &amp; Assumptions'!$B$8,'I_Budget Input Data'!$D$117,0),'I_Budget Input Data'!$D$117/'I_Inputs &amp; Assumptions'!$B$8)))))),0)</f>
        <v>0</v>
      </c>
      <c r="AH117" s="91">
        <f>IF(32&lt;='I_Inputs &amp; Assumptions'!$B$8,IF('I_Budget Input Data'!$E$117="Upfront",IF(32=1,'I_Budget Input Data'!$D$117,0),IF('I_Budget Input Data'!$E$117="Equal",'I_Budget Input Data'!$D$117/'I_Inputs &amp; Assumptions'!$B$8,IF('I_Budget Input Data'!$E$117="Front-loaded",IF(32&lt;='I_Inputs &amp; Assumptions'!$B$8/2,'I_Budget Input Data'!$D$117*0.6/('I_Inputs &amp; Assumptions'!$B$8/2),'I_Budget Input Data'!$D$117*0.4/('I_Inputs &amp; Assumptions'!$B$8/2)),IF('I_Budget Input Data'!$E$117="Back-loaded",IF(32&lt;='I_Inputs &amp; Assumptions'!$B$8/2,'I_Budget Input Data'!$D$117*0.4/('I_Inputs &amp; Assumptions'!$B$8/2),'I_Budget Input Data'!$D$117*0.6/('I_Inputs &amp; Assumptions'!$B$8/2)),IF('I_Budget Input Data'!$E$117="Mid-weighted",IF(32&lt;='I_Inputs &amp; Assumptions'!$B$8/4,'I_Budget Input Data'!$D$117*0.2/('I_Inputs &amp; Assumptions'!$B$8/4),IF(32&lt;='I_Inputs &amp; Assumptions'!$B$8*0.75,'I_Budget Input Data'!$D$117*0.6/('I_Inputs &amp; Assumptions'!$B$8/2),'I_Budget Input Data'!$D$117*0.2/('I_Inputs &amp; Assumptions'!$B$8/4))),IF('I_Budget Input Data'!$E$117="At Completion",IF(32='I_Inputs &amp; Assumptions'!$B$8,'I_Budget Input Data'!$D$117,0),'I_Budget Input Data'!$D$117/'I_Inputs &amp; Assumptions'!$B$8)))))),0)</f>
        <v>0</v>
      </c>
      <c r="AI117" s="91">
        <f>IF(33&lt;='I_Inputs &amp; Assumptions'!$B$8,IF('I_Budget Input Data'!$E$117="Upfront",IF(33=1,'I_Budget Input Data'!$D$117,0),IF('I_Budget Input Data'!$E$117="Equal",'I_Budget Input Data'!$D$117/'I_Inputs &amp; Assumptions'!$B$8,IF('I_Budget Input Data'!$E$117="Front-loaded",IF(33&lt;='I_Inputs &amp; Assumptions'!$B$8/2,'I_Budget Input Data'!$D$117*0.6/('I_Inputs &amp; Assumptions'!$B$8/2),'I_Budget Input Data'!$D$117*0.4/('I_Inputs &amp; Assumptions'!$B$8/2)),IF('I_Budget Input Data'!$E$117="Back-loaded",IF(33&lt;='I_Inputs &amp; Assumptions'!$B$8/2,'I_Budget Input Data'!$D$117*0.4/('I_Inputs &amp; Assumptions'!$B$8/2),'I_Budget Input Data'!$D$117*0.6/('I_Inputs &amp; Assumptions'!$B$8/2)),IF('I_Budget Input Data'!$E$117="Mid-weighted",IF(33&lt;='I_Inputs &amp; Assumptions'!$B$8/4,'I_Budget Input Data'!$D$117*0.2/('I_Inputs &amp; Assumptions'!$B$8/4),IF(33&lt;='I_Inputs &amp; Assumptions'!$B$8*0.75,'I_Budget Input Data'!$D$117*0.6/('I_Inputs &amp; Assumptions'!$B$8/2),'I_Budget Input Data'!$D$117*0.2/('I_Inputs &amp; Assumptions'!$B$8/4))),IF('I_Budget Input Data'!$E$117="At Completion",IF(33='I_Inputs &amp; Assumptions'!$B$8,'I_Budget Input Data'!$D$117,0),'I_Budget Input Data'!$D$117/'I_Inputs &amp; Assumptions'!$B$8)))))),0)</f>
        <v>0</v>
      </c>
      <c r="AJ117" s="91">
        <f>IF(34&lt;='I_Inputs &amp; Assumptions'!$B$8,IF('I_Budget Input Data'!$E$117="Upfront",IF(34=1,'I_Budget Input Data'!$D$117,0),IF('I_Budget Input Data'!$E$117="Equal",'I_Budget Input Data'!$D$117/'I_Inputs &amp; Assumptions'!$B$8,IF('I_Budget Input Data'!$E$117="Front-loaded",IF(34&lt;='I_Inputs &amp; Assumptions'!$B$8/2,'I_Budget Input Data'!$D$117*0.6/('I_Inputs &amp; Assumptions'!$B$8/2),'I_Budget Input Data'!$D$117*0.4/('I_Inputs &amp; Assumptions'!$B$8/2)),IF('I_Budget Input Data'!$E$117="Back-loaded",IF(34&lt;='I_Inputs &amp; Assumptions'!$B$8/2,'I_Budget Input Data'!$D$117*0.4/('I_Inputs &amp; Assumptions'!$B$8/2),'I_Budget Input Data'!$D$117*0.6/('I_Inputs &amp; Assumptions'!$B$8/2)),IF('I_Budget Input Data'!$E$117="Mid-weighted",IF(34&lt;='I_Inputs &amp; Assumptions'!$B$8/4,'I_Budget Input Data'!$D$117*0.2/('I_Inputs &amp; Assumptions'!$B$8/4),IF(34&lt;='I_Inputs &amp; Assumptions'!$B$8*0.75,'I_Budget Input Data'!$D$117*0.6/('I_Inputs &amp; Assumptions'!$B$8/2),'I_Budget Input Data'!$D$117*0.2/('I_Inputs &amp; Assumptions'!$B$8/4))),IF('I_Budget Input Data'!$E$117="At Completion",IF(34='I_Inputs &amp; Assumptions'!$B$8,'I_Budget Input Data'!$D$117,0),'I_Budget Input Data'!$D$117/'I_Inputs &amp; Assumptions'!$B$8)))))),0)</f>
        <v>0</v>
      </c>
      <c r="AK117" s="91">
        <f>IF(35&lt;='I_Inputs &amp; Assumptions'!$B$8,IF('I_Budget Input Data'!$E$117="Upfront",IF(35=1,'I_Budget Input Data'!$D$117,0),IF('I_Budget Input Data'!$E$117="Equal",'I_Budget Input Data'!$D$117/'I_Inputs &amp; Assumptions'!$B$8,IF('I_Budget Input Data'!$E$117="Front-loaded",IF(35&lt;='I_Inputs &amp; Assumptions'!$B$8/2,'I_Budget Input Data'!$D$117*0.6/('I_Inputs &amp; Assumptions'!$B$8/2),'I_Budget Input Data'!$D$117*0.4/('I_Inputs &amp; Assumptions'!$B$8/2)),IF('I_Budget Input Data'!$E$117="Back-loaded",IF(35&lt;='I_Inputs &amp; Assumptions'!$B$8/2,'I_Budget Input Data'!$D$117*0.4/('I_Inputs &amp; Assumptions'!$B$8/2),'I_Budget Input Data'!$D$117*0.6/('I_Inputs &amp; Assumptions'!$B$8/2)),IF('I_Budget Input Data'!$E$117="Mid-weighted",IF(35&lt;='I_Inputs &amp; Assumptions'!$B$8/4,'I_Budget Input Data'!$D$117*0.2/('I_Inputs &amp; Assumptions'!$B$8/4),IF(35&lt;='I_Inputs &amp; Assumptions'!$B$8*0.75,'I_Budget Input Data'!$D$117*0.6/('I_Inputs &amp; Assumptions'!$B$8/2),'I_Budget Input Data'!$D$117*0.2/('I_Inputs &amp; Assumptions'!$B$8/4))),IF('I_Budget Input Data'!$E$117="At Completion",IF(35='I_Inputs &amp; Assumptions'!$B$8,'I_Budget Input Data'!$D$117,0),'I_Budget Input Data'!$D$117/'I_Inputs &amp; Assumptions'!$B$8)))))),0)</f>
        <v>0</v>
      </c>
      <c r="AL117" s="91">
        <f>IF(36&lt;='I_Inputs &amp; Assumptions'!$B$8,IF('I_Budget Input Data'!$E$117="Upfront",IF(36=1,'I_Budget Input Data'!$D$117,0),IF('I_Budget Input Data'!$E$117="Equal",'I_Budget Input Data'!$D$117/'I_Inputs &amp; Assumptions'!$B$8,IF('I_Budget Input Data'!$E$117="Front-loaded",IF(36&lt;='I_Inputs &amp; Assumptions'!$B$8/2,'I_Budget Input Data'!$D$117*0.6/('I_Inputs &amp; Assumptions'!$B$8/2),'I_Budget Input Data'!$D$117*0.4/('I_Inputs &amp; Assumptions'!$B$8/2)),IF('I_Budget Input Data'!$E$117="Back-loaded",IF(36&lt;='I_Inputs &amp; Assumptions'!$B$8/2,'I_Budget Input Data'!$D$117*0.4/('I_Inputs &amp; Assumptions'!$B$8/2),'I_Budget Input Data'!$D$117*0.6/('I_Inputs &amp; Assumptions'!$B$8/2)),IF('I_Budget Input Data'!$E$117="Mid-weighted",IF(36&lt;='I_Inputs &amp; Assumptions'!$B$8/4,'I_Budget Input Data'!$D$117*0.2/('I_Inputs &amp; Assumptions'!$B$8/4),IF(36&lt;='I_Inputs &amp; Assumptions'!$B$8*0.75,'I_Budget Input Data'!$D$117*0.6/('I_Inputs &amp; Assumptions'!$B$8/2),'I_Budget Input Data'!$D$117*0.2/('I_Inputs &amp; Assumptions'!$B$8/4))),IF('I_Budget Input Data'!$E$117="At Completion",IF(36='I_Inputs &amp; Assumptions'!$B$8,'I_Budget Input Data'!$D$117,0),'I_Budget Input Data'!$D$117/'I_Inputs &amp; Assumptions'!$B$8)))))),0)</f>
        <v>0</v>
      </c>
    </row>
    <row r="118" spans="1:38" ht="15" customHeight="1" x14ac:dyDescent="0.2">
      <c r="A118" t="s">
        <v>146</v>
      </c>
      <c r="C118" s="91">
        <v>0</v>
      </c>
      <c r="D118" s="91">
        <v>0</v>
      </c>
      <c r="E118" s="91">
        <v>0</v>
      </c>
      <c r="F118" s="91">
        <v>0</v>
      </c>
      <c r="G118" s="91">
        <v>0</v>
      </c>
      <c r="H118" s="91">
        <v>0</v>
      </c>
      <c r="I118" s="91">
        <v>0</v>
      </c>
      <c r="J118" s="91">
        <v>0</v>
      </c>
      <c r="K118" s="91">
        <v>0</v>
      </c>
      <c r="L118" s="91">
        <v>0</v>
      </c>
      <c r="M118" s="91">
        <v>0</v>
      </c>
      <c r="N118" s="91">
        <v>0</v>
      </c>
      <c r="O118" s="91">
        <v>0</v>
      </c>
      <c r="P118" s="91">
        <v>0</v>
      </c>
      <c r="Q118" s="91">
        <v>0</v>
      </c>
      <c r="R118" s="91">
        <v>0</v>
      </c>
      <c r="S118" s="91">
        <v>0</v>
      </c>
      <c r="T118" s="91">
        <v>0</v>
      </c>
      <c r="U118" s="91">
        <v>0</v>
      </c>
      <c r="V118" s="91">
        <v>0</v>
      </c>
      <c r="W118" s="91">
        <v>0</v>
      </c>
      <c r="X118" s="91">
        <v>0</v>
      </c>
      <c r="Y118" s="91">
        <v>0</v>
      </c>
      <c r="Z118" s="91">
        <v>0</v>
      </c>
      <c r="AA118" s="91">
        <v>0</v>
      </c>
      <c r="AB118" s="91">
        <v>0</v>
      </c>
      <c r="AC118" s="91">
        <v>0</v>
      </c>
      <c r="AD118" s="91">
        <v>0</v>
      </c>
      <c r="AE118" s="91">
        <v>0</v>
      </c>
      <c r="AF118" s="91">
        <v>0</v>
      </c>
      <c r="AG118" s="91">
        <v>0</v>
      </c>
      <c r="AH118" s="91">
        <v>0</v>
      </c>
      <c r="AI118" s="91">
        <v>0</v>
      </c>
      <c r="AJ118" s="91">
        <v>0</v>
      </c>
      <c r="AK118" s="91">
        <v>0</v>
      </c>
      <c r="AL118" s="91">
        <v>0</v>
      </c>
    </row>
    <row r="119" spans="1:38" ht="15" customHeight="1" x14ac:dyDescent="0.2">
      <c r="A119" t="s">
        <v>146</v>
      </c>
      <c r="B119" t="s">
        <v>232</v>
      </c>
      <c r="C119" s="91">
        <v>0</v>
      </c>
      <c r="D119" s="91">
        <v>0</v>
      </c>
      <c r="E119" s="91">
        <v>0</v>
      </c>
      <c r="F119" s="91">
        <v>0</v>
      </c>
      <c r="G119" s="91">
        <v>0</v>
      </c>
      <c r="H119" s="91">
        <v>0</v>
      </c>
      <c r="I119" s="91">
        <v>0</v>
      </c>
      <c r="J119" s="91">
        <v>0</v>
      </c>
      <c r="K119" s="91">
        <v>0</v>
      </c>
      <c r="L119" s="91">
        <v>0</v>
      </c>
      <c r="M119" s="91">
        <v>0</v>
      </c>
      <c r="N119" s="91">
        <v>0</v>
      </c>
      <c r="O119" s="91">
        <v>0</v>
      </c>
      <c r="P119" s="91">
        <v>0</v>
      </c>
      <c r="Q119" s="91">
        <v>0</v>
      </c>
      <c r="R119" s="91">
        <v>0</v>
      </c>
      <c r="S119" s="91">
        <v>0</v>
      </c>
      <c r="T119" s="91">
        <v>0</v>
      </c>
      <c r="U119" s="91">
        <v>0</v>
      </c>
      <c r="V119" s="91">
        <v>0</v>
      </c>
      <c r="W119" s="91">
        <v>0</v>
      </c>
      <c r="X119" s="91">
        <v>0</v>
      </c>
      <c r="Y119" s="91">
        <v>0</v>
      </c>
      <c r="Z119" s="91">
        <v>0</v>
      </c>
      <c r="AA119" s="91">
        <v>0</v>
      </c>
      <c r="AB119" s="91">
        <v>0</v>
      </c>
      <c r="AC119" s="91">
        <v>0</v>
      </c>
      <c r="AD119" s="91">
        <v>0</v>
      </c>
      <c r="AE119" s="91">
        <v>0</v>
      </c>
      <c r="AF119" s="91">
        <v>0</v>
      </c>
      <c r="AG119" s="91">
        <v>0</v>
      </c>
      <c r="AH119" s="91">
        <v>0</v>
      </c>
      <c r="AI119" s="91">
        <v>0</v>
      </c>
      <c r="AJ119" s="91">
        <v>0</v>
      </c>
      <c r="AK119" s="91">
        <v>0</v>
      </c>
      <c r="AL119" s="91">
        <v>0</v>
      </c>
    </row>
    <row r="120" spans="1:38" ht="15" customHeight="1" x14ac:dyDescent="0.2">
      <c r="A120" t="s">
        <v>146</v>
      </c>
      <c r="B120" t="s">
        <v>233</v>
      </c>
      <c r="C120" s="91">
        <f>IF(1&lt;='I_Inputs &amp; Assumptions'!$B$8,IF('I_Budget Input Data'!$E$120="Upfront",IF(1=1,'I_Budget Input Data'!$D$120,0),IF('I_Budget Input Data'!$E$120="Equal",'I_Budget Input Data'!$D$120/'I_Inputs &amp; Assumptions'!$B$8,IF('I_Budget Input Data'!$E$120="Front-loaded",IF(1&lt;='I_Inputs &amp; Assumptions'!$B$8/2,'I_Budget Input Data'!$D$120*0.6/('I_Inputs &amp; Assumptions'!$B$8/2),'I_Budget Input Data'!$D$120*0.4/('I_Inputs &amp; Assumptions'!$B$8/2)),IF('I_Budget Input Data'!$E$120="Back-loaded",IF(1&lt;='I_Inputs &amp; Assumptions'!$B$8/2,'I_Budget Input Data'!$D$120*0.4/('I_Inputs &amp; Assumptions'!$B$8/2),'I_Budget Input Data'!$D$120*0.6/('I_Inputs &amp; Assumptions'!$B$8/2)),IF('I_Budget Input Data'!$E$120="Mid-weighted",IF(1&lt;='I_Inputs &amp; Assumptions'!$B$8/4,'I_Budget Input Data'!$D$120*0.2/('I_Inputs &amp; Assumptions'!$B$8/4),IF(1&lt;='I_Inputs &amp; Assumptions'!$B$8*0.75,'I_Budget Input Data'!$D$120*0.6/('I_Inputs &amp; Assumptions'!$B$8/2),'I_Budget Input Data'!$D$120*0.2/('I_Inputs &amp; Assumptions'!$B$8/4))),IF('I_Budget Input Data'!$E$120="At Completion",IF(1='I_Inputs &amp; Assumptions'!$B$8,'I_Budget Input Data'!$D$120,0),'I_Budget Input Data'!$D$120/'I_Inputs &amp; Assumptions'!$B$8)))))),0)</f>
        <v>941.53846153846155</v>
      </c>
      <c r="D120" s="91">
        <f>IF(2&lt;='I_Inputs &amp; Assumptions'!$B$8,IF('I_Budget Input Data'!$E$120="Upfront",IF(2=1,'I_Budget Input Data'!$D$120,0),IF('I_Budget Input Data'!$E$120="Equal",'I_Budget Input Data'!$D$120/'I_Inputs &amp; Assumptions'!$B$8,IF('I_Budget Input Data'!$E$120="Front-loaded",IF(2&lt;='I_Inputs &amp; Assumptions'!$B$8/2,'I_Budget Input Data'!$D$120*0.6/('I_Inputs &amp; Assumptions'!$B$8/2),'I_Budget Input Data'!$D$120*0.4/('I_Inputs &amp; Assumptions'!$B$8/2)),IF('I_Budget Input Data'!$E$120="Back-loaded",IF(2&lt;='I_Inputs &amp; Assumptions'!$B$8/2,'I_Budget Input Data'!$D$120*0.4/('I_Inputs &amp; Assumptions'!$B$8/2),'I_Budget Input Data'!$D$120*0.6/('I_Inputs &amp; Assumptions'!$B$8/2)),IF('I_Budget Input Data'!$E$120="Mid-weighted",IF(2&lt;='I_Inputs &amp; Assumptions'!$B$8/4,'I_Budget Input Data'!$D$120*0.2/('I_Inputs &amp; Assumptions'!$B$8/4),IF(2&lt;='I_Inputs &amp; Assumptions'!$B$8*0.75,'I_Budget Input Data'!$D$120*0.6/('I_Inputs &amp; Assumptions'!$B$8/2),'I_Budget Input Data'!$D$120*0.2/('I_Inputs &amp; Assumptions'!$B$8/4))),IF('I_Budget Input Data'!$E$120="At Completion",IF(2='I_Inputs &amp; Assumptions'!$B$8,'I_Budget Input Data'!$D$120,0),'I_Budget Input Data'!$D$120/'I_Inputs &amp; Assumptions'!$B$8)))))),0)</f>
        <v>941.53846153846155</v>
      </c>
      <c r="E120" s="91">
        <f>IF(3&lt;='I_Inputs &amp; Assumptions'!$B$8,IF('I_Budget Input Data'!$E$120="Upfront",IF(3=1,'I_Budget Input Data'!$D$120,0),IF('I_Budget Input Data'!$E$120="Equal",'I_Budget Input Data'!$D$120/'I_Inputs &amp; Assumptions'!$B$8,IF('I_Budget Input Data'!$E$120="Front-loaded",IF(3&lt;='I_Inputs &amp; Assumptions'!$B$8/2,'I_Budget Input Data'!$D$120*0.6/('I_Inputs &amp; Assumptions'!$B$8/2),'I_Budget Input Data'!$D$120*0.4/('I_Inputs &amp; Assumptions'!$B$8/2)),IF('I_Budget Input Data'!$E$120="Back-loaded",IF(3&lt;='I_Inputs &amp; Assumptions'!$B$8/2,'I_Budget Input Data'!$D$120*0.4/('I_Inputs &amp; Assumptions'!$B$8/2),'I_Budget Input Data'!$D$120*0.6/('I_Inputs &amp; Assumptions'!$B$8/2)),IF('I_Budget Input Data'!$E$120="Mid-weighted",IF(3&lt;='I_Inputs &amp; Assumptions'!$B$8/4,'I_Budget Input Data'!$D$120*0.2/('I_Inputs &amp; Assumptions'!$B$8/4),IF(3&lt;='I_Inputs &amp; Assumptions'!$B$8*0.75,'I_Budget Input Data'!$D$120*0.6/('I_Inputs &amp; Assumptions'!$B$8/2),'I_Budget Input Data'!$D$120*0.2/('I_Inputs &amp; Assumptions'!$B$8/4))),IF('I_Budget Input Data'!$E$120="At Completion",IF(3='I_Inputs &amp; Assumptions'!$B$8,'I_Budget Input Data'!$D$120,0),'I_Budget Input Data'!$D$120/'I_Inputs &amp; Assumptions'!$B$8)))))),0)</f>
        <v>941.53846153846155</v>
      </c>
      <c r="F120" s="91">
        <f>IF(4&lt;='I_Inputs &amp; Assumptions'!$B$8,IF('I_Budget Input Data'!$E$120="Upfront",IF(4=1,'I_Budget Input Data'!$D$120,0),IF('I_Budget Input Data'!$E$120="Equal",'I_Budget Input Data'!$D$120/'I_Inputs &amp; Assumptions'!$B$8,IF('I_Budget Input Data'!$E$120="Front-loaded",IF(4&lt;='I_Inputs &amp; Assumptions'!$B$8/2,'I_Budget Input Data'!$D$120*0.6/('I_Inputs &amp; Assumptions'!$B$8/2),'I_Budget Input Data'!$D$120*0.4/('I_Inputs &amp; Assumptions'!$B$8/2)),IF('I_Budget Input Data'!$E$120="Back-loaded",IF(4&lt;='I_Inputs &amp; Assumptions'!$B$8/2,'I_Budget Input Data'!$D$120*0.4/('I_Inputs &amp; Assumptions'!$B$8/2),'I_Budget Input Data'!$D$120*0.6/('I_Inputs &amp; Assumptions'!$B$8/2)),IF('I_Budget Input Data'!$E$120="Mid-weighted",IF(4&lt;='I_Inputs &amp; Assumptions'!$B$8/4,'I_Budget Input Data'!$D$120*0.2/('I_Inputs &amp; Assumptions'!$B$8/4),IF(4&lt;='I_Inputs &amp; Assumptions'!$B$8*0.75,'I_Budget Input Data'!$D$120*0.6/('I_Inputs &amp; Assumptions'!$B$8/2),'I_Budget Input Data'!$D$120*0.2/('I_Inputs &amp; Assumptions'!$B$8/4))),IF('I_Budget Input Data'!$E$120="At Completion",IF(4='I_Inputs &amp; Assumptions'!$B$8,'I_Budget Input Data'!$D$120,0),'I_Budget Input Data'!$D$120/'I_Inputs &amp; Assumptions'!$B$8)))))),0)</f>
        <v>941.53846153846155</v>
      </c>
      <c r="G120" s="91">
        <f>IF(5&lt;='I_Inputs &amp; Assumptions'!$B$8,IF('I_Budget Input Data'!$E$120="Upfront",IF(5=1,'I_Budget Input Data'!$D$120,0),IF('I_Budget Input Data'!$E$120="Equal",'I_Budget Input Data'!$D$120/'I_Inputs &amp; Assumptions'!$B$8,IF('I_Budget Input Data'!$E$120="Front-loaded",IF(5&lt;='I_Inputs &amp; Assumptions'!$B$8/2,'I_Budget Input Data'!$D$120*0.6/('I_Inputs &amp; Assumptions'!$B$8/2),'I_Budget Input Data'!$D$120*0.4/('I_Inputs &amp; Assumptions'!$B$8/2)),IF('I_Budget Input Data'!$E$120="Back-loaded",IF(5&lt;='I_Inputs &amp; Assumptions'!$B$8/2,'I_Budget Input Data'!$D$120*0.4/('I_Inputs &amp; Assumptions'!$B$8/2),'I_Budget Input Data'!$D$120*0.6/('I_Inputs &amp; Assumptions'!$B$8/2)),IF('I_Budget Input Data'!$E$120="Mid-weighted",IF(5&lt;='I_Inputs &amp; Assumptions'!$B$8/4,'I_Budget Input Data'!$D$120*0.2/('I_Inputs &amp; Assumptions'!$B$8/4),IF(5&lt;='I_Inputs &amp; Assumptions'!$B$8*0.75,'I_Budget Input Data'!$D$120*0.6/('I_Inputs &amp; Assumptions'!$B$8/2),'I_Budget Input Data'!$D$120*0.2/('I_Inputs &amp; Assumptions'!$B$8/4))),IF('I_Budget Input Data'!$E$120="At Completion",IF(5='I_Inputs &amp; Assumptions'!$B$8,'I_Budget Input Data'!$D$120,0),'I_Budget Input Data'!$D$120/'I_Inputs &amp; Assumptions'!$B$8)))))),0)</f>
        <v>941.53846153846155</v>
      </c>
      <c r="H120" s="91">
        <f>IF(6&lt;='I_Inputs &amp; Assumptions'!$B$8,IF('I_Budget Input Data'!$E$120="Upfront",IF(6=1,'I_Budget Input Data'!$D$120,0),IF('I_Budget Input Data'!$E$120="Equal",'I_Budget Input Data'!$D$120/'I_Inputs &amp; Assumptions'!$B$8,IF('I_Budget Input Data'!$E$120="Front-loaded",IF(6&lt;='I_Inputs &amp; Assumptions'!$B$8/2,'I_Budget Input Data'!$D$120*0.6/('I_Inputs &amp; Assumptions'!$B$8/2),'I_Budget Input Data'!$D$120*0.4/('I_Inputs &amp; Assumptions'!$B$8/2)),IF('I_Budget Input Data'!$E$120="Back-loaded",IF(6&lt;='I_Inputs &amp; Assumptions'!$B$8/2,'I_Budget Input Data'!$D$120*0.4/('I_Inputs &amp; Assumptions'!$B$8/2),'I_Budget Input Data'!$D$120*0.6/('I_Inputs &amp; Assumptions'!$B$8/2)),IF('I_Budget Input Data'!$E$120="Mid-weighted",IF(6&lt;='I_Inputs &amp; Assumptions'!$B$8/4,'I_Budget Input Data'!$D$120*0.2/('I_Inputs &amp; Assumptions'!$B$8/4),IF(6&lt;='I_Inputs &amp; Assumptions'!$B$8*0.75,'I_Budget Input Data'!$D$120*0.6/('I_Inputs &amp; Assumptions'!$B$8/2),'I_Budget Input Data'!$D$120*0.2/('I_Inputs &amp; Assumptions'!$B$8/4))),IF('I_Budget Input Data'!$E$120="At Completion",IF(6='I_Inputs &amp; Assumptions'!$B$8,'I_Budget Input Data'!$D$120,0),'I_Budget Input Data'!$D$120/'I_Inputs &amp; Assumptions'!$B$8)))))),0)</f>
        <v>941.53846153846155</v>
      </c>
      <c r="I120" s="91">
        <f>IF(7&lt;='I_Inputs &amp; Assumptions'!$B$8,IF('I_Budget Input Data'!$E$120="Upfront",IF(7=1,'I_Budget Input Data'!$D$120,0),IF('I_Budget Input Data'!$E$120="Equal",'I_Budget Input Data'!$D$120/'I_Inputs &amp; Assumptions'!$B$8,IF('I_Budget Input Data'!$E$120="Front-loaded",IF(7&lt;='I_Inputs &amp; Assumptions'!$B$8/2,'I_Budget Input Data'!$D$120*0.6/('I_Inputs &amp; Assumptions'!$B$8/2),'I_Budget Input Data'!$D$120*0.4/('I_Inputs &amp; Assumptions'!$B$8/2)),IF('I_Budget Input Data'!$E$120="Back-loaded",IF(7&lt;='I_Inputs &amp; Assumptions'!$B$8/2,'I_Budget Input Data'!$D$120*0.4/('I_Inputs &amp; Assumptions'!$B$8/2),'I_Budget Input Data'!$D$120*0.6/('I_Inputs &amp; Assumptions'!$B$8/2)),IF('I_Budget Input Data'!$E$120="Mid-weighted",IF(7&lt;='I_Inputs &amp; Assumptions'!$B$8/4,'I_Budget Input Data'!$D$120*0.2/('I_Inputs &amp; Assumptions'!$B$8/4),IF(7&lt;='I_Inputs &amp; Assumptions'!$B$8*0.75,'I_Budget Input Data'!$D$120*0.6/('I_Inputs &amp; Assumptions'!$B$8/2),'I_Budget Input Data'!$D$120*0.2/('I_Inputs &amp; Assumptions'!$B$8/4))),IF('I_Budget Input Data'!$E$120="At Completion",IF(7='I_Inputs &amp; Assumptions'!$B$8,'I_Budget Input Data'!$D$120,0),'I_Budget Input Data'!$D$120/'I_Inputs &amp; Assumptions'!$B$8)))))),0)</f>
        <v>1412.3076923076924</v>
      </c>
      <c r="J120" s="91">
        <f>IF(8&lt;='I_Inputs &amp; Assumptions'!$B$8,IF('I_Budget Input Data'!$E$120="Upfront",IF(8=1,'I_Budget Input Data'!$D$120,0),IF('I_Budget Input Data'!$E$120="Equal",'I_Budget Input Data'!$D$120/'I_Inputs &amp; Assumptions'!$B$8,IF('I_Budget Input Data'!$E$120="Front-loaded",IF(8&lt;='I_Inputs &amp; Assumptions'!$B$8/2,'I_Budget Input Data'!$D$120*0.6/('I_Inputs &amp; Assumptions'!$B$8/2),'I_Budget Input Data'!$D$120*0.4/('I_Inputs &amp; Assumptions'!$B$8/2)),IF('I_Budget Input Data'!$E$120="Back-loaded",IF(8&lt;='I_Inputs &amp; Assumptions'!$B$8/2,'I_Budget Input Data'!$D$120*0.4/('I_Inputs &amp; Assumptions'!$B$8/2),'I_Budget Input Data'!$D$120*0.6/('I_Inputs &amp; Assumptions'!$B$8/2)),IF('I_Budget Input Data'!$E$120="Mid-weighted",IF(8&lt;='I_Inputs &amp; Assumptions'!$B$8/4,'I_Budget Input Data'!$D$120*0.2/('I_Inputs &amp; Assumptions'!$B$8/4),IF(8&lt;='I_Inputs &amp; Assumptions'!$B$8*0.75,'I_Budget Input Data'!$D$120*0.6/('I_Inputs &amp; Assumptions'!$B$8/2),'I_Budget Input Data'!$D$120*0.2/('I_Inputs &amp; Assumptions'!$B$8/4))),IF('I_Budget Input Data'!$E$120="At Completion",IF(8='I_Inputs &amp; Assumptions'!$B$8,'I_Budget Input Data'!$D$120,0),'I_Budget Input Data'!$D$120/'I_Inputs &amp; Assumptions'!$B$8)))))),0)</f>
        <v>1412.3076923076924</v>
      </c>
      <c r="K120" s="91">
        <f>IF(9&lt;='I_Inputs &amp; Assumptions'!$B$8,IF('I_Budget Input Data'!$E$120="Upfront",IF(9=1,'I_Budget Input Data'!$D$120,0),IF('I_Budget Input Data'!$E$120="Equal",'I_Budget Input Data'!$D$120/'I_Inputs &amp; Assumptions'!$B$8,IF('I_Budget Input Data'!$E$120="Front-loaded",IF(9&lt;='I_Inputs &amp; Assumptions'!$B$8/2,'I_Budget Input Data'!$D$120*0.6/('I_Inputs &amp; Assumptions'!$B$8/2),'I_Budget Input Data'!$D$120*0.4/('I_Inputs &amp; Assumptions'!$B$8/2)),IF('I_Budget Input Data'!$E$120="Back-loaded",IF(9&lt;='I_Inputs &amp; Assumptions'!$B$8/2,'I_Budget Input Data'!$D$120*0.4/('I_Inputs &amp; Assumptions'!$B$8/2),'I_Budget Input Data'!$D$120*0.6/('I_Inputs &amp; Assumptions'!$B$8/2)),IF('I_Budget Input Data'!$E$120="Mid-weighted",IF(9&lt;='I_Inputs &amp; Assumptions'!$B$8/4,'I_Budget Input Data'!$D$120*0.2/('I_Inputs &amp; Assumptions'!$B$8/4),IF(9&lt;='I_Inputs &amp; Assumptions'!$B$8*0.75,'I_Budget Input Data'!$D$120*0.6/('I_Inputs &amp; Assumptions'!$B$8/2),'I_Budget Input Data'!$D$120*0.2/('I_Inputs &amp; Assumptions'!$B$8/4))),IF('I_Budget Input Data'!$E$120="At Completion",IF(9='I_Inputs &amp; Assumptions'!$B$8,'I_Budget Input Data'!$D$120,0),'I_Budget Input Data'!$D$120/'I_Inputs &amp; Assumptions'!$B$8)))))),0)</f>
        <v>1412.3076923076924</v>
      </c>
      <c r="L120" s="91">
        <f>IF(10&lt;='I_Inputs &amp; Assumptions'!$B$8,IF('I_Budget Input Data'!$E$120="Upfront",IF(10=1,'I_Budget Input Data'!$D$120,0),IF('I_Budget Input Data'!$E$120="Equal",'I_Budget Input Data'!$D$120/'I_Inputs &amp; Assumptions'!$B$8,IF('I_Budget Input Data'!$E$120="Front-loaded",IF(10&lt;='I_Inputs &amp; Assumptions'!$B$8/2,'I_Budget Input Data'!$D$120*0.6/('I_Inputs &amp; Assumptions'!$B$8/2),'I_Budget Input Data'!$D$120*0.4/('I_Inputs &amp; Assumptions'!$B$8/2)),IF('I_Budget Input Data'!$E$120="Back-loaded",IF(10&lt;='I_Inputs &amp; Assumptions'!$B$8/2,'I_Budget Input Data'!$D$120*0.4/('I_Inputs &amp; Assumptions'!$B$8/2),'I_Budget Input Data'!$D$120*0.6/('I_Inputs &amp; Assumptions'!$B$8/2)),IF('I_Budget Input Data'!$E$120="Mid-weighted",IF(10&lt;='I_Inputs &amp; Assumptions'!$B$8/4,'I_Budget Input Data'!$D$120*0.2/('I_Inputs &amp; Assumptions'!$B$8/4),IF(10&lt;='I_Inputs &amp; Assumptions'!$B$8*0.75,'I_Budget Input Data'!$D$120*0.6/('I_Inputs &amp; Assumptions'!$B$8/2),'I_Budget Input Data'!$D$120*0.2/('I_Inputs &amp; Assumptions'!$B$8/4))),IF('I_Budget Input Data'!$E$120="At Completion",IF(10='I_Inputs &amp; Assumptions'!$B$8,'I_Budget Input Data'!$D$120,0),'I_Budget Input Data'!$D$120/'I_Inputs &amp; Assumptions'!$B$8)))))),0)</f>
        <v>1412.3076923076924</v>
      </c>
      <c r="M120" s="91">
        <f>IF(11&lt;='I_Inputs &amp; Assumptions'!$B$8,IF('I_Budget Input Data'!$E$120="Upfront",IF(11=1,'I_Budget Input Data'!$D$120,0),IF('I_Budget Input Data'!$E$120="Equal",'I_Budget Input Data'!$D$120/'I_Inputs &amp; Assumptions'!$B$8,IF('I_Budget Input Data'!$E$120="Front-loaded",IF(11&lt;='I_Inputs &amp; Assumptions'!$B$8/2,'I_Budget Input Data'!$D$120*0.6/('I_Inputs &amp; Assumptions'!$B$8/2),'I_Budget Input Data'!$D$120*0.4/('I_Inputs &amp; Assumptions'!$B$8/2)),IF('I_Budget Input Data'!$E$120="Back-loaded",IF(11&lt;='I_Inputs &amp; Assumptions'!$B$8/2,'I_Budget Input Data'!$D$120*0.4/('I_Inputs &amp; Assumptions'!$B$8/2),'I_Budget Input Data'!$D$120*0.6/('I_Inputs &amp; Assumptions'!$B$8/2)),IF('I_Budget Input Data'!$E$120="Mid-weighted",IF(11&lt;='I_Inputs &amp; Assumptions'!$B$8/4,'I_Budget Input Data'!$D$120*0.2/('I_Inputs &amp; Assumptions'!$B$8/4),IF(11&lt;='I_Inputs &amp; Assumptions'!$B$8*0.75,'I_Budget Input Data'!$D$120*0.6/('I_Inputs &amp; Assumptions'!$B$8/2),'I_Budget Input Data'!$D$120*0.2/('I_Inputs &amp; Assumptions'!$B$8/4))),IF('I_Budget Input Data'!$E$120="At Completion",IF(11='I_Inputs &amp; Assumptions'!$B$8,'I_Budget Input Data'!$D$120,0),'I_Budget Input Data'!$D$120/'I_Inputs &amp; Assumptions'!$B$8)))))),0)</f>
        <v>1412.3076923076924</v>
      </c>
      <c r="N120" s="91">
        <f>IF(12&lt;='I_Inputs &amp; Assumptions'!$B$8,IF('I_Budget Input Data'!$E$120="Upfront",IF(12=1,'I_Budget Input Data'!$D$120,0),IF('I_Budget Input Data'!$E$120="Equal",'I_Budget Input Data'!$D$120/'I_Inputs &amp; Assumptions'!$B$8,IF('I_Budget Input Data'!$E$120="Front-loaded",IF(12&lt;='I_Inputs &amp; Assumptions'!$B$8/2,'I_Budget Input Data'!$D$120*0.6/('I_Inputs &amp; Assumptions'!$B$8/2),'I_Budget Input Data'!$D$120*0.4/('I_Inputs &amp; Assumptions'!$B$8/2)),IF('I_Budget Input Data'!$E$120="Back-loaded",IF(12&lt;='I_Inputs &amp; Assumptions'!$B$8/2,'I_Budget Input Data'!$D$120*0.4/('I_Inputs &amp; Assumptions'!$B$8/2),'I_Budget Input Data'!$D$120*0.6/('I_Inputs &amp; Assumptions'!$B$8/2)),IF('I_Budget Input Data'!$E$120="Mid-weighted",IF(12&lt;='I_Inputs &amp; Assumptions'!$B$8/4,'I_Budget Input Data'!$D$120*0.2/('I_Inputs &amp; Assumptions'!$B$8/4),IF(12&lt;='I_Inputs &amp; Assumptions'!$B$8*0.75,'I_Budget Input Data'!$D$120*0.6/('I_Inputs &amp; Assumptions'!$B$8/2),'I_Budget Input Data'!$D$120*0.2/('I_Inputs &amp; Assumptions'!$B$8/4))),IF('I_Budget Input Data'!$E$120="At Completion",IF(12='I_Inputs &amp; Assumptions'!$B$8,'I_Budget Input Data'!$D$120,0),'I_Budget Input Data'!$D$120/'I_Inputs &amp; Assumptions'!$B$8)))))),0)</f>
        <v>1412.3076923076924</v>
      </c>
      <c r="O120" s="91">
        <f>IF(13&lt;='I_Inputs &amp; Assumptions'!$B$8,IF('I_Budget Input Data'!$E$120="Upfront",IF(13=1,'I_Budget Input Data'!$D$120,0),IF('I_Budget Input Data'!$E$120="Equal",'I_Budget Input Data'!$D$120/'I_Inputs &amp; Assumptions'!$B$8,IF('I_Budget Input Data'!$E$120="Front-loaded",IF(13&lt;='I_Inputs &amp; Assumptions'!$B$8/2,'I_Budget Input Data'!$D$120*0.6/('I_Inputs &amp; Assumptions'!$B$8/2),'I_Budget Input Data'!$D$120*0.4/('I_Inputs &amp; Assumptions'!$B$8/2)),IF('I_Budget Input Data'!$E$120="Back-loaded",IF(13&lt;='I_Inputs &amp; Assumptions'!$B$8/2,'I_Budget Input Data'!$D$120*0.4/('I_Inputs &amp; Assumptions'!$B$8/2),'I_Budget Input Data'!$D$120*0.6/('I_Inputs &amp; Assumptions'!$B$8/2)),IF('I_Budget Input Data'!$E$120="Mid-weighted",IF(13&lt;='I_Inputs &amp; Assumptions'!$B$8/4,'I_Budget Input Data'!$D$120*0.2/('I_Inputs &amp; Assumptions'!$B$8/4),IF(13&lt;='I_Inputs &amp; Assumptions'!$B$8*0.75,'I_Budget Input Data'!$D$120*0.6/('I_Inputs &amp; Assumptions'!$B$8/2),'I_Budget Input Data'!$D$120*0.2/('I_Inputs &amp; Assumptions'!$B$8/4))),IF('I_Budget Input Data'!$E$120="At Completion",IF(13='I_Inputs &amp; Assumptions'!$B$8,'I_Budget Input Data'!$D$120,0),'I_Budget Input Data'!$D$120/'I_Inputs &amp; Assumptions'!$B$8)))))),0)</f>
        <v>1412.3076923076924</v>
      </c>
      <c r="P120" s="91">
        <f>IF(14&lt;='I_Inputs &amp; Assumptions'!$B$8,IF('I_Budget Input Data'!$E$120="Upfront",IF(14=1,'I_Budget Input Data'!$D$120,0),IF('I_Budget Input Data'!$E$120="Equal",'I_Budget Input Data'!$D$120/'I_Inputs &amp; Assumptions'!$B$8,IF('I_Budget Input Data'!$E$120="Front-loaded",IF(14&lt;='I_Inputs &amp; Assumptions'!$B$8/2,'I_Budget Input Data'!$D$120*0.6/('I_Inputs &amp; Assumptions'!$B$8/2),'I_Budget Input Data'!$D$120*0.4/('I_Inputs &amp; Assumptions'!$B$8/2)),IF('I_Budget Input Data'!$E$120="Back-loaded",IF(14&lt;='I_Inputs &amp; Assumptions'!$B$8/2,'I_Budget Input Data'!$D$120*0.4/('I_Inputs &amp; Assumptions'!$B$8/2),'I_Budget Input Data'!$D$120*0.6/('I_Inputs &amp; Assumptions'!$B$8/2)),IF('I_Budget Input Data'!$E$120="Mid-weighted",IF(14&lt;='I_Inputs &amp; Assumptions'!$B$8/4,'I_Budget Input Data'!$D$120*0.2/('I_Inputs &amp; Assumptions'!$B$8/4),IF(14&lt;='I_Inputs &amp; Assumptions'!$B$8*0.75,'I_Budget Input Data'!$D$120*0.6/('I_Inputs &amp; Assumptions'!$B$8/2),'I_Budget Input Data'!$D$120*0.2/('I_Inputs &amp; Assumptions'!$B$8/4))),IF('I_Budget Input Data'!$E$120="At Completion",IF(14='I_Inputs &amp; Assumptions'!$B$8,'I_Budget Input Data'!$D$120,0),'I_Budget Input Data'!$D$120/'I_Inputs &amp; Assumptions'!$B$8)))))),0)</f>
        <v>0</v>
      </c>
      <c r="Q120" s="91">
        <f>IF(15&lt;='I_Inputs &amp; Assumptions'!$B$8,IF('I_Budget Input Data'!$E$120="Upfront",IF(15=1,'I_Budget Input Data'!$D$120,0),IF('I_Budget Input Data'!$E$120="Equal",'I_Budget Input Data'!$D$120/'I_Inputs &amp; Assumptions'!$B$8,IF('I_Budget Input Data'!$E$120="Front-loaded",IF(15&lt;='I_Inputs &amp; Assumptions'!$B$8/2,'I_Budget Input Data'!$D$120*0.6/('I_Inputs &amp; Assumptions'!$B$8/2),'I_Budget Input Data'!$D$120*0.4/('I_Inputs &amp; Assumptions'!$B$8/2)),IF('I_Budget Input Data'!$E$120="Back-loaded",IF(15&lt;='I_Inputs &amp; Assumptions'!$B$8/2,'I_Budget Input Data'!$D$120*0.4/('I_Inputs &amp; Assumptions'!$B$8/2),'I_Budget Input Data'!$D$120*0.6/('I_Inputs &amp; Assumptions'!$B$8/2)),IF('I_Budget Input Data'!$E$120="Mid-weighted",IF(15&lt;='I_Inputs &amp; Assumptions'!$B$8/4,'I_Budget Input Data'!$D$120*0.2/('I_Inputs &amp; Assumptions'!$B$8/4),IF(15&lt;='I_Inputs &amp; Assumptions'!$B$8*0.75,'I_Budget Input Data'!$D$120*0.6/('I_Inputs &amp; Assumptions'!$B$8/2),'I_Budget Input Data'!$D$120*0.2/('I_Inputs &amp; Assumptions'!$B$8/4))),IF('I_Budget Input Data'!$E$120="At Completion",IF(15='I_Inputs &amp; Assumptions'!$B$8,'I_Budget Input Data'!$D$120,0),'I_Budget Input Data'!$D$120/'I_Inputs &amp; Assumptions'!$B$8)))))),0)</f>
        <v>0</v>
      </c>
      <c r="R120" s="91">
        <f>IF(16&lt;='I_Inputs &amp; Assumptions'!$B$8,IF('I_Budget Input Data'!$E$120="Upfront",IF(16=1,'I_Budget Input Data'!$D$120,0),IF('I_Budget Input Data'!$E$120="Equal",'I_Budget Input Data'!$D$120/'I_Inputs &amp; Assumptions'!$B$8,IF('I_Budget Input Data'!$E$120="Front-loaded",IF(16&lt;='I_Inputs &amp; Assumptions'!$B$8/2,'I_Budget Input Data'!$D$120*0.6/('I_Inputs &amp; Assumptions'!$B$8/2),'I_Budget Input Data'!$D$120*0.4/('I_Inputs &amp; Assumptions'!$B$8/2)),IF('I_Budget Input Data'!$E$120="Back-loaded",IF(16&lt;='I_Inputs &amp; Assumptions'!$B$8/2,'I_Budget Input Data'!$D$120*0.4/('I_Inputs &amp; Assumptions'!$B$8/2),'I_Budget Input Data'!$D$120*0.6/('I_Inputs &amp; Assumptions'!$B$8/2)),IF('I_Budget Input Data'!$E$120="Mid-weighted",IF(16&lt;='I_Inputs &amp; Assumptions'!$B$8/4,'I_Budget Input Data'!$D$120*0.2/('I_Inputs &amp; Assumptions'!$B$8/4),IF(16&lt;='I_Inputs &amp; Assumptions'!$B$8*0.75,'I_Budget Input Data'!$D$120*0.6/('I_Inputs &amp; Assumptions'!$B$8/2),'I_Budget Input Data'!$D$120*0.2/('I_Inputs &amp; Assumptions'!$B$8/4))),IF('I_Budget Input Data'!$E$120="At Completion",IF(16='I_Inputs &amp; Assumptions'!$B$8,'I_Budget Input Data'!$D$120,0),'I_Budget Input Data'!$D$120/'I_Inputs &amp; Assumptions'!$B$8)))))),0)</f>
        <v>0</v>
      </c>
      <c r="S120" s="91">
        <f>IF(17&lt;='I_Inputs &amp; Assumptions'!$B$8,IF('I_Budget Input Data'!$E$120="Upfront",IF(17=1,'I_Budget Input Data'!$D$120,0),IF('I_Budget Input Data'!$E$120="Equal",'I_Budget Input Data'!$D$120/'I_Inputs &amp; Assumptions'!$B$8,IF('I_Budget Input Data'!$E$120="Front-loaded",IF(17&lt;='I_Inputs &amp; Assumptions'!$B$8/2,'I_Budget Input Data'!$D$120*0.6/('I_Inputs &amp; Assumptions'!$B$8/2),'I_Budget Input Data'!$D$120*0.4/('I_Inputs &amp; Assumptions'!$B$8/2)),IF('I_Budget Input Data'!$E$120="Back-loaded",IF(17&lt;='I_Inputs &amp; Assumptions'!$B$8/2,'I_Budget Input Data'!$D$120*0.4/('I_Inputs &amp; Assumptions'!$B$8/2),'I_Budget Input Data'!$D$120*0.6/('I_Inputs &amp; Assumptions'!$B$8/2)),IF('I_Budget Input Data'!$E$120="Mid-weighted",IF(17&lt;='I_Inputs &amp; Assumptions'!$B$8/4,'I_Budget Input Data'!$D$120*0.2/('I_Inputs &amp; Assumptions'!$B$8/4),IF(17&lt;='I_Inputs &amp; Assumptions'!$B$8*0.75,'I_Budget Input Data'!$D$120*0.6/('I_Inputs &amp; Assumptions'!$B$8/2),'I_Budget Input Data'!$D$120*0.2/('I_Inputs &amp; Assumptions'!$B$8/4))),IF('I_Budget Input Data'!$E$120="At Completion",IF(17='I_Inputs &amp; Assumptions'!$B$8,'I_Budget Input Data'!$D$120,0),'I_Budget Input Data'!$D$120/'I_Inputs &amp; Assumptions'!$B$8)))))),0)</f>
        <v>0</v>
      </c>
      <c r="T120" s="91">
        <f>IF(18&lt;='I_Inputs &amp; Assumptions'!$B$8,IF('I_Budget Input Data'!$E$120="Upfront",IF(18=1,'I_Budget Input Data'!$D$120,0),IF('I_Budget Input Data'!$E$120="Equal",'I_Budget Input Data'!$D$120/'I_Inputs &amp; Assumptions'!$B$8,IF('I_Budget Input Data'!$E$120="Front-loaded",IF(18&lt;='I_Inputs &amp; Assumptions'!$B$8/2,'I_Budget Input Data'!$D$120*0.6/('I_Inputs &amp; Assumptions'!$B$8/2),'I_Budget Input Data'!$D$120*0.4/('I_Inputs &amp; Assumptions'!$B$8/2)),IF('I_Budget Input Data'!$E$120="Back-loaded",IF(18&lt;='I_Inputs &amp; Assumptions'!$B$8/2,'I_Budget Input Data'!$D$120*0.4/('I_Inputs &amp; Assumptions'!$B$8/2),'I_Budget Input Data'!$D$120*0.6/('I_Inputs &amp; Assumptions'!$B$8/2)),IF('I_Budget Input Data'!$E$120="Mid-weighted",IF(18&lt;='I_Inputs &amp; Assumptions'!$B$8/4,'I_Budget Input Data'!$D$120*0.2/('I_Inputs &amp; Assumptions'!$B$8/4),IF(18&lt;='I_Inputs &amp; Assumptions'!$B$8*0.75,'I_Budget Input Data'!$D$120*0.6/('I_Inputs &amp; Assumptions'!$B$8/2),'I_Budget Input Data'!$D$120*0.2/('I_Inputs &amp; Assumptions'!$B$8/4))),IF('I_Budget Input Data'!$E$120="At Completion",IF(18='I_Inputs &amp; Assumptions'!$B$8,'I_Budget Input Data'!$D$120,0),'I_Budget Input Data'!$D$120/'I_Inputs &amp; Assumptions'!$B$8)))))),0)</f>
        <v>0</v>
      </c>
      <c r="U120" s="91">
        <f>IF(19&lt;='I_Inputs &amp; Assumptions'!$B$8,IF('I_Budget Input Data'!$E$120="Upfront",IF(19=1,'I_Budget Input Data'!$D$120,0),IF('I_Budget Input Data'!$E$120="Equal",'I_Budget Input Data'!$D$120/'I_Inputs &amp; Assumptions'!$B$8,IF('I_Budget Input Data'!$E$120="Front-loaded",IF(19&lt;='I_Inputs &amp; Assumptions'!$B$8/2,'I_Budget Input Data'!$D$120*0.6/('I_Inputs &amp; Assumptions'!$B$8/2),'I_Budget Input Data'!$D$120*0.4/('I_Inputs &amp; Assumptions'!$B$8/2)),IF('I_Budget Input Data'!$E$120="Back-loaded",IF(19&lt;='I_Inputs &amp; Assumptions'!$B$8/2,'I_Budget Input Data'!$D$120*0.4/('I_Inputs &amp; Assumptions'!$B$8/2),'I_Budget Input Data'!$D$120*0.6/('I_Inputs &amp; Assumptions'!$B$8/2)),IF('I_Budget Input Data'!$E$120="Mid-weighted",IF(19&lt;='I_Inputs &amp; Assumptions'!$B$8/4,'I_Budget Input Data'!$D$120*0.2/('I_Inputs &amp; Assumptions'!$B$8/4),IF(19&lt;='I_Inputs &amp; Assumptions'!$B$8*0.75,'I_Budget Input Data'!$D$120*0.6/('I_Inputs &amp; Assumptions'!$B$8/2),'I_Budget Input Data'!$D$120*0.2/('I_Inputs &amp; Assumptions'!$B$8/4))),IF('I_Budget Input Data'!$E$120="At Completion",IF(19='I_Inputs &amp; Assumptions'!$B$8,'I_Budget Input Data'!$D$120,0),'I_Budget Input Data'!$D$120/'I_Inputs &amp; Assumptions'!$B$8)))))),0)</f>
        <v>0</v>
      </c>
      <c r="V120" s="91">
        <f>IF(20&lt;='I_Inputs &amp; Assumptions'!$B$8,IF('I_Budget Input Data'!$E$120="Upfront",IF(20=1,'I_Budget Input Data'!$D$120,0),IF('I_Budget Input Data'!$E$120="Equal",'I_Budget Input Data'!$D$120/'I_Inputs &amp; Assumptions'!$B$8,IF('I_Budget Input Data'!$E$120="Front-loaded",IF(20&lt;='I_Inputs &amp; Assumptions'!$B$8/2,'I_Budget Input Data'!$D$120*0.6/('I_Inputs &amp; Assumptions'!$B$8/2),'I_Budget Input Data'!$D$120*0.4/('I_Inputs &amp; Assumptions'!$B$8/2)),IF('I_Budget Input Data'!$E$120="Back-loaded",IF(20&lt;='I_Inputs &amp; Assumptions'!$B$8/2,'I_Budget Input Data'!$D$120*0.4/('I_Inputs &amp; Assumptions'!$B$8/2),'I_Budget Input Data'!$D$120*0.6/('I_Inputs &amp; Assumptions'!$B$8/2)),IF('I_Budget Input Data'!$E$120="Mid-weighted",IF(20&lt;='I_Inputs &amp; Assumptions'!$B$8/4,'I_Budget Input Data'!$D$120*0.2/('I_Inputs &amp; Assumptions'!$B$8/4),IF(20&lt;='I_Inputs &amp; Assumptions'!$B$8*0.75,'I_Budget Input Data'!$D$120*0.6/('I_Inputs &amp; Assumptions'!$B$8/2),'I_Budget Input Data'!$D$120*0.2/('I_Inputs &amp; Assumptions'!$B$8/4))),IF('I_Budget Input Data'!$E$120="At Completion",IF(20='I_Inputs &amp; Assumptions'!$B$8,'I_Budget Input Data'!$D$120,0),'I_Budget Input Data'!$D$120/'I_Inputs &amp; Assumptions'!$B$8)))))),0)</f>
        <v>0</v>
      </c>
      <c r="W120" s="91">
        <f>IF(21&lt;='I_Inputs &amp; Assumptions'!$B$8,IF('I_Budget Input Data'!$E$120="Upfront",IF(21=1,'I_Budget Input Data'!$D$120,0),IF('I_Budget Input Data'!$E$120="Equal",'I_Budget Input Data'!$D$120/'I_Inputs &amp; Assumptions'!$B$8,IF('I_Budget Input Data'!$E$120="Front-loaded",IF(21&lt;='I_Inputs &amp; Assumptions'!$B$8/2,'I_Budget Input Data'!$D$120*0.6/('I_Inputs &amp; Assumptions'!$B$8/2),'I_Budget Input Data'!$D$120*0.4/('I_Inputs &amp; Assumptions'!$B$8/2)),IF('I_Budget Input Data'!$E$120="Back-loaded",IF(21&lt;='I_Inputs &amp; Assumptions'!$B$8/2,'I_Budget Input Data'!$D$120*0.4/('I_Inputs &amp; Assumptions'!$B$8/2),'I_Budget Input Data'!$D$120*0.6/('I_Inputs &amp; Assumptions'!$B$8/2)),IF('I_Budget Input Data'!$E$120="Mid-weighted",IF(21&lt;='I_Inputs &amp; Assumptions'!$B$8/4,'I_Budget Input Data'!$D$120*0.2/('I_Inputs &amp; Assumptions'!$B$8/4),IF(21&lt;='I_Inputs &amp; Assumptions'!$B$8*0.75,'I_Budget Input Data'!$D$120*0.6/('I_Inputs &amp; Assumptions'!$B$8/2),'I_Budget Input Data'!$D$120*0.2/('I_Inputs &amp; Assumptions'!$B$8/4))),IF('I_Budget Input Data'!$E$120="At Completion",IF(21='I_Inputs &amp; Assumptions'!$B$8,'I_Budget Input Data'!$D$120,0),'I_Budget Input Data'!$D$120/'I_Inputs &amp; Assumptions'!$B$8)))))),0)</f>
        <v>0</v>
      </c>
      <c r="X120" s="91">
        <f>IF(22&lt;='I_Inputs &amp; Assumptions'!$B$8,IF('I_Budget Input Data'!$E$120="Upfront",IF(22=1,'I_Budget Input Data'!$D$120,0),IF('I_Budget Input Data'!$E$120="Equal",'I_Budget Input Data'!$D$120/'I_Inputs &amp; Assumptions'!$B$8,IF('I_Budget Input Data'!$E$120="Front-loaded",IF(22&lt;='I_Inputs &amp; Assumptions'!$B$8/2,'I_Budget Input Data'!$D$120*0.6/('I_Inputs &amp; Assumptions'!$B$8/2),'I_Budget Input Data'!$D$120*0.4/('I_Inputs &amp; Assumptions'!$B$8/2)),IF('I_Budget Input Data'!$E$120="Back-loaded",IF(22&lt;='I_Inputs &amp; Assumptions'!$B$8/2,'I_Budget Input Data'!$D$120*0.4/('I_Inputs &amp; Assumptions'!$B$8/2),'I_Budget Input Data'!$D$120*0.6/('I_Inputs &amp; Assumptions'!$B$8/2)),IF('I_Budget Input Data'!$E$120="Mid-weighted",IF(22&lt;='I_Inputs &amp; Assumptions'!$B$8/4,'I_Budget Input Data'!$D$120*0.2/('I_Inputs &amp; Assumptions'!$B$8/4),IF(22&lt;='I_Inputs &amp; Assumptions'!$B$8*0.75,'I_Budget Input Data'!$D$120*0.6/('I_Inputs &amp; Assumptions'!$B$8/2),'I_Budget Input Data'!$D$120*0.2/('I_Inputs &amp; Assumptions'!$B$8/4))),IF('I_Budget Input Data'!$E$120="At Completion",IF(22='I_Inputs &amp; Assumptions'!$B$8,'I_Budget Input Data'!$D$120,0),'I_Budget Input Data'!$D$120/'I_Inputs &amp; Assumptions'!$B$8)))))),0)</f>
        <v>0</v>
      </c>
      <c r="Y120" s="91">
        <f>IF(23&lt;='I_Inputs &amp; Assumptions'!$B$8,IF('I_Budget Input Data'!$E$120="Upfront",IF(23=1,'I_Budget Input Data'!$D$120,0),IF('I_Budget Input Data'!$E$120="Equal",'I_Budget Input Data'!$D$120/'I_Inputs &amp; Assumptions'!$B$8,IF('I_Budget Input Data'!$E$120="Front-loaded",IF(23&lt;='I_Inputs &amp; Assumptions'!$B$8/2,'I_Budget Input Data'!$D$120*0.6/('I_Inputs &amp; Assumptions'!$B$8/2),'I_Budget Input Data'!$D$120*0.4/('I_Inputs &amp; Assumptions'!$B$8/2)),IF('I_Budget Input Data'!$E$120="Back-loaded",IF(23&lt;='I_Inputs &amp; Assumptions'!$B$8/2,'I_Budget Input Data'!$D$120*0.4/('I_Inputs &amp; Assumptions'!$B$8/2),'I_Budget Input Data'!$D$120*0.6/('I_Inputs &amp; Assumptions'!$B$8/2)),IF('I_Budget Input Data'!$E$120="Mid-weighted",IF(23&lt;='I_Inputs &amp; Assumptions'!$B$8/4,'I_Budget Input Data'!$D$120*0.2/('I_Inputs &amp; Assumptions'!$B$8/4),IF(23&lt;='I_Inputs &amp; Assumptions'!$B$8*0.75,'I_Budget Input Data'!$D$120*0.6/('I_Inputs &amp; Assumptions'!$B$8/2),'I_Budget Input Data'!$D$120*0.2/('I_Inputs &amp; Assumptions'!$B$8/4))),IF('I_Budget Input Data'!$E$120="At Completion",IF(23='I_Inputs &amp; Assumptions'!$B$8,'I_Budget Input Data'!$D$120,0),'I_Budget Input Data'!$D$120/'I_Inputs &amp; Assumptions'!$B$8)))))),0)</f>
        <v>0</v>
      </c>
      <c r="Z120" s="91">
        <f>IF(24&lt;='I_Inputs &amp; Assumptions'!$B$8,IF('I_Budget Input Data'!$E$120="Upfront",IF(24=1,'I_Budget Input Data'!$D$120,0),IF('I_Budget Input Data'!$E$120="Equal",'I_Budget Input Data'!$D$120/'I_Inputs &amp; Assumptions'!$B$8,IF('I_Budget Input Data'!$E$120="Front-loaded",IF(24&lt;='I_Inputs &amp; Assumptions'!$B$8/2,'I_Budget Input Data'!$D$120*0.6/('I_Inputs &amp; Assumptions'!$B$8/2),'I_Budget Input Data'!$D$120*0.4/('I_Inputs &amp; Assumptions'!$B$8/2)),IF('I_Budget Input Data'!$E$120="Back-loaded",IF(24&lt;='I_Inputs &amp; Assumptions'!$B$8/2,'I_Budget Input Data'!$D$120*0.4/('I_Inputs &amp; Assumptions'!$B$8/2),'I_Budget Input Data'!$D$120*0.6/('I_Inputs &amp; Assumptions'!$B$8/2)),IF('I_Budget Input Data'!$E$120="Mid-weighted",IF(24&lt;='I_Inputs &amp; Assumptions'!$B$8/4,'I_Budget Input Data'!$D$120*0.2/('I_Inputs &amp; Assumptions'!$B$8/4),IF(24&lt;='I_Inputs &amp; Assumptions'!$B$8*0.75,'I_Budget Input Data'!$D$120*0.6/('I_Inputs &amp; Assumptions'!$B$8/2),'I_Budget Input Data'!$D$120*0.2/('I_Inputs &amp; Assumptions'!$B$8/4))),IF('I_Budget Input Data'!$E$120="At Completion",IF(24='I_Inputs &amp; Assumptions'!$B$8,'I_Budget Input Data'!$D$120,0),'I_Budget Input Data'!$D$120/'I_Inputs &amp; Assumptions'!$B$8)))))),0)</f>
        <v>0</v>
      </c>
      <c r="AA120" s="91">
        <f>IF(25&lt;='I_Inputs &amp; Assumptions'!$B$8,IF('I_Budget Input Data'!$E$120="Upfront",IF(25=1,'I_Budget Input Data'!$D$120,0),IF('I_Budget Input Data'!$E$120="Equal",'I_Budget Input Data'!$D$120/'I_Inputs &amp; Assumptions'!$B$8,IF('I_Budget Input Data'!$E$120="Front-loaded",IF(25&lt;='I_Inputs &amp; Assumptions'!$B$8/2,'I_Budget Input Data'!$D$120*0.6/('I_Inputs &amp; Assumptions'!$B$8/2),'I_Budget Input Data'!$D$120*0.4/('I_Inputs &amp; Assumptions'!$B$8/2)),IF('I_Budget Input Data'!$E$120="Back-loaded",IF(25&lt;='I_Inputs &amp; Assumptions'!$B$8/2,'I_Budget Input Data'!$D$120*0.4/('I_Inputs &amp; Assumptions'!$B$8/2),'I_Budget Input Data'!$D$120*0.6/('I_Inputs &amp; Assumptions'!$B$8/2)),IF('I_Budget Input Data'!$E$120="Mid-weighted",IF(25&lt;='I_Inputs &amp; Assumptions'!$B$8/4,'I_Budget Input Data'!$D$120*0.2/('I_Inputs &amp; Assumptions'!$B$8/4),IF(25&lt;='I_Inputs &amp; Assumptions'!$B$8*0.75,'I_Budget Input Data'!$D$120*0.6/('I_Inputs &amp; Assumptions'!$B$8/2),'I_Budget Input Data'!$D$120*0.2/('I_Inputs &amp; Assumptions'!$B$8/4))),IF('I_Budget Input Data'!$E$120="At Completion",IF(25='I_Inputs &amp; Assumptions'!$B$8,'I_Budget Input Data'!$D$120,0),'I_Budget Input Data'!$D$120/'I_Inputs &amp; Assumptions'!$B$8)))))),0)</f>
        <v>0</v>
      </c>
      <c r="AB120" s="91">
        <f>IF(26&lt;='I_Inputs &amp; Assumptions'!$B$8,IF('I_Budget Input Data'!$E$120="Upfront",IF(26=1,'I_Budget Input Data'!$D$120,0),IF('I_Budget Input Data'!$E$120="Equal",'I_Budget Input Data'!$D$120/'I_Inputs &amp; Assumptions'!$B$8,IF('I_Budget Input Data'!$E$120="Front-loaded",IF(26&lt;='I_Inputs &amp; Assumptions'!$B$8/2,'I_Budget Input Data'!$D$120*0.6/('I_Inputs &amp; Assumptions'!$B$8/2),'I_Budget Input Data'!$D$120*0.4/('I_Inputs &amp; Assumptions'!$B$8/2)),IF('I_Budget Input Data'!$E$120="Back-loaded",IF(26&lt;='I_Inputs &amp; Assumptions'!$B$8/2,'I_Budget Input Data'!$D$120*0.4/('I_Inputs &amp; Assumptions'!$B$8/2),'I_Budget Input Data'!$D$120*0.6/('I_Inputs &amp; Assumptions'!$B$8/2)),IF('I_Budget Input Data'!$E$120="Mid-weighted",IF(26&lt;='I_Inputs &amp; Assumptions'!$B$8/4,'I_Budget Input Data'!$D$120*0.2/('I_Inputs &amp; Assumptions'!$B$8/4),IF(26&lt;='I_Inputs &amp; Assumptions'!$B$8*0.75,'I_Budget Input Data'!$D$120*0.6/('I_Inputs &amp; Assumptions'!$B$8/2),'I_Budget Input Data'!$D$120*0.2/('I_Inputs &amp; Assumptions'!$B$8/4))),IF('I_Budget Input Data'!$E$120="At Completion",IF(26='I_Inputs &amp; Assumptions'!$B$8,'I_Budget Input Data'!$D$120,0),'I_Budget Input Data'!$D$120/'I_Inputs &amp; Assumptions'!$B$8)))))),0)</f>
        <v>0</v>
      </c>
      <c r="AC120" s="91">
        <f>IF(27&lt;='I_Inputs &amp; Assumptions'!$B$8,IF('I_Budget Input Data'!$E$120="Upfront",IF(27=1,'I_Budget Input Data'!$D$120,0),IF('I_Budget Input Data'!$E$120="Equal",'I_Budget Input Data'!$D$120/'I_Inputs &amp; Assumptions'!$B$8,IF('I_Budget Input Data'!$E$120="Front-loaded",IF(27&lt;='I_Inputs &amp; Assumptions'!$B$8/2,'I_Budget Input Data'!$D$120*0.6/('I_Inputs &amp; Assumptions'!$B$8/2),'I_Budget Input Data'!$D$120*0.4/('I_Inputs &amp; Assumptions'!$B$8/2)),IF('I_Budget Input Data'!$E$120="Back-loaded",IF(27&lt;='I_Inputs &amp; Assumptions'!$B$8/2,'I_Budget Input Data'!$D$120*0.4/('I_Inputs &amp; Assumptions'!$B$8/2),'I_Budget Input Data'!$D$120*0.6/('I_Inputs &amp; Assumptions'!$B$8/2)),IF('I_Budget Input Data'!$E$120="Mid-weighted",IF(27&lt;='I_Inputs &amp; Assumptions'!$B$8/4,'I_Budget Input Data'!$D$120*0.2/('I_Inputs &amp; Assumptions'!$B$8/4),IF(27&lt;='I_Inputs &amp; Assumptions'!$B$8*0.75,'I_Budget Input Data'!$D$120*0.6/('I_Inputs &amp; Assumptions'!$B$8/2),'I_Budget Input Data'!$D$120*0.2/('I_Inputs &amp; Assumptions'!$B$8/4))),IF('I_Budget Input Data'!$E$120="At Completion",IF(27='I_Inputs &amp; Assumptions'!$B$8,'I_Budget Input Data'!$D$120,0),'I_Budget Input Data'!$D$120/'I_Inputs &amp; Assumptions'!$B$8)))))),0)</f>
        <v>0</v>
      </c>
      <c r="AD120" s="91">
        <f>IF(28&lt;='I_Inputs &amp; Assumptions'!$B$8,IF('I_Budget Input Data'!$E$120="Upfront",IF(28=1,'I_Budget Input Data'!$D$120,0),IF('I_Budget Input Data'!$E$120="Equal",'I_Budget Input Data'!$D$120/'I_Inputs &amp; Assumptions'!$B$8,IF('I_Budget Input Data'!$E$120="Front-loaded",IF(28&lt;='I_Inputs &amp; Assumptions'!$B$8/2,'I_Budget Input Data'!$D$120*0.6/('I_Inputs &amp; Assumptions'!$B$8/2),'I_Budget Input Data'!$D$120*0.4/('I_Inputs &amp; Assumptions'!$B$8/2)),IF('I_Budget Input Data'!$E$120="Back-loaded",IF(28&lt;='I_Inputs &amp; Assumptions'!$B$8/2,'I_Budget Input Data'!$D$120*0.4/('I_Inputs &amp; Assumptions'!$B$8/2),'I_Budget Input Data'!$D$120*0.6/('I_Inputs &amp; Assumptions'!$B$8/2)),IF('I_Budget Input Data'!$E$120="Mid-weighted",IF(28&lt;='I_Inputs &amp; Assumptions'!$B$8/4,'I_Budget Input Data'!$D$120*0.2/('I_Inputs &amp; Assumptions'!$B$8/4),IF(28&lt;='I_Inputs &amp; Assumptions'!$B$8*0.75,'I_Budget Input Data'!$D$120*0.6/('I_Inputs &amp; Assumptions'!$B$8/2),'I_Budget Input Data'!$D$120*0.2/('I_Inputs &amp; Assumptions'!$B$8/4))),IF('I_Budget Input Data'!$E$120="At Completion",IF(28='I_Inputs &amp; Assumptions'!$B$8,'I_Budget Input Data'!$D$120,0),'I_Budget Input Data'!$D$120/'I_Inputs &amp; Assumptions'!$B$8)))))),0)</f>
        <v>0</v>
      </c>
      <c r="AE120" s="91">
        <f>IF(29&lt;='I_Inputs &amp; Assumptions'!$B$8,IF('I_Budget Input Data'!$E$120="Upfront",IF(29=1,'I_Budget Input Data'!$D$120,0),IF('I_Budget Input Data'!$E$120="Equal",'I_Budget Input Data'!$D$120/'I_Inputs &amp; Assumptions'!$B$8,IF('I_Budget Input Data'!$E$120="Front-loaded",IF(29&lt;='I_Inputs &amp; Assumptions'!$B$8/2,'I_Budget Input Data'!$D$120*0.6/('I_Inputs &amp; Assumptions'!$B$8/2),'I_Budget Input Data'!$D$120*0.4/('I_Inputs &amp; Assumptions'!$B$8/2)),IF('I_Budget Input Data'!$E$120="Back-loaded",IF(29&lt;='I_Inputs &amp; Assumptions'!$B$8/2,'I_Budget Input Data'!$D$120*0.4/('I_Inputs &amp; Assumptions'!$B$8/2),'I_Budget Input Data'!$D$120*0.6/('I_Inputs &amp; Assumptions'!$B$8/2)),IF('I_Budget Input Data'!$E$120="Mid-weighted",IF(29&lt;='I_Inputs &amp; Assumptions'!$B$8/4,'I_Budget Input Data'!$D$120*0.2/('I_Inputs &amp; Assumptions'!$B$8/4),IF(29&lt;='I_Inputs &amp; Assumptions'!$B$8*0.75,'I_Budget Input Data'!$D$120*0.6/('I_Inputs &amp; Assumptions'!$B$8/2),'I_Budget Input Data'!$D$120*0.2/('I_Inputs &amp; Assumptions'!$B$8/4))),IF('I_Budget Input Data'!$E$120="At Completion",IF(29='I_Inputs &amp; Assumptions'!$B$8,'I_Budget Input Data'!$D$120,0),'I_Budget Input Data'!$D$120/'I_Inputs &amp; Assumptions'!$B$8)))))),0)</f>
        <v>0</v>
      </c>
      <c r="AF120" s="91">
        <f>IF(30&lt;='I_Inputs &amp; Assumptions'!$B$8,IF('I_Budget Input Data'!$E$120="Upfront",IF(30=1,'I_Budget Input Data'!$D$120,0),IF('I_Budget Input Data'!$E$120="Equal",'I_Budget Input Data'!$D$120/'I_Inputs &amp; Assumptions'!$B$8,IF('I_Budget Input Data'!$E$120="Front-loaded",IF(30&lt;='I_Inputs &amp; Assumptions'!$B$8/2,'I_Budget Input Data'!$D$120*0.6/('I_Inputs &amp; Assumptions'!$B$8/2),'I_Budget Input Data'!$D$120*0.4/('I_Inputs &amp; Assumptions'!$B$8/2)),IF('I_Budget Input Data'!$E$120="Back-loaded",IF(30&lt;='I_Inputs &amp; Assumptions'!$B$8/2,'I_Budget Input Data'!$D$120*0.4/('I_Inputs &amp; Assumptions'!$B$8/2),'I_Budget Input Data'!$D$120*0.6/('I_Inputs &amp; Assumptions'!$B$8/2)),IF('I_Budget Input Data'!$E$120="Mid-weighted",IF(30&lt;='I_Inputs &amp; Assumptions'!$B$8/4,'I_Budget Input Data'!$D$120*0.2/('I_Inputs &amp; Assumptions'!$B$8/4),IF(30&lt;='I_Inputs &amp; Assumptions'!$B$8*0.75,'I_Budget Input Data'!$D$120*0.6/('I_Inputs &amp; Assumptions'!$B$8/2),'I_Budget Input Data'!$D$120*0.2/('I_Inputs &amp; Assumptions'!$B$8/4))),IF('I_Budget Input Data'!$E$120="At Completion",IF(30='I_Inputs &amp; Assumptions'!$B$8,'I_Budget Input Data'!$D$120,0),'I_Budget Input Data'!$D$120/'I_Inputs &amp; Assumptions'!$B$8)))))),0)</f>
        <v>0</v>
      </c>
      <c r="AG120" s="91">
        <f>IF(31&lt;='I_Inputs &amp; Assumptions'!$B$8,IF('I_Budget Input Data'!$E$120="Upfront",IF(31=1,'I_Budget Input Data'!$D$120,0),IF('I_Budget Input Data'!$E$120="Equal",'I_Budget Input Data'!$D$120/'I_Inputs &amp; Assumptions'!$B$8,IF('I_Budget Input Data'!$E$120="Front-loaded",IF(31&lt;='I_Inputs &amp; Assumptions'!$B$8/2,'I_Budget Input Data'!$D$120*0.6/('I_Inputs &amp; Assumptions'!$B$8/2),'I_Budget Input Data'!$D$120*0.4/('I_Inputs &amp; Assumptions'!$B$8/2)),IF('I_Budget Input Data'!$E$120="Back-loaded",IF(31&lt;='I_Inputs &amp; Assumptions'!$B$8/2,'I_Budget Input Data'!$D$120*0.4/('I_Inputs &amp; Assumptions'!$B$8/2),'I_Budget Input Data'!$D$120*0.6/('I_Inputs &amp; Assumptions'!$B$8/2)),IF('I_Budget Input Data'!$E$120="Mid-weighted",IF(31&lt;='I_Inputs &amp; Assumptions'!$B$8/4,'I_Budget Input Data'!$D$120*0.2/('I_Inputs &amp; Assumptions'!$B$8/4),IF(31&lt;='I_Inputs &amp; Assumptions'!$B$8*0.75,'I_Budget Input Data'!$D$120*0.6/('I_Inputs &amp; Assumptions'!$B$8/2),'I_Budget Input Data'!$D$120*0.2/('I_Inputs &amp; Assumptions'!$B$8/4))),IF('I_Budget Input Data'!$E$120="At Completion",IF(31='I_Inputs &amp; Assumptions'!$B$8,'I_Budget Input Data'!$D$120,0),'I_Budget Input Data'!$D$120/'I_Inputs &amp; Assumptions'!$B$8)))))),0)</f>
        <v>0</v>
      </c>
      <c r="AH120" s="91">
        <f>IF(32&lt;='I_Inputs &amp; Assumptions'!$B$8,IF('I_Budget Input Data'!$E$120="Upfront",IF(32=1,'I_Budget Input Data'!$D$120,0),IF('I_Budget Input Data'!$E$120="Equal",'I_Budget Input Data'!$D$120/'I_Inputs &amp; Assumptions'!$B$8,IF('I_Budget Input Data'!$E$120="Front-loaded",IF(32&lt;='I_Inputs &amp; Assumptions'!$B$8/2,'I_Budget Input Data'!$D$120*0.6/('I_Inputs &amp; Assumptions'!$B$8/2),'I_Budget Input Data'!$D$120*0.4/('I_Inputs &amp; Assumptions'!$B$8/2)),IF('I_Budget Input Data'!$E$120="Back-loaded",IF(32&lt;='I_Inputs &amp; Assumptions'!$B$8/2,'I_Budget Input Data'!$D$120*0.4/('I_Inputs &amp; Assumptions'!$B$8/2),'I_Budget Input Data'!$D$120*0.6/('I_Inputs &amp; Assumptions'!$B$8/2)),IF('I_Budget Input Data'!$E$120="Mid-weighted",IF(32&lt;='I_Inputs &amp; Assumptions'!$B$8/4,'I_Budget Input Data'!$D$120*0.2/('I_Inputs &amp; Assumptions'!$B$8/4),IF(32&lt;='I_Inputs &amp; Assumptions'!$B$8*0.75,'I_Budget Input Data'!$D$120*0.6/('I_Inputs &amp; Assumptions'!$B$8/2),'I_Budget Input Data'!$D$120*0.2/('I_Inputs &amp; Assumptions'!$B$8/4))),IF('I_Budget Input Data'!$E$120="At Completion",IF(32='I_Inputs &amp; Assumptions'!$B$8,'I_Budget Input Data'!$D$120,0),'I_Budget Input Data'!$D$120/'I_Inputs &amp; Assumptions'!$B$8)))))),0)</f>
        <v>0</v>
      </c>
      <c r="AI120" s="91">
        <f>IF(33&lt;='I_Inputs &amp; Assumptions'!$B$8,IF('I_Budget Input Data'!$E$120="Upfront",IF(33=1,'I_Budget Input Data'!$D$120,0),IF('I_Budget Input Data'!$E$120="Equal",'I_Budget Input Data'!$D$120/'I_Inputs &amp; Assumptions'!$B$8,IF('I_Budget Input Data'!$E$120="Front-loaded",IF(33&lt;='I_Inputs &amp; Assumptions'!$B$8/2,'I_Budget Input Data'!$D$120*0.6/('I_Inputs &amp; Assumptions'!$B$8/2),'I_Budget Input Data'!$D$120*0.4/('I_Inputs &amp; Assumptions'!$B$8/2)),IF('I_Budget Input Data'!$E$120="Back-loaded",IF(33&lt;='I_Inputs &amp; Assumptions'!$B$8/2,'I_Budget Input Data'!$D$120*0.4/('I_Inputs &amp; Assumptions'!$B$8/2),'I_Budget Input Data'!$D$120*0.6/('I_Inputs &amp; Assumptions'!$B$8/2)),IF('I_Budget Input Data'!$E$120="Mid-weighted",IF(33&lt;='I_Inputs &amp; Assumptions'!$B$8/4,'I_Budget Input Data'!$D$120*0.2/('I_Inputs &amp; Assumptions'!$B$8/4),IF(33&lt;='I_Inputs &amp; Assumptions'!$B$8*0.75,'I_Budget Input Data'!$D$120*0.6/('I_Inputs &amp; Assumptions'!$B$8/2),'I_Budget Input Data'!$D$120*0.2/('I_Inputs &amp; Assumptions'!$B$8/4))),IF('I_Budget Input Data'!$E$120="At Completion",IF(33='I_Inputs &amp; Assumptions'!$B$8,'I_Budget Input Data'!$D$120,0),'I_Budget Input Data'!$D$120/'I_Inputs &amp; Assumptions'!$B$8)))))),0)</f>
        <v>0</v>
      </c>
      <c r="AJ120" s="91">
        <f>IF(34&lt;='I_Inputs &amp; Assumptions'!$B$8,IF('I_Budget Input Data'!$E$120="Upfront",IF(34=1,'I_Budget Input Data'!$D$120,0),IF('I_Budget Input Data'!$E$120="Equal",'I_Budget Input Data'!$D$120/'I_Inputs &amp; Assumptions'!$B$8,IF('I_Budget Input Data'!$E$120="Front-loaded",IF(34&lt;='I_Inputs &amp; Assumptions'!$B$8/2,'I_Budget Input Data'!$D$120*0.6/('I_Inputs &amp; Assumptions'!$B$8/2),'I_Budget Input Data'!$D$120*0.4/('I_Inputs &amp; Assumptions'!$B$8/2)),IF('I_Budget Input Data'!$E$120="Back-loaded",IF(34&lt;='I_Inputs &amp; Assumptions'!$B$8/2,'I_Budget Input Data'!$D$120*0.4/('I_Inputs &amp; Assumptions'!$B$8/2),'I_Budget Input Data'!$D$120*0.6/('I_Inputs &amp; Assumptions'!$B$8/2)),IF('I_Budget Input Data'!$E$120="Mid-weighted",IF(34&lt;='I_Inputs &amp; Assumptions'!$B$8/4,'I_Budget Input Data'!$D$120*0.2/('I_Inputs &amp; Assumptions'!$B$8/4),IF(34&lt;='I_Inputs &amp; Assumptions'!$B$8*0.75,'I_Budget Input Data'!$D$120*0.6/('I_Inputs &amp; Assumptions'!$B$8/2),'I_Budget Input Data'!$D$120*0.2/('I_Inputs &amp; Assumptions'!$B$8/4))),IF('I_Budget Input Data'!$E$120="At Completion",IF(34='I_Inputs &amp; Assumptions'!$B$8,'I_Budget Input Data'!$D$120,0),'I_Budget Input Data'!$D$120/'I_Inputs &amp; Assumptions'!$B$8)))))),0)</f>
        <v>0</v>
      </c>
      <c r="AK120" s="91">
        <f>IF(35&lt;='I_Inputs &amp; Assumptions'!$B$8,IF('I_Budget Input Data'!$E$120="Upfront",IF(35=1,'I_Budget Input Data'!$D$120,0),IF('I_Budget Input Data'!$E$120="Equal",'I_Budget Input Data'!$D$120/'I_Inputs &amp; Assumptions'!$B$8,IF('I_Budget Input Data'!$E$120="Front-loaded",IF(35&lt;='I_Inputs &amp; Assumptions'!$B$8/2,'I_Budget Input Data'!$D$120*0.6/('I_Inputs &amp; Assumptions'!$B$8/2),'I_Budget Input Data'!$D$120*0.4/('I_Inputs &amp; Assumptions'!$B$8/2)),IF('I_Budget Input Data'!$E$120="Back-loaded",IF(35&lt;='I_Inputs &amp; Assumptions'!$B$8/2,'I_Budget Input Data'!$D$120*0.4/('I_Inputs &amp; Assumptions'!$B$8/2),'I_Budget Input Data'!$D$120*0.6/('I_Inputs &amp; Assumptions'!$B$8/2)),IF('I_Budget Input Data'!$E$120="Mid-weighted",IF(35&lt;='I_Inputs &amp; Assumptions'!$B$8/4,'I_Budget Input Data'!$D$120*0.2/('I_Inputs &amp; Assumptions'!$B$8/4),IF(35&lt;='I_Inputs &amp; Assumptions'!$B$8*0.75,'I_Budget Input Data'!$D$120*0.6/('I_Inputs &amp; Assumptions'!$B$8/2),'I_Budget Input Data'!$D$120*0.2/('I_Inputs &amp; Assumptions'!$B$8/4))),IF('I_Budget Input Data'!$E$120="At Completion",IF(35='I_Inputs &amp; Assumptions'!$B$8,'I_Budget Input Data'!$D$120,0),'I_Budget Input Data'!$D$120/'I_Inputs &amp; Assumptions'!$B$8)))))),0)</f>
        <v>0</v>
      </c>
      <c r="AL120" s="91">
        <f>IF(36&lt;='I_Inputs &amp; Assumptions'!$B$8,IF('I_Budget Input Data'!$E$120="Upfront",IF(36=1,'I_Budget Input Data'!$D$120,0),IF('I_Budget Input Data'!$E$120="Equal",'I_Budget Input Data'!$D$120/'I_Inputs &amp; Assumptions'!$B$8,IF('I_Budget Input Data'!$E$120="Front-loaded",IF(36&lt;='I_Inputs &amp; Assumptions'!$B$8/2,'I_Budget Input Data'!$D$120*0.6/('I_Inputs &amp; Assumptions'!$B$8/2),'I_Budget Input Data'!$D$120*0.4/('I_Inputs &amp; Assumptions'!$B$8/2)),IF('I_Budget Input Data'!$E$120="Back-loaded",IF(36&lt;='I_Inputs &amp; Assumptions'!$B$8/2,'I_Budget Input Data'!$D$120*0.4/('I_Inputs &amp; Assumptions'!$B$8/2),'I_Budget Input Data'!$D$120*0.6/('I_Inputs &amp; Assumptions'!$B$8/2)),IF('I_Budget Input Data'!$E$120="Mid-weighted",IF(36&lt;='I_Inputs &amp; Assumptions'!$B$8/4,'I_Budget Input Data'!$D$120*0.2/('I_Inputs &amp; Assumptions'!$B$8/4),IF(36&lt;='I_Inputs &amp; Assumptions'!$B$8*0.75,'I_Budget Input Data'!$D$120*0.6/('I_Inputs &amp; Assumptions'!$B$8/2),'I_Budget Input Data'!$D$120*0.2/('I_Inputs &amp; Assumptions'!$B$8/4))),IF('I_Budget Input Data'!$E$120="At Completion",IF(36='I_Inputs &amp; Assumptions'!$B$8,'I_Budget Input Data'!$D$120,0),'I_Budget Input Data'!$D$120/'I_Inputs &amp; Assumptions'!$B$8)))))),0)</f>
        <v>0</v>
      </c>
    </row>
    <row r="121" spans="1:38" ht="15" customHeight="1" x14ac:dyDescent="0.2">
      <c r="A121" t="s">
        <v>146</v>
      </c>
      <c r="B121" t="s">
        <v>234</v>
      </c>
      <c r="C121" s="91">
        <f>IF(1&lt;='I_Inputs &amp; Assumptions'!$B$8,IF('I_Budget Input Data'!$E$121="Upfront",IF(1=1,'I_Budget Input Data'!$D$121,0),IF('I_Budget Input Data'!$E$121="Equal",'I_Budget Input Data'!$D$121/'I_Inputs &amp; Assumptions'!$B$8,IF('I_Budget Input Data'!$E$121="Front-loaded",IF(1&lt;='I_Inputs &amp; Assumptions'!$B$8/2,'I_Budget Input Data'!$D$121*0.6/('I_Inputs &amp; Assumptions'!$B$8/2),'I_Budget Input Data'!$D$121*0.4/('I_Inputs &amp; Assumptions'!$B$8/2)),IF('I_Budget Input Data'!$E$121="Back-loaded",IF(1&lt;='I_Inputs &amp; Assumptions'!$B$8/2,'I_Budget Input Data'!$D$121*0.4/('I_Inputs &amp; Assumptions'!$B$8/2),'I_Budget Input Data'!$D$121*0.6/('I_Inputs &amp; Assumptions'!$B$8/2)),IF('I_Budget Input Data'!$E$121="Mid-weighted",IF(1&lt;='I_Inputs &amp; Assumptions'!$B$8/4,'I_Budget Input Data'!$D$121*0.2/('I_Inputs &amp; Assumptions'!$B$8/4),IF(1&lt;='I_Inputs &amp; Assumptions'!$B$8*0.75,'I_Budget Input Data'!$D$121*0.6/('I_Inputs &amp; Assumptions'!$B$8/2),'I_Budget Input Data'!$D$121*0.2/('I_Inputs &amp; Assumptions'!$B$8/4))),IF('I_Budget Input Data'!$E$121="At Completion",IF(1='I_Inputs &amp; Assumptions'!$B$8,'I_Budget Input Data'!$D$121,0),'I_Budget Input Data'!$D$121/'I_Inputs &amp; Assumptions'!$B$8)))))),0)</f>
        <v>1980.7692307692307</v>
      </c>
      <c r="D121" s="91">
        <f>IF(2&lt;='I_Inputs &amp; Assumptions'!$B$8,IF('I_Budget Input Data'!$E$121="Upfront",IF(2=1,'I_Budget Input Data'!$D$121,0),IF('I_Budget Input Data'!$E$121="Equal",'I_Budget Input Data'!$D$121/'I_Inputs &amp; Assumptions'!$B$8,IF('I_Budget Input Data'!$E$121="Front-loaded",IF(2&lt;='I_Inputs &amp; Assumptions'!$B$8/2,'I_Budget Input Data'!$D$121*0.6/('I_Inputs &amp; Assumptions'!$B$8/2),'I_Budget Input Data'!$D$121*0.4/('I_Inputs &amp; Assumptions'!$B$8/2)),IF('I_Budget Input Data'!$E$121="Back-loaded",IF(2&lt;='I_Inputs &amp; Assumptions'!$B$8/2,'I_Budget Input Data'!$D$121*0.4/('I_Inputs &amp; Assumptions'!$B$8/2),'I_Budget Input Data'!$D$121*0.6/('I_Inputs &amp; Assumptions'!$B$8/2)),IF('I_Budget Input Data'!$E$121="Mid-weighted",IF(2&lt;='I_Inputs &amp; Assumptions'!$B$8/4,'I_Budget Input Data'!$D$121*0.2/('I_Inputs &amp; Assumptions'!$B$8/4),IF(2&lt;='I_Inputs &amp; Assumptions'!$B$8*0.75,'I_Budget Input Data'!$D$121*0.6/('I_Inputs &amp; Assumptions'!$B$8/2),'I_Budget Input Data'!$D$121*0.2/('I_Inputs &amp; Assumptions'!$B$8/4))),IF('I_Budget Input Data'!$E$121="At Completion",IF(2='I_Inputs &amp; Assumptions'!$B$8,'I_Budget Input Data'!$D$121,0),'I_Budget Input Data'!$D$121/'I_Inputs &amp; Assumptions'!$B$8)))))),0)</f>
        <v>1980.7692307692307</v>
      </c>
      <c r="E121" s="91">
        <f>IF(3&lt;='I_Inputs &amp; Assumptions'!$B$8,IF('I_Budget Input Data'!$E$121="Upfront",IF(3=1,'I_Budget Input Data'!$D$121,0),IF('I_Budget Input Data'!$E$121="Equal",'I_Budget Input Data'!$D$121/'I_Inputs &amp; Assumptions'!$B$8,IF('I_Budget Input Data'!$E$121="Front-loaded",IF(3&lt;='I_Inputs &amp; Assumptions'!$B$8/2,'I_Budget Input Data'!$D$121*0.6/('I_Inputs &amp; Assumptions'!$B$8/2),'I_Budget Input Data'!$D$121*0.4/('I_Inputs &amp; Assumptions'!$B$8/2)),IF('I_Budget Input Data'!$E$121="Back-loaded",IF(3&lt;='I_Inputs &amp; Assumptions'!$B$8/2,'I_Budget Input Data'!$D$121*0.4/('I_Inputs &amp; Assumptions'!$B$8/2),'I_Budget Input Data'!$D$121*0.6/('I_Inputs &amp; Assumptions'!$B$8/2)),IF('I_Budget Input Data'!$E$121="Mid-weighted",IF(3&lt;='I_Inputs &amp; Assumptions'!$B$8/4,'I_Budget Input Data'!$D$121*0.2/('I_Inputs &amp; Assumptions'!$B$8/4),IF(3&lt;='I_Inputs &amp; Assumptions'!$B$8*0.75,'I_Budget Input Data'!$D$121*0.6/('I_Inputs &amp; Assumptions'!$B$8/2),'I_Budget Input Data'!$D$121*0.2/('I_Inputs &amp; Assumptions'!$B$8/4))),IF('I_Budget Input Data'!$E$121="At Completion",IF(3='I_Inputs &amp; Assumptions'!$B$8,'I_Budget Input Data'!$D$121,0),'I_Budget Input Data'!$D$121/'I_Inputs &amp; Assumptions'!$B$8)))))),0)</f>
        <v>1980.7692307692307</v>
      </c>
      <c r="F121" s="91">
        <f>IF(4&lt;='I_Inputs &amp; Assumptions'!$B$8,IF('I_Budget Input Data'!$E$121="Upfront",IF(4=1,'I_Budget Input Data'!$D$121,0),IF('I_Budget Input Data'!$E$121="Equal",'I_Budget Input Data'!$D$121/'I_Inputs &amp; Assumptions'!$B$8,IF('I_Budget Input Data'!$E$121="Front-loaded",IF(4&lt;='I_Inputs &amp; Assumptions'!$B$8/2,'I_Budget Input Data'!$D$121*0.6/('I_Inputs &amp; Assumptions'!$B$8/2),'I_Budget Input Data'!$D$121*0.4/('I_Inputs &amp; Assumptions'!$B$8/2)),IF('I_Budget Input Data'!$E$121="Back-loaded",IF(4&lt;='I_Inputs &amp; Assumptions'!$B$8/2,'I_Budget Input Data'!$D$121*0.4/('I_Inputs &amp; Assumptions'!$B$8/2),'I_Budget Input Data'!$D$121*0.6/('I_Inputs &amp; Assumptions'!$B$8/2)),IF('I_Budget Input Data'!$E$121="Mid-weighted",IF(4&lt;='I_Inputs &amp; Assumptions'!$B$8/4,'I_Budget Input Data'!$D$121*0.2/('I_Inputs &amp; Assumptions'!$B$8/4),IF(4&lt;='I_Inputs &amp; Assumptions'!$B$8*0.75,'I_Budget Input Data'!$D$121*0.6/('I_Inputs &amp; Assumptions'!$B$8/2),'I_Budget Input Data'!$D$121*0.2/('I_Inputs &amp; Assumptions'!$B$8/4))),IF('I_Budget Input Data'!$E$121="At Completion",IF(4='I_Inputs &amp; Assumptions'!$B$8,'I_Budget Input Data'!$D$121,0),'I_Budget Input Data'!$D$121/'I_Inputs &amp; Assumptions'!$B$8)))))),0)</f>
        <v>1980.7692307692307</v>
      </c>
      <c r="G121" s="91">
        <f>IF(5&lt;='I_Inputs &amp; Assumptions'!$B$8,IF('I_Budget Input Data'!$E$121="Upfront",IF(5=1,'I_Budget Input Data'!$D$121,0),IF('I_Budget Input Data'!$E$121="Equal",'I_Budget Input Data'!$D$121/'I_Inputs &amp; Assumptions'!$B$8,IF('I_Budget Input Data'!$E$121="Front-loaded",IF(5&lt;='I_Inputs &amp; Assumptions'!$B$8/2,'I_Budget Input Data'!$D$121*0.6/('I_Inputs &amp; Assumptions'!$B$8/2),'I_Budget Input Data'!$D$121*0.4/('I_Inputs &amp; Assumptions'!$B$8/2)),IF('I_Budget Input Data'!$E$121="Back-loaded",IF(5&lt;='I_Inputs &amp; Assumptions'!$B$8/2,'I_Budget Input Data'!$D$121*0.4/('I_Inputs &amp; Assumptions'!$B$8/2),'I_Budget Input Data'!$D$121*0.6/('I_Inputs &amp; Assumptions'!$B$8/2)),IF('I_Budget Input Data'!$E$121="Mid-weighted",IF(5&lt;='I_Inputs &amp; Assumptions'!$B$8/4,'I_Budget Input Data'!$D$121*0.2/('I_Inputs &amp; Assumptions'!$B$8/4),IF(5&lt;='I_Inputs &amp; Assumptions'!$B$8*0.75,'I_Budget Input Data'!$D$121*0.6/('I_Inputs &amp; Assumptions'!$B$8/2),'I_Budget Input Data'!$D$121*0.2/('I_Inputs &amp; Assumptions'!$B$8/4))),IF('I_Budget Input Data'!$E$121="At Completion",IF(5='I_Inputs &amp; Assumptions'!$B$8,'I_Budget Input Data'!$D$121,0),'I_Budget Input Data'!$D$121/'I_Inputs &amp; Assumptions'!$B$8)))))),0)</f>
        <v>1980.7692307692307</v>
      </c>
      <c r="H121" s="91">
        <f>IF(6&lt;='I_Inputs &amp; Assumptions'!$B$8,IF('I_Budget Input Data'!$E$121="Upfront",IF(6=1,'I_Budget Input Data'!$D$121,0),IF('I_Budget Input Data'!$E$121="Equal",'I_Budget Input Data'!$D$121/'I_Inputs &amp; Assumptions'!$B$8,IF('I_Budget Input Data'!$E$121="Front-loaded",IF(6&lt;='I_Inputs &amp; Assumptions'!$B$8/2,'I_Budget Input Data'!$D$121*0.6/('I_Inputs &amp; Assumptions'!$B$8/2),'I_Budget Input Data'!$D$121*0.4/('I_Inputs &amp; Assumptions'!$B$8/2)),IF('I_Budget Input Data'!$E$121="Back-loaded",IF(6&lt;='I_Inputs &amp; Assumptions'!$B$8/2,'I_Budget Input Data'!$D$121*0.4/('I_Inputs &amp; Assumptions'!$B$8/2),'I_Budget Input Data'!$D$121*0.6/('I_Inputs &amp; Assumptions'!$B$8/2)),IF('I_Budget Input Data'!$E$121="Mid-weighted",IF(6&lt;='I_Inputs &amp; Assumptions'!$B$8/4,'I_Budget Input Data'!$D$121*0.2/('I_Inputs &amp; Assumptions'!$B$8/4),IF(6&lt;='I_Inputs &amp; Assumptions'!$B$8*0.75,'I_Budget Input Data'!$D$121*0.6/('I_Inputs &amp; Assumptions'!$B$8/2),'I_Budget Input Data'!$D$121*0.2/('I_Inputs &amp; Assumptions'!$B$8/4))),IF('I_Budget Input Data'!$E$121="At Completion",IF(6='I_Inputs &amp; Assumptions'!$B$8,'I_Budget Input Data'!$D$121,0),'I_Budget Input Data'!$D$121/'I_Inputs &amp; Assumptions'!$B$8)))))),0)</f>
        <v>1980.7692307692307</v>
      </c>
      <c r="I121" s="91">
        <f>IF(7&lt;='I_Inputs &amp; Assumptions'!$B$8,IF('I_Budget Input Data'!$E$121="Upfront",IF(7=1,'I_Budget Input Data'!$D$121,0),IF('I_Budget Input Data'!$E$121="Equal",'I_Budget Input Data'!$D$121/'I_Inputs &amp; Assumptions'!$B$8,IF('I_Budget Input Data'!$E$121="Front-loaded",IF(7&lt;='I_Inputs &amp; Assumptions'!$B$8/2,'I_Budget Input Data'!$D$121*0.6/('I_Inputs &amp; Assumptions'!$B$8/2),'I_Budget Input Data'!$D$121*0.4/('I_Inputs &amp; Assumptions'!$B$8/2)),IF('I_Budget Input Data'!$E$121="Back-loaded",IF(7&lt;='I_Inputs &amp; Assumptions'!$B$8/2,'I_Budget Input Data'!$D$121*0.4/('I_Inputs &amp; Assumptions'!$B$8/2),'I_Budget Input Data'!$D$121*0.6/('I_Inputs &amp; Assumptions'!$B$8/2)),IF('I_Budget Input Data'!$E$121="Mid-weighted",IF(7&lt;='I_Inputs &amp; Assumptions'!$B$8/4,'I_Budget Input Data'!$D$121*0.2/('I_Inputs &amp; Assumptions'!$B$8/4),IF(7&lt;='I_Inputs &amp; Assumptions'!$B$8*0.75,'I_Budget Input Data'!$D$121*0.6/('I_Inputs &amp; Assumptions'!$B$8/2),'I_Budget Input Data'!$D$121*0.2/('I_Inputs &amp; Assumptions'!$B$8/4))),IF('I_Budget Input Data'!$E$121="At Completion",IF(7='I_Inputs &amp; Assumptions'!$B$8,'I_Budget Input Data'!$D$121,0),'I_Budget Input Data'!$D$121/'I_Inputs &amp; Assumptions'!$B$8)))))),0)</f>
        <v>1980.7692307692307</v>
      </c>
      <c r="J121" s="91">
        <f>IF(8&lt;='I_Inputs &amp; Assumptions'!$B$8,IF('I_Budget Input Data'!$E$121="Upfront",IF(8=1,'I_Budget Input Data'!$D$121,0),IF('I_Budget Input Data'!$E$121="Equal",'I_Budget Input Data'!$D$121/'I_Inputs &amp; Assumptions'!$B$8,IF('I_Budget Input Data'!$E$121="Front-loaded",IF(8&lt;='I_Inputs &amp; Assumptions'!$B$8/2,'I_Budget Input Data'!$D$121*0.6/('I_Inputs &amp; Assumptions'!$B$8/2),'I_Budget Input Data'!$D$121*0.4/('I_Inputs &amp; Assumptions'!$B$8/2)),IF('I_Budget Input Data'!$E$121="Back-loaded",IF(8&lt;='I_Inputs &amp; Assumptions'!$B$8/2,'I_Budget Input Data'!$D$121*0.4/('I_Inputs &amp; Assumptions'!$B$8/2),'I_Budget Input Data'!$D$121*0.6/('I_Inputs &amp; Assumptions'!$B$8/2)),IF('I_Budget Input Data'!$E$121="Mid-weighted",IF(8&lt;='I_Inputs &amp; Assumptions'!$B$8/4,'I_Budget Input Data'!$D$121*0.2/('I_Inputs &amp; Assumptions'!$B$8/4),IF(8&lt;='I_Inputs &amp; Assumptions'!$B$8*0.75,'I_Budget Input Data'!$D$121*0.6/('I_Inputs &amp; Assumptions'!$B$8/2),'I_Budget Input Data'!$D$121*0.2/('I_Inputs &amp; Assumptions'!$B$8/4))),IF('I_Budget Input Data'!$E$121="At Completion",IF(8='I_Inputs &amp; Assumptions'!$B$8,'I_Budget Input Data'!$D$121,0),'I_Budget Input Data'!$D$121/'I_Inputs &amp; Assumptions'!$B$8)))))),0)</f>
        <v>1980.7692307692307</v>
      </c>
      <c r="K121" s="91">
        <f>IF(9&lt;='I_Inputs &amp; Assumptions'!$B$8,IF('I_Budget Input Data'!$E$121="Upfront",IF(9=1,'I_Budget Input Data'!$D$121,0),IF('I_Budget Input Data'!$E$121="Equal",'I_Budget Input Data'!$D$121/'I_Inputs &amp; Assumptions'!$B$8,IF('I_Budget Input Data'!$E$121="Front-loaded",IF(9&lt;='I_Inputs &amp; Assumptions'!$B$8/2,'I_Budget Input Data'!$D$121*0.6/('I_Inputs &amp; Assumptions'!$B$8/2),'I_Budget Input Data'!$D$121*0.4/('I_Inputs &amp; Assumptions'!$B$8/2)),IF('I_Budget Input Data'!$E$121="Back-loaded",IF(9&lt;='I_Inputs &amp; Assumptions'!$B$8/2,'I_Budget Input Data'!$D$121*0.4/('I_Inputs &amp; Assumptions'!$B$8/2),'I_Budget Input Data'!$D$121*0.6/('I_Inputs &amp; Assumptions'!$B$8/2)),IF('I_Budget Input Data'!$E$121="Mid-weighted",IF(9&lt;='I_Inputs &amp; Assumptions'!$B$8/4,'I_Budget Input Data'!$D$121*0.2/('I_Inputs &amp; Assumptions'!$B$8/4),IF(9&lt;='I_Inputs &amp; Assumptions'!$B$8*0.75,'I_Budget Input Data'!$D$121*0.6/('I_Inputs &amp; Assumptions'!$B$8/2),'I_Budget Input Data'!$D$121*0.2/('I_Inputs &amp; Assumptions'!$B$8/4))),IF('I_Budget Input Data'!$E$121="At Completion",IF(9='I_Inputs &amp; Assumptions'!$B$8,'I_Budget Input Data'!$D$121,0),'I_Budget Input Data'!$D$121/'I_Inputs &amp; Assumptions'!$B$8)))))),0)</f>
        <v>1980.7692307692307</v>
      </c>
      <c r="L121" s="91">
        <f>IF(10&lt;='I_Inputs &amp; Assumptions'!$B$8,IF('I_Budget Input Data'!$E$121="Upfront",IF(10=1,'I_Budget Input Data'!$D$121,0),IF('I_Budget Input Data'!$E$121="Equal",'I_Budget Input Data'!$D$121/'I_Inputs &amp; Assumptions'!$B$8,IF('I_Budget Input Data'!$E$121="Front-loaded",IF(10&lt;='I_Inputs &amp; Assumptions'!$B$8/2,'I_Budget Input Data'!$D$121*0.6/('I_Inputs &amp; Assumptions'!$B$8/2),'I_Budget Input Data'!$D$121*0.4/('I_Inputs &amp; Assumptions'!$B$8/2)),IF('I_Budget Input Data'!$E$121="Back-loaded",IF(10&lt;='I_Inputs &amp; Assumptions'!$B$8/2,'I_Budget Input Data'!$D$121*0.4/('I_Inputs &amp; Assumptions'!$B$8/2),'I_Budget Input Data'!$D$121*0.6/('I_Inputs &amp; Assumptions'!$B$8/2)),IF('I_Budget Input Data'!$E$121="Mid-weighted",IF(10&lt;='I_Inputs &amp; Assumptions'!$B$8/4,'I_Budget Input Data'!$D$121*0.2/('I_Inputs &amp; Assumptions'!$B$8/4),IF(10&lt;='I_Inputs &amp; Assumptions'!$B$8*0.75,'I_Budget Input Data'!$D$121*0.6/('I_Inputs &amp; Assumptions'!$B$8/2),'I_Budget Input Data'!$D$121*0.2/('I_Inputs &amp; Assumptions'!$B$8/4))),IF('I_Budget Input Data'!$E$121="At Completion",IF(10='I_Inputs &amp; Assumptions'!$B$8,'I_Budget Input Data'!$D$121,0),'I_Budget Input Data'!$D$121/'I_Inputs &amp; Assumptions'!$B$8)))))),0)</f>
        <v>1980.7692307692307</v>
      </c>
      <c r="M121" s="91">
        <f>IF(11&lt;='I_Inputs &amp; Assumptions'!$B$8,IF('I_Budget Input Data'!$E$121="Upfront",IF(11=1,'I_Budget Input Data'!$D$121,0),IF('I_Budget Input Data'!$E$121="Equal",'I_Budget Input Data'!$D$121/'I_Inputs &amp; Assumptions'!$B$8,IF('I_Budget Input Data'!$E$121="Front-loaded",IF(11&lt;='I_Inputs &amp; Assumptions'!$B$8/2,'I_Budget Input Data'!$D$121*0.6/('I_Inputs &amp; Assumptions'!$B$8/2),'I_Budget Input Data'!$D$121*0.4/('I_Inputs &amp; Assumptions'!$B$8/2)),IF('I_Budget Input Data'!$E$121="Back-loaded",IF(11&lt;='I_Inputs &amp; Assumptions'!$B$8/2,'I_Budget Input Data'!$D$121*0.4/('I_Inputs &amp; Assumptions'!$B$8/2),'I_Budget Input Data'!$D$121*0.6/('I_Inputs &amp; Assumptions'!$B$8/2)),IF('I_Budget Input Data'!$E$121="Mid-weighted",IF(11&lt;='I_Inputs &amp; Assumptions'!$B$8/4,'I_Budget Input Data'!$D$121*0.2/('I_Inputs &amp; Assumptions'!$B$8/4),IF(11&lt;='I_Inputs &amp; Assumptions'!$B$8*0.75,'I_Budget Input Data'!$D$121*0.6/('I_Inputs &amp; Assumptions'!$B$8/2),'I_Budget Input Data'!$D$121*0.2/('I_Inputs &amp; Assumptions'!$B$8/4))),IF('I_Budget Input Data'!$E$121="At Completion",IF(11='I_Inputs &amp; Assumptions'!$B$8,'I_Budget Input Data'!$D$121,0),'I_Budget Input Data'!$D$121/'I_Inputs &amp; Assumptions'!$B$8)))))),0)</f>
        <v>1980.7692307692307</v>
      </c>
      <c r="N121" s="91">
        <f>IF(12&lt;='I_Inputs &amp; Assumptions'!$B$8,IF('I_Budget Input Data'!$E$121="Upfront",IF(12=1,'I_Budget Input Data'!$D$121,0),IF('I_Budget Input Data'!$E$121="Equal",'I_Budget Input Data'!$D$121/'I_Inputs &amp; Assumptions'!$B$8,IF('I_Budget Input Data'!$E$121="Front-loaded",IF(12&lt;='I_Inputs &amp; Assumptions'!$B$8/2,'I_Budget Input Data'!$D$121*0.6/('I_Inputs &amp; Assumptions'!$B$8/2),'I_Budget Input Data'!$D$121*0.4/('I_Inputs &amp; Assumptions'!$B$8/2)),IF('I_Budget Input Data'!$E$121="Back-loaded",IF(12&lt;='I_Inputs &amp; Assumptions'!$B$8/2,'I_Budget Input Data'!$D$121*0.4/('I_Inputs &amp; Assumptions'!$B$8/2),'I_Budget Input Data'!$D$121*0.6/('I_Inputs &amp; Assumptions'!$B$8/2)),IF('I_Budget Input Data'!$E$121="Mid-weighted",IF(12&lt;='I_Inputs &amp; Assumptions'!$B$8/4,'I_Budget Input Data'!$D$121*0.2/('I_Inputs &amp; Assumptions'!$B$8/4),IF(12&lt;='I_Inputs &amp; Assumptions'!$B$8*0.75,'I_Budget Input Data'!$D$121*0.6/('I_Inputs &amp; Assumptions'!$B$8/2),'I_Budget Input Data'!$D$121*0.2/('I_Inputs &amp; Assumptions'!$B$8/4))),IF('I_Budget Input Data'!$E$121="At Completion",IF(12='I_Inputs &amp; Assumptions'!$B$8,'I_Budget Input Data'!$D$121,0),'I_Budget Input Data'!$D$121/'I_Inputs &amp; Assumptions'!$B$8)))))),0)</f>
        <v>1980.7692307692307</v>
      </c>
      <c r="O121" s="91">
        <f>IF(13&lt;='I_Inputs &amp; Assumptions'!$B$8,IF('I_Budget Input Data'!$E$121="Upfront",IF(13=1,'I_Budget Input Data'!$D$121,0),IF('I_Budget Input Data'!$E$121="Equal",'I_Budget Input Data'!$D$121/'I_Inputs &amp; Assumptions'!$B$8,IF('I_Budget Input Data'!$E$121="Front-loaded",IF(13&lt;='I_Inputs &amp; Assumptions'!$B$8/2,'I_Budget Input Data'!$D$121*0.6/('I_Inputs &amp; Assumptions'!$B$8/2),'I_Budget Input Data'!$D$121*0.4/('I_Inputs &amp; Assumptions'!$B$8/2)),IF('I_Budget Input Data'!$E$121="Back-loaded",IF(13&lt;='I_Inputs &amp; Assumptions'!$B$8/2,'I_Budget Input Data'!$D$121*0.4/('I_Inputs &amp; Assumptions'!$B$8/2),'I_Budget Input Data'!$D$121*0.6/('I_Inputs &amp; Assumptions'!$B$8/2)),IF('I_Budget Input Data'!$E$121="Mid-weighted",IF(13&lt;='I_Inputs &amp; Assumptions'!$B$8/4,'I_Budget Input Data'!$D$121*0.2/('I_Inputs &amp; Assumptions'!$B$8/4),IF(13&lt;='I_Inputs &amp; Assumptions'!$B$8*0.75,'I_Budget Input Data'!$D$121*0.6/('I_Inputs &amp; Assumptions'!$B$8/2),'I_Budget Input Data'!$D$121*0.2/('I_Inputs &amp; Assumptions'!$B$8/4))),IF('I_Budget Input Data'!$E$121="At Completion",IF(13='I_Inputs &amp; Assumptions'!$B$8,'I_Budget Input Data'!$D$121,0),'I_Budget Input Data'!$D$121/'I_Inputs &amp; Assumptions'!$B$8)))))),0)</f>
        <v>1980.7692307692307</v>
      </c>
      <c r="P121" s="91">
        <f>IF(14&lt;='I_Inputs &amp; Assumptions'!$B$8,IF('I_Budget Input Data'!$E$121="Upfront",IF(14=1,'I_Budget Input Data'!$D$121,0),IF('I_Budget Input Data'!$E$121="Equal",'I_Budget Input Data'!$D$121/'I_Inputs &amp; Assumptions'!$B$8,IF('I_Budget Input Data'!$E$121="Front-loaded",IF(14&lt;='I_Inputs &amp; Assumptions'!$B$8/2,'I_Budget Input Data'!$D$121*0.6/('I_Inputs &amp; Assumptions'!$B$8/2),'I_Budget Input Data'!$D$121*0.4/('I_Inputs &amp; Assumptions'!$B$8/2)),IF('I_Budget Input Data'!$E$121="Back-loaded",IF(14&lt;='I_Inputs &amp; Assumptions'!$B$8/2,'I_Budget Input Data'!$D$121*0.4/('I_Inputs &amp; Assumptions'!$B$8/2),'I_Budget Input Data'!$D$121*0.6/('I_Inputs &amp; Assumptions'!$B$8/2)),IF('I_Budget Input Data'!$E$121="Mid-weighted",IF(14&lt;='I_Inputs &amp; Assumptions'!$B$8/4,'I_Budget Input Data'!$D$121*0.2/('I_Inputs &amp; Assumptions'!$B$8/4),IF(14&lt;='I_Inputs &amp; Assumptions'!$B$8*0.75,'I_Budget Input Data'!$D$121*0.6/('I_Inputs &amp; Assumptions'!$B$8/2),'I_Budget Input Data'!$D$121*0.2/('I_Inputs &amp; Assumptions'!$B$8/4))),IF('I_Budget Input Data'!$E$121="At Completion",IF(14='I_Inputs &amp; Assumptions'!$B$8,'I_Budget Input Data'!$D$121,0),'I_Budget Input Data'!$D$121/'I_Inputs &amp; Assumptions'!$B$8)))))),0)</f>
        <v>0</v>
      </c>
      <c r="Q121" s="91">
        <f>IF(15&lt;='I_Inputs &amp; Assumptions'!$B$8,IF('I_Budget Input Data'!$E$121="Upfront",IF(15=1,'I_Budget Input Data'!$D$121,0),IF('I_Budget Input Data'!$E$121="Equal",'I_Budget Input Data'!$D$121/'I_Inputs &amp; Assumptions'!$B$8,IF('I_Budget Input Data'!$E$121="Front-loaded",IF(15&lt;='I_Inputs &amp; Assumptions'!$B$8/2,'I_Budget Input Data'!$D$121*0.6/('I_Inputs &amp; Assumptions'!$B$8/2),'I_Budget Input Data'!$D$121*0.4/('I_Inputs &amp; Assumptions'!$B$8/2)),IF('I_Budget Input Data'!$E$121="Back-loaded",IF(15&lt;='I_Inputs &amp; Assumptions'!$B$8/2,'I_Budget Input Data'!$D$121*0.4/('I_Inputs &amp; Assumptions'!$B$8/2),'I_Budget Input Data'!$D$121*0.6/('I_Inputs &amp; Assumptions'!$B$8/2)),IF('I_Budget Input Data'!$E$121="Mid-weighted",IF(15&lt;='I_Inputs &amp; Assumptions'!$B$8/4,'I_Budget Input Data'!$D$121*0.2/('I_Inputs &amp; Assumptions'!$B$8/4),IF(15&lt;='I_Inputs &amp; Assumptions'!$B$8*0.75,'I_Budget Input Data'!$D$121*0.6/('I_Inputs &amp; Assumptions'!$B$8/2),'I_Budget Input Data'!$D$121*0.2/('I_Inputs &amp; Assumptions'!$B$8/4))),IF('I_Budget Input Data'!$E$121="At Completion",IF(15='I_Inputs &amp; Assumptions'!$B$8,'I_Budget Input Data'!$D$121,0),'I_Budget Input Data'!$D$121/'I_Inputs &amp; Assumptions'!$B$8)))))),0)</f>
        <v>0</v>
      </c>
      <c r="R121" s="91">
        <f>IF(16&lt;='I_Inputs &amp; Assumptions'!$B$8,IF('I_Budget Input Data'!$E$121="Upfront",IF(16=1,'I_Budget Input Data'!$D$121,0),IF('I_Budget Input Data'!$E$121="Equal",'I_Budget Input Data'!$D$121/'I_Inputs &amp; Assumptions'!$B$8,IF('I_Budget Input Data'!$E$121="Front-loaded",IF(16&lt;='I_Inputs &amp; Assumptions'!$B$8/2,'I_Budget Input Data'!$D$121*0.6/('I_Inputs &amp; Assumptions'!$B$8/2),'I_Budget Input Data'!$D$121*0.4/('I_Inputs &amp; Assumptions'!$B$8/2)),IF('I_Budget Input Data'!$E$121="Back-loaded",IF(16&lt;='I_Inputs &amp; Assumptions'!$B$8/2,'I_Budget Input Data'!$D$121*0.4/('I_Inputs &amp; Assumptions'!$B$8/2),'I_Budget Input Data'!$D$121*0.6/('I_Inputs &amp; Assumptions'!$B$8/2)),IF('I_Budget Input Data'!$E$121="Mid-weighted",IF(16&lt;='I_Inputs &amp; Assumptions'!$B$8/4,'I_Budget Input Data'!$D$121*0.2/('I_Inputs &amp; Assumptions'!$B$8/4),IF(16&lt;='I_Inputs &amp; Assumptions'!$B$8*0.75,'I_Budget Input Data'!$D$121*0.6/('I_Inputs &amp; Assumptions'!$B$8/2),'I_Budget Input Data'!$D$121*0.2/('I_Inputs &amp; Assumptions'!$B$8/4))),IF('I_Budget Input Data'!$E$121="At Completion",IF(16='I_Inputs &amp; Assumptions'!$B$8,'I_Budget Input Data'!$D$121,0),'I_Budget Input Data'!$D$121/'I_Inputs &amp; Assumptions'!$B$8)))))),0)</f>
        <v>0</v>
      </c>
      <c r="S121" s="91">
        <f>IF(17&lt;='I_Inputs &amp; Assumptions'!$B$8,IF('I_Budget Input Data'!$E$121="Upfront",IF(17=1,'I_Budget Input Data'!$D$121,0),IF('I_Budget Input Data'!$E$121="Equal",'I_Budget Input Data'!$D$121/'I_Inputs &amp; Assumptions'!$B$8,IF('I_Budget Input Data'!$E$121="Front-loaded",IF(17&lt;='I_Inputs &amp; Assumptions'!$B$8/2,'I_Budget Input Data'!$D$121*0.6/('I_Inputs &amp; Assumptions'!$B$8/2),'I_Budget Input Data'!$D$121*0.4/('I_Inputs &amp; Assumptions'!$B$8/2)),IF('I_Budget Input Data'!$E$121="Back-loaded",IF(17&lt;='I_Inputs &amp; Assumptions'!$B$8/2,'I_Budget Input Data'!$D$121*0.4/('I_Inputs &amp; Assumptions'!$B$8/2),'I_Budget Input Data'!$D$121*0.6/('I_Inputs &amp; Assumptions'!$B$8/2)),IF('I_Budget Input Data'!$E$121="Mid-weighted",IF(17&lt;='I_Inputs &amp; Assumptions'!$B$8/4,'I_Budget Input Data'!$D$121*0.2/('I_Inputs &amp; Assumptions'!$B$8/4),IF(17&lt;='I_Inputs &amp; Assumptions'!$B$8*0.75,'I_Budget Input Data'!$D$121*0.6/('I_Inputs &amp; Assumptions'!$B$8/2),'I_Budget Input Data'!$D$121*0.2/('I_Inputs &amp; Assumptions'!$B$8/4))),IF('I_Budget Input Data'!$E$121="At Completion",IF(17='I_Inputs &amp; Assumptions'!$B$8,'I_Budget Input Data'!$D$121,0),'I_Budget Input Data'!$D$121/'I_Inputs &amp; Assumptions'!$B$8)))))),0)</f>
        <v>0</v>
      </c>
      <c r="T121" s="91">
        <f>IF(18&lt;='I_Inputs &amp; Assumptions'!$B$8,IF('I_Budget Input Data'!$E$121="Upfront",IF(18=1,'I_Budget Input Data'!$D$121,0),IF('I_Budget Input Data'!$E$121="Equal",'I_Budget Input Data'!$D$121/'I_Inputs &amp; Assumptions'!$B$8,IF('I_Budget Input Data'!$E$121="Front-loaded",IF(18&lt;='I_Inputs &amp; Assumptions'!$B$8/2,'I_Budget Input Data'!$D$121*0.6/('I_Inputs &amp; Assumptions'!$B$8/2),'I_Budget Input Data'!$D$121*0.4/('I_Inputs &amp; Assumptions'!$B$8/2)),IF('I_Budget Input Data'!$E$121="Back-loaded",IF(18&lt;='I_Inputs &amp; Assumptions'!$B$8/2,'I_Budget Input Data'!$D$121*0.4/('I_Inputs &amp; Assumptions'!$B$8/2),'I_Budget Input Data'!$D$121*0.6/('I_Inputs &amp; Assumptions'!$B$8/2)),IF('I_Budget Input Data'!$E$121="Mid-weighted",IF(18&lt;='I_Inputs &amp; Assumptions'!$B$8/4,'I_Budget Input Data'!$D$121*0.2/('I_Inputs &amp; Assumptions'!$B$8/4),IF(18&lt;='I_Inputs &amp; Assumptions'!$B$8*0.75,'I_Budget Input Data'!$D$121*0.6/('I_Inputs &amp; Assumptions'!$B$8/2),'I_Budget Input Data'!$D$121*0.2/('I_Inputs &amp; Assumptions'!$B$8/4))),IF('I_Budget Input Data'!$E$121="At Completion",IF(18='I_Inputs &amp; Assumptions'!$B$8,'I_Budget Input Data'!$D$121,0),'I_Budget Input Data'!$D$121/'I_Inputs &amp; Assumptions'!$B$8)))))),0)</f>
        <v>0</v>
      </c>
      <c r="U121" s="91">
        <f>IF(19&lt;='I_Inputs &amp; Assumptions'!$B$8,IF('I_Budget Input Data'!$E$121="Upfront",IF(19=1,'I_Budget Input Data'!$D$121,0),IF('I_Budget Input Data'!$E$121="Equal",'I_Budget Input Data'!$D$121/'I_Inputs &amp; Assumptions'!$B$8,IF('I_Budget Input Data'!$E$121="Front-loaded",IF(19&lt;='I_Inputs &amp; Assumptions'!$B$8/2,'I_Budget Input Data'!$D$121*0.6/('I_Inputs &amp; Assumptions'!$B$8/2),'I_Budget Input Data'!$D$121*0.4/('I_Inputs &amp; Assumptions'!$B$8/2)),IF('I_Budget Input Data'!$E$121="Back-loaded",IF(19&lt;='I_Inputs &amp; Assumptions'!$B$8/2,'I_Budget Input Data'!$D$121*0.4/('I_Inputs &amp; Assumptions'!$B$8/2),'I_Budget Input Data'!$D$121*0.6/('I_Inputs &amp; Assumptions'!$B$8/2)),IF('I_Budget Input Data'!$E$121="Mid-weighted",IF(19&lt;='I_Inputs &amp; Assumptions'!$B$8/4,'I_Budget Input Data'!$D$121*0.2/('I_Inputs &amp; Assumptions'!$B$8/4),IF(19&lt;='I_Inputs &amp; Assumptions'!$B$8*0.75,'I_Budget Input Data'!$D$121*0.6/('I_Inputs &amp; Assumptions'!$B$8/2),'I_Budget Input Data'!$D$121*0.2/('I_Inputs &amp; Assumptions'!$B$8/4))),IF('I_Budget Input Data'!$E$121="At Completion",IF(19='I_Inputs &amp; Assumptions'!$B$8,'I_Budget Input Data'!$D$121,0),'I_Budget Input Data'!$D$121/'I_Inputs &amp; Assumptions'!$B$8)))))),0)</f>
        <v>0</v>
      </c>
      <c r="V121" s="91">
        <f>IF(20&lt;='I_Inputs &amp; Assumptions'!$B$8,IF('I_Budget Input Data'!$E$121="Upfront",IF(20=1,'I_Budget Input Data'!$D$121,0),IF('I_Budget Input Data'!$E$121="Equal",'I_Budget Input Data'!$D$121/'I_Inputs &amp; Assumptions'!$B$8,IF('I_Budget Input Data'!$E$121="Front-loaded",IF(20&lt;='I_Inputs &amp; Assumptions'!$B$8/2,'I_Budget Input Data'!$D$121*0.6/('I_Inputs &amp; Assumptions'!$B$8/2),'I_Budget Input Data'!$D$121*0.4/('I_Inputs &amp; Assumptions'!$B$8/2)),IF('I_Budget Input Data'!$E$121="Back-loaded",IF(20&lt;='I_Inputs &amp; Assumptions'!$B$8/2,'I_Budget Input Data'!$D$121*0.4/('I_Inputs &amp; Assumptions'!$B$8/2),'I_Budget Input Data'!$D$121*0.6/('I_Inputs &amp; Assumptions'!$B$8/2)),IF('I_Budget Input Data'!$E$121="Mid-weighted",IF(20&lt;='I_Inputs &amp; Assumptions'!$B$8/4,'I_Budget Input Data'!$D$121*0.2/('I_Inputs &amp; Assumptions'!$B$8/4),IF(20&lt;='I_Inputs &amp; Assumptions'!$B$8*0.75,'I_Budget Input Data'!$D$121*0.6/('I_Inputs &amp; Assumptions'!$B$8/2),'I_Budget Input Data'!$D$121*0.2/('I_Inputs &amp; Assumptions'!$B$8/4))),IF('I_Budget Input Data'!$E$121="At Completion",IF(20='I_Inputs &amp; Assumptions'!$B$8,'I_Budget Input Data'!$D$121,0),'I_Budget Input Data'!$D$121/'I_Inputs &amp; Assumptions'!$B$8)))))),0)</f>
        <v>0</v>
      </c>
      <c r="W121" s="91">
        <f>IF(21&lt;='I_Inputs &amp; Assumptions'!$B$8,IF('I_Budget Input Data'!$E$121="Upfront",IF(21=1,'I_Budget Input Data'!$D$121,0),IF('I_Budget Input Data'!$E$121="Equal",'I_Budget Input Data'!$D$121/'I_Inputs &amp; Assumptions'!$B$8,IF('I_Budget Input Data'!$E$121="Front-loaded",IF(21&lt;='I_Inputs &amp; Assumptions'!$B$8/2,'I_Budget Input Data'!$D$121*0.6/('I_Inputs &amp; Assumptions'!$B$8/2),'I_Budget Input Data'!$D$121*0.4/('I_Inputs &amp; Assumptions'!$B$8/2)),IF('I_Budget Input Data'!$E$121="Back-loaded",IF(21&lt;='I_Inputs &amp; Assumptions'!$B$8/2,'I_Budget Input Data'!$D$121*0.4/('I_Inputs &amp; Assumptions'!$B$8/2),'I_Budget Input Data'!$D$121*0.6/('I_Inputs &amp; Assumptions'!$B$8/2)),IF('I_Budget Input Data'!$E$121="Mid-weighted",IF(21&lt;='I_Inputs &amp; Assumptions'!$B$8/4,'I_Budget Input Data'!$D$121*0.2/('I_Inputs &amp; Assumptions'!$B$8/4),IF(21&lt;='I_Inputs &amp; Assumptions'!$B$8*0.75,'I_Budget Input Data'!$D$121*0.6/('I_Inputs &amp; Assumptions'!$B$8/2),'I_Budget Input Data'!$D$121*0.2/('I_Inputs &amp; Assumptions'!$B$8/4))),IF('I_Budget Input Data'!$E$121="At Completion",IF(21='I_Inputs &amp; Assumptions'!$B$8,'I_Budget Input Data'!$D$121,0),'I_Budget Input Data'!$D$121/'I_Inputs &amp; Assumptions'!$B$8)))))),0)</f>
        <v>0</v>
      </c>
      <c r="X121" s="91">
        <f>IF(22&lt;='I_Inputs &amp; Assumptions'!$B$8,IF('I_Budget Input Data'!$E$121="Upfront",IF(22=1,'I_Budget Input Data'!$D$121,0),IF('I_Budget Input Data'!$E$121="Equal",'I_Budget Input Data'!$D$121/'I_Inputs &amp; Assumptions'!$B$8,IF('I_Budget Input Data'!$E$121="Front-loaded",IF(22&lt;='I_Inputs &amp; Assumptions'!$B$8/2,'I_Budget Input Data'!$D$121*0.6/('I_Inputs &amp; Assumptions'!$B$8/2),'I_Budget Input Data'!$D$121*0.4/('I_Inputs &amp; Assumptions'!$B$8/2)),IF('I_Budget Input Data'!$E$121="Back-loaded",IF(22&lt;='I_Inputs &amp; Assumptions'!$B$8/2,'I_Budget Input Data'!$D$121*0.4/('I_Inputs &amp; Assumptions'!$B$8/2),'I_Budget Input Data'!$D$121*0.6/('I_Inputs &amp; Assumptions'!$B$8/2)),IF('I_Budget Input Data'!$E$121="Mid-weighted",IF(22&lt;='I_Inputs &amp; Assumptions'!$B$8/4,'I_Budget Input Data'!$D$121*0.2/('I_Inputs &amp; Assumptions'!$B$8/4),IF(22&lt;='I_Inputs &amp; Assumptions'!$B$8*0.75,'I_Budget Input Data'!$D$121*0.6/('I_Inputs &amp; Assumptions'!$B$8/2),'I_Budget Input Data'!$D$121*0.2/('I_Inputs &amp; Assumptions'!$B$8/4))),IF('I_Budget Input Data'!$E$121="At Completion",IF(22='I_Inputs &amp; Assumptions'!$B$8,'I_Budget Input Data'!$D$121,0),'I_Budget Input Data'!$D$121/'I_Inputs &amp; Assumptions'!$B$8)))))),0)</f>
        <v>0</v>
      </c>
      <c r="Y121" s="91">
        <f>IF(23&lt;='I_Inputs &amp; Assumptions'!$B$8,IF('I_Budget Input Data'!$E$121="Upfront",IF(23=1,'I_Budget Input Data'!$D$121,0),IF('I_Budget Input Data'!$E$121="Equal",'I_Budget Input Data'!$D$121/'I_Inputs &amp; Assumptions'!$B$8,IF('I_Budget Input Data'!$E$121="Front-loaded",IF(23&lt;='I_Inputs &amp; Assumptions'!$B$8/2,'I_Budget Input Data'!$D$121*0.6/('I_Inputs &amp; Assumptions'!$B$8/2),'I_Budget Input Data'!$D$121*0.4/('I_Inputs &amp; Assumptions'!$B$8/2)),IF('I_Budget Input Data'!$E$121="Back-loaded",IF(23&lt;='I_Inputs &amp; Assumptions'!$B$8/2,'I_Budget Input Data'!$D$121*0.4/('I_Inputs &amp; Assumptions'!$B$8/2),'I_Budget Input Data'!$D$121*0.6/('I_Inputs &amp; Assumptions'!$B$8/2)),IF('I_Budget Input Data'!$E$121="Mid-weighted",IF(23&lt;='I_Inputs &amp; Assumptions'!$B$8/4,'I_Budget Input Data'!$D$121*0.2/('I_Inputs &amp; Assumptions'!$B$8/4),IF(23&lt;='I_Inputs &amp; Assumptions'!$B$8*0.75,'I_Budget Input Data'!$D$121*0.6/('I_Inputs &amp; Assumptions'!$B$8/2),'I_Budget Input Data'!$D$121*0.2/('I_Inputs &amp; Assumptions'!$B$8/4))),IF('I_Budget Input Data'!$E$121="At Completion",IF(23='I_Inputs &amp; Assumptions'!$B$8,'I_Budget Input Data'!$D$121,0),'I_Budget Input Data'!$D$121/'I_Inputs &amp; Assumptions'!$B$8)))))),0)</f>
        <v>0</v>
      </c>
      <c r="Z121" s="91">
        <f>IF(24&lt;='I_Inputs &amp; Assumptions'!$B$8,IF('I_Budget Input Data'!$E$121="Upfront",IF(24=1,'I_Budget Input Data'!$D$121,0),IF('I_Budget Input Data'!$E$121="Equal",'I_Budget Input Data'!$D$121/'I_Inputs &amp; Assumptions'!$B$8,IF('I_Budget Input Data'!$E$121="Front-loaded",IF(24&lt;='I_Inputs &amp; Assumptions'!$B$8/2,'I_Budget Input Data'!$D$121*0.6/('I_Inputs &amp; Assumptions'!$B$8/2),'I_Budget Input Data'!$D$121*0.4/('I_Inputs &amp; Assumptions'!$B$8/2)),IF('I_Budget Input Data'!$E$121="Back-loaded",IF(24&lt;='I_Inputs &amp; Assumptions'!$B$8/2,'I_Budget Input Data'!$D$121*0.4/('I_Inputs &amp; Assumptions'!$B$8/2),'I_Budget Input Data'!$D$121*0.6/('I_Inputs &amp; Assumptions'!$B$8/2)),IF('I_Budget Input Data'!$E$121="Mid-weighted",IF(24&lt;='I_Inputs &amp; Assumptions'!$B$8/4,'I_Budget Input Data'!$D$121*0.2/('I_Inputs &amp; Assumptions'!$B$8/4),IF(24&lt;='I_Inputs &amp; Assumptions'!$B$8*0.75,'I_Budget Input Data'!$D$121*0.6/('I_Inputs &amp; Assumptions'!$B$8/2),'I_Budget Input Data'!$D$121*0.2/('I_Inputs &amp; Assumptions'!$B$8/4))),IF('I_Budget Input Data'!$E$121="At Completion",IF(24='I_Inputs &amp; Assumptions'!$B$8,'I_Budget Input Data'!$D$121,0),'I_Budget Input Data'!$D$121/'I_Inputs &amp; Assumptions'!$B$8)))))),0)</f>
        <v>0</v>
      </c>
      <c r="AA121" s="91">
        <f>IF(25&lt;='I_Inputs &amp; Assumptions'!$B$8,IF('I_Budget Input Data'!$E$121="Upfront",IF(25=1,'I_Budget Input Data'!$D$121,0),IF('I_Budget Input Data'!$E$121="Equal",'I_Budget Input Data'!$D$121/'I_Inputs &amp; Assumptions'!$B$8,IF('I_Budget Input Data'!$E$121="Front-loaded",IF(25&lt;='I_Inputs &amp; Assumptions'!$B$8/2,'I_Budget Input Data'!$D$121*0.6/('I_Inputs &amp; Assumptions'!$B$8/2),'I_Budget Input Data'!$D$121*0.4/('I_Inputs &amp; Assumptions'!$B$8/2)),IF('I_Budget Input Data'!$E$121="Back-loaded",IF(25&lt;='I_Inputs &amp; Assumptions'!$B$8/2,'I_Budget Input Data'!$D$121*0.4/('I_Inputs &amp; Assumptions'!$B$8/2),'I_Budget Input Data'!$D$121*0.6/('I_Inputs &amp; Assumptions'!$B$8/2)),IF('I_Budget Input Data'!$E$121="Mid-weighted",IF(25&lt;='I_Inputs &amp; Assumptions'!$B$8/4,'I_Budget Input Data'!$D$121*0.2/('I_Inputs &amp; Assumptions'!$B$8/4),IF(25&lt;='I_Inputs &amp; Assumptions'!$B$8*0.75,'I_Budget Input Data'!$D$121*0.6/('I_Inputs &amp; Assumptions'!$B$8/2),'I_Budget Input Data'!$D$121*0.2/('I_Inputs &amp; Assumptions'!$B$8/4))),IF('I_Budget Input Data'!$E$121="At Completion",IF(25='I_Inputs &amp; Assumptions'!$B$8,'I_Budget Input Data'!$D$121,0),'I_Budget Input Data'!$D$121/'I_Inputs &amp; Assumptions'!$B$8)))))),0)</f>
        <v>0</v>
      </c>
      <c r="AB121" s="91">
        <f>IF(26&lt;='I_Inputs &amp; Assumptions'!$B$8,IF('I_Budget Input Data'!$E$121="Upfront",IF(26=1,'I_Budget Input Data'!$D$121,0),IF('I_Budget Input Data'!$E$121="Equal",'I_Budget Input Data'!$D$121/'I_Inputs &amp; Assumptions'!$B$8,IF('I_Budget Input Data'!$E$121="Front-loaded",IF(26&lt;='I_Inputs &amp; Assumptions'!$B$8/2,'I_Budget Input Data'!$D$121*0.6/('I_Inputs &amp; Assumptions'!$B$8/2),'I_Budget Input Data'!$D$121*0.4/('I_Inputs &amp; Assumptions'!$B$8/2)),IF('I_Budget Input Data'!$E$121="Back-loaded",IF(26&lt;='I_Inputs &amp; Assumptions'!$B$8/2,'I_Budget Input Data'!$D$121*0.4/('I_Inputs &amp; Assumptions'!$B$8/2),'I_Budget Input Data'!$D$121*0.6/('I_Inputs &amp; Assumptions'!$B$8/2)),IF('I_Budget Input Data'!$E$121="Mid-weighted",IF(26&lt;='I_Inputs &amp; Assumptions'!$B$8/4,'I_Budget Input Data'!$D$121*0.2/('I_Inputs &amp; Assumptions'!$B$8/4),IF(26&lt;='I_Inputs &amp; Assumptions'!$B$8*0.75,'I_Budget Input Data'!$D$121*0.6/('I_Inputs &amp; Assumptions'!$B$8/2),'I_Budget Input Data'!$D$121*0.2/('I_Inputs &amp; Assumptions'!$B$8/4))),IF('I_Budget Input Data'!$E$121="At Completion",IF(26='I_Inputs &amp; Assumptions'!$B$8,'I_Budget Input Data'!$D$121,0),'I_Budget Input Data'!$D$121/'I_Inputs &amp; Assumptions'!$B$8)))))),0)</f>
        <v>0</v>
      </c>
      <c r="AC121" s="91">
        <f>IF(27&lt;='I_Inputs &amp; Assumptions'!$B$8,IF('I_Budget Input Data'!$E$121="Upfront",IF(27=1,'I_Budget Input Data'!$D$121,0),IF('I_Budget Input Data'!$E$121="Equal",'I_Budget Input Data'!$D$121/'I_Inputs &amp; Assumptions'!$B$8,IF('I_Budget Input Data'!$E$121="Front-loaded",IF(27&lt;='I_Inputs &amp; Assumptions'!$B$8/2,'I_Budget Input Data'!$D$121*0.6/('I_Inputs &amp; Assumptions'!$B$8/2),'I_Budget Input Data'!$D$121*0.4/('I_Inputs &amp; Assumptions'!$B$8/2)),IF('I_Budget Input Data'!$E$121="Back-loaded",IF(27&lt;='I_Inputs &amp; Assumptions'!$B$8/2,'I_Budget Input Data'!$D$121*0.4/('I_Inputs &amp; Assumptions'!$B$8/2),'I_Budget Input Data'!$D$121*0.6/('I_Inputs &amp; Assumptions'!$B$8/2)),IF('I_Budget Input Data'!$E$121="Mid-weighted",IF(27&lt;='I_Inputs &amp; Assumptions'!$B$8/4,'I_Budget Input Data'!$D$121*0.2/('I_Inputs &amp; Assumptions'!$B$8/4),IF(27&lt;='I_Inputs &amp; Assumptions'!$B$8*0.75,'I_Budget Input Data'!$D$121*0.6/('I_Inputs &amp; Assumptions'!$B$8/2),'I_Budget Input Data'!$D$121*0.2/('I_Inputs &amp; Assumptions'!$B$8/4))),IF('I_Budget Input Data'!$E$121="At Completion",IF(27='I_Inputs &amp; Assumptions'!$B$8,'I_Budget Input Data'!$D$121,0),'I_Budget Input Data'!$D$121/'I_Inputs &amp; Assumptions'!$B$8)))))),0)</f>
        <v>0</v>
      </c>
      <c r="AD121" s="91">
        <f>IF(28&lt;='I_Inputs &amp; Assumptions'!$B$8,IF('I_Budget Input Data'!$E$121="Upfront",IF(28=1,'I_Budget Input Data'!$D$121,0),IF('I_Budget Input Data'!$E$121="Equal",'I_Budget Input Data'!$D$121/'I_Inputs &amp; Assumptions'!$B$8,IF('I_Budget Input Data'!$E$121="Front-loaded",IF(28&lt;='I_Inputs &amp; Assumptions'!$B$8/2,'I_Budget Input Data'!$D$121*0.6/('I_Inputs &amp; Assumptions'!$B$8/2),'I_Budget Input Data'!$D$121*0.4/('I_Inputs &amp; Assumptions'!$B$8/2)),IF('I_Budget Input Data'!$E$121="Back-loaded",IF(28&lt;='I_Inputs &amp; Assumptions'!$B$8/2,'I_Budget Input Data'!$D$121*0.4/('I_Inputs &amp; Assumptions'!$B$8/2),'I_Budget Input Data'!$D$121*0.6/('I_Inputs &amp; Assumptions'!$B$8/2)),IF('I_Budget Input Data'!$E$121="Mid-weighted",IF(28&lt;='I_Inputs &amp; Assumptions'!$B$8/4,'I_Budget Input Data'!$D$121*0.2/('I_Inputs &amp; Assumptions'!$B$8/4),IF(28&lt;='I_Inputs &amp; Assumptions'!$B$8*0.75,'I_Budget Input Data'!$D$121*0.6/('I_Inputs &amp; Assumptions'!$B$8/2),'I_Budget Input Data'!$D$121*0.2/('I_Inputs &amp; Assumptions'!$B$8/4))),IF('I_Budget Input Data'!$E$121="At Completion",IF(28='I_Inputs &amp; Assumptions'!$B$8,'I_Budget Input Data'!$D$121,0),'I_Budget Input Data'!$D$121/'I_Inputs &amp; Assumptions'!$B$8)))))),0)</f>
        <v>0</v>
      </c>
      <c r="AE121" s="91">
        <f>IF(29&lt;='I_Inputs &amp; Assumptions'!$B$8,IF('I_Budget Input Data'!$E$121="Upfront",IF(29=1,'I_Budget Input Data'!$D$121,0),IF('I_Budget Input Data'!$E$121="Equal",'I_Budget Input Data'!$D$121/'I_Inputs &amp; Assumptions'!$B$8,IF('I_Budget Input Data'!$E$121="Front-loaded",IF(29&lt;='I_Inputs &amp; Assumptions'!$B$8/2,'I_Budget Input Data'!$D$121*0.6/('I_Inputs &amp; Assumptions'!$B$8/2),'I_Budget Input Data'!$D$121*0.4/('I_Inputs &amp; Assumptions'!$B$8/2)),IF('I_Budget Input Data'!$E$121="Back-loaded",IF(29&lt;='I_Inputs &amp; Assumptions'!$B$8/2,'I_Budget Input Data'!$D$121*0.4/('I_Inputs &amp; Assumptions'!$B$8/2),'I_Budget Input Data'!$D$121*0.6/('I_Inputs &amp; Assumptions'!$B$8/2)),IF('I_Budget Input Data'!$E$121="Mid-weighted",IF(29&lt;='I_Inputs &amp; Assumptions'!$B$8/4,'I_Budget Input Data'!$D$121*0.2/('I_Inputs &amp; Assumptions'!$B$8/4),IF(29&lt;='I_Inputs &amp; Assumptions'!$B$8*0.75,'I_Budget Input Data'!$D$121*0.6/('I_Inputs &amp; Assumptions'!$B$8/2),'I_Budget Input Data'!$D$121*0.2/('I_Inputs &amp; Assumptions'!$B$8/4))),IF('I_Budget Input Data'!$E$121="At Completion",IF(29='I_Inputs &amp; Assumptions'!$B$8,'I_Budget Input Data'!$D$121,0),'I_Budget Input Data'!$D$121/'I_Inputs &amp; Assumptions'!$B$8)))))),0)</f>
        <v>0</v>
      </c>
      <c r="AF121" s="91">
        <f>IF(30&lt;='I_Inputs &amp; Assumptions'!$B$8,IF('I_Budget Input Data'!$E$121="Upfront",IF(30=1,'I_Budget Input Data'!$D$121,0),IF('I_Budget Input Data'!$E$121="Equal",'I_Budget Input Data'!$D$121/'I_Inputs &amp; Assumptions'!$B$8,IF('I_Budget Input Data'!$E$121="Front-loaded",IF(30&lt;='I_Inputs &amp; Assumptions'!$B$8/2,'I_Budget Input Data'!$D$121*0.6/('I_Inputs &amp; Assumptions'!$B$8/2),'I_Budget Input Data'!$D$121*0.4/('I_Inputs &amp; Assumptions'!$B$8/2)),IF('I_Budget Input Data'!$E$121="Back-loaded",IF(30&lt;='I_Inputs &amp; Assumptions'!$B$8/2,'I_Budget Input Data'!$D$121*0.4/('I_Inputs &amp; Assumptions'!$B$8/2),'I_Budget Input Data'!$D$121*0.6/('I_Inputs &amp; Assumptions'!$B$8/2)),IF('I_Budget Input Data'!$E$121="Mid-weighted",IF(30&lt;='I_Inputs &amp; Assumptions'!$B$8/4,'I_Budget Input Data'!$D$121*0.2/('I_Inputs &amp; Assumptions'!$B$8/4),IF(30&lt;='I_Inputs &amp; Assumptions'!$B$8*0.75,'I_Budget Input Data'!$D$121*0.6/('I_Inputs &amp; Assumptions'!$B$8/2),'I_Budget Input Data'!$D$121*0.2/('I_Inputs &amp; Assumptions'!$B$8/4))),IF('I_Budget Input Data'!$E$121="At Completion",IF(30='I_Inputs &amp; Assumptions'!$B$8,'I_Budget Input Data'!$D$121,0),'I_Budget Input Data'!$D$121/'I_Inputs &amp; Assumptions'!$B$8)))))),0)</f>
        <v>0</v>
      </c>
      <c r="AG121" s="91">
        <f>IF(31&lt;='I_Inputs &amp; Assumptions'!$B$8,IF('I_Budget Input Data'!$E$121="Upfront",IF(31=1,'I_Budget Input Data'!$D$121,0),IF('I_Budget Input Data'!$E$121="Equal",'I_Budget Input Data'!$D$121/'I_Inputs &amp; Assumptions'!$B$8,IF('I_Budget Input Data'!$E$121="Front-loaded",IF(31&lt;='I_Inputs &amp; Assumptions'!$B$8/2,'I_Budget Input Data'!$D$121*0.6/('I_Inputs &amp; Assumptions'!$B$8/2),'I_Budget Input Data'!$D$121*0.4/('I_Inputs &amp; Assumptions'!$B$8/2)),IF('I_Budget Input Data'!$E$121="Back-loaded",IF(31&lt;='I_Inputs &amp; Assumptions'!$B$8/2,'I_Budget Input Data'!$D$121*0.4/('I_Inputs &amp; Assumptions'!$B$8/2),'I_Budget Input Data'!$D$121*0.6/('I_Inputs &amp; Assumptions'!$B$8/2)),IF('I_Budget Input Data'!$E$121="Mid-weighted",IF(31&lt;='I_Inputs &amp; Assumptions'!$B$8/4,'I_Budget Input Data'!$D$121*0.2/('I_Inputs &amp; Assumptions'!$B$8/4),IF(31&lt;='I_Inputs &amp; Assumptions'!$B$8*0.75,'I_Budget Input Data'!$D$121*0.6/('I_Inputs &amp; Assumptions'!$B$8/2),'I_Budget Input Data'!$D$121*0.2/('I_Inputs &amp; Assumptions'!$B$8/4))),IF('I_Budget Input Data'!$E$121="At Completion",IF(31='I_Inputs &amp; Assumptions'!$B$8,'I_Budget Input Data'!$D$121,0),'I_Budget Input Data'!$D$121/'I_Inputs &amp; Assumptions'!$B$8)))))),0)</f>
        <v>0</v>
      </c>
      <c r="AH121" s="91">
        <f>IF(32&lt;='I_Inputs &amp; Assumptions'!$B$8,IF('I_Budget Input Data'!$E$121="Upfront",IF(32=1,'I_Budget Input Data'!$D$121,0),IF('I_Budget Input Data'!$E$121="Equal",'I_Budget Input Data'!$D$121/'I_Inputs &amp; Assumptions'!$B$8,IF('I_Budget Input Data'!$E$121="Front-loaded",IF(32&lt;='I_Inputs &amp; Assumptions'!$B$8/2,'I_Budget Input Data'!$D$121*0.6/('I_Inputs &amp; Assumptions'!$B$8/2),'I_Budget Input Data'!$D$121*0.4/('I_Inputs &amp; Assumptions'!$B$8/2)),IF('I_Budget Input Data'!$E$121="Back-loaded",IF(32&lt;='I_Inputs &amp; Assumptions'!$B$8/2,'I_Budget Input Data'!$D$121*0.4/('I_Inputs &amp; Assumptions'!$B$8/2),'I_Budget Input Data'!$D$121*0.6/('I_Inputs &amp; Assumptions'!$B$8/2)),IF('I_Budget Input Data'!$E$121="Mid-weighted",IF(32&lt;='I_Inputs &amp; Assumptions'!$B$8/4,'I_Budget Input Data'!$D$121*0.2/('I_Inputs &amp; Assumptions'!$B$8/4),IF(32&lt;='I_Inputs &amp; Assumptions'!$B$8*0.75,'I_Budget Input Data'!$D$121*0.6/('I_Inputs &amp; Assumptions'!$B$8/2),'I_Budget Input Data'!$D$121*0.2/('I_Inputs &amp; Assumptions'!$B$8/4))),IF('I_Budget Input Data'!$E$121="At Completion",IF(32='I_Inputs &amp; Assumptions'!$B$8,'I_Budget Input Data'!$D$121,0),'I_Budget Input Data'!$D$121/'I_Inputs &amp; Assumptions'!$B$8)))))),0)</f>
        <v>0</v>
      </c>
      <c r="AI121" s="91">
        <f>IF(33&lt;='I_Inputs &amp; Assumptions'!$B$8,IF('I_Budget Input Data'!$E$121="Upfront",IF(33=1,'I_Budget Input Data'!$D$121,0),IF('I_Budget Input Data'!$E$121="Equal",'I_Budget Input Data'!$D$121/'I_Inputs &amp; Assumptions'!$B$8,IF('I_Budget Input Data'!$E$121="Front-loaded",IF(33&lt;='I_Inputs &amp; Assumptions'!$B$8/2,'I_Budget Input Data'!$D$121*0.6/('I_Inputs &amp; Assumptions'!$B$8/2),'I_Budget Input Data'!$D$121*0.4/('I_Inputs &amp; Assumptions'!$B$8/2)),IF('I_Budget Input Data'!$E$121="Back-loaded",IF(33&lt;='I_Inputs &amp; Assumptions'!$B$8/2,'I_Budget Input Data'!$D$121*0.4/('I_Inputs &amp; Assumptions'!$B$8/2),'I_Budget Input Data'!$D$121*0.6/('I_Inputs &amp; Assumptions'!$B$8/2)),IF('I_Budget Input Data'!$E$121="Mid-weighted",IF(33&lt;='I_Inputs &amp; Assumptions'!$B$8/4,'I_Budget Input Data'!$D$121*0.2/('I_Inputs &amp; Assumptions'!$B$8/4),IF(33&lt;='I_Inputs &amp; Assumptions'!$B$8*0.75,'I_Budget Input Data'!$D$121*0.6/('I_Inputs &amp; Assumptions'!$B$8/2),'I_Budget Input Data'!$D$121*0.2/('I_Inputs &amp; Assumptions'!$B$8/4))),IF('I_Budget Input Data'!$E$121="At Completion",IF(33='I_Inputs &amp; Assumptions'!$B$8,'I_Budget Input Data'!$D$121,0),'I_Budget Input Data'!$D$121/'I_Inputs &amp; Assumptions'!$B$8)))))),0)</f>
        <v>0</v>
      </c>
      <c r="AJ121" s="91">
        <f>IF(34&lt;='I_Inputs &amp; Assumptions'!$B$8,IF('I_Budget Input Data'!$E$121="Upfront",IF(34=1,'I_Budget Input Data'!$D$121,0),IF('I_Budget Input Data'!$E$121="Equal",'I_Budget Input Data'!$D$121/'I_Inputs &amp; Assumptions'!$B$8,IF('I_Budget Input Data'!$E$121="Front-loaded",IF(34&lt;='I_Inputs &amp; Assumptions'!$B$8/2,'I_Budget Input Data'!$D$121*0.6/('I_Inputs &amp; Assumptions'!$B$8/2),'I_Budget Input Data'!$D$121*0.4/('I_Inputs &amp; Assumptions'!$B$8/2)),IF('I_Budget Input Data'!$E$121="Back-loaded",IF(34&lt;='I_Inputs &amp; Assumptions'!$B$8/2,'I_Budget Input Data'!$D$121*0.4/('I_Inputs &amp; Assumptions'!$B$8/2),'I_Budget Input Data'!$D$121*0.6/('I_Inputs &amp; Assumptions'!$B$8/2)),IF('I_Budget Input Data'!$E$121="Mid-weighted",IF(34&lt;='I_Inputs &amp; Assumptions'!$B$8/4,'I_Budget Input Data'!$D$121*0.2/('I_Inputs &amp; Assumptions'!$B$8/4),IF(34&lt;='I_Inputs &amp; Assumptions'!$B$8*0.75,'I_Budget Input Data'!$D$121*0.6/('I_Inputs &amp; Assumptions'!$B$8/2),'I_Budget Input Data'!$D$121*0.2/('I_Inputs &amp; Assumptions'!$B$8/4))),IF('I_Budget Input Data'!$E$121="At Completion",IF(34='I_Inputs &amp; Assumptions'!$B$8,'I_Budget Input Data'!$D$121,0),'I_Budget Input Data'!$D$121/'I_Inputs &amp; Assumptions'!$B$8)))))),0)</f>
        <v>0</v>
      </c>
      <c r="AK121" s="91">
        <f>IF(35&lt;='I_Inputs &amp; Assumptions'!$B$8,IF('I_Budget Input Data'!$E$121="Upfront",IF(35=1,'I_Budget Input Data'!$D$121,0),IF('I_Budget Input Data'!$E$121="Equal",'I_Budget Input Data'!$D$121/'I_Inputs &amp; Assumptions'!$B$8,IF('I_Budget Input Data'!$E$121="Front-loaded",IF(35&lt;='I_Inputs &amp; Assumptions'!$B$8/2,'I_Budget Input Data'!$D$121*0.6/('I_Inputs &amp; Assumptions'!$B$8/2),'I_Budget Input Data'!$D$121*0.4/('I_Inputs &amp; Assumptions'!$B$8/2)),IF('I_Budget Input Data'!$E$121="Back-loaded",IF(35&lt;='I_Inputs &amp; Assumptions'!$B$8/2,'I_Budget Input Data'!$D$121*0.4/('I_Inputs &amp; Assumptions'!$B$8/2),'I_Budget Input Data'!$D$121*0.6/('I_Inputs &amp; Assumptions'!$B$8/2)),IF('I_Budget Input Data'!$E$121="Mid-weighted",IF(35&lt;='I_Inputs &amp; Assumptions'!$B$8/4,'I_Budget Input Data'!$D$121*0.2/('I_Inputs &amp; Assumptions'!$B$8/4),IF(35&lt;='I_Inputs &amp; Assumptions'!$B$8*0.75,'I_Budget Input Data'!$D$121*0.6/('I_Inputs &amp; Assumptions'!$B$8/2),'I_Budget Input Data'!$D$121*0.2/('I_Inputs &amp; Assumptions'!$B$8/4))),IF('I_Budget Input Data'!$E$121="At Completion",IF(35='I_Inputs &amp; Assumptions'!$B$8,'I_Budget Input Data'!$D$121,0),'I_Budget Input Data'!$D$121/'I_Inputs &amp; Assumptions'!$B$8)))))),0)</f>
        <v>0</v>
      </c>
      <c r="AL121" s="91">
        <f>IF(36&lt;='I_Inputs &amp; Assumptions'!$B$8,IF('I_Budget Input Data'!$E$121="Upfront",IF(36=1,'I_Budget Input Data'!$D$121,0),IF('I_Budget Input Data'!$E$121="Equal",'I_Budget Input Data'!$D$121/'I_Inputs &amp; Assumptions'!$B$8,IF('I_Budget Input Data'!$E$121="Front-loaded",IF(36&lt;='I_Inputs &amp; Assumptions'!$B$8/2,'I_Budget Input Data'!$D$121*0.6/('I_Inputs &amp; Assumptions'!$B$8/2),'I_Budget Input Data'!$D$121*0.4/('I_Inputs &amp; Assumptions'!$B$8/2)),IF('I_Budget Input Data'!$E$121="Back-loaded",IF(36&lt;='I_Inputs &amp; Assumptions'!$B$8/2,'I_Budget Input Data'!$D$121*0.4/('I_Inputs &amp; Assumptions'!$B$8/2),'I_Budget Input Data'!$D$121*0.6/('I_Inputs &amp; Assumptions'!$B$8/2)),IF('I_Budget Input Data'!$E$121="Mid-weighted",IF(36&lt;='I_Inputs &amp; Assumptions'!$B$8/4,'I_Budget Input Data'!$D$121*0.2/('I_Inputs &amp; Assumptions'!$B$8/4),IF(36&lt;='I_Inputs &amp; Assumptions'!$B$8*0.75,'I_Budget Input Data'!$D$121*0.6/('I_Inputs &amp; Assumptions'!$B$8/2),'I_Budget Input Data'!$D$121*0.2/('I_Inputs &amp; Assumptions'!$B$8/4))),IF('I_Budget Input Data'!$E$121="At Completion",IF(36='I_Inputs &amp; Assumptions'!$B$8,'I_Budget Input Data'!$D$121,0),'I_Budget Input Data'!$D$121/'I_Inputs &amp; Assumptions'!$B$8)))))),0)</f>
        <v>0</v>
      </c>
    </row>
    <row r="122" spans="1:38" ht="15" customHeight="1" x14ac:dyDescent="0.2">
      <c r="A122" t="s">
        <v>146</v>
      </c>
      <c r="B122" t="s">
        <v>235</v>
      </c>
      <c r="C122" s="91">
        <f>IF(1&lt;='I_Inputs &amp; Assumptions'!$B$8,IF('I_Budget Input Data'!$E$122="Upfront",IF(1=1,'I_Budget Input Data'!$D$122,0),IF('I_Budget Input Data'!$E$122="Equal",'I_Budget Input Data'!$D$122/'I_Inputs &amp; Assumptions'!$B$8,IF('I_Budget Input Data'!$E$122="Front-loaded",IF(1&lt;='I_Inputs &amp; Assumptions'!$B$8/2,'I_Budget Input Data'!$D$122*0.6/('I_Inputs &amp; Assumptions'!$B$8/2),'I_Budget Input Data'!$D$122*0.4/('I_Inputs &amp; Assumptions'!$B$8/2)),IF('I_Budget Input Data'!$E$122="Back-loaded",IF(1&lt;='I_Inputs &amp; Assumptions'!$B$8/2,'I_Budget Input Data'!$D$122*0.4/('I_Inputs &amp; Assumptions'!$B$8/2),'I_Budget Input Data'!$D$122*0.6/('I_Inputs &amp; Assumptions'!$B$8/2)),IF('I_Budget Input Data'!$E$122="Mid-weighted",IF(1&lt;='I_Inputs &amp; Assumptions'!$B$8/4,'I_Budget Input Data'!$D$122*0.2/('I_Inputs &amp; Assumptions'!$B$8/4),IF(1&lt;='I_Inputs &amp; Assumptions'!$B$8*0.75,'I_Budget Input Data'!$D$122*0.6/('I_Inputs &amp; Assumptions'!$B$8/2),'I_Budget Input Data'!$D$122*0.2/('I_Inputs &amp; Assumptions'!$B$8/4))),IF('I_Budget Input Data'!$E$122="At Completion",IF(1='I_Inputs &amp; Assumptions'!$B$8,'I_Budget Input Data'!$D$122,0),'I_Budget Input Data'!$D$122/'I_Inputs &amp; Assumptions'!$B$8)))))),0)</f>
        <v>101163.07692307692</v>
      </c>
      <c r="D122" s="91">
        <f>IF(2&lt;='I_Inputs &amp; Assumptions'!$B$8,IF('I_Budget Input Data'!$E$122="Upfront",IF(2=1,'I_Budget Input Data'!$D$122,0),IF('I_Budget Input Data'!$E$122="Equal",'I_Budget Input Data'!$D$122/'I_Inputs &amp; Assumptions'!$B$8,IF('I_Budget Input Data'!$E$122="Front-loaded",IF(2&lt;='I_Inputs &amp; Assumptions'!$B$8/2,'I_Budget Input Data'!$D$122*0.6/('I_Inputs &amp; Assumptions'!$B$8/2),'I_Budget Input Data'!$D$122*0.4/('I_Inputs &amp; Assumptions'!$B$8/2)),IF('I_Budget Input Data'!$E$122="Back-loaded",IF(2&lt;='I_Inputs &amp; Assumptions'!$B$8/2,'I_Budget Input Data'!$D$122*0.4/('I_Inputs &amp; Assumptions'!$B$8/2),'I_Budget Input Data'!$D$122*0.6/('I_Inputs &amp; Assumptions'!$B$8/2)),IF('I_Budget Input Data'!$E$122="Mid-weighted",IF(2&lt;='I_Inputs &amp; Assumptions'!$B$8/4,'I_Budget Input Data'!$D$122*0.2/('I_Inputs &amp; Assumptions'!$B$8/4),IF(2&lt;='I_Inputs &amp; Assumptions'!$B$8*0.75,'I_Budget Input Data'!$D$122*0.6/('I_Inputs &amp; Assumptions'!$B$8/2),'I_Budget Input Data'!$D$122*0.2/('I_Inputs &amp; Assumptions'!$B$8/4))),IF('I_Budget Input Data'!$E$122="At Completion",IF(2='I_Inputs &amp; Assumptions'!$B$8,'I_Budget Input Data'!$D$122,0),'I_Budget Input Data'!$D$122/'I_Inputs &amp; Assumptions'!$B$8)))))),0)</f>
        <v>101163.07692307692</v>
      </c>
      <c r="E122" s="91">
        <f>IF(3&lt;='I_Inputs &amp; Assumptions'!$B$8,IF('I_Budget Input Data'!$E$122="Upfront",IF(3=1,'I_Budget Input Data'!$D$122,0),IF('I_Budget Input Data'!$E$122="Equal",'I_Budget Input Data'!$D$122/'I_Inputs &amp; Assumptions'!$B$8,IF('I_Budget Input Data'!$E$122="Front-loaded",IF(3&lt;='I_Inputs &amp; Assumptions'!$B$8/2,'I_Budget Input Data'!$D$122*0.6/('I_Inputs &amp; Assumptions'!$B$8/2),'I_Budget Input Data'!$D$122*0.4/('I_Inputs &amp; Assumptions'!$B$8/2)),IF('I_Budget Input Data'!$E$122="Back-loaded",IF(3&lt;='I_Inputs &amp; Assumptions'!$B$8/2,'I_Budget Input Data'!$D$122*0.4/('I_Inputs &amp; Assumptions'!$B$8/2),'I_Budget Input Data'!$D$122*0.6/('I_Inputs &amp; Assumptions'!$B$8/2)),IF('I_Budget Input Data'!$E$122="Mid-weighted",IF(3&lt;='I_Inputs &amp; Assumptions'!$B$8/4,'I_Budget Input Data'!$D$122*0.2/('I_Inputs &amp; Assumptions'!$B$8/4),IF(3&lt;='I_Inputs &amp; Assumptions'!$B$8*0.75,'I_Budget Input Data'!$D$122*0.6/('I_Inputs &amp; Assumptions'!$B$8/2),'I_Budget Input Data'!$D$122*0.2/('I_Inputs &amp; Assumptions'!$B$8/4))),IF('I_Budget Input Data'!$E$122="At Completion",IF(3='I_Inputs &amp; Assumptions'!$B$8,'I_Budget Input Data'!$D$122,0),'I_Budget Input Data'!$D$122/'I_Inputs &amp; Assumptions'!$B$8)))))),0)</f>
        <v>101163.07692307692</v>
      </c>
      <c r="F122" s="91">
        <f>IF(4&lt;='I_Inputs &amp; Assumptions'!$B$8,IF('I_Budget Input Data'!$E$122="Upfront",IF(4=1,'I_Budget Input Data'!$D$122,0),IF('I_Budget Input Data'!$E$122="Equal",'I_Budget Input Data'!$D$122/'I_Inputs &amp; Assumptions'!$B$8,IF('I_Budget Input Data'!$E$122="Front-loaded",IF(4&lt;='I_Inputs &amp; Assumptions'!$B$8/2,'I_Budget Input Data'!$D$122*0.6/('I_Inputs &amp; Assumptions'!$B$8/2),'I_Budget Input Data'!$D$122*0.4/('I_Inputs &amp; Assumptions'!$B$8/2)),IF('I_Budget Input Data'!$E$122="Back-loaded",IF(4&lt;='I_Inputs &amp; Assumptions'!$B$8/2,'I_Budget Input Data'!$D$122*0.4/('I_Inputs &amp; Assumptions'!$B$8/2),'I_Budget Input Data'!$D$122*0.6/('I_Inputs &amp; Assumptions'!$B$8/2)),IF('I_Budget Input Data'!$E$122="Mid-weighted",IF(4&lt;='I_Inputs &amp; Assumptions'!$B$8/4,'I_Budget Input Data'!$D$122*0.2/('I_Inputs &amp; Assumptions'!$B$8/4),IF(4&lt;='I_Inputs &amp; Assumptions'!$B$8*0.75,'I_Budget Input Data'!$D$122*0.6/('I_Inputs &amp; Assumptions'!$B$8/2),'I_Budget Input Data'!$D$122*0.2/('I_Inputs &amp; Assumptions'!$B$8/4))),IF('I_Budget Input Data'!$E$122="At Completion",IF(4='I_Inputs &amp; Assumptions'!$B$8,'I_Budget Input Data'!$D$122,0),'I_Budget Input Data'!$D$122/'I_Inputs &amp; Assumptions'!$B$8)))))),0)</f>
        <v>151744.61538461538</v>
      </c>
      <c r="G122" s="91">
        <f>IF(5&lt;='I_Inputs &amp; Assumptions'!$B$8,IF('I_Budget Input Data'!$E$122="Upfront",IF(5=1,'I_Budget Input Data'!$D$122,0),IF('I_Budget Input Data'!$E$122="Equal",'I_Budget Input Data'!$D$122/'I_Inputs &amp; Assumptions'!$B$8,IF('I_Budget Input Data'!$E$122="Front-loaded",IF(5&lt;='I_Inputs &amp; Assumptions'!$B$8/2,'I_Budget Input Data'!$D$122*0.6/('I_Inputs &amp; Assumptions'!$B$8/2),'I_Budget Input Data'!$D$122*0.4/('I_Inputs &amp; Assumptions'!$B$8/2)),IF('I_Budget Input Data'!$E$122="Back-loaded",IF(5&lt;='I_Inputs &amp; Assumptions'!$B$8/2,'I_Budget Input Data'!$D$122*0.4/('I_Inputs &amp; Assumptions'!$B$8/2),'I_Budget Input Data'!$D$122*0.6/('I_Inputs &amp; Assumptions'!$B$8/2)),IF('I_Budget Input Data'!$E$122="Mid-weighted",IF(5&lt;='I_Inputs &amp; Assumptions'!$B$8/4,'I_Budget Input Data'!$D$122*0.2/('I_Inputs &amp; Assumptions'!$B$8/4),IF(5&lt;='I_Inputs &amp; Assumptions'!$B$8*0.75,'I_Budget Input Data'!$D$122*0.6/('I_Inputs &amp; Assumptions'!$B$8/2),'I_Budget Input Data'!$D$122*0.2/('I_Inputs &amp; Assumptions'!$B$8/4))),IF('I_Budget Input Data'!$E$122="At Completion",IF(5='I_Inputs &amp; Assumptions'!$B$8,'I_Budget Input Data'!$D$122,0),'I_Budget Input Data'!$D$122/'I_Inputs &amp; Assumptions'!$B$8)))))),0)</f>
        <v>151744.61538461538</v>
      </c>
      <c r="H122" s="91">
        <f>IF(6&lt;='I_Inputs &amp; Assumptions'!$B$8,IF('I_Budget Input Data'!$E$122="Upfront",IF(6=1,'I_Budget Input Data'!$D$122,0),IF('I_Budget Input Data'!$E$122="Equal",'I_Budget Input Data'!$D$122/'I_Inputs &amp; Assumptions'!$B$8,IF('I_Budget Input Data'!$E$122="Front-loaded",IF(6&lt;='I_Inputs &amp; Assumptions'!$B$8/2,'I_Budget Input Data'!$D$122*0.6/('I_Inputs &amp; Assumptions'!$B$8/2),'I_Budget Input Data'!$D$122*0.4/('I_Inputs &amp; Assumptions'!$B$8/2)),IF('I_Budget Input Data'!$E$122="Back-loaded",IF(6&lt;='I_Inputs &amp; Assumptions'!$B$8/2,'I_Budget Input Data'!$D$122*0.4/('I_Inputs &amp; Assumptions'!$B$8/2),'I_Budget Input Data'!$D$122*0.6/('I_Inputs &amp; Assumptions'!$B$8/2)),IF('I_Budget Input Data'!$E$122="Mid-weighted",IF(6&lt;='I_Inputs &amp; Assumptions'!$B$8/4,'I_Budget Input Data'!$D$122*0.2/('I_Inputs &amp; Assumptions'!$B$8/4),IF(6&lt;='I_Inputs &amp; Assumptions'!$B$8*0.75,'I_Budget Input Data'!$D$122*0.6/('I_Inputs &amp; Assumptions'!$B$8/2),'I_Budget Input Data'!$D$122*0.2/('I_Inputs &amp; Assumptions'!$B$8/4))),IF('I_Budget Input Data'!$E$122="At Completion",IF(6='I_Inputs &amp; Assumptions'!$B$8,'I_Budget Input Data'!$D$122,0),'I_Budget Input Data'!$D$122/'I_Inputs &amp; Assumptions'!$B$8)))))),0)</f>
        <v>151744.61538461538</v>
      </c>
      <c r="I122" s="91">
        <f>IF(7&lt;='I_Inputs &amp; Assumptions'!$B$8,IF('I_Budget Input Data'!$E$122="Upfront",IF(7=1,'I_Budget Input Data'!$D$122,0),IF('I_Budget Input Data'!$E$122="Equal",'I_Budget Input Data'!$D$122/'I_Inputs &amp; Assumptions'!$B$8,IF('I_Budget Input Data'!$E$122="Front-loaded",IF(7&lt;='I_Inputs &amp; Assumptions'!$B$8/2,'I_Budget Input Data'!$D$122*0.6/('I_Inputs &amp; Assumptions'!$B$8/2),'I_Budget Input Data'!$D$122*0.4/('I_Inputs &amp; Assumptions'!$B$8/2)),IF('I_Budget Input Data'!$E$122="Back-loaded",IF(7&lt;='I_Inputs &amp; Assumptions'!$B$8/2,'I_Budget Input Data'!$D$122*0.4/('I_Inputs &amp; Assumptions'!$B$8/2),'I_Budget Input Data'!$D$122*0.6/('I_Inputs &amp; Assumptions'!$B$8/2)),IF('I_Budget Input Data'!$E$122="Mid-weighted",IF(7&lt;='I_Inputs &amp; Assumptions'!$B$8/4,'I_Budget Input Data'!$D$122*0.2/('I_Inputs &amp; Assumptions'!$B$8/4),IF(7&lt;='I_Inputs &amp; Assumptions'!$B$8*0.75,'I_Budget Input Data'!$D$122*0.6/('I_Inputs &amp; Assumptions'!$B$8/2),'I_Budget Input Data'!$D$122*0.2/('I_Inputs &amp; Assumptions'!$B$8/4))),IF('I_Budget Input Data'!$E$122="At Completion",IF(7='I_Inputs &amp; Assumptions'!$B$8,'I_Budget Input Data'!$D$122,0),'I_Budget Input Data'!$D$122/'I_Inputs &amp; Assumptions'!$B$8)))))),0)</f>
        <v>151744.61538461538</v>
      </c>
      <c r="J122" s="91">
        <f>IF(8&lt;='I_Inputs &amp; Assumptions'!$B$8,IF('I_Budget Input Data'!$E$122="Upfront",IF(8=1,'I_Budget Input Data'!$D$122,0),IF('I_Budget Input Data'!$E$122="Equal",'I_Budget Input Data'!$D$122/'I_Inputs &amp; Assumptions'!$B$8,IF('I_Budget Input Data'!$E$122="Front-loaded",IF(8&lt;='I_Inputs &amp; Assumptions'!$B$8/2,'I_Budget Input Data'!$D$122*0.6/('I_Inputs &amp; Assumptions'!$B$8/2),'I_Budget Input Data'!$D$122*0.4/('I_Inputs &amp; Assumptions'!$B$8/2)),IF('I_Budget Input Data'!$E$122="Back-loaded",IF(8&lt;='I_Inputs &amp; Assumptions'!$B$8/2,'I_Budget Input Data'!$D$122*0.4/('I_Inputs &amp; Assumptions'!$B$8/2),'I_Budget Input Data'!$D$122*0.6/('I_Inputs &amp; Assumptions'!$B$8/2)),IF('I_Budget Input Data'!$E$122="Mid-weighted",IF(8&lt;='I_Inputs &amp; Assumptions'!$B$8/4,'I_Budget Input Data'!$D$122*0.2/('I_Inputs &amp; Assumptions'!$B$8/4),IF(8&lt;='I_Inputs &amp; Assumptions'!$B$8*0.75,'I_Budget Input Data'!$D$122*0.6/('I_Inputs &amp; Assumptions'!$B$8/2),'I_Budget Input Data'!$D$122*0.2/('I_Inputs &amp; Assumptions'!$B$8/4))),IF('I_Budget Input Data'!$E$122="At Completion",IF(8='I_Inputs &amp; Assumptions'!$B$8,'I_Budget Input Data'!$D$122,0),'I_Budget Input Data'!$D$122/'I_Inputs &amp; Assumptions'!$B$8)))))),0)</f>
        <v>151744.61538461538</v>
      </c>
      <c r="K122" s="91">
        <f>IF(9&lt;='I_Inputs &amp; Assumptions'!$B$8,IF('I_Budget Input Data'!$E$122="Upfront",IF(9=1,'I_Budget Input Data'!$D$122,0),IF('I_Budget Input Data'!$E$122="Equal",'I_Budget Input Data'!$D$122/'I_Inputs &amp; Assumptions'!$B$8,IF('I_Budget Input Data'!$E$122="Front-loaded",IF(9&lt;='I_Inputs &amp; Assumptions'!$B$8/2,'I_Budget Input Data'!$D$122*0.6/('I_Inputs &amp; Assumptions'!$B$8/2),'I_Budget Input Data'!$D$122*0.4/('I_Inputs &amp; Assumptions'!$B$8/2)),IF('I_Budget Input Data'!$E$122="Back-loaded",IF(9&lt;='I_Inputs &amp; Assumptions'!$B$8/2,'I_Budget Input Data'!$D$122*0.4/('I_Inputs &amp; Assumptions'!$B$8/2),'I_Budget Input Data'!$D$122*0.6/('I_Inputs &amp; Assumptions'!$B$8/2)),IF('I_Budget Input Data'!$E$122="Mid-weighted",IF(9&lt;='I_Inputs &amp; Assumptions'!$B$8/4,'I_Budget Input Data'!$D$122*0.2/('I_Inputs &amp; Assumptions'!$B$8/4),IF(9&lt;='I_Inputs &amp; Assumptions'!$B$8*0.75,'I_Budget Input Data'!$D$122*0.6/('I_Inputs &amp; Assumptions'!$B$8/2),'I_Budget Input Data'!$D$122*0.2/('I_Inputs &amp; Assumptions'!$B$8/4))),IF('I_Budget Input Data'!$E$122="At Completion",IF(9='I_Inputs &amp; Assumptions'!$B$8,'I_Budget Input Data'!$D$122,0),'I_Budget Input Data'!$D$122/'I_Inputs &amp; Assumptions'!$B$8)))))),0)</f>
        <v>151744.61538461538</v>
      </c>
      <c r="L122" s="91">
        <f>IF(10&lt;='I_Inputs &amp; Assumptions'!$B$8,IF('I_Budget Input Data'!$E$122="Upfront",IF(10=1,'I_Budget Input Data'!$D$122,0),IF('I_Budget Input Data'!$E$122="Equal",'I_Budget Input Data'!$D$122/'I_Inputs &amp; Assumptions'!$B$8,IF('I_Budget Input Data'!$E$122="Front-loaded",IF(10&lt;='I_Inputs &amp; Assumptions'!$B$8/2,'I_Budget Input Data'!$D$122*0.6/('I_Inputs &amp; Assumptions'!$B$8/2),'I_Budget Input Data'!$D$122*0.4/('I_Inputs &amp; Assumptions'!$B$8/2)),IF('I_Budget Input Data'!$E$122="Back-loaded",IF(10&lt;='I_Inputs &amp; Assumptions'!$B$8/2,'I_Budget Input Data'!$D$122*0.4/('I_Inputs &amp; Assumptions'!$B$8/2),'I_Budget Input Data'!$D$122*0.6/('I_Inputs &amp; Assumptions'!$B$8/2)),IF('I_Budget Input Data'!$E$122="Mid-weighted",IF(10&lt;='I_Inputs &amp; Assumptions'!$B$8/4,'I_Budget Input Data'!$D$122*0.2/('I_Inputs &amp; Assumptions'!$B$8/4),IF(10&lt;='I_Inputs &amp; Assumptions'!$B$8*0.75,'I_Budget Input Data'!$D$122*0.6/('I_Inputs &amp; Assumptions'!$B$8/2),'I_Budget Input Data'!$D$122*0.2/('I_Inputs &amp; Assumptions'!$B$8/4))),IF('I_Budget Input Data'!$E$122="At Completion",IF(10='I_Inputs &amp; Assumptions'!$B$8,'I_Budget Input Data'!$D$122,0),'I_Budget Input Data'!$D$122/'I_Inputs &amp; Assumptions'!$B$8)))))),0)</f>
        <v>101163.07692307692</v>
      </c>
      <c r="M122" s="91">
        <f>IF(11&lt;='I_Inputs &amp; Assumptions'!$B$8,IF('I_Budget Input Data'!$E$122="Upfront",IF(11=1,'I_Budget Input Data'!$D$122,0),IF('I_Budget Input Data'!$E$122="Equal",'I_Budget Input Data'!$D$122/'I_Inputs &amp; Assumptions'!$B$8,IF('I_Budget Input Data'!$E$122="Front-loaded",IF(11&lt;='I_Inputs &amp; Assumptions'!$B$8/2,'I_Budget Input Data'!$D$122*0.6/('I_Inputs &amp; Assumptions'!$B$8/2),'I_Budget Input Data'!$D$122*0.4/('I_Inputs &amp; Assumptions'!$B$8/2)),IF('I_Budget Input Data'!$E$122="Back-loaded",IF(11&lt;='I_Inputs &amp; Assumptions'!$B$8/2,'I_Budget Input Data'!$D$122*0.4/('I_Inputs &amp; Assumptions'!$B$8/2),'I_Budget Input Data'!$D$122*0.6/('I_Inputs &amp; Assumptions'!$B$8/2)),IF('I_Budget Input Data'!$E$122="Mid-weighted",IF(11&lt;='I_Inputs &amp; Assumptions'!$B$8/4,'I_Budget Input Data'!$D$122*0.2/('I_Inputs &amp; Assumptions'!$B$8/4),IF(11&lt;='I_Inputs &amp; Assumptions'!$B$8*0.75,'I_Budget Input Data'!$D$122*0.6/('I_Inputs &amp; Assumptions'!$B$8/2),'I_Budget Input Data'!$D$122*0.2/('I_Inputs &amp; Assumptions'!$B$8/4))),IF('I_Budget Input Data'!$E$122="At Completion",IF(11='I_Inputs &amp; Assumptions'!$B$8,'I_Budget Input Data'!$D$122,0),'I_Budget Input Data'!$D$122/'I_Inputs &amp; Assumptions'!$B$8)))))),0)</f>
        <v>101163.07692307692</v>
      </c>
      <c r="N122" s="91">
        <f>IF(12&lt;='I_Inputs &amp; Assumptions'!$B$8,IF('I_Budget Input Data'!$E$122="Upfront",IF(12=1,'I_Budget Input Data'!$D$122,0),IF('I_Budget Input Data'!$E$122="Equal",'I_Budget Input Data'!$D$122/'I_Inputs &amp; Assumptions'!$B$8,IF('I_Budget Input Data'!$E$122="Front-loaded",IF(12&lt;='I_Inputs &amp; Assumptions'!$B$8/2,'I_Budget Input Data'!$D$122*0.6/('I_Inputs &amp; Assumptions'!$B$8/2),'I_Budget Input Data'!$D$122*0.4/('I_Inputs &amp; Assumptions'!$B$8/2)),IF('I_Budget Input Data'!$E$122="Back-loaded",IF(12&lt;='I_Inputs &amp; Assumptions'!$B$8/2,'I_Budget Input Data'!$D$122*0.4/('I_Inputs &amp; Assumptions'!$B$8/2),'I_Budget Input Data'!$D$122*0.6/('I_Inputs &amp; Assumptions'!$B$8/2)),IF('I_Budget Input Data'!$E$122="Mid-weighted",IF(12&lt;='I_Inputs &amp; Assumptions'!$B$8/4,'I_Budget Input Data'!$D$122*0.2/('I_Inputs &amp; Assumptions'!$B$8/4),IF(12&lt;='I_Inputs &amp; Assumptions'!$B$8*0.75,'I_Budget Input Data'!$D$122*0.6/('I_Inputs &amp; Assumptions'!$B$8/2),'I_Budget Input Data'!$D$122*0.2/('I_Inputs &amp; Assumptions'!$B$8/4))),IF('I_Budget Input Data'!$E$122="At Completion",IF(12='I_Inputs &amp; Assumptions'!$B$8,'I_Budget Input Data'!$D$122,0),'I_Budget Input Data'!$D$122/'I_Inputs &amp; Assumptions'!$B$8)))))),0)</f>
        <v>101163.07692307692</v>
      </c>
      <c r="O122" s="91">
        <f>IF(13&lt;='I_Inputs &amp; Assumptions'!$B$8,IF('I_Budget Input Data'!$E$122="Upfront",IF(13=1,'I_Budget Input Data'!$D$122,0),IF('I_Budget Input Data'!$E$122="Equal",'I_Budget Input Data'!$D$122/'I_Inputs &amp; Assumptions'!$B$8,IF('I_Budget Input Data'!$E$122="Front-loaded",IF(13&lt;='I_Inputs &amp; Assumptions'!$B$8/2,'I_Budget Input Data'!$D$122*0.6/('I_Inputs &amp; Assumptions'!$B$8/2),'I_Budget Input Data'!$D$122*0.4/('I_Inputs &amp; Assumptions'!$B$8/2)),IF('I_Budget Input Data'!$E$122="Back-loaded",IF(13&lt;='I_Inputs &amp; Assumptions'!$B$8/2,'I_Budget Input Data'!$D$122*0.4/('I_Inputs &amp; Assumptions'!$B$8/2),'I_Budget Input Data'!$D$122*0.6/('I_Inputs &amp; Assumptions'!$B$8/2)),IF('I_Budget Input Data'!$E$122="Mid-weighted",IF(13&lt;='I_Inputs &amp; Assumptions'!$B$8/4,'I_Budget Input Data'!$D$122*0.2/('I_Inputs &amp; Assumptions'!$B$8/4),IF(13&lt;='I_Inputs &amp; Assumptions'!$B$8*0.75,'I_Budget Input Data'!$D$122*0.6/('I_Inputs &amp; Assumptions'!$B$8/2),'I_Budget Input Data'!$D$122*0.2/('I_Inputs &amp; Assumptions'!$B$8/4))),IF('I_Budget Input Data'!$E$122="At Completion",IF(13='I_Inputs &amp; Assumptions'!$B$8,'I_Budget Input Data'!$D$122,0),'I_Budget Input Data'!$D$122/'I_Inputs &amp; Assumptions'!$B$8)))))),0)</f>
        <v>101163.07692307692</v>
      </c>
      <c r="P122" s="91">
        <f>IF(14&lt;='I_Inputs &amp; Assumptions'!$B$8,IF('I_Budget Input Data'!$E$122="Upfront",IF(14=1,'I_Budget Input Data'!$D$122,0),IF('I_Budget Input Data'!$E$122="Equal",'I_Budget Input Data'!$D$122/'I_Inputs &amp; Assumptions'!$B$8,IF('I_Budget Input Data'!$E$122="Front-loaded",IF(14&lt;='I_Inputs &amp; Assumptions'!$B$8/2,'I_Budget Input Data'!$D$122*0.6/('I_Inputs &amp; Assumptions'!$B$8/2),'I_Budget Input Data'!$D$122*0.4/('I_Inputs &amp; Assumptions'!$B$8/2)),IF('I_Budget Input Data'!$E$122="Back-loaded",IF(14&lt;='I_Inputs &amp; Assumptions'!$B$8/2,'I_Budget Input Data'!$D$122*0.4/('I_Inputs &amp; Assumptions'!$B$8/2),'I_Budget Input Data'!$D$122*0.6/('I_Inputs &amp; Assumptions'!$B$8/2)),IF('I_Budget Input Data'!$E$122="Mid-weighted",IF(14&lt;='I_Inputs &amp; Assumptions'!$B$8/4,'I_Budget Input Data'!$D$122*0.2/('I_Inputs &amp; Assumptions'!$B$8/4),IF(14&lt;='I_Inputs &amp; Assumptions'!$B$8*0.75,'I_Budget Input Data'!$D$122*0.6/('I_Inputs &amp; Assumptions'!$B$8/2),'I_Budget Input Data'!$D$122*0.2/('I_Inputs &amp; Assumptions'!$B$8/4))),IF('I_Budget Input Data'!$E$122="At Completion",IF(14='I_Inputs &amp; Assumptions'!$B$8,'I_Budget Input Data'!$D$122,0),'I_Budget Input Data'!$D$122/'I_Inputs &amp; Assumptions'!$B$8)))))),0)</f>
        <v>0</v>
      </c>
      <c r="Q122" s="91">
        <f>IF(15&lt;='I_Inputs &amp; Assumptions'!$B$8,IF('I_Budget Input Data'!$E$122="Upfront",IF(15=1,'I_Budget Input Data'!$D$122,0),IF('I_Budget Input Data'!$E$122="Equal",'I_Budget Input Data'!$D$122/'I_Inputs &amp; Assumptions'!$B$8,IF('I_Budget Input Data'!$E$122="Front-loaded",IF(15&lt;='I_Inputs &amp; Assumptions'!$B$8/2,'I_Budget Input Data'!$D$122*0.6/('I_Inputs &amp; Assumptions'!$B$8/2),'I_Budget Input Data'!$D$122*0.4/('I_Inputs &amp; Assumptions'!$B$8/2)),IF('I_Budget Input Data'!$E$122="Back-loaded",IF(15&lt;='I_Inputs &amp; Assumptions'!$B$8/2,'I_Budget Input Data'!$D$122*0.4/('I_Inputs &amp; Assumptions'!$B$8/2),'I_Budget Input Data'!$D$122*0.6/('I_Inputs &amp; Assumptions'!$B$8/2)),IF('I_Budget Input Data'!$E$122="Mid-weighted",IF(15&lt;='I_Inputs &amp; Assumptions'!$B$8/4,'I_Budget Input Data'!$D$122*0.2/('I_Inputs &amp; Assumptions'!$B$8/4),IF(15&lt;='I_Inputs &amp; Assumptions'!$B$8*0.75,'I_Budget Input Data'!$D$122*0.6/('I_Inputs &amp; Assumptions'!$B$8/2),'I_Budget Input Data'!$D$122*0.2/('I_Inputs &amp; Assumptions'!$B$8/4))),IF('I_Budget Input Data'!$E$122="At Completion",IF(15='I_Inputs &amp; Assumptions'!$B$8,'I_Budget Input Data'!$D$122,0),'I_Budget Input Data'!$D$122/'I_Inputs &amp; Assumptions'!$B$8)))))),0)</f>
        <v>0</v>
      </c>
      <c r="R122" s="91">
        <f>IF(16&lt;='I_Inputs &amp; Assumptions'!$B$8,IF('I_Budget Input Data'!$E$122="Upfront",IF(16=1,'I_Budget Input Data'!$D$122,0),IF('I_Budget Input Data'!$E$122="Equal",'I_Budget Input Data'!$D$122/'I_Inputs &amp; Assumptions'!$B$8,IF('I_Budget Input Data'!$E$122="Front-loaded",IF(16&lt;='I_Inputs &amp; Assumptions'!$B$8/2,'I_Budget Input Data'!$D$122*0.6/('I_Inputs &amp; Assumptions'!$B$8/2),'I_Budget Input Data'!$D$122*0.4/('I_Inputs &amp; Assumptions'!$B$8/2)),IF('I_Budget Input Data'!$E$122="Back-loaded",IF(16&lt;='I_Inputs &amp; Assumptions'!$B$8/2,'I_Budget Input Data'!$D$122*0.4/('I_Inputs &amp; Assumptions'!$B$8/2),'I_Budget Input Data'!$D$122*0.6/('I_Inputs &amp; Assumptions'!$B$8/2)),IF('I_Budget Input Data'!$E$122="Mid-weighted",IF(16&lt;='I_Inputs &amp; Assumptions'!$B$8/4,'I_Budget Input Data'!$D$122*0.2/('I_Inputs &amp; Assumptions'!$B$8/4),IF(16&lt;='I_Inputs &amp; Assumptions'!$B$8*0.75,'I_Budget Input Data'!$D$122*0.6/('I_Inputs &amp; Assumptions'!$B$8/2),'I_Budget Input Data'!$D$122*0.2/('I_Inputs &amp; Assumptions'!$B$8/4))),IF('I_Budget Input Data'!$E$122="At Completion",IF(16='I_Inputs &amp; Assumptions'!$B$8,'I_Budget Input Data'!$D$122,0),'I_Budget Input Data'!$D$122/'I_Inputs &amp; Assumptions'!$B$8)))))),0)</f>
        <v>0</v>
      </c>
      <c r="S122" s="91">
        <f>IF(17&lt;='I_Inputs &amp; Assumptions'!$B$8,IF('I_Budget Input Data'!$E$122="Upfront",IF(17=1,'I_Budget Input Data'!$D$122,0),IF('I_Budget Input Data'!$E$122="Equal",'I_Budget Input Data'!$D$122/'I_Inputs &amp; Assumptions'!$B$8,IF('I_Budget Input Data'!$E$122="Front-loaded",IF(17&lt;='I_Inputs &amp; Assumptions'!$B$8/2,'I_Budget Input Data'!$D$122*0.6/('I_Inputs &amp; Assumptions'!$B$8/2),'I_Budget Input Data'!$D$122*0.4/('I_Inputs &amp; Assumptions'!$B$8/2)),IF('I_Budget Input Data'!$E$122="Back-loaded",IF(17&lt;='I_Inputs &amp; Assumptions'!$B$8/2,'I_Budget Input Data'!$D$122*0.4/('I_Inputs &amp; Assumptions'!$B$8/2),'I_Budget Input Data'!$D$122*0.6/('I_Inputs &amp; Assumptions'!$B$8/2)),IF('I_Budget Input Data'!$E$122="Mid-weighted",IF(17&lt;='I_Inputs &amp; Assumptions'!$B$8/4,'I_Budget Input Data'!$D$122*0.2/('I_Inputs &amp; Assumptions'!$B$8/4),IF(17&lt;='I_Inputs &amp; Assumptions'!$B$8*0.75,'I_Budget Input Data'!$D$122*0.6/('I_Inputs &amp; Assumptions'!$B$8/2),'I_Budget Input Data'!$D$122*0.2/('I_Inputs &amp; Assumptions'!$B$8/4))),IF('I_Budget Input Data'!$E$122="At Completion",IF(17='I_Inputs &amp; Assumptions'!$B$8,'I_Budget Input Data'!$D$122,0),'I_Budget Input Data'!$D$122/'I_Inputs &amp; Assumptions'!$B$8)))))),0)</f>
        <v>0</v>
      </c>
      <c r="T122" s="91">
        <f>IF(18&lt;='I_Inputs &amp; Assumptions'!$B$8,IF('I_Budget Input Data'!$E$122="Upfront",IF(18=1,'I_Budget Input Data'!$D$122,0),IF('I_Budget Input Data'!$E$122="Equal",'I_Budget Input Data'!$D$122/'I_Inputs &amp; Assumptions'!$B$8,IF('I_Budget Input Data'!$E$122="Front-loaded",IF(18&lt;='I_Inputs &amp; Assumptions'!$B$8/2,'I_Budget Input Data'!$D$122*0.6/('I_Inputs &amp; Assumptions'!$B$8/2),'I_Budget Input Data'!$D$122*0.4/('I_Inputs &amp; Assumptions'!$B$8/2)),IF('I_Budget Input Data'!$E$122="Back-loaded",IF(18&lt;='I_Inputs &amp; Assumptions'!$B$8/2,'I_Budget Input Data'!$D$122*0.4/('I_Inputs &amp; Assumptions'!$B$8/2),'I_Budget Input Data'!$D$122*0.6/('I_Inputs &amp; Assumptions'!$B$8/2)),IF('I_Budget Input Data'!$E$122="Mid-weighted",IF(18&lt;='I_Inputs &amp; Assumptions'!$B$8/4,'I_Budget Input Data'!$D$122*0.2/('I_Inputs &amp; Assumptions'!$B$8/4),IF(18&lt;='I_Inputs &amp; Assumptions'!$B$8*0.75,'I_Budget Input Data'!$D$122*0.6/('I_Inputs &amp; Assumptions'!$B$8/2),'I_Budget Input Data'!$D$122*0.2/('I_Inputs &amp; Assumptions'!$B$8/4))),IF('I_Budget Input Data'!$E$122="At Completion",IF(18='I_Inputs &amp; Assumptions'!$B$8,'I_Budget Input Data'!$D$122,0),'I_Budget Input Data'!$D$122/'I_Inputs &amp; Assumptions'!$B$8)))))),0)</f>
        <v>0</v>
      </c>
      <c r="U122" s="91">
        <f>IF(19&lt;='I_Inputs &amp; Assumptions'!$B$8,IF('I_Budget Input Data'!$E$122="Upfront",IF(19=1,'I_Budget Input Data'!$D$122,0),IF('I_Budget Input Data'!$E$122="Equal",'I_Budget Input Data'!$D$122/'I_Inputs &amp; Assumptions'!$B$8,IF('I_Budget Input Data'!$E$122="Front-loaded",IF(19&lt;='I_Inputs &amp; Assumptions'!$B$8/2,'I_Budget Input Data'!$D$122*0.6/('I_Inputs &amp; Assumptions'!$B$8/2),'I_Budget Input Data'!$D$122*0.4/('I_Inputs &amp; Assumptions'!$B$8/2)),IF('I_Budget Input Data'!$E$122="Back-loaded",IF(19&lt;='I_Inputs &amp; Assumptions'!$B$8/2,'I_Budget Input Data'!$D$122*0.4/('I_Inputs &amp; Assumptions'!$B$8/2),'I_Budget Input Data'!$D$122*0.6/('I_Inputs &amp; Assumptions'!$B$8/2)),IF('I_Budget Input Data'!$E$122="Mid-weighted",IF(19&lt;='I_Inputs &amp; Assumptions'!$B$8/4,'I_Budget Input Data'!$D$122*0.2/('I_Inputs &amp; Assumptions'!$B$8/4),IF(19&lt;='I_Inputs &amp; Assumptions'!$B$8*0.75,'I_Budget Input Data'!$D$122*0.6/('I_Inputs &amp; Assumptions'!$B$8/2),'I_Budget Input Data'!$D$122*0.2/('I_Inputs &amp; Assumptions'!$B$8/4))),IF('I_Budget Input Data'!$E$122="At Completion",IF(19='I_Inputs &amp; Assumptions'!$B$8,'I_Budget Input Data'!$D$122,0),'I_Budget Input Data'!$D$122/'I_Inputs &amp; Assumptions'!$B$8)))))),0)</f>
        <v>0</v>
      </c>
      <c r="V122" s="91">
        <f>IF(20&lt;='I_Inputs &amp; Assumptions'!$B$8,IF('I_Budget Input Data'!$E$122="Upfront",IF(20=1,'I_Budget Input Data'!$D$122,0),IF('I_Budget Input Data'!$E$122="Equal",'I_Budget Input Data'!$D$122/'I_Inputs &amp; Assumptions'!$B$8,IF('I_Budget Input Data'!$E$122="Front-loaded",IF(20&lt;='I_Inputs &amp; Assumptions'!$B$8/2,'I_Budget Input Data'!$D$122*0.6/('I_Inputs &amp; Assumptions'!$B$8/2),'I_Budget Input Data'!$D$122*0.4/('I_Inputs &amp; Assumptions'!$B$8/2)),IF('I_Budget Input Data'!$E$122="Back-loaded",IF(20&lt;='I_Inputs &amp; Assumptions'!$B$8/2,'I_Budget Input Data'!$D$122*0.4/('I_Inputs &amp; Assumptions'!$B$8/2),'I_Budget Input Data'!$D$122*0.6/('I_Inputs &amp; Assumptions'!$B$8/2)),IF('I_Budget Input Data'!$E$122="Mid-weighted",IF(20&lt;='I_Inputs &amp; Assumptions'!$B$8/4,'I_Budget Input Data'!$D$122*0.2/('I_Inputs &amp; Assumptions'!$B$8/4),IF(20&lt;='I_Inputs &amp; Assumptions'!$B$8*0.75,'I_Budget Input Data'!$D$122*0.6/('I_Inputs &amp; Assumptions'!$B$8/2),'I_Budget Input Data'!$D$122*0.2/('I_Inputs &amp; Assumptions'!$B$8/4))),IF('I_Budget Input Data'!$E$122="At Completion",IF(20='I_Inputs &amp; Assumptions'!$B$8,'I_Budget Input Data'!$D$122,0),'I_Budget Input Data'!$D$122/'I_Inputs &amp; Assumptions'!$B$8)))))),0)</f>
        <v>0</v>
      </c>
      <c r="W122" s="91">
        <f>IF(21&lt;='I_Inputs &amp; Assumptions'!$B$8,IF('I_Budget Input Data'!$E$122="Upfront",IF(21=1,'I_Budget Input Data'!$D$122,0),IF('I_Budget Input Data'!$E$122="Equal",'I_Budget Input Data'!$D$122/'I_Inputs &amp; Assumptions'!$B$8,IF('I_Budget Input Data'!$E$122="Front-loaded",IF(21&lt;='I_Inputs &amp; Assumptions'!$B$8/2,'I_Budget Input Data'!$D$122*0.6/('I_Inputs &amp; Assumptions'!$B$8/2),'I_Budget Input Data'!$D$122*0.4/('I_Inputs &amp; Assumptions'!$B$8/2)),IF('I_Budget Input Data'!$E$122="Back-loaded",IF(21&lt;='I_Inputs &amp; Assumptions'!$B$8/2,'I_Budget Input Data'!$D$122*0.4/('I_Inputs &amp; Assumptions'!$B$8/2),'I_Budget Input Data'!$D$122*0.6/('I_Inputs &amp; Assumptions'!$B$8/2)),IF('I_Budget Input Data'!$E$122="Mid-weighted",IF(21&lt;='I_Inputs &amp; Assumptions'!$B$8/4,'I_Budget Input Data'!$D$122*0.2/('I_Inputs &amp; Assumptions'!$B$8/4),IF(21&lt;='I_Inputs &amp; Assumptions'!$B$8*0.75,'I_Budget Input Data'!$D$122*0.6/('I_Inputs &amp; Assumptions'!$B$8/2),'I_Budget Input Data'!$D$122*0.2/('I_Inputs &amp; Assumptions'!$B$8/4))),IF('I_Budget Input Data'!$E$122="At Completion",IF(21='I_Inputs &amp; Assumptions'!$B$8,'I_Budget Input Data'!$D$122,0),'I_Budget Input Data'!$D$122/'I_Inputs &amp; Assumptions'!$B$8)))))),0)</f>
        <v>0</v>
      </c>
      <c r="X122" s="91">
        <f>IF(22&lt;='I_Inputs &amp; Assumptions'!$B$8,IF('I_Budget Input Data'!$E$122="Upfront",IF(22=1,'I_Budget Input Data'!$D$122,0),IF('I_Budget Input Data'!$E$122="Equal",'I_Budget Input Data'!$D$122/'I_Inputs &amp; Assumptions'!$B$8,IF('I_Budget Input Data'!$E$122="Front-loaded",IF(22&lt;='I_Inputs &amp; Assumptions'!$B$8/2,'I_Budget Input Data'!$D$122*0.6/('I_Inputs &amp; Assumptions'!$B$8/2),'I_Budget Input Data'!$D$122*0.4/('I_Inputs &amp; Assumptions'!$B$8/2)),IF('I_Budget Input Data'!$E$122="Back-loaded",IF(22&lt;='I_Inputs &amp; Assumptions'!$B$8/2,'I_Budget Input Data'!$D$122*0.4/('I_Inputs &amp; Assumptions'!$B$8/2),'I_Budget Input Data'!$D$122*0.6/('I_Inputs &amp; Assumptions'!$B$8/2)),IF('I_Budget Input Data'!$E$122="Mid-weighted",IF(22&lt;='I_Inputs &amp; Assumptions'!$B$8/4,'I_Budget Input Data'!$D$122*0.2/('I_Inputs &amp; Assumptions'!$B$8/4),IF(22&lt;='I_Inputs &amp; Assumptions'!$B$8*0.75,'I_Budget Input Data'!$D$122*0.6/('I_Inputs &amp; Assumptions'!$B$8/2),'I_Budget Input Data'!$D$122*0.2/('I_Inputs &amp; Assumptions'!$B$8/4))),IF('I_Budget Input Data'!$E$122="At Completion",IF(22='I_Inputs &amp; Assumptions'!$B$8,'I_Budget Input Data'!$D$122,0),'I_Budget Input Data'!$D$122/'I_Inputs &amp; Assumptions'!$B$8)))))),0)</f>
        <v>0</v>
      </c>
      <c r="Y122" s="91">
        <f>IF(23&lt;='I_Inputs &amp; Assumptions'!$B$8,IF('I_Budget Input Data'!$E$122="Upfront",IF(23=1,'I_Budget Input Data'!$D$122,0),IF('I_Budget Input Data'!$E$122="Equal",'I_Budget Input Data'!$D$122/'I_Inputs &amp; Assumptions'!$B$8,IF('I_Budget Input Data'!$E$122="Front-loaded",IF(23&lt;='I_Inputs &amp; Assumptions'!$B$8/2,'I_Budget Input Data'!$D$122*0.6/('I_Inputs &amp; Assumptions'!$B$8/2),'I_Budget Input Data'!$D$122*0.4/('I_Inputs &amp; Assumptions'!$B$8/2)),IF('I_Budget Input Data'!$E$122="Back-loaded",IF(23&lt;='I_Inputs &amp; Assumptions'!$B$8/2,'I_Budget Input Data'!$D$122*0.4/('I_Inputs &amp; Assumptions'!$B$8/2),'I_Budget Input Data'!$D$122*0.6/('I_Inputs &amp; Assumptions'!$B$8/2)),IF('I_Budget Input Data'!$E$122="Mid-weighted",IF(23&lt;='I_Inputs &amp; Assumptions'!$B$8/4,'I_Budget Input Data'!$D$122*0.2/('I_Inputs &amp; Assumptions'!$B$8/4),IF(23&lt;='I_Inputs &amp; Assumptions'!$B$8*0.75,'I_Budget Input Data'!$D$122*0.6/('I_Inputs &amp; Assumptions'!$B$8/2),'I_Budget Input Data'!$D$122*0.2/('I_Inputs &amp; Assumptions'!$B$8/4))),IF('I_Budget Input Data'!$E$122="At Completion",IF(23='I_Inputs &amp; Assumptions'!$B$8,'I_Budget Input Data'!$D$122,0),'I_Budget Input Data'!$D$122/'I_Inputs &amp; Assumptions'!$B$8)))))),0)</f>
        <v>0</v>
      </c>
      <c r="Z122" s="91">
        <f>IF(24&lt;='I_Inputs &amp; Assumptions'!$B$8,IF('I_Budget Input Data'!$E$122="Upfront",IF(24=1,'I_Budget Input Data'!$D$122,0),IF('I_Budget Input Data'!$E$122="Equal",'I_Budget Input Data'!$D$122/'I_Inputs &amp; Assumptions'!$B$8,IF('I_Budget Input Data'!$E$122="Front-loaded",IF(24&lt;='I_Inputs &amp; Assumptions'!$B$8/2,'I_Budget Input Data'!$D$122*0.6/('I_Inputs &amp; Assumptions'!$B$8/2),'I_Budget Input Data'!$D$122*0.4/('I_Inputs &amp; Assumptions'!$B$8/2)),IF('I_Budget Input Data'!$E$122="Back-loaded",IF(24&lt;='I_Inputs &amp; Assumptions'!$B$8/2,'I_Budget Input Data'!$D$122*0.4/('I_Inputs &amp; Assumptions'!$B$8/2),'I_Budget Input Data'!$D$122*0.6/('I_Inputs &amp; Assumptions'!$B$8/2)),IF('I_Budget Input Data'!$E$122="Mid-weighted",IF(24&lt;='I_Inputs &amp; Assumptions'!$B$8/4,'I_Budget Input Data'!$D$122*0.2/('I_Inputs &amp; Assumptions'!$B$8/4),IF(24&lt;='I_Inputs &amp; Assumptions'!$B$8*0.75,'I_Budget Input Data'!$D$122*0.6/('I_Inputs &amp; Assumptions'!$B$8/2),'I_Budget Input Data'!$D$122*0.2/('I_Inputs &amp; Assumptions'!$B$8/4))),IF('I_Budget Input Data'!$E$122="At Completion",IF(24='I_Inputs &amp; Assumptions'!$B$8,'I_Budget Input Data'!$D$122,0),'I_Budget Input Data'!$D$122/'I_Inputs &amp; Assumptions'!$B$8)))))),0)</f>
        <v>0</v>
      </c>
      <c r="AA122" s="91">
        <f>IF(25&lt;='I_Inputs &amp; Assumptions'!$B$8,IF('I_Budget Input Data'!$E$122="Upfront",IF(25=1,'I_Budget Input Data'!$D$122,0),IF('I_Budget Input Data'!$E$122="Equal",'I_Budget Input Data'!$D$122/'I_Inputs &amp; Assumptions'!$B$8,IF('I_Budget Input Data'!$E$122="Front-loaded",IF(25&lt;='I_Inputs &amp; Assumptions'!$B$8/2,'I_Budget Input Data'!$D$122*0.6/('I_Inputs &amp; Assumptions'!$B$8/2),'I_Budget Input Data'!$D$122*0.4/('I_Inputs &amp; Assumptions'!$B$8/2)),IF('I_Budget Input Data'!$E$122="Back-loaded",IF(25&lt;='I_Inputs &amp; Assumptions'!$B$8/2,'I_Budget Input Data'!$D$122*0.4/('I_Inputs &amp; Assumptions'!$B$8/2),'I_Budget Input Data'!$D$122*0.6/('I_Inputs &amp; Assumptions'!$B$8/2)),IF('I_Budget Input Data'!$E$122="Mid-weighted",IF(25&lt;='I_Inputs &amp; Assumptions'!$B$8/4,'I_Budget Input Data'!$D$122*0.2/('I_Inputs &amp; Assumptions'!$B$8/4),IF(25&lt;='I_Inputs &amp; Assumptions'!$B$8*0.75,'I_Budget Input Data'!$D$122*0.6/('I_Inputs &amp; Assumptions'!$B$8/2),'I_Budget Input Data'!$D$122*0.2/('I_Inputs &amp; Assumptions'!$B$8/4))),IF('I_Budget Input Data'!$E$122="At Completion",IF(25='I_Inputs &amp; Assumptions'!$B$8,'I_Budget Input Data'!$D$122,0),'I_Budget Input Data'!$D$122/'I_Inputs &amp; Assumptions'!$B$8)))))),0)</f>
        <v>0</v>
      </c>
      <c r="AB122" s="91">
        <f>IF(26&lt;='I_Inputs &amp; Assumptions'!$B$8,IF('I_Budget Input Data'!$E$122="Upfront",IF(26=1,'I_Budget Input Data'!$D$122,0),IF('I_Budget Input Data'!$E$122="Equal",'I_Budget Input Data'!$D$122/'I_Inputs &amp; Assumptions'!$B$8,IF('I_Budget Input Data'!$E$122="Front-loaded",IF(26&lt;='I_Inputs &amp; Assumptions'!$B$8/2,'I_Budget Input Data'!$D$122*0.6/('I_Inputs &amp; Assumptions'!$B$8/2),'I_Budget Input Data'!$D$122*0.4/('I_Inputs &amp; Assumptions'!$B$8/2)),IF('I_Budget Input Data'!$E$122="Back-loaded",IF(26&lt;='I_Inputs &amp; Assumptions'!$B$8/2,'I_Budget Input Data'!$D$122*0.4/('I_Inputs &amp; Assumptions'!$B$8/2),'I_Budget Input Data'!$D$122*0.6/('I_Inputs &amp; Assumptions'!$B$8/2)),IF('I_Budget Input Data'!$E$122="Mid-weighted",IF(26&lt;='I_Inputs &amp; Assumptions'!$B$8/4,'I_Budget Input Data'!$D$122*0.2/('I_Inputs &amp; Assumptions'!$B$8/4),IF(26&lt;='I_Inputs &amp; Assumptions'!$B$8*0.75,'I_Budget Input Data'!$D$122*0.6/('I_Inputs &amp; Assumptions'!$B$8/2),'I_Budget Input Data'!$D$122*0.2/('I_Inputs &amp; Assumptions'!$B$8/4))),IF('I_Budget Input Data'!$E$122="At Completion",IF(26='I_Inputs &amp; Assumptions'!$B$8,'I_Budget Input Data'!$D$122,0),'I_Budget Input Data'!$D$122/'I_Inputs &amp; Assumptions'!$B$8)))))),0)</f>
        <v>0</v>
      </c>
      <c r="AC122" s="91">
        <f>IF(27&lt;='I_Inputs &amp; Assumptions'!$B$8,IF('I_Budget Input Data'!$E$122="Upfront",IF(27=1,'I_Budget Input Data'!$D$122,0),IF('I_Budget Input Data'!$E$122="Equal",'I_Budget Input Data'!$D$122/'I_Inputs &amp; Assumptions'!$B$8,IF('I_Budget Input Data'!$E$122="Front-loaded",IF(27&lt;='I_Inputs &amp; Assumptions'!$B$8/2,'I_Budget Input Data'!$D$122*0.6/('I_Inputs &amp; Assumptions'!$B$8/2),'I_Budget Input Data'!$D$122*0.4/('I_Inputs &amp; Assumptions'!$B$8/2)),IF('I_Budget Input Data'!$E$122="Back-loaded",IF(27&lt;='I_Inputs &amp; Assumptions'!$B$8/2,'I_Budget Input Data'!$D$122*0.4/('I_Inputs &amp; Assumptions'!$B$8/2),'I_Budget Input Data'!$D$122*0.6/('I_Inputs &amp; Assumptions'!$B$8/2)),IF('I_Budget Input Data'!$E$122="Mid-weighted",IF(27&lt;='I_Inputs &amp; Assumptions'!$B$8/4,'I_Budget Input Data'!$D$122*0.2/('I_Inputs &amp; Assumptions'!$B$8/4),IF(27&lt;='I_Inputs &amp; Assumptions'!$B$8*0.75,'I_Budget Input Data'!$D$122*0.6/('I_Inputs &amp; Assumptions'!$B$8/2),'I_Budget Input Data'!$D$122*0.2/('I_Inputs &amp; Assumptions'!$B$8/4))),IF('I_Budget Input Data'!$E$122="At Completion",IF(27='I_Inputs &amp; Assumptions'!$B$8,'I_Budget Input Data'!$D$122,0),'I_Budget Input Data'!$D$122/'I_Inputs &amp; Assumptions'!$B$8)))))),0)</f>
        <v>0</v>
      </c>
      <c r="AD122" s="91">
        <f>IF(28&lt;='I_Inputs &amp; Assumptions'!$B$8,IF('I_Budget Input Data'!$E$122="Upfront",IF(28=1,'I_Budget Input Data'!$D$122,0),IF('I_Budget Input Data'!$E$122="Equal",'I_Budget Input Data'!$D$122/'I_Inputs &amp; Assumptions'!$B$8,IF('I_Budget Input Data'!$E$122="Front-loaded",IF(28&lt;='I_Inputs &amp; Assumptions'!$B$8/2,'I_Budget Input Data'!$D$122*0.6/('I_Inputs &amp; Assumptions'!$B$8/2),'I_Budget Input Data'!$D$122*0.4/('I_Inputs &amp; Assumptions'!$B$8/2)),IF('I_Budget Input Data'!$E$122="Back-loaded",IF(28&lt;='I_Inputs &amp; Assumptions'!$B$8/2,'I_Budget Input Data'!$D$122*0.4/('I_Inputs &amp; Assumptions'!$B$8/2),'I_Budget Input Data'!$D$122*0.6/('I_Inputs &amp; Assumptions'!$B$8/2)),IF('I_Budget Input Data'!$E$122="Mid-weighted",IF(28&lt;='I_Inputs &amp; Assumptions'!$B$8/4,'I_Budget Input Data'!$D$122*0.2/('I_Inputs &amp; Assumptions'!$B$8/4),IF(28&lt;='I_Inputs &amp; Assumptions'!$B$8*0.75,'I_Budget Input Data'!$D$122*0.6/('I_Inputs &amp; Assumptions'!$B$8/2),'I_Budget Input Data'!$D$122*0.2/('I_Inputs &amp; Assumptions'!$B$8/4))),IF('I_Budget Input Data'!$E$122="At Completion",IF(28='I_Inputs &amp; Assumptions'!$B$8,'I_Budget Input Data'!$D$122,0),'I_Budget Input Data'!$D$122/'I_Inputs &amp; Assumptions'!$B$8)))))),0)</f>
        <v>0</v>
      </c>
      <c r="AE122" s="91">
        <f>IF(29&lt;='I_Inputs &amp; Assumptions'!$B$8,IF('I_Budget Input Data'!$E$122="Upfront",IF(29=1,'I_Budget Input Data'!$D$122,0),IF('I_Budget Input Data'!$E$122="Equal",'I_Budget Input Data'!$D$122/'I_Inputs &amp; Assumptions'!$B$8,IF('I_Budget Input Data'!$E$122="Front-loaded",IF(29&lt;='I_Inputs &amp; Assumptions'!$B$8/2,'I_Budget Input Data'!$D$122*0.6/('I_Inputs &amp; Assumptions'!$B$8/2),'I_Budget Input Data'!$D$122*0.4/('I_Inputs &amp; Assumptions'!$B$8/2)),IF('I_Budget Input Data'!$E$122="Back-loaded",IF(29&lt;='I_Inputs &amp; Assumptions'!$B$8/2,'I_Budget Input Data'!$D$122*0.4/('I_Inputs &amp; Assumptions'!$B$8/2),'I_Budget Input Data'!$D$122*0.6/('I_Inputs &amp; Assumptions'!$B$8/2)),IF('I_Budget Input Data'!$E$122="Mid-weighted",IF(29&lt;='I_Inputs &amp; Assumptions'!$B$8/4,'I_Budget Input Data'!$D$122*0.2/('I_Inputs &amp; Assumptions'!$B$8/4),IF(29&lt;='I_Inputs &amp; Assumptions'!$B$8*0.75,'I_Budget Input Data'!$D$122*0.6/('I_Inputs &amp; Assumptions'!$B$8/2),'I_Budget Input Data'!$D$122*0.2/('I_Inputs &amp; Assumptions'!$B$8/4))),IF('I_Budget Input Data'!$E$122="At Completion",IF(29='I_Inputs &amp; Assumptions'!$B$8,'I_Budget Input Data'!$D$122,0),'I_Budget Input Data'!$D$122/'I_Inputs &amp; Assumptions'!$B$8)))))),0)</f>
        <v>0</v>
      </c>
      <c r="AF122" s="91">
        <f>IF(30&lt;='I_Inputs &amp; Assumptions'!$B$8,IF('I_Budget Input Data'!$E$122="Upfront",IF(30=1,'I_Budget Input Data'!$D$122,0),IF('I_Budget Input Data'!$E$122="Equal",'I_Budget Input Data'!$D$122/'I_Inputs &amp; Assumptions'!$B$8,IF('I_Budget Input Data'!$E$122="Front-loaded",IF(30&lt;='I_Inputs &amp; Assumptions'!$B$8/2,'I_Budget Input Data'!$D$122*0.6/('I_Inputs &amp; Assumptions'!$B$8/2),'I_Budget Input Data'!$D$122*0.4/('I_Inputs &amp; Assumptions'!$B$8/2)),IF('I_Budget Input Data'!$E$122="Back-loaded",IF(30&lt;='I_Inputs &amp; Assumptions'!$B$8/2,'I_Budget Input Data'!$D$122*0.4/('I_Inputs &amp; Assumptions'!$B$8/2),'I_Budget Input Data'!$D$122*0.6/('I_Inputs &amp; Assumptions'!$B$8/2)),IF('I_Budget Input Data'!$E$122="Mid-weighted",IF(30&lt;='I_Inputs &amp; Assumptions'!$B$8/4,'I_Budget Input Data'!$D$122*0.2/('I_Inputs &amp; Assumptions'!$B$8/4),IF(30&lt;='I_Inputs &amp; Assumptions'!$B$8*0.75,'I_Budget Input Data'!$D$122*0.6/('I_Inputs &amp; Assumptions'!$B$8/2),'I_Budget Input Data'!$D$122*0.2/('I_Inputs &amp; Assumptions'!$B$8/4))),IF('I_Budget Input Data'!$E$122="At Completion",IF(30='I_Inputs &amp; Assumptions'!$B$8,'I_Budget Input Data'!$D$122,0),'I_Budget Input Data'!$D$122/'I_Inputs &amp; Assumptions'!$B$8)))))),0)</f>
        <v>0</v>
      </c>
      <c r="AG122" s="91">
        <f>IF(31&lt;='I_Inputs &amp; Assumptions'!$B$8,IF('I_Budget Input Data'!$E$122="Upfront",IF(31=1,'I_Budget Input Data'!$D$122,0),IF('I_Budget Input Data'!$E$122="Equal",'I_Budget Input Data'!$D$122/'I_Inputs &amp; Assumptions'!$B$8,IF('I_Budget Input Data'!$E$122="Front-loaded",IF(31&lt;='I_Inputs &amp; Assumptions'!$B$8/2,'I_Budget Input Data'!$D$122*0.6/('I_Inputs &amp; Assumptions'!$B$8/2),'I_Budget Input Data'!$D$122*0.4/('I_Inputs &amp; Assumptions'!$B$8/2)),IF('I_Budget Input Data'!$E$122="Back-loaded",IF(31&lt;='I_Inputs &amp; Assumptions'!$B$8/2,'I_Budget Input Data'!$D$122*0.4/('I_Inputs &amp; Assumptions'!$B$8/2),'I_Budget Input Data'!$D$122*0.6/('I_Inputs &amp; Assumptions'!$B$8/2)),IF('I_Budget Input Data'!$E$122="Mid-weighted",IF(31&lt;='I_Inputs &amp; Assumptions'!$B$8/4,'I_Budget Input Data'!$D$122*0.2/('I_Inputs &amp; Assumptions'!$B$8/4),IF(31&lt;='I_Inputs &amp; Assumptions'!$B$8*0.75,'I_Budget Input Data'!$D$122*0.6/('I_Inputs &amp; Assumptions'!$B$8/2),'I_Budget Input Data'!$D$122*0.2/('I_Inputs &amp; Assumptions'!$B$8/4))),IF('I_Budget Input Data'!$E$122="At Completion",IF(31='I_Inputs &amp; Assumptions'!$B$8,'I_Budget Input Data'!$D$122,0),'I_Budget Input Data'!$D$122/'I_Inputs &amp; Assumptions'!$B$8)))))),0)</f>
        <v>0</v>
      </c>
      <c r="AH122" s="91">
        <f>IF(32&lt;='I_Inputs &amp; Assumptions'!$B$8,IF('I_Budget Input Data'!$E$122="Upfront",IF(32=1,'I_Budget Input Data'!$D$122,0),IF('I_Budget Input Data'!$E$122="Equal",'I_Budget Input Data'!$D$122/'I_Inputs &amp; Assumptions'!$B$8,IF('I_Budget Input Data'!$E$122="Front-loaded",IF(32&lt;='I_Inputs &amp; Assumptions'!$B$8/2,'I_Budget Input Data'!$D$122*0.6/('I_Inputs &amp; Assumptions'!$B$8/2),'I_Budget Input Data'!$D$122*0.4/('I_Inputs &amp; Assumptions'!$B$8/2)),IF('I_Budget Input Data'!$E$122="Back-loaded",IF(32&lt;='I_Inputs &amp; Assumptions'!$B$8/2,'I_Budget Input Data'!$D$122*0.4/('I_Inputs &amp; Assumptions'!$B$8/2),'I_Budget Input Data'!$D$122*0.6/('I_Inputs &amp; Assumptions'!$B$8/2)),IF('I_Budget Input Data'!$E$122="Mid-weighted",IF(32&lt;='I_Inputs &amp; Assumptions'!$B$8/4,'I_Budget Input Data'!$D$122*0.2/('I_Inputs &amp; Assumptions'!$B$8/4),IF(32&lt;='I_Inputs &amp; Assumptions'!$B$8*0.75,'I_Budget Input Data'!$D$122*0.6/('I_Inputs &amp; Assumptions'!$B$8/2),'I_Budget Input Data'!$D$122*0.2/('I_Inputs &amp; Assumptions'!$B$8/4))),IF('I_Budget Input Data'!$E$122="At Completion",IF(32='I_Inputs &amp; Assumptions'!$B$8,'I_Budget Input Data'!$D$122,0),'I_Budget Input Data'!$D$122/'I_Inputs &amp; Assumptions'!$B$8)))))),0)</f>
        <v>0</v>
      </c>
      <c r="AI122" s="91">
        <f>IF(33&lt;='I_Inputs &amp; Assumptions'!$B$8,IF('I_Budget Input Data'!$E$122="Upfront",IF(33=1,'I_Budget Input Data'!$D$122,0),IF('I_Budget Input Data'!$E$122="Equal",'I_Budget Input Data'!$D$122/'I_Inputs &amp; Assumptions'!$B$8,IF('I_Budget Input Data'!$E$122="Front-loaded",IF(33&lt;='I_Inputs &amp; Assumptions'!$B$8/2,'I_Budget Input Data'!$D$122*0.6/('I_Inputs &amp; Assumptions'!$B$8/2),'I_Budget Input Data'!$D$122*0.4/('I_Inputs &amp; Assumptions'!$B$8/2)),IF('I_Budget Input Data'!$E$122="Back-loaded",IF(33&lt;='I_Inputs &amp; Assumptions'!$B$8/2,'I_Budget Input Data'!$D$122*0.4/('I_Inputs &amp; Assumptions'!$B$8/2),'I_Budget Input Data'!$D$122*0.6/('I_Inputs &amp; Assumptions'!$B$8/2)),IF('I_Budget Input Data'!$E$122="Mid-weighted",IF(33&lt;='I_Inputs &amp; Assumptions'!$B$8/4,'I_Budget Input Data'!$D$122*0.2/('I_Inputs &amp; Assumptions'!$B$8/4),IF(33&lt;='I_Inputs &amp; Assumptions'!$B$8*0.75,'I_Budget Input Data'!$D$122*0.6/('I_Inputs &amp; Assumptions'!$B$8/2),'I_Budget Input Data'!$D$122*0.2/('I_Inputs &amp; Assumptions'!$B$8/4))),IF('I_Budget Input Data'!$E$122="At Completion",IF(33='I_Inputs &amp; Assumptions'!$B$8,'I_Budget Input Data'!$D$122,0),'I_Budget Input Data'!$D$122/'I_Inputs &amp; Assumptions'!$B$8)))))),0)</f>
        <v>0</v>
      </c>
      <c r="AJ122" s="91">
        <f>IF(34&lt;='I_Inputs &amp; Assumptions'!$B$8,IF('I_Budget Input Data'!$E$122="Upfront",IF(34=1,'I_Budget Input Data'!$D$122,0),IF('I_Budget Input Data'!$E$122="Equal",'I_Budget Input Data'!$D$122/'I_Inputs &amp; Assumptions'!$B$8,IF('I_Budget Input Data'!$E$122="Front-loaded",IF(34&lt;='I_Inputs &amp; Assumptions'!$B$8/2,'I_Budget Input Data'!$D$122*0.6/('I_Inputs &amp; Assumptions'!$B$8/2),'I_Budget Input Data'!$D$122*0.4/('I_Inputs &amp; Assumptions'!$B$8/2)),IF('I_Budget Input Data'!$E$122="Back-loaded",IF(34&lt;='I_Inputs &amp; Assumptions'!$B$8/2,'I_Budget Input Data'!$D$122*0.4/('I_Inputs &amp; Assumptions'!$B$8/2),'I_Budget Input Data'!$D$122*0.6/('I_Inputs &amp; Assumptions'!$B$8/2)),IF('I_Budget Input Data'!$E$122="Mid-weighted",IF(34&lt;='I_Inputs &amp; Assumptions'!$B$8/4,'I_Budget Input Data'!$D$122*0.2/('I_Inputs &amp; Assumptions'!$B$8/4),IF(34&lt;='I_Inputs &amp; Assumptions'!$B$8*0.75,'I_Budget Input Data'!$D$122*0.6/('I_Inputs &amp; Assumptions'!$B$8/2),'I_Budget Input Data'!$D$122*0.2/('I_Inputs &amp; Assumptions'!$B$8/4))),IF('I_Budget Input Data'!$E$122="At Completion",IF(34='I_Inputs &amp; Assumptions'!$B$8,'I_Budget Input Data'!$D$122,0),'I_Budget Input Data'!$D$122/'I_Inputs &amp; Assumptions'!$B$8)))))),0)</f>
        <v>0</v>
      </c>
      <c r="AK122" s="91">
        <f>IF(35&lt;='I_Inputs &amp; Assumptions'!$B$8,IF('I_Budget Input Data'!$E$122="Upfront",IF(35=1,'I_Budget Input Data'!$D$122,0),IF('I_Budget Input Data'!$E$122="Equal",'I_Budget Input Data'!$D$122/'I_Inputs &amp; Assumptions'!$B$8,IF('I_Budget Input Data'!$E$122="Front-loaded",IF(35&lt;='I_Inputs &amp; Assumptions'!$B$8/2,'I_Budget Input Data'!$D$122*0.6/('I_Inputs &amp; Assumptions'!$B$8/2),'I_Budget Input Data'!$D$122*0.4/('I_Inputs &amp; Assumptions'!$B$8/2)),IF('I_Budget Input Data'!$E$122="Back-loaded",IF(35&lt;='I_Inputs &amp; Assumptions'!$B$8/2,'I_Budget Input Data'!$D$122*0.4/('I_Inputs &amp; Assumptions'!$B$8/2),'I_Budget Input Data'!$D$122*0.6/('I_Inputs &amp; Assumptions'!$B$8/2)),IF('I_Budget Input Data'!$E$122="Mid-weighted",IF(35&lt;='I_Inputs &amp; Assumptions'!$B$8/4,'I_Budget Input Data'!$D$122*0.2/('I_Inputs &amp; Assumptions'!$B$8/4),IF(35&lt;='I_Inputs &amp; Assumptions'!$B$8*0.75,'I_Budget Input Data'!$D$122*0.6/('I_Inputs &amp; Assumptions'!$B$8/2),'I_Budget Input Data'!$D$122*0.2/('I_Inputs &amp; Assumptions'!$B$8/4))),IF('I_Budget Input Data'!$E$122="At Completion",IF(35='I_Inputs &amp; Assumptions'!$B$8,'I_Budget Input Data'!$D$122,0),'I_Budget Input Data'!$D$122/'I_Inputs &amp; Assumptions'!$B$8)))))),0)</f>
        <v>0</v>
      </c>
      <c r="AL122" s="91">
        <f>IF(36&lt;='I_Inputs &amp; Assumptions'!$B$8,IF('I_Budget Input Data'!$E$122="Upfront",IF(36=1,'I_Budget Input Data'!$D$122,0),IF('I_Budget Input Data'!$E$122="Equal",'I_Budget Input Data'!$D$122/'I_Inputs &amp; Assumptions'!$B$8,IF('I_Budget Input Data'!$E$122="Front-loaded",IF(36&lt;='I_Inputs &amp; Assumptions'!$B$8/2,'I_Budget Input Data'!$D$122*0.6/('I_Inputs &amp; Assumptions'!$B$8/2),'I_Budget Input Data'!$D$122*0.4/('I_Inputs &amp; Assumptions'!$B$8/2)),IF('I_Budget Input Data'!$E$122="Back-loaded",IF(36&lt;='I_Inputs &amp; Assumptions'!$B$8/2,'I_Budget Input Data'!$D$122*0.4/('I_Inputs &amp; Assumptions'!$B$8/2),'I_Budget Input Data'!$D$122*0.6/('I_Inputs &amp; Assumptions'!$B$8/2)),IF('I_Budget Input Data'!$E$122="Mid-weighted",IF(36&lt;='I_Inputs &amp; Assumptions'!$B$8/4,'I_Budget Input Data'!$D$122*0.2/('I_Inputs &amp; Assumptions'!$B$8/4),IF(36&lt;='I_Inputs &amp; Assumptions'!$B$8*0.75,'I_Budget Input Data'!$D$122*0.6/('I_Inputs &amp; Assumptions'!$B$8/2),'I_Budget Input Data'!$D$122*0.2/('I_Inputs &amp; Assumptions'!$B$8/4))),IF('I_Budget Input Data'!$E$122="At Completion",IF(36='I_Inputs &amp; Assumptions'!$B$8,'I_Budget Input Data'!$D$122,0),'I_Budget Input Data'!$D$122/'I_Inputs &amp; Assumptions'!$B$8)))))),0)</f>
        <v>0</v>
      </c>
    </row>
    <row r="123" spans="1:38" ht="15" customHeight="1" x14ac:dyDescent="0.2">
      <c r="A123" t="s">
        <v>146</v>
      </c>
      <c r="B123" t="s">
        <v>236</v>
      </c>
      <c r="C123" s="91">
        <f>IF(1&lt;='I_Inputs &amp; Assumptions'!$B$8,IF('I_Budget Input Data'!$E$123="Upfront",IF(1=1,'I_Budget Input Data'!$D$123,0),IF('I_Budget Input Data'!$E$123="Equal",'I_Budget Input Data'!$D$123/'I_Inputs &amp; Assumptions'!$B$8,IF('I_Budget Input Data'!$E$123="Front-loaded",IF(1&lt;='I_Inputs &amp; Assumptions'!$B$8/2,'I_Budget Input Data'!$D$123*0.6/('I_Inputs &amp; Assumptions'!$B$8/2),'I_Budget Input Data'!$D$123*0.4/('I_Inputs &amp; Assumptions'!$B$8/2)),IF('I_Budget Input Data'!$E$123="Back-loaded",IF(1&lt;='I_Inputs &amp; Assumptions'!$B$8/2,'I_Budget Input Data'!$D$123*0.4/('I_Inputs &amp; Assumptions'!$B$8/2),'I_Budget Input Data'!$D$123*0.6/('I_Inputs &amp; Assumptions'!$B$8/2)),IF('I_Budget Input Data'!$E$123="Mid-weighted",IF(1&lt;='I_Inputs &amp; Assumptions'!$B$8/4,'I_Budget Input Data'!$D$123*0.2/('I_Inputs &amp; Assumptions'!$B$8/4),IF(1&lt;='I_Inputs &amp; Assumptions'!$B$8*0.75,'I_Budget Input Data'!$D$123*0.6/('I_Inputs &amp; Assumptions'!$B$8/2),'I_Budget Input Data'!$D$123*0.2/('I_Inputs &amp; Assumptions'!$B$8/4))),IF('I_Budget Input Data'!$E$123="At Completion",IF(1='I_Inputs &amp; Assumptions'!$B$8,'I_Budget Input Data'!$D$123,0),'I_Budget Input Data'!$D$123/'I_Inputs &amp; Assumptions'!$B$8)))))),0)</f>
        <v>23259.446153846155</v>
      </c>
      <c r="D123" s="91">
        <f>IF(2&lt;='I_Inputs &amp; Assumptions'!$B$8,IF('I_Budget Input Data'!$E$123="Upfront",IF(2=1,'I_Budget Input Data'!$D$123,0),IF('I_Budget Input Data'!$E$123="Equal",'I_Budget Input Data'!$D$123/'I_Inputs &amp; Assumptions'!$B$8,IF('I_Budget Input Data'!$E$123="Front-loaded",IF(2&lt;='I_Inputs &amp; Assumptions'!$B$8/2,'I_Budget Input Data'!$D$123*0.6/('I_Inputs &amp; Assumptions'!$B$8/2),'I_Budget Input Data'!$D$123*0.4/('I_Inputs &amp; Assumptions'!$B$8/2)),IF('I_Budget Input Data'!$E$123="Back-loaded",IF(2&lt;='I_Inputs &amp; Assumptions'!$B$8/2,'I_Budget Input Data'!$D$123*0.4/('I_Inputs &amp; Assumptions'!$B$8/2),'I_Budget Input Data'!$D$123*0.6/('I_Inputs &amp; Assumptions'!$B$8/2)),IF('I_Budget Input Data'!$E$123="Mid-weighted",IF(2&lt;='I_Inputs &amp; Assumptions'!$B$8/4,'I_Budget Input Data'!$D$123*0.2/('I_Inputs &amp; Assumptions'!$B$8/4),IF(2&lt;='I_Inputs &amp; Assumptions'!$B$8*0.75,'I_Budget Input Data'!$D$123*0.6/('I_Inputs &amp; Assumptions'!$B$8/2),'I_Budget Input Data'!$D$123*0.2/('I_Inputs &amp; Assumptions'!$B$8/4))),IF('I_Budget Input Data'!$E$123="At Completion",IF(2='I_Inputs &amp; Assumptions'!$B$8,'I_Budget Input Data'!$D$123,0),'I_Budget Input Data'!$D$123/'I_Inputs &amp; Assumptions'!$B$8)))))),0)</f>
        <v>23259.446153846155</v>
      </c>
      <c r="E123" s="91">
        <f>IF(3&lt;='I_Inputs &amp; Assumptions'!$B$8,IF('I_Budget Input Data'!$E$123="Upfront",IF(3=1,'I_Budget Input Data'!$D$123,0),IF('I_Budget Input Data'!$E$123="Equal",'I_Budget Input Data'!$D$123/'I_Inputs &amp; Assumptions'!$B$8,IF('I_Budget Input Data'!$E$123="Front-loaded",IF(3&lt;='I_Inputs &amp; Assumptions'!$B$8/2,'I_Budget Input Data'!$D$123*0.6/('I_Inputs &amp; Assumptions'!$B$8/2),'I_Budget Input Data'!$D$123*0.4/('I_Inputs &amp; Assumptions'!$B$8/2)),IF('I_Budget Input Data'!$E$123="Back-loaded",IF(3&lt;='I_Inputs &amp; Assumptions'!$B$8/2,'I_Budget Input Data'!$D$123*0.4/('I_Inputs &amp; Assumptions'!$B$8/2),'I_Budget Input Data'!$D$123*0.6/('I_Inputs &amp; Assumptions'!$B$8/2)),IF('I_Budget Input Data'!$E$123="Mid-weighted",IF(3&lt;='I_Inputs &amp; Assumptions'!$B$8/4,'I_Budget Input Data'!$D$123*0.2/('I_Inputs &amp; Assumptions'!$B$8/4),IF(3&lt;='I_Inputs &amp; Assumptions'!$B$8*0.75,'I_Budget Input Data'!$D$123*0.6/('I_Inputs &amp; Assumptions'!$B$8/2),'I_Budget Input Data'!$D$123*0.2/('I_Inputs &amp; Assumptions'!$B$8/4))),IF('I_Budget Input Data'!$E$123="At Completion",IF(3='I_Inputs &amp; Assumptions'!$B$8,'I_Budget Input Data'!$D$123,0),'I_Budget Input Data'!$D$123/'I_Inputs &amp; Assumptions'!$B$8)))))),0)</f>
        <v>23259.446153846155</v>
      </c>
      <c r="F123" s="91">
        <f>IF(4&lt;='I_Inputs &amp; Assumptions'!$B$8,IF('I_Budget Input Data'!$E$123="Upfront",IF(4=1,'I_Budget Input Data'!$D$123,0),IF('I_Budget Input Data'!$E$123="Equal",'I_Budget Input Data'!$D$123/'I_Inputs &amp; Assumptions'!$B$8,IF('I_Budget Input Data'!$E$123="Front-loaded",IF(4&lt;='I_Inputs &amp; Assumptions'!$B$8/2,'I_Budget Input Data'!$D$123*0.6/('I_Inputs &amp; Assumptions'!$B$8/2),'I_Budget Input Data'!$D$123*0.4/('I_Inputs &amp; Assumptions'!$B$8/2)),IF('I_Budget Input Data'!$E$123="Back-loaded",IF(4&lt;='I_Inputs &amp; Assumptions'!$B$8/2,'I_Budget Input Data'!$D$123*0.4/('I_Inputs &amp; Assumptions'!$B$8/2),'I_Budget Input Data'!$D$123*0.6/('I_Inputs &amp; Assumptions'!$B$8/2)),IF('I_Budget Input Data'!$E$123="Mid-weighted",IF(4&lt;='I_Inputs &amp; Assumptions'!$B$8/4,'I_Budget Input Data'!$D$123*0.2/('I_Inputs &amp; Assumptions'!$B$8/4),IF(4&lt;='I_Inputs &amp; Assumptions'!$B$8*0.75,'I_Budget Input Data'!$D$123*0.6/('I_Inputs &amp; Assumptions'!$B$8/2),'I_Budget Input Data'!$D$123*0.2/('I_Inputs &amp; Assumptions'!$B$8/4))),IF('I_Budget Input Data'!$E$123="At Completion",IF(4='I_Inputs &amp; Assumptions'!$B$8,'I_Budget Input Data'!$D$123,0),'I_Budget Input Data'!$D$123/'I_Inputs &amp; Assumptions'!$B$8)))))),0)</f>
        <v>34889.169230769228</v>
      </c>
      <c r="G123" s="91">
        <f>IF(5&lt;='I_Inputs &amp; Assumptions'!$B$8,IF('I_Budget Input Data'!$E$123="Upfront",IF(5=1,'I_Budget Input Data'!$D$123,0),IF('I_Budget Input Data'!$E$123="Equal",'I_Budget Input Data'!$D$123/'I_Inputs &amp; Assumptions'!$B$8,IF('I_Budget Input Data'!$E$123="Front-loaded",IF(5&lt;='I_Inputs &amp; Assumptions'!$B$8/2,'I_Budget Input Data'!$D$123*0.6/('I_Inputs &amp; Assumptions'!$B$8/2),'I_Budget Input Data'!$D$123*0.4/('I_Inputs &amp; Assumptions'!$B$8/2)),IF('I_Budget Input Data'!$E$123="Back-loaded",IF(5&lt;='I_Inputs &amp; Assumptions'!$B$8/2,'I_Budget Input Data'!$D$123*0.4/('I_Inputs &amp; Assumptions'!$B$8/2),'I_Budget Input Data'!$D$123*0.6/('I_Inputs &amp; Assumptions'!$B$8/2)),IF('I_Budget Input Data'!$E$123="Mid-weighted",IF(5&lt;='I_Inputs &amp; Assumptions'!$B$8/4,'I_Budget Input Data'!$D$123*0.2/('I_Inputs &amp; Assumptions'!$B$8/4),IF(5&lt;='I_Inputs &amp; Assumptions'!$B$8*0.75,'I_Budget Input Data'!$D$123*0.6/('I_Inputs &amp; Assumptions'!$B$8/2),'I_Budget Input Data'!$D$123*0.2/('I_Inputs &amp; Assumptions'!$B$8/4))),IF('I_Budget Input Data'!$E$123="At Completion",IF(5='I_Inputs &amp; Assumptions'!$B$8,'I_Budget Input Data'!$D$123,0),'I_Budget Input Data'!$D$123/'I_Inputs &amp; Assumptions'!$B$8)))))),0)</f>
        <v>34889.169230769228</v>
      </c>
      <c r="H123" s="91">
        <f>IF(6&lt;='I_Inputs &amp; Assumptions'!$B$8,IF('I_Budget Input Data'!$E$123="Upfront",IF(6=1,'I_Budget Input Data'!$D$123,0),IF('I_Budget Input Data'!$E$123="Equal",'I_Budget Input Data'!$D$123/'I_Inputs &amp; Assumptions'!$B$8,IF('I_Budget Input Data'!$E$123="Front-loaded",IF(6&lt;='I_Inputs &amp; Assumptions'!$B$8/2,'I_Budget Input Data'!$D$123*0.6/('I_Inputs &amp; Assumptions'!$B$8/2),'I_Budget Input Data'!$D$123*0.4/('I_Inputs &amp; Assumptions'!$B$8/2)),IF('I_Budget Input Data'!$E$123="Back-loaded",IF(6&lt;='I_Inputs &amp; Assumptions'!$B$8/2,'I_Budget Input Data'!$D$123*0.4/('I_Inputs &amp; Assumptions'!$B$8/2),'I_Budget Input Data'!$D$123*0.6/('I_Inputs &amp; Assumptions'!$B$8/2)),IF('I_Budget Input Data'!$E$123="Mid-weighted",IF(6&lt;='I_Inputs &amp; Assumptions'!$B$8/4,'I_Budget Input Data'!$D$123*0.2/('I_Inputs &amp; Assumptions'!$B$8/4),IF(6&lt;='I_Inputs &amp; Assumptions'!$B$8*0.75,'I_Budget Input Data'!$D$123*0.6/('I_Inputs &amp; Assumptions'!$B$8/2),'I_Budget Input Data'!$D$123*0.2/('I_Inputs &amp; Assumptions'!$B$8/4))),IF('I_Budget Input Data'!$E$123="At Completion",IF(6='I_Inputs &amp; Assumptions'!$B$8,'I_Budget Input Data'!$D$123,0),'I_Budget Input Data'!$D$123/'I_Inputs &amp; Assumptions'!$B$8)))))),0)</f>
        <v>34889.169230769228</v>
      </c>
      <c r="I123" s="91">
        <f>IF(7&lt;='I_Inputs &amp; Assumptions'!$B$8,IF('I_Budget Input Data'!$E$123="Upfront",IF(7=1,'I_Budget Input Data'!$D$123,0),IF('I_Budget Input Data'!$E$123="Equal",'I_Budget Input Data'!$D$123/'I_Inputs &amp; Assumptions'!$B$8,IF('I_Budget Input Data'!$E$123="Front-loaded",IF(7&lt;='I_Inputs &amp; Assumptions'!$B$8/2,'I_Budget Input Data'!$D$123*0.6/('I_Inputs &amp; Assumptions'!$B$8/2),'I_Budget Input Data'!$D$123*0.4/('I_Inputs &amp; Assumptions'!$B$8/2)),IF('I_Budget Input Data'!$E$123="Back-loaded",IF(7&lt;='I_Inputs &amp; Assumptions'!$B$8/2,'I_Budget Input Data'!$D$123*0.4/('I_Inputs &amp; Assumptions'!$B$8/2),'I_Budget Input Data'!$D$123*0.6/('I_Inputs &amp; Assumptions'!$B$8/2)),IF('I_Budget Input Data'!$E$123="Mid-weighted",IF(7&lt;='I_Inputs &amp; Assumptions'!$B$8/4,'I_Budget Input Data'!$D$123*0.2/('I_Inputs &amp; Assumptions'!$B$8/4),IF(7&lt;='I_Inputs &amp; Assumptions'!$B$8*0.75,'I_Budget Input Data'!$D$123*0.6/('I_Inputs &amp; Assumptions'!$B$8/2),'I_Budget Input Data'!$D$123*0.2/('I_Inputs &amp; Assumptions'!$B$8/4))),IF('I_Budget Input Data'!$E$123="At Completion",IF(7='I_Inputs &amp; Assumptions'!$B$8,'I_Budget Input Data'!$D$123,0),'I_Budget Input Data'!$D$123/'I_Inputs &amp; Assumptions'!$B$8)))))),0)</f>
        <v>34889.169230769228</v>
      </c>
      <c r="J123" s="91">
        <f>IF(8&lt;='I_Inputs &amp; Assumptions'!$B$8,IF('I_Budget Input Data'!$E$123="Upfront",IF(8=1,'I_Budget Input Data'!$D$123,0),IF('I_Budget Input Data'!$E$123="Equal",'I_Budget Input Data'!$D$123/'I_Inputs &amp; Assumptions'!$B$8,IF('I_Budget Input Data'!$E$123="Front-loaded",IF(8&lt;='I_Inputs &amp; Assumptions'!$B$8/2,'I_Budget Input Data'!$D$123*0.6/('I_Inputs &amp; Assumptions'!$B$8/2),'I_Budget Input Data'!$D$123*0.4/('I_Inputs &amp; Assumptions'!$B$8/2)),IF('I_Budget Input Data'!$E$123="Back-loaded",IF(8&lt;='I_Inputs &amp; Assumptions'!$B$8/2,'I_Budget Input Data'!$D$123*0.4/('I_Inputs &amp; Assumptions'!$B$8/2),'I_Budget Input Data'!$D$123*0.6/('I_Inputs &amp; Assumptions'!$B$8/2)),IF('I_Budget Input Data'!$E$123="Mid-weighted",IF(8&lt;='I_Inputs &amp; Assumptions'!$B$8/4,'I_Budget Input Data'!$D$123*0.2/('I_Inputs &amp; Assumptions'!$B$8/4),IF(8&lt;='I_Inputs &amp; Assumptions'!$B$8*0.75,'I_Budget Input Data'!$D$123*0.6/('I_Inputs &amp; Assumptions'!$B$8/2),'I_Budget Input Data'!$D$123*0.2/('I_Inputs &amp; Assumptions'!$B$8/4))),IF('I_Budget Input Data'!$E$123="At Completion",IF(8='I_Inputs &amp; Assumptions'!$B$8,'I_Budget Input Data'!$D$123,0),'I_Budget Input Data'!$D$123/'I_Inputs &amp; Assumptions'!$B$8)))))),0)</f>
        <v>34889.169230769228</v>
      </c>
      <c r="K123" s="91">
        <f>IF(9&lt;='I_Inputs &amp; Assumptions'!$B$8,IF('I_Budget Input Data'!$E$123="Upfront",IF(9=1,'I_Budget Input Data'!$D$123,0),IF('I_Budget Input Data'!$E$123="Equal",'I_Budget Input Data'!$D$123/'I_Inputs &amp; Assumptions'!$B$8,IF('I_Budget Input Data'!$E$123="Front-loaded",IF(9&lt;='I_Inputs &amp; Assumptions'!$B$8/2,'I_Budget Input Data'!$D$123*0.6/('I_Inputs &amp; Assumptions'!$B$8/2),'I_Budget Input Data'!$D$123*0.4/('I_Inputs &amp; Assumptions'!$B$8/2)),IF('I_Budget Input Data'!$E$123="Back-loaded",IF(9&lt;='I_Inputs &amp; Assumptions'!$B$8/2,'I_Budget Input Data'!$D$123*0.4/('I_Inputs &amp; Assumptions'!$B$8/2),'I_Budget Input Data'!$D$123*0.6/('I_Inputs &amp; Assumptions'!$B$8/2)),IF('I_Budget Input Data'!$E$123="Mid-weighted",IF(9&lt;='I_Inputs &amp; Assumptions'!$B$8/4,'I_Budget Input Data'!$D$123*0.2/('I_Inputs &amp; Assumptions'!$B$8/4),IF(9&lt;='I_Inputs &amp; Assumptions'!$B$8*0.75,'I_Budget Input Data'!$D$123*0.6/('I_Inputs &amp; Assumptions'!$B$8/2),'I_Budget Input Data'!$D$123*0.2/('I_Inputs &amp; Assumptions'!$B$8/4))),IF('I_Budget Input Data'!$E$123="At Completion",IF(9='I_Inputs &amp; Assumptions'!$B$8,'I_Budget Input Data'!$D$123,0),'I_Budget Input Data'!$D$123/'I_Inputs &amp; Assumptions'!$B$8)))))),0)</f>
        <v>34889.169230769228</v>
      </c>
      <c r="L123" s="91">
        <f>IF(10&lt;='I_Inputs &amp; Assumptions'!$B$8,IF('I_Budget Input Data'!$E$123="Upfront",IF(10=1,'I_Budget Input Data'!$D$123,0),IF('I_Budget Input Data'!$E$123="Equal",'I_Budget Input Data'!$D$123/'I_Inputs &amp; Assumptions'!$B$8,IF('I_Budget Input Data'!$E$123="Front-loaded",IF(10&lt;='I_Inputs &amp; Assumptions'!$B$8/2,'I_Budget Input Data'!$D$123*0.6/('I_Inputs &amp; Assumptions'!$B$8/2),'I_Budget Input Data'!$D$123*0.4/('I_Inputs &amp; Assumptions'!$B$8/2)),IF('I_Budget Input Data'!$E$123="Back-loaded",IF(10&lt;='I_Inputs &amp; Assumptions'!$B$8/2,'I_Budget Input Data'!$D$123*0.4/('I_Inputs &amp; Assumptions'!$B$8/2),'I_Budget Input Data'!$D$123*0.6/('I_Inputs &amp; Assumptions'!$B$8/2)),IF('I_Budget Input Data'!$E$123="Mid-weighted",IF(10&lt;='I_Inputs &amp; Assumptions'!$B$8/4,'I_Budget Input Data'!$D$123*0.2/('I_Inputs &amp; Assumptions'!$B$8/4),IF(10&lt;='I_Inputs &amp; Assumptions'!$B$8*0.75,'I_Budget Input Data'!$D$123*0.6/('I_Inputs &amp; Assumptions'!$B$8/2),'I_Budget Input Data'!$D$123*0.2/('I_Inputs &amp; Assumptions'!$B$8/4))),IF('I_Budget Input Data'!$E$123="At Completion",IF(10='I_Inputs &amp; Assumptions'!$B$8,'I_Budget Input Data'!$D$123,0),'I_Budget Input Data'!$D$123/'I_Inputs &amp; Assumptions'!$B$8)))))),0)</f>
        <v>23259.446153846155</v>
      </c>
      <c r="M123" s="91">
        <f>IF(11&lt;='I_Inputs &amp; Assumptions'!$B$8,IF('I_Budget Input Data'!$E$123="Upfront",IF(11=1,'I_Budget Input Data'!$D$123,0),IF('I_Budget Input Data'!$E$123="Equal",'I_Budget Input Data'!$D$123/'I_Inputs &amp; Assumptions'!$B$8,IF('I_Budget Input Data'!$E$123="Front-loaded",IF(11&lt;='I_Inputs &amp; Assumptions'!$B$8/2,'I_Budget Input Data'!$D$123*0.6/('I_Inputs &amp; Assumptions'!$B$8/2),'I_Budget Input Data'!$D$123*0.4/('I_Inputs &amp; Assumptions'!$B$8/2)),IF('I_Budget Input Data'!$E$123="Back-loaded",IF(11&lt;='I_Inputs &amp; Assumptions'!$B$8/2,'I_Budget Input Data'!$D$123*0.4/('I_Inputs &amp; Assumptions'!$B$8/2),'I_Budget Input Data'!$D$123*0.6/('I_Inputs &amp; Assumptions'!$B$8/2)),IF('I_Budget Input Data'!$E$123="Mid-weighted",IF(11&lt;='I_Inputs &amp; Assumptions'!$B$8/4,'I_Budget Input Data'!$D$123*0.2/('I_Inputs &amp; Assumptions'!$B$8/4),IF(11&lt;='I_Inputs &amp; Assumptions'!$B$8*0.75,'I_Budget Input Data'!$D$123*0.6/('I_Inputs &amp; Assumptions'!$B$8/2),'I_Budget Input Data'!$D$123*0.2/('I_Inputs &amp; Assumptions'!$B$8/4))),IF('I_Budget Input Data'!$E$123="At Completion",IF(11='I_Inputs &amp; Assumptions'!$B$8,'I_Budget Input Data'!$D$123,0),'I_Budget Input Data'!$D$123/'I_Inputs &amp; Assumptions'!$B$8)))))),0)</f>
        <v>23259.446153846155</v>
      </c>
      <c r="N123" s="91">
        <f>IF(12&lt;='I_Inputs &amp; Assumptions'!$B$8,IF('I_Budget Input Data'!$E$123="Upfront",IF(12=1,'I_Budget Input Data'!$D$123,0),IF('I_Budget Input Data'!$E$123="Equal",'I_Budget Input Data'!$D$123/'I_Inputs &amp; Assumptions'!$B$8,IF('I_Budget Input Data'!$E$123="Front-loaded",IF(12&lt;='I_Inputs &amp; Assumptions'!$B$8/2,'I_Budget Input Data'!$D$123*0.6/('I_Inputs &amp; Assumptions'!$B$8/2),'I_Budget Input Data'!$D$123*0.4/('I_Inputs &amp; Assumptions'!$B$8/2)),IF('I_Budget Input Data'!$E$123="Back-loaded",IF(12&lt;='I_Inputs &amp; Assumptions'!$B$8/2,'I_Budget Input Data'!$D$123*0.4/('I_Inputs &amp; Assumptions'!$B$8/2),'I_Budget Input Data'!$D$123*0.6/('I_Inputs &amp; Assumptions'!$B$8/2)),IF('I_Budget Input Data'!$E$123="Mid-weighted",IF(12&lt;='I_Inputs &amp; Assumptions'!$B$8/4,'I_Budget Input Data'!$D$123*0.2/('I_Inputs &amp; Assumptions'!$B$8/4),IF(12&lt;='I_Inputs &amp; Assumptions'!$B$8*0.75,'I_Budget Input Data'!$D$123*0.6/('I_Inputs &amp; Assumptions'!$B$8/2),'I_Budget Input Data'!$D$123*0.2/('I_Inputs &amp; Assumptions'!$B$8/4))),IF('I_Budget Input Data'!$E$123="At Completion",IF(12='I_Inputs &amp; Assumptions'!$B$8,'I_Budget Input Data'!$D$123,0),'I_Budget Input Data'!$D$123/'I_Inputs &amp; Assumptions'!$B$8)))))),0)</f>
        <v>23259.446153846155</v>
      </c>
      <c r="O123" s="91">
        <f>IF(13&lt;='I_Inputs &amp; Assumptions'!$B$8,IF('I_Budget Input Data'!$E$123="Upfront",IF(13=1,'I_Budget Input Data'!$D$123,0),IF('I_Budget Input Data'!$E$123="Equal",'I_Budget Input Data'!$D$123/'I_Inputs &amp; Assumptions'!$B$8,IF('I_Budget Input Data'!$E$123="Front-loaded",IF(13&lt;='I_Inputs &amp; Assumptions'!$B$8/2,'I_Budget Input Data'!$D$123*0.6/('I_Inputs &amp; Assumptions'!$B$8/2),'I_Budget Input Data'!$D$123*0.4/('I_Inputs &amp; Assumptions'!$B$8/2)),IF('I_Budget Input Data'!$E$123="Back-loaded",IF(13&lt;='I_Inputs &amp; Assumptions'!$B$8/2,'I_Budget Input Data'!$D$123*0.4/('I_Inputs &amp; Assumptions'!$B$8/2),'I_Budget Input Data'!$D$123*0.6/('I_Inputs &amp; Assumptions'!$B$8/2)),IF('I_Budget Input Data'!$E$123="Mid-weighted",IF(13&lt;='I_Inputs &amp; Assumptions'!$B$8/4,'I_Budget Input Data'!$D$123*0.2/('I_Inputs &amp; Assumptions'!$B$8/4),IF(13&lt;='I_Inputs &amp; Assumptions'!$B$8*0.75,'I_Budget Input Data'!$D$123*0.6/('I_Inputs &amp; Assumptions'!$B$8/2),'I_Budget Input Data'!$D$123*0.2/('I_Inputs &amp; Assumptions'!$B$8/4))),IF('I_Budget Input Data'!$E$123="At Completion",IF(13='I_Inputs &amp; Assumptions'!$B$8,'I_Budget Input Data'!$D$123,0),'I_Budget Input Data'!$D$123/'I_Inputs &amp; Assumptions'!$B$8)))))),0)</f>
        <v>23259.446153846155</v>
      </c>
      <c r="P123" s="91">
        <f>IF(14&lt;='I_Inputs &amp; Assumptions'!$B$8,IF('I_Budget Input Data'!$E$123="Upfront",IF(14=1,'I_Budget Input Data'!$D$123,0),IF('I_Budget Input Data'!$E$123="Equal",'I_Budget Input Data'!$D$123/'I_Inputs &amp; Assumptions'!$B$8,IF('I_Budget Input Data'!$E$123="Front-loaded",IF(14&lt;='I_Inputs &amp; Assumptions'!$B$8/2,'I_Budget Input Data'!$D$123*0.6/('I_Inputs &amp; Assumptions'!$B$8/2),'I_Budget Input Data'!$D$123*0.4/('I_Inputs &amp; Assumptions'!$B$8/2)),IF('I_Budget Input Data'!$E$123="Back-loaded",IF(14&lt;='I_Inputs &amp; Assumptions'!$B$8/2,'I_Budget Input Data'!$D$123*0.4/('I_Inputs &amp; Assumptions'!$B$8/2),'I_Budget Input Data'!$D$123*0.6/('I_Inputs &amp; Assumptions'!$B$8/2)),IF('I_Budget Input Data'!$E$123="Mid-weighted",IF(14&lt;='I_Inputs &amp; Assumptions'!$B$8/4,'I_Budget Input Data'!$D$123*0.2/('I_Inputs &amp; Assumptions'!$B$8/4),IF(14&lt;='I_Inputs &amp; Assumptions'!$B$8*0.75,'I_Budget Input Data'!$D$123*0.6/('I_Inputs &amp; Assumptions'!$B$8/2),'I_Budget Input Data'!$D$123*0.2/('I_Inputs &amp; Assumptions'!$B$8/4))),IF('I_Budget Input Data'!$E$123="At Completion",IF(14='I_Inputs &amp; Assumptions'!$B$8,'I_Budget Input Data'!$D$123,0),'I_Budget Input Data'!$D$123/'I_Inputs &amp; Assumptions'!$B$8)))))),0)</f>
        <v>0</v>
      </c>
      <c r="Q123" s="91">
        <f>IF(15&lt;='I_Inputs &amp; Assumptions'!$B$8,IF('I_Budget Input Data'!$E$123="Upfront",IF(15=1,'I_Budget Input Data'!$D$123,0),IF('I_Budget Input Data'!$E$123="Equal",'I_Budget Input Data'!$D$123/'I_Inputs &amp; Assumptions'!$B$8,IF('I_Budget Input Data'!$E$123="Front-loaded",IF(15&lt;='I_Inputs &amp; Assumptions'!$B$8/2,'I_Budget Input Data'!$D$123*0.6/('I_Inputs &amp; Assumptions'!$B$8/2),'I_Budget Input Data'!$D$123*0.4/('I_Inputs &amp; Assumptions'!$B$8/2)),IF('I_Budget Input Data'!$E$123="Back-loaded",IF(15&lt;='I_Inputs &amp; Assumptions'!$B$8/2,'I_Budget Input Data'!$D$123*0.4/('I_Inputs &amp; Assumptions'!$B$8/2),'I_Budget Input Data'!$D$123*0.6/('I_Inputs &amp; Assumptions'!$B$8/2)),IF('I_Budget Input Data'!$E$123="Mid-weighted",IF(15&lt;='I_Inputs &amp; Assumptions'!$B$8/4,'I_Budget Input Data'!$D$123*0.2/('I_Inputs &amp; Assumptions'!$B$8/4),IF(15&lt;='I_Inputs &amp; Assumptions'!$B$8*0.75,'I_Budget Input Data'!$D$123*0.6/('I_Inputs &amp; Assumptions'!$B$8/2),'I_Budget Input Data'!$D$123*0.2/('I_Inputs &amp; Assumptions'!$B$8/4))),IF('I_Budget Input Data'!$E$123="At Completion",IF(15='I_Inputs &amp; Assumptions'!$B$8,'I_Budget Input Data'!$D$123,0),'I_Budget Input Data'!$D$123/'I_Inputs &amp; Assumptions'!$B$8)))))),0)</f>
        <v>0</v>
      </c>
      <c r="R123" s="91">
        <f>IF(16&lt;='I_Inputs &amp; Assumptions'!$B$8,IF('I_Budget Input Data'!$E$123="Upfront",IF(16=1,'I_Budget Input Data'!$D$123,0),IF('I_Budget Input Data'!$E$123="Equal",'I_Budget Input Data'!$D$123/'I_Inputs &amp; Assumptions'!$B$8,IF('I_Budget Input Data'!$E$123="Front-loaded",IF(16&lt;='I_Inputs &amp; Assumptions'!$B$8/2,'I_Budget Input Data'!$D$123*0.6/('I_Inputs &amp; Assumptions'!$B$8/2),'I_Budget Input Data'!$D$123*0.4/('I_Inputs &amp; Assumptions'!$B$8/2)),IF('I_Budget Input Data'!$E$123="Back-loaded",IF(16&lt;='I_Inputs &amp; Assumptions'!$B$8/2,'I_Budget Input Data'!$D$123*0.4/('I_Inputs &amp; Assumptions'!$B$8/2),'I_Budget Input Data'!$D$123*0.6/('I_Inputs &amp; Assumptions'!$B$8/2)),IF('I_Budget Input Data'!$E$123="Mid-weighted",IF(16&lt;='I_Inputs &amp; Assumptions'!$B$8/4,'I_Budget Input Data'!$D$123*0.2/('I_Inputs &amp; Assumptions'!$B$8/4),IF(16&lt;='I_Inputs &amp; Assumptions'!$B$8*0.75,'I_Budget Input Data'!$D$123*0.6/('I_Inputs &amp; Assumptions'!$B$8/2),'I_Budget Input Data'!$D$123*0.2/('I_Inputs &amp; Assumptions'!$B$8/4))),IF('I_Budget Input Data'!$E$123="At Completion",IF(16='I_Inputs &amp; Assumptions'!$B$8,'I_Budget Input Data'!$D$123,0),'I_Budget Input Data'!$D$123/'I_Inputs &amp; Assumptions'!$B$8)))))),0)</f>
        <v>0</v>
      </c>
      <c r="S123" s="91">
        <f>IF(17&lt;='I_Inputs &amp; Assumptions'!$B$8,IF('I_Budget Input Data'!$E$123="Upfront",IF(17=1,'I_Budget Input Data'!$D$123,0),IF('I_Budget Input Data'!$E$123="Equal",'I_Budget Input Data'!$D$123/'I_Inputs &amp; Assumptions'!$B$8,IF('I_Budget Input Data'!$E$123="Front-loaded",IF(17&lt;='I_Inputs &amp; Assumptions'!$B$8/2,'I_Budget Input Data'!$D$123*0.6/('I_Inputs &amp; Assumptions'!$B$8/2),'I_Budget Input Data'!$D$123*0.4/('I_Inputs &amp; Assumptions'!$B$8/2)),IF('I_Budget Input Data'!$E$123="Back-loaded",IF(17&lt;='I_Inputs &amp; Assumptions'!$B$8/2,'I_Budget Input Data'!$D$123*0.4/('I_Inputs &amp; Assumptions'!$B$8/2),'I_Budget Input Data'!$D$123*0.6/('I_Inputs &amp; Assumptions'!$B$8/2)),IF('I_Budget Input Data'!$E$123="Mid-weighted",IF(17&lt;='I_Inputs &amp; Assumptions'!$B$8/4,'I_Budget Input Data'!$D$123*0.2/('I_Inputs &amp; Assumptions'!$B$8/4),IF(17&lt;='I_Inputs &amp; Assumptions'!$B$8*0.75,'I_Budget Input Data'!$D$123*0.6/('I_Inputs &amp; Assumptions'!$B$8/2),'I_Budget Input Data'!$D$123*0.2/('I_Inputs &amp; Assumptions'!$B$8/4))),IF('I_Budget Input Data'!$E$123="At Completion",IF(17='I_Inputs &amp; Assumptions'!$B$8,'I_Budget Input Data'!$D$123,0),'I_Budget Input Data'!$D$123/'I_Inputs &amp; Assumptions'!$B$8)))))),0)</f>
        <v>0</v>
      </c>
      <c r="T123" s="91">
        <f>IF(18&lt;='I_Inputs &amp; Assumptions'!$B$8,IF('I_Budget Input Data'!$E$123="Upfront",IF(18=1,'I_Budget Input Data'!$D$123,0),IF('I_Budget Input Data'!$E$123="Equal",'I_Budget Input Data'!$D$123/'I_Inputs &amp; Assumptions'!$B$8,IF('I_Budget Input Data'!$E$123="Front-loaded",IF(18&lt;='I_Inputs &amp; Assumptions'!$B$8/2,'I_Budget Input Data'!$D$123*0.6/('I_Inputs &amp; Assumptions'!$B$8/2),'I_Budget Input Data'!$D$123*0.4/('I_Inputs &amp; Assumptions'!$B$8/2)),IF('I_Budget Input Data'!$E$123="Back-loaded",IF(18&lt;='I_Inputs &amp; Assumptions'!$B$8/2,'I_Budget Input Data'!$D$123*0.4/('I_Inputs &amp; Assumptions'!$B$8/2),'I_Budget Input Data'!$D$123*0.6/('I_Inputs &amp; Assumptions'!$B$8/2)),IF('I_Budget Input Data'!$E$123="Mid-weighted",IF(18&lt;='I_Inputs &amp; Assumptions'!$B$8/4,'I_Budget Input Data'!$D$123*0.2/('I_Inputs &amp; Assumptions'!$B$8/4),IF(18&lt;='I_Inputs &amp; Assumptions'!$B$8*0.75,'I_Budget Input Data'!$D$123*0.6/('I_Inputs &amp; Assumptions'!$B$8/2),'I_Budget Input Data'!$D$123*0.2/('I_Inputs &amp; Assumptions'!$B$8/4))),IF('I_Budget Input Data'!$E$123="At Completion",IF(18='I_Inputs &amp; Assumptions'!$B$8,'I_Budget Input Data'!$D$123,0),'I_Budget Input Data'!$D$123/'I_Inputs &amp; Assumptions'!$B$8)))))),0)</f>
        <v>0</v>
      </c>
      <c r="U123" s="91">
        <f>IF(19&lt;='I_Inputs &amp; Assumptions'!$B$8,IF('I_Budget Input Data'!$E$123="Upfront",IF(19=1,'I_Budget Input Data'!$D$123,0),IF('I_Budget Input Data'!$E$123="Equal",'I_Budget Input Data'!$D$123/'I_Inputs &amp; Assumptions'!$B$8,IF('I_Budget Input Data'!$E$123="Front-loaded",IF(19&lt;='I_Inputs &amp; Assumptions'!$B$8/2,'I_Budget Input Data'!$D$123*0.6/('I_Inputs &amp; Assumptions'!$B$8/2),'I_Budget Input Data'!$D$123*0.4/('I_Inputs &amp; Assumptions'!$B$8/2)),IF('I_Budget Input Data'!$E$123="Back-loaded",IF(19&lt;='I_Inputs &amp; Assumptions'!$B$8/2,'I_Budget Input Data'!$D$123*0.4/('I_Inputs &amp; Assumptions'!$B$8/2),'I_Budget Input Data'!$D$123*0.6/('I_Inputs &amp; Assumptions'!$B$8/2)),IF('I_Budget Input Data'!$E$123="Mid-weighted",IF(19&lt;='I_Inputs &amp; Assumptions'!$B$8/4,'I_Budget Input Data'!$D$123*0.2/('I_Inputs &amp; Assumptions'!$B$8/4),IF(19&lt;='I_Inputs &amp; Assumptions'!$B$8*0.75,'I_Budget Input Data'!$D$123*0.6/('I_Inputs &amp; Assumptions'!$B$8/2),'I_Budget Input Data'!$D$123*0.2/('I_Inputs &amp; Assumptions'!$B$8/4))),IF('I_Budget Input Data'!$E$123="At Completion",IF(19='I_Inputs &amp; Assumptions'!$B$8,'I_Budget Input Data'!$D$123,0),'I_Budget Input Data'!$D$123/'I_Inputs &amp; Assumptions'!$B$8)))))),0)</f>
        <v>0</v>
      </c>
      <c r="V123" s="91">
        <f>IF(20&lt;='I_Inputs &amp; Assumptions'!$B$8,IF('I_Budget Input Data'!$E$123="Upfront",IF(20=1,'I_Budget Input Data'!$D$123,0),IF('I_Budget Input Data'!$E$123="Equal",'I_Budget Input Data'!$D$123/'I_Inputs &amp; Assumptions'!$B$8,IF('I_Budget Input Data'!$E$123="Front-loaded",IF(20&lt;='I_Inputs &amp; Assumptions'!$B$8/2,'I_Budget Input Data'!$D$123*0.6/('I_Inputs &amp; Assumptions'!$B$8/2),'I_Budget Input Data'!$D$123*0.4/('I_Inputs &amp; Assumptions'!$B$8/2)),IF('I_Budget Input Data'!$E$123="Back-loaded",IF(20&lt;='I_Inputs &amp; Assumptions'!$B$8/2,'I_Budget Input Data'!$D$123*0.4/('I_Inputs &amp; Assumptions'!$B$8/2),'I_Budget Input Data'!$D$123*0.6/('I_Inputs &amp; Assumptions'!$B$8/2)),IF('I_Budget Input Data'!$E$123="Mid-weighted",IF(20&lt;='I_Inputs &amp; Assumptions'!$B$8/4,'I_Budget Input Data'!$D$123*0.2/('I_Inputs &amp; Assumptions'!$B$8/4),IF(20&lt;='I_Inputs &amp; Assumptions'!$B$8*0.75,'I_Budget Input Data'!$D$123*0.6/('I_Inputs &amp; Assumptions'!$B$8/2),'I_Budget Input Data'!$D$123*0.2/('I_Inputs &amp; Assumptions'!$B$8/4))),IF('I_Budget Input Data'!$E$123="At Completion",IF(20='I_Inputs &amp; Assumptions'!$B$8,'I_Budget Input Data'!$D$123,0),'I_Budget Input Data'!$D$123/'I_Inputs &amp; Assumptions'!$B$8)))))),0)</f>
        <v>0</v>
      </c>
      <c r="W123" s="91">
        <f>IF(21&lt;='I_Inputs &amp; Assumptions'!$B$8,IF('I_Budget Input Data'!$E$123="Upfront",IF(21=1,'I_Budget Input Data'!$D$123,0),IF('I_Budget Input Data'!$E$123="Equal",'I_Budget Input Data'!$D$123/'I_Inputs &amp; Assumptions'!$B$8,IF('I_Budget Input Data'!$E$123="Front-loaded",IF(21&lt;='I_Inputs &amp; Assumptions'!$B$8/2,'I_Budget Input Data'!$D$123*0.6/('I_Inputs &amp; Assumptions'!$B$8/2),'I_Budget Input Data'!$D$123*0.4/('I_Inputs &amp; Assumptions'!$B$8/2)),IF('I_Budget Input Data'!$E$123="Back-loaded",IF(21&lt;='I_Inputs &amp; Assumptions'!$B$8/2,'I_Budget Input Data'!$D$123*0.4/('I_Inputs &amp; Assumptions'!$B$8/2),'I_Budget Input Data'!$D$123*0.6/('I_Inputs &amp; Assumptions'!$B$8/2)),IF('I_Budget Input Data'!$E$123="Mid-weighted",IF(21&lt;='I_Inputs &amp; Assumptions'!$B$8/4,'I_Budget Input Data'!$D$123*0.2/('I_Inputs &amp; Assumptions'!$B$8/4),IF(21&lt;='I_Inputs &amp; Assumptions'!$B$8*0.75,'I_Budget Input Data'!$D$123*0.6/('I_Inputs &amp; Assumptions'!$B$8/2),'I_Budget Input Data'!$D$123*0.2/('I_Inputs &amp; Assumptions'!$B$8/4))),IF('I_Budget Input Data'!$E$123="At Completion",IF(21='I_Inputs &amp; Assumptions'!$B$8,'I_Budget Input Data'!$D$123,0),'I_Budget Input Data'!$D$123/'I_Inputs &amp; Assumptions'!$B$8)))))),0)</f>
        <v>0</v>
      </c>
      <c r="X123" s="91">
        <f>IF(22&lt;='I_Inputs &amp; Assumptions'!$B$8,IF('I_Budget Input Data'!$E$123="Upfront",IF(22=1,'I_Budget Input Data'!$D$123,0),IF('I_Budget Input Data'!$E$123="Equal",'I_Budget Input Data'!$D$123/'I_Inputs &amp; Assumptions'!$B$8,IF('I_Budget Input Data'!$E$123="Front-loaded",IF(22&lt;='I_Inputs &amp; Assumptions'!$B$8/2,'I_Budget Input Data'!$D$123*0.6/('I_Inputs &amp; Assumptions'!$B$8/2),'I_Budget Input Data'!$D$123*0.4/('I_Inputs &amp; Assumptions'!$B$8/2)),IF('I_Budget Input Data'!$E$123="Back-loaded",IF(22&lt;='I_Inputs &amp; Assumptions'!$B$8/2,'I_Budget Input Data'!$D$123*0.4/('I_Inputs &amp; Assumptions'!$B$8/2),'I_Budget Input Data'!$D$123*0.6/('I_Inputs &amp; Assumptions'!$B$8/2)),IF('I_Budget Input Data'!$E$123="Mid-weighted",IF(22&lt;='I_Inputs &amp; Assumptions'!$B$8/4,'I_Budget Input Data'!$D$123*0.2/('I_Inputs &amp; Assumptions'!$B$8/4),IF(22&lt;='I_Inputs &amp; Assumptions'!$B$8*0.75,'I_Budget Input Data'!$D$123*0.6/('I_Inputs &amp; Assumptions'!$B$8/2),'I_Budget Input Data'!$D$123*0.2/('I_Inputs &amp; Assumptions'!$B$8/4))),IF('I_Budget Input Data'!$E$123="At Completion",IF(22='I_Inputs &amp; Assumptions'!$B$8,'I_Budget Input Data'!$D$123,0),'I_Budget Input Data'!$D$123/'I_Inputs &amp; Assumptions'!$B$8)))))),0)</f>
        <v>0</v>
      </c>
      <c r="Y123" s="91">
        <f>IF(23&lt;='I_Inputs &amp; Assumptions'!$B$8,IF('I_Budget Input Data'!$E$123="Upfront",IF(23=1,'I_Budget Input Data'!$D$123,0),IF('I_Budget Input Data'!$E$123="Equal",'I_Budget Input Data'!$D$123/'I_Inputs &amp; Assumptions'!$B$8,IF('I_Budget Input Data'!$E$123="Front-loaded",IF(23&lt;='I_Inputs &amp; Assumptions'!$B$8/2,'I_Budget Input Data'!$D$123*0.6/('I_Inputs &amp; Assumptions'!$B$8/2),'I_Budget Input Data'!$D$123*0.4/('I_Inputs &amp; Assumptions'!$B$8/2)),IF('I_Budget Input Data'!$E$123="Back-loaded",IF(23&lt;='I_Inputs &amp; Assumptions'!$B$8/2,'I_Budget Input Data'!$D$123*0.4/('I_Inputs &amp; Assumptions'!$B$8/2),'I_Budget Input Data'!$D$123*0.6/('I_Inputs &amp; Assumptions'!$B$8/2)),IF('I_Budget Input Data'!$E$123="Mid-weighted",IF(23&lt;='I_Inputs &amp; Assumptions'!$B$8/4,'I_Budget Input Data'!$D$123*0.2/('I_Inputs &amp; Assumptions'!$B$8/4),IF(23&lt;='I_Inputs &amp; Assumptions'!$B$8*0.75,'I_Budget Input Data'!$D$123*0.6/('I_Inputs &amp; Assumptions'!$B$8/2),'I_Budget Input Data'!$D$123*0.2/('I_Inputs &amp; Assumptions'!$B$8/4))),IF('I_Budget Input Data'!$E$123="At Completion",IF(23='I_Inputs &amp; Assumptions'!$B$8,'I_Budget Input Data'!$D$123,0),'I_Budget Input Data'!$D$123/'I_Inputs &amp; Assumptions'!$B$8)))))),0)</f>
        <v>0</v>
      </c>
      <c r="Z123" s="91">
        <f>IF(24&lt;='I_Inputs &amp; Assumptions'!$B$8,IF('I_Budget Input Data'!$E$123="Upfront",IF(24=1,'I_Budget Input Data'!$D$123,0),IF('I_Budget Input Data'!$E$123="Equal",'I_Budget Input Data'!$D$123/'I_Inputs &amp; Assumptions'!$B$8,IF('I_Budget Input Data'!$E$123="Front-loaded",IF(24&lt;='I_Inputs &amp; Assumptions'!$B$8/2,'I_Budget Input Data'!$D$123*0.6/('I_Inputs &amp; Assumptions'!$B$8/2),'I_Budget Input Data'!$D$123*0.4/('I_Inputs &amp; Assumptions'!$B$8/2)),IF('I_Budget Input Data'!$E$123="Back-loaded",IF(24&lt;='I_Inputs &amp; Assumptions'!$B$8/2,'I_Budget Input Data'!$D$123*0.4/('I_Inputs &amp; Assumptions'!$B$8/2),'I_Budget Input Data'!$D$123*0.6/('I_Inputs &amp; Assumptions'!$B$8/2)),IF('I_Budget Input Data'!$E$123="Mid-weighted",IF(24&lt;='I_Inputs &amp; Assumptions'!$B$8/4,'I_Budget Input Data'!$D$123*0.2/('I_Inputs &amp; Assumptions'!$B$8/4),IF(24&lt;='I_Inputs &amp; Assumptions'!$B$8*0.75,'I_Budget Input Data'!$D$123*0.6/('I_Inputs &amp; Assumptions'!$B$8/2),'I_Budget Input Data'!$D$123*0.2/('I_Inputs &amp; Assumptions'!$B$8/4))),IF('I_Budget Input Data'!$E$123="At Completion",IF(24='I_Inputs &amp; Assumptions'!$B$8,'I_Budget Input Data'!$D$123,0),'I_Budget Input Data'!$D$123/'I_Inputs &amp; Assumptions'!$B$8)))))),0)</f>
        <v>0</v>
      </c>
      <c r="AA123" s="91">
        <f>IF(25&lt;='I_Inputs &amp; Assumptions'!$B$8,IF('I_Budget Input Data'!$E$123="Upfront",IF(25=1,'I_Budget Input Data'!$D$123,0),IF('I_Budget Input Data'!$E$123="Equal",'I_Budget Input Data'!$D$123/'I_Inputs &amp; Assumptions'!$B$8,IF('I_Budget Input Data'!$E$123="Front-loaded",IF(25&lt;='I_Inputs &amp; Assumptions'!$B$8/2,'I_Budget Input Data'!$D$123*0.6/('I_Inputs &amp; Assumptions'!$B$8/2),'I_Budget Input Data'!$D$123*0.4/('I_Inputs &amp; Assumptions'!$B$8/2)),IF('I_Budget Input Data'!$E$123="Back-loaded",IF(25&lt;='I_Inputs &amp; Assumptions'!$B$8/2,'I_Budget Input Data'!$D$123*0.4/('I_Inputs &amp; Assumptions'!$B$8/2),'I_Budget Input Data'!$D$123*0.6/('I_Inputs &amp; Assumptions'!$B$8/2)),IF('I_Budget Input Data'!$E$123="Mid-weighted",IF(25&lt;='I_Inputs &amp; Assumptions'!$B$8/4,'I_Budget Input Data'!$D$123*0.2/('I_Inputs &amp; Assumptions'!$B$8/4),IF(25&lt;='I_Inputs &amp; Assumptions'!$B$8*0.75,'I_Budget Input Data'!$D$123*0.6/('I_Inputs &amp; Assumptions'!$B$8/2),'I_Budget Input Data'!$D$123*0.2/('I_Inputs &amp; Assumptions'!$B$8/4))),IF('I_Budget Input Data'!$E$123="At Completion",IF(25='I_Inputs &amp; Assumptions'!$B$8,'I_Budget Input Data'!$D$123,0),'I_Budget Input Data'!$D$123/'I_Inputs &amp; Assumptions'!$B$8)))))),0)</f>
        <v>0</v>
      </c>
      <c r="AB123" s="91">
        <f>IF(26&lt;='I_Inputs &amp; Assumptions'!$B$8,IF('I_Budget Input Data'!$E$123="Upfront",IF(26=1,'I_Budget Input Data'!$D$123,0),IF('I_Budget Input Data'!$E$123="Equal",'I_Budget Input Data'!$D$123/'I_Inputs &amp; Assumptions'!$B$8,IF('I_Budget Input Data'!$E$123="Front-loaded",IF(26&lt;='I_Inputs &amp; Assumptions'!$B$8/2,'I_Budget Input Data'!$D$123*0.6/('I_Inputs &amp; Assumptions'!$B$8/2),'I_Budget Input Data'!$D$123*0.4/('I_Inputs &amp; Assumptions'!$B$8/2)),IF('I_Budget Input Data'!$E$123="Back-loaded",IF(26&lt;='I_Inputs &amp; Assumptions'!$B$8/2,'I_Budget Input Data'!$D$123*0.4/('I_Inputs &amp; Assumptions'!$B$8/2),'I_Budget Input Data'!$D$123*0.6/('I_Inputs &amp; Assumptions'!$B$8/2)),IF('I_Budget Input Data'!$E$123="Mid-weighted",IF(26&lt;='I_Inputs &amp; Assumptions'!$B$8/4,'I_Budget Input Data'!$D$123*0.2/('I_Inputs &amp; Assumptions'!$B$8/4),IF(26&lt;='I_Inputs &amp; Assumptions'!$B$8*0.75,'I_Budget Input Data'!$D$123*0.6/('I_Inputs &amp; Assumptions'!$B$8/2),'I_Budget Input Data'!$D$123*0.2/('I_Inputs &amp; Assumptions'!$B$8/4))),IF('I_Budget Input Data'!$E$123="At Completion",IF(26='I_Inputs &amp; Assumptions'!$B$8,'I_Budget Input Data'!$D$123,0),'I_Budget Input Data'!$D$123/'I_Inputs &amp; Assumptions'!$B$8)))))),0)</f>
        <v>0</v>
      </c>
      <c r="AC123" s="91">
        <f>IF(27&lt;='I_Inputs &amp; Assumptions'!$B$8,IF('I_Budget Input Data'!$E$123="Upfront",IF(27=1,'I_Budget Input Data'!$D$123,0),IF('I_Budget Input Data'!$E$123="Equal",'I_Budget Input Data'!$D$123/'I_Inputs &amp; Assumptions'!$B$8,IF('I_Budget Input Data'!$E$123="Front-loaded",IF(27&lt;='I_Inputs &amp; Assumptions'!$B$8/2,'I_Budget Input Data'!$D$123*0.6/('I_Inputs &amp; Assumptions'!$B$8/2),'I_Budget Input Data'!$D$123*0.4/('I_Inputs &amp; Assumptions'!$B$8/2)),IF('I_Budget Input Data'!$E$123="Back-loaded",IF(27&lt;='I_Inputs &amp; Assumptions'!$B$8/2,'I_Budget Input Data'!$D$123*0.4/('I_Inputs &amp; Assumptions'!$B$8/2),'I_Budget Input Data'!$D$123*0.6/('I_Inputs &amp; Assumptions'!$B$8/2)),IF('I_Budget Input Data'!$E$123="Mid-weighted",IF(27&lt;='I_Inputs &amp; Assumptions'!$B$8/4,'I_Budget Input Data'!$D$123*0.2/('I_Inputs &amp; Assumptions'!$B$8/4),IF(27&lt;='I_Inputs &amp; Assumptions'!$B$8*0.75,'I_Budget Input Data'!$D$123*0.6/('I_Inputs &amp; Assumptions'!$B$8/2),'I_Budget Input Data'!$D$123*0.2/('I_Inputs &amp; Assumptions'!$B$8/4))),IF('I_Budget Input Data'!$E$123="At Completion",IF(27='I_Inputs &amp; Assumptions'!$B$8,'I_Budget Input Data'!$D$123,0),'I_Budget Input Data'!$D$123/'I_Inputs &amp; Assumptions'!$B$8)))))),0)</f>
        <v>0</v>
      </c>
      <c r="AD123" s="91">
        <f>IF(28&lt;='I_Inputs &amp; Assumptions'!$B$8,IF('I_Budget Input Data'!$E$123="Upfront",IF(28=1,'I_Budget Input Data'!$D$123,0),IF('I_Budget Input Data'!$E$123="Equal",'I_Budget Input Data'!$D$123/'I_Inputs &amp; Assumptions'!$B$8,IF('I_Budget Input Data'!$E$123="Front-loaded",IF(28&lt;='I_Inputs &amp; Assumptions'!$B$8/2,'I_Budget Input Data'!$D$123*0.6/('I_Inputs &amp; Assumptions'!$B$8/2),'I_Budget Input Data'!$D$123*0.4/('I_Inputs &amp; Assumptions'!$B$8/2)),IF('I_Budget Input Data'!$E$123="Back-loaded",IF(28&lt;='I_Inputs &amp; Assumptions'!$B$8/2,'I_Budget Input Data'!$D$123*0.4/('I_Inputs &amp; Assumptions'!$B$8/2),'I_Budget Input Data'!$D$123*0.6/('I_Inputs &amp; Assumptions'!$B$8/2)),IF('I_Budget Input Data'!$E$123="Mid-weighted",IF(28&lt;='I_Inputs &amp; Assumptions'!$B$8/4,'I_Budget Input Data'!$D$123*0.2/('I_Inputs &amp; Assumptions'!$B$8/4),IF(28&lt;='I_Inputs &amp; Assumptions'!$B$8*0.75,'I_Budget Input Data'!$D$123*0.6/('I_Inputs &amp; Assumptions'!$B$8/2),'I_Budget Input Data'!$D$123*0.2/('I_Inputs &amp; Assumptions'!$B$8/4))),IF('I_Budget Input Data'!$E$123="At Completion",IF(28='I_Inputs &amp; Assumptions'!$B$8,'I_Budget Input Data'!$D$123,0),'I_Budget Input Data'!$D$123/'I_Inputs &amp; Assumptions'!$B$8)))))),0)</f>
        <v>0</v>
      </c>
      <c r="AE123" s="91">
        <f>IF(29&lt;='I_Inputs &amp; Assumptions'!$B$8,IF('I_Budget Input Data'!$E$123="Upfront",IF(29=1,'I_Budget Input Data'!$D$123,0),IF('I_Budget Input Data'!$E$123="Equal",'I_Budget Input Data'!$D$123/'I_Inputs &amp; Assumptions'!$B$8,IF('I_Budget Input Data'!$E$123="Front-loaded",IF(29&lt;='I_Inputs &amp; Assumptions'!$B$8/2,'I_Budget Input Data'!$D$123*0.6/('I_Inputs &amp; Assumptions'!$B$8/2),'I_Budget Input Data'!$D$123*0.4/('I_Inputs &amp; Assumptions'!$B$8/2)),IF('I_Budget Input Data'!$E$123="Back-loaded",IF(29&lt;='I_Inputs &amp; Assumptions'!$B$8/2,'I_Budget Input Data'!$D$123*0.4/('I_Inputs &amp; Assumptions'!$B$8/2),'I_Budget Input Data'!$D$123*0.6/('I_Inputs &amp; Assumptions'!$B$8/2)),IF('I_Budget Input Data'!$E$123="Mid-weighted",IF(29&lt;='I_Inputs &amp; Assumptions'!$B$8/4,'I_Budget Input Data'!$D$123*0.2/('I_Inputs &amp; Assumptions'!$B$8/4),IF(29&lt;='I_Inputs &amp; Assumptions'!$B$8*0.75,'I_Budget Input Data'!$D$123*0.6/('I_Inputs &amp; Assumptions'!$B$8/2),'I_Budget Input Data'!$D$123*0.2/('I_Inputs &amp; Assumptions'!$B$8/4))),IF('I_Budget Input Data'!$E$123="At Completion",IF(29='I_Inputs &amp; Assumptions'!$B$8,'I_Budget Input Data'!$D$123,0),'I_Budget Input Data'!$D$123/'I_Inputs &amp; Assumptions'!$B$8)))))),0)</f>
        <v>0</v>
      </c>
      <c r="AF123" s="91">
        <f>IF(30&lt;='I_Inputs &amp; Assumptions'!$B$8,IF('I_Budget Input Data'!$E$123="Upfront",IF(30=1,'I_Budget Input Data'!$D$123,0),IF('I_Budget Input Data'!$E$123="Equal",'I_Budget Input Data'!$D$123/'I_Inputs &amp; Assumptions'!$B$8,IF('I_Budget Input Data'!$E$123="Front-loaded",IF(30&lt;='I_Inputs &amp; Assumptions'!$B$8/2,'I_Budget Input Data'!$D$123*0.6/('I_Inputs &amp; Assumptions'!$B$8/2),'I_Budget Input Data'!$D$123*0.4/('I_Inputs &amp; Assumptions'!$B$8/2)),IF('I_Budget Input Data'!$E$123="Back-loaded",IF(30&lt;='I_Inputs &amp; Assumptions'!$B$8/2,'I_Budget Input Data'!$D$123*0.4/('I_Inputs &amp; Assumptions'!$B$8/2),'I_Budget Input Data'!$D$123*0.6/('I_Inputs &amp; Assumptions'!$B$8/2)),IF('I_Budget Input Data'!$E$123="Mid-weighted",IF(30&lt;='I_Inputs &amp; Assumptions'!$B$8/4,'I_Budget Input Data'!$D$123*0.2/('I_Inputs &amp; Assumptions'!$B$8/4),IF(30&lt;='I_Inputs &amp; Assumptions'!$B$8*0.75,'I_Budget Input Data'!$D$123*0.6/('I_Inputs &amp; Assumptions'!$B$8/2),'I_Budget Input Data'!$D$123*0.2/('I_Inputs &amp; Assumptions'!$B$8/4))),IF('I_Budget Input Data'!$E$123="At Completion",IF(30='I_Inputs &amp; Assumptions'!$B$8,'I_Budget Input Data'!$D$123,0),'I_Budget Input Data'!$D$123/'I_Inputs &amp; Assumptions'!$B$8)))))),0)</f>
        <v>0</v>
      </c>
      <c r="AG123" s="91">
        <f>IF(31&lt;='I_Inputs &amp; Assumptions'!$B$8,IF('I_Budget Input Data'!$E$123="Upfront",IF(31=1,'I_Budget Input Data'!$D$123,0),IF('I_Budget Input Data'!$E$123="Equal",'I_Budget Input Data'!$D$123/'I_Inputs &amp; Assumptions'!$B$8,IF('I_Budget Input Data'!$E$123="Front-loaded",IF(31&lt;='I_Inputs &amp; Assumptions'!$B$8/2,'I_Budget Input Data'!$D$123*0.6/('I_Inputs &amp; Assumptions'!$B$8/2),'I_Budget Input Data'!$D$123*0.4/('I_Inputs &amp; Assumptions'!$B$8/2)),IF('I_Budget Input Data'!$E$123="Back-loaded",IF(31&lt;='I_Inputs &amp; Assumptions'!$B$8/2,'I_Budget Input Data'!$D$123*0.4/('I_Inputs &amp; Assumptions'!$B$8/2),'I_Budget Input Data'!$D$123*0.6/('I_Inputs &amp; Assumptions'!$B$8/2)),IF('I_Budget Input Data'!$E$123="Mid-weighted",IF(31&lt;='I_Inputs &amp; Assumptions'!$B$8/4,'I_Budget Input Data'!$D$123*0.2/('I_Inputs &amp; Assumptions'!$B$8/4),IF(31&lt;='I_Inputs &amp; Assumptions'!$B$8*0.75,'I_Budget Input Data'!$D$123*0.6/('I_Inputs &amp; Assumptions'!$B$8/2),'I_Budget Input Data'!$D$123*0.2/('I_Inputs &amp; Assumptions'!$B$8/4))),IF('I_Budget Input Data'!$E$123="At Completion",IF(31='I_Inputs &amp; Assumptions'!$B$8,'I_Budget Input Data'!$D$123,0),'I_Budget Input Data'!$D$123/'I_Inputs &amp; Assumptions'!$B$8)))))),0)</f>
        <v>0</v>
      </c>
      <c r="AH123" s="91">
        <f>IF(32&lt;='I_Inputs &amp; Assumptions'!$B$8,IF('I_Budget Input Data'!$E$123="Upfront",IF(32=1,'I_Budget Input Data'!$D$123,0),IF('I_Budget Input Data'!$E$123="Equal",'I_Budget Input Data'!$D$123/'I_Inputs &amp; Assumptions'!$B$8,IF('I_Budget Input Data'!$E$123="Front-loaded",IF(32&lt;='I_Inputs &amp; Assumptions'!$B$8/2,'I_Budget Input Data'!$D$123*0.6/('I_Inputs &amp; Assumptions'!$B$8/2),'I_Budget Input Data'!$D$123*0.4/('I_Inputs &amp; Assumptions'!$B$8/2)),IF('I_Budget Input Data'!$E$123="Back-loaded",IF(32&lt;='I_Inputs &amp; Assumptions'!$B$8/2,'I_Budget Input Data'!$D$123*0.4/('I_Inputs &amp; Assumptions'!$B$8/2),'I_Budget Input Data'!$D$123*0.6/('I_Inputs &amp; Assumptions'!$B$8/2)),IF('I_Budget Input Data'!$E$123="Mid-weighted",IF(32&lt;='I_Inputs &amp; Assumptions'!$B$8/4,'I_Budget Input Data'!$D$123*0.2/('I_Inputs &amp; Assumptions'!$B$8/4),IF(32&lt;='I_Inputs &amp; Assumptions'!$B$8*0.75,'I_Budget Input Data'!$D$123*0.6/('I_Inputs &amp; Assumptions'!$B$8/2),'I_Budget Input Data'!$D$123*0.2/('I_Inputs &amp; Assumptions'!$B$8/4))),IF('I_Budget Input Data'!$E$123="At Completion",IF(32='I_Inputs &amp; Assumptions'!$B$8,'I_Budget Input Data'!$D$123,0),'I_Budget Input Data'!$D$123/'I_Inputs &amp; Assumptions'!$B$8)))))),0)</f>
        <v>0</v>
      </c>
      <c r="AI123" s="91">
        <f>IF(33&lt;='I_Inputs &amp; Assumptions'!$B$8,IF('I_Budget Input Data'!$E$123="Upfront",IF(33=1,'I_Budget Input Data'!$D$123,0),IF('I_Budget Input Data'!$E$123="Equal",'I_Budget Input Data'!$D$123/'I_Inputs &amp; Assumptions'!$B$8,IF('I_Budget Input Data'!$E$123="Front-loaded",IF(33&lt;='I_Inputs &amp; Assumptions'!$B$8/2,'I_Budget Input Data'!$D$123*0.6/('I_Inputs &amp; Assumptions'!$B$8/2),'I_Budget Input Data'!$D$123*0.4/('I_Inputs &amp; Assumptions'!$B$8/2)),IF('I_Budget Input Data'!$E$123="Back-loaded",IF(33&lt;='I_Inputs &amp; Assumptions'!$B$8/2,'I_Budget Input Data'!$D$123*0.4/('I_Inputs &amp; Assumptions'!$B$8/2),'I_Budget Input Data'!$D$123*0.6/('I_Inputs &amp; Assumptions'!$B$8/2)),IF('I_Budget Input Data'!$E$123="Mid-weighted",IF(33&lt;='I_Inputs &amp; Assumptions'!$B$8/4,'I_Budget Input Data'!$D$123*0.2/('I_Inputs &amp; Assumptions'!$B$8/4),IF(33&lt;='I_Inputs &amp; Assumptions'!$B$8*0.75,'I_Budget Input Data'!$D$123*0.6/('I_Inputs &amp; Assumptions'!$B$8/2),'I_Budget Input Data'!$D$123*0.2/('I_Inputs &amp; Assumptions'!$B$8/4))),IF('I_Budget Input Data'!$E$123="At Completion",IF(33='I_Inputs &amp; Assumptions'!$B$8,'I_Budget Input Data'!$D$123,0),'I_Budget Input Data'!$D$123/'I_Inputs &amp; Assumptions'!$B$8)))))),0)</f>
        <v>0</v>
      </c>
      <c r="AJ123" s="91">
        <f>IF(34&lt;='I_Inputs &amp; Assumptions'!$B$8,IF('I_Budget Input Data'!$E$123="Upfront",IF(34=1,'I_Budget Input Data'!$D$123,0),IF('I_Budget Input Data'!$E$123="Equal",'I_Budget Input Data'!$D$123/'I_Inputs &amp; Assumptions'!$B$8,IF('I_Budget Input Data'!$E$123="Front-loaded",IF(34&lt;='I_Inputs &amp; Assumptions'!$B$8/2,'I_Budget Input Data'!$D$123*0.6/('I_Inputs &amp; Assumptions'!$B$8/2),'I_Budget Input Data'!$D$123*0.4/('I_Inputs &amp; Assumptions'!$B$8/2)),IF('I_Budget Input Data'!$E$123="Back-loaded",IF(34&lt;='I_Inputs &amp; Assumptions'!$B$8/2,'I_Budget Input Data'!$D$123*0.4/('I_Inputs &amp; Assumptions'!$B$8/2),'I_Budget Input Data'!$D$123*0.6/('I_Inputs &amp; Assumptions'!$B$8/2)),IF('I_Budget Input Data'!$E$123="Mid-weighted",IF(34&lt;='I_Inputs &amp; Assumptions'!$B$8/4,'I_Budget Input Data'!$D$123*0.2/('I_Inputs &amp; Assumptions'!$B$8/4),IF(34&lt;='I_Inputs &amp; Assumptions'!$B$8*0.75,'I_Budget Input Data'!$D$123*0.6/('I_Inputs &amp; Assumptions'!$B$8/2),'I_Budget Input Data'!$D$123*0.2/('I_Inputs &amp; Assumptions'!$B$8/4))),IF('I_Budget Input Data'!$E$123="At Completion",IF(34='I_Inputs &amp; Assumptions'!$B$8,'I_Budget Input Data'!$D$123,0),'I_Budget Input Data'!$D$123/'I_Inputs &amp; Assumptions'!$B$8)))))),0)</f>
        <v>0</v>
      </c>
      <c r="AK123" s="91">
        <f>IF(35&lt;='I_Inputs &amp; Assumptions'!$B$8,IF('I_Budget Input Data'!$E$123="Upfront",IF(35=1,'I_Budget Input Data'!$D$123,0),IF('I_Budget Input Data'!$E$123="Equal",'I_Budget Input Data'!$D$123/'I_Inputs &amp; Assumptions'!$B$8,IF('I_Budget Input Data'!$E$123="Front-loaded",IF(35&lt;='I_Inputs &amp; Assumptions'!$B$8/2,'I_Budget Input Data'!$D$123*0.6/('I_Inputs &amp; Assumptions'!$B$8/2),'I_Budget Input Data'!$D$123*0.4/('I_Inputs &amp; Assumptions'!$B$8/2)),IF('I_Budget Input Data'!$E$123="Back-loaded",IF(35&lt;='I_Inputs &amp; Assumptions'!$B$8/2,'I_Budget Input Data'!$D$123*0.4/('I_Inputs &amp; Assumptions'!$B$8/2),'I_Budget Input Data'!$D$123*0.6/('I_Inputs &amp; Assumptions'!$B$8/2)),IF('I_Budget Input Data'!$E$123="Mid-weighted",IF(35&lt;='I_Inputs &amp; Assumptions'!$B$8/4,'I_Budget Input Data'!$D$123*0.2/('I_Inputs &amp; Assumptions'!$B$8/4),IF(35&lt;='I_Inputs &amp; Assumptions'!$B$8*0.75,'I_Budget Input Data'!$D$123*0.6/('I_Inputs &amp; Assumptions'!$B$8/2),'I_Budget Input Data'!$D$123*0.2/('I_Inputs &amp; Assumptions'!$B$8/4))),IF('I_Budget Input Data'!$E$123="At Completion",IF(35='I_Inputs &amp; Assumptions'!$B$8,'I_Budget Input Data'!$D$123,0),'I_Budget Input Data'!$D$123/'I_Inputs &amp; Assumptions'!$B$8)))))),0)</f>
        <v>0</v>
      </c>
      <c r="AL123" s="91">
        <f>IF(36&lt;='I_Inputs &amp; Assumptions'!$B$8,IF('I_Budget Input Data'!$E$123="Upfront",IF(36=1,'I_Budget Input Data'!$D$123,0),IF('I_Budget Input Data'!$E$123="Equal",'I_Budget Input Data'!$D$123/'I_Inputs &amp; Assumptions'!$B$8,IF('I_Budget Input Data'!$E$123="Front-loaded",IF(36&lt;='I_Inputs &amp; Assumptions'!$B$8/2,'I_Budget Input Data'!$D$123*0.6/('I_Inputs &amp; Assumptions'!$B$8/2),'I_Budget Input Data'!$D$123*0.4/('I_Inputs &amp; Assumptions'!$B$8/2)),IF('I_Budget Input Data'!$E$123="Back-loaded",IF(36&lt;='I_Inputs &amp; Assumptions'!$B$8/2,'I_Budget Input Data'!$D$123*0.4/('I_Inputs &amp; Assumptions'!$B$8/2),'I_Budget Input Data'!$D$123*0.6/('I_Inputs &amp; Assumptions'!$B$8/2)),IF('I_Budget Input Data'!$E$123="Mid-weighted",IF(36&lt;='I_Inputs &amp; Assumptions'!$B$8/4,'I_Budget Input Data'!$D$123*0.2/('I_Inputs &amp; Assumptions'!$B$8/4),IF(36&lt;='I_Inputs &amp; Assumptions'!$B$8*0.75,'I_Budget Input Data'!$D$123*0.6/('I_Inputs &amp; Assumptions'!$B$8/2),'I_Budget Input Data'!$D$123*0.2/('I_Inputs &amp; Assumptions'!$B$8/4))),IF('I_Budget Input Data'!$E$123="At Completion",IF(36='I_Inputs &amp; Assumptions'!$B$8,'I_Budget Input Data'!$D$123,0),'I_Budget Input Data'!$D$123/'I_Inputs &amp; Assumptions'!$B$8)))))),0)</f>
        <v>0</v>
      </c>
    </row>
    <row r="124" spans="1:38" ht="15" customHeight="1" x14ac:dyDescent="0.2">
      <c r="A124" t="s">
        <v>146</v>
      </c>
      <c r="B124" t="s">
        <v>237</v>
      </c>
      <c r="C124" s="91">
        <f>IF(1&lt;='I_Inputs &amp; Assumptions'!$B$8,IF('I_Budget Input Data'!$E$124="Upfront",IF(1=1,'I_Budget Input Data'!$D$124,0),IF('I_Budget Input Data'!$E$124="Equal",'I_Budget Input Data'!$D$124/'I_Inputs &amp; Assumptions'!$B$8,IF('I_Budget Input Data'!$E$124="Front-loaded",IF(1&lt;='I_Inputs &amp; Assumptions'!$B$8/2,'I_Budget Input Data'!$D$124*0.6/('I_Inputs &amp; Assumptions'!$B$8/2),'I_Budget Input Data'!$D$124*0.4/('I_Inputs &amp; Assumptions'!$B$8/2)),IF('I_Budget Input Data'!$E$124="Back-loaded",IF(1&lt;='I_Inputs &amp; Assumptions'!$B$8/2,'I_Budget Input Data'!$D$124*0.4/('I_Inputs &amp; Assumptions'!$B$8/2),'I_Budget Input Data'!$D$124*0.6/('I_Inputs &amp; Assumptions'!$B$8/2)),IF('I_Budget Input Data'!$E$124="Mid-weighted",IF(1&lt;='I_Inputs &amp; Assumptions'!$B$8/4,'I_Budget Input Data'!$D$124*0.2/('I_Inputs &amp; Assumptions'!$B$8/4),IF(1&lt;='I_Inputs &amp; Assumptions'!$B$8*0.75,'I_Budget Input Data'!$D$124*0.6/('I_Inputs &amp; Assumptions'!$B$8/2),'I_Budget Input Data'!$D$124*0.2/('I_Inputs &amp; Assumptions'!$B$8/4))),IF('I_Budget Input Data'!$E$124="At Completion",IF(1='I_Inputs &amp; Assumptions'!$B$8,'I_Budget Input Data'!$D$124,0),'I_Budget Input Data'!$D$124/'I_Inputs &amp; Assumptions'!$B$8)))))),0)</f>
        <v>1961.5384615384614</v>
      </c>
      <c r="D124" s="91">
        <f>IF(2&lt;='I_Inputs &amp; Assumptions'!$B$8,IF('I_Budget Input Data'!$E$124="Upfront",IF(2=1,'I_Budget Input Data'!$D$124,0),IF('I_Budget Input Data'!$E$124="Equal",'I_Budget Input Data'!$D$124/'I_Inputs &amp; Assumptions'!$B$8,IF('I_Budget Input Data'!$E$124="Front-loaded",IF(2&lt;='I_Inputs &amp; Assumptions'!$B$8/2,'I_Budget Input Data'!$D$124*0.6/('I_Inputs &amp; Assumptions'!$B$8/2),'I_Budget Input Data'!$D$124*0.4/('I_Inputs &amp; Assumptions'!$B$8/2)),IF('I_Budget Input Data'!$E$124="Back-loaded",IF(2&lt;='I_Inputs &amp; Assumptions'!$B$8/2,'I_Budget Input Data'!$D$124*0.4/('I_Inputs &amp; Assumptions'!$B$8/2),'I_Budget Input Data'!$D$124*0.6/('I_Inputs &amp; Assumptions'!$B$8/2)),IF('I_Budget Input Data'!$E$124="Mid-weighted",IF(2&lt;='I_Inputs &amp; Assumptions'!$B$8/4,'I_Budget Input Data'!$D$124*0.2/('I_Inputs &amp; Assumptions'!$B$8/4),IF(2&lt;='I_Inputs &amp; Assumptions'!$B$8*0.75,'I_Budget Input Data'!$D$124*0.6/('I_Inputs &amp; Assumptions'!$B$8/2),'I_Budget Input Data'!$D$124*0.2/('I_Inputs &amp; Assumptions'!$B$8/4))),IF('I_Budget Input Data'!$E$124="At Completion",IF(2='I_Inputs &amp; Assumptions'!$B$8,'I_Budget Input Data'!$D$124,0),'I_Budget Input Data'!$D$124/'I_Inputs &amp; Assumptions'!$B$8)))))),0)</f>
        <v>1961.5384615384614</v>
      </c>
      <c r="E124" s="91">
        <f>IF(3&lt;='I_Inputs &amp; Assumptions'!$B$8,IF('I_Budget Input Data'!$E$124="Upfront",IF(3=1,'I_Budget Input Data'!$D$124,0),IF('I_Budget Input Data'!$E$124="Equal",'I_Budget Input Data'!$D$124/'I_Inputs &amp; Assumptions'!$B$8,IF('I_Budget Input Data'!$E$124="Front-loaded",IF(3&lt;='I_Inputs &amp; Assumptions'!$B$8/2,'I_Budget Input Data'!$D$124*0.6/('I_Inputs &amp; Assumptions'!$B$8/2),'I_Budget Input Data'!$D$124*0.4/('I_Inputs &amp; Assumptions'!$B$8/2)),IF('I_Budget Input Data'!$E$124="Back-loaded",IF(3&lt;='I_Inputs &amp; Assumptions'!$B$8/2,'I_Budget Input Data'!$D$124*0.4/('I_Inputs &amp; Assumptions'!$B$8/2),'I_Budget Input Data'!$D$124*0.6/('I_Inputs &amp; Assumptions'!$B$8/2)),IF('I_Budget Input Data'!$E$124="Mid-weighted",IF(3&lt;='I_Inputs &amp; Assumptions'!$B$8/4,'I_Budget Input Data'!$D$124*0.2/('I_Inputs &amp; Assumptions'!$B$8/4),IF(3&lt;='I_Inputs &amp; Assumptions'!$B$8*0.75,'I_Budget Input Data'!$D$124*0.6/('I_Inputs &amp; Assumptions'!$B$8/2),'I_Budget Input Data'!$D$124*0.2/('I_Inputs &amp; Assumptions'!$B$8/4))),IF('I_Budget Input Data'!$E$124="At Completion",IF(3='I_Inputs &amp; Assumptions'!$B$8,'I_Budget Input Data'!$D$124,0),'I_Budget Input Data'!$D$124/'I_Inputs &amp; Assumptions'!$B$8)))))),0)</f>
        <v>1961.5384615384614</v>
      </c>
      <c r="F124" s="91">
        <f>IF(4&lt;='I_Inputs &amp; Assumptions'!$B$8,IF('I_Budget Input Data'!$E$124="Upfront",IF(4=1,'I_Budget Input Data'!$D$124,0),IF('I_Budget Input Data'!$E$124="Equal",'I_Budget Input Data'!$D$124/'I_Inputs &amp; Assumptions'!$B$8,IF('I_Budget Input Data'!$E$124="Front-loaded",IF(4&lt;='I_Inputs &amp; Assumptions'!$B$8/2,'I_Budget Input Data'!$D$124*0.6/('I_Inputs &amp; Assumptions'!$B$8/2),'I_Budget Input Data'!$D$124*0.4/('I_Inputs &amp; Assumptions'!$B$8/2)),IF('I_Budget Input Data'!$E$124="Back-loaded",IF(4&lt;='I_Inputs &amp; Assumptions'!$B$8/2,'I_Budget Input Data'!$D$124*0.4/('I_Inputs &amp; Assumptions'!$B$8/2),'I_Budget Input Data'!$D$124*0.6/('I_Inputs &amp; Assumptions'!$B$8/2)),IF('I_Budget Input Data'!$E$124="Mid-weighted",IF(4&lt;='I_Inputs &amp; Assumptions'!$B$8/4,'I_Budget Input Data'!$D$124*0.2/('I_Inputs &amp; Assumptions'!$B$8/4),IF(4&lt;='I_Inputs &amp; Assumptions'!$B$8*0.75,'I_Budget Input Data'!$D$124*0.6/('I_Inputs &amp; Assumptions'!$B$8/2),'I_Budget Input Data'!$D$124*0.2/('I_Inputs &amp; Assumptions'!$B$8/4))),IF('I_Budget Input Data'!$E$124="At Completion",IF(4='I_Inputs &amp; Assumptions'!$B$8,'I_Budget Input Data'!$D$124,0),'I_Budget Input Data'!$D$124/'I_Inputs &amp; Assumptions'!$B$8)))))),0)</f>
        <v>1961.5384615384614</v>
      </c>
      <c r="G124" s="91">
        <f>IF(5&lt;='I_Inputs &amp; Assumptions'!$B$8,IF('I_Budget Input Data'!$E$124="Upfront",IF(5=1,'I_Budget Input Data'!$D$124,0),IF('I_Budget Input Data'!$E$124="Equal",'I_Budget Input Data'!$D$124/'I_Inputs &amp; Assumptions'!$B$8,IF('I_Budget Input Data'!$E$124="Front-loaded",IF(5&lt;='I_Inputs &amp; Assumptions'!$B$8/2,'I_Budget Input Data'!$D$124*0.6/('I_Inputs &amp; Assumptions'!$B$8/2),'I_Budget Input Data'!$D$124*0.4/('I_Inputs &amp; Assumptions'!$B$8/2)),IF('I_Budget Input Data'!$E$124="Back-loaded",IF(5&lt;='I_Inputs &amp; Assumptions'!$B$8/2,'I_Budget Input Data'!$D$124*0.4/('I_Inputs &amp; Assumptions'!$B$8/2),'I_Budget Input Data'!$D$124*0.6/('I_Inputs &amp; Assumptions'!$B$8/2)),IF('I_Budget Input Data'!$E$124="Mid-weighted",IF(5&lt;='I_Inputs &amp; Assumptions'!$B$8/4,'I_Budget Input Data'!$D$124*0.2/('I_Inputs &amp; Assumptions'!$B$8/4),IF(5&lt;='I_Inputs &amp; Assumptions'!$B$8*0.75,'I_Budget Input Data'!$D$124*0.6/('I_Inputs &amp; Assumptions'!$B$8/2),'I_Budget Input Data'!$D$124*0.2/('I_Inputs &amp; Assumptions'!$B$8/4))),IF('I_Budget Input Data'!$E$124="At Completion",IF(5='I_Inputs &amp; Assumptions'!$B$8,'I_Budget Input Data'!$D$124,0),'I_Budget Input Data'!$D$124/'I_Inputs &amp; Assumptions'!$B$8)))))),0)</f>
        <v>1961.5384615384614</v>
      </c>
      <c r="H124" s="91">
        <f>IF(6&lt;='I_Inputs &amp; Assumptions'!$B$8,IF('I_Budget Input Data'!$E$124="Upfront",IF(6=1,'I_Budget Input Data'!$D$124,0),IF('I_Budget Input Data'!$E$124="Equal",'I_Budget Input Data'!$D$124/'I_Inputs &amp; Assumptions'!$B$8,IF('I_Budget Input Data'!$E$124="Front-loaded",IF(6&lt;='I_Inputs &amp; Assumptions'!$B$8/2,'I_Budget Input Data'!$D$124*0.6/('I_Inputs &amp; Assumptions'!$B$8/2),'I_Budget Input Data'!$D$124*0.4/('I_Inputs &amp; Assumptions'!$B$8/2)),IF('I_Budget Input Data'!$E$124="Back-loaded",IF(6&lt;='I_Inputs &amp; Assumptions'!$B$8/2,'I_Budget Input Data'!$D$124*0.4/('I_Inputs &amp; Assumptions'!$B$8/2),'I_Budget Input Data'!$D$124*0.6/('I_Inputs &amp; Assumptions'!$B$8/2)),IF('I_Budget Input Data'!$E$124="Mid-weighted",IF(6&lt;='I_Inputs &amp; Assumptions'!$B$8/4,'I_Budget Input Data'!$D$124*0.2/('I_Inputs &amp; Assumptions'!$B$8/4),IF(6&lt;='I_Inputs &amp; Assumptions'!$B$8*0.75,'I_Budget Input Data'!$D$124*0.6/('I_Inputs &amp; Assumptions'!$B$8/2),'I_Budget Input Data'!$D$124*0.2/('I_Inputs &amp; Assumptions'!$B$8/4))),IF('I_Budget Input Data'!$E$124="At Completion",IF(6='I_Inputs &amp; Assumptions'!$B$8,'I_Budget Input Data'!$D$124,0),'I_Budget Input Data'!$D$124/'I_Inputs &amp; Assumptions'!$B$8)))))),0)</f>
        <v>1961.5384615384614</v>
      </c>
      <c r="I124" s="91">
        <f>IF(7&lt;='I_Inputs &amp; Assumptions'!$B$8,IF('I_Budget Input Data'!$E$124="Upfront",IF(7=1,'I_Budget Input Data'!$D$124,0),IF('I_Budget Input Data'!$E$124="Equal",'I_Budget Input Data'!$D$124/'I_Inputs &amp; Assumptions'!$B$8,IF('I_Budget Input Data'!$E$124="Front-loaded",IF(7&lt;='I_Inputs &amp; Assumptions'!$B$8/2,'I_Budget Input Data'!$D$124*0.6/('I_Inputs &amp; Assumptions'!$B$8/2),'I_Budget Input Data'!$D$124*0.4/('I_Inputs &amp; Assumptions'!$B$8/2)),IF('I_Budget Input Data'!$E$124="Back-loaded",IF(7&lt;='I_Inputs &amp; Assumptions'!$B$8/2,'I_Budget Input Data'!$D$124*0.4/('I_Inputs &amp; Assumptions'!$B$8/2),'I_Budget Input Data'!$D$124*0.6/('I_Inputs &amp; Assumptions'!$B$8/2)),IF('I_Budget Input Data'!$E$124="Mid-weighted",IF(7&lt;='I_Inputs &amp; Assumptions'!$B$8/4,'I_Budget Input Data'!$D$124*0.2/('I_Inputs &amp; Assumptions'!$B$8/4),IF(7&lt;='I_Inputs &amp; Assumptions'!$B$8*0.75,'I_Budget Input Data'!$D$124*0.6/('I_Inputs &amp; Assumptions'!$B$8/2),'I_Budget Input Data'!$D$124*0.2/('I_Inputs &amp; Assumptions'!$B$8/4))),IF('I_Budget Input Data'!$E$124="At Completion",IF(7='I_Inputs &amp; Assumptions'!$B$8,'I_Budget Input Data'!$D$124,0),'I_Budget Input Data'!$D$124/'I_Inputs &amp; Assumptions'!$B$8)))))),0)</f>
        <v>1961.5384615384614</v>
      </c>
      <c r="J124" s="91">
        <f>IF(8&lt;='I_Inputs &amp; Assumptions'!$B$8,IF('I_Budget Input Data'!$E$124="Upfront",IF(8=1,'I_Budget Input Data'!$D$124,0),IF('I_Budget Input Data'!$E$124="Equal",'I_Budget Input Data'!$D$124/'I_Inputs &amp; Assumptions'!$B$8,IF('I_Budget Input Data'!$E$124="Front-loaded",IF(8&lt;='I_Inputs &amp; Assumptions'!$B$8/2,'I_Budget Input Data'!$D$124*0.6/('I_Inputs &amp; Assumptions'!$B$8/2),'I_Budget Input Data'!$D$124*0.4/('I_Inputs &amp; Assumptions'!$B$8/2)),IF('I_Budget Input Data'!$E$124="Back-loaded",IF(8&lt;='I_Inputs &amp; Assumptions'!$B$8/2,'I_Budget Input Data'!$D$124*0.4/('I_Inputs &amp; Assumptions'!$B$8/2),'I_Budget Input Data'!$D$124*0.6/('I_Inputs &amp; Assumptions'!$B$8/2)),IF('I_Budget Input Data'!$E$124="Mid-weighted",IF(8&lt;='I_Inputs &amp; Assumptions'!$B$8/4,'I_Budget Input Data'!$D$124*0.2/('I_Inputs &amp; Assumptions'!$B$8/4),IF(8&lt;='I_Inputs &amp; Assumptions'!$B$8*0.75,'I_Budget Input Data'!$D$124*0.6/('I_Inputs &amp; Assumptions'!$B$8/2),'I_Budget Input Data'!$D$124*0.2/('I_Inputs &amp; Assumptions'!$B$8/4))),IF('I_Budget Input Data'!$E$124="At Completion",IF(8='I_Inputs &amp; Assumptions'!$B$8,'I_Budget Input Data'!$D$124,0),'I_Budget Input Data'!$D$124/'I_Inputs &amp; Assumptions'!$B$8)))))),0)</f>
        <v>1961.5384615384614</v>
      </c>
      <c r="K124" s="91">
        <f>IF(9&lt;='I_Inputs &amp; Assumptions'!$B$8,IF('I_Budget Input Data'!$E$124="Upfront",IF(9=1,'I_Budget Input Data'!$D$124,0),IF('I_Budget Input Data'!$E$124="Equal",'I_Budget Input Data'!$D$124/'I_Inputs &amp; Assumptions'!$B$8,IF('I_Budget Input Data'!$E$124="Front-loaded",IF(9&lt;='I_Inputs &amp; Assumptions'!$B$8/2,'I_Budget Input Data'!$D$124*0.6/('I_Inputs &amp; Assumptions'!$B$8/2),'I_Budget Input Data'!$D$124*0.4/('I_Inputs &amp; Assumptions'!$B$8/2)),IF('I_Budget Input Data'!$E$124="Back-loaded",IF(9&lt;='I_Inputs &amp; Assumptions'!$B$8/2,'I_Budget Input Data'!$D$124*0.4/('I_Inputs &amp; Assumptions'!$B$8/2),'I_Budget Input Data'!$D$124*0.6/('I_Inputs &amp; Assumptions'!$B$8/2)),IF('I_Budget Input Data'!$E$124="Mid-weighted",IF(9&lt;='I_Inputs &amp; Assumptions'!$B$8/4,'I_Budget Input Data'!$D$124*0.2/('I_Inputs &amp; Assumptions'!$B$8/4),IF(9&lt;='I_Inputs &amp; Assumptions'!$B$8*0.75,'I_Budget Input Data'!$D$124*0.6/('I_Inputs &amp; Assumptions'!$B$8/2),'I_Budget Input Data'!$D$124*0.2/('I_Inputs &amp; Assumptions'!$B$8/4))),IF('I_Budget Input Data'!$E$124="At Completion",IF(9='I_Inputs &amp; Assumptions'!$B$8,'I_Budget Input Data'!$D$124,0),'I_Budget Input Data'!$D$124/'I_Inputs &amp; Assumptions'!$B$8)))))),0)</f>
        <v>1961.5384615384614</v>
      </c>
      <c r="L124" s="91">
        <f>IF(10&lt;='I_Inputs &amp; Assumptions'!$B$8,IF('I_Budget Input Data'!$E$124="Upfront",IF(10=1,'I_Budget Input Data'!$D$124,0),IF('I_Budget Input Data'!$E$124="Equal",'I_Budget Input Data'!$D$124/'I_Inputs &amp; Assumptions'!$B$8,IF('I_Budget Input Data'!$E$124="Front-loaded",IF(10&lt;='I_Inputs &amp; Assumptions'!$B$8/2,'I_Budget Input Data'!$D$124*0.6/('I_Inputs &amp; Assumptions'!$B$8/2),'I_Budget Input Data'!$D$124*0.4/('I_Inputs &amp; Assumptions'!$B$8/2)),IF('I_Budget Input Data'!$E$124="Back-loaded",IF(10&lt;='I_Inputs &amp; Assumptions'!$B$8/2,'I_Budget Input Data'!$D$124*0.4/('I_Inputs &amp; Assumptions'!$B$8/2),'I_Budget Input Data'!$D$124*0.6/('I_Inputs &amp; Assumptions'!$B$8/2)),IF('I_Budget Input Data'!$E$124="Mid-weighted",IF(10&lt;='I_Inputs &amp; Assumptions'!$B$8/4,'I_Budget Input Data'!$D$124*0.2/('I_Inputs &amp; Assumptions'!$B$8/4),IF(10&lt;='I_Inputs &amp; Assumptions'!$B$8*0.75,'I_Budget Input Data'!$D$124*0.6/('I_Inputs &amp; Assumptions'!$B$8/2),'I_Budget Input Data'!$D$124*0.2/('I_Inputs &amp; Assumptions'!$B$8/4))),IF('I_Budget Input Data'!$E$124="At Completion",IF(10='I_Inputs &amp; Assumptions'!$B$8,'I_Budget Input Data'!$D$124,0),'I_Budget Input Data'!$D$124/'I_Inputs &amp; Assumptions'!$B$8)))))),0)</f>
        <v>1961.5384615384614</v>
      </c>
      <c r="M124" s="91">
        <f>IF(11&lt;='I_Inputs &amp; Assumptions'!$B$8,IF('I_Budget Input Data'!$E$124="Upfront",IF(11=1,'I_Budget Input Data'!$D$124,0),IF('I_Budget Input Data'!$E$124="Equal",'I_Budget Input Data'!$D$124/'I_Inputs &amp; Assumptions'!$B$8,IF('I_Budget Input Data'!$E$124="Front-loaded",IF(11&lt;='I_Inputs &amp; Assumptions'!$B$8/2,'I_Budget Input Data'!$D$124*0.6/('I_Inputs &amp; Assumptions'!$B$8/2),'I_Budget Input Data'!$D$124*0.4/('I_Inputs &amp; Assumptions'!$B$8/2)),IF('I_Budget Input Data'!$E$124="Back-loaded",IF(11&lt;='I_Inputs &amp; Assumptions'!$B$8/2,'I_Budget Input Data'!$D$124*0.4/('I_Inputs &amp; Assumptions'!$B$8/2),'I_Budget Input Data'!$D$124*0.6/('I_Inputs &amp; Assumptions'!$B$8/2)),IF('I_Budget Input Data'!$E$124="Mid-weighted",IF(11&lt;='I_Inputs &amp; Assumptions'!$B$8/4,'I_Budget Input Data'!$D$124*0.2/('I_Inputs &amp; Assumptions'!$B$8/4),IF(11&lt;='I_Inputs &amp; Assumptions'!$B$8*0.75,'I_Budget Input Data'!$D$124*0.6/('I_Inputs &amp; Assumptions'!$B$8/2),'I_Budget Input Data'!$D$124*0.2/('I_Inputs &amp; Assumptions'!$B$8/4))),IF('I_Budget Input Data'!$E$124="At Completion",IF(11='I_Inputs &amp; Assumptions'!$B$8,'I_Budget Input Data'!$D$124,0),'I_Budget Input Data'!$D$124/'I_Inputs &amp; Assumptions'!$B$8)))))),0)</f>
        <v>1961.5384615384614</v>
      </c>
      <c r="N124" s="91">
        <f>IF(12&lt;='I_Inputs &amp; Assumptions'!$B$8,IF('I_Budget Input Data'!$E$124="Upfront",IF(12=1,'I_Budget Input Data'!$D$124,0),IF('I_Budget Input Data'!$E$124="Equal",'I_Budget Input Data'!$D$124/'I_Inputs &amp; Assumptions'!$B$8,IF('I_Budget Input Data'!$E$124="Front-loaded",IF(12&lt;='I_Inputs &amp; Assumptions'!$B$8/2,'I_Budget Input Data'!$D$124*0.6/('I_Inputs &amp; Assumptions'!$B$8/2),'I_Budget Input Data'!$D$124*0.4/('I_Inputs &amp; Assumptions'!$B$8/2)),IF('I_Budget Input Data'!$E$124="Back-loaded",IF(12&lt;='I_Inputs &amp; Assumptions'!$B$8/2,'I_Budget Input Data'!$D$124*0.4/('I_Inputs &amp; Assumptions'!$B$8/2),'I_Budget Input Data'!$D$124*0.6/('I_Inputs &amp; Assumptions'!$B$8/2)),IF('I_Budget Input Data'!$E$124="Mid-weighted",IF(12&lt;='I_Inputs &amp; Assumptions'!$B$8/4,'I_Budget Input Data'!$D$124*0.2/('I_Inputs &amp; Assumptions'!$B$8/4),IF(12&lt;='I_Inputs &amp; Assumptions'!$B$8*0.75,'I_Budget Input Data'!$D$124*0.6/('I_Inputs &amp; Assumptions'!$B$8/2),'I_Budget Input Data'!$D$124*0.2/('I_Inputs &amp; Assumptions'!$B$8/4))),IF('I_Budget Input Data'!$E$124="At Completion",IF(12='I_Inputs &amp; Assumptions'!$B$8,'I_Budget Input Data'!$D$124,0),'I_Budget Input Data'!$D$124/'I_Inputs &amp; Assumptions'!$B$8)))))),0)</f>
        <v>1961.5384615384614</v>
      </c>
      <c r="O124" s="91">
        <f>IF(13&lt;='I_Inputs &amp; Assumptions'!$B$8,IF('I_Budget Input Data'!$E$124="Upfront",IF(13=1,'I_Budget Input Data'!$D$124,0),IF('I_Budget Input Data'!$E$124="Equal",'I_Budget Input Data'!$D$124/'I_Inputs &amp; Assumptions'!$B$8,IF('I_Budget Input Data'!$E$124="Front-loaded",IF(13&lt;='I_Inputs &amp; Assumptions'!$B$8/2,'I_Budget Input Data'!$D$124*0.6/('I_Inputs &amp; Assumptions'!$B$8/2),'I_Budget Input Data'!$D$124*0.4/('I_Inputs &amp; Assumptions'!$B$8/2)),IF('I_Budget Input Data'!$E$124="Back-loaded",IF(13&lt;='I_Inputs &amp; Assumptions'!$B$8/2,'I_Budget Input Data'!$D$124*0.4/('I_Inputs &amp; Assumptions'!$B$8/2),'I_Budget Input Data'!$D$124*0.6/('I_Inputs &amp; Assumptions'!$B$8/2)),IF('I_Budget Input Data'!$E$124="Mid-weighted",IF(13&lt;='I_Inputs &amp; Assumptions'!$B$8/4,'I_Budget Input Data'!$D$124*0.2/('I_Inputs &amp; Assumptions'!$B$8/4),IF(13&lt;='I_Inputs &amp; Assumptions'!$B$8*0.75,'I_Budget Input Data'!$D$124*0.6/('I_Inputs &amp; Assumptions'!$B$8/2),'I_Budget Input Data'!$D$124*0.2/('I_Inputs &amp; Assumptions'!$B$8/4))),IF('I_Budget Input Data'!$E$124="At Completion",IF(13='I_Inputs &amp; Assumptions'!$B$8,'I_Budget Input Data'!$D$124,0),'I_Budget Input Data'!$D$124/'I_Inputs &amp; Assumptions'!$B$8)))))),0)</f>
        <v>1961.5384615384614</v>
      </c>
      <c r="P124" s="91">
        <f>IF(14&lt;='I_Inputs &amp; Assumptions'!$B$8,IF('I_Budget Input Data'!$E$124="Upfront",IF(14=1,'I_Budget Input Data'!$D$124,0),IF('I_Budget Input Data'!$E$124="Equal",'I_Budget Input Data'!$D$124/'I_Inputs &amp; Assumptions'!$B$8,IF('I_Budget Input Data'!$E$124="Front-loaded",IF(14&lt;='I_Inputs &amp; Assumptions'!$B$8/2,'I_Budget Input Data'!$D$124*0.6/('I_Inputs &amp; Assumptions'!$B$8/2),'I_Budget Input Data'!$D$124*0.4/('I_Inputs &amp; Assumptions'!$B$8/2)),IF('I_Budget Input Data'!$E$124="Back-loaded",IF(14&lt;='I_Inputs &amp; Assumptions'!$B$8/2,'I_Budget Input Data'!$D$124*0.4/('I_Inputs &amp; Assumptions'!$B$8/2),'I_Budget Input Data'!$D$124*0.6/('I_Inputs &amp; Assumptions'!$B$8/2)),IF('I_Budget Input Data'!$E$124="Mid-weighted",IF(14&lt;='I_Inputs &amp; Assumptions'!$B$8/4,'I_Budget Input Data'!$D$124*0.2/('I_Inputs &amp; Assumptions'!$B$8/4),IF(14&lt;='I_Inputs &amp; Assumptions'!$B$8*0.75,'I_Budget Input Data'!$D$124*0.6/('I_Inputs &amp; Assumptions'!$B$8/2),'I_Budget Input Data'!$D$124*0.2/('I_Inputs &amp; Assumptions'!$B$8/4))),IF('I_Budget Input Data'!$E$124="At Completion",IF(14='I_Inputs &amp; Assumptions'!$B$8,'I_Budget Input Data'!$D$124,0),'I_Budget Input Data'!$D$124/'I_Inputs &amp; Assumptions'!$B$8)))))),0)</f>
        <v>0</v>
      </c>
      <c r="Q124" s="91">
        <f>IF(15&lt;='I_Inputs &amp; Assumptions'!$B$8,IF('I_Budget Input Data'!$E$124="Upfront",IF(15=1,'I_Budget Input Data'!$D$124,0),IF('I_Budget Input Data'!$E$124="Equal",'I_Budget Input Data'!$D$124/'I_Inputs &amp; Assumptions'!$B$8,IF('I_Budget Input Data'!$E$124="Front-loaded",IF(15&lt;='I_Inputs &amp; Assumptions'!$B$8/2,'I_Budget Input Data'!$D$124*0.6/('I_Inputs &amp; Assumptions'!$B$8/2),'I_Budget Input Data'!$D$124*0.4/('I_Inputs &amp; Assumptions'!$B$8/2)),IF('I_Budget Input Data'!$E$124="Back-loaded",IF(15&lt;='I_Inputs &amp; Assumptions'!$B$8/2,'I_Budget Input Data'!$D$124*0.4/('I_Inputs &amp; Assumptions'!$B$8/2),'I_Budget Input Data'!$D$124*0.6/('I_Inputs &amp; Assumptions'!$B$8/2)),IF('I_Budget Input Data'!$E$124="Mid-weighted",IF(15&lt;='I_Inputs &amp; Assumptions'!$B$8/4,'I_Budget Input Data'!$D$124*0.2/('I_Inputs &amp; Assumptions'!$B$8/4),IF(15&lt;='I_Inputs &amp; Assumptions'!$B$8*0.75,'I_Budget Input Data'!$D$124*0.6/('I_Inputs &amp; Assumptions'!$B$8/2),'I_Budget Input Data'!$D$124*0.2/('I_Inputs &amp; Assumptions'!$B$8/4))),IF('I_Budget Input Data'!$E$124="At Completion",IF(15='I_Inputs &amp; Assumptions'!$B$8,'I_Budget Input Data'!$D$124,0),'I_Budget Input Data'!$D$124/'I_Inputs &amp; Assumptions'!$B$8)))))),0)</f>
        <v>0</v>
      </c>
      <c r="R124" s="91">
        <f>IF(16&lt;='I_Inputs &amp; Assumptions'!$B$8,IF('I_Budget Input Data'!$E$124="Upfront",IF(16=1,'I_Budget Input Data'!$D$124,0),IF('I_Budget Input Data'!$E$124="Equal",'I_Budget Input Data'!$D$124/'I_Inputs &amp; Assumptions'!$B$8,IF('I_Budget Input Data'!$E$124="Front-loaded",IF(16&lt;='I_Inputs &amp; Assumptions'!$B$8/2,'I_Budget Input Data'!$D$124*0.6/('I_Inputs &amp; Assumptions'!$B$8/2),'I_Budget Input Data'!$D$124*0.4/('I_Inputs &amp; Assumptions'!$B$8/2)),IF('I_Budget Input Data'!$E$124="Back-loaded",IF(16&lt;='I_Inputs &amp; Assumptions'!$B$8/2,'I_Budget Input Data'!$D$124*0.4/('I_Inputs &amp; Assumptions'!$B$8/2),'I_Budget Input Data'!$D$124*0.6/('I_Inputs &amp; Assumptions'!$B$8/2)),IF('I_Budget Input Data'!$E$124="Mid-weighted",IF(16&lt;='I_Inputs &amp; Assumptions'!$B$8/4,'I_Budget Input Data'!$D$124*0.2/('I_Inputs &amp; Assumptions'!$B$8/4),IF(16&lt;='I_Inputs &amp; Assumptions'!$B$8*0.75,'I_Budget Input Data'!$D$124*0.6/('I_Inputs &amp; Assumptions'!$B$8/2),'I_Budget Input Data'!$D$124*0.2/('I_Inputs &amp; Assumptions'!$B$8/4))),IF('I_Budget Input Data'!$E$124="At Completion",IF(16='I_Inputs &amp; Assumptions'!$B$8,'I_Budget Input Data'!$D$124,0),'I_Budget Input Data'!$D$124/'I_Inputs &amp; Assumptions'!$B$8)))))),0)</f>
        <v>0</v>
      </c>
      <c r="S124" s="91">
        <f>IF(17&lt;='I_Inputs &amp; Assumptions'!$B$8,IF('I_Budget Input Data'!$E$124="Upfront",IF(17=1,'I_Budget Input Data'!$D$124,0),IF('I_Budget Input Data'!$E$124="Equal",'I_Budget Input Data'!$D$124/'I_Inputs &amp; Assumptions'!$B$8,IF('I_Budget Input Data'!$E$124="Front-loaded",IF(17&lt;='I_Inputs &amp; Assumptions'!$B$8/2,'I_Budget Input Data'!$D$124*0.6/('I_Inputs &amp; Assumptions'!$B$8/2),'I_Budget Input Data'!$D$124*0.4/('I_Inputs &amp; Assumptions'!$B$8/2)),IF('I_Budget Input Data'!$E$124="Back-loaded",IF(17&lt;='I_Inputs &amp; Assumptions'!$B$8/2,'I_Budget Input Data'!$D$124*0.4/('I_Inputs &amp; Assumptions'!$B$8/2),'I_Budget Input Data'!$D$124*0.6/('I_Inputs &amp; Assumptions'!$B$8/2)),IF('I_Budget Input Data'!$E$124="Mid-weighted",IF(17&lt;='I_Inputs &amp; Assumptions'!$B$8/4,'I_Budget Input Data'!$D$124*0.2/('I_Inputs &amp; Assumptions'!$B$8/4),IF(17&lt;='I_Inputs &amp; Assumptions'!$B$8*0.75,'I_Budget Input Data'!$D$124*0.6/('I_Inputs &amp; Assumptions'!$B$8/2),'I_Budget Input Data'!$D$124*0.2/('I_Inputs &amp; Assumptions'!$B$8/4))),IF('I_Budget Input Data'!$E$124="At Completion",IF(17='I_Inputs &amp; Assumptions'!$B$8,'I_Budget Input Data'!$D$124,0),'I_Budget Input Data'!$D$124/'I_Inputs &amp; Assumptions'!$B$8)))))),0)</f>
        <v>0</v>
      </c>
      <c r="T124" s="91">
        <f>IF(18&lt;='I_Inputs &amp; Assumptions'!$B$8,IF('I_Budget Input Data'!$E$124="Upfront",IF(18=1,'I_Budget Input Data'!$D$124,0),IF('I_Budget Input Data'!$E$124="Equal",'I_Budget Input Data'!$D$124/'I_Inputs &amp; Assumptions'!$B$8,IF('I_Budget Input Data'!$E$124="Front-loaded",IF(18&lt;='I_Inputs &amp; Assumptions'!$B$8/2,'I_Budget Input Data'!$D$124*0.6/('I_Inputs &amp; Assumptions'!$B$8/2),'I_Budget Input Data'!$D$124*0.4/('I_Inputs &amp; Assumptions'!$B$8/2)),IF('I_Budget Input Data'!$E$124="Back-loaded",IF(18&lt;='I_Inputs &amp; Assumptions'!$B$8/2,'I_Budget Input Data'!$D$124*0.4/('I_Inputs &amp; Assumptions'!$B$8/2),'I_Budget Input Data'!$D$124*0.6/('I_Inputs &amp; Assumptions'!$B$8/2)),IF('I_Budget Input Data'!$E$124="Mid-weighted",IF(18&lt;='I_Inputs &amp; Assumptions'!$B$8/4,'I_Budget Input Data'!$D$124*0.2/('I_Inputs &amp; Assumptions'!$B$8/4),IF(18&lt;='I_Inputs &amp; Assumptions'!$B$8*0.75,'I_Budget Input Data'!$D$124*0.6/('I_Inputs &amp; Assumptions'!$B$8/2),'I_Budget Input Data'!$D$124*0.2/('I_Inputs &amp; Assumptions'!$B$8/4))),IF('I_Budget Input Data'!$E$124="At Completion",IF(18='I_Inputs &amp; Assumptions'!$B$8,'I_Budget Input Data'!$D$124,0),'I_Budget Input Data'!$D$124/'I_Inputs &amp; Assumptions'!$B$8)))))),0)</f>
        <v>0</v>
      </c>
      <c r="U124" s="91">
        <f>IF(19&lt;='I_Inputs &amp; Assumptions'!$B$8,IF('I_Budget Input Data'!$E$124="Upfront",IF(19=1,'I_Budget Input Data'!$D$124,0),IF('I_Budget Input Data'!$E$124="Equal",'I_Budget Input Data'!$D$124/'I_Inputs &amp; Assumptions'!$B$8,IF('I_Budget Input Data'!$E$124="Front-loaded",IF(19&lt;='I_Inputs &amp; Assumptions'!$B$8/2,'I_Budget Input Data'!$D$124*0.6/('I_Inputs &amp; Assumptions'!$B$8/2),'I_Budget Input Data'!$D$124*0.4/('I_Inputs &amp; Assumptions'!$B$8/2)),IF('I_Budget Input Data'!$E$124="Back-loaded",IF(19&lt;='I_Inputs &amp; Assumptions'!$B$8/2,'I_Budget Input Data'!$D$124*0.4/('I_Inputs &amp; Assumptions'!$B$8/2),'I_Budget Input Data'!$D$124*0.6/('I_Inputs &amp; Assumptions'!$B$8/2)),IF('I_Budget Input Data'!$E$124="Mid-weighted",IF(19&lt;='I_Inputs &amp; Assumptions'!$B$8/4,'I_Budget Input Data'!$D$124*0.2/('I_Inputs &amp; Assumptions'!$B$8/4),IF(19&lt;='I_Inputs &amp; Assumptions'!$B$8*0.75,'I_Budget Input Data'!$D$124*0.6/('I_Inputs &amp; Assumptions'!$B$8/2),'I_Budget Input Data'!$D$124*0.2/('I_Inputs &amp; Assumptions'!$B$8/4))),IF('I_Budget Input Data'!$E$124="At Completion",IF(19='I_Inputs &amp; Assumptions'!$B$8,'I_Budget Input Data'!$D$124,0),'I_Budget Input Data'!$D$124/'I_Inputs &amp; Assumptions'!$B$8)))))),0)</f>
        <v>0</v>
      </c>
      <c r="V124" s="91">
        <f>IF(20&lt;='I_Inputs &amp; Assumptions'!$B$8,IF('I_Budget Input Data'!$E$124="Upfront",IF(20=1,'I_Budget Input Data'!$D$124,0),IF('I_Budget Input Data'!$E$124="Equal",'I_Budget Input Data'!$D$124/'I_Inputs &amp; Assumptions'!$B$8,IF('I_Budget Input Data'!$E$124="Front-loaded",IF(20&lt;='I_Inputs &amp; Assumptions'!$B$8/2,'I_Budget Input Data'!$D$124*0.6/('I_Inputs &amp; Assumptions'!$B$8/2),'I_Budget Input Data'!$D$124*0.4/('I_Inputs &amp; Assumptions'!$B$8/2)),IF('I_Budget Input Data'!$E$124="Back-loaded",IF(20&lt;='I_Inputs &amp; Assumptions'!$B$8/2,'I_Budget Input Data'!$D$124*0.4/('I_Inputs &amp; Assumptions'!$B$8/2),'I_Budget Input Data'!$D$124*0.6/('I_Inputs &amp; Assumptions'!$B$8/2)),IF('I_Budget Input Data'!$E$124="Mid-weighted",IF(20&lt;='I_Inputs &amp; Assumptions'!$B$8/4,'I_Budget Input Data'!$D$124*0.2/('I_Inputs &amp; Assumptions'!$B$8/4),IF(20&lt;='I_Inputs &amp; Assumptions'!$B$8*0.75,'I_Budget Input Data'!$D$124*0.6/('I_Inputs &amp; Assumptions'!$B$8/2),'I_Budget Input Data'!$D$124*0.2/('I_Inputs &amp; Assumptions'!$B$8/4))),IF('I_Budget Input Data'!$E$124="At Completion",IF(20='I_Inputs &amp; Assumptions'!$B$8,'I_Budget Input Data'!$D$124,0),'I_Budget Input Data'!$D$124/'I_Inputs &amp; Assumptions'!$B$8)))))),0)</f>
        <v>0</v>
      </c>
      <c r="W124" s="91">
        <f>IF(21&lt;='I_Inputs &amp; Assumptions'!$B$8,IF('I_Budget Input Data'!$E$124="Upfront",IF(21=1,'I_Budget Input Data'!$D$124,0),IF('I_Budget Input Data'!$E$124="Equal",'I_Budget Input Data'!$D$124/'I_Inputs &amp; Assumptions'!$B$8,IF('I_Budget Input Data'!$E$124="Front-loaded",IF(21&lt;='I_Inputs &amp; Assumptions'!$B$8/2,'I_Budget Input Data'!$D$124*0.6/('I_Inputs &amp; Assumptions'!$B$8/2),'I_Budget Input Data'!$D$124*0.4/('I_Inputs &amp; Assumptions'!$B$8/2)),IF('I_Budget Input Data'!$E$124="Back-loaded",IF(21&lt;='I_Inputs &amp; Assumptions'!$B$8/2,'I_Budget Input Data'!$D$124*0.4/('I_Inputs &amp; Assumptions'!$B$8/2),'I_Budget Input Data'!$D$124*0.6/('I_Inputs &amp; Assumptions'!$B$8/2)),IF('I_Budget Input Data'!$E$124="Mid-weighted",IF(21&lt;='I_Inputs &amp; Assumptions'!$B$8/4,'I_Budget Input Data'!$D$124*0.2/('I_Inputs &amp; Assumptions'!$B$8/4),IF(21&lt;='I_Inputs &amp; Assumptions'!$B$8*0.75,'I_Budget Input Data'!$D$124*0.6/('I_Inputs &amp; Assumptions'!$B$8/2),'I_Budget Input Data'!$D$124*0.2/('I_Inputs &amp; Assumptions'!$B$8/4))),IF('I_Budget Input Data'!$E$124="At Completion",IF(21='I_Inputs &amp; Assumptions'!$B$8,'I_Budget Input Data'!$D$124,0),'I_Budget Input Data'!$D$124/'I_Inputs &amp; Assumptions'!$B$8)))))),0)</f>
        <v>0</v>
      </c>
      <c r="X124" s="91">
        <f>IF(22&lt;='I_Inputs &amp; Assumptions'!$B$8,IF('I_Budget Input Data'!$E$124="Upfront",IF(22=1,'I_Budget Input Data'!$D$124,0),IF('I_Budget Input Data'!$E$124="Equal",'I_Budget Input Data'!$D$124/'I_Inputs &amp; Assumptions'!$B$8,IF('I_Budget Input Data'!$E$124="Front-loaded",IF(22&lt;='I_Inputs &amp; Assumptions'!$B$8/2,'I_Budget Input Data'!$D$124*0.6/('I_Inputs &amp; Assumptions'!$B$8/2),'I_Budget Input Data'!$D$124*0.4/('I_Inputs &amp; Assumptions'!$B$8/2)),IF('I_Budget Input Data'!$E$124="Back-loaded",IF(22&lt;='I_Inputs &amp; Assumptions'!$B$8/2,'I_Budget Input Data'!$D$124*0.4/('I_Inputs &amp; Assumptions'!$B$8/2),'I_Budget Input Data'!$D$124*0.6/('I_Inputs &amp; Assumptions'!$B$8/2)),IF('I_Budget Input Data'!$E$124="Mid-weighted",IF(22&lt;='I_Inputs &amp; Assumptions'!$B$8/4,'I_Budget Input Data'!$D$124*0.2/('I_Inputs &amp; Assumptions'!$B$8/4),IF(22&lt;='I_Inputs &amp; Assumptions'!$B$8*0.75,'I_Budget Input Data'!$D$124*0.6/('I_Inputs &amp; Assumptions'!$B$8/2),'I_Budget Input Data'!$D$124*0.2/('I_Inputs &amp; Assumptions'!$B$8/4))),IF('I_Budget Input Data'!$E$124="At Completion",IF(22='I_Inputs &amp; Assumptions'!$B$8,'I_Budget Input Data'!$D$124,0),'I_Budget Input Data'!$D$124/'I_Inputs &amp; Assumptions'!$B$8)))))),0)</f>
        <v>0</v>
      </c>
      <c r="Y124" s="91">
        <f>IF(23&lt;='I_Inputs &amp; Assumptions'!$B$8,IF('I_Budget Input Data'!$E$124="Upfront",IF(23=1,'I_Budget Input Data'!$D$124,0),IF('I_Budget Input Data'!$E$124="Equal",'I_Budget Input Data'!$D$124/'I_Inputs &amp; Assumptions'!$B$8,IF('I_Budget Input Data'!$E$124="Front-loaded",IF(23&lt;='I_Inputs &amp; Assumptions'!$B$8/2,'I_Budget Input Data'!$D$124*0.6/('I_Inputs &amp; Assumptions'!$B$8/2),'I_Budget Input Data'!$D$124*0.4/('I_Inputs &amp; Assumptions'!$B$8/2)),IF('I_Budget Input Data'!$E$124="Back-loaded",IF(23&lt;='I_Inputs &amp; Assumptions'!$B$8/2,'I_Budget Input Data'!$D$124*0.4/('I_Inputs &amp; Assumptions'!$B$8/2),'I_Budget Input Data'!$D$124*0.6/('I_Inputs &amp; Assumptions'!$B$8/2)),IF('I_Budget Input Data'!$E$124="Mid-weighted",IF(23&lt;='I_Inputs &amp; Assumptions'!$B$8/4,'I_Budget Input Data'!$D$124*0.2/('I_Inputs &amp; Assumptions'!$B$8/4),IF(23&lt;='I_Inputs &amp; Assumptions'!$B$8*0.75,'I_Budget Input Data'!$D$124*0.6/('I_Inputs &amp; Assumptions'!$B$8/2),'I_Budget Input Data'!$D$124*0.2/('I_Inputs &amp; Assumptions'!$B$8/4))),IF('I_Budget Input Data'!$E$124="At Completion",IF(23='I_Inputs &amp; Assumptions'!$B$8,'I_Budget Input Data'!$D$124,0),'I_Budget Input Data'!$D$124/'I_Inputs &amp; Assumptions'!$B$8)))))),0)</f>
        <v>0</v>
      </c>
      <c r="Z124" s="91">
        <f>IF(24&lt;='I_Inputs &amp; Assumptions'!$B$8,IF('I_Budget Input Data'!$E$124="Upfront",IF(24=1,'I_Budget Input Data'!$D$124,0),IF('I_Budget Input Data'!$E$124="Equal",'I_Budget Input Data'!$D$124/'I_Inputs &amp; Assumptions'!$B$8,IF('I_Budget Input Data'!$E$124="Front-loaded",IF(24&lt;='I_Inputs &amp; Assumptions'!$B$8/2,'I_Budget Input Data'!$D$124*0.6/('I_Inputs &amp; Assumptions'!$B$8/2),'I_Budget Input Data'!$D$124*0.4/('I_Inputs &amp; Assumptions'!$B$8/2)),IF('I_Budget Input Data'!$E$124="Back-loaded",IF(24&lt;='I_Inputs &amp; Assumptions'!$B$8/2,'I_Budget Input Data'!$D$124*0.4/('I_Inputs &amp; Assumptions'!$B$8/2),'I_Budget Input Data'!$D$124*0.6/('I_Inputs &amp; Assumptions'!$B$8/2)),IF('I_Budget Input Data'!$E$124="Mid-weighted",IF(24&lt;='I_Inputs &amp; Assumptions'!$B$8/4,'I_Budget Input Data'!$D$124*0.2/('I_Inputs &amp; Assumptions'!$B$8/4),IF(24&lt;='I_Inputs &amp; Assumptions'!$B$8*0.75,'I_Budget Input Data'!$D$124*0.6/('I_Inputs &amp; Assumptions'!$B$8/2),'I_Budget Input Data'!$D$124*0.2/('I_Inputs &amp; Assumptions'!$B$8/4))),IF('I_Budget Input Data'!$E$124="At Completion",IF(24='I_Inputs &amp; Assumptions'!$B$8,'I_Budget Input Data'!$D$124,0),'I_Budget Input Data'!$D$124/'I_Inputs &amp; Assumptions'!$B$8)))))),0)</f>
        <v>0</v>
      </c>
      <c r="AA124" s="91">
        <f>IF(25&lt;='I_Inputs &amp; Assumptions'!$B$8,IF('I_Budget Input Data'!$E$124="Upfront",IF(25=1,'I_Budget Input Data'!$D$124,0),IF('I_Budget Input Data'!$E$124="Equal",'I_Budget Input Data'!$D$124/'I_Inputs &amp; Assumptions'!$B$8,IF('I_Budget Input Data'!$E$124="Front-loaded",IF(25&lt;='I_Inputs &amp; Assumptions'!$B$8/2,'I_Budget Input Data'!$D$124*0.6/('I_Inputs &amp; Assumptions'!$B$8/2),'I_Budget Input Data'!$D$124*0.4/('I_Inputs &amp; Assumptions'!$B$8/2)),IF('I_Budget Input Data'!$E$124="Back-loaded",IF(25&lt;='I_Inputs &amp; Assumptions'!$B$8/2,'I_Budget Input Data'!$D$124*0.4/('I_Inputs &amp; Assumptions'!$B$8/2),'I_Budget Input Data'!$D$124*0.6/('I_Inputs &amp; Assumptions'!$B$8/2)),IF('I_Budget Input Data'!$E$124="Mid-weighted",IF(25&lt;='I_Inputs &amp; Assumptions'!$B$8/4,'I_Budget Input Data'!$D$124*0.2/('I_Inputs &amp; Assumptions'!$B$8/4),IF(25&lt;='I_Inputs &amp; Assumptions'!$B$8*0.75,'I_Budget Input Data'!$D$124*0.6/('I_Inputs &amp; Assumptions'!$B$8/2),'I_Budget Input Data'!$D$124*0.2/('I_Inputs &amp; Assumptions'!$B$8/4))),IF('I_Budget Input Data'!$E$124="At Completion",IF(25='I_Inputs &amp; Assumptions'!$B$8,'I_Budget Input Data'!$D$124,0),'I_Budget Input Data'!$D$124/'I_Inputs &amp; Assumptions'!$B$8)))))),0)</f>
        <v>0</v>
      </c>
      <c r="AB124" s="91">
        <f>IF(26&lt;='I_Inputs &amp; Assumptions'!$B$8,IF('I_Budget Input Data'!$E$124="Upfront",IF(26=1,'I_Budget Input Data'!$D$124,0),IF('I_Budget Input Data'!$E$124="Equal",'I_Budget Input Data'!$D$124/'I_Inputs &amp; Assumptions'!$B$8,IF('I_Budget Input Data'!$E$124="Front-loaded",IF(26&lt;='I_Inputs &amp; Assumptions'!$B$8/2,'I_Budget Input Data'!$D$124*0.6/('I_Inputs &amp; Assumptions'!$B$8/2),'I_Budget Input Data'!$D$124*0.4/('I_Inputs &amp; Assumptions'!$B$8/2)),IF('I_Budget Input Data'!$E$124="Back-loaded",IF(26&lt;='I_Inputs &amp; Assumptions'!$B$8/2,'I_Budget Input Data'!$D$124*0.4/('I_Inputs &amp; Assumptions'!$B$8/2),'I_Budget Input Data'!$D$124*0.6/('I_Inputs &amp; Assumptions'!$B$8/2)),IF('I_Budget Input Data'!$E$124="Mid-weighted",IF(26&lt;='I_Inputs &amp; Assumptions'!$B$8/4,'I_Budget Input Data'!$D$124*0.2/('I_Inputs &amp; Assumptions'!$B$8/4),IF(26&lt;='I_Inputs &amp; Assumptions'!$B$8*0.75,'I_Budget Input Data'!$D$124*0.6/('I_Inputs &amp; Assumptions'!$B$8/2),'I_Budget Input Data'!$D$124*0.2/('I_Inputs &amp; Assumptions'!$B$8/4))),IF('I_Budget Input Data'!$E$124="At Completion",IF(26='I_Inputs &amp; Assumptions'!$B$8,'I_Budget Input Data'!$D$124,0),'I_Budget Input Data'!$D$124/'I_Inputs &amp; Assumptions'!$B$8)))))),0)</f>
        <v>0</v>
      </c>
      <c r="AC124" s="91">
        <f>IF(27&lt;='I_Inputs &amp; Assumptions'!$B$8,IF('I_Budget Input Data'!$E$124="Upfront",IF(27=1,'I_Budget Input Data'!$D$124,0),IF('I_Budget Input Data'!$E$124="Equal",'I_Budget Input Data'!$D$124/'I_Inputs &amp; Assumptions'!$B$8,IF('I_Budget Input Data'!$E$124="Front-loaded",IF(27&lt;='I_Inputs &amp; Assumptions'!$B$8/2,'I_Budget Input Data'!$D$124*0.6/('I_Inputs &amp; Assumptions'!$B$8/2),'I_Budget Input Data'!$D$124*0.4/('I_Inputs &amp; Assumptions'!$B$8/2)),IF('I_Budget Input Data'!$E$124="Back-loaded",IF(27&lt;='I_Inputs &amp; Assumptions'!$B$8/2,'I_Budget Input Data'!$D$124*0.4/('I_Inputs &amp; Assumptions'!$B$8/2),'I_Budget Input Data'!$D$124*0.6/('I_Inputs &amp; Assumptions'!$B$8/2)),IF('I_Budget Input Data'!$E$124="Mid-weighted",IF(27&lt;='I_Inputs &amp; Assumptions'!$B$8/4,'I_Budget Input Data'!$D$124*0.2/('I_Inputs &amp; Assumptions'!$B$8/4),IF(27&lt;='I_Inputs &amp; Assumptions'!$B$8*0.75,'I_Budget Input Data'!$D$124*0.6/('I_Inputs &amp; Assumptions'!$B$8/2),'I_Budget Input Data'!$D$124*0.2/('I_Inputs &amp; Assumptions'!$B$8/4))),IF('I_Budget Input Data'!$E$124="At Completion",IF(27='I_Inputs &amp; Assumptions'!$B$8,'I_Budget Input Data'!$D$124,0),'I_Budget Input Data'!$D$124/'I_Inputs &amp; Assumptions'!$B$8)))))),0)</f>
        <v>0</v>
      </c>
      <c r="AD124" s="91">
        <f>IF(28&lt;='I_Inputs &amp; Assumptions'!$B$8,IF('I_Budget Input Data'!$E$124="Upfront",IF(28=1,'I_Budget Input Data'!$D$124,0),IF('I_Budget Input Data'!$E$124="Equal",'I_Budget Input Data'!$D$124/'I_Inputs &amp; Assumptions'!$B$8,IF('I_Budget Input Data'!$E$124="Front-loaded",IF(28&lt;='I_Inputs &amp; Assumptions'!$B$8/2,'I_Budget Input Data'!$D$124*0.6/('I_Inputs &amp; Assumptions'!$B$8/2),'I_Budget Input Data'!$D$124*0.4/('I_Inputs &amp; Assumptions'!$B$8/2)),IF('I_Budget Input Data'!$E$124="Back-loaded",IF(28&lt;='I_Inputs &amp; Assumptions'!$B$8/2,'I_Budget Input Data'!$D$124*0.4/('I_Inputs &amp; Assumptions'!$B$8/2),'I_Budget Input Data'!$D$124*0.6/('I_Inputs &amp; Assumptions'!$B$8/2)),IF('I_Budget Input Data'!$E$124="Mid-weighted",IF(28&lt;='I_Inputs &amp; Assumptions'!$B$8/4,'I_Budget Input Data'!$D$124*0.2/('I_Inputs &amp; Assumptions'!$B$8/4),IF(28&lt;='I_Inputs &amp; Assumptions'!$B$8*0.75,'I_Budget Input Data'!$D$124*0.6/('I_Inputs &amp; Assumptions'!$B$8/2),'I_Budget Input Data'!$D$124*0.2/('I_Inputs &amp; Assumptions'!$B$8/4))),IF('I_Budget Input Data'!$E$124="At Completion",IF(28='I_Inputs &amp; Assumptions'!$B$8,'I_Budget Input Data'!$D$124,0),'I_Budget Input Data'!$D$124/'I_Inputs &amp; Assumptions'!$B$8)))))),0)</f>
        <v>0</v>
      </c>
      <c r="AE124" s="91">
        <f>IF(29&lt;='I_Inputs &amp; Assumptions'!$B$8,IF('I_Budget Input Data'!$E$124="Upfront",IF(29=1,'I_Budget Input Data'!$D$124,0),IF('I_Budget Input Data'!$E$124="Equal",'I_Budget Input Data'!$D$124/'I_Inputs &amp; Assumptions'!$B$8,IF('I_Budget Input Data'!$E$124="Front-loaded",IF(29&lt;='I_Inputs &amp; Assumptions'!$B$8/2,'I_Budget Input Data'!$D$124*0.6/('I_Inputs &amp; Assumptions'!$B$8/2),'I_Budget Input Data'!$D$124*0.4/('I_Inputs &amp; Assumptions'!$B$8/2)),IF('I_Budget Input Data'!$E$124="Back-loaded",IF(29&lt;='I_Inputs &amp; Assumptions'!$B$8/2,'I_Budget Input Data'!$D$124*0.4/('I_Inputs &amp; Assumptions'!$B$8/2),'I_Budget Input Data'!$D$124*0.6/('I_Inputs &amp; Assumptions'!$B$8/2)),IF('I_Budget Input Data'!$E$124="Mid-weighted",IF(29&lt;='I_Inputs &amp; Assumptions'!$B$8/4,'I_Budget Input Data'!$D$124*0.2/('I_Inputs &amp; Assumptions'!$B$8/4),IF(29&lt;='I_Inputs &amp; Assumptions'!$B$8*0.75,'I_Budget Input Data'!$D$124*0.6/('I_Inputs &amp; Assumptions'!$B$8/2),'I_Budget Input Data'!$D$124*0.2/('I_Inputs &amp; Assumptions'!$B$8/4))),IF('I_Budget Input Data'!$E$124="At Completion",IF(29='I_Inputs &amp; Assumptions'!$B$8,'I_Budget Input Data'!$D$124,0),'I_Budget Input Data'!$D$124/'I_Inputs &amp; Assumptions'!$B$8)))))),0)</f>
        <v>0</v>
      </c>
      <c r="AF124" s="91">
        <f>IF(30&lt;='I_Inputs &amp; Assumptions'!$B$8,IF('I_Budget Input Data'!$E$124="Upfront",IF(30=1,'I_Budget Input Data'!$D$124,0),IF('I_Budget Input Data'!$E$124="Equal",'I_Budget Input Data'!$D$124/'I_Inputs &amp; Assumptions'!$B$8,IF('I_Budget Input Data'!$E$124="Front-loaded",IF(30&lt;='I_Inputs &amp; Assumptions'!$B$8/2,'I_Budget Input Data'!$D$124*0.6/('I_Inputs &amp; Assumptions'!$B$8/2),'I_Budget Input Data'!$D$124*0.4/('I_Inputs &amp; Assumptions'!$B$8/2)),IF('I_Budget Input Data'!$E$124="Back-loaded",IF(30&lt;='I_Inputs &amp; Assumptions'!$B$8/2,'I_Budget Input Data'!$D$124*0.4/('I_Inputs &amp; Assumptions'!$B$8/2),'I_Budget Input Data'!$D$124*0.6/('I_Inputs &amp; Assumptions'!$B$8/2)),IF('I_Budget Input Data'!$E$124="Mid-weighted",IF(30&lt;='I_Inputs &amp; Assumptions'!$B$8/4,'I_Budget Input Data'!$D$124*0.2/('I_Inputs &amp; Assumptions'!$B$8/4),IF(30&lt;='I_Inputs &amp; Assumptions'!$B$8*0.75,'I_Budget Input Data'!$D$124*0.6/('I_Inputs &amp; Assumptions'!$B$8/2),'I_Budget Input Data'!$D$124*0.2/('I_Inputs &amp; Assumptions'!$B$8/4))),IF('I_Budget Input Data'!$E$124="At Completion",IF(30='I_Inputs &amp; Assumptions'!$B$8,'I_Budget Input Data'!$D$124,0),'I_Budget Input Data'!$D$124/'I_Inputs &amp; Assumptions'!$B$8)))))),0)</f>
        <v>0</v>
      </c>
      <c r="AG124" s="91">
        <f>IF(31&lt;='I_Inputs &amp; Assumptions'!$B$8,IF('I_Budget Input Data'!$E$124="Upfront",IF(31=1,'I_Budget Input Data'!$D$124,0),IF('I_Budget Input Data'!$E$124="Equal",'I_Budget Input Data'!$D$124/'I_Inputs &amp; Assumptions'!$B$8,IF('I_Budget Input Data'!$E$124="Front-loaded",IF(31&lt;='I_Inputs &amp; Assumptions'!$B$8/2,'I_Budget Input Data'!$D$124*0.6/('I_Inputs &amp; Assumptions'!$B$8/2),'I_Budget Input Data'!$D$124*0.4/('I_Inputs &amp; Assumptions'!$B$8/2)),IF('I_Budget Input Data'!$E$124="Back-loaded",IF(31&lt;='I_Inputs &amp; Assumptions'!$B$8/2,'I_Budget Input Data'!$D$124*0.4/('I_Inputs &amp; Assumptions'!$B$8/2),'I_Budget Input Data'!$D$124*0.6/('I_Inputs &amp; Assumptions'!$B$8/2)),IF('I_Budget Input Data'!$E$124="Mid-weighted",IF(31&lt;='I_Inputs &amp; Assumptions'!$B$8/4,'I_Budget Input Data'!$D$124*0.2/('I_Inputs &amp; Assumptions'!$B$8/4),IF(31&lt;='I_Inputs &amp; Assumptions'!$B$8*0.75,'I_Budget Input Data'!$D$124*0.6/('I_Inputs &amp; Assumptions'!$B$8/2),'I_Budget Input Data'!$D$124*0.2/('I_Inputs &amp; Assumptions'!$B$8/4))),IF('I_Budget Input Data'!$E$124="At Completion",IF(31='I_Inputs &amp; Assumptions'!$B$8,'I_Budget Input Data'!$D$124,0),'I_Budget Input Data'!$D$124/'I_Inputs &amp; Assumptions'!$B$8)))))),0)</f>
        <v>0</v>
      </c>
      <c r="AH124" s="91">
        <f>IF(32&lt;='I_Inputs &amp; Assumptions'!$B$8,IF('I_Budget Input Data'!$E$124="Upfront",IF(32=1,'I_Budget Input Data'!$D$124,0),IF('I_Budget Input Data'!$E$124="Equal",'I_Budget Input Data'!$D$124/'I_Inputs &amp; Assumptions'!$B$8,IF('I_Budget Input Data'!$E$124="Front-loaded",IF(32&lt;='I_Inputs &amp; Assumptions'!$B$8/2,'I_Budget Input Data'!$D$124*0.6/('I_Inputs &amp; Assumptions'!$B$8/2),'I_Budget Input Data'!$D$124*0.4/('I_Inputs &amp; Assumptions'!$B$8/2)),IF('I_Budget Input Data'!$E$124="Back-loaded",IF(32&lt;='I_Inputs &amp; Assumptions'!$B$8/2,'I_Budget Input Data'!$D$124*0.4/('I_Inputs &amp; Assumptions'!$B$8/2),'I_Budget Input Data'!$D$124*0.6/('I_Inputs &amp; Assumptions'!$B$8/2)),IF('I_Budget Input Data'!$E$124="Mid-weighted",IF(32&lt;='I_Inputs &amp; Assumptions'!$B$8/4,'I_Budget Input Data'!$D$124*0.2/('I_Inputs &amp; Assumptions'!$B$8/4),IF(32&lt;='I_Inputs &amp; Assumptions'!$B$8*0.75,'I_Budget Input Data'!$D$124*0.6/('I_Inputs &amp; Assumptions'!$B$8/2),'I_Budget Input Data'!$D$124*0.2/('I_Inputs &amp; Assumptions'!$B$8/4))),IF('I_Budget Input Data'!$E$124="At Completion",IF(32='I_Inputs &amp; Assumptions'!$B$8,'I_Budget Input Data'!$D$124,0),'I_Budget Input Data'!$D$124/'I_Inputs &amp; Assumptions'!$B$8)))))),0)</f>
        <v>0</v>
      </c>
      <c r="AI124" s="91">
        <f>IF(33&lt;='I_Inputs &amp; Assumptions'!$B$8,IF('I_Budget Input Data'!$E$124="Upfront",IF(33=1,'I_Budget Input Data'!$D$124,0),IF('I_Budget Input Data'!$E$124="Equal",'I_Budget Input Data'!$D$124/'I_Inputs &amp; Assumptions'!$B$8,IF('I_Budget Input Data'!$E$124="Front-loaded",IF(33&lt;='I_Inputs &amp; Assumptions'!$B$8/2,'I_Budget Input Data'!$D$124*0.6/('I_Inputs &amp; Assumptions'!$B$8/2),'I_Budget Input Data'!$D$124*0.4/('I_Inputs &amp; Assumptions'!$B$8/2)),IF('I_Budget Input Data'!$E$124="Back-loaded",IF(33&lt;='I_Inputs &amp; Assumptions'!$B$8/2,'I_Budget Input Data'!$D$124*0.4/('I_Inputs &amp; Assumptions'!$B$8/2),'I_Budget Input Data'!$D$124*0.6/('I_Inputs &amp; Assumptions'!$B$8/2)),IF('I_Budget Input Data'!$E$124="Mid-weighted",IF(33&lt;='I_Inputs &amp; Assumptions'!$B$8/4,'I_Budget Input Data'!$D$124*0.2/('I_Inputs &amp; Assumptions'!$B$8/4),IF(33&lt;='I_Inputs &amp; Assumptions'!$B$8*0.75,'I_Budget Input Data'!$D$124*0.6/('I_Inputs &amp; Assumptions'!$B$8/2),'I_Budget Input Data'!$D$124*0.2/('I_Inputs &amp; Assumptions'!$B$8/4))),IF('I_Budget Input Data'!$E$124="At Completion",IF(33='I_Inputs &amp; Assumptions'!$B$8,'I_Budget Input Data'!$D$124,0),'I_Budget Input Data'!$D$124/'I_Inputs &amp; Assumptions'!$B$8)))))),0)</f>
        <v>0</v>
      </c>
      <c r="AJ124" s="91">
        <f>IF(34&lt;='I_Inputs &amp; Assumptions'!$B$8,IF('I_Budget Input Data'!$E$124="Upfront",IF(34=1,'I_Budget Input Data'!$D$124,0),IF('I_Budget Input Data'!$E$124="Equal",'I_Budget Input Data'!$D$124/'I_Inputs &amp; Assumptions'!$B$8,IF('I_Budget Input Data'!$E$124="Front-loaded",IF(34&lt;='I_Inputs &amp; Assumptions'!$B$8/2,'I_Budget Input Data'!$D$124*0.6/('I_Inputs &amp; Assumptions'!$B$8/2),'I_Budget Input Data'!$D$124*0.4/('I_Inputs &amp; Assumptions'!$B$8/2)),IF('I_Budget Input Data'!$E$124="Back-loaded",IF(34&lt;='I_Inputs &amp; Assumptions'!$B$8/2,'I_Budget Input Data'!$D$124*0.4/('I_Inputs &amp; Assumptions'!$B$8/2),'I_Budget Input Data'!$D$124*0.6/('I_Inputs &amp; Assumptions'!$B$8/2)),IF('I_Budget Input Data'!$E$124="Mid-weighted",IF(34&lt;='I_Inputs &amp; Assumptions'!$B$8/4,'I_Budget Input Data'!$D$124*0.2/('I_Inputs &amp; Assumptions'!$B$8/4),IF(34&lt;='I_Inputs &amp; Assumptions'!$B$8*0.75,'I_Budget Input Data'!$D$124*0.6/('I_Inputs &amp; Assumptions'!$B$8/2),'I_Budget Input Data'!$D$124*0.2/('I_Inputs &amp; Assumptions'!$B$8/4))),IF('I_Budget Input Data'!$E$124="At Completion",IF(34='I_Inputs &amp; Assumptions'!$B$8,'I_Budget Input Data'!$D$124,0),'I_Budget Input Data'!$D$124/'I_Inputs &amp; Assumptions'!$B$8)))))),0)</f>
        <v>0</v>
      </c>
      <c r="AK124" s="91">
        <f>IF(35&lt;='I_Inputs &amp; Assumptions'!$B$8,IF('I_Budget Input Data'!$E$124="Upfront",IF(35=1,'I_Budget Input Data'!$D$124,0),IF('I_Budget Input Data'!$E$124="Equal",'I_Budget Input Data'!$D$124/'I_Inputs &amp; Assumptions'!$B$8,IF('I_Budget Input Data'!$E$124="Front-loaded",IF(35&lt;='I_Inputs &amp; Assumptions'!$B$8/2,'I_Budget Input Data'!$D$124*0.6/('I_Inputs &amp; Assumptions'!$B$8/2),'I_Budget Input Data'!$D$124*0.4/('I_Inputs &amp; Assumptions'!$B$8/2)),IF('I_Budget Input Data'!$E$124="Back-loaded",IF(35&lt;='I_Inputs &amp; Assumptions'!$B$8/2,'I_Budget Input Data'!$D$124*0.4/('I_Inputs &amp; Assumptions'!$B$8/2),'I_Budget Input Data'!$D$124*0.6/('I_Inputs &amp; Assumptions'!$B$8/2)),IF('I_Budget Input Data'!$E$124="Mid-weighted",IF(35&lt;='I_Inputs &amp; Assumptions'!$B$8/4,'I_Budget Input Data'!$D$124*0.2/('I_Inputs &amp; Assumptions'!$B$8/4),IF(35&lt;='I_Inputs &amp; Assumptions'!$B$8*0.75,'I_Budget Input Data'!$D$124*0.6/('I_Inputs &amp; Assumptions'!$B$8/2),'I_Budget Input Data'!$D$124*0.2/('I_Inputs &amp; Assumptions'!$B$8/4))),IF('I_Budget Input Data'!$E$124="At Completion",IF(35='I_Inputs &amp; Assumptions'!$B$8,'I_Budget Input Data'!$D$124,0),'I_Budget Input Data'!$D$124/'I_Inputs &amp; Assumptions'!$B$8)))))),0)</f>
        <v>0</v>
      </c>
      <c r="AL124" s="91">
        <f>IF(36&lt;='I_Inputs &amp; Assumptions'!$B$8,IF('I_Budget Input Data'!$E$124="Upfront",IF(36=1,'I_Budget Input Data'!$D$124,0),IF('I_Budget Input Data'!$E$124="Equal",'I_Budget Input Data'!$D$124/'I_Inputs &amp; Assumptions'!$B$8,IF('I_Budget Input Data'!$E$124="Front-loaded",IF(36&lt;='I_Inputs &amp; Assumptions'!$B$8/2,'I_Budget Input Data'!$D$124*0.6/('I_Inputs &amp; Assumptions'!$B$8/2),'I_Budget Input Data'!$D$124*0.4/('I_Inputs &amp; Assumptions'!$B$8/2)),IF('I_Budget Input Data'!$E$124="Back-loaded",IF(36&lt;='I_Inputs &amp; Assumptions'!$B$8/2,'I_Budget Input Data'!$D$124*0.4/('I_Inputs &amp; Assumptions'!$B$8/2),'I_Budget Input Data'!$D$124*0.6/('I_Inputs &amp; Assumptions'!$B$8/2)),IF('I_Budget Input Data'!$E$124="Mid-weighted",IF(36&lt;='I_Inputs &amp; Assumptions'!$B$8/4,'I_Budget Input Data'!$D$124*0.2/('I_Inputs &amp; Assumptions'!$B$8/4),IF(36&lt;='I_Inputs &amp; Assumptions'!$B$8*0.75,'I_Budget Input Data'!$D$124*0.6/('I_Inputs &amp; Assumptions'!$B$8/2),'I_Budget Input Data'!$D$124*0.2/('I_Inputs &amp; Assumptions'!$B$8/4))),IF('I_Budget Input Data'!$E$124="At Completion",IF(36='I_Inputs &amp; Assumptions'!$B$8,'I_Budget Input Data'!$D$124,0),'I_Budget Input Data'!$D$124/'I_Inputs &amp; Assumptions'!$B$8)))))),0)</f>
        <v>0</v>
      </c>
    </row>
    <row r="125" spans="1:38" ht="15" customHeight="1" x14ac:dyDescent="0.2">
      <c r="A125" t="s">
        <v>146</v>
      </c>
      <c r="B125" t="s">
        <v>238</v>
      </c>
      <c r="C125" s="91">
        <f>IF(1&lt;='I_Inputs &amp; Assumptions'!$B$8,IF('I_Budget Input Data'!$E$125="Upfront",IF(1=1,'I_Budget Input Data'!$D$125,0),IF('I_Budget Input Data'!$E$125="Equal",'I_Budget Input Data'!$D$125/'I_Inputs &amp; Assumptions'!$B$8,IF('I_Budget Input Data'!$E$125="Front-loaded",IF(1&lt;='I_Inputs &amp; Assumptions'!$B$8/2,'I_Budget Input Data'!$D$125*0.6/('I_Inputs &amp; Assumptions'!$B$8/2),'I_Budget Input Data'!$D$125*0.4/('I_Inputs &amp; Assumptions'!$B$8/2)),IF('I_Budget Input Data'!$E$125="Back-loaded",IF(1&lt;='I_Inputs &amp; Assumptions'!$B$8/2,'I_Budget Input Data'!$D$125*0.4/('I_Inputs &amp; Assumptions'!$B$8/2),'I_Budget Input Data'!$D$125*0.6/('I_Inputs &amp; Assumptions'!$B$8/2)),IF('I_Budget Input Data'!$E$125="Mid-weighted",IF(1&lt;='I_Inputs &amp; Assumptions'!$B$8/4,'I_Budget Input Data'!$D$125*0.2/('I_Inputs &amp; Assumptions'!$B$8/4),IF(1&lt;='I_Inputs &amp; Assumptions'!$B$8*0.75,'I_Budget Input Data'!$D$125*0.6/('I_Inputs &amp; Assumptions'!$B$8/2),'I_Budget Input Data'!$D$125*0.2/('I_Inputs &amp; Assumptions'!$B$8/4))),IF('I_Budget Input Data'!$E$125="At Completion",IF(1='I_Inputs &amp; Assumptions'!$B$8,'I_Budget Input Data'!$D$125,0),'I_Budget Input Data'!$D$125/'I_Inputs &amp; Assumptions'!$B$8)))))),0)</f>
        <v>48617.230769230766</v>
      </c>
      <c r="D125" s="91">
        <f>IF(2&lt;='I_Inputs &amp; Assumptions'!$B$8,IF('I_Budget Input Data'!$E$125="Upfront",IF(2=1,'I_Budget Input Data'!$D$125,0),IF('I_Budget Input Data'!$E$125="Equal",'I_Budget Input Data'!$D$125/'I_Inputs &amp; Assumptions'!$B$8,IF('I_Budget Input Data'!$E$125="Front-loaded",IF(2&lt;='I_Inputs &amp; Assumptions'!$B$8/2,'I_Budget Input Data'!$D$125*0.6/('I_Inputs &amp; Assumptions'!$B$8/2),'I_Budget Input Data'!$D$125*0.4/('I_Inputs &amp; Assumptions'!$B$8/2)),IF('I_Budget Input Data'!$E$125="Back-loaded",IF(2&lt;='I_Inputs &amp; Assumptions'!$B$8/2,'I_Budget Input Data'!$D$125*0.4/('I_Inputs &amp; Assumptions'!$B$8/2),'I_Budget Input Data'!$D$125*0.6/('I_Inputs &amp; Assumptions'!$B$8/2)),IF('I_Budget Input Data'!$E$125="Mid-weighted",IF(2&lt;='I_Inputs &amp; Assumptions'!$B$8/4,'I_Budget Input Data'!$D$125*0.2/('I_Inputs &amp; Assumptions'!$B$8/4),IF(2&lt;='I_Inputs &amp; Assumptions'!$B$8*0.75,'I_Budget Input Data'!$D$125*0.6/('I_Inputs &amp; Assumptions'!$B$8/2),'I_Budget Input Data'!$D$125*0.2/('I_Inputs &amp; Assumptions'!$B$8/4))),IF('I_Budget Input Data'!$E$125="At Completion",IF(2='I_Inputs &amp; Assumptions'!$B$8,'I_Budget Input Data'!$D$125,0),'I_Budget Input Data'!$D$125/'I_Inputs &amp; Assumptions'!$B$8)))))),0)</f>
        <v>48617.230769230766</v>
      </c>
      <c r="E125" s="91">
        <f>IF(3&lt;='I_Inputs &amp; Assumptions'!$B$8,IF('I_Budget Input Data'!$E$125="Upfront",IF(3=1,'I_Budget Input Data'!$D$125,0),IF('I_Budget Input Data'!$E$125="Equal",'I_Budget Input Data'!$D$125/'I_Inputs &amp; Assumptions'!$B$8,IF('I_Budget Input Data'!$E$125="Front-loaded",IF(3&lt;='I_Inputs &amp; Assumptions'!$B$8/2,'I_Budget Input Data'!$D$125*0.6/('I_Inputs &amp; Assumptions'!$B$8/2),'I_Budget Input Data'!$D$125*0.4/('I_Inputs &amp; Assumptions'!$B$8/2)),IF('I_Budget Input Data'!$E$125="Back-loaded",IF(3&lt;='I_Inputs &amp; Assumptions'!$B$8/2,'I_Budget Input Data'!$D$125*0.4/('I_Inputs &amp; Assumptions'!$B$8/2),'I_Budget Input Data'!$D$125*0.6/('I_Inputs &amp; Assumptions'!$B$8/2)),IF('I_Budget Input Data'!$E$125="Mid-weighted",IF(3&lt;='I_Inputs &amp; Assumptions'!$B$8/4,'I_Budget Input Data'!$D$125*0.2/('I_Inputs &amp; Assumptions'!$B$8/4),IF(3&lt;='I_Inputs &amp; Assumptions'!$B$8*0.75,'I_Budget Input Data'!$D$125*0.6/('I_Inputs &amp; Assumptions'!$B$8/2),'I_Budget Input Data'!$D$125*0.2/('I_Inputs &amp; Assumptions'!$B$8/4))),IF('I_Budget Input Data'!$E$125="At Completion",IF(3='I_Inputs &amp; Assumptions'!$B$8,'I_Budget Input Data'!$D$125,0),'I_Budget Input Data'!$D$125/'I_Inputs &amp; Assumptions'!$B$8)))))),0)</f>
        <v>48617.230769230766</v>
      </c>
      <c r="F125" s="91">
        <f>IF(4&lt;='I_Inputs &amp; Assumptions'!$B$8,IF('I_Budget Input Data'!$E$125="Upfront",IF(4=1,'I_Budget Input Data'!$D$125,0),IF('I_Budget Input Data'!$E$125="Equal",'I_Budget Input Data'!$D$125/'I_Inputs &amp; Assumptions'!$B$8,IF('I_Budget Input Data'!$E$125="Front-loaded",IF(4&lt;='I_Inputs &amp; Assumptions'!$B$8/2,'I_Budget Input Data'!$D$125*0.6/('I_Inputs &amp; Assumptions'!$B$8/2),'I_Budget Input Data'!$D$125*0.4/('I_Inputs &amp; Assumptions'!$B$8/2)),IF('I_Budget Input Data'!$E$125="Back-loaded",IF(4&lt;='I_Inputs &amp; Assumptions'!$B$8/2,'I_Budget Input Data'!$D$125*0.4/('I_Inputs &amp; Assumptions'!$B$8/2),'I_Budget Input Data'!$D$125*0.6/('I_Inputs &amp; Assumptions'!$B$8/2)),IF('I_Budget Input Data'!$E$125="Mid-weighted",IF(4&lt;='I_Inputs &amp; Assumptions'!$B$8/4,'I_Budget Input Data'!$D$125*0.2/('I_Inputs &amp; Assumptions'!$B$8/4),IF(4&lt;='I_Inputs &amp; Assumptions'!$B$8*0.75,'I_Budget Input Data'!$D$125*0.6/('I_Inputs &amp; Assumptions'!$B$8/2),'I_Budget Input Data'!$D$125*0.2/('I_Inputs &amp; Assumptions'!$B$8/4))),IF('I_Budget Input Data'!$E$125="At Completion",IF(4='I_Inputs &amp; Assumptions'!$B$8,'I_Budget Input Data'!$D$125,0),'I_Budget Input Data'!$D$125/'I_Inputs &amp; Assumptions'!$B$8)))))),0)</f>
        <v>72925.846153846156</v>
      </c>
      <c r="G125" s="91">
        <f>IF(5&lt;='I_Inputs &amp; Assumptions'!$B$8,IF('I_Budget Input Data'!$E$125="Upfront",IF(5=1,'I_Budget Input Data'!$D$125,0),IF('I_Budget Input Data'!$E$125="Equal",'I_Budget Input Data'!$D$125/'I_Inputs &amp; Assumptions'!$B$8,IF('I_Budget Input Data'!$E$125="Front-loaded",IF(5&lt;='I_Inputs &amp; Assumptions'!$B$8/2,'I_Budget Input Data'!$D$125*0.6/('I_Inputs &amp; Assumptions'!$B$8/2),'I_Budget Input Data'!$D$125*0.4/('I_Inputs &amp; Assumptions'!$B$8/2)),IF('I_Budget Input Data'!$E$125="Back-loaded",IF(5&lt;='I_Inputs &amp; Assumptions'!$B$8/2,'I_Budget Input Data'!$D$125*0.4/('I_Inputs &amp; Assumptions'!$B$8/2),'I_Budget Input Data'!$D$125*0.6/('I_Inputs &amp; Assumptions'!$B$8/2)),IF('I_Budget Input Data'!$E$125="Mid-weighted",IF(5&lt;='I_Inputs &amp; Assumptions'!$B$8/4,'I_Budget Input Data'!$D$125*0.2/('I_Inputs &amp; Assumptions'!$B$8/4),IF(5&lt;='I_Inputs &amp; Assumptions'!$B$8*0.75,'I_Budget Input Data'!$D$125*0.6/('I_Inputs &amp; Assumptions'!$B$8/2),'I_Budget Input Data'!$D$125*0.2/('I_Inputs &amp; Assumptions'!$B$8/4))),IF('I_Budget Input Data'!$E$125="At Completion",IF(5='I_Inputs &amp; Assumptions'!$B$8,'I_Budget Input Data'!$D$125,0),'I_Budget Input Data'!$D$125/'I_Inputs &amp; Assumptions'!$B$8)))))),0)</f>
        <v>72925.846153846156</v>
      </c>
      <c r="H125" s="91">
        <f>IF(6&lt;='I_Inputs &amp; Assumptions'!$B$8,IF('I_Budget Input Data'!$E$125="Upfront",IF(6=1,'I_Budget Input Data'!$D$125,0),IF('I_Budget Input Data'!$E$125="Equal",'I_Budget Input Data'!$D$125/'I_Inputs &amp; Assumptions'!$B$8,IF('I_Budget Input Data'!$E$125="Front-loaded",IF(6&lt;='I_Inputs &amp; Assumptions'!$B$8/2,'I_Budget Input Data'!$D$125*0.6/('I_Inputs &amp; Assumptions'!$B$8/2),'I_Budget Input Data'!$D$125*0.4/('I_Inputs &amp; Assumptions'!$B$8/2)),IF('I_Budget Input Data'!$E$125="Back-loaded",IF(6&lt;='I_Inputs &amp; Assumptions'!$B$8/2,'I_Budget Input Data'!$D$125*0.4/('I_Inputs &amp; Assumptions'!$B$8/2),'I_Budget Input Data'!$D$125*0.6/('I_Inputs &amp; Assumptions'!$B$8/2)),IF('I_Budget Input Data'!$E$125="Mid-weighted",IF(6&lt;='I_Inputs &amp; Assumptions'!$B$8/4,'I_Budget Input Data'!$D$125*0.2/('I_Inputs &amp; Assumptions'!$B$8/4),IF(6&lt;='I_Inputs &amp; Assumptions'!$B$8*0.75,'I_Budget Input Data'!$D$125*0.6/('I_Inputs &amp; Assumptions'!$B$8/2),'I_Budget Input Data'!$D$125*0.2/('I_Inputs &amp; Assumptions'!$B$8/4))),IF('I_Budget Input Data'!$E$125="At Completion",IF(6='I_Inputs &amp; Assumptions'!$B$8,'I_Budget Input Data'!$D$125,0),'I_Budget Input Data'!$D$125/'I_Inputs &amp; Assumptions'!$B$8)))))),0)</f>
        <v>72925.846153846156</v>
      </c>
      <c r="I125" s="91">
        <f>IF(7&lt;='I_Inputs &amp; Assumptions'!$B$8,IF('I_Budget Input Data'!$E$125="Upfront",IF(7=1,'I_Budget Input Data'!$D$125,0),IF('I_Budget Input Data'!$E$125="Equal",'I_Budget Input Data'!$D$125/'I_Inputs &amp; Assumptions'!$B$8,IF('I_Budget Input Data'!$E$125="Front-loaded",IF(7&lt;='I_Inputs &amp; Assumptions'!$B$8/2,'I_Budget Input Data'!$D$125*0.6/('I_Inputs &amp; Assumptions'!$B$8/2),'I_Budget Input Data'!$D$125*0.4/('I_Inputs &amp; Assumptions'!$B$8/2)),IF('I_Budget Input Data'!$E$125="Back-loaded",IF(7&lt;='I_Inputs &amp; Assumptions'!$B$8/2,'I_Budget Input Data'!$D$125*0.4/('I_Inputs &amp; Assumptions'!$B$8/2),'I_Budget Input Data'!$D$125*0.6/('I_Inputs &amp; Assumptions'!$B$8/2)),IF('I_Budget Input Data'!$E$125="Mid-weighted",IF(7&lt;='I_Inputs &amp; Assumptions'!$B$8/4,'I_Budget Input Data'!$D$125*0.2/('I_Inputs &amp; Assumptions'!$B$8/4),IF(7&lt;='I_Inputs &amp; Assumptions'!$B$8*0.75,'I_Budget Input Data'!$D$125*0.6/('I_Inputs &amp; Assumptions'!$B$8/2),'I_Budget Input Data'!$D$125*0.2/('I_Inputs &amp; Assumptions'!$B$8/4))),IF('I_Budget Input Data'!$E$125="At Completion",IF(7='I_Inputs &amp; Assumptions'!$B$8,'I_Budget Input Data'!$D$125,0),'I_Budget Input Data'!$D$125/'I_Inputs &amp; Assumptions'!$B$8)))))),0)</f>
        <v>72925.846153846156</v>
      </c>
      <c r="J125" s="91">
        <f>IF(8&lt;='I_Inputs &amp; Assumptions'!$B$8,IF('I_Budget Input Data'!$E$125="Upfront",IF(8=1,'I_Budget Input Data'!$D$125,0),IF('I_Budget Input Data'!$E$125="Equal",'I_Budget Input Data'!$D$125/'I_Inputs &amp; Assumptions'!$B$8,IF('I_Budget Input Data'!$E$125="Front-loaded",IF(8&lt;='I_Inputs &amp; Assumptions'!$B$8/2,'I_Budget Input Data'!$D$125*0.6/('I_Inputs &amp; Assumptions'!$B$8/2),'I_Budget Input Data'!$D$125*0.4/('I_Inputs &amp; Assumptions'!$B$8/2)),IF('I_Budget Input Data'!$E$125="Back-loaded",IF(8&lt;='I_Inputs &amp; Assumptions'!$B$8/2,'I_Budget Input Data'!$D$125*0.4/('I_Inputs &amp; Assumptions'!$B$8/2),'I_Budget Input Data'!$D$125*0.6/('I_Inputs &amp; Assumptions'!$B$8/2)),IF('I_Budget Input Data'!$E$125="Mid-weighted",IF(8&lt;='I_Inputs &amp; Assumptions'!$B$8/4,'I_Budget Input Data'!$D$125*0.2/('I_Inputs &amp; Assumptions'!$B$8/4),IF(8&lt;='I_Inputs &amp; Assumptions'!$B$8*0.75,'I_Budget Input Data'!$D$125*0.6/('I_Inputs &amp; Assumptions'!$B$8/2),'I_Budget Input Data'!$D$125*0.2/('I_Inputs &amp; Assumptions'!$B$8/4))),IF('I_Budget Input Data'!$E$125="At Completion",IF(8='I_Inputs &amp; Assumptions'!$B$8,'I_Budget Input Data'!$D$125,0),'I_Budget Input Data'!$D$125/'I_Inputs &amp; Assumptions'!$B$8)))))),0)</f>
        <v>72925.846153846156</v>
      </c>
      <c r="K125" s="91">
        <f>IF(9&lt;='I_Inputs &amp; Assumptions'!$B$8,IF('I_Budget Input Data'!$E$125="Upfront",IF(9=1,'I_Budget Input Data'!$D$125,0),IF('I_Budget Input Data'!$E$125="Equal",'I_Budget Input Data'!$D$125/'I_Inputs &amp; Assumptions'!$B$8,IF('I_Budget Input Data'!$E$125="Front-loaded",IF(9&lt;='I_Inputs &amp; Assumptions'!$B$8/2,'I_Budget Input Data'!$D$125*0.6/('I_Inputs &amp; Assumptions'!$B$8/2),'I_Budget Input Data'!$D$125*0.4/('I_Inputs &amp; Assumptions'!$B$8/2)),IF('I_Budget Input Data'!$E$125="Back-loaded",IF(9&lt;='I_Inputs &amp; Assumptions'!$B$8/2,'I_Budget Input Data'!$D$125*0.4/('I_Inputs &amp; Assumptions'!$B$8/2),'I_Budget Input Data'!$D$125*0.6/('I_Inputs &amp; Assumptions'!$B$8/2)),IF('I_Budget Input Data'!$E$125="Mid-weighted",IF(9&lt;='I_Inputs &amp; Assumptions'!$B$8/4,'I_Budget Input Data'!$D$125*0.2/('I_Inputs &amp; Assumptions'!$B$8/4),IF(9&lt;='I_Inputs &amp; Assumptions'!$B$8*0.75,'I_Budget Input Data'!$D$125*0.6/('I_Inputs &amp; Assumptions'!$B$8/2),'I_Budget Input Data'!$D$125*0.2/('I_Inputs &amp; Assumptions'!$B$8/4))),IF('I_Budget Input Data'!$E$125="At Completion",IF(9='I_Inputs &amp; Assumptions'!$B$8,'I_Budget Input Data'!$D$125,0),'I_Budget Input Data'!$D$125/'I_Inputs &amp; Assumptions'!$B$8)))))),0)</f>
        <v>72925.846153846156</v>
      </c>
      <c r="L125" s="91">
        <f>IF(10&lt;='I_Inputs &amp; Assumptions'!$B$8,IF('I_Budget Input Data'!$E$125="Upfront",IF(10=1,'I_Budget Input Data'!$D$125,0),IF('I_Budget Input Data'!$E$125="Equal",'I_Budget Input Data'!$D$125/'I_Inputs &amp; Assumptions'!$B$8,IF('I_Budget Input Data'!$E$125="Front-loaded",IF(10&lt;='I_Inputs &amp; Assumptions'!$B$8/2,'I_Budget Input Data'!$D$125*0.6/('I_Inputs &amp; Assumptions'!$B$8/2),'I_Budget Input Data'!$D$125*0.4/('I_Inputs &amp; Assumptions'!$B$8/2)),IF('I_Budget Input Data'!$E$125="Back-loaded",IF(10&lt;='I_Inputs &amp; Assumptions'!$B$8/2,'I_Budget Input Data'!$D$125*0.4/('I_Inputs &amp; Assumptions'!$B$8/2),'I_Budget Input Data'!$D$125*0.6/('I_Inputs &amp; Assumptions'!$B$8/2)),IF('I_Budget Input Data'!$E$125="Mid-weighted",IF(10&lt;='I_Inputs &amp; Assumptions'!$B$8/4,'I_Budget Input Data'!$D$125*0.2/('I_Inputs &amp; Assumptions'!$B$8/4),IF(10&lt;='I_Inputs &amp; Assumptions'!$B$8*0.75,'I_Budget Input Data'!$D$125*0.6/('I_Inputs &amp; Assumptions'!$B$8/2),'I_Budget Input Data'!$D$125*0.2/('I_Inputs &amp; Assumptions'!$B$8/4))),IF('I_Budget Input Data'!$E$125="At Completion",IF(10='I_Inputs &amp; Assumptions'!$B$8,'I_Budget Input Data'!$D$125,0),'I_Budget Input Data'!$D$125/'I_Inputs &amp; Assumptions'!$B$8)))))),0)</f>
        <v>48617.230769230766</v>
      </c>
      <c r="M125" s="91">
        <f>IF(11&lt;='I_Inputs &amp; Assumptions'!$B$8,IF('I_Budget Input Data'!$E$125="Upfront",IF(11=1,'I_Budget Input Data'!$D$125,0),IF('I_Budget Input Data'!$E$125="Equal",'I_Budget Input Data'!$D$125/'I_Inputs &amp; Assumptions'!$B$8,IF('I_Budget Input Data'!$E$125="Front-loaded",IF(11&lt;='I_Inputs &amp; Assumptions'!$B$8/2,'I_Budget Input Data'!$D$125*0.6/('I_Inputs &amp; Assumptions'!$B$8/2),'I_Budget Input Data'!$D$125*0.4/('I_Inputs &amp; Assumptions'!$B$8/2)),IF('I_Budget Input Data'!$E$125="Back-loaded",IF(11&lt;='I_Inputs &amp; Assumptions'!$B$8/2,'I_Budget Input Data'!$D$125*0.4/('I_Inputs &amp; Assumptions'!$B$8/2),'I_Budget Input Data'!$D$125*0.6/('I_Inputs &amp; Assumptions'!$B$8/2)),IF('I_Budget Input Data'!$E$125="Mid-weighted",IF(11&lt;='I_Inputs &amp; Assumptions'!$B$8/4,'I_Budget Input Data'!$D$125*0.2/('I_Inputs &amp; Assumptions'!$B$8/4),IF(11&lt;='I_Inputs &amp; Assumptions'!$B$8*0.75,'I_Budget Input Data'!$D$125*0.6/('I_Inputs &amp; Assumptions'!$B$8/2),'I_Budget Input Data'!$D$125*0.2/('I_Inputs &amp; Assumptions'!$B$8/4))),IF('I_Budget Input Data'!$E$125="At Completion",IF(11='I_Inputs &amp; Assumptions'!$B$8,'I_Budget Input Data'!$D$125,0),'I_Budget Input Data'!$D$125/'I_Inputs &amp; Assumptions'!$B$8)))))),0)</f>
        <v>48617.230769230766</v>
      </c>
      <c r="N125" s="91">
        <f>IF(12&lt;='I_Inputs &amp; Assumptions'!$B$8,IF('I_Budget Input Data'!$E$125="Upfront",IF(12=1,'I_Budget Input Data'!$D$125,0),IF('I_Budget Input Data'!$E$125="Equal",'I_Budget Input Data'!$D$125/'I_Inputs &amp; Assumptions'!$B$8,IF('I_Budget Input Data'!$E$125="Front-loaded",IF(12&lt;='I_Inputs &amp; Assumptions'!$B$8/2,'I_Budget Input Data'!$D$125*0.6/('I_Inputs &amp; Assumptions'!$B$8/2),'I_Budget Input Data'!$D$125*0.4/('I_Inputs &amp; Assumptions'!$B$8/2)),IF('I_Budget Input Data'!$E$125="Back-loaded",IF(12&lt;='I_Inputs &amp; Assumptions'!$B$8/2,'I_Budget Input Data'!$D$125*0.4/('I_Inputs &amp; Assumptions'!$B$8/2),'I_Budget Input Data'!$D$125*0.6/('I_Inputs &amp; Assumptions'!$B$8/2)),IF('I_Budget Input Data'!$E$125="Mid-weighted",IF(12&lt;='I_Inputs &amp; Assumptions'!$B$8/4,'I_Budget Input Data'!$D$125*0.2/('I_Inputs &amp; Assumptions'!$B$8/4),IF(12&lt;='I_Inputs &amp; Assumptions'!$B$8*0.75,'I_Budget Input Data'!$D$125*0.6/('I_Inputs &amp; Assumptions'!$B$8/2),'I_Budget Input Data'!$D$125*0.2/('I_Inputs &amp; Assumptions'!$B$8/4))),IF('I_Budget Input Data'!$E$125="At Completion",IF(12='I_Inputs &amp; Assumptions'!$B$8,'I_Budget Input Data'!$D$125,0),'I_Budget Input Data'!$D$125/'I_Inputs &amp; Assumptions'!$B$8)))))),0)</f>
        <v>48617.230769230766</v>
      </c>
      <c r="O125" s="91">
        <f>IF(13&lt;='I_Inputs &amp; Assumptions'!$B$8,IF('I_Budget Input Data'!$E$125="Upfront",IF(13=1,'I_Budget Input Data'!$D$125,0),IF('I_Budget Input Data'!$E$125="Equal",'I_Budget Input Data'!$D$125/'I_Inputs &amp; Assumptions'!$B$8,IF('I_Budget Input Data'!$E$125="Front-loaded",IF(13&lt;='I_Inputs &amp; Assumptions'!$B$8/2,'I_Budget Input Data'!$D$125*0.6/('I_Inputs &amp; Assumptions'!$B$8/2),'I_Budget Input Data'!$D$125*0.4/('I_Inputs &amp; Assumptions'!$B$8/2)),IF('I_Budget Input Data'!$E$125="Back-loaded",IF(13&lt;='I_Inputs &amp; Assumptions'!$B$8/2,'I_Budget Input Data'!$D$125*0.4/('I_Inputs &amp; Assumptions'!$B$8/2),'I_Budget Input Data'!$D$125*0.6/('I_Inputs &amp; Assumptions'!$B$8/2)),IF('I_Budget Input Data'!$E$125="Mid-weighted",IF(13&lt;='I_Inputs &amp; Assumptions'!$B$8/4,'I_Budget Input Data'!$D$125*0.2/('I_Inputs &amp; Assumptions'!$B$8/4),IF(13&lt;='I_Inputs &amp; Assumptions'!$B$8*0.75,'I_Budget Input Data'!$D$125*0.6/('I_Inputs &amp; Assumptions'!$B$8/2),'I_Budget Input Data'!$D$125*0.2/('I_Inputs &amp; Assumptions'!$B$8/4))),IF('I_Budget Input Data'!$E$125="At Completion",IF(13='I_Inputs &amp; Assumptions'!$B$8,'I_Budget Input Data'!$D$125,0),'I_Budget Input Data'!$D$125/'I_Inputs &amp; Assumptions'!$B$8)))))),0)</f>
        <v>48617.230769230766</v>
      </c>
      <c r="P125" s="91">
        <f>IF(14&lt;='I_Inputs &amp; Assumptions'!$B$8,IF('I_Budget Input Data'!$E$125="Upfront",IF(14=1,'I_Budget Input Data'!$D$125,0),IF('I_Budget Input Data'!$E$125="Equal",'I_Budget Input Data'!$D$125/'I_Inputs &amp; Assumptions'!$B$8,IF('I_Budget Input Data'!$E$125="Front-loaded",IF(14&lt;='I_Inputs &amp; Assumptions'!$B$8/2,'I_Budget Input Data'!$D$125*0.6/('I_Inputs &amp; Assumptions'!$B$8/2),'I_Budget Input Data'!$D$125*0.4/('I_Inputs &amp; Assumptions'!$B$8/2)),IF('I_Budget Input Data'!$E$125="Back-loaded",IF(14&lt;='I_Inputs &amp; Assumptions'!$B$8/2,'I_Budget Input Data'!$D$125*0.4/('I_Inputs &amp; Assumptions'!$B$8/2),'I_Budget Input Data'!$D$125*0.6/('I_Inputs &amp; Assumptions'!$B$8/2)),IF('I_Budget Input Data'!$E$125="Mid-weighted",IF(14&lt;='I_Inputs &amp; Assumptions'!$B$8/4,'I_Budget Input Data'!$D$125*0.2/('I_Inputs &amp; Assumptions'!$B$8/4),IF(14&lt;='I_Inputs &amp; Assumptions'!$B$8*0.75,'I_Budget Input Data'!$D$125*0.6/('I_Inputs &amp; Assumptions'!$B$8/2),'I_Budget Input Data'!$D$125*0.2/('I_Inputs &amp; Assumptions'!$B$8/4))),IF('I_Budget Input Data'!$E$125="At Completion",IF(14='I_Inputs &amp; Assumptions'!$B$8,'I_Budget Input Data'!$D$125,0),'I_Budget Input Data'!$D$125/'I_Inputs &amp; Assumptions'!$B$8)))))),0)</f>
        <v>0</v>
      </c>
      <c r="Q125" s="91">
        <f>IF(15&lt;='I_Inputs &amp; Assumptions'!$B$8,IF('I_Budget Input Data'!$E$125="Upfront",IF(15=1,'I_Budget Input Data'!$D$125,0),IF('I_Budget Input Data'!$E$125="Equal",'I_Budget Input Data'!$D$125/'I_Inputs &amp; Assumptions'!$B$8,IF('I_Budget Input Data'!$E$125="Front-loaded",IF(15&lt;='I_Inputs &amp; Assumptions'!$B$8/2,'I_Budget Input Data'!$D$125*0.6/('I_Inputs &amp; Assumptions'!$B$8/2),'I_Budget Input Data'!$D$125*0.4/('I_Inputs &amp; Assumptions'!$B$8/2)),IF('I_Budget Input Data'!$E$125="Back-loaded",IF(15&lt;='I_Inputs &amp; Assumptions'!$B$8/2,'I_Budget Input Data'!$D$125*0.4/('I_Inputs &amp; Assumptions'!$B$8/2),'I_Budget Input Data'!$D$125*0.6/('I_Inputs &amp; Assumptions'!$B$8/2)),IF('I_Budget Input Data'!$E$125="Mid-weighted",IF(15&lt;='I_Inputs &amp; Assumptions'!$B$8/4,'I_Budget Input Data'!$D$125*0.2/('I_Inputs &amp; Assumptions'!$B$8/4),IF(15&lt;='I_Inputs &amp; Assumptions'!$B$8*0.75,'I_Budget Input Data'!$D$125*0.6/('I_Inputs &amp; Assumptions'!$B$8/2),'I_Budget Input Data'!$D$125*0.2/('I_Inputs &amp; Assumptions'!$B$8/4))),IF('I_Budget Input Data'!$E$125="At Completion",IF(15='I_Inputs &amp; Assumptions'!$B$8,'I_Budget Input Data'!$D$125,0),'I_Budget Input Data'!$D$125/'I_Inputs &amp; Assumptions'!$B$8)))))),0)</f>
        <v>0</v>
      </c>
      <c r="R125" s="91">
        <f>IF(16&lt;='I_Inputs &amp; Assumptions'!$B$8,IF('I_Budget Input Data'!$E$125="Upfront",IF(16=1,'I_Budget Input Data'!$D$125,0),IF('I_Budget Input Data'!$E$125="Equal",'I_Budget Input Data'!$D$125/'I_Inputs &amp; Assumptions'!$B$8,IF('I_Budget Input Data'!$E$125="Front-loaded",IF(16&lt;='I_Inputs &amp; Assumptions'!$B$8/2,'I_Budget Input Data'!$D$125*0.6/('I_Inputs &amp; Assumptions'!$B$8/2),'I_Budget Input Data'!$D$125*0.4/('I_Inputs &amp; Assumptions'!$B$8/2)),IF('I_Budget Input Data'!$E$125="Back-loaded",IF(16&lt;='I_Inputs &amp; Assumptions'!$B$8/2,'I_Budget Input Data'!$D$125*0.4/('I_Inputs &amp; Assumptions'!$B$8/2),'I_Budget Input Data'!$D$125*0.6/('I_Inputs &amp; Assumptions'!$B$8/2)),IF('I_Budget Input Data'!$E$125="Mid-weighted",IF(16&lt;='I_Inputs &amp; Assumptions'!$B$8/4,'I_Budget Input Data'!$D$125*0.2/('I_Inputs &amp; Assumptions'!$B$8/4),IF(16&lt;='I_Inputs &amp; Assumptions'!$B$8*0.75,'I_Budget Input Data'!$D$125*0.6/('I_Inputs &amp; Assumptions'!$B$8/2),'I_Budget Input Data'!$D$125*0.2/('I_Inputs &amp; Assumptions'!$B$8/4))),IF('I_Budget Input Data'!$E$125="At Completion",IF(16='I_Inputs &amp; Assumptions'!$B$8,'I_Budget Input Data'!$D$125,0),'I_Budget Input Data'!$D$125/'I_Inputs &amp; Assumptions'!$B$8)))))),0)</f>
        <v>0</v>
      </c>
      <c r="S125" s="91">
        <f>IF(17&lt;='I_Inputs &amp; Assumptions'!$B$8,IF('I_Budget Input Data'!$E$125="Upfront",IF(17=1,'I_Budget Input Data'!$D$125,0),IF('I_Budget Input Data'!$E$125="Equal",'I_Budget Input Data'!$D$125/'I_Inputs &amp; Assumptions'!$B$8,IF('I_Budget Input Data'!$E$125="Front-loaded",IF(17&lt;='I_Inputs &amp; Assumptions'!$B$8/2,'I_Budget Input Data'!$D$125*0.6/('I_Inputs &amp; Assumptions'!$B$8/2),'I_Budget Input Data'!$D$125*0.4/('I_Inputs &amp; Assumptions'!$B$8/2)),IF('I_Budget Input Data'!$E$125="Back-loaded",IF(17&lt;='I_Inputs &amp; Assumptions'!$B$8/2,'I_Budget Input Data'!$D$125*0.4/('I_Inputs &amp; Assumptions'!$B$8/2),'I_Budget Input Data'!$D$125*0.6/('I_Inputs &amp; Assumptions'!$B$8/2)),IF('I_Budget Input Data'!$E$125="Mid-weighted",IF(17&lt;='I_Inputs &amp; Assumptions'!$B$8/4,'I_Budget Input Data'!$D$125*0.2/('I_Inputs &amp; Assumptions'!$B$8/4),IF(17&lt;='I_Inputs &amp; Assumptions'!$B$8*0.75,'I_Budget Input Data'!$D$125*0.6/('I_Inputs &amp; Assumptions'!$B$8/2),'I_Budget Input Data'!$D$125*0.2/('I_Inputs &amp; Assumptions'!$B$8/4))),IF('I_Budget Input Data'!$E$125="At Completion",IF(17='I_Inputs &amp; Assumptions'!$B$8,'I_Budget Input Data'!$D$125,0),'I_Budget Input Data'!$D$125/'I_Inputs &amp; Assumptions'!$B$8)))))),0)</f>
        <v>0</v>
      </c>
      <c r="T125" s="91">
        <f>IF(18&lt;='I_Inputs &amp; Assumptions'!$B$8,IF('I_Budget Input Data'!$E$125="Upfront",IF(18=1,'I_Budget Input Data'!$D$125,0),IF('I_Budget Input Data'!$E$125="Equal",'I_Budget Input Data'!$D$125/'I_Inputs &amp; Assumptions'!$B$8,IF('I_Budget Input Data'!$E$125="Front-loaded",IF(18&lt;='I_Inputs &amp; Assumptions'!$B$8/2,'I_Budget Input Data'!$D$125*0.6/('I_Inputs &amp; Assumptions'!$B$8/2),'I_Budget Input Data'!$D$125*0.4/('I_Inputs &amp; Assumptions'!$B$8/2)),IF('I_Budget Input Data'!$E$125="Back-loaded",IF(18&lt;='I_Inputs &amp; Assumptions'!$B$8/2,'I_Budget Input Data'!$D$125*0.4/('I_Inputs &amp; Assumptions'!$B$8/2),'I_Budget Input Data'!$D$125*0.6/('I_Inputs &amp; Assumptions'!$B$8/2)),IF('I_Budget Input Data'!$E$125="Mid-weighted",IF(18&lt;='I_Inputs &amp; Assumptions'!$B$8/4,'I_Budget Input Data'!$D$125*0.2/('I_Inputs &amp; Assumptions'!$B$8/4),IF(18&lt;='I_Inputs &amp; Assumptions'!$B$8*0.75,'I_Budget Input Data'!$D$125*0.6/('I_Inputs &amp; Assumptions'!$B$8/2),'I_Budget Input Data'!$D$125*0.2/('I_Inputs &amp; Assumptions'!$B$8/4))),IF('I_Budget Input Data'!$E$125="At Completion",IF(18='I_Inputs &amp; Assumptions'!$B$8,'I_Budget Input Data'!$D$125,0),'I_Budget Input Data'!$D$125/'I_Inputs &amp; Assumptions'!$B$8)))))),0)</f>
        <v>0</v>
      </c>
      <c r="U125" s="91">
        <f>IF(19&lt;='I_Inputs &amp; Assumptions'!$B$8,IF('I_Budget Input Data'!$E$125="Upfront",IF(19=1,'I_Budget Input Data'!$D$125,0),IF('I_Budget Input Data'!$E$125="Equal",'I_Budget Input Data'!$D$125/'I_Inputs &amp; Assumptions'!$B$8,IF('I_Budget Input Data'!$E$125="Front-loaded",IF(19&lt;='I_Inputs &amp; Assumptions'!$B$8/2,'I_Budget Input Data'!$D$125*0.6/('I_Inputs &amp; Assumptions'!$B$8/2),'I_Budget Input Data'!$D$125*0.4/('I_Inputs &amp; Assumptions'!$B$8/2)),IF('I_Budget Input Data'!$E$125="Back-loaded",IF(19&lt;='I_Inputs &amp; Assumptions'!$B$8/2,'I_Budget Input Data'!$D$125*0.4/('I_Inputs &amp; Assumptions'!$B$8/2),'I_Budget Input Data'!$D$125*0.6/('I_Inputs &amp; Assumptions'!$B$8/2)),IF('I_Budget Input Data'!$E$125="Mid-weighted",IF(19&lt;='I_Inputs &amp; Assumptions'!$B$8/4,'I_Budget Input Data'!$D$125*0.2/('I_Inputs &amp; Assumptions'!$B$8/4),IF(19&lt;='I_Inputs &amp; Assumptions'!$B$8*0.75,'I_Budget Input Data'!$D$125*0.6/('I_Inputs &amp; Assumptions'!$B$8/2),'I_Budget Input Data'!$D$125*0.2/('I_Inputs &amp; Assumptions'!$B$8/4))),IF('I_Budget Input Data'!$E$125="At Completion",IF(19='I_Inputs &amp; Assumptions'!$B$8,'I_Budget Input Data'!$D$125,0),'I_Budget Input Data'!$D$125/'I_Inputs &amp; Assumptions'!$B$8)))))),0)</f>
        <v>0</v>
      </c>
      <c r="V125" s="91">
        <f>IF(20&lt;='I_Inputs &amp; Assumptions'!$B$8,IF('I_Budget Input Data'!$E$125="Upfront",IF(20=1,'I_Budget Input Data'!$D$125,0),IF('I_Budget Input Data'!$E$125="Equal",'I_Budget Input Data'!$D$125/'I_Inputs &amp; Assumptions'!$B$8,IF('I_Budget Input Data'!$E$125="Front-loaded",IF(20&lt;='I_Inputs &amp; Assumptions'!$B$8/2,'I_Budget Input Data'!$D$125*0.6/('I_Inputs &amp; Assumptions'!$B$8/2),'I_Budget Input Data'!$D$125*0.4/('I_Inputs &amp; Assumptions'!$B$8/2)),IF('I_Budget Input Data'!$E$125="Back-loaded",IF(20&lt;='I_Inputs &amp; Assumptions'!$B$8/2,'I_Budget Input Data'!$D$125*0.4/('I_Inputs &amp; Assumptions'!$B$8/2),'I_Budget Input Data'!$D$125*0.6/('I_Inputs &amp; Assumptions'!$B$8/2)),IF('I_Budget Input Data'!$E$125="Mid-weighted",IF(20&lt;='I_Inputs &amp; Assumptions'!$B$8/4,'I_Budget Input Data'!$D$125*0.2/('I_Inputs &amp; Assumptions'!$B$8/4),IF(20&lt;='I_Inputs &amp; Assumptions'!$B$8*0.75,'I_Budget Input Data'!$D$125*0.6/('I_Inputs &amp; Assumptions'!$B$8/2),'I_Budget Input Data'!$D$125*0.2/('I_Inputs &amp; Assumptions'!$B$8/4))),IF('I_Budget Input Data'!$E$125="At Completion",IF(20='I_Inputs &amp; Assumptions'!$B$8,'I_Budget Input Data'!$D$125,0),'I_Budget Input Data'!$D$125/'I_Inputs &amp; Assumptions'!$B$8)))))),0)</f>
        <v>0</v>
      </c>
      <c r="W125" s="91">
        <f>IF(21&lt;='I_Inputs &amp; Assumptions'!$B$8,IF('I_Budget Input Data'!$E$125="Upfront",IF(21=1,'I_Budget Input Data'!$D$125,0),IF('I_Budget Input Data'!$E$125="Equal",'I_Budget Input Data'!$D$125/'I_Inputs &amp; Assumptions'!$B$8,IF('I_Budget Input Data'!$E$125="Front-loaded",IF(21&lt;='I_Inputs &amp; Assumptions'!$B$8/2,'I_Budget Input Data'!$D$125*0.6/('I_Inputs &amp; Assumptions'!$B$8/2),'I_Budget Input Data'!$D$125*0.4/('I_Inputs &amp; Assumptions'!$B$8/2)),IF('I_Budget Input Data'!$E$125="Back-loaded",IF(21&lt;='I_Inputs &amp; Assumptions'!$B$8/2,'I_Budget Input Data'!$D$125*0.4/('I_Inputs &amp; Assumptions'!$B$8/2),'I_Budget Input Data'!$D$125*0.6/('I_Inputs &amp; Assumptions'!$B$8/2)),IF('I_Budget Input Data'!$E$125="Mid-weighted",IF(21&lt;='I_Inputs &amp; Assumptions'!$B$8/4,'I_Budget Input Data'!$D$125*0.2/('I_Inputs &amp; Assumptions'!$B$8/4),IF(21&lt;='I_Inputs &amp; Assumptions'!$B$8*0.75,'I_Budget Input Data'!$D$125*0.6/('I_Inputs &amp; Assumptions'!$B$8/2),'I_Budget Input Data'!$D$125*0.2/('I_Inputs &amp; Assumptions'!$B$8/4))),IF('I_Budget Input Data'!$E$125="At Completion",IF(21='I_Inputs &amp; Assumptions'!$B$8,'I_Budget Input Data'!$D$125,0),'I_Budget Input Data'!$D$125/'I_Inputs &amp; Assumptions'!$B$8)))))),0)</f>
        <v>0</v>
      </c>
      <c r="X125" s="91">
        <f>IF(22&lt;='I_Inputs &amp; Assumptions'!$B$8,IF('I_Budget Input Data'!$E$125="Upfront",IF(22=1,'I_Budget Input Data'!$D$125,0),IF('I_Budget Input Data'!$E$125="Equal",'I_Budget Input Data'!$D$125/'I_Inputs &amp; Assumptions'!$B$8,IF('I_Budget Input Data'!$E$125="Front-loaded",IF(22&lt;='I_Inputs &amp; Assumptions'!$B$8/2,'I_Budget Input Data'!$D$125*0.6/('I_Inputs &amp; Assumptions'!$B$8/2),'I_Budget Input Data'!$D$125*0.4/('I_Inputs &amp; Assumptions'!$B$8/2)),IF('I_Budget Input Data'!$E$125="Back-loaded",IF(22&lt;='I_Inputs &amp; Assumptions'!$B$8/2,'I_Budget Input Data'!$D$125*0.4/('I_Inputs &amp; Assumptions'!$B$8/2),'I_Budget Input Data'!$D$125*0.6/('I_Inputs &amp; Assumptions'!$B$8/2)),IF('I_Budget Input Data'!$E$125="Mid-weighted",IF(22&lt;='I_Inputs &amp; Assumptions'!$B$8/4,'I_Budget Input Data'!$D$125*0.2/('I_Inputs &amp; Assumptions'!$B$8/4),IF(22&lt;='I_Inputs &amp; Assumptions'!$B$8*0.75,'I_Budget Input Data'!$D$125*0.6/('I_Inputs &amp; Assumptions'!$B$8/2),'I_Budget Input Data'!$D$125*0.2/('I_Inputs &amp; Assumptions'!$B$8/4))),IF('I_Budget Input Data'!$E$125="At Completion",IF(22='I_Inputs &amp; Assumptions'!$B$8,'I_Budget Input Data'!$D$125,0),'I_Budget Input Data'!$D$125/'I_Inputs &amp; Assumptions'!$B$8)))))),0)</f>
        <v>0</v>
      </c>
      <c r="Y125" s="91">
        <f>IF(23&lt;='I_Inputs &amp; Assumptions'!$B$8,IF('I_Budget Input Data'!$E$125="Upfront",IF(23=1,'I_Budget Input Data'!$D$125,0),IF('I_Budget Input Data'!$E$125="Equal",'I_Budget Input Data'!$D$125/'I_Inputs &amp; Assumptions'!$B$8,IF('I_Budget Input Data'!$E$125="Front-loaded",IF(23&lt;='I_Inputs &amp; Assumptions'!$B$8/2,'I_Budget Input Data'!$D$125*0.6/('I_Inputs &amp; Assumptions'!$B$8/2),'I_Budget Input Data'!$D$125*0.4/('I_Inputs &amp; Assumptions'!$B$8/2)),IF('I_Budget Input Data'!$E$125="Back-loaded",IF(23&lt;='I_Inputs &amp; Assumptions'!$B$8/2,'I_Budget Input Data'!$D$125*0.4/('I_Inputs &amp; Assumptions'!$B$8/2),'I_Budget Input Data'!$D$125*0.6/('I_Inputs &amp; Assumptions'!$B$8/2)),IF('I_Budget Input Data'!$E$125="Mid-weighted",IF(23&lt;='I_Inputs &amp; Assumptions'!$B$8/4,'I_Budget Input Data'!$D$125*0.2/('I_Inputs &amp; Assumptions'!$B$8/4),IF(23&lt;='I_Inputs &amp; Assumptions'!$B$8*0.75,'I_Budget Input Data'!$D$125*0.6/('I_Inputs &amp; Assumptions'!$B$8/2),'I_Budget Input Data'!$D$125*0.2/('I_Inputs &amp; Assumptions'!$B$8/4))),IF('I_Budget Input Data'!$E$125="At Completion",IF(23='I_Inputs &amp; Assumptions'!$B$8,'I_Budget Input Data'!$D$125,0),'I_Budget Input Data'!$D$125/'I_Inputs &amp; Assumptions'!$B$8)))))),0)</f>
        <v>0</v>
      </c>
      <c r="Z125" s="91">
        <f>IF(24&lt;='I_Inputs &amp; Assumptions'!$B$8,IF('I_Budget Input Data'!$E$125="Upfront",IF(24=1,'I_Budget Input Data'!$D$125,0),IF('I_Budget Input Data'!$E$125="Equal",'I_Budget Input Data'!$D$125/'I_Inputs &amp; Assumptions'!$B$8,IF('I_Budget Input Data'!$E$125="Front-loaded",IF(24&lt;='I_Inputs &amp; Assumptions'!$B$8/2,'I_Budget Input Data'!$D$125*0.6/('I_Inputs &amp; Assumptions'!$B$8/2),'I_Budget Input Data'!$D$125*0.4/('I_Inputs &amp; Assumptions'!$B$8/2)),IF('I_Budget Input Data'!$E$125="Back-loaded",IF(24&lt;='I_Inputs &amp; Assumptions'!$B$8/2,'I_Budget Input Data'!$D$125*0.4/('I_Inputs &amp; Assumptions'!$B$8/2),'I_Budget Input Data'!$D$125*0.6/('I_Inputs &amp; Assumptions'!$B$8/2)),IF('I_Budget Input Data'!$E$125="Mid-weighted",IF(24&lt;='I_Inputs &amp; Assumptions'!$B$8/4,'I_Budget Input Data'!$D$125*0.2/('I_Inputs &amp; Assumptions'!$B$8/4),IF(24&lt;='I_Inputs &amp; Assumptions'!$B$8*0.75,'I_Budget Input Data'!$D$125*0.6/('I_Inputs &amp; Assumptions'!$B$8/2),'I_Budget Input Data'!$D$125*0.2/('I_Inputs &amp; Assumptions'!$B$8/4))),IF('I_Budget Input Data'!$E$125="At Completion",IF(24='I_Inputs &amp; Assumptions'!$B$8,'I_Budget Input Data'!$D$125,0),'I_Budget Input Data'!$D$125/'I_Inputs &amp; Assumptions'!$B$8)))))),0)</f>
        <v>0</v>
      </c>
      <c r="AA125" s="91">
        <f>IF(25&lt;='I_Inputs &amp; Assumptions'!$B$8,IF('I_Budget Input Data'!$E$125="Upfront",IF(25=1,'I_Budget Input Data'!$D$125,0),IF('I_Budget Input Data'!$E$125="Equal",'I_Budget Input Data'!$D$125/'I_Inputs &amp; Assumptions'!$B$8,IF('I_Budget Input Data'!$E$125="Front-loaded",IF(25&lt;='I_Inputs &amp; Assumptions'!$B$8/2,'I_Budget Input Data'!$D$125*0.6/('I_Inputs &amp; Assumptions'!$B$8/2),'I_Budget Input Data'!$D$125*0.4/('I_Inputs &amp; Assumptions'!$B$8/2)),IF('I_Budget Input Data'!$E$125="Back-loaded",IF(25&lt;='I_Inputs &amp; Assumptions'!$B$8/2,'I_Budget Input Data'!$D$125*0.4/('I_Inputs &amp; Assumptions'!$B$8/2),'I_Budget Input Data'!$D$125*0.6/('I_Inputs &amp; Assumptions'!$B$8/2)),IF('I_Budget Input Data'!$E$125="Mid-weighted",IF(25&lt;='I_Inputs &amp; Assumptions'!$B$8/4,'I_Budget Input Data'!$D$125*0.2/('I_Inputs &amp; Assumptions'!$B$8/4),IF(25&lt;='I_Inputs &amp; Assumptions'!$B$8*0.75,'I_Budget Input Data'!$D$125*0.6/('I_Inputs &amp; Assumptions'!$B$8/2),'I_Budget Input Data'!$D$125*0.2/('I_Inputs &amp; Assumptions'!$B$8/4))),IF('I_Budget Input Data'!$E$125="At Completion",IF(25='I_Inputs &amp; Assumptions'!$B$8,'I_Budget Input Data'!$D$125,0),'I_Budget Input Data'!$D$125/'I_Inputs &amp; Assumptions'!$B$8)))))),0)</f>
        <v>0</v>
      </c>
      <c r="AB125" s="91">
        <f>IF(26&lt;='I_Inputs &amp; Assumptions'!$B$8,IF('I_Budget Input Data'!$E$125="Upfront",IF(26=1,'I_Budget Input Data'!$D$125,0),IF('I_Budget Input Data'!$E$125="Equal",'I_Budget Input Data'!$D$125/'I_Inputs &amp; Assumptions'!$B$8,IF('I_Budget Input Data'!$E$125="Front-loaded",IF(26&lt;='I_Inputs &amp; Assumptions'!$B$8/2,'I_Budget Input Data'!$D$125*0.6/('I_Inputs &amp; Assumptions'!$B$8/2),'I_Budget Input Data'!$D$125*0.4/('I_Inputs &amp; Assumptions'!$B$8/2)),IF('I_Budget Input Data'!$E$125="Back-loaded",IF(26&lt;='I_Inputs &amp; Assumptions'!$B$8/2,'I_Budget Input Data'!$D$125*0.4/('I_Inputs &amp; Assumptions'!$B$8/2),'I_Budget Input Data'!$D$125*0.6/('I_Inputs &amp; Assumptions'!$B$8/2)),IF('I_Budget Input Data'!$E$125="Mid-weighted",IF(26&lt;='I_Inputs &amp; Assumptions'!$B$8/4,'I_Budget Input Data'!$D$125*0.2/('I_Inputs &amp; Assumptions'!$B$8/4),IF(26&lt;='I_Inputs &amp; Assumptions'!$B$8*0.75,'I_Budget Input Data'!$D$125*0.6/('I_Inputs &amp; Assumptions'!$B$8/2),'I_Budget Input Data'!$D$125*0.2/('I_Inputs &amp; Assumptions'!$B$8/4))),IF('I_Budget Input Data'!$E$125="At Completion",IF(26='I_Inputs &amp; Assumptions'!$B$8,'I_Budget Input Data'!$D$125,0),'I_Budget Input Data'!$D$125/'I_Inputs &amp; Assumptions'!$B$8)))))),0)</f>
        <v>0</v>
      </c>
      <c r="AC125" s="91">
        <f>IF(27&lt;='I_Inputs &amp; Assumptions'!$B$8,IF('I_Budget Input Data'!$E$125="Upfront",IF(27=1,'I_Budget Input Data'!$D$125,0),IF('I_Budget Input Data'!$E$125="Equal",'I_Budget Input Data'!$D$125/'I_Inputs &amp; Assumptions'!$B$8,IF('I_Budget Input Data'!$E$125="Front-loaded",IF(27&lt;='I_Inputs &amp; Assumptions'!$B$8/2,'I_Budget Input Data'!$D$125*0.6/('I_Inputs &amp; Assumptions'!$B$8/2),'I_Budget Input Data'!$D$125*0.4/('I_Inputs &amp; Assumptions'!$B$8/2)),IF('I_Budget Input Data'!$E$125="Back-loaded",IF(27&lt;='I_Inputs &amp; Assumptions'!$B$8/2,'I_Budget Input Data'!$D$125*0.4/('I_Inputs &amp; Assumptions'!$B$8/2),'I_Budget Input Data'!$D$125*0.6/('I_Inputs &amp; Assumptions'!$B$8/2)),IF('I_Budget Input Data'!$E$125="Mid-weighted",IF(27&lt;='I_Inputs &amp; Assumptions'!$B$8/4,'I_Budget Input Data'!$D$125*0.2/('I_Inputs &amp; Assumptions'!$B$8/4),IF(27&lt;='I_Inputs &amp; Assumptions'!$B$8*0.75,'I_Budget Input Data'!$D$125*0.6/('I_Inputs &amp; Assumptions'!$B$8/2),'I_Budget Input Data'!$D$125*0.2/('I_Inputs &amp; Assumptions'!$B$8/4))),IF('I_Budget Input Data'!$E$125="At Completion",IF(27='I_Inputs &amp; Assumptions'!$B$8,'I_Budget Input Data'!$D$125,0),'I_Budget Input Data'!$D$125/'I_Inputs &amp; Assumptions'!$B$8)))))),0)</f>
        <v>0</v>
      </c>
      <c r="AD125" s="91">
        <f>IF(28&lt;='I_Inputs &amp; Assumptions'!$B$8,IF('I_Budget Input Data'!$E$125="Upfront",IF(28=1,'I_Budget Input Data'!$D$125,0),IF('I_Budget Input Data'!$E$125="Equal",'I_Budget Input Data'!$D$125/'I_Inputs &amp; Assumptions'!$B$8,IF('I_Budget Input Data'!$E$125="Front-loaded",IF(28&lt;='I_Inputs &amp; Assumptions'!$B$8/2,'I_Budget Input Data'!$D$125*0.6/('I_Inputs &amp; Assumptions'!$B$8/2),'I_Budget Input Data'!$D$125*0.4/('I_Inputs &amp; Assumptions'!$B$8/2)),IF('I_Budget Input Data'!$E$125="Back-loaded",IF(28&lt;='I_Inputs &amp; Assumptions'!$B$8/2,'I_Budget Input Data'!$D$125*0.4/('I_Inputs &amp; Assumptions'!$B$8/2),'I_Budget Input Data'!$D$125*0.6/('I_Inputs &amp; Assumptions'!$B$8/2)),IF('I_Budget Input Data'!$E$125="Mid-weighted",IF(28&lt;='I_Inputs &amp; Assumptions'!$B$8/4,'I_Budget Input Data'!$D$125*0.2/('I_Inputs &amp; Assumptions'!$B$8/4),IF(28&lt;='I_Inputs &amp; Assumptions'!$B$8*0.75,'I_Budget Input Data'!$D$125*0.6/('I_Inputs &amp; Assumptions'!$B$8/2),'I_Budget Input Data'!$D$125*0.2/('I_Inputs &amp; Assumptions'!$B$8/4))),IF('I_Budget Input Data'!$E$125="At Completion",IF(28='I_Inputs &amp; Assumptions'!$B$8,'I_Budget Input Data'!$D$125,0),'I_Budget Input Data'!$D$125/'I_Inputs &amp; Assumptions'!$B$8)))))),0)</f>
        <v>0</v>
      </c>
      <c r="AE125" s="91">
        <f>IF(29&lt;='I_Inputs &amp; Assumptions'!$B$8,IF('I_Budget Input Data'!$E$125="Upfront",IF(29=1,'I_Budget Input Data'!$D$125,0),IF('I_Budget Input Data'!$E$125="Equal",'I_Budget Input Data'!$D$125/'I_Inputs &amp; Assumptions'!$B$8,IF('I_Budget Input Data'!$E$125="Front-loaded",IF(29&lt;='I_Inputs &amp; Assumptions'!$B$8/2,'I_Budget Input Data'!$D$125*0.6/('I_Inputs &amp; Assumptions'!$B$8/2),'I_Budget Input Data'!$D$125*0.4/('I_Inputs &amp; Assumptions'!$B$8/2)),IF('I_Budget Input Data'!$E$125="Back-loaded",IF(29&lt;='I_Inputs &amp; Assumptions'!$B$8/2,'I_Budget Input Data'!$D$125*0.4/('I_Inputs &amp; Assumptions'!$B$8/2),'I_Budget Input Data'!$D$125*0.6/('I_Inputs &amp; Assumptions'!$B$8/2)),IF('I_Budget Input Data'!$E$125="Mid-weighted",IF(29&lt;='I_Inputs &amp; Assumptions'!$B$8/4,'I_Budget Input Data'!$D$125*0.2/('I_Inputs &amp; Assumptions'!$B$8/4),IF(29&lt;='I_Inputs &amp; Assumptions'!$B$8*0.75,'I_Budget Input Data'!$D$125*0.6/('I_Inputs &amp; Assumptions'!$B$8/2),'I_Budget Input Data'!$D$125*0.2/('I_Inputs &amp; Assumptions'!$B$8/4))),IF('I_Budget Input Data'!$E$125="At Completion",IF(29='I_Inputs &amp; Assumptions'!$B$8,'I_Budget Input Data'!$D$125,0),'I_Budget Input Data'!$D$125/'I_Inputs &amp; Assumptions'!$B$8)))))),0)</f>
        <v>0</v>
      </c>
      <c r="AF125" s="91">
        <f>IF(30&lt;='I_Inputs &amp; Assumptions'!$B$8,IF('I_Budget Input Data'!$E$125="Upfront",IF(30=1,'I_Budget Input Data'!$D$125,0),IF('I_Budget Input Data'!$E$125="Equal",'I_Budget Input Data'!$D$125/'I_Inputs &amp; Assumptions'!$B$8,IF('I_Budget Input Data'!$E$125="Front-loaded",IF(30&lt;='I_Inputs &amp; Assumptions'!$B$8/2,'I_Budget Input Data'!$D$125*0.6/('I_Inputs &amp; Assumptions'!$B$8/2),'I_Budget Input Data'!$D$125*0.4/('I_Inputs &amp; Assumptions'!$B$8/2)),IF('I_Budget Input Data'!$E$125="Back-loaded",IF(30&lt;='I_Inputs &amp; Assumptions'!$B$8/2,'I_Budget Input Data'!$D$125*0.4/('I_Inputs &amp; Assumptions'!$B$8/2),'I_Budget Input Data'!$D$125*0.6/('I_Inputs &amp; Assumptions'!$B$8/2)),IF('I_Budget Input Data'!$E$125="Mid-weighted",IF(30&lt;='I_Inputs &amp; Assumptions'!$B$8/4,'I_Budget Input Data'!$D$125*0.2/('I_Inputs &amp; Assumptions'!$B$8/4),IF(30&lt;='I_Inputs &amp; Assumptions'!$B$8*0.75,'I_Budget Input Data'!$D$125*0.6/('I_Inputs &amp; Assumptions'!$B$8/2),'I_Budget Input Data'!$D$125*0.2/('I_Inputs &amp; Assumptions'!$B$8/4))),IF('I_Budget Input Data'!$E$125="At Completion",IF(30='I_Inputs &amp; Assumptions'!$B$8,'I_Budget Input Data'!$D$125,0),'I_Budget Input Data'!$D$125/'I_Inputs &amp; Assumptions'!$B$8)))))),0)</f>
        <v>0</v>
      </c>
      <c r="AG125" s="91">
        <f>IF(31&lt;='I_Inputs &amp; Assumptions'!$B$8,IF('I_Budget Input Data'!$E$125="Upfront",IF(31=1,'I_Budget Input Data'!$D$125,0),IF('I_Budget Input Data'!$E$125="Equal",'I_Budget Input Data'!$D$125/'I_Inputs &amp; Assumptions'!$B$8,IF('I_Budget Input Data'!$E$125="Front-loaded",IF(31&lt;='I_Inputs &amp; Assumptions'!$B$8/2,'I_Budget Input Data'!$D$125*0.6/('I_Inputs &amp; Assumptions'!$B$8/2),'I_Budget Input Data'!$D$125*0.4/('I_Inputs &amp; Assumptions'!$B$8/2)),IF('I_Budget Input Data'!$E$125="Back-loaded",IF(31&lt;='I_Inputs &amp; Assumptions'!$B$8/2,'I_Budget Input Data'!$D$125*0.4/('I_Inputs &amp; Assumptions'!$B$8/2),'I_Budget Input Data'!$D$125*0.6/('I_Inputs &amp; Assumptions'!$B$8/2)),IF('I_Budget Input Data'!$E$125="Mid-weighted",IF(31&lt;='I_Inputs &amp; Assumptions'!$B$8/4,'I_Budget Input Data'!$D$125*0.2/('I_Inputs &amp; Assumptions'!$B$8/4),IF(31&lt;='I_Inputs &amp; Assumptions'!$B$8*0.75,'I_Budget Input Data'!$D$125*0.6/('I_Inputs &amp; Assumptions'!$B$8/2),'I_Budget Input Data'!$D$125*0.2/('I_Inputs &amp; Assumptions'!$B$8/4))),IF('I_Budget Input Data'!$E$125="At Completion",IF(31='I_Inputs &amp; Assumptions'!$B$8,'I_Budget Input Data'!$D$125,0),'I_Budget Input Data'!$D$125/'I_Inputs &amp; Assumptions'!$B$8)))))),0)</f>
        <v>0</v>
      </c>
      <c r="AH125" s="91">
        <f>IF(32&lt;='I_Inputs &amp; Assumptions'!$B$8,IF('I_Budget Input Data'!$E$125="Upfront",IF(32=1,'I_Budget Input Data'!$D$125,0),IF('I_Budget Input Data'!$E$125="Equal",'I_Budget Input Data'!$D$125/'I_Inputs &amp; Assumptions'!$B$8,IF('I_Budget Input Data'!$E$125="Front-loaded",IF(32&lt;='I_Inputs &amp; Assumptions'!$B$8/2,'I_Budget Input Data'!$D$125*0.6/('I_Inputs &amp; Assumptions'!$B$8/2),'I_Budget Input Data'!$D$125*0.4/('I_Inputs &amp; Assumptions'!$B$8/2)),IF('I_Budget Input Data'!$E$125="Back-loaded",IF(32&lt;='I_Inputs &amp; Assumptions'!$B$8/2,'I_Budget Input Data'!$D$125*0.4/('I_Inputs &amp; Assumptions'!$B$8/2),'I_Budget Input Data'!$D$125*0.6/('I_Inputs &amp; Assumptions'!$B$8/2)),IF('I_Budget Input Data'!$E$125="Mid-weighted",IF(32&lt;='I_Inputs &amp; Assumptions'!$B$8/4,'I_Budget Input Data'!$D$125*0.2/('I_Inputs &amp; Assumptions'!$B$8/4),IF(32&lt;='I_Inputs &amp; Assumptions'!$B$8*0.75,'I_Budget Input Data'!$D$125*0.6/('I_Inputs &amp; Assumptions'!$B$8/2),'I_Budget Input Data'!$D$125*0.2/('I_Inputs &amp; Assumptions'!$B$8/4))),IF('I_Budget Input Data'!$E$125="At Completion",IF(32='I_Inputs &amp; Assumptions'!$B$8,'I_Budget Input Data'!$D$125,0),'I_Budget Input Data'!$D$125/'I_Inputs &amp; Assumptions'!$B$8)))))),0)</f>
        <v>0</v>
      </c>
      <c r="AI125" s="91">
        <f>IF(33&lt;='I_Inputs &amp; Assumptions'!$B$8,IF('I_Budget Input Data'!$E$125="Upfront",IF(33=1,'I_Budget Input Data'!$D$125,0),IF('I_Budget Input Data'!$E$125="Equal",'I_Budget Input Data'!$D$125/'I_Inputs &amp; Assumptions'!$B$8,IF('I_Budget Input Data'!$E$125="Front-loaded",IF(33&lt;='I_Inputs &amp; Assumptions'!$B$8/2,'I_Budget Input Data'!$D$125*0.6/('I_Inputs &amp; Assumptions'!$B$8/2),'I_Budget Input Data'!$D$125*0.4/('I_Inputs &amp; Assumptions'!$B$8/2)),IF('I_Budget Input Data'!$E$125="Back-loaded",IF(33&lt;='I_Inputs &amp; Assumptions'!$B$8/2,'I_Budget Input Data'!$D$125*0.4/('I_Inputs &amp; Assumptions'!$B$8/2),'I_Budget Input Data'!$D$125*0.6/('I_Inputs &amp; Assumptions'!$B$8/2)),IF('I_Budget Input Data'!$E$125="Mid-weighted",IF(33&lt;='I_Inputs &amp; Assumptions'!$B$8/4,'I_Budget Input Data'!$D$125*0.2/('I_Inputs &amp; Assumptions'!$B$8/4),IF(33&lt;='I_Inputs &amp; Assumptions'!$B$8*0.75,'I_Budget Input Data'!$D$125*0.6/('I_Inputs &amp; Assumptions'!$B$8/2),'I_Budget Input Data'!$D$125*0.2/('I_Inputs &amp; Assumptions'!$B$8/4))),IF('I_Budget Input Data'!$E$125="At Completion",IF(33='I_Inputs &amp; Assumptions'!$B$8,'I_Budget Input Data'!$D$125,0),'I_Budget Input Data'!$D$125/'I_Inputs &amp; Assumptions'!$B$8)))))),0)</f>
        <v>0</v>
      </c>
      <c r="AJ125" s="91">
        <f>IF(34&lt;='I_Inputs &amp; Assumptions'!$B$8,IF('I_Budget Input Data'!$E$125="Upfront",IF(34=1,'I_Budget Input Data'!$D$125,0),IF('I_Budget Input Data'!$E$125="Equal",'I_Budget Input Data'!$D$125/'I_Inputs &amp; Assumptions'!$B$8,IF('I_Budget Input Data'!$E$125="Front-loaded",IF(34&lt;='I_Inputs &amp; Assumptions'!$B$8/2,'I_Budget Input Data'!$D$125*0.6/('I_Inputs &amp; Assumptions'!$B$8/2),'I_Budget Input Data'!$D$125*0.4/('I_Inputs &amp; Assumptions'!$B$8/2)),IF('I_Budget Input Data'!$E$125="Back-loaded",IF(34&lt;='I_Inputs &amp; Assumptions'!$B$8/2,'I_Budget Input Data'!$D$125*0.4/('I_Inputs &amp; Assumptions'!$B$8/2),'I_Budget Input Data'!$D$125*0.6/('I_Inputs &amp; Assumptions'!$B$8/2)),IF('I_Budget Input Data'!$E$125="Mid-weighted",IF(34&lt;='I_Inputs &amp; Assumptions'!$B$8/4,'I_Budget Input Data'!$D$125*0.2/('I_Inputs &amp; Assumptions'!$B$8/4),IF(34&lt;='I_Inputs &amp; Assumptions'!$B$8*0.75,'I_Budget Input Data'!$D$125*0.6/('I_Inputs &amp; Assumptions'!$B$8/2),'I_Budget Input Data'!$D$125*0.2/('I_Inputs &amp; Assumptions'!$B$8/4))),IF('I_Budget Input Data'!$E$125="At Completion",IF(34='I_Inputs &amp; Assumptions'!$B$8,'I_Budget Input Data'!$D$125,0),'I_Budget Input Data'!$D$125/'I_Inputs &amp; Assumptions'!$B$8)))))),0)</f>
        <v>0</v>
      </c>
      <c r="AK125" s="91">
        <f>IF(35&lt;='I_Inputs &amp; Assumptions'!$B$8,IF('I_Budget Input Data'!$E$125="Upfront",IF(35=1,'I_Budget Input Data'!$D$125,0),IF('I_Budget Input Data'!$E$125="Equal",'I_Budget Input Data'!$D$125/'I_Inputs &amp; Assumptions'!$B$8,IF('I_Budget Input Data'!$E$125="Front-loaded",IF(35&lt;='I_Inputs &amp; Assumptions'!$B$8/2,'I_Budget Input Data'!$D$125*0.6/('I_Inputs &amp; Assumptions'!$B$8/2),'I_Budget Input Data'!$D$125*0.4/('I_Inputs &amp; Assumptions'!$B$8/2)),IF('I_Budget Input Data'!$E$125="Back-loaded",IF(35&lt;='I_Inputs &amp; Assumptions'!$B$8/2,'I_Budget Input Data'!$D$125*0.4/('I_Inputs &amp; Assumptions'!$B$8/2),'I_Budget Input Data'!$D$125*0.6/('I_Inputs &amp; Assumptions'!$B$8/2)),IF('I_Budget Input Data'!$E$125="Mid-weighted",IF(35&lt;='I_Inputs &amp; Assumptions'!$B$8/4,'I_Budget Input Data'!$D$125*0.2/('I_Inputs &amp; Assumptions'!$B$8/4),IF(35&lt;='I_Inputs &amp; Assumptions'!$B$8*0.75,'I_Budget Input Data'!$D$125*0.6/('I_Inputs &amp; Assumptions'!$B$8/2),'I_Budget Input Data'!$D$125*0.2/('I_Inputs &amp; Assumptions'!$B$8/4))),IF('I_Budget Input Data'!$E$125="At Completion",IF(35='I_Inputs &amp; Assumptions'!$B$8,'I_Budget Input Data'!$D$125,0),'I_Budget Input Data'!$D$125/'I_Inputs &amp; Assumptions'!$B$8)))))),0)</f>
        <v>0</v>
      </c>
      <c r="AL125" s="91">
        <f>IF(36&lt;='I_Inputs &amp; Assumptions'!$B$8,IF('I_Budget Input Data'!$E$125="Upfront",IF(36=1,'I_Budget Input Data'!$D$125,0),IF('I_Budget Input Data'!$E$125="Equal",'I_Budget Input Data'!$D$125/'I_Inputs &amp; Assumptions'!$B$8,IF('I_Budget Input Data'!$E$125="Front-loaded",IF(36&lt;='I_Inputs &amp; Assumptions'!$B$8/2,'I_Budget Input Data'!$D$125*0.6/('I_Inputs &amp; Assumptions'!$B$8/2),'I_Budget Input Data'!$D$125*0.4/('I_Inputs &amp; Assumptions'!$B$8/2)),IF('I_Budget Input Data'!$E$125="Back-loaded",IF(36&lt;='I_Inputs &amp; Assumptions'!$B$8/2,'I_Budget Input Data'!$D$125*0.4/('I_Inputs &amp; Assumptions'!$B$8/2),'I_Budget Input Data'!$D$125*0.6/('I_Inputs &amp; Assumptions'!$B$8/2)),IF('I_Budget Input Data'!$E$125="Mid-weighted",IF(36&lt;='I_Inputs &amp; Assumptions'!$B$8/4,'I_Budget Input Data'!$D$125*0.2/('I_Inputs &amp; Assumptions'!$B$8/4),IF(36&lt;='I_Inputs &amp; Assumptions'!$B$8*0.75,'I_Budget Input Data'!$D$125*0.6/('I_Inputs &amp; Assumptions'!$B$8/2),'I_Budget Input Data'!$D$125*0.2/('I_Inputs &amp; Assumptions'!$B$8/4))),IF('I_Budget Input Data'!$E$125="At Completion",IF(36='I_Inputs &amp; Assumptions'!$B$8,'I_Budget Input Data'!$D$125,0),'I_Budget Input Data'!$D$125/'I_Inputs &amp; Assumptions'!$B$8)))))),0)</f>
        <v>0</v>
      </c>
    </row>
    <row r="126" spans="1:38" ht="15" customHeight="1" x14ac:dyDescent="0.2">
      <c r="A126" t="s">
        <v>146</v>
      </c>
      <c r="B126" t="s">
        <v>239</v>
      </c>
      <c r="C126" s="91">
        <f>IF(1&lt;='I_Inputs &amp; Assumptions'!$B$8,IF('I_Budget Input Data'!$E$126="Upfront",IF(1=1,'I_Budget Input Data'!$D$126,0),IF('I_Budget Input Data'!$E$126="Equal",'I_Budget Input Data'!$D$126/'I_Inputs &amp; Assumptions'!$B$8,IF('I_Budget Input Data'!$E$126="Front-loaded",IF(1&lt;='I_Inputs &amp; Assumptions'!$B$8/2,'I_Budget Input Data'!$D$126*0.6/('I_Inputs &amp; Assumptions'!$B$8/2),'I_Budget Input Data'!$D$126*0.4/('I_Inputs &amp; Assumptions'!$B$8/2)),IF('I_Budget Input Data'!$E$126="Back-loaded",IF(1&lt;='I_Inputs &amp; Assumptions'!$B$8/2,'I_Budget Input Data'!$D$126*0.4/('I_Inputs &amp; Assumptions'!$B$8/2),'I_Budget Input Data'!$D$126*0.6/('I_Inputs &amp; Assumptions'!$B$8/2)),IF('I_Budget Input Data'!$E$126="Mid-weighted",IF(1&lt;='I_Inputs &amp; Assumptions'!$B$8/4,'I_Budget Input Data'!$D$126*0.2/('I_Inputs &amp; Assumptions'!$B$8/4),IF(1&lt;='I_Inputs &amp; Assumptions'!$B$8*0.75,'I_Budget Input Data'!$D$126*0.6/('I_Inputs &amp; Assumptions'!$B$8/2),'I_Budget Input Data'!$D$126*0.2/('I_Inputs &amp; Assumptions'!$B$8/4))),IF('I_Budget Input Data'!$E$126="At Completion",IF(1='I_Inputs &amp; Assumptions'!$B$8,'I_Budget Input Data'!$D$126,0),'I_Budget Input Data'!$D$126/'I_Inputs &amp; Assumptions'!$B$8)))))),0)</f>
        <v>114851.5076923077</v>
      </c>
      <c r="D126" s="91">
        <f>IF(2&lt;='I_Inputs &amp; Assumptions'!$B$8,IF('I_Budget Input Data'!$E$126="Upfront",IF(2=1,'I_Budget Input Data'!$D$126,0),IF('I_Budget Input Data'!$E$126="Equal",'I_Budget Input Data'!$D$126/'I_Inputs &amp; Assumptions'!$B$8,IF('I_Budget Input Data'!$E$126="Front-loaded",IF(2&lt;='I_Inputs &amp; Assumptions'!$B$8/2,'I_Budget Input Data'!$D$126*0.6/('I_Inputs &amp; Assumptions'!$B$8/2),'I_Budget Input Data'!$D$126*0.4/('I_Inputs &amp; Assumptions'!$B$8/2)),IF('I_Budget Input Data'!$E$126="Back-loaded",IF(2&lt;='I_Inputs &amp; Assumptions'!$B$8/2,'I_Budget Input Data'!$D$126*0.4/('I_Inputs &amp; Assumptions'!$B$8/2),'I_Budget Input Data'!$D$126*0.6/('I_Inputs &amp; Assumptions'!$B$8/2)),IF('I_Budget Input Data'!$E$126="Mid-weighted",IF(2&lt;='I_Inputs &amp; Assumptions'!$B$8/4,'I_Budget Input Data'!$D$126*0.2/('I_Inputs &amp; Assumptions'!$B$8/4),IF(2&lt;='I_Inputs &amp; Assumptions'!$B$8*0.75,'I_Budget Input Data'!$D$126*0.6/('I_Inputs &amp; Assumptions'!$B$8/2),'I_Budget Input Data'!$D$126*0.2/('I_Inputs &amp; Assumptions'!$B$8/4))),IF('I_Budget Input Data'!$E$126="At Completion",IF(2='I_Inputs &amp; Assumptions'!$B$8,'I_Budget Input Data'!$D$126,0),'I_Budget Input Data'!$D$126/'I_Inputs &amp; Assumptions'!$B$8)))))),0)</f>
        <v>114851.5076923077</v>
      </c>
      <c r="E126" s="91">
        <f>IF(3&lt;='I_Inputs &amp; Assumptions'!$B$8,IF('I_Budget Input Data'!$E$126="Upfront",IF(3=1,'I_Budget Input Data'!$D$126,0),IF('I_Budget Input Data'!$E$126="Equal",'I_Budget Input Data'!$D$126/'I_Inputs &amp; Assumptions'!$B$8,IF('I_Budget Input Data'!$E$126="Front-loaded",IF(3&lt;='I_Inputs &amp; Assumptions'!$B$8/2,'I_Budget Input Data'!$D$126*0.6/('I_Inputs &amp; Assumptions'!$B$8/2),'I_Budget Input Data'!$D$126*0.4/('I_Inputs &amp; Assumptions'!$B$8/2)),IF('I_Budget Input Data'!$E$126="Back-loaded",IF(3&lt;='I_Inputs &amp; Assumptions'!$B$8/2,'I_Budget Input Data'!$D$126*0.4/('I_Inputs &amp; Assumptions'!$B$8/2),'I_Budget Input Data'!$D$126*0.6/('I_Inputs &amp; Assumptions'!$B$8/2)),IF('I_Budget Input Data'!$E$126="Mid-weighted",IF(3&lt;='I_Inputs &amp; Assumptions'!$B$8/4,'I_Budget Input Data'!$D$126*0.2/('I_Inputs &amp; Assumptions'!$B$8/4),IF(3&lt;='I_Inputs &amp; Assumptions'!$B$8*0.75,'I_Budget Input Data'!$D$126*0.6/('I_Inputs &amp; Assumptions'!$B$8/2),'I_Budget Input Data'!$D$126*0.2/('I_Inputs &amp; Assumptions'!$B$8/4))),IF('I_Budget Input Data'!$E$126="At Completion",IF(3='I_Inputs &amp; Assumptions'!$B$8,'I_Budget Input Data'!$D$126,0),'I_Budget Input Data'!$D$126/'I_Inputs &amp; Assumptions'!$B$8)))))),0)</f>
        <v>114851.5076923077</v>
      </c>
      <c r="F126" s="91">
        <f>IF(4&lt;='I_Inputs &amp; Assumptions'!$B$8,IF('I_Budget Input Data'!$E$126="Upfront",IF(4=1,'I_Budget Input Data'!$D$126,0),IF('I_Budget Input Data'!$E$126="Equal",'I_Budget Input Data'!$D$126/'I_Inputs &amp; Assumptions'!$B$8,IF('I_Budget Input Data'!$E$126="Front-loaded",IF(4&lt;='I_Inputs &amp; Assumptions'!$B$8/2,'I_Budget Input Data'!$D$126*0.6/('I_Inputs &amp; Assumptions'!$B$8/2),'I_Budget Input Data'!$D$126*0.4/('I_Inputs &amp; Assumptions'!$B$8/2)),IF('I_Budget Input Data'!$E$126="Back-loaded",IF(4&lt;='I_Inputs &amp; Assumptions'!$B$8/2,'I_Budget Input Data'!$D$126*0.4/('I_Inputs &amp; Assumptions'!$B$8/2),'I_Budget Input Data'!$D$126*0.6/('I_Inputs &amp; Assumptions'!$B$8/2)),IF('I_Budget Input Data'!$E$126="Mid-weighted",IF(4&lt;='I_Inputs &amp; Assumptions'!$B$8/4,'I_Budget Input Data'!$D$126*0.2/('I_Inputs &amp; Assumptions'!$B$8/4),IF(4&lt;='I_Inputs &amp; Assumptions'!$B$8*0.75,'I_Budget Input Data'!$D$126*0.6/('I_Inputs &amp; Assumptions'!$B$8/2),'I_Budget Input Data'!$D$126*0.2/('I_Inputs &amp; Assumptions'!$B$8/4))),IF('I_Budget Input Data'!$E$126="At Completion",IF(4='I_Inputs &amp; Assumptions'!$B$8,'I_Budget Input Data'!$D$126,0),'I_Budget Input Data'!$D$126/'I_Inputs &amp; Assumptions'!$B$8)))))),0)</f>
        <v>172277.26153846152</v>
      </c>
      <c r="G126" s="91">
        <f>IF(5&lt;='I_Inputs &amp; Assumptions'!$B$8,IF('I_Budget Input Data'!$E$126="Upfront",IF(5=1,'I_Budget Input Data'!$D$126,0),IF('I_Budget Input Data'!$E$126="Equal",'I_Budget Input Data'!$D$126/'I_Inputs &amp; Assumptions'!$B$8,IF('I_Budget Input Data'!$E$126="Front-loaded",IF(5&lt;='I_Inputs &amp; Assumptions'!$B$8/2,'I_Budget Input Data'!$D$126*0.6/('I_Inputs &amp; Assumptions'!$B$8/2),'I_Budget Input Data'!$D$126*0.4/('I_Inputs &amp; Assumptions'!$B$8/2)),IF('I_Budget Input Data'!$E$126="Back-loaded",IF(5&lt;='I_Inputs &amp; Assumptions'!$B$8/2,'I_Budget Input Data'!$D$126*0.4/('I_Inputs &amp; Assumptions'!$B$8/2),'I_Budget Input Data'!$D$126*0.6/('I_Inputs &amp; Assumptions'!$B$8/2)),IF('I_Budget Input Data'!$E$126="Mid-weighted",IF(5&lt;='I_Inputs &amp; Assumptions'!$B$8/4,'I_Budget Input Data'!$D$126*0.2/('I_Inputs &amp; Assumptions'!$B$8/4),IF(5&lt;='I_Inputs &amp; Assumptions'!$B$8*0.75,'I_Budget Input Data'!$D$126*0.6/('I_Inputs &amp; Assumptions'!$B$8/2),'I_Budget Input Data'!$D$126*0.2/('I_Inputs &amp; Assumptions'!$B$8/4))),IF('I_Budget Input Data'!$E$126="At Completion",IF(5='I_Inputs &amp; Assumptions'!$B$8,'I_Budget Input Data'!$D$126,0),'I_Budget Input Data'!$D$126/'I_Inputs &amp; Assumptions'!$B$8)))))),0)</f>
        <v>172277.26153846152</v>
      </c>
      <c r="H126" s="91">
        <f>IF(6&lt;='I_Inputs &amp; Assumptions'!$B$8,IF('I_Budget Input Data'!$E$126="Upfront",IF(6=1,'I_Budget Input Data'!$D$126,0),IF('I_Budget Input Data'!$E$126="Equal",'I_Budget Input Data'!$D$126/'I_Inputs &amp; Assumptions'!$B$8,IF('I_Budget Input Data'!$E$126="Front-loaded",IF(6&lt;='I_Inputs &amp; Assumptions'!$B$8/2,'I_Budget Input Data'!$D$126*0.6/('I_Inputs &amp; Assumptions'!$B$8/2),'I_Budget Input Data'!$D$126*0.4/('I_Inputs &amp; Assumptions'!$B$8/2)),IF('I_Budget Input Data'!$E$126="Back-loaded",IF(6&lt;='I_Inputs &amp; Assumptions'!$B$8/2,'I_Budget Input Data'!$D$126*0.4/('I_Inputs &amp; Assumptions'!$B$8/2),'I_Budget Input Data'!$D$126*0.6/('I_Inputs &amp; Assumptions'!$B$8/2)),IF('I_Budget Input Data'!$E$126="Mid-weighted",IF(6&lt;='I_Inputs &amp; Assumptions'!$B$8/4,'I_Budget Input Data'!$D$126*0.2/('I_Inputs &amp; Assumptions'!$B$8/4),IF(6&lt;='I_Inputs &amp; Assumptions'!$B$8*0.75,'I_Budget Input Data'!$D$126*0.6/('I_Inputs &amp; Assumptions'!$B$8/2),'I_Budget Input Data'!$D$126*0.2/('I_Inputs &amp; Assumptions'!$B$8/4))),IF('I_Budget Input Data'!$E$126="At Completion",IF(6='I_Inputs &amp; Assumptions'!$B$8,'I_Budget Input Data'!$D$126,0),'I_Budget Input Data'!$D$126/'I_Inputs &amp; Assumptions'!$B$8)))))),0)</f>
        <v>172277.26153846152</v>
      </c>
      <c r="I126" s="91">
        <f>IF(7&lt;='I_Inputs &amp; Assumptions'!$B$8,IF('I_Budget Input Data'!$E$126="Upfront",IF(7=1,'I_Budget Input Data'!$D$126,0),IF('I_Budget Input Data'!$E$126="Equal",'I_Budget Input Data'!$D$126/'I_Inputs &amp; Assumptions'!$B$8,IF('I_Budget Input Data'!$E$126="Front-loaded",IF(7&lt;='I_Inputs &amp; Assumptions'!$B$8/2,'I_Budget Input Data'!$D$126*0.6/('I_Inputs &amp; Assumptions'!$B$8/2),'I_Budget Input Data'!$D$126*0.4/('I_Inputs &amp; Assumptions'!$B$8/2)),IF('I_Budget Input Data'!$E$126="Back-loaded",IF(7&lt;='I_Inputs &amp; Assumptions'!$B$8/2,'I_Budget Input Data'!$D$126*0.4/('I_Inputs &amp; Assumptions'!$B$8/2),'I_Budget Input Data'!$D$126*0.6/('I_Inputs &amp; Assumptions'!$B$8/2)),IF('I_Budget Input Data'!$E$126="Mid-weighted",IF(7&lt;='I_Inputs &amp; Assumptions'!$B$8/4,'I_Budget Input Data'!$D$126*0.2/('I_Inputs &amp; Assumptions'!$B$8/4),IF(7&lt;='I_Inputs &amp; Assumptions'!$B$8*0.75,'I_Budget Input Data'!$D$126*0.6/('I_Inputs &amp; Assumptions'!$B$8/2),'I_Budget Input Data'!$D$126*0.2/('I_Inputs &amp; Assumptions'!$B$8/4))),IF('I_Budget Input Data'!$E$126="At Completion",IF(7='I_Inputs &amp; Assumptions'!$B$8,'I_Budget Input Data'!$D$126,0),'I_Budget Input Data'!$D$126/'I_Inputs &amp; Assumptions'!$B$8)))))),0)</f>
        <v>172277.26153846152</v>
      </c>
      <c r="J126" s="91">
        <f>IF(8&lt;='I_Inputs &amp; Assumptions'!$B$8,IF('I_Budget Input Data'!$E$126="Upfront",IF(8=1,'I_Budget Input Data'!$D$126,0),IF('I_Budget Input Data'!$E$126="Equal",'I_Budget Input Data'!$D$126/'I_Inputs &amp; Assumptions'!$B$8,IF('I_Budget Input Data'!$E$126="Front-loaded",IF(8&lt;='I_Inputs &amp; Assumptions'!$B$8/2,'I_Budget Input Data'!$D$126*0.6/('I_Inputs &amp; Assumptions'!$B$8/2),'I_Budget Input Data'!$D$126*0.4/('I_Inputs &amp; Assumptions'!$B$8/2)),IF('I_Budget Input Data'!$E$126="Back-loaded",IF(8&lt;='I_Inputs &amp; Assumptions'!$B$8/2,'I_Budget Input Data'!$D$126*0.4/('I_Inputs &amp; Assumptions'!$B$8/2),'I_Budget Input Data'!$D$126*0.6/('I_Inputs &amp; Assumptions'!$B$8/2)),IF('I_Budget Input Data'!$E$126="Mid-weighted",IF(8&lt;='I_Inputs &amp; Assumptions'!$B$8/4,'I_Budget Input Data'!$D$126*0.2/('I_Inputs &amp; Assumptions'!$B$8/4),IF(8&lt;='I_Inputs &amp; Assumptions'!$B$8*0.75,'I_Budget Input Data'!$D$126*0.6/('I_Inputs &amp; Assumptions'!$B$8/2),'I_Budget Input Data'!$D$126*0.2/('I_Inputs &amp; Assumptions'!$B$8/4))),IF('I_Budget Input Data'!$E$126="At Completion",IF(8='I_Inputs &amp; Assumptions'!$B$8,'I_Budget Input Data'!$D$126,0),'I_Budget Input Data'!$D$126/'I_Inputs &amp; Assumptions'!$B$8)))))),0)</f>
        <v>172277.26153846152</v>
      </c>
      <c r="K126" s="91">
        <f>IF(9&lt;='I_Inputs &amp; Assumptions'!$B$8,IF('I_Budget Input Data'!$E$126="Upfront",IF(9=1,'I_Budget Input Data'!$D$126,0),IF('I_Budget Input Data'!$E$126="Equal",'I_Budget Input Data'!$D$126/'I_Inputs &amp; Assumptions'!$B$8,IF('I_Budget Input Data'!$E$126="Front-loaded",IF(9&lt;='I_Inputs &amp; Assumptions'!$B$8/2,'I_Budget Input Data'!$D$126*0.6/('I_Inputs &amp; Assumptions'!$B$8/2),'I_Budget Input Data'!$D$126*0.4/('I_Inputs &amp; Assumptions'!$B$8/2)),IF('I_Budget Input Data'!$E$126="Back-loaded",IF(9&lt;='I_Inputs &amp; Assumptions'!$B$8/2,'I_Budget Input Data'!$D$126*0.4/('I_Inputs &amp; Assumptions'!$B$8/2),'I_Budget Input Data'!$D$126*0.6/('I_Inputs &amp; Assumptions'!$B$8/2)),IF('I_Budget Input Data'!$E$126="Mid-weighted",IF(9&lt;='I_Inputs &amp; Assumptions'!$B$8/4,'I_Budget Input Data'!$D$126*0.2/('I_Inputs &amp; Assumptions'!$B$8/4),IF(9&lt;='I_Inputs &amp; Assumptions'!$B$8*0.75,'I_Budget Input Data'!$D$126*0.6/('I_Inputs &amp; Assumptions'!$B$8/2),'I_Budget Input Data'!$D$126*0.2/('I_Inputs &amp; Assumptions'!$B$8/4))),IF('I_Budget Input Data'!$E$126="At Completion",IF(9='I_Inputs &amp; Assumptions'!$B$8,'I_Budget Input Data'!$D$126,0),'I_Budget Input Data'!$D$126/'I_Inputs &amp; Assumptions'!$B$8)))))),0)</f>
        <v>172277.26153846152</v>
      </c>
      <c r="L126" s="91">
        <f>IF(10&lt;='I_Inputs &amp; Assumptions'!$B$8,IF('I_Budget Input Data'!$E$126="Upfront",IF(10=1,'I_Budget Input Data'!$D$126,0),IF('I_Budget Input Data'!$E$126="Equal",'I_Budget Input Data'!$D$126/'I_Inputs &amp; Assumptions'!$B$8,IF('I_Budget Input Data'!$E$126="Front-loaded",IF(10&lt;='I_Inputs &amp; Assumptions'!$B$8/2,'I_Budget Input Data'!$D$126*0.6/('I_Inputs &amp; Assumptions'!$B$8/2),'I_Budget Input Data'!$D$126*0.4/('I_Inputs &amp; Assumptions'!$B$8/2)),IF('I_Budget Input Data'!$E$126="Back-loaded",IF(10&lt;='I_Inputs &amp; Assumptions'!$B$8/2,'I_Budget Input Data'!$D$126*0.4/('I_Inputs &amp; Assumptions'!$B$8/2),'I_Budget Input Data'!$D$126*0.6/('I_Inputs &amp; Assumptions'!$B$8/2)),IF('I_Budget Input Data'!$E$126="Mid-weighted",IF(10&lt;='I_Inputs &amp; Assumptions'!$B$8/4,'I_Budget Input Data'!$D$126*0.2/('I_Inputs &amp; Assumptions'!$B$8/4),IF(10&lt;='I_Inputs &amp; Assumptions'!$B$8*0.75,'I_Budget Input Data'!$D$126*0.6/('I_Inputs &amp; Assumptions'!$B$8/2),'I_Budget Input Data'!$D$126*0.2/('I_Inputs &amp; Assumptions'!$B$8/4))),IF('I_Budget Input Data'!$E$126="At Completion",IF(10='I_Inputs &amp; Assumptions'!$B$8,'I_Budget Input Data'!$D$126,0),'I_Budget Input Data'!$D$126/'I_Inputs &amp; Assumptions'!$B$8)))))),0)</f>
        <v>114851.5076923077</v>
      </c>
      <c r="M126" s="91">
        <f>IF(11&lt;='I_Inputs &amp; Assumptions'!$B$8,IF('I_Budget Input Data'!$E$126="Upfront",IF(11=1,'I_Budget Input Data'!$D$126,0),IF('I_Budget Input Data'!$E$126="Equal",'I_Budget Input Data'!$D$126/'I_Inputs &amp; Assumptions'!$B$8,IF('I_Budget Input Data'!$E$126="Front-loaded",IF(11&lt;='I_Inputs &amp; Assumptions'!$B$8/2,'I_Budget Input Data'!$D$126*0.6/('I_Inputs &amp; Assumptions'!$B$8/2),'I_Budget Input Data'!$D$126*0.4/('I_Inputs &amp; Assumptions'!$B$8/2)),IF('I_Budget Input Data'!$E$126="Back-loaded",IF(11&lt;='I_Inputs &amp; Assumptions'!$B$8/2,'I_Budget Input Data'!$D$126*0.4/('I_Inputs &amp; Assumptions'!$B$8/2),'I_Budget Input Data'!$D$126*0.6/('I_Inputs &amp; Assumptions'!$B$8/2)),IF('I_Budget Input Data'!$E$126="Mid-weighted",IF(11&lt;='I_Inputs &amp; Assumptions'!$B$8/4,'I_Budget Input Data'!$D$126*0.2/('I_Inputs &amp; Assumptions'!$B$8/4),IF(11&lt;='I_Inputs &amp; Assumptions'!$B$8*0.75,'I_Budget Input Data'!$D$126*0.6/('I_Inputs &amp; Assumptions'!$B$8/2),'I_Budget Input Data'!$D$126*0.2/('I_Inputs &amp; Assumptions'!$B$8/4))),IF('I_Budget Input Data'!$E$126="At Completion",IF(11='I_Inputs &amp; Assumptions'!$B$8,'I_Budget Input Data'!$D$126,0),'I_Budget Input Data'!$D$126/'I_Inputs &amp; Assumptions'!$B$8)))))),0)</f>
        <v>114851.5076923077</v>
      </c>
      <c r="N126" s="91">
        <f>IF(12&lt;='I_Inputs &amp; Assumptions'!$B$8,IF('I_Budget Input Data'!$E$126="Upfront",IF(12=1,'I_Budget Input Data'!$D$126,0),IF('I_Budget Input Data'!$E$126="Equal",'I_Budget Input Data'!$D$126/'I_Inputs &amp; Assumptions'!$B$8,IF('I_Budget Input Data'!$E$126="Front-loaded",IF(12&lt;='I_Inputs &amp; Assumptions'!$B$8/2,'I_Budget Input Data'!$D$126*0.6/('I_Inputs &amp; Assumptions'!$B$8/2),'I_Budget Input Data'!$D$126*0.4/('I_Inputs &amp; Assumptions'!$B$8/2)),IF('I_Budget Input Data'!$E$126="Back-loaded",IF(12&lt;='I_Inputs &amp; Assumptions'!$B$8/2,'I_Budget Input Data'!$D$126*0.4/('I_Inputs &amp; Assumptions'!$B$8/2),'I_Budget Input Data'!$D$126*0.6/('I_Inputs &amp; Assumptions'!$B$8/2)),IF('I_Budget Input Data'!$E$126="Mid-weighted",IF(12&lt;='I_Inputs &amp; Assumptions'!$B$8/4,'I_Budget Input Data'!$D$126*0.2/('I_Inputs &amp; Assumptions'!$B$8/4),IF(12&lt;='I_Inputs &amp; Assumptions'!$B$8*0.75,'I_Budget Input Data'!$D$126*0.6/('I_Inputs &amp; Assumptions'!$B$8/2),'I_Budget Input Data'!$D$126*0.2/('I_Inputs &amp; Assumptions'!$B$8/4))),IF('I_Budget Input Data'!$E$126="At Completion",IF(12='I_Inputs &amp; Assumptions'!$B$8,'I_Budget Input Data'!$D$126,0),'I_Budget Input Data'!$D$126/'I_Inputs &amp; Assumptions'!$B$8)))))),0)</f>
        <v>114851.5076923077</v>
      </c>
      <c r="O126" s="91">
        <f>IF(13&lt;='I_Inputs &amp; Assumptions'!$B$8,IF('I_Budget Input Data'!$E$126="Upfront",IF(13=1,'I_Budget Input Data'!$D$126,0),IF('I_Budget Input Data'!$E$126="Equal",'I_Budget Input Data'!$D$126/'I_Inputs &amp; Assumptions'!$B$8,IF('I_Budget Input Data'!$E$126="Front-loaded",IF(13&lt;='I_Inputs &amp; Assumptions'!$B$8/2,'I_Budget Input Data'!$D$126*0.6/('I_Inputs &amp; Assumptions'!$B$8/2),'I_Budget Input Data'!$D$126*0.4/('I_Inputs &amp; Assumptions'!$B$8/2)),IF('I_Budget Input Data'!$E$126="Back-loaded",IF(13&lt;='I_Inputs &amp; Assumptions'!$B$8/2,'I_Budget Input Data'!$D$126*0.4/('I_Inputs &amp; Assumptions'!$B$8/2),'I_Budget Input Data'!$D$126*0.6/('I_Inputs &amp; Assumptions'!$B$8/2)),IF('I_Budget Input Data'!$E$126="Mid-weighted",IF(13&lt;='I_Inputs &amp; Assumptions'!$B$8/4,'I_Budget Input Data'!$D$126*0.2/('I_Inputs &amp; Assumptions'!$B$8/4),IF(13&lt;='I_Inputs &amp; Assumptions'!$B$8*0.75,'I_Budget Input Data'!$D$126*0.6/('I_Inputs &amp; Assumptions'!$B$8/2),'I_Budget Input Data'!$D$126*0.2/('I_Inputs &amp; Assumptions'!$B$8/4))),IF('I_Budget Input Data'!$E$126="At Completion",IF(13='I_Inputs &amp; Assumptions'!$B$8,'I_Budget Input Data'!$D$126,0),'I_Budget Input Data'!$D$126/'I_Inputs &amp; Assumptions'!$B$8)))))),0)</f>
        <v>114851.5076923077</v>
      </c>
      <c r="P126" s="91">
        <f>IF(14&lt;='I_Inputs &amp; Assumptions'!$B$8,IF('I_Budget Input Data'!$E$126="Upfront",IF(14=1,'I_Budget Input Data'!$D$126,0),IF('I_Budget Input Data'!$E$126="Equal",'I_Budget Input Data'!$D$126/'I_Inputs &amp; Assumptions'!$B$8,IF('I_Budget Input Data'!$E$126="Front-loaded",IF(14&lt;='I_Inputs &amp; Assumptions'!$B$8/2,'I_Budget Input Data'!$D$126*0.6/('I_Inputs &amp; Assumptions'!$B$8/2),'I_Budget Input Data'!$D$126*0.4/('I_Inputs &amp; Assumptions'!$B$8/2)),IF('I_Budget Input Data'!$E$126="Back-loaded",IF(14&lt;='I_Inputs &amp; Assumptions'!$B$8/2,'I_Budget Input Data'!$D$126*0.4/('I_Inputs &amp; Assumptions'!$B$8/2),'I_Budget Input Data'!$D$126*0.6/('I_Inputs &amp; Assumptions'!$B$8/2)),IF('I_Budget Input Data'!$E$126="Mid-weighted",IF(14&lt;='I_Inputs &amp; Assumptions'!$B$8/4,'I_Budget Input Data'!$D$126*0.2/('I_Inputs &amp; Assumptions'!$B$8/4),IF(14&lt;='I_Inputs &amp; Assumptions'!$B$8*0.75,'I_Budget Input Data'!$D$126*0.6/('I_Inputs &amp; Assumptions'!$B$8/2),'I_Budget Input Data'!$D$126*0.2/('I_Inputs &amp; Assumptions'!$B$8/4))),IF('I_Budget Input Data'!$E$126="At Completion",IF(14='I_Inputs &amp; Assumptions'!$B$8,'I_Budget Input Data'!$D$126,0),'I_Budget Input Data'!$D$126/'I_Inputs &amp; Assumptions'!$B$8)))))),0)</f>
        <v>0</v>
      </c>
      <c r="Q126" s="91">
        <f>IF(15&lt;='I_Inputs &amp; Assumptions'!$B$8,IF('I_Budget Input Data'!$E$126="Upfront",IF(15=1,'I_Budget Input Data'!$D$126,0),IF('I_Budget Input Data'!$E$126="Equal",'I_Budget Input Data'!$D$126/'I_Inputs &amp; Assumptions'!$B$8,IF('I_Budget Input Data'!$E$126="Front-loaded",IF(15&lt;='I_Inputs &amp; Assumptions'!$B$8/2,'I_Budget Input Data'!$D$126*0.6/('I_Inputs &amp; Assumptions'!$B$8/2),'I_Budget Input Data'!$D$126*0.4/('I_Inputs &amp; Assumptions'!$B$8/2)),IF('I_Budget Input Data'!$E$126="Back-loaded",IF(15&lt;='I_Inputs &amp; Assumptions'!$B$8/2,'I_Budget Input Data'!$D$126*0.4/('I_Inputs &amp; Assumptions'!$B$8/2),'I_Budget Input Data'!$D$126*0.6/('I_Inputs &amp; Assumptions'!$B$8/2)),IF('I_Budget Input Data'!$E$126="Mid-weighted",IF(15&lt;='I_Inputs &amp; Assumptions'!$B$8/4,'I_Budget Input Data'!$D$126*0.2/('I_Inputs &amp; Assumptions'!$B$8/4),IF(15&lt;='I_Inputs &amp; Assumptions'!$B$8*0.75,'I_Budget Input Data'!$D$126*0.6/('I_Inputs &amp; Assumptions'!$B$8/2),'I_Budget Input Data'!$D$126*0.2/('I_Inputs &amp; Assumptions'!$B$8/4))),IF('I_Budget Input Data'!$E$126="At Completion",IF(15='I_Inputs &amp; Assumptions'!$B$8,'I_Budget Input Data'!$D$126,0),'I_Budget Input Data'!$D$126/'I_Inputs &amp; Assumptions'!$B$8)))))),0)</f>
        <v>0</v>
      </c>
      <c r="R126" s="91">
        <f>IF(16&lt;='I_Inputs &amp; Assumptions'!$B$8,IF('I_Budget Input Data'!$E$126="Upfront",IF(16=1,'I_Budget Input Data'!$D$126,0),IF('I_Budget Input Data'!$E$126="Equal",'I_Budget Input Data'!$D$126/'I_Inputs &amp; Assumptions'!$B$8,IF('I_Budget Input Data'!$E$126="Front-loaded",IF(16&lt;='I_Inputs &amp; Assumptions'!$B$8/2,'I_Budget Input Data'!$D$126*0.6/('I_Inputs &amp; Assumptions'!$B$8/2),'I_Budget Input Data'!$D$126*0.4/('I_Inputs &amp; Assumptions'!$B$8/2)),IF('I_Budget Input Data'!$E$126="Back-loaded",IF(16&lt;='I_Inputs &amp; Assumptions'!$B$8/2,'I_Budget Input Data'!$D$126*0.4/('I_Inputs &amp; Assumptions'!$B$8/2),'I_Budget Input Data'!$D$126*0.6/('I_Inputs &amp; Assumptions'!$B$8/2)),IF('I_Budget Input Data'!$E$126="Mid-weighted",IF(16&lt;='I_Inputs &amp; Assumptions'!$B$8/4,'I_Budget Input Data'!$D$126*0.2/('I_Inputs &amp; Assumptions'!$B$8/4),IF(16&lt;='I_Inputs &amp; Assumptions'!$B$8*0.75,'I_Budget Input Data'!$D$126*0.6/('I_Inputs &amp; Assumptions'!$B$8/2),'I_Budget Input Data'!$D$126*0.2/('I_Inputs &amp; Assumptions'!$B$8/4))),IF('I_Budget Input Data'!$E$126="At Completion",IF(16='I_Inputs &amp; Assumptions'!$B$8,'I_Budget Input Data'!$D$126,0),'I_Budget Input Data'!$D$126/'I_Inputs &amp; Assumptions'!$B$8)))))),0)</f>
        <v>0</v>
      </c>
      <c r="S126" s="91">
        <f>IF(17&lt;='I_Inputs &amp; Assumptions'!$B$8,IF('I_Budget Input Data'!$E$126="Upfront",IF(17=1,'I_Budget Input Data'!$D$126,0),IF('I_Budget Input Data'!$E$126="Equal",'I_Budget Input Data'!$D$126/'I_Inputs &amp; Assumptions'!$B$8,IF('I_Budget Input Data'!$E$126="Front-loaded",IF(17&lt;='I_Inputs &amp; Assumptions'!$B$8/2,'I_Budget Input Data'!$D$126*0.6/('I_Inputs &amp; Assumptions'!$B$8/2),'I_Budget Input Data'!$D$126*0.4/('I_Inputs &amp; Assumptions'!$B$8/2)),IF('I_Budget Input Data'!$E$126="Back-loaded",IF(17&lt;='I_Inputs &amp; Assumptions'!$B$8/2,'I_Budget Input Data'!$D$126*0.4/('I_Inputs &amp; Assumptions'!$B$8/2),'I_Budget Input Data'!$D$126*0.6/('I_Inputs &amp; Assumptions'!$B$8/2)),IF('I_Budget Input Data'!$E$126="Mid-weighted",IF(17&lt;='I_Inputs &amp; Assumptions'!$B$8/4,'I_Budget Input Data'!$D$126*0.2/('I_Inputs &amp; Assumptions'!$B$8/4),IF(17&lt;='I_Inputs &amp; Assumptions'!$B$8*0.75,'I_Budget Input Data'!$D$126*0.6/('I_Inputs &amp; Assumptions'!$B$8/2),'I_Budget Input Data'!$D$126*0.2/('I_Inputs &amp; Assumptions'!$B$8/4))),IF('I_Budget Input Data'!$E$126="At Completion",IF(17='I_Inputs &amp; Assumptions'!$B$8,'I_Budget Input Data'!$D$126,0),'I_Budget Input Data'!$D$126/'I_Inputs &amp; Assumptions'!$B$8)))))),0)</f>
        <v>0</v>
      </c>
      <c r="T126" s="91">
        <f>IF(18&lt;='I_Inputs &amp; Assumptions'!$B$8,IF('I_Budget Input Data'!$E$126="Upfront",IF(18=1,'I_Budget Input Data'!$D$126,0),IF('I_Budget Input Data'!$E$126="Equal",'I_Budget Input Data'!$D$126/'I_Inputs &amp; Assumptions'!$B$8,IF('I_Budget Input Data'!$E$126="Front-loaded",IF(18&lt;='I_Inputs &amp; Assumptions'!$B$8/2,'I_Budget Input Data'!$D$126*0.6/('I_Inputs &amp; Assumptions'!$B$8/2),'I_Budget Input Data'!$D$126*0.4/('I_Inputs &amp; Assumptions'!$B$8/2)),IF('I_Budget Input Data'!$E$126="Back-loaded",IF(18&lt;='I_Inputs &amp; Assumptions'!$B$8/2,'I_Budget Input Data'!$D$126*0.4/('I_Inputs &amp; Assumptions'!$B$8/2),'I_Budget Input Data'!$D$126*0.6/('I_Inputs &amp; Assumptions'!$B$8/2)),IF('I_Budget Input Data'!$E$126="Mid-weighted",IF(18&lt;='I_Inputs &amp; Assumptions'!$B$8/4,'I_Budget Input Data'!$D$126*0.2/('I_Inputs &amp; Assumptions'!$B$8/4),IF(18&lt;='I_Inputs &amp; Assumptions'!$B$8*0.75,'I_Budget Input Data'!$D$126*0.6/('I_Inputs &amp; Assumptions'!$B$8/2),'I_Budget Input Data'!$D$126*0.2/('I_Inputs &amp; Assumptions'!$B$8/4))),IF('I_Budget Input Data'!$E$126="At Completion",IF(18='I_Inputs &amp; Assumptions'!$B$8,'I_Budget Input Data'!$D$126,0),'I_Budget Input Data'!$D$126/'I_Inputs &amp; Assumptions'!$B$8)))))),0)</f>
        <v>0</v>
      </c>
      <c r="U126" s="91">
        <f>IF(19&lt;='I_Inputs &amp; Assumptions'!$B$8,IF('I_Budget Input Data'!$E$126="Upfront",IF(19=1,'I_Budget Input Data'!$D$126,0),IF('I_Budget Input Data'!$E$126="Equal",'I_Budget Input Data'!$D$126/'I_Inputs &amp; Assumptions'!$B$8,IF('I_Budget Input Data'!$E$126="Front-loaded",IF(19&lt;='I_Inputs &amp; Assumptions'!$B$8/2,'I_Budget Input Data'!$D$126*0.6/('I_Inputs &amp; Assumptions'!$B$8/2),'I_Budget Input Data'!$D$126*0.4/('I_Inputs &amp; Assumptions'!$B$8/2)),IF('I_Budget Input Data'!$E$126="Back-loaded",IF(19&lt;='I_Inputs &amp; Assumptions'!$B$8/2,'I_Budget Input Data'!$D$126*0.4/('I_Inputs &amp; Assumptions'!$B$8/2),'I_Budget Input Data'!$D$126*0.6/('I_Inputs &amp; Assumptions'!$B$8/2)),IF('I_Budget Input Data'!$E$126="Mid-weighted",IF(19&lt;='I_Inputs &amp; Assumptions'!$B$8/4,'I_Budget Input Data'!$D$126*0.2/('I_Inputs &amp; Assumptions'!$B$8/4),IF(19&lt;='I_Inputs &amp; Assumptions'!$B$8*0.75,'I_Budget Input Data'!$D$126*0.6/('I_Inputs &amp; Assumptions'!$B$8/2),'I_Budget Input Data'!$D$126*0.2/('I_Inputs &amp; Assumptions'!$B$8/4))),IF('I_Budget Input Data'!$E$126="At Completion",IF(19='I_Inputs &amp; Assumptions'!$B$8,'I_Budget Input Data'!$D$126,0),'I_Budget Input Data'!$D$126/'I_Inputs &amp; Assumptions'!$B$8)))))),0)</f>
        <v>0</v>
      </c>
      <c r="V126" s="91">
        <f>IF(20&lt;='I_Inputs &amp; Assumptions'!$B$8,IF('I_Budget Input Data'!$E$126="Upfront",IF(20=1,'I_Budget Input Data'!$D$126,0),IF('I_Budget Input Data'!$E$126="Equal",'I_Budget Input Data'!$D$126/'I_Inputs &amp; Assumptions'!$B$8,IF('I_Budget Input Data'!$E$126="Front-loaded",IF(20&lt;='I_Inputs &amp; Assumptions'!$B$8/2,'I_Budget Input Data'!$D$126*0.6/('I_Inputs &amp; Assumptions'!$B$8/2),'I_Budget Input Data'!$D$126*0.4/('I_Inputs &amp; Assumptions'!$B$8/2)),IF('I_Budget Input Data'!$E$126="Back-loaded",IF(20&lt;='I_Inputs &amp; Assumptions'!$B$8/2,'I_Budget Input Data'!$D$126*0.4/('I_Inputs &amp; Assumptions'!$B$8/2),'I_Budget Input Data'!$D$126*0.6/('I_Inputs &amp; Assumptions'!$B$8/2)),IF('I_Budget Input Data'!$E$126="Mid-weighted",IF(20&lt;='I_Inputs &amp; Assumptions'!$B$8/4,'I_Budget Input Data'!$D$126*0.2/('I_Inputs &amp; Assumptions'!$B$8/4),IF(20&lt;='I_Inputs &amp; Assumptions'!$B$8*0.75,'I_Budget Input Data'!$D$126*0.6/('I_Inputs &amp; Assumptions'!$B$8/2),'I_Budget Input Data'!$D$126*0.2/('I_Inputs &amp; Assumptions'!$B$8/4))),IF('I_Budget Input Data'!$E$126="At Completion",IF(20='I_Inputs &amp; Assumptions'!$B$8,'I_Budget Input Data'!$D$126,0),'I_Budget Input Data'!$D$126/'I_Inputs &amp; Assumptions'!$B$8)))))),0)</f>
        <v>0</v>
      </c>
      <c r="W126" s="91">
        <f>IF(21&lt;='I_Inputs &amp; Assumptions'!$B$8,IF('I_Budget Input Data'!$E$126="Upfront",IF(21=1,'I_Budget Input Data'!$D$126,0),IF('I_Budget Input Data'!$E$126="Equal",'I_Budget Input Data'!$D$126/'I_Inputs &amp; Assumptions'!$B$8,IF('I_Budget Input Data'!$E$126="Front-loaded",IF(21&lt;='I_Inputs &amp; Assumptions'!$B$8/2,'I_Budget Input Data'!$D$126*0.6/('I_Inputs &amp; Assumptions'!$B$8/2),'I_Budget Input Data'!$D$126*0.4/('I_Inputs &amp; Assumptions'!$B$8/2)),IF('I_Budget Input Data'!$E$126="Back-loaded",IF(21&lt;='I_Inputs &amp; Assumptions'!$B$8/2,'I_Budget Input Data'!$D$126*0.4/('I_Inputs &amp; Assumptions'!$B$8/2),'I_Budget Input Data'!$D$126*0.6/('I_Inputs &amp; Assumptions'!$B$8/2)),IF('I_Budget Input Data'!$E$126="Mid-weighted",IF(21&lt;='I_Inputs &amp; Assumptions'!$B$8/4,'I_Budget Input Data'!$D$126*0.2/('I_Inputs &amp; Assumptions'!$B$8/4),IF(21&lt;='I_Inputs &amp; Assumptions'!$B$8*0.75,'I_Budget Input Data'!$D$126*0.6/('I_Inputs &amp; Assumptions'!$B$8/2),'I_Budget Input Data'!$D$126*0.2/('I_Inputs &amp; Assumptions'!$B$8/4))),IF('I_Budget Input Data'!$E$126="At Completion",IF(21='I_Inputs &amp; Assumptions'!$B$8,'I_Budget Input Data'!$D$126,0),'I_Budget Input Data'!$D$126/'I_Inputs &amp; Assumptions'!$B$8)))))),0)</f>
        <v>0</v>
      </c>
      <c r="X126" s="91">
        <f>IF(22&lt;='I_Inputs &amp; Assumptions'!$B$8,IF('I_Budget Input Data'!$E$126="Upfront",IF(22=1,'I_Budget Input Data'!$D$126,0),IF('I_Budget Input Data'!$E$126="Equal",'I_Budget Input Data'!$D$126/'I_Inputs &amp; Assumptions'!$B$8,IF('I_Budget Input Data'!$E$126="Front-loaded",IF(22&lt;='I_Inputs &amp; Assumptions'!$B$8/2,'I_Budget Input Data'!$D$126*0.6/('I_Inputs &amp; Assumptions'!$B$8/2),'I_Budget Input Data'!$D$126*0.4/('I_Inputs &amp; Assumptions'!$B$8/2)),IF('I_Budget Input Data'!$E$126="Back-loaded",IF(22&lt;='I_Inputs &amp; Assumptions'!$B$8/2,'I_Budget Input Data'!$D$126*0.4/('I_Inputs &amp; Assumptions'!$B$8/2),'I_Budget Input Data'!$D$126*0.6/('I_Inputs &amp; Assumptions'!$B$8/2)),IF('I_Budget Input Data'!$E$126="Mid-weighted",IF(22&lt;='I_Inputs &amp; Assumptions'!$B$8/4,'I_Budget Input Data'!$D$126*0.2/('I_Inputs &amp; Assumptions'!$B$8/4),IF(22&lt;='I_Inputs &amp; Assumptions'!$B$8*0.75,'I_Budget Input Data'!$D$126*0.6/('I_Inputs &amp; Assumptions'!$B$8/2),'I_Budget Input Data'!$D$126*0.2/('I_Inputs &amp; Assumptions'!$B$8/4))),IF('I_Budget Input Data'!$E$126="At Completion",IF(22='I_Inputs &amp; Assumptions'!$B$8,'I_Budget Input Data'!$D$126,0),'I_Budget Input Data'!$D$126/'I_Inputs &amp; Assumptions'!$B$8)))))),0)</f>
        <v>0</v>
      </c>
      <c r="Y126" s="91">
        <f>IF(23&lt;='I_Inputs &amp; Assumptions'!$B$8,IF('I_Budget Input Data'!$E$126="Upfront",IF(23=1,'I_Budget Input Data'!$D$126,0),IF('I_Budget Input Data'!$E$126="Equal",'I_Budget Input Data'!$D$126/'I_Inputs &amp; Assumptions'!$B$8,IF('I_Budget Input Data'!$E$126="Front-loaded",IF(23&lt;='I_Inputs &amp; Assumptions'!$B$8/2,'I_Budget Input Data'!$D$126*0.6/('I_Inputs &amp; Assumptions'!$B$8/2),'I_Budget Input Data'!$D$126*0.4/('I_Inputs &amp; Assumptions'!$B$8/2)),IF('I_Budget Input Data'!$E$126="Back-loaded",IF(23&lt;='I_Inputs &amp; Assumptions'!$B$8/2,'I_Budget Input Data'!$D$126*0.4/('I_Inputs &amp; Assumptions'!$B$8/2),'I_Budget Input Data'!$D$126*0.6/('I_Inputs &amp; Assumptions'!$B$8/2)),IF('I_Budget Input Data'!$E$126="Mid-weighted",IF(23&lt;='I_Inputs &amp; Assumptions'!$B$8/4,'I_Budget Input Data'!$D$126*0.2/('I_Inputs &amp; Assumptions'!$B$8/4),IF(23&lt;='I_Inputs &amp; Assumptions'!$B$8*0.75,'I_Budget Input Data'!$D$126*0.6/('I_Inputs &amp; Assumptions'!$B$8/2),'I_Budget Input Data'!$D$126*0.2/('I_Inputs &amp; Assumptions'!$B$8/4))),IF('I_Budget Input Data'!$E$126="At Completion",IF(23='I_Inputs &amp; Assumptions'!$B$8,'I_Budget Input Data'!$D$126,0),'I_Budget Input Data'!$D$126/'I_Inputs &amp; Assumptions'!$B$8)))))),0)</f>
        <v>0</v>
      </c>
      <c r="Z126" s="91">
        <f>IF(24&lt;='I_Inputs &amp; Assumptions'!$B$8,IF('I_Budget Input Data'!$E$126="Upfront",IF(24=1,'I_Budget Input Data'!$D$126,0),IF('I_Budget Input Data'!$E$126="Equal",'I_Budget Input Data'!$D$126/'I_Inputs &amp; Assumptions'!$B$8,IF('I_Budget Input Data'!$E$126="Front-loaded",IF(24&lt;='I_Inputs &amp; Assumptions'!$B$8/2,'I_Budget Input Data'!$D$126*0.6/('I_Inputs &amp; Assumptions'!$B$8/2),'I_Budget Input Data'!$D$126*0.4/('I_Inputs &amp; Assumptions'!$B$8/2)),IF('I_Budget Input Data'!$E$126="Back-loaded",IF(24&lt;='I_Inputs &amp; Assumptions'!$B$8/2,'I_Budget Input Data'!$D$126*0.4/('I_Inputs &amp; Assumptions'!$B$8/2),'I_Budget Input Data'!$D$126*0.6/('I_Inputs &amp; Assumptions'!$B$8/2)),IF('I_Budget Input Data'!$E$126="Mid-weighted",IF(24&lt;='I_Inputs &amp; Assumptions'!$B$8/4,'I_Budget Input Data'!$D$126*0.2/('I_Inputs &amp; Assumptions'!$B$8/4),IF(24&lt;='I_Inputs &amp; Assumptions'!$B$8*0.75,'I_Budget Input Data'!$D$126*0.6/('I_Inputs &amp; Assumptions'!$B$8/2),'I_Budget Input Data'!$D$126*0.2/('I_Inputs &amp; Assumptions'!$B$8/4))),IF('I_Budget Input Data'!$E$126="At Completion",IF(24='I_Inputs &amp; Assumptions'!$B$8,'I_Budget Input Data'!$D$126,0),'I_Budget Input Data'!$D$126/'I_Inputs &amp; Assumptions'!$B$8)))))),0)</f>
        <v>0</v>
      </c>
      <c r="AA126" s="91">
        <f>IF(25&lt;='I_Inputs &amp; Assumptions'!$B$8,IF('I_Budget Input Data'!$E$126="Upfront",IF(25=1,'I_Budget Input Data'!$D$126,0),IF('I_Budget Input Data'!$E$126="Equal",'I_Budget Input Data'!$D$126/'I_Inputs &amp; Assumptions'!$B$8,IF('I_Budget Input Data'!$E$126="Front-loaded",IF(25&lt;='I_Inputs &amp; Assumptions'!$B$8/2,'I_Budget Input Data'!$D$126*0.6/('I_Inputs &amp; Assumptions'!$B$8/2),'I_Budget Input Data'!$D$126*0.4/('I_Inputs &amp; Assumptions'!$B$8/2)),IF('I_Budget Input Data'!$E$126="Back-loaded",IF(25&lt;='I_Inputs &amp; Assumptions'!$B$8/2,'I_Budget Input Data'!$D$126*0.4/('I_Inputs &amp; Assumptions'!$B$8/2),'I_Budget Input Data'!$D$126*0.6/('I_Inputs &amp; Assumptions'!$B$8/2)),IF('I_Budget Input Data'!$E$126="Mid-weighted",IF(25&lt;='I_Inputs &amp; Assumptions'!$B$8/4,'I_Budget Input Data'!$D$126*0.2/('I_Inputs &amp; Assumptions'!$B$8/4),IF(25&lt;='I_Inputs &amp; Assumptions'!$B$8*0.75,'I_Budget Input Data'!$D$126*0.6/('I_Inputs &amp; Assumptions'!$B$8/2),'I_Budget Input Data'!$D$126*0.2/('I_Inputs &amp; Assumptions'!$B$8/4))),IF('I_Budget Input Data'!$E$126="At Completion",IF(25='I_Inputs &amp; Assumptions'!$B$8,'I_Budget Input Data'!$D$126,0),'I_Budget Input Data'!$D$126/'I_Inputs &amp; Assumptions'!$B$8)))))),0)</f>
        <v>0</v>
      </c>
      <c r="AB126" s="91">
        <f>IF(26&lt;='I_Inputs &amp; Assumptions'!$B$8,IF('I_Budget Input Data'!$E$126="Upfront",IF(26=1,'I_Budget Input Data'!$D$126,0),IF('I_Budget Input Data'!$E$126="Equal",'I_Budget Input Data'!$D$126/'I_Inputs &amp; Assumptions'!$B$8,IF('I_Budget Input Data'!$E$126="Front-loaded",IF(26&lt;='I_Inputs &amp; Assumptions'!$B$8/2,'I_Budget Input Data'!$D$126*0.6/('I_Inputs &amp; Assumptions'!$B$8/2),'I_Budget Input Data'!$D$126*0.4/('I_Inputs &amp; Assumptions'!$B$8/2)),IF('I_Budget Input Data'!$E$126="Back-loaded",IF(26&lt;='I_Inputs &amp; Assumptions'!$B$8/2,'I_Budget Input Data'!$D$126*0.4/('I_Inputs &amp; Assumptions'!$B$8/2),'I_Budget Input Data'!$D$126*0.6/('I_Inputs &amp; Assumptions'!$B$8/2)),IF('I_Budget Input Data'!$E$126="Mid-weighted",IF(26&lt;='I_Inputs &amp; Assumptions'!$B$8/4,'I_Budget Input Data'!$D$126*0.2/('I_Inputs &amp; Assumptions'!$B$8/4),IF(26&lt;='I_Inputs &amp; Assumptions'!$B$8*0.75,'I_Budget Input Data'!$D$126*0.6/('I_Inputs &amp; Assumptions'!$B$8/2),'I_Budget Input Data'!$D$126*0.2/('I_Inputs &amp; Assumptions'!$B$8/4))),IF('I_Budget Input Data'!$E$126="At Completion",IF(26='I_Inputs &amp; Assumptions'!$B$8,'I_Budget Input Data'!$D$126,0),'I_Budget Input Data'!$D$126/'I_Inputs &amp; Assumptions'!$B$8)))))),0)</f>
        <v>0</v>
      </c>
      <c r="AC126" s="91">
        <f>IF(27&lt;='I_Inputs &amp; Assumptions'!$B$8,IF('I_Budget Input Data'!$E$126="Upfront",IF(27=1,'I_Budget Input Data'!$D$126,0),IF('I_Budget Input Data'!$E$126="Equal",'I_Budget Input Data'!$D$126/'I_Inputs &amp; Assumptions'!$B$8,IF('I_Budget Input Data'!$E$126="Front-loaded",IF(27&lt;='I_Inputs &amp; Assumptions'!$B$8/2,'I_Budget Input Data'!$D$126*0.6/('I_Inputs &amp; Assumptions'!$B$8/2),'I_Budget Input Data'!$D$126*0.4/('I_Inputs &amp; Assumptions'!$B$8/2)),IF('I_Budget Input Data'!$E$126="Back-loaded",IF(27&lt;='I_Inputs &amp; Assumptions'!$B$8/2,'I_Budget Input Data'!$D$126*0.4/('I_Inputs &amp; Assumptions'!$B$8/2),'I_Budget Input Data'!$D$126*0.6/('I_Inputs &amp; Assumptions'!$B$8/2)),IF('I_Budget Input Data'!$E$126="Mid-weighted",IF(27&lt;='I_Inputs &amp; Assumptions'!$B$8/4,'I_Budget Input Data'!$D$126*0.2/('I_Inputs &amp; Assumptions'!$B$8/4),IF(27&lt;='I_Inputs &amp; Assumptions'!$B$8*0.75,'I_Budget Input Data'!$D$126*0.6/('I_Inputs &amp; Assumptions'!$B$8/2),'I_Budget Input Data'!$D$126*0.2/('I_Inputs &amp; Assumptions'!$B$8/4))),IF('I_Budget Input Data'!$E$126="At Completion",IF(27='I_Inputs &amp; Assumptions'!$B$8,'I_Budget Input Data'!$D$126,0),'I_Budget Input Data'!$D$126/'I_Inputs &amp; Assumptions'!$B$8)))))),0)</f>
        <v>0</v>
      </c>
      <c r="AD126" s="91">
        <f>IF(28&lt;='I_Inputs &amp; Assumptions'!$B$8,IF('I_Budget Input Data'!$E$126="Upfront",IF(28=1,'I_Budget Input Data'!$D$126,0),IF('I_Budget Input Data'!$E$126="Equal",'I_Budget Input Data'!$D$126/'I_Inputs &amp; Assumptions'!$B$8,IF('I_Budget Input Data'!$E$126="Front-loaded",IF(28&lt;='I_Inputs &amp; Assumptions'!$B$8/2,'I_Budget Input Data'!$D$126*0.6/('I_Inputs &amp; Assumptions'!$B$8/2),'I_Budget Input Data'!$D$126*0.4/('I_Inputs &amp; Assumptions'!$B$8/2)),IF('I_Budget Input Data'!$E$126="Back-loaded",IF(28&lt;='I_Inputs &amp; Assumptions'!$B$8/2,'I_Budget Input Data'!$D$126*0.4/('I_Inputs &amp; Assumptions'!$B$8/2),'I_Budget Input Data'!$D$126*0.6/('I_Inputs &amp; Assumptions'!$B$8/2)),IF('I_Budget Input Data'!$E$126="Mid-weighted",IF(28&lt;='I_Inputs &amp; Assumptions'!$B$8/4,'I_Budget Input Data'!$D$126*0.2/('I_Inputs &amp; Assumptions'!$B$8/4),IF(28&lt;='I_Inputs &amp; Assumptions'!$B$8*0.75,'I_Budget Input Data'!$D$126*0.6/('I_Inputs &amp; Assumptions'!$B$8/2),'I_Budget Input Data'!$D$126*0.2/('I_Inputs &amp; Assumptions'!$B$8/4))),IF('I_Budget Input Data'!$E$126="At Completion",IF(28='I_Inputs &amp; Assumptions'!$B$8,'I_Budget Input Data'!$D$126,0),'I_Budget Input Data'!$D$126/'I_Inputs &amp; Assumptions'!$B$8)))))),0)</f>
        <v>0</v>
      </c>
      <c r="AE126" s="91">
        <f>IF(29&lt;='I_Inputs &amp; Assumptions'!$B$8,IF('I_Budget Input Data'!$E$126="Upfront",IF(29=1,'I_Budget Input Data'!$D$126,0),IF('I_Budget Input Data'!$E$126="Equal",'I_Budget Input Data'!$D$126/'I_Inputs &amp; Assumptions'!$B$8,IF('I_Budget Input Data'!$E$126="Front-loaded",IF(29&lt;='I_Inputs &amp; Assumptions'!$B$8/2,'I_Budget Input Data'!$D$126*0.6/('I_Inputs &amp; Assumptions'!$B$8/2),'I_Budget Input Data'!$D$126*0.4/('I_Inputs &amp; Assumptions'!$B$8/2)),IF('I_Budget Input Data'!$E$126="Back-loaded",IF(29&lt;='I_Inputs &amp; Assumptions'!$B$8/2,'I_Budget Input Data'!$D$126*0.4/('I_Inputs &amp; Assumptions'!$B$8/2),'I_Budget Input Data'!$D$126*0.6/('I_Inputs &amp; Assumptions'!$B$8/2)),IF('I_Budget Input Data'!$E$126="Mid-weighted",IF(29&lt;='I_Inputs &amp; Assumptions'!$B$8/4,'I_Budget Input Data'!$D$126*0.2/('I_Inputs &amp; Assumptions'!$B$8/4),IF(29&lt;='I_Inputs &amp; Assumptions'!$B$8*0.75,'I_Budget Input Data'!$D$126*0.6/('I_Inputs &amp; Assumptions'!$B$8/2),'I_Budget Input Data'!$D$126*0.2/('I_Inputs &amp; Assumptions'!$B$8/4))),IF('I_Budget Input Data'!$E$126="At Completion",IF(29='I_Inputs &amp; Assumptions'!$B$8,'I_Budget Input Data'!$D$126,0),'I_Budget Input Data'!$D$126/'I_Inputs &amp; Assumptions'!$B$8)))))),0)</f>
        <v>0</v>
      </c>
      <c r="AF126" s="91">
        <f>IF(30&lt;='I_Inputs &amp; Assumptions'!$B$8,IF('I_Budget Input Data'!$E$126="Upfront",IF(30=1,'I_Budget Input Data'!$D$126,0),IF('I_Budget Input Data'!$E$126="Equal",'I_Budget Input Data'!$D$126/'I_Inputs &amp; Assumptions'!$B$8,IF('I_Budget Input Data'!$E$126="Front-loaded",IF(30&lt;='I_Inputs &amp; Assumptions'!$B$8/2,'I_Budget Input Data'!$D$126*0.6/('I_Inputs &amp; Assumptions'!$B$8/2),'I_Budget Input Data'!$D$126*0.4/('I_Inputs &amp; Assumptions'!$B$8/2)),IF('I_Budget Input Data'!$E$126="Back-loaded",IF(30&lt;='I_Inputs &amp; Assumptions'!$B$8/2,'I_Budget Input Data'!$D$126*0.4/('I_Inputs &amp; Assumptions'!$B$8/2),'I_Budget Input Data'!$D$126*0.6/('I_Inputs &amp; Assumptions'!$B$8/2)),IF('I_Budget Input Data'!$E$126="Mid-weighted",IF(30&lt;='I_Inputs &amp; Assumptions'!$B$8/4,'I_Budget Input Data'!$D$126*0.2/('I_Inputs &amp; Assumptions'!$B$8/4),IF(30&lt;='I_Inputs &amp; Assumptions'!$B$8*0.75,'I_Budget Input Data'!$D$126*0.6/('I_Inputs &amp; Assumptions'!$B$8/2),'I_Budget Input Data'!$D$126*0.2/('I_Inputs &amp; Assumptions'!$B$8/4))),IF('I_Budget Input Data'!$E$126="At Completion",IF(30='I_Inputs &amp; Assumptions'!$B$8,'I_Budget Input Data'!$D$126,0),'I_Budget Input Data'!$D$126/'I_Inputs &amp; Assumptions'!$B$8)))))),0)</f>
        <v>0</v>
      </c>
      <c r="AG126" s="91">
        <f>IF(31&lt;='I_Inputs &amp; Assumptions'!$B$8,IF('I_Budget Input Data'!$E$126="Upfront",IF(31=1,'I_Budget Input Data'!$D$126,0),IF('I_Budget Input Data'!$E$126="Equal",'I_Budget Input Data'!$D$126/'I_Inputs &amp; Assumptions'!$B$8,IF('I_Budget Input Data'!$E$126="Front-loaded",IF(31&lt;='I_Inputs &amp; Assumptions'!$B$8/2,'I_Budget Input Data'!$D$126*0.6/('I_Inputs &amp; Assumptions'!$B$8/2),'I_Budget Input Data'!$D$126*0.4/('I_Inputs &amp; Assumptions'!$B$8/2)),IF('I_Budget Input Data'!$E$126="Back-loaded",IF(31&lt;='I_Inputs &amp; Assumptions'!$B$8/2,'I_Budget Input Data'!$D$126*0.4/('I_Inputs &amp; Assumptions'!$B$8/2),'I_Budget Input Data'!$D$126*0.6/('I_Inputs &amp; Assumptions'!$B$8/2)),IF('I_Budget Input Data'!$E$126="Mid-weighted",IF(31&lt;='I_Inputs &amp; Assumptions'!$B$8/4,'I_Budget Input Data'!$D$126*0.2/('I_Inputs &amp; Assumptions'!$B$8/4),IF(31&lt;='I_Inputs &amp; Assumptions'!$B$8*0.75,'I_Budget Input Data'!$D$126*0.6/('I_Inputs &amp; Assumptions'!$B$8/2),'I_Budget Input Data'!$D$126*0.2/('I_Inputs &amp; Assumptions'!$B$8/4))),IF('I_Budget Input Data'!$E$126="At Completion",IF(31='I_Inputs &amp; Assumptions'!$B$8,'I_Budget Input Data'!$D$126,0),'I_Budget Input Data'!$D$126/'I_Inputs &amp; Assumptions'!$B$8)))))),0)</f>
        <v>0</v>
      </c>
      <c r="AH126" s="91">
        <f>IF(32&lt;='I_Inputs &amp; Assumptions'!$B$8,IF('I_Budget Input Data'!$E$126="Upfront",IF(32=1,'I_Budget Input Data'!$D$126,0),IF('I_Budget Input Data'!$E$126="Equal",'I_Budget Input Data'!$D$126/'I_Inputs &amp; Assumptions'!$B$8,IF('I_Budget Input Data'!$E$126="Front-loaded",IF(32&lt;='I_Inputs &amp; Assumptions'!$B$8/2,'I_Budget Input Data'!$D$126*0.6/('I_Inputs &amp; Assumptions'!$B$8/2),'I_Budget Input Data'!$D$126*0.4/('I_Inputs &amp; Assumptions'!$B$8/2)),IF('I_Budget Input Data'!$E$126="Back-loaded",IF(32&lt;='I_Inputs &amp; Assumptions'!$B$8/2,'I_Budget Input Data'!$D$126*0.4/('I_Inputs &amp; Assumptions'!$B$8/2),'I_Budget Input Data'!$D$126*0.6/('I_Inputs &amp; Assumptions'!$B$8/2)),IF('I_Budget Input Data'!$E$126="Mid-weighted",IF(32&lt;='I_Inputs &amp; Assumptions'!$B$8/4,'I_Budget Input Data'!$D$126*0.2/('I_Inputs &amp; Assumptions'!$B$8/4),IF(32&lt;='I_Inputs &amp; Assumptions'!$B$8*0.75,'I_Budget Input Data'!$D$126*0.6/('I_Inputs &amp; Assumptions'!$B$8/2),'I_Budget Input Data'!$D$126*0.2/('I_Inputs &amp; Assumptions'!$B$8/4))),IF('I_Budget Input Data'!$E$126="At Completion",IF(32='I_Inputs &amp; Assumptions'!$B$8,'I_Budget Input Data'!$D$126,0),'I_Budget Input Data'!$D$126/'I_Inputs &amp; Assumptions'!$B$8)))))),0)</f>
        <v>0</v>
      </c>
      <c r="AI126" s="91">
        <f>IF(33&lt;='I_Inputs &amp; Assumptions'!$B$8,IF('I_Budget Input Data'!$E$126="Upfront",IF(33=1,'I_Budget Input Data'!$D$126,0),IF('I_Budget Input Data'!$E$126="Equal",'I_Budget Input Data'!$D$126/'I_Inputs &amp; Assumptions'!$B$8,IF('I_Budget Input Data'!$E$126="Front-loaded",IF(33&lt;='I_Inputs &amp; Assumptions'!$B$8/2,'I_Budget Input Data'!$D$126*0.6/('I_Inputs &amp; Assumptions'!$B$8/2),'I_Budget Input Data'!$D$126*0.4/('I_Inputs &amp; Assumptions'!$B$8/2)),IF('I_Budget Input Data'!$E$126="Back-loaded",IF(33&lt;='I_Inputs &amp; Assumptions'!$B$8/2,'I_Budget Input Data'!$D$126*0.4/('I_Inputs &amp; Assumptions'!$B$8/2),'I_Budget Input Data'!$D$126*0.6/('I_Inputs &amp; Assumptions'!$B$8/2)),IF('I_Budget Input Data'!$E$126="Mid-weighted",IF(33&lt;='I_Inputs &amp; Assumptions'!$B$8/4,'I_Budget Input Data'!$D$126*0.2/('I_Inputs &amp; Assumptions'!$B$8/4),IF(33&lt;='I_Inputs &amp; Assumptions'!$B$8*0.75,'I_Budget Input Data'!$D$126*0.6/('I_Inputs &amp; Assumptions'!$B$8/2),'I_Budget Input Data'!$D$126*0.2/('I_Inputs &amp; Assumptions'!$B$8/4))),IF('I_Budget Input Data'!$E$126="At Completion",IF(33='I_Inputs &amp; Assumptions'!$B$8,'I_Budget Input Data'!$D$126,0),'I_Budget Input Data'!$D$126/'I_Inputs &amp; Assumptions'!$B$8)))))),0)</f>
        <v>0</v>
      </c>
      <c r="AJ126" s="91">
        <f>IF(34&lt;='I_Inputs &amp; Assumptions'!$B$8,IF('I_Budget Input Data'!$E$126="Upfront",IF(34=1,'I_Budget Input Data'!$D$126,0),IF('I_Budget Input Data'!$E$126="Equal",'I_Budget Input Data'!$D$126/'I_Inputs &amp; Assumptions'!$B$8,IF('I_Budget Input Data'!$E$126="Front-loaded",IF(34&lt;='I_Inputs &amp; Assumptions'!$B$8/2,'I_Budget Input Data'!$D$126*0.6/('I_Inputs &amp; Assumptions'!$B$8/2),'I_Budget Input Data'!$D$126*0.4/('I_Inputs &amp; Assumptions'!$B$8/2)),IF('I_Budget Input Data'!$E$126="Back-loaded",IF(34&lt;='I_Inputs &amp; Assumptions'!$B$8/2,'I_Budget Input Data'!$D$126*0.4/('I_Inputs &amp; Assumptions'!$B$8/2),'I_Budget Input Data'!$D$126*0.6/('I_Inputs &amp; Assumptions'!$B$8/2)),IF('I_Budget Input Data'!$E$126="Mid-weighted",IF(34&lt;='I_Inputs &amp; Assumptions'!$B$8/4,'I_Budget Input Data'!$D$126*0.2/('I_Inputs &amp; Assumptions'!$B$8/4),IF(34&lt;='I_Inputs &amp; Assumptions'!$B$8*0.75,'I_Budget Input Data'!$D$126*0.6/('I_Inputs &amp; Assumptions'!$B$8/2),'I_Budget Input Data'!$D$126*0.2/('I_Inputs &amp; Assumptions'!$B$8/4))),IF('I_Budget Input Data'!$E$126="At Completion",IF(34='I_Inputs &amp; Assumptions'!$B$8,'I_Budget Input Data'!$D$126,0),'I_Budget Input Data'!$D$126/'I_Inputs &amp; Assumptions'!$B$8)))))),0)</f>
        <v>0</v>
      </c>
      <c r="AK126" s="91">
        <f>IF(35&lt;='I_Inputs &amp; Assumptions'!$B$8,IF('I_Budget Input Data'!$E$126="Upfront",IF(35=1,'I_Budget Input Data'!$D$126,0),IF('I_Budget Input Data'!$E$126="Equal",'I_Budget Input Data'!$D$126/'I_Inputs &amp; Assumptions'!$B$8,IF('I_Budget Input Data'!$E$126="Front-loaded",IF(35&lt;='I_Inputs &amp; Assumptions'!$B$8/2,'I_Budget Input Data'!$D$126*0.6/('I_Inputs &amp; Assumptions'!$B$8/2),'I_Budget Input Data'!$D$126*0.4/('I_Inputs &amp; Assumptions'!$B$8/2)),IF('I_Budget Input Data'!$E$126="Back-loaded",IF(35&lt;='I_Inputs &amp; Assumptions'!$B$8/2,'I_Budget Input Data'!$D$126*0.4/('I_Inputs &amp; Assumptions'!$B$8/2),'I_Budget Input Data'!$D$126*0.6/('I_Inputs &amp; Assumptions'!$B$8/2)),IF('I_Budget Input Data'!$E$126="Mid-weighted",IF(35&lt;='I_Inputs &amp; Assumptions'!$B$8/4,'I_Budget Input Data'!$D$126*0.2/('I_Inputs &amp; Assumptions'!$B$8/4),IF(35&lt;='I_Inputs &amp; Assumptions'!$B$8*0.75,'I_Budget Input Data'!$D$126*0.6/('I_Inputs &amp; Assumptions'!$B$8/2),'I_Budget Input Data'!$D$126*0.2/('I_Inputs &amp; Assumptions'!$B$8/4))),IF('I_Budget Input Data'!$E$126="At Completion",IF(35='I_Inputs &amp; Assumptions'!$B$8,'I_Budget Input Data'!$D$126,0),'I_Budget Input Data'!$D$126/'I_Inputs &amp; Assumptions'!$B$8)))))),0)</f>
        <v>0</v>
      </c>
      <c r="AL126" s="91">
        <f>IF(36&lt;='I_Inputs &amp; Assumptions'!$B$8,IF('I_Budget Input Data'!$E$126="Upfront",IF(36=1,'I_Budget Input Data'!$D$126,0),IF('I_Budget Input Data'!$E$126="Equal",'I_Budget Input Data'!$D$126/'I_Inputs &amp; Assumptions'!$B$8,IF('I_Budget Input Data'!$E$126="Front-loaded",IF(36&lt;='I_Inputs &amp; Assumptions'!$B$8/2,'I_Budget Input Data'!$D$126*0.6/('I_Inputs &amp; Assumptions'!$B$8/2),'I_Budget Input Data'!$D$126*0.4/('I_Inputs &amp; Assumptions'!$B$8/2)),IF('I_Budget Input Data'!$E$126="Back-loaded",IF(36&lt;='I_Inputs &amp; Assumptions'!$B$8/2,'I_Budget Input Data'!$D$126*0.4/('I_Inputs &amp; Assumptions'!$B$8/2),'I_Budget Input Data'!$D$126*0.6/('I_Inputs &amp; Assumptions'!$B$8/2)),IF('I_Budget Input Data'!$E$126="Mid-weighted",IF(36&lt;='I_Inputs &amp; Assumptions'!$B$8/4,'I_Budget Input Data'!$D$126*0.2/('I_Inputs &amp; Assumptions'!$B$8/4),IF(36&lt;='I_Inputs &amp; Assumptions'!$B$8*0.75,'I_Budget Input Data'!$D$126*0.6/('I_Inputs &amp; Assumptions'!$B$8/2),'I_Budget Input Data'!$D$126*0.2/('I_Inputs &amp; Assumptions'!$B$8/4))),IF('I_Budget Input Data'!$E$126="At Completion",IF(36='I_Inputs &amp; Assumptions'!$B$8,'I_Budget Input Data'!$D$126,0),'I_Budget Input Data'!$D$126/'I_Inputs &amp; Assumptions'!$B$8)))))),0)</f>
        <v>0</v>
      </c>
    </row>
    <row r="127" spans="1:38" ht="15" customHeight="1" x14ac:dyDescent="0.2">
      <c r="A127" t="s">
        <v>146</v>
      </c>
      <c r="B127" t="s">
        <v>240</v>
      </c>
      <c r="C127" s="91">
        <f>IF(1&lt;='I_Inputs &amp; Assumptions'!$B$8,IF('I_Budget Input Data'!$E$127="Upfront",IF(1=1,'I_Budget Input Data'!$D$127,0),IF('I_Budget Input Data'!$E$127="Equal",'I_Budget Input Data'!$D$127/'I_Inputs &amp; Assumptions'!$B$8,IF('I_Budget Input Data'!$E$127="Front-loaded",IF(1&lt;='I_Inputs &amp; Assumptions'!$B$8/2,'I_Budget Input Data'!$D$127*0.6/('I_Inputs &amp; Assumptions'!$B$8/2),'I_Budget Input Data'!$D$127*0.4/('I_Inputs &amp; Assumptions'!$B$8/2)),IF('I_Budget Input Data'!$E$127="Back-loaded",IF(1&lt;='I_Inputs &amp; Assumptions'!$B$8/2,'I_Budget Input Data'!$D$127*0.4/('I_Inputs &amp; Assumptions'!$B$8/2),'I_Budget Input Data'!$D$127*0.6/('I_Inputs &amp; Assumptions'!$B$8/2)),IF('I_Budget Input Data'!$E$127="Mid-weighted",IF(1&lt;='I_Inputs &amp; Assumptions'!$B$8/4,'I_Budget Input Data'!$D$127*0.2/('I_Inputs &amp; Assumptions'!$B$8/4),IF(1&lt;='I_Inputs &amp; Assumptions'!$B$8*0.75,'I_Budget Input Data'!$D$127*0.6/('I_Inputs &amp; Assumptions'!$B$8/2),'I_Budget Input Data'!$D$127*0.2/('I_Inputs &amp; Assumptions'!$B$8/4))),IF('I_Budget Input Data'!$E$127="At Completion",IF(1='I_Inputs &amp; Assumptions'!$B$8,'I_Budget Input Data'!$D$127,0),'I_Budget Input Data'!$D$127/'I_Inputs &amp; Assumptions'!$B$8)))))),0)</f>
        <v>3280</v>
      </c>
      <c r="D127" s="91">
        <f>IF(2&lt;='I_Inputs &amp; Assumptions'!$B$8,IF('I_Budget Input Data'!$E$127="Upfront",IF(2=1,'I_Budget Input Data'!$D$127,0),IF('I_Budget Input Data'!$E$127="Equal",'I_Budget Input Data'!$D$127/'I_Inputs &amp; Assumptions'!$B$8,IF('I_Budget Input Data'!$E$127="Front-loaded",IF(2&lt;='I_Inputs &amp; Assumptions'!$B$8/2,'I_Budget Input Data'!$D$127*0.6/('I_Inputs &amp; Assumptions'!$B$8/2),'I_Budget Input Data'!$D$127*0.4/('I_Inputs &amp; Assumptions'!$B$8/2)),IF('I_Budget Input Data'!$E$127="Back-loaded",IF(2&lt;='I_Inputs &amp; Assumptions'!$B$8/2,'I_Budget Input Data'!$D$127*0.4/('I_Inputs &amp; Assumptions'!$B$8/2),'I_Budget Input Data'!$D$127*0.6/('I_Inputs &amp; Assumptions'!$B$8/2)),IF('I_Budget Input Data'!$E$127="Mid-weighted",IF(2&lt;='I_Inputs &amp; Assumptions'!$B$8/4,'I_Budget Input Data'!$D$127*0.2/('I_Inputs &amp; Assumptions'!$B$8/4),IF(2&lt;='I_Inputs &amp; Assumptions'!$B$8*0.75,'I_Budget Input Data'!$D$127*0.6/('I_Inputs &amp; Assumptions'!$B$8/2),'I_Budget Input Data'!$D$127*0.2/('I_Inputs &amp; Assumptions'!$B$8/4))),IF('I_Budget Input Data'!$E$127="At Completion",IF(2='I_Inputs &amp; Assumptions'!$B$8,'I_Budget Input Data'!$D$127,0),'I_Budget Input Data'!$D$127/'I_Inputs &amp; Assumptions'!$B$8)))))),0)</f>
        <v>3280</v>
      </c>
      <c r="E127" s="91">
        <f>IF(3&lt;='I_Inputs &amp; Assumptions'!$B$8,IF('I_Budget Input Data'!$E$127="Upfront",IF(3=1,'I_Budget Input Data'!$D$127,0),IF('I_Budget Input Data'!$E$127="Equal",'I_Budget Input Data'!$D$127/'I_Inputs &amp; Assumptions'!$B$8,IF('I_Budget Input Data'!$E$127="Front-loaded",IF(3&lt;='I_Inputs &amp; Assumptions'!$B$8/2,'I_Budget Input Data'!$D$127*0.6/('I_Inputs &amp; Assumptions'!$B$8/2),'I_Budget Input Data'!$D$127*0.4/('I_Inputs &amp; Assumptions'!$B$8/2)),IF('I_Budget Input Data'!$E$127="Back-loaded",IF(3&lt;='I_Inputs &amp; Assumptions'!$B$8/2,'I_Budget Input Data'!$D$127*0.4/('I_Inputs &amp; Assumptions'!$B$8/2),'I_Budget Input Data'!$D$127*0.6/('I_Inputs &amp; Assumptions'!$B$8/2)),IF('I_Budget Input Data'!$E$127="Mid-weighted",IF(3&lt;='I_Inputs &amp; Assumptions'!$B$8/4,'I_Budget Input Data'!$D$127*0.2/('I_Inputs &amp; Assumptions'!$B$8/4),IF(3&lt;='I_Inputs &amp; Assumptions'!$B$8*0.75,'I_Budget Input Data'!$D$127*0.6/('I_Inputs &amp; Assumptions'!$B$8/2),'I_Budget Input Data'!$D$127*0.2/('I_Inputs &amp; Assumptions'!$B$8/4))),IF('I_Budget Input Data'!$E$127="At Completion",IF(3='I_Inputs &amp; Assumptions'!$B$8,'I_Budget Input Data'!$D$127,0),'I_Budget Input Data'!$D$127/'I_Inputs &amp; Assumptions'!$B$8)))))),0)</f>
        <v>3280</v>
      </c>
      <c r="F127" s="91">
        <f>IF(4&lt;='I_Inputs &amp; Assumptions'!$B$8,IF('I_Budget Input Data'!$E$127="Upfront",IF(4=1,'I_Budget Input Data'!$D$127,0),IF('I_Budget Input Data'!$E$127="Equal",'I_Budget Input Data'!$D$127/'I_Inputs &amp; Assumptions'!$B$8,IF('I_Budget Input Data'!$E$127="Front-loaded",IF(4&lt;='I_Inputs &amp; Assumptions'!$B$8/2,'I_Budget Input Data'!$D$127*0.6/('I_Inputs &amp; Assumptions'!$B$8/2),'I_Budget Input Data'!$D$127*0.4/('I_Inputs &amp; Assumptions'!$B$8/2)),IF('I_Budget Input Data'!$E$127="Back-loaded",IF(4&lt;='I_Inputs &amp; Assumptions'!$B$8/2,'I_Budget Input Data'!$D$127*0.4/('I_Inputs &amp; Assumptions'!$B$8/2),'I_Budget Input Data'!$D$127*0.6/('I_Inputs &amp; Assumptions'!$B$8/2)),IF('I_Budget Input Data'!$E$127="Mid-weighted",IF(4&lt;='I_Inputs &amp; Assumptions'!$B$8/4,'I_Budget Input Data'!$D$127*0.2/('I_Inputs &amp; Assumptions'!$B$8/4),IF(4&lt;='I_Inputs &amp; Assumptions'!$B$8*0.75,'I_Budget Input Data'!$D$127*0.6/('I_Inputs &amp; Assumptions'!$B$8/2),'I_Budget Input Data'!$D$127*0.2/('I_Inputs &amp; Assumptions'!$B$8/4))),IF('I_Budget Input Data'!$E$127="At Completion",IF(4='I_Inputs &amp; Assumptions'!$B$8,'I_Budget Input Data'!$D$127,0),'I_Budget Input Data'!$D$127/'I_Inputs &amp; Assumptions'!$B$8)))))),0)</f>
        <v>4920</v>
      </c>
      <c r="G127" s="91">
        <f>IF(5&lt;='I_Inputs &amp; Assumptions'!$B$8,IF('I_Budget Input Data'!$E$127="Upfront",IF(5=1,'I_Budget Input Data'!$D$127,0),IF('I_Budget Input Data'!$E$127="Equal",'I_Budget Input Data'!$D$127/'I_Inputs &amp; Assumptions'!$B$8,IF('I_Budget Input Data'!$E$127="Front-loaded",IF(5&lt;='I_Inputs &amp; Assumptions'!$B$8/2,'I_Budget Input Data'!$D$127*0.6/('I_Inputs &amp; Assumptions'!$B$8/2),'I_Budget Input Data'!$D$127*0.4/('I_Inputs &amp; Assumptions'!$B$8/2)),IF('I_Budget Input Data'!$E$127="Back-loaded",IF(5&lt;='I_Inputs &amp; Assumptions'!$B$8/2,'I_Budget Input Data'!$D$127*0.4/('I_Inputs &amp; Assumptions'!$B$8/2),'I_Budget Input Data'!$D$127*0.6/('I_Inputs &amp; Assumptions'!$B$8/2)),IF('I_Budget Input Data'!$E$127="Mid-weighted",IF(5&lt;='I_Inputs &amp; Assumptions'!$B$8/4,'I_Budget Input Data'!$D$127*0.2/('I_Inputs &amp; Assumptions'!$B$8/4),IF(5&lt;='I_Inputs &amp; Assumptions'!$B$8*0.75,'I_Budget Input Data'!$D$127*0.6/('I_Inputs &amp; Assumptions'!$B$8/2),'I_Budget Input Data'!$D$127*0.2/('I_Inputs &amp; Assumptions'!$B$8/4))),IF('I_Budget Input Data'!$E$127="At Completion",IF(5='I_Inputs &amp; Assumptions'!$B$8,'I_Budget Input Data'!$D$127,0),'I_Budget Input Data'!$D$127/'I_Inputs &amp; Assumptions'!$B$8)))))),0)</f>
        <v>4920</v>
      </c>
      <c r="H127" s="91">
        <f>IF(6&lt;='I_Inputs &amp; Assumptions'!$B$8,IF('I_Budget Input Data'!$E$127="Upfront",IF(6=1,'I_Budget Input Data'!$D$127,0),IF('I_Budget Input Data'!$E$127="Equal",'I_Budget Input Data'!$D$127/'I_Inputs &amp; Assumptions'!$B$8,IF('I_Budget Input Data'!$E$127="Front-loaded",IF(6&lt;='I_Inputs &amp; Assumptions'!$B$8/2,'I_Budget Input Data'!$D$127*0.6/('I_Inputs &amp; Assumptions'!$B$8/2),'I_Budget Input Data'!$D$127*0.4/('I_Inputs &amp; Assumptions'!$B$8/2)),IF('I_Budget Input Data'!$E$127="Back-loaded",IF(6&lt;='I_Inputs &amp; Assumptions'!$B$8/2,'I_Budget Input Data'!$D$127*0.4/('I_Inputs &amp; Assumptions'!$B$8/2),'I_Budget Input Data'!$D$127*0.6/('I_Inputs &amp; Assumptions'!$B$8/2)),IF('I_Budget Input Data'!$E$127="Mid-weighted",IF(6&lt;='I_Inputs &amp; Assumptions'!$B$8/4,'I_Budget Input Data'!$D$127*0.2/('I_Inputs &amp; Assumptions'!$B$8/4),IF(6&lt;='I_Inputs &amp; Assumptions'!$B$8*0.75,'I_Budget Input Data'!$D$127*0.6/('I_Inputs &amp; Assumptions'!$B$8/2),'I_Budget Input Data'!$D$127*0.2/('I_Inputs &amp; Assumptions'!$B$8/4))),IF('I_Budget Input Data'!$E$127="At Completion",IF(6='I_Inputs &amp; Assumptions'!$B$8,'I_Budget Input Data'!$D$127,0),'I_Budget Input Data'!$D$127/'I_Inputs &amp; Assumptions'!$B$8)))))),0)</f>
        <v>4920</v>
      </c>
      <c r="I127" s="91">
        <f>IF(7&lt;='I_Inputs &amp; Assumptions'!$B$8,IF('I_Budget Input Data'!$E$127="Upfront",IF(7=1,'I_Budget Input Data'!$D$127,0),IF('I_Budget Input Data'!$E$127="Equal",'I_Budget Input Data'!$D$127/'I_Inputs &amp; Assumptions'!$B$8,IF('I_Budget Input Data'!$E$127="Front-loaded",IF(7&lt;='I_Inputs &amp; Assumptions'!$B$8/2,'I_Budget Input Data'!$D$127*0.6/('I_Inputs &amp; Assumptions'!$B$8/2),'I_Budget Input Data'!$D$127*0.4/('I_Inputs &amp; Assumptions'!$B$8/2)),IF('I_Budget Input Data'!$E$127="Back-loaded",IF(7&lt;='I_Inputs &amp; Assumptions'!$B$8/2,'I_Budget Input Data'!$D$127*0.4/('I_Inputs &amp; Assumptions'!$B$8/2),'I_Budget Input Data'!$D$127*0.6/('I_Inputs &amp; Assumptions'!$B$8/2)),IF('I_Budget Input Data'!$E$127="Mid-weighted",IF(7&lt;='I_Inputs &amp; Assumptions'!$B$8/4,'I_Budget Input Data'!$D$127*0.2/('I_Inputs &amp; Assumptions'!$B$8/4),IF(7&lt;='I_Inputs &amp; Assumptions'!$B$8*0.75,'I_Budget Input Data'!$D$127*0.6/('I_Inputs &amp; Assumptions'!$B$8/2),'I_Budget Input Data'!$D$127*0.2/('I_Inputs &amp; Assumptions'!$B$8/4))),IF('I_Budget Input Data'!$E$127="At Completion",IF(7='I_Inputs &amp; Assumptions'!$B$8,'I_Budget Input Data'!$D$127,0),'I_Budget Input Data'!$D$127/'I_Inputs &amp; Assumptions'!$B$8)))))),0)</f>
        <v>4920</v>
      </c>
      <c r="J127" s="91">
        <f>IF(8&lt;='I_Inputs &amp; Assumptions'!$B$8,IF('I_Budget Input Data'!$E$127="Upfront",IF(8=1,'I_Budget Input Data'!$D$127,0),IF('I_Budget Input Data'!$E$127="Equal",'I_Budget Input Data'!$D$127/'I_Inputs &amp; Assumptions'!$B$8,IF('I_Budget Input Data'!$E$127="Front-loaded",IF(8&lt;='I_Inputs &amp; Assumptions'!$B$8/2,'I_Budget Input Data'!$D$127*0.6/('I_Inputs &amp; Assumptions'!$B$8/2),'I_Budget Input Data'!$D$127*0.4/('I_Inputs &amp; Assumptions'!$B$8/2)),IF('I_Budget Input Data'!$E$127="Back-loaded",IF(8&lt;='I_Inputs &amp; Assumptions'!$B$8/2,'I_Budget Input Data'!$D$127*0.4/('I_Inputs &amp; Assumptions'!$B$8/2),'I_Budget Input Data'!$D$127*0.6/('I_Inputs &amp; Assumptions'!$B$8/2)),IF('I_Budget Input Data'!$E$127="Mid-weighted",IF(8&lt;='I_Inputs &amp; Assumptions'!$B$8/4,'I_Budget Input Data'!$D$127*0.2/('I_Inputs &amp; Assumptions'!$B$8/4),IF(8&lt;='I_Inputs &amp; Assumptions'!$B$8*0.75,'I_Budget Input Data'!$D$127*0.6/('I_Inputs &amp; Assumptions'!$B$8/2),'I_Budget Input Data'!$D$127*0.2/('I_Inputs &amp; Assumptions'!$B$8/4))),IF('I_Budget Input Data'!$E$127="At Completion",IF(8='I_Inputs &amp; Assumptions'!$B$8,'I_Budget Input Data'!$D$127,0),'I_Budget Input Data'!$D$127/'I_Inputs &amp; Assumptions'!$B$8)))))),0)</f>
        <v>4920</v>
      </c>
      <c r="K127" s="91">
        <f>IF(9&lt;='I_Inputs &amp; Assumptions'!$B$8,IF('I_Budget Input Data'!$E$127="Upfront",IF(9=1,'I_Budget Input Data'!$D$127,0),IF('I_Budget Input Data'!$E$127="Equal",'I_Budget Input Data'!$D$127/'I_Inputs &amp; Assumptions'!$B$8,IF('I_Budget Input Data'!$E$127="Front-loaded",IF(9&lt;='I_Inputs &amp; Assumptions'!$B$8/2,'I_Budget Input Data'!$D$127*0.6/('I_Inputs &amp; Assumptions'!$B$8/2),'I_Budget Input Data'!$D$127*0.4/('I_Inputs &amp; Assumptions'!$B$8/2)),IF('I_Budget Input Data'!$E$127="Back-loaded",IF(9&lt;='I_Inputs &amp; Assumptions'!$B$8/2,'I_Budget Input Data'!$D$127*0.4/('I_Inputs &amp; Assumptions'!$B$8/2),'I_Budget Input Data'!$D$127*0.6/('I_Inputs &amp; Assumptions'!$B$8/2)),IF('I_Budget Input Data'!$E$127="Mid-weighted",IF(9&lt;='I_Inputs &amp; Assumptions'!$B$8/4,'I_Budget Input Data'!$D$127*0.2/('I_Inputs &amp; Assumptions'!$B$8/4),IF(9&lt;='I_Inputs &amp; Assumptions'!$B$8*0.75,'I_Budget Input Data'!$D$127*0.6/('I_Inputs &amp; Assumptions'!$B$8/2),'I_Budget Input Data'!$D$127*0.2/('I_Inputs &amp; Assumptions'!$B$8/4))),IF('I_Budget Input Data'!$E$127="At Completion",IF(9='I_Inputs &amp; Assumptions'!$B$8,'I_Budget Input Data'!$D$127,0),'I_Budget Input Data'!$D$127/'I_Inputs &amp; Assumptions'!$B$8)))))),0)</f>
        <v>4920</v>
      </c>
      <c r="L127" s="91">
        <f>IF(10&lt;='I_Inputs &amp; Assumptions'!$B$8,IF('I_Budget Input Data'!$E$127="Upfront",IF(10=1,'I_Budget Input Data'!$D$127,0),IF('I_Budget Input Data'!$E$127="Equal",'I_Budget Input Data'!$D$127/'I_Inputs &amp; Assumptions'!$B$8,IF('I_Budget Input Data'!$E$127="Front-loaded",IF(10&lt;='I_Inputs &amp; Assumptions'!$B$8/2,'I_Budget Input Data'!$D$127*0.6/('I_Inputs &amp; Assumptions'!$B$8/2),'I_Budget Input Data'!$D$127*0.4/('I_Inputs &amp; Assumptions'!$B$8/2)),IF('I_Budget Input Data'!$E$127="Back-loaded",IF(10&lt;='I_Inputs &amp; Assumptions'!$B$8/2,'I_Budget Input Data'!$D$127*0.4/('I_Inputs &amp; Assumptions'!$B$8/2),'I_Budget Input Data'!$D$127*0.6/('I_Inputs &amp; Assumptions'!$B$8/2)),IF('I_Budget Input Data'!$E$127="Mid-weighted",IF(10&lt;='I_Inputs &amp; Assumptions'!$B$8/4,'I_Budget Input Data'!$D$127*0.2/('I_Inputs &amp; Assumptions'!$B$8/4),IF(10&lt;='I_Inputs &amp; Assumptions'!$B$8*0.75,'I_Budget Input Data'!$D$127*0.6/('I_Inputs &amp; Assumptions'!$B$8/2),'I_Budget Input Data'!$D$127*0.2/('I_Inputs &amp; Assumptions'!$B$8/4))),IF('I_Budget Input Data'!$E$127="At Completion",IF(10='I_Inputs &amp; Assumptions'!$B$8,'I_Budget Input Data'!$D$127,0),'I_Budget Input Data'!$D$127/'I_Inputs &amp; Assumptions'!$B$8)))))),0)</f>
        <v>3280</v>
      </c>
      <c r="M127" s="91">
        <f>IF(11&lt;='I_Inputs &amp; Assumptions'!$B$8,IF('I_Budget Input Data'!$E$127="Upfront",IF(11=1,'I_Budget Input Data'!$D$127,0),IF('I_Budget Input Data'!$E$127="Equal",'I_Budget Input Data'!$D$127/'I_Inputs &amp; Assumptions'!$B$8,IF('I_Budget Input Data'!$E$127="Front-loaded",IF(11&lt;='I_Inputs &amp; Assumptions'!$B$8/2,'I_Budget Input Data'!$D$127*0.6/('I_Inputs &amp; Assumptions'!$B$8/2),'I_Budget Input Data'!$D$127*0.4/('I_Inputs &amp; Assumptions'!$B$8/2)),IF('I_Budget Input Data'!$E$127="Back-loaded",IF(11&lt;='I_Inputs &amp; Assumptions'!$B$8/2,'I_Budget Input Data'!$D$127*0.4/('I_Inputs &amp; Assumptions'!$B$8/2),'I_Budget Input Data'!$D$127*0.6/('I_Inputs &amp; Assumptions'!$B$8/2)),IF('I_Budget Input Data'!$E$127="Mid-weighted",IF(11&lt;='I_Inputs &amp; Assumptions'!$B$8/4,'I_Budget Input Data'!$D$127*0.2/('I_Inputs &amp; Assumptions'!$B$8/4),IF(11&lt;='I_Inputs &amp; Assumptions'!$B$8*0.75,'I_Budget Input Data'!$D$127*0.6/('I_Inputs &amp; Assumptions'!$B$8/2),'I_Budget Input Data'!$D$127*0.2/('I_Inputs &amp; Assumptions'!$B$8/4))),IF('I_Budget Input Data'!$E$127="At Completion",IF(11='I_Inputs &amp; Assumptions'!$B$8,'I_Budget Input Data'!$D$127,0),'I_Budget Input Data'!$D$127/'I_Inputs &amp; Assumptions'!$B$8)))))),0)</f>
        <v>3280</v>
      </c>
      <c r="N127" s="91">
        <f>IF(12&lt;='I_Inputs &amp; Assumptions'!$B$8,IF('I_Budget Input Data'!$E$127="Upfront",IF(12=1,'I_Budget Input Data'!$D$127,0),IF('I_Budget Input Data'!$E$127="Equal",'I_Budget Input Data'!$D$127/'I_Inputs &amp; Assumptions'!$B$8,IF('I_Budget Input Data'!$E$127="Front-loaded",IF(12&lt;='I_Inputs &amp; Assumptions'!$B$8/2,'I_Budget Input Data'!$D$127*0.6/('I_Inputs &amp; Assumptions'!$B$8/2),'I_Budget Input Data'!$D$127*0.4/('I_Inputs &amp; Assumptions'!$B$8/2)),IF('I_Budget Input Data'!$E$127="Back-loaded",IF(12&lt;='I_Inputs &amp; Assumptions'!$B$8/2,'I_Budget Input Data'!$D$127*0.4/('I_Inputs &amp; Assumptions'!$B$8/2),'I_Budget Input Data'!$D$127*0.6/('I_Inputs &amp; Assumptions'!$B$8/2)),IF('I_Budget Input Data'!$E$127="Mid-weighted",IF(12&lt;='I_Inputs &amp; Assumptions'!$B$8/4,'I_Budget Input Data'!$D$127*0.2/('I_Inputs &amp; Assumptions'!$B$8/4),IF(12&lt;='I_Inputs &amp; Assumptions'!$B$8*0.75,'I_Budget Input Data'!$D$127*0.6/('I_Inputs &amp; Assumptions'!$B$8/2),'I_Budget Input Data'!$D$127*0.2/('I_Inputs &amp; Assumptions'!$B$8/4))),IF('I_Budget Input Data'!$E$127="At Completion",IF(12='I_Inputs &amp; Assumptions'!$B$8,'I_Budget Input Data'!$D$127,0),'I_Budget Input Data'!$D$127/'I_Inputs &amp; Assumptions'!$B$8)))))),0)</f>
        <v>3280</v>
      </c>
      <c r="O127" s="91">
        <f>IF(13&lt;='I_Inputs &amp; Assumptions'!$B$8,IF('I_Budget Input Data'!$E$127="Upfront",IF(13=1,'I_Budget Input Data'!$D$127,0),IF('I_Budget Input Data'!$E$127="Equal",'I_Budget Input Data'!$D$127/'I_Inputs &amp; Assumptions'!$B$8,IF('I_Budget Input Data'!$E$127="Front-loaded",IF(13&lt;='I_Inputs &amp; Assumptions'!$B$8/2,'I_Budget Input Data'!$D$127*0.6/('I_Inputs &amp; Assumptions'!$B$8/2),'I_Budget Input Data'!$D$127*0.4/('I_Inputs &amp; Assumptions'!$B$8/2)),IF('I_Budget Input Data'!$E$127="Back-loaded",IF(13&lt;='I_Inputs &amp; Assumptions'!$B$8/2,'I_Budget Input Data'!$D$127*0.4/('I_Inputs &amp; Assumptions'!$B$8/2),'I_Budget Input Data'!$D$127*0.6/('I_Inputs &amp; Assumptions'!$B$8/2)),IF('I_Budget Input Data'!$E$127="Mid-weighted",IF(13&lt;='I_Inputs &amp; Assumptions'!$B$8/4,'I_Budget Input Data'!$D$127*0.2/('I_Inputs &amp; Assumptions'!$B$8/4),IF(13&lt;='I_Inputs &amp; Assumptions'!$B$8*0.75,'I_Budget Input Data'!$D$127*0.6/('I_Inputs &amp; Assumptions'!$B$8/2),'I_Budget Input Data'!$D$127*0.2/('I_Inputs &amp; Assumptions'!$B$8/4))),IF('I_Budget Input Data'!$E$127="At Completion",IF(13='I_Inputs &amp; Assumptions'!$B$8,'I_Budget Input Data'!$D$127,0),'I_Budget Input Data'!$D$127/'I_Inputs &amp; Assumptions'!$B$8)))))),0)</f>
        <v>3280</v>
      </c>
      <c r="P127" s="91">
        <f>IF(14&lt;='I_Inputs &amp; Assumptions'!$B$8,IF('I_Budget Input Data'!$E$127="Upfront",IF(14=1,'I_Budget Input Data'!$D$127,0),IF('I_Budget Input Data'!$E$127="Equal",'I_Budget Input Data'!$D$127/'I_Inputs &amp; Assumptions'!$B$8,IF('I_Budget Input Data'!$E$127="Front-loaded",IF(14&lt;='I_Inputs &amp; Assumptions'!$B$8/2,'I_Budget Input Data'!$D$127*0.6/('I_Inputs &amp; Assumptions'!$B$8/2),'I_Budget Input Data'!$D$127*0.4/('I_Inputs &amp; Assumptions'!$B$8/2)),IF('I_Budget Input Data'!$E$127="Back-loaded",IF(14&lt;='I_Inputs &amp; Assumptions'!$B$8/2,'I_Budget Input Data'!$D$127*0.4/('I_Inputs &amp; Assumptions'!$B$8/2),'I_Budget Input Data'!$D$127*0.6/('I_Inputs &amp; Assumptions'!$B$8/2)),IF('I_Budget Input Data'!$E$127="Mid-weighted",IF(14&lt;='I_Inputs &amp; Assumptions'!$B$8/4,'I_Budget Input Data'!$D$127*0.2/('I_Inputs &amp; Assumptions'!$B$8/4),IF(14&lt;='I_Inputs &amp; Assumptions'!$B$8*0.75,'I_Budget Input Data'!$D$127*0.6/('I_Inputs &amp; Assumptions'!$B$8/2),'I_Budget Input Data'!$D$127*0.2/('I_Inputs &amp; Assumptions'!$B$8/4))),IF('I_Budget Input Data'!$E$127="At Completion",IF(14='I_Inputs &amp; Assumptions'!$B$8,'I_Budget Input Data'!$D$127,0),'I_Budget Input Data'!$D$127/'I_Inputs &amp; Assumptions'!$B$8)))))),0)</f>
        <v>0</v>
      </c>
      <c r="Q127" s="91">
        <f>IF(15&lt;='I_Inputs &amp; Assumptions'!$B$8,IF('I_Budget Input Data'!$E$127="Upfront",IF(15=1,'I_Budget Input Data'!$D$127,0),IF('I_Budget Input Data'!$E$127="Equal",'I_Budget Input Data'!$D$127/'I_Inputs &amp; Assumptions'!$B$8,IF('I_Budget Input Data'!$E$127="Front-loaded",IF(15&lt;='I_Inputs &amp; Assumptions'!$B$8/2,'I_Budget Input Data'!$D$127*0.6/('I_Inputs &amp; Assumptions'!$B$8/2),'I_Budget Input Data'!$D$127*0.4/('I_Inputs &amp; Assumptions'!$B$8/2)),IF('I_Budget Input Data'!$E$127="Back-loaded",IF(15&lt;='I_Inputs &amp; Assumptions'!$B$8/2,'I_Budget Input Data'!$D$127*0.4/('I_Inputs &amp; Assumptions'!$B$8/2),'I_Budget Input Data'!$D$127*0.6/('I_Inputs &amp; Assumptions'!$B$8/2)),IF('I_Budget Input Data'!$E$127="Mid-weighted",IF(15&lt;='I_Inputs &amp; Assumptions'!$B$8/4,'I_Budget Input Data'!$D$127*0.2/('I_Inputs &amp; Assumptions'!$B$8/4),IF(15&lt;='I_Inputs &amp; Assumptions'!$B$8*0.75,'I_Budget Input Data'!$D$127*0.6/('I_Inputs &amp; Assumptions'!$B$8/2),'I_Budget Input Data'!$D$127*0.2/('I_Inputs &amp; Assumptions'!$B$8/4))),IF('I_Budget Input Data'!$E$127="At Completion",IF(15='I_Inputs &amp; Assumptions'!$B$8,'I_Budget Input Data'!$D$127,0),'I_Budget Input Data'!$D$127/'I_Inputs &amp; Assumptions'!$B$8)))))),0)</f>
        <v>0</v>
      </c>
      <c r="R127" s="91">
        <f>IF(16&lt;='I_Inputs &amp; Assumptions'!$B$8,IF('I_Budget Input Data'!$E$127="Upfront",IF(16=1,'I_Budget Input Data'!$D$127,0),IF('I_Budget Input Data'!$E$127="Equal",'I_Budget Input Data'!$D$127/'I_Inputs &amp; Assumptions'!$B$8,IF('I_Budget Input Data'!$E$127="Front-loaded",IF(16&lt;='I_Inputs &amp; Assumptions'!$B$8/2,'I_Budget Input Data'!$D$127*0.6/('I_Inputs &amp; Assumptions'!$B$8/2),'I_Budget Input Data'!$D$127*0.4/('I_Inputs &amp; Assumptions'!$B$8/2)),IF('I_Budget Input Data'!$E$127="Back-loaded",IF(16&lt;='I_Inputs &amp; Assumptions'!$B$8/2,'I_Budget Input Data'!$D$127*0.4/('I_Inputs &amp; Assumptions'!$B$8/2),'I_Budget Input Data'!$D$127*0.6/('I_Inputs &amp; Assumptions'!$B$8/2)),IF('I_Budget Input Data'!$E$127="Mid-weighted",IF(16&lt;='I_Inputs &amp; Assumptions'!$B$8/4,'I_Budget Input Data'!$D$127*0.2/('I_Inputs &amp; Assumptions'!$B$8/4),IF(16&lt;='I_Inputs &amp; Assumptions'!$B$8*0.75,'I_Budget Input Data'!$D$127*0.6/('I_Inputs &amp; Assumptions'!$B$8/2),'I_Budget Input Data'!$D$127*0.2/('I_Inputs &amp; Assumptions'!$B$8/4))),IF('I_Budget Input Data'!$E$127="At Completion",IF(16='I_Inputs &amp; Assumptions'!$B$8,'I_Budget Input Data'!$D$127,0),'I_Budget Input Data'!$D$127/'I_Inputs &amp; Assumptions'!$B$8)))))),0)</f>
        <v>0</v>
      </c>
      <c r="S127" s="91">
        <f>IF(17&lt;='I_Inputs &amp; Assumptions'!$B$8,IF('I_Budget Input Data'!$E$127="Upfront",IF(17=1,'I_Budget Input Data'!$D$127,0),IF('I_Budget Input Data'!$E$127="Equal",'I_Budget Input Data'!$D$127/'I_Inputs &amp; Assumptions'!$B$8,IF('I_Budget Input Data'!$E$127="Front-loaded",IF(17&lt;='I_Inputs &amp; Assumptions'!$B$8/2,'I_Budget Input Data'!$D$127*0.6/('I_Inputs &amp; Assumptions'!$B$8/2),'I_Budget Input Data'!$D$127*0.4/('I_Inputs &amp; Assumptions'!$B$8/2)),IF('I_Budget Input Data'!$E$127="Back-loaded",IF(17&lt;='I_Inputs &amp; Assumptions'!$B$8/2,'I_Budget Input Data'!$D$127*0.4/('I_Inputs &amp; Assumptions'!$B$8/2),'I_Budget Input Data'!$D$127*0.6/('I_Inputs &amp; Assumptions'!$B$8/2)),IF('I_Budget Input Data'!$E$127="Mid-weighted",IF(17&lt;='I_Inputs &amp; Assumptions'!$B$8/4,'I_Budget Input Data'!$D$127*0.2/('I_Inputs &amp; Assumptions'!$B$8/4),IF(17&lt;='I_Inputs &amp; Assumptions'!$B$8*0.75,'I_Budget Input Data'!$D$127*0.6/('I_Inputs &amp; Assumptions'!$B$8/2),'I_Budget Input Data'!$D$127*0.2/('I_Inputs &amp; Assumptions'!$B$8/4))),IF('I_Budget Input Data'!$E$127="At Completion",IF(17='I_Inputs &amp; Assumptions'!$B$8,'I_Budget Input Data'!$D$127,0),'I_Budget Input Data'!$D$127/'I_Inputs &amp; Assumptions'!$B$8)))))),0)</f>
        <v>0</v>
      </c>
      <c r="T127" s="91">
        <f>IF(18&lt;='I_Inputs &amp; Assumptions'!$B$8,IF('I_Budget Input Data'!$E$127="Upfront",IF(18=1,'I_Budget Input Data'!$D$127,0),IF('I_Budget Input Data'!$E$127="Equal",'I_Budget Input Data'!$D$127/'I_Inputs &amp; Assumptions'!$B$8,IF('I_Budget Input Data'!$E$127="Front-loaded",IF(18&lt;='I_Inputs &amp; Assumptions'!$B$8/2,'I_Budget Input Data'!$D$127*0.6/('I_Inputs &amp; Assumptions'!$B$8/2),'I_Budget Input Data'!$D$127*0.4/('I_Inputs &amp; Assumptions'!$B$8/2)),IF('I_Budget Input Data'!$E$127="Back-loaded",IF(18&lt;='I_Inputs &amp; Assumptions'!$B$8/2,'I_Budget Input Data'!$D$127*0.4/('I_Inputs &amp; Assumptions'!$B$8/2),'I_Budget Input Data'!$D$127*0.6/('I_Inputs &amp; Assumptions'!$B$8/2)),IF('I_Budget Input Data'!$E$127="Mid-weighted",IF(18&lt;='I_Inputs &amp; Assumptions'!$B$8/4,'I_Budget Input Data'!$D$127*0.2/('I_Inputs &amp; Assumptions'!$B$8/4),IF(18&lt;='I_Inputs &amp; Assumptions'!$B$8*0.75,'I_Budget Input Data'!$D$127*0.6/('I_Inputs &amp; Assumptions'!$B$8/2),'I_Budget Input Data'!$D$127*0.2/('I_Inputs &amp; Assumptions'!$B$8/4))),IF('I_Budget Input Data'!$E$127="At Completion",IF(18='I_Inputs &amp; Assumptions'!$B$8,'I_Budget Input Data'!$D$127,0),'I_Budget Input Data'!$D$127/'I_Inputs &amp; Assumptions'!$B$8)))))),0)</f>
        <v>0</v>
      </c>
      <c r="U127" s="91">
        <f>IF(19&lt;='I_Inputs &amp; Assumptions'!$B$8,IF('I_Budget Input Data'!$E$127="Upfront",IF(19=1,'I_Budget Input Data'!$D$127,0),IF('I_Budget Input Data'!$E$127="Equal",'I_Budget Input Data'!$D$127/'I_Inputs &amp; Assumptions'!$B$8,IF('I_Budget Input Data'!$E$127="Front-loaded",IF(19&lt;='I_Inputs &amp; Assumptions'!$B$8/2,'I_Budget Input Data'!$D$127*0.6/('I_Inputs &amp; Assumptions'!$B$8/2),'I_Budget Input Data'!$D$127*0.4/('I_Inputs &amp; Assumptions'!$B$8/2)),IF('I_Budget Input Data'!$E$127="Back-loaded",IF(19&lt;='I_Inputs &amp; Assumptions'!$B$8/2,'I_Budget Input Data'!$D$127*0.4/('I_Inputs &amp; Assumptions'!$B$8/2),'I_Budget Input Data'!$D$127*0.6/('I_Inputs &amp; Assumptions'!$B$8/2)),IF('I_Budget Input Data'!$E$127="Mid-weighted",IF(19&lt;='I_Inputs &amp; Assumptions'!$B$8/4,'I_Budget Input Data'!$D$127*0.2/('I_Inputs &amp; Assumptions'!$B$8/4),IF(19&lt;='I_Inputs &amp; Assumptions'!$B$8*0.75,'I_Budget Input Data'!$D$127*0.6/('I_Inputs &amp; Assumptions'!$B$8/2),'I_Budget Input Data'!$D$127*0.2/('I_Inputs &amp; Assumptions'!$B$8/4))),IF('I_Budget Input Data'!$E$127="At Completion",IF(19='I_Inputs &amp; Assumptions'!$B$8,'I_Budget Input Data'!$D$127,0),'I_Budget Input Data'!$D$127/'I_Inputs &amp; Assumptions'!$B$8)))))),0)</f>
        <v>0</v>
      </c>
      <c r="V127" s="91">
        <f>IF(20&lt;='I_Inputs &amp; Assumptions'!$B$8,IF('I_Budget Input Data'!$E$127="Upfront",IF(20=1,'I_Budget Input Data'!$D$127,0),IF('I_Budget Input Data'!$E$127="Equal",'I_Budget Input Data'!$D$127/'I_Inputs &amp; Assumptions'!$B$8,IF('I_Budget Input Data'!$E$127="Front-loaded",IF(20&lt;='I_Inputs &amp; Assumptions'!$B$8/2,'I_Budget Input Data'!$D$127*0.6/('I_Inputs &amp; Assumptions'!$B$8/2),'I_Budget Input Data'!$D$127*0.4/('I_Inputs &amp; Assumptions'!$B$8/2)),IF('I_Budget Input Data'!$E$127="Back-loaded",IF(20&lt;='I_Inputs &amp; Assumptions'!$B$8/2,'I_Budget Input Data'!$D$127*0.4/('I_Inputs &amp; Assumptions'!$B$8/2),'I_Budget Input Data'!$D$127*0.6/('I_Inputs &amp; Assumptions'!$B$8/2)),IF('I_Budget Input Data'!$E$127="Mid-weighted",IF(20&lt;='I_Inputs &amp; Assumptions'!$B$8/4,'I_Budget Input Data'!$D$127*0.2/('I_Inputs &amp; Assumptions'!$B$8/4),IF(20&lt;='I_Inputs &amp; Assumptions'!$B$8*0.75,'I_Budget Input Data'!$D$127*0.6/('I_Inputs &amp; Assumptions'!$B$8/2),'I_Budget Input Data'!$D$127*0.2/('I_Inputs &amp; Assumptions'!$B$8/4))),IF('I_Budget Input Data'!$E$127="At Completion",IF(20='I_Inputs &amp; Assumptions'!$B$8,'I_Budget Input Data'!$D$127,0),'I_Budget Input Data'!$D$127/'I_Inputs &amp; Assumptions'!$B$8)))))),0)</f>
        <v>0</v>
      </c>
      <c r="W127" s="91">
        <f>IF(21&lt;='I_Inputs &amp; Assumptions'!$B$8,IF('I_Budget Input Data'!$E$127="Upfront",IF(21=1,'I_Budget Input Data'!$D$127,0),IF('I_Budget Input Data'!$E$127="Equal",'I_Budget Input Data'!$D$127/'I_Inputs &amp; Assumptions'!$B$8,IF('I_Budget Input Data'!$E$127="Front-loaded",IF(21&lt;='I_Inputs &amp; Assumptions'!$B$8/2,'I_Budget Input Data'!$D$127*0.6/('I_Inputs &amp; Assumptions'!$B$8/2),'I_Budget Input Data'!$D$127*0.4/('I_Inputs &amp; Assumptions'!$B$8/2)),IF('I_Budget Input Data'!$E$127="Back-loaded",IF(21&lt;='I_Inputs &amp; Assumptions'!$B$8/2,'I_Budget Input Data'!$D$127*0.4/('I_Inputs &amp; Assumptions'!$B$8/2),'I_Budget Input Data'!$D$127*0.6/('I_Inputs &amp; Assumptions'!$B$8/2)),IF('I_Budget Input Data'!$E$127="Mid-weighted",IF(21&lt;='I_Inputs &amp; Assumptions'!$B$8/4,'I_Budget Input Data'!$D$127*0.2/('I_Inputs &amp; Assumptions'!$B$8/4),IF(21&lt;='I_Inputs &amp; Assumptions'!$B$8*0.75,'I_Budget Input Data'!$D$127*0.6/('I_Inputs &amp; Assumptions'!$B$8/2),'I_Budget Input Data'!$D$127*0.2/('I_Inputs &amp; Assumptions'!$B$8/4))),IF('I_Budget Input Data'!$E$127="At Completion",IF(21='I_Inputs &amp; Assumptions'!$B$8,'I_Budget Input Data'!$D$127,0),'I_Budget Input Data'!$D$127/'I_Inputs &amp; Assumptions'!$B$8)))))),0)</f>
        <v>0</v>
      </c>
      <c r="X127" s="91">
        <f>IF(22&lt;='I_Inputs &amp; Assumptions'!$B$8,IF('I_Budget Input Data'!$E$127="Upfront",IF(22=1,'I_Budget Input Data'!$D$127,0),IF('I_Budget Input Data'!$E$127="Equal",'I_Budget Input Data'!$D$127/'I_Inputs &amp; Assumptions'!$B$8,IF('I_Budget Input Data'!$E$127="Front-loaded",IF(22&lt;='I_Inputs &amp; Assumptions'!$B$8/2,'I_Budget Input Data'!$D$127*0.6/('I_Inputs &amp; Assumptions'!$B$8/2),'I_Budget Input Data'!$D$127*0.4/('I_Inputs &amp; Assumptions'!$B$8/2)),IF('I_Budget Input Data'!$E$127="Back-loaded",IF(22&lt;='I_Inputs &amp; Assumptions'!$B$8/2,'I_Budget Input Data'!$D$127*0.4/('I_Inputs &amp; Assumptions'!$B$8/2),'I_Budget Input Data'!$D$127*0.6/('I_Inputs &amp; Assumptions'!$B$8/2)),IF('I_Budget Input Data'!$E$127="Mid-weighted",IF(22&lt;='I_Inputs &amp; Assumptions'!$B$8/4,'I_Budget Input Data'!$D$127*0.2/('I_Inputs &amp; Assumptions'!$B$8/4),IF(22&lt;='I_Inputs &amp; Assumptions'!$B$8*0.75,'I_Budget Input Data'!$D$127*0.6/('I_Inputs &amp; Assumptions'!$B$8/2),'I_Budget Input Data'!$D$127*0.2/('I_Inputs &amp; Assumptions'!$B$8/4))),IF('I_Budget Input Data'!$E$127="At Completion",IF(22='I_Inputs &amp; Assumptions'!$B$8,'I_Budget Input Data'!$D$127,0),'I_Budget Input Data'!$D$127/'I_Inputs &amp; Assumptions'!$B$8)))))),0)</f>
        <v>0</v>
      </c>
      <c r="Y127" s="91">
        <f>IF(23&lt;='I_Inputs &amp; Assumptions'!$B$8,IF('I_Budget Input Data'!$E$127="Upfront",IF(23=1,'I_Budget Input Data'!$D$127,0),IF('I_Budget Input Data'!$E$127="Equal",'I_Budget Input Data'!$D$127/'I_Inputs &amp; Assumptions'!$B$8,IF('I_Budget Input Data'!$E$127="Front-loaded",IF(23&lt;='I_Inputs &amp; Assumptions'!$B$8/2,'I_Budget Input Data'!$D$127*0.6/('I_Inputs &amp; Assumptions'!$B$8/2),'I_Budget Input Data'!$D$127*0.4/('I_Inputs &amp; Assumptions'!$B$8/2)),IF('I_Budget Input Data'!$E$127="Back-loaded",IF(23&lt;='I_Inputs &amp; Assumptions'!$B$8/2,'I_Budget Input Data'!$D$127*0.4/('I_Inputs &amp; Assumptions'!$B$8/2),'I_Budget Input Data'!$D$127*0.6/('I_Inputs &amp; Assumptions'!$B$8/2)),IF('I_Budget Input Data'!$E$127="Mid-weighted",IF(23&lt;='I_Inputs &amp; Assumptions'!$B$8/4,'I_Budget Input Data'!$D$127*0.2/('I_Inputs &amp; Assumptions'!$B$8/4),IF(23&lt;='I_Inputs &amp; Assumptions'!$B$8*0.75,'I_Budget Input Data'!$D$127*0.6/('I_Inputs &amp; Assumptions'!$B$8/2),'I_Budget Input Data'!$D$127*0.2/('I_Inputs &amp; Assumptions'!$B$8/4))),IF('I_Budget Input Data'!$E$127="At Completion",IF(23='I_Inputs &amp; Assumptions'!$B$8,'I_Budget Input Data'!$D$127,0),'I_Budget Input Data'!$D$127/'I_Inputs &amp; Assumptions'!$B$8)))))),0)</f>
        <v>0</v>
      </c>
      <c r="Z127" s="91">
        <f>IF(24&lt;='I_Inputs &amp; Assumptions'!$B$8,IF('I_Budget Input Data'!$E$127="Upfront",IF(24=1,'I_Budget Input Data'!$D$127,0),IF('I_Budget Input Data'!$E$127="Equal",'I_Budget Input Data'!$D$127/'I_Inputs &amp; Assumptions'!$B$8,IF('I_Budget Input Data'!$E$127="Front-loaded",IF(24&lt;='I_Inputs &amp; Assumptions'!$B$8/2,'I_Budget Input Data'!$D$127*0.6/('I_Inputs &amp; Assumptions'!$B$8/2),'I_Budget Input Data'!$D$127*0.4/('I_Inputs &amp; Assumptions'!$B$8/2)),IF('I_Budget Input Data'!$E$127="Back-loaded",IF(24&lt;='I_Inputs &amp; Assumptions'!$B$8/2,'I_Budget Input Data'!$D$127*0.4/('I_Inputs &amp; Assumptions'!$B$8/2),'I_Budget Input Data'!$D$127*0.6/('I_Inputs &amp; Assumptions'!$B$8/2)),IF('I_Budget Input Data'!$E$127="Mid-weighted",IF(24&lt;='I_Inputs &amp; Assumptions'!$B$8/4,'I_Budget Input Data'!$D$127*0.2/('I_Inputs &amp; Assumptions'!$B$8/4),IF(24&lt;='I_Inputs &amp; Assumptions'!$B$8*0.75,'I_Budget Input Data'!$D$127*0.6/('I_Inputs &amp; Assumptions'!$B$8/2),'I_Budget Input Data'!$D$127*0.2/('I_Inputs &amp; Assumptions'!$B$8/4))),IF('I_Budget Input Data'!$E$127="At Completion",IF(24='I_Inputs &amp; Assumptions'!$B$8,'I_Budget Input Data'!$D$127,0),'I_Budget Input Data'!$D$127/'I_Inputs &amp; Assumptions'!$B$8)))))),0)</f>
        <v>0</v>
      </c>
      <c r="AA127" s="91">
        <f>IF(25&lt;='I_Inputs &amp; Assumptions'!$B$8,IF('I_Budget Input Data'!$E$127="Upfront",IF(25=1,'I_Budget Input Data'!$D$127,0),IF('I_Budget Input Data'!$E$127="Equal",'I_Budget Input Data'!$D$127/'I_Inputs &amp; Assumptions'!$B$8,IF('I_Budget Input Data'!$E$127="Front-loaded",IF(25&lt;='I_Inputs &amp; Assumptions'!$B$8/2,'I_Budget Input Data'!$D$127*0.6/('I_Inputs &amp; Assumptions'!$B$8/2),'I_Budget Input Data'!$D$127*0.4/('I_Inputs &amp; Assumptions'!$B$8/2)),IF('I_Budget Input Data'!$E$127="Back-loaded",IF(25&lt;='I_Inputs &amp; Assumptions'!$B$8/2,'I_Budget Input Data'!$D$127*0.4/('I_Inputs &amp; Assumptions'!$B$8/2),'I_Budget Input Data'!$D$127*0.6/('I_Inputs &amp; Assumptions'!$B$8/2)),IF('I_Budget Input Data'!$E$127="Mid-weighted",IF(25&lt;='I_Inputs &amp; Assumptions'!$B$8/4,'I_Budget Input Data'!$D$127*0.2/('I_Inputs &amp; Assumptions'!$B$8/4),IF(25&lt;='I_Inputs &amp; Assumptions'!$B$8*0.75,'I_Budget Input Data'!$D$127*0.6/('I_Inputs &amp; Assumptions'!$B$8/2),'I_Budget Input Data'!$D$127*0.2/('I_Inputs &amp; Assumptions'!$B$8/4))),IF('I_Budget Input Data'!$E$127="At Completion",IF(25='I_Inputs &amp; Assumptions'!$B$8,'I_Budget Input Data'!$D$127,0),'I_Budget Input Data'!$D$127/'I_Inputs &amp; Assumptions'!$B$8)))))),0)</f>
        <v>0</v>
      </c>
      <c r="AB127" s="91">
        <f>IF(26&lt;='I_Inputs &amp; Assumptions'!$B$8,IF('I_Budget Input Data'!$E$127="Upfront",IF(26=1,'I_Budget Input Data'!$D$127,0),IF('I_Budget Input Data'!$E$127="Equal",'I_Budget Input Data'!$D$127/'I_Inputs &amp; Assumptions'!$B$8,IF('I_Budget Input Data'!$E$127="Front-loaded",IF(26&lt;='I_Inputs &amp; Assumptions'!$B$8/2,'I_Budget Input Data'!$D$127*0.6/('I_Inputs &amp; Assumptions'!$B$8/2),'I_Budget Input Data'!$D$127*0.4/('I_Inputs &amp; Assumptions'!$B$8/2)),IF('I_Budget Input Data'!$E$127="Back-loaded",IF(26&lt;='I_Inputs &amp; Assumptions'!$B$8/2,'I_Budget Input Data'!$D$127*0.4/('I_Inputs &amp; Assumptions'!$B$8/2),'I_Budget Input Data'!$D$127*0.6/('I_Inputs &amp; Assumptions'!$B$8/2)),IF('I_Budget Input Data'!$E$127="Mid-weighted",IF(26&lt;='I_Inputs &amp; Assumptions'!$B$8/4,'I_Budget Input Data'!$D$127*0.2/('I_Inputs &amp; Assumptions'!$B$8/4),IF(26&lt;='I_Inputs &amp; Assumptions'!$B$8*0.75,'I_Budget Input Data'!$D$127*0.6/('I_Inputs &amp; Assumptions'!$B$8/2),'I_Budget Input Data'!$D$127*0.2/('I_Inputs &amp; Assumptions'!$B$8/4))),IF('I_Budget Input Data'!$E$127="At Completion",IF(26='I_Inputs &amp; Assumptions'!$B$8,'I_Budget Input Data'!$D$127,0),'I_Budget Input Data'!$D$127/'I_Inputs &amp; Assumptions'!$B$8)))))),0)</f>
        <v>0</v>
      </c>
      <c r="AC127" s="91">
        <f>IF(27&lt;='I_Inputs &amp; Assumptions'!$B$8,IF('I_Budget Input Data'!$E$127="Upfront",IF(27=1,'I_Budget Input Data'!$D$127,0),IF('I_Budget Input Data'!$E$127="Equal",'I_Budget Input Data'!$D$127/'I_Inputs &amp; Assumptions'!$B$8,IF('I_Budget Input Data'!$E$127="Front-loaded",IF(27&lt;='I_Inputs &amp; Assumptions'!$B$8/2,'I_Budget Input Data'!$D$127*0.6/('I_Inputs &amp; Assumptions'!$B$8/2),'I_Budget Input Data'!$D$127*0.4/('I_Inputs &amp; Assumptions'!$B$8/2)),IF('I_Budget Input Data'!$E$127="Back-loaded",IF(27&lt;='I_Inputs &amp; Assumptions'!$B$8/2,'I_Budget Input Data'!$D$127*0.4/('I_Inputs &amp; Assumptions'!$B$8/2),'I_Budget Input Data'!$D$127*0.6/('I_Inputs &amp; Assumptions'!$B$8/2)),IF('I_Budget Input Data'!$E$127="Mid-weighted",IF(27&lt;='I_Inputs &amp; Assumptions'!$B$8/4,'I_Budget Input Data'!$D$127*0.2/('I_Inputs &amp; Assumptions'!$B$8/4),IF(27&lt;='I_Inputs &amp; Assumptions'!$B$8*0.75,'I_Budget Input Data'!$D$127*0.6/('I_Inputs &amp; Assumptions'!$B$8/2),'I_Budget Input Data'!$D$127*0.2/('I_Inputs &amp; Assumptions'!$B$8/4))),IF('I_Budget Input Data'!$E$127="At Completion",IF(27='I_Inputs &amp; Assumptions'!$B$8,'I_Budget Input Data'!$D$127,0),'I_Budget Input Data'!$D$127/'I_Inputs &amp; Assumptions'!$B$8)))))),0)</f>
        <v>0</v>
      </c>
      <c r="AD127" s="91">
        <f>IF(28&lt;='I_Inputs &amp; Assumptions'!$B$8,IF('I_Budget Input Data'!$E$127="Upfront",IF(28=1,'I_Budget Input Data'!$D$127,0),IF('I_Budget Input Data'!$E$127="Equal",'I_Budget Input Data'!$D$127/'I_Inputs &amp; Assumptions'!$B$8,IF('I_Budget Input Data'!$E$127="Front-loaded",IF(28&lt;='I_Inputs &amp; Assumptions'!$B$8/2,'I_Budget Input Data'!$D$127*0.6/('I_Inputs &amp; Assumptions'!$B$8/2),'I_Budget Input Data'!$D$127*0.4/('I_Inputs &amp; Assumptions'!$B$8/2)),IF('I_Budget Input Data'!$E$127="Back-loaded",IF(28&lt;='I_Inputs &amp; Assumptions'!$B$8/2,'I_Budget Input Data'!$D$127*0.4/('I_Inputs &amp; Assumptions'!$B$8/2),'I_Budget Input Data'!$D$127*0.6/('I_Inputs &amp; Assumptions'!$B$8/2)),IF('I_Budget Input Data'!$E$127="Mid-weighted",IF(28&lt;='I_Inputs &amp; Assumptions'!$B$8/4,'I_Budget Input Data'!$D$127*0.2/('I_Inputs &amp; Assumptions'!$B$8/4),IF(28&lt;='I_Inputs &amp; Assumptions'!$B$8*0.75,'I_Budget Input Data'!$D$127*0.6/('I_Inputs &amp; Assumptions'!$B$8/2),'I_Budget Input Data'!$D$127*0.2/('I_Inputs &amp; Assumptions'!$B$8/4))),IF('I_Budget Input Data'!$E$127="At Completion",IF(28='I_Inputs &amp; Assumptions'!$B$8,'I_Budget Input Data'!$D$127,0),'I_Budget Input Data'!$D$127/'I_Inputs &amp; Assumptions'!$B$8)))))),0)</f>
        <v>0</v>
      </c>
      <c r="AE127" s="91">
        <f>IF(29&lt;='I_Inputs &amp; Assumptions'!$B$8,IF('I_Budget Input Data'!$E$127="Upfront",IF(29=1,'I_Budget Input Data'!$D$127,0),IF('I_Budget Input Data'!$E$127="Equal",'I_Budget Input Data'!$D$127/'I_Inputs &amp; Assumptions'!$B$8,IF('I_Budget Input Data'!$E$127="Front-loaded",IF(29&lt;='I_Inputs &amp; Assumptions'!$B$8/2,'I_Budget Input Data'!$D$127*0.6/('I_Inputs &amp; Assumptions'!$B$8/2),'I_Budget Input Data'!$D$127*0.4/('I_Inputs &amp; Assumptions'!$B$8/2)),IF('I_Budget Input Data'!$E$127="Back-loaded",IF(29&lt;='I_Inputs &amp; Assumptions'!$B$8/2,'I_Budget Input Data'!$D$127*0.4/('I_Inputs &amp; Assumptions'!$B$8/2),'I_Budget Input Data'!$D$127*0.6/('I_Inputs &amp; Assumptions'!$B$8/2)),IF('I_Budget Input Data'!$E$127="Mid-weighted",IF(29&lt;='I_Inputs &amp; Assumptions'!$B$8/4,'I_Budget Input Data'!$D$127*0.2/('I_Inputs &amp; Assumptions'!$B$8/4),IF(29&lt;='I_Inputs &amp; Assumptions'!$B$8*0.75,'I_Budget Input Data'!$D$127*0.6/('I_Inputs &amp; Assumptions'!$B$8/2),'I_Budget Input Data'!$D$127*0.2/('I_Inputs &amp; Assumptions'!$B$8/4))),IF('I_Budget Input Data'!$E$127="At Completion",IF(29='I_Inputs &amp; Assumptions'!$B$8,'I_Budget Input Data'!$D$127,0),'I_Budget Input Data'!$D$127/'I_Inputs &amp; Assumptions'!$B$8)))))),0)</f>
        <v>0</v>
      </c>
      <c r="AF127" s="91">
        <f>IF(30&lt;='I_Inputs &amp; Assumptions'!$B$8,IF('I_Budget Input Data'!$E$127="Upfront",IF(30=1,'I_Budget Input Data'!$D$127,0),IF('I_Budget Input Data'!$E$127="Equal",'I_Budget Input Data'!$D$127/'I_Inputs &amp; Assumptions'!$B$8,IF('I_Budget Input Data'!$E$127="Front-loaded",IF(30&lt;='I_Inputs &amp; Assumptions'!$B$8/2,'I_Budget Input Data'!$D$127*0.6/('I_Inputs &amp; Assumptions'!$B$8/2),'I_Budget Input Data'!$D$127*0.4/('I_Inputs &amp; Assumptions'!$B$8/2)),IF('I_Budget Input Data'!$E$127="Back-loaded",IF(30&lt;='I_Inputs &amp; Assumptions'!$B$8/2,'I_Budget Input Data'!$D$127*0.4/('I_Inputs &amp; Assumptions'!$B$8/2),'I_Budget Input Data'!$D$127*0.6/('I_Inputs &amp; Assumptions'!$B$8/2)),IF('I_Budget Input Data'!$E$127="Mid-weighted",IF(30&lt;='I_Inputs &amp; Assumptions'!$B$8/4,'I_Budget Input Data'!$D$127*0.2/('I_Inputs &amp; Assumptions'!$B$8/4),IF(30&lt;='I_Inputs &amp; Assumptions'!$B$8*0.75,'I_Budget Input Data'!$D$127*0.6/('I_Inputs &amp; Assumptions'!$B$8/2),'I_Budget Input Data'!$D$127*0.2/('I_Inputs &amp; Assumptions'!$B$8/4))),IF('I_Budget Input Data'!$E$127="At Completion",IF(30='I_Inputs &amp; Assumptions'!$B$8,'I_Budget Input Data'!$D$127,0),'I_Budget Input Data'!$D$127/'I_Inputs &amp; Assumptions'!$B$8)))))),0)</f>
        <v>0</v>
      </c>
      <c r="AG127" s="91">
        <f>IF(31&lt;='I_Inputs &amp; Assumptions'!$B$8,IF('I_Budget Input Data'!$E$127="Upfront",IF(31=1,'I_Budget Input Data'!$D$127,0),IF('I_Budget Input Data'!$E$127="Equal",'I_Budget Input Data'!$D$127/'I_Inputs &amp; Assumptions'!$B$8,IF('I_Budget Input Data'!$E$127="Front-loaded",IF(31&lt;='I_Inputs &amp; Assumptions'!$B$8/2,'I_Budget Input Data'!$D$127*0.6/('I_Inputs &amp; Assumptions'!$B$8/2),'I_Budget Input Data'!$D$127*0.4/('I_Inputs &amp; Assumptions'!$B$8/2)),IF('I_Budget Input Data'!$E$127="Back-loaded",IF(31&lt;='I_Inputs &amp; Assumptions'!$B$8/2,'I_Budget Input Data'!$D$127*0.4/('I_Inputs &amp; Assumptions'!$B$8/2),'I_Budget Input Data'!$D$127*0.6/('I_Inputs &amp; Assumptions'!$B$8/2)),IF('I_Budget Input Data'!$E$127="Mid-weighted",IF(31&lt;='I_Inputs &amp; Assumptions'!$B$8/4,'I_Budget Input Data'!$D$127*0.2/('I_Inputs &amp; Assumptions'!$B$8/4),IF(31&lt;='I_Inputs &amp; Assumptions'!$B$8*0.75,'I_Budget Input Data'!$D$127*0.6/('I_Inputs &amp; Assumptions'!$B$8/2),'I_Budget Input Data'!$D$127*0.2/('I_Inputs &amp; Assumptions'!$B$8/4))),IF('I_Budget Input Data'!$E$127="At Completion",IF(31='I_Inputs &amp; Assumptions'!$B$8,'I_Budget Input Data'!$D$127,0),'I_Budget Input Data'!$D$127/'I_Inputs &amp; Assumptions'!$B$8)))))),0)</f>
        <v>0</v>
      </c>
      <c r="AH127" s="91">
        <f>IF(32&lt;='I_Inputs &amp; Assumptions'!$B$8,IF('I_Budget Input Data'!$E$127="Upfront",IF(32=1,'I_Budget Input Data'!$D$127,0),IF('I_Budget Input Data'!$E$127="Equal",'I_Budget Input Data'!$D$127/'I_Inputs &amp; Assumptions'!$B$8,IF('I_Budget Input Data'!$E$127="Front-loaded",IF(32&lt;='I_Inputs &amp; Assumptions'!$B$8/2,'I_Budget Input Data'!$D$127*0.6/('I_Inputs &amp; Assumptions'!$B$8/2),'I_Budget Input Data'!$D$127*0.4/('I_Inputs &amp; Assumptions'!$B$8/2)),IF('I_Budget Input Data'!$E$127="Back-loaded",IF(32&lt;='I_Inputs &amp; Assumptions'!$B$8/2,'I_Budget Input Data'!$D$127*0.4/('I_Inputs &amp; Assumptions'!$B$8/2),'I_Budget Input Data'!$D$127*0.6/('I_Inputs &amp; Assumptions'!$B$8/2)),IF('I_Budget Input Data'!$E$127="Mid-weighted",IF(32&lt;='I_Inputs &amp; Assumptions'!$B$8/4,'I_Budget Input Data'!$D$127*0.2/('I_Inputs &amp; Assumptions'!$B$8/4),IF(32&lt;='I_Inputs &amp; Assumptions'!$B$8*0.75,'I_Budget Input Data'!$D$127*0.6/('I_Inputs &amp; Assumptions'!$B$8/2),'I_Budget Input Data'!$D$127*0.2/('I_Inputs &amp; Assumptions'!$B$8/4))),IF('I_Budget Input Data'!$E$127="At Completion",IF(32='I_Inputs &amp; Assumptions'!$B$8,'I_Budget Input Data'!$D$127,0),'I_Budget Input Data'!$D$127/'I_Inputs &amp; Assumptions'!$B$8)))))),0)</f>
        <v>0</v>
      </c>
      <c r="AI127" s="91">
        <f>IF(33&lt;='I_Inputs &amp; Assumptions'!$B$8,IF('I_Budget Input Data'!$E$127="Upfront",IF(33=1,'I_Budget Input Data'!$D$127,0),IF('I_Budget Input Data'!$E$127="Equal",'I_Budget Input Data'!$D$127/'I_Inputs &amp; Assumptions'!$B$8,IF('I_Budget Input Data'!$E$127="Front-loaded",IF(33&lt;='I_Inputs &amp; Assumptions'!$B$8/2,'I_Budget Input Data'!$D$127*0.6/('I_Inputs &amp; Assumptions'!$B$8/2),'I_Budget Input Data'!$D$127*0.4/('I_Inputs &amp; Assumptions'!$B$8/2)),IF('I_Budget Input Data'!$E$127="Back-loaded",IF(33&lt;='I_Inputs &amp; Assumptions'!$B$8/2,'I_Budget Input Data'!$D$127*0.4/('I_Inputs &amp; Assumptions'!$B$8/2),'I_Budget Input Data'!$D$127*0.6/('I_Inputs &amp; Assumptions'!$B$8/2)),IF('I_Budget Input Data'!$E$127="Mid-weighted",IF(33&lt;='I_Inputs &amp; Assumptions'!$B$8/4,'I_Budget Input Data'!$D$127*0.2/('I_Inputs &amp; Assumptions'!$B$8/4),IF(33&lt;='I_Inputs &amp; Assumptions'!$B$8*0.75,'I_Budget Input Data'!$D$127*0.6/('I_Inputs &amp; Assumptions'!$B$8/2),'I_Budget Input Data'!$D$127*0.2/('I_Inputs &amp; Assumptions'!$B$8/4))),IF('I_Budget Input Data'!$E$127="At Completion",IF(33='I_Inputs &amp; Assumptions'!$B$8,'I_Budget Input Data'!$D$127,0),'I_Budget Input Data'!$D$127/'I_Inputs &amp; Assumptions'!$B$8)))))),0)</f>
        <v>0</v>
      </c>
      <c r="AJ127" s="91">
        <f>IF(34&lt;='I_Inputs &amp; Assumptions'!$B$8,IF('I_Budget Input Data'!$E$127="Upfront",IF(34=1,'I_Budget Input Data'!$D$127,0),IF('I_Budget Input Data'!$E$127="Equal",'I_Budget Input Data'!$D$127/'I_Inputs &amp; Assumptions'!$B$8,IF('I_Budget Input Data'!$E$127="Front-loaded",IF(34&lt;='I_Inputs &amp; Assumptions'!$B$8/2,'I_Budget Input Data'!$D$127*0.6/('I_Inputs &amp; Assumptions'!$B$8/2),'I_Budget Input Data'!$D$127*0.4/('I_Inputs &amp; Assumptions'!$B$8/2)),IF('I_Budget Input Data'!$E$127="Back-loaded",IF(34&lt;='I_Inputs &amp; Assumptions'!$B$8/2,'I_Budget Input Data'!$D$127*0.4/('I_Inputs &amp; Assumptions'!$B$8/2),'I_Budget Input Data'!$D$127*0.6/('I_Inputs &amp; Assumptions'!$B$8/2)),IF('I_Budget Input Data'!$E$127="Mid-weighted",IF(34&lt;='I_Inputs &amp; Assumptions'!$B$8/4,'I_Budget Input Data'!$D$127*0.2/('I_Inputs &amp; Assumptions'!$B$8/4),IF(34&lt;='I_Inputs &amp; Assumptions'!$B$8*0.75,'I_Budget Input Data'!$D$127*0.6/('I_Inputs &amp; Assumptions'!$B$8/2),'I_Budget Input Data'!$D$127*0.2/('I_Inputs &amp; Assumptions'!$B$8/4))),IF('I_Budget Input Data'!$E$127="At Completion",IF(34='I_Inputs &amp; Assumptions'!$B$8,'I_Budget Input Data'!$D$127,0),'I_Budget Input Data'!$D$127/'I_Inputs &amp; Assumptions'!$B$8)))))),0)</f>
        <v>0</v>
      </c>
      <c r="AK127" s="91">
        <f>IF(35&lt;='I_Inputs &amp; Assumptions'!$B$8,IF('I_Budget Input Data'!$E$127="Upfront",IF(35=1,'I_Budget Input Data'!$D$127,0),IF('I_Budget Input Data'!$E$127="Equal",'I_Budget Input Data'!$D$127/'I_Inputs &amp; Assumptions'!$B$8,IF('I_Budget Input Data'!$E$127="Front-loaded",IF(35&lt;='I_Inputs &amp; Assumptions'!$B$8/2,'I_Budget Input Data'!$D$127*0.6/('I_Inputs &amp; Assumptions'!$B$8/2),'I_Budget Input Data'!$D$127*0.4/('I_Inputs &amp; Assumptions'!$B$8/2)),IF('I_Budget Input Data'!$E$127="Back-loaded",IF(35&lt;='I_Inputs &amp; Assumptions'!$B$8/2,'I_Budget Input Data'!$D$127*0.4/('I_Inputs &amp; Assumptions'!$B$8/2),'I_Budget Input Data'!$D$127*0.6/('I_Inputs &amp; Assumptions'!$B$8/2)),IF('I_Budget Input Data'!$E$127="Mid-weighted",IF(35&lt;='I_Inputs &amp; Assumptions'!$B$8/4,'I_Budget Input Data'!$D$127*0.2/('I_Inputs &amp; Assumptions'!$B$8/4),IF(35&lt;='I_Inputs &amp; Assumptions'!$B$8*0.75,'I_Budget Input Data'!$D$127*0.6/('I_Inputs &amp; Assumptions'!$B$8/2),'I_Budget Input Data'!$D$127*0.2/('I_Inputs &amp; Assumptions'!$B$8/4))),IF('I_Budget Input Data'!$E$127="At Completion",IF(35='I_Inputs &amp; Assumptions'!$B$8,'I_Budget Input Data'!$D$127,0),'I_Budget Input Data'!$D$127/'I_Inputs &amp; Assumptions'!$B$8)))))),0)</f>
        <v>0</v>
      </c>
      <c r="AL127" s="91">
        <f>IF(36&lt;='I_Inputs &amp; Assumptions'!$B$8,IF('I_Budget Input Data'!$E$127="Upfront",IF(36=1,'I_Budget Input Data'!$D$127,0),IF('I_Budget Input Data'!$E$127="Equal",'I_Budget Input Data'!$D$127/'I_Inputs &amp; Assumptions'!$B$8,IF('I_Budget Input Data'!$E$127="Front-loaded",IF(36&lt;='I_Inputs &amp; Assumptions'!$B$8/2,'I_Budget Input Data'!$D$127*0.6/('I_Inputs &amp; Assumptions'!$B$8/2),'I_Budget Input Data'!$D$127*0.4/('I_Inputs &amp; Assumptions'!$B$8/2)),IF('I_Budget Input Data'!$E$127="Back-loaded",IF(36&lt;='I_Inputs &amp; Assumptions'!$B$8/2,'I_Budget Input Data'!$D$127*0.4/('I_Inputs &amp; Assumptions'!$B$8/2),'I_Budget Input Data'!$D$127*0.6/('I_Inputs &amp; Assumptions'!$B$8/2)),IF('I_Budget Input Data'!$E$127="Mid-weighted",IF(36&lt;='I_Inputs &amp; Assumptions'!$B$8/4,'I_Budget Input Data'!$D$127*0.2/('I_Inputs &amp; Assumptions'!$B$8/4),IF(36&lt;='I_Inputs &amp; Assumptions'!$B$8*0.75,'I_Budget Input Data'!$D$127*0.6/('I_Inputs &amp; Assumptions'!$B$8/2),'I_Budget Input Data'!$D$127*0.2/('I_Inputs &amp; Assumptions'!$B$8/4))),IF('I_Budget Input Data'!$E$127="At Completion",IF(36='I_Inputs &amp; Assumptions'!$B$8,'I_Budget Input Data'!$D$127,0),'I_Budget Input Data'!$D$127/'I_Inputs &amp; Assumptions'!$B$8)))))),0)</f>
        <v>0</v>
      </c>
    </row>
    <row r="128" spans="1:38" ht="15" customHeight="1" x14ac:dyDescent="0.2">
      <c r="A128" t="s">
        <v>146</v>
      </c>
      <c r="B128" t="s">
        <v>241</v>
      </c>
      <c r="C128" s="91">
        <v>0</v>
      </c>
      <c r="D128" s="91">
        <v>0</v>
      </c>
      <c r="E128" s="91">
        <v>0</v>
      </c>
      <c r="F128" s="91">
        <v>0</v>
      </c>
      <c r="G128" s="91">
        <v>0</v>
      </c>
      <c r="H128" s="91">
        <v>0</v>
      </c>
      <c r="I128" s="91">
        <v>0</v>
      </c>
      <c r="J128" s="91">
        <v>0</v>
      </c>
      <c r="K128" s="91">
        <v>0</v>
      </c>
      <c r="L128" s="91">
        <v>0</v>
      </c>
      <c r="M128" s="91">
        <v>0</v>
      </c>
      <c r="N128" s="91">
        <v>0</v>
      </c>
      <c r="O128" s="91">
        <v>0</v>
      </c>
      <c r="P128" s="91">
        <v>0</v>
      </c>
      <c r="Q128" s="91">
        <v>0</v>
      </c>
      <c r="R128" s="91">
        <v>0</v>
      </c>
      <c r="S128" s="91">
        <v>0</v>
      </c>
      <c r="T128" s="91">
        <v>0</v>
      </c>
      <c r="U128" s="91">
        <v>0</v>
      </c>
      <c r="V128" s="91">
        <v>0</v>
      </c>
      <c r="W128" s="91">
        <v>0</v>
      </c>
      <c r="X128" s="91">
        <v>0</v>
      </c>
      <c r="Y128" s="91">
        <v>0</v>
      </c>
      <c r="Z128" s="91">
        <v>0</v>
      </c>
      <c r="AA128" s="91">
        <v>0</v>
      </c>
      <c r="AB128" s="91">
        <v>0</v>
      </c>
      <c r="AC128" s="91">
        <v>0</v>
      </c>
      <c r="AD128" s="91">
        <v>0</v>
      </c>
      <c r="AE128" s="91">
        <v>0</v>
      </c>
      <c r="AF128" s="91">
        <v>0</v>
      </c>
      <c r="AG128" s="91">
        <v>0</v>
      </c>
      <c r="AH128" s="91">
        <v>0</v>
      </c>
      <c r="AI128" s="91">
        <v>0</v>
      </c>
      <c r="AJ128" s="91">
        <v>0</v>
      </c>
      <c r="AK128" s="91">
        <v>0</v>
      </c>
      <c r="AL128" s="91">
        <v>0</v>
      </c>
    </row>
    <row r="129" spans="1:38" ht="15" customHeight="1" x14ac:dyDescent="0.2">
      <c r="A129" t="s">
        <v>146</v>
      </c>
      <c r="B129" t="s">
        <v>242</v>
      </c>
      <c r="C129" s="91">
        <v>0</v>
      </c>
      <c r="D129" s="91">
        <v>0</v>
      </c>
      <c r="E129" s="91">
        <v>0</v>
      </c>
      <c r="F129" s="91">
        <v>0</v>
      </c>
      <c r="G129" s="91">
        <v>0</v>
      </c>
      <c r="H129" s="91">
        <v>0</v>
      </c>
      <c r="I129" s="91">
        <v>0</v>
      </c>
      <c r="J129" s="91">
        <v>0</v>
      </c>
      <c r="K129" s="91">
        <v>0</v>
      </c>
      <c r="L129" s="91">
        <v>0</v>
      </c>
      <c r="M129" s="91">
        <v>0</v>
      </c>
      <c r="N129" s="91">
        <v>0</v>
      </c>
      <c r="O129" s="91">
        <v>0</v>
      </c>
      <c r="P129" s="91">
        <v>0</v>
      </c>
      <c r="Q129" s="91">
        <v>0</v>
      </c>
      <c r="R129" s="91">
        <v>0</v>
      </c>
      <c r="S129" s="91">
        <v>0</v>
      </c>
      <c r="T129" s="91">
        <v>0</v>
      </c>
      <c r="U129" s="91">
        <v>0</v>
      </c>
      <c r="V129" s="91">
        <v>0</v>
      </c>
      <c r="W129" s="91">
        <v>0</v>
      </c>
      <c r="X129" s="91">
        <v>0</v>
      </c>
      <c r="Y129" s="91">
        <v>0</v>
      </c>
      <c r="Z129" s="91">
        <v>0</v>
      </c>
      <c r="AA129" s="91">
        <v>0</v>
      </c>
      <c r="AB129" s="91">
        <v>0</v>
      </c>
      <c r="AC129" s="91">
        <v>0</v>
      </c>
      <c r="AD129" s="91">
        <v>0</v>
      </c>
      <c r="AE129" s="91">
        <v>0</v>
      </c>
      <c r="AF129" s="91">
        <v>0</v>
      </c>
      <c r="AG129" s="91">
        <v>0</v>
      </c>
      <c r="AH129" s="91">
        <v>0</v>
      </c>
      <c r="AI129" s="91">
        <v>0</v>
      </c>
      <c r="AJ129" s="91">
        <v>0</v>
      </c>
      <c r="AK129" s="91">
        <v>0</v>
      </c>
      <c r="AL129" s="91">
        <v>0</v>
      </c>
    </row>
    <row r="130" spans="1:38" ht="15" customHeight="1" x14ac:dyDescent="0.2">
      <c r="A130" t="s">
        <v>243</v>
      </c>
      <c r="B130" t="s">
        <v>244</v>
      </c>
      <c r="C130" s="91">
        <f>IF(1&lt;='I_Inputs &amp; Assumptions'!$B$8,IF('I_Budget Input Data'!$E$130="Upfront",IF(1=1,'I_Budget Input Data'!$D$130,0),IF('I_Budget Input Data'!$E$130="Equal",'I_Budget Input Data'!$D$130/'I_Inputs &amp; Assumptions'!$B$8,IF('I_Budget Input Data'!$E$130="Front-loaded",IF(1&lt;='I_Inputs &amp; Assumptions'!$B$8/2,'I_Budget Input Data'!$D$130*0.6/('I_Inputs &amp; Assumptions'!$B$8/2),'I_Budget Input Data'!$D$130*0.4/('I_Inputs &amp; Assumptions'!$B$8/2)),IF('I_Budget Input Data'!$E$130="Back-loaded",IF(1&lt;='I_Inputs &amp; Assumptions'!$B$8/2,'I_Budget Input Data'!$D$130*0.4/('I_Inputs &amp; Assumptions'!$B$8/2),'I_Budget Input Data'!$D$130*0.6/('I_Inputs &amp; Assumptions'!$B$8/2)),IF('I_Budget Input Data'!$E$130="Mid-weighted",IF(1&lt;='I_Inputs &amp; Assumptions'!$B$8/4,'I_Budget Input Data'!$D$130*0.2/('I_Inputs &amp; Assumptions'!$B$8/4),IF(1&lt;='I_Inputs &amp; Assumptions'!$B$8*0.75,'I_Budget Input Data'!$D$130*0.6/('I_Inputs &amp; Assumptions'!$B$8/2),'I_Budget Input Data'!$D$130*0.2/('I_Inputs &amp; Assumptions'!$B$8/4))),IF('I_Budget Input Data'!$E$130="At Completion",IF(1='I_Inputs &amp; Assumptions'!$B$8,'I_Budget Input Data'!$D$130,0),'I_Budget Input Data'!$D$130/'I_Inputs &amp; Assumptions'!$B$8)))))),0)</f>
        <v>24861.415384615386</v>
      </c>
      <c r="D130" s="91">
        <f>IF(2&lt;='I_Inputs &amp; Assumptions'!$B$8,IF('I_Budget Input Data'!$E$130="Upfront",IF(2=1,'I_Budget Input Data'!$D$130,0),IF('I_Budget Input Data'!$E$130="Equal",'I_Budget Input Data'!$D$130/'I_Inputs &amp; Assumptions'!$B$8,IF('I_Budget Input Data'!$E$130="Front-loaded",IF(2&lt;='I_Inputs &amp; Assumptions'!$B$8/2,'I_Budget Input Data'!$D$130*0.6/('I_Inputs &amp; Assumptions'!$B$8/2),'I_Budget Input Data'!$D$130*0.4/('I_Inputs &amp; Assumptions'!$B$8/2)),IF('I_Budget Input Data'!$E$130="Back-loaded",IF(2&lt;='I_Inputs &amp; Assumptions'!$B$8/2,'I_Budget Input Data'!$D$130*0.4/('I_Inputs &amp; Assumptions'!$B$8/2),'I_Budget Input Data'!$D$130*0.6/('I_Inputs &amp; Assumptions'!$B$8/2)),IF('I_Budget Input Data'!$E$130="Mid-weighted",IF(2&lt;='I_Inputs &amp; Assumptions'!$B$8/4,'I_Budget Input Data'!$D$130*0.2/('I_Inputs &amp; Assumptions'!$B$8/4),IF(2&lt;='I_Inputs &amp; Assumptions'!$B$8*0.75,'I_Budget Input Data'!$D$130*0.6/('I_Inputs &amp; Assumptions'!$B$8/2),'I_Budget Input Data'!$D$130*0.2/('I_Inputs &amp; Assumptions'!$B$8/4))),IF('I_Budget Input Data'!$E$130="At Completion",IF(2='I_Inputs &amp; Assumptions'!$B$8,'I_Budget Input Data'!$D$130,0),'I_Budget Input Data'!$D$130/'I_Inputs &amp; Assumptions'!$B$8)))))),0)</f>
        <v>24861.415384615386</v>
      </c>
      <c r="E130" s="91">
        <f>IF(3&lt;='I_Inputs &amp; Assumptions'!$B$8,IF('I_Budget Input Data'!$E$130="Upfront",IF(3=1,'I_Budget Input Data'!$D$130,0),IF('I_Budget Input Data'!$E$130="Equal",'I_Budget Input Data'!$D$130/'I_Inputs &amp; Assumptions'!$B$8,IF('I_Budget Input Data'!$E$130="Front-loaded",IF(3&lt;='I_Inputs &amp; Assumptions'!$B$8/2,'I_Budget Input Data'!$D$130*0.6/('I_Inputs &amp; Assumptions'!$B$8/2),'I_Budget Input Data'!$D$130*0.4/('I_Inputs &amp; Assumptions'!$B$8/2)),IF('I_Budget Input Data'!$E$130="Back-loaded",IF(3&lt;='I_Inputs &amp; Assumptions'!$B$8/2,'I_Budget Input Data'!$D$130*0.4/('I_Inputs &amp; Assumptions'!$B$8/2),'I_Budget Input Data'!$D$130*0.6/('I_Inputs &amp; Assumptions'!$B$8/2)),IF('I_Budget Input Data'!$E$130="Mid-weighted",IF(3&lt;='I_Inputs &amp; Assumptions'!$B$8/4,'I_Budget Input Data'!$D$130*0.2/('I_Inputs &amp; Assumptions'!$B$8/4),IF(3&lt;='I_Inputs &amp; Assumptions'!$B$8*0.75,'I_Budget Input Data'!$D$130*0.6/('I_Inputs &amp; Assumptions'!$B$8/2),'I_Budget Input Data'!$D$130*0.2/('I_Inputs &amp; Assumptions'!$B$8/4))),IF('I_Budget Input Data'!$E$130="At Completion",IF(3='I_Inputs &amp; Assumptions'!$B$8,'I_Budget Input Data'!$D$130,0),'I_Budget Input Data'!$D$130/'I_Inputs &amp; Assumptions'!$B$8)))))),0)</f>
        <v>24861.415384615386</v>
      </c>
      <c r="F130" s="91">
        <f>IF(4&lt;='I_Inputs &amp; Assumptions'!$B$8,IF('I_Budget Input Data'!$E$130="Upfront",IF(4=1,'I_Budget Input Data'!$D$130,0),IF('I_Budget Input Data'!$E$130="Equal",'I_Budget Input Data'!$D$130/'I_Inputs &amp; Assumptions'!$B$8,IF('I_Budget Input Data'!$E$130="Front-loaded",IF(4&lt;='I_Inputs &amp; Assumptions'!$B$8/2,'I_Budget Input Data'!$D$130*0.6/('I_Inputs &amp; Assumptions'!$B$8/2),'I_Budget Input Data'!$D$130*0.4/('I_Inputs &amp; Assumptions'!$B$8/2)),IF('I_Budget Input Data'!$E$130="Back-loaded",IF(4&lt;='I_Inputs &amp; Assumptions'!$B$8/2,'I_Budget Input Data'!$D$130*0.4/('I_Inputs &amp; Assumptions'!$B$8/2),'I_Budget Input Data'!$D$130*0.6/('I_Inputs &amp; Assumptions'!$B$8/2)),IF('I_Budget Input Data'!$E$130="Mid-weighted",IF(4&lt;='I_Inputs &amp; Assumptions'!$B$8/4,'I_Budget Input Data'!$D$130*0.2/('I_Inputs &amp; Assumptions'!$B$8/4),IF(4&lt;='I_Inputs &amp; Assumptions'!$B$8*0.75,'I_Budget Input Data'!$D$130*0.6/('I_Inputs &amp; Assumptions'!$B$8/2),'I_Budget Input Data'!$D$130*0.2/('I_Inputs &amp; Assumptions'!$B$8/4))),IF('I_Budget Input Data'!$E$130="At Completion",IF(4='I_Inputs &amp; Assumptions'!$B$8,'I_Budget Input Data'!$D$130,0),'I_Budget Input Data'!$D$130/'I_Inputs &amp; Assumptions'!$B$8)))))),0)</f>
        <v>24861.415384615386</v>
      </c>
      <c r="G130" s="91">
        <f>IF(5&lt;='I_Inputs &amp; Assumptions'!$B$8,IF('I_Budget Input Data'!$E$130="Upfront",IF(5=1,'I_Budget Input Data'!$D$130,0),IF('I_Budget Input Data'!$E$130="Equal",'I_Budget Input Data'!$D$130/'I_Inputs &amp; Assumptions'!$B$8,IF('I_Budget Input Data'!$E$130="Front-loaded",IF(5&lt;='I_Inputs &amp; Assumptions'!$B$8/2,'I_Budget Input Data'!$D$130*0.6/('I_Inputs &amp; Assumptions'!$B$8/2),'I_Budget Input Data'!$D$130*0.4/('I_Inputs &amp; Assumptions'!$B$8/2)),IF('I_Budget Input Data'!$E$130="Back-loaded",IF(5&lt;='I_Inputs &amp; Assumptions'!$B$8/2,'I_Budget Input Data'!$D$130*0.4/('I_Inputs &amp; Assumptions'!$B$8/2),'I_Budget Input Data'!$D$130*0.6/('I_Inputs &amp; Assumptions'!$B$8/2)),IF('I_Budget Input Data'!$E$130="Mid-weighted",IF(5&lt;='I_Inputs &amp; Assumptions'!$B$8/4,'I_Budget Input Data'!$D$130*0.2/('I_Inputs &amp; Assumptions'!$B$8/4),IF(5&lt;='I_Inputs &amp; Assumptions'!$B$8*0.75,'I_Budget Input Data'!$D$130*0.6/('I_Inputs &amp; Assumptions'!$B$8/2),'I_Budget Input Data'!$D$130*0.2/('I_Inputs &amp; Assumptions'!$B$8/4))),IF('I_Budget Input Data'!$E$130="At Completion",IF(5='I_Inputs &amp; Assumptions'!$B$8,'I_Budget Input Data'!$D$130,0),'I_Budget Input Data'!$D$130/'I_Inputs &amp; Assumptions'!$B$8)))))),0)</f>
        <v>24861.415384615386</v>
      </c>
      <c r="H130" s="91">
        <f>IF(6&lt;='I_Inputs &amp; Assumptions'!$B$8,IF('I_Budget Input Data'!$E$130="Upfront",IF(6=1,'I_Budget Input Data'!$D$130,0),IF('I_Budget Input Data'!$E$130="Equal",'I_Budget Input Data'!$D$130/'I_Inputs &amp; Assumptions'!$B$8,IF('I_Budget Input Data'!$E$130="Front-loaded",IF(6&lt;='I_Inputs &amp; Assumptions'!$B$8/2,'I_Budget Input Data'!$D$130*0.6/('I_Inputs &amp; Assumptions'!$B$8/2),'I_Budget Input Data'!$D$130*0.4/('I_Inputs &amp; Assumptions'!$B$8/2)),IF('I_Budget Input Data'!$E$130="Back-loaded",IF(6&lt;='I_Inputs &amp; Assumptions'!$B$8/2,'I_Budget Input Data'!$D$130*0.4/('I_Inputs &amp; Assumptions'!$B$8/2),'I_Budget Input Data'!$D$130*0.6/('I_Inputs &amp; Assumptions'!$B$8/2)),IF('I_Budget Input Data'!$E$130="Mid-weighted",IF(6&lt;='I_Inputs &amp; Assumptions'!$B$8/4,'I_Budget Input Data'!$D$130*0.2/('I_Inputs &amp; Assumptions'!$B$8/4),IF(6&lt;='I_Inputs &amp; Assumptions'!$B$8*0.75,'I_Budget Input Data'!$D$130*0.6/('I_Inputs &amp; Assumptions'!$B$8/2),'I_Budget Input Data'!$D$130*0.2/('I_Inputs &amp; Assumptions'!$B$8/4))),IF('I_Budget Input Data'!$E$130="At Completion",IF(6='I_Inputs &amp; Assumptions'!$B$8,'I_Budget Input Data'!$D$130,0),'I_Budget Input Data'!$D$130/'I_Inputs &amp; Assumptions'!$B$8)))))),0)</f>
        <v>24861.415384615386</v>
      </c>
      <c r="I130" s="91">
        <f>IF(7&lt;='I_Inputs &amp; Assumptions'!$B$8,IF('I_Budget Input Data'!$E$130="Upfront",IF(7=1,'I_Budget Input Data'!$D$130,0),IF('I_Budget Input Data'!$E$130="Equal",'I_Budget Input Data'!$D$130/'I_Inputs &amp; Assumptions'!$B$8,IF('I_Budget Input Data'!$E$130="Front-loaded",IF(7&lt;='I_Inputs &amp; Assumptions'!$B$8/2,'I_Budget Input Data'!$D$130*0.6/('I_Inputs &amp; Assumptions'!$B$8/2),'I_Budget Input Data'!$D$130*0.4/('I_Inputs &amp; Assumptions'!$B$8/2)),IF('I_Budget Input Data'!$E$130="Back-loaded",IF(7&lt;='I_Inputs &amp; Assumptions'!$B$8/2,'I_Budget Input Data'!$D$130*0.4/('I_Inputs &amp; Assumptions'!$B$8/2),'I_Budget Input Data'!$D$130*0.6/('I_Inputs &amp; Assumptions'!$B$8/2)),IF('I_Budget Input Data'!$E$130="Mid-weighted",IF(7&lt;='I_Inputs &amp; Assumptions'!$B$8/4,'I_Budget Input Data'!$D$130*0.2/('I_Inputs &amp; Assumptions'!$B$8/4),IF(7&lt;='I_Inputs &amp; Assumptions'!$B$8*0.75,'I_Budget Input Data'!$D$130*0.6/('I_Inputs &amp; Assumptions'!$B$8/2),'I_Budget Input Data'!$D$130*0.2/('I_Inputs &amp; Assumptions'!$B$8/4))),IF('I_Budget Input Data'!$E$130="At Completion",IF(7='I_Inputs &amp; Assumptions'!$B$8,'I_Budget Input Data'!$D$130,0),'I_Budget Input Data'!$D$130/'I_Inputs &amp; Assumptions'!$B$8)))))),0)</f>
        <v>37292.123076923075</v>
      </c>
      <c r="J130" s="91">
        <f>IF(8&lt;='I_Inputs &amp; Assumptions'!$B$8,IF('I_Budget Input Data'!$E$130="Upfront",IF(8=1,'I_Budget Input Data'!$D$130,0),IF('I_Budget Input Data'!$E$130="Equal",'I_Budget Input Data'!$D$130/'I_Inputs &amp; Assumptions'!$B$8,IF('I_Budget Input Data'!$E$130="Front-loaded",IF(8&lt;='I_Inputs &amp; Assumptions'!$B$8/2,'I_Budget Input Data'!$D$130*0.6/('I_Inputs &amp; Assumptions'!$B$8/2),'I_Budget Input Data'!$D$130*0.4/('I_Inputs &amp; Assumptions'!$B$8/2)),IF('I_Budget Input Data'!$E$130="Back-loaded",IF(8&lt;='I_Inputs &amp; Assumptions'!$B$8/2,'I_Budget Input Data'!$D$130*0.4/('I_Inputs &amp; Assumptions'!$B$8/2),'I_Budget Input Data'!$D$130*0.6/('I_Inputs &amp; Assumptions'!$B$8/2)),IF('I_Budget Input Data'!$E$130="Mid-weighted",IF(8&lt;='I_Inputs &amp; Assumptions'!$B$8/4,'I_Budget Input Data'!$D$130*0.2/('I_Inputs &amp; Assumptions'!$B$8/4),IF(8&lt;='I_Inputs &amp; Assumptions'!$B$8*0.75,'I_Budget Input Data'!$D$130*0.6/('I_Inputs &amp; Assumptions'!$B$8/2),'I_Budget Input Data'!$D$130*0.2/('I_Inputs &amp; Assumptions'!$B$8/4))),IF('I_Budget Input Data'!$E$130="At Completion",IF(8='I_Inputs &amp; Assumptions'!$B$8,'I_Budget Input Data'!$D$130,0),'I_Budget Input Data'!$D$130/'I_Inputs &amp; Assumptions'!$B$8)))))),0)</f>
        <v>37292.123076923075</v>
      </c>
      <c r="K130" s="91">
        <f>IF(9&lt;='I_Inputs &amp; Assumptions'!$B$8,IF('I_Budget Input Data'!$E$130="Upfront",IF(9=1,'I_Budget Input Data'!$D$130,0),IF('I_Budget Input Data'!$E$130="Equal",'I_Budget Input Data'!$D$130/'I_Inputs &amp; Assumptions'!$B$8,IF('I_Budget Input Data'!$E$130="Front-loaded",IF(9&lt;='I_Inputs &amp; Assumptions'!$B$8/2,'I_Budget Input Data'!$D$130*0.6/('I_Inputs &amp; Assumptions'!$B$8/2),'I_Budget Input Data'!$D$130*0.4/('I_Inputs &amp; Assumptions'!$B$8/2)),IF('I_Budget Input Data'!$E$130="Back-loaded",IF(9&lt;='I_Inputs &amp; Assumptions'!$B$8/2,'I_Budget Input Data'!$D$130*0.4/('I_Inputs &amp; Assumptions'!$B$8/2),'I_Budget Input Data'!$D$130*0.6/('I_Inputs &amp; Assumptions'!$B$8/2)),IF('I_Budget Input Data'!$E$130="Mid-weighted",IF(9&lt;='I_Inputs &amp; Assumptions'!$B$8/4,'I_Budget Input Data'!$D$130*0.2/('I_Inputs &amp; Assumptions'!$B$8/4),IF(9&lt;='I_Inputs &amp; Assumptions'!$B$8*0.75,'I_Budget Input Data'!$D$130*0.6/('I_Inputs &amp; Assumptions'!$B$8/2),'I_Budget Input Data'!$D$130*0.2/('I_Inputs &amp; Assumptions'!$B$8/4))),IF('I_Budget Input Data'!$E$130="At Completion",IF(9='I_Inputs &amp; Assumptions'!$B$8,'I_Budget Input Data'!$D$130,0),'I_Budget Input Data'!$D$130/'I_Inputs &amp; Assumptions'!$B$8)))))),0)</f>
        <v>37292.123076923075</v>
      </c>
      <c r="L130" s="91">
        <f>IF(10&lt;='I_Inputs &amp; Assumptions'!$B$8,IF('I_Budget Input Data'!$E$130="Upfront",IF(10=1,'I_Budget Input Data'!$D$130,0),IF('I_Budget Input Data'!$E$130="Equal",'I_Budget Input Data'!$D$130/'I_Inputs &amp; Assumptions'!$B$8,IF('I_Budget Input Data'!$E$130="Front-loaded",IF(10&lt;='I_Inputs &amp; Assumptions'!$B$8/2,'I_Budget Input Data'!$D$130*0.6/('I_Inputs &amp; Assumptions'!$B$8/2),'I_Budget Input Data'!$D$130*0.4/('I_Inputs &amp; Assumptions'!$B$8/2)),IF('I_Budget Input Data'!$E$130="Back-loaded",IF(10&lt;='I_Inputs &amp; Assumptions'!$B$8/2,'I_Budget Input Data'!$D$130*0.4/('I_Inputs &amp; Assumptions'!$B$8/2),'I_Budget Input Data'!$D$130*0.6/('I_Inputs &amp; Assumptions'!$B$8/2)),IF('I_Budget Input Data'!$E$130="Mid-weighted",IF(10&lt;='I_Inputs &amp; Assumptions'!$B$8/4,'I_Budget Input Data'!$D$130*0.2/('I_Inputs &amp; Assumptions'!$B$8/4),IF(10&lt;='I_Inputs &amp; Assumptions'!$B$8*0.75,'I_Budget Input Data'!$D$130*0.6/('I_Inputs &amp; Assumptions'!$B$8/2),'I_Budget Input Data'!$D$130*0.2/('I_Inputs &amp; Assumptions'!$B$8/4))),IF('I_Budget Input Data'!$E$130="At Completion",IF(10='I_Inputs &amp; Assumptions'!$B$8,'I_Budget Input Data'!$D$130,0),'I_Budget Input Data'!$D$130/'I_Inputs &amp; Assumptions'!$B$8)))))),0)</f>
        <v>37292.123076923075</v>
      </c>
      <c r="M130" s="91">
        <f>IF(11&lt;='I_Inputs &amp; Assumptions'!$B$8,IF('I_Budget Input Data'!$E$130="Upfront",IF(11=1,'I_Budget Input Data'!$D$130,0),IF('I_Budget Input Data'!$E$130="Equal",'I_Budget Input Data'!$D$130/'I_Inputs &amp; Assumptions'!$B$8,IF('I_Budget Input Data'!$E$130="Front-loaded",IF(11&lt;='I_Inputs &amp; Assumptions'!$B$8/2,'I_Budget Input Data'!$D$130*0.6/('I_Inputs &amp; Assumptions'!$B$8/2),'I_Budget Input Data'!$D$130*0.4/('I_Inputs &amp; Assumptions'!$B$8/2)),IF('I_Budget Input Data'!$E$130="Back-loaded",IF(11&lt;='I_Inputs &amp; Assumptions'!$B$8/2,'I_Budget Input Data'!$D$130*0.4/('I_Inputs &amp; Assumptions'!$B$8/2),'I_Budget Input Data'!$D$130*0.6/('I_Inputs &amp; Assumptions'!$B$8/2)),IF('I_Budget Input Data'!$E$130="Mid-weighted",IF(11&lt;='I_Inputs &amp; Assumptions'!$B$8/4,'I_Budget Input Data'!$D$130*0.2/('I_Inputs &amp; Assumptions'!$B$8/4),IF(11&lt;='I_Inputs &amp; Assumptions'!$B$8*0.75,'I_Budget Input Data'!$D$130*0.6/('I_Inputs &amp; Assumptions'!$B$8/2),'I_Budget Input Data'!$D$130*0.2/('I_Inputs &amp; Assumptions'!$B$8/4))),IF('I_Budget Input Data'!$E$130="At Completion",IF(11='I_Inputs &amp; Assumptions'!$B$8,'I_Budget Input Data'!$D$130,0),'I_Budget Input Data'!$D$130/'I_Inputs &amp; Assumptions'!$B$8)))))),0)</f>
        <v>37292.123076923075</v>
      </c>
      <c r="N130" s="91">
        <f>IF(12&lt;='I_Inputs &amp; Assumptions'!$B$8,IF('I_Budget Input Data'!$E$130="Upfront",IF(12=1,'I_Budget Input Data'!$D$130,0),IF('I_Budget Input Data'!$E$130="Equal",'I_Budget Input Data'!$D$130/'I_Inputs &amp; Assumptions'!$B$8,IF('I_Budget Input Data'!$E$130="Front-loaded",IF(12&lt;='I_Inputs &amp; Assumptions'!$B$8/2,'I_Budget Input Data'!$D$130*0.6/('I_Inputs &amp; Assumptions'!$B$8/2),'I_Budget Input Data'!$D$130*0.4/('I_Inputs &amp; Assumptions'!$B$8/2)),IF('I_Budget Input Data'!$E$130="Back-loaded",IF(12&lt;='I_Inputs &amp; Assumptions'!$B$8/2,'I_Budget Input Data'!$D$130*0.4/('I_Inputs &amp; Assumptions'!$B$8/2),'I_Budget Input Data'!$D$130*0.6/('I_Inputs &amp; Assumptions'!$B$8/2)),IF('I_Budget Input Data'!$E$130="Mid-weighted",IF(12&lt;='I_Inputs &amp; Assumptions'!$B$8/4,'I_Budget Input Data'!$D$130*0.2/('I_Inputs &amp; Assumptions'!$B$8/4),IF(12&lt;='I_Inputs &amp; Assumptions'!$B$8*0.75,'I_Budget Input Data'!$D$130*0.6/('I_Inputs &amp; Assumptions'!$B$8/2),'I_Budget Input Data'!$D$130*0.2/('I_Inputs &amp; Assumptions'!$B$8/4))),IF('I_Budget Input Data'!$E$130="At Completion",IF(12='I_Inputs &amp; Assumptions'!$B$8,'I_Budget Input Data'!$D$130,0),'I_Budget Input Data'!$D$130/'I_Inputs &amp; Assumptions'!$B$8)))))),0)</f>
        <v>37292.123076923075</v>
      </c>
      <c r="O130" s="91">
        <f>IF(13&lt;='I_Inputs &amp; Assumptions'!$B$8,IF('I_Budget Input Data'!$E$130="Upfront",IF(13=1,'I_Budget Input Data'!$D$130,0),IF('I_Budget Input Data'!$E$130="Equal",'I_Budget Input Data'!$D$130/'I_Inputs &amp; Assumptions'!$B$8,IF('I_Budget Input Data'!$E$130="Front-loaded",IF(13&lt;='I_Inputs &amp; Assumptions'!$B$8/2,'I_Budget Input Data'!$D$130*0.6/('I_Inputs &amp; Assumptions'!$B$8/2),'I_Budget Input Data'!$D$130*0.4/('I_Inputs &amp; Assumptions'!$B$8/2)),IF('I_Budget Input Data'!$E$130="Back-loaded",IF(13&lt;='I_Inputs &amp; Assumptions'!$B$8/2,'I_Budget Input Data'!$D$130*0.4/('I_Inputs &amp; Assumptions'!$B$8/2),'I_Budget Input Data'!$D$130*0.6/('I_Inputs &amp; Assumptions'!$B$8/2)),IF('I_Budget Input Data'!$E$130="Mid-weighted",IF(13&lt;='I_Inputs &amp; Assumptions'!$B$8/4,'I_Budget Input Data'!$D$130*0.2/('I_Inputs &amp; Assumptions'!$B$8/4),IF(13&lt;='I_Inputs &amp; Assumptions'!$B$8*0.75,'I_Budget Input Data'!$D$130*0.6/('I_Inputs &amp; Assumptions'!$B$8/2),'I_Budget Input Data'!$D$130*0.2/('I_Inputs &amp; Assumptions'!$B$8/4))),IF('I_Budget Input Data'!$E$130="At Completion",IF(13='I_Inputs &amp; Assumptions'!$B$8,'I_Budget Input Data'!$D$130,0),'I_Budget Input Data'!$D$130/'I_Inputs &amp; Assumptions'!$B$8)))))),0)</f>
        <v>37292.123076923075</v>
      </c>
      <c r="P130" s="91">
        <f>IF(14&lt;='I_Inputs &amp; Assumptions'!$B$8,IF('I_Budget Input Data'!$E$130="Upfront",IF(14=1,'I_Budget Input Data'!$D$130,0),IF('I_Budget Input Data'!$E$130="Equal",'I_Budget Input Data'!$D$130/'I_Inputs &amp; Assumptions'!$B$8,IF('I_Budget Input Data'!$E$130="Front-loaded",IF(14&lt;='I_Inputs &amp; Assumptions'!$B$8/2,'I_Budget Input Data'!$D$130*0.6/('I_Inputs &amp; Assumptions'!$B$8/2),'I_Budget Input Data'!$D$130*0.4/('I_Inputs &amp; Assumptions'!$B$8/2)),IF('I_Budget Input Data'!$E$130="Back-loaded",IF(14&lt;='I_Inputs &amp; Assumptions'!$B$8/2,'I_Budget Input Data'!$D$130*0.4/('I_Inputs &amp; Assumptions'!$B$8/2),'I_Budget Input Data'!$D$130*0.6/('I_Inputs &amp; Assumptions'!$B$8/2)),IF('I_Budget Input Data'!$E$130="Mid-weighted",IF(14&lt;='I_Inputs &amp; Assumptions'!$B$8/4,'I_Budget Input Data'!$D$130*0.2/('I_Inputs &amp; Assumptions'!$B$8/4),IF(14&lt;='I_Inputs &amp; Assumptions'!$B$8*0.75,'I_Budget Input Data'!$D$130*0.6/('I_Inputs &amp; Assumptions'!$B$8/2),'I_Budget Input Data'!$D$130*0.2/('I_Inputs &amp; Assumptions'!$B$8/4))),IF('I_Budget Input Data'!$E$130="At Completion",IF(14='I_Inputs &amp; Assumptions'!$B$8,'I_Budget Input Data'!$D$130,0),'I_Budget Input Data'!$D$130/'I_Inputs &amp; Assumptions'!$B$8)))))),0)</f>
        <v>0</v>
      </c>
      <c r="Q130" s="91">
        <f>IF(15&lt;='I_Inputs &amp; Assumptions'!$B$8,IF('I_Budget Input Data'!$E$130="Upfront",IF(15=1,'I_Budget Input Data'!$D$130,0),IF('I_Budget Input Data'!$E$130="Equal",'I_Budget Input Data'!$D$130/'I_Inputs &amp; Assumptions'!$B$8,IF('I_Budget Input Data'!$E$130="Front-loaded",IF(15&lt;='I_Inputs &amp; Assumptions'!$B$8/2,'I_Budget Input Data'!$D$130*0.6/('I_Inputs &amp; Assumptions'!$B$8/2),'I_Budget Input Data'!$D$130*0.4/('I_Inputs &amp; Assumptions'!$B$8/2)),IF('I_Budget Input Data'!$E$130="Back-loaded",IF(15&lt;='I_Inputs &amp; Assumptions'!$B$8/2,'I_Budget Input Data'!$D$130*0.4/('I_Inputs &amp; Assumptions'!$B$8/2),'I_Budget Input Data'!$D$130*0.6/('I_Inputs &amp; Assumptions'!$B$8/2)),IF('I_Budget Input Data'!$E$130="Mid-weighted",IF(15&lt;='I_Inputs &amp; Assumptions'!$B$8/4,'I_Budget Input Data'!$D$130*0.2/('I_Inputs &amp; Assumptions'!$B$8/4),IF(15&lt;='I_Inputs &amp; Assumptions'!$B$8*0.75,'I_Budget Input Data'!$D$130*0.6/('I_Inputs &amp; Assumptions'!$B$8/2),'I_Budget Input Data'!$D$130*0.2/('I_Inputs &amp; Assumptions'!$B$8/4))),IF('I_Budget Input Data'!$E$130="At Completion",IF(15='I_Inputs &amp; Assumptions'!$B$8,'I_Budget Input Data'!$D$130,0),'I_Budget Input Data'!$D$130/'I_Inputs &amp; Assumptions'!$B$8)))))),0)</f>
        <v>0</v>
      </c>
      <c r="R130" s="91">
        <f>IF(16&lt;='I_Inputs &amp; Assumptions'!$B$8,IF('I_Budget Input Data'!$E$130="Upfront",IF(16=1,'I_Budget Input Data'!$D$130,0),IF('I_Budget Input Data'!$E$130="Equal",'I_Budget Input Data'!$D$130/'I_Inputs &amp; Assumptions'!$B$8,IF('I_Budget Input Data'!$E$130="Front-loaded",IF(16&lt;='I_Inputs &amp; Assumptions'!$B$8/2,'I_Budget Input Data'!$D$130*0.6/('I_Inputs &amp; Assumptions'!$B$8/2),'I_Budget Input Data'!$D$130*0.4/('I_Inputs &amp; Assumptions'!$B$8/2)),IF('I_Budget Input Data'!$E$130="Back-loaded",IF(16&lt;='I_Inputs &amp; Assumptions'!$B$8/2,'I_Budget Input Data'!$D$130*0.4/('I_Inputs &amp; Assumptions'!$B$8/2),'I_Budget Input Data'!$D$130*0.6/('I_Inputs &amp; Assumptions'!$B$8/2)),IF('I_Budget Input Data'!$E$130="Mid-weighted",IF(16&lt;='I_Inputs &amp; Assumptions'!$B$8/4,'I_Budget Input Data'!$D$130*0.2/('I_Inputs &amp; Assumptions'!$B$8/4),IF(16&lt;='I_Inputs &amp; Assumptions'!$B$8*0.75,'I_Budget Input Data'!$D$130*0.6/('I_Inputs &amp; Assumptions'!$B$8/2),'I_Budget Input Data'!$D$130*0.2/('I_Inputs &amp; Assumptions'!$B$8/4))),IF('I_Budget Input Data'!$E$130="At Completion",IF(16='I_Inputs &amp; Assumptions'!$B$8,'I_Budget Input Data'!$D$130,0),'I_Budget Input Data'!$D$130/'I_Inputs &amp; Assumptions'!$B$8)))))),0)</f>
        <v>0</v>
      </c>
      <c r="S130" s="91">
        <f>IF(17&lt;='I_Inputs &amp; Assumptions'!$B$8,IF('I_Budget Input Data'!$E$130="Upfront",IF(17=1,'I_Budget Input Data'!$D$130,0),IF('I_Budget Input Data'!$E$130="Equal",'I_Budget Input Data'!$D$130/'I_Inputs &amp; Assumptions'!$B$8,IF('I_Budget Input Data'!$E$130="Front-loaded",IF(17&lt;='I_Inputs &amp; Assumptions'!$B$8/2,'I_Budget Input Data'!$D$130*0.6/('I_Inputs &amp; Assumptions'!$B$8/2),'I_Budget Input Data'!$D$130*0.4/('I_Inputs &amp; Assumptions'!$B$8/2)),IF('I_Budget Input Data'!$E$130="Back-loaded",IF(17&lt;='I_Inputs &amp; Assumptions'!$B$8/2,'I_Budget Input Data'!$D$130*0.4/('I_Inputs &amp; Assumptions'!$B$8/2),'I_Budget Input Data'!$D$130*0.6/('I_Inputs &amp; Assumptions'!$B$8/2)),IF('I_Budget Input Data'!$E$130="Mid-weighted",IF(17&lt;='I_Inputs &amp; Assumptions'!$B$8/4,'I_Budget Input Data'!$D$130*0.2/('I_Inputs &amp; Assumptions'!$B$8/4),IF(17&lt;='I_Inputs &amp; Assumptions'!$B$8*0.75,'I_Budget Input Data'!$D$130*0.6/('I_Inputs &amp; Assumptions'!$B$8/2),'I_Budget Input Data'!$D$130*0.2/('I_Inputs &amp; Assumptions'!$B$8/4))),IF('I_Budget Input Data'!$E$130="At Completion",IF(17='I_Inputs &amp; Assumptions'!$B$8,'I_Budget Input Data'!$D$130,0),'I_Budget Input Data'!$D$130/'I_Inputs &amp; Assumptions'!$B$8)))))),0)</f>
        <v>0</v>
      </c>
      <c r="T130" s="91">
        <f>IF(18&lt;='I_Inputs &amp; Assumptions'!$B$8,IF('I_Budget Input Data'!$E$130="Upfront",IF(18=1,'I_Budget Input Data'!$D$130,0),IF('I_Budget Input Data'!$E$130="Equal",'I_Budget Input Data'!$D$130/'I_Inputs &amp; Assumptions'!$B$8,IF('I_Budget Input Data'!$E$130="Front-loaded",IF(18&lt;='I_Inputs &amp; Assumptions'!$B$8/2,'I_Budget Input Data'!$D$130*0.6/('I_Inputs &amp; Assumptions'!$B$8/2),'I_Budget Input Data'!$D$130*0.4/('I_Inputs &amp; Assumptions'!$B$8/2)),IF('I_Budget Input Data'!$E$130="Back-loaded",IF(18&lt;='I_Inputs &amp; Assumptions'!$B$8/2,'I_Budget Input Data'!$D$130*0.4/('I_Inputs &amp; Assumptions'!$B$8/2),'I_Budget Input Data'!$D$130*0.6/('I_Inputs &amp; Assumptions'!$B$8/2)),IF('I_Budget Input Data'!$E$130="Mid-weighted",IF(18&lt;='I_Inputs &amp; Assumptions'!$B$8/4,'I_Budget Input Data'!$D$130*0.2/('I_Inputs &amp; Assumptions'!$B$8/4),IF(18&lt;='I_Inputs &amp; Assumptions'!$B$8*0.75,'I_Budget Input Data'!$D$130*0.6/('I_Inputs &amp; Assumptions'!$B$8/2),'I_Budget Input Data'!$D$130*0.2/('I_Inputs &amp; Assumptions'!$B$8/4))),IF('I_Budget Input Data'!$E$130="At Completion",IF(18='I_Inputs &amp; Assumptions'!$B$8,'I_Budget Input Data'!$D$130,0),'I_Budget Input Data'!$D$130/'I_Inputs &amp; Assumptions'!$B$8)))))),0)</f>
        <v>0</v>
      </c>
      <c r="U130" s="91">
        <f>IF(19&lt;='I_Inputs &amp; Assumptions'!$B$8,IF('I_Budget Input Data'!$E$130="Upfront",IF(19=1,'I_Budget Input Data'!$D$130,0),IF('I_Budget Input Data'!$E$130="Equal",'I_Budget Input Data'!$D$130/'I_Inputs &amp; Assumptions'!$B$8,IF('I_Budget Input Data'!$E$130="Front-loaded",IF(19&lt;='I_Inputs &amp; Assumptions'!$B$8/2,'I_Budget Input Data'!$D$130*0.6/('I_Inputs &amp; Assumptions'!$B$8/2),'I_Budget Input Data'!$D$130*0.4/('I_Inputs &amp; Assumptions'!$B$8/2)),IF('I_Budget Input Data'!$E$130="Back-loaded",IF(19&lt;='I_Inputs &amp; Assumptions'!$B$8/2,'I_Budget Input Data'!$D$130*0.4/('I_Inputs &amp; Assumptions'!$B$8/2),'I_Budget Input Data'!$D$130*0.6/('I_Inputs &amp; Assumptions'!$B$8/2)),IF('I_Budget Input Data'!$E$130="Mid-weighted",IF(19&lt;='I_Inputs &amp; Assumptions'!$B$8/4,'I_Budget Input Data'!$D$130*0.2/('I_Inputs &amp; Assumptions'!$B$8/4),IF(19&lt;='I_Inputs &amp; Assumptions'!$B$8*0.75,'I_Budget Input Data'!$D$130*0.6/('I_Inputs &amp; Assumptions'!$B$8/2),'I_Budget Input Data'!$D$130*0.2/('I_Inputs &amp; Assumptions'!$B$8/4))),IF('I_Budget Input Data'!$E$130="At Completion",IF(19='I_Inputs &amp; Assumptions'!$B$8,'I_Budget Input Data'!$D$130,0),'I_Budget Input Data'!$D$130/'I_Inputs &amp; Assumptions'!$B$8)))))),0)</f>
        <v>0</v>
      </c>
      <c r="V130" s="91">
        <f>IF(20&lt;='I_Inputs &amp; Assumptions'!$B$8,IF('I_Budget Input Data'!$E$130="Upfront",IF(20=1,'I_Budget Input Data'!$D$130,0),IF('I_Budget Input Data'!$E$130="Equal",'I_Budget Input Data'!$D$130/'I_Inputs &amp; Assumptions'!$B$8,IF('I_Budget Input Data'!$E$130="Front-loaded",IF(20&lt;='I_Inputs &amp; Assumptions'!$B$8/2,'I_Budget Input Data'!$D$130*0.6/('I_Inputs &amp; Assumptions'!$B$8/2),'I_Budget Input Data'!$D$130*0.4/('I_Inputs &amp; Assumptions'!$B$8/2)),IF('I_Budget Input Data'!$E$130="Back-loaded",IF(20&lt;='I_Inputs &amp; Assumptions'!$B$8/2,'I_Budget Input Data'!$D$130*0.4/('I_Inputs &amp; Assumptions'!$B$8/2),'I_Budget Input Data'!$D$130*0.6/('I_Inputs &amp; Assumptions'!$B$8/2)),IF('I_Budget Input Data'!$E$130="Mid-weighted",IF(20&lt;='I_Inputs &amp; Assumptions'!$B$8/4,'I_Budget Input Data'!$D$130*0.2/('I_Inputs &amp; Assumptions'!$B$8/4),IF(20&lt;='I_Inputs &amp; Assumptions'!$B$8*0.75,'I_Budget Input Data'!$D$130*0.6/('I_Inputs &amp; Assumptions'!$B$8/2),'I_Budget Input Data'!$D$130*0.2/('I_Inputs &amp; Assumptions'!$B$8/4))),IF('I_Budget Input Data'!$E$130="At Completion",IF(20='I_Inputs &amp; Assumptions'!$B$8,'I_Budget Input Data'!$D$130,0),'I_Budget Input Data'!$D$130/'I_Inputs &amp; Assumptions'!$B$8)))))),0)</f>
        <v>0</v>
      </c>
      <c r="W130" s="91">
        <f>IF(21&lt;='I_Inputs &amp; Assumptions'!$B$8,IF('I_Budget Input Data'!$E$130="Upfront",IF(21=1,'I_Budget Input Data'!$D$130,0),IF('I_Budget Input Data'!$E$130="Equal",'I_Budget Input Data'!$D$130/'I_Inputs &amp; Assumptions'!$B$8,IF('I_Budget Input Data'!$E$130="Front-loaded",IF(21&lt;='I_Inputs &amp; Assumptions'!$B$8/2,'I_Budget Input Data'!$D$130*0.6/('I_Inputs &amp; Assumptions'!$B$8/2),'I_Budget Input Data'!$D$130*0.4/('I_Inputs &amp; Assumptions'!$B$8/2)),IF('I_Budget Input Data'!$E$130="Back-loaded",IF(21&lt;='I_Inputs &amp; Assumptions'!$B$8/2,'I_Budget Input Data'!$D$130*0.4/('I_Inputs &amp; Assumptions'!$B$8/2),'I_Budget Input Data'!$D$130*0.6/('I_Inputs &amp; Assumptions'!$B$8/2)),IF('I_Budget Input Data'!$E$130="Mid-weighted",IF(21&lt;='I_Inputs &amp; Assumptions'!$B$8/4,'I_Budget Input Data'!$D$130*0.2/('I_Inputs &amp; Assumptions'!$B$8/4),IF(21&lt;='I_Inputs &amp; Assumptions'!$B$8*0.75,'I_Budget Input Data'!$D$130*0.6/('I_Inputs &amp; Assumptions'!$B$8/2),'I_Budget Input Data'!$D$130*0.2/('I_Inputs &amp; Assumptions'!$B$8/4))),IF('I_Budget Input Data'!$E$130="At Completion",IF(21='I_Inputs &amp; Assumptions'!$B$8,'I_Budget Input Data'!$D$130,0),'I_Budget Input Data'!$D$130/'I_Inputs &amp; Assumptions'!$B$8)))))),0)</f>
        <v>0</v>
      </c>
      <c r="X130" s="91">
        <f>IF(22&lt;='I_Inputs &amp; Assumptions'!$B$8,IF('I_Budget Input Data'!$E$130="Upfront",IF(22=1,'I_Budget Input Data'!$D$130,0),IF('I_Budget Input Data'!$E$130="Equal",'I_Budget Input Data'!$D$130/'I_Inputs &amp; Assumptions'!$B$8,IF('I_Budget Input Data'!$E$130="Front-loaded",IF(22&lt;='I_Inputs &amp; Assumptions'!$B$8/2,'I_Budget Input Data'!$D$130*0.6/('I_Inputs &amp; Assumptions'!$B$8/2),'I_Budget Input Data'!$D$130*0.4/('I_Inputs &amp; Assumptions'!$B$8/2)),IF('I_Budget Input Data'!$E$130="Back-loaded",IF(22&lt;='I_Inputs &amp; Assumptions'!$B$8/2,'I_Budget Input Data'!$D$130*0.4/('I_Inputs &amp; Assumptions'!$B$8/2),'I_Budget Input Data'!$D$130*0.6/('I_Inputs &amp; Assumptions'!$B$8/2)),IF('I_Budget Input Data'!$E$130="Mid-weighted",IF(22&lt;='I_Inputs &amp; Assumptions'!$B$8/4,'I_Budget Input Data'!$D$130*0.2/('I_Inputs &amp; Assumptions'!$B$8/4),IF(22&lt;='I_Inputs &amp; Assumptions'!$B$8*0.75,'I_Budget Input Data'!$D$130*0.6/('I_Inputs &amp; Assumptions'!$B$8/2),'I_Budget Input Data'!$D$130*0.2/('I_Inputs &amp; Assumptions'!$B$8/4))),IF('I_Budget Input Data'!$E$130="At Completion",IF(22='I_Inputs &amp; Assumptions'!$B$8,'I_Budget Input Data'!$D$130,0),'I_Budget Input Data'!$D$130/'I_Inputs &amp; Assumptions'!$B$8)))))),0)</f>
        <v>0</v>
      </c>
      <c r="Y130" s="91">
        <f>IF(23&lt;='I_Inputs &amp; Assumptions'!$B$8,IF('I_Budget Input Data'!$E$130="Upfront",IF(23=1,'I_Budget Input Data'!$D$130,0),IF('I_Budget Input Data'!$E$130="Equal",'I_Budget Input Data'!$D$130/'I_Inputs &amp; Assumptions'!$B$8,IF('I_Budget Input Data'!$E$130="Front-loaded",IF(23&lt;='I_Inputs &amp; Assumptions'!$B$8/2,'I_Budget Input Data'!$D$130*0.6/('I_Inputs &amp; Assumptions'!$B$8/2),'I_Budget Input Data'!$D$130*0.4/('I_Inputs &amp; Assumptions'!$B$8/2)),IF('I_Budget Input Data'!$E$130="Back-loaded",IF(23&lt;='I_Inputs &amp; Assumptions'!$B$8/2,'I_Budget Input Data'!$D$130*0.4/('I_Inputs &amp; Assumptions'!$B$8/2),'I_Budget Input Data'!$D$130*0.6/('I_Inputs &amp; Assumptions'!$B$8/2)),IF('I_Budget Input Data'!$E$130="Mid-weighted",IF(23&lt;='I_Inputs &amp; Assumptions'!$B$8/4,'I_Budget Input Data'!$D$130*0.2/('I_Inputs &amp; Assumptions'!$B$8/4),IF(23&lt;='I_Inputs &amp; Assumptions'!$B$8*0.75,'I_Budget Input Data'!$D$130*0.6/('I_Inputs &amp; Assumptions'!$B$8/2),'I_Budget Input Data'!$D$130*0.2/('I_Inputs &amp; Assumptions'!$B$8/4))),IF('I_Budget Input Data'!$E$130="At Completion",IF(23='I_Inputs &amp; Assumptions'!$B$8,'I_Budget Input Data'!$D$130,0),'I_Budget Input Data'!$D$130/'I_Inputs &amp; Assumptions'!$B$8)))))),0)</f>
        <v>0</v>
      </c>
      <c r="Z130" s="91">
        <f>IF(24&lt;='I_Inputs &amp; Assumptions'!$B$8,IF('I_Budget Input Data'!$E$130="Upfront",IF(24=1,'I_Budget Input Data'!$D$130,0),IF('I_Budget Input Data'!$E$130="Equal",'I_Budget Input Data'!$D$130/'I_Inputs &amp; Assumptions'!$B$8,IF('I_Budget Input Data'!$E$130="Front-loaded",IF(24&lt;='I_Inputs &amp; Assumptions'!$B$8/2,'I_Budget Input Data'!$D$130*0.6/('I_Inputs &amp; Assumptions'!$B$8/2),'I_Budget Input Data'!$D$130*0.4/('I_Inputs &amp; Assumptions'!$B$8/2)),IF('I_Budget Input Data'!$E$130="Back-loaded",IF(24&lt;='I_Inputs &amp; Assumptions'!$B$8/2,'I_Budget Input Data'!$D$130*0.4/('I_Inputs &amp; Assumptions'!$B$8/2),'I_Budget Input Data'!$D$130*0.6/('I_Inputs &amp; Assumptions'!$B$8/2)),IF('I_Budget Input Data'!$E$130="Mid-weighted",IF(24&lt;='I_Inputs &amp; Assumptions'!$B$8/4,'I_Budget Input Data'!$D$130*0.2/('I_Inputs &amp; Assumptions'!$B$8/4),IF(24&lt;='I_Inputs &amp; Assumptions'!$B$8*0.75,'I_Budget Input Data'!$D$130*0.6/('I_Inputs &amp; Assumptions'!$B$8/2),'I_Budget Input Data'!$D$130*0.2/('I_Inputs &amp; Assumptions'!$B$8/4))),IF('I_Budget Input Data'!$E$130="At Completion",IF(24='I_Inputs &amp; Assumptions'!$B$8,'I_Budget Input Data'!$D$130,0),'I_Budget Input Data'!$D$130/'I_Inputs &amp; Assumptions'!$B$8)))))),0)</f>
        <v>0</v>
      </c>
      <c r="AA130" s="91">
        <f>IF(25&lt;='I_Inputs &amp; Assumptions'!$B$8,IF('I_Budget Input Data'!$E$130="Upfront",IF(25=1,'I_Budget Input Data'!$D$130,0),IF('I_Budget Input Data'!$E$130="Equal",'I_Budget Input Data'!$D$130/'I_Inputs &amp; Assumptions'!$B$8,IF('I_Budget Input Data'!$E$130="Front-loaded",IF(25&lt;='I_Inputs &amp; Assumptions'!$B$8/2,'I_Budget Input Data'!$D$130*0.6/('I_Inputs &amp; Assumptions'!$B$8/2),'I_Budget Input Data'!$D$130*0.4/('I_Inputs &amp; Assumptions'!$B$8/2)),IF('I_Budget Input Data'!$E$130="Back-loaded",IF(25&lt;='I_Inputs &amp; Assumptions'!$B$8/2,'I_Budget Input Data'!$D$130*0.4/('I_Inputs &amp; Assumptions'!$B$8/2),'I_Budget Input Data'!$D$130*0.6/('I_Inputs &amp; Assumptions'!$B$8/2)),IF('I_Budget Input Data'!$E$130="Mid-weighted",IF(25&lt;='I_Inputs &amp; Assumptions'!$B$8/4,'I_Budget Input Data'!$D$130*0.2/('I_Inputs &amp; Assumptions'!$B$8/4),IF(25&lt;='I_Inputs &amp; Assumptions'!$B$8*0.75,'I_Budget Input Data'!$D$130*0.6/('I_Inputs &amp; Assumptions'!$B$8/2),'I_Budget Input Data'!$D$130*0.2/('I_Inputs &amp; Assumptions'!$B$8/4))),IF('I_Budget Input Data'!$E$130="At Completion",IF(25='I_Inputs &amp; Assumptions'!$B$8,'I_Budget Input Data'!$D$130,0),'I_Budget Input Data'!$D$130/'I_Inputs &amp; Assumptions'!$B$8)))))),0)</f>
        <v>0</v>
      </c>
      <c r="AB130" s="91">
        <f>IF(26&lt;='I_Inputs &amp; Assumptions'!$B$8,IF('I_Budget Input Data'!$E$130="Upfront",IF(26=1,'I_Budget Input Data'!$D$130,0),IF('I_Budget Input Data'!$E$130="Equal",'I_Budget Input Data'!$D$130/'I_Inputs &amp; Assumptions'!$B$8,IF('I_Budget Input Data'!$E$130="Front-loaded",IF(26&lt;='I_Inputs &amp; Assumptions'!$B$8/2,'I_Budget Input Data'!$D$130*0.6/('I_Inputs &amp; Assumptions'!$B$8/2),'I_Budget Input Data'!$D$130*0.4/('I_Inputs &amp; Assumptions'!$B$8/2)),IF('I_Budget Input Data'!$E$130="Back-loaded",IF(26&lt;='I_Inputs &amp; Assumptions'!$B$8/2,'I_Budget Input Data'!$D$130*0.4/('I_Inputs &amp; Assumptions'!$B$8/2),'I_Budget Input Data'!$D$130*0.6/('I_Inputs &amp; Assumptions'!$B$8/2)),IF('I_Budget Input Data'!$E$130="Mid-weighted",IF(26&lt;='I_Inputs &amp; Assumptions'!$B$8/4,'I_Budget Input Data'!$D$130*0.2/('I_Inputs &amp; Assumptions'!$B$8/4),IF(26&lt;='I_Inputs &amp; Assumptions'!$B$8*0.75,'I_Budget Input Data'!$D$130*0.6/('I_Inputs &amp; Assumptions'!$B$8/2),'I_Budget Input Data'!$D$130*0.2/('I_Inputs &amp; Assumptions'!$B$8/4))),IF('I_Budget Input Data'!$E$130="At Completion",IF(26='I_Inputs &amp; Assumptions'!$B$8,'I_Budget Input Data'!$D$130,0),'I_Budget Input Data'!$D$130/'I_Inputs &amp; Assumptions'!$B$8)))))),0)</f>
        <v>0</v>
      </c>
      <c r="AC130" s="91">
        <f>IF(27&lt;='I_Inputs &amp; Assumptions'!$B$8,IF('I_Budget Input Data'!$E$130="Upfront",IF(27=1,'I_Budget Input Data'!$D$130,0),IF('I_Budget Input Data'!$E$130="Equal",'I_Budget Input Data'!$D$130/'I_Inputs &amp; Assumptions'!$B$8,IF('I_Budget Input Data'!$E$130="Front-loaded",IF(27&lt;='I_Inputs &amp; Assumptions'!$B$8/2,'I_Budget Input Data'!$D$130*0.6/('I_Inputs &amp; Assumptions'!$B$8/2),'I_Budget Input Data'!$D$130*0.4/('I_Inputs &amp; Assumptions'!$B$8/2)),IF('I_Budget Input Data'!$E$130="Back-loaded",IF(27&lt;='I_Inputs &amp; Assumptions'!$B$8/2,'I_Budget Input Data'!$D$130*0.4/('I_Inputs &amp; Assumptions'!$B$8/2),'I_Budget Input Data'!$D$130*0.6/('I_Inputs &amp; Assumptions'!$B$8/2)),IF('I_Budget Input Data'!$E$130="Mid-weighted",IF(27&lt;='I_Inputs &amp; Assumptions'!$B$8/4,'I_Budget Input Data'!$D$130*0.2/('I_Inputs &amp; Assumptions'!$B$8/4),IF(27&lt;='I_Inputs &amp; Assumptions'!$B$8*0.75,'I_Budget Input Data'!$D$130*0.6/('I_Inputs &amp; Assumptions'!$B$8/2),'I_Budget Input Data'!$D$130*0.2/('I_Inputs &amp; Assumptions'!$B$8/4))),IF('I_Budget Input Data'!$E$130="At Completion",IF(27='I_Inputs &amp; Assumptions'!$B$8,'I_Budget Input Data'!$D$130,0),'I_Budget Input Data'!$D$130/'I_Inputs &amp; Assumptions'!$B$8)))))),0)</f>
        <v>0</v>
      </c>
      <c r="AD130" s="91">
        <f>IF(28&lt;='I_Inputs &amp; Assumptions'!$B$8,IF('I_Budget Input Data'!$E$130="Upfront",IF(28=1,'I_Budget Input Data'!$D$130,0),IF('I_Budget Input Data'!$E$130="Equal",'I_Budget Input Data'!$D$130/'I_Inputs &amp; Assumptions'!$B$8,IF('I_Budget Input Data'!$E$130="Front-loaded",IF(28&lt;='I_Inputs &amp; Assumptions'!$B$8/2,'I_Budget Input Data'!$D$130*0.6/('I_Inputs &amp; Assumptions'!$B$8/2),'I_Budget Input Data'!$D$130*0.4/('I_Inputs &amp; Assumptions'!$B$8/2)),IF('I_Budget Input Data'!$E$130="Back-loaded",IF(28&lt;='I_Inputs &amp; Assumptions'!$B$8/2,'I_Budget Input Data'!$D$130*0.4/('I_Inputs &amp; Assumptions'!$B$8/2),'I_Budget Input Data'!$D$130*0.6/('I_Inputs &amp; Assumptions'!$B$8/2)),IF('I_Budget Input Data'!$E$130="Mid-weighted",IF(28&lt;='I_Inputs &amp; Assumptions'!$B$8/4,'I_Budget Input Data'!$D$130*0.2/('I_Inputs &amp; Assumptions'!$B$8/4),IF(28&lt;='I_Inputs &amp; Assumptions'!$B$8*0.75,'I_Budget Input Data'!$D$130*0.6/('I_Inputs &amp; Assumptions'!$B$8/2),'I_Budget Input Data'!$D$130*0.2/('I_Inputs &amp; Assumptions'!$B$8/4))),IF('I_Budget Input Data'!$E$130="At Completion",IF(28='I_Inputs &amp; Assumptions'!$B$8,'I_Budget Input Data'!$D$130,0),'I_Budget Input Data'!$D$130/'I_Inputs &amp; Assumptions'!$B$8)))))),0)</f>
        <v>0</v>
      </c>
      <c r="AE130" s="91">
        <f>IF(29&lt;='I_Inputs &amp; Assumptions'!$B$8,IF('I_Budget Input Data'!$E$130="Upfront",IF(29=1,'I_Budget Input Data'!$D$130,0),IF('I_Budget Input Data'!$E$130="Equal",'I_Budget Input Data'!$D$130/'I_Inputs &amp; Assumptions'!$B$8,IF('I_Budget Input Data'!$E$130="Front-loaded",IF(29&lt;='I_Inputs &amp; Assumptions'!$B$8/2,'I_Budget Input Data'!$D$130*0.6/('I_Inputs &amp; Assumptions'!$B$8/2),'I_Budget Input Data'!$D$130*0.4/('I_Inputs &amp; Assumptions'!$B$8/2)),IF('I_Budget Input Data'!$E$130="Back-loaded",IF(29&lt;='I_Inputs &amp; Assumptions'!$B$8/2,'I_Budget Input Data'!$D$130*0.4/('I_Inputs &amp; Assumptions'!$B$8/2),'I_Budget Input Data'!$D$130*0.6/('I_Inputs &amp; Assumptions'!$B$8/2)),IF('I_Budget Input Data'!$E$130="Mid-weighted",IF(29&lt;='I_Inputs &amp; Assumptions'!$B$8/4,'I_Budget Input Data'!$D$130*0.2/('I_Inputs &amp; Assumptions'!$B$8/4),IF(29&lt;='I_Inputs &amp; Assumptions'!$B$8*0.75,'I_Budget Input Data'!$D$130*0.6/('I_Inputs &amp; Assumptions'!$B$8/2),'I_Budget Input Data'!$D$130*0.2/('I_Inputs &amp; Assumptions'!$B$8/4))),IF('I_Budget Input Data'!$E$130="At Completion",IF(29='I_Inputs &amp; Assumptions'!$B$8,'I_Budget Input Data'!$D$130,0),'I_Budget Input Data'!$D$130/'I_Inputs &amp; Assumptions'!$B$8)))))),0)</f>
        <v>0</v>
      </c>
      <c r="AF130" s="91">
        <f>IF(30&lt;='I_Inputs &amp; Assumptions'!$B$8,IF('I_Budget Input Data'!$E$130="Upfront",IF(30=1,'I_Budget Input Data'!$D$130,0),IF('I_Budget Input Data'!$E$130="Equal",'I_Budget Input Data'!$D$130/'I_Inputs &amp; Assumptions'!$B$8,IF('I_Budget Input Data'!$E$130="Front-loaded",IF(30&lt;='I_Inputs &amp; Assumptions'!$B$8/2,'I_Budget Input Data'!$D$130*0.6/('I_Inputs &amp; Assumptions'!$B$8/2),'I_Budget Input Data'!$D$130*0.4/('I_Inputs &amp; Assumptions'!$B$8/2)),IF('I_Budget Input Data'!$E$130="Back-loaded",IF(30&lt;='I_Inputs &amp; Assumptions'!$B$8/2,'I_Budget Input Data'!$D$130*0.4/('I_Inputs &amp; Assumptions'!$B$8/2),'I_Budget Input Data'!$D$130*0.6/('I_Inputs &amp; Assumptions'!$B$8/2)),IF('I_Budget Input Data'!$E$130="Mid-weighted",IF(30&lt;='I_Inputs &amp; Assumptions'!$B$8/4,'I_Budget Input Data'!$D$130*0.2/('I_Inputs &amp; Assumptions'!$B$8/4),IF(30&lt;='I_Inputs &amp; Assumptions'!$B$8*0.75,'I_Budget Input Data'!$D$130*0.6/('I_Inputs &amp; Assumptions'!$B$8/2),'I_Budget Input Data'!$D$130*0.2/('I_Inputs &amp; Assumptions'!$B$8/4))),IF('I_Budget Input Data'!$E$130="At Completion",IF(30='I_Inputs &amp; Assumptions'!$B$8,'I_Budget Input Data'!$D$130,0),'I_Budget Input Data'!$D$130/'I_Inputs &amp; Assumptions'!$B$8)))))),0)</f>
        <v>0</v>
      </c>
      <c r="AG130" s="91">
        <f>IF(31&lt;='I_Inputs &amp; Assumptions'!$B$8,IF('I_Budget Input Data'!$E$130="Upfront",IF(31=1,'I_Budget Input Data'!$D$130,0),IF('I_Budget Input Data'!$E$130="Equal",'I_Budget Input Data'!$D$130/'I_Inputs &amp; Assumptions'!$B$8,IF('I_Budget Input Data'!$E$130="Front-loaded",IF(31&lt;='I_Inputs &amp; Assumptions'!$B$8/2,'I_Budget Input Data'!$D$130*0.6/('I_Inputs &amp; Assumptions'!$B$8/2),'I_Budget Input Data'!$D$130*0.4/('I_Inputs &amp; Assumptions'!$B$8/2)),IF('I_Budget Input Data'!$E$130="Back-loaded",IF(31&lt;='I_Inputs &amp; Assumptions'!$B$8/2,'I_Budget Input Data'!$D$130*0.4/('I_Inputs &amp; Assumptions'!$B$8/2),'I_Budget Input Data'!$D$130*0.6/('I_Inputs &amp; Assumptions'!$B$8/2)),IF('I_Budget Input Data'!$E$130="Mid-weighted",IF(31&lt;='I_Inputs &amp; Assumptions'!$B$8/4,'I_Budget Input Data'!$D$130*0.2/('I_Inputs &amp; Assumptions'!$B$8/4),IF(31&lt;='I_Inputs &amp; Assumptions'!$B$8*0.75,'I_Budget Input Data'!$D$130*0.6/('I_Inputs &amp; Assumptions'!$B$8/2),'I_Budget Input Data'!$D$130*0.2/('I_Inputs &amp; Assumptions'!$B$8/4))),IF('I_Budget Input Data'!$E$130="At Completion",IF(31='I_Inputs &amp; Assumptions'!$B$8,'I_Budget Input Data'!$D$130,0),'I_Budget Input Data'!$D$130/'I_Inputs &amp; Assumptions'!$B$8)))))),0)</f>
        <v>0</v>
      </c>
      <c r="AH130" s="91">
        <f>IF(32&lt;='I_Inputs &amp; Assumptions'!$B$8,IF('I_Budget Input Data'!$E$130="Upfront",IF(32=1,'I_Budget Input Data'!$D$130,0),IF('I_Budget Input Data'!$E$130="Equal",'I_Budget Input Data'!$D$130/'I_Inputs &amp; Assumptions'!$B$8,IF('I_Budget Input Data'!$E$130="Front-loaded",IF(32&lt;='I_Inputs &amp; Assumptions'!$B$8/2,'I_Budget Input Data'!$D$130*0.6/('I_Inputs &amp; Assumptions'!$B$8/2),'I_Budget Input Data'!$D$130*0.4/('I_Inputs &amp; Assumptions'!$B$8/2)),IF('I_Budget Input Data'!$E$130="Back-loaded",IF(32&lt;='I_Inputs &amp; Assumptions'!$B$8/2,'I_Budget Input Data'!$D$130*0.4/('I_Inputs &amp; Assumptions'!$B$8/2),'I_Budget Input Data'!$D$130*0.6/('I_Inputs &amp; Assumptions'!$B$8/2)),IF('I_Budget Input Data'!$E$130="Mid-weighted",IF(32&lt;='I_Inputs &amp; Assumptions'!$B$8/4,'I_Budget Input Data'!$D$130*0.2/('I_Inputs &amp; Assumptions'!$B$8/4),IF(32&lt;='I_Inputs &amp; Assumptions'!$B$8*0.75,'I_Budget Input Data'!$D$130*0.6/('I_Inputs &amp; Assumptions'!$B$8/2),'I_Budget Input Data'!$D$130*0.2/('I_Inputs &amp; Assumptions'!$B$8/4))),IF('I_Budget Input Data'!$E$130="At Completion",IF(32='I_Inputs &amp; Assumptions'!$B$8,'I_Budget Input Data'!$D$130,0),'I_Budget Input Data'!$D$130/'I_Inputs &amp; Assumptions'!$B$8)))))),0)</f>
        <v>0</v>
      </c>
      <c r="AI130" s="91">
        <f>IF(33&lt;='I_Inputs &amp; Assumptions'!$B$8,IF('I_Budget Input Data'!$E$130="Upfront",IF(33=1,'I_Budget Input Data'!$D$130,0),IF('I_Budget Input Data'!$E$130="Equal",'I_Budget Input Data'!$D$130/'I_Inputs &amp; Assumptions'!$B$8,IF('I_Budget Input Data'!$E$130="Front-loaded",IF(33&lt;='I_Inputs &amp; Assumptions'!$B$8/2,'I_Budget Input Data'!$D$130*0.6/('I_Inputs &amp; Assumptions'!$B$8/2),'I_Budget Input Data'!$D$130*0.4/('I_Inputs &amp; Assumptions'!$B$8/2)),IF('I_Budget Input Data'!$E$130="Back-loaded",IF(33&lt;='I_Inputs &amp; Assumptions'!$B$8/2,'I_Budget Input Data'!$D$130*0.4/('I_Inputs &amp; Assumptions'!$B$8/2),'I_Budget Input Data'!$D$130*0.6/('I_Inputs &amp; Assumptions'!$B$8/2)),IF('I_Budget Input Data'!$E$130="Mid-weighted",IF(33&lt;='I_Inputs &amp; Assumptions'!$B$8/4,'I_Budget Input Data'!$D$130*0.2/('I_Inputs &amp; Assumptions'!$B$8/4),IF(33&lt;='I_Inputs &amp; Assumptions'!$B$8*0.75,'I_Budget Input Data'!$D$130*0.6/('I_Inputs &amp; Assumptions'!$B$8/2),'I_Budget Input Data'!$D$130*0.2/('I_Inputs &amp; Assumptions'!$B$8/4))),IF('I_Budget Input Data'!$E$130="At Completion",IF(33='I_Inputs &amp; Assumptions'!$B$8,'I_Budget Input Data'!$D$130,0),'I_Budget Input Data'!$D$130/'I_Inputs &amp; Assumptions'!$B$8)))))),0)</f>
        <v>0</v>
      </c>
      <c r="AJ130" s="91">
        <f>IF(34&lt;='I_Inputs &amp; Assumptions'!$B$8,IF('I_Budget Input Data'!$E$130="Upfront",IF(34=1,'I_Budget Input Data'!$D$130,0),IF('I_Budget Input Data'!$E$130="Equal",'I_Budget Input Data'!$D$130/'I_Inputs &amp; Assumptions'!$B$8,IF('I_Budget Input Data'!$E$130="Front-loaded",IF(34&lt;='I_Inputs &amp; Assumptions'!$B$8/2,'I_Budget Input Data'!$D$130*0.6/('I_Inputs &amp; Assumptions'!$B$8/2),'I_Budget Input Data'!$D$130*0.4/('I_Inputs &amp; Assumptions'!$B$8/2)),IF('I_Budget Input Data'!$E$130="Back-loaded",IF(34&lt;='I_Inputs &amp; Assumptions'!$B$8/2,'I_Budget Input Data'!$D$130*0.4/('I_Inputs &amp; Assumptions'!$B$8/2),'I_Budget Input Data'!$D$130*0.6/('I_Inputs &amp; Assumptions'!$B$8/2)),IF('I_Budget Input Data'!$E$130="Mid-weighted",IF(34&lt;='I_Inputs &amp; Assumptions'!$B$8/4,'I_Budget Input Data'!$D$130*0.2/('I_Inputs &amp; Assumptions'!$B$8/4),IF(34&lt;='I_Inputs &amp; Assumptions'!$B$8*0.75,'I_Budget Input Data'!$D$130*0.6/('I_Inputs &amp; Assumptions'!$B$8/2),'I_Budget Input Data'!$D$130*0.2/('I_Inputs &amp; Assumptions'!$B$8/4))),IF('I_Budget Input Data'!$E$130="At Completion",IF(34='I_Inputs &amp; Assumptions'!$B$8,'I_Budget Input Data'!$D$130,0),'I_Budget Input Data'!$D$130/'I_Inputs &amp; Assumptions'!$B$8)))))),0)</f>
        <v>0</v>
      </c>
      <c r="AK130" s="91">
        <f>IF(35&lt;='I_Inputs &amp; Assumptions'!$B$8,IF('I_Budget Input Data'!$E$130="Upfront",IF(35=1,'I_Budget Input Data'!$D$130,0),IF('I_Budget Input Data'!$E$130="Equal",'I_Budget Input Data'!$D$130/'I_Inputs &amp; Assumptions'!$B$8,IF('I_Budget Input Data'!$E$130="Front-loaded",IF(35&lt;='I_Inputs &amp; Assumptions'!$B$8/2,'I_Budget Input Data'!$D$130*0.6/('I_Inputs &amp; Assumptions'!$B$8/2),'I_Budget Input Data'!$D$130*0.4/('I_Inputs &amp; Assumptions'!$B$8/2)),IF('I_Budget Input Data'!$E$130="Back-loaded",IF(35&lt;='I_Inputs &amp; Assumptions'!$B$8/2,'I_Budget Input Data'!$D$130*0.4/('I_Inputs &amp; Assumptions'!$B$8/2),'I_Budget Input Data'!$D$130*0.6/('I_Inputs &amp; Assumptions'!$B$8/2)),IF('I_Budget Input Data'!$E$130="Mid-weighted",IF(35&lt;='I_Inputs &amp; Assumptions'!$B$8/4,'I_Budget Input Data'!$D$130*0.2/('I_Inputs &amp; Assumptions'!$B$8/4),IF(35&lt;='I_Inputs &amp; Assumptions'!$B$8*0.75,'I_Budget Input Data'!$D$130*0.6/('I_Inputs &amp; Assumptions'!$B$8/2),'I_Budget Input Data'!$D$130*0.2/('I_Inputs &amp; Assumptions'!$B$8/4))),IF('I_Budget Input Data'!$E$130="At Completion",IF(35='I_Inputs &amp; Assumptions'!$B$8,'I_Budget Input Data'!$D$130,0),'I_Budget Input Data'!$D$130/'I_Inputs &amp; Assumptions'!$B$8)))))),0)</f>
        <v>0</v>
      </c>
      <c r="AL130" s="91">
        <f>IF(36&lt;='I_Inputs &amp; Assumptions'!$B$8,IF('I_Budget Input Data'!$E$130="Upfront",IF(36=1,'I_Budget Input Data'!$D$130,0),IF('I_Budget Input Data'!$E$130="Equal",'I_Budget Input Data'!$D$130/'I_Inputs &amp; Assumptions'!$B$8,IF('I_Budget Input Data'!$E$130="Front-loaded",IF(36&lt;='I_Inputs &amp; Assumptions'!$B$8/2,'I_Budget Input Data'!$D$130*0.6/('I_Inputs &amp; Assumptions'!$B$8/2),'I_Budget Input Data'!$D$130*0.4/('I_Inputs &amp; Assumptions'!$B$8/2)),IF('I_Budget Input Data'!$E$130="Back-loaded",IF(36&lt;='I_Inputs &amp; Assumptions'!$B$8/2,'I_Budget Input Data'!$D$130*0.4/('I_Inputs &amp; Assumptions'!$B$8/2),'I_Budget Input Data'!$D$130*0.6/('I_Inputs &amp; Assumptions'!$B$8/2)),IF('I_Budget Input Data'!$E$130="Mid-weighted",IF(36&lt;='I_Inputs &amp; Assumptions'!$B$8/4,'I_Budget Input Data'!$D$130*0.2/('I_Inputs &amp; Assumptions'!$B$8/4),IF(36&lt;='I_Inputs &amp; Assumptions'!$B$8*0.75,'I_Budget Input Data'!$D$130*0.6/('I_Inputs &amp; Assumptions'!$B$8/2),'I_Budget Input Data'!$D$130*0.2/('I_Inputs &amp; Assumptions'!$B$8/4))),IF('I_Budget Input Data'!$E$130="At Completion",IF(36='I_Inputs &amp; Assumptions'!$B$8,'I_Budget Input Data'!$D$130,0),'I_Budget Input Data'!$D$130/'I_Inputs &amp; Assumptions'!$B$8)))))),0)</f>
        <v>0</v>
      </c>
    </row>
    <row r="131" spans="1:38" ht="15" customHeight="1" x14ac:dyDescent="0.2">
      <c r="A131" t="s">
        <v>243</v>
      </c>
      <c r="B131" t="s">
        <v>245</v>
      </c>
      <c r="C131" s="91">
        <f>IF(1&lt;='I_Inputs &amp; Assumptions'!$B$8,IF('I_Budget Input Data'!$E$131="Upfront",IF(1=1,'I_Budget Input Data'!$D$131,0),IF('I_Budget Input Data'!$E$131="Equal",'I_Budget Input Data'!$D$131/'I_Inputs &amp; Assumptions'!$B$8,IF('I_Budget Input Data'!$E$131="Front-loaded",IF(1&lt;='I_Inputs &amp; Assumptions'!$B$8/2,'I_Budget Input Data'!$D$131*0.6/('I_Inputs &amp; Assumptions'!$B$8/2),'I_Budget Input Data'!$D$131*0.4/('I_Inputs &amp; Assumptions'!$B$8/2)),IF('I_Budget Input Data'!$E$131="Back-loaded",IF(1&lt;='I_Inputs &amp; Assumptions'!$B$8/2,'I_Budget Input Data'!$D$131*0.4/('I_Inputs &amp; Assumptions'!$B$8/2),'I_Budget Input Data'!$D$131*0.6/('I_Inputs &amp; Assumptions'!$B$8/2)),IF('I_Budget Input Data'!$E$131="Mid-weighted",IF(1&lt;='I_Inputs &amp; Assumptions'!$B$8/4,'I_Budget Input Data'!$D$131*0.2/('I_Inputs &amp; Assumptions'!$B$8/4),IF(1&lt;='I_Inputs &amp; Assumptions'!$B$8*0.75,'I_Budget Input Data'!$D$131*0.6/('I_Inputs &amp; Assumptions'!$B$8/2),'I_Budget Input Data'!$D$131*0.2/('I_Inputs &amp; Assumptions'!$B$8/4))),IF('I_Budget Input Data'!$E$131="At Completion",IF(1='I_Inputs &amp; Assumptions'!$B$8,'I_Budget Input Data'!$D$131,0),'I_Budget Input Data'!$D$131/'I_Inputs &amp; Assumptions'!$B$8)))))),0)</f>
        <v>59308.923076923078</v>
      </c>
      <c r="D131" s="91">
        <f>IF(2&lt;='I_Inputs &amp; Assumptions'!$B$8,IF('I_Budget Input Data'!$E$131="Upfront",IF(2=1,'I_Budget Input Data'!$D$131,0),IF('I_Budget Input Data'!$E$131="Equal",'I_Budget Input Data'!$D$131/'I_Inputs &amp; Assumptions'!$B$8,IF('I_Budget Input Data'!$E$131="Front-loaded",IF(2&lt;='I_Inputs &amp; Assumptions'!$B$8/2,'I_Budget Input Data'!$D$131*0.6/('I_Inputs &amp; Assumptions'!$B$8/2),'I_Budget Input Data'!$D$131*0.4/('I_Inputs &amp; Assumptions'!$B$8/2)),IF('I_Budget Input Data'!$E$131="Back-loaded",IF(2&lt;='I_Inputs &amp; Assumptions'!$B$8/2,'I_Budget Input Data'!$D$131*0.4/('I_Inputs &amp; Assumptions'!$B$8/2),'I_Budget Input Data'!$D$131*0.6/('I_Inputs &amp; Assumptions'!$B$8/2)),IF('I_Budget Input Data'!$E$131="Mid-weighted",IF(2&lt;='I_Inputs &amp; Assumptions'!$B$8/4,'I_Budget Input Data'!$D$131*0.2/('I_Inputs &amp; Assumptions'!$B$8/4),IF(2&lt;='I_Inputs &amp; Assumptions'!$B$8*0.75,'I_Budget Input Data'!$D$131*0.6/('I_Inputs &amp; Assumptions'!$B$8/2),'I_Budget Input Data'!$D$131*0.2/('I_Inputs &amp; Assumptions'!$B$8/4))),IF('I_Budget Input Data'!$E$131="At Completion",IF(2='I_Inputs &amp; Assumptions'!$B$8,'I_Budget Input Data'!$D$131,0),'I_Budget Input Data'!$D$131/'I_Inputs &amp; Assumptions'!$B$8)))))),0)</f>
        <v>59308.923076923078</v>
      </c>
      <c r="E131" s="91">
        <f>IF(3&lt;='I_Inputs &amp; Assumptions'!$B$8,IF('I_Budget Input Data'!$E$131="Upfront",IF(3=1,'I_Budget Input Data'!$D$131,0),IF('I_Budget Input Data'!$E$131="Equal",'I_Budget Input Data'!$D$131/'I_Inputs &amp; Assumptions'!$B$8,IF('I_Budget Input Data'!$E$131="Front-loaded",IF(3&lt;='I_Inputs &amp; Assumptions'!$B$8/2,'I_Budget Input Data'!$D$131*0.6/('I_Inputs &amp; Assumptions'!$B$8/2),'I_Budget Input Data'!$D$131*0.4/('I_Inputs &amp; Assumptions'!$B$8/2)),IF('I_Budget Input Data'!$E$131="Back-loaded",IF(3&lt;='I_Inputs &amp; Assumptions'!$B$8/2,'I_Budget Input Data'!$D$131*0.4/('I_Inputs &amp; Assumptions'!$B$8/2),'I_Budget Input Data'!$D$131*0.6/('I_Inputs &amp; Assumptions'!$B$8/2)),IF('I_Budget Input Data'!$E$131="Mid-weighted",IF(3&lt;='I_Inputs &amp; Assumptions'!$B$8/4,'I_Budget Input Data'!$D$131*0.2/('I_Inputs &amp; Assumptions'!$B$8/4),IF(3&lt;='I_Inputs &amp; Assumptions'!$B$8*0.75,'I_Budget Input Data'!$D$131*0.6/('I_Inputs &amp; Assumptions'!$B$8/2),'I_Budget Input Data'!$D$131*0.2/('I_Inputs &amp; Assumptions'!$B$8/4))),IF('I_Budget Input Data'!$E$131="At Completion",IF(3='I_Inputs &amp; Assumptions'!$B$8,'I_Budget Input Data'!$D$131,0),'I_Budget Input Data'!$D$131/'I_Inputs &amp; Assumptions'!$B$8)))))),0)</f>
        <v>59308.923076923078</v>
      </c>
      <c r="F131" s="91">
        <f>IF(4&lt;='I_Inputs &amp; Assumptions'!$B$8,IF('I_Budget Input Data'!$E$131="Upfront",IF(4=1,'I_Budget Input Data'!$D$131,0),IF('I_Budget Input Data'!$E$131="Equal",'I_Budget Input Data'!$D$131/'I_Inputs &amp; Assumptions'!$B$8,IF('I_Budget Input Data'!$E$131="Front-loaded",IF(4&lt;='I_Inputs &amp; Assumptions'!$B$8/2,'I_Budget Input Data'!$D$131*0.6/('I_Inputs &amp; Assumptions'!$B$8/2),'I_Budget Input Data'!$D$131*0.4/('I_Inputs &amp; Assumptions'!$B$8/2)),IF('I_Budget Input Data'!$E$131="Back-loaded",IF(4&lt;='I_Inputs &amp; Assumptions'!$B$8/2,'I_Budget Input Data'!$D$131*0.4/('I_Inputs &amp; Assumptions'!$B$8/2),'I_Budget Input Data'!$D$131*0.6/('I_Inputs &amp; Assumptions'!$B$8/2)),IF('I_Budget Input Data'!$E$131="Mid-weighted",IF(4&lt;='I_Inputs &amp; Assumptions'!$B$8/4,'I_Budget Input Data'!$D$131*0.2/('I_Inputs &amp; Assumptions'!$B$8/4),IF(4&lt;='I_Inputs &amp; Assumptions'!$B$8*0.75,'I_Budget Input Data'!$D$131*0.6/('I_Inputs &amp; Assumptions'!$B$8/2),'I_Budget Input Data'!$D$131*0.2/('I_Inputs &amp; Assumptions'!$B$8/4))),IF('I_Budget Input Data'!$E$131="At Completion",IF(4='I_Inputs &amp; Assumptions'!$B$8,'I_Budget Input Data'!$D$131,0),'I_Budget Input Data'!$D$131/'I_Inputs &amp; Assumptions'!$B$8)))))),0)</f>
        <v>59308.923076923078</v>
      </c>
      <c r="G131" s="91">
        <f>IF(5&lt;='I_Inputs &amp; Assumptions'!$B$8,IF('I_Budget Input Data'!$E$131="Upfront",IF(5=1,'I_Budget Input Data'!$D$131,0),IF('I_Budget Input Data'!$E$131="Equal",'I_Budget Input Data'!$D$131/'I_Inputs &amp; Assumptions'!$B$8,IF('I_Budget Input Data'!$E$131="Front-loaded",IF(5&lt;='I_Inputs &amp; Assumptions'!$B$8/2,'I_Budget Input Data'!$D$131*0.6/('I_Inputs &amp; Assumptions'!$B$8/2),'I_Budget Input Data'!$D$131*0.4/('I_Inputs &amp; Assumptions'!$B$8/2)),IF('I_Budget Input Data'!$E$131="Back-loaded",IF(5&lt;='I_Inputs &amp; Assumptions'!$B$8/2,'I_Budget Input Data'!$D$131*0.4/('I_Inputs &amp; Assumptions'!$B$8/2),'I_Budget Input Data'!$D$131*0.6/('I_Inputs &amp; Assumptions'!$B$8/2)),IF('I_Budget Input Data'!$E$131="Mid-weighted",IF(5&lt;='I_Inputs &amp; Assumptions'!$B$8/4,'I_Budget Input Data'!$D$131*0.2/('I_Inputs &amp; Assumptions'!$B$8/4),IF(5&lt;='I_Inputs &amp; Assumptions'!$B$8*0.75,'I_Budget Input Data'!$D$131*0.6/('I_Inputs &amp; Assumptions'!$B$8/2),'I_Budget Input Data'!$D$131*0.2/('I_Inputs &amp; Assumptions'!$B$8/4))),IF('I_Budget Input Data'!$E$131="At Completion",IF(5='I_Inputs &amp; Assumptions'!$B$8,'I_Budget Input Data'!$D$131,0),'I_Budget Input Data'!$D$131/'I_Inputs &amp; Assumptions'!$B$8)))))),0)</f>
        <v>59308.923076923078</v>
      </c>
      <c r="H131" s="91">
        <f>IF(6&lt;='I_Inputs &amp; Assumptions'!$B$8,IF('I_Budget Input Data'!$E$131="Upfront",IF(6=1,'I_Budget Input Data'!$D$131,0),IF('I_Budget Input Data'!$E$131="Equal",'I_Budget Input Data'!$D$131/'I_Inputs &amp; Assumptions'!$B$8,IF('I_Budget Input Data'!$E$131="Front-loaded",IF(6&lt;='I_Inputs &amp; Assumptions'!$B$8/2,'I_Budget Input Data'!$D$131*0.6/('I_Inputs &amp; Assumptions'!$B$8/2),'I_Budget Input Data'!$D$131*0.4/('I_Inputs &amp; Assumptions'!$B$8/2)),IF('I_Budget Input Data'!$E$131="Back-loaded",IF(6&lt;='I_Inputs &amp; Assumptions'!$B$8/2,'I_Budget Input Data'!$D$131*0.4/('I_Inputs &amp; Assumptions'!$B$8/2),'I_Budget Input Data'!$D$131*0.6/('I_Inputs &amp; Assumptions'!$B$8/2)),IF('I_Budget Input Data'!$E$131="Mid-weighted",IF(6&lt;='I_Inputs &amp; Assumptions'!$B$8/4,'I_Budget Input Data'!$D$131*0.2/('I_Inputs &amp; Assumptions'!$B$8/4),IF(6&lt;='I_Inputs &amp; Assumptions'!$B$8*0.75,'I_Budget Input Data'!$D$131*0.6/('I_Inputs &amp; Assumptions'!$B$8/2),'I_Budget Input Data'!$D$131*0.2/('I_Inputs &amp; Assumptions'!$B$8/4))),IF('I_Budget Input Data'!$E$131="At Completion",IF(6='I_Inputs &amp; Assumptions'!$B$8,'I_Budget Input Data'!$D$131,0),'I_Budget Input Data'!$D$131/'I_Inputs &amp; Assumptions'!$B$8)))))),0)</f>
        <v>59308.923076923078</v>
      </c>
      <c r="I131" s="91">
        <f>IF(7&lt;='I_Inputs &amp; Assumptions'!$B$8,IF('I_Budget Input Data'!$E$131="Upfront",IF(7=1,'I_Budget Input Data'!$D$131,0),IF('I_Budget Input Data'!$E$131="Equal",'I_Budget Input Data'!$D$131/'I_Inputs &amp; Assumptions'!$B$8,IF('I_Budget Input Data'!$E$131="Front-loaded",IF(7&lt;='I_Inputs &amp; Assumptions'!$B$8/2,'I_Budget Input Data'!$D$131*0.6/('I_Inputs &amp; Assumptions'!$B$8/2),'I_Budget Input Data'!$D$131*0.4/('I_Inputs &amp; Assumptions'!$B$8/2)),IF('I_Budget Input Data'!$E$131="Back-loaded",IF(7&lt;='I_Inputs &amp; Assumptions'!$B$8/2,'I_Budget Input Data'!$D$131*0.4/('I_Inputs &amp; Assumptions'!$B$8/2),'I_Budget Input Data'!$D$131*0.6/('I_Inputs &amp; Assumptions'!$B$8/2)),IF('I_Budget Input Data'!$E$131="Mid-weighted",IF(7&lt;='I_Inputs &amp; Assumptions'!$B$8/4,'I_Budget Input Data'!$D$131*0.2/('I_Inputs &amp; Assumptions'!$B$8/4),IF(7&lt;='I_Inputs &amp; Assumptions'!$B$8*0.75,'I_Budget Input Data'!$D$131*0.6/('I_Inputs &amp; Assumptions'!$B$8/2),'I_Budget Input Data'!$D$131*0.2/('I_Inputs &amp; Assumptions'!$B$8/4))),IF('I_Budget Input Data'!$E$131="At Completion",IF(7='I_Inputs &amp; Assumptions'!$B$8,'I_Budget Input Data'!$D$131,0),'I_Budget Input Data'!$D$131/'I_Inputs &amp; Assumptions'!$B$8)))))),0)</f>
        <v>88963.38461538461</v>
      </c>
      <c r="J131" s="91">
        <f>IF(8&lt;='I_Inputs &amp; Assumptions'!$B$8,IF('I_Budget Input Data'!$E$131="Upfront",IF(8=1,'I_Budget Input Data'!$D$131,0),IF('I_Budget Input Data'!$E$131="Equal",'I_Budget Input Data'!$D$131/'I_Inputs &amp; Assumptions'!$B$8,IF('I_Budget Input Data'!$E$131="Front-loaded",IF(8&lt;='I_Inputs &amp; Assumptions'!$B$8/2,'I_Budget Input Data'!$D$131*0.6/('I_Inputs &amp; Assumptions'!$B$8/2),'I_Budget Input Data'!$D$131*0.4/('I_Inputs &amp; Assumptions'!$B$8/2)),IF('I_Budget Input Data'!$E$131="Back-loaded",IF(8&lt;='I_Inputs &amp; Assumptions'!$B$8/2,'I_Budget Input Data'!$D$131*0.4/('I_Inputs &amp; Assumptions'!$B$8/2),'I_Budget Input Data'!$D$131*0.6/('I_Inputs &amp; Assumptions'!$B$8/2)),IF('I_Budget Input Data'!$E$131="Mid-weighted",IF(8&lt;='I_Inputs &amp; Assumptions'!$B$8/4,'I_Budget Input Data'!$D$131*0.2/('I_Inputs &amp; Assumptions'!$B$8/4),IF(8&lt;='I_Inputs &amp; Assumptions'!$B$8*0.75,'I_Budget Input Data'!$D$131*0.6/('I_Inputs &amp; Assumptions'!$B$8/2),'I_Budget Input Data'!$D$131*0.2/('I_Inputs &amp; Assumptions'!$B$8/4))),IF('I_Budget Input Data'!$E$131="At Completion",IF(8='I_Inputs &amp; Assumptions'!$B$8,'I_Budget Input Data'!$D$131,0),'I_Budget Input Data'!$D$131/'I_Inputs &amp; Assumptions'!$B$8)))))),0)</f>
        <v>88963.38461538461</v>
      </c>
      <c r="K131" s="91">
        <f>IF(9&lt;='I_Inputs &amp; Assumptions'!$B$8,IF('I_Budget Input Data'!$E$131="Upfront",IF(9=1,'I_Budget Input Data'!$D$131,0),IF('I_Budget Input Data'!$E$131="Equal",'I_Budget Input Data'!$D$131/'I_Inputs &amp; Assumptions'!$B$8,IF('I_Budget Input Data'!$E$131="Front-loaded",IF(9&lt;='I_Inputs &amp; Assumptions'!$B$8/2,'I_Budget Input Data'!$D$131*0.6/('I_Inputs &amp; Assumptions'!$B$8/2),'I_Budget Input Data'!$D$131*0.4/('I_Inputs &amp; Assumptions'!$B$8/2)),IF('I_Budget Input Data'!$E$131="Back-loaded",IF(9&lt;='I_Inputs &amp; Assumptions'!$B$8/2,'I_Budget Input Data'!$D$131*0.4/('I_Inputs &amp; Assumptions'!$B$8/2),'I_Budget Input Data'!$D$131*0.6/('I_Inputs &amp; Assumptions'!$B$8/2)),IF('I_Budget Input Data'!$E$131="Mid-weighted",IF(9&lt;='I_Inputs &amp; Assumptions'!$B$8/4,'I_Budget Input Data'!$D$131*0.2/('I_Inputs &amp; Assumptions'!$B$8/4),IF(9&lt;='I_Inputs &amp; Assumptions'!$B$8*0.75,'I_Budget Input Data'!$D$131*0.6/('I_Inputs &amp; Assumptions'!$B$8/2),'I_Budget Input Data'!$D$131*0.2/('I_Inputs &amp; Assumptions'!$B$8/4))),IF('I_Budget Input Data'!$E$131="At Completion",IF(9='I_Inputs &amp; Assumptions'!$B$8,'I_Budget Input Data'!$D$131,0),'I_Budget Input Data'!$D$131/'I_Inputs &amp; Assumptions'!$B$8)))))),0)</f>
        <v>88963.38461538461</v>
      </c>
      <c r="L131" s="91">
        <f>IF(10&lt;='I_Inputs &amp; Assumptions'!$B$8,IF('I_Budget Input Data'!$E$131="Upfront",IF(10=1,'I_Budget Input Data'!$D$131,0),IF('I_Budget Input Data'!$E$131="Equal",'I_Budget Input Data'!$D$131/'I_Inputs &amp; Assumptions'!$B$8,IF('I_Budget Input Data'!$E$131="Front-loaded",IF(10&lt;='I_Inputs &amp; Assumptions'!$B$8/2,'I_Budget Input Data'!$D$131*0.6/('I_Inputs &amp; Assumptions'!$B$8/2),'I_Budget Input Data'!$D$131*0.4/('I_Inputs &amp; Assumptions'!$B$8/2)),IF('I_Budget Input Data'!$E$131="Back-loaded",IF(10&lt;='I_Inputs &amp; Assumptions'!$B$8/2,'I_Budget Input Data'!$D$131*0.4/('I_Inputs &amp; Assumptions'!$B$8/2),'I_Budget Input Data'!$D$131*0.6/('I_Inputs &amp; Assumptions'!$B$8/2)),IF('I_Budget Input Data'!$E$131="Mid-weighted",IF(10&lt;='I_Inputs &amp; Assumptions'!$B$8/4,'I_Budget Input Data'!$D$131*0.2/('I_Inputs &amp; Assumptions'!$B$8/4),IF(10&lt;='I_Inputs &amp; Assumptions'!$B$8*0.75,'I_Budget Input Data'!$D$131*0.6/('I_Inputs &amp; Assumptions'!$B$8/2),'I_Budget Input Data'!$D$131*0.2/('I_Inputs &amp; Assumptions'!$B$8/4))),IF('I_Budget Input Data'!$E$131="At Completion",IF(10='I_Inputs &amp; Assumptions'!$B$8,'I_Budget Input Data'!$D$131,0),'I_Budget Input Data'!$D$131/'I_Inputs &amp; Assumptions'!$B$8)))))),0)</f>
        <v>88963.38461538461</v>
      </c>
      <c r="M131" s="91">
        <f>IF(11&lt;='I_Inputs &amp; Assumptions'!$B$8,IF('I_Budget Input Data'!$E$131="Upfront",IF(11=1,'I_Budget Input Data'!$D$131,0),IF('I_Budget Input Data'!$E$131="Equal",'I_Budget Input Data'!$D$131/'I_Inputs &amp; Assumptions'!$B$8,IF('I_Budget Input Data'!$E$131="Front-loaded",IF(11&lt;='I_Inputs &amp; Assumptions'!$B$8/2,'I_Budget Input Data'!$D$131*0.6/('I_Inputs &amp; Assumptions'!$B$8/2),'I_Budget Input Data'!$D$131*0.4/('I_Inputs &amp; Assumptions'!$B$8/2)),IF('I_Budget Input Data'!$E$131="Back-loaded",IF(11&lt;='I_Inputs &amp; Assumptions'!$B$8/2,'I_Budget Input Data'!$D$131*0.4/('I_Inputs &amp; Assumptions'!$B$8/2),'I_Budget Input Data'!$D$131*0.6/('I_Inputs &amp; Assumptions'!$B$8/2)),IF('I_Budget Input Data'!$E$131="Mid-weighted",IF(11&lt;='I_Inputs &amp; Assumptions'!$B$8/4,'I_Budget Input Data'!$D$131*0.2/('I_Inputs &amp; Assumptions'!$B$8/4),IF(11&lt;='I_Inputs &amp; Assumptions'!$B$8*0.75,'I_Budget Input Data'!$D$131*0.6/('I_Inputs &amp; Assumptions'!$B$8/2),'I_Budget Input Data'!$D$131*0.2/('I_Inputs &amp; Assumptions'!$B$8/4))),IF('I_Budget Input Data'!$E$131="At Completion",IF(11='I_Inputs &amp; Assumptions'!$B$8,'I_Budget Input Data'!$D$131,0),'I_Budget Input Data'!$D$131/'I_Inputs &amp; Assumptions'!$B$8)))))),0)</f>
        <v>88963.38461538461</v>
      </c>
      <c r="N131" s="91">
        <f>IF(12&lt;='I_Inputs &amp; Assumptions'!$B$8,IF('I_Budget Input Data'!$E$131="Upfront",IF(12=1,'I_Budget Input Data'!$D$131,0),IF('I_Budget Input Data'!$E$131="Equal",'I_Budget Input Data'!$D$131/'I_Inputs &amp; Assumptions'!$B$8,IF('I_Budget Input Data'!$E$131="Front-loaded",IF(12&lt;='I_Inputs &amp; Assumptions'!$B$8/2,'I_Budget Input Data'!$D$131*0.6/('I_Inputs &amp; Assumptions'!$B$8/2),'I_Budget Input Data'!$D$131*0.4/('I_Inputs &amp; Assumptions'!$B$8/2)),IF('I_Budget Input Data'!$E$131="Back-loaded",IF(12&lt;='I_Inputs &amp; Assumptions'!$B$8/2,'I_Budget Input Data'!$D$131*0.4/('I_Inputs &amp; Assumptions'!$B$8/2),'I_Budget Input Data'!$D$131*0.6/('I_Inputs &amp; Assumptions'!$B$8/2)),IF('I_Budget Input Data'!$E$131="Mid-weighted",IF(12&lt;='I_Inputs &amp; Assumptions'!$B$8/4,'I_Budget Input Data'!$D$131*0.2/('I_Inputs &amp; Assumptions'!$B$8/4),IF(12&lt;='I_Inputs &amp; Assumptions'!$B$8*0.75,'I_Budget Input Data'!$D$131*0.6/('I_Inputs &amp; Assumptions'!$B$8/2),'I_Budget Input Data'!$D$131*0.2/('I_Inputs &amp; Assumptions'!$B$8/4))),IF('I_Budget Input Data'!$E$131="At Completion",IF(12='I_Inputs &amp; Assumptions'!$B$8,'I_Budget Input Data'!$D$131,0),'I_Budget Input Data'!$D$131/'I_Inputs &amp; Assumptions'!$B$8)))))),0)</f>
        <v>88963.38461538461</v>
      </c>
      <c r="O131" s="91">
        <f>IF(13&lt;='I_Inputs &amp; Assumptions'!$B$8,IF('I_Budget Input Data'!$E$131="Upfront",IF(13=1,'I_Budget Input Data'!$D$131,0),IF('I_Budget Input Data'!$E$131="Equal",'I_Budget Input Data'!$D$131/'I_Inputs &amp; Assumptions'!$B$8,IF('I_Budget Input Data'!$E$131="Front-loaded",IF(13&lt;='I_Inputs &amp; Assumptions'!$B$8/2,'I_Budget Input Data'!$D$131*0.6/('I_Inputs &amp; Assumptions'!$B$8/2),'I_Budget Input Data'!$D$131*0.4/('I_Inputs &amp; Assumptions'!$B$8/2)),IF('I_Budget Input Data'!$E$131="Back-loaded",IF(13&lt;='I_Inputs &amp; Assumptions'!$B$8/2,'I_Budget Input Data'!$D$131*0.4/('I_Inputs &amp; Assumptions'!$B$8/2),'I_Budget Input Data'!$D$131*0.6/('I_Inputs &amp; Assumptions'!$B$8/2)),IF('I_Budget Input Data'!$E$131="Mid-weighted",IF(13&lt;='I_Inputs &amp; Assumptions'!$B$8/4,'I_Budget Input Data'!$D$131*0.2/('I_Inputs &amp; Assumptions'!$B$8/4),IF(13&lt;='I_Inputs &amp; Assumptions'!$B$8*0.75,'I_Budget Input Data'!$D$131*0.6/('I_Inputs &amp; Assumptions'!$B$8/2),'I_Budget Input Data'!$D$131*0.2/('I_Inputs &amp; Assumptions'!$B$8/4))),IF('I_Budget Input Data'!$E$131="At Completion",IF(13='I_Inputs &amp; Assumptions'!$B$8,'I_Budget Input Data'!$D$131,0),'I_Budget Input Data'!$D$131/'I_Inputs &amp; Assumptions'!$B$8)))))),0)</f>
        <v>88963.38461538461</v>
      </c>
      <c r="P131" s="91">
        <f>IF(14&lt;='I_Inputs &amp; Assumptions'!$B$8,IF('I_Budget Input Data'!$E$131="Upfront",IF(14=1,'I_Budget Input Data'!$D$131,0),IF('I_Budget Input Data'!$E$131="Equal",'I_Budget Input Data'!$D$131/'I_Inputs &amp; Assumptions'!$B$8,IF('I_Budget Input Data'!$E$131="Front-loaded",IF(14&lt;='I_Inputs &amp; Assumptions'!$B$8/2,'I_Budget Input Data'!$D$131*0.6/('I_Inputs &amp; Assumptions'!$B$8/2),'I_Budget Input Data'!$D$131*0.4/('I_Inputs &amp; Assumptions'!$B$8/2)),IF('I_Budget Input Data'!$E$131="Back-loaded",IF(14&lt;='I_Inputs &amp; Assumptions'!$B$8/2,'I_Budget Input Data'!$D$131*0.4/('I_Inputs &amp; Assumptions'!$B$8/2),'I_Budget Input Data'!$D$131*0.6/('I_Inputs &amp; Assumptions'!$B$8/2)),IF('I_Budget Input Data'!$E$131="Mid-weighted",IF(14&lt;='I_Inputs &amp; Assumptions'!$B$8/4,'I_Budget Input Data'!$D$131*0.2/('I_Inputs &amp; Assumptions'!$B$8/4),IF(14&lt;='I_Inputs &amp; Assumptions'!$B$8*0.75,'I_Budget Input Data'!$D$131*0.6/('I_Inputs &amp; Assumptions'!$B$8/2),'I_Budget Input Data'!$D$131*0.2/('I_Inputs &amp; Assumptions'!$B$8/4))),IF('I_Budget Input Data'!$E$131="At Completion",IF(14='I_Inputs &amp; Assumptions'!$B$8,'I_Budget Input Data'!$D$131,0),'I_Budget Input Data'!$D$131/'I_Inputs &amp; Assumptions'!$B$8)))))),0)</f>
        <v>0</v>
      </c>
      <c r="Q131" s="91">
        <f>IF(15&lt;='I_Inputs &amp; Assumptions'!$B$8,IF('I_Budget Input Data'!$E$131="Upfront",IF(15=1,'I_Budget Input Data'!$D$131,0),IF('I_Budget Input Data'!$E$131="Equal",'I_Budget Input Data'!$D$131/'I_Inputs &amp; Assumptions'!$B$8,IF('I_Budget Input Data'!$E$131="Front-loaded",IF(15&lt;='I_Inputs &amp; Assumptions'!$B$8/2,'I_Budget Input Data'!$D$131*0.6/('I_Inputs &amp; Assumptions'!$B$8/2),'I_Budget Input Data'!$D$131*0.4/('I_Inputs &amp; Assumptions'!$B$8/2)),IF('I_Budget Input Data'!$E$131="Back-loaded",IF(15&lt;='I_Inputs &amp; Assumptions'!$B$8/2,'I_Budget Input Data'!$D$131*0.4/('I_Inputs &amp; Assumptions'!$B$8/2),'I_Budget Input Data'!$D$131*0.6/('I_Inputs &amp; Assumptions'!$B$8/2)),IF('I_Budget Input Data'!$E$131="Mid-weighted",IF(15&lt;='I_Inputs &amp; Assumptions'!$B$8/4,'I_Budget Input Data'!$D$131*0.2/('I_Inputs &amp; Assumptions'!$B$8/4),IF(15&lt;='I_Inputs &amp; Assumptions'!$B$8*0.75,'I_Budget Input Data'!$D$131*0.6/('I_Inputs &amp; Assumptions'!$B$8/2),'I_Budget Input Data'!$D$131*0.2/('I_Inputs &amp; Assumptions'!$B$8/4))),IF('I_Budget Input Data'!$E$131="At Completion",IF(15='I_Inputs &amp; Assumptions'!$B$8,'I_Budget Input Data'!$D$131,0),'I_Budget Input Data'!$D$131/'I_Inputs &amp; Assumptions'!$B$8)))))),0)</f>
        <v>0</v>
      </c>
      <c r="R131" s="91">
        <f>IF(16&lt;='I_Inputs &amp; Assumptions'!$B$8,IF('I_Budget Input Data'!$E$131="Upfront",IF(16=1,'I_Budget Input Data'!$D$131,0),IF('I_Budget Input Data'!$E$131="Equal",'I_Budget Input Data'!$D$131/'I_Inputs &amp; Assumptions'!$B$8,IF('I_Budget Input Data'!$E$131="Front-loaded",IF(16&lt;='I_Inputs &amp; Assumptions'!$B$8/2,'I_Budget Input Data'!$D$131*0.6/('I_Inputs &amp; Assumptions'!$B$8/2),'I_Budget Input Data'!$D$131*0.4/('I_Inputs &amp; Assumptions'!$B$8/2)),IF('I_Budget Input Data'!$E$131="Back-loaded",IF(16&lt;='I_Inputs &amp; Assumptions'!$B$8/2,'I_Budget Input Data'!$D$131*0.4/('I_Inputs &amp; Assumptions'!$B$8/2),'I_Budget Input Data'!$D$131*0.6/('I_Inputs &amp; Assumptions'!$B$8/2)),IF('I_Budget Input Data'!$E$131="Mid-weighted",IF(16&lt;='I_Inputs &amp; Assumptions'!$B$8/4,'I_Budget Input Data'!$D$131*0.2/('I_Inputs &amp; Assumptions'!$B$8/4),IF(16&lt;='I_Inputs &amp; Assumptions'!$B$8*0.75,'I_Budget Input Data'!$D$131*0.6/('I_Inputs &amp; Assumptions'!$B$8/2),'I_Budget Input Data'!$D$131*0.2/('I_Inputs &amp; Assumptions'!$B$8/4))),IF('I_Budget Input Data'!$E$131="At Completion",IF(16='I_Inputs &amp; Assumptions'!$B$8,'I_Budget Input Data'!$D$131,0),'I_Budget Input Data'!$D$131/'I_Inputs &amp; Assumptions'!$B$8)))))),0)</f>
        <v>0</v>
      </c>
      <c r="S131" s="91">
        <f>IF(17&lt;='I_Inputs &amp; Assumptions'!$B$8,IF('I_Budget Input Data'!$E$131="Upfront",IF(17=1,'I_Budget Input Data'!$D$131,0),IF('I_Budget Input Data'!$E$131="Equal",'I_Budget Input Data'!$D$131/'I_Inputs &amp; Assumptions'!$B$8,IF('I_Budget Input Data'!$E$131="Front-loaded",IF(17&lt;='I_Inputs &amp; Assumptions'!$B$8/2,'I_Budget Input Data'!$D$131*0.6/('I_Inputs &amp; Assumptions'!$B$8/2),'I_Budget Input Data'!$D$131*0.4/('I_Inputs &amp; Assumptions'!$B$8/2)),IF('I_Budget Input Data'!$E$131="Back-loaded",IF(17&lt;='I_Inputs &amp; Assumptions'!$B$8/2,'I_Budget Input Data'!$D$131*0.4/('I_Inputs &amp; Assumptions'!$B$8/2),'I_Budget Input Data'!$D$131*0.6/('I_Inputs &amp; Assumptions'!$B$8/2)),IF('I_Budget Input Data'!$E$131="Mid-weighted",IF(17&lt;='I_Inputs &amp; Assumptions'!$B$8/4,'I_Budget Input Data'!$D$131*0.2/('I_Inputs &amp; Assumptions'!$B$8/4),IF(17&lt;='I_Inputs &amp; Assumptions'!$B$8*0.75,'I_Budget Input Data'!$D$131*0.6/('I_Inputs &amp; Assumptions'!$B$8/2),'I_Budget Input Data'!$D$131*0.2/('I_Inputs &amp; Assumptions'!$B$8/4))),IF('I_Budget Input Data'!$E$131="At Completion",IF(17='I_Inputs &amp; Assumptions'!$B$8,'I_Budget Input Data'!$D$131,0),'I_Budget Input Data'!$D$131/'I_Inputs &amp; Assumptions'!$B$8)))))),0)</f>
        <v>0</v>
      </c>
      <c r="T131" s="91">
        <f>IF(18&lt;='I_Inputs &amp; Assumptions'!$B$8,IF('I_Budget Input Data'!$E$131="Upfront",IF(18=1,'I_Budget Input Data'!$D$131,0),IF('I_Budget Input Data'!$E$131="Equal",'I_Budget Input Data'!$D$131/'I_Inputs &amp; Assumptions'!$B$8,IF('I_Budget Input Data'!$E$131="Front-loaded",IF(18&lt;='I_Inputs &amp; Assumptions'!$B$8/2,'I_Budget Input Data'!$D$131*0.6/('I_Inputs &amp; Assumptions'!$B$8/2),'I_Budget Input Data'!$D$131*0.4/('I_Inputs &amp; Assumptions'!$B$8/2)),IF('I_Budget Input Data'!$E$131="Back-loaded",IF(18&lt;='I_Inputs &amp; Assumptions'!$B$8/2,'I_Budget Input Data'!$D$131*0.4/('I_Inputs &amp; Assumptions'!$B$8/2),'I_Budget Input Data'!$D$131*0.6/('I_Inputs &amp; Assumptions'!$B$8/2)),IF('I_Budget Input Data'!$E$131="Mid-weighted",IF(18&lt;='I_Inputs &amp; Assumptions'!$B$8/4,'I_Budget Input Data'!$D$131*0.2/('I_Inputs &amp; Assumptions'!$B$8/4),IF(18&lt;='I_Inputs &amp; Assumptions'!$B$8*0.75,'I_Budget Input Data'!$D$131*0.6/('I_Inputs &amp; Assumptions'!$B$8/2),'I_Budget Input Data'!$D$131*0.2/('I_Inputs &amp; Assumptions'!$B$8/4))),IF('I_Budget Input Data'!$E$131="At Completion",IF(18='I_Inputs &amp; Assumptions'!$B$8,'I_Budget Input Data'!$D$131,0),'I_Budget Input Data'!$D$131/'I_Inputs &amp; Assumptions'!$B$8)))))),0)</f>
        <v>0</v>
      </c>
      <c r="U131" s="91">
        <f>IF(19&lt;='I_Inputs &amp; Assumptions'!$B$8,IF('I_Budget Input Data'!$E$131="Upfront",IF(19=1,'I_Budget Input Data'!$D$131,0),IF('I_Budget Input Data'!$E$131="Equal",'I_Budget Input Data'!$D$131/'I_Inputs &amp; Assumptions'!$B$8,IF('I_Budget Input Data'!$E$131="Front-loaded",IF(19&lt;='I_Inputs &amp; Assumptions'!$B$8/2,'I_Budget Input Data'!$D$131*0.6/('I_Inputs &amp; Assumptions'!$B$8/2),'I_Budget Input Data'!$D$131*0.4/('I_Inputs &amp; Assumptions'!$B$8/2)),IF('I_Budget Input Data'!$E$131="Back-loaded",IF(19&lt;='I_Inputs &amp; Assumptions'!$B$8/2,'I_Budget Input Data'!$D$131*0.4/('I_Inputs &amp; Assumptions'!$B$8/2),'I_Budget Input Data'!$D$131*0.6/('I_Inputs &amp; Assumptions'!$B$8/2)),IF('I_Budget Input Data'!$E$131="Mid-weighted",IF(19&lt;='I_Inputs &amp; Assumptions'!$B$8/4,'I_Budget Input Data'!$D$131*0.2/('I_Inputs &amp; Assumptions'!$B$8/4),IF(19&lt;='I_Inputs &amp; Assumptions'!$B$8*0.75,'I_Budget Input Data'!$D$131*0.6/('I_Inputs &amp; Assumptions'!$B$8/2),'I_Budget Input Data'!$D$131*0.2/('I_Inputs &amp; Assumptions'!$B$8/4))),IF('I_Budget Input Data'!$E$131="At Completion",IF(19='I_Inputs &amp; Assumptions'!$B$8,'I_Budget Input Data'!$D$131,0),'I_Budget Input Data'!$D$131/'I_Inputs &amp; Assumptions'!$B$8)))))),0)</f>
        <v>0</v>
      </c>
      <c r="V131" s="91">
        <f>IF(20&lt;='I_Inputs &amp; Assumptions'!$B$8,IF('I_Budget Input Data'!$E$131="Upfront",IF(20=1,'I_Budget Input Data'!$D$131,0),IF('I_Budget Input Data'!$E$131="Equal",'I_Budget Input Data'!$D$131/'I_Inputs &amp; Assumptions'!$B$8,IF('I_Budget Input Data'!$E$131="Front-loaded",IF(20&lt;='I_Inputs &amp; Assumptions'!$B$8/2,'I_Budget Input Data'!$D$131*0.6/('I_Inputs &amp; Assumptions'!$B$8/2),'I_Budget Input Data'!$D$131*0.4/('I_Inputs &amp; Assumptions'!$B$8/2)),IF('I_Budget Input Data'!$E$131="Back-loaded",IF(20&lt;='I_Inputs &amp; Assumptions'!$B$8/2,'I_Budget Input Data'!$D$131*0.4/('I_Inputs &amp; Assumptions'!$B$8/2),'I_Budget Input Data'!$D$131*0.6/('I_Inputs &amp; Assumptions'!$B$8/2)),IF('I_Budget Input Data'!$E$131="Mid-weighted",IF(20&lt;='I_Inputs &amp; Assumptions'!$B$8/4,'I_Budget Input Data'!$D$131*0.2/('I_Inputs &amp; Assumptions'!$B$8/4),IF(20&lt;='I_Inputs &amp; Assumptions'!$B$8*0.75,'I_Budget Input Data'!$D$131*0.6/('I_Inputs &amp; Assumptions'!$B$8/2),'I_Budget Input Data'!$D$131*0.2/('I_Inputs &amp; Assumptions'!$B$8/4))),IF('I_Budget Input Data'!$E$131="At Completion",IF(20='I_Inputs &amp; Assumptions'!$B$8,'I_Budget Input Data'!$D$131,0),'I_Budget Input Data'!$D$131/'I_Inputs &amp; Assumptions'!$B$8)))))),0)</f>
        <v>0</v>
      </c>
      <c r="W131" s="91">
        <f>IF(21&lt;='I_Inputs &amp; Assumptions'!$B$8,IF('I_Budget Input Data'!$E$131="Upfront",IF(21=1,'I_Budget Input Data'!$D$131,0),IF('I_Budget Input Data'!$E$131="Equal",'I_Budget Input Data'!$D$131/'I_Inputs &amp; Assumptions'!$B$8,IF('I_Budget Input Data'!$E$131="Front-loaded",IF(21&lt;='I_Inputs &amp; Assumptions'!$B$8/2,'I_Budget Input Data'!$D$131*0.6/('I_Inputs &amp; Assumptions'!$B$8/2),'I_Budget Input Data'!$D$131*0.4/('I_Inputs &amp; Assumptions'!$B$8/2)),IF('I_Budget Input Data'!$E$131="Back-loaded",IF(21&lt;='I_Inputs &amp; Assumptions'!$B$8/2,'I_Budget Input Data'!$D$131*0.4/('I_Inputs &amp; Assumptions'!$B$8/2),'I_Budget Input Data'!$D$131*0.6/('I_Inputs &amp; Assumptions'!$B$8/2)),IF('I_Budget Input Data'!$E$131="Mid-weighted",IF(21&lt;='I_Inputs &amp; Assumptions'!$B$8/4,'I_Budget Input Data'!$D$131*0.2/('I_Inputs &amp; Assumptions'!$B$8/4),IF(21&lt;='I_Inputs &amp; Assumptions'!$B$8*0.75,'I_Budget Input Data'!$D$131*0.6/('I_Inputs &amp; Assumptions'!$B$8/2),'I_Budget Input Data'!$D$131*0.2/('I_Inputs &amp; Assumptions'!$B$8/4))),IF('I_Budget Input Data'!$E$131="At Completion",IF(21='I_Inputs &amp; Assumptions'!$B$8,'I_Budget Input Data'!$D$131,0),'I_Budget Input Data'!$D$131/'I_Inputs &amp; Assumptions'!$B$8)))))),0)</f>
        <v>0</v>
      </c>
      <c r="X131" s="91">
        <f>IF(22&lt;='I_Inputs &amp; Assumptions'!$B$8,IF('I_Budget Input Data'!$E$131="Upfront",IF(22=1,'I_Budget Input Data'!$D$131,0),IF('I_Budget Input Data'!$E$131="Equal",'I_Budget Input Data'!$D$131/'I_Inputs &amp; Assumptions'!$B$8,IF('I_Budget Input Data'!$E$131="Front-loaded",IF(22&lt;='I_Inputs &amp; Assumptions'!$B$8/2,'I_Budget Input Data'!$D$131*0.6/('I_Inputs &amp; Assumptions'!$B$8/2),'I_Budget Input Data'!$D$131*0.4/('I_Inputs &amp; Assumptions'!$B$8/2)),IF('I_Budget Input Data'!$E$131="Back-loaded",IF(22&lt;='I_Inputs &amp; Assumptions'!$B$8/2,'I_Budget Input Data'!$D$131*0.4/('I_Inputs &amp; Assumptions'!$B$8/2),'I_Budget Input Data'!$D$131*0.6/('I_Inputs &amp; Assumptions'!$B$8/2)),IF('I_Budget Input Data'!$E$131="Mid-weighted",IF(22&lt;='I_Inputs &amp; Assumptions'!$B$8/4,'I_Budget Input Data'!$D$131*0.2/('I_Inputs &amp; Assumptions'!$B$8/4),IF(22&lt;='I_Inputs &amp; Assumptions'!$B$8*0.75,'I_Budget Input Data'!$D$131*0.6/('I_Inputs &amp; Assumptions'!$B$8/2),'I_Budget Input Data'!$D$131*0.2/('I_Inputs &amp; Assumptions'!$B$8/4))),IF('I_Budget Input Data'!$E$131="At Completion",IF(22='I_Inputs &amp; Assumptions'!$B$8,'I_Budget Input Data'!$D$131,0),'I_Budget Input Data'!$D$131/'I_Inputs &amp; Assumptions'!$B$8)))))),0)</f>
        <v>0</v>
      </c>
      <c r="Y131" s="91">
        <f>IF(23&lt;='I_Inputs &amp; Assumptions'!$B$8,IF('I_Budget Input Data'!$E$131="Upfront",IF(23=1,'I_Budget Input Data'!$D$131,0),IF('I_Budget Input Data'!$E$131="Equal",'I_Budget Input Data'!$D$131/'I_Inputs &amp; Assumptions'!$B$8,IF('I_Budget Input Data'!$E$131="Front-loaded",IF(23&lt;='I_Inputs &amp; Assumptions'!$B$8/2,'I_Budget Input Data'!$D$131*0.6/('I_Inputs &amp; Assumptions'!$B$8/2),'I_Budget Input Data'!$D$131*0.4/('I_Inputs &amp; Assumptions'!$B$8/2)),IF('I_Budget Input Data'!$E$131="Back-loaded",IF(23&lt;='I_Inputs &amp; Assumptions'!$B$8/2,'I_Budget Input Data'!$D$131*0.4/('I_Inputs &amp; Assumptions'!$B$8/2),'I_Budget Input Data'!$D$131*0.6/('I_Inputs &amp; Assumptions'!$B$8/2)),IF('I_Budget Input Data'!$E$131="Mid-weighted",IF(23&lt;='I_Inputs &amp; Assumptions'!$B$8/4,'I_Budget Input Data'!$D$131*0.2/('I_Inputs &amp; Assumptions'!$B$8/4),IF(23&lt;='I_Inputs &amp; Assumptions'!$B$8*0.75,'I_Budget Input Data'!$D$131*0.6/('I_Inputs &amp; Assumptions'!$B$8/2),'I_Budget Input Data'!$D$131*0.2/('I_Inputs &amp; Assumptions'!$B$8/4))),IF('I_Budget Input Data'!$E$131="At Completion",IF(23='I_Inputs &amp; Assumptions'!$B$8,'I_Budget Input Data'!$D$131,0),'I_Budget Input Data'!$D$131/'I_Inputs &amp; Assumptions'!$B$8)))))),0)</f>
        <v>0</v>
      </c>
      <c r="Z131" s="91">
        <f>IF(24&lt;='I_Inputs &amp; Assumptions'!$B$8,IF('I_Budget Input Data'!$E$131="Upfront",IF(24=1,'I_Budget Input Data'!$D$131,0),IF('I_Budget Input Data'!$E$131="Equal",'I_Budget Input Data'!$D$131/'I_Inputs &amp; Assumptions'!$B$8,IF('I_Budget Input Data'!$E$131="Front-loaded",IF(24&lt;='I_Inputs &amp; Assumptions'!$B$8/2,'I_Budget Input Data'!$D$131*0.6/('I_Inputs &amp; Assumptions'!$B$8/2),'I_Budget Input Data'!$D$131*0.4/('I_Inputs &amp; Assumptions'!$B$8/2)),IF('I_Budget Input Data'!$E$131="Back-loaded",IF(24&lt;='I_Inputs &amp; Assumptions'!$B$8/2,'I_Budget Input Data'!$D$131*0.4/('I_Inputs &amp; Assumptions'!$B$8/2),'I_Budget Input Data'!$D$131*0.6/('I_Inputs &amp; Assumptions'!$B$8/2)),IF('I_Budget Input Data'!$E$131="Mid-weighted",IF(24&lt;='I_Inputs &amp; Assumptions'!$B$8/4,'I_Budget Input Data'!$D$131*0.2/('I_Inputs &amp; Assumptions'!$B$8/4),IF(24&lt;='I_Inputs &amp; Assumptions'!$B$8*0.75,'I_Budget Input Data'!$D$131*0.6/('I_Inputs &amp; Assumptions'!$B$8/2),'I_Budget Input Data'!$D$131*0.2/('I_Inputs &amp; Assumptions'!$B$8/4))),IF('I_Budget Input Data'!$E$131="At Completion",IF(24='I_Inputs &amp; Assumptions'!$B$8,'I_Budget Input Data'!$D$131,0),'I_Budget Input Data'!$D$131/'I_Inputs &amp; Assumptions'!$B$8)))))),0)</f>
        <v>0</v>
      </c>
      <c r="AA131" s="91">
        <f>IF(25&lt;='I_Inputs &amp; Assumptions'!$B$8,IF('I_Budget Input Data'!$E$131="Upfront",IF(25=1,'I_Budget Input Data'!$D$131,0),IF('I_Budget Input Data'!$E$131="Equal",'I_Budget Input Data'!$D$131/'I_Inputs &amp; Assumptions'!$B$8,IF('I_Budget Input Data'!$E$131="Front-loaded",IF(25&lt;='I_Inputs &amp; Assumptions'!$B$8/2,'I_Budget Input Data'!$D$131*0.6/('I_Inputs &amp; Assumptions'!$B$8/2),'I_Budget Input Data'!$D$131*0.4/('I_Inputs &amp; Assumptions'!$B$8/2)),IF('I_Budget Input Data'!$E$131="Back-loaded",IF(25&lt;='I_Inputs &amp; Assumptions'!$B$8/2,'I_Budget Input Data'!$D$131*0.4/('I_Inputs &amp; Assumptions'!$B$8/2),'I_Budget Input Data'!$D$131*0.6/('I_Inputs &amp; Assumptions'!$B$8/2)),IF('I_Budget Input Data'!$E$131="Mid-weighted",IF(25&lt;='I_Inputs &amp; Assumptions'!$B$8/4,'I_Budget Input Data'!$D$131*0.2/('I_Inputs &amp; Assumptions'!$B$8/4),IF(25&lt;='I_Inputs &amp; Assumptions'!$B$8*0.75,'I_Budget Input Data'!$D$131*0.6/('I_Inputs &amp; Assumptions'!$B$8/2),'I_Budget Input Data'!$D$131*0.2/('I_Inputs &amp; Assumptions'!$B$8/4))),IF('I_Budget Input Data'!$E$131="At Completion",IF(25='I_Inputs &amp; Assumptions'!$B$8,'I_Budget Input Data'!$D$131,0),'I_Budget Input Data'!$D$131/'I_Inputs &amp; Assumptions'!$B$8)))))),0)</f>
        <v>0</v>
      </c>
      <c r="AB131" s="91">
        <f>IF(26&lt;='I_Inputs &amp; Assumptions'!$B$8,IF('I_Budget Input Data'!$E$131="Upfront",IF(26=1,'I_Budget Input Data'!$D$131,0),IF('I_Budget Input Data'!$E$131="Equal",'I_Budget Input Data'!$D$131/'I_Inputs &amp; Assumptions'!$B$8,IF('I_Budget Input Data'!$E$131="Front-loaded",IF(26&lt;='I_Inputs &amp; Assumptions'!$B$8/2,'I_Budget Input Data'!$D$131*0.6/('I_Inputs &amp; Assumptions'!$B$8/2),'I_Budget Input Data'!$D$131*0.4/('I_Inputs &amp; Assumptions'!$B$8/2)),IF('I_Budget Input Data'!$E$131="Back-loaded",IF(26&lt;='I_Inputs &amp; Assumptions'!$B$8/2,'I_Budget Input Data'!$D$131*0.4/('I_Inputs &amp; Assumptions'!$B$8/2),'I_Budget Input Data'!$D$131*0.6/('I_Inputs &amp; Assumptions'!$B$8/2)),IF('I_Budget Input Data'!$E$131="Mid-weighted",IF(26&lt;='I_Inputs &amp; Assumptions'!$B$8/4,'I_Budget Input Data'!$D$131*0.2/('I_Inputs &amp; Assumptions'!$B$8/4),IF(26&lt;='I_Inputs &amp; Assumptions'!$B$8*0.75,'I_Budget Input Data'!$D$131*0.6/('I_Inputs &amp; Assumptions'!$B$8/2),'I_Budget Input Data'!$D$131*0.2/('I_Inputs &amp; Assumptions'!$B$8/4))),IF('I_Budget Input Data'!$E$131="At Completion",IF(26='I_Inputs &amp; Assumptions'!$B$8,'I_Budget Input Data'!$D$131,0),'I_Budget Input Data'!$D$131/'I_Inputs &amp; Assumptions'!$B$8)))))),0)</f>
        <v>0</v>
      </c>
      <c r="AC131" s="91">
        <f>IF(27&lt;='I_Inputs &amp; Assumptions'!$B$8,IF('I_Budget Input Data'!$E$131="Upfront",IF(27=1,'I_Budget Input Data'!$D$131,0),IF('I_Budget Input Data'!$E$131="Equal",'I_Budget Input Data'!$D$131/'I_Inputs &amp; Assumptions'!$B$8,IF('I_Budget Input Data'!$E$131="Front-loaded",IF(27&lt;='I_Inputs &amp; Assumptions'!$B$8/2,'I_Budget Input Data'!$D$131*0.6/('I_Inputs &amp; Assumptions'!$B$8/2),'I_Budget Input Data'!$D$131*0.4/('I_Inputs &amp; Assumptions'!$B$8/2)),IF('I_Budget Input Data'!$E$131="Back-loaded",IF(27&lt;='I_Inputs &amp; Assumptions'!$B$8/2,'I_Budget Input Data'!$D$131*0.4/('I_Inputs &amp; Assumptions'!$B$8/2),'I_Budget Input Data'!$D$131*0.6/('I_Inputs &amp; Assumptions'!$B$8/2)),IF('I_Budget Input Data'!$E$131="Mid-weighted",IF(27&lt;='I_Inputs &amp; Assumptions'!$B$8/4,'I_Budget Input Data'!$D$131*0.2/('I_Inputs &amp; Assumptions'!$B$8/4),IF(27&lt;='I_Inputs &amp; Assumptions'!$B$8*0.75,'I_Budget Input Data'!$D$131*0.6/('I_Inputs &amp; Assumptions'!$B$8/2),'I_Budget Input Data'!$D$131*0.2/('I_Inputs &amp; Assumptions'!$B$8/4))),IF('I_Budget Input Data'!$E$131="At Completion",IF(27='I_Inputs &amp; Assumptions'!$B$8,'I_Budget Input Data'!$D$131,0),'I_Budget Input Data'!$D$131/'I_Inputs &amp; Assumptions'!$B$8)))))),0)</f>
        <v>0</v>
      </c>
      <c r="AD131" s="91">
        <f>IF(28&lt;='I_Inputs &amp; Assumptions'!$B$8,IF('I_Budget Input Data'!$E$131="Upfront",IF(28=1,'I_Budget Input Data'!$D$131,0),IF('I_Budget Input Data'!$E$131="Equal",'I_Budget Input Data'!$D$131/'I_Inputs &amp; Assumptions'!$B$8,IF('I_Budget Input Data'!$E$131="Front-loaded",IF(28&lt;='I_Inputs &amp; Assumptions'!$B$8/2,'I_Budget Input Data'!$D$131*0.6/('I_Inputs &amp; Assumptions'!$B$8/2),'I_Budget Input Data'!$D$131*0.4/('I_Inputs &amp; Assumptions'!$B$8/2)),IF('I_Budget Input Data'!$E$131="Back-loaded",IF(28&lt;='I_Inputs &amp; Assumptions'!$B$8/2,'I_Budget Input Data'!$D$131*0.4/('I_Inputs &amp; Assumptions'!$B$8/2),'I_Budget Input Data'!$D$131*0.6/('I_Inputs &amp; Assumptions'!$B$8/2)),IF('I_Budget Input Data'!$E$131="Mid-weighted",IF(28&lt;='I_Inputs &amp; Assumptions'!$B$8/4,'I_Budget Input Data'!$D$131*0.2/('I_Inputs &amp; Assumptions'!$B$8/4),IF(28&lt;='I_Inputs &amp; Assumptions'!$B$8*0.75,'I_Budget Input Data'!$D$131*0.6/('I_Inputs &amp; Assumptions'!$B$8/2),'I_Budget Input Data'!$D$131*0.2/('I_Inputs &amp; Assumptions'!$B$8/4))),IF('I_Budget Input Data'!$E$131="At Completion",IF(28='I_Inputs &amp; Assumptions'!$B$8,'I_Budget Input Data'!$D$131,0),'I_Budget Input Data'!$D$131/'I_Inputs &amp; Assumptions'!$B$8)))))),0)</f>
        <v>0</v>
      </c>
      <c r="AE131" s="91">
        <f>IF(29&lt;='I_Inputs &amp; Assumptions'!$B$8,IF('I_Budget Input Data'!$E$131="Upfront",IF(29=1,'I_Budget Input Data'!$D$131,0),IF('I_Budget Input Data'!$E$131="Equal",'I_Budget Input Data'!$D$131/'I_Inputs &amp; Assumptions'!$B$8,IF('I_Budget Input Data'!$E$131="Front-loaded",IF(29&lt;='I_Inputs &amp; Assumptions'!$B$8/2,'I_Budget Input Data'!$D$131*0.6/('I_Inputs &amp; Assumptions'!$B$8/2),'I_Budget Input Data'!$D$131*0.4/('I_Inputs &amp; Assumptions'!$B$8/2)),IF('I_Budget Input Data'!$E$131="Back-loaded",IF(29&lt;='I_Inputs &amp; Assumptions'!$B$8/2,'I_Budget Input Data'!$D$131*0.4/('I_Inputs &amp; Assumptions'!$B$8/2),'I_Budget Input Data'!$D$131*0.6/('I_Inputs &amp; Assumptions'!$B$8/2)),IF('I_Budget Input Data'!$E$131="Mid-weighted",IF(29&lt;='I_Inputs &amp; Assumptions'!$B$8/4,'I_Budget Input Data'!$D$131*0.2/('I_Inputs &amp; Assumptions'!$B$8/4),IF(29&lt;='I_Inputs &amp; Assumptions'!$B$8*0.75,'I_Budget Input Data'!$D$131*0.6/('I_Inputs &amp; Assumptions'!$B$8/2),'I_Budget Input Data'!$D$131*0.2/('I_Inputs &amp; Assumptions'!$B$8/4))),IF('I_Budget Input Data'!$E$131="At Completion",IF(29='I_Inputs &amp; Assumptions'!$B$8,'I_Budget Input Data'!$D$131,0),'I_Budget Input Data'!$D$131/'I_Inputs &amp; Assumptions'!$B$8)))))),0)</f>
        <v>0</v>
      </c>
      <c r="AF131" s="91">
        <f>IF(30&lt;='I_Inputs &amp; Assumptions'!$B$8,IF('I_Budget Input Data'!$E$131="Upfront",IF(30=1,'I_Budget Input Data'!$D$131,0),IF('I_Budget Input Data'!$E$131="Equal",'I_Budget Input Data'!$D$131/'I_Inputs &amp; Assumptions'!$B$8,IF('I_Budget Input Data'!$E$131="Front-loaded",IF(30&lt;='I_Inputs &amp; Assumptions'!$B$8/2,'I_Budget Input Data'!$D$131*0.6/('I_Inputs &amp; Assumptions'!$B$8/2),'I_Budget Input Data'!$D$131*0.4/('I_Inputs &amp; Assumptions'!$B$8/2)),IF('I_Budget Input Data'!$E$131="Back-loaded",IF(30&lt;='I_Inputs &amp; Assumptions'!$B$8/2,'I_Budget Input Data'!$D$131*0.4/('I_Inputs &amp; Assumptions'!$B$8/2),'I_Budget Input Data'!$D$131*0.6/('I_Inputs &amp; Assumptions'!$B$8/2)),IF('I_Budget Input Data'!$E$131="Mid-weighted",IF(30&lt;='I_Inputs &amp; Assumptions'!$B$8/4,'I_Budget Input Data'!$D$131*0.2/('I_Inputs &amp; Assumptions'!$B$8/4),IF(30&lt;='I_Inputs &amp; Assumptions'!$B$8*0.75,'I_Budget Input Data'!$D$131*0.6/('I_Inputs &amp; Assumptions'!$B$8/2),'I_Budget Input Data'!$D$131*0.2/('I_Inputs &amp; Assumptions'!$B$8/4))),IF('I_Budget Input Data'!$E$131="At Completion",IF(30='I_Inputs &amp; Assumptions'!$B$8,'I_Budget Input Data'!$D$131,0),'I_Budget Input Data'!$D$131/'I_Inputs &amp; Assumptions'!$B$8)))))),0)</f>
        <v>0</v>
      </c>
      <c r="AG131" s="91">
        <f>IF(31&lt;='I_Inputs &amp; Assumptions'!$B$8,IF('I_Budget Input Data'!$E$131="Upfront",IF(31=1,'I_Budget Input Data'!$D$131,0),IF('I_Budget Input Data'!$E$131="Equal",'I_Budget Input Data'!$D$131/'I_Inputs &amp; Assumptions'!$B$8,IF('I_Budget Input Data'!$E$131="Front-loaded",IF(31&lt;='I_Inputs &amp; Assumptions'!$B$8/2,'I_Budget Input Data'!$D$131*0.6/('I_Inputs &amp; Assumptions'!$B$8/2),'I_Budget Input Data'!$D$131*0.4/('I_Inputs &amp; Assumptions'!$B$8/2)),IF('I_Budget Input Data'!$E$131="Back-loaded",IF(31&lt;='I_Inputs &amp; Assumptions'!$B$8/2,'I_Budget Input Data'!$D$131*0.4/('I_Inputs &amp; Assumptions'!$B$8/2),'I_Budget Input Data'!$D$131*0.6/('I_Inputs &amp; Assumptions'!$B$8/2)),IF('I_Budget Input Data'!$E$131="Mid-weighted",IF(31&lt;='I_Inputs &amp; Assumptions'!$B$8/4,'I_Budget Input Data'!$D$131*0.2/('I_Inputs &amp; Assumptions'!$B$8/4),IF(31&lt;='I_Inputs &amp; Assumptions'!$B$8*0.75,'I_Budget Input Data'!$D$131*0.6/('I_Inputs &amp; Assumptions'!$B$8/2),'I_Budget Input Data'!$D$131*0.2/('I_Inputs &amp; Assumptions'!$B$8/4))),IF('I_Budget Input Data'!$E$131="At Completion",IF(31='I_Inputs &amp; Assumptions'!$B$8,'I_Budget Input Data'!$D$131,0),'I_Budget Input Data'!$D$131/'I_Inputs &amp; Assumptions'!$B$8)))))),0)</f>
        <v>0</v>
      </c>
      <c r="AH131" s="91">
        <f>IF(32&lt;='I_Inputs &amp; Assumptions'!$B$8,IF('I_Budget Input Data'!$E$131="Upfront",IF(32=1,'I_Budget Input Data'!$D$131,0),IF('I_Budget Input Data'!$E$131="Equal",'I_Budget Input Data'!$D$131/'I_Inputs &amp; Assumptions'!$B$8,IF('I_Budget Input Data'!$E$131="Front-loaded",IF(32&lt;='I_Inputs &amp; Assumptions'!$B$8/2,'I_Budget Input Data'!$D$131*0.6/('I_Inputs &amp; Assumptions'!$B$8/2),'I_Budget Input Data'!$D$131*0.4/('I_Inputs &amp; Assumptions'!$B$8/2)),IF('I_Budget Input Data'!$E$131="Back-loaded",IF(32&lt;='I_Inputs &amp; Assumptions'!$B$8/2,'I_Budget Input Data'!$D$131*0.4/('I_Inputs &amp; Assumptions'!$B$8/2),'I_Budget Input Data'!$D$131*0.6/('I_Inputs &amp; Assumptions'!$B$8/2)),IF('I_Budget Input Data'!$E$131="Mid-weighted",IF(32&lt;='I_Inputs &amp; Assumptions'!$B$8/4,'I_Budget Input Data'!$D$131*0.2/('I_Inputs &amp; Assumptions'!$B$8/4),IF(32&lt;='I_Inputs &amp; Assumptions'!$B$8*0.75,'I_Budget Input Data'!$D$131*0.6/('I_Inputs &amp; Assumptions'!$B$8/2),'I_Budget Input Data'!$D$131*0.2/('I_Inputs &amp; Assumptions'!$B$8/4))),IF('I_Budget Input Data'!$E$131="At Completion",IF(32='I_Inputs &amp; Assumptions'!$B$8,'I_Budget Input Data'!$D$131,0),'I_Budget Input Data'!$D$131/'I_Inputs &amp; Assumptions'!$B$8)))))),0)</f>
        <v>0</v>
      </c>
      <c r="AI131" s="91">
        <f>IF(33&lt;='I_Inputs &amp; Assumptions'!$B$8,IF('I_Budget Input Data'!$E$131="Upfront",IF(33=1,'I_Budget Input Data'!$D$131,0),IF('I_Budget Input Data'!$E$131="Equal",'I_Budget Input Data'!$D$131/'I_Inputs &amp; Assumptions'!$B$8,IF('I_Budget Input Data'!$E$131="Front-loaded",IF(33&lt;='I_Inputs &amp; Assumptions'!$B$8/2,'I_Budget Input Data'!$D$131*0.6/('I_Inputs &amp; Assumptions'!$B$8/2),'I_Budget Input Data'!$D$131*0.4/('I_Inputs &amp; Assumptions'!$B$8/2)),IF('I_Budget Input Data'!$E$131="Back-loaded",IF(33&lt;='I_Inputs &amp; Assumptions'!$B$8/2,'I_Budget Input Data'!$D$131*0.4/('I_Inputs &amp; Assumptions'!$B$8/2),'I_Budget Input Data'!$D$131*0.6/('I_Inputs &amp; Assumptions'!$B$8/2)),IF('I_Budget Input Data'!$E$131="Mid-weighted",IF(33&lt;='I_Inputs &amp; Assumptions'!$B$8/4,'I_Budget Input Data'!$D$131*0.2/('I_Inputs &amp; Assumptions'!$B$8/4),IF(33&lt;='I_Inputs &amp; Assumptions'!$B$8*0.75,'I_Budget Input Data'!$D$131*0.6/('I_Inputs &amp; Assumptions'!$B$8/2),'I_Budget Input Data'!$D$131*0.2/('I_Inputs &amp; Assumptions'!$B$8/4))),IF('I_Budget Input Data'!$E$131="At Completion",IF(33='I_Inputs &amp; Assumptions'!$B$8,'I_Budget Input Data'!$D$131,0),'I_Budget Input Data'!$D$131/'I_Inputs &amp; Assumptions'!$B$8)))))),0)</f>
        <v>0</v>
      </c>
      <c r="AJ131" s="91">
        <f>IF(34&lt;='I_Inputs &amp; Assumptions'!$B$8,IF('I_Budget Input Data'!$E$131="Upfront",IF(34=1,'I_Budget Input Data'!$D$131,0),IF('I_Budget Input Data'!$E$131="Equal",'I_Budget Input Data'!$D$131/'I_Inputs &amp; Assumptions'!$B$8,IF('I_Budget Input Data'!$E$131="Front-loaded",IF(34&lt;='I_Inputs &amp; Assumptions'!$B$8/2,'I_Budget Input Data'!$D$131*0.6/('I_Inputs &amp; Assumptions'!$B$8/2),'I_Budget Input Data'!$D$131*0.4/('I_Inputs &amp; Assumptions'!$B$8/2)),IF('I_Budget Input Data'!$E$131="Back-loaded",IF(34&lt;='I_Inputs &amp; Assumptions'!$B$8/2,'I_Budget Input Data'!$D$131*0.4/('I_Inputs &amp; Assumptions'!$B$8/2),'I_Budget Input Data'!$D$131*0.6/('I_Inputs &amp; Assumptions'!$B$8/2)),IF('I_Budget Input Data'!$E$131="Mid-weighted",IF(34&lt;='I_Inputs &amp; Assumptions'!$B$8/4,'I_Budget Input Data'!$D$131*0.2/('I_Inputs &amp; Assumptions'!$B$8/4),IF(34&lt;='I_Inputs &amp; Assumptions'!$B$8*0.75,'I_Budget Input Data'!$D$131*0.6/('I_Inputs &amp; Assumptions'!$B$8/2),'I_Budget Input Data'!$D$131*0.2/('I_Inputs &amp; Assumptions'!$B$8/4))),IF('I_Budget Input Data'!$E$131="At Completion",IF(34='I_Inputs &amp; Assumptions'!$B$8,'I_Budget Input Data'!$D$131,0),'I_Budget Input Data'!$D$131/'I_Inputs &amp; Assumptions'!$B$8)))))),0)</f>
        <v>0</v>
      </c>
      <c r="AK131" s="91">
        <f>IF(35&lt;='I_Inputs &amp; Assumptions'!$B$8,IF('I_Budget Input Data'!$E$131="Upfront",IF(35=1,'I_Budget Input Data'!$D$131,0),IF('I_Budget Input Data'!$E$131="Equal",'I_Budget Input Data'!$D$131/'I_Inputs &amp; Assumptions'!$B$8,IF('I_Budget Input Data'!$E$131="Front-loaded",IF(35&lt;='I_Inputs &amp; Assumptions'!$B$8/2,'I_Budget Input Data'!$D$131*0.6/('I_Inputs &amp; Assumptions'!$B$8/2),'I_Budget Input Data'!$D$131*0.4/('I_Inputs &amp; Assumptions'!$B$8/2)),IF('I_Budget Input Data'!$E$131="Back-loaded",IF(35&lt;='I_Inputs &amp; Assumptions'!$B$8/2,'I_Budget Input Data'!$D$131*0.4/('I_Inputs &amp; Assumptions'!$B$8/2),'I_Budget Input Data'!$D$131*0.6/('I_Inputs &amp; Assumptions'!$B$8/2)),IF('I_Budget Input Data'!$E$131="Mid-weighted",IF(35&lt;='I_Inputs &amp; Assumptions'!$B$8/4,'I_Budget Input Data'!$D$131*0.2/('I_Inputs &amp; Assumptions'!$B$8/4),IF(35&lt;='I_Inputs &amp; Assumptions'!$B$8*0.75,'I_Budget Input Data'!$D$131*0.6/('I_Inputs &amp; Assumptions'!$B$8/2),'I_Budget Input Data'!$D$131*0.2/('I_Inputs &amp; Assumptions'!$B$8/4))),IF('I_Budget Input Data'!$E$131="At Completion",IF(35='I_Inputs &amp; Assumptions'!$B$8,'I_Budget Input Data'!$D$131,0),'I_Budget Input Data'!$D$131/'I_Inputs &amp; Assumptions'!$B$8)))))),0)</f>
        <v>0</v>
      </c>
      <c r="AL131" s="91">
        <f>IF(36&lt;='I_Inputs &amp; Assumptions'!$B$8,IF('I_Budget Input Data'!$E$131="Upfront",IF(36=1,'I_Budget Input Data'!$D$131,0),IF('I_Budget Input Data'!$E$131="Equal",'I_Budget Input Data'!$D$131/'I_Inputs &amp; Assumptions'!$B$8,IF('I_Budget Input Data'!$E$131="Front-loaded",IF(36&lt;='I_Inputs &amp; Assumptions'!$B$8/2,'I_Budget Input Data'!$D$131*0.6/('I_Inputs &amp; Assumptions'!$B$8/2),'I_Budget Input Data'!$D$131*0.4/('I_Inputs &amp; Assumptions'!$B$8/2)),IF('I_Budget Input Data'!$E$131="Back-loaded",IF(36&lt;='I_Inputs &amp; Assumptions'!$B$8/2,'I_Budget Input Data'!$D$131*0.4/('I_Inputs &amp; Assumptions'!$B$8/2),'I_Budget Input Data'!$D$131*0.6/('I_Inputs &amp; Assumptions'!$B$8/2)),IF('I_Budget Input Data'!$E$131="Mid-weighted",IF(36&lt;='I_Inputs &amp; Assumptions'!$B$8/4,'I_Budget Input Data'!$D$131*0.2/('I_Inputs &amp; Assumptions'!$B$8/4),IF(36&lt;='I_Inputs &amp; Assumptions'!$B$8*0.75,'I_Budget Input Data'!$D$131*0.6/('I_Inputs &amp; Assumptions'!$B$8/2),'I_Budget Input Data'!$D$131*0.2/('I_Inputs &amp; Assumptions'!$B$8/4))),IF('I_Budget Input Data'!$E$131="At Completion",IF(36='I_Inputs &amp; Assumptions'!$B$8,'I_Budget Input Data'!$D$131,0),'I_Budget Input Data'!$D$131/'I_Inputs &amp; Assumptions'!$B$8)))))),0)</f>
        <v>0</v>
      </c>
    </row>
    <row r="132" spans="1:38" ht="15" customHeight="1" x14ac:dyDescent="0.2">
      <c r="A132" t="s">
        <v>243</v>
      </c>
      <c r="B132" t="s">
        <v>246</v>
      </c>
      <c r="C132" s="91">
        <f>IF(1&lt;='I_Inputs &amp; Assumptions'!$B$8,IF('I_Budget Input Data'!$E$132="Upfront",IF(1=1,'I_Budget Input Data'!$D$132,0),IF('I_Budget Input Data'!$E$132="Equal",'I_Budget Input Data'!$D$132/'I_Inputs &amp; Assumptions'!$B$8,IF('I_Budget Input Data'!$E$132="Front-loaded",IF(1&lt;='I_Inputs &amp; Assumptions'!$B$8/2,'I_Budget Input Data'!$D$132*0.6/('I_Inputs &amp; Assumptions'!$B$8/2),'I_Budget Input Data'!$D$132*0.4/('I_Inputs &amp; Assumptions'!$B$8/2)),IF('I_Budget Input Data'!$E$132="Back-loaded",IF(1&lt;='I_Inputs &amp; Assumptions'!$B$8/2,'I_Budget Input Data'!$D$132*0.4/('I_Inputs &amp; Assumptions'!$B$8/2),'I_Budget Input Data'!$D$132*0.6/('I_Inputs &amp; Assumptions'!$B$8/2)),IF('I_Budget Input Data'!$E$132="Mid-weighted",IF(1&lt;='I_Inputs &amp; Assumptions'!$B$8/4,'I_Budget Input Data'!$D$132*0.2/('I_Inputs &amp; Assumptions'!$B$8/4),IF(1&lt;='I_Inputs &amp; Assumptions'!$B$8*0.75,'I_Budget Input Data'!$D$132*0.6/('I_Inputs &amp; Assumptions'!$B$8/2),'I_Budget Input Data'!$D$132*0.2/('I_Inputs &amp; Assumptions'!$B$8/4))),IF('I_Budget Input Data'!$E$132="At Completion",IF(1='I_Inputs &amp; Assumptions'!$B$8,'I_Budget Input Data'!$D$132,0),'I_Budget Input Data'!$D$132/'I_Inputs &amp; Assumptions'!$B$8)))))),0)</f>
        <v>15384.615384615385</v>
      </c>
      <c r="D132" s="91">
        <f>IF(2&lt;='I_Inputs &amp; Assumptions'!$B$8,IF('I_Budget Input Data'!$E$132="Upfront",IF(2=1,'I_Budget Input Data'!$D$132,0),IF('I_Budget Input Data'!$E$132="Equal",'I_Budget Input Data'!$D$132/'I_Inputs &amp; Assumptions'!$B$8,IF('I_Budget Input Data'!$E$132="Front-loaded",IF(2&lt;='I_Inputs &amp; Assumptions'!$B$8/2,'I_Budget Input Data'!$D$132*0.6/('I_Inputs &amp; Assumptions'!$B$8/2),'I_Budget Input Data'!$D$132*0.4/('I_Inputs &amp; Assumptions'!$B$8/2)),IF('I_Budget Input Data'!$E$132="Back-loaded",IF(2&lt;='I_Inputs &amp; Assumptions'!$B$8/2,'I_Budget Input Data'!$D$132*0.4/('I_Inputs &amp; Assumptions'!$B$8/2),'I_Budget Input Data'!$D$132*0.6/('I_Inputs &amp; Assumptions'!$B$8/2)),IF('I_Budget Input Data'!$E$132="Mid-weighted",IF(2&lt;='I_Inputs &amp; Assumptions'!$B$8/4,'I_Budget Input Data'!$D$132*0.2/('I_Inputs &amp; Assumptions'!$B$8/4),IF(2&lt;='I_Inputs &amp; Assumptions'!$B$8*0.75,'I_Budget Input Data'!$D$132*0.6/('I_Inputs &amp; Assumptions'!$B$8/2),'I_Budget Input Data'!$D$132*0.2/('I_Inputs &amp; Assumptions'!$B$8/4))),IF('I_Budget Input Data'!$E$132="At Completion",IF(2='I_Inputs &amp; Assumptions'!$B$8,'I_Budget Input Data'!$D$132,0),'I_Budget Input Data'!$D$132/'I_Inputs &amp; Assumptions'!$B$8)))))),0)</f>
        <v>15384.615384615385</v>
      </c>
      <c r="E132" s="91">
        <f>IF(3&lt;='I_Inputs &amp; Assumptions'!$B$8,IF('I_Budget Input Data'!$E$132="Upfront",IF(3=1,'I_Budget Input Data'!$D$132,0),IF('I_Budget Input Data'!$E$132="Equal",'I_Budget Input Data'!$D$132/'I_Inputs &amp; Assumptions'!$B$8,IF('I_Budget Input Data'!$E$132="Front-loaded",IF(3&lt;='I_Inputs &amp; Assumptions'!$B$8/2,'I_Budget Input Data'!$D$132*0.6/('I_Inputs &amp; Assumptions'!$B$8/2),'I_Budget Input Data'!$D$132*0.4/('I_Inputs &amp; Assumptions'!$B$8/2)),IF('I_Budget Input Data'!$E$132="Back-loaded",IF(3&lt;='I_Inputs &amp; Assumptions'!$B$8/2,'I_Budget Input Data'!$D$132*0.4/('I_Inputs &amp; Assumptions'!$B$8/2),'I_Budget Input Data'!$D$132*0.6/('I_Inputs &amp; Assumptions'!$B$8/2)),IF('I_Budget Input Data'!$E$132="Mid-weighted",IF(3&lt;='I_Inputs &amp; Assumptions'!$B$8/4,'I_Budget Input Data'!$D$132*0.2/('I_Inputs &amp; Assumptions'!$B$8/4),IF(3&lt;='I_Inputs &amp; Assumptions'!$B$8*0.75,'I_Budget Input Data'!$D$132*0.6/('I_Inputs &amp; Assumptions'!$B$8/2),'I_Budget Input Data'!$D$132*0.2/('I_Inputs &amp; Assumptions'!$B$8/4))),IF('I_Budget Input Data'!$E$132="At Completion",IF(3='I_Inputs &amp; Assumptions'!$B$8,'I_Budget Input Data'!$D$132,0),'I_Budget Input Data'!$D$132/'I_Inputs &amp; Assumptions'!$B$8)))))),0)</f>
        <v>15384.615384615385</v>
      </c>
      <c r="F132" s="91">
        <f>IF(4&lt;='I_Inputs &amp; Assumptions'!$B$8,IF('I_Budget Input Data'!$E$132="Upfront",IF(4=1,'I_Budget Input Data'!$D$132,0),IF('I_Budget Input Data'!$E$132="Equal",'I_Budget Input Data'!$D$132/'I_Inputs &amp; Assumptions'!$B$8,IF('I_Budget Input Data'!$E$132="Front-loaded",IF(4&lt;='I_Inputs &amp; Assumptions'!$B$8/2,'I_Budget Input Data'!$D$132*0.6/('I_Inputs &amp; Assumptions'!$B$8/2),'I_Budget Input Data'!$D$132*0.4/('I_Inputs &amp; Assumptions'!$B$8/2)),IF('I_Budget Input Data'!$E$132="Back-loaded",IF(4&lt;='I_Inputs &amp; Assumptions'!$B$8/2,'I_Budget Input Data'!$D$132*0.4/('I_Inputs &amp; Assumptions'!$B$8/2),'I_Budget Input Data'!$D$132*0.6/('I_Inputs &amp; Assumptions'!$B$8/2)),IF('I_Budget Input Data'!$E$132="Mid-weighted",IF(4&lt;='I_Inputs &amp; Assumptions'!$B$8/4,'I_Budget Input Data'!$D$132*0.2/('I_Inputs &amp; Assumptions'!$B$8/4),IF(4&lt;='I_Inputs &amp; Assumptions'!$B$8*0.75,'I_Budget Input Data'!$D$132*0.6/('I_Inputs &amp; Assumptions'!$B$8/2),'I_Budget Input Data'!$D$132*0.2/('I_Inputs &amp; Assumptions'!$B$8/4))),IF('I_Budget Input Data'!$E$132="At Completion",IF(4='I_Inputs &amp; Assumptions'!$B$8,'I_Budget Input Data'!$D$132,0),'I_Budget Input Data'!$D$132/'I_Inputs &amp; Assumptions'!$B$8)))))),0)</f>
        <v>15384.615384615385</v>
      </c>
      <c r="G132" s="91">
        <f>IF(5&lt;='I_Inputs &amp; Assumptions'!$B$8,IF('I_Budget Input Data'!$E$132="Upfront",IF(5=1,'I_Budget Input Data'!$D$132,0),IF('I_Budget Input Data'!$E$132="Equal",'I_Budget Input Data'!$D$132/'I_Inputs &amp; Assumptions'!$B$8,IF('I_Budget Input Data'!$E$132="Front-loaded",IF(5&lt;='I_Inputs &amp; Assumptions'!$B$8/2,'I_Budget Input Data'!$D$132*0.6/('I_Inputs &amp; Assumptions'!$B$8/2),'I_Budget Input Data'!$D$132*0.4/('I_Inputs &amp; Assumptions'!$B$8/2)),IF('I_Budget Input Data'!$E$132="Back-loaded",IF(5&lt;='I_Inputs &amp; Assumptions'!$B$8/2,'I_Budget Input Data'!$D$132*0.4/('I_Inputs &amp; Assumptions'!$B$8/2),'I_Budget Input Data'!$D$132*0.6/('I_Inputs &amp; Assumptions'!$B$8/2)),IF('I_Budget Input Data'!$E$132="Mid-weighted",IF(5&lt;='I_Inputs &amp; Assumptions'!$B$8/4,'I_Budget Input Data'!$D$132*0.2/('I_Inputs &amp; Assumptions'!$B$8/4),IF(5&lt;='I_Inputs &amp; Assumptions'!$B$8*0.75,'I_Budget Input Data'!$D$132*0.6/('I_Inputs &amp; Assumptions'!$B$8/2),'I_Budget Input Data'!$D$132*0.2/('I_Inputs &amp; Assumptions'!$B$8/4))),IF('I_Budget Input Data'!$E$132="At Completion",IF(5='I_Inputs &amp; Assumptions'!$B$8,'I_Budget Input Data'!$D$132,0),'I_Budget Input Data'!$D$132/'I_Inputs &amp; Assumptions'!$B$8)))))),0)</f>
        <v>15384.615384615385</v>
      </c>
      <c r="H132" s="91">
        <f>IF(6&lt;='I_Inputs &amp; Assumptions'!$B$8,IF('I_Budget Input Data'!$E$132="Upfront",IF(6=1,'I_Budget Input Data'!$D$132,0),IF('I_Budget Input Data'!$E$132="Equal",'I_Budget Input Data'!$D$132/'I_Inputs &amp; Assumptions'!$B$8,IF('I_Budget Input Data'!$E$132="Front-loaded",IF(6&lt;='I_Inputs &amp; Assumptions'!$B$8/2,'I_Budget Input Data'!$D$132*0.6/('I_Inputs &amp; Assumptions'!$B$8/2),'I_Budget Input Data'!$D$132*0.4/('I_Inputs &amp; Assumptions'!$B$8/2)),IF('I_Budget Input Data'!$E$132="Back-loaded",IF(6&lt;='I_Inputs &amp; Assumptions'!$B$8/2,'I_Budget Input Data'!$D$132*0.4/('I_Inputs &amp; Assumptions'!$B$8/2),'I_Budget Input Data'!$D$132*0.6/('I_Inputs &amp; Assumptions'!$B$8/2)),IF('I_Budget Input Data'!$E$132="Mid-weighted",IF(6&lt;='I_Inputs &amp; Assumptions'!$B$8/4,'I_Budget Input Data'!$D$132*0.2/('I_Inputs &amp; Assumptions'!$B$8/4),IF(6&lt;='I_Inputs &amp; Assumptions'!$B$8*0.75,'I_Budget Input Data'!$D$132*0.6/('I_Inputs &amp; Assumptions'!$B$8/2),'I_Budget Input Data'!$D$132*0.2/('I_Inputs &amp; Assumptions'!$B$8/4))),IF('I_Budget Input Data'!$E$132="At Completion",IF(6='I_Inputs &amp; Assumptions'!$B$8,'I_Budget Input Data'!$D$132,0),'I_Budget Input Data'!$D$132/'I_Inputs &amp; Assumptions'!$B$8)))))),0)</f>
        <v>15384.615384615385</v>
      </c>
      <c r="I132" s="91">
        <f>IF(7&lt;='I_Inputs &amp; Assumptions'!$B$8,IF('I_Budget Input Data'!$E$132="Upfront",IF(7=1,'I_Budget Input Data'!$D$132,0),IF('I_Budget Input Data'!$E$132="Equal",'I_Budget Input Data'!$D$132/'I_Inputs &amp; Assumptions'!$B$8,IF('I_Budget Input Data'!$E$132="Front-loaded",IF(7&lt;='I_Inputs &amp; Assumptions'!$B$8/2,'I_Budget Input Data'!$D$132*0.6/('I_Inputs &amp; Assumptions'!$B$8/2),'I_Budget Input Data'!$D$132*0.4/('I_Inputs &amp; Assumptions'!$B$8/2)),IF('I_Budget Input Data'!$E$132="Back-loaded",IF(7&lt;='I_Inputs &amp; Assumptions'!$B$8/2,'I_Budget Input Data'!$D$132*0.4/('I_Inputs &amp; Assumptions'!$B$8/2),'I_Budget Input Data'!$D$132*0.6/('I_Inputs &amp; Assumptions'!$B$8/2)),IF('I_Budget Input Data'!$E$132="Mid-weighted",IF(7&lt;='I_Inputs &amp; Assumptions'!$B$8/4,'I_Budget Input Data'!$D$132*0.2/('I_Inputs &amp; Assumptions'!$B$8/4),IF(7&lt;='I_Inputs &amp; Assumptions'!$B$8*0.75,'I_Budget Input Data'!$D$132*0.6/('I_Inputs &amp; Assumptions'!$B$8/2),'I_Budget Input Data'!$D$132*0.2/('I_Inputs &amp; Assumptions'!$B$8/4))),IF('I_Budget Input Data'!$E$132="At Completion",IF(7='I_Inputs &amp; Assumptions'!$B$8,'I_Budget Input Data'!$D$132,0),'I_Budget Input Data'!$D$132/'I_Inputs &amp; Assumptions'!$B$8)))))),0)</f>
        <v>23076.923076923078</v>
      </c>
      <c r="J132" s="91">
        <f>IF(8&lt;='I_Inputs &amp; Assumptions'!$B$8,IF('I_Budget Input Data'!$E$132="Upfront",IF(8=1,'I_Budget Input Data'!$D$132,0),IF('I_Budget Input Data'!$E$132="Equal",'I_Budget Input Data'!$D$132/'I_Inputs &amp; Assumptions'!$B$8,IF('I_Budget Input Data'!$E$132="Front-loaded",IF(8&lt;='I_Inputs &amp; Assumptions'!$B$8/2,'I_Budget Input Data'!$D$132*0.6/('I_Inputs &amp; Assumptions'!$B$8/2),'I_Budget Input Data'!$D$132*0.4/('I_Inputs &amp; Assumptions'!$B$8/2)),IF('I_Budget Input Data'!$E$132="Back-loaded",IF(8&lt;='I_Inputs &amp; Assumptions'!$B$8/2,'I_Budget Input Data'!$D$132*0.4/('I_Inputs &amp; Assumptions'!$B$8/2),'I_Budget Input Data'!$D$132*0.6/('I_Inputs &amp; Assumptions'!$B$8/2)),IF('I_Budget Input Data'!$E$132="Mid-weighted",IF(8&lt;='I_Inputs &amp; Assumptions'!$B$8/4,'I_Budget Input Data'!$D$132*0.2/('I_Inputs &amp; Assumptions'!$B$8/4),IF(8&lt;='I_Inputs &amp; Assumptions'!$B$8*0.75,'I_Budget Input Data'!$D$132*0.6/('I_Inputs &amp; Assumptions'!$B$8/2),'I_Budget Input Data'!$D$132*0.2/('I_Inputs &amp; Assumptions'!$B$8/4))),IF('I_Budget Input Data'!$E$132="At Completion",IF(8='I_Inputs &amp; Assumptions'!$B$8,'I_Budget Input Data'!$D$132,0),'I_Budget Input Data'!$D$132/'I_Inputs &amp; Assumptions'!$B$8)))))),0)</f>
        <v>23076.923076923078</v>
      </c>
      <c r="K132" s="91">
        <f>IF(9&lt;='I_Inputs &amp; Assumptions'!$B$8,IF('I_Budget Input Data'!$E$132="Upfront",IF(9=1,'I_Budget Input Data'!$D$132,0),IF('I_Budget Input Data'!$E$132="Equal",'I_Budget Input Data'!$D$132/'I_Inputs &amp; Assumptions'!$B$8,IF('I_Budget Input Data'!$E$132="Front-loaded",IF(9&lt;='I_Inputs &amp; Assumptions'!$B$8/2,'I_Budget Input Data'!$D$132*0.6/('I_Inputs &amp; Assumptions'!$B$8/2),'I_Budget Input Data'!$D$132*0.4/('I_Inputs &amp; Assumptions'!$B$8/2)),IF('I_Budget Input Data'!$E$132="Back-loaded",IF(9&lt;='I_Inputs &amp; Assumptions'!$B$8/2,'I_Budget Input Data'!$D$132*0.4/('I_Inputs &amp; Assumptions'!$B$8/2),'I_Budget Input Data'!$D$132*0.6/('I_Inputs &amp; Assumptions'!$B$8/2)),IF('I_Budget Input Data'!$E$132="Mid-weighted",IF(9&lt;='I_Inputs &amp; Assumptions'!$B$8/4,'I_Budget Input Data'!$D$132*0.2/('I_Inputs &amp; Assumptions'!$B$8/4),IF(9&lt;='I_Inputs &amp; Assumptions'!$B$8*0.75,'I_Budget Input Data'!$D$132*0.6/('I_Inputs &amp; Assumptions'!$B$8/2),'I_Budget Input Data'!$D$132*0.2/('I_Inputs &amp; Assumptions'!$B$8/4))),IF('I_Budget Input Data'!$E$132="At Completion",IF(9='I_Inputs &amp; Assumptions'!$B$8,'I_Budget Input Data'!$D$132,0),'I_Budget Input Data'!$D$132/'I_Inputs &amp; Assumptions'!$B$8)))))),0)</f>
        <v>23076.923076923078</v>
      </c>
      <c r="L132" s="91">
        <f>IF(10&lt;='I_Inputs &amp; Assumptions'!$B$8,IF('I_Budget Input Data'!$E$132="Upfront",IF(10=1,'I_Budget Input Data'!$D$132,0),IF('I_Budget Input Data'!$E$132="Equal",'I_Budget Input Data'!$D$132/'I_Inputs &amp; Assumptions'!$B$8,IF('I_Budget Input Data'!$E$132="Front-loaded",IF(10&lt;='I_Inputs &amp; Assumptions'!$B$8/2,'I_Budget Input Data'!$D$132*0.6/('I_Inputs &amp; Assumptions'!$B$8/2),'I_Budget Input Data'!$D$132*0.4/('I_Inputs &amp; Assumptions'!$B$8/2)),IF('I_Budget Input Data'!$E$132="Back-loaded",IF(10&lt;='I_Inputs &amp; Assumptions'!$B$8/2,'I_Budget Input Data'!$D$132*0.4/('I_Inputs &amp; Assumptions'!$B$8/2),'I_Budget Input Data'!$D$132*0.6/('I_Inputs &amp; Assumptions'!$B$8/2)),IF('I_Budget Input Data'!$E$132="Mid-weighted",IF(10&lt;='I_Inputs &amp; Assumptions'!$B$8/4,'I_Budget Input Data'!$D$132*0.2/('I_Inputs &amp; Assumptions'!$B$8/4),IF(10&lt;='I_Inputs &amp; Assumptions'!$B$8*0.75,'I_Budget Input Data'!$D$132*0.6/('I_Inputs &amp; Assumptions'!$B$8/2),'I_Budget Input Data'!$D$132*0.2/('I_Inputs &amp; Assumptions'!$B$8/4))),IF('I_Budget Input Data'!$E$132="At Completion",IF(10='I_Inputs &amp; Assumptions'!$B$8,'I_Budget Input Data'!$D$132,0),'I_Budget Input Data'!$D$132/'I_Inputs &amp; Assumptions'!$B$8)))))),0)</f>
        <v>23076.923076923078</v>
      </c>
      <c r="M132" s="91">
        <f>IF(11&lt;='I_Inputs &amp; Assumptions'!$B$8,IF('I_Budget Input Data'!$E$132="Upfront",IF(11=1,'I_Budget Input Data'!$D$132,0),IF('I_Budget Input Data'!$E$132="Equal",'I_Budget Input Data'!$D$132/'I_Inputs &amp; Assumptions'!$B$8,IF('I_Budget Input Data'!$E$132="Front-loaded",IF(11&lt;='I_Inputs &amp; Assumptions'!$B$8/2,'I_Budget Input Data'!$D$132*0.6/('I_Inputs &amp; Assumptions'!$B$8/2),'I_Budget Input Data'!$D$132*0.4/('I_Inputs &amp; Assumptions'!$B$8/2)),IF('I_Budget Input Data'!$E$132="Back-loaded",IF(11&lt;='I_Inputs &amp; Assumptions'!$B$8/2,'I_Budget Input Data'!$D$132*0.4/('I_Inputs &amp; Assumptions'!$B$8/2),'I_Budget Input Data'!$D$132*0.6/('I_Inputs &amp; Assumptions'!$B$8/2)),IF('I_Budget Input Data'!$E$132="Mid-weighted",IF(11&lt;='I_Inputs &amp; Assumptions'!$B$8/4,'I_Budget Input Data'!$D$132*0.2/('I_Inputs &amp; Assumptions'!$B$8/4),IF(11&lt;='I_Inputs &amp; Assumptions'!$B$8*0.75,'I_Budget Input Data'!$D$132*0.6/('I_Inputs &amp; Assumptions'!$B$8/2),'I_Budget Input Data'!$D$132*0.2/('I_Inputs &amp; Assumptions'!$B$8/4))),IF('I_Budget Input Data'!$E$132="At Completion",IF(11='I_Inputs &amp; Assumptions'!$B$8,'I_Budget Input Data'!$D$132,0),'I_Budget Input Data'!$D$132/'I_Inputs &amp; Assumptions'!$B$8)))))),0)</f>
        <v>23076.923076923078</v>
      </c>
      <c r="N132" s="91">
        <f>IF(12&lt;='I_Inputs &amp; Assumptions'!$B$8,IF('I_Budget Input Data'!$E$132="Upfront",IF(12=1,'I_Budget Input Data'!$D$132,0),IF('I_Budget Input Data'!$E$132="Equal",'I_Budget Input Data'!$D$132/'I_Inputs &amp; Assumptions'!$B$8,IF('I_Budget Input Data'!$E$132="Front-loaded",IF(12&lt;='I_Inputs &amp; Assumptions'!$B$8/2,'I_Budget Input Data'!$D$132*0.6/('I_Inputs &amp; Assumptions'!$B$8/2),'I_Budget Input Data'!$D$132*0.4/('I_Inputs &amp; Assumptions'!$B$8/2)),IF('I_Budget Input Data'!$E$132="Back-loaded",IF(12&lt;='I_Inputs &amp; Assumptions'!$B$8/2,'I_Budget Input Data'!$D$132*0.4/('I_Inputs &amp; Assumptions'!$B$8/2),'I_Budget Input Data'!$D$132*0.6/('I_Inputs &amp; Assumptions'!$B$8/2)),IF('I_Budget Input Data'!$E$132="Mid-weighted",IF(12&lt;='I_Inputs &amp; Assumptions'!$B$8/4,'I_Budget Input Data'!$D$132*0.2/('I_Inputs &amp; Assumptions'!$B$8/4),IF(12&lt;='I_Inputs &amp; Assumptions'!$B$8*0.75,'I_Budget Input Data'!$D$132*0.6/('I_Inputs &amp; Assumptions'!$B$8/2),'I_Budget Input Data'!$D$132*0.2/('I_Inputs &amp; Assumptions'!$B$8/4))),IF('I_Budget Input Data'!$E$132="At Completion",IF(12='I_Inputs &amp; Assumptions'!$B$8,'I_Budget Input Data'!$D$132,0),'I_Budget Input Data'!$D$132/'I_Inputs &amp; Assumptions'!$B$8)))))),0)</f>
        <v>23076.923076923078</v>
      </c>
      <c r="O132" s="91">
        <f>IF(13&lt;='I_Inputs &amp; Assumptions'!$B$8,IF('I_Budget Input Data'!$E$132="Upfront",IF(13=1,'I_Budget Input Data'!$D$132,0),IF('I_Budget Input Data'!$E$132="Equal",'I_Budget Input Data'!$D$132/'I_Inputs &amp; Assumptions'!$B$8,IF('I_Budget Input Data'!$E$132="Front-loaded",IF(13&lt;='I_Inputs &amp; Assumptions'!$B$8/2,'I_Budget Input Data'!$D$132*0.6/('I_Inputs &amp; Assumptions'!$B$8/2),'I_Budget Input Data'!$D$132*0.4/('I_Inputs &amp; Assumptions'!$B$8/2)),IF('I_Budget Input Data'!$E$132="Back-loaded",IF(13&lt;='I_Inputs &amp; Assumptions'!$B$8/2,'I_Budget Input Data'!$D$132*0.4/('I_Inputs &amp; Assumptions'!$B$8/2),'I_Budget Input Data'!$D$132*0.6/('I_Inputs &amp; Assumptions'!$B$8/2)),IF('I_Budget Input Data'!$E$132="Mid-weighted",IF(13&lt;='I_Inputs &amp; Assumptions'!$B$8/4,'I_Budget Input Data'!$D$132*0.2/('I_Inputs &amp; Assumptions'!$B$8/4),IF(13&lt;='I_Inputs &amp; Assumptions'!$B$8*0.75,'I_Budget Input Data'!$D$132*0.6/('I_Inputs &amp; Assumptions'!$B$8/2),'I_Budget Input Data'!$D$132*0.2/('I_Inputs &amp; Assumptions'!$B$8/4))),IF('I_Budget Input Data'!$E$132="At Completion",IF(13='I_Inputs &amp; Assumptions'!$B$8,'I_Budget Input Data'!$D$132,0),'I_Budget Input Data'!$D$132/'I_Inputs &amp; Assumptions'!$B$8)))))),0)</f>
        <v>23076.923076923078</v>
      </c>
      <c r="P132" s="91">
        <f>IF(14&lt;='I_Inputs &amp; Assumptions'!$B$8,IF('I_Budget Input Data'!$E$132="Upfront",IF(14=1,'I_Budget Input Data'!$D$132,0),IF('I_Budget Input Data'!$E$132="Equal",'I_Budget Input Data'!$D$132/'I_Inputs &amp; Assumptions'!$B$8,IF('I_Budget Input Data'!$E$132="Front-loaded",IF(14&lt;='I_Inputs &amp; Assumptions'!$B$8/2,'I_Budget Input Data'!$D$132*0.6/('I_Inputs &amp; Assumptions'!$B$8/2),'I_Budget Input Data'!$D$132*0.4/('I_Inputs &amp; Assumptions'!$B$8/2)),IF('I_Budget Input Data'!$E$132="Back-loaded",IF(14&lt;='I_Inputs &amp; Assumptions'!$B$8/2,'I_Budget Input Data'!$D$132*0.4/('I_Inputs &amp; Assumptions'!$B$8/2),'I_Budget Input Data'!$D$132*0.6/('I_Inputs &amp; Assumptions'!$B$8/2)),IF('I_Budget Input Data'!$E$132="Mid-weighted",IF(14&lt;='I_Inputs &amp; Assumptions'!$B$8/4,'I_Budget Input Data'!$D$132*0.2/('I_Inputs &amp; Assumptions'!$B$8/4),IF(14&lt;='I_Inputs &amp; Assumptions'!$B$8*0.75,'I_Budget Input Data'!$D$132*0.6/('I_Inputs &amp; Assumptions'!$B$8/2),'I_Budget Input Data'!$D$132*0.2/('I_Inputs &amp; Assumptions'!$B$8/4))),IF('I_Budget Input Data'!$E$132="At Completion",IF(14='I_Inputs &amp; Assumptions'!$B$8,'I_Budget Input Data'!$D$132,0),'I_Budget Input Data'!$D$132/'I_Inputs &amp; Assumptions'!$B$8)))))),0)</f>
        <v>0</v>
      </c>
      <c r="Q132" s="91">
        <f>IF(15&lt;='I_Inputs &amp; Assumptions'!$B$8,IF('I_Budget Input Data'!$E$132="Upfront",IF(15=1,'I_Budget Input Data'!$D$132,0),IF('I_Budget Input Data'!$E$132="Equal",'I_Budget Input Data'!$D$132/'I_Inputs &amp; Assumptions'!$B$8,IF('I_Budget Input Data'!$E$132="Front-loaded",IF(15&lt;='I_Inputs &amp; Assumptions'!$B$8/2,'I_Budget Input Data'!$D$132*0.6/('I_Inputs &amp; Assumptions'!$B$8/2),'I_Budget Input Data'!$D$132*0.4/('I_Inputs &amp; Assumptions'!$B$8/2)),IF('I_Budget Input Data'!$E$132="Back-loaded",IF(15&lt;='I_Inputs &amp; Assumptions'!$B$8/2,'I_Budget Input Data'!$D$132*0.4/('I_Inputs &amp; Assumptions'!$B$8/2),'I_Budget Input Data'!$D$132*0.6/('I_Inputs &amp; Assumptions'!$B$8/2)),IF('I_Budget Input Data'!$E$132="Mid-weighted",IF(15&lt;='I_Inputs &amp; Assumptions'!$B$8/4,'I_Budget Input Data'!$D$132*0.2/('I_Inputs &amp; Assumptions'!$B$8/4),IF(15&lt;='I_Inputs &amp; Assumptions'!$B$8*0.75,'I_Budget Input Data'!$D$132*0.6/('I_Inputs &amp; Assumptions'!$B$8/2),'I_Budget Input Data'!$D$132*0.2/('I_Inputs &amp; Assumptions'!$B$8/4))),IF('I_Budget Input Data'!$E$132="At Completion",IF(15='I_Inputs &amp; Assumptions'!$B$8,'I_Budget Input Data'!$D$132,0),'I_Budget Input Data'!$D$132/'I_Inputs &amp; Assumptions'!$B$8)))))),0)</f>
        <v>0</v>
      </c>
      <c r="R132" s="91">
        <f>IF(16&lt;='I_Inputs &amp; Assumptions'!$B$8,IF('I_Budget Input Data'!$E$132="Upfront",IF(16=1,'I_Budget Input Data'!$D$132,0),IF('I_Budget Input Data'!$E$132="Equal",'I_Budget Input Data'!$D$132/'I_Inputs &amp; Assumptions'!$B$8,IF('I_Budget Input Data'!$E$132="Front-loaded",IF(16&lt;='I_Inputs &amp; Assumptions'!$B$8/2,'I_Budget Input Data'!$D$132*0.6/('I_Inputs &amp; Assumptions'!$B$8/2),'I_Budget Input Data'!$D$132*0.4/('I_Inputs &amp; Assumptions'!$B$8/2)),IF('I_Budget Input Data'!$E$132="Back-loaded",IF(16&lt;='I_Inputs &amp; Assumptions'!$B$8/2,'I_Budget Input Data'!$D$132*0.4/('I_Inputs &amp; Assumptions'!$B$8/2),'I_Budget Input Data'!$D$132*0.6/('I_Inputs &amp; Assumptions'!$B$8/2)),IF('I_Budget Input Data'!$E$132="Mid-weighted",IF(16&lt;='I_Inputs &amp; Assumptions'!$B$8/4,'I_Budget Input Data'!$D$132*0.2/('I_Inputs &amp; Assumptions'!$B$8/4),IF(16&lt;='I_Inputs &amp; Assumptions'!$B$8*0.75,'I_Budget Input Data'!$D$132*0.6/('I_Inputs &amp; Assumptions'!$B$8/2),'I_Budget Input Data'!$D$132*0.2/('I_Inputs &amp; Assumptions'!$B$8/4))),IF('I_Budget Input Data'!$E$132="At Completion",IF(16='I_Inputs &amp; Assumptions'!$B$8,'I_Budget Input Data'!$D$132,0),'I_Budget Input Data'!$D$132/'I_Inputs &amp; Assumptions'!$B$8)))))),0)</f>
        <v>0</v>
      </c>
      <c r="S132" s="91">
        <f>IF(17&lt;='I_Inputs &amp; Assumptions'!$B$8,IF('I_Budget Input Data'!$E$132="Upfront",IF(17=1,'I_Budget Input Data'!$D$132,0),IF('I_Budget Input Data'!$E$132="Equal",'I_Budget Input Data'!$D$132/'I_Inputs &amp; Assumptions'!$B$8,IF('I_Budget Input Data'!$E$132="Front-loaded",IF(17&lt;='I_Inputs &amp; Assumptions'!$B$8/2,'I_Budget Input Data'!$D$132*0.6/('I_Inputs &amp; Assumptions'!$B$8/2),'I_Budget Input Data'!$D$132*0.4/('I_Inputs &amp; Assumptions'!$B$8/2)),IF('I_Budget Input Data'!$E$132="Back-loaded",IF(17&lt;='I_Inputs &amp; Assumptions'!$B$8/2,'I_Budget Input Data'!$D$132*0.4/('I_Inputs &amp; Assumptions'!$B$8/2),'I_Budget Input Data'!$D$132*0.6/('I_Inputs &amp; Assumptions'!$B$8/2)),IF('I_Budget Input Data'!$E$132="Mid-weighted",IF(17&lt;='I_Inputs &amp; Assumptions'!$B$8/4,'I_Budget Input Data'!$D$132*0.2/('I_Inputs &amp; Assumptions'!$B$8/4),IF(17&lt;='I_Inputs &amp; Assumptions'!$B$8*0.75,'I_Budget Input Data'!$D$132*0.6/('I_Inputs &amp; Assumptions'!$B$8/2),'I_Budget Input Data'!$D$132*0.2/('I_Inputs &amp; Assumptions'!$B$8/4))),IF('I_Budget Input Data'!$E$132="At Completion",IF(17='I_Inputs &amp; Assumptions'!$B$8,'I_Budget Input Data'!$D$132,0),'I_Budget Input Data'!$D$132/'I_Inputs &amp; Assumptions'!$B$8)))))),0)</f>
        <v>0</v>
      </c>
      <c r="T132" s="91">
        <f>IF(18&lt;='I_Inputs &amp; Assumptions'!$B$8,IF('I_Budget Input Data'!$E$132="Upfront",IF(18=1,'I_Budget Input Data'!$D$132,0),IF('I_Budget Input Data'!$E$132="Equal",'I_Budget Input Data'!$D$132/'I_Inputs &amp; Assumptions'!$B$8,IF('I_Budget Input Data'!$E$132="Front-loaded",IF(18&lt;='I_Inputs &amp; Assumptions'!$B$8/2,'I_Budget Input Data'!$D$132*0.6/('I_Inputs &amp; Assumptions'!$B$8/2),'I_Budget Input Data'!$D$132*0.4/('I_Inputs &amp; Assumptions'!$B$8/2)),IF('I_Budget Input Data'!$E$132="Back-loaded",IF(18&lt;='I_Inputs &amp; Assumptions'!$B$8/2,'I_Budget Input Data'!$D$132*0.4/('I_Inputs &amp; Assumptions'!$B$8/2),'I_Budget Input Data'!$D$132*0.6/('I_Inputs &amp; Assumptions'!$B$8/2)),IF('I_Budget Input Data'!$E$132="Mid-weighted",IF(18&lt;='I_Inputs &amp; Assumptions'!$B$8/4,'I_Budget Input Data'!$D$132*0.2/('I_Inputs &amp; Assumptions'!$B$8/4),IF(18&lt;='I_Inputs &amp; Assumptions'!$B$8*0.75,'I_Budget Input Data'!$D$132*0.6/('I_Inputs &amp; Assumptions'!$B$8/2),'I_Budget Input Data'!$D$132*0.2/('I_Inputs &amp; Assumptions'!$B$8/4))),IF('I_Budget Input Data'!$E$132="At Completion",IF(18='I_Inputs &amp; Assumptions'!$B$8,'I_Budget Input Data'!$D$132,0),'I_Budget Input Data'!$D$132/'I_Inputs &amp; Assumptions'!$B$8)))))),0)</f>
        <v>0</v>
      </c>
      <c r="U132" s="91">
        <f>IF(19&lt;='I_Inputs &amp; Assumptions'!$B$8,IF('I_Budget Input Data'!$E$132="Upfront",IF(19=1,'I_Budget Input Data'!$D$132,0),IF('I_Budget Input Data'!$E$132="Equal",'I_Budget Input Data'!$D$132/'I_Inputs &amp; Assumptions'!$B$8,IF('I_Budget Input Data'!$E$132="Front-loaded",IF(19&lt;='I_Inputs &amp; Assumptions'!$B$8/2,'I_Budget Input Data'!$D$132*0.6/('I_Inputs &amp; Assumptions'!$B$8/2),'I_Budget Input Data'!$D$132*0.4/('I_Inputs &amp; Assumptions'!$B$8/2)),IF('I_Budget Input Data'!$E$132="Back-loaded",IF(19&lt;='I_Inputs &amp; Assumptions'!$B$8/2,'I_Budget Input Data'!$D$132*0.4/('I_Inputs &amp; Assumptions'!$B$8/2),'I_Budget Input Data'!$D$132*0.6/('I_Inputs &amp; Assumptions'!$B$8/2)),IF('I_Budget Input Data'!$E$132="Mid-weighted",IF(19&lt;='I_Inputs &amp; Assumptions'!$B$8/4,'I_Budget Input Data'!$D$132*0.2/('I_Inputs &amp; Assumptions'!$B$8/4),IF(19&lt;='I_Inputs &amp; Assumptions'!$B$8*0.75,'I_Budget Input Data'!$D$132*0.6/('I_Inputs &amp; Assumptions'!$B$8/2),'I_Budget Input Data'!$D$132*0.2/('I_Inputs &amp; Assumptions'!$B$8/4))),IF('I_Budget Input Data'!$E$132="At Completion",IF(19='I_Inputs &amp; Assumptions'!$B$8,'I_Budget Input Data'!$D$132,0),'I_Budget Input Data'!$D$132/'I_Inputs &amp; Assumptions'!$B$8)))))),0)</f>
        <v>0</v>
      </c>
      <c r="V132" s="91">
        <f>IF(20&lt;='I_Inputs &amp; Assumptions'!$B$8,IF('I_Budget Input Data'!$E$132="Upfront",IF(20=1,'I_Budget Input Data'!$D$132,0),IF('I_Budget Input Data'!$E$132="Equal",'I_Budget Input Data'!$D$132/'I_Inputs &amp; Assumptions'!$B$8,IF('I_Budget Input Data'!$E$132="Front-loaded",IF(20&lt;='I_Inputs &amp; Assumptions'!$B$8/2,'I_Budget Input Data'!$D$132*0.6/('I_Inputs &amp; Assumptions'!$B$8/2),'I_Budget Input Data'!$D$132*0.4/('I_Inputs &amp; Assumptions'!$B$8/2)),IF('I_Budget Input Data'!$E$132="Back-loaded",IF(20&lt;='I_Inputs &amp; Assumptions'!$B$8/2,'I_Budget Input Data'!$D$132*0.4/('I_Inputs &amp; Assumptions'!$B$8/2),'I_Budget Input Data'!$D$132*0.6/('I_Inputs &amp; Assumptions'!$B$8/2)),IF('I_Budget Input Data'!$E$132="Mid-weighted",IF(20&lt;='I_Inputs &amp; Assumptions'!$B$8/4,'I_Budget Input Data'!$D$132*0.2/('I_Inputs &amp; Assumptions'!$B$8/4),IF(20&lt;='I_Inputs &amp; Assumptions'!$B$8*0.75,'I_Budget Input Data'!$D$132*0.6/('I_Inputs &amp; Assumptions'!$B$8/2),'I_Budget Input Data'!$D$132*0.2/('I_Inputs &amp; Assumptions'!$B$8/4))),IF('I_Budget Input Data'!$E$132="At Completion",IF(20='I_Inputs &amp; Assumptions'!$B$8,'I_Budget Input Data'!$D$132,0),'I_Budget Input Data'!$D$132/'I_Inputs &amp; Assumptions'!$B$8)))))),0)</f>
        <v>0</v>
      </c>
      <c r="W132" s="91">
        <f>IF(21&lt;='I_Inputs &amp; Assumptions'!$B$8,IF('I_Budget Input Data'!$E$132="Upfront",IF(21=1,'I_Budget Input Data'!$D$132,0),IF('I_Budget Input Data'!$E$132="Equal",'I_Budget Input Data'!$D$132/'I_Inputs &amp; Assumptions'!$B$8,IF('I_Budget Input Data'!$E$132="Front-loaded",IF(21&lt;='I_Inputs &amp; Assumptions'!$B$8/2,'I_Budget Input Data'!$D$132*0.6/('I_Inputs &amp; Assumptions'!$B$8/2),'I_Budget Input Data'!$D$132*0.4/('I_Inputs &amp; Assumptions'!$B$8/2)),IF('I_Budget Input Data'!$E$132="Back-loaded",IF(21&lt;='I_Inputs &amp; Assumptions'!$B$8/2,'I_Budget Input Data'!$D$132*0.4/('I_Inputs &amp; Assumptions'!$B$8/2),'I_Budget Input Data'!$D$132*0.6/('I_Inputs &amp; Assumptions'!$B$8/2)),IF('I_Budget Input Data'!$E$132="Mid-weighted",IF(21&lt;='I_Inputs &amp; Assumptions'!$B$8/4,'I_Budget Input Data'!$D$132*0.2/('I_Inputs &amp; Assumptions'!$B$8/4),IF(21&lt;='I_Inputs &amp; Assumptions'!$B$8*0.75,'I_Budget Input Data'!$D$132*0.6/('I_Inputs &amp; Assumptions'!$B$8/2),'I_Budget Input Data'!$D$132*0.2/('I_Inputs &amp; Assumptions'!$B$8/4))),IF('I_Budget Input Data'!$E$132="At Completion",IF(21='I_Inputs &amp; Assumptions'!$B$8,'I_Budget Input Data'!$D$132,0),'I_Budget Input Data'!$D$132/'I_Inputs &amp; Assumptions'!$B$8)))))),0)</f>
        <v>0</v>
      </c>
      <c r="X132" s="91">
        <f>IF(22&lt;='I_Inputs &amp; Assumptions'!$B$8,IF('I_Budget Input Data'!$E$132="Upfront",IF(22=1,'I_Budget Input Data'!$D$132,0),IF('I_Budget Input Data'!$E$132="Equal",'I_Budget Input Data'!$D$132/'I_Inputs &amp; Assumptions'!$B$8,IF('I_Budget Input Data'!$E$132="Front-loaded",IF(22&lt;='I_Inputs &amp; Assumptions'!$B$8/2,'I_Budget Input Data'!$D$132*0.6/('I_Inputs &amp; Assumptions'!$B$8/2),'I_Budget Input Data'!$D$132*0.4/('I_Inputs &amp; Assumptions'!$B$8/2)),IF('I_Budget Input Data'!$E$132="Back-loaded",IF(22&lt;='I_Inputs &amp; Assumptions'!$B$8/2,'I_Budget Input Data'!$D$132*0.4/('I_Inputs &amp; Assumptions'!$B$8/2),'I_Budget Input Data'!$D$132*0.6/('I_Inputs &amp; Assumptions'!$B$8/2)),IF('I_Budget Input Data'!$E$132="Mid-weighted",IF(22&lt;='I_Inputs &amp; Assumptions'!$B$8/4,'I_Budget Input Data'!$D$132*0.2/('I_Inputs &amp; Assumptions'!$B$8/4),IF(22&lt;='I_Inputs &amp; Assumptions'!$B$8*0.75,'I_Budget Input Data'!$D$132*0.6/('I_Inputs &amp; Assumptions'!$B$8/2),'I_Budget Input Data'!$D$132*0.2/('I_Inputs &amp; Assumptions'!$B$8/4))),IF('I_Budget Input Data'!$E$132="At Completion",IF(22='I_Inputs &amp; Assumptions'!$B$8,'I_Budget Input Data'!$D$132,0),'I_Budget Input Data'!$D$132/'I_Inputs &amp; Assumptions'!$B$8)))))),0)</f>
        <v>0</v>
      </c>
      <c r="Y132" s="91">
        <f>IF(23&lt;='I_Inputs &amp; Assumptions'!$B$8,IF('I_Budget Input Data'!$E$132="Upfront",IF(23=1,'I_Budget Input Data'!$D$132,0),IF('I_Budget Input Data'!$E$132="Equal",'I_Budget Input Data'!$D$132/'I_Inputs &amp; Assumptions'!$B$8,IF('I_Budget Input Data'!$E$132="Front-loaded",IF(23&lt;='I_Inputs &amp; Assumptions'!$B$8/2,'I_Budget Input Data'!$D$132*0.6/('I_Inputs &amp; Assumptions'!$B$8/2),'I_Budget Input Data'!$D$132*0.4/('I_Inputs &amp; Assumptions'!$B$8/2)),IF('I_Budget Input Data'!$E$132="Back-loaded",IF(23&lt;='I_Inputs &amp; Assumptions'!$B$8/2,'I_Budget Input Data'!$D$132*0.4/('I_Inputs &amp; Assumptions'!$B$8/2),'I_Budget Input Data'!$D$132*0.6/('I_Inputs &amp; Assumptions'!$B$8/2)),IF('I_Budget Input Data'!$E$132="Mid-weighted",IF(23&lt;='I_Inputs &amp; Assumptions'!$B$8/4,'I_Budget Input Data'!$D$132*0.2/('I_Inputs &amp; Assumptions'!$B$8/4),IF(23&lt;='I_Inputs &amp; Assumptions'!$B$8*0.75,'I_Budget Input Data'!$D$132*0.6/('I_Inputs &amp; Assumptions'!$B$8/2),'I_Budget Input Data'!$D$132*0.2/('I_Inputs &amp; Assumptions'!$B$8/4))),IF('I_Budget Input Data'!$E$132="At Completion",IF(23='I_Inputs &amp; Assumptions'!$B$8,'I_Budget Input Data'!$D$132,0),'I_Budget Input Data'!$D$132/'I_Inputs &amp; Assumptions'!$B$8)))))),0)</f>
        <v>0</v>
      </c>
      <c r="Z132" s="91">
        <f>IF(24&lt;='I_Inputs &amp; Assumptions'!$B$8,IF('I_Budget Input Data'!$E$132="Upfront",IF(24=1,'I_Budget Input Data'!$D$132,0),IF('I_Budget Input Data'!$E$132="Equal",'I_Budget Input Data'!$D$132/'I_Inputs &amp; Assumptions'!$B$8,IF('I_Budget Input Data'!$E$132="Front-loaded",IF(24&lt;='I_Inputs &amp; Assumptions'!$B$8/2,'I_Budget Input Data'!$D$132*0.6/('I_Inputs &amp; Assumptions'!$B$8/2),'I_Budget Input Data'!$D$132*0.4/('I_Inputs &amp; Assumptions'!$B$8/2)),IF('I_Budget Input Data'!$E$132="Back-loaded",IF(24&lt;='I_Inputs &amp; Assumptions'!$B$8/2,'I_Budget Input Data'!$D$132*0.4/('I_Inputs &amp; Assumptions'!$B$8/2),'I_Budget Input Data'!$D$132*0.6/('I_Inputs &amp; Assumptions'!$B$8/2)),IF('I_Budget Input Data'!$E$132="Mid-weighted",IF(24&lt;='I_Inputs &amp; Assumptions'!$B$8/4,'I_Budget Input Data'!$D$132*0.2/('I_Inputs &amp; Assumptions'!$B$8/4),IF(24&lt;='I_Inputs &amp; Assumptions'!$B$8*0.75,'I_Budget Input Data'!$D$132*0.6/('I_Inputs &amp; Assumptions'!$B$8/2),'I_Budget Input Data'!$D$132*0.2/('I_Inputs &amp; Assumptions'!$B$8/4))),IF('I_Budget Input Data'!$E$132="At Completion",IF(24='I_Inputs &amp; Assumptions'!$B$8,'I_Budget Input Data'!$D$132,0),'I_Budget Input Data'!$D$132/'I_Inputs &amp; Assumptions'!$B$8)))))),0)</f>
        <v>0</v>
      </c>
      <c r="AA132" s="91">
        <f>IF(25&lt;='I_Inputs &amp; Assumptions'!$B$8,IF('I_Budget Input Data'!$E$132="Upfront",IF(25=1,'I_Budget Input Data'!$D$132,0),IF('I_Budget Input Data'!$E$132="Equal",'I_Budget Input Data'!$D$132/'I_Inputs &amp; Assumptions'!$B$8,IF('I_Budget Input Data'!$E$132="Front-loaded",IF(25&lt;='I_Inputs &amp; Assumptions'!$B$8/2,'I_Budget Input Data'!$D$132*0.6/('I_Inputs &amp; Assumptions'!$B$8/2),'I_Budget Input Data'!$D$132*0.4/('I_Inputs &amp; Assumptions'!$B$8/2)),IF('I_Budget Input Data'!$E$132="Back-loaded",IF(25&lt;='I_Inputs &amp; Assumptions'!$B$8/2,'I_Budget Input Data'!$D$132*0.4/('I_Inputs &amp; Assumptions'!$B$8/2),'I_Budget Input Data'!$D$132*0.6/('I_Inputs &amp; Assumptions'!$B$8/2)),IF('I_Budget Input Data'!$E$132="Mid-weighted",IF(25&lt;='I_Inputs &amp; Assumptions'!$B$8/4,'I_Budget Input Data'!$D$132*0.2/('I_Inputs &amp; Assumptions'!$B$8/4),IF(25&lt;='I_Inputs &amp; Assumptions'!$B$8*0.75,'I_Budget Input Data'!$D$132*0.6/('I_Inputs &amp; Assumptions'!$B$8/2),'I_Budget Input Data'!$D$132*0.2/('I_Inputs &amp; Assumptions'!$B$8/4))),IF('I_Budget Input Data'!$E$132="At Completion",IF(25='I_Inputs &amp; Assumptions'!$B$8,'I_Budget Input Data'!$D$132,0),'I_Budget Input Data'!$D$132/'I_Inputs &amp; Assumptions'!$B$8)))))),0)</f>
        <v>0</v>
      </c>
      <c r="AB132" s="91">
        <f>IF(26&lt;='I_Inputs &amp; Assumptions'!$B$8,IF('I_Budget Input Data'!$E$132="Upfront",IF(26=1,'I_Budget Input Data'!$D$132,0),IF('I_Budget Input Data'!$E$132="Equal",'I_Budget Input Data'!$D$132/'I_Inputs &amp; Assumptions'!$B$8,IF('I_Budget Input Data'!$E$132="Front-loaded",IF(26&lt;='I_Inputs &amp; Assumptions'!$B$8/2,'I_Budget Input Data'!$D$132*0.6/('I_Inputs &amp; Assumptions'!$B$8/2),'I_Budget Input Data'!$D$132*0.4/('I_Inputs &amp; Assumptions'!$B$8/2)),IF('I_Budget Input Data'!$E$132="Back-loaded",IF(26&lt;='I_Inputs &amp; Assumptions'!$B$8/2,'I_Budget Input Data'!$D$132*0.4/('I_Inputs &amp; Assumptions'!$B$8/2),'I_Budget Input Data'!$D$132*0.6/('I_Inputs &amp; Assumptions'!$B$8/2)),IF('I_Budget Input Data'!$E$132="Mid-weighted",IF(26&lt;='I_Inputs &amp; Assumptions'!$B$8/4,'I_Budget Input Data'!$D$132*0.2/('I_Inputs &amp; Assumptions'!$B$8/4),IF(26&lt;='I_Inputs &amp; Assumptions'!$B$8*0.75,'I_Budget Input Data'!$D$132*0.6/('I_Inputs &amp; Assumptions'!$B$8/2),'I_Budget Input Data'!$D$132*0.2/('I_Inputs &amp; Assumptions'!$B$8/4))),IF('I_Budget Input Data'!$E$132="At Completion",IF(26='I_Inputs &amp; Assumptions'!$B$8,'I_Budget Input Data'!$D$132,0),'I_Budget Input Data'!$D$132/'I_Inputs &amp; Assumptions'!$B$8)))))),0)</f>
        <v>0</v>
      </c>
      <c r="AC132" s="91">
        <f>IF(27&lt;='I_Inputs &amp; Assumptions'!$B$8,IF('I_Budget Input Data'!$E$132="Upfront",IF(27=1,'I_Budget Input Data'!$D$132,0),IF('I_Budget Input Data'!$E$132="Equal",'I_Budget Input Data'!$D$132/'I_Inputs &amp; Assumptions'!$B$8,IF('I_Budget Input Data'!$E$132="Front-loaded",IF(27&lt;='I_Inputs &amp; Assumptions'!$B$8/2,'I_Budget Input Data'!$D$132*0.6/('I_Inputs &amp; Assumptions'!$B$8/2),'I_Budget Input Data'!$D$132*0.4/('I_Inputs &amp; Assumptions'!$B$8/2)),IF('I_Budget Input Data'!$E$132="Back-loaded",IF(27&lt;='I_Inputs &amp; Assumptions'!$B$8/2,'I_Budget Input Data'!$D$132*0.4/('I_Inputs &amp; Assumptions'!$B$8/2),'I_Budget Input Data'!$D$132*0.6/('I_Inputs &amp; Assumptions'!$B$8/2)),IF('I_Budget Input Data'!$E$132="Mid-weighted",IF(27&lt;='I_Inputs &amp; Assumptions'!$B$8/4,'I_Budget Input Data'!$D$132*0.2/('I_Inputs &amp; Assumptions'!$B$8/4),IF(27&lt;='I_Inputs &amp; Assumptions'!$B$8*0.75,'I_Budget Input Data'!$D$132*0.6/('I_Inputs &amp; Assumptions'!$B$8/2),'I_Budget Input Data'!$D$132*0.2/('I_Inputs &amp; Assumptions'!$B$8/4))),IF('I_Budget Input Data'!$E$132="At Completion",IF(27='I_Inputs &amp; Assumptions'!$B$8,'I_Budget Input Data'!$D$132,0),'I_Budget Input Data'!$D$132/'I_Inputs &amp; Assumptions'!$B$8)))))),0)</f>
        <v>0</v>
      </c>
      <c r="AD132" s="91">
        <f>IF(28&lt;='I_Inputs &amp; Assumptions'!$B$8,IF('I_Budget Input Data'!$E$132="Upfront",IF(28=1,'I_Budget Input Data'!$D$132,0),IF('I_Budget Input Data'!$E$132="Equal",'I_Budget Input Data'!$D$132/'I_Inputs &amp; Assumptions'!$B$8,IF('I_Budget Input Data'!$E$132="Front-loaded",IF(28&lt;='I_Inputs &amp; Assumptions'!$B$8/2,'I_Budget Input Data'!$D$132*0.6/('I_Inputs &amp; Assumptions'!$B$8/2),'I_Budget Input Data'!$D$132*0.4/('I_Inputs &amp; Assumptions'!$B$8/2)),IF('I_Budget Input Data'!$E$132="Back-loaded",IF(28&lt;='I_Inputs &amp; Assumptions'!$B$8/2,'I_Budget Input Data'!$D$132*0.4/('I_Inputs &amp; Assumptions'!$B$8/2),'I_Budget Input Data'!$D$132*0.6/('I_Inputs &amp; Assumptions'!$B$8/2)),IF('I_Budget Input Data'!$E$132="Mid-weighted",IF(28&lt;='I_Inputs &amp; Assumptions'!$B$8/4,'I_Budget Input Data'!$D$132*0.2/('I_Inputs &amp; Assumptions'!$B$8/4),IF(28&lt;='I_Inputs &amp; Assumptions'!$B$8*0.75,'I_Budget Input Data'!$D$132*0.6/('I_Inputs &amp; Assumptions'!$B$8/2),'I_Budget Input Data'!$D$132*0.2/('I_Inputs &amp; Assumptions'!$B$8/4))),IF('I_Budget Input Data'!$E$132="At Completion",IF(28='I_Inputs &amp; Assumptions'!$B$8,'I_Budget Input Data'!$D$132,0),'I_Budget Input Data'!$D$132/'I_Inputs &amp; Assumptions'!$B$8)))))),0)</f>
        <v>0</v>
      </c>
      <c r="AE132" s="91">
        <f>IF(29&lt;='I_Inputs &amp; Assumptions'!$B$8,IF('I_Budget Input Data'!$E$132="Upfront",IF(29=1,'I_Budget Input Data'!$D$132,0),IF('I_Budget Input Data'!$E$132="Equal",'I_Budget Input Data'!$D$132/'I_Inputs &amp; Assumptions'!$B$8,IF('I_Budget Input Data'!$E$132="Front-loaded",IF(29&lt;='I_Inputs &amp; Assumptions'!$B$8/2,'I_Budget Input Data'!$D$132*0.6/('I_Inputs &amp; Assumptions'!$B$8/2),'I_Budget Input Data'!$D$132*0.4/('I_Inputs &amp; Assumptions'!$B$8/2)),IF('I_Budget Input Data'!$E$132="Back-loaded",IF(29&lt;='I_Inputs &amp; Assumptions'!$B$8/2,'I_Budget Input Data'!$D$132*0.4/('I_Inputs &amp; Assumptions'!$B$8/2),'I_Budget Input Data'!$D$132*0.6/('I_Inputs &amp; Assumptions'!$B$8/2)),IF('I_Budget Input Data'!$E$132="Mid-weighted",IF(29&lt;='I_Inputs &amp; Assumptions'!$B$8/4,'I_Budget Input Data'!$D$132*0.2/('I_Inputs &amp; Assumptions'!$B$8/4),IF(29&lt;='I_Inputs &amp; Assumptions'!$B$8*0.75,'I_Budget Input Data'!$D$132*0.6/('I_Inputs &amp; Assumptions'!$B$8/2),'I_Budget Input Data'!$D$132*0.2/('I_Inputs &amp; Assumptions'!$B$8/4))),IF('I_Budget Input Data'!$E$132="At Completion",IF(29='I_Inputs &amp; Assumptions'!$B$8,'I_Budget Input Data'!$D$132,0),'I_Budget Input Data'!$D$132/'I_Inputs &amp; Assumptions'!$B$8)))))),0)</f>
        <v>0</v>
      </c>
      <c r="AF132" s="91">
        <f>IF(30&lt;='I_Inputs &amp; Assumptions'!$B$8,IF('I_Budget Input Data'!$E$132="Upfront",IF(30=1,'I_Budget Input Data'!$D$132,0),IF('I_Budget Input Data'!$E$132="Equal",'I_Budget Input Data'!$D$132/'I_Inputs &amp; Assumptions'!$B$8,IF('I_Budget Input Data'!$E$132="Front-loaded",IF(30&lt;='I_Inputs &amp; Assumptions'!$B$8/2,'I_Budget Input Data'!$D$132*0.6/('I_Inputs &amp; Assumptions'!$B$8/2),'I_Budget Input Data'!$D$132*0.4/('I_Inputs &amp; Assumptions'!$B$8/2)),IF('I_Budget Input Data'!$E$132="Back-loaded",IF(30&lt;='I_Inputs &amp; Assumptions'!$B$8/2,'I_Budget Input Data'!$D$132*0.4/('I_Inputs &amp; Assumptions'!$B$8/2),'I_Budget Input Data'!$D$132*0.6/('I_Inputs &amp; Assumptions'!$B$8/2)),IF('I_Budget Input Data'!$E$132="Mid-weighted",IF(30&lt;='I_Inputs &amp; Assumptions'!$B$8/4,'I_Budget Input Data'!$D$132*0.2/('I_Inputs &amp; Assumptions'!$B$8/4),IF(30&lt;='I_Inputs &amp; Assumptions'!$B$8*0.75,'I_Budget Input Data'!$D$132*0.6/('I_Inputs &amp; Assumptions'!$B$8/2),'I_Budget Input Data'!$D$132*0.2/('I_Inputs &amp; Assumptions'!$B$8/4))),IF('I_Budget Input Data'!$E$132="At Completion",IF(30='I_Inputs &amp; Assumptions'!$B$8,'I_Budget Input Data'!$D$132,0),'I_Budget Input Data'!$D$132/'I_Inputs &amp; Assumptions'!$B$8)))))),0)</f>
        <v>0</v>
      </c>
      <c r="AG132" s="91">
        <f>IF(31&lt;='I_Inputs &amp; Assumptions'!$B$8,IF('I_Budget Input Data'!$E$132="Upfront",IF(31=1,'I_Budget Input Data'!$D$132,0),IF('I_Budget Input Data'!$E$132="Equal",'I_Budget Input Data'!$D$132/'I_Inputs &amp; Assumptions'!$B$8,IF('I_Budget Input Data'!$E$132="Front-loaded",IF(31&lt;='I_Inputs &amp; Assumptions'!$B$8/2,'I_Budget Input Data'!$D$132*0.6/('I_Inputs &amp; Assumptions'!$B$8/2),'I_Budget Input Data'!$D$132*0.4/('I_Inputs &amp; Assumptions'!$B$8/2)),IF('I_Budget Input Data'!$E$132="Back-loaded",IF(31&lt;='I_Inputs &amp; Assumptions'!$B$8/2,'I_Budget Input Data'!$D$132*0.4/('I_Inputs &amp; Assumptions'!$B$8/2),'I_Budget Input Data'!$D$132*0.6/('I_Inputs &amp; Assumptions'!$B$8/2)),IF('I_Budget Input Data'!$E$132="Mid-weighted",IF(31&lt;='I_Inputs &amp; Assumptions'!$B$8/4,'I_Budget Input Data'!$D$132*0.2/('I_Inputs &amp; Assumptions'!$B$8/4),IF(31&lt;='I_Inputs &amp; Assumptions'!$B$8*0.75,'I_Budget Input Data'!$D$132*0.6/('I_Inputs &amp; Assumptions'!$B$8/2),'I_Budget Input Data'!$D$132*0.2/('I_Inputs &amp; Assumptions'!$B$8/4))),IF('I_Budget Input Data'!$E$132="At Completion",IF(31='I_Inputs &amp; Assumptions'!$B$8,'I_Budget Input Data'!$D$132,0),'I_Budget Input Data'!$D$132/'I_Inputs &amp; Assumptions'!$B$8)))))),0)</f>
        <v>0</v>
      </c>
      <c r="AH132" s="91">
        <f>IF(32&lt;='I_Inputs &amp; Assumptions'!$B$8,IF('I_Budget Input Data'!$E$132="Upfront",IF(32=1,'I_Budget Input Data'!$D$132,0),IF('I_Budget Input Data'!$E$132="Equal",'I_Budget Input Data'!$D$132/'I_Inputs &amp; Assumptions'!$B$8,IF('I_Budget Input Data'!$E$132="Front-loaded",IF(32&lt;='I_Inputs &amp; Assumptions'!$B$8/2,'I_Budget Input Data'!$D$132*0.6/('I_Inputs &amp; Assumptions'!$B$8/2),'I_Budget Input Data'!$D$132*0.4/('I_Inputs &amp; Assumptions'!$B$8/2)),IF('I_Budget Input Data'!$E$132="Back-loaded",IF(32&lt;='I_Inputs &amp; Assumptions'!$B$8/2,'I_Budget Input Data'!$D$132*0.4/('I_Inputs &amp; Assumptions'!$B$8/2),'I_Budget Input Data'!$D$132*0.6/('I_Inputs &amp; Assumptions'!$B$8/2)),IF('I_Budget Input Data'!$E$132="Mid-weighted",IF(32&lt;='I_Inputs &amp; Assumptions'!$B$8/4,'I_Budget Input Data'!$D$132*0.2/('I_Inputs &amp; Assumptions'!$B$8/4),IF(32&lt;='I_Inputs &amp; Assumptions'!$B$8*0.75,'I_Budget Input Data'!$D$132*0.6/('I_Inputs &amp; Assumptions'!$B$8/2),'I_Budget Input Data'!$D$132*0.2/('I_Inputs &amp; Assumptions'!$B$8/4))),IF('I_Budget Input Data'!$E$132="At Completion",IF(32='I_Inputs &amp; Assumptions'!$B$8,'I_Budget Input Data'!$D$132,0),'I_Budget Input Data'!$D$132/'I_Inputs &amp; Assumptions'!$B$8)))))),0)</f>
        <v>0</v>
      </c>
      <c r="AI132" s="91">
        <f>IF(33&lt;='I_Inputs &amp; Assumptions'!$B$8,IF('I_Budget Input Data'!$E$132="Upfront",IF(33=1,'I_Budget Input Data'!$D$132,0),IF('I_Budget Input Data'!$E$132="Equal",'I_Budget Input Data'!$D$132/'I_Inputs &amp; Assumptions'!$B$8,IF('I_Budget Input Data'!$E$132="Front-loaded",IF(33&lt;='I_Inputs &amp; Assumptions'!$B$8/2,'I_Budget Input Data'!$D$132*0.6/('I_Inputs &amp; Assumptions'!$B$8/2),'I_Budget Input Data'!$D$132*0.4/('I_Inputs &amp; Assumptions'!$B$8/2)),IF('I_Budget Input Data'!$E$132="Back-loaded",IF(33&lt;='I_Inputs &amp; Assumptions'!$B$8/2,'I_Budget Input Data'!$D$132*0.4/('I_Inputs &amp; Assumptions'!$B$8/2),'I_Budget Input Data'!$D$132*0.6/('I_Inputs &amp; Assumptions'!$B$8/2)),IF('I_Budget Input Data'!$E$132="Mid-weighted",IF(33&lt;='I_Inputs &amp; Assumptions'!$B$8/4,'I_Budget Input Data'!$D$132*0.2/('I_Inputs &amp; Assumptions'!$B$8/4),IF(33&lt;='I_Inputs &amp; Assumptions'!$B$8*0.75,'I_Budget Input Data'!$D$132*0.6/('I_Inputs &amp; Assumptions'!$B$8/2),'I_Budget Input Data'!$D$132*0.2/('I_Inputs &amp; Assumptions'!$B$8/4))),IF('I_Budget Input Data'!$E$132="At Completion",IF(33='I_Inputs &amp; Assumptions'!$B$8,'I_Budget Input Data'!$D$132,0),'I_Budget Input Data'!$D$132/'I_Inputs &amp; Assumptions'!$B$8)))))),0)</f>
        <v>0</v>
      </c>
      <c r="AJ132" s="91">
        <f>IF(34&lt;='I_Inputs &amp; Assumptions'!$B$8,IF('I_Budget Input Data'!$E$132="Upfront",IF(34=1,'I_Budget Input Data'!$D$132,0),IF('I_Budget Input Data'!$E$132="Equal",'I_Budget Input Data'!$D$132/'I_Inputs &amp; Assumptions'!$B$8,IF('I_Budget Input Data'!$E$132="Front-loaded",IF(34&lt;='I_Inputs &amp; Assumptions'!$B$8/2,'I_Budget Input Data'!$D$132*0.6/('I_Inputs &amp; Assumptions'!$B$8/2),'I_Budget Input Data'!$D$132*0.4/('I_Inputs &amp; Assumptions'!$B$8/2)),IF('I_Budget Input Data'!$E$132="Back-loaded",IF(34&lt;='I_Inputs &amp; Assumptions'!$B$8/2,'I_Budget Input Data'!$D$132*0.4/('I_Inputs &amp; Assumptions'!$B$8/2),'I_Budget Input Data'!$D$132*0.6/('I_Inputs &amp; Assumptions'!$B$8/2)),IF('I_Budget Input Data'!$E$132="Mid-weighted",IF(34&lt;='I_Inputs &amp; Assumptions'!$B$8/4,'I_Budget Input Data'!$D$132*0.2/('I_Inputs &amp; Assumptions'!$B$8/4),IF(34&lt;='I_Inputs &amp; Assumptions'!$B$8*0.75,'I_Budget Input Data'!$D$132*0.6/('I_Inputs &amp; Assumptions'!$B$8/2),'I_Budget Input Data'!$D$132*0.2/('I_Inputs &amp; Assumptions'!$B$8/4))),IF('I_Budget Input Data'!$E$132="At Completion",IF(34='I_Inputs &amp; Assumptions'!$B$8,'I_Budget Input Data'!$D$132,0),'I_Budget Input Data'!$D$132/'I_Inputs &amp; Assumptions'!$B$8)))))),0)</f>
        <v>0</v>
      </c>
      <c r="AK132" s="91">
        <f>IF(35&lt;='I_Inputs &amp; Assumptions'!$B$8,IF('I_Budget Input Data'!$E$132="Upfront",IF(35=1,'I_Budget Input Data'!$D$132,0),IF('I_Budget Input Data'!$E$132="Equal",'I_Budget Input Data'!$D$132/'I_Inputs &amp; Assumptions'!$B$8,IF('I_Budget Input Data'!$E$132="Front-loaded",IF(35&lt;='I_Inputs &amp; Assumptions'!$B$8/2,'I_Budget Input Data'!$D$132*0.6/('I_Inputs &amp; Assumptions'!$B$8/2),'I_Budget Input Data'!$D$132*0.4/('I_Inputs &amp; Assumptions'!$B$8/2)),IF('I_Budget Input Data'!$E$132="Back-loaded",IF(35&lt;='I_Inputs &amp; Assumptions'!$B$8/2,'I_Budget Input Data'!$D$132*0.4/('I_Inputs &amp; Assumptions'!$B$8/2),'I_Budget Input Data'!$D$132*0.6/('I_Inputs &amp; Assumptions'!$B$8/2)),IF('I_Budget Input Data'!$E$132="Mid-weighted",IF(35&lt;='I_Inputs &amp; Assumptions'!$B$8/4,'I_Budget Input Data'!$D$132*0.2/('I_Inputs &amp; Assumptions'!$B$8/4),IF(35&lt;='I_Inputs &amp; Assumptions'!$B$8*0.75,'I_Budget Input Data'!$D$132*0.6/('I_Inputs &amp; Assumptions'!$B$8/2),'I_Budget Input Data'!$D$132*0.2/('I_Inputs &amp; Assumptions'!$B$8/4))),IF('I_Budget Input Data'!$E$132="At Completion",IF(35='I_Inputs &amp; Assumptions'!$B$8,'I_Budget Input Data'!$D$132,0),'I_Budget Input Data'!$D$132/'I_Inputs &amp; Assumptions'!$B$8)))))),0)</f>
        <v>0</v>
      </c>
      <c r="AL132" s="91">
        <f>IF(36&lt;='I_Inputs &amp; Assumptions'!$B$8,IF('I_Budget Input Data'!$E$132="Upfront",IF(36=1,'I_Budget Input Data'!$D$132,0),IF('I_Budget Input Data'!$E$132="Equal",'I_Budget Input Data'!$D$132/'I_Inputs &amp; Assumptions'!$B$8,IF('I_Budget Input Data'!$E$132="Front-loaded",IF(36&lt;='I_Inputs &amp; Assumptions'!$B$8/2,'I_Budget Input Data'!$D$132*0.6/('I_Inputs &amp; Assumptions'!$B$8/2),'I_Budget Input Data'!$D$132*0.4/('I_Inputs &amp; Assumptions'!$B$8/2)),IF('I_Budget Input Data'!$E$132="Back-loaded",IF(36&lt;='I_Inputs &amp; Assumptions'!$B$8/2,'I_Budget Input Data'!$D$132*0.4/('I_Inputs &amp; Assumptions'!$B$8/2),'I_Budget Input Data'!$D$132*0.6/('I_Inputs &amp; Assumptions'!$B$8/2)),IF('I_Budget Input Data'!$E$132="Mid-weighted",IF(36&lt;='I_Inputs &amp; Assumptions'!$B$8/4,'I_Budget Input Data'!$D$132*0.2/('I_Inputs &amp; Assumptions'!$B$8/4),IF(36&lt;='I_Inputs &amp; Assumptions'!$B$8*0.75,'I_Budget Input Data'!$D$132*0.6/('I_Inputs &amp; Assumptions'!$B$8/2),'I_Budget Input Data'!$D$132*0.2/('I_Inputs &amp; Assumptions'!$B$8/4))),IF('I_Budget Input Data'!$E$132="At Completion",IF(36='I_Inputs &amp; Assumptions'!$B$8,'I_Budget Input Data'!$D$132,0),'I_Budget Input Data'!$D$132/'I_Inputs &amp; Assumptions'!$B$8)))))),0)</f>
        <v>0</v>
      </c>
    </row>
    <row r="133" spans="1:38" ht="15" customHeight="1" x14ac:dyDescent="0.2">
      <c r="A133" t="s">
        <v>243</v>
      </c>
      <c r="B133" t="s">
        <v>247</v>
      </c>
      <c r="C133" s="91">
        <f>IF(1&lt;='I_Inputs &amp; Assumptions'!$B$8,IF('I_Budget Input Data'!$E$133="Upfront",IF(1=1,'I_Budget Input Data'!$D$133,0),IF('I_Budget Input Data'!$E$133="Equal",'I_Budget Input Data'!$D$133/'I_Inputs &amp; Assumptions'!$B$8,IF('I_Budget Input Data'!$E$133="Front-loaded",IF(1&lt;='I_Inputs &amp; Assumptions'!$B$8/2,'I_Budget Input Data'!$D$133*0.6/('I_Inputs &amp; Assumptions'!$B$8/2),'I_Budget Input Data'!$D$133*0.4/('I_Inputs &amp; Assumptions'!$B$8/2)),IF('I_Budget Input Data'!$E$133="Back-loaded",IF(1&lt;='I_Inputs &amp; Assumptions'!$B$8/2,'I_Budget Input Data'!$D$133*0.4/('I_Inputs &amp; Assumptions'!$B$8/2),'I_Budget Input Data'!$D$133*0.6/('I_Inputs &amp; Assumptions'!$B$8/2)),IF('I_Budget Input Data'!$E$133="Mid-weighted",IF(1&lt;='I_Inputs &amp; Assumptions'!$B$8/4,'I_Budget Input Data'!$D$133*0.2/('I_Inputs &amp; Assumptions'!$B$8/4),IF(1&lt;='I_Inputs &amp; Assumptions'!$B$8*0.75,'I_Budget Input Data'!$D$133*0.6/('I_Inputs &amp; Assumptions'!$B$8/2),'I_Budget Input Data'!$D$133*0.2/('I_Inputs &amp; Assumptions'!$B$8/4))),IF('I_Budget Input Data'!$E$133="At Completion",IF(1='I_Inputs &amp; Assumptions'!$B$8,'I_Budget Input Data'!$D$133,0),'I_Budget Input Data'!$D$133/'I_Inputs &amp; Assumptions'!$B$8)))))),0)</f>
        <v>10769.23076923077</v>
      </c>
      <c r="D133" s="91">
        <f>IF(2&lt;='I_Inputs &amp; Assumptions'!$B$8,IF('I_Budget Input Data'!$E$133="Upfront",IF(2=1,'I_Budget Input Data'!$D$133,0),IF('I_Budget Input Data'!$E$133="Equal",'I_Budget Input Data'!$D$133/'I_Inputs &amp; Assumptions'!$B$8,IF('I_Budget Input Data'!$E$133="Front-loaded",IF(2&lt;='I_Inputs &amp; Assumptions'!$B$8/2,'I_Budget Input Data'!$D$133*0.6/('I_Inputs &amp; Assumptions'!$B$8/2),'I_Budget Input Data'!$D$133*0.4/('I_Inputs &amp; Assumptions'!$B$8/2)),IF('I_Budget Input Data'!$E$133="Back-loaded",IF(2&lt;='I_Inputs &amp; Assumptions'!$B$8/2,'I_Budget Input Data'!$D$133*0.4/('I_Inputs &amp; Assumptions'!$B$8/2),'I_Budget Input Data'!$D$133*0.6/('I_Inputs &amp; Assumptions'!$B$8/2)),IF('I_Budget Input Data'!$E$133="Mid-weighted",IF(2&lt;='I_Inputs &amp; Assumptions'!$B$8/4,'I_Budget Input Data'!$D$133*0.2/('I_Inputs &amp; Assumptions'!$B$8/4),IF(2&lt;='I_Inputs &amp; Assumptions'!$B$8*0.75,'I_Budget Input Data'!$D$133*0.6/('I_Inputs &amp; Assumptions'!$B$8/2),'I_Budget Input Data'!$D$133*0.2/('I_Inputs &amp; Assumptions'!$B$8/4))),IF('I_Budget Input Data'!$E$133="At Completion",IF(2='I_Inputs &amp; Assumptions'!$B$8,'I_Budget Input Data'!$D$133,0),'I_Budget Input Data'!$D$133/'I_Inputs &amp; Assumptions'!$B$8)))))),0)</f>
        <v>10769.23076923077</v>
      </c>
      <c r="E133" s="91">
        <f>IF(3&lt;='I_Inputs &amp; Assumptions'!$B$8,IF('I_Budget Input Data'!$E$133="Upfront",IF(3=1,'I_Budget Input Data'!$D$133,0),IF('I_Budget Input Data'!$E$133="Equal",'I_Budget Input Data'!$D$133/'I_Inputs &amp; Assumptions'!$B$8,IF('I_Budget Input Data'!$E$133="Front-loaded",IF(3&lt;='I_Inputs &amp; Assumptions'!$B$8/2,'I_Budget Input Data'!$D$133*0.6/('I_Inputs &amp; Assumptions'!$B$8/2),'I_Budget Input Data'!$D$133*0.4/('I_Inputs &amp; Assumptions'!$B$8/2)),IF('I_Budget Input Data'!$E$133="Back-loaded",IF(3&lt;='I_Inputs &amp; Assumptions'!$B$8/2,'I_Budget Input Data'!$D$133*0.4/('I_Inputs &amp; Assumptions'!$B$8/2),'I_Budget Input Data'!$D$133*0.6/('I_Inputs &amp; Assumptions'!$B$8/2)),IF('I_Budget Input Data'!$E$133="Mid-weighted",IF(3&lt;='I_Inputs &amp; Assumptions'!$B$8/4,'I_Budget Input Data'!$D$133*0.2/('I_Inputs &amp; Assumptions'!$B$8/4),IF(3&lt;='I_Inputs &amp; Assumptions'!$B$8*0.75,'I_Budget Input Data'!$D$133*0.6/('I_Inputs &amp; Assumptions'!$B$8/2),'I_Budget Input Data'!$D$133*0.2/('I_Inputs &amp; Assumptions'!$B$8/4))),IF('I_Budget Input Data'!$E$133="At Completion",IF(3='I_Inputs &amp; Assumptions'!$B$8,'I_Budget Input Data'!$D$133,0),'I_Budget Input Data'!$D$133/'I_Inputs &amp; Assumptions'!$B$8)))))),0)</f>
        <v>10769.23076923077</v>
      </c>
      <c r="F133" s="91">
        <f>IF(4&lt;='I_Inputs &amp; Assumptions'!$B$8,IF('I_Budget Input Data'!$E$133="Upfront",IF(4=1,'I_Budget Input Data'!$D$133,0),IF('I_Budget Input Data'!$E$133="Equal",'I_Budget Input Data'!$D$133/'I_Inputs &amp; Assumptions'!$B$8,IF('I_Budget Input Data'!$E$133="Front-loaded",IF(4&lt;='I_Inputs &amp; Assumptions'!$B$8/2,'I_Budget Input Data'!$D$133*0.6/('I_Inputs &amp; Assumptions'!$B$8/2),'I_Budget Input Data'!$D$133*0.4/('I_Inputs &amp; Assumptions'!$B$8/2)),IF('I_Budget Input Data'!$E$133="Back-loaded",IF(4&lt;='I_Inputs &amp; Assumptions'!$B$8/2,'I_Budget Input Data'!$D$133*0.4/('I_Inputs &amp; Assumptions'!$B$8/2),'I_Budget Input Data'!$D$133*0.6/('I_Inputs &amp; Assumptions'!$B$8/2)),IF('I_Budget Input Data'!$E$133="Mid-weighted",IF(4&lt;='I_Inputs &amp; Assumptions'!$B$8/4,'I_Budget Input Data'!$D$133*0.2/('I_Inputs &amp; Assumptions'!$B$8/4),IF(4&lt;='I_Inputs &amp; Assumptions'!$B$8*0.75,'I_Budget Input Data'!$D$133*0.6/('I_Inputs &amp; Assumptions'!$B$8/2),'I_Budget Input Data'!$D$133*0.2/('I_Inputs &amp; Assumptions'!$B$8/4))),IF('I_Budget Input Data'!$E$133="At Completion",IF(4='I_Inputs &amp; Assumptions'!$B$8,'I_Budget Input Data'!$D$133,0),'I_Budget Input Data'!$D$133/'I_Inputs &amp; Assumptions'!$B$8)))))),0)</f>
        <v>10769.23076923077</v>
      </c>
      <c r="G133" s="91">
        <f>IF(5&lt;='I_Inputs &amp; Assumptions'!$B$8,IF('I_Budget Input Data'!$E$133="Upfront",IF(5=1,'I_Budget Input Data'!$D$133,0),IF('I_Budget Input Data'!$E$133="Equal",'I_Budget Input Data'!$D$133/'I_Inputs &amp; Assumptions'!$B$8,IF('I_Budget Input Data'!$E$133="Front-loaded",IF(5&lt;='I_Inputs &amp; Assumptions'!$B$8/2,'I_Budget Input Data'!$D$133*0.6/('I_Inputs &amp; Assumptions'!$B$8/2),'I_Budget Input Data'!$D$133*0.4/('I_Inputs &amp; Assumptions'!$B$8/2)),IF('I_Budget Input Data'!$E$133="Back-loaded",IF(5&lt;='I_Inputs &amp; Assumptions'!$B$8/2,'I_Budget Input Data'!$D$133*0.4/('I_Inputs &amp; Assumptions'!$B$8/2),'I_Budget Input Data'!$D$133*0.6/('I_Inputs &amp; Assumptions'!$B$8/2)),IF('I_Budget Input Data'!$E$133="Mid-weighted",IF(5&lt;='I_Inputs &amp; Assumptions'!$B$8/4,'I_Budget Input Data'!$D$133*0.2/('I_Inputs &amp; Assumptions'!$B$8/4),IF(5&lt;='I_Inputs &amp; Assumptions'!$B$8*0.75,'I_Budget Input Data'!$D$133*0.6/('I_Inputs &amp; Assumptions'!$B$8/2),'I_Budget Input Data'!$D$133*0.2/('I_Inputs &amp; Assumptions'!$B$8/4))),IF('I_Budget Input Data'!$E$133="At Completion",IF(5='I_Inputs &amp; Assumptions'!$B$8,'I_Budget Input Data'!$D$133,0),'I_Budget Input Data'!$D$133/'I_Inputs &amp; Assumptions'!$B$8)))))),0)</f>
        <v>10769.23076923077</v>
      </c>
      <c r="H133" s="91">
        <f>IF(6&lt;='I_Inputs &amp; Assumptions'!$B$8,IF('I_Budget Input Data'!$E$133="Upfront",IF(6=1,'I_Budget Input Data'!$D$133,0),IF('I_Budget Input Data'!$E$133="Equal",'I_Budget Input Data'!$D$133/'I_Inputs &amp; Assumptions'!$B$8,IF('I_Budget Input Data'!$E$133="Front-loaded",IF(6&lt;='I_Inputs &amp; Assumptions'!$B$8/2,'I_Budget Input Data'!$D$133*0.6/('I_Inputs &amp; Assumptions'!$B$8/2),'I_Budget Input Data'!$D$133*0.4/('I_Inputs &amp; Assumptions'!$B$8/2)),IF('I_Budget Input Data'!$E$133="Back-loaded",IF(6&lt;='I_Inputs &amp; Assumptions'!$B$8/2,'I_Budget Input Data'!$D$133*0.4/('I_Inputs &amp; Assumptions'!$B$8/2),'I_Budget Input Data'!$D$133*0.6/('I_Inputs &amp; Assumptions'!$B$8/2)),IF('I_Budget Input Data'!$E$133="Mid-weighted",IF(6&lt;='I_Inputs &amp; Assumptions'!$B$8/4,'I_Budget Input Data'!$D$133*0.2/('I_Inputs &amp; Assumptions'!$B$8/4),IF(6&lt;='I_Inputs &amp; Assumptions'!$B$8*0.75,'I_Budget Input Data'!$D$133*0.6/('I_Inputs &amp; Assumptions'!$B$8/2),'I_Budget Input Data'!$D$133*0.2/('I_Inputs &amp; Assumptions'!$B$8/4))),IF('I_Budget Input Data'!$E$133="At Completion",IF(6='I_Inputs &amp; Assumptions'!$B$8,'I_Budget Input Data'!$D$133,0),'I_Budget Input Data'!$D$133/'I_Inputs &amp; Assumptions'!$B$8)))))),0)</f>
        <v>10769.23076923077</v>
      </c>
      <c r="I133" s="91">
        <f>IF(7&lt;='I_Inputs &amp; Assumptions'!$B$8,IF('I_Budget Input Data'!$E$133="Upfront",IF(7=1,'I_Budget Input Data'!$D$133,0),IF('I_Budget Input Data'!$E$133="Equal",'I_Budget Input Data'!$D$133/'I_Inputs &amp; Assumptions'!$B$8,IF('I_Budget Input Data'!$E$133="Front-loaded",IF(7&lt;='I_Inputs &amp; Assumptions'!$B$8/2,'I_Budget Input Data'!$D$133*0.6/('I_Inputs &amp; Assumptions'!$B$8/2),'I_Budget Input Data'!$D$133*0.4/('I_Inputs &amp; Assumptions'!$B$8/2)),IF('I_Budget Input Data'!$E$133="Back-loaded",IF(7&lt;='I_Inputs &amp; Assumptions'!$B$8/2,'I_Budget Input Data'!$D$133*0.4/('I_Inputs &amp; Assumptions'!$B$8/2),'I_Budget Input Data'!$D$133*0.6/('I_Inputs &amp; Assumptions'!$B$8/2)),IF('I_Budget Input Data'!$E$133="Mid-weighted",IF(7&lt;='I_Inputs &amp; Assumptions'!$B$8/4,'I_Budget Input Data'!$D$133*0.2/('I_Inputs &amp; Assumptions'!$B$8/4),IF(7&lt;='I_Inputs &amp; Assumptions'!$B$8*0.75,'I_Budget Input Data'!$D$133*0.6/('I_Inputs &amp; Assumptions'!$B$8/2),'I_Budget Input Data'!$D$133*0.2/('I_Inputs &amp; Assumptions'!$B$8/4))),IF('I_Budget Input Data'!$E$133="At Completion",IF(7='I_Inputs &amp; Assumptions'!$B$8,'I_Budget Input Data'!$D$133,0),'I_Budget Input Data'!$D$133/'I_Inputs &amp; Assumptions'!$B$8)))))),0)</f>
        <v>16153.846153846154</v>
      </c>
      <c r="J133" s="91">
        <f>IF(8&lt;='I_Inputs &amp; Assumptions'!$B$8,IF('I_Budget Input Data'!$E$133="Upfront",IF(8=1,'I_Budget Input Data'!$D$133,0),IF('I_Budget Input Data'!$E$133="Equal",'I_Budget Input Data'!$D$133/'I_Inputs &amp; Assumptions'!$B$8,IF('I_Budget Input Data'!$E$133="Front-loaded",IF(8&lt;='I_Inputs &amp; Assumptions'!$B$8/2,'I_Budget Input Data'!$D$133*0.6/('I_Inputs &amp; Assumptions'!$B$8/2),'I_Budget Input Data'!$D$133*0.4/('I_Inputs &amp; Assumptions'!$B$8/2)),IF('I_Budget Input Data'!$E$133="Back-loaded",IF(8&lt;='I_Inputs &amp; Assumptions'!$B$8/2,'I_Budget Input Data'!$D$133*0.4/('I_Inputs &amp; Assumptions'!$B$8/2),'I_Budget Input Data'!$D$133*0.6/('I_Inputs &amp; Assumptions'!$B$8/2)),IF('I_Budget Input Data'!$E$133="Mid-weighted",IF(8&lt;='I_Inputs &amp; Assumptions'!$B$8/4,'I_Budget Input Data'!$D$133*0.2/('I_Inputs &amp; Assumptions'!$B$8/4),IF(8&lt;='I_Inputs &amp; Assumptions'!$B$8*0.75,'I_Budget Input Data'!$D$133*0.6/('I_Inputs &amp; Assumptions'!$B$8/2),'I_Budget Input Data'!$D$133*0.2/('I_Inputs &amp; Assumptions'!$B$8/4))),IF('I_Budget Input Data'!$E$133="At Completion",IF(8='I_Inputs &amp; Assumptions'!$B$8,'I_Budget Input Data'!$D$133,0),'I_Budget Input Data'!$D$133/'I_Inputs &amp; Assumptions'!$B$8)))))),0)</f>
        <v>16153.846153846154</v>
      </c>
      <c r="K133" s="91">
        <f>IF(9&lt;='I_Inputs &amp; Assumptions'!$B$8,IF('I_Budget Input Data'!$E$133="Upfront",IF(9=1,'I_Budget Input Data'!$D$133,0),IF('I_Budget Input Data'!$E$133="Equal",'I_Budget Input Data'!$D$133/'I_Inputs &amp; Assumptions'!$B$8,IF('I_Budget Input Data'!$E$133="Front-loaded",IF(9&lt;='I_Inputs &amp; Assumptions'!$B$8/2,'I_Budget Input Data'!$D$133*0.6/('I_Inputs &amp; Assumptions'!$B$8/2),'I_Budget Input Data'!$D$133*0.4/('I_Inputs &amp; Assumptions'!$B$8/2)),IF('I_Budget Input Data'!$E$133="Back-loaded",IF(9&lt;='I_Inputs &amp; Assumptions'!$B$8/2,'I_Budget Input Data'!$D$133*0.4/('I_Inputs &amp; Assumptions'!$B$8/2),'I_Budget Input Data'!$D$133*0.6/('I_Inputs &amp; Assumptions'!$B$8/2)),IF('I_Budget Input Data'!$E$133="Mid-weighted",IF(9&lt;='I_Inputs &amp; Assumptions'!$B$8/4,'I_Budget Input Data'!$D$133*0.2/('I_Inputs &amp; Assumptions'!$B$8/4),IF(9&lt;='I_Inputs &amp; Assumptions'!$B$8*0.75,'I_Budget Input Data'!$D$133*0.6/('I_Inputs &amp; Assumptions'!$B$8/2),'I_Budget Input Data'!$D$133*0.2/('I_Inputs &amp; Assumptions'!$B$8/4))),IF('I_Budget Input Data'!$E$133="At Completion",IF(9='I_Inputs &amp; Assumptions'!$B$8,'I_Budget Input Data'!$D$133,0),'I_Budget Input Data'!$D$133/'I_Inputs &amp; Assumptions'!$B$8)))))),0)</f>
        <v>16153.846153846154</v>
      </c>
      <c r="L133" s="91">
        <f>IF(10&lt;='I_Inputs &amp; Assumptions'!$B$8,IF('I_Budget Input Data'!$E$133="Upfront",IF(10=1,'I_Budget Input Data'!$D$133,0),IF('I_Budget Input Data'!$E$133="Equal",'I_Budget Input Data'!$D$133/'I_Inputs &amp; Assumptions'!$B$8,IF('I_Budget Input Data'!$E$133="Front-loaded",IF(10&lt;='I_Inputs &amp; Assumptions'!$B$8/2,'I_Budget Input Data'!$D$133*0.6/('I_Inputs &amp; Assumptions'!$B$8/2),'I_Budget Input Data'!$D$133*0.4/('I_Inputs &amp; Assumptions'!$B$8/2)),IF('I_Budget Input Data'!$E$133="Back-loaded",IF(10&lt;='I_Inputs &amp; Assumptions'!$B$8/2,'I_Budget Input Data'!$D$133*0.4/('I_Inputs &amp; Assumptions'!$B$8/2),'I_Budget Input Data'!$D$133*0.6/('I_Inputs &amp; Assumptions'!$B$8/2)),IF('I_Budget Input Data'!$E$133="Mid-weighted",IF(10&lt;='I_Inputs &amp; Assumptions'!$B$8/4,'I_Budget Input Data'!$D$133*0.2/('I_Inputs &amp; Assumptions'!$B$8/4),IF(10&lt;='I_Inputs &amp; Assumptions'!$B$8*0.75,'I_Budget Input Data'!$D$133*0.6/('I_Inputs &amp; Assumptions'!$B$8/2),'I_Budget Input Data'!$D$133*0.2/('I_Inputs &amp; Assumptions'!$B$8/4))),IF('I_Budget Input Data'!$E$133="At Completion",IF(10='I_Inputs &amp; Assumptions'!$B$8,'I_Budget Input Data'!$D$133,0),'I_Budget Input Data'!$D$133/'I_Inputs &amp; Assumptions'!$B$8)))))),0)</f>
        <v>16153.846153846154</v>
      </c>
      <c r="M133" s="91">
        <f>IF(11&lt;='I_Inputs &amp; Assumptions'!$B$8,IF('I_Budget Input Data'!$E$133="Upfront",IF(11=1,'I_Budget Input Data'!$D$133,0),IF('I_Budget Input Data'!$E$133="Equal",'I_Budget Input Data'!$D$133/'I_Inputs &amp; Assumptions'!$B$8,IF('I_Budget Input Data'!$E$133="Front-loaded",IF(11&lt;='I_Inputs &amp; Assumptions'!$B$8/2,'I_Budget Input Data'!$D$133*0.6/('I_Inputs &amp; Assumptions'!$B$8/2),'I_Budget Input Data'!$D$133*0.4/('I_Inputs &amp; Assumptions'!$B$8/2)),IF('I_Budget Input Data'!$E$133="Back-loaded",IF(11&lt;='I_Inputs &amp; Assumptions'!$B$8/2,'I_Budget Input Data'!$D$133*0.4/('I_Inputs &amp; Assumptions'!$B$8/2),'I_Budget Input Data'!$D$133*0.6/('I_Inputs &amp; Assumptions'!$B$8/2)),IF('I_Budget Input Data'!$E$133="Mid-weighted",IF(11&lt;='I_Inputs &amp; Assumptions'!$B$8/4,'I_Budget Input Data'!$D$133*0.2/('I_Inputs &amp; Assumptions'!$B$8/4),IF(11&lt;='I_Inputs &amp; Assumptions'!$B$8*0.75,'I_Budget Input Data'!$D$133*0.6/('I_Inputs &amp; Assumptions'!$B$8/2),'I_Budget Input Data'!$D$133*0.2/('I_Inputs &amp; Assumptions'!$B$8/4))),IF('I_Budget Input Data'!$E$133="At Completion",IF(11='I_Inputs &amp; Assumptions'!$B$8,'I_Budget Input Data'!$D$133,0),'I_Budget Input Data'!$D$133/'I_Inputs &amp; Assumptions'!$B$8)))))),0)</f>
        <v>16153.846153846154</v>
      </c>
      <c r="N133" s="91">
        <f>IF(12&lt;='I_Inputs &amp; Assumptions'!$B$8,IF('I_Budget Input Data'!$E$133="Upfront",IF(12=1,'I_Budget Input Data'!$D$133,0),IF('I_Budget Input Data'!$E$133="Equal",'I_Budget Input Data'!$D$133/'I_Inputs &amp; Assumptions'!$B$8,IF('I_Budget Input Data'!$E$133="Front-loaded",IF(12&lt;='I_Inputs &amp; Assumptions'!$B$8/2,'I_Budget Input Data'!$D$133*0.6/('I_Inputs &amp; Assumptions'!$B$8/2),'I_Budget Input Data'!$D$133*0.4/('I_Inputs &amp; Assumptions'!$B$8/2)),IF('I_Budget Input Data'!$E$133="Back-loaded",IF(12&lt;='I_Inputs &amp; Assumptions'!$B$8/2,'I_Budget Input Data'!$D$133*0.4/('I_Inputs &amp; Assumptions'!$B$8/2),'I_Budget Input Data'!$D$133*0.6/('I_Inputs &amp; Assumptions'!$B$8/2)),IF('I_Budget Input Data'!$E$133="Mid-weighted",IF(12&lt;='I_Inputs &amp; Assumptions'!$B$8/4,'I_Budget Input Data'!$D$133*0.2/('I_Inputs &amp; Assumptions'!$B$8/4),IF(12&lt;='I_Inputs &amp; Assumptions'!$B$8*0.75,'I_Budget Input Data'!$D$133*0.6/('I_Inputs &amp; Assumptions'!$B$8/2),'I_Budget Input Data'!$D$133*0.2/('I_Inputs &amp; Assumptions'!$B$8/4))),IF('I_Budget Input Data'!$E$133="At Completion",IF(12='I_Inputs &amp; Assumptions'!$B$8,'I_Budget Input Data'!$D$133,0),'I_Budget Input Data'!$D$133/'I_Inputs &amp; Assumptions'!$B$8)))))),0)</f>
        <v>16153.846153846154</v>
      </c>
      <c r="O133" s="91">
        <f>IF(13&lt;='I_Inputs &amp; Assumptions'!$B$8,IF('I_Budget Input Data'!$E$133="Upfront",IF(13=1,'I_Budget Input Data'!$D$133,0),IF('I_Budget Input Data'!$E$133="Equal",'I_Budget Input Data'!$D$133/'I_Inputs &amp; Assumptions'!$B$8,IF('I_Budget Input Data'!$E$133="Front-loaded",IF(13&lt;='I_Inputs &amp; Assumptions'!$B$8/2,'I_Budget Input Data'!$D$133*0.6/('I_Inputs &amp; Assumptions'!$B$8/2),'I_Budget Input Data'!$D$133*0.4/('I_Inputs &amp; Assumptions'!$B$8/2)),IF('I_Budget Input Data'!$E$133="Back-loaded",IF(13&lt;='I_Inputs &amp; Assumptions'!$B$8/2,'I_Budget Input Data'!$D$133*0.4/('I_Inputs &amp; Assumptions'!$B$8/2),'I_Budget Input Data'!$D$133*0.6/('I_Inputs &amp; Assumptions'!$B$8/2)),IF('I_Budget Input Data'!$E$133="Mid-weighted",IF(13&lt;='I_Inputs &amp; Assumptions'!$B$8/4,'I_Budget Input Data'!$D$133*0.2/('I_Inputs &amp; Assumptions'!$B$8/4),IF(13&lt;='I_Inputs &amp; Assumptions'!$B$8*0.75,'I_Budget Input Data'!$D$133*0.6/('I_Inputs &amp; Assumptions'!$B$8/2),'I_Budget Input Data'!$D$133*0.2/('I_Inputs &amp; Assumptions'!$B$8/4))),IF('I_Budget Input Data'!$E$133="At Completion",IF(13='I_Inputs &amp; Assumptions'!$B$8,'I_Budget Input Data'!$D$133,0),'I_Budget Input Data'!$D$133/'I_Inputs &amp; Assumptions'!$B$8)))))),0)</f>
        <v>16153.846153846154</v>
      </c>
      <c r="P133" s="91">
        <f>IF(14&lt;='I_Inputs &amp; Assumptions'!$B$8,IF('I_Budget Input Data'!$E$133="Upfront",IF(14=1,'I_Budget Input Data'!$D$133,0),IF('I_Budget Input Data'!$E$133="Equal",'I_Budget Input Data'!$D$133/'I_Inputs &amp; Assumptions'!$B$8,IF('I_Budget Input Data'!$E$133="Front-loaded",IF(14&lt;='I_Inputs &amp; Assumptions'!$B$8/2,'I_Budget Input Data'!$D$133*0.6/('I_Inputs &amp; Assumptions'!$B$8/2),'I_Budget Input Data'!$D$133*0.4/('I_Inputs &amp; Assumptions'!$B$8/2)),IF('I_Budget Input Data'!$E$133="Back-loaded",IF(14&lt;='I_Inputs &amp; Assumptions'!$B$8/2,'I_Budget Input Data'!$D$133*0.4/('I_Inputs &amp; Assumptions'!$B$8/2),'I_Budget Input Data'!$D$133*0.6/('I_Inputs &amp; Assumptions'!$B$8/2)),IF('I_Budget Input Data'!$E$133="Mid-weighted",IF(14&lt;='I_Inputs &amp; Assumptions'!$B$8/4,'I_Budget Input Data'!$D$133*0.2/('I_Inputs &amp; Assumptions'!$B$8/4),IF(14&lt;='I_Inputs &amp; Assumptions'!$B$8*0.75,'I_Budget Input Data'!$D$133*0.6/('I_Inputs &amp; Assumptions'!$B$8/2),'I_Budget Input Data'!$D$133*0.2/('I_Inputs &amp; Assumptions'!$B$8/4))),IF('I_Budget Input Data'!$E$133="At Completion",IF(14='I_Inputs &amp; Assumptions'!$B$8,'I_Budget Input Data'!$D$133,0),'I_Budget Input Data'!$D$133/'I_Inputs &amp; Assumptions'!$B$8)))))),0)</f>
        <v>0</v>
      </c>
      <c r="Q133" s="91">
        <f>IF(15&lt;='I_Inputs &amp; Assumptions'!$B$8,IF('I_Budget Input Data'!$E$133="Upfront",IF(15=1,'I_Budget Input Data'!$D$133,0),IF('I_Budget Input Data'!$E$133="Equal",'I_Budget Input Data'!$D$133/'I_Inputs &amp; Assumptions'!$B$8,IF('I_Budget Input Data'!$E$133="Front-loaded",IF(15&lt;='I_Inputs &amp; Assumptions'!$B$8/2,'I_Budget Input Data'!$D$133*0.6/('I_Inputs &amp; Assumptions'!$B$8/2),'I_Budget Input Data'!$D$133*0.4/('I_Inputs &amp; Assumptions'!$B$8/2)),IF('I_Budget Input Data'!$E$133="Back-loaded",IF(15&lt;='I_Inputs &amp; Assumptions'!$B$8/2,'I_Budget Input Data'!$D$133*0.4/('I_Inputs &amp; Assumptions'!$B$8/2),'I_Budget Input Data'!$D$133*0.6/('I_Inputs &amp; Assumptions'!$B$8/2)),IF('I_Budget Input Data'!$E$133="Mid-weighted",IF(15&lt;='I_Inputs &amp; Assumptions'!$B$8/4,'I_Budget Input Data'!$D$133*0.2/('I_Inputs &amp; Assumptions'!$B$8/4),IF(15&lt;='I_Inputs &amp; Assumptions'!$B$8*0.75,'I_Budget Input Data'!$D$133*0.6/('I_Inputs &amp; Assumptions'!$B$8/2),'I_Budget Input Data'!$D$133*0.2/('I_Inputs &amp; Assumptions'!$B$8/4))),IF('I_Budget Input Data'!$E$133="At Completion",IF(15='I_Inputs &amp; Assumptions'!$B$8,'I_Budget Input Data'!$D$133,0),'I_Budget Input Data'!$D$133/'I_Inputs &amp; Assumptions'!$B$8)))))),0)</f>
        <v>0</v>
      </c>
      <c r="R133" s="91">
        <f>IF(16&lt;='I_Inputs &amp; Assumptions'!$B$8,IF('I_Budget Input Data'!$E$133="Upfront",IF(16=1,'I_Budget Input Data'!$D$133,0),IF('I_Budget Input Data'!$E$133="Equal",'I_Budget Input Data'!$D$133/'I_Inputs &amp; Assumptions'!$B$8,IF('I_Budget Input Data'!$E$133="Front-loaded",IF(16&lt;='I_Inputs &amp; Assumptions'!$B$8/2,'I_Budget Input Data'!$D$133*0.6/('I_Inputs &amp; Assumptions'!$B$8/2),'I_Budget Input Data'!$D$133*0.4/('I_Inputs &amp; Assumptions'!$B$8/2)),IF('I_Budget Input Data'!$E$133="Back-loaded",IF(16&lt;='I_Inputs &amp; Assumptions'!$B$8/2,'I_Budget Input Data'!$D$133*0.4/('I_Inputs &amp; Assumptions'!$B$8/2),'I_Budget Input Data'!$D$133*0.6/('I_Inputs &amp; Assumptions'!$B$8/2)),IF('I_Budget Input Data'!$E$133="Mid-weighted",IF(16&lt;='I_Inputs &amp; Assumptions'!$B$8/4,'I_Budget Input Data'!$D$133*0.2/('I_Inputs &amp; Assumptions'!$B$8/4),IF(16&lt;='I_Inputs &amp; Assumptions'!$B$8*0.75,'I_Budget Input Data'!$D$133*0.6/('I_Inputs &amp; Assumptions'!$B$8/2),'I_Budget Input Data'!$D$133*0.2/('I_Inputs &amp; Assumptions'!$B$8/4))),IF('I_Budget Input Data'!$E$133="At Completion",IF(16='I_Inputs &amp; Assumptions'!$B$8,'I_Budget Input Data'!$D$133,0),'I_Budget Input Data'!$D$133/'I_Inputs &amp; Assumptions'!$B$8)))))),0)</f>
        <v>0</v>
      </c>
      <c r="S133" s="91">
        <f>IF(17&lt;='I_Inputs &amp; Assumptions'!$B$8,IF('I_Budget Input Data'!$E$133="Upfront",IF(17=1,'I_Budget Input Data'!$D$133,0),IF('I_Budget Input Data'!$E$133="Equal",'I_Budget Input Data'!$D$133/'I_Inputs &amp; Assumptions'!$B$8,IF('I_Budget Input Data'!$E$133="Front-loaded",IF(17&lt;='I_Inputs &amp; Assumptions'!$B$8/2,'I_Budget Input Data'!$D$133*0.6/('I_Inputs &amp; Assumptions'!$B$8/2),'I_Budget Input Data'!$D$133*0.4/('I_Inputs &amp; Assumptions'!$B$8/2)),IF('I_Budget Input Data'!$E$133="Back-loaded",IF(17&lt;='I_Inputs &amp; Assumptions'!$B$8/2,'I_Budget Input Data'!$D$133*0.4/('I_Inputs &amp; Assumptions'!$B$8/2),'I_Budget Input Data'!$D$133*0.6/('I_Inputs &amp; Assumptions'!$B$8/2)),IF('I_Budget Input Data'!$E$133="Mid-weighted",IF(17&lt;='I_Inputs &amp; Assumptions'!$B$8/4,'I_Budget Input Data'!$D$133*0.2/('I_Inputs &amp; Assumptions'!$B$8/4),IF(17&lt;='I_Inputs &amp; Assumptions'!$B$8*0.75,'I_Budget Input Data'!$D$133*0.6/('I_Inputs &amp; Assumptions'!$B$8/2),'I_Budget Input Data'!$D$133*0.2/('I_Inputs &amp; Assumptions'!$B$8/4))),IF('I_Budget Input Data'!$E$133="At Completion",IF(17='I_Inputs &amp; Assumptions'!$B$8,'I_Budget Input Data'!$D$133,0),'I_Budget Input Data'!$D$133/'I_Inputs &amp; Assumptions'!$B$8)))))),0)</f>
        <v>0</v>
      </c>
      <c r="T133" s="91">
        <f>IF(18&lt;='I_Inputs &amp; Assumptions'!$B$8,IF('I_Budget Input Data'!$E$133="Upfront",IF(18=1,'I_Budget Input Data'!$D$133,0),IF('I_Budget Input Data'!$E$133="Equal",'I_Budget Input Data'!$D$133/'I_Inputs &amp; Assumptions'!$B$8,IF('I_Budget Input Data'!$E$133="Front-loaded",IF(18&lt;='I_Inputs &amp; Assumptions'!$B$8/2,'I_Budget Input Data'!$D$133*0.6/('I_Inputs &amp; Assumptions'!$B$8/2),'I_Budget Input Data'!$D$133*0.4/('I_Inputs &amp; Assumptions'!$B$8/2)),IF('I_Budget Input Data'!$E$133="Back-loaded",IF(18&lt;='I_Inputs &amp; Assumptions'!$B$8/2,'I_Budget Input Data'!$D$133*0.4/('I_Inputs &amp; Assumptions'!$B$8/2),'I_Budget Input Data'!$D$133*0.6/('I_Inputs &amp; Assumptions'!$B$8/2)),IF('I_Budget Input Data'!$E$133="Mid-weighted",IF(18&lt;='I_Inputs &amp; Assumptions'!$B$8/4,'I_Budget Input Data'!$D$133*0.2/('I_Inputs &amp; Assumptions'!$B$8/4),IF(18&lt;='I_Inputs &amp; Assumptions'!$B$8*0.75,'I_Budget Input Data'!$D$133*0.6/('I_Inputs &amp; Assumptions'!$B$8/2),'I_Budget Input Data'!$D$133*0.2/('I_Inputs &amp; Assumptions'!$B$8/4))),IF('I_Budget Input Data'!$E$133="At Completion",IF(18='I_Inputs &amp; Assumptions'!$B$8,'I_Budget Input Data'!$D$133,0),'I_Budget Input Data'!$D$133/'I_Inputs &amp; Assumptions'!$B$8)))))),0)</f>
        <v>0</v>
      </c>
      <c r="U133" s="91">
        <f>IF(19&lt;='I_Inputs &amp; Assumptions'!$B$8,IF('I_Budget Input Data'!$E$133="Upfront",IF(19=1,'I_Budget Input Data'!$D$133,0),IF('I_Budget Input Data'!$E$133="Equal",'I_Budget Input Data'!$D$133/'I_Inputs &amp; Assumptions'!$B$8,IF('I_Budget Input Data'!$E$133="Front-loaded",IF(19&lt;='I_Inputs &amp; Assumptions'!$B$8/2,'I_Budget Input Data'!$D$133*0.6/('I_Inputs &amp; Assumptions'!$B$8/2),'I_Budget Input Data'!$D$133*0.4/('I_Inputs &amp; Assumptions'!$B$8/2)),IF('I_Budget Input Data'!$E$133="Back-loaded",IF(19&lt;='I_Inputs &amp; Assumptions'!$B$8/2,'I_Budget Input Data'!$D$133*0.4/('I_Inputs &amp; Assumptions'!$B$8/2),'I_Budget Input Data'!$D$133*0.6/('I_Inputs &amp; Assumptions'!$B$8/2)),IF('I_Budget Input Data'!$E$133="Mid-weighted",IF(19&lt;='I_Inputs &amp; Assumptions'!$B$8/4,'I_Budget Input Data'!$D$133*0.2/('I_Inputs &amp; Assumptions'!$B$8/4),IF(19&lt;='I_Inputs &amp; Assumptions'!$B$8*0.75,'I_Budget Input Data'!$D$133*0.6/('I_Inputs &amp; Assumptions'!$B$8/2),'I_Budget Input Data'!$D$133*0.2/('I_Inputs &amp; Assumptions'!$B$8/4))),IF('I_Budget Input Data'!$E$133="At Completion",IF(19='I_Inputs &amp; Assumptions'!$B$8,'I_Budget Input Data'!$D$133,0),'I_Budget Input Data'!$D$133/'I_Inputs &amp; Assumptions'!$B$8)))))),0)</f>
        <v>0</v>
      </c>
      <c r="V133" s="91">
        <f>IF(20&lt;='I_Inputs &amp; Assumptions'!$B$8,IF('I_Budget Input Data'!$E$133="Upfront",IF(20=1,'I_Budget Input Data'!$D$133,0),IF('I_Budget Input Data'!$E$133="Equal",'I_Budget Input Data'!$D$133/'I_Inputs &amp; Assumptions'!$B$8,IF('I_Budget Input Data'!$E$133="Front-loaded",IF(20&lt;='I_Inputs &amp; Assumptions'!$B$8/2,'I_Budget Input Data'!$D$133*0.6/('I_Inputs &amp; Assumptions'!$B$8/2),'I_Budget Input Data'!$D$133*0.4/('I_Inputs &amp; Assumptions'!$B$8/2)),IF('I_Budget Input Data'!$E$133="Back-loaded",IF(20&lt;='I_Inputs &amp; Assumptions'!$B$8/2,'I_Budget Input Data'!$D$133*0.4/('I_Inputs &amp; Assumptions'!$B$8/2),'I_Budget Input Data'!$D$133*0.6/('I_Inputs &amp; Assumptions'!$B$8/2)),IF('I_Budget Input Data'!$E$133="Mid-weighted",IF(20&lt;='I_Inputs &amp; Assumptions'!$B$8/4,'I_Budget Input Data'!$D$133*0.2/('I_Inputs &amp; Assumptions'!$B$8/4),IF(20&lt;='I_Inputs &amp; Assumptions'!$B$8*0.75,'I_Budget Input Data'!$D$133*0.6/('I_Inputs &amp; Assumptions'!$B$8/2),'I_Budget Input Data'!$D$133*0.2/('I_Inputs &amp; Assumptions'!$B$8/4))),IF('I_Budget Input Data'!$E$133="At Completion",IF(20='I_Inputs &amp; Assumptions'!$B$8,'I_Budget Input Data'!$D$133,0),'I_Budget Input Data'!$D$133/'I_Inputs &amp; Assumptions'!$B$8)))))),0)</f>
        <v>0</v>
      </c>
      <c r="W133" s="91">
        <f>IF(21&lt;='I_Inputs &amp; Assumptions'!$B$8,IF('I_Budget Input Data'!$E$133="Upfront",IF(21=1,'I_Budget Input Data'!$D$133,0),IF('I_Budget Input Data'!$E$133="Equal",'I_Budget Input Data'!$D$133/'I_Inputs &amp; Assumptions'!$B$8,IF('I_Budget Input Data'!$E$133="Front-loaded",IF(21&lt;='I_Inputs &amp; Assumptions'!$B$8/2,'I_Budget Input Data'!$D$133*0.6/('I_Inputs &amp; Assumptions'!$B$8/2),'I_Budget Input Data'!$D$133*0.4/('I_Inputs &amp; Assumptions'!$B$8/2)),IF('I_Budget Input Data'!$E$133="Back-loaded",IF(21&lt;='I_Inputs &amp; Assumptions'!$B$8/2,'I_Budget Input Data'!$D$133*0.4/('I_Inputs &amp; Assumptions'!$B$8/2),'I_Budget Input Data'!$D$133*0.6/('I_Inputs &amp; Assumptions'!$B$8/2)),IF('I_Budget Input Data'!$E$133="Mid-weighted",IF(21&lt;='I_Inputs &amp; Assumptions'!$B$8/4,'I_Budget Input Data'!$D$133*0.2/('I_Inputs &amp; Assumptions'!$B$8/4),IF(21&lt;='I_Inputs &amp; Assumptions'!$B$8*0.75,'I_Budget Input Data'!$D$133*0.6/('I_Inputs &amp; Assumptions'!$B$8/2),'I_Budget Input Data'!$D$133*0.2/('I_Inputs &amp; Assumptions'!$B$8/4))),IF('I_Budget Input Data'!$E$133="At Completion",IF(21='I_Inputs &amp; Assumptions'!$B$8,'I_Budget Input Data'!$D$133,0),'I_Budget Input Data'!$D$133/'I_Inputs &amp; Assumptions'!$B$8)))))),0)</f>
        <v>0</v>
      </c>
      <c r="X133" s="91">
        <f>IF(22&lt;='I_Inputs &amp; Assumptions'!$B$8,IF('I_Budget Input Data'!$E$133="Upfront",IF(22=1,'I_Budget Input Data'!$D$133,0),IF('I_Budget Input Data'!$E$133="Equal",'I_Budget Input Data'!$D$133/'I_Inputs &amp; Assumptions'!$B$8,IF('I_Budget Input Data'!$E$133="Front-loaded",IF(22&lt;='I_Inputs &amp; Assumptions'!$B$8/2,'I_Budget Input Data'!$D$133*0.6/('I_Inputs &amp; Assumptions'!$B$8/2),'I_Budget Input Data'!$D$133*0.4/('I_Inputs &amp; Assumptions'!$B$8/2)),IF('I_Budget Input Data'!$E$133="Back-loaded",IF(22&lt;='I_Inputs &amp; Assumptions'!$B$8/2,'I_Budget Input Data'!$D$133*0.4/('I_Inputs &amp; Assumptions'!$B$8/2),'I_Budget Input Data'!$D$133*0.6/('I_Inputs &amp; Assumptions'!$B$8/2)),IF('I_Budget Input Data'!$E$133="Mid-weighted",IF(22&lt;='I_Inputs &amp; Assumptions'!$B$8/4,'I_Budget Input Data'!$D$133*0.2/('I_Inputs &amp; Assumptions'!$B$8/4),IF(22&lt;='I_Inputs &amp; Assumptions'!$B$8*0.75,'I_Budget Input Data'!$D$133*0.6/('I_Inputs &amp; Assumptions'!$B$8/2),'I_Budget Input Data'!$D$133*0.2/('I_Inputs &amp; Assumptions'!$B$8/4))),IF('I_Budget Input Data'!$E$133="At Completion",IF(22='I_Inputs &amp; Assumptions'!$B$8,'I_Budget Input Data'!$D$133,0),'I_Budget Input Data'!$D$133/'I_Inputs &amp; Assumptions'!$B$8)))))),0)</f>
        <v>0</v>
      </c>
      <c r="Y133" s="91">
        <f>IF(23&lt;='I_Inputs &amp; Assumptions'!$B$8,IF('I_Budget Input Data'!$E$133="Upfront",IF(23=1,'I_Budget Input Data'!$D$133,0),IF('I_Budget Input Data'!$E$133="Equal",'I_Budget Input Data'!$D$133/'I_Inputs &amp; Assumptions'!$B$8,IF('I_Budget Input Data'!$E$133="Front-loaded",IF(23&lt;='I_Inputs &amp; Assumptions'!$B$8/2,'I_Budget Input Data'!$D$133*0.6/('I_Inputs &amp; Assumptions'!$B$8/2),'I_Budget Input Data'!$D$133*0.4/('I_Inputs &amp; Assumptions'!$B$8/2)),IF('I_Budget Input Data'!$E$133="Back-loaded",IF(23&lt;='I_Inputs &amp; Assumptions'!$B$8/2,'I_Budget Input Data'!$D$133*0.4/('I_Inputs &amp; Assumptions'!$B$8/2),'I_Budget Input Data'!$D$133*0.6/('I_Inputs &amp; Assumptions'!$B$8/2)),IF('I_Budget Input Data'!$E$133="Mid-weighted",IF(23&lt;='I_Inputs &amp; Assumptions'!$B$8/4,'I_Budget Input Data'!$D$133*0.2/('I_Inputs &amp; Assumptions'!$B$8/4),IF(23&lt;='I_Inputs &amp; Assumptions'!$B$8*0.75,'I_Budget Input Data'!$D$133*0.6/('I_Inputs &amp; Assumptions'!$B$8/2),'I_Budget Input Data'!$D$133*0.2/('I_Inputs &amp; Assumptions'!$B$8/4))),IF('I_Budget Input Data'!$E$133="At Completion",IF(23='I_Inputs &amp; Assumptions'!$B$8,'I_Budget Input Data'!$D$133,0),'I_Budget Input Data'!$D$133/'I_Inputs &amp; Assumptions'!$B$8)))))),0)</f>
        <v>0</v>
      </c>
      <c r="Z133" s="91">
        <f>IF(24&lt;='I_Inputs &amp; Assumptions'!$B$8,IF('I_Budget Input Data'!$E$133="Upfront",IF(24=1,'I_Budget Input Data'!$D$133,0),IF('I_Budget Input Data'!$E$133="Equal",'I_Budget Input Data'!$D$133/'I_Inputs &amp; Assumptions'!$B$8,IF('I_Budget Input Data'!$E$133="Front-loaded",IF(24&lt;='I_Inputs &amp; Assumptions'!$B$8/2,'I_Budget Input Data'!$D$133*0.6/('I_Inputs &amp; Assumptions'!$B$8/2),'I_Budget Input Data'!$D$133*0.4/('I_Inputs &amp; Assumptions'!$B$8/2)),IF('I_Budget Input Data'!$E$133="Back-loaded",IF(24&lt;='I_Inputs &amp; Assumptions'!$B$8/2,'I_Budget Input Data'!$D$133*0.4/('I_Inputs &amp; Assumptions'!$B$8/2),'I_Budget Input Data'!$D$133*0.6/('I_Inputs &amp; Assumptions'!$B$8/2)),IF('I_Budget Input Data'!$E$133="Mid-weighted",IF(24&lt;='I_Inputs &amp; Assumptions'!$B$8/4,'I_Budget Input Data'!$D$133*0.2/('I_Inputs &amp; Assumptions'!$B$8/4),IF(24&lt;='I_Inputs &amp; Assumptions'!$B$8*0.75,'I_Budget Input Data'!$D$133*0.6/('I_Inputs &amp; Assumptions'!$B$8/2),'I_Budget Input Data'!$D$133*0.2/('I_Inputs &amp; Assumptions'!$B$8/4))),IF('I_Budget Input Data'!$E$133="At Completion",IF(24='I_Inputs &amp; Assumptions'!$B$8,'I_Budget Input Data'!$D$133,0),'I_Budget Input Data'!$D$133/'I_Inputs &amp; Assumptions'!$B$8)))))),0)</f>
        <v>0</v>
      </c>
      <c r="AA133" s="91">
        <f>IF(25&lt;='I_Inputs &amp; Assumptions'!$B$8,IF('I_Budget Input Data'!$E$133="Upfront",IF(25=1,'I_Budget Input Data'!$D$133,0),IF('I_Budget Input Data'!$E$133="Equal",'I_Budget Input Data'!$D$133/'I_Inputs &amp; Assumptions'!$B$8,IF('I_Budget Input Data'!$E$133="Front-loaded",IF(25&lt;='I_Inputs &amp; Assumptions'!$B$8/2,'I_Budget Input Data'!$D$133*0.6/('I_Inputs &amp; Assumptions'!$B$8/2),'I_Budget Input Data'!$D$133*0.4/('I_Inputs &amp; Assumptions'!$B$8/2)),IF('I_Budget Input Data'!$E$133="Back-loaded",IF(25&lt;='I_Inputs &amp; Assumptions'!$B$8/2,'I_Budget Input Data'!$D$133*0.4/('I_Inputs &amp; Assumptions'!$B$8/2),'I_Budget Input Data'!$D$133*0.6/('I_Inputs &amp; Assumptions'!$B$8/2)),IF('I_Budget Input Data'!$E$133="Mid-weighted",IF(25&lt;='I_Inputs &amp; Assumptions'!$B$8/4,'I_Budget Input Data'!$D$133*0.2/('I_Inputs &amp; Assumptions'!$B$8/4),IF(25&lt;='I_Inputs &amp; Assumptions'!$B$8*0.75,'I_Budget Input Data'!$D$133*0.6/('I_Inputs &amp; Assumptions'!$B$8/2),'I_Budget Input Data'!$D$133*0.2/('I_Inputs &amp; Assumptions'!$B$8/4))),IF('I_Budget Input Data'!$E$133="At Completion",IF(25='I_Inputs &amp; Assumptions'!$B$8,'I_Budget Input Data'!$D$133,0),'I_Budget Input Data'!$D$133/'I_Inputs &amp; Assumptions'!$B$8)))))),0)</f>
        <v>0</v>
      </c>
      <c r="AB133" s="91">
        <f>IF(26&lt;='I_Inputs &amp; Assumptions'!$B$8,IF('I_Budget Input Data'!$E$133="Upfront",IF(26=1,'I_Budget Input Data'!$D$133,0),IF('I_Budget Input Data'!$E$133="Equal",'I_Budget Input Data'!$D$133/'I_Inputs &amp; Assumptions'!$B$8,IF('I_Budget Input Data'!$E$133="Front-loaded",IF(26&lt;='I_Inputs &amp; Assumptions'!$B$8/2,'I_Budget Input Data'!$D$133*0.6/('I_Inputs &amp; Assumptions'!$B$8/2),'I_Budget Input Data'!$D$133*0.4/('I_Inputs &amp; Assumptions'!$B$8/2)),IF('I_Budget Input Data'!$E$133="Back-loaded",IF(26&lt;='I_Inputs &amp; Assumptions'!$B$8/2,'I_Budget Input Data'!$D$133*0.4/('I_Inputs &amp; Assumptions'!$B$8/2),'I_Budget Input Data'!$D$133*0.6/('I_Inputs &amp; Assumptions'!$B$8/2)),IF('I_Budget Input Data'!$E$133="Mid-weighted",IF(26&lt;='I_Inputs &amp; Assumptions'!$B$8/4,'I_Budget Input Data'!$D$133*0.2/('I_Inputs &amp; Assumptions'!$B$8/4),IF(26&lt;='I_Inputs &amp; Assumptions'!$B$8*0.75,'I_Budget Input Data'!$D$133*0.6/('I_Inputs &amp; Assumptions'!$B$8/2),'I_Budget Input Data'!$D$133*0.2/('I_Inputs &amp; Assumptions'!$B$8/4))),IF('I_Budget Input Data'!$E$133="At Completion",IF(26='I_Inputs &amp; Assumptions'!$B$8,'I_Budget Input Data'!$D$133,0),'I_Budget Input Data'!$D$133/'I_Inputs &amp; Assumptions'!$B$8)))))),0)</f>
        <v>0</v>
      </c>
      <c r="AC133" s="91">
        <f>IF(27&lt;='I_Inputs &amp; Assumptions'!$B$8,IF('I_Budget Input Data'!$E$133="Upfront",IF(27=1,'I_Budget Input Data'!$D$133,0),IF('I_Budget Input Data'!$E$133="Equal",'I_Budget Input Data'!$D$133/'I_Inputs &amp; Assumptions'!$B$8,IF('I_Budget Input Data'!$E$133="Front-loaded",IF(27&lt;='I_Inputs &amp; Assumptions'!$B$8/2,'I_Budget Input Data'!$D$133*0.6/('I_Inputs &amp; Assumptions'!$B$8/2),'I_Budget Input Data'!$D$133*0.4/('I_Inputs &amp; Assumptions'!$B$8/2)),IF('I_Budget Input Data'!$E$133="Back-loaded",IF(27&lt;='I_Inputs &amp; Assumptions'!$B$8/2,'I_Budget Input Data'!$D$133*0.4/('I_Inputs &amp; Assumptions'!$B$8/2),'I_Budget Input Data'!$D$133*0.6/('I_Inputs &amp; Assumptions'!$B$8/2)),IF('I_Budget Input Data'!$E$133="Mid-weighted",IF(27&lt;='I_Inputs &amp; Assumptions'!$B$8/4,'I_Budget Input Data'!$D$133*0.2/('I_Inputs &amp; Assumptions'!$B$8/4),IF(27&lt;='I_Inputs &amp; Assumptions'!$B$8*0.75,'I_Budget Input Data'!$D$133*0.6/('I_Inputs &amp; Assumptions'!$B$8/2),'I_Budget Input Data'!$D$133*0.2/('I_Inputs &amp; Assumptions'!$B$8/4))),IF('I_Budget Input Data'!$E$133="At Completion",IF(27='I_Inputs &amp; Assumptions'!$B$8,'I_Budget Input Data'!$D$133,0),'I_Budget Input Data'!$D$133/'I_Inputs &amp; Assumptions'!$B$8)))))),0)</f>
        <v>0</v>
      </c>
      <c r="AD133" s="91">
        <f>IF(28&lt;='I_Inputs &amp; Assumptions'!$B$8,IF('I_Budget Input Data'!$E$133="Upfront",IF(28=1,'I_Budget Input Data'!$D$133,0),IF('I_Budget Input Data'!$E$133="Equal",'I_Budget Input Data'!$D$133/'I_Inputs &amp; Assumptions'!$B$8,IF('I_Budget Input Data'!$E$133="Front-loaded",IF(28&lt;='I_Inputs &amp; Assumptions'!$B$8/2,'I_Budget Input Data'!$D$133*0.6/('I_Inputs &amp; Assumptions'!$B$8/2),'I_Budget Input Data'!$D$133*0.4/('I_Inputs &amp; Assumptions'!$B$8/2)),IF('I_Budget Input Data'!$E$133="Back-loaded",IF(28&lt;='I_Inputs &amp; Assumptions'!$B$8/2,'I_Budget Input Data'!$D$133*0.4/('I_Inputs &amp; Assumptions'!$B$8/2),'I_Budget Input Data'!$D$133*0.6/('I_Inputs &amp; Assumptions'!$B$8/2)),IF('I_Budget Input Data'!$E$133="Mid-weighted",IF(28&lt;='I_Inputs &amp; Assumptions'!$B$8/4,'I_Budget Input Data'!$D$133*0.2/('I_Inputs &amp; Assumptions'!$B$8/4),IF(28&lt;='I_Inputs &amp; Assumptions'!$B$8*0.75,'I_Budget Input Data'!$D$133*0.6/('I_Inputs &amp; Assumptions'!$B$8/2),'I_Budget Input Data'!$D$133*0.2/('I_Inputs &amp; Assumptions'!$B$8/4))),IF('I_Budget Input Data'!$E$133="At Completion",IF(28='I_Inputs &amp; Assumptions'!$B$8,'I_Budget Input Data'!$D$133,0),'I_Budget Input Data'!$D$133/'I_Inputs &amp; Assumptions'!$B$8)))))),0)</f>
        <v>0</v>
      </c>
      <c r="AE133" s="91">
        <f>IF(29&lt;='I_Inputs &amp; Assumptions'!$B$8,IF('I_Budget Input Data'!$E$133="Upfront",IF(29=1,'I_Budget Input Data'!$D$133,0),IF('I_Budget Input Data'!$E$133="Equal",'I_Budget Input Data'!$D$133/'I_Inputs &amp; Assumptions'!$B$8,IF('I_Budget Input Data'!$E$133="Front-loaded",IF(29&lt;='I_Inputs &amp; Assumptions'!$B$8/2,'I_Budget Input Data'!$D$133*0.6/('I_Inputs &amp; Assumptions'!$B$8/2),'I_Budget Input Data'!$D$133*0.4/('I_Inputs &amp; Assumptions'!$B$8/2)),IF('I_Budget Input Data'!$E$133="Back-loaded",IF(29&lt;='I_Inputs &amp; Assumptions'!$B$8/2,'I_Budget Input Data'!$D$133*0.4/('I_Inputs &amp; Assumptions'!$B$8/2),'I_Budget Input Data'!$D$133*0.6/('I_Inputs &amp; Assumptions'!$B$8/2)),IF('I_Budget Input Data'!$E$133="Mid-weighted",IF(29&lt;='I_Inputs &amp; Assumptions'!$B$8/4,'I_Budget Input Data'!$D$133*0.2/('I_Inputs &amp; Assumptions'!$B$8/4),IF(29&lt;='I_Inputs &amp; Assumptions'!$B$8*0.75,'I_Budget Input Data'!$D$133*0.6/('I_Inputs &amp; Assumptions'!$B$8/2),'I_Budget Input Data'!$D$133*0.2/('I_Inputs &amp; Assumptions'!$B$8/4))),IF('I_Budget Input Data'!$E$133="At Completion",IF(29='I_Inputs &amp; Assumptions'!$B$8,'I_Budget Input Data'!$D$133,0),'I_Budget Input Data'!$D$133/'I_Inputs &amp; Assumptions'!$B$8)))))),0)</f>
        <v>0</v>
      </c>
      <c r="AF133" s="91">
        <f>IF(30&lt;='I_Inputs &amp; Assumptions'!$B$8,IF('I_Budget Input Data'!$E$133="Upfront",IF(30=1,'I_Budget Input Data'!$D$133,0),IF('I_Budget Input Data'!$E$133="Equal",'I_Budget Input Data'!$D$133/'I_Inputs &amp; Assumptions'!$B$8,IF('I_Budget Input Data'!$E$133="Front-loaded",IF(30&lt;='I_Inputs &amp; Assumptions'!$B$8/2,'I_Budget Input Data'!$D$133*0.6/('I_Inputs &amp; Assumptions'!$B$8/2),'I_Budget Input Data'!$D$133*0.4/('I_Inputs &amp; Assumptions'!$B$8/2)),IF('I_Budget Input Data'!$E$133="Back-loaded",IF(30&lt;='I_Inputs &amp; Assumptions'!$B$8/2,'I_Budget Input Data'!$D$133*0.4/('I_Inputs &amp; Assumptions'!$B$8/2),'I_Budget Input Data'!$D$133*0.6/('I_Inputs &amp; Assumptions'!$B$8/2)),IF('I_Budget Input Data'!$E$133="Mid-weighted",IF(30&lt;='I_Inputs &amp; Assumptions'!$B$8/4,'I_Budget Input Data'!$D$133*0.2/('I_Inputs &amp; Assumptions'!$B$8/4),IF(30&lt;='I_Inputs &amp; Assumptions'!$B$8*0.75,'I_Budget Input Data'!$D$133*0.6/('I_Inputs &amp; Assumptions'!$B$8/2),'I_Budget Input Data'!$D$133*0.2/('I_Inputs &amp; Assumptions'!$B$8/4))),IF('I_Budget Input Data'!$E$133="At Completion",IF(30='I_Inputs &amp; Assumptions'!$B$8,'I_Budget Input Data'!$D$133,0),'I_Budget Input Data'!$D$133/'I_Inputs &amp; Assumptions'!$B$8)))))),0)</f>
        <v>0</v>
      </c>
      <c r="AG133" s="91">
        <f>IF(31&lt;='I_Inputs &amp; Assumptions'!$B$8,IF('I_Budget Input Data'!$E$133="Upfront",IF(31=1,'I_Budget Input Data'!$D$133,0),IF('I_Budget Input Data'!$E$133="Equal",'I_Budget Input Data'!$D$133/'I_Inputs &amp; Assumptions'!$B$8,IF('I_Budget Input Data'!$E$133="Front-loaded",IF(31&lt;='I_Inputs &amp; Assumptions'!$B$8/2,'I_Budget Input Data'!$D$133*0.6/('I_Inputs &amp; Assumptions'!$B$8/2),'I_Budget Input Data'!$D$133*0.4/('I_Inputs &amp; Assumptions'!$B$8/2)),IF('I_Budget Input Data'!$E$133="Back-loaded",IF(31&lt;='I_Inputs &amp; Assumptions'!$B$8/2,'I_Budget Input Data'!$D$133*0.4/('I_Inputs &amp; Assumptions'!$B$8/2),'I_Budget Input Data'!$D$133*0.6/('I_Inputs &amp; Assumptions'!$B$8/2)),IF('I_Budget Input Data'!$E$133="Mid-weighted",IF(31&lt;='I_Inputs &amp; Assumptions'!$B$8/4,'I_Budget Input Data'!$D$133*0.2/('I_Inputs &amp; Assumptions'!$B$8/4),IF(31&lt;='I_Inputs &amp; Assumptions'!$B$8*0.75,'I_Budget Input Data'!$D$133*0.6/('I_Inputs &amp; Assumptions'!$B$8/2),'I_Budget Input Data'!$D$133*0.2/('I_Inputs &amp; Assumptions'!$B$8/4))),IF('I_Budget Input Data'!$E$133="At Completion",IF(31='I_Inputs &amp; Assumptions'!$B$8,'I_Budget Input Data'!$D$133,0),'I_Budget Input Data'!$D$133/'I_Inputs &amp; Assumptions'!$B$8)))))),0)</f>
        <v>0</v>
      </c>
      <c r="AH133" s="91">
        <f>IF(32&lt;='I_Inputs &amp; Assumptions'!$B$8,IF('I_Budget Input Data'!$E$133="Upfront",IF(32=1,'I_Budget Input Data'!$D$133,0),IF('I_Budget Input Data'!$E$133="Equal",'I_Budget Input Data'!$D$133/'I_Inputs &amp; Assumptions'!$B$8,IF('I_Budget Input Data'!$E$133="Front-loaded",IF(32&lt;='I_Inputs &amp; Assumptions'!$B$8/2,'I_Budget Input Data'!$D$133*0.6/('I_Inputs &amp; Assumptions'!$B$8/2),'I_Budget Input Data'!$D$133*0.4/('I_Inputs &amp; Assumptions'!$B$8/2)),IF('I_Budget Input Data'!$E$133="Back-loaded",IF(32&lt;='I_Inputs &amp; Assumptions'!$B$8/2,'I_Budget Input Data'!$D$133*0.4/('I_Inputs &amp; Assumptions'!$B$8/2),'I_Budget Input Data'!$D$133*0.6/('I_Inputs &amp; Assumptions'!$B$8/2)),IF('I_Budget Input Data'!$E$133="Mid-weighted",IF(32&lt;='I_Inputs &amp; Assumptions'!$B$8/4,'I_Budget Input Data'!$D$133*0.2/('I_Inputs &amp; Assumptions'!$B$8/4),IF(32&lt;='I_Inputs &amp; Assumptions'!$B$8*0.75,'I_Budget Input Data'!$D$133*0.6/('I_Inputs &amp; Assumptions'!$B$8/2),'I_Budget Input Data'!$D$133*0.2/('I_Inputs &amp; Assumptions'!$B$8/4))),IF('I_Budget Input Data'!$E$133="At Completion",IF(32='I_Inputs &amp; Assumptions'!$B$8,'I_Budget Input Data'!$D$133,0),'I_Budget Input Data'!$D$133/'I_Inputs &amp; Assumptions'!$B$8)))))),0)</f>
        <v>0</v>
      </c>
      <c r="AI133" s="91">
        <f>IF(33&lt;='I_Inputs &amp; Assumptions'!$B$8,IF('I_Budget Input Data'!$E$133="Upfront",IF(33=1,'I_Budget Input Data'!$D$133,0),IF('I_Budget Input Data'!$E$133="Equal",'I_Budget Input Data'!$D$133/'I_Inputs &amp; Assumptions'!$B$8,IF('I_Budget Input Data'!$E$133="Front-loaded",IF(33&lt;='I_Inputs &amp; Assumptions'!$B$8/2,'I_Budget Input Data'!$D$133*0.6/('I_Inputs &amp; Assumptions'!$B$8/2),'I_Budget Input Data'!$D$133*0.4/('I_Inputs &amp; Assumptions'!$B$8/2)),IF('I_Budget Input Data'!$E$133="Back-loaded",IF(33&lt;='I_Inputs &amp; Assumptions'!$B$8/2,'I_Budget Input Data'!$D$133*0.4/('I_Inputs &amp; Assumptions'!$B$8/2),'I_Budget Input Data'!$D$133*0.6/('I_Inputs &amp; Assumptions'!$B$8/2)),IF('I_Budget Input Data'!$E$133="Mid-weighted",IF(33&lt;='I_Inputs &amp; Assumptions'!$B$8/4,'I_Budget Input Data'!$D$133*0.2/('I_Inputs &amp; Assumptions'!$B$8/4),IF(33&lt;='I_Inputs &amp; Assumptions'!$B$8*0.75,'I_Budget Input Data'!$D$133*0.6/('I_Inputs &amp; Assumptions'!$B$8/2),'I_Budget Input Data'!$D$133*0.2/('I_Inputs &amp; Assumptions'!$B$8/4))),IF('I_Budget Input Data'!$E$133="At Completion",IF(33='I_Inputs &amp; Assumptions'!$B$8,'I_Budget Input Data'!$D$133,0),'I_Budget Input Data'!$D$133/'I_Inputs &amp; Assumptions'!$B$8)))))),0)</f>
        <v>0</v>
      </c>
      <c r="AJ133" s="91">
        <f>IF(34&lt;='I_Inputs &amp; Assumptions'!$B$8,IF('I_Budget Input Data'!$E$133="Upfront",IF(34=1,'I_Budget Input Data'!$D$133,0),IF('I_Budget Input Data'!$E$133="Equal",'I_Budget Input Data'!$D$133/'I_Inputs &amp; Assumptions'!$B$8,IF('I_Budget Input Data'!$E$133="Front-loaded",IF(34&lt;='I_Inputs &amp; Assumptions'!$B$8/2,'I_Budget Input Data'!$D$133*0.6/('I_Inputs &amp; Assumptions'!$B$8/2),'I_Budget Input Data'!$D$133*0.4/('I_Inputs &amp; Assumptions'!$B$8/2)),IF('I_Budget Input Data'!$E$133="Back-loaded",IF(34&lt;='I_Inputs &amp; Assumptions'!$B$8/2,'I_Budget Input Data'!$D$133*0.4/('I_Inputs &amp; Assumptions'!$B$8/2),'I_Budget Input Data'!$D$133*0.6/('I_Inputs &amp; Assumptions'!$B$8/2)),IF('I_Budget Input Data'!$E$133="Mid-weighted",IF(34&lt;='I_Inputs &amp; Assumptions'!$B$8/4,'I_Budget Input Data'!$D$133*0.2/('I_Inputs &amp; Assumptions'!$B$8/4),IF(34&lt;='I_Inputs &amp; Assumptions'!$B$8*0.75,'I_Budget Input Data'!$D$133*0.6/('I_Inputs &amp; Assumptions'!$B$8/2),'I_Budget Input Data'!$D$133*0.2/('I_Inputs &amp; Assumptions'!$B$8/4))),IF('I_Budget Input Data'!$E$133="At Completion",IF(34='I_Inputs &amp; Assumptions'!$B$8,'I_Budget Input Data'!$D$133,0),'I_Budget Input Data'!$D$133/'I_Inputs &amp; Assumptions'!$B$8)))))),0)</f>
        <v>0</v>
      </c>
      <c r="AK133" s="91">
        <f>IF(35&lt;='I_Inputs &amp; Assumptions'!$B$8,IF('I_Budget Input Data'!$E$133="Upfront",IF(35=1,'I_Budget Input Data'!$D$133,0),IF('I_Budget Input Data'!$E$133="Equal",'I_Budget Input Data'!$D$133/'I_Inputs &amp; Assumptions'!$B$8,IF('I_Budget Input Data'!$E$133="Front-loaded",IF(35&lt;='I_Inputs &amp; Assumptions'!$B$8/2,'I_Budget Input Data'!$D$133*0.6/('I_Inputs &amp; Assumptions'!$B$8/2),'I_Budget Input Data'!$D$133*0.4/('I_Inputs &amp; Assumptions'!$B$8/2)),IF('I_Budget Input Data'!$E$133="Back-loaded",IF(35&lt;='I_Inputs &amp; Assumptions'!$B$8/2,'I_Budget Input Data'!$D$133*0.4/('I_Inputs &amp; Assumptions'!$B$8/2),'I_Budget Input Data'!$D$133*0.6/('I_Inputs &amp; Assumptions'!$B$8/2)),IF('I_Budget Input Data'!$E$133="Mid-weighted",IF(35&lt;='I_Inputs &amp; Assumptions'!$B$8/4,'I_Budget Input Data'!$D$133*0.2/('I_Inputs &amp; Assumptions'!$B$8/4),IF(35&lt;='I_Inputs &amp; Assumptions'!$B$8*0.75,'I_Budget Input Data'!$D$133*0.6/('I_Inputs &amp; Assumptions'!$B$8/2),'I_Budget Input Data'!$D$133*0.2/('I_Inputs &amp; Assumptions'!$B$8/4))),IF('I_Budget Input Data'!$E$133="At Completion",IF(35='I_Inputs &amp; Assumptions'!$B$8,'I_Budget Input Data'!$D$133,0),'I_Budget Input Data'!$D$133/'I_Inputs &amp; Assumptions'!$B$8)))))),0)</f>
        <v>0</v>
      </c>
      <c r="AL133" s="91">
        <f>IF(36&lt;='I_Inputs &amp; Assumptions'!$B$8,IF('I_Budget Input Data'!$E$133="Upfront",IF(36=1,'I_Budget Input Data'!$D$133,0),IF('I_Budget Input Data'!$E$133="Equal",'I_Budget Input Data'!$D$133/'I_Inputs &amp; Assumptions'!$B$8,IF('I_Budget Input Data'!$E$133="Front-loaded",IF(36&lt;='I_Inputs &amp; Assumptions'!$B$8/2,'I_Budget Input Data'!$D$133*0.6/('I_Inputs &amp; Assumptions'!$B$8/2),'I_Budget Input Data'!$D$133*0.4/('I_Inputs &amp; Assumptions'!$B$8/2)),IF('I_Budget Input Data'!$E$133="Back-loaded",IF(36&lt;='I_Inputs &amp; Assumptions'!$B$8/2,'I_Budget Input Data'!$D$133*0.4/('I_Inputs &amp; Assumptions'!$B$8/2),'I_Budget Input Data'!$D$133*0.6/('I_Inputs &amp; Assumptions'!$B$8/2)),IF('I_Budget Input Data'!$E$133="Mid-weighted",IF(36&lt;='I_Inputs &amp; Assumptions'!$B$8/4,'I_Budget Input Data'!$D$133*0.2/('I_Inputs &amp; Assumptions'!$B$8/4),IF(36&lt;='I_Inputs &amp; Assumptions'!$B$8*0.75,'I_Budget Input Data'!$D$133*0.6/('I_Inputs &amp; Assumptions'!$B$8/2),'I_Budget Input Data'!$D$133*0.2/('I_Inputs &amp; Assumptions'!$B$8/4))),IF('I_Budget Input Data'!$E$133="At Completion",IF(36='I_Inputs &amp; Assumptions'!$B$8,'I_Budget Input Data'!$D$133,0),'I_Budget Input Data'!$D$133/'I_Inputs &amp; Assumptions'!$B$8)))))),0)</f>
        <v>0</v>
      </c>
    </row>
    <row r="134" spans="1:38" ht="15" customHeight="1" x14ac:dyDescent="0.2">
      <c r="A134" t="s">
        <v>248</v>
      </c>
      <c r="B134" t="s">
        <v>249</v>
      </c>
      <c r="C134" s="91">
        <f>IF(1&lt;='I_Inputs &amp; Assumptions'!$B$8,IF('I_Budget Input Data'!$E$134="Upfront",IF(1=1,'I_Budget Input Data'!$D$134,0),IF('I_Budget Input Data'!$E$134="Equal",'I_Budget Input Data'!$D$134/'I_Inputs &amp; Assumptions'!$B$8,IF('I_Budget Input Data'!$E$134="Front-loaded",IF(1&lt;='I_Inputs &amp; Assumptions'!$B$8/2,'I_Budget Input Data'!$D$134*0.6/('I_Inputs &amp; Assumptions'!$B$8/2),'I_Budget Input Data'!$D$134*0.4/('I_Inputs &amp; Assumptions'!$B$8/2)),IF('I_Budget Input Data'!$E$134="Back-loaded",IF(1&lt;='I_Inputs &amp; Assumptions'!$B$8/2,'I_Budget Input Data'!$D$134*0.4/('I_Inputs &amp; Assumptions'!$B$8/2),'I_Budget Input Data'!$D$134*0.6/('I_Inputs &amp; Assumptions'!$B$8/2)),IF('I_Budget Input Data'!$E$134="Mid-weighted",IF(1&lt;='I_Inputs &amp; Assumptions'!$B$8/4,'I_Budget Input Data'!$D$134*0.2/('I_Inputs &amp; Assumptions'!$B$8/4),IF(1&lt;='I_Inputs &amp; Assumptions'!$B$8*0.75,'I_Budget Input Data'!$D$134*0.6/('I_Inputs &amp; Assumptions'!$B$8/2),'I_Budget Input Data'!$D$134*0.2/('I_Inputs &amp; Assumptions'!$B$8/4))),IF('I_Budget Input Data'!$E$134="At Completion",IF(1='I_Inputs &amp; Assumptions'!$B$8,'I_Budget Input Data'!$D$134,0),'I_Budget Input Data'!$D$134/'I_Inputs &amp; Assumptions'!$B$8)))))),0)</f>
        <v>4613.4461538461537</v>
      </c>
      <c r="D134" s="91">
        <f>IF(2&lt;='I_Inputs &amp; Assumptions'!$B$8,IF('I_Budget Input Data'!$E$134="Upfront",IF(2=1,'I_Budget Input Data'!$D$134,0),IF('I_Budget Input Data'!$E$134="Equal",'I_Budget Input Data'!$D$134/'I_Inputs &amp; Assumptions'!$B$8,IF('I_Budget Input Data'!$E$134="Front-loaded",IF(2&lt;='I_Inputs &amp; Assumptions'!$B$8/2,'I_Budget Input Data'!$D$134*0.6/('I_Inputs &amp; Assumptions'!$B$8/2),'I_Budget Input Data'!$D$134*0.4/('I_Inputs &amp; Assumptions'!$B$8/2)),IF('I_Budget Input Data'!$E$134="Back-loaded",IF(2&lt;='I_Inputs &amp; Assumptions'!$B$8/2,'I_Budget Input Data'!$D$134*0.4/('I_Inputs &amp; Assumptions'!$B$8/2),'I_Budget Input Data'!$D$134*0.6/('I_Inputs &amp; Assumptions'!$B$8/2)),IF('I_Budget Input Data'!$E$134="Mid-weighted",IF(2&lt;='I_Inputs &amp; Assumptions'!$B$8/4,'I_Budget Input Data'!$D$134*0.2/('I_Inputs &amp; Assumptions'!$B$8/4),IF(2&lt;='I_Inputs &amp; Assumptions'!$B$8*0.75,'I_Budget Input Data'!$D$134*0.6/('I_Inputs &amp; Assumptions'!$B$8/2),'I_Budget Input Data'!$D$134*0.2/('I_Inputs &amp; Assumptions'!$B$8/4))),IF('I_Budget Input Data'!$E$134="At Completion",IF(2='I_Inputs &amp; Assumptions'!$B$8,'I_Budget Input Data'!$D$134,0),'I_Budget Input Data'!$D$134/'I_Inputs &amp; Assumptions'!$B$8)))))),0)</f>
        <v>4613.4461538461537</v>
      </c>
      <c r="E134" s="91">
        <f>IF(3&lt;='I_Inputs &amp; Assumptions'!$B$8,IF('I_Budget Input Data'!$E$134="Upfront",IF(3=1,'I_Budget Input Data'!$D$134,0),IF('I_Budget Input Data'!$E$134="Equal",'I_Budget Input Data'!$D$134/'I_Inputs &amp; Assumptions'!$B$8,IF('I_Budget Input Data'!$E$134="Front-loaded",IF(3&lt;='I_Inputs &amp; Assumptions'!$B$8/2,'I_Budget Input Data'!$D$134*0.6/('I_Inputs &amp; Assumptions'!$B$8/2),'I_Budget Input Data'!$D$134*0.4/('I_Inputs &amp; Assumptions'!$B$8/2)),IF('I_Budget Input Data'!$E$134="Back-loaded",IF(3&lt;='I_Inputs &amp; Assumptions'!$B$8/2,'I_Budget Input Data'!$D$134*0.4/('I_Inputs &amp; Assumptions'!$B$8/2),'I_Budget Input Data'!$D$134*0.6/('I_Inputs &amp; Assumptions'!$B$8/2)),IF('I_Budget Input Data'!$E$134="Mid-weighted",IF(3&lt;='I_Inputs &amp; Assumptions'!$B$8/4,'I_Budget Input Data'!$D$134*0.2/('I_Inputs &amp; Assumptions'!$B$8/4),IF(3&lt;='I_Inputs &amp; Assumptions'!$B$8*0.75,'I_Budget Input Data'!$D$134*0.6/('I_Inputs &amp; Assumptions'!$B$8/2),'I_Budget Input Data'!$D$134*0.2/('I_Inputs &amp; Assumptions'!$B$8/4))),IF('I_Budget Input Data'!$E$134="At Completion",IF(3='I_Inputs &amp; Assumptions'!$B$8,'I_Budget Input Data'!$D$134,0),'I_Budget Input Data'!$D$134/'I_Inputs &amp; Assumptions'!$B$8)))))),0)</f>
        <v>4613.4461538461537</v>
      </c>
      <c r="F134" s="91">
        <f>IF(4&lt;='I_Inputs &amp; Assumptions'!$B$8,IF('I_Budget Input Data'!$E$134="Upfront",IF(4=1,'I_Budget Input Data'!$D$134,0),IF('I_Budget Input Data'!$E$134="Equal",'I_Budget Input Data'!$D$134/'I_Inputs &amp; Assumptions'!$B$8,IF('I_Budget Input Data'!$E$134="Front-loaded",IF(4&lt;='I_Inputs &amp; Assumptions'!$B$8/2,'I_Budget Input Data'!$D$134*0.6/('I_Inputs &amp; Assumptions'!$B$8/2),'I_Budget Input Data'!$D$134*0.4/('I_Inputs &amp; Assumptions'!$B$8/2)),IF('I_Budget Input Data'!$E$134="Back-loaded",IF(4&lt;='I_Inputs &amp; Assumptions'!$B$8/2,'I_Budget Input Data'!$D$134*0.4/('I_Inputs &amp; Assumptions'!$B$8/2),'I_Budget Input Data'!$D$134*0.6/('I_Inputs &amp; Assumptions'!$B$8/2)),IF('I_Budget Input Data'!$E$134="Mid-weighted",IF(4&lt;='I_Inputs &amp; Assumptions'!$B$8/4,'I_Budget Input Data'!$D$134*0.2/('I_Inputs &amp; Assumptions'!$B$8/4),IF(4&lt;='I_Inputs &amp; Assumptions'!$B$8*0.75,'I_Budget Input Data'!$D$134*0.6/('I_Inputs &amp; Assumptions'!$B$8/2),'I_Budget Input Data'!$D$134*0.2/('I_Inputs &amp; Assumptions'!$B$8/4))),IF('I_Budget Input Data'!$E$134="At Completion",IF(4='I_Inputs &amp; Assumptions'!$B$8,'I_Budget Input Data'!$D$134,0),'I_Budget Input Data'!$D$134/'I_Inputs &amp; Assumptions'!$B$8)))))),0)</f>
        <v>4613.4461538461537</v>
      </c>
      <c r="G134" s="91">
        <f>IF(5&lt;='I_Inputs &amp; Assumptions'!$B$8,IF('I_Budget Input Data'!$E$134="Upfront",IF(5=1,'I_Budget Input Data'!$D$134,0),IF('I_Budget Input Data'!$E$134="Equal",'I_Budget Input Data'!$D$134/'I_Inputs &amp; Assumptions'!$B$8,IF('I_Budget Input Data'!$E$134="Front-loaded",IF(5&lt;='I_Inputs &amp; Assumptions'!$B$8/2,'I_Budget Input Data'!$D$134*0.6/('I_Inputs &amp; Assumptions'!$B$8/2),'I_Budget Input Data'!$D$134*0.4/('I_Inputs &amp; Assumptions'!$B$8/2)),IF('I_Budget Input Data'!$E$134="Back-loaded",IF(5&lt;='I_Inputs &amp; Assumptions'!$B$8/2,'I_Budget Input Data'!$D$134*0.4/('I_Inputs &amp; Assumptions'!$B$8/2),'I_Budget Input Data'!$D$134*0.6/('I_Inputs &amp; Assumptions'!$B$8/2)),IF('I_Budget Input Data'!$E$134="Mid-weighted",IF(5&lt;='I_Inputs &amp; Assumptions'!$B$8/4,'I_Budget Input Data'!$D$134*0.2/('I_Inputs &amp; Assumptions'!$B$8/4),IF(5&lt;='I_Inputs &amp; Assumptions'!$B$8*0.75,'I_Budget Input Data'!$D$134*0.6/('I_Inputs &amp; Assumptions'!$B$8/2),'I_Budget Input Data'!$D$134*0.2/('I_Inputs &amp; Assumptions'!$B$8/4))),IF('I_Budget Input Data'!$E$134="At Completion",IF(5='I_Inputs &amp; Assumptions'!$B$8,'I_Budget Input Data'!$D$134,0),'I_Budget Input Data'!$D$134/'I_Inputs &amp; Assumptions'!$B$8)))))),0)</f>
        <v>4613.4461538461537</v>
      </c>
      <c r="H134" s="91">
        <f>IF(6&lt;='I_Inputs &amp; Assumptions'!$B$8,IF('I_Budget Input Data'!$E$134="Upfront",IF(6=1,'I_Budget Input Data'!$D$134,0),IF('I_Budget Input Data'!$E$134="Equal",'I_Budget Input Data'!$D$134/'I_Inputs &amp; Assumptions'!$B$8,IF('I_Budget Input Data'!$E$134="Front-loaded",IF(6&lt;='I_Inputs &amp; Assumptions'!$B$8/2,'I_Budget Input Data'!$D$134*0.6/('I_Inputs &amp; Assumptions'!$B$8/2),'I_Budget Input Data'!$D$134*0.4/('I_Inputs &amp; Assumptions'!$B$8/2)),IF('I_Budget Input Data'!$E$134="Back-loaded",IF(6&lt;='I_Inputs &amp; Assumptions'!$B$8/2,'I_Budget Input Data'!$D$134*0.4/('I_Inputs &amp; Assumptions'!$B$8/2),'I_Budget Input Data'!$D$134*0.6/('I_Inputs &amp; Assumptions'!$B$8/2)),IF('I_Budget Input Data'!$E$134="Mid-weighted",IF(6&lt;='I_Inputs &amp; Assumptions'!$B$8/4,'I_Budget Input Data'!$D$134*0.2/('I_Inputs &amp; Assumptions'!$B$8/4),IF(6&lt;='I_Inputs &amp; Assumptions'!$B$8*0.75,'I_Budget Input Data'!$D$134*0.6/('I_Inputs &amp; Assumptions'!$B$8/2),'I_Budget Input Data'!$D$134*0.2/('I_Inputs &amp; Assumptions'!$B$8/4))),IF('I_Budget Input Data'!$E$134="At Completion",IF(6='I_Inputs &amp; Assumptions'!$B$8,'I_Budget Input Data'!$D$134,0),'I_Budget Input Data'!$D$134/'I_Inputs &amp; Assumptions'!$B$8)))))),0)</f>
        <v>4613.4461538461537</v>
      </c>
      <c r="I134" s="91">
        <f>IF(7&lt;='I_Inputs &amp; Assumptions'!$B$8,IF('I_Budget Input Data'!$E$134="Upfront",IF(7=1,'I_Budget Input Data'!$D$134,0),IF('I_Budget Input Data'!$E$134="Equal",'I_Budget Input Data'!$D$134/'I_Inputs &amp; Assumptions'!$B$8,IF('I_Budget Input Data'!$E$134="Front-loaded",IF(7&lt;='I_Inputs &amp; Assumptions'!$B$8/2,'I_Budget Input Data'!$D$134*0.6/('I_Inputs &amp; Assumptions'!$B$8/2),'I_Budget Input Data'!$D$134*0.4/('I_Inputs &amp; Assumptions'!$B$8/2)),IF('I_Budget Input Data'!$E$134="Back-loaded",IF(7&lt;='I_Inputs &amp; Assumptions'!$B$8/2,'I_Budget Input Data'!$D$134*0.4/('I_Inputs &amp; Assumptions'!$B$8/2),'I_Budget Input Data'!$D$134*0.6/('I_Inputs &amp; Assumptions'!$B$8/2)),IF('I_Budget Input Data'!$E$134="Mid-weighted",IF(7&lt;='I_Inputs &amp; Assumptions'!$B$8/4,'I_Budget Input Data'!$D$134*0.2/('I_Inputs &amp; Assumptions'!$B$8/4),IF(7&lt;='I_Inputs &amp; Assumptions'!$B$8*0.75,'I_Budget Input Data'!$D$134*0.6/('I_Inputs &amp; Assumptions'!$B$8/2),'I_Budget Input Data'!$D$134*0.2/('I_Inputs &amp; Assumptions'!$B$8/4))),IF('I_Budget Input Data'!$E$134="At Completion",IF(7='I_Inputs &amp; Assumptions'!$B$8,'I_Budget Input Data'!$D$134,0),'I_Budget Input Data'!$D$134/'I_Inputs &amp; Assumptions'!$B$8)))))),0)</f>
        <v>3075.6307692307696</v>
      </c>
      <c r="J134" s="91">
        <f>IF(8&lt;='I_Inputs &amp; Assumptions'!$B$8,IF('I_Budget Input Data'!$E$134="Upfront",IF(8=1,'I_Budget Input Data'!$D$134,0),IF('I_Budget Input Data'!$E$134="Equal",'I_Budget Input Data'!$D$134/'I_Inputs &amp; Assumptions'!$B$8,IF('I_Budget Input Data'!$E$134="Front-loaded",IF(8&lt;='I_Inputs &amp; Assumptions'!$B$8/2,'I_Budget Input Data'!$D$134*0.6/('I_Inputs &amp; Assumptions'!$B$8/2),'I_Budget Input Data'!$D$134*0.4/('I_Inputs &amp; Assumptions'!$B$8/2)),IF('I_Budget Input Data'!$E$134="Back-loaded",IF(8&lt;='I_Inputs &amp; Assumptions'!$B$8/2,'I_Budget Input Data'!$D$134*0.4/('I_Inputs &amp; Assumptions'!$B$8/2),'I_Budget Input Data'!$D$134*0.6/('I_Inputs &amp; Assumptions'!$B$8/2)),IF('I_Budget Input Data'!$E$134="Mid-weighted",IF(8&lt;='I_Inputs &amp; Assumptions'!$B$8/4,'I_Budget Input Data'!$D$134*0.2/('I_Inputs &amp; Assumptions'!$B$8/4),IF(8&lt;='I_Inputs &amp; Assumptions'!$B$8*0.75,'I_Budget Input Data'!$D$134*0.6/('I_Inputs &amp; Assumptions'!$B$8/2),'I_Budget Input Data'!$D$134*0.2/('I_Inputs &amp; Assumptions'!$B$8/4))),IF('I_Budget Input Data'!$E$134="At Completion",IF(8='I_Inputs &amp; Assumptions'!$B$8,'I_Budget Input Data'!$D$134,0),'I_Budget Input Data'!$D$134/'I_Inputs &amp; Assumptions'!$B$8)))))),0)</f>
        <v>3075.6307692307696</v>
      </c>
      <c r="K134" s="91">
        <f>IF(9&lt;='I_Inputs &amp; Assumptions'!$B$8,IF('I_Budget Input Data'!$E$134="Upfront",IF(9=1,'I_Budget Input Data'!$D$134,0),IF('I_Budget Input Data'!$E$134="Equal",'I_Budget Input Data'!$D$134/'I_Inputs &amp; Assumptions'!$B$8,IF('I_Budget Input Data'!$E$134="Front-loaded",IF(9&lt;='I_Inputs &amp; Assumptions'!$B$8/2,'I_Budget Input Data'!$D$134*0.6/('I_Inputs &amp; Assumptions'!$B$8/2),'I_Budget Input Data'!$D$134*0.4/('I_Inputs &amp; Assumptions'!$B$8/2)),IF('I_Budget Input Data'!$E$134="Back-loaded",IF(9&lt;='I_Inputs &amp; Assumptions'!$B$8/2,'I_Budget Input Data'!$D$134*0.4/('I_Inputs &amp; Assumptions'!$B$8/2),'I_Budget Input Data'!$D$134*0.6/('I_Inputs &amp; Assumptions'!$B$8/2)),IF('I_Budget Input Data'!$E$134="Mid-weighted",IF(9&lt;='I_Inputs &amp; Assumptions'!$B$8/4,'I_Budget Input Data'!$D$134*0.2/('I_Inputs &amp; Assumptions'!$B$8/4),IF(9&lt;='I_Inputs &amp; Assumptions'!$B$8*0.75,'I_Budget Input Data'!$D$134*0.6/('I_Inputs &amp; Assumptions'!$B$8/2),'I_Budget Input Data'!$D$134*0.2/('I_Inputs &amp; Assumptions'!$B$8/4))),IF('I_Budget Input Data'!$E$134="At Completion",IF(9='I_Inputs &amp; Assumptions'!$B$8,'I_Budget Input Data'!$D$134,0),'I_Budget Input Data'!$D$134/'I_Inputs &amp; Assumptions'!$B$8)))))),0)</f>
        <v>3075.6307692307696</v>
      </c>
      <c r="L134" s="91">
        <f>IF(10&lt;='I_Inputs &amp; Assumptions'!$B$8,IF('I_Budget Input Data'!$E$134="Upfront",IF(10=1,'I_Budget Input Data'!$D$134,0),IF('I_Budget Input Data'!$E$134="Equal",'I_Budget Input Data'!$D$134/'I_Inputs &amp; Assumptions'!$B$8,IF('I_Budget Input Data'!$E$134="Front-loaded",IF(10&lt;='I_Inputs &amp; Assumptions'!$B$8/2,'I_Budget Input Data'!$D$134*0.6/('I_Inputs &amp; Assumptions'!$B$8/2),'I_Budget Input Data'!$D$134*0.4/('I_Inputs &amp; Assumptions'!$B$8/2)),IF('I_Budget Input Data'!$E$134="Back-loaded",IF(10&lt;='I_Inputs &amp; Assumptions'!$B$8/2,'I_Budget Input Data'!$D$134*0.4/('I_Inputs &amp; Assumptions'!$B$8/2),'I_Budget Input Data'!$D$134*0.6/('I_Inputs &amp; Assumptions'!$B$8/2)),IF('I_Budget Input Data'!$E$134="Mid-weighted",IF(10&lt;='I_Inputs &amp; Assumptions'!$B$8/4,'I_Budget Input Data'!$D$134*0.2/('I_Inputs &amp; Assumptions'!$B$8/4),IF(10&lt;='I_Inputs &amp; Assumptions'!$B$8*0.75,'I_Budget Input Data'!$D$134*0.6/('I_Inputs &amp; Assumptions'!$B$8/2),'I_Budget Input Data'!$D$134*0.2/('I_Inputs &amp; Assumptions'!$B$8/4))),IF('I_Budget Input Data'!$E$134="At Completion",IF(10='I_Inputs &amp; Assumptions'!$B$8,'I_Budget Input Data'!$D$134,0),'I_Budget Input Data'!$D$134/'I_Inputs &amp; Assumptions'!$B$8)))))),0)</f>
        <v>3075.6307692307696</v>
      </c>
      <c r="M134" s="91">
        <f>IF(11&lt;='I_Inputs &amp; Assumptions'!$B$8,IF('I_Budget Input Data'!$E$134="Upfront",IF(11=1,'I_Budget Input Data'!$D$134,0),IF('I_Budget Input Data'!$E$134="Equal",'I_Budget Input Data'!$D$134/'I_Inputs &amp; Assumptions'!$B$8,IF('I_Budget Input Data'!$E$134="Front-loaded",IF(11&lt;='I_Inputs &amp; Assumptions'!$B$8/2,'I_Budget Input Data'!$D$134*0.6/('I_Inputs &amp; Assumptions'!$B$8/2),'I_Budget Input Data'!$D$134*0.4/('I_Inputs &amp; Assumptions'!$B$8/2)),IF('I_Budget Input Data'!$E$134="Back-loaded",IF(11&lt;='I_Inputs &amp; Assumptions'!$B$8/2,'I_Budget Input Data'!$D$134*0.4/('I_Inputs &amp; Assumptions'!$B$8/2),'I_Budget Input Data'!$D$134*0.6/('I_Inputs &amp; Assumptions'!$B$8/2)),IF('I_Budget Input Data'!$E$134="Mid-weighted",IF(11&lt;='I_Inputs &amp; Assumptions'!$B$8/4,'I_Budget Input Data'!$D$134*0.2/('I_Inputs &amp; Assumptions'!$B$8/4),IF(11&lt;='I_Inputs &amp; Assumptions'!$B$8*0.75,'I_Budget Input Data'!$D$134*0.6/('I_Inputs &amp; Assumptions'!$B$8/2),'I_Budget Input Data'!$D$134*0.2/('I_Inputs &amp; Assumptions'!$B$8/4))),IF('I_Budget Input Data'!$E$134="At Completion",IF(11='I_Inputs &amp; Assumptions'!$B$8,'I_Budget Input Data'!$D$134,0),'I_Budget Input Data'!$D$134/'I_Inputs &amp; Assumptions'!$B$8)))))),0)</f>
        <v>3075.6307692307696</v>
      </c>
      <c r="N134" s="91">
        <f>IF(12&lt;='I_Inputs &amp; Assumptions'!$B$8,IF('I_Budget Input Data'!$E$134="Upfront",IF(12=1,'I_Budget Input Data'!$D$134,0),IF('I_Budget Input Data'!$E$134="Equal",'I_Budget Input Data'!$D$134/'I_Inputs &amp; Assumptions'!$B$8,IF('I_Budget Input Data'!$E$134="Front-loaded",IF(12&lt;='I_Inputs &amp; Assumptions'!$B$8/2,'I_Budget Input Data'!$D$134*0.6/('I_Inputs &amp; Assumptions'!$B$8/2),'I_Budget Input Data'!$D$134*0.4/('I_Inputs &amp; Assumptions'!$B$8/2)),IF('I_Budget Input Data'!$E$134="Back-loaded",IF(12&lt;='I_Inputs &amp; Assumptions'!$B$8/2,'I_Budget Input Data'!$D$134*0.4/('I_Inputs &amp; Assumptions'!$B$8/2),'I_Budget Input Data'!$D$134*0.6/('I_Inputs &amp; Assumptions'!$B$8/2)),IF('I_Budget Input Data'!$E$134="Mid-weighted",IF(12&lt;='I_Inputs &amp; Assumptions'!$B$8/4,'I_Budget Input Data'!$D$134*0.2/('I_Inputs &amp; Assumptions'!$B$8/4),IF(12&lt;='I_Inputs &amp; Assumptions'!$B$8*0.75,'I_Budget Input Data'!$D$134*0.6/('I_Inputs &amp; Assumptions'!$B$8/2),'I_Budget Input Data'!$D$134*0.2/('I_Inputs &amp; Assumptions'!$B$8/4))),IF('I_Budget Input Data'!$E$134="At Completion",IF(12='I_Inputs &amp; Assumptions'!$B$8,'I_Budget Input Data'!$D$134,0),'I_Budget Input Data'!$D$134/'I_Inputs &amp; Assumptions'!$B$8)))))),0)</f>
        <v>3075.6307692307696</v>
      </c>
      <c r="O134" s="91">
        <f>IF(13&lt;='I_Inputs &amp; Assumptions'!$B$8,IF('I_Budget Input Data'!$E$134="Upfront",IF(13=1,'I_Budget Input Data'!$D$134,0),IF('I_Budget Input Data'!$E$134="Equal",'I_Budget Input Data'!$D$134/'I_Inputs &amp; Assumptions'!$B$8,IF('I_Budget Input Data'!$E$134="Front-loaded",IF(13&lt;='I_Inputs &amp; Assumptions'!$B$8/2,'I_Budget Input Data'!$D$134*0.6/('I_Inputs &amp; Assumptions'!$B$8/2),'I_Budget Input Data'!$D$134*0.4/('I_Inputs &amp; Assumptions'!$B$8/2)),IF('I_Budget Input Data'!$E$134="Back-loaded",IF(13&lt;='I_Inputs &amp; Assumptions'!$B$8/2,'I_Budget Input Data'!$D$134*0.4/('I_Inputs &amp; Assumptions'!$B$8/2),'I_Budget Input Data'!$D$134*0.6/('I_Inputs &amp; Assumptions'!$B$8/2)),IF('I_Budget Input Data'!$E$134="Mid-weighted",IF(13&lt;='I_Inputs &amp; Assumptions'!$B$8/4,'I_Budget Input Data'!$D$134*0.2/('I_Inputs &amp; Assumptions'!$B$8/4),IF(13&lt;='I_Inputs &amp; Assumptions'!$B$8*0.75,'I_Budget Input Data'!$D$134*0.6/('I_Inputs &amp; Assumptions'!$B$8/2),'I_Budget Input Data'!$D$134*0.2/('I_Inputs &amp; Assumptions'!$B$8/4))),IF('I_Budget Input Data'!$E$134="At Completion",IF(13='I_Inputs &amp; Assumptions'!$B$8,'I_Budget Input Data'!$D$134,0),'I_Budget Input Data'!$D$134/'I_Inputs &amp; Assumptions'!$B$8)))))),0)</f>
        <v>3075.6307692307696</v>
      </c>
      <c r="P134" s="91">
        <f>IF(14&lt;='I_Inputs &amp; Assumptions'!$B$8,IF('I_Budget Input Data'!$E$134="Upfront",IF(14=1,'I_Budget Input Data'!$D$134,0),IF('I_Budget Input Data'!$E$134="Equal",'I_Budget Input Data'!$D$134/'I_Inputs &amp; Assumptions'!$B$8,IF('I_Budget Input Data'!$E$134="Front-loaded",IF(14&lt;='I_Inputs &amp; Assumptions'!$B$8/2,'I_Budget Input Data'!$D$134*0.6/('I_Inputs &amp; Assumptions'!$B$8/2),'I_Budget Input Data'!$D$134*0.4/('I_Inputs &amp; Assumptions'!$B$8/2)),IF('I_Budget Input Data'!$E$134="Back-loaded",IF(14&lt;='I_Inputs &amp; Assumptions'!$B$8/2,'I_Budget Input Data'!$D$134*0.4/('I_Inputs &amp; Assumptions'!$B$8/2),'I_Budget Input Data'!$D$134*0.6/('I_Inputs &amp; Assumptions'!$B$8/2)),IF('I_Budget Input Data'!$E$134="Mid-weighted",IF(14&lt;='I_Inputs &amp; Assumptions'!$B$8/4,'I_Budget Input Data'!$D$134*0.2/('I_Inputs &amp; Assumptions'!$B$8/4),IF(14&lt;='I_Inputs &amp; Assumptions'!$B$8*0.75,'I_Budget Input Data'!$D$134*0.6/('I_Inputs &amp; Assumptions'!$B$8/2),'I_Budget Input Data'!$D$134*0.2/('I_Inputs &amp; Assumptions'!$B$8/4))),IF('I_Budget Input Data'!$E$134="At Completion",IF(14='I_Inputs &amp; Assumptions'!$B$8,'I_Budget Input Data'!$D$134,0),'I_Budget Input Data'!$D$134/'I_Inputs &amp; Assumptions'!$B$8)))))),0)</f>
        <v>0</v>
      </c>
      <c r="Q134" s="91">
        <f>IF(15&lt;='I_Inputs &amp; Assumptions'!$B$8,IF('I_Budget Input Data'!$E$134="Upfront",IF(15=1,'I_Budget Input Data'!$D$134,0),IF('I_Budget Input Data'!$E$134="Equal",'I_Budget Input Data'!$D$134/'I_Inputs &amp; Assumptions'!$B$8,IF('I_Budget Input Data'!$E$134="Front-loaded",IF(15&lt;='I_Inputs &amp; Assumptions'!$B$8/2,'I_Budget Input Data'!$D$134*0.6/('I_Inputs &amp; Assumptions'!$B$8/2),'I_Budget Input Data'!$D$134*0.4/('I_Inputs &amp; Assumptions'!$B$8/2)),IF('I_Budget Input Data'!$E$134="Back-loaded",IF(15&lt;='I_Inputs &amp; Assumptions'!$B$8/2,'I_Budget Input Data'!$D$134*0.4/('I_Inputs &amp; Assumptions'!$B$8/2),'I_Budget Input Data'!$D$134*0.6/('I_Inputs &amp; Assumptions'!$B$8/2)),IF('I_Budget Input Data'!$E$134="Mid-weighted",IF(15&lt;='I_Inputs &amp; Assumptions'!$B$8/4,'I_Budget Input Data'!$D$134*0.2/('I_Inputs &amp; Assumptions'!$B$8/4),IF(15&lt;='I_Inputs &amp; Assumptions'!$B$8*0.75,'I_Budget Input Data'!$D$134*0.6/('I_Inputs &amp; Assumptions'!$B$8/2),'I_Budget Input Data'!$D$134*0.2/('I_Inputs &amp; Assumptions'!$B$8/4))),IF('I_Budget Input Data'!$E$134="At Completion",IF(15='I_Inputs &amp; Assumptions'!$B$8,'I_Budget Input Data'!$D$134,0),'I_Budget Input Data'!$D$134/'I_Inputs &amp; Assumptions'!$B$8)))))),0)</f>
        <v>0</v>
      </c>
      <c r="R134" s="91">
        <f>IF(16&lt;='I_Inputs &amp; Assumptions'!$B$8,IF('I_Budget Input Data'!$E$134="Upfront",IF(16=1,'I_Budget Input Data'!$D$134,0),IF('I_Budget Input Data'!$E$134="Equal",'I_Budget Input Data'!$D$134/'I_Inputs &amp; Assumptions'!$B$8,IF('I_Budget Input Data'!$E$134="Front-loaded",IF(16&lt;='I_Inputs &amp; Assumptions'!$B$8/2,'I_Budget Input Data'!$D$134*0.6/('I_Inputs &amp; Assumptions'!$B$8/2),'I_Budget Input Data'!$D$134*0.4/('I_Inputs &amp; Assumptions'!$B$8/2)),IF('I_Budget Input Data'!$E$134="Back-loaded",IF(16&lt;='I_Inputs &amp; Assumptions'!$B$8/2,'I_Budget Input Data'!$D$134*0.4/('I_Inputs &amp; Assumptions'!$B$8/2),'I_Budget Input Data'!$D$134*0.6/('I_Inputs &amp; Assumptions'!$B$8/2)),IF('I_Budget Input Data'!$E$134="Mid-weighted",IF(16&lt;='I_Inputs &amp; Assumptions'!$B$8/4,'I_Budget Input Data'!$D$134*0.2/('I_Inputs &amp; Assumptions'!$B$8/4),IF(16&lt;='I_Inputs &amp; Assumptions'!$B$8*0.75,'I_Budget Input Data'!$D$134*0.6/('I_Inputs &amp; Assumptions'!$B$8/2),'I_Budget Input Data'!$D$134*0.2/('I_Inputs &amp; Assumptions'!$B$8/4))),IF('I_Budget Input Data'!$E$134="At Completion",IF(16='I_Inputs &amp; Assumptions'!$B$8,'I_Budget Input Data'!$D$134,0),'I_Budget Input Data'!$D$134/'I_Inputs &amp; Assumptions'!$B$8)))))),0)</f>
        <v>0</v>
      </c>
      <c r="S134" s="91">
        <f>IF(17&lt;='I_Inputs &amp; Assumptions'!$B$8,IF('I_Budget Input Data'!$E$134="Upfront",IF(17=1,'I_Budget Input Data'!$D$134,0),IF('I_Budget Input Data'!$E$134="Equal",'I_Budget Input Data'!$D$134/'I_Inputs &amp; Assumptions'!$B$8,IF('I_Budget Input Data'!$E$134="Front-loaded",IF(17&lt;='I_Inputs &amp; Assumptions'!$B$8/2,'I_Budget Input Data'!$D$134*0.6/('I_Inputs &amp; Assumptions'!$B$8/2),'I_Budget Input Data'!$D$134*0.4/('I_Inputs &amp; Assumptions'!$B$8/2)),IF('I_Budget Input Data'!$E$134="Back-loaded",IF(17&lt;='I_Inputs &amp; Assumptions'!$B$8/2,'I_Budget Input Data'!$D$134*0.4/('I_Inputs &amp; Assumptions'!$B$8/2),'I_Budget Input Data'!$D$134*0.6/('I_Inputs &amp; Assumptions'!$B$8/2)),IF('I_Budget Input Data'!$E$134="Mid-weighted",IF(17&lt;='I_Inputs &amp; Assumptions'!$B$8/4,'I_Budget Input Data'!$D$134*0.2/('I_Inputs &amp; Assumptions'!$B$8/4),IF(17&lt;='I_Inputs &amp; Assumptions'!$B$8*0.75,'I_Budget Input Data'!$D$134*0.6/('I_Inputs &amp; Assumptions'!$B$8/2),'I_Budget Input Data'!$D$134*0.2/('I_Inputs &amp; Assumptions'!$B$8/4))),IF('I_Budget Input Data'!$E$134="At Completion",IF(17='I_Inputs &amp; Assumptions'!$B$8,'I_Budget Input Data'!$D$134,0),'I_Budget Input Data'!$D$134/'I_Inputs &amp; Assumptions'!$B$8)))))),0)</f>
        <v>0</v>
      </c>
      <c r="T134" s="91">
        <f>IF(18&lt;='I_Inputs &amp; Assumptions'!$B$8,IF('I_Budget Input Data'!$E$134="Upfront",IF(18=1,'I_Budget Input Data'!$D$134,0),IF('I_Budget Input Data'!$E$134="Equal",'I_Budget Input Data'!$D$134/'I_Inputs &amp; Assumptions'!$B$8,IF('I_Budget Input Data'!$E$134="Front-loaded",IF(18&lt;='I_Inputs &amp; Assumptions'!$B$8/2,'I_Budget Input Data'!$D$134*0.6/('I_Inputs &amp; Assumptions'!$B$8/2),'I_Budget Input Data'!$D$134*0.4/('I_Inputs &amp; Assumptions'!$B$8/2)),IF('I_Budget Input Data'!$E$134="Back-loaded",IF(18&lt;='I_Inputs &amp; Assumptions'!$B$8/2,'I_Budget Input Data'!$D$134*0.4/('I_Inputs &amp; Assumptions'!$B$8/2),'I_Budget Input Data'!$D$134*0.6/('I_Inputs &amp; Assumptions'!$B$8/2)),IF('I_Budget Input Data'!$E$134="Mid-weighted",IF(18&lt;='I_Inputs &amp; Assumptions'!$B$8/4,'I_Budget Input Data'!$D$134*0.2/('I_Inputs &amp; Assumptions'!$B$8/4),IF(18&lt;='I_Inputs &amp; Assumptions'!$B$8*0.75,'I_Budget Input Data'!$D$134*0.6/('I_Inputs &amp; Assumptions'!$B$8/2),'I_Budget Input Data'!$D$134*0.2/('I_Inputs &amp; Assumptions'!$B$8/4))),IF('I_Budget Input Data'!$E$134="At Completion",IF(18='I_Inputs &amp; Assumptions'!$B$8,'I_Budget Input Data'!$D$134,0),'I_Budget Input Data'!$D$134/'I_Inputs &amp; Assumptions'!$B$8)))))),0)</f>
        <v>0</v>
      </c>
      <c r="U134" s="91">
        <f>IF(19&lt;='I_Inputs &amp; Assumptions'!$B$8,IF('I_Budget Input Data'!$E$134="Upfront",IF(19=1,'I_Budget Input Data'!$D$134,0),IF('I_Budget Input Data'!$E$134="Equal",'I_Budget Input Data'!$D$134/'I_Inputs &amp; Assumptions'!$B$8,IF('I_Budget Input Data'!$E$134="Front-loaded",IF(19&lt;='I_Inputs &amp; Assumptions'!$B$8/2,'I_Budget Input Data'!$D$134*0.6/('I_Inputs &amp; Assumptions'!$B$8/2),'I_Budget Input Data'!$D$134*0.4/('I_Inputs &amp; Assumptions'!$B$8/2)),IF('I_Budget Input Data'!$E$134="Back-loaded",IF(19&lt;='I_Inputs &amp; Assumptions'!$B$8/2,'I_Budget Input Data'!$D$134*0.4/('I_Inputs &amp; Assumptions'!$B$8/2),'I_Budget Input Data'!$D$134*0.6/('I_Inputs &amp; Assumptions'!$B$8/2)),IF('I_Budget Input Data'!$E$134="Mid-weighted",IF(19&lt;='I_Inputs &amp; Assumptions'!$B$8/4,'I_Budget Input Data'!$D$134*0.2/('I_Inputs &amp; Assumptions'!$B$8/4),IF(19&lt;='I_Inputs &amp; Assumptions'!$B$8*0.75,'I_Budget Input Data'!$D$134*0.6/('I_Inputs &amp; Assumptions'!$B$8/2),'I_Budget Input Data'!$D$134*0.2/('I_Inputs &amp; Assumptions'!$B$8/4))),IF('I_Budget Input Data'!$E$134="At Completion",IF(19='I_Inputs &amp; Assumptions'!$B$8,'I_Budget Input Data'!$D$134,0),'I_Budget Input Data'!$D$134/'I_Inputs &amp; Assumptions'!$B$8)))))),0)</f>
        <v>0</v>
      </c>
      <c r="V134" s="91">
        <f>IF(20&lt;='I_Inputs &amp; Assumptions'!$B$8,IF('I_Budget Input Data'!$E$134="Upfront",IF(20=1,'I_Budget Input Data'!$D$134,0),IF('I_Budget Input Data'!$E$134="Equal",'I_Budget Input Data'!$D$134/'I_Inputs &amp; Assumptions'!$B$8,IF('I_Budget Input Data'!$E$134="Front-loaded",IF(20&lt;='I_Inputs &amp; Assumptions'!$B$8/2,'I_Budget Input Data'!$D$134*0.6/('I_Inputs &amp; Assumptions'!$B$8/2),'I_Budget Input Data'!$D$134*0.4/('I_Inputs &amp; Assumptions'!$B$8/2)),IF('I_Budget Input Data'!$E$134="Back-loaded",IF(20&lt;='I_Inputs &amp; Assumptions'!$B$8/2,'I_Budget Input Data'!$D$134*0.4/('I_Inputs &amp; Assumptions'!$B$8/2),'I_Budget Input Data'!$D$134*0.6/('I_Inputs &amp; Assumptions'!$B$8/2)),IF('I_Budget Input Data'!$E$134="Mid-weighted",IF(20&lt;='I_Inputs &amp; Assumptions'!$B$8/4,'I_Budget Input Data'!$D$134*0.2/('I_Inputs &amp; Assumptions'!$B$8/4),IF(20&lt;='I_Inputs &amp; Assumptions'!$B$8*0.75,'I_Budget Input Data'!$D$134*0.6/('I_Inputs &amp; Assumptions'!$B$8/2),'I_Budget Input Data'!$D$134*0.2/('I_Inputs &amp; Assumptions'!$B$8/4))),IF('I_Budget Input Data'!$E$134="At Completion",IF(20='I_Inputs &amp; Assumptions'!$B$8,'I_Budget Input Data'!$D$134,0),'I_Budget Input Data'!$D$134/'I_Inputs &amp; Assumptions'!$B$8)))))),0)</f>
        <v>0</v>
      </c>
      <c r="W134" s="91">
        <f>IF(21&lt;='I_Inputs &amp; Assumptions'!$B$8,IF('I_Budget Input Data'!$E$134="Upfront",IF(21=1,'I_Budget Input Data'!$D$134,0),IF('I_Budget Input Data'!$E$134="Equal",'I_Budget Input Data'!$D$134/'I_Inputs &amp; Assumptions'!$B$8,IF('I_Budget Input Data'!$E$134="Front-loaded",IF(21&lt;='I_Inputs &amp; Assumptions'!$B$8/2,'I_Budget Input Data'!$D$134*0.6/('I_Inputs &amp; Assumptions'!$B$8/2),'I_Budget Input Data'!$D$134*0.4/('I_Inputs &amp; Assumptions'!$B$8/2)),IF('I_Budget Input Data'!$E$134="Back-loaded",IF(21&lt;='I_Inputs &amp; Assumptions'!$B$8/2,'I_Budget Input Data'!$D$134*0.4/('I_Inputs &amp; Assumptions'!$B$8/2),'I_Budget Input Data'!$D$134*0.6/('I_Inputs &amp; Assumptions'!$B$8/2)),IF('I_Budget Input Data'!$E$134="Mid-weighted",IF(21&lt;='I_Inputs &amp; Assumptions'!$B$8/4,'I_Budget Input Data'!$D$134*0.2/('I_Inputs &amp; Assumptions'!$B$8/4),IF(21&lt;='I_Inputs &amp; Assumptions'!$B$8*0.75,'I_Budget Input Data'!$D$134*0.6/('I_Inputs &amp; Assumptions'!$B$8/2),'I_Budget Input Data'!$D$134*0.2/('I_Inputs &amp; Assumptions'!$B$8/4))),IF('I_Budget Input Data'!$E$134="At Completion",IF(21='I_Inputs &amp; Assumptions'!$B$8,'I_Budget Input Data'!$D$134,0),'I_Budget Input Data'!$D$134/'I_Inputs &amp; Assumptions'!$B$8)))))),0)</f>
        <v>0</v>
      </c>
      <c r="X134" s="91">
        <f>IF(22&lt;='I_Inputs &amp; Assumptions'!$B$8,IF('I_Budget Input Data'!$E$134="Upfront",IF(22=1,'I_Budget Input Data'!$D$134,0),IF('I_Budget Input Data'!$E$134="Equal",'I_Budget Input Data'!$D$134/'I_Inputs &amp; Assumptions'!$B$8,IF('I_Budget Input Data'!$E$134="Front-loaded",IF(22&lt;='I_Inputs &amp; Assumptions'!$B$8/2,'I_Budget Input Data'!$D$134*0.6/('I_Inputs &amp; Assumptions'!$B$8/2),'I_Budget Input Data'!$D$134*0.4/('I_Inputs &amp; Assumptions'!$B$8/2)),IF('I_Budget Input Data'!$E$134="Back-loaded",IF(22&lt;='I_Inputs &amp; Assumptions'!$B$8/2,'I_Budget Input Data'!$D$134*0.4/('I_Inputs &amp; Assumptions'!$B$8/2),'I_Budget Input Data'!$D$134*0.6/('I_Inputs &amp; Assumptions'!$B$8/2)),IF('I_Budget Input Data'!$E$134="Mid-weighted",IF(22&lt;='I_Inputs &amp; Assumptions'!$B$8/4,'I_Budget Input Data'!$D$134*0.2/('I_Inputs &amp; Assumptions'!$B$8/4),IF(22&lt;='I_Inputs &amp; Assumptions'!$B$8*0.75,'I_Budget Input Data'!$D$134*0.6/('I_Inputs &amp; Assumptions'!$B$8/2),'I_Budget Input Data'!$D$134*0.2/('I_Inputs &amp; Assumptions'!$B$8/4))),IF('I_Budget Input Data'!$E$134="At Completion",IF(22='I_Inputs &amp; Assumptions'!$B$8,'I_Budget Input Data'!$D$134,0),'I_Budget Input Data'!$D$134/'I_Inputs &amp; Assumptions'!$B$8)))))),0)</f>
        <v>0</v>
      </c>
      <c r="Y134" s="91">
        <f>IF(23&lt;='I_Inputs &amp; Assumptions'!$B$8,IF('I_Budget Input Data'!$E$134="Upfront",IF(23=1,'I_Budget Input Data'!$D$134,0),IF('I_Budget Input Data'!$E$134="Equal",'I_Budget Input Data'!$D$134/'I_Inputs &amp; Assumptions'!$B$8,IF('I_Budget Input Data'!$E$134="Front-loaded",IF(23&lt;='I_Inputs &amp; Assumptions'!$B$8/2,'I_Budget Input Data'!$D$134*0.6/('I_Inputs &amp; Assumptions'!$B$8/2),'I_Budget Input Data'!$D$134*0.4/('I_Inputs &amp; Assumptions'!$B$8/2)),IF('I_Budget Input Data'!$E$134="Back-loaded",IF(23&lt;='I_Inputs &amp; Assumptions'!$B$8/2,'I_Budget Input Data'!$D$134*0.4/('I_Inputs &amp; Assumptions'!$B$8/2),'I_Budget Input Data'!$D$134*0.6/('I_Inputs &amp; Assumptions'!$B$8/2)),IF('I_Budget Input Data'!$E$134="Mid-weighted",IF(23&lt;='I_Inputs &amp; Assumptions'!$B$8/4,'I_Budget Input Data'!$D$134*0.2/('I_Inputs &amp; Assumptions'!$B$8/4),IF(23&lt;='I_Inputs &amp; Assumptions'!$B$8*0.75,'I_Budget Input Data'!$D$134*0.6/('I_Inputs &amp; Assumptions'!$B$8/2),'I_Budget Input Data'!$D$134*0.2/('I_Inputs &amp; Assumptions'!$B$8/4))),IF('I_Budget Input Data'!$E$134="At Completion",IF(23='I_Inputs &amp; Assumptions'!$B$8,'I_Budget Input Data'!$D$134,0),'I_Budget Input Data'!$D$134/'I_Inputs &amp; Assumptions'!$B$8)))))),0)</f>
        <v>0</v>
      </c>
      <c r="Z134" s="91">
        <f>IF(24&lt;='I_Inputs &amp; Assumptions'!$B$8,IF('I_Budget Input Data'!$E$134="Upfront",IF(24=1,'I_Budget Input Data'!$D$134,0),IF('I_Budget Input Data'!$E$134="Equal",'I_Budget Input Data'!$D$134/'I_Inputs &amp; Assumptions'!$B$8,IF('I_Budget Input Data'!$E$134="Front-loaded",IF(24&lt;='I_Inputs &amp; Assumptions'!$B$8/2,'I_Budget Input Data'!$D$134*0.6/('I_Inputs &amp; Assumptions'!$B$8/2),'I_Budget Input Data'!$D$134*0.4/('I_Inputs &amp; Assumptions'!$B$8/2)),IF('I_Budget Input Data'!$E$134="Back-loaded",IF(24&lt;='I_Inputs &amp; Assumptions'!$B$8/2,'I_Budget Input Data'!$D$134*0.4/('I_Inputs &amp; Assumptions'!$B$8/2),'I_Budget Input Data'!$D$134*0.6/('I_Inputs &amp; Assumptions'!$B$8/2)),IF('I_Budget Input Data'!$E$134="Mid-weighted",IF(24&lt;='I_Inputs &amp; Assumptions'!$B$8/4,'I_Budget Input Data'!$D$134*0.2/('I_Inputs &amp; Assumptions'!$B$8/4),IF(24&lt;='I_Inputs &amp; Assumptions'!$B$8*0.75,'I_Budget Input Data'!$D$134*0.6/('I_Inputs &amp; Assumptions'!$B$8/2),'I_Budget Input Data'!$D$134*0.2/('I_Inputs &amp; Assumptions'!$B$8/4))),IF('I_Budget Input Data'!$E$134="At Completion",IF(24='I_Inputs &amp; Assumptions'!$B$8,'I_Budget Input Data'!$D$134,0),'I_Budget Input Data'!$D$134/'I_Inputs &amp; Assumptions'!$B$8)))))),0)</f>
        <v>0</v>
      </c>
      <c r="AA134" s="91">
        <f>IF(25&lt;='I_Inputs &amp; Assumptions'!$B$8,IF('I_Budget Input Data'!$E$134="Upfront",IF(25=1,'I_Budget Input Data'!$D$134,0),IF('I_Budget Input Data'!$E$134="Equal",'I_Budget Input Data'!$D$134/'I_Inputs &amp; Assumptions'!$B$8,IF('I_Budget Input Data'!$E$134="Front-loaded",IF(25&lt;='I_Inputs &amp; Assumptions'!$B$8/2,'I_Budget Input Data'!$D$134*0.6/('I_Inputs &amp; Assumptions'!$B$8/2),'I_Budget Input Data'!$D$134*0.4/('I_Inputs &amp; Assumptions'!$B$8/2)),IF('I_Budget Input Data'!$E$134="Back-loaded",IF(25&lt;='I_Inputs &amp; Assumptions'!$B$8/2,'I_Budget Input Data'!$D$134*0.4/('I_Inputs &amp; Assumptions'!$B$8/2),'I_Budget Input Data'!$D$134*0.6/('I_Inputs &amp; Assumptions'!$B$8/2)),IF('I_Budget Input Data'!$E$134="Mid-weighted",IF(25&lt;='I_Inputs &amp; Assumptions'!$B$8/4,'I_Budget Input Data'!$D$134*0.2/('I_Inputs &amp; Assumptions'!$B$8/4),IF(25&lt;='I_Inputs &amp; Assumptions'!$B$8*0.75,'I_Budget Input Data'!$D$134*0.6/('I_Inputs &amp; Assumptions'!$B$8/2),'I_Budget Input Data'!$D$134*0.2/('I_Inputs &amp; Assumptions'!$B$8/4))),IF('I_Budget Input Data'!$E$134="At Completion",IF(25='I_Inputs &amp; Assumptions'!$B$8,'I_Budget Input Data'!$D$134,0),'I_Budget Input Data'!$D$134/'I_Inputs &amp; Assumptions'!$B$8)))))),0)</f>
        <v>0</v>
      </c>
      <c r="AB134" s="91">
        <f>IF(26&lt;='I_Inputs &amp; Assumptions'!$B$8,IF('I_Budget Input Data'!$E$134="Upfront",IF(26=1,'I_Budget Input Data'!$D$134,0),IF('I_Budget Input Data'!$E$134="Equal",'I_Budget Input Data'!$D$134/'I_Inputs &amp; Assumptions'!$B$8,IF('I_Budget Input Data'!$E$134="Front-loaded",IF(26&lt;='I_Inputs &amp; Assumptions'!$B$8/2,'I_Budget Input Data'!$D$134*0.6/('I_Inputs &amp; Assumptions'!$B$8/2),'I_Budget Input Data'!$D$134*0.4/('I_Inputs &amp; Assumptions'!$B$8/2)),IF('I_Budget Input Data'!$E$134="Back-loaded",IF(26&lt;='I_Inputs &amp; Assumptions'!$B$8/2,'I_Budget Input Data'!$D$134*0.4/('I_Inputs &amp; Assumptions'!$B$8/2),'I_Budget Input Data'!$D$134*0.6/('I_Inputs &amp; Assumptions'!$B$8/2)),IF('I_Budget Input Data'!$E$134="Mid-weighted",IF(26&lt;='I_Inputs &amp; Assumptions'!$B$8/4,'I_Budget Input Data'!$D$134*0.2/('I_Inputs &amp; Assumptions'!$B$8/4),IF(26&lt;='I_Inputs &amp; Assumptions'!$B$8*0.75,'I_Budget Input Data'!$D$134*0.6/('I_Inputs &amp; Assumptions'!$B$8/2),'I_Budget Input Data'!$D$134*0.2/('I_Inputs &amp; Assumptions'!$B$8/4))),IF('I_Budget Input Data'!$E$134="At Completion",IF(26='I_Inputs &amp; Assumptions'!$B$8,'I_Budget Input Data'!$D$134,0),'I_Budget Input Data'!$D$134/'I_Inputs &amp; Assumptions'!$B$8)))))),0)</f>
        <v>0</v>
      </c>
      <c r="AC134" s="91">
        <f>IF(27&lt;='I_Inputs &amp; Assumptions'!$B$8,IF('I_Budget Input Data'!$E$134="Upfront",IF(27=1,'I_Budget Input Data'!$D$134,0),IF('I_Budget Input Data'!$E$134="Equal",'I_Budget Input Data'!$D$134/'I_Inputs &amp; Assumptions'!$B$8,IF('I_Budget Input Data'!$E$134="Front-loaded",IF(27&lt;='I_Inputs &amp; Assumptions'!$B$8/2,'I_Budget Input Data'!$D$134*0.6/('I_Inputs &amp; Assumptions'!$B$8/2),'I_Budget Input Data'!$D$134*0.4/('I_Inputs &amp; Assumptions'!$B$8/2)),IF('I_Budget Input Data'!$E$134="Back-loaded",IF(27&lt;='I_Inputs &amp; Assumptions'!$B$8/2,'I_Budget Input Data'!$D$134*0.4/('I_Inputs &amp; Assumptions'!$B$8/2),'I_Budget Input Data'!$D$134*0.6/('I_Inputs &amp; Assumptions'!$B$8/2)),IF('I_Budget Input Data'!$E$134="Mid-weighted",IF(27&lt;='I_Inputs &amp; Assumptions'!$B$8/4,'I_Budget Input Data'!$D$134*0.2/('I_Inputs &amp; Assumptions'!$B$8/4),IF(27&lt;='I_Inputs &amp; Assumptions'!$B$8*0.75,'I_Budget Input Data'!$D$134*0.6/('I_Inputs &amp; Assumptions'!$B$8/2),'I_Budget Input Data'!$D$134*0.2/('I_Inputs &amp; Assumptions'!$B$8/4))),IF('I_Budget Input Data'!$E$134="At Completion",IF(27='I_Inputs &amp; Assumptions'!$B$8,'I_Budget Input Data'!$D$134,0),'I_Budget Input Data'!$D$134/'I_Inputs &amp; Assumptions'!$B$8)))))),0)</f>
        <v>0</v>
      </c>
      <c r="AD134" s="91">
        <f>IF(28&lt;='I_Inputs &amp; Assumptions'!$B$8,IF('I_Budget Input Data'!$E$134="Upfront",IF(28=1,'I_Budget Input Data'!$D$134,0),IF('I_Budget Input Data'!$E$134="Equal",'I_Budget Input Data'!$D$134/'I_Inputs &amp; Assumptions'!$B$8,IF('I_Budget Input Data'!$E$134="Front-loaded",IF(28&lt;='I_Inputs &amp; Assumptions'!$B$8/2,'I_Budget Input Data'!$D$134*0.6/('I_Inputs &amp; Assumptions'!$B$8/2),'I_Budget Input Data'!$D$134*0.4/('I_Inputs &amp; Assumptions'!$B$8/2)),IF('I_Budget Input Data'!$E$134="Back-loaded",IF(28&lt;='I_Inputs &amp; Assumptions'!$B$8/2,'I_Budget Input Data'!$D$134*0.4/('I_Inputs &amp; Assumptions'!$B$8/2),'I_Budget Input Data'!$D$134*0.6/('I_Inputs &amp; Assumptions'!$B$8/2)),IF('I_Budget Input Data'!$E$134="Mid-weighted",IF(28&lt;='I_Inputs &amp; Assumptions'!$B$8/4,'I_Budget Input Data'!$D$134*0.2/('I_Inputs &amp; Assumptions'!$B$8/4),IF(28&lt;='I_Inputs &amp; Assumptions'!$B$8*0.75,'I_Budget Input Data'!$D$134*0.6/('I_Inputs &amp; Assumptions'!$B$8/2),'I_Budget Input Data'!$D$134*0.2/('I_Inputs &amp; Assumptions'!$B$8/4))),IF('I_Budget Input Data'!$E$134="At Completion",IF(28='I_Inputs &amp; Assumptions'!$B$8,'I_Budget Input Data'!$D$134,0),'I_Budget Input Data'!$D$134/'I_Inputs &amp; Assumptions'!$B$8)))))),0)</f>
        <v>0</v>
      </c>
      <c r="AE134" s="91">
        <f>IF(29&lt;='I_Inputs &amp; Assumptions'!$B$8,IF('I_Budget Input Data'!$E$134="Upfront",IF(29=1,'I_Budget Input Data'!$D$134,0),IF('I_Budget Input Data'!$E$134="Equal",'I_Budget Input Data'!$D$134/'I_Inputs &amp; Assumptions'!$B$8,IF('I_Budget Input Data'!$E$134="Front-loaded",IF(29&lt;='I_Inputs &amp; Assumptions'!$B$8/2,'I_Budget Input Data'!$D$134*0.6/('I_Inputs &amp; Assumptions'!$B$8/2),'I_Budget Input Data'!$D$134*0.4/('I_Inputs &amp; Assumptions'!$B$8/2)),IF('I_Budget Input Data'!$E$134="Back-loaded",IF(29&lt;='I_Inputs &amp; Assumptions'!$B$8/2,'I_Budget Input Data'!$D$134*0.4/('I_Inputs &amp; Assumptions'!$B$8/2),'I_Budget Input Data'!$D$134*0.6/('I_Inputs &amp; Assumptions'!$B$8/2)),IF('I_Budget Input Data'!$E$134="Mid-weighted",IF(29&lt;='I_Inputs &amp; Assumptions'!$B$8/4,'I_Budget Input Data'!$D$134*0.2/('I_Inputs &amp; Assumptions'!$B$8/4),IF(29&lt;='I_Inputs &amp; Assumptions'!$B$8*0.75,'I_Budget Input Data'!$D$134*0.6/('I_Inputs &amp; Assumptions'!$B$8/2),'I_Budget Input Data'!$D$134*0.2/('I_Inputs &amp; Assumptions'!$B$8/4))),IF('I_Budget Input Data'!$E$134="At Completion",IF(29='I_Inputs &amp; Assumptions'!$B$8,'I_Budget Input Data'!$D$134,0),'I_Budget Input Data'!$D$134/'I_Inputs &amp; Assumptions'!$B$8)))))),0)</f>
        <v>0</v>
      </c>
      <c r="AF134" s="91">
        <f>IF(30&lt;='I_Inputs &amp; Assumptions'!$B$8,IF('I_Budget Input Data'!$E$134="Upfront",IF(30=1,'I_Budget Input Data'!$D$134,0),IF('I_Budget Input Data'!$E$134="Equal",'I_Budget Input Data'!$D$134/'I_Inputs &amp; Assumptions'!$B$8,IF('I_Budget Input Data'!$E$134="Front-loaded",IF(30&lt;='I_Inputs &amp; Assumptions'!$B$8/2,'I_Budget Input Data'!$D$134*0.6/('I_Inputs &amp; Assumptions'!$B$8/2),'I_Budget Input Data'!$D$134*0.4/('I_Inputs &amp; Assumptions'!$B$8/2)),IF('I_Budget Input Data'!$E$134="Back-loaded",IF(30&lt;='I_Inputs &amp; Assumptions'!$B$8/2,'I_Budget Input Data'!$D$134*0.4/('I_Inputs &amp; Assumptions'!$B$8/2),'I_Budget Input Data'!$D$134*0.6/('I_Inputs &amp; Assumptions'!$B$8/2)),IF('I_Budget Input Data'!$E$134="Mid-weighted",IF(30&lt;='I_Inputs &amp; Assumptions'!$B$8/4,'I_Budget Input Data'!$D$134*0.2/('I_Inputs &amp; Assumptions'!$B$8/4),IF(30&lt;='I_Inputs &amp; Assumptions'!$B$8*0.75,'I_Budget Input Data'!$D$134*0.6/('I_Inputs &amp; Assumptions'!$B$8/2),'I_Budget Input Data'!$D$134*0.2/('I_Inputs &amp; Assumptions'!$B$8/4))),IF('I_Budget Input Data'!$E$134="At Completion",IF(30='I_Inputs &amp; Assumptions'!$B$8,'I_Budget Input Data'!$D$134,0),'I_Budget Input Data'!$D$134/'I_Inputs &amp; Assumptions'!$B$8)))))),0)</f>
        <v>0</v>
      </c>
      <c r="AG134" s="91">
        <f>IF(31&lt;='I_Inputs &amp; Assumptions'!$B$8,IF('I_Budget Input Data'!$E$134="Upfront",IF(31=1,'I_Budget Input Data'!$D$134,0),IF('I_Budget Input Data'!$E$134="Equal",'I_Budget Input Data'!$D$134/'I_Inputs &amp; Assumptions'!$B$8,IF('I_Budget Input Data'!$E$134="Front-loaded",IF(31&lt;='I_Inputs &amp; Assumptions'!$B$8/2,'I_Budget Input Data'!$D$134*0.6/('I_Inputs &amp; Assumptions'!$B$8/2),'I_Budget Input Data'!$D$134*0.4/('I_Inputs &amp; Assumptions'!$B$8/2)),IF('I_Budget Input Data'!$E$134="Back-loaded",IF(31&lt;='I_Inputs &amp; Assumptions'!$B$8/2,'I_Budget Input Data'!$D$134*0.4/('I_Inputs &amp; Assumptions'!$B$8/2),'I_Budget Input Data'!$D$134*0.6/('I_Inputs &amp; Assumptions'!$B$8/2)),IF('I_Budget Input Data'!$E$134="Mid-weighted",IF(31&lt;='I_Inputs &amp; Assumptions'!$B$8/4,'I_Budget Input Data'!$D$134*0.2/('I_Inputs &amp; Assumptions'!$B$8/4),IF(31&lt;='I_Inputs &amp; Assumptions'!$B$8*0.75,'I_Budget Input Data'!$D$134*0.6/('I_Inputs &amp; Assumptions'!$B$8/2),'I_Budget Input Data'!$D$134*0.2/('I_Inputs &amp; Assumptions'!$B$8/4))),IF('I_Budget Input Data'!$E$134="At Completion",IF(31='I_Inputs &amp; Assumptions'!$B$8,'I_Budget Input Data'!$D$134,0),'I_Budget Input Data'!$D$134/'I_Inputs &amp; Assumptions'!$B$8)))))),0)</f>
        <v>0</v>
      </c>
      <c r="AH134" s="91">
        <f>IF(32&lt;='I_Inputs &amp; Assumptions'!$B$8,IF('I_Budget Input Data'!$E$134="Upfront",IF(32=1,'I_Budget Input Data'!$D$134,0),IF('I_Budget Input Data'!$E$134="Equal",'I_Budget Input Data'!$D$134/'I_Inputs &amp; Assumptions'!$B$8,IF('I_Budget Input Data'!$E$134="Front-loaded",IF(32&lt;='I_Inputs &amp; Assumptions'!$B$8/2,'I_Budget Input Data'!$D$134*0.6/('I_Inputs &amp; Assumptions'!$B$8/2),'I_Budget Input Data'!$D$134*0.4/('I_Inputs &amp; Assumptions'!$B$8/2)),IF('I_Budget Input Data'!$E$134="Back-loaded",IF(32&lt;='I_Inputs &amp; Assumptions'!$B$8/2,'I_Budget Input Data'!$D$134*0.4/('I_Inputs &amp; Assumptions'!$B$8/2),'I_Budget Input Data'!$D$134*0.6/('I_Inputs &amp; Assumptions'!$B$8/2)),IF('I_Budget Input Data'!$E$134="Mid-weighted",IF(32&lt;='I_Inputs &amp; Assumptions'!$B$8/4,'I_Budget Input Data'!$D$134*0.2/('I_Inputs &amp; Assumptions'!$B$8/4),IF(32&lt;='I_Inputs &amp; Assumptions'!$B$8*0.75,'I_Budget Input Data'!$D$134*0.6/('I_Inputs &amp; Assumptions'!$B$8/2),'I_Budget Input Data'!$D$134*0.2/('I_Inputs &amp; Assumptions'!$B$8/4))),IF('I_Budget Input Data'!$E$134="At Completion",IF(32='I_Inputs &amp; Assumptions'!$B$8,'I_Budget Input Data'!$D$134,0),'I_Budget Input Data'!$D$134/'I_Inputs &amp; Assumptions'!$B$8)))))),0)</f>
        <v>0</v>
      </c>
      <c r="AI134" s="91">
        <f>IF(33&lt;='I_Inputs &amp; Assumptions'!$B$8,IF('I_Budget Input Data'!$E$134="Upfront",IF(33=1,'I_Budget Input Data'!$D$134,0),IF('I_Budget Input Data'!$E$134="Equal",'I_Budget Input Data'!$D$134/'I_Inputs &amp; Assumptions'!$B$8,IF('I_Budget Input Data'!$E$134="Front-loaded",IF(33&lt;='I_Inputs &amp; Assumptions'!$B$8/2,'I_Budget Input Data'!$D$134*0.6/('I_Inputs &amp; Assumptions'!$B$8/2),'I_Budget Input Data'!$D$134*0.4/('I_Inputs &amp; Assumptions'!$B$8/2)),IF('I_Budget Input Data'!$E$134="Back-loaded",IF(33&lt;='I_Inputs &amp; Assumptions'!$B$8/2,'I_Budget Input Data'!$D$134*0.4/('I_Inputs &amp; Assumptions'!$B$8/2),'I_Budget Input Data'!$D$134*0.6/('I_Inputs &amp; Assumptions'!$B$8/2)),IF('I_Budget Input Data'!$E$134="Mid-weighted",IF(33&lt;='I_Inputs &amp; Assumptions'!$B$8/4,'I_Budget Input Data'!$D$134*0.2/('I_Inputs &amp; Assumptions'!$B$8/4),IF(33&lt;='I_Inputs &amp; Assumptions'!$B$8*0.75,'I_Budget Input Data'!$D$134*0.6/('I_Inputs &amp; Assumptions'!$B$8/2),'I_Budget Input Data'!$D$134*0.2/('I_Inputs &amp; Assumptions'!$B$8/4))),IF('I_Budget Input Data'!$E$134="At Completion",IF(33='I_Inputs &amp; Assumptions'!$B$8,'I_Budget Input Data'!$D$134,0),'I_Budget Input Data'!$D$134/'I_Inputs &amp; Assumptions'!$B$8)))))),0)</f>
        <v>0</v>
      </c>
      <c r="AJ134" s="91">
        <f>IF(34&lt;='I_Inputs &amp; Assumptions'!$B$8,IF('I_Budget Input Data'!$E$134="Upfront",IF(34=1,'I_Budget Input Data'!$D$134,0),IF('I_Budget Input Data'!$E$134="Equal",'I_Budget Input Data'!$D$134/'I_Inputs &amp; Assumptions'!$B$8,IF('I_Budget Input Data'!$E$134="Front-loaded",IF(34&lt;='I_Inputs &amp; Assumptions'!$B$8/2,'I_Budget Input Data'!$D$134*0.6/('I_Inputs &amp; Assumptions'!$B$8/2),'I_Budget Input Data'!$D$134*0.4/('I_Inputs &amp; Assumptions'!$B$8/2)),IF('I_Budget Input Data'!$E$134="Back-loaded",IF(34&lt;='I_Inputs &amp; Assumptions'!$B$8/2,'I_Budget Input Data'!$D$134*0.4/('I_Inputs &amp; Assumptions'!$B$8/2),'I_Budget Input Data'!$D$134*0.6/('I_Inputs &amp; Assumptions'!$B$8/2)),IF('I_Budget Input Data'!$E$134="Mid-weighted",IF(34&lt;='I_Inputs &amp; Assumptions'!$B$8/4,'I_Budget Input Data'!$D$134*0.2/('I_Inputs &amp; Assumptions'!$B$8/4),IF(34&lt;='I_Inputs &amp; Assumptions'!$B$8*0.75,'I_Budget Input Data'!$D$134*0.6/('I_Inputs &amp; Assumptions'!$B$8/2),'I_Budget Input Data'!$D$134*0.2/('I_Inputs &amp; Assumptions'!$B$8/4))),IF('I_Budget Input Data'!$E$134="At Completion",IF(34='I_Inputs &amp; Assumptions'!$B$8,'I_Budget Input Data'!$D$134,0),'I_Budget Input Data'!$D$134/'I_Inputs &amp; Assumptions'!$B$8)))))),0)</f>
        <v>0</v>
      </c>
      <c r="AK134" s="91">
        <f>IF(35&lt;='I_Inputs &amp; Assumptions'!$B$8,IF('I_Budget Input Data'!$E$134="Upfront",IF(35=1,'I_Budget Input Data'!$D$134,0),IF('I_Budget Input Data'!$E$134="Equal",'I_Budget Input Data'!$D$134/'I_Inputs &amp; Assumptions'!$B$8,IF('I_Budget Input Data'!$E$134="Front-loaded",IF(35&lt;='I_Inputs &amp; Assumptions'!$B$8/2,'I_Budget Input Data'!$D$134*0.6/('I_Inputs &amp; Assumptions'!$B$8/2),'I_Budget Input Data'!$D$134*0.4/('I_Inputs &amp; Assumptions'!$B$8/2)),IF('I_Budget Input Data'!$E$134="Back-loaded",IF(35&lt;='I_Inputs &amp; Assumptions'!$B$8/2,'I_Budget Input Data'!$D$134*0.4/('I_Inputs &amp; Assumptions'!$B$8/2),'I_Budget Input Data'!$D$134*0.6/('I_Inputs &amp; Assumptions'!$B$8/2)),IF('I_Budget Input Data'!$E$134="Mid-weighted",IF(35&lt;='I_Inputs &amp; Assumptions'!$B$8/4,'I_Budget Input Data'!$D$134*0.2/('I_Inputs &amp; Assumptions'!$B$8/4),IF(35&lt;='I_Inputs &amp; Assumptions'!$B$8*0.75,'I_Budget Input Data'!$D$134*0.6/('I_Inputs &amp; Assumptions'!$B$8/2),'I_Budget Input Data'!$D$134*0.2/('I_Inputs &amp; Assumptions'!$B$8/4))),IF('I_Budget Input Data'!$E$134="At Completion",IF(35='I_Inputs &amp; Assumptions'!$B$8,'I_Budget Input Data'!$D$134,0),'I_Budget Input Data'!$D$134/'I_Inputs &amp; Assumptions'!$B$8)))))),0)</f>
        <v>0</v>
      </c>
      <c r="AL134" s="91">
        <f>IF(36&lt;='I_Inputs &amp; Assumptions'!$B$8,IF('I_Budget Input Data'!$E$134="Upfront",IF(36=1,'I_Budget Input Data'!$D$134,0),IF('I_Budget Input Data'!$E$134="Equal",'I_Budget Input Data'!$D$134/'I_Inputs &amp; Assumptions'!$B$8,IF('I_Budget Input Data'!$E$134="Front-loaded",IF(36&lt;='I_Inputs &amp; Assumptions'!$B$8/2,'I_Budget Input Data'!$D$134*0.6/('I_Inputs &amp; Assumptions'!$B$8/2),'I_Budget Input Data'!$D$134*0.4/('I_Inputs &amp; Assumptions'!$B$8/2)),IF('I_Budget Input Data'!$E$134="Back-loaded",IF(36&lt;='I_Inputs &amp; Assumptions'!$B$8/2,'I_Budget Input Data'!$D$134*0.4/('I_Inputs &amp; Assumptions'!$B$8/2),'I_Budget Input Data'!$D$134*0.6/('I_Inputs &amp; Assumptions'!$B$8/2)),IF('I_Budget Input Data'!$E$134="Mid-weighted",IF(36&lt;='I_Inputs &amp; Assumptions'!$B$8/4,'I_Budget Input Data'!$D$134*0.2/('I_Inputs &amp; Assumptions'!$B$8/4),IF(36&lt;='I_Inputs &amp; Assumptions'!$B$8*0.75,'I_Budget Input Data'!$D$134*0.6/('I_Inputs &amp; Assumptions'!$B$8/2),'I_Budget Input Data'!$D$134*0.2/('I_Inputs &amp; Assumptions'!$B$8/4))),IF('I_Budget Input Data'!$E$134="At Completion",IF(36='I_Inputs &amp; Assumptions'!$B$8,'I_Budget Input Data'!$D$134,0),'I_Budget Input Data'!$D$134/'I_Inputs &amp; Assumptions'!$B$8)))))),0)</f>
        <v>0</v>
      </c>
    </row>
    <row r="135" spans="1:38" ht="15" customHeight="1" x14ac:dyDescent="0.2">
      <c r="A135" t="s">
        <v>248</v>
      </c>
      <c r="B135" t="s">
        <v>250</v>
      </c>
      <c r="C135" s="91">
        <f>IF(1&lt;='I_Inputs &amp; Assumptions'!$B$8,IF('I_Budget Input Data'!$E$135="Upfront",IF(1=1,'I_Budget Input Data'!$D$135,0),IF('I_Budget Input Data'!$E$135="Equal",'I_Budget Input Data'!$D$135/'I_Inputs &amp; Assumptions'!$B$8,IF('I_Budget Input Data'!$E$135="Front-loaded",IF(1&lt;='I_Inputs &amp; Assumptions'!$B$8/2,'I_Budget Input Data'!$D$135*0.6/('I_Inputs &amp; Assumptions'!$B$8/2),'I_Budget Input Data'!$D$135*0.4/('I_Inputs &amp; Assumptions'!$B$8/2)),IF('I_Budget Input Data'!$E$135="Back-loaded",IF(1&lt;='I_Inputs &amp; Assumptions'!$B$8/2,'I_Budget Input Data'!$D$135*0.4/('I_Inputs &amp; Assumptions'!$B$8/2),'I_Budget Input Data'!$D$135*0.6/('I_Inputs &amp; Assumptions'!$B$8/2)),IF('I_Budget Input Data'!$E$135="Mid-weighted",IF(1&lt;='I_Inputs &amp; Assumptions'!$B$8/4,'I_Budget Input Data'!$D$135*0.2/('I_Inputs &amp; Assumptions'!$B$8/4),IF(1&lt;='I_Inputs &amp; Assumptions'!$B$8*0.75,'I_Budget Input Data'!$D$135*0.6/('I_Inputs &amp; Assumptions'!$B$8/2),'I_Budget Input Data'!$D$135*0.2/('I_Inputs &amp; Assumptions'!$B$8/4))),IF('I_Budget Input Data'!$E$135="At Completion",IF(1='I_Inputs &amp; Assumptions'!$B$8,'I_Budget Input Data'!$D$135,0),'I_Budget Input Data'!$D$135/'I_Inputs &amp; Assumptions'!$B$8)))))),0)</f>
        <v>622.15384615384619</v>
      </c>
      <c r="D135" s="91">
        <f>IF(2&lt;='I_Inputs &amp; Assumptions'!$B$8,IF('I_Budget Input Data'!$E$135="Upfront",IF(2=1,'I_Budget Input Data'!$D$135,0),IF('I_Budget Input Data'!$E$135="Equal",'I_Budget Input Data'!$D$135/'I_Inputs &amp; Assumptions'!$B$8,IF('I_Budget Input Data'!$E$135="Front-loaded",IF(2&lt;='I_Inputs &amp; Assumptions'!$B$8/2,'I_Budget Input Data'!$D$135*0.6/('I_Inputs &amp; Assumptions'!$B$8/2),'I_Budget Input Data'!$D$135*0.4/('I_Inputs &amp; Assumptions'!$B$8/2)),IF('I_Budget Input Data'!$E$135="Back-loaded",IF(2&lt;='I_Inputs &amp; Assumptions'!$B$8/2,'I_Budget Input Data'!$D$135*0.4/('I_Inputs &amp; Assumptions'!$B$8/2),'I_Budget Input Data'!$D$135*0.6/('I_Inputs &amp; Assumptions'!$B$8/2)),IF('I_Budget Input Data'!$E$135="Mid-weighted",IF(2&lt;='I_Inputs &amp; Assumptions'!$B$8/4,'I_Budget Input Data'!$D$135*0.2/('I_Inputs &amp; Assumptions'!$B$8/4),IF(2&lt;='I_Inputs &amp; Assumptions'!$B$8*0.75,'I_Budget Input Data'!$D$135*0.6/('I_Inputs &amp; Assumptions'!$B$8/2),'I_Budget Input Data'!$D$135*0.2/('I_Inputs &amp; Assumptions'!$B$8/4))),IF('I_Budget Input Data'!$E$135="At Completion",IF(2='I_Inputs &amp; Assumptions'!$B$8,'I_Budget Input Data'!$D$135,0),'I_Budget Input Data'!$D$135/'I_Inputs &amp; Assumptions'!$B$8)))))),0)</f>
        <v>622.15384615384619</v>
      </c>
      <c r="E135" s="91">
        <f>IF(3&lt;='I_Inputs &amp; Assumptions'!$B$8,IF('I_Budget Input Data'!$E$135="Upfront",IF(3=1,'I_Budget Input Data'!$D$135,0),IF('I_Budget Input Data'!$E$135="Equal",'I_Budget Input Data'!$D$135/'I_Inputs &amp; Assumptions'!$B$8,IF('I_Budget Input Data'!$E$135="Front-loaded",IF(3&lt;='I_Inputs &amp; Assumptions'!$B$8/2,'I_Budget Input Data'!$D$135*0.6/('I_Inputs &amp; Assumptions'!$B$8/2),'I_Budget Input Data'!$D$135*0.4/('I_Inputs &amp; Assumptions'!$B$8/2)),IF('I_Budget Input Data'!$E$135="Back-loaded",IF(3&lt;='I_Inputs &amp; Assumptions'!$B$8/2,'I_Budget Input Data'!$D$135*0.4/('I_Inputs &amp; Assumptions'!$B$8/2),'I_Budget Input Data'!$D$135*0.6/('I_Inputs &amp; Assumptions'!$B$8/2)),IF('I_Budget Input Data'!$E$135="Mid-weighted",IF(3&lt;='I_Inputs &amp; Assumptions'!$B$8/4,'I_Budget Input Data'!$D$135*0.2/('I_Inputs &amp; Assumptions'!$B$8/4),IF(3&lt;='I_Inputs &amp; Assumptions'!$B$8*0.75,'I_Budget Input Data'!$D$135*0.6/('I_Inputs &amp; Assumptions'!$B$8/2),'I_Budget Input Data'!$D$135*0.2/('I_Inputs &amp; Assumptions'!$B$8/4))),IF('I_Budget Input Data'!$E$135="At Completion",IF(3='I_Inputs &amp; Assumptions'!$B$8,'I_Budget Input Data'!$D$135,0),'I_Budget Input Data'!$D$135/'I_Inputs &amp; Assumptions'!$B$8)))))),0)</f>
        <v>622.15384615384619</v>
      </c>
      <c r="F135" s="91">
        <f>IF(4&lt;='I_Inputs &amp; Assumptions'!$B$8,IF('I_Budget Input Data'!$E$135="Upfront",IF(4=1,'I_Budget Input Data'!$D$135,0),IF('I_Budget Input Data'!$E$135="Equal",'I_Budget Input Data'!$D$135/'I_Inputs &amp; Assumptions'!$B$8,IF('I_Budget Input Data'!$E$135="Front-loaded",IF(4&lt;='I_Inputs &amp; Assumptions'!$B$8/2,'I_Budget Input Data'!$D$135*0.6/('I_Inputs &amp; Assumptions'!$B$8/2),'I_Budget Input Data'!$D$135*0.4/('I_Inputs &amp; Assumptions'!$B$8/2)),IF('I_Budget Input Data'!$E$135="Back-loaded",IF(4&lt;='I_Inputs &amp; Assumptions'!$B$8/2,'I_Budget Input Data'!$D$135*0.4/('I_Inputs &amp; Assumptions'!$B$8/2),'I_Budget Input Data'!$D$135*0.6/('I_Inputs &amp; Assumptions'!$B$8/2)),IF('I_Budget Input Data'!$E$135="Mid-weighted",IF(4&lt;='I_Inputs &amp; Assumptions'!$B$8/4,'I_Budget Input Data'!$D$135*0.2/('I_Inputs &amp; Assumptions'!$B$8/4),IF(4&lt;='I_Inputs &amp; Assumptions'!$B$8*0.75,'I_Budget Input Data'!$D$135*0.6/('I_Inputs &amp; Assumptions'!$B$8/2),'I_Budget Input Data'!$D$135*0.2/('I_Inputs &amp; Assumptions'!$B$8/4))),IF('I_Budget Input Data'!$E$135="At Completion",IF(4='I_Inputs &amp; Assumptions'!$B$8,'I_Budget Input Data'!$D$135,0),'I_Budget Input Data'!$D$135/'I_Inputs &amp; Assumptions'!$B$8)))))),0)</f>
        <v>622.15384615384619</v>
      </c>
      <c r="G135" s="91">
        <f>IF(5&lt;='I_Inputs &amp; Assumptions'!$B$8,IF('I_Budget Input Data'!$E$135="Upfront",IF(5=1,'I_Budget Input Data'!$D$135,0),IF('I_Budget Input Data'!$E$135="Equal",'I_Budget Input Data'!$D$135/'I_Inputs &amp; Assumptions'!$B$8,IF('I_Budget Input Data'!$E$135="Front-loaded",IF(5&lt;='I_Inputs &amp; Assumptions'!$B$8/2,'I_Budget Input Data'!$D$135*0.6/('I_Inputs &amp; Assumptions'!$B$8/2),'I_Budget Input Data'!$D$135*0.4/('I_Inputs &amp; Assumptions'!$B$8/2)),IF('I_Budget Input Data'!$E$135="Back-loaded",IF(5&lt;='I_Inputs &amp; Assumptions'!$B$8/2,'I_Budget Input Data'!$D$135*0.4/('I_Inputs &amp; Assumptions'!$B$8/2),'I_Budget Input Data'!$D$135*0.6/('I_Inputs &amp; Assumptions'!$B$8/2)),IF('I_Budget Input Data'!$E$135="Mid-weighted",IF(5&lt;='I_Inputs &amp; Assumptions'!$B$8/4,'I_Budget Input Data'!$D$135*0.2/('I_Inputs &amp; Assumptions'!$B$8/4),IF(5&lt;='I_Inputs &amp; Assumptions'!$B$8*0.75,'I_Budget Input Data'!$D$135*0.6/('I_Inputs &amp; Assumptions'!$B$8/2),'I_Budget Input Data'!$D$135*0.2/('I_Inputs &amp; Assumptions'!$B$8/4))),IF('I_Budget Input Data'!$E$135="At Completion",IF(5='I_Inputs &amp; Assumptions'!$B$8,'I_Budget Input Data'!$D$135,0),'I_Budget Input Data'!$D$135/'I_Inputs &amp; Assumptions'!$B$8)))))),0)</f>
        <v>622.15384615384619</v>
      </c>
      <c r="H135" s="91">
        <f>IF(6&lt;='I_Inputs &amp; Assumptions'!$B$8,IF('I_Budget Input Data'!$E$135="Upfront",IF(6=1,'I_Budget Input Data'!$D$135,0),IF('I_Budget Input Data'!$E$135="Equal",'I_Budget Input Data'!$D$135/'I_Inputs &amp; Assumptions'!$B$8,IF('I_Budget Input Data'!$E$135="Front-loaded",IF(6&lt;='I_Inputs &amp; Assumptions'!$B$8/2,'I_Budget Input Data'!$D$135*0.6/('I_Inputs &amp; Assumptions'!$B$8/2),'I_Budget Input Data'!$D$135*0.4/('I_Inputs &amp; Assumptions'!$B$8/2)),IF('I_Budget Input Data'!$E$135="Back-loaded",IF(6&lt;='I_Inputs &amp; Assumptions'!$B$8/2,'I_Budget Input Data'!$D$135*0.4/('I_Inputs &amp; Assumptions'!$B$8/2),'I_Budget Input Data'!$D$135*0.6/('I_Inputs &amp; Assumptions'!$B$8/2)),IF('I_Budget Input Data'!$E$135="Mid-weighted",IF(6&lt;='I_Inputs &amp; Assumptions'!$B$8/4,'I_Budget Input Data'!$D$135*0.2/('I_Inputs &amp; Assumptions'!$B$8/4),IF(6&lt;='I_Inputs &amp; Assumptions'!$B$8*0.75,'I_Budget Input Data'!$D$135*0.6/('I_Inputs &amp; Assumptions'!$B$8/2),'I_Budget Input Data'!$D$135*0.2/('I_Inputs &amp; Assumptions'!$B$8/4))),IF('I_Budget Input Data'!$E$135="At Completion",IF(6='I_Inputs &amp; Assumptions'!$B$8,'I_Budget Input Data'!$D$135,0),'I_Budget Input Data'!$D$135/'I_Inputs &amp; Assumptions'!$B$8)))))),0)</f>
        <v>622.15384615384619</v>
      </c>
      <c r="I135" s="91">
        <f>IF(7&lt;='I_Inputs &amp; Assumptions'!$B$8,IF('I_Budget Input Data'!$E$135="Upfront",IF(7=1,'I_Budget Input Data'!$D$135,0),IF('I_Budget Input Data'!$E$135="Equal",'I_Budget Input Data'!$D$135/'I_Inputs &amp; Assumptions'!$B$8,IF('I_Budget Input Data'!$E$135="Front-loaded",IF(7&lt;='I_Inputs &amp; Assumptions'!$B$8/2,'I_Budget Input Data'!$D$135*0.6/('I_Inputs &amp; Assumptions'!$B$8/2),'I_Budget Input Data'!$D$135*0.4/('I_Inputs &amp; Assumptions'!$B$8/2)),IF('I_Budget Input Data'!$E$135="Back-loaded",IF(7&lt;='I_Inputs &amp; Assumptions'!$B$8/2,'I_Budget Input Data'!$D$135*0.4/('I_Inputs &amp; Assumptions'!$B$8/2),'I_Budget Input Data'!$D$135*0.6/('I_Inputs &amp; Assumptions'!$B$8/2)),IF('I_Budget Input Data'!$E$135="Mid-weighted",IF(7&lt;='I_Inputs &amp; Assumptions'!$B$8/4,'I_Budget Input Data'!$D$135*0.2/('I_Inputs &amp; Assumptions'!$B$8/4),IF(7&lt;='I_Inputs &amp; Assumptions'!$B$8*0.75,'I_Budget Input Data'!$D$135*0.6/('I_Inputs &amp; Assumptions'!$B$8/2),'I_Budget Input Data'!$D$135*0.2/('I_Inputs &amp; Assumptions'!$B$8/4))),IF('I_Budget Input Data'!$E$135="At Completion",IF(7='I_Inputs &amp; Assumptions'!$B$8,'I_Budget Input Data'!$D$135,0),'I_Budget Input Data'!$D$135/'I_Inputs &amp; Assumptions'!$B$8)))))),0)</f>
        <v>414.76923076923077</v>
      </c>
      <c r="J135" s="91">
        <f>IF(8&lt;='I_Inputs &amp; Assumptions'!$B$8,IF('I_Budget Input Data'!$E$135="Upfront",IF(8=1,'I_Budget Input Data'!$D$135,0),IF('I_Budget Input Data'!$E$135="Equal",'I_Budget Input Data'!$D$135/'I_Inputs &amp; Assumptions'!$B$8,IF('I_Budget Input Data'!$E$135="Front-loaded",IF(8&lt;='I_Inputs &amp; Assumptions'!$B$8/2,'I_Budget Input Data'!$D$135*0.6/('I_Inputs &amp; Assumptions'!$B$8/2),'I_Budget Input Data'!$D$135*0.4/('I_Inputs &amp; Assumptions'!$B$8/2)),IF('I_Budget Input Data'!$E$135="Back-loaded",IF(8&lt;='I_Inputs &amp; Assumptions'!$B$8/2,'I_Budget Input Data'!$D$135*0.4/('I_Inputs &amp; Assumptions'!$B$8/2),'I_Budget Input Data'!$D$135*0.6/('I_Inputs &amp; Assumptions'!$B$8/2)),IF('I_Budget Input Data'!$E$135="Mid-weighted",IF(8&lt;='I_Inputs &amp; Assumptions'!$B$8/4,'I_Budget Input Data'!$D$135*0.2/('I_Inputs &amp; Assumptions'!$B$8/4),IF(8&lt;='I_Inputs &amp; Assumptions'!$B$8*0.75,'I_Budget Input Data'!$D$135*0.6/('I_Inputs &amp; Assumptions'!$B$8/2),'I_Budget Input Data'!$D$135*0.2/('I_Inputs &amp; Assumptions'!$B$8/4))),IF('I_Budget Input Data'!$E$135="At Completion",IF(8='I_Inputs &amp; Assumptions'!$B$8,'I_Budget Input Data'!$D$135,0),'I_Budget Input Data'!$D$135/'I_Inputs &amp; Assumptions'!$B$8)))))),0)</f>
        <v>414.76923076923077</v>
      </c>
      <c r="K135" s="91">
        <f>IF(9&lt;='I_Inputs &amp; Assumptions'!$B$8,IF('I_Budget Input Data'!$E$135="Upfront",IF(9=1,'I_Budget Input Data'!$D$135,0),IF('I_Budget Input Data'!$E$135="Equal",'I_Budget Input Data'!$D$135/'I_Inputs &amp; Assumptions'!$B$8,IF('I_Budget Input Data'!$E$135="Front-loaded",IF(9&lt;='I_Inputs &amp; Assumptions'!$B$8/2,'I_Budget Input Data'!$D$135*0.6/('I_Inputs &amp; Assumptions'!$B$8/2),'I_Budget Input Data'!$D$135*0.4/('I_Inputs &amp; Assumptions'!$B$8/2)),IF('I_Budget Input Data'!$E$135="Back-loaded",IF(9&lt;='I_Inputs &amp; Assumptions'!$B$8/2,'I_Budget Input Data'!$D$135*0.4/('I_Inputs &amp; Assumptions'!$B$8/2),'I_Budget Input Data'!$D$135*0.6/('I_Inputs &amp; Assumptions'!$B$8/2)),IF('I_Budget Input Data'!$E$135="Mid-weighted",IF(9&lt;='I_Inputs &amp; Assumptions'!$B$8/4,'I_Budget Input Data'!$D$135*0.2/('I_Inputs &amp; Assumptions'!$B$8/4),IF(9&lt;='I_Inputs &amp; Assumptions'!$B$8*0.75,'I_Budget Input Data'!$D$135*0.6/('I_Inputs &amp; Assumptions'!$B$8/2),'I_Budget Input Data'!$D$135*0.2/('I_Inputs &amp; Assumptions'!$B$8/4))),IF('I_Budget Input Data'!$E$135="At Completion",IF(9='I_Inputs &amp; Assumptions'!$B$8,'I_Budget Input Data'!$D$135,0),'I_Budget Input Data'!$D$135/'I_Inputs &amp; Assumptions'!$B$8)))))),0)</f>
        <v>414.76923076923077</v>
      </c>
      <c r="L135" s="91">
        <f>IF(10&lt;='I_Inputs &amp; Assumptions'!$B$8,IF('I_Budget Input Data'!$E$135="Upfront",IF(10=1,'I_Budget Input Data'!$D$135,0),IF('I_Budget Input Data'!$E$135="Equal",'I_Budget Input Data'!$D$135/'I_Inputs &amp; Assumptions'!$B$8,IF('I_Budget Input Data'!$E$135="Front-loaded",IF(10&lt;='I_Inputs &amp; Assumptions'!$B$8/2,'I_Budget Input Data'!$D$135*0.6/('I_Inputs &amp; Assumptions'!$B$8/2),'I_Budget Input Data'!$D$135*0.4/('I_Inputs &amp; Assumptions'!$B$8/2)),IF('I_Budget Input Data'!$E$135="Back-loaded",IF(10&lt;='I_Inputs &amp; Assumptions'!$B$8/2,'I_Budget Input Data'!$D$135*0.4/('I_Inputs &amp; Assumptions'!$B$8/2),'I_Budget Input Data'!$D$135*0.6/('I_Inputs &amp; Assumptions'!$B$8/2)),IF('I_Budget Input Data'!$E$135="Mid-weighted",IF(10&lt;='I_Inputs &amp; Assumptions'!$B$8/4,'I_Budget Input Data'!$D$135*0.2/('I_Inputs &amp; Assumptions'!$B$8/4),IF(10&lt;='I_Inputs &amp; Assumptions'!$B$8*0.75,'I_Budget Input Data'!$D$135*0.6/('I_Inputs &amp; Assumptions'!$B$8/2),'I_Budget Input Data'!$D$135*0.2/('I_Inputs &amp; Assumptions'!$B$8/4))),IF('I_Budget Input Data'!$E$135="At Completion",IF(10='I_Inputs &amp; Assumptions'!$B$8,'I_Budget Input Data'!$D$135,0),'I_Budget Input Data'!$D$135/'I_Inputs &amp; Assumptions'!$B$8)))))),0)</f>
        <v>414.76923076923077</v>
      </c>
      <c r="M135" s="91">
        <f>IF(11&lt;='I_Inputs &amp; Assumptions'!$B$8,IF('I_Budget Input Data'!$E$135="Upfront",IF(11=1,'I_Budget Input Data'!$D$135,0),IF('I_Budget Input Data'!$E$135="Equal",'I_Budget Input Data'!$D$135/'I_Inputs &amp; Assumptions'!$B$8,IF('I_Budget Input Data'!$E$135="Front-loaded",IF(11&lt;='I_Inputs &amp; Assumptions'!$B$8/2,'I_Budget Input Data'!$D$135*0.6/('I_Inputs &amp; Assumptions'!$B$8/2),'I_Budget Input Data'!$D$135*0.4/('I_Inputs &amp; Assumptions'!$B$8/2)),IF('I_Budget Input Data'!$E$135="Back-loaded",IF(11&lt;='I_Inputs &amp; Assumptions'!$B$8/2,'I_Budget Input Data'!$D$135*0.4/('I_Inputs &amp; Assumptions'!$B$8/2),'I_Budget Input Data'!$D$135*0.6/('I_Inputs &amp; Assumptions'!$B$8/2)),IF('I_Budget Input Data'!$E$135="Mid-weighted",IF(11&lt;='I_Inputs &amp; Assumptions'!$B$8/4,'I_Budget Input Data'!$D$135*0.2/('I_Inputs &amp; Assumptions'!$B$8/4),IF(11&lt;='I_Inputs &amp; Assumptions'!$B$8*0.75,'I_Budget Input Data'!$D$135*0.6/('I_Inputs &amp; Assumptions'!$B$8/2),'I_Budget Input Data'!$D$135*0.2/('I_Inputs &amp; Assumptions'!$B$8/4))),IF('I_Budget Input Data'!$E$135="At Completion",IF(11='I_Inputs &amp; Assumptions'!$B$8,'I_Budget Input Data'!$D$135,0),'I_Budget Input Data'!$D$135/'I_Inputs &amp; Assumptions'!$B$8)))))),0)</f>
        <v>414.76923076923077</v>
      </c>
      <c r="N135" s="91">
        <f>IF(12&lt;='I_Inputs &amp; Assumptions'!$B$8,IF('I_Budget Input Data'!$E$135="Upfront",IF(12=1,'I_Budget Input Data'!$D$135,0),IF('I_Budget Input Data'!$E$135="Equal",'I_Budget Input Data'!$D$135/'I_Inputs &amp; Assumptions'!$B$8,IF('I_Budget Input Data'!$E$135="Front-loaded",IF(12&lt;='I_Inputs &amp; Assumptions'!$B$8/2,'I_Budget Input Data'!$D$135*0.6/('I_Inputs &amp; Assumptions'!$B$8/2),'I_Budget Input Data'!$D$135*0.4/('I_Inputs &amp; Assumptions'!$B$8/2)),IF('I_Budget Input Data'!$E$135="Back-loaded",IF(12&lt;='I_Inputs &amp; Assumptions'!$B$8/2,'I_Budget Input Data'!$D$135*0.4/('I_Inputs &amp; Assumptions'!$B$8/2),'I_Budget Input Data'!$D$135*0.6/('I_Inputs &amp; Assumptions'!$B$8/2)),IF('I_Budget Input Data'!$E$135="Mid-weighted",IF(12&lt;='I_Inputs &amp; Assumptions'!$B$8/4,'I_Budget Input Data'!$D$135*0.2/('I_Inputs &amp; Assumptions'!$B$8/4),IF(12&lt;='I_Inputs &amp; Assumptions'!$B$8*0.75,'I_Budget Input Data'!$D$135*0.6/('I_Inputs &amp; Assumptions'!$B$8/2),'I_Budget Input Data'!$D$135*0.2/('I_Inputs &amp; Assumptions'!$B$8/4))),IF('I_Budget Input Data'!$E$135="At Completion",IF(12='I_Inputs &amp; Assumptions'!$B$8,'I_Budget Input Data'!$D$135,0),'I_Budget Input Data'!$D$135/'I_Inputs &amp; Assumptions'!$B$8)))))),0)</f>
        <v>414.76923076923077</v>
      </c>
      <c r="O135" s="91">
        <f>IF(13&lt;='I_Inputs &amp; Assumptions'!$B$8,IF('I_Budget Input Data'!$E$135="Upfront",IF(13=1,'I_Budget Input Data'!$D$135,0),IF('I_Budget Input Data'!$E$135="Equal",'I_Budget Input Data'!$D$135/'I_Inputs &amp; Assumptions'!$B$8,IF('I_Budget Input Data'!$E$135="Front-loaded",IF(13&lt;='I_Inputs &amp; Assumptions'!$B$8/2,'I_Budget Input Data'!$D$135*0.6/('I_Inputs &amp; Assumptions'!$B$8/2),'I_Budget Input Data'!$D$135*0.4/('I_Inputs &amp; Assumptions'!$B$8/2)),IF('I_Budget Input Data'!$E$135="Back-loaded",IF(13&lt;='I_Inputs &amp; Assumptions'!$B$8/2,'I_Budget Input Data'!$D$135*0.4/('I_Inputs &amp; Assumptions'!$B$8/2),'I_Budget Input Data'!$D$135*0.6/('I_Inputs &amp; Assumptions'!$B$8/2)),IF('I_Budget Input Data'!$E$135="Mid-weighted",IF(13&lt;='I_Inputs &amp; Assumptions'!$B$8/4,'I_Budget Input Data'!$D$135*0.2/('I_Inputs &amp; Assumptions'!$B$8/4),IF(13&lt;='I_Inputs &amp; Assumptions'!$B$8*0.75,'I_Budget Input Data'!$D$135*0.6/('I_Inputs &amp; Assumptions'!$B$8/2),'I_Budget Input Data'!$D$135*0.2/('I_Inputs &amp; Assumptions'!$B$8/4))),IF('I_Budget Input Data'!$E$135="At Completion",IF(13='I_Inputs &amp; Assumptions'!$B$8,'I_Budget Input Data'!$D$135,0),'I_Budget Input Data'!$D$135/'I_Inputs &amp; Assumptions'!$B$8)))))),0)</f>
        <v>414.76923076923077</v>
      </c>
      <c r="P135" s="91">
        <f>IF(14&lt;='I_Inputs &amp; Assumptions'!$B$8,IF('I_Budget Input Data'!$E$135="Upfront",IF(14=1,'I_Budget Input Data'!$D$135,0),IF('I_Budget Input Data'!$E$135="Equal",'I_Budget Input Data'!$D$135/'I_Inputs &amp; Assumptions'!$B$8,IF('I_Budget Input Data'!$E$135="Front-loaded",IF(14&lt;='I_Inputs &amp; Assumptions'!$B$8/2,'I_Budget Input Data'!$D$135*0.6/('I_Inputs &amp; Assumptions'!$B$8/2),'I_Budget Input Data'!$D$135*0.4/('I_Inputs &amp; Assumptions'!$B$8/2)),IF('I_Budget Input Data'!$E$135="Back-loaded",IF(14&lt;='I_Inputs &amp; Assumptions'!$B$8/2,'I_Budget Input Data'!$D$135*0.4/('I_Inputs &amp; Assumptions'!$B$8/2),'I_Budget Input Data'!$D$135*0.6/('I_Inputs &amp; Assumptions'!$B$8/2)),IF('I_Budget Input Data'!$E$135="Mid-weighted",IF(14&lt;='I_Inputs &amp; Assumptions'!$B$8/4,'I_Budget Input Data'!$D$135*0.2/('I_Inputs &amp; Assumptions'!$B$8/4),IF(14&lt;='I_Inputs &amp; Assumptions'!$B$8*0.75,'I_Budget Input Data'!$D$135*0.6/('I_Inputs &amp; Assumptions'!$B$8/2),'I_Budget Input Data'!$D$135*0.2/('I_Inputs &amp; Assumptions'!$B$8/4))),IF('I_Budget Input Data'!$E$135="At Completion",IF(14='I_Inputs &amp; Assumptions'!$B$8,'I_Budget Input Data'!$D$135,0),'I_Budget Input Data'!$D$135/'I_Inputs &amp; Assumptions'!$B$8)))))),0)</f>
        <v>0</v>
      </c>
      <c r="Q135" s="91">
        <f>IF(15&lt;='I_Inputs &amp; Assumptions'!$B$8,IF('I_Budget Input Data'!$E$135="Upfront",IF(15=1,'I_Budget Input Data'!$D$135,0),IF('I_Budget Input Data'!$E$135="Equal",'I_Budget Input Data'!$D$135/'I_Inputs &amp; Assumptions'!$B$8,IF('I_Budget Input Data'!$E$135="Front-loaded",IF(15&lt;='I_Inputs &amp; Assumptions'!$B$8/2,'I_Budget Input Data'!$D$135*0.6/('I_Inputs &amp; Assumptions'!$B$8/2),'I_Budget Input Data'!$D$135*0.4/('I_Inputs &amp; Assumptions'!$B$8/2)),IF('I_Budget Input Data'!$E$135="Back-loaded",IF(15&lt;='I_Inputs &amp; Assumptions'!$B$8/2,'I_Budget Input Data'!$D$135*0.4/('I_Inputs &amp; Assumptions'!$B$8/2),'I_Budget Input Data'!$D$135*0.6/('I_Inputs &amp; Assumptions'!$B$8/2)),IF('I_Budget Input Data'!$E$135="Mid-weighted",IF(15&lt;='I_Inputs &amp; Assumptions'!$B$8/4,'I_Budget Input Data'!$D$135*0.2/('I_Inputs &amp; Assumptions'!$B$8/4),IF(15&lt;='I_Inputs &amp; Assumptions'!$B$8*0.75,'I_Budget Input Data'!$D$135*0.6/('I_Inputs &amp; Assumptions'!$B$8/2),'I_Budget Input Data'!$D$135*0.2/('I_Inputs &amp; Assumptions'!$B$8/4))),IF('I_Budget Input Data'!$E$135="At Completion",IF(15='I_Inputs &amp; Assumptions'!$B$8,'I_Budget Input Data'!$D$135,0),'I_Budget Input Data'!$D$135/'I_Inputs &amp; Assumptions'!$B$8)))))),0)</f>
        <v>0</v>
      </c>
      <c r="R135" s="91">
        <f>IF(16&lt;='I_Inputs &amp; Assumptions'!$B$8,IF('I_Budget Input Data'!$E$135="Upfront",IF(16=1,'I_Budget Input Data'!$D$135,0),IF('I_Budget Input Data'!$E$135="Equal",'I_Budget Input Data'!$D$135/'I_Inputs &amp; Assumptions'!$B$8,IF('I_Budget Input Data'!$E$135="Front-loaded",IF(16&lt;='I_Inputs &amp; Assumptions'!$B$8/2,'I_Budget Input Data'!$D$135*0.6/('I_Inputs &amp; Assumptions'!$B$8/2),'I_Budget Input Data'!$D$135*0.4/('I_Inputs &amp; Assumptions'!$B$8/2)),IF('I_Budget Input Data'!$E$135="Back-loaded",IF(16&lt;='I_Inputs &amp; Assumptions'!$B$8/2,'I_Budget Input Data'!$D$135*0.4/('I_Inputs &amp; Assumptions'!$B$8/2),'I_Budget Input Data'!$D$135*0.6/('I_Inputs &amp; Assumptions'!$B$8/2)),IF('I_Budget Input Data'!$E$135="Mid-weighted",IF(16&lt;='I_Inputs &amp; Assumptions'!$B$8/4,'I_Budget Input Data'!$D$135*0.2/('I_Inputs &amp; Assumptions'!$B$8/4),IF(16&lt;='I_Inputs &amp; Assumptions'!$B$8*0.75,'I_Budget Input Data'!$D$135*0.6/('I_Inputs &amp; Assumptions'!$B$8/2),'I_Budget Input Data'!$D$135*0.2/('I_Inputs &amp; Assumptions'!$B$8/4))),IF('I_Budget Input Data'!$E$135="At Completion",IF(16='I_Inputs &amp; Assumptions'!$B$8,'I_Budget Input Data'!$D$135,0),'I_Budget Input Data'!$D$135/'I_Inputs &amp; Assumptions'!$B$8)))))),0)</f>
        <v>0</v>
      </c>
      <c r="S135" s="91">
        <f>IF(17&lt;='I_Inputs &amp; Assumptions'!$B$8,IF('I_Budget Input Data'!$E$135="Upfront",IF(17=1,'I_Budget Input Data'!$D$135,0),IF('I_Budget Input Data'!$E$135="Equal",'I_Budget Input Data'!$D$135/'I_Inputs &amp; Assumptions'!$B$8,IF('I_Budget Input Data'!$E$135="Front-loaded",IF(17&lt;='I_Inputs &amp; Assumptions'!$B$8/2,'I_Budget Input Data'!$D$135*0.6/('I_Inputs &amp; Assumptions'!$B$8/2),'I_Budget Input Data'!$D$135*0.4/('I_Inputs &amp; Assumptions'!$B$8/2)),IF('I_Budget Input Data'!$E$135="Back-loaded",IF(17&lt;='I_Inputs &amp; Assumptions'!$B$8/2,'I_Budget Input Data'!$D$135*0.4/('I_Inputs &amp; Assumptions'!$B$8/2),'I_Budget Input Data'!$D$135*0.6/('I_Inputs &amp; Assumptions'!$B$8/2)),IF('I_Budget Input Data'!$E$135="Mid-weighted",IF(17&lt;='I_Inputs &amp; Assumptions'!$B$8/4,'I_Budget Input Data'!$D$135*0.2/('I_Inputs &amp; Assumptions'!$B$8/4),IF(17&lt;='I_Inputs &amp; Assumptions'!$B$8*0.75,'I_Budget Input Data'!$D$135*0.6/('I_Inputs &amp; Assumptions'!$B$8/2),'I_Budget Input Data'!$D$135*0.2/('I_Inputs &amp; Assumptions'!$B$8/4))),IF('I_Budget Input Data'!$E$135="At Completion",IF(17='I_Inputs &amp; Assumptions'!$B$8,'I_Budget Input Data'!$D$135,0),'I_Budget Input Data'!$D$135/'I_Inputs &amp; Assumptions'!$B$8)))))),0)</f>
        <v>0</v>
      </c>
      <c r="T135" s="91">
        <f>IF(18&lt;='I_Inputs &amp; Assumptions'!$B$8,IF('I_Budget Input Data'!$E$135="Upfront",IF(18=1,'I_Budget Input Data'!$D$135,0),IF('I_Budget Input Data'!$E$135="Equal",'I_Budget Input Data'!$D$135/'I_Inputs &amp; Assumptions'!$B$8,IF('I_Budget Input Data'!$E$135="Front-loaded",IF(18&lt;='I_Inputs &amp; Assumptions'!$B$8/2,'I_Budget Input Data'!$D$135*0.6/('I_Inputs &amp; Assumptions'!$B$8/2),'I_Budget Input Data'!$D$135*0.4/('I_Inputs &amp; Assumptions'!$B$8/2)),IF('I_Budget Input Data'!$E$135="Back-loaded",IF(18&lt;='I_Inputs &amp; Assumptions'!$B$8/2,'I_Budget Input Data'!$D$135*0.4/('I_Inputs &amp; Assumptions'!$B$8/2),'I_Budget Input Data'!$D$135*0.6/('I_Inputs &amp; Assumptions'!$B$8/2)),IF('I_Budget Input Data'!$E$135="Mid-weighted",IF(18&lt;='I_Inputs &amp; Assumptions'!$B$8/4,'I_Budget Input Data'!$D$135*0.2/('I_Inputs &amp; Assumptions'!$B$8/4),IF(18&lt;='I_Inputs &amp; Assumptions'!$B$8*0.75,'I_Budget Input Data'!$D$135*0.6/('I_Inputs &amp; Assumptions'!$B$8/2),'I_Budget Input Data'!$D$135*0.2/('I_Inputs &amp; Assumptions'!$B$8/4))),IF('I_Budget Input Data'!$E$135="At Completion",IF(18='I_Inputs &amp; Assumptions'!$B$8,'I_Budget Input Data'!$D$135,0),'I_Budget Input Data'!$D$135/'I_Inputs &amp; Assumptions'!$B$8)))))),0)</f>
        <v>0</v>
      </c>
      <c r="U135" s="91">
        <f>IF(19&lt;='I_Inputs &amp; Assumptions'!$B$8,IF('I_Budget Input Data'!$E$135="Upfront",IF(19=1,'I_Budget Input Data'!$D$135,0),IF('I_Budget Input Data'!$E$135="Equal",'I_Budget Input Data'!$D$135/'I_Inputs &amp; Assumptions'!$B$8,IF('I_Budget Input Data'!$E$135="Front-loaded",IF(19&lt;='I_Inputs &amp; Assumptions'!$B$8/2,'I_Budget Input Data'!$D$135*0.6/('I_Inputs &amp; Assumptions'!$B$8/2),'I_Budget Input Data'!$D$135*0.4/('I_Inputs &amp; Assumptions'!$B$8/2)),IF('I_Budget Input Data'!$E$135="Back-loaded",IF(19&lt;='I_Inputs &amp; Assumptions'!$B$8/2,'I_Budget Input Data'!$D$135*0.4/('I_Inputs &amp; Assumptions'!$B$8/2),'I_Budget Input Data'!$D$135*0.6/('I_Inputs &amp; Assumptions'!$B$8/2)),IF('I_Budget Input Data'!$E$135="Mid-weighted",IF(19&lt;='I_Inputs &amp; Assumptions'!$B$8/4,'I_Budget Input Data'!$D$135*0.2/('I_Inputs &amp; Assumptions'!$B$8/4),IF(19&lt;='I_Inputs &amp; Assumptions'!$B$8*0.75,'I_Budget Input Data'!$D$135*0.6/('I_Inputs &amp; Assumptions'!$B$8/2),'I_Budget Input Data'!$D$135*0.2/('I_Inputs &amp; Assumptions'!$B$8/4))),IF('I_Budget Input Data'!$E$135="At Completion",IF(19='I_Inputs &amp; Assumptions'!$B$8,'I_Budget Input Data'!$D$135,0),'I_Budget Input Data'!$D$135/'I_Inputs &amp; Assumptions'!$B$8)))))),0)</f>
        <v>0</v>
      </c>
      <c r="V135" s="91">
        <f>IF(20&lt;='I_Inputs &amp; Assumptions'!$B$8,IF('I_Budget Input Data'!$E$135="Upfront",IF(20=1,'I_Budget Input Data'!$D$135,0),IF('I_Budget Input Data'!$E$135="Equal",'I_Budget Input Data'!$D$135/'I_Inputs &amp; Assumptions'!$B$8,IF('I_Budget Input Data'!$E$135="Front-loaded",IF(20&lt;='I_Inputs &amp; Assumptions'!$B$8/2,'I_Budget Input Data'!$D$135*0.6/('I_Inputs &amp; Assumptions'!$B$8/2),'I_Budget Input Data'!$D$135*0.4/('I_Inputs &amp; Assumptions'!$B$8/2)),IF('I_Budget Input Data'!$E$135="Back-loaded",IF(20&lt;='I_Inputs &amp; Assumptions'!$B$8/2,'I_Budget Input Data'!$D$135*0.4/('I_Inputs &amp; Assumptions'!$B$8/2),'I_Budget Input Data'!$D$135*0.6/('I_Inputs &amp; Assumptions'!$B$8/2)),IF('I_Budget Input Data'!$E$135="Mid-weighted",IF(20&lt;='I_Inputs &amp; Assumptions'!$B$8/4,'I_Budget Input Data'!$D$135*0.2/('I_Inputs &amp; Assumptions'!$B$8/4),IF(20&lt;='I_Inputs &amp; Assumptions'!$B$8*0.75,'I_Budget Input Data'!$D$135*0.6/('I_Inputs &amp; Assumptions'!$B$8/2),'I_Budget Input Data'!$D$135*0.2/('I_Inputs &amp; Assumptions'!$B$8/4))),IF('I_Budget Input Data'!$E$135="At Completion",IF(20='I_Inputs &amp; Assumptions'!$B$8,'I_Budget Input Data'!$D$135,0),'I_Budget Input Data'!$D$135/'I_Inputs &amp; Assumptions'!$B$8)))))),0)</f>
        <v>0</v>
      </c>
      <c r="W135" s="91">
        <f>IF(21&lt;='I_Inputs &amp; Assumptions'!$B$8,IF('I_Budget Input Data'!$E$135="Upfront",IF(21=1,'I_Budget Input Data'!$D$135,0),IF('I_Budget Input Data'!$E$135="Equal",'I_Budget Input Data'!$D$135/'I_Inputs &amp; Assumptions'!$B$8,IF('I_Budget Input Data'!$E$135="Front-loaded",IF(21&lt;='I_Inputs &amp; Assumptions'!$B$8/2,'I_Budget Input Data'!$D$135*0.6/('I_Inputs &amp; Assumptions'!$B$8/2),'I_Budget Input Data'!$D$135*0.4/('I_Inputs &amp; Assumptions'!$B$8/2)),IF('I_Budget Input Data'!$E$135="Back-loaded",IF(21&lt;='I_Inputs &amp; Assumptions'!$B$8/2,'I_Budget Input Data'!$D$135*0.4/('I_Inputs &amp; Assumptions'!$B$8/2),'I_Budget Input Data'!$D$135*0.6/('I_Inputs &amp; Assumptions'!$B$8/2)),IF('I_Budget Input Data'!$E$135="Mid-weighted",IF(21&lt;='I_Inputs &amp; Assumptions'!$B$8/4,'I_Budget Input Data'!$D$135*0.2/('I_Inputs &amp; Assumptions'!$B$8/4),IF(21&lt;='I_Inputs &amp; Assumptions'!$B$8*0.75,'I_Budget Input Data'!$D$135*0.6/('I_Inputs &amp; Assumptions'!$B$8/2),'I_Budget Input Data'!$D$135*0.2/('I_Inputs &amp; Assumptions'!$B$8/4))),IF('I_Budget Input Data'!$E$135="At Completion",IF(21='I_Inputs &amp; Assumptions'!$B$8,'I_Budget Input Data'!$D$135,0),'I_Budget Input Data'!$D$135/'I_Inputs &amp; Assumptions'!$B$8)))))),0)</f>
        <v>0</v>
      </c>
      <c r="X135" s="91">
        <f>IF(22&lt;='I_Inputs &amp; Assumptions'!$B$8,IF('I_Budget Input Data'!$E$135="Upfront",IF(22=1,'I_Budget Input Data'!$D$135,0),IF('I_Budget Input Data'!$E$135="Equal",'I_Budget Input Data'!$D$135/'I_Inputs &amp; Assumptions'!$B$8,IF('I_Budget Input Data'!$E$135="Front-loaded",IF(22&lt;='I_Inputs &amp; Assumptions'!$B$8/2,'I_Budget Input Data'!$D$135*0.6/('I_Inputs &amp; Assumptions'!$B$8/2),'I_Budget Input Data'!$D$135*0.4/('I_Inputs &amp; Assumptions'!$B$8/2)),IF('I_Budget Input Data'!$E$135="Back-loaded",IF(22&lt;='I_Inputs &amp; Assumptions'!$B$8/2,'I_Budget Input Data'!$D$135*0.4/('I_Inputs &amp; Assumptions'!$B$8/2),'I_Budget Input Data'!$D$135*0.6/('I_Inputs &amp; Assumptions'!$B$8/2)),IF('I_Budget Input Data'!$E$135="Mid-weighted",IF(22&lt;='I_Inputs &amp; Assumptions'!$B$8/4,'I_Budget Input Data'!$D$135*0.2/('I_Inputs &amp; Assumptions'!$B$8/4),IF(22&lt;='I_Inputs &amp; Assumptions'!$B$8*0.75,'I_Budget Input Data'!$D$135*0.6/('I_Inputs &amp; Assumptions'!$B$8/2),'I_Budget Input Data'!$D$135*0.2/('I_Inputs &amp; Assumptions'!$B$8/4))),IF('I_Budget Input Data'!$E$135="At Completion",IF(22='I_Inputs &amp; Assumptions'!$B$8,'I_Budget Input Data'!$D$135,0),'I_Budget Input Data'!$D$135/'I_Inputs &amp; Assumptions'!$B$8)))))),0)</f>
        <v>0</v>
      </c>
      <c r="Y135" s="91">
        <f>IF(23&lt;='I_Inputs &amp; Assumptions'!$B$8,IF('I_Budget Input Data'!$E$135="Upfront",IF(23=1,'I_Budget Input Data'!$D$135,0),IF('I_Budget Input Data'!$E$135="Equal",'I_Budget Input Data'!$D$135/'I_Inputs &amp; Assumptions'!$B$8,IF('I_Budget Input Data'!$E$135="Front-loaded",IF(23&lt;='I_Inputs &amp; Assumptions'!$B$8/2,'I_Budget Input Data'!$D$135*0.6/('I_Inputs &amp; Assumptions'!$B$8/2),'I_Budget Input Data'!$D$135*0.4/('I_Inputs &amp; Assumptions'!$B$8/2)),IF('I_Budget Input Data'!$E$135="Back-loaded",IF(23&lt;='I_Inputs &amp; Assumptions'!$B$8/2,'I_Budget Input Data'!$D$135*0.4/('I_Inputs &amp; Assumptions'!$B$8/2),'I_Budget Input Data'!$D$135*0.6/('I_Inputs &amp; Assumptions'!$B$8/2)),IF('I_Budget Input Data'!$E$135="Mid-weighted",IF(23&lt;='I_Inputs &amp; Assumptions'!$B$8/4,'I_Budget Input Data'!$D$135*0.2/('I_Inputs &amp; Assumptions'!$B$8/4),IF(23&lt;='I_Inputs &amp; Assumptions'!$B$8*0.75,'I_Budget Input Data'!$D$135*0.6/('I_Inputs &amp; Assumptions'!$B$8/2),'I_Budget Input Data'!$D$135*0.2/('I_Inputs &amp; Assumptions'!$B$8/4))),IF('I_Budget Input Data'!$E$135="At Completion",IF(23='I_Inputs &amp; Assumptions'!$B$8,'I_Budget Input Data'!$D$135,0),'I_Budget Input Data'!$D$135/'I_Inputs &amp; Assumptions'!$B$8)))))),0)</f>
        <v>0</v>
      </c>
      <c r="Z135" s="91">
        <f>IF(24&lt;='I_Inputs &amp; Assumptions'!$B$8,IF('I_Budget Input Data'!$E$135="Upfront",IF(24=1,'I_Budget Input Data'!$D$135,0),IF('I_Budget Input Data'!$E$135="Equal",'I_Budget Input Data'!$D$135/'I_Inputs &amp; Assumptions'!$B$8,IF('I_Budget Input Data'!$E$135="Front-loaded",IF(24&lt;='I_Inputs &amp; Assumptions'!$B$8/2,'I_Budget Input Data'!$D$135*0.6/('I_Inputs &amp; Assumptions'!$B$8/2),'I_Budget Input Data'!$D$135*0.4/('I_Inputs &amp; Assumptions'!$B$8/2)),IF('I_Budget Input Data'!$E$135="Back-loaded",IF(24&lt;='I_Inputs &amp; Assumptions'!$B$8/2,'I_Budget Input Data'!$D$135*0.4/('I_Inputs &amp; Assumptions'!$B$8/2),'I_Budget Input Data'!$D$135*0.6/('I_Inputs &amp; Assumptions'!$B$8/2)),IF('I_Budget Input Data'!$E$135="Mid-weighted",IF(24&lt;='I_Inputs &amp; Assumptions'!$B$8/4,'I_Budget Input Data'!$D$135*0.2/('I_Inputs &amp; Assumptions'!$B$8/4),IF(24&lt;='I_Inputs &amp; Assumptions'!$B$8*0.75,'I_Budget Input Data'!$D$135*0.6/('I_Inputs &amp; Assumptions'!$B$8/2),'I_Budget Input Data'!$D$135*0.2/('I_Inputs &amp; Assumptions'!$B$8/4))),IF('I_Budget Input Data'!$E$135="At Completion",IF(24='I_Inputs &amp; Assumptions'!$B$8,'I_Budget Input Data'!$D$135,0),'I_Budget Input Data'!$D$135/'I_Inputs &amp; Assumptions'!$B$8)))))),0)</f>
        <v>0</v>
      </c>
      <c r="AA135" s="91">
        <f>IF(25&lt;='I_Inputs &amp; Assumptions'!$B$8,IF('I_Budget Input Data'!$E$135="Upfront",IF(25=1,'I_Budget Input Data'!$D$135,0),IF('I_Budget Input Data'!$E$135="Equal",'I_Budget Input Data'!$D$135/'I_Inputs &amp; Assumptions'!$B$8,IF('I_Budget Input Data'!$E$135="Front-loaded",IF(25&lt;='I_Inputs &amp; Assumptions'!$B$8/2,'I_Budget Input Data'!$D$135*0.6/('I_Inputs &amp; Assumptions'!$B$8/2),'I_Budget Input Data'!$D$135*0.4/('I_Inputs &amp; Assumptions'!$B$8/2)),IF('I_Budget Input Data'!$E$135="Back-loaded",IF(25&lt;='I_Inputs &amp; Assumptions'!$B$8/2,'I_Budget Input Data'!$D$135*0.4/('I_Inputs &amp; Assumptions'!$B$8/2),'I_Budget Input Data'!$D$135*0.6/('I_Inputs &amp; Assumptions'!$B$8/2)),IF('I_Budget Input Data'!$E$135="Mid-weighted",IF(25&lt;='I_Inputs &amp; Assumptions'!$B$8/4,'I_Budget Input Data'!$D$135*0.2/('I_Inputs &amp; Assumptions'!$B$8/4),IF(25&lt;='I_Inputs &amp; Assumptions'!$B$8*0.75,'I_Budget Input Data'!$D$135*0.6/('I_Inputs &amp; Assumptions'!$B$8/2),'I_Budget Input Data'!$D$135*0.2/('I_Inputs &amp; Assumptions'!$B$8/4))),IF('I_Budget Input Data'!$E$135="At Completion",IF(25='I_Inputs &amp; Assumptions'!$B$8,'I_Budget Input Data'!$D$135,0),'I_Budget Input Data'!$D$135/'I_Inputs &amp; Assumptions'!$B$8)))))),0)</f>
        <v>0</v>
      </c>
      <c r="AB135" s="91">
        <f>IF(26&lt;='I_Inputs &amp; Assumptions'!$B$8,IF('I_Budget Input Data'!$E$135="Upfront",IF(26=1,'I_Budget Input Data'!$D$135,0),IF('I_Budget Input Data'!$E$135="Equal",'I_Budget Input Data'!$D$135/'I_Inputs &amp; Assumptions'!$B$8,IF('I_Budget Input Data'!$E$135="Front-loaded",IF(26&lt;='I_Inputs &amp; Assumptions'!$B$8/2,'I_Budget Input Data'!$D$135*0.6/('I_Inputs &amp; Assumptions'!$B$8/2),'I_Budget Input Data'!$D$135*0.4/('I_Inputs &amp; Assumptions'!$B$8/2)),IF('I_Budget Input Data'!$E$135="Back-loaded",IF(26&lt;='I_Inputs &amp; Assumptions'!$B$8/2,'I_Budget Input Data'!$D$135*0.4/('I_Inputs &amp; Assumptions'!$B$8/2),'I_Budget Input Data'!$D$135*0.6/('I_Inputs &amp; Assumptions'!$B$8/2)),IF('I_Budget Input Data'!$E$135="Mid-weighted",IF(26&lt;='I_Inputs &amp; Assumptions'!$B$8/4,'I_Budget Input Data'!$D$135*0.2/('I_Inputs &amp; Assumptions'!$B$8/4),IF(26&lt;='I_Inputs &amp; Assumptions'!$B$8*0.75,'I_Budget Input Data'!$D$135*0.6/('I_Inputs &amp; Assumptions'!$B$8/2),'I_Budget Input Data'!$D$135*0.2/('I_Inputs &amp; Assumptions'!$B$8/4))),IF('I_Budget Input Data'!$E$135="At Completion",IF(26='I_Inputs &amp; Assumptions'!$B$8,'I_Budget Input Data'!$D$135,0),'I_Budget Input Data'!$D$135/'I_Inputs &amp; Assumptions'!$B$8)))))),0)</f>
        <v>0</v>
      </c>
      <c r="AC135" s="91">
        <f>IF(27&lt;='I_Inputs &amp; Assumptions'!$B$8,IF('I_Budget Input Data'!$E$135="Upfront",IF(27=1,'I_Budget Input Data'!$D$135,0),IF('I_Budget Input Data'!$E$135="Equal",'I_Budget Input Data'!$D$135/'I_Inputs &amp; Assumptions'!$B$8,IF('I_Budget Input Data'!$E$135="Front-loaded",IF(27&lt;='I_Inputs &amp; Assumptions'!$B$8/2,'I_Budget Input Data'!$D$135*0.6/('I_Inputs &amp; Assumptions'!$B$8/2),'I_Budget Input Data'!$D$135*0.4/('I_Inputs &amp; Assumptions'!$B$8/2)),IF('I_Budget Input Data'!$E$135="Back-loaded",IF(27&lt;='I_Inputs &amp; Assumptions'!$B$8/2,'I_Budget Input Data'!$D$135*0.4/('I_Inputs &amp; Assumptions'!$B$8/2),'I_Budget Input Data'!$D$135*0.6/('I_Inputs &amp; Assumptions'!$B$8/2)),IF('I_Budget Input Data'!$E$135="Mid-weighted",IF(27&lt;='I_Inputs &amp; Assumptions'!$B$8/4,'I_Budget Input Data'!$D$135*0.2/('I_Inputs &amp; Assumptions'!$B$8/4),IF(27&lt;='I_Inputs &amp; Assumptions'!$B$8*0.75,'I_Budget Input Data'!$D$135*0.6/('I_Inputs &amp; Assumptions'!$B$8/2),'I_Budget Input Data'!$D$135*0.2/('I_Inputs &amp; Assumptions'!$B$8/4))),IF('I_Budget Input Data'!$E$135="At Completion",IF(27='I_Inputs &amp; Assumptions'!$B$8,'I_Budget Input Data'!$D$135,0),'I_Budget Input Data'!$D$135/'I_Inputs &amp; Assumptions'!$B$8)))))),0)</f>
        <v>0</v>
      </c>
      <c r="AD135" s="91">
        <f>IF(28&lt;='I_Inputs &amp; Assumptions'!$B$8,IF('I_Budget Input Data'!$E$135="Upfront",IF(28=1,'I_Budget Input Data'!$D$135,0),IF('I_Budget Input Data'!$E$135="Equal",'I_Budget Input Data'!$D$135/'I_Inputs &amp; Assumptions'!$B$8,IF('I_Budget Input Data'!$E$135="Front-loaded",IF(28&lt;='I_Inputs &amp; Assumptions'!$B$8/2,'I_Budget Input Data'!$D$135*0.6/('I_Inputs &amp; Assumptions'!$B$8/2),'I_Budget Input Data'!$D$135*0.4/('I_Inputs &amp; Assumptions'!$B$8/2)),IF('I_Budget Input Data'!$E$135="Back-loaded",IF(28&lt;='I_Inputs &amp; Assumptions'!$B$8/2,'I_Budget Input Data'!$D$135*0.4/('I_Inputs &amp; Assumptions'!$B$8/2),'I_Budget Input Data'!$D$135*0.6/('I_Inputs &amp; Assumptions'!$B$8/2)),IF('I_Budget Input Data'!$E$135="Mid-weighted",IF(28&lt;='I_Inputs &amp; Assumptions'!$B$8/4,'I_Budget Input Data'!$D$135*0.2/('I_Inputs &amp; Assumptions'!$B$8/4),IF(28&lt;='I_Inputs &amp; Assumptions'!$B$8*0.75,'I_Budget Input Data'!$D$135*0.6/('I_Inputs &amp; Assumptions'!$B$8/2),'I_Budget Input Data'!$D$135*0.2/('I_Inputs &amp; Assumptions'!$B$8/4))),IF('I_Budget Input Data'!$E$135="At Completion",IF(28='I_Inputs &amp; Assumptions'!$B$8,'I_Budget Input Data'!$D$135,0),'I_Budget Input Data'!$D$135/'I_Inputs &amp; Assumptions'!$B$8)))))),0)</f>
        <v>0</v>
      </c>
      <c r="AE135" s="91">
        <f>IF(29&lt;='I_Inputs &amp; Assumptions'!$B$8,IF('I_Budget Input Data'!$E$135="Upfront",IF(29=1,'I_Budget Input Data'!$D$135,0),IF('I_Budget Input Data'!$E$135="Equal",'I_Budget Input Data'!$D$135/'I_Inputs &amp; Assumptions'!$B$8,IF('I_Budget Input Data'!$E$135="Front-loaded",IF(29&lt;='I_Inputs &amp; Assumptions'!$B$8/2,'I_Budget Input Data'!$D$135*0.6/('I_Inputs &amp; Assumptions'!$B$8/2),'I_Budget Input Data'!$D$135*0.4/('I_Inputs &amp; Assumptions'!$B$8/2)),IF('I_Budget Input Data'!$E$135="Back-loaded",IF(29&lt;='I_Inputs &amp; Assumptions'!$B$8/2,'I_Budget Input Data'!$D$135*0.4/('I_Inputs &amp; Assumptions'!$B$8/2),'I_Budget Input Data'!$D$135*0.6/('I_Inputs &amp; Assumptions'!$B$8/2)),IF('I_Budget Input Data'!$E$135="Mid-weighted",IF(29&lt;='I_Inputs &amp; Assumptions'!$B$8/4,'I_Budget Input Data'!$D$135*0.2/('I_Inputs &amp; Assumptions'!$B$8/4),IF(29&lt;='I_Inputs &amp; Assumptions'!$B$8*0.75,'I_Budget Input Data'!$D$135*0.6/('I_Inputs &amp; Assumptions'!$B$8/2),'I_Budget Input Data'!$D$135*0.2/('I_Inputs &amp; Assumptions'!$B$8/4))),IF('I_Budget Input Data'!$E$135="At Completion",IF(29='I_Inputs &amp; Assumptions'!$B$8,'I_Budget Input Data'!$D$135,0),'I_Budget Input Data'!$D$135/'I_Inputs &amp; Assumptions'!$B$8)))))),0)</f>
        <v>0</v>
      </c>
      <c r="AF135" s="91">
        <f>IF(30&lt;='I_Inputs &amp; Assumptions'!$B$8,IF('I_Budget Input Data'!$E$135="Upfront",IF(30=1,'I_Budget Input Data'!$D$135,0),IF('I_Budget Input Data'!$E$135="Equal",'I_Budget Input Data'!$D$135/'I_Inputs &amp; Assumptions'!$B$8,IF('I_Budget Input Data'!$E$135="Front-loaded",IF(30&lt;='I_Inputs &amp; Assumptions'!$B$8/2,'I_Budget Input Data'!$D$135*0.6/('I_Inputs &amp; Assumptions'!$B$8/2),'I_Budget Input Data'!$D$135*0.4/('I_Inputs &amp; Assumptions'!$B$8/2)),IF('I_Budget Input Data'!$E$135="Back-loaded",IF(30&lt;='I_Inputs &amp; Assumptions'!$B$8/2,'I_Budget Input Data'!$D$135*0.4/('I_Inputs &amp; Assumptions'!$B$8/2),'I_Budget Input Data'!$D$135*0.6/('I_Inputs &amp; Assumptions'!$B$8/2)),IF('I_Budget Input Data'!$E$135="Mid-weighted",IF(30&lt;='I_Inputs &amp; Assumptions'!$B$8/4,'I_Budget Input Data'!$D$135*0.2/('I_Inputs &amp; Assumptions'!$B$8/4),IF(30&lt;='I_Inputs &amp; Assumptions'!$B$8*0.75,'I_Budget Input Data'!$D$135*0.6/('I_Inputs &amp; Assumptions'!$B$8/2),'I_Budget Input Data'!$D$135*0.2/('I_Inputs &amp; Assumptions'!$B$8/4))),IF('I_Budget Input Data'!$E$135="At Completion",IF(30='I_Inputs &amp; Assumptions'!$B$8,'I_Budget Input Data'!$D$135,0),'I_Budget Input Data'!$D$135/'I_Inputs &amp; Assumptions'!$B$8)))))),0)</f>
        <v>0</v>
      </c>
      <c r="AG135" s="91">
        <f>IF(31&lt;='I_Inputs &amp; Assumptions'!$B$8,IF('I_Budget Input Data'!$E$135="Upfront",IF(31=1,'I_Budget Input Data'!$D$135,0),IF('I_Budget Input Data'!$E$135="Equal",'I_Budget Input Data'!$D$135/'I_Inputs &amp; Assumptions'!$B$8,IF('I_Budget Input Data'!$E$135="Front-loaded",IF(31&lt;='I_Inputs &amp; Assumptions'!$B$8/2,'I_Budget Input Data'!$D$135*0.6/('I_Inputs &amp; Assumptions'!$B$8/2),'I_Budget Input Data'!$D$135*0.4/('I_Inputs &amp; Assumptions'!$B$8/2)),IF('I_Budget Input Data'!$E$135="Back-loaded",IF(31&lt;='I_Inputs &amp; Assumptions'!$B$8/2,'I_Budget Input Data'!$D$135*0.4/('I_Inputs &amp; Assumptions'!$B$8/2),'I_Budget Input Data'!$D$135*0.6/('I_Inputs &amp; Assumptions'!$B$8/2)),IF('I_Budget Input Data'!$E$135="Mid-weighted",IF(31&lt;='I_Inputs &amp; Assumptions'!$B$8/4,'I_Budget Input Data'!$D$135*0.2/('I_Inputs &amp; Assumptions'!$B$8/4),IF(31&lt;='I_Inputs &amp; Assumptions'!$B$8*0.75,'I_Budget Input Data'!$D$135*0.6/('I_Inputs &amp; Assumptions'!$B$8/2),'I_Budget Input Data'!$D$135*0.2/('I_Inputs &amp; Assumptions'!$B$8/4))),IF('I_Budget Input Data'!$E$135="At Completion",IF(31='I_Inputs &amp; Assumptions'!$B$8,'I_Budget Input Data'!$D$135,0),'I_Budget Input Data'!$D$135/'I_Inputs &amp; Assumptions'!$B$8)))))),0)</f>
        <v>0</v>
      </c>
      <c r="AH135" s="91">
        <f>IF(32&lt;='I_Inputs &amp; Assumptions'!$B$8,IF('I_Budget Input Data'!$E$135="Upfront",IF(32=1,'I_Budget Input Data'!$D$135,0),IF('I_Budget Input Data'!$E$135="Equal",'I_Budget Input Data'!$D$135/'I_Inputs &amp; Assumptions'!$B$8,IF('I_Budget Input Data'!$E$135="Front-loaded",IF(32&lt;='I_Inputs &amp; Assumptions'!$B$8/2,'I_Budget Input Data'!$D$135*0.6/('I_Inputs &amp; Assumptions'!$B$8/2),'I_Budget Input Data'!$D$135*0.4/('I_Inputs &amp; Assumptions'!$B$8/2)),IF('I_Budget Input Data'!$E$135="Back-loaded",IF(32&lt;='I_Inputs &amp; Assumptions'!$B$8/2,'I_Budget Input Data'!$D$135*0.4/('I_Inputs &amp; Assumptions'!$B$8/2),'I_Budget Input Data'!$D$135*0.6/('I_Inputs &amp; Assumptions'!$B$8/2)),IF('I_Budget Input Data'!$E$135="Mid-weighted",IF(32&lt;='I_Inputs &amp; Assumptions'!$B$8/4,'I_Budget Input Data'!$D$135*0.2/('I_Inputs &amp; Assumptions'!$B$8/4),IF(32&lt;='I_Inputs &amp; Assumptions'!$B$8*0.75,'I_Budget Input Data'!$D$135*0.6/('I_Inputs &amp; Assumptions'!$B$8/2),'I_Budget Input Data'!$D$135*0.2/('I_Inputs &amp; Assumptions'!$B$8/4))),IF('I_Budget Input Data'!$E$135="At Completion",IF(32='I_Inputs &amp; Assumptions'!$B$8,'I_Budget Input Data'!$D$135,0),'I_Budget Input Data'!$D$135/'I_Inputs &amp; Assumptions'!$B$8)))))),0)</f>
        <v>0</v>
      </c>
      <c r="AI135" s="91">
        <f>IF(33&lt;='I_Inputs &amp; Assumptions'!$B$8,IF('I_Budget Input Data'!$E$135="Upfront",IF(33=1,'I_Budget Input Data'!$D$135,0),IF('I_Budget Input Data'!$E$135="Equal",'I_Budget Input Data'!$D$135/'I_Inputs &amp; Assumptions'!$B$8,IF('I_Budget Input Data'!$E$135="Front-loaded",IF(33&lt;='I_Inputs &amp; Assumptions'!$B$8/2,'I_Budget Input Data'!$D$135*0.6/('I_Inputs &amp; Assumptions'!$B$8/2),'I_Budget Input Data'!$D$135*0.4/('I_Inputs &amp; Assumptions'!$B$8/2)),IF('I_Budget Input Data'!$E$135="Back-loaded",IF(33&lt;='I_Inputs &amp; Assumptions'!$B$8/2,'I_Budget Input Data'!$D$135*0.4/('I_Inputs &amp; Assumptions'!$B$8/2),'I_Budget Input Data'!$D$135*0.6/('I_Inputs &amp; Assumptions'!$B$8/2)),IF('I_Budget Input Data'!$E$135="Mid-weighted",IF(33&lt;='I_Inputs &amp; Assumptions'!$B$8/4,'I_Budget Input Data'!$D$135*0.2/('I_Inputs &amp; Assumptions'!$B$8/4),IF(33&lt;='I_Inputs &amp; Assumptions'!$B$8*0.75,'I_Budget Input Data'!$D$135*0.6/('I_Inputs &amp; Assumptions'!$B$8/2),'I_Budget Input Data'!$D$135*0.2/('I_Inputs &amp; Assumptions'!$B$8/4))),IF('I_Budget Input Data'!$E$135="At Completion",IF(33='I_Inputs &amp; Assumptions'!$B$8,'I_Budget Input Data'!$D$135,0),'I_Budget Input Data'!$D$135/'I_Inputs &amp; Assumptions'!$B$8)))))),0)</f>
        <v>0</v>
      </c>
      <c r="AJ135" s="91">
        <f>IF(34&lt;='I_Inputs &amp; Assumptions'!$B$8,IF('I_Budget Input Data'!$E$135="Upfront",IF(34=1,'I_Budget Input Data'!$D$135,0),IF('I_Budget Input Data'!$E$135="Equal",'I_Budget Input Data'!$D$135/'I_Inputs &amp; Assumptions'!$B$8,IF('I_Budget Input Data'!$E$135="Front-loaded",IF(34&lt;='I_Inputs &amp; Assumptions'!$B$8/2,'I_Budget Input Data'!$D$135*0.6/('I_Inputs &amp; Assumptions'!$B$8/2),'I_Budget Input Data'!$D$135*0.4/('I_Inputs &amp; Assumptions'!$B$8/2)),IF('I_Budget Input Data'!$E$135="Back-loaded",IF(34&lt;='I_Inputs &amp; Assumptions'!$B$8/2,'I_Budget Input Data'!$D$135*0.4/('I_Inputs &amp; Assumptions'!$B$8/2),'I_Budget Input Data'!$D$135*0.6/('I_Inputs &amp; Assumptions'!$B$8/2)),IF('I_Budget Input Data'!$E$135="Mid-weighted",IF(34&lt;='I_Inputs &amp; Assumptions'!$B$8/4,'I_Budget Input Data'!$D$135*0.2/('I_Inputs &amp; Assumptions'!$B$8/4),IF(34&lt;='I_Inputs &amp; Assumptions'!$B$8*0.75,'I_Budget Input Data'!$D$135*0.6/('I_Inputs &amp; Assumptions'!$B$8/2),'I_Budget Input Data'!$D$135*0.2/('I_Inputs &amp; Assumptions'!$B$8/4))),IF('I_Budget Input Data'!$E$135="At Completion",IF(34='I_Inputs &amp; Assumptions'!$B$8,'I_Budget Input Data'!$D$135,0),'I_Budget Input Data'!$D$135/'I_Inputs &amp; Assumptions'!$B$8)))))),0)</f>
        <v>0</v>
      </c>
      <c r="AK135" s="91">
        <f>IF(35&lt;='I_Inputs &amp; Assumptions'!$B$8,IF('I_Budget Input Data'!$E$135="Upfront",IF(35=1,'I_Budget Input Data'!$D$135,0),IF('I_Budget Input Data'!$E$135="Equal",'I_Budget Input Data'!$D$135/'I_Inputs &amp; Assumptions'!$B$8,IF('I_Budget Input Data'!$E$135="Front-loaded",IF(35&lt;='I_Inputs &amp; Assumptions'!$B$8/2,'I_Budget Input Data'!$D$135*0.6/('I_Inputs &amp; Assumptions'!$B$8/2),'I_Budget Input Data'!$D$135*0.4/('I_Inputs &amp; Assumptions'!$B$8/2)),IF('I_Budget Input Data'!$E$135="Back-loaded",IF(35&lt;='I_Inputs &amp; Assumptions'!$B$8/2,'I_Budget Input Data'!$D$135*0.4/('I_Inputs &amp; Assumptions'!$B$8/2),'I_Budget Input Data'!$D$135*0.6/('I_Inputs &amp; Assumptions'!$B$8/2)),IF('I_Budget Input Data'!$E$135="Mid-weighted",IF(35&lt;='I_Inputs &amp; Assumptions'!$B$8/4,'I_Budget Input Data'!$D$135*0.2/('I_Inputs &amp; Assumptions'!$B$8/4),IF(35&lt;='I_Inputs &amp; Assumptions'!$B$8*0.75,'I_Budget Input Data'!$D$135*0.6/('I_Inputs &amp; Assumptions'!$B$8/2),'I_Budget Input Data'!$D$135*0.2/('I_Inputs &amp; Assumptions'!$B$8/4))),IF('I_Budget Input Data'!$E$135="At Completion",IF(35='I_Inputs &amp; Assumptions'!$B$8,'I_Budget Input Data'!$D$135,0),'I_Budget Input Data'!$D$135/'I_Inputs &amp; Assumptions'!$B$8)))))),0)</f>
        <v>0</v>
      </c>
      <c r="AL135" s="91">
        <f>IF(36&lt;='I_Inputs &amp; Assumptions'!$B$8,IF('I_Budget Input Data'!$E$135="Upfront",IF(36=1,'I_Budget Input Data'!$D$135,0),IF('I_Budget Input Data'!$E$135="Equal",'I_Budget Input Data'!$D$135/'I_Inputs &amp; Assumptions'!$B$8,IF('I_Budget Input Data'!$E$135="Front-loaded",IF(36&lt;='I_Inputs &amp; Assumptions'!$B$8/2,'I_Budget Input Data'!$D$135*0.6/('I_Inputs &amp; Assumptions'!$B$8/2),'I_Budget Input Data'!$D$135*0.4/('I_Inputs &amp; Assumptions'!$B$8/2)),IF('I_Budget Input Data'!$E$135="Back-loaded",IF(36&lt;='I_Inputs &amp; Assumptions'!$B$8/2,'I_Budget Input Data'!$D$135*0.4/('I_Inputs &amp; Assumptions'!$B$8/2),'I_Budget Input Data'!$D$135*0.6/('I_Inputs &amp; Assumptions'!$B$8/2)),IF('I_Budget Input Data'!$E$135="Mid-weighted",IF(36&lt;='I_Inputs &amp; Assumptions'!$B$8/4,'I_Budget Input Data'!$D$135*0.2/('I_Inputs &amp; Assumptions'!$B$8/4),IF(36&lt;='I_Inputs &amp; Assumptions'!$B$8*0.75,'I_Budget Input Data'!$D$135*0.6/('I_Inputs &amp; Assumptions'!$B$8/2),'I_Budget Input Data'!$D$135*0.2/('I_Inputs &amp; Assumptions'!$B$8/4))),IF('I_Budget Input Data'!$E$135="At Completion",IF(36='I_Inputs &amp; Assumptions'!$B$8,'I_Budget Input Data'!$D$135,0),'I_Budget Input Data'!$D$135/'I_Inputs &amp; Assumptions'!$B$8)))))),0)</f>
        <v>0</v>
      </c>
    </row>
    <row r="136" spans="1:38" ht="15" customHeight="1" x14ac:dyDescent="0.2">
      <c r="A136" t="s">
        <v>248</v>
      </c>
      <c r="B136" t="s">
        <v>251</v>
      </c>
      <c r="C136" s="91">
        <f>IF(1&lt;='I_Inputs &amp; Assumptions'!$B$8,IF('I_Budget Input Data'!$E$136="Upfront",IF(1=1,'I_Budget Input Data'!$D$136,0),IF('I_Budget Input Data'!$E$136="Equal",'I_Budget Input Data'!$D$136/'I_Inputs &amp; Assumptions'!$B$8,IF('I_Budget Input Data'!$E$136="Front-loaded",IF(1&lt;='I_Inputs &amp; Assumptions'!$B$8/2,'I_Budget Input Data'!$D$136*0.6/('I_Inputs &amp; Assumptions'!$B$8/2),'I_Budget Input Data'!$D$136*0.4/('I_Inputs &amp; Assumptions'!$B$8/2)),IF('I_Budget Input Data'!$E$136="Back-loaded",IF(1&lt;='I_Inputs &amp; Assumptions'!$B$8/2,'I_Budget Input Data'!$D$136*0.4/('I_Inputs &amp; Assumptions'!$B$8/2),'I_Budget Input Data'!$D$136*0.6/('I_Inputs &amp; Assumptions'!$B$8/2)),IF('I_Budget Input Data'!$E$136="Mid-weighted",IF(1&lt;='I_Inputs &amp; Assumptions'!$B$8/4,'I_Budget Input Data'!$D$136*0.2/('I_Inputs &amp; Assumptions'!$B$8/4),IF(1&lt;='I_Inputs &amp; Assumptions'!$B$8*0.75,'I_Budget Input Data'!$D$136*0.6/('I_Inputs &amp; Assumptions'!$B$8/2),'I_Budget Input Data'!$D$136*0.2/('I_Inputs &amp; Assumptions'!$B$8/4))),IF('I_Budget Input Data'!$E$136="At Completion",IF(1='I_Inputs &amp; Assumptions'!$B$8,'I_Budget Input Data'!$D$136,0),'I_Budget Input Data'!$D$136/'I_Inputs &amp; Assumptions'!$B$8)))))),0)</f>
        <v>6231.6</v>
      </c>
      <c r="D136" s="91">
        <f>IF(2&lt;='I_Inputs &amp; Assumptions'!$B$8,IF('I_Budget Input Data'!$E$136="Upfront",IF(2=1,'I_Budget Input Data'!$D$136,0),IF('I_Budget Input Data'!$E$136="Equal",'I_Budget Input Data'!$D$136/'I_Inputs &amp; Assumptions'!$B$8,IF('I_Budget Input Data'!$E$136="Front-loaded",IF(2&lt;='I_Inputs &amp; Assumptions'!$B$8/2,'I_Budget Input Data'!$D$136*0.6/('I_Inputs &amp; Assumptions'!$B$8/2),'I_Budget Input Data'!$D$136*0.4/('I_Inputs &amp; Assumptions'!$B$8/2)),IF('I_Budget Input Data'!$E$136="Back-loaded",IF(2&lt;='I_Inputs &amp; Assumptions'!$B$8/2,'I_Budget Input Data'!$D$136*0.4/('I_Inputs &amp; Assumptions'!$B$8/2),'I_Budget Input Data'!$D$136*0.6/('I_Inputs &amp; Assumptions'!$B$8/2)),IF('I_Budget Input Data'!$E$136="Mid-weighted",IF(2&lt;='I_Inputs &amp; Assumptions'!$B$8/4,'I_Budget Input Data'!$D$136*0.2/('I_Inputs &amp; Assumptions'!$B$8/4),IF(2&lt;='I_Inputs &amp; Assumptions'!$B$8*0.75,'I_Budget Input Data'!$D$136*0.6/('I_Inputs &amp; Assumptions'!$B$8/2),'I_Budget Input Data'!$D$136*0.2/('I_Inputs &amp; Assumptions'!$B$8/4))),IF('I_Budget Input Data'!$E$136="At Completion",IF(2='I_Inputs &amp; Assumptions'!$B$8,'I_Budget Input Data'!$D$136,0),'I_Budget Input Data'!$D$136/'I_Inputs &amp; Assumptions'!$B$8)))))),0)</f>
        <v>6231.6</v>
      </c>
      <c r="E136" s="91">
        <f>IF(3&lt;='I_Inputs &amp; Assumptions'!$B$8,IF('I_Budget Input Data'!$E$136="Upfront",IF(3=1,'I_Budget Input Data'!$D$136,0),IF('I_Budget Input Data'!$E$136="Equal",'I_Budget Input Data'!$D$136/'I_Inputs &amp; Assumptions'!$B$8,IF('I_Budget Input Data'!$E$136="Front-loaded",IF(3&lt;='I_Inputs &amp; Assumptions'!$B$8/2,'I_Budget Input Data'!$D$136*0.6/('I_Inputs &amp; Assumptions'!$B$8/2),'I_Budget Input Data'!$D$136*0.4/('I_Inputs &amp; Assumptions'!$B$8/2)),IF('I_Budget Input Data'!$E$136="Back-loaded",IF(3&lt;='I_Inputs &amp; Assumptions'!$B$8/2,'I_Budget Input Data'!$D$136*0.4/('I_Inputs &amp; Assumptions'!$B$8/2),'I_Budget Input Data'!$D$136*0.6/('I_Inputs &amp; Assumptions'!$B$8/2)),IF('I_Budget Input Data'!$E$136="Mid-weighted",IF(3&lt;='I_Inputs &amp; Assumptions'!$B$8/4,'I_Budget Input Data'!$D$136*0.2/('I_Inputs &amp; Assumptions'!$B$8/4),IF(3&lt;='I_Inputs &amp; Assumptions'!$B$8*0.75,'I_Budget Input Data'!$D$136*0.6/('I_Inputs &amp; Assumptions'!$B$8/2),'I_Budget Input Data'!$D$136*0.2/('I_Inputs &amp; Assumptions'!$B$8/4))),IF('I_Budget Input Data'!$E$136="At Completion",IF(3='I_Inputs &amp; Assumptions'!$B$8,'I_Budget Input Data'!$D$136,0),'I_Budget Input Data'!$D$136/'I_Inputs &amp; Assumptions'!$B$8)))))),0)</f>
        <v>6231.6</v>
      </c>
      <c r="F136" s="91">
        <f>IF(4&lt;='I_Inputs &amp; Assumptions'!$B$8,IF('I_Budget Input Data'!$E$136="Upfront",IF(4=1,'I_Budget Input Data'!$D$136,0),IF('I_Budget Input Data'!$E$136="Equal",'I_Budget Input Data'!$D$136/'I_Inputs &amp; Assumptions'!$B$8,IF('I_Budget Input Data'!$E$136="Front-loaded",IF(4&lt;='I_Inputs &amp; Assumptions'!$B$8/2,'I_Budget Input Data'!$D$136*0.6/('I_Inputs &amp; Assumptions'!$B$8/2),'I_Budget Input Data'!$D$136*0.4/('I_Inputs &amp; Assumptions'!$B$8/2)),IF('I_Budget Input Data'!$E$136="Back-loaded",IF(4&lt;='I_Inputs &amp; Assumptions'!$B$8/2,'I_Budget Input Data'!$D$136*0.4/('I_Inputs &amp; Assumptions'!$B$8/2),'I_Budget Input Data'!$D$136*0.6/('I_Inputs &amp; Assumptions'!$B$8/2)),IF('I_Budget Input Data'!$E$136="Mid-weighted",IF(4&lt;='I_Inputs &amp; Assumptions'!$B$8/4,'I_Budget Input Data'!$D$136*0.2/('I_Inputs &amp; Assumptions'!$B$8/4),IF(4&lt;='I_Inputs &amp; Assumptions'!$B$8*0.75,'I_Budget Input Data'!$D$136*0.6/('I_Inputs &amp; Assumptions'!$B$8/2),'I_Budget Input Data'!$D$136*0.2/('I_Inputs &amp; Assumptions'!$B$8/4))),IF('I_Budget Input Data'!$E$136="At Completion",IF(4='I_Inputs &amp; Assumptions'!$B$8,'I_Budget Input Data'!$D$136,0),'I_Budget Input Data'!$D$136/'I_Inputs &amp; Assumptions'!$B$8)))))),0)</f>
        <v>6231.6</v>
      </c>
      <c r="G136" s="91">
        <f>IF(5&lt;='I_Inputs &amp; Assumptions'!$B$8,IF('I_Budget Input Data'!$E$136="Upfront",IF(5=1,'I_Budget Input Data'!$D$136,0),IF('I_Budget Input Data'!$E$136="Equal",'I_Budget Input Data'!$D$136/'I_Inputs &amp; Assumptions'!$B$8,IF('I_Budget Input Data'!$E$136="Front-loaded",IF(5&lt;='I_Inputs &amp; Assumptions'!$B$8/2,'I_Budget Input Data'!$D$136*0.6/('I_Inputs &amp; Assumptions'!$B$8/2),'I_Budget Input Data'!$D$136*0.4/('I_Inputs &amp; Assumptions'!$B$8/2)),IF('I_Budget Input Data'!$E$136="Back-loaded",IF(5&lt;='I_Inputs &amp; Assumptions'!$B$8/2,'I_Budget Input Data'!$D$136*0.4/('I_Inputs &amp; Assumptions'!$B$8/2),'I_Budget Input Data'!$D$136*0.6/('I_Inputs &amp; Assumptions'!$B$8/2)),IF('I_Budget Input Data'!$E$136="Mid-weighted",IF(5&lt;='I_Inputs &amp; Assumptions'!$B$8/4,'I_Budget Input Data'!$D$136*0.2/('I_Inputs &amp; Assumptions'!$B$8/4),IF(5&lt;='I_Inputs &amp; Assumptions'!$B$8*0.75,'I_Budget Input Data'!$D$136*0.6/('I_Inputs &amp; Assumptions'!$B$8/2),'I_Budget Input Data'!$D$136*0.2/('I_Inputs &amp; Assumptions'!$B$8/4))),IF('I_Budget Input Data'!$E$136="At Completion",IF(5='I_Inputs &amp; Assumptions'!$B$8,'I_Budget Input Data'!$D$136,0),'I_Budget Input Data'!$D$136/'I_Inputs &amp; Assumptions'!$B$8)))))),0)</f>
        <v>6231.6</v>
      </c>
      <c r="H136" s="91">
        <f>IF(6&lt;='I_Inputs &amp; Assumptions'!$B$8,IF('I_Budget Input Data'!$E$136="Upfront",IF(6=1,'I_Budget Input Data'!$D$136,0),IF('I_Budget Input Data'!$E$136="Equal",'I_Budget Input Data'!$D$136/'I_Inputs &amp; Assumptions'!$B$8,IF('I_Budget Input Data'!$E$136="Front-loaded",IF(6&lt;='I_Inputs &amp; Assumptions'!$B$8/2,'I_Budget Input Data'!$D$136*0.6/('I_Inputs &amp; Assumptions'!$B$8/2),'I_Budget Input Data'!$D$136*0.4/('I_Inputs &amp; Assumptions'!$B$8/2)),IF('I_Budget Input Data'!$E$136="Back-loaded",IF(6&lt;='I_Inputs &amp; Assumptions'!$B$8/2,'I_Budget Input Data'!$D$136*0.4/('I_Inputs &amp; Assumptions'!$B$8/2),'I_Budget Input Data'!$D$136*0.6/('I_Inputs &amp; Assumptions'!$B$8/2)),IF('I_Budget Input Data'!$E$136="Mid-weighted",IF(6&lt;='I_Inputs &amp; Assumptions'!$B$8/4,'I_Budget Input Data'!$D$136*0.2/('I_Inputs &amp; Assumptions'!$B$8/4),IF(6&lt;='I_Inputs &amp; Assumptions'!$B$8*0.75,'I_Budget Input Data'!$D$136*0.6/('I_Inputs &amp; Assumptions'!$B$8/2),'I_Budget Input Data'!$D$136*0.2/('I_Inputs &amp; Assumptions'!$B$8/4))),IF('I_Budget Input Data'!$E$136="At Completion",IF(6='I_Inputs &amp; Assumptions'!$B$8,'I_Budget Input Data'!$D$136,0),'I_Budget Input Data'!$D$136/'I_Inputs &amp; Assumptions'!$B$8)))))),0)</f>
        <v>6231.6</v>
      </c>
      <c r="I136" s="91">
        <f>IF(7&lt;='I_Inputs &amp; Assumptions'!$B$8,IF('I_Budget Input Data'!$E$136="Upfront",IF(7=1,'I_Budget Input Data'!$D$136,0),IF('I_Budget Input Data'!$E$136="Equal",'I_Budget Input Data'!$D$136/'I_Inputs &amp; Assumptions'!$B$8,IF('I_Budget Input Data'!$E$136="Front-loaded",IF(7&lt;='I_Inputs &amp; Assumptions'!$B$8/2,'I_Budget Input Data'!$D$136*0.6/('I_Inputs &amp; Assumptions'!$B$8/2),'I_Budget Input Data'!$D$136*0.4/('I_Inputs &amp; Assumptions'!$B$8/2)),IF('I_Budget Input Data'!$E$136="Back-loaded",IF(7&lt;='I_Inputs &amp; Assumptions'!$B$8/2,'I_Budget Input Data'!$D$136*0.4/('I_Inputs &amp; Assumptions'!$B$8/2),'I_Budget Input Data'!$D$136*0.6/('I_Inputs &amp; Assumptions'!$B$8/2)),IF('I_Budget Input Data'!$E$136="Mid-weighted",IF(7&lt;='I_Inputs &amp; Assumptions'!$B$8/4,'I_Budget Input Data'!$D$136*0.2/('I_Inputs &amp; Assumptions'!$B$8/4),IF(7&lt;='I_Inputs &amp; Assumptions'!$B$8*0.75,'I_Budget Input Data'!$D$136*0.6/('I_Inputs &amp; Assumptions'!$B$8/2),'I_Budget Input Data'!$D$136*0.2/('I_Inputs &amp; Assumptions'!$B$8/4))),IF('I_Budget Input Data'!$E$136="At Completion",IF(7='I_Inputs &amp; Assumptions'!$B$8,'I_Budget Input Data'!$D$136,0),'I_Budget Input Data'!$D$136/'I_Inputs &amp; Assumptions'!$B$8)))))),0)</f>
        <v>4154.4000000000005</v>
      </c>
      <c r="J136" s="91">
        <f>IF(8&lt;='I_Inputs &amp; Assumptions'!$B$8,IF('I_Budget Input Data'!$E$136="Upfront",IF(8=1,'I_Budget Input Data'!$D$136,0),IF('I_Budget Input Data'!$E$136="Equal",'I_Budget Input Data'!$D$136/'I_Inputs &amp; Assumptions'!$B$8,IF('I_Budget Input Data'!$E$136="Front-loaded",IF(8&lt;='I_Inputs &amp; Assumptions'!$B$8/2,'I_Budget Input Data'!$D$136*0.6/('I_Inputs &amp; Assumptions'!$B$8/2),'I_Budget Input Data'!$D$136*0.4/('I_Inputs &amp; Assumptions'!$B$8/2)),IF('I_Budget Input Data'!$E$136="Back-loaded",IF(8&lt;='I_Inputs &amp; Assumptions'!$B$8/2,'I_Budget Input Data'!$D$136*0.4/('I_Inputs &amp; Assumptions'!$B$8/2),'I_Budget Input Data'!$D$136*0.6/('I_Inputs &amp; Assumptions'!$B$8/2)),IF('I_Budget Input Data'!$E$136="Mid-weighted",IF(8&lt;='I_Inputs &amp; Assumptions'!$B$8/4,'I_Budget Input Data'!$D$136*0.2/('I_Inputs &amp; Assumptions'!$B$8/4),IF(8&lt;='I_Inputs &amp; Assumptions'!$B$8*0.75,'I_Budget Input Data'!$D$136*0.6/('I_Inputs &amp; Assumptions'!$B$8/2),'I_Budget Input Data'!$D$136*0.2/('I_Inputs &amp; Assumptions'!$B$8/4))),IF('I_Budget Input Data'!$E$136="At Completion",IF(8='I_Inputs &amp; Assumptions'!$B$8,'I_Budget Input Data'!$D$136,0),'I_Budget Input Data'!$D$136/'I_Inputs &amp; Assumptions'!$B$8)))))),0)</f>
        <v>4154.4000000000005</v>
      </c>
      <c r="K136" s="91">
        <f>IF(9&lt;='I_Inputs &amp; Assumptions'!$B$8,IF('I_Budget Input Data'!$E$136="Upfront",IF(9=1,'I_Budget Input Data'!$D$136,0),IF('I_Budget Input Data'!$E$136="Equal",'I_Budget Input Data'!$D$136/'I_Inputs &amp; Assumptions'!$B$8,IF('I_Budget Input Data'!$E$136="Front-loaded",IF(9&lt;='I_Inputs &amp; Assumptions'!$B$8/2,'I_Budget Input Data'!$D$136*0.6/('I_Inputs &amp; Assumptions'!$B$8/2),'I_Budget Input Data'!$D$136*0.4/('I_Inputs &amp; Assumptions'!$B$8/2)),IF('I_Budget Input Data'!$E$136="Back-loaded",IF(9&lt;='I_Inputs &amp; Assumptions'!$B$8/2,'I_Budget Input Data'!$D$136*0.4/('I_Inputs &amp; Assumptions'!$B$8/2),'I_Budget Input Data'!$D$136*0.6/('I_Inputs &amp; Assumptions'!$B$8/2)),IF('I_Budget Input Data'!$E$136="Mid-weighted",IF(9&lt;='I_Inputs &amp; Assumptions'!$B$8/4,'I_Budget Input Data'!$D$136*0.2/('I_Inputs &amp; Assumptions'!$B$8/4),IF(9&lt;='I_Inputs &amp; Assumptions'!$B$8*0.75,'I_Budget Input Data'!$D$136*0.6/('I_Inputs &amp; Assumptions'!$B$8/2),'I_Budget Input Data'!$D$136*0.2/('I_Inputs &amp; Assumptions'!$B$8/4))),IF('I_Budget Input Data'!$E$136="At Completion",IF(9='I_Inputs &amp; Assumptions'!$B$8,'I_Budget Input Data'!$D$136,0),'I_Budget Input Data'!$D$136/'I_Inputs &amp; Assumptions'!$B$8)))))),0)</f>
        <v>4154.4000000000005</v>
      </c>
      <c r="L136" s="91">
        <f>IF(10&lt;='I_Inputs &amp; Assumptions'!$B$8,IF('I_Budget Input Data'!$E$136="Upfront",IF(10=1,'I_Budget Input Data'!$D$136,0),IF('I_Budget Input Data'!$E$136="Equal",'I_Budget Input Data'!$D$136/'I_Inputs &amp; Assumptions'!$B$8,IF('I_Budget Input Data'!$E$136="Front-loaded",IF(10&lt;='I_Inputs &amp; Assumptions'!$B$8/2,'I_Budget Input Data'!$D$136*0.6/('I_Inputs &amp; Assumptions'!$B$8/2),'I_Budget Input Data'!$D$136*0.4/('I_Inputs &amp; Assumptions'!$B$8/2)),IF('I_Budget Input Data'!$E$136="Back-loaded",IF(10&lt;='I_Inputs &amp; Assumptions'!$B$8/2,'I_Budget Input Data'!$D$136*0.4/('I_Inputs &amp; Assumptions'!$B$8/2),'I_Budget Input Data'!$D$136*0.6/('I_Inputs &amp; Assumptions'!$B$8/2)),IF('I_Budget Input Data'!$E$136="Mid-weighted",IF(10&lt;='I_Inputs &amp; Assumptions'!$B$8/4,'I_Budget Input Data'!$D$136*0.2/('I_Inputs &amp; Assumptions'!$B$8/4),IF(10&lt;='I_Inputs &amp; Assumptions'!$B$8*0.75,'I_Budget Input Data'!$D$136*0.6/('I_Inputs &amp; Assumptions'!$B$8/2),'I_Budget Input Data'!$D$136*0.2/('I_Inputs &amp; Assumptions'!$B$8/4))),IF('I_Budget Input Data'!$E$136="At Completion",IF(10='I_Inputs &amp; Assumptions'!$B$8,'I_Budget Input Data'!$D$136,0),'I_Budget Input Data'!$D$136/'I_Inputs &amp; Assumptions'!$B$8)))))),0)</f>
        <v>4154.4000000000005</v>
      </c>
      <c r="M136" s="91">
        <f>IF(11&lt;='I_Inputs &amp; Assumptions'!$B$8,IF('I_Budget Input Data'!$E$136="Upfront",IF(11=1,'I_Budget Input Data'!$D$136,0),IF('I_Budget Input Data'!$E$136="Equal",'I_Budget Input Data'!$D$136/'I_Inputs &amp; Assumptions'!$B$8,IF('I_Budget Input Data'!$E$136="Front-loaded",IF(11&lt;='I_Inputs &amp; Assumptions'!$B$8/2,'I_Budget Input Data'!$D$136*0.6/('I_Inputs &amp; Assumptions'!$B$8/2),'I_Budget Input Data'!$D$136*0.4/('I_Inputs &amp; Assumptions'!$B$8/2)),IF('I_Budget Input Data'!$E$136="Back-loaded",IF(11&lt;='I_Inputs &amp; Assumptions'!$B$8/2,'I_Budget Input Data'!$D$136*0.4/('I_Inputs &amp; Assumptions'!$B$8/2),'I_Budget Input Data'!$D$136*0.6/('I_Inputs &amp; Assumptions'!$B$8/2)),IF('I_Budget Input Data'!$E$136="Mid-weighted",IF(11&lt;='I_Inputs &amp; Assumptions'!$B$8/4,'I_Budget Input Data'!$D$136*0.2/('I_Inputs &amp; Assumptions'!$B$8/4),IF(11&lt;='I_Inputs &amp; Assumptions'!$B$8*0.75,'I_Budget Input Data'!$D$136*0.6/('I_Inputs &amp; Assumptions'!$B$8/2),'I_Budget Input Data'!$D$136*0.2/('I_Inputs &amp; Assumptions'!$B$8/4))),IF('I_Budget Input Data'!$E$136="At Completion",IF(11='I_Inputs &amp; Assumptions'!$B$8,'I_Budget Input Data'!$D$136,0),'I_Budget Input Data'!$D$136/'I_Inputs &amp; Assumptions'!$B$8)))))),0)</f>
        <v>4154.4000000000005</v>
      </c>
      <c r="N136" s="91">
        <f>IF(12&lt;='I_Inputs &amp; Assumptions'!$B$8,IF('I_Budget Input Data'!$E$136="Upfront",IF(12=1,'I_Budget Input Data'!$D$136,0),IF('I_Budget Input Data'!$E$136="Equal",'I_Budget Input Data'!$D$136/'I_Inputs &amp; Assumptions'!$B$8,IF('I_Budget Input Data'!$E$136="Front-loaded",IF(12&lt;='I_Inputs &amp; Assumptions'!$B$8/2,'I_Budget Input Data'!$D$136*0.6/('I_Inputs &amp; Assumptions'!$B$8/2),'I_Budget Input Data'!$D$136*0.4/('I_Inputs &amp; Assumptions'!$B$8/2)),IF('I_Budget Input Data'!$E$136="Back-loaded",IF(12&lt;='I_Inputs &amp; Assumptions'!$B$8/2,'I_Budget Input Data'!$D$136*0.4/('I_Inputs &amp; Assumptions'!$B$8/2),'I_Budget Input Data'!$D$136*0.6/('I_Inputs &amp; Assumptions'!$B$8/2)),IF('I_Budget Input Data'!$E$136="Mid-weighted",IF(12&lt;='I_Inputs &amp; Assumptions'!$B$8/4,'I_Budget Input Data'!$D$136*0.2/('I_Inputs &amp; Assumptions'!$B$8/4),IF(12&lt;='I_Inputs &amp; Assumptions'!$B$8*0.75,'I_Budget Input Data'!$D$136*0.6/('I_Inputs &amp; Assumptions'!$B$8/2),'I_Budget Input Data'!$D$136*0.2/('I_Inputs &amp; Assumptions'!$B$8/4))),IF('I_Budget Input Data'!$E$136="At Completion",IF(12='I_Inputs &amp; Assumptions'!$B$8,'I_Budget Input Data'!$D$136,0),'I_Budget Input Data'!$D$136/'I_Inputs &amp; Assumptions'!$B$8)))))),0)</f>
        <v>4154.4000000000005</v>
      </c>
      <c r="O136" s="91">
        <f>IF(13&lt;='I_Inputs &amp; Assumptions'!$B$8,IF('I_Budget Input Data'!$E$136="Upfront",IF(13=1,'I_Budget Input Data'!$D$136,0),IF('I_Budget Input Data'!$E$136="Equal",'I_Budget Input Data'!$D$136/'I_Inputs &amp; Assumptions'!$B$8,IF('I_Budget Input Data'!$E$136="Front-loaded",IF(13&lt;='I_Inputs &amp; Assumptions'!$B$8/2,'I_Budget Input Data'!$D$136*0.6/('I_Inputs &amp; Assumptions'!$B$8/2),'I_Budget Input Data'!$D$136*0.4/('I_Inputs &amp; Assumptions'!$B$8/2)),IF('I_Budget Input Data'!$E$136="Back-loaded",IF(13&lt;='I_Inputs &amp; Assumptions'!$B$8/2,'I_Budget Input Data'!$D$136*0.4/('I_Inputs &amp; Assumptions'!$B$8/2),'I_Budget Input Data'!$D$136*0.6/('I_Inputs &amp; Assumptions'!$B$8/2)),IF('I_Budget Input Data'!$E$136="Mid-weighted",IF(13&lt;='I_Inputs &amp; Assumptions'!$B$8/4,'I_Budget Input Data'!$D$136*0.2/('I_Inputs &amp; Assumptions'!$B$8/4),IF(13&lt;='I_Inputs &amp; Assumptions'!$B$8*0.75,'I_Budget Input Data'!$D$136*0.6/('I_Inputs &amp; Assumptions'!$B$8/2),'I_Budget Input Data'!$D$136*0.2/('I_Inputs &amp; Assumptions'!$B$8/4))),IF('I_Budget Input Data'!$E$136="At Completion",IF(13='I_Inputs &amp; Assumptions'!$B$8,'I_Budget Input Data'!$D$136,0),'I_Budget Input Data'!$D$136/'I_Inputs &amp; Assumptions'!$B$8)))))),0)</f>
        <v>4154.4000000000005</v>
      </c>
      <c r="P136" s="91">
        <f>IF(14&lt;='I_Inputs &amp; Assumptions'!$B$8,IF('I_Budget Input Data'!$E$136="Upfront",IF(14=1,'I_Budget Input Data'!$D$136,0),IF('I_Budget Input Data'!$E$136="Equal",'I_Budget Input Data'!$D$136/'I_Inputs &amp; Assumptions'!$B$8,IF('I_Budget Input Data'!$E$136="Front-loaded",IF(14&lt;='I_Inputs &amp; Assumptions'!$B$8/2,'I_Budget Input Data'!$D$136*0.6/('I_Inputs &amp; Assumptions'!$B$8/2),'I_Budget Input Data'!$D$136*0.4/('I_Inputs &amp; Assumptions'!$B$8/2)),IF('I_Budget Input Data'!$E$136="Back-loaded",IF(14&lt;='I_Inputs &amp; Assumptions'!$B$8/2,'I_Budget Input Data'!$D$136*0.4/('I_Inputs &amp; Assumptions'!$B$8/2),'I_Budget Input Data'!$D$136*0.6/('I_Inputs &amp; Assumptions'!$B$8/2)),IF('I_Budget Input Data'!$E$136="Mid-weighted",IF(14&lt;='I_Inputs &amp; Assumptions'!$B$8/4,'I_Budget Input Data'!$D$136*0.2/('I_Inputs &amp; Assumptions'!$B$8/4),IF(14&lt;='I_Inputs &amp; Assumptions'!$B$8*0.75,'I_Budget Input Data'!$D$136*0.6/('I_Inputs &amp; Assumptions'!$B$8/2),'I_Budget Input Data'!$D$136*0.2/('I_Inputs &amp; Assumptions'!$B$8/4))),IF('I_Budget Input Data'!$E$136="At Completion",IF(14='I_Inputs &amp; Assumptions'!$B$8,'I_Budget Input Data'!$D$136,0),'I_Budget Input Data'!$D$136/'I_Inputs &amp; Assumptions'!$B$8)))))),0)</f>
        <v>0</v>
      </c>
      <c r="Q136" s="91">
        <f>IF(15&lt;='I_Inputs &amp; Assumptions'!$B$8,IF('I_Budget Input Data'!$E$136="Upfront",IF(15=1,'I_Budget Input Data'!$D$136,0),IF('I_Budget Input Data'!$E$136="Equal",'I_Budget Input Data'!$D$136/'I_Inputs &amp; Assumptions'!$B$8,IF('I_Budget Input Data'!$E$136="Front-loaded",IF(15&lt;='I_Inputs &amp; Assumptions'!$B$8/2,'I_Budget Input Data'!$D$136*0.6/('I_Inputs &amp; Assumptions'!$B$8/2),'I_Budget Input Data'!$D$136*0.4/('I_Inputs &amp; Assumptions'!$B$8/2)),IF('I_Budget Input Data'!$E$136="Back-loaded",IF(15&lt;='I_Inputs &amp; Assumptions'!$B$8/2,'I_Budget Input Data'!$D$136*0.4/('I_Inputs &amp; Assumptions'!$B$8/2),'I_Budget Input Data'!$D$136*0.6/('I_Inputs &amp; Assumptions'!$B$8/2)),IF('I_Budget Input Data'!$E$136="Mid-weighted",IF(15&lt;='I_Inputs &amp; Assumptions'!$B$8/4,'I_Budget Input Data'!$D$136*0.2/('I_Inputs &amp; Assumptions'!$B$8/4),IF(15&lt;='I_Inputs &amp; Assumptions'!$B$8*0.75,'I_Budget Input Data'!$D$136*0.6/('I_Inputs &amp; Assumptions'!$B$8/2),'I_Budget Input Data'!$D$136*0.2/('I_Inputs &amp; Assumptions'!$B$8/4))),IF('I_Budget Input Data'!$E$136="At Completion",IF(15='I_Inputs &amp; Assumptions'!$B$8,'I_Budget Input Data'!$D$136,0),'I_Budget Input Data'!$D$136/'I_Inputs &amp; Assumptions'!$B$8)))))),0)</f>
        <v>0</v>
      </c>
      <c r="R136" s="91">
        <f>IF(16&lt;='I_Inputs &amp; Assumptions'!$B$8,IF('I_Budget Input Data'!$E$136="Upfront",IF(16=1,'I_Budget Input Data'!$D$136,0),IF('I_Budget Input Data'!$E$136="Equal",'I_Budget Input Data'!$D$136/'I_Inputs &amp; Assumptions'!$B$8,IF('I_Budget Input Data'!$E$136="Front-loaded",IF(16&lt;='I_Inputs &amp; Assumptions'!$B$8/2,'I_Budget Input Data'!$D$136*0.6/('I_Inputs &amp; Assumptions'!$B$8/2),'I_Budget Input Data'!$D$136*0.4/('I_Inputs &amp; Assumptions'!$B$8/2)),IF('I_Budget Input Data'!$E$136="Back-loaded",IF(16&lt;='I_Inputs &amp; Assumptions'!$B$8/2,'I_Budget Input Data'!$D$136*0.4/('I_Inputs &amp; Assumptions'!$B$8/2),'I_Budget Input Data'!$D$136*0.6/('I_Inputs &amp; Assumptions'!$B$8/2)),IF('I_Budget Input Data'!$E$136="Mid-weighted",IF(16&lt;='I_Inputs &amp; Assumptions'!$B$8/4,'I_Budget Input Data'!$D$136*0.2/('I_Inputs &amp; Assumptions'!$B$8/4),IF(16&lt;='I_Inputs &amp; Assumptions'!$B$8*0.75,'I_Budget Input Data'!$D$136*0.6/('I_Inputs &amp; Assumptions'!$B$8/2),'I_Budget Input Data'!$D$136*0.2/('I_Inputs &amp; Assumptions'!$B$8/4))),IF('I_Budget Input Data'!$E$136="At Completion",IF(16='I_Inputs &amp; Assumptions'!$B$8,'I_Budget Input Data'!$D$136,0),'I_Budget Input Data'!$D$136/'I_Inputs &amp; Assumptions'!$B$8)))))),0)</f>
        <v>0</v>
      </c>
      <c r="S136" s="91">
        <f>IF(17&lt;='I_Inputs &amp; Assumptions'!$B$8,IF('I_Budget Input Data'!$E$136="Upfront",IF(17=1,'I_Budget Input Data'!$D$136,0),IF('I_Budget Input Data'!$E$136="Equal",'I_Budget Input Data'!$D$136/'I_Inputs &amp; Assumptions'!$B$8,IF('I_Budget Input Data'!$E$136="Front-loaded",IF(17&lt;='I_Inputs &amp; Assumptions'!$B$8/2,'I_Budget Input Data'!$D$136*0.6/('I_Inputs &amp; Assumptions'!$B$8/2),'I_Budget Input Data'!$D$136*0.4/('I_Inputs &amp; Assumptions'!$B$8/2)),IF('I_Budget Input Data'!$E$136="Back-loaded",IF(17&lt;='I_Inputs &amp; Assumptions'!$B$8/2,'I_Budget Input Data'!$D$136*0.4/('I_Inputs &amp; Assumptions'!$B$8/2),'I_Budget Input Data'!$D$136*0.6/('I_Inputs &amp; Assumptions'!$B$8/2)),IF('I_Budget Input Data'!$E$136="Mid-weighted",IF(17&lt;='I_Inputs &amp; Assumptions'!$B$8/4,'I_Budget Input Data'!$D$136*0.2/('I_Inputs &amp; Assumptions'!$B$8/4),IF(17&lt;='I_Inputs &amp; Assumptions'!$B$8*0.75,'I_Budget Input Data'!$D$136*0.6/('I_Inputs &amp; Assumptions'!$B$8/2),'I_Budget Input Data'!$D$136*0.2/('I_Inputs &amp; Assumptions'!$B$8/4))),IF('I_Budget Input Data'!$E$136="At Completion",IF(17='I_Inputs &amp; Assumptions'!$B$8,'I_Budget Input Data'!$D$136,0),'I_Budget Input Data'!$D$136/'I_Inputs &amp; Assumptions'!$B$8)))))),0)</f>
        <v>0</v>
      </c>
      <c r="T136" s="91">
        <f>IF(18&lt;='I_Inputs &amp; Assumptions'!$B$8,IF('I_Budget Input Data'!$E$136="Upfront",IF(18=1,'I_Budget Input Data'!$D$136,0),IF('I_Budget Input Data'!$E$136="Equal",'I_Budget Input Data'!$D$136/'I_Inputs &amp; Assumptions'!$B$8,IF('I_Budget Input Data'!$E$136="Front-loaded",IF(18&lt;='I_Inputs &amp; Assumptions'!$B$8/2,'I_Budget Input Data'!$D$136*0.6/('I_Inputs &amp; Assumptions'!$B$8/2),'I_Budget Input Data'!$D$136*0.4/('I_Inputs &amp; Assumptions'!$B$8/2)),IF('I_Budget Input Data'!$E$136="Back-loaded",IF(18&lt;='I_Inputs &amp; Assumptions'!$B$8/2,'I_Budget Input Data'!$D$136*0.4/('I_Inputs &amp; Assumptions'!$B$8/2),'I_Budget Input Data'!$D$136*0.6/('I_Inputs &amp; Assumptions'!$B$8/2)),IF('I_Budget Input Data'!$E$136="Mid-weighted",IF(18&lt;='I_Inputs &amp; Assumptions'!$B$8/4,'I_Budget Input Data'!$D$136*0.2/('I_Inputs &amp; Assumptions'!$B$8/4),IF(18&lt;='I_Inputs &amp; Assumptions'!$B$8*0.75,'I_Budget Input Data'!$D$136*0.6/('I_Inputs &amp; Assumptions'!$B$8/2),'I_Budget Input Data'!$D$136*0.2/('I_Inputs &amp; Assumptions'!$B$8/4))),IF('I_Budget Input Data'!$E$136="At Completion",IF(18='I_Inputs &amp; Assumptions'!$B$8,'I_Budget Input Data'!$D$136,0),'I_Budget Input Data'!$D$136/'I_Inputs &amp; Assumptions'!$B$8)))))),0)</f>
        <v>0</v>
      </c>
      <c r="U136" s="91">
        <f>IF(19&lt;='I_Inputs &amp; Assumptions'!$B$8,IF('I_Budget Input Data'!$E$136="Upfront",IF(19=1,'I_Budget Input Data'!$D$136,0),IF('I_Budget Input Data'!$E$136="Equal",'I_Budget Input Data'!$D$136/'I_Inputs &amp; Assumptions'!$B$8,IF('I_Budget Input Data'!$E$136="Front-loaded",IF(19&lt;='I_Inputs &amp; Assumptions'!$B$8/2,'I_Budget Input Data'!$D$136*0.6/('I_Inputs &amp; Assumptions'!$B$8/2),'I_Budget Input Data'!$D$136*0.4/('I_Inputs &amp; Assumptions'!$B$8/2)),IF('I_Budget Input Data'!$E$136="Back-loaded",IF(19&lt;='I_Inputs &amp; Assumptions'!$B$8/2,'I_Budget Input Data'!$D$136*0.4/('I_Inputs &amp; Assumptions'!$B$8/2),'I_Budget Input Data'!$D$136*0.6/('I_Inputs &amp; Assumptions'!$B$8/2)),IF('I_Budget Input Data'!$E$136="Mid-weighted",IF(19&lt;='I_Inputs &amp; Assumptions'!$B$8/4,'I_Budget Input Data'!$D$136*0.2/('I_Inputs &amp; Assumptions'!$B$8/4),IF(19&lt;='I_Inputs &amp; Assumptions'!$B$8*0.75,'I_Budget Input Data'!$D$136*0.6/('I_Inputs &amp; Assumptions'!$B$8/2),'I_Budget Input Data'!$D$136*0.2/('I_Inputs &amp; Assumptions'!$B$8/4))),IF('I_Budget Input Data'!$E$136="At Completion",IF(19='I_Inputs &amp; Assumptions'!$B$8,'I_Budget Input Data'!$D$136,0),'I_Budget Input Data'!$D$136/'I_Inputs &amp; Assumptions'!$B$8)))))),0)</f>
        <v>0</v>
      </c>
      <c r="V136" s="91">
        <f>IF(20&lt;='I_Inputs &amp; Assumptions'!$B$8,IF('I_Budget Input Data'!$E$136="Upfront",IF(20=1,'I_Budget Input Data'!$D$136,0),IF('I_Budget Input Data'!$E$136="Equal",'I_Budget Input Data'!$D$136/'I_Inputs &amp; Assumptions'!$B$8,IF('I_Budget Input Data'!$E$136="Front-loaded",IF(20&lt;='I_Inputs &amp; Assumptions'!$B$8/2,'I_Budget Input Data'!$D$136*0.6/('I_Inputs &amp; Assumptions'!$B$8/2),'I_Budget Input Data'!$D$136*0.4/('I_Inputs &amp; Assumptions'!$B$8/2)),IF('I_Budget Input Data'!$E$136="Back-loaded",IF(20&lt;='I_Inputs &amp; Assumptions'!$B$8/2,'I_Budget Input Data'!$D$136*0.4/('I_Inputs &amp; Assumptions'!$B$8/2),'I_Budget Input Data'!$D$136*0.6/('I_Inputs &amp; Assumptions'!$B$8/2)),IF('I_Budget Input Data'!$E$136="Mid-weighted",IF(20&lt;='I_Inputs &amp; Assumptions'!$B$8/4,'I_Budget Input Data'!$D$136*0.2/('I_Inputs &amp; Assumptions'!$B$8/4),IF(20&lt;='I_Inputs &amp; Assumptions'!$B$8*0.75,'I_Budget Input Data'!$D$136*0.6/('I_Inputs &amp; Assumptions'!$B$8/2),'I_Budget Input Data'!$D$136*0.2/('I_Inputs &amp; Assumptions'!$B$8/4))),IF('I_Budget Input Data'!$E$136="At Completion",IF(20='I_Inputs &amp; Assumptions'!$B$8,'I_Budget Input Data'!$D$136,0),'I_Budget Input Data'!$D$136/'I_Inputs &amp; Assumptions'!$B$8)))))),0)</f>
        <v>0</v>
      </c>
      <c r="W136" s="91">
        <f>IF(21&lt;='I_Inputs &amp; Assumptions'!$B$8,IF('I_Budget Input Data'!$E$136="Upfront",IF(21=1,'I_Budget Input Data'!$D$136,0),IF('I_Budget Input Data'!$E$136="Equal",'I_Budget Input Data'!$D$136/'I_Inputs &amp; Assumptions'!$B$8,IF('I_Budget Input Data'!$E$136="Front-loaded",IF(21&lt;='I_Inputs &amp; Assumptions'!$B$8/2,'I_Budget Input Data'!$D$136*0.6/('I_Inputs &amp; Assumptions'!$B$8/2),'I_Budget Input Data'!$D$136*0.4/('I_Inputs &amp; Assumptions'!$B$8/2)),IF('I_Budget Input Data'!$E$136="Back-loaded",IF(21&lt;='I_Inputs &amp; Assumptions'!$B$8/2,'I_Budget Input Data'!$D$136*0.4/('I_Inputs &amp; Assumptions'!$B$8/2),'I_Budget Input Data'!$D$136*0.6/('I_Inputs &amp; Assumptions'!$B$8/2)),IF('I_Budget Input Data'!$E$136="Mid-weighted",IF(21&lt;='I_Inputs &amp; Assumptions'!$B$8/4,'I_Budget Input Data'!$D$136*0.2/('I_Inputs &amp; Assumptions'!$B$8/4),IF(21&lt;='I_Inputs &amp; Assumptions'!$B$8*0.75,'I_Budget Input Data'!$D$136*0.6/('I_Inputs &amp; Assumptions'!$B$8/2),'I_Budget Input Data'!$D$136*0.2/('I_Inputs &amp; Assumptions'!$B$8/4))),IF('I_Budget Input Data'!$E$136="At Completion",IF(21='I_Inputs &amp; Assumptions'!$B$8,'I_Budget Input Data'!$D$136,0),'I_Budget Input Data'!$D$136/'I_Inputs &amp; Assumptions'!$B$8)))))),0)</f>
        <v>0</v>
      </c>
      <c r="X136" s="91">
        <f>IF(22&lt;='I_Inputs &amp; Assumptions'!$B$8,IF('I_Budget Input Data'!$E$136="Upfront",IF(22=1,'I_Budget Input Data'!$D$136,0),IF('I_Budget Input Data'!$E$136="Equal",'I_Budget Input Data'!$D$136/'I_Inputs &amp; Assumptions'!$B$8,IF('I_Budget Input Data'!$E$136="Front-loaded",IF(22&lt;='I_Inputs &amp; Assumptions'!$B$8/2,'I_Budget Input Data'!$D$136*0.6/('I_Inputs &amp; Assumptions'!$B$8/2),'I_Budget Input Data'!$D$136*0.4/('I_Inputs &amp; Assumptions'!$B$8/2)),IF('I_Budget Input Data'!$E$136="Back-loaded",IF(22&lt;='I_Inputs &amp; Assumptions'!$B$8/2,'I_Budget Input Data'!$D$136*0.4/('I_Inputs &amp; Assumptions'!$B$8/2),'I_Budget Input Data'!$D$136*0.6/('I_Inputs &amp; Assumptions'!$B$8/2)),IF('I_Budget Input Data'!$E$136="Mid-weighted",IF(22&lt;='I_Inputs &amp; Assumptions'!$B$8/4,'I_Budget Input Data'!$D$136*0.2/('I_Inputs &amp; Assumptions'!$B$8/4),IF(22&lt;='I_Inputs &amp; Assumptions'!$B$8*0.75,'I_Budget Input Data'!$D$136*0.6/('I_Inputs &amp; Assumptions'!$B$8/2),'I_Budget Input Data'!$D$136*0.2/('I_Inputs &amp; Assumptions'!$B$8/4))),IF('I_Budget Input Data'!$E$136="At Completion",IF(22='I_Inputs &amp; Assumptions'!$B$8,'I_Budget Input Data'!$D$136,0),'I_Budget Input Data'!$D$136/'I_Inputs &amp; Assumptions'!$B$8)))))),0)</f>
        <v>0</v>
      </c>
      <c r="Y136" s="91">
        <f>IF(23&lt;='I_Inputs &amp; Assumptions'!$B$8,IF('I_Budget Input Data'!$E$136="Upfront",IF(23=1,'I_Budget Input Data'!$D$136,0),IF('I_Budget Input Data'!$E$136="Equal",'I_Budget Input Data'!$D$136/'I_Inputs &amp; Assumptions'!$B$8,IF('I_Budget Input Data'!$E$136="Front-loaded",IF(23&lt;='I_Inputs &amp; Assumptions'!$B$8/2,'I_Budget Input Data'!$D$136*0.6/('I_Inputs &amp; Assumptions'!$B$8/2),'I_Budget Input Data'!$D$136*0.4/('I_Inputs &amp; Assumptions'!$B$8/2)),IF('I_Budget Input Data'!$E$136="Back-loaded",IF(23&lt;='I_Inputs &amp; Assumptions'!$B$8/2,'I_Budget Input Data'!$D$136*0.4/('I_Inputs &amp; Assumptions'!$B$8/2),'I_Budget Input Data'!$D$136*0.6/('I_Inputs &amp; Assumptions'!$B$8/2)),IF('I_Budget Input Data'!$E$136="Mid-weighted",IF(23&lt;='I_Inputs &amp; Assumptions'!$B$8/4,'I_Budget Input Data'!$D$136*0.2/('I_Inputs &amp; Assumptions'!$B$8/4),IF(23&lt;='I_Inputs &amp; Assumptions'!$B$8*0.75,'I_Budget Input Data'!$D$136*0.6/('I_Inputs &amp; Assumptions'!$B$8/2),'I_Budget Input Data'!$D$136*0.2/('I_Inputs &amp; Assumptions'!$B$8/4))),IF('I_Budget Input Data'!$E$136="At Completion",IF(23='I_Inputs &amp; Assumptions'!$B$8,'I_Budget Input Data'!$D$136,0),'I_Budget Input Data'!$D$136/'I_Inputs &amp; Assumptions'!$B$8)))))),0)</f>
        <v>0</v>
      </c>
      <c r="Z136" s="91">
        <f>IF(24&lt;='I_Inputs &amp; Assumptions'!$B$8,IF('I_Budget Input Data'!$E$136="Upfront",IF(24=1,'I_Budget Input Data'!$D$136,0),IF('I_Budget Input Data'!$E$136="Equal",'I_Budget Input Data'!$D$136/'I_Inputs &amp; Assumptions'!$B$8,IF('I_Budget Input Data'!$E$136="Front-loaded",IF(24&lt;='I_Inputs &amp; Assumptions'!$B$8/2,'I_Budget Input Data'!$D$136*0.6/('I_Inputs &amp; Assumptions'!$B$8/2),'I_Budget Input Data'!$D$136*0.4/('I_Inputs &amp; Assumptions'!$B$8/2)),IF('I_Budget Input Data'!$E$136="Back-loaded",IF(24&lt;='I_Inputs &amp; Assumptions'!$B$8/2,'I_Budget Input Data'!$D$136*0.4/('I_Inputs &amp; Assumptions'!$B$8/2),'I_Budget Input Data'!$D$136*0.6/('I_Inputs &amp; Assumptions'!$B$8/2)),IF('I_Budget Input Data'!$E$136="Mid-weighted",IF(24&lt;='I_Inputs &amp; Assumptions'!$B$8/4,'I_Budget Input Data'!$D$136*0.2/('I_Inputs &amp; Assumptions'!$B$8/4),IF(24&lt;='I_Inputs &amp; Assumptions'!$B$8*0.75,'I_Budget Input Data'!$D$136*0.6/('I_Inputs &amp; Assumptions'!$B$8/2),'I_Budget Input Data'!$D$136*0.2/('I_Inputs &amp; Assumptions'!$B$8/4))),IF('I_Budget Input Data'!$E$136="At Completion",IF(24='I_Inputs &amp; Assumptions'!$B$8,'I_Budget Input Data'!$D$136,0),'I_Budget Input Data'!$D$136/'I_Inputs &amp; Assumptions'!$B$8)))))),0)</f>
        <v>0</v>
      </c>
      <c r="AA136" s="91">
        <f>IF(25&lt;='I_Inputs &amp; Assumptions'!$B$8,IF('I_Budget Input Data'!$E$136="Upfront",IF(25=1,'I_Budget Input Data'!$D$136,0),IF('I_Budget Input Data'!$E$136="Equal",'I_Budget Input Data'!$D$136/'I_Inputs &amp; Assumptions'!$B$8,IF('I_Budget Input Data'!$E$136="Front-loaded",IF(25&lt;='I_Inputs &amp; Assumptions'!$B$8/2,'I_Budget Input Data'!$D$136*0.6/('I_Inputs &amp; Assumptions'!$B$8/2),'I_Budget Input Data'!$D$136*0.4/('I_Inputs &amp; Assumptions'!$B$8/2)),IF('I_Budget Input Data'!$E$136="Back-loaded",IF(25&lt;='I_Inputs &amp; Assumptions'!$B$8/2,'I_Budget Input Data'!$D$136*0.4/('I_Inputs &amp; Assumptions'!$B$8/2),'I_Budget Input Data'!$D$136*0.6/('I_Inputs &amp; Assumptions'!$B$8/2)),IF('I_Budget Input Data'!$E$136="Mid-weighted",IF(25&lt;='I_Inputs &amp; Assumptions'!$B$8/4,'I_Budget Input Data'!$D$136*0.2/('I_Inputs &amp; Assumptions'!$B$8/4),IF(25&lt;='I_Inputs &amp; Assumptions'!$B$8*0.75,'I_Budget Input Data'!$D$136*0.6/('I_Inputs &amp; Assumptions'!$B$8/2),'I_Budget Input Data'!$D$136*0.2/('I_Inputs &amp; Assumptions'!$B$8/4))),IF('I_Budget Input Data'!$E$136="At Completion",IF(25='I_Inputs &amp; Assumptions'!$B$8,'I_Budget Input Data'!$D$136,0),'I_Budget Input Data'!$D$136/'I_Inputs &amp; Assumptions'!$B$8)))))),0)</f>
        <v>0</v>
      </c>
      <c r="AB136" s="91">
        <f>IF(26&lt;='I_Inputs &amp; Assumptions'!$B$8,IF('I_Budget Input Data'!$E$136="Upfront",IF(26=1,'I_Budget Input Data'!$D$136,0),IF('I_Budget Input Data'!$E$136="Equal",'I_Budget Input Data'!$D$136/'I_Inputs &amp; Assumptions'!$B$8,IF('I_Budget Input Data'!$E$136="Front-loaded",IF(26&lt;='I_Inputs &amp; Assumptions'!$B$8/2,'I_Budget Input Data'!$D$136*0.6/('I_Inputs &amp; Assumptions'!$B$8/2),'I_Budget Input Data'!$D$136*0.4/('I_Inputs &amp; Assumptions'!$B$8/2)),IF('I_Budget Input Data'!$E$136="Back-loaded",IF(26&lt;='I_Inputs &amp; Assumptions'!$B$8/2,'I_Budget Input Data'!$D$136*0.4/('I_Inputs &amp; Assumptions'!$B$8/2),'I_Budget Input Data'!$D$136*0.6/('I_Inputs &amp; Assumptions'!$B$8/2)),IF('I_Budget Input Data'!$E$136="Mid-weighted",IF(26&lt;='I_Inputs &amp; Assumptions'!$B$8/4,'I_Budget Input Data'!$D$136*0.2/('I_Inputs &amp; Assumptions'!$B$8/4),IF(26&lt;='I_Inputs &amp; Assumptions'!$B$8*0.75,'I_Budget Input Data'!$D$136*0.6/('I_Inputs &amp; Assumptions'!$B$8/2),'I_Budget Input Data'!$D$136*0.2/('I_Inputs &amp; Assumptions'!$B$8/4))),IF('I_Budget Input Data'!$E$136="At Completion",IF(26='I_Inputs &amp; Assumptions'!$B$8,'I_Budget Input Data'!$D$136,0),'I_Budget Input Data'!$D$136/'I_Inputs &amp; Assumptions'!$B$8)))))),0)</f>
        <v>0</v>
      </c>
      <c r="AC136" s="91">
        <f>IF(27&lt;='I_Inputs &amp; Assumptions'!$B$8,IF('I_Budget Input Data'!$E$136="Upfront",IF(27=1,'I_Budget Input Data'!$D$136,0),IF('I_Budget Input Data'!$E$136="Equal",'I_Budget Input Data'!$D$136/'I_Inputs &amp; Assumptions'!$B$8,IF('I_Budget Input Data'!$E$136="Front-loaded",IF(27&lt;='I_Inputs &amp; Assumptions'!$B$8/2,'I_Budget Input Data'!$D$136*0.6/('I_Inputs &amp; Assumptions'!$B$8/2),'I_Budget Input Data'!$D$136*0.4/('I_Inputs &amp; Assumptions'!$B$8/2)),IF('I_Budget Input Data'!$E$136="Back-loaded",IF(27&lt;='I_Inputs &amp; Assumptions'!$B$8/2,'I_Budget Input Data'!$D$136*0.4/('I_Inputs &amp; Assumptions'!$B$8/2),'I_Budget Input Data'!$D$136*0.6/('I_Inputs &amp; Assumptions'!$B$8/2)),IF('I_Budget Input Data'!$E$136="Mid-weighted",IF(27&lt;='I_Inputs &amp; Assumptions'!$B$8/4,'I_Budget Input Data'!$D$136*0.2/('I_Inputs &amp; Assumptions'!$B$8/4),IF(27&lt;='I_Inputs &amp; Assumptions'!$B$8*0.75,'I_Budget Input Data'!$D$136*0.6/('I_Inputs &amp; Assumptions'!$B$8/2),'I_Budget Input Data'!$D$136*0.2/('I_Inputs &amp; Assumptions'!$B$8/4))),IF('I_Budget Input Data'!$E$136="At Completion",IF(27='I_Inputs &amp; Assumptions'!$B$8,'I_Budget Input Data'!$D$136,0),'I_Budget Input Data'!$D$136/'I_Inputs &amp; Assumptions'!$B$8)))))),0)</f>
        <v>0</v>
      </c>
      <c r="AD136" s="91">
        <f>IF(28&lt;='I_Inputs &amp; Assumptions'!$B$8,IF('I_Budget Input Data'!$E$136="Upfront",IF(28=1,'I_Budget Input Data'!$D$136,0),IF('I_Budget Input Data'!$E$136="Equal",'I_Budget Input Data'!$D$136/'I_Inputs &amp; Assumptions'!$B$8,IF('I_Budget Input Data'!$E$136="Front-loaded",IF(28&lt;='I_Inputs &amp; Assumptions'!$B$8/2,'I_Budget Input Data'!$D$136*0.6/('I_Inputs &amp; Assumptions'!$B$8/2),'I_Budget Input Data'!$D$136*0.4/('I_Inputs &amp; Assumptions'!$B$8/2)),IF('I_Budget Input Data'!$E$136="Back-loaded",IF(28&lt;='I_Inputs &amp; Assumptions'!$B$8/2,'I_Budget Input Data'!$D$136*0.4/('I_Inputs &amp; Assumptions'!$B$8/2),'I_Budget Input Data'!$D$136*0.6/('I_Inputs &amp; Assumptions'!$B$8/2)),IF('I_Budget Input Data'!$E$136="Mid-weighted",IF(28&lt;='I_Inputs &amp; Assumptions'!$B$8/4,'I_Budget Input Data'!$D$136*0.2/('I_Inputs &amp; Assumptions'!$B$8/4),IF(28&lt;='I_Inputs &amp; Assumptions'!$B$8*0.75,'I_Budget Input Data'!$D$136*0.6/('I_Inputs &amp; Assumptions'!$B$8/2),'I_Budget Input Data'!$D$136*0.2/('I_Inputs &amp; Assumptions'!$B$8/4))),IF('I_Budget Input Data'!$E$136="At Completion",IF(28='I_Inputs &amp; Assumptions'!$B$8,'I_Budget Input Data'!$D$136,0),'I_Budget Input Data'!$D$136/'I_Inputs &amp; Assumptions'!$B$8)))))),0)</f>
        <v>0</v>
      </c>
      <c r="AE136" s="91">
        <f>IF(29&lt;='I_Inputs &amp; Assumptions'!$B$8,IF('I_Budget Input Data'!$E$136="Upfront",IF(29=1,'I_Budget Input Data'!$D$136,0),IF('I_Budget Input Data'!$E$136="Equal",'I_Budget Input Data'!$D$136/'I_Inputs &amp; Assumptions'!$B$8,IF('I_Budget Input Data'!$E$136="Front-loaded",IF(29&lt;='I_Inputs &amp; Assumptions'!$B$8/2,'I_Budget Input Data'!$D$136*0.6/('I_Inputs &amp; Assumptions'!$B$8/2),'I_Budget Input Data'!$D$136*0.4/('I_Inputs &amp; Assumptions'!$B$8/2)),IF('I_Budget Input Data'!$E$136="Back-loaded",IF(29&lt;='I_Inputs &amp; Assumptions'!$B$8/2,'I_Budget Input Data'!$D$136*0.4/('I_Inputs &amp; Assumptions'!$B$8/2),'I_Budget Input Data'!$D$136*0.6/('I_Inputs &amp; Assumptions'!$B$8/2)),IF('I_Budget Input Data'!$E$136="Mid-weighted",IF(29&lt;='I_Inputs &amp; Assumptions'!$B$8/4,'I_Budget Input Data'!$D$136*0.2/('I_Inputs &amp; Assumptions'!$B$8/4),IF(29&lt;='I_Inputs &amp; Assumptions'!$B$8*0.75,'I_Budget Input Data'!$D$136*0.6/('I_Inputs &amp; Assumptions'!$B$8/2),'I_Budget Input Data'!$D$136*0.2/('I_Inputs &amp; Assumptions'!$B$8/4))),IF('I_Budget Input Data'!$E$136="At Completion",IF(29='I_Inputs &amp; Assumptions'!$B$8,'I_Budget Input Data'!$D$136,0),'I_Budget Input Data'!$D$136/'I_Inputs &amp; Assumptions'!$B$8)))))),0)</f>
        <v>0</v>
      </c>
      <c r="AF136" s="91">
        <f>IF(30&lt;='I_Inputs &amp; Assumptions'!$B$8,IF('I_Budget Input Data'!$E$136="Upfront",IF(30=1,'I_Budget Input Data'!$D$136,0),IF('I_Budget Input Data'!$E$136="Equal",'I_Budget Input Data'!$D$136/'I_Inputs &amp; Assumptions'!$B$8,IF('I_Budget Input Data'!$E$136="Front-loaded",IF(30&lt;='I_Inputs &amp; Assumptions'!$B$8/2,'I_Budget Input Data'!$D$136*0.6/('I_Inputs &amp; Assumptions'!$B$8/2),'I_Budget Input Data'!$D$136*0.4/('I_Inputs &amp; Assumptions'!$B$8/2)),IF('I_Budget Input Data'!$E$136="Back-loaded",IF(30&lt;='I_Inputs &amp; Assumptions'!$B$8/2,'I_Budget Input Data'!$D$136*0.4/('I_Inputs &amp; Assumptions'!$B$8/2),'I_Budget Input Data'!$D$136*0.6/('I_Inputs &amp; Assumptions'!$B$8/2)),IF('I_Budget Input Data'!$E$136="Mid-weighted",IF(30&lt;='I_Inputs &amp; Assumptions'!$B$8/4,'I_Budget Input Data'!$D$136*0.2/('I_Inputs &amp; Assumptions'!$B$8/4),IF(30&lt;='I_Inputs &amp; Assumptions'!$B$8*0.75,'I_Budget Input Data'!$D$136*0.6/('I_Inputs &amp; Assumptions'!$B$8/2),'I_Budget Input Data'!$D$136*0.2/('I_Inputs &amp; Assumptions'!$B$8/4))),IF('I_Budget Input Data'!$E$136="At Completion",IF(30='I_Inputs &amp; Assumptions'!$B$8,'I_Budget Input Data'!$D$136,0),'I_Budget Input Data'!$D$136/'I_Inputs &amp; Assumptions'!$B$8)))))),0)</f>
        <v>0</v>
      </c>
      <c r="AG136" s="91">
        <f>IF(31&lt;='I_Inputs &amp; Assumptions'!$B$8,IF('I_Budget Input Data'!$E$136="Upfront",IF(31=1,'I_Budget Input Data'!$D$136,0),IF('I_Budget Input Data'!$E$136="Equal",'I_Budget Input Data'!$D$136/'I_Inputs &amp; Assumptions'!$B$8,IF('I_Budget Input Data'!$E$136="Front-loaded",IF(31&lt;='I_Inputs &amp; Assumptions'!$B$8/2,'I_Budget Input Data'!$D$136*0.6/('I_Inputs &amp; Assumptions'!$B$8/2),'I_Budget Input Data'!$D$136*0.4/('I_Inputs &amp; Assumptions'!$B$8/2)),IF('I_Budget Input Data'!$E$136="Back-loaded",IF(31&lt;='I_Inputs &amp; Assumptions'!$B$8/2,'I_Budget Input Data'!$D$136*0.4/('I_Inputs &amp; Assumptions'!$B$8/2),'I_Budget Input Data'!$D$136*0.6/('I_Inputs &amp; Assumptions'!$B$8/2)),IF('I_Budget Input Data'!$E$136="Mid-weighted",IF(31&lt;='I_Inputs &amp; Assumptions'!$B$8/4,'I_Budget Input Data'!$D$136*0.2/('I_Inputs &amp; Assumptions'!$B$8/4),IF(31&lt;='I_Inputs &amp; Assumptions'!$B$8*0.75,'I_Budget Input Data'!$D$136*0.6/('I_Inputs &amp; Assumptions'!$B$8/2),'I_Budget Input Data'!$D$136*0.2/('I_Inputs &amp; Assumptions'!$B$8/4))),IF('I_Budget Input Data'!$E$136="At Completion",IF(31='I_Inputs &amp; Assumptions'!$B$8,'I_Budget Input Data'!$D$136,0),'I_Budget Input Data'!$D$136/'I_Inputs &amp; Assumptions'!$B$8)))))),0)</f>
        <v>0</v>
      </c>
      <c r="AH136" s="91">
        <f>IF(32&lt;='I_Inputs &amp; Assumptions'!$B$8,IF('I_Budget Input Data'!$E$136="Upfront",IF(32=1,'I_Budget Input Data'!$D$136,0),IF('I_Budget Input Data'!$E$136="Equal",'I_Budget Input Data'!$D$136/'I_Inputs &amp; Assumptions'!$B$8,IF('I_Budget Input Data'!$E$136="Front-loaded",IF(32&lt;='I_Inputs &amp; Assumptions'!$B$8/2,'I_Budget Input Data'!$D$136*0.6/('I_Inputs &amp; Assumptions'!$B$8/2),'I_Budget Input Data'!$D$136*0.4/('I_Inputs &amp; Assumptions'!$B$8/2)),IF('I_Budget Input Data'!$E$136="Back-loaded",IF(32&lt;='I_Inputs &amp; Assumptions'!$B$8/2,'I_Budget Input Data'!$D$136*0.4/('I_Inputs &amp; Assumptions'!$B$8/2),'I_Budget Input Data'!$D$136*0.6/('I_Inputs &amp; Assumptions'!$B$8/2)),IF('I_Budget Input Data'!$E$136="Mid-weighted",IF(32&lt;='I_Inputs &amp; Assumptions'!$B$8/4,'I_Budget Input Data'!$D$136*0.2/('I_Inputs &amp; Assumptions'!$B$8/4),IF(32&lt;='I_Inputs &amp; Assumptions'!$B$8*0.75,'I_Budget Input Data'!$D$136*0.6/('I_Inputs &amp; Assumptions'!$B$8/2),'I_Budget Input Data'!$D$136*0.2/('I_Inputs &amp; Assumptions'!$B$8/4))),IF('I_Budget Input Data'!$E$136="At Completion",IF(32='I_Inputs &amp; Assumptions'!$B$8,'I_Budget Input Data'!$D$136,0),'I_Budget Input Data'!$D$136/'I_Inputs &amp; Assumptions'!$B$8)))))),0)</f>
        <v>0</v>
      </c>
      <c r="AI136" s="91">
        <f>IF(33&lt;='I_Inputs &amp; Assumptions'!$B$8,IF('I_Budget Input Data'!$E$136="Upfront",IF(33=1,'I_Budget Input Data'!$D$136,0),IF('I_Budget Input Data'!$E$136="Equal",'I_Budget Input Data'!$D$136/'I_Inputs &amp; Assumptions'!$B$8,IF('I_Budget Input Data'!$E$136="Front-loaded",IF(33&lt;='I_Inputs &amp; Assumptions'!$B$8/2,'I_Budget Input Data'!$D$136*0.6/('I_Inputs &amp; Assumptions'!$B$8/2),'I_Budget Input Data'!$D$136*0.4/('I_Inputs &amp; Assumptions'!$B$8/2)),IF('I_Budget Input Data'!$E$136="Back-loaded",IF(33&lt;='I_Inputs &amp; Assumptions'!$B$8/2,'I_Budget Input Data'!$D$136*0.4/('I_Inputs &amp; Assumptions'!$B$8/2),'I_Budget Input Data'!$D$136*0.6/('I_Inputs &amp; Assumptions'!$B$8/2)),IF('I_Budget Input Data'!$E$136="Mid-weighted",IF(33&lt;='I_Inputs &amp; Assumptions'!$B$8/4,'I_Budget Input Data'!$D$136*0.2/('I_Inputs &amp; Assumptions'!$B$8/4),IF(33&lt;='I_Inputs &amp; Assumptions'!$B$8*0.75,'I_Budget Input Data'!$D$136*0.6/('I_Inputs &amp; Assumptions'!$B$8/2),'I_Budget Input Data'!$D$136*0.2/('I_Inputs &amp; Assumptions'!$B$8/4))),IF('I_Budget Input Data'!$E$136="At Completion",IF(33='I_Inputs &amp; Assumptions'!$B$8,'I_Budget Input Data'!$D$136,0),'I_Budget Input Data'!$D$136/'I_Inputs &amp; Assumptions'!$B$8)))))),0)</f>
        <v>0</v>
      </c>
      <c r="AJ136" s="91">
        <f>IF(34&lt;='I_Inputs &amp; Assumptions'!$B$8,IF('I_Budget Input Data'!$E$136="Upfront",IF(34=1,'I_Budget Input Data'!$D$136,0),IF('I_Budget Input Data'!$E$136="Equal",'I_Budget Input Data'!$D$136/'I_Inputs &amp; Assumptions'!$B$8,IF('I_Budget Input Data'!$E$136="Front-loaded",IF(34&lt;='I_Inputs &amp; Assumptions'!$B$8/2,'I_Budget Input Data'!$D$136*0.6/('I_Inputs &amp; Assumptions'!$B$8/2),'I_Budget Input Data'!$D$136*0.4/('I_Inputs &amp; Assumptions'!$B$8/2)),IF('I_Budget Input Data'!$E$136="Back-loaded",IF(34&lt;='I_Inputs &amp; Assumptions'!$B$8/2,'I_Budget Input Data'!$D$136*0.4/('I_Inputs &amp; Assumptions'!$B$8/2),'I_Budget Input Data'!$D$136*0.6/('I_Inputs &amp; Assumptions'!$B$8/2)),IF('I_Budget Input Data'!$E$136="Mid-weighted",IF(34&lt;='I_Inputs &amp; Assumptions'!$B$8/4,'I_Budget Input Data'!$D$136*0.2/('I_Inputs &amp; Assumptions'!$B$8/4),IF(34&lt;='I_Inputs &amp; Assumptions'!$B$8*0.75,'I_Budget Input Data'!$D$136*0.6/('I_Inputs &amp; Assumptions'!$B$8/2),'I_Budget Input Data'!$D$136*0.2/('I_Inputs &amp; Assumptions'!$B$8/4))),IF('I_Budget Input Data'!$E$136="At Completion",IF(34='I_Inputs &amp; Assumptions'!$B$8,'I_Budget Input Data'!$D$136,0),'I_Budget Input Data'!$D$136/'I_Inputs &amp; Assumptions'!$B$8)))))),0)</f>
        <v>0</v>
      </c>
      <c r="AK136" s="91">
        <f>IF(35&lt;='I_Inputs &amp; Assumptions'!$B$8,IF('I_Budget Input Data'!$E$136="Upfront",IF(35=1,'I_Budget Input Data'!$D$136,0),IF('I_Budget Input Data'!$E$136="Equal",'I_Budget Input Data'!$D$136/'I_Inputs &amp; Assumptions'!$B$8,IF('I_Budget Input Data'!$E$136="Front-loaded",IF(35&lt;='I_Inputs &amp; Assumptions'!$B$8/2,'I_Budget Input Data'!$D$136*0.6/('I_Inputs &amp; Assumptions'!$B$8/2),'I_Budget Input Data'!$D$136*0.4/('I_Inputs &amp; Assumptions'!$B$8/2)),IF('I_Budget Input Data'!$E$136="Back-loaded",IF(35&lt;='I_Inputs &amp; Assumptions'!$B$8/2,'I_Budget Input Data'!$D$136*0.4/('I_Inputs &amp; Assumptions'!$B$8/2),'I_Budget Input Data'!$D$136*0.6/('I_Inputs &amp; Assumptions'!$B$8/2)),IF('I_Budget Input Data'!$E$136="Mid-weighted",IF(35&lt;='I_Inputs &amp; Assumptions'!$B$8/4,'I_Budget Input Data'!$D$136*0.2/('I_Inputs &amp; Assumptions'!$B$8/4),IF(35&lt;='I_Inputs &amp; Assumptions'!$B$8*0.75,'I_Budget Input Data'!$D$136*0.6/('I_Inputs &amp; Assumptions'!$B$8/2),'I_Budget Input Data'!$D$136*0.2/('I_Inputs &amp; Assumptions'!$B$8/4))),IF('I_Budget Input Data'!$E$136="At Completion",IF(35='I_Inputs &amp; Assumptions'!$B$8,'I_Budget Input Data'!$D$136,0),'I_Budget Input Data'!$D$136/'I_Inputs &amp; Assumptions'!$B$8)))))),0)</f>
        <v>0</v>
      </c>
      <c r="AL136" s="91">
        <f>IF(36&lt;='I_Inputs &amp; Assumptions'!$B$8,IF('I_Budget Input Data'!$E$136="Upfront",IF(36=1,'I_Budget Input Data'!$D$136,0),IF('I_Budget Input Data'!$E$136="Equal",'I_Budget Input Data'!$D$136/'I_Inputs &amp; Assumptions'!$B$8,IF('I_Budget Input Data'!$E$136="Front-loaded",IF(36&lt;='I_Inputs &amp; Assumptions'!$B$8/2,'I_Budget Input Data'!$D$136*0.6/('I_Inputs &amp; Assumptions'!$B$8/2),'I_Budget Input Data'!$D$136*0.4/('I_Inputs &amp; Assumptions'!$B$8/2)),IF('I_Budget Input Data'!$E$136="Back-loaded",IF(36&lt;='I_Inputs &amp; Assumptions'!$B$8/2,'I_Budget Input Data'!$D$136*0.4/('I_Inputs &amp; Assumptions'!$B$8/2),'I_Budget Input Data'!$D$136*0.6/('I_Inputs &amp; Assumptions'!$B$8/2)),IF('I_Budget Input Data'!$E$136="Mid-weighted",IF(36&lt;='I_Inputs &amp; Assumptions'!$B$8/4,'I_Budget Input Data'!$D$136*0.2/('I_Inputs &amp; Assumptions'!$B$8/4),IF(36&lt;='I_Inputs &amp; Assumptions'!$B$8*0.75,'I_Budget Input Data'!$D$136*0.6/('I_Inputs &amp; Assumptions'!$B$8/2),'I_Budget Input Data'!$D$136*0.2/('I_Inputs &amp; Assumptions'!$B$8/4))),IF('I_Budget Input Data'!$E$136="At Completion",IF(36='I_Inputs &amp; Assumptions'!$B$8,'I_Budget Input Data'!$D$136,0),'I_Budget Input Data'!$D$136/'I_Inputs &amp; Assumptions'!$B$8)))))),0)</f>
        <v>0</v>
      </c>
    </row>
    <row r="137" spans="1:38" ht="15" customHeight="1" x14ac:dyDescent="0.2">
      <c r="A137" t="s">
        <v>248</v>
      </c>
      <c r="B137" t="s">
        <v>252</v>
      </c>
      <c r="C137" s="91">
        <f>IF(1&lt;='I_Inputs &amp; Assumptions'!$B$8,IF('I_Budget Input Data'!$E$137="Upfront",IF(1=1,'I_Budget Input Data'!$D$137,0),IF('I_Budget Input Data'!$E$137="Equal",'I_Budget Input Data'!$D$137/'I_Inputs &amp; Assumptions'!$B$8,IF('I_Budget Input Data'!$E$137="Front-loaded",IF(1&lt;='I_Inputs &amp; Assumptions'!$B$8/2,'I_Budget Input Data'!$D$137*0.6/('I_Inputs &amp; Assumptions'!$B$8/2),'I_Budget Input Data'!$D$137*0.4/('I_Inputs &amp; Assumptions'!$B$8/2)),IF('I_Budget Input Data'!$E$137="Back-loaded",IF(1&lt;='I_Inputs &amp; Assumptions'!$B$8/2,'I_Budget Input Data'!$D$137*0.4/('I_Inputs &amp; Assumptions'!$B$8/2),'I_Budget Input Data'!$D$137*0.6/('I_Inputs &amp; Assumptions'!$B$8/2)),IF('I_Budget Input Data'!$E$137="Mid-weighted",IF(1&lt;='I_Inputs &amp; Assumptions'!$B$8/4,'I_Budget Input Data'!$D$137*0.2/('I_Inputs &amp; Assumptions'!$B$8/4),IF(1&lt;='I_Inputs &amp; Assumptions'!$B$8*0.75,'I_Budget Input Data'!$D$137*0.6/('I_Inputs &amp; Assumptions'!$B$8/2),'I_Budget Input Data'!$D$137*0.2/('I_Inputs &amp; Assumptions'!$B$8/4))),IF('I_Budget Input Data'!$E$137="At Completion",IF(1='I_Inputs &amp; Assumptions'!$B$8,'I_Budget Input Data'!$D$137,0),'I_Budget Input Data'!$D$137/'I_Inputs &amp; Assumptions'!$B$8)))))),0)</f>
        <v>2867.353846153846</v>
      </c>
      <c r="D137" s="91">
        <f>IF(2&lt;='I_Inputs &amp; Assumptions'!$B$8,IF('I_Budget Input Data'!$E$137="Upfront",IF(2=1,'I_Budget Input Data'!$D$137,0),IF('I_Budget Input Data'!$E$137="Equal",'I_Budget Input Data'!$D$137/'I_Inputs &amp; Assumptions'!$B$8,IF('I_Budget Input Data'!$E$137="Front-loaded",IF(2&lt;='I_Inputs &amp; Assumptions'!$B$8/2,'I_Budget Input Data'!$D$137*0.6/('I_Inputs &amp; Assumptions'!$B$8/2),'I_Budget Input Data'!$D$137*0.4/('I_Inputs &amp; Assumptions'!$B$8/2)),IF('I_Budget Input Data'!$E$137="Back-loaded",IF(2&lt;='I_Inputs &amp; Assumptions'!$B$8/2,'I_Budget Input Data'!$D$137*0.4/('I_Inputs &amp; Assumptions'!$B$8/2),'I_Budget Input Data'!$D$137*0.6/('I_Inputs &amp; Assumptions'!$B$8/2)),IF('I_Budget Input Data'!$E$137="Mid-weighted",IF(2&lt;='I_Inputs &amp; Assumptions'!$B$8/4,'I_Budget Input Data'!$D$137*0.2/('I_Inputs &amp; Assumptions'!$B$8/4),IF(2&lt;='I_Inputs &amp; Assumptions'!$B$8*0.75,'I_Budget Input Data'!$D$137*0.6/('I_Inputs &amp; Assumptions'!$B$8/2),'I_Budget Input Data'!$D$137*0.2/('I_Inputs &amp; Assumptions'!$B$8/4))),IF('I_Budget Input Data'!$E$137="At Completion",IF(2='I_Inputs &amp; Assumptions'!$B$8,'I_Budget Input Data'!$D$137,0),'I_Budget Input Data'!$D$137/'I_Inputs &amp; Assumptions'!$B$8)))))),0)</f>
        <v>2867.353846153846</v>
      </c>
      <c r="E137" s="91">
        <f>IF(3&lt;='I_Inputs &amp; Assumptions'!$B$8,IF('I_Budget Input Data'!$E$137="Upfront",IF(3=1,'I_Budget Input Data'!$D$137,0),IF('I_Budget Input Data'!$E$137="Equal",'I_Budget Input Data'!$D$137/'I_Inputs &amp; Assumptions'!$B$8,IF('I_Budget Input Data'!$E$137="Front-loaded",IF(3&lt;='I_Inputs &amp; Assumptions'!$B$8/2,'I_Budget Input Data'!$D$137*0.6/('I_Inputs &amp; Assumptions'!$B$8/2),'I_Budget Input Data'!$D$137*0.4/('I_Inputs &amp; Assumptions'!$B$8/2)),IF('I_Budget Input Data'!$E$137="Back-loaded",IF(3&lt;='I_Inputs &amp; Assumptions'!$B$8/2,'I_Budget Input Data'!$D$137*0.4/('I_Inputs &amp; Assumptions'!$B$8/2),'I_Budget Input Data'!$D$137*0.6/('I_Inputs &amp; Assumptions'!$B$8/2)),IF('I_Budget Input Data'!$E$137="Mid-weighted",IF(3&lt;='I_Inputs &amp; Assumptions'!$B$8/4,'I_Budget Input Data'!$D$137*0.2/('I_Inputs &amp; Assumptions'!$B$8/4),IF(3&lt;='I_Inputs &amp; Assumptions'!$B$8*0.75,'I_Budget Input Data'!$D$137*0.6/('I_Inputs &amp; Assumptions'!$B$8/2),'I_Budget Input Data'!$D$137*0.2/('I_Inputs &amp; Assumptions'!$B$8/4))),IF('I_Budget Input Data'!$E$137="At Completion",IF(3='I_Inputs &amp; Assumptions'!$B$8,'I_Budget Input Data'!$D$137,0),'I_Budget Input Data'!$D$137/'I_Inputs &amp; Assumptions'!$B$8)))))),0)</f>
        <v>2867.353846153846</v>
      </c>
      <c r="F137" s="91">
        <f>IF(4&lt;='I_Inputs &amp; Assumptions'!$B$8,IF('I_Budget Input Data'!$E$137="Upfront",IF(4=1,'I_Budget Input Data'!$D$137,0),IF('I_Budget Input Data'!$E$137="Equal",'I_Budget Input Data'!$D$137/'I_Inputs &amp; Assumptions'!$B$8,IF('I_Budget Input Data'!$E$137="Front-loaded",IF(4&lt;='I_Inputs &amp; Assumptions'!$B$8/2,'I_Budget Input Data'!$D$137*0.6/('I_Inputs &amp; Assumptions'!$B$8/2),'I_Budget Input Data'!$D$137*0.4/('I_Inputs &amp; Assumptions'!$B$8/2)),IF('I_Budget Input Data'!$E$137="Back-loaded",IF(4&lt;='I_Inputs &amp; Assumptions'!$B$8/2,'I_Budget Input Data'!$D$137*0.4/('I_Inputs &amp; Assumptions'!$B$8/2),'I_Budget Input Data'!$D$137*0.6/('I_Inputs &amp; Assumptions'!$B$8/2)),IF('I_Budget Input Data'!$E$137="Mid-weighted",IF(4&lt;='I_Inputs &amp; Assumptions'!$B$8/4,'I_Budget Input Data'!$D$137*0.2/('I_Inputs &amp; Assumptions'!$B$8/4),IF(4&lt;='I_Inputs &amp; Assumptions'!$B$8*0.75,'I_Budget Input Data'!$D$137*0.6/('I_Inputs &amp; Assumptions'!$B$8/2),'I_Budget Input Data'!$D$137*0.2/('I_Inputs &amp; Assumptions'!$B$8/4))),IF('I_Budget Input Data'!$E$137="At Completion",IF(4='I_Inputs &amp; Assumptions'!$B$8,'I_Budget Input Data'!$D$137,0),'I_Budget Input Data'!$D$137/'I_Inputs &amp; Assumptions'!$B$8)))))),0)</f>
        <v>2867.353846153846</v>
      </c>
      <c r="G137" s="91">
        <f>IF(5&lt;='I_Inputs &amp; Assumptions'!$B$8,IF('I_Budget Input Data'!$E$137="Upfront",IF(5=1,'I_Budget Input Data'!$D$137,0),IF('I_Budget Input Data'!$E$137="Equal",'I_Budget Input Data'!$D$137/'I_Inputs &amp; Assumptions'!$B$8,IF('I_Budget Input Data'!$E$137="Front-loaded",IF(5&lt;='I_Inputs &amp; Assumptions'!$B$8/2,'I_Budget Input Data'!$D$137*0.6/('I_Inputs &amp; Assumptions'!$B$8/2),'I_Budget Input Data'!$D$137*0.4/('I_Inputs &amp; Assumptions'!$B$8/2)),IF('I_Budget Input Data'!$E$137="Back-loaded",IF(5&lt;='I_Inputs &amp; Assumptions'!$B$8/2,'I_Budget Input Data'!$D$137*0.4/('I_Inputs &amp; Assumptions'!$B$8/2),'I_Budget Input Data'!$D$137*0.6/('I_Inputs &amp; Assumptions'!$B$8/2)),IF('I_Budget Input Data'!$E$137="Mid-weighted",IF(5&lt;='I_Inputs &amp; Assumptions'!$B$8/4,'I_Budget Input Data'!$D$137*0.2/('I_Inputs &amp; Assumptions'!$B$8/4),IF(5&lt;='I_Inputs &amp; Assumptions'!$B$8*0.75,'I_Budget Input Data'!$D$137*0.6/('I_Inputs &amp; Assumptions'!$B$8/2),'I_Budget Input Data'!$D$137*0.2/('I_Inputs &amp; Assumptions'!$B$8/4))),IF('I_Budget Input Data'!$E$137="At Completion",IF(5='I_Inputs &amp; Assumptions'!$B$8,'I_Budget Input Data'!$D$137,0),'I_Budget Input Data'!$D$137/'I_Inputs &amp; Assumptions'!$B$8)))))),0)</f>
        <v>2867.353846153846</v>
      </c>
      <c r="H137" s="91">
        <f>IF(6&lt;='I_Inputs &amp; Assumptions'!$B$8,IF('I_Budget Input Data'!$E$137="Upfront",IF(6=1,'I_Budget Input Data'!$D$137,0),IF('I_Budget Input Data'!$E$137="Equal",'I_Budget Input Data'!$D$137/'I_Inputs &amp; Assumptions'!$B$8,IF('I_Budget Input Data'!$E$137="Front-loaded",IF(6&lt;='I_Inputs &amp; Assumptions'!$B$8/2,'I_Budget Input Data'!$D$137*0.6/('I_Inputs &amp; Assumptions'!$B$8/2),'I_Budget Input Data'!$D$137*0.4/('I_Inputs &amp; Assumptions'!$B$8/2)),IF('I_Budget Input Data'!$E$137="Back-loaded",IF(6&lt;='I_Inputs &amp; Assumptions'!$B$8/2,'I_Budget Input Data'!$D$137*0.4/('I_Inputs &amp; Assumptions'!$B$8/2),'I_Budget Input Data'!$D$137*0.6/('I_Inputs &amp; Assumptions'!$B$8/2)),IF('I_Budget Input Data'!$E$137="Mid-weighted",IF(6&lt;='I_Inputs &amp; Assumptions'!$B$8/4,'I_Budget Input Data'!$D$137*0.2/('I_Inputs &amp; Assumptions'!$B$8/4),IF(6&lt;='I_Inputs &amp; Assumptions'!$B$8*0.75,'I_Budget Input Data'!$D$137*0.6/('I_Inputs &amp; Assumptions'!$B$8/2),'I_Budget Input Data'!$D$137*0.2/('I_Inputs &amp; Assumptions'!$B$8/4))),IF('I_Budget Input Data'!$E$137="At Completion",IF(6='I_Inputs &amp; Assumptions'!$B$8,'I_Budget Input Data'!$D$137,0),'I_Budget Input Data'!$D$137/'I_Inputs &amp; Assumptions'!$B$8)))))),0)</f>
        <v>2867.353846153846</v>
      </c>
      <c r="I137" s="91">
        <f>IF(7&lt;='I_Inputs &amp; Assumptions'!$B$8,IF('I_Budget Input Data'!$E$137="Upfront",IF(7=1,'I_Budget Input Data'!$D$137,0),IF('I_Budget Input Data'!$E$137="Equal",'I_Budget Input Data'!$D$137/'I_Inputs &amp; Assumptions'!$B$8,IF('I_Budget Input Data'!$E$137="Front-loaded",IF(7&lt;='I_Inputs &amp; Assumptions'!$B$8/2,'I_Budget Input Data'!$D$137*0.6/('I_Inputs &amp; Assumptions'!$B$8/2),'I_Budget Input Data'!$D$137*0.4/('I_Inputs &amp; Assumptions'!$B$8/2)),IF('I_Budget Input Data'!$E$137="Back-loaded",IF(7&lt;='I_Inputs &amp; Assumptions'!$B$8/2,'I_Budget Input Data'!$D$137*0.4/('I_Inputs &amp; Assumptions'!$B$8/2),'I_Budget Input Data'!$D$137*0.6/('I_Inputs &amp; Assumptions'!$B$8/2)),IF('I_Budget Input Data'!$E$137="Mid-weighted",IF(7&lt;='I_Inputs &amp; Assumptions'!$B$8/4,'I_Budget Input Data'!$D$137*0.2/('I_Inputs &amp; Assumptions'!$B$8/4),IF(7&lt;='I_Inputs &amp; Assumptions'!$B$8*0.75,'I_Budget Input Data'!$D$137*0.6/('I_Inputs &amp; Assumptions'!$B$8/2),'I_Budget Input Data'!$D$137*0.2/('I_Inputs &amp; Assumptions'!$B$8/4))),IF('I_Budget Input Data'!$E$137="At Completion",IF(7='I_Inputs &amp; Assumptions'!$B$8,'I_Budget Input Data'!$D$137,0),'I_Budget Input Data'!$D$137/'I_Inputs &amp; Assumptions'!$B$8)))))),0)</f>
        <v>1911.5692307692309</v>
      </c>
      <c r="J137" s="91">
        <f>IF(8&lt;='I_Inputs &amp; Assumptions'!$B$8,IF('I_Budget Input Data'!$E$137="Upfront",IF(8=1,'I_Budget Input Data'!$D$137,0),IF('I_Budget Input Data'!$E$137="Equal",'I_Budget Input Data'!$D$137/'I_Inputs &amp; Assumptions'!$B$8,IF('I_Budget Input Data'!$E$137="Front-loaded",IF(8&lt;='I_Inputs &amp; Assumptions'!$B$8/2,'I_Budget Input Data'!$D$137*0.6/('I_Inputs &amp; Assumptions'!$B$8/2),'I_Budget Input Data'!$D$137*0.4/('I_Inputs &amp; Assumptions'!$B$8/2)),IF('I_Budget Input Data'!$E$137="Back-loaded",IF(8&lt;='I_Inputs &amp; Assumptions'!$B$8/2,'I_Budget Input Data'!$D$137*0.4/('I_Inputs &amp; Assumptions'!$B$8/2),'I_Budget Input Data'!$D$137*0.6/('I_Inputs &amp; Assumptions'!$B$8/2)),IF('I_Budget Input Data'!$E$137="Mid-weighted",IF(8&lt;='I_Inputs &amp; Assumptions'!$B$8/4,'I_Budget Input Data'!$D$137*0.2/('I_Inputs &amp; Assumptions'!$B$8/4),IF(8&lt;='I_Inputs &amp; Assumptions'!$B$8*0.75,'I_Budget Input Data'!$D$137*0.6/('I_Inputs &amp; Assumptions'!$B$8/2),'I_Budget Input Data'!$D$137*0.2/('I_Inputs &amp; Assumptions'!$B$8/4))),IF('I_Budget Input Data'!$E$137="At Completion",IF(8='I_Inputs &amp; Assumptions'!$B$8,'I_Budget Input Data'!$D$137,0),'I_Budget Input Data'!$D$137/'I_Inputs &amp; Assumptions'!$B$8)))))),0)</f>
        <v>1911.5692307692309</v>
      </c>
      <c r="K137" s="91">
        <f>IF(9&lt;='I_Inputs &amp; Assumptions'!$B$8,IF('I_Budget Input Data'!$E$137="Upfront",IF(9=1,'I_Budget Input Data'!$D$137,0),IF('I_Budget Input Data'!$E$137="Equal",'I_Budget Input Data'!$D$137/'I_Inputs &amp; Assumptions'!$B$8,IF('I_Budget Input Data'!$E$137="Front-loaded",IF(9&lt;='I_Inputs &amp; Assumptions'!$B$8/2,'I_Budget Input Data'!$D$137*0.6/('I_Inputs &amp; Assumptions'!$B$8/2),'I_Budget Input Data'!$D$137*0.4/('I_Inputs &amp; Assumptions'!$B$8/2)),IF('I_Budget Input Data'!$E$137="Back-loaded",IF(9&lt;='I_Inputs &amp; Assumptions'!$B$8/2,'I_Budget Input Data'!$D$137*0.4/('I_Inputs &amp; Assumptions'!$B$8/2),'I_Budget Input Data'!$D$137*0.6/('I_Inputs &amp; Assumptions'!$B$8/2)),IF('I_Budget Input Data'!$E$137="Mid-weighted",IF(9&lt;='I_Inputs &amp; Assumptions'!$B$8/4,'I_Budget Input Data'!$D$137*0.2/('I_Inputs &amp; Assumptions'!$B$8/4),IF(9&lt;='I_Inputs &amp; Assumptions'!$B$8*0.75,'I_Budget Input Data'!$D$137*0.6/('I_Inputs &amp; Assumptions'!$B$8/2),'I_Budget Input Data'!$D$137*0.2/('I_Inputs &amp; Assumptions'!$B$8/4))),IF('I_Budget Input Data'!$E$137="At Completion",IF(9='I_Inputs &amp; Assumptions'!$B$8,'I_Budget Input Data'!$D$137,0),'I_Budget Input Data'!$D$137/'I_Inputs &amp; Assumptions'!$B$8)))))),0)</f>
        <v>1911.5692307692309</v>
      </c>
      <c r="L137" s="91">
        <f>IF(10&lt;='I_Inputs &amp; Assumptions'!$B$8,IF('I_Budget Input Data'!$E$137="Upfront",IF(10=1,'I_Budget Input Data'!$D$137,0),IF('I_Budget Input Data'!$E$137="Equal",'I_Budget Input Data'!$D$137/'I_Inputs &amp; Assumptions'!$B$8,IF('I_Budget Input Data'!$E$137="Front-loaded",IF(10&lt;='I_Inputs &amp; Assumptions'!$B$8/2,'I_Budget Input Data'!$D$137*0.6/('I_Inputs &amp; Assumptions'!$B$8/2),'I_Budget Input Data'!$D$137*0.4/('I_Inputs &amp; Assumptions'!$B$8/2)),IF('I_Budget Input Data'!$E$137="Back-loaded",IF(10&lt;='I_Inputs &amp; Assumptions'!$B$8/2,'I_Budget Input Data'!$D$137*0.4/('I_Inputs &amp; Assumptions'!$B$8/2),'I_Budget Input Data'!$D$137*0.6/('I_Inputs &amp; Assumptions'!$B$8/2)),IF('I_Budget Input Data'!$E$137="Mid-weighted",IF(10&lt;='I_Inputs &amp; Assumptions'!$B$8/4,'I_Budget Input Data'!$D$137*0.2/('I_Inputs &amp; Assumptions'!$B$8/4),IF(10&lt;='I_Inputs &amp; Assumptions'!$B$8*0.75,'I_Budget Input Data'!$D$137*0.6/('I_Inputs &amp; Assumptions'!$B$8/2),'I_Budget Input Data'!$D$137*0.2/('I_Inputs &amp; Assumptions'!$B$8/4))),IF('I_Budget Input Data'!$E$137="At Completion",IF(10='I_Inputs &amp; Assumptions'!$B$8,'I_Budget Input Data'!$D$137,0),'I_Budget Input Data'!$D$137/'I_Inputs &amp; Assumptions'!$B$8)))))),0)</f>
        <v>1911.5692307692309</v>
      </c>
      <c r="M137" s="91">
        <f>IF(11&lt;='I_Inputs &amp; Assumptions'!$B$8,IF('I_Budget Input Data'!$E$137="Upfront",IF(11=1,'I_Budget Input Data'!$D$137,0),IF('I_Budget Input Data'!$E$137="Equal",'I_Budget Input Data'!$D$137/'I_Inputs &amp; Assumptions'!$B$8,IF('I_Budget Input Data'!$E$137="Front-loaded",IF(11&lt;='I_Inputs &amp; Assumptions'!$B$8/2,'I_Budget Input Data'!$D$137*0.6/('I_Inputs &amp; Assumptions'!$B$8/2),'I_Budget Input Data'!$D$137*0.4/('I_Inputs &amp; Assumptions'!$B$8/2)),IF('I_Budget Input Data'!$E$137="Back-loaded",IF(11&lt;='I_Inputs &amp; Assumptions'!$B$8/2,'I_Budget Input Data'!$D$137*0.4/('I_Inputs &amp; Assumptions'!$B$8/2),'I_Budget Input Data'!$D$137*0.6/('I_Inputs &amp; Assumptions'!$B$8/2)),IF('I_Budget Input Data'!$E$137="Mid-weighted",IF(11&lt;='I_Inputs &amp; Assumptions'!$B$8/4,'I_Budget Input Data'!$D$137*0.2/('I_Inputs &amp; Assumptions'!$B$8/4),IF(11&lt;='I_Inputs &amp; Assumptions'!$B$8*0.75,'I_Budget Input Data'!$D$137*0.6/('I_Inputs &amp; Assumptions'!$B$8/2),'I_Budget Input Data'!$D$137*0.2/('I_Inputs &amp; Assumptions'!$B$8/4))),IF('I_Budget Input Data'!$E$137="At Completion",IF(11='I_Inputs &amp; Assumptions'!$B$8,'I_Budget Input Data'!$D$137,0),'I_Budget Input Data'!$D$137/'I_Inputs &amp; Assumptions'!$B$8)))))),0)</f>
        <v>1911.5692307692309</v>
      </c>
      <c r="N137" s="91">
        <f>IF(12&lt;='I_Inputs &amp; Assumptions'!$B$8,IF('I_Budget Input Data'!$E$137="Upfront",IF(12=1,'I_Budget Input Data'!$D$137,0),IF('I_Budget Input Data'!$E$137="Equal",'I_Budget Input Data'!$D$137/'I_Inputs &amp; Assumptions'!$B$8,IF('I_Budget Input Data'!$E$137="Front-loaded",IF(12&lt;='I_Inputs &amp; Assumptions'!$B$8/2,'I_Budget Input Data'!$D$137*0.6/('I_Inputs &amp; Assumptions'!$B$8/2),'I_Budget Input Data'!$D$137*0.4/('I_Inputs &amp; Assumptions'!$B$8/2)),IF('I_Budget Input Data'!$E$137="Back-loaded",IF(12&lt;='I_Inputs &amp; Assumptions'!$B$8/2,'I_Budget Input Data'!$D$137*0.4/('I_Inputs &amp; Assumptions'!$B$8/2),'I_Budget Input Data'!$D$137*0.6/('I_Inputs &amp; Assumptions'!$B$8/2)),IF('I_Budget Input Data'!$E$137="Mid-weighted",IF(12&lt;='I_Inputs &amp; Assumptions'!$B$8/4,'I_Budget Input Data'!$D$137*0.2/('I_Inputs &amp; Assumptions'!$B$8/4),IF(12&lt;='I_Inputs &amp; Assumptions'!$B$8*0.75,'I_Budget Input Data'!$D$137*0.6/('I_Inputs &amp; Assumptions'!$B$8/2),'I_Budget Input Data'!$D$137*0.2/('I_Inputs &amp; Assumptions'!$B$8/4))),IF('I_Budget Input Data'!$E$137="At Completion",IF(12='I_Inputs &amp; Assumptions'!$B$8,'I_Budget Input Data'!$D$137,0),'I_Budget Input Data'!$D$137/'I_Inputs &amp; Assumptions'!$B$8)))))),0)</f>
        <v>1911.5692307692309</v>
      </c>
      <c r="O137" s="91">
        <f>IF(13&lt;='I_Inputs &amp; Assumptions'!$B$8,IF('I_Budget Input Data'!$E$137="Upfront",IF(13=1,'I_Budget Input Data'!$D$137,0),IF('I_Budget Input Data'!$E$137="Equal",'I_Budget Input Data'!$D$137/'I_Inputs &amp; Assumptions'!$B$8,IF('I_Budget Input Data'!$E$137="Front-loaded",IF(13&lt;='I_Inputs &amp; Assumptions'!$B$8/2,'I_Budget Input Data'!$D$137*0.6/('I_Inputs &amp; Assumptions'!$B$8/2),'I_Budget Input Data'!$D$137*0.4/('I_Inputs &amp; Assumptions'!$B$8/2)),IF('I_Budget Input Data'!$E$137="Back-loaded",IF(13&lt;='I_Inputs &amp; Assumptions'!$B$8/2,'I_Budget Input Data'!$D$137*0.4/('I_Inputs &amp; Assumptions'!$B$8/2),'I_Budget Input Data'!$D$137*0.6/('I_Inputs &amp; Assumptions'!$B$8/2)),IF('I_Budget Input Data'!$E$137="Mid-weighted",IF(13&lt;='I_Inputs &amp; Assumptions'!$B$8/4,'I_Budget Input Data'!$D$137*0.2/('I_Inputs &amp; Assumptions'!$B$8/4),IF(13&lt;='I_Inputs &amp; Assumptions'!$B$8*0.75,'I_Budget Input Data'!$D$137*0.6/('I_Inputs &amp; Assumptions'!$B$8/2),'I_Budget Input Data'!$D$137*0.2/('I_Inputs &amp; Assumptions'!$B$8/4))),IF('I_Budget Input Data'!$E$137="At Completion",IF(13='I_Inputs &amp; Assumptions'!$B$8,'I_Budget Input Data'!$D$137,0),'I_Budget Input Data'!$D$137/'I_Inputs &amp; Assumptions'!$B$8)))))),0)</f>
        <v>1911.5692307692309</v>
      </c>
      <c r="P137" s="91">
        <f>IF(14&lt;='I_Inputs &amp; Assumptions'!$B$8,IF('I_Budget Input Data'!$E$137="Upfront",IF(14=1,'I_Budget Input Data'!$D$137,0),IF('I_Budget Input Data'!$E$137="Equal",'I_Budget Input Data'!$D$137/'I_Inputs &amp; Assumptions'!$B$8,IF('I_Budget Input Data'!$E$137="Front-loaded",IF(14&lt;='I_Inputs &amp; Assumptions'!$B$8/2,'I_Budget Input Data'!$D$137*0.6/('I_Inputs &amp; Assumptions'!$B$8/2),'I_Budget Input Data'!$D$137*0.4/('I_Inputs &amp; Assumptions'!$B$8/2)),IF('I_Budget Input Data'!$E$137="Back-loaded",IF(14&lt;='I_Inputs &amp; Assumptions'!$B$8/2,'I_Budget Input Data'!$D$137*0.4/('I_Inputs &amp; Assumptions'!$B$8/2),'I_Budget Input Data'!$D$137*0.6/('I_Inputs &amp; Assumptions'!$B$8/2)),IF('I_Budget Input Data'!$E$137="Mid-weighted",IF(14&lt;='I_Inputs &amp; Assumptions'!$B$8/4,'I_Budget Input Data'!$D$137*0.2/('I_Inputs &amp; Assumptions'!$B$8/4),IF(14&lt;='I_Inputs &amp; Assumptions'!$B$8*0.75,'I_Budget Input Data'!$D$137*0.6/('I_Inputs &amp; Assumptions'!$B$8/2),'I_Budget Input Data'!$D$137*0.2/('I_Inputs &amp; Assumptions'!$B$8/4))),IF('I_Budget Input Data'!$E$137="At Completion",IF(14='I_Inputs &amp; Assumptions'!$B$8,'I_Budget Input Data'!$D$137,0),'I_Budget Input Data'!$D$137/'I_Inputs &amp; Assumptions'!$B$8)))))),0)</f>
        <v>0</v>
      </c>
      <c r="Q137" s="91">
        <f>IF(15&lt;='I_Inputs &amp; Assumptions'!$B$8,IF('I_Budget Input Data'!$E$137="Upfront",IF(15=1,'I_Budget Input Data'!$D$137,0),IF('I_Budget Input Data'!$E$137="Equal",'I_Budget Input Data'!$D$137/'I_Inputs &amp; Assumptions'!$B$8,IF('I_Budget Input Data'!$E$137="Front-loaded",IF(15&lt;='I_Inputs &amp; Assumptions'!$B$8/2,'I_Budget Input Data'!$D$137*0.6/('I_Inputs &amp; Assumptions'!$B$8/2),'I_Budget Input Data'!$D$137*0.4/('I_Inputs &amp; Assumptions'!$B$8/2)),IF('I_Budget Input Data'!$E$137="Back-loaded",IF(15&lt;='I_Inputs &amp; Assumptions'!$B$8/2,'I_Budget Input Data'!$D$137*0.4/('I_Inputs &amp; Assumptions'!$B$8/2),'I_Budget Input Data'!$D$137*0.6/('I_Inputs &amp; Assumptions'!$B$8/2)),IF('I_Budget Input Data'!$E$137="Mid-weighted",IF(15&lt;='I_Inputs &amp; Assumptions'!$B$8/4,'I_Budget Input Data'!$D$137*0.2/('I_Inputs &amp; Assumptions'!$B$8/4),IF(15&lt;='I_Inputs &amp; Assumptions'!$B$8*0.75,'I_Budget Input Data'!$D$137*0.6/('I_Inputs &amp; Assumptions'!$B$8/2),'I_Budget Input Data'!$D$137*0.2/('I_Inputs &amp; Assumptions'!$B$8/4))),IF('I_Budget Input Data'!$E$137="At Completion",IF(15='I_Inputs &amp; Assumptions'!$B$8,'I_Budget Input Data'!$D$137,0),'I_Budget Input Data'!$D$137/'I_Inputs &amp; Assumptions'!$B$8)))))),0)</f>
        <v>0</v>
      </c>
      <c r="R137" s="91">
        <f>IF(16&lt;='I_Inputs &amp; Assumptions'!$B$8,IF('I_Budget Input Data'!$E$137="Upfront",IF(16=1,'I_Budget Input Data'!$D$137,0),IF('I_Budget Input Data'!$E$137="Equal",'I_Budget Input Data'!$D$137/'I_Inputs &amp; Assumptions'!$B$8,IF('I_Budget Input Data'!$E$137="Front-loaded",IF(16&lt;='I_Inputs &amp; Assumptions'!$B$8/2,'I_Budget Input Data'!$D$137*0.6/('I_Inputs &amp; Assumptions'!$B$8/2),'I_Budget Input Data'!$D$137*0.4/('I_Inputs &amp; Assumptions'!$B$8/2)),IF('I_Budget Input Data'!$E$137="Back-loaded",IF(16&lt;='I_Inputs &amp; Assumptions'!$B$8/2,'I_Budget Input Data'!$D$137*0.4/('I_Inputs &amp; Assumptions'!$B$8/2),'I_Budget Input Data'!$D$137*0.6/('I_Inputs &amp; Assumptions'!$B$8/2)),IF('I_Budget Input Data'!$E$137="Mid-weighted",IF(16&lt;='I_Inputs &amp; Assumptions'!$B$8/4,'I_Budget Input Data'!$D$137*0.2/('I_Inputs &amp; Assumptions'!$B$8/4),IF(16&lt;='I_Inputs &amp; Assumptions'!$B$8*0.75,'I_Budget Input Data'!$D$137*0.6/('I_Inputs &amp; Assumptions'!$B$8/2),'I_Budget Input Data'!$D$137*0.2/('I_Inputs &amp; Assumptions'!$B$8/4))),IF('I_Budget Input Data'!$E$137="At Completion",IF(16='I_Inputs &amp; Assumptions'!$B$8,'I_Budget Input Data'!$D$137,0),'I_Budget Input Data'!$D$137/'I_Inputs &amp; Assumptions'!$B$8)))))),0)</f>
        <v>0</v>
      </c>
      <c r="S137" s="91">
        <f>IF(17&lt;='I_Inputs &amp; Assumptions'!$B$8,IF('I_Budget Input Data'!$E$137="Upfront",IF(17=1,'I_Budget Input Data'!$D$137,0),IF('I_Budget Input Data'!$E$137="Equal",'I_Budget Input Data'!$D$137/'I_Inputs &amp; Assumptions'!$B$8,IF('I_Budget Input Data'!$E$137="Front-loaded",IF(17&lt;='I_Inputs &amp; Assumptions'!$B$8/2,'I_Budget Input Data'!$D$137*0.6/('I_Inputs &amp; Assumptions'!$B$8/2),'I_Budget Input Data'!$D$137*0.4/('I_Inputs &amp; Assumptions'!$B$8/2)),IF('I_Budget Input Data'!$E$137="Back-loaded",IF(17&lt;='I_Inputs &amp; Assumptions'!$B$8/2,'I_Budget Input Data'!$D$137*0.4/('I_Inputs &amp; Assumptions'!$B$8/2),'I_Budget Input Data'!$D$137*0.6/('I_Inputs &amp; Assumptions'!$B$8/2)),IF('I_Budget Input Data'!$E$137="Mid-weighted",IF(17&lt;='I_Inputs &amp; Assumptions'!$B$8/4,'I_Budget Input Data'!$D$137*0.2/('I_Inputs &amp; Assumptions'!$B$8/4),IF(17&lt;='I_Inputs &amp; Assumptions'!$B$8*0.75,'I_Budget Input Data'!$D$137*0.6/('I_Inputs &amp; Assumptions'!$B$8/2),'I_Budget Input Data'!$D$137*0.2/('I_Inputs &amp; Assumptions'!$B$8/4))),IF('I_Budget Input Data'!$E$137="At Completion",IF(17='I_Inputs &amp; Assumptions'!$B$8,'I_Budget Input Data'!$D$137,0),'I_Budget Input Data'!$D$137/'I_Inputs &amp; Assumptions'!$B$8)))))),0)</f>
        <v>0</v>
      </c>
      <c r="T137" s="91">
        <f>IF(18&lt;='I_Inputs &amp; Assumptions'!$B$8,IF('I_Budget Input Data'!$E$137="Upfront",IF(18=1,'I_Budget Input Data'!$D$137,0),IF('I_Budget Input Data'!$E$137="Equal",'I_Budget Input Data'!$D$137/'I_Inputs &amp; Assumptions'!$B$8,IF('I_Budget Input Data'!$E$137="Front-loaded",IF(18&lt;='I_Inputs &amp; Assumptions'!$B$8/2,'I_Budget Input Data'!$D$137*0.6/('I_Inputs &amp; Assumptions'!$B$8/2),'I_Budget Input Data'!$D$137*0.4/('I_Inputs &amp; Assumptions'!$B$8/2)),IF('I_Budget Input Data'!$E$137="Back-loaded",IF(18&lt;='I_Inputs &amp; Assumptions'!$B$8/2,'I_Budget Input Data'!$D$137*0.4/('I_Inputs &amp; Assumptions'!$B$8/2),'I_Budget Input Data'!$D$137*0.6/('I_Inputs &amp; Assumptions'!$B$8/2)),IF('I_Budget Input Data'!$E$137="Mid-weighted",IF(18&lt;='I_Inputs &amp; Assumptions'!$B$8/4,'I_Budget Input Data'!$D$137*0.2/('I_Inputs &amp; Assumptions'!$B$8/4),IF(18&lt;='I_Inputs &amp; Assumptions'!$B$8*0.75,'I_Budget Input Data'!$D$137*0.6/('I_Inputs &amp; Assumptions'!$B$8/2),'I_Budget Input Data'!$D$137*0.2/('I_Inputs &amp; Assumptions'!$B$8/4))),IF('I_Budget Input Data'!$E$137="At Completion",IF(18='I_Inputs &amp; Assumptions'!$B$8,'I_Budget Input Data'!$D$137,0),'I_Budget Input Data'!$D$137/'I_Inputs &amp; Assumptions'!$B$8)))))),0)</f>
        <v>0</v>
      </c>
      <c r="U137" s="91">
        <f>IF(19&lt;='I_Inputs &amp; Assumptions'!$B$8,IF('I_Budget Input Data'!$E$137="Upfront",IF(19=1,'I_Budget Input Data'!$D$137,0),IF('I_Budget Input Data'!$E$137="Equal",'I_Budget Input Data'!$D$137/'I_Inputs &amp; Assumptions'!$B$8,IF('I_Budget Input Data'!$E$137="Front-loaded",IF(19&lt;='I_Inputs &amp; Assumptions'!$B$8/2,'I_Budget Input Data'!$D$137*0.6/('I_Inputs &amp; Assumptions'!$B$8/2),'I_Budget Input Data'!$D$137*0.4/('I_Inputs &amp; Assumptions'!$B$8/2)),IF('I_Budget Input Data'!$E$137="Back-loaded",IF(19&lt;='I_Inputs &amp; Assumptions'!$B$8/2,'I_Budget Input Data'!$D$137*0.4/('I_Inputs &amp; Assumptions'!$B$8/2),'I_Budget Input Data'!$D$137*0.6/('I_Inputs &amp; Assumptions'!$B$8/2)),IF('I_Budget Input Data'!$E$137="Mid-weighted",IF(19&lt;='I_Inputs &amp; Assumptions'!$B$8/4,'I_Budget Input Data'!$D$137*0.2/('I_Inputs &amp; Assumptions'!$B$8/4),IF(19&lt;='I_Inputs &amp; Assumptions'!$B$8*0.75,'I_Budget Input Data'!$D$137*0.6/('I_Inputs &amp; Assumptions'!$B$8/2),'I_Budget Input Data'!$D$137*0.2/('I_Inputs &amp; Assumptions'!$B$8/4))),IF('I_Budget Input Data'!$E$137="At Completion",IF(19='I_Inputs &amp; Assumptions'!$B$8,'I_Budget Input Data'!$D$137,0),'I_Budget Input Data'!$D$137/'I_Inputs &amp; Assumptions'!$B$8)))))),0)</f>
        <v>0</v>
      </c>
      <c r="V137" s="91">
        <f>IF(20&lt;='I_Inputs &amp; Assumptions'!$B$8,IF('I_Budget Input Data'!$E$137="Upfront",IF(20=1,'I_Budget Input Data'!$D$137,0),IF('I_Budget Input Data'!$E$137="Equal",'I_Budget Input Data'!$D$137/'I_Inputs &amp; Assumptions'!$B$8,IF('I_Budget Input Data'!$E$137="Front-loaded",IF(20&lt;='I_Inputs &amp; Assumptions'!$B$8/2,'I_Budget Input Data'!$D$137*0.6/('I_Inputs &amp; Assumptions'!$B$8/2),'I_Budget Input Data'!$D$137*0.4/('I_Inputs &amp; Assumptions'!$B$8/2)),IF('I_Budget Input Data'!$E$137="Back-loaded",IF(20&lt;='I_Inputs &amp; Assumptions'!$B$8/2,'I_Budget Input Data'!$D$137*0.4/('I_Inputs &amp; Assumptions'!$B$8/2),'I_Budget Input Data'!$D$137*0.6/('I_Inputs &amp; Assumptions'!$B$8/2)),IF('I_Budget Input Data'!$E$137="Mid-weighted",IF(20&lt;='I_Inputs &amp; Assumptions'!$B$8/4,'I_Budget Input Data'!$D$137*0.2/('I_Inputs &amp; Assumptions'!$B$8/4),IF(20&lt;='I_Inputs &amp; Assumptions'!$B$8*0.75,'I_Budget Input Data'!$D$137*0.6/('I_Inputs &amp; Assumptions'!$B$8/2),'I_Budget Input Data'!$D$137*0.2/('I_Inputs &amp; Assumptions'!$B$8/4))),IF('I_Budget Input Data'!$E$137="At Completion",IF(20='I_Inputs &amp; Assumptions'!$B$8,'I_Budget Input Data'!$D$137,0),'I_Budget Input Data'!$D$137/'I_Inputs &amp; Assumptions'!$B$8)))))),0)</f>
        <v>0</v>
      </c>
      <c r="W137" s="91">
        <f>IF(21&lt;='I_Inputs &amp; Assumptions'!$B$8,IF('I_Budget Input Data'!$E$137="Upfront",IF(21=1,'I_Budget Input Data'!$D$137,0),IF('I_Budget Input Data'!$E$137="Equal",'I_Budget Input Data'!$D$137/'I_Inputs &amp; Assumptions'!$B$8,IF('I_Budget Input Data'!$E$137="Front-loaded",IF(21&lt;='I_Inputs &amp; Assumptions'!$B$8/2,'I_Budget Input Data'!$D$137*0.6/('I_Inputs &amp; Assumptions'!$B$8/2),'I_Budget Input Data'!$D$137*0.4/('I_Inputs &amp; Assumptions'!$B$8/2)),IF('I_Budget Input Data'!$E$137="Back-loaded",IF(21&lt;='I_Inputs &amp; Assumptions'!$B$8/2,'I_Budget Input Data'!$D$137*0.4/('I_Inputs &amp; Assumptions'!$B$8/2),'I_Budget Input Data'!$D$137*0.6/('I_Inputs &amp; Assumptions'!$B$8/2)),IF('I_Budget Input Data'!$E$137="Mid-weighted",IF(21&lt;='I_Inputs &amp; Assumptions'!$B$8/4,'I_Budget Input Data'!$D$137*0.2/('I_Inputs &amp; Assumptions'!$B$8/4),IF(21&lt;='I_Inputs &amp; Assumptions'!$B$8*0.75,'I_Budget Input Data'!$D$137*0.6/('I_Inputs &amp; Assumptions'!$B$8/2),'I_Budget Input Data'!$D$137*0.2/('I_Inputs &amp; Assumptions'!$B$8/4))),IF('I_Budget Input Data'!$E$137="At Completion",IF(21='I_Inputs &amp; Assumptions'!$B$8,'I_Budget Input Data'!$D$137,0),'I_Budget Input Data'!$D$137/'I_Inputs &amp; Assumptions'!$B$8)))))),0)</f>
        <v>0</v>
      </c>
      <c r="X137" s="91">
        <f>IF(22&lt;='I_Inputs &amp; Assumptions'!$B$8,IF('I_Budget Input Data'!$E$137="Upfront",IF(22=1,'I_Budget Input Data'!$D$137,0),IF('I_Budget Input Data'!$E$137="Equal",'I_Budget Input Data'!$D$137/'I_Inputs &amp; Assumptions'!$B$8,IF('I_Budget Input Data'!$E$137="Front-loaded",IF(22&lt;='I_Inputs &amp; Assumptions'!$B$8/2,'I_Budget Input Data'!$D$137*0.6/('I_Inputs &amp; Assumptions'!$B$8/2),'I_Budget Input Data'!$D$137*0.4/('I_Inputs &amp; Assumptions'!$B$8/2)),IF('I_Budget Input Data'!$E$137="Back-loaded",IF(22&lt;='I_Inputs &amp; Assumptions'!$B$8/2,'I_Budget Input Data'!$D$137*0.4/('I_Inputs &amp; Assumptions'!$B$8/2),'I_Budget Input Data'!$D$137*0.6/('I_Inputs &amp; Assumptions'!$B$8/2)),IF('I_Budget Input Data'!$E$137="Mid-weighted",IF(22&lt;='I_Inputs &amp; Assumptions'!$B$8/4,'I_Budget Input Data'!$D$137*0.2/('I_Inputs &amp; Assumptions'!$B$8/4),IF(22&lt;='I_Inputs &amp; Assumptions'!$B$8*0.75,'I_Budget Input Data'!$D$137*0.6/('I_Inputs &amp; Assumptions'!$B$8/2),'I_Budget Input Data'!$D$137*0.2/('I_Inputs &amp; Assumptions'!$B$8/4))),IF('I_Budget Input Data'!$E$137="At Completion",IF(22='I_Inputs &amp; Assumptions'!$B$8,'I_Budget Input Data'!$D$137,0),'I_Budget Input Data'!$D$137/'I_Inputs &amp; Assumptions'!$B$8)))))),0)</f>
        <v>0</v>
      </c>
      <c r="Y137" s="91">
        <f>IF(23&lt;='I_Inputs &amp; Assumptions'!$B$8,IF('I_Budget Input Data'!$E$137="Upfront",IF(23=1,'I_Budget Input Data'!$D$137,0),IF('I_Budget Input Data'!$E$137="Equal",'I_Budget Input Data'!$D$137/'I_Inputs &amp; Assumptions'!$B$8,IF('I_Budget Input Data'!$E$137="Front-loaded",IF(23&lt;='I_Inputs &amp; Assumptions'!$B$8/2,'I_Budget Input Data'!$D$137*0.6/('I_Inputs &amp; Assumptions'!$B$8/2),'I_Budget Input Data'!$D$137*0.4/('I_Inputs &amp; Assumptions'!$B$8/2)),IF('I_Budget Input Data'!$E$137="Back-loaded",IF(23&lt;='I_Inputs &amp; Assumptions'!$B$8/2,'I_Budget Input Data'!$D$137*0.4/('I_Inputs &amp; Assumptions'!$B$8/2),'I_Budget Input Data'!$D$137*0.6/('I_Inputs &amp; Assumptions'!$B$8/2)),IF('I_Budget Input Data'!$E$137="Mid-weighted",IF(23&lt;='I_Inputs &amp; Assumptions'!$B$8/4,'I_Budget Input Data'!$D$137*0.2/('I_Inputs &amp; Assumptions'!$B$8/4),IF(23&lt;='I_Inputs &amp; Assumptions'!$B$8*0.75,'I_Budget Input Data'!$D$137*0.6/('I_Inputs &amp; Assumptions'!$B$8/2),'I_Budget Input Data'!$D$137*0.2/('I_Inputs &amp; Assumptions'!$B$8/4))),IF('I_Budget Input Data'!$E$137="At Completion",IF(23='I_Inputs &amp; Assumptions'!$B$8,'I_Budget Input Data'!$D$137,0),'I_Budget Input Data'!$D$137/'I_Inputs &amp; Assumptions'!$B$8)))))),0)</f>
        <v>0</v>
      </c>
      <c r="Z137" s="91">
        <f>IF(24&lt;='I_Inputs &amp; Assumptions'!$B$8,IF('I_Budget Input Data'!$E$137="Upfront",IF(24=1,'I_Budget Input Data'!$D$137,0),IF('I_Budget Input Data'!$E$137="Equal",'I_Budget Input Data'!$D$137/'I_Inputs &amp; Assumptions'!$B$8,IF('I_Budget Input Data'!$E$137="Front-loaded",IF(24&lt;='I_Inputs &amp; Assumptions'!$B$8/2,'I_Budget Input Data'!$D$137*0.6/('I_Inputs &amp; Assumptions'!$B$8/2),'I_Budget Input Data'!$D$137*0.4/('I_Inputs &amp; Assumptions'!$B$8/2)),IF('I_Budget Input Data'!$E$137="Back-loaded",IF(24&lt;='I_Inputs &amp; Assumptions'!$B$8/2,'I_Budget Input Data'!$D$137*0.4/('I_Inputs &amp; Assumptions'!$B$8/2),'I_Budget Input Data'!$D$137*0.6/('I_Inputs &amp; Assumptions'!$B$8/2)),IF('I_Budget Input Data'!$E$137="Mid-weighted",IF(24&lt;='I_Inputs &amp; Assumptions'!$B$8/4,'I_Budget Input Data'!$D$137*0.2/('I_Inputs &amp; Assumptions'!$B$8/4),IF(24&lt;='I_Inputs &amp; Assumptions'!$B$8*0.75,'I_Budget Input Data'!$D$137*0.6/('I_Inputs &amp; Assumptions'!$B$8/2),'I_Budget Input Data'!$D$137*0.2/('I_Inputs &amp; Assumptions'!$B$8/4))),IF('I_Budget Input Data'!$E$137="At Completion",IF(24='I_Inputs &amp; Assumptions'!$B$8,'I_Budget Input Data'!$D$137,0),'I_Budget Input Data'!$D$137/'I_Inputs &amp; Assumptions'!$B$8)))))),0)</f>
        <v>0</v>
      </c>
      <c r="AA137" s="91">
        <f>IF(25&lt;='I_Inputs &amp; Assumptions'!$B$8,IF('I_Budget Input Data'!$E$137="Upfront",IF(25=1,'I_Budget Input Data'!$D$137,0),IF('I_Budget Input Data'!$E$137="Equal",'I_Budget Input Data'!$D$137/'I_Inputs &amp; Assumptions'!$B$8,IF('I_Budget Input Data'!$E$137="Front-loaded",IF(25&lt;='I_Inputs &amp; Assumptions'!$B$8/2,'I_Budget Input Data'!$D$137*0.6/('I_Inputs &amp; Assumptions'!$B$8/2),'I_Budget Input Data'!$D$137*0.4/('I_Inputs &amp; Assumptions'!$B$8/2)),IF('I_Budget Input Data'!$E$137="Back-loaded",IF(25&lt;='I_Inputs &amp; Assumptions'!$B$8/2,'I_Budget Input Data'!$D$137*0.4/('I_Inputs &amp; Assumptions'!$B$8/2),'I_Budget Input Data'!$D$137*0.6/('I_Inputs &amp; Assumptions'!$B$8/2)),IF('I_Budget Input Data'!$E$137="Mid-weighted",IF(25&lt;='I_Inputs &amp; Assumptions'!$B$8/4,'I_Budget Input Data'!$D$137*0.2/('I_Inputs &amp; Assumptions'!$B$8/4),IF(25&lt;='I_Inputs &amp; Assumptions'!$B$8*0.75,'I_Budget Input Data'!$D$137*0.6/('I_Inputs &amp; Assumptions'!$B$8/2),'I_Budget Input Data'!$D$137*0.2/('I_Inputs &amp; Assumptions'!$B$8/4))),IF('I_Budget Input Data'!$E$137="At Completion",IF(25='I_Inputs &amp; Assumptions'!$B$8,'I_Budget Input Data'!$D$137,0),'I_Budget Input Data'!$D$137/'I_Inputs &amp; Assumptions'!$B$8)))))),0)</f>
        <v>0</v>
      </c>
      <c r="AB137" s="91">
        <f>IF(26&lt;='I_Inputs &amp; Assumptions'!$B$8,IF('I_Budget Input Data'!$E$137="Upfront",IF(26=1,'I_Budget Input Data'!$D$137,0),IF('I_Budget Input Data'!$E$137="Equal",'I_Budget Input Data'!$D$137/'I_Inputs &amp; Assumptions'!$B$8,IF('I_Budget Input Data'!$E$137="Front-loaded",IF(26&lt;='I_Inputs &amp; Assumptions'!$B$8/2,'I_Budget Input Data'!$D$137*0.6/('I_Inputs &amp; Assumptions'!$B$8/2),'I_Budget Input Data'!$D$137*0.4/('I_Inputs &amp; Assumptions'!$B$8/2)),IF('I_Budget Input Data'!$E$137="Back-loaded",IF(26&lt;='I_Inputs &amp; Assumptions'!$B$8/2,'I_Budget Input Data'!$D$137*0.4/('I_Inputs &amp; Assumptions'!$B$8/2),'I_Budget Input Data'!$D$137*0.6/('I_Inputs &amp; Assumptions'!$B$8/2)),IF('I_Budget Input Data'!$E$137="Mid-weighted",IF(26&lt;='I_Inputs &amp; Assumptions'!$B$8/4,'I_Budget Input Data'!$D$137*0.2/('I_Inputs &amp; Assumptions'!$B$8/4),IF(26&lt;='I_Inputs &amp; Assumptions'!$B$8*0.75,'I_Budget Input Data'!$D$137*0.6/('I_Inputs &amp; Assumptions'!$B$8/2),'I_Budget Input Data'!$D$137*0.2/('I_Inputs &amp; Assumptions'!$B$8/4))),IF('I_Budget Input Data'!$E$137="At Completion",IF(26='I_Inputs &amp; Assumptions'!$B$8,'I_Budget Input Data'!$D$137,0),'I_Budget Input Data'!$D$137/'I_Inputs &amp; Assumptions'!$B$8)))))),0)</f>
        <v>0</v>
      </c>
      <c r="AC137" s="91">
        <f>IF(27&lt;='I_Inputs &amp; Assumptions'!$B$8,IF('I_Budget Input Data'!$E$137="Upfront",IF(27=1,'I_Budget Input Data'!$D$137,0),IF('I_Budget Input Data'!$E$137="Equal",'I_Budget Input Data'!$D$137/'I_Inputs &amp; Assumptions'!$B$8,IF('I_Budget Input Data'!$E$137="Front-loaded",IF(27&lt;='I_Inputs &amp; Assumptions'!$B$8/2,'I_Budget Input Data'!$D$137*0.6/('I_Inputs &amp; Assumptions'!$B$8/2),'I_Budget Input Data'!$D$137*0.4/('I_Inputs &amp; Assumptions'!$B$8/2)),IF('I_Budget Input Data'!$E$137="Back-loaded",IF(27&lt;='I_Inputs &amp; Assumptions'!$B$8/2,'I_Budget Input Data'!$D$137*0.4/('I_Inputs &amp; Assumptions'!$B$8/2),'I_Budget Input Data'!$D$137*0.6/('I_Inputs &amp; Assumptions'!$B$8/2)),IF('I_Budget Input Data'!$E$137="Mid-weighted",IF(27&lt;='I_Inputs &amp; Assumptions'!$B$8/4,'I_Budget Input Data'!$D$137*0.2/('I_Inputs &amp; Assumptions'!$B$8/4),IF(27&lt;='I_Inputs &amp; Assumptions'!$B$8*0.75,'I_Budget Input Data'!$D$137*0.6/('I_Inputs &amp; Assumptions'!$B$8/2),'I_Budget Input Data'!$D$137*0.2/('I_Inputs &amp; Assumptions'!$B$8/4))),IF('I_Budget Input Data'!$E$137="At Completion",IF(27='I_Inputs &amp; Assumptions'!$B$8,'I_Budget Input Data'!$D$137,0),'I_Budget Input Data'!$D$137/'I_Inputs &amp; Assumptions'!$B$8)))))),0)</f>
        <v>0</v>
      </c>
      <c r="AD137" s="91">
        <f>IF(28&lt;='I_Inputs &amp; Assumptions'!$B$8,IF('I_Budget Input Data'!$E$137="Upfront",IF(28=1,'I_Budget Input Data'!$D$137,0),IF('I_Budget Input Data'!$E$137="Equal",'I_Budget Input Data'!$D$137/'I_Inputs &amp; Assumptions'!$B$8,IF('I_Budget Input Data'!$E$137="Front-loaded",IF(28&lt;='I_Inputs &amp; Assumptions'!$B$8/2,'I_Budget Input Data'!$D$137*0.6/('I_Inputs &amp; Assumptions'!$B$8/2),'I_Budget Input Data'!$D$137*0.4/('I_Inputs &amp; Assumptions'!$B$8/2)),IF('I_Budget Input Data'!$E$137="Back-loaded",IF(28&lt;='I_Inputs &amp; Assumptions'!$B$8/2,'I_Budget Input Data'!$D$137*0.4/('I_Inputs &amp; Assumptions'!$B$8/2),'I_Budget Input Data'!$D$137*0.6/('I_Inputs &amp; Assumptions'!$B$8/2)),IF('I_Budget Input Data'!$E$137="Mid-weighted",IF(28&lt;='I_Inputs &amp; Assumptions'!$B$8/4,'I_Budget Input Data'!$D$137*0.2/('I_Inputs &amp; Assumptions'!$B$8/4),IF(28&lt;='I_Inputs &amp; Assumptions'!$B$8*0.75,'I_Budget Input Data'!$D$137*0.6/('I_Inputs &amp; Assumptions'!$B$8/2),'I_Budget Input Data'!$D$137*0.2/('I_Inputs &amp; Assumptions'!$B$8/4))),IF('I_Budget Input Data'!$E$137="At Completion",IF(28='I_Inputs &amp; Assumptions'!$B$8,'I_Budget Input Data'!$D$137,0),'I_Budget Input Data'!$D$137/'I_Inputs &amp; Assumptions'!$B$8)))))),0)</f>
        <v>0</v>
      </c>
      <c r="AE137" s="91">
        <f>IF(29&lt;='I_Inputs &amp; Assumptions'!$B$8,IF('I_Budget Input Data'!$E$137="Upfront",IF(29=1,'I_Budget Input Data'!$D$137,0),IF('I_Budget Input Data'!$E$137="Equal",'I_Budget Input Data'!$D$137/'I_Inputs &amp; Assumptions'!$B$8,IF('I_Budget Input Data'!$E$137="Front-loaded",IF(29&lt;='I_Inputs &amp; Assumptions'!$B$8/2,'I_Budget Input Data'!$D$137*0.6/('I_Inputs &amp; Assumptions'!$B$8/2),'I_Budget Input Data'!$D$137*0.4/('I_Inputs &amp; Assumptions'!$B$8/2)),IF('I_Budget Input Data'!$E$137="Back-loaded",IF(29&lt;='I_Inputs &amp; Assumptions'!$B$8/2,'I_Budget Input Data'!$D$137*0.4/('I_Inputs &amp; Assumptions'!$B$8/2),'I_Budget Input Data'!$D$137*0.6/('I_Inputs &amp; Assumptions'!$B$8/2)),IF('I_Budget Input Data'!$E$137="Mid-weighted",IF(29&lt;='I_Inputs &amp; Assumptions'!$B$8/4,'I_Budget Input Data'!$D$137*0.2/('I_Inputs &amp; Assumptions'!$B$8/4),IF(29&lt;='I_Inputs &amp; Assumptions'!$B$8*0.75,'I_Budget Input Data'!$D$137*0.6/('I_Inputs &amp; Assumptions'!$B$8/2),'I_Budget Input Data'!$D$137*0.2/('I_Inputs &amp; Assumptions'!$B$8/4))),IF('I_Budget Input Data'!$E$137="At Completion",IF(29='I_Inputs &amp; Assumptions'!$B$8,'I_Budget Input Data'!$D$137,0),'I_Budget Input Data'!$D$137/'I_Inputs &amp; Assumptions'!$B$8)))))),0)</f>
        <v>0</v>
      </c>
      <c r="AF137" s="91">
        <f>IF(30&lt;='I_Inputs &amp; Assumptions'!$B$8,IF('I_Budget Input Data'!$E$137="Upfront",IF(30=1,'I_Budget Input Data'!$D$137,0),IF('I_Budget Input Data'!$E$137="Equal",'I_Budget Input Data'!$D$137/'I_Inputs &amp; Assumptions'!$B$8,IF('I_Budget Input Data'!$E$137="Front-loaded",IF(30&lt;='I_Inputs &amp; Assumptions'!$B$8/2,'I_Budget Input Data'!$D$137*0.6/('I_Inputs &amp; Assumptions'!$B$8/2),'I_Budget Input Data'!$D$137*0.4/('I_Inputs &amp; Assumptions'!$B$8/2)),IF('I_Budget Input Data'!$E$137="Back-loaded",IF(30&lt;='I_Inputs &amp; Assumptions'!$B$8/2,'I_Budget Input Data'!$D$137*0.4/('I_Inputs &amp; Assumptions'!$B$8/2),'I_Budget Input Data'!$D$137*0.6/('I_Inputs &amp; Assumptions'!$B$8/2)),IF('I_Budget Input Data'!$E$137="Mid-weighted",IF(30&lt;='I_Inputs &amp; Assumptions'!$B$8/4,'I_Budget Input Data'!$D$137*0.2/('I_Inputs &amp; Assumptions'!$B$8/4),IF(30&lt;='I_Inputs &amp; Assumptions'!$B$8*0.75,'I_Budget Input Data'!$D$137*0.6/('I_Inputs &amp; Assumptions'!$B$8/2),'I_Budget Input Data'!$D$137*0.2/('I_Inputs &amp; Assumptions'!$B$8/4))),IF('I_Budget Input Data'!$E$137="At Completion",IF(30='I_Inputs &amp; Assumptions'!$B$8,'I_Budget Input Data'!$D$137,0),'I_Budget Input Data'!$D$137/'I_Inputs &amp; Assumptions'!$B$8)))))),0)</f>
        <v>0</v>
      </c>
      <c r="AG137" s="91">
        <f>IF(31&lt;='I_Inputs &amp; Assumptions'!$B$8,IF('I_Budget Input Data'!$E$137="Upfront",IF(31=1,'I_Budget Input Data'!$D$137,0),IF('I_Budget Input Data'!$E$137="Equal",'I_Budget Input Data'!$D$137/'I_Inputs &amp; Assumptions'!$B$8,IF('I_Budget Input Data'!$E$137="Front-loaded",IF(31&lt;='I_Inputs &amp; Assumptions'!$B$8/2,'I_Budget Input Data'!$D$137*0.6/('I_Inputs &amp; Assumptions'!$B$8/2),'I_Budget Input Data'!$D$137*0.4/('I_Inputs &amp; Assumptions'!$B$8/2)),IF('I_Budget Input Data'!$E$137="Back-loaded",IF(31&lt;='I_Inputs &amp; Assumptions'!$B$8/2,'I_Budget Input Data'!$D$137*0.4/('I_Inputs &amp; Assumptions'!$B$8/2),'I_Budget Input Data'!$D$137*0.6/('I_Inputs &amp; Assumptions'!$B$8/2)),IF('I_Budget Input Data'!$E$137="Mid-weighted",IF(31&lt;='I_Inputs &amp; Assumptions'!$B$8/4,'I_Budget Input Data'!$D$137*0.2/('I_Inputs &amp; Assumptions'!$B$8/4),IF(31&lt;='I_Inputs &amp; Assumptions'!$B$8*0.75,'I_Budget Input Data'!$D$137*0.6/('I_Inputs &amp; Assumptions'!$B$8/2),'I_Budget Input Data'!$D$137*0.2/('I_Inputs &amp; Assumptions'!$B$8/4))),IF('I_Budget Input Data'!$E$137="At Completion",IF(31='I_Inputs &amp; Assumptions'!$B$8,'I_Budget Input Data'!$D$137,0),'I_Budget Input Data'!$D$137/'I_Inputs &amp; Assumptions'!$B$8)))))),0)</f>
        <v>0</v>
      </c>
      <c r="AH137" s="91">
        <f>IF(32&lt;='I_Inputs &amp; Assumptions'!$B$8,IF('I_Budget Input Data'!$E$137="Upfront",IF(32=1,'I_Budget Input Data'!$D$137,0),IF('I_Budget Input Data'!$E$137="Equal",'I_Budget Input Data'!$D$137/'I_Inputs &amp; Assumptions'!$B$8,IF('I_Budget Input Data'!$E$137="Front-loaded",IF(32&lt;='I_Inputs &amp; Assumptions'!$B$8/2,'I_Budget Input Data'!$D$137*0.6/('I_Inputs &amp; Assumptions'!$B$8/2),'I_Budget Input Data'!$D$137*0.4/('I_Inputs &amp; Assumptions'!$B$8/2)),IF('I_Budget Input Data'!$E$137="Back-loaded",IF(32&lt;='I_Inputs &amp; Assumptions'!$B$8/2,'I_Budget Input Data'!$D$137*0.4/('I_Inputs &amp; Assumptions'!$B$8/2),'I_Budget Input Data'!$D$137*0.6/('I_Inputs &amp; Assumptions'!$B$8/2)),IF('I_Budget Input Data'!$E$137="Mid-weighted",IF(32&lt;='I_Inputs &amp; Assumptions'!$B$8/4,'I_Budget Input Data'!$D$137*0.2/('I_Inputs &amp; Assumptions'!$B$8/4),IF(32&lt;='I_Inputs &amp; Assumptions'!$B$8*0.75,'I_Budget Input Data'!$D$137*0.6/('I_Inputs &amp; Assumptions'!$B$8/2),'I_Budget Input Data'!$D$137*0.2/('I_Inputs &amp; Assumptions'!$B$8/4))),IF('I_Budget Input Data'!$E$137="At Completion",IF(32='I_Inputs &amp; Assumptions'!$B$8,'I_Budget Input Data'!$D$137,0),'I_Budget Input Data'!$D$137/'I_Inputs &amp; Assumptions'!$B$8)))))),0)</f>
        <v>0</v>
      </c>
      <c r="AI137" s="91">
        <f>IF(33&lt;='I_Inputs &amp; Assumptions'!$B$8,IF('I_Budget Input Data'!$E$137="Upfront",IF(33=1,'I_Budget Input Data'!$D$137,0),IF('I_Budget Input Data'!$E$137="Equal",'I_Budget Input Data'!$D$137/'I_Inputs &amp; Assumptions'!$B$8,IF('I_Budget Input Data'!$E$137="Front-loaded",IF(33&lt;='I_Inputs &amp; Assumptions'!$B$8/2,'I_Budget Input Data'!$D$137*0.6/('I_Inputs &amp; Assumptions'!$B$8/2),'I_Budget Input Data'!$D$137*0.4/('I_Inputs &amp; Assumptions'!$B$8/2)),IF('I_Budget Input Data'!$E$137="Back-loaded",IF(33&lt;='I_Inputs &amp; Assumptions'!$B$8/2,'I_Budget Input Data'!$D$137*0.4/('I_Inputs &amp; Assumptions'!$B$8/2),'I_Budget Input Data'!$D$137*0.6/('I_Inputs &amp; Assumptions'!$B$8/2)),IF('I_Budget Input Data'!$E$137="Mid-weighted",IF(33&lt;='I_Inputs &amp; Assumptions'!$B$8/4,'I_Budget Input Data'!$D$137*0.2/('I_Inputs &amp; Assumptions'!$B$8/4),IF(33&lt;='I_Inputs &amp; Assumptions'!$B$8*0.75,'I_Budget Input Data'!$D$137*0.6/('I_Inputs &amp; Assumptions'!$B$8/2),'I_Budget Input Data'!$D$137*0.2/('I_Inputs &amp; Assumptions'!$B$8/4))),IF('I_Budget Input Data'!$E$137="At Completion",IF(33='I_Inputs &amp; Assumptions'!$B$8,'I_Budget Input Data'!$D$137,0),'I_Budget Input Data'!$D$137/'I_Inputs &amp; Assumptions'!$B$8)))))),0)</f>
        <v>0</v>
      </c>
      <c r="AJ137" s="91">
        <f>IF(34&lt;='I_Inputs &amp; Assumptions'!$B$8,IF('I_Budget Input Data'!$E$137="Upfront",IF(34=1,'I_Budget Input Data'!$D$137,0),IF('I_Budget Input Data'!$E$137="Equal",'I_Budget Input Data'!$D$137/'I_Inputs &amp; Assumptions'!$B$8,IF('I_Budget Input Data'!$E$137="Front-loaded",IF(34&lt;='I_Inputs &amp; Assumptions'!$B$8/2,'I_Budget Input Data'!$D$137*0.6/('I_Inputs &amp; Assumptions'!$B$8/2),'I_Budget Input Data'!$D$137*0.4/('I_Inputs &amp; Assumptions'!$B$8/2)),IF('I_Budget Input Data'!$E$137="Back-loaded",IF(34&lt;='I_Inputs &amp; Assumptions'!$B$8/2,'I_Budget Input Data'!$D$137*0.4/('I_Inputs &amp; Assumptions'!$B$8/2),'I_Budget Input Data'!$D$137*0.6/('I_Inputs &amp; Assumptions'!$B$8/2)),IF('I_Budget Input Data'!$E$137="Mid-weighted",IF(34&lt;='I_Inputs &amp; Assumptions'!$B$8/4,'I_Budget Input Data'!$D$137*0.2/('I_Inputs &amp; Assumptions'!$B$8/4),IF(34&lt;='I_Inputs &amp; Assumptions'!$B$8*0.75,'I_Budget Input Data'!$D$137*0.6/('I_Inputs &amp; Assumptions'!$B$8/2),'I_Budget Input Data'!$D$137*0.2/('I_Inputs &amp; Assumptions'!$B$8/4))),IF('I_Budget Input Data'!$E$137="At Completion",IF(34='I_Inputs &amp; Assumptions'!$B$8,'I_Budget Input Data'!$D$137,0),'I_Budget Input Data'!$D$137/'I_Inputs &amp; Assumptions'!$B$8)))))),0)</f>
        <v>0</v>
      </c>
      <c r="AK137" s="91">
        <f>IF(35&lt;='I_Inputs &amp; Assumptions'!$B$8,IF('I_Budget Input Data'!$E$137="Upfront",IF(35=1,'I_Budget Input Data'!$D$137,0),IF('I_Budget Input Data'!$E$137="Equal",'I_Budget Input Data'!$D$137/'I_Inputs &amp; Assumptions'!$B$8,IF('I_Budget Input Data'!$E$137="Front-loaded",IF(35&lt;='I_Inputs &amp; Assumptions'!$B$8/2,'I_Budget Input Data'!$D$137*0.6/('I_Inputs &amp; Assumptions'!$B$8/2),'I_Budget Input Data'!$D$137*0.4/('I_Inputs &amp; Assumptions'!$B$8/2)),IF('I_Budget Input Data'!$E$137="Back-loaded",IF(35&lt;='I_Inputs &amp; Assumptions'!$B$8/2,'I_Budget Input Data'!$D$137*0.4/('I_Inputs &amp; Assumptions'!$B$8/2),'I_Budget Input Data'!$D$137*0.6/('I_Inputs &amp; Assumptions'!$B$8/2)),IF('I_Budget Input Data'!$E$137="Mid-weighted",IF(35&lt;='I_Inputs &amp; Assumptions'!$B$8/4,'I_Budget Input Data'!$D$137*0.2/('I_Inputs &amp; Assumptions'!$B$8/4),IF(35&lt;='I_Inputs &amp; Assumptions'!$B$8*0.75,'I_Budget Input Data'!$D$137*0.6/('I_Inputs &amp; Assumptions'!$B$8/2),'I_Budget Input Data'!$D$137*0.2/('I_Inputs &amp; Assumptions'!$B$8/4))),IF('I_Budget Input Data'!$E$137="At Completion",IF(35='I_Inputs &amp; Assumptions'!$B$8,'I_Budget Input Data'!$D$137,0),'I_Budget Input Data'!$D$137/'I_Inputs &amp; Assumptions'!$B$8)))))),0)</f>
        <v>0</v>
      </c>
      <c r="AL137" s="91">
        <f>IF(36&lt;='I_Inputs &amp; Assumptions'!$B$8,IF('I_Budget Input Data'!$E$137="Upfront",IF(36=1,'I_Budget Input Data'!$D$137,0),IF('I_Budget Input Data'!$E$137="Equal",'I_Budget Input Data'!$D$137/'I_Inputs &amp; Assumptions'!$B$8,IF('I_Budget Input Data'!$E$137="Front-loaded",IF(36&lt;='I_Inputs &amp; Assumptions'!$B$8/2,'I_Budget Input Data'!$D$137*0.6/('I_Inputs &amp; Assumptions'!$B$8/2),'I_Budget Input Data'!$D$137*0.4/('I_Inputs &amp; Assumptions'!$B$8/2)),IF('I_Budget Input Data'!$E$137="Back-loaded",IF(36&lt;='I_Inputs &amp; Assumptions'!$B$8/2,'I_Budget Input Data'!$D$137*0.4/('I_Inputs &amp; Assumptions'!$B$8/2),'I_Budget Input Data'!$D$137*0.6/('I_Inputs &amp; Assumptions'!$B$8/2)),IF('I_Budget Input Data'!$E$137="Mid-weighted",IF(36&lt;='I_Inputs &amp; Assumptions'!$B$8/4,'I_Budget Input Data'!$D$137*0.2/('I_Inputs &amp; Assumptions'!$B$8/4),IF(36&lt;='I_Inputs &amp; Assumptions'!$B$8*0.75,'I_Budget Input Data'!$D$137*0.6/('I_Inputs &amp; Assumptions'!$B$8/2),'I_Budget Input Data'!$D$137*0.2/('I_Inputs &amp; Assumptions'!$B$8/4))),IF('I_Budget Input Data'!$E$137="At Completion",IF(36='I_Inputs &amp; Assumptions'!$B$8,'I_Budget Input Data'!$D$137,0),'I_Budget Input Data'!$D$137/'I_Inputs &amp; Assumptions'!$B$8)))))),0)</f>
        <v>0</v>
      </c>
    </row>
    <row r="138" spans="1:38" ht="15" customHeight="1" x14ac:dyDescent="0.2">
      <c r="A138" t="s">
        <v>248</v>
      </c>
      <c r="B138" t="s">
        <v>253</v>
      </c>
      <c r="C138" s="91">
        <f>IF(1&lt;='I_Inputs &amp; Assumptions'!$B$8,IF('I_Budget Input Data'!$E$138="Upfront",IF(1=1,'I_Budget Input Data'!$D$138,0),IF('I_Budget Input Data'!$E$138="Equal",'I_Budget Input Data'!$D$138/'I_Inputs &amp; Assumptions'!$B$8,IF('I_Budget Input Data'!$E$138="Front-loaded",IF(1&lt;='I_Inputs &amp; Assumptions'!$B$8/2,'I_Budget Input Data'!$D$138*0.6/('I_Inputs &amp; Assumptions'!$B$8/2),'I_Budget Input Data'!$D$138*0.4/('I_Inputs &amp; Assumptions'!$B$8/2)),IF('I_Budget Input Data'!$E$138="Back-loaded",IF(1&lt;='I_Inputs &amp; Assumptions'!$B$8/2,'I_Budget Input Data'!$D$138*0.4/('I_Inputs &amp; Assumptions'!$B$8/2),'I_Budget Input Data'!$D$138*0.6/('I_Inputs &amp; Assumptions'!$B$8/2)),IF('I_Budget Input Data'!$E$138="Mid-weighted",IF(1&lt;='I_Inputs &amp; Assumptions'!$B$8/4,'I_Budget Input Data'!$D$138*0.2/('I_Inputs &amp; Assumptions'!$B$8/4),IF(1&lt;='I_Inputs &amp; Assumptions'!$B$8*0.75,'I_Budget Input Data'!$D$138*0.6/('I_Inputs &amp; Assumptions'!$B$8/2),'I_Budget Input Data'!$D$138*0.2/('I_Inputs &amp; Assumptions'!$B$8/4))),IF('I_Budget Input Data'!$E$138="At Completion",IF(1='I_Inputs &amp; Assumptions'!$B$8,'I_Budget Input Data'!$D$138,0),'I_Budget Input Data'!$D$138/'I_Inputs &amp; Assumptions'!$B$8)))))),0)</f>
        <v>54911.723076923081</v>
      </c>
      <c r="D138" s="91">
        <f>IF(2&lt;='I_Inputs &amp; Assumptions'!$B$8,IF('I_Budget Input Data'!$E$138="Upfront",IF(2=1,'I_Budget Input Data'!$D$138,0),IF('I_Budget Input Data'!$E$138="Equal",'I_Budget Input Data'!$D$138/'I_Inputs &amp; Assumptions'!$B$8,IF('I_Budget Input Data'!$E$138="Front-loaded",IF(2&lt;='I_Inputs &amp; Assumptions'!$B$8/2,'I_Budget Input Data'!$D$138*0.6/('I_Inputs &amp; Assumptions'!$B$8/2),'I_Budget Input Data'!$D$138*0.4/('I_Inputs &amp; Assumptions'!$B$8/2)),IF('I_Budget Input Data'!$E$138="Back-loaded",IF(2&lt;='I_Inputs &amp; Assumptions'!$B$8/2,'I_Budget Input Data'!$D$138*0.4/('I_Inputs &amp; Assumptions'!$B$8/2),'I_Budget Input Data'!$D$138*0.6/('I_Inputs &amp; Assumptions'!$B$8/2)),IF('I_Budget Input Data'!$E$138="Mid-weighted",IF(2&lt;='I_Inputs &amp; Assumptions'!$B$8/4,'I_Budget Input Data'!$D$138*0.2/('I_Inputs &amp; Assumptions'!$B$8/4),IF(2&lt;='I_Inputs &amp; Assumptions'!$B$8*0.75,'I_Budget Input Data'!$D$138*0.6/('I_Inputs &amp; Assumptions'!$B$8/2),'I_Budget Input Data'!$D$138*0.2/('I_Inputs &amp; Assumptions'!$B$8/4))),IF('I_Budget Input Data'!$E$138="At Completion",IF(2='I_Inputs &amp; Assumptions'!$B$8,'I_Budget Input Data'!$D$138,0),'I_Budget Input Data'!$D$138/'I_Inputs &amp; Assumptions'!$B$8)))))),0)</f>
        <v>54911.723076923081</v>
      </c>
      <c r="E138" s="91">
        <f>IF(3&lt;='I_Inputs &amp; Assumptions'!$B$8,IF('I_Budget Input Data'!$E$138="Upfront",IF(3=1,'I_Budget Input Data'!$D$138,0),IF('I_Budget Input Data'!$E$138="Equal",'I_Budget Input Data'!$D$138/'I_Inputs &amp; Assumptions'!$B$8,IF('I_Budget Input Data'!$E$138="Front-loaded",IF(3&lt;='I_Inputs &amp; Assumptions'!$B$8/2,'I_Budget Input Data'!$D$138*0.6/('I_Inputs &amp; Assumptions'!$B$8/2),'I_Budget Input Data'!$D$138*0.4/('I_Inputs &amp; Assumptions'!$B$8/2)),IF('I_Budget Input Data'!$E$138="Back-loaded",IF(3&lt;='I_Inputs &amp; Assumptions'!$B$8/2,'I_Budget Input Data'!$D$138*0.4/('I_Inputs &amp; Assumptions'!$B$8/2),'I_Budget Input Data'!$D$138*0.6/('I_Inputs &amp; Assumptions'!$B$8/2)),IF('I_Budget Input Data'!$E$138="Mid-weighted",IF(3&lt;='I_Inputs &amp; Assumptions'!$B$8/4,'I_Budget Input Data'!$D$138*0.2/('I_Inputs &amp; Assumptions'!$B$8/4),IF(3&lt;='I_Inputs &amp; Assumptions'!$B$8*0.75,'I_Budget Input Data'!$D$138*0.6/('I_Inputs &amp; Assumptions'!$B$8/2),'I_Budget Input Data'!$D$138*0.2/('I_Inputs &amp; Assumptions'!$B$8/4))),IF('I_Budget Input Data'!$E$138="At Completion",IF(3='I_Inputs &amp; Assumptions'!$B$8,'I_Budget Input Data'!$D$138,0),'I_Budget Input Data'!$D$138/'I_Inputs &amp; Assumptions'!$B$8)))))),0)</f>
        <v>54911.723076923081</v>
      </c>
      <c r="F138" s="91">
        <f>IF(4&lt;='I_Inputs &amp; Assumptions'!$B$8,IF('I_Budget Input Data'!$E$138="Upfront",IF(4=1,'I_Budget Input Data'!$D$138,0),IF('I_Budget Input Data'!$E$138="Equal",'I_Budget Input Data'!$D$138/'I_Inputs &amp; Assumptions'!$B$8,IF('I_Budget Input Data'!$E$138="Front-loaded",IF(4&lt;='I_Inputs &amp; Assumptions'!$B$8/2,'I_Budget Input Data'!$D$138*0.6/('I_Inputs &amp; Assumptions'!$B$8/2),'I_Budget Input Data'!$D$138*0.4/('I_Inputs &amp; Assumptions'!$B$8/2)),IF('I_Budget Input Data'!$E$138="Back-loaded",IF(4&lt;='I_Inputs &amp; Assumptions'!$B$8/2,'I_Budget Input Data'!$D$138*0.4/('I_Inputs &amp; Assumptions'!$B$8/2),'I_Budget Input Data'!$D$138*0.6/('I_Inputs &amp; Assumptions'!$B$8/2)),IF('I_Budget Input Data'!$E$138="Mid-weighted",IF(4&lt;='I_Inputs &amp; Assumptions'!$B$8/4,'I_Budget Input Data'!$D$138*0.2/('I_Inputs &amp; Assumptions'!$B$8/4),IF(4&lt;='I_Inputs &amp; Assumptions'!$B$8*0.75,'I_Budget Input Data'!$D$138*0.6/('I_Inputs &amp; Assumptions'!$B$8/2),'I_Budget Input Data'!$D$138*0.2/('I_Inputs &amp; Assumptions'!$B$8/4))),IF('I_Budget Input Data'!$E$138="At Completion",IF(4='I_Inputs &amp; Assumptions'!$B$8,'I_Budget Input Data'!$D$138,0),'I_Budget Input Data'!$D$138/'I_Inputs &amp; Assumptions'!$B$8)))))),0)</f>
        <v>54911.723076923081</v>
      </c>
      <c r="G138" s="91">
        <f>IF(5&lt;='I_Inputs &amp; Assumptions'!$B$8,IF('I_Budget Input Data'!$E$138="Upfront",IF(5=1,'I_Budget Input Data'!$D$138,0),IF('I_Budget Input Data'!$E$138="Equal",'I_Budget Input Data'!$D$138/'I_Inputs &amp; Assumptions'!$B$8,IF('I_Budget Input Data'!$E$138="Front-loaded",IF(5&lt;='I_Inputs &amp; Assumptions'!$B$8/2,'I_Budget Input Data'!$D$138*0.6/('I_Inputs &amp; Assumptions'!$B$8/2),'I_Budget Input Data'!$D$138*0.4/('I_Inputs &amp; Assumptions'!$B$8/2)),IF('I_Budget Input Data'!$E$138="Back-loaded",IF(5&lt;='I_Inputs &amp; Assumptions'!$B$8/2,'I_Budget Input Data'!$D$138*0.4/('I_Inputs &amp; Assumptions'!$B$8/2),'I_Budget Input Data'!$D$138*0.6/('I_Inputs &amp; Assumptions'!$B$8/2)),IF('I_Budget Input Data'!$E$138="Mid-weighted",IF(5&lt;='I_Inputs &amp; Assumptions'!$B$8/4,'I_Budget Input Data'!$D$138*0.2/('I_Inputs &amp; Assumptions'!$B$8/4),IF(5&lt;='I_Inputs &amp; Assumptions'!$B$8*0.75,'I_Budget Input Data'!$D$138*0.6/('I_Inputs &amp; Assumptions'!$B$8/2),'I_Budget Input Data'!$D$138*0.2/('I_Inputs &amp; Assumptions'!$B$8/4))),IF('I_Budget Input Data'!$E$138="At Completion",IF(5='I_Inputs &amp; Assumptions'!$B$8,'I_Budget Input Data'!$D$138,0),'I_Budget Input Data'!$D$138/'I_Inputs &amp; Assumptions'!$B$8)))))),0)</f>
        <v>54911.723076923081</v>
      </c>
      <c r="H138" s="91">
        <f>IF(6&lt;='I_Inputs &amp; Assumptions'!$B$8,IF('I_Budget Input Data'!$E$138="Upfront",IF(6=1,'I_Budget Input Data'!$D$138,0),IF('I_Budget Input Data'!$E$138="Equal",'I_Budget Input Data'!$D$138/'I_Inputs &amp; Assumptions'!$B$8,IF('I_Budget Input Data'!$E$138="Front-loaded",IF(6&lt;='I_Inputs &amp; Assumptions'!$B$8/2,'I_Budget Input Data'!$D$138*0.6/('I_Inputs &amp; Assumptions'!$B$8/2),'I_Budget Input Data'!$D$138*0.4/('I_Inputs &amp; Assumptions'!$B$8/2)),IF('I_Budget Input Data'!$E$138="Back-loaded",IF(6&lt;='I_Inputs &amp; Assumptions'!$B$8/2,'I_Budget Input Data'!$D$138*0.4/('I_Inputs &amp; Assumptions'!$B$8/2),'I_Budget Input Data'!$D$138*0.6/('I_Inputs &amp; Assumptions'!$B$8/2)),IF('I_Budget Input Data'!$E$138="Mid-weighted",IF(6&lt;='I_Inputs &amp; Assumptions'!$B$8/4,'I_Budget Input Data'!$D$138*0.2/('I_Inputs &amp; Assumptions'!$B$8/4),IF(6&lt;='I_Inputs &amp; Assumptions'!$B$8*0.75,'I_Budget Input Data'!$D$138*0.6/('I_Inputs &amp; Assumptions'!$B$8/2),'I_Budget Input Data'!$D$138*0.2/('I_Inputs &amp; Assumptions'!$B$8/4))),IF('I_Budget Input Data'!$E$138="At Completion",IF(6='I_Inputs &amp; Assumptions'!$B$8,'I_Budget Input Data'!$D$138,0),'I_Budget Input Data'!$D$138/'I_Inputs &amp; Assumptions'!$B$8)))))),0)</f>
        <v>54911.723076923081</v>
      </c>
      <c r="I138" s="91">
        <f>IF(7&lt;='I_Inputs &amp; Assumptions'!$B$8,IF('I_Budget Input Data'!$E$138="Upfront",IF(7=1,'I_Budget Input Data'!$D$138,0),IF('I_Budget Input Data'!$E$138="Equal",'I_Budget Input Data'!$D$138/'I_Inputs &amp; Assumptions'!$B$8,IF('I_Budget Input Data'!$E$138="Front-loaded",IF(7&lt;='I_Inputs &amp; Assumptions'!$B$8/2,'I_Budget Input Data'!$D$138*0.6/('I_Inputs &amp; Assumptions'!$B$8/2),'I_Budget Input Data'!$D$138*0.4/('I_Inputs &amp; Assumptions'!$B$8/2)),IF('I_Budget Input Data'!$E$138="Back-loaded",IF(7&lt;='I_Inputs &amp; Assumptions'!$B$8/2,'I_Budget Input Data'!$D$138*0.4/('I_Inputs &amp; Assumptions'!$B$8/2),'I_Budget Input Data'!$D$138*0.6/('I_Inputs &amp; Assumptions'!$B$8/2)),IF('I_Budget Input Data'!$E$138="Mid-weighted",IF(7&lt;='I_Inputs &amp; Assumptions'!$B$8/4,'I_Budget Input Data'!$D$138*0.2/('I_Inputs &amp; Assumptions'!$B$8/4),IF(7&lt;='I_Inputs &amp; Assumptions'!$B$8*0.75,'I_Budget Input Data'!$D$138*0.6/('I_Inputs &amp; Assumptions'!$B$8/2),'I_Budget Input Data'!$D$138*0.2/('I_Inputs &amp; Assumptions'!$B$8/4))),IF('I_Budget Input Data'!$E$138="At Completion",IF(7='I_Inputs &amp; Assumptions'!$B$8,'I_Budget Input Data'!$D$138,0),'I_Budget Input Data'!$D$138/'I_Inputs &amp; Assumptions'!$B$8)))))),0)</f>
        <v>36607.815384615387</v>
      </c>
      <c r="J138" s="91">
        <f>IF(8&lt;='I_Inputs &amp; Assumptions'!$B$8,IF('I_Budget Input Data'!$E$138="Upfront",IF(8=1,'I_Budget Input Data'!$D$138,0),IF('I_Budget Input Data'!$E$138="Equal",'I_Budget Input Data'!$D$138/'I_Inputs &amp; Assumptions'!$B$8,IF('I_Budget Input Data'!$E$138="Front-loaded",IF(8&lt;='I_Inputs &amp; Assumptions'!$B$8/2,'I_Budget Input Data'!$D$138*0.6/('I_Inputs &amp; Assumptions'!$B$8/2),'I_Budget Input Data'!$D$138*0.4/('I_Inputs &amp; Assumptions'!$B$8/2)),IF('I_Budget Input Data'!$E$138="Back-loaded",IF(8&lt;='I_Inputs &amp; Assumptions'!$B$8/2,'I_Budget Input Data'!$D$138*0.4/('I_Inputs &amp; Assumptions'!$B$8/2),'I_Budget Input Data'!$D$138*0.6/('I_Inputs &amp; Assumptions'!$B$8/2)),IF('I_Budget Input Data'!$E$138="Mid-weighted",IF(8&lt;='I_Inputs &amp; Assumptions'!$B$8/4,'I_Budget Input Data'!$D$138*0.2/('I_Inputs &amp; Assumptions'!$B$8/4),IF(8&lt;='I_Inputs &amp; Assumptions'!$B$8*0.75,'I_Budget Input Data'!$D$138*0.6/('I_Inputs &amp; Assumptions'!$B$8/2),'I_Budget Input Data'!$D$138*0.2/('I_Inputs &amp; Assumptions'!$B$8/4))),IF('I_Budget Input Data'!$E$138="At Completion",IF(8='I_Inputs &amp; Assumptions'!$B$8,'I_Budget Input Data'!$D$138,0),'I_Budget Input Data'!$D$138/'I_Inputs &amp; Assumptions'!$B$8)))))),0)</f>
        <v>36607.815384615387</v>
      </c>
      <c r="K138" s="91">
        <f>IF(9&lt;='I_Inputs &amp; Assumptions'!$B$8,IF('I_Budget Input Data'!$E$138="Upfront",IF(9=1,'I_Budget Input Data'!$D$138,0),IF('I_Budget Input Data'!$E$138="Equal",'I_Budget Input Data'!$D$138/'I_Inputs &amp; Assumptions'!$B$8,IF('I_Budget Input Data'!$E$138="Front-loaded",IF(9&lt;='I_Inputs &amp; Assumptions'!$B$8/2,'I_Budget Input Data'!$D$138*0.6/('I_Inputs &amp; Assumptions'!$B$8/2),'I_Budget Input Data'!$D$138*0.4/('I_Inputs &amp; Assumptions'!$B$8/2)),IF('I_Budget Input Data'!$E$138="Back-loaded",IF(9&lt;='I_Inputs &amp; Assumptions'!$B$8/2,'I_Budget Input Data'!$D$138*0.4/('I_Inputs &amp; Assumptions'!$B$8/2),'I_Budget Input Data'!$D$138*0.6/('I_Inputs &amp; Assumptions'!$B$8/2)),IF('I_Budget Input Data'!$E$138="Mid-weighted",IF(9&lt;='I_Inputs &amp; Assumptions'!$B$8/4,'I_Budget Input Data'!$D$138*0.2/('I_Inputs &amp; Assumptions'!$B$8/4),IF(9&lt;='I_Inputs &amp; Assumptions'!$B$8*0.75,'I_Budget Input Data'!$D$138*0.6/('I_Inputs &amp; Assumptions'!$B$8/2),'I_Budget Input Data'!$D$138*0.2/('I_Inputs &amp; Assumptions'!$B$8/4))),IF('I_Budget Input Data'!$E$138="At Completion",IF(9='I_Inputs &amp; Assumptions'!$B$8,'I_Budget Input Data'!$D$138,0),'I_Budget Input Data'!$D$138/'I_Inputs &amp; Assumptions'!$B$8)))))),0)</f>
        <v>36607.815384615387</v>
      </c>
      <c r="L138" s="91">
        <f>IF(10&lt;='I_Inputs &amp; Assumptions'!$B$8,IF('I_Budget Input Data'!$E$138="Upfront",IF(10=1,'I_Budget Input Data'!$D$138,0),IF('I_Budget Input Data'!$E$138="Equal",'I_Budget Input Data'!$D$138/'I_Inputs &amp; Assumptions'!$B$8,IF('I_Budget Input Data'!$E$138="Front-loaded",IF(10&lt;='I_Inputs &amp; Assumptions'!$B$8/2,'I_Budget Input Data'!$D$138*0.6/('I_Inputs &amp; Assumptions'!$B$8/2),'I_Budget Input Data'!$D$138*0.4/('I_Inputs &amp; Assumptions'!$B$8/2)),IF('I_Budget Input Data'!$E$138="Back-loaded",IF(10&lt;='I_Inputs &amp; Assumptions'!$B$8/2,'I_Budget Input Data'!$D$138*0.4/('I_Inputs &amp; Assumptions'!$B$8/2),'I_Budget Input Data'!$D$138*0.6/('I_Inputs &amp; Assumptions'!$B$8/2)),IF('I_Budget Input Data'!$E$138="Mid-weighted",IF(10&lt;='I_Inputs &amp; Assumptions'!$B$8/4,'I_Budget Input Data'!$D$138*0.2/('I_Inputs &amp; Assumptions'!$B$8/4),IF(10&lt;='I_Inputs &amp; Assumptions'!$B$8*0.75,'I_Budget Input Data'!$D$138*0.6/('I_Inputs &amp; Assumptions'!$B$8/2),'I_Budget Input Data'!$D$138*0.2/('I_Inputs &amp; Assumptions'!$B$8/4))),IF('I_Budget Input Data'!$E$138="At Completion",IF(10='I_Inputs &amp; Assumptions'!$B$8,'I_Budget Input Data'!$D$138,0),'I_Budget Input Data'!$D$138/'I_Inputs &amp; Assumptions'!$B$8)))))),0)</f>
        <v>36607.815384615387</v>
      </c>
      <c r="M138" s="91">
        <f>IF(11&lt;='I_Inputs &amp; Assumptions'!$B$8,IF('I_Budget Input Data'!$E$138="Upfront",IF(11=1,'I_Budget Input Data'!$D$138,0),IF('I_Budget Input Data'!$E$138="Equal",'I_Budget Input Data'!$D$138/'I_Inputs &amp; Assumptions'!$B$8,IF('I_Budget Input Data'!$E$138="Front-loaded",IF(11&lt;='I_Inputs &amp; Assumptions'!$B$8/2,'I_Budget Input Data'!$D$138*0.6/('I_Inputs &amp; Assumptions'!$B$8/2),'I_Budget Input Data'!$D$138*0.4/('I_Inputs &amp; Assumptions'!$B$8/2)),IF('I_Budget Input Data'!$E$138="Back-loaded",IF(11&lt;='I_Inputs &amp; Assumptions'!$B$8/2,'I_Budget Input Data'!$D$138*0.4/('I_Inputs &amp; Assumptions'!$B$8/2),'I_Budget Input Data'!$D$138*0.6/('I_Inputs &amp; Assumptions'!$B$8/2)),IF('I_Budget Input Data'!$E$138="Mid-weighted",IF(11&lt;='I_Inputs &amp; Assumptions'!$B$8/4,'I_Budget Input Data'!$D$138*0.2/('I_Inputs &amp; Assumptions'!$B$8/4),IF(11&lt;='I_Inputs &amp; Assumptions'!$B$8*0.75,'I_Budget Input Data'!$D$138*0.6/('I_Inputs &amp; Assumptions'!$B$8/2),'I_Budget Input Data'!$D$138*0.2/('I_Inputs &amp; Assumptions'!$B$8/4))),IF('I_Budget Input Data'!$E$138="At Completion",IF(11='I_Inputs &amp; Assumptions'!$B$8,'I_Budget Input Data'!$D$138,0),'I_Budget Input Data'!$D$138/'I_Inputs &amp; Assumptions'!$B$8)))))),0)</f>
        <v>36607.815384615387</v>
      </c>
      <c r="N138" s="91">
        <f>IF(12&lt;='I_Inputs &amp; Assumptions'!$B$8,IF('I_Budget Input Data'!$E$138="Upfront",IF(12=1,'I_Budget Input Data'!$D$138,0),IF('I_Budget Input Data'!$E$138="Equal",'I_Budget Input Data'!$D$138/'I_Inputs &amp; Assumptions'!$B$8,IF('I_Budget Input Data'!$E$138="Front-loaded",IF(12&lt;='I_Inputs &amp; Assumptions'!$B$8/2,'I_Budget Input Data'!$D$138*0.6/('I_Inputs &amp; Assumptions'!$B$8/2),'I_Budget Input Data'!$D$138*0.4/('I_Inputs &amp; Assumptions'!$B$8/2)),IF('I_Budget Input Data'!$E$138="Back-loaded",IF(12&lt;='I_Inputs &amp; Assumptions'!$B$8/2,'I_Budget Input Data'!$D$138*0.4/('I_Inputs &amp; Assumptions'!$B$8/2),'I_Budget Input Data'!$D$138*0.6/('I_Inputs &amp; Assumptions'!$B$8/2)),IF('I_Budget Input Data'!$E$138="Mid-weighted",IF(12&lt;='I_Inputs &amp; Assumptions'!$B$8/4,'I_Budget Input Data'!$D$138*0.2/('I_Inputs &amp; Assumptions'!$B$8/4),IF(12&lt;='I_Inputs &amp; Assumptions'!$B$8*0.75,'I_Budget Input Data'!$D$138*0.6/('I_Inputs &amp; Assumptions'!$B$8/2),'I_Budget Input Data'!$D$138*0.2/('I_Inputs &amp; Assumptions'!$B$8/4))),IF('I_Budget Input Data'!$E$138="At Completion",IF(12='I_Inputs &amp; Assumptions'!$B$8,'I_Budget Input Data'!$D$138,0),'I_Budget Input Data'!$D$138/'I_Inputs &amp; Assumptions'!$B$8)))))),0)</f>
        <v>36607.815384615387</v>
      </c>
      <c r="O138" s="91">
        <f>IF(13&lt;='I_Inputs &amp; Assumptions'!$B$8,IF('I_Budget Input Data'!$E$138="Upfront",IF(13=1,'I_Budget Input Data'!$D$138,0),IF('I_Budget Input Data'!$E$138="Equal",'I_Budget Input Data'!$D$138/'I_Inputs &amp; Assumptions'!$B$8,IF('I_Budget Input Data'!$E$138="Front-loaded",IF(13&lt;='I_Inputs &amp; Assumptions'!$B$8/2,'I_Budget Input Data'!$D$138*0.6/('I_Inputs &amp; Assumptions'!$B$8/2),'I_Budget Input Data'!$D$138*0.4/('I_Inputs &amp; Assumptions'!$B$8/2)),IF('I_Budget Input Data'!$E$138="Back-loaded",IF(13&lt;='I_Inputs &amp; Assumptions'!$B$8/2,'I_Budget Input Data'!$D$138*0.4/('I_Inputs &amp; Assumptions'!$B$8/2),'I_Budget Input Data'!$D$138*0.6/('I_Inputs &amp; Assumptions'!$B$8/2)),IF('I_Budget Input Data'!$E$138="Mid-weighted",IF(13&lt;='I_Inputs &amp; Assumptions'!$B$8/4,'I_Budget Input Data'!$D$138*0.2/('I_Inputs &amp; Assumptions'!$B$8/4),IF(13&lt;='I_Inputs &amp; Assumptions'!$B$8*0.75,'I_Budget Input Data'!$D$138*0.6/('I_Inputs &amp; Assumptions'!$B$8/2),'I_Budget Input Data'!$D$138*0.2/('I_Inputs &amp; Assumptions'!$B$8/4))),IF('I_Budget Input Data'!$E$138="At Completion",IF(13='I_Inputs &amp; Assumptions'!$B$8,'I_Budget Input Data'!$D$138,0),'I_Budget Input Data'!$D$138/'I_Inputs &amp; Assumptions'!$B$8)))))),0)</f>
        <v>36607.815384615387</v>
      </c>
      <c r="P138" s="91">
        <f>IF(14&lt;='I_Inputs &amp; Assumptions'!$B$8,IF('I_Budget Input Data'!$E$138="Upfront",IF(14=1,'I_Budget Input Data'!$D$138,0),IF('I_Budget Input Data'!$E$138="Equal",'I_Budget Input Data'!$D$138/'I_Inputs &amp; Assumptions'!$B$8,IF('I_Budget Input Data'!$E$138="Front-loaded",IF(14&lt;='I_Inputs &amp; Assumptions'!$B$8/2,'I_Budget Input Data'!$D$138*0.6/('I_Inputs &amp; Assumptions'!$B$8/2),'I_Budget Input Data'!$D$138*0.4/('I_Inputs &amp; Assumptions'!$B$8/2)),IF('I_Budget Input Data'!$E$138="Back-loaded",IF(14&lt;='I_Inputs &amp; Assumptions'!$B$8/2,'I_Budget Input Data'!$D$138*0.4/('I_Inputs &amp; Assumptions'!$B$8/2),'I_Budget Input Data'!$D$138*0.6/('I_Inputs &amp; Assumptions'!$B$8/2)),IF('I_Budget Input Data'!$E$138="Mid-weighted",IF(14&lt;='I_Inputs &amp; Assumptions'!$B$8/4,'I_Budget Input Data'!$D$138*0.2/('I_Inputs &amp; Assumptions'!$B$8/4),IF(14&lt;='I_Inputs &amp; Assumptions'!$B$8*0.75,'I_Budget Input Data'!$D$138*0.6/('I_Inputs &amp; Assumptions'!$B$8/2),'I_Budget Input Data'!$D$138*0.2/('I_Inputs &amp; Assumptions'!$B$8/4))),IF('I_Budget Input Data'!$E$138="At Completion",IF(14='I_Inputs &amp; Assumptions'!$B$8,'I_Budget Input Data'!$D$138,0),'I_Budget Input Data'!$D$138/'I_Inputs &amp; Assumptions'!$B$8)))))),0)</f>
        <v>0</v>
      </c>
      <c r="Q138" s="91">
        <f>IF(15&lt;='I_Inputs &amp; Assumptions'!$B$8,IF('I_Budget Input Data'!$E$138="Upfront",IF(15=1,'I_Budget Input Data'!$D$138,0),IF('I_Budget Input Data'!$E$138="Equal",'I_Budget Input Data'!$D$138/'I_Inputs &amp; Assumptions'!$B$8,IF('I_Budget Input Data'!$E$138="Front-loaded",IF(15&lt;='I_Inputs &amp; Assumptions'!$B$8/2,'I_Budget Input Data'!$D$138*0.6/('I_Inputs &amp; Assumptions'!$B$8/2),'I_Budget Input Data'!$D$138*0.4/('I_Inputs &amp; Assumptions'!$B$8/2)),IF('I_Budget Input Data'!$E$138="Back-loaded",IF(15&lt;='I_Inputs &amp; Assumptions'!$B$8/2,'I_Budget Input Data'!$D$138*0.4/('I_Inputs &amp; Assumptions'!$B$8/2),'I_Budget Input Data'!$D$138*0.6/('I_Inputs &amp; Assumptions'!$B$8/2)),IF('I_Budget Input Data'!$E$138="Mid-weighted",IF(15&lt;='I_Inputs &amp; Assumptions'!$B$8/4,'I_Budget Input Data'!$D$138*0.2/('I_Inputs &amp; Assumptions'!$B$8/4),IF(15&lt;='I_Inputs &amp; Assumptions'!$B$8*0.75,'I_Budget Input Data'!$D$138*0.6/('I_Inputs &amp; Assumptions'!$B$8/2),'I_Budget Input Data'!$D$138*0.2/('I_Inputs &amp; Assumptions'!$B$8/4))),IF('I_Budget Input Data'!$E$138="At Completion",IF(15='I_Inputs &amp; Assumptions'!$B$8,'I_Budget Input Data'!$D$138,0),'I_Budget Input Data'!$D$138/'I_Inputs &amp; Assumptions'!$B$8)))))),0)</f>
        <v>0</v>
      </c>
      <c r="R138" s="91">
        <f>IF(16&lt;='I_Inputs &amp; Assumptions'!$B$8,IF('I_Budget Input Data'!$E$138="Upfront",IF(16=1,'I_Budget Input Data'!$D$138,0),IF('I_Budget Input Data'!$E$138="Equal",'I_Budget Input Data'!$D$138/'I_Inputs &amp; Assumptions'!$B$8,IF('I_Budget Input Data'!$E$138="Front-loaded",IF(16&lt;='I_Inputs &amp; Assumptions'!$B$8/2,'I_Budget Input Data'!$D$138*0.6/('I_Inputs &amp; Assumptions'!$B$8/2),'I_Budget Input Data'!$D$138*0.4/('I_Inputs &amp; Assumptions'!$B$8/2)),IF('I_Budget Input Data'!$E$138="Back-loaded",IF(16&lt;='I_Inputs &amp; Assumptions'!$B$8/2,'I_Budget Input Data'!$D$138*0.4/('I_Inputs &amp; Assumptions'!$B$8/2),'I_Budget Input Data'!$D$138*0.6/('I_Inputs &amp; Assumptions'!$B$8/2)),IF('I_Budget Input Data'!$E$138="Mid-weighted",IF(16&lt;='I_Inputs &amp; Assumptions'!$B$8/4,'I_Budget Input Data'!$D$138*0.2/('I_Inputs &amp; Assumptions'!$B$8/4),IF(16&lt;='I_Inputs &amp; Assumptions'!$B$8*0.75,'I_Budget Input Data'!$D$138*0.6/('I_Inputs &amp; Assumptions'!$B$8/2),'I_Budget Input Data'!$D$138*0.2/('I_Inputs &amp; Assumptions'!$B$8/4))),IF('I_Budget Input Data'!$E$138="At Completion",IF(16='I_Inputs &amp; Assumptions'!$B$8,'I_Budget Input Data'!$D$138,0),'I_Budget Input Data'!$D$138/'I_Inputs &amp; Assumptions'!$B$8)))))),0)</f>
        <v>0</v>
      </c>
      <c r="S138" s="91">
        <f>IF(17&lt;='I_Inputs &amp; Assumptions'!$B$8,IF('I_Budget Input Data'!$E$138="Upfront",IF(17=1,'I_Budget Input Data'!$D$138,0),IF('I_Budget Input Data'!$E$138="Equal",'I_Budget Input Data'!$D$138/'I_Inputs &amp; Assumptions'!$B$8,IF('I_Budget Input Data'!$E$138="Front-loaded",IF(17&lt;='I_Inputs &amp; Assumptions'!$B$8/2,'I_Budget Input Data'!$D$138*0.6/('I_Inputs &amp; Assumptions'!$B$8/2),'I_Budget Input Data'!$D$138*0.4/('I_Inputs &amp; Assumptions'!$B$8/2)),IF('I_Budget Input Data'!$E$138="Back-loaded",IF(17&lt;='I_Inputs &amp; Assumptions'!$B$8/2,'I_Budget Input Data'!$D$138*0.4/('I_Inputs &amp; Assumptions'!$B$8/2),'I_Budget Input Data'!$D$138*0.6/('I_Inputs &amp; Assumptions'!$B$8/2)),IF('I_Budget Input Data'!$E$138="Mid-weighted",IF(17&lt;='I_Inputs &amp; Assumptions'!$B$8/4,'I_Budget Input Data'!$D$138*0.2/('I_Inputs &amp; Assumptions'!$B$8/4),IF(17&lt;='I_Inputs &amp; Assumptions'!$B$8*0.75,'I_Budget Input Data'!$D$138*0.6/('I_Inputs &amp; Assumptions'!$B$8/2),'I_Budget Input Data'!$D$138*0.2/('I_Inputs &amp; Assumptions'!$B$8/4))),IF('I_Budget Input Data'!$E$138="At Completion",IF(17='I_Inputs &amp; Assumptions'!$B$8,'I_Budget Input Data'!$D$138,0),'I_Budget Input Data'!$D$138/'I_Inputs &amp; Assumptions'!$B$8)))))),0)</f>
        <v>0</v>
      </c>
      <c r="T138" s="91">
        <f>IF(18&lt;='I_Inputs &amp; Assumptions'!$B$8,IF('I_Budget Input Data'!$E$138="Upfront",IF(18=1,'I_Budget Input Data'!$D$138,0),IF('I_Budget Input Data'!$E$138="Equal",'I_Budget Input Data'!$D$138/'I_Inputs &amp; Assumptions'!$B$8,IF('I_Budget Input Data'!$E$138="Front-loaded",IF(18&lt;='I_Inputs &amp; Assumptions'!$B$8/2,'I_Budget Input Data'!$D$138*0.6/('I_Inputs &amp; Assumptions'!$B$8/2),'I_Budget Input Data'!$D$138*0.4/('I_Inputs &amp; Assumptions'!$B$8/2)),IF('I_Budget Input Data'!$E$138="Back-loaded",IF(18&lt;='I_Inputs &amp; Assumptions'!$B$8/2,'I_Budget Input Data'!$D$138*0.4/('I_Inputs &amp; Assumptions'!$B$8/2),'I_Budget Input Data'!$D$138*0.6/('I_Inputs &amp; Assumptions'!$B$8/2)),IF('I_Budget Input Data'!$E$138="Mid-weighted",IF(18&lt;='I_Inputs &amp; Assumptions'!$B$8/4,'I_Budget Input Data'!$D$138*0.2/('I_Inputs &amp; Assumptions'!$B$8/4),IF(18&lt;='I_Inputs &amp; Assumptions'!$B$8*0.75,'I_Budget Input Data'!$D$138*0.6/('I_Inputs &amp; Assumptions'!$B$8/2),'I_Budget Input Data'!$D$138*0.2/('I_Inputs &amp; Assumptions'!$B$8/4))),IF('I_Budget Input Data'!$E$138="At Completion",IF(18='I_Inputs &amp; Assumptions'!$B$8,'I_Budget Input Data'!$D$138,0),'I_Budget Input Data'!$D$138/'I_Inputs &amp; Assumptions'!$B$8)))))),0)</f>
        <v>0</v>
      </c>
      <c r="U138" s="91">
        <f>IF(19&lt;='I_Inputs &amp; Assumptions'!$B$8,IF('I_Budget Input Data'!$E$138="Upfront",IF(19=1,'I_Budget Input Data'!$D$138,0),IF('I_Budget Input Data'!$E$138="Equal",'I_Budget Input Data'!$D$138/'I_Inputs &amp; Assumptions'!$B$8,IF('I_Budget Input Data'!$E$138="Front-loaded",IF(19&lt;='I_Inputs &amp; Assumptions'!$B$8/2,'I_Budget Input Data'!$D$138*0.6/('I_Inputs &amp; Assumptions'!$B$8/2),'I_Budget Input Data'!$D$138*0.4/('I_Inputs &amp; Assumptions'!$B$8/2)),IF('I_Budget Input Data'!$E$138="Back-loaded",IF(19&lt;='I_Inputs &amp; Assumptions'!$B$8/2,'I_Budget Input Data'!$D$138*0.4/('I_Inputs &amp; Assumptions'!$B$8/2),'I_Budget Input Data'!$D$138*0.6/('I_Inputs &amp; Assumptions'!$B$8/2)),IF('I_Budget Input Data'!$E$138="Mid-weighted",IF(19&lt;='I_Inputs &amp; Assumptions'!$B$8/4,'I_Budget Input Data'!$D$138*0.2/('I_Inputs &amp; Assumptions'!$B$8/4),IF(19&lt;='I_Inputs &amp; Assumptions'!$B$8*0.75,'I_Budget Input Data'!$D$138*0.6/('I_Inputs &amp; Assumptions'!$B$8/2),'I_Budget Input Data'!$D$138*0.2/('I_Inputs &amp; Assumptions'!$B$8/4))),IF('I_Budget Input Data'!$E$138="At Completion",IF(19='I_Inputs &amp; Assumptions'!$B$8,'I_Budget Input Data'!$D$138,0),'I_Budget Input Data'!$D$138/'I_Inputs &amp; Assumptions'!$B$8)))))),0)</f>
        <v>0</v>
      </c>
      <c r="V138" s="91">
        <f>IF(20&lt;='I_Inputs &amp; Assumptions'!$B$8,IF('I_Budget Input Data'!$E$138="Upfront",IF(20=1,'I_Budget Input Data'!$D$138,0),IF('I_Budget Input Data'!$E$138="Equal",'I_Budget Input Data'!$D$138/'I_Inputs &amp; Assumptions'!$B$8,IF('I_Budget Input Data'!$E$138="Front-loaded",IF(20&lt;='I_Inputs &amp; Assumptions'!$B$8/2,'I_Budget Input Data'!$D$138*0.6/('I_Inputs &amp; Assumptions'!$B$8/2),'I_Budget Input Data'!$D$138*0.4/('I_Inputs &amp; Assumptions'!$B$8/2)),IF('I_Budget Input Data'!$E$138="Back-loaded",IF(20&lt;='I_Inputs &amp; Assumptions'!$B$8/2,'I_Budget Input Data'!$D$138*0.4/('I_Inputs &amp; Assumptions'!$B$8/2),'I_Budget Input Data'!$D$138*0.6/('I_Inputs &amp; Assumptions'!$B$8/2)),IF('I_Budget Input Data'!$E$138="Mid-weighted",IF(20&lt;='I_Inputs &amp; Assumptions'!$B$8/4,'I_Budget Input Data'!$D$138*0.2/('I_Inputs &amp; Assumptions'!$B$8/4),IF(20&lt;='I_Inputs &amp; Assumptions'!$B$8*0.75,'I_Budget Input Data'!$D$138*0.6/('I_Inputs &amp; Assumptions'!$B$8/2),'I_Budget Input Data'!$D$138*0.2/('I_Inputs &amp; Assumptions'!$B$8/4))),IF('I_Budget Input Data'!$E$138="At Completion",IF(20='I_Inputs &amp; Assumptions'!$B$8,'I_Budget Input Data'!$D$138,0),'I_Budget Input Data'!$D$138/'I_Inputs &amp; Assumptions'!$B$8)))))),0)</f>
        <v>0</v>
      </c>
      <c r="W138" s="91">
        <f>IF(21&lt;='I_Inputs &amp; Assumptions'!$B$8,IF('I_Budget Input Data'!$E$138="Upfront",IF(21=1,'I_Budget Input Data'!$D$138,0),IF('I_Budget Input Data'!$E$138="Equal",'I_Budget Input Data'!$D$138/'I_Inputs &amp; Assumptions'!$B$8,IF('I_Budget Input Data'!$E$138="Front-loaded",IF(21&lt;='I_Inputs &amp; Assumptions'!$B$8/2,'I_Budget Input Data'!$D$138*0.6/('I_Inputs &amp; Assumptions'!$B$8/2),'I_Budget Input Data'!$D$138*0.4/('I_Inputs &amp; Assumptions'!$B$8/2)),IF('I_Budget Input Data'!$E$138="Back-loaded",IF(21&lt;='I_Inputs &amp; Assumptions'!$B$8/2,'I_Budget Input Data'!$D$138*0.4/('I_Inputs &amp; Assumptions'!$B$8/2),'I_Budget Input Data'!$D$138*0.6/('I_Inputs &amp; Assumptions'!$B$8/2)),IF('I_Budget Input Data'!$E$138="Mid-weighted",IF(21&lt;='I_Inputs &amp; Assumptions'!$B$8/4,'I_Budget Input Data'!$D$138*0.2/('I_Inputs &amp; Assumptions'!$B$8/4),IF(21&lt;='I_Inputs &amp; Assumptions'!$B$8*0.75,'I_Budget Input Data'!$D$138*0.6/('I_Inputs &amp; Assumptions'!$B$8/2),'I_Budget Input Data'!$D$138*0.2/('I_Inputs &amp; Assumptions'!$B$8/4))),IF('I_Budget Input Data'!$E$138="At Completion",IF(21='I_Inputs &amp; Assumptions'!$B$8,'I_Budget Input Data'!$D$138,0),'I_Budget Input Data'!$D$138/'I_Inputs &amp; Assumptions'!$B$8)))))),0)</f>
        <v>0</v>
      </c>
      <c r="X138" s="91">
        <f>IF(22&lt;='I_Inputs &amp; Assumptions'!$B$8,IF('I_Budget Input Data'!$E$138="Upfront",IF(22=1,'I_Budget Input Data'!$D$138,0),IF('I_Budget Input Data'!$E$138="Equal",'I_Budget Input Data'!$D$138/'I_Inputs &amp; Assumptions'!$B$8,IF('I_Budget Input Data'!$E$138="Front-loaded",IF(22&lt;='I_Inputs &amp; Assumptions'!$B$8/2,'I_Budget Input Data'!$D$138*0.6/('I_Inputs &amp; Assumptions'!$B$8/2),'I_Budget Input Data'!$D$138*0.4/('I_Inputs &amp; Assumptions'!$B$8/2)),IF('I_Budget Input Data'!$E$138="Back-loaded",IF(22&lt;='I_Inputs &amp; Assumptions'!$B$8/2,'I_Budget Input Data'!$D$138*0.4/('I_Inputs &amp; Assumptions'!$B$8/2),'I_Budget Input Data'!$D$138*0.6/('I_Inputs &amp; Assumptions'!$B$8/2)),IF('I_Budget Input Data'!$E$138="Mid-weighted",IF(22&lt;='I_Inputs &amp; Assumptions'!$B$8/4,'I_Budget Input Data'!$D$138*0.2/('I_Inputs &amp; Assumptions'!$B$8/4),IF(22&lt;='I_Inputs &amp; Assumptions'!$B$8*0.75,'I_Budget Input Data'!$D$138*0.6/('I_Inputs &amp; Assumptions'!$B$8/2),'I_Budget Input Data'!$D$138*0.2/('I_Inputs &amp; Assumptions'!$B$8/4))),IF('I_Budget Input Data'!$E$138="At Completion",IF(22='I_Inputs &amp; Assumptions'!$B$8,'I_Budget Input Data'!$D$138,0),'I_Budget Input Data'!$D$138/'I_Inputs &amp; Assumptions'!$B$8)))))),0)</f>
        <v>0</v>
      </c>
      <c r="Y138" s="91">
        <f>IF(23&lt;='I_Inputs &amp; Assumptions'!$B$8,IF('I_Budget Input Data'!$E$138="Upfront",IF(23=1,'I_Budget Input Data'!$D$138,0),IF('I_Budget Input Data'!$E$138="Equal",'I_Budget Input Data'!$D$138/'I_Inputs &amp; Assumptions'!$B$8,IF('I_Budget Input Data'!$E$138="Front-loaded",IF(23&lt;='I_Inputs &amp; Assumptions'!$B$8/2,'I_Budget Input Data'!$D$138*0.6/('I_Inputs &amp; Assumptions'!$B$8/2),'I_Budget Input Data'!$D$138*0.4/('I_Inputs &amp; Assumptions'!$B$8/2)),IF('I_Budget Input Data'!$E$138="Back-loaded",IF(23&lt;='I_Inputs &amp; Assumptions'!$B$8/2,'I_Budget Input Data'!$D$138*0.4/('I_Inputs &amp; Assumptions'!$B$8/2),'I_Budget Input Data'!$D$138*0.6/('I_Inputs &amp; Assumptions'!$B$8/2)),IF('I_Budget Input Data'!$E$138="Mid-weighted",IF(23&lt;='I_Inputs &amp; Assumptions'!$B$8/4,'I_Budget Input Data'!$D$138*0.2/('I_Inputs &amp; Assumptions'!$B$8/4),IF(23&lt;='I_Inputs &amp; Assumptions'!$B$8*0.75,'I_Budget Input Data'!$D$138*0.6/('I_Inputs &amp; Assumptions'!$B$8/2),'I_Budget Input Data'!$D$138*0.2/('I_Inputs &amp; Assumptions'!$B$8/4))),IF('I_Budget Input Data'!$E$138="At Completion",IF(23='I_Inputs &amp; Assumptions'!$B$8,'I_Budget Input Data'!$D$138,0),'I_Budget Input Data'!$D$138/'I_Inputs &amp; Assumptions'!$B$8)))))),0)</f>
        <v>0</v>
      </c>
      <c r="Z138" s="91">
        <f>IF(24&lt;='I_Inputs &amp; Assumptions'!$B$8,IF('I_Budget Input Data'!$E$138="Upfront",IF(24=1,'I_Budget Input Data'!$D$138,0),IF('I_Budget Input Data'!$E$138="Equal",'I_Budget Input Data'!$D$138/'I_Inputs &amp; Assumptions'!$B$8,IF('I_Budget Input Data'!$E$138="Front-loaded",IF(24&lt;='I_Inputs &amp; Assumptions'!$B$8/2,'I_Budget Input Data'!$D$138*0.6/('I_Inputs &amp; Assumptions'!$B$8/2),'I_Budget Input Data'!$D$138*0.4/('I_Inputs &amp; Assumptions'!$B$8/2)),IF('I_Budget Input Data'!$E$138="Back-loaded",IF(24&lt;='I_Inputs &amp; Assumptions'!$B$8/2,'I_Budget Input Data'!$D$138*0.4/('I_Inputs &amp; Assumptions'!$B$8/2),'I_Budget Input Data'!$D$138*0.6/('I_Inputs &amp; Assumptions'!$B$8/2)),IF('I_Budget Input Data'!$E$138="Mid-weighted",IF(24&lt;='I_Inputs &amp; Assumptions'!$B$8/4,'I_Budget Input Data'!$D$138*0.2/('I_Inputs &amp; Assumptions'!$B$8/4),IF(24&lt;='I_Inputs &amp; Assumptions'!$B$8*0.75,'I_Budget Input Data'!$D$138*0.6/('I_Inputs &amp; Assumptions'!$B$8/2),'I_Budget Input Data'!$D$138*0.2/('I_Inputs &amp; Assumptions'!$B$8/4))),IF('I_Budget Input Data'!$E$138="At Completion",IF(24='I_Inputs &amp; Assumptions'!$B$8,'I_Budget Input Data'!$D$138,0),'I_Budget Input Data'!$D$138/'I_Inputs &amp; Assumptions'!$B$8)))))),0)</f>
        <v>0</v>
      </c>
      <c r="AA138" s="91">
        <f>IF(25&lt;='I_Inputs &amp; Assumptions'!$B$8,IF('I_Budget Input Data'!$E$138="Upfront",IF(25=1,'I_Budget Input Data'!$D$138,0),IF('I_Budget Input Data'!$E$138="Equal",'I_Budget Input Data'!$D$138/'I_Inputs &amp; Assumptions'!$B$8,IF('I_Budget Input Data'!$E$138="Front-loaded",IF(25&lt;='I_Inputs &amp; Assumptions'!$B$8/2,'I_Budget Input Data'!$D$138*0.6/('I_Inputs &amp; Assumptions'!$B$8/2),'I_Budget Input Data'!$D$138*0.4/('I_Inputs &amp; Assumptions'!$B$8/2)),IF('I_Budget Input Data'!$E$138="Back-loaded",IF(25&lt;='I_Inputs &amp; Assumptions'!$B$8/2,'I_Budget Input Data'!$D$138*0.4/('I_Inputs &amp; Assumptions'!$B$8/2),'I_Budget Input Data'!$D$138*0.6/('I_Inputs &amp; Assumptions'!$B$8/2)),IF('I_Budget Input Data'!$E$138="Mid-weighted",IF(25&lt;='I_Inputs &amp; Assumptions'!$B$8/4,'I_Budget Input Data'!$D$138*0.2/('I_Inputs &amp; Assumptions'!$B$8/4),IF(25&lt;='I_Inputs &amp; Assumptions'!$B$8*0.75,'I_Budget Input Data'!$D$138*0.6/('I_Inputs &amp; Assumptions'!$B$8/2),'I_Budget Input Data'!$D$138*0.2/('I_Inputs &amp; Assumptions'!$B$8/4))),IF('I_Budget Input Data'!$E$138="At Completion",IF(25='I_Inputs &amp; Assumptions'!$B$8,'I_Budget Input Data'!$D$138,0),'I_Budget Input Data'!$D$138/'I_Inputs &amp; Assumptions'!$B$8)))))),0)</f>
        <v>0</v>
      </c>
      <c r="AB138" s="91">
        <f>IF(26&lt;='I_Inputs &amp; Assumptions'!$B$8,IF('I_Budget Input Data'!$E$138="Upfront",IF(26=1,'I_Budget Input Data'!$D$138,0),IF('I_Budget Input Data'!$E$138="Equal",'I_Budget Input Data'!$D$138/'I_Inputs &amp; Assumptions'!$B$8,IF('I_Budget Input Data'!$E$138="Front-loaded",IF(26&lt;='I_Inputs &amp; Assumptions'!$B$8/2,'I_Budget Input Data'!$D$138*0.6/('I_Inputs &amp; Assumptions'!$B$8/2),'I_Budget Input Data'!$D$138*0.4/('I_Inputs &amp; Assumptions'!$B$8/2)),IF('I_Budget Input Data'!$E$138="Back-loaded",IF(26&lt;='I_Inputs &amp; Assumptions'!$B$8/2,'I_Budget Input Data'!$D$138*0.4/('I_Inputs &amp; Assumptions'!$B$8/2),'I_Budget Input Data'!$D$138*0.6/('I_Inputs &amp; Assumptions'!$B$8/2)),IF('I_Budget Input Data'!$E$138="Mid-weighted",IF(26&lt;='I_Inputs &amp; Assumptions'!$B$8/4,'I_Budget Input Data'!$D$138*0.2/('I_Inputs &amp; Assumptions'!$B$8/4),IF(26&lt;='I_Inputs &amp; Assumptions'!$B$8*0.75,'I_Budget Input Data'!$D$138*0.6/('I_Inputs &amp; Assumptions'!$B$8/2),'I_Budget Input Data'!$D$138*0.2/('I_Inputs &amp; Assumptions'!$B$8/4))),IF('I_Budget Input Data'!$E$138="At Completion",IF(26='I_Inputs &amp; Assumptions'!$B$8,'I_Budget Input Data'!$D$138,0),'I_Budget Input Data'!$D$138/'I_Inputs &amp; Assumptions'!$B$8)))))),0)</f>
        <v>0</v>
      </c>
      <c r="AC138" s="91">
        <f>IF(27&lt;='I_Inputs &amp; Assumptions'!$B$8,IF('I_Budget Input Data'!$E$138="Upfront",IF(27=1,'I_Budget Input Data'!$D$138,0),IF('I_Budget Input Data'!$E$138="Equal",'I_Budget Input Data'!$D$138/'I_Inputs &amp; Assumptions'!$B$8,IF('I_Budget Input Data'!$E$138="Front-loaded",IF(27&lt;='I_Inputs &amp; Assumptions'!$B$8/2,'I_Budget Input Data'!$D$138*0.6/('I_Inputs &amp; Assumptions'!$B$8/2),'I_Budget Input Data'!$D$138*0.4/('I_Inputs &amp; Assumptions'!$B$8/2)),IF('I_Budget Input Data'!$E$138="Back-loaded",IF(27&lt;='I_Inputs &amp; Assumptions'!$B$8/2,'I_Budget Input Data'!$D$138*0.4/('I_Inputs &amp; Assumptions'!$B$8/2),'I_Budget Input Data'!$D$138*0.6/('I_Inputs &amp; Assumptions'!$B$8/2)),IF('I_Budget Input Data'!$E$138="Mid-weighted",IF(27&lt;='I_Inputs &amp; Assumptions'!$B$8/4,'I_Budget Input Data'!$D$138*0.2/('I_Inputs &amp; Assumptions'!$B$8/4),IF(27&lt;='I_Inputs &amp; Assumptions'!$B$8*0.75,'I_Budget Input Data'!$D$138*0.6/('I_Inputs &amp; Assumptions'!$B$8/2),'I_Budget Input Data'!$D$138*0.2/('I_Inputs &amp; Assumptions'!$B$8/4))),IF('I_Budget Input Data'!$E$138="At Completion",IF(27='I_Inputs &amp; Assumptions'!$B$8,'I_Budget Input Data'!$D$138,0),'I_Budget Input Data'!$D$138/'I_Inputs &amp; Assumptions'!$B$8)))))),0)</f>
        <v>0</v>
      </c>
      <c r="AD138" s="91">
        <f>IF(28&lt;='I_Inputs &amp; Assumptions'!$B$8,IF('I_Budget Input Data'!$E$138="Upfront",IF(28=1,'I_Budget Input Data'!$D$138,0),IF('I_Budget Input Data'!$E$138="Equal",'I_Budget Input Data'!$D$138/'I_Inputs &amp; Assumptions'!$B$8,IF('I_Budget Input Data'!$E$138="Front-loaded",IF(28&lt;='I_Inputs &amp; Assumptions'!$B$8/2,'I_Budget Input Data'!$D$138*0.6/('I_Inputs &amp; Assumptions'!$B$8/2),'I_Budget Input Data'!$D$138*0.4/('I_Inputs &amp; Assumptions'!$B$8/2)),IF('I_Budget Input Data'!$E$138="Back-loaded",IF(28&lt;='I_Inputs &amp; Assumptions'!$B$8/2,'I_Budget Input Data'!$D$138*0.4/('I_Inputs &amp; Assumptions'!$B$8/2),'I_Budget Input Data'!$D$138*0.6/('I_Inputs &amp; Assumptions'!$B$8/2)),IF('I_Budget Input Data'!$E$138="Mid-weighted",IF(28&lt;='I_Inputs &amp; Assumptions'!$B$8/4,'I_Budget Input Data'!$D$138*0.2/('I_Inputs &amp; Assumptions'!$B$8/4),IF(28&lt;='I_Inputs &amp; Assumptions'!$B$8*0.75,'I_Budget Input Data'!$D$138*0.6/('I_Inputs &amp; Assumptions'!$B$8/2),'I_Budget Input Data'!$D$138*0.2/('I_Inputs &amp; Assumptions'!$B$8/4))),IF('I_Budget Input Data'!$E$138="At Completion",IF(28='I_Inputs &amp; Assumptions'!$B$8,'I_Budget Input Data'!$D$138,0),'I_Budget Input Data'!$D$138/'I_Inputs &amp; Assumptions'!$B$8)))))),0)</f>
        <v>0</v>
      </c>
      <c r="AE138" s="91">
        <f>IF(29&lt;='I_Inputs &amp; Assumptions'!$B$8,IF('I_Budget Input Data'!$E$138="Upfront",IF(29=1,'I_Budget Input Data'!$D$138,0),IF('I_Budget Input Data'!$E$138="Equal",'I_Budget Input Data'!$D$138/'I_Inputs &amp; Assumptions'!$B$8,IF('I_Budget Input Data'!$E$138="Front-loaded",IF(29&lt;='I_Inputs &amp; Assumptions'!$B$8/2,'I_Budget Input Data'!$D$138*0.6/('I_Inputs &amp; Assumptions'!$B$8/2),'I_Budget Input Data'!$D$138*0.4/('I_Inputs &amp; Assumptions'!$B$8/2)),IF('I_Budget Input Data'!$E$138="Back-loaded",IF(29&lt;='I_Inputs &amp; Assumptions'!$B$8/2,'I_Budget Input Data'!$D$138*0.4/('I_Inputs &amp; Assumptions'!$B$8/2),'I_Budget Input Data'!$D$138*0.6/('I_Inputs &amp; Assumptions'!$B$8/2)),IF('I_Budget Input Data'!$E$138="Mid-weighted",IF(29&lt;='I_Inputs &amp; Assumptions'!$B$8/4,'I_Budget Input Data'!$D$138*0.2/('I_Inputs &amp; Assumptions'!$B$8/4),IF(29&lt;='I_Inputs &amp; Assumptions'!$B$8*0.75,'I_Budget Input Data'!$D$138*0.6/('I_Inputs &amp; Assumptions'!$B$8/2),'I_Budget Input Data'!$D$138*0.2/('I_Inputs &amp; Assumptions'!$B$8/4))),IF('I_Budget Input Data'!$E$138="At Completion",IF(29='I_Inputs &amp; Assumptions'!$B$8,'I_Budget Input Data'!$D$138,0),'I_Budget Input Data'!$D$138/'I_Inputs &amp; Assumptions'!$B$8)))))),0)</f>
        <v>0</v>
      </c>
      <c r="AF138" s="91">
        <f>IF(30&lt;='I_Inputs &amp; Assumptions'!$B$8,IF('I_Budget Input Data'!$E$138="Upfront",IF(30=1,'I_Budget Input Data'!$D$138,0),IF('I_Budget Input Data'!$E$138="Equal",'I_Budget Input Data'!$D$138/'I_Inputs &amp; Assumptions'!$B$8,IF('I_Budget Input Data'!$E$138="Front-loaded",IF(30&lt;='I_Inputs &amp; Assumptions'!$B$8/2,'I_Budget Input Data'!$D$138*0.6/('I_Inputs &amp; Assumptions'!$B$8/2),'I_Budget Input Data'!$D$138*0.4/('I_Inputs &amp; Assumptions'!$B$8/2)),IF('I_Budget Input Data'!$E$138="Back-loaded",IF(30&lt;='I_Inputs &amp; Assumptions'!$B$8/2,'I_Budget Input Data'!$D$138*0.4/('I_Inputs &amp; Assumptions'!$B$8/2),'I_Budget Input Data'!$D$138*0.6/('I_Inputs &amp; Assumptions'!$B$8/2)),IF('I_Budget Input Data'!$E$138="Mid-weighted",IF(30&lt;='I_Inputs &amp; Assumptions'!$B$8/4,'I_Budget Input Data'!$D$138*0.2/('I_Inputs &amp; Assumptions'!$B$8/4),IF(30&lt;='I_Inputs &amp; Assumptions'!$B$8*0.75,'I_Budget Input Data'!$D$138*0.6/('I_Inputs &amp; Assumptions'!$B$8/2),'I_Budget Input Data'!$D$138*0.2/('I_Inputs &amp; Assumptions'!$B$8/4))),IF('I_Budget Input Data'!$E$138="At Completion",IF(30='I_Inputs &amp; Assumptions'!$B$8,'I_Budget Input Data'!$D$138,0),'I_Budget Input Data'!$D$138/'I_Inputs &amp; Assumptions'!$B$8)))))),0)</f>
        <v>0</v>
      </c>
      <c r="AG138" s="91">
        <f>IF(31&lt;='I_Inputs &amp; Assumptions'!$B$8,IF('I_Budget Input Data'!$E$138="Upfront",IF(31=1,'I_Budget Input Data'!$D$138,0),IF('I_Budget Input Data'!$E$138="Equal",'I_Budget Input Data'!$D$138/'I_Inputs &amp; Assumptions'!$B$8,IF('I_Budget Input Data'!$E$138="Front-loaded",IF(31&lt;='I_Inputs &amp; Assumptions'!$B$8/2,'I_Budget Input Data'!$D$138*0.6/('I_Inputs &amp; Assumptions'!$B$8/2),'I_Budget Input Data'!$D$138*0.4/('I_Inputs &amp; Assumptions'!$B$8/2)),IF('I_Budget Input Data'!$E$138="Back-loaded",IF(31&lt;='I_Inputs &amp; Assumptions'!$B$8/2,'I_Budget Input Data'!$D$138*0.4/('I_Inputs &amp; Assumptions'!$B$8/2),'I_Budget Input Data'!$D$138*0.6/('I_Inputs &amp; Assumptions'!$B$8/2)),IF('I_Budget Input Data'!$E$138="Mid-weighted",IF(31&lt;='I_Inputs &amp; Assumptions'!$B$8/4,'I_Budget Input Data'!$D$138*0.2/('I_Inputs &amp; Assumptions'!$B$8/4),IF(31&lt;='I_Inputs &amp; Assumptions'!$B$8*0.75,'I_Budget Input Data'!$D$138*0.6/('I_Inputs &amp; Assumptions'!$B$8/2),'I_Budget Input Data'!$D$138*0.2/('I_Inputs &amp; Assumptions'!$B$8/4))),IF('I_Budget Input Data'!$E$138="At Completion",IF(31='I_Inputs &amp; Assumptions'!$B$8,'I_Budget Input Data'!$D$138,0),'I_Budget Input Data'!$D$138/'I_Inputs &amp; Assumptions'!$B$8)))))),0)</f>
        <v>0</v>
      </c>
      <c r="AH138" s="91">
        <f>IF(32&lt;='I_Inputs &amp; Assumptions'!$B$8,IF('I_Budget Input Data'!$E$138="Upfront",IF(32=1,'I_Budget Input Data'!$D$138,0),IF('I_Budget Input Data'!$E$138="Equal",'I_Budget Input Data'!$D$138/'I_Inputs &amp; Assumptions'!$B$8,IF('I_Budget Input Data'!$E$138="Front-loaded",IF(32&lt;='I_Inputs &amp; Assumptions'!$B$8/2,'I_Budget Input Data'!$D$138*0.6/('I_Inputs &amp; Assumptions'!$B$8/2),'I_Budget Input Data'!$D$138*0.4/('I_Inputs &amp; Assumptions'!$B$8/2)),IF('I_Budget Input Data'!$E$138="Back-loaded",IF(32&lt;='I_Inputs &amp; Assumptions'!$B$8/2,'I_Budget Input Data'!$D$138*0.4/('I_Inputs &amp; Assumptions'!$B$8/2),'I_Budget Input Data'!$D$138*0.6/('I_Inputs &amp; Assumptions'!$B$8/2)),IF('I_Budget Input Data'!$E$138="Mid-weighted",IF(32&lt;='I_Inputs &amp; Assumptions'!$B$8/4,'I_Budget Input Data'!$D$138*0.2/('I_Inputs &amp; Assumptions'!$B$8/4),IF(32&lt;='I_Inputs &amp; Assumptions'!$B$8*0.75,'I_Budget Input Data'!$D$138*0.6/('I_Inputs &amp; Assumptions'!$B$8/2),'I_Budget Input Data'!$D$138*0.2/('I_Inputs &amp; Assumptions'!$B$8/4))),IF('I_Budget Input Data'!$E$138="At Completion",IF(32='I_Inputs &amp; Assumptions'!$B$8,'I_Budget Input Data'!$D$138,0),'I_Budget Input Data'!$D$138/'I_Inputs &amp; Assumptions'!$B$8)))))),0)</f>
        <v>0</v>
      </c>
      <c r="AI138" s="91">
        <f>IF(33&lt;='I_Inputs &amp; Assumptions'!$B$8,IF('I_Budget Input Data'!$E$138="Upfront",IF(33=1,'I_Budget Input Data'!$D$138,0),IF('I_Budget Input Data'!$E$138="Equal",'I_Budget Input Data'!$D$138/'I_Inputs &amp; Assumptions'!$B$8,IF('I_Budget Input Data'!$E$138="Front-loaded",IF(33&lt;='I_Inputs &amp; Assumptions'!$B$8/2,'I_Budget Input Data'!$D$138*0.6/('I_Inputs &amp; Assumptions'!$B$8/2),'I_Budget Input Data'!$D$138*0.4/('I_Inputs &amp; Assumptions'!$B$8/2)),IF('I_Budget Input Data'!$E$138="Back-loaded",IF(33&lt;='I_Inputs &amp; Assumptions'!$B$8/2,'I_Budget Input Data'!$D$138*0.4/('I_Inputs &amp; Assumptions'!$B$8/2),'I_Budget Input Data'!$D$138*0.6/('I_Inputs &amp; Assumptions'!$B$8/2)),IF('I_Budget Input Data'!$E$138="Mid-weighted",IF(33&lt;='I_Inputs &amp; Assumptions'!$B$8/4,'I_Budget Input Data'!$D$138*0.2/('I_Inputs &amp; Assumptions'!$B$8/4),IF(33&lt;='I_Inputs &amp; Assumptions'!$B$8*0.75,'I_Budget Input Data'!$D$138*0.6/('I_Inputs &amp; Assumptions'!$B$8/2),'I_Budget Input Data'!$D$138*0.2/('I_Inputs &amp; Assumptions'!$B$8/4))),IF('I_Budget Input Data'!$E$138="At Completion",IF(33='I_Inputs &amp; Assumptions'!$B$8,'I_Budget Input Data'!$D$138,0),'I_Budget Input Data'!$D$138/'I_Inputs &amp; Assumptions'!$B$8)))))),0)</f>
        <v>0</v>
      </c>
      <c r="AJ138" s="91">
        <f>IF(34&lt;='I_Inputs &amp; Assumptions'!$B$8,IF('I_Budget Input Data'!$E$138="Upfront",IF(34=1,'I_Budget Input Data'!$D$138,0),IF('I_Budget Input Data'!$E$138="Equal",'I_Budget Input Data'!$D$138/'I_Inputs &amp; Assumptions'!$B$8,IF('I_Budget Input Data'!$E$138="Front-loaded",IF(34&lt;='I_Inputs &amp; Assumptions'!$B$8/2,'I_Budget Input Data'!$D$138*0.6/('I_Inputs &amp; Assumptions'!$B$8/2),'I_Budget Input Data'!$D$138*0.4/('I_Inputs &amp; Assumptions'!$B$8/2)),IF('I_Budget Input Data'!$E$138="Back-loaded",IF(34&lt;='I_Inputs &amp; Assumptions'!$B$8/2,'I_Budget Input Data'!$D$138*0.4/('I_Inputs &amp; Assumptions'!$B$8/2),'I_Budget Input Data'!$D$138*0.6/('I_Inputs &amp; Assumptions'!$B$8/2)),IF('I_Budget Input Data'!$E$138="Mid-weighted",IF(34&lt;='I_Inputs &amp; Assumptions'!$B$8/4,'I_Budget Input Data'!$D$138*0.2/('I_Inputs &amp; Assumptions'!$B$8/4),IF(34&lt;='I_Inputs &amp; Assumptions'!$B$8*0.75,'I_Budget Input Data'!$D$138*0.6/('I_Inputs &amp; Assumptions'!$B$8/2),'I_Budget Input Data'!$D$138*0.2/('I_Inputs &amp; Assumptions'!$B$8/4))),IF('I_Budget Input Data'!$E$138="At Completion",IF(34='I_Inputs &amp; Assumptions'!$B$8,'I_Budget Input Data'!$D$138,0),'I_Budget Input Data'!$D$138/'I_Inputs &amp; Assumptions'!$B$8)))))),0)</f>
        <v>0</v>
      </c>
      <c r="AK138" s="91">
        <f>IF(35&lt;='I_Inputs &amp; Assumptions'!$B$8,IF('I_Budget Input Data'!$E$138="Upfront",IF(35=1,'I_Budget Input Data'!$D$138,0),IF('I_Budget Input Data'!$E$138="Equal",'I_Budget Input Data'!$D$138/'I_Inputs &amp; Assumptions'!$B$8,IF('I_Budget Input Data'!$E$138="Front-loaded",IF(35&lt;='I_Inputs &amp; Assumptions'!$B$8/2,'I_Budget Input Data'!$D$138*0.6/('I_Inputs &amp; Assumptions'!$B$8/2),'I_Budget Input Data'!$D$138*0.4/('I_Inputs &amp; Assumptions'!$B$8/2)),IF('I_Budget Input Data'!$E$138="Back-loaded",IF(35&lt;='I_Inputs &amp; Assumptions'!$B$8/2,'I_Budget Input Data'!$D$138*0.4/('I_Inputs &amp; Assumptions'!$B$8/2),'I_Budget Input Data'!$D$138*0.6/('I_Inputs &amp; Assumptions'!$B$8/2)),IF('I_Budget Input Data'!$E$138="Mid-weighted",IF(35&lt;='I_Inputs &amp; Assumptions'!$B$8/4,'I_Budget Input Data'!$D$138*0.2/('I_Inputs &amp; Assumptions'!$B$8/4),IF(35&lt;='I_Inputs &amp; Assumptions'!$B$8*0.75,'I_Budget Input Data'!$D$138*0.6/('I_Inputs &amp; Assumptions'!$B$8/2),'I_Budget Input Data'!$D$138*0.2/('I_Inputs &amp; Assumptions'!$B$8/4))),IF('I_Budget Input Data'!$E$138="At Completion",IF(35='I_Inputs &amp; Assumptions'!$B$8,'I_Budget Input Data'!$D$138,0),'I_Budget Input Data'!$D$138/'I_Inputs &amp; Assumptions'!$B$8)))))),0)</f>
        <v>0</v>
      </c>
      <c r="AL138" s="91">
        <f>IF(36&lt;='I_Inputs &amp; Assumptions'!$B$8,IF('I_Budget Input Data'!$E$138="Upfront",IF(36=1,'I_Budget Input Data'!$D$138,0),IF('I_Budget Input Data'!$E$138="Equal",'I_Budget Input Data'!$D$138/'I_Inputs &amp; Assumptions'!$B$8,IF('I_Budget Input Data'!$E$138="Front-loaded",IF(36&lt;='I_Inputs &amp; Assumptions'!$B$8/2,'I_Budget Input Data'!$D$138*0.6/('I_Inputs &amp; Assumptions'!$B$8/2),'I_Budget Input Data'!$D$138*0.4/('I_Inputs &amp; Assumptions'!$B$8/2)),IF('I_Budget Input Data'!$E$138="Back-loaded",IF(36&lt;='I_Inputs &amp; Assumptions'!$B$8/2,'I_Budget Input Data'!$D$138*0.4/('I_Inputs &amp; Assumptions'!$B$8/2),'I_Budget Input Data'!$D$138*0.6/('I_Inputs &amp; Assumptions'!$B$8/2)),IF('I_Budget Input Data'!$E$138="Mid-weighted",IF(36&lt;='I_Inputs &amp; Assumptions'!$B$8/4,'I_Budget Input Data'!$D$138*0.2/('I_Inputs &amp; Assumptions'!$B$8/4),IF(36&lt;='I_Inputs &amp; Assumptions'!$B$8*0.75,'I_Budget Input Data'!$D$138*0.6/('I_Inputs &amp; Assumptions'!$B$8/2),'I_Budget Input Data'!$D$138*0.2/('I_Inputs &amp; Assumptions'!$B$8/4))),IF('I_Budget Input Data'!$E$138="At Completion",IF(36='I_Inputs &amp; Assumptions'!$B$8,'I_Budget Input Data'!$D$138,0),'I_Budget Input Data'!$D$138/'I_Inputs &amp; Assumptions'!$B$8)))))),0)</f>
        <v>0</v>
      </c>
    </row>
    <row r="139" spans="1:38" ht="15" customHeight="1" x14ac:dyDescent="0.2">
      <c r="A139" t="s">
        <v>248</v>
      </c>
      <c r="B139" t="s">
        <v>254</v>
      </c>
      <c r="C139" s="91">
        <f>IF(1&lt;='I_Inputs &amp; Assumptions'!$B$8,IF('I_Budget Input Data'!$E$139="Upfront",IF(1=1,'I_Budget Input Data'!$D$139,0),IF('I_Budget Input Data'!$E$139="Equal",'I_Budget Input Data'!$D$139/'I_Inputs &amp; Assumptions'!$B$8,IF('I_Budget Input Data'!$E$139="Front-loaded",IF(1&lt;='I_Inputs &amp; Assumptions'!$B$8/2,'I_Budget Input Data'!$D$139*0.6/('I_Inputs &amp; Assumptions'!$B$8/2),'I_Budget Input Data'!$D$139*0.4/('I_Inputs &amp; Assumptions'!$B$8/2)),IF('I_Budget Input Data'!$E$139="Back-loaded",IF(1&lt;='I_Inputs &amp; Assumptions'!$B$8/2,'I_Budget Input Data'!$D$139*0.4/('I_Inputs &amp; Assumptions'!$B$8/2),'I_Budget Input Data'!$D$139*0.6/('I_Inputs &amp; Assumptions'!$B$8/2)),IF('I_Budget Input Data'!$E$139="Mid-weighted",IF(1&lt;='I_Inputs &amp; Assumptions'!$B$8/4,'I_Budget Input Data'!$D$139*0.2/('I_Inputs &amp; Assumptions'!$B$8/4),IF(1&lt;='I_Inputs &amp; Assumptions'!$B$8*0.75,'I_Budget Input Data'!$D$139*0.6/('I_Inputs &amp; Assumptions'!$B$8/2),'I_Budget Input Data'!$D$139*0.2/('I_Inputs &amp; Assumptions'!$B$8/4))),IF('I_Budget Input Data'!$E$139="At Completion",IF(1='I_Inputs &amp; Assumptions'!$B$8,'I_Budget Input Data'!$D$139,0),'I_Budget Input Data'!$D$139/'I_Inputs &amp; Assumptions'!$B$8)))))),0)</f>
        <v>122307.69230769231</v>
      </c>
      <c r="D139" s="91">
        <f>IF(2&lt;='I_Inputs &amp; Assumptions'!$B$8,IF('I_Budget Input Data'!$E$139="Upfront",IF(2=1,'I_Budget Input Data'!$D$139,0),IF('I_Budget Input Data'!$E$139="Equal",'I_Budget Input Data'!$D$139/'I_Inputs &amp; Assumptions'!$B$8,IF('I_Budget Input Data'!$E$139="Front-loaded",IF(2&lt;='I_Inputs &amp; Assumptions'!$B$8/2,'I_Budget Input Data'!$D$139*0.6/('I_Inputs &amp; Assumptions'!$B$8/2),'I_Budget Input Data'!$D$139*0.4/('I_Inputs &amp; Assumptions'!$B$8/2)),IF('I_Budget Input Data'!$E$139="Back-loaded",IF(2&lt;='I_Inputs &amp; Assumptions'!$B$8/2,'I_Budget Input Data'!$D$139*0.4/('I_Inputs &amp; Assumptions'!$B$8/2),'I_Budget Input Data'!$D$139*0.6/('I_Inputs &amp; Assumptions'!$B$8/2)),IF('I_Budget Input Data'!$E$139="Mid-weighted",IF(2&lt;='I_Inputs &amp; Assumptions'!$B$8/4,'I_Budget Input Data'!$D$139*0.2/('I_Inputs &amp; Assumptions'!$B$8/4),IF(2&lt;='I_Inputs &amp; Assumptions'!$B$8*0.75,'I_Budget Input Data'!$D$139*0.6/('I_Inputs &amp; Assumptions'!$B$8/2),'I_Budget Input Data'!$D$139*0.2/('I_Inputs &amp; Assumptions'!$B$8/4))),IF('I_Budget Input Data'!$E$139="At Completion",IF(2='I_Inputs &amp; Assumptions'!$B$8,'I_Budget Input Data'!$D$139,0),'I_Budget Input Data'!$D$139/'I_Inputs &amp; Assumptions'!$B$8)))))),0)</f>
        <v>122307.69230769231</v>
      </c>
      <c r="E139" s="91">
        <f>IF(3&lt;='I_Inputs &amp; Assumptions'!$B$8,IF('I_Budget Input Data'!$E$139="Upfront",IF(3=1,'I_Budget Input Data'!$D$139,0),IF('I_Budget Input Data'!$E$139="Equal",'I_Budget Input Data'!$D$139/'I_Inputs &amp; Assumptions'!$B$8,IF('I_Budget Input Data'!$E$139="Front-loaded",IF(3&lt;='I_Inputs &amp; Assumptions'!$B$8/2,'I_Budget Input Data'!$D$139*0.6/('I_Inputs &amp; Assumptions'!$B$8/2),'I_Budget Input Data'!$D$139*0.4/('I_Inputs &amp; Assumptions'!$B$8/2)),IF('I_Budget Input Data'!$E$139="Back-loaded",IF(3&lt;='I_Inputs &amp; Assumptions'!$B$8/2,'I_Budget Input Data'!$D$139*0.4/('I_Inputs &amp; Assumptions'!$B$8/2),'I_Budget Input Data'!$D$139*0.6/('I_Inputs &amp; Assumptions'!$B$8/2)),IF('I_Budget Input Data'!$E$139="Mid-weighted",IF(3&lt;='I_Inputs &amp; Assumptions'!$B$8/4,'I_Budget Input Data'!$D$139*0.2/('I_Inputs &amp; Assumptions'!$B$8/4),IF(3&lt;='I_Inputs &amp; Assumptions'!$B$8*0.75,'I_Budget Input Data'!$D$139*0.6/('I_Inputs &amp; Assumptions'!$B$8/2),'I_Budget Input Data'!$D$139*0.2/('I_Inputs &amp; Assumptions'!$B$8/4))),IF('I_Budget Input Data'!$E$139="At Completion",IF(3='I_Inputs &amp; Assumptions'!$B$8,'I_Budget Input Data'!$D$139,0),'I_Budget Input Data'!$D$139/'I_Inputs &amp; Assumptions'!$B$8)))))),0)</f>
        <v>122307.69230769231</v>
      </c>
      <c r="F139" s="91">
        <f>IF(4&lt;='I_Inputs &amp; Assumptions'!$B$8,IF('I_Budget Input Data'!$E$139="Upfront",IF(4=1,'I_Budget Input Data'!$D$139,0),IF('I_Budget Input Data'!$E$139="Equal",'I_Budget Input Data'!$D$139/'I_Inputs &amp; Assumptions'!$B$8,IF('I_Budget Input Data'!$E$139="Front-loaded",IF(4&lt;='I_Inputs &amp; Assumptions'!$B$8/2,'I_Budget Input Data'!$D$139*0.6/('I_Inputs &amp; Assumptions'!$B$8/2),'I_Budget Input Data'!$D$139*0.4/('I_Inputs &amp; Assumptions'!$B$8/2)),IF('I_Budget Input Data'!$E$139="Back-loaded",IF(4&lt;='I_Inputs &amp; Assumptions'!$B$8/2,'I_Budget Input Data'!$D$139*0.4/('I_Inputs &amp; Assumptions'!$B$8/2),'I_Budget Input Data'!$D$139*0.6/('I_Inputs &amp; Assumptions'!$B$8/2)),IF('I_Budget Input Data'!$E$139="Mid-weighted",IF(4&lt;='I_Inputs &amp; Assumptions'!$B$8/4,'I_Budget Input Data'!$D$139*0.2/('I_Inputs &amp; Assumptions'!$B$8/4),IF(4&lt;='I_Inputs &amp; Assumptions'!$B$8*0.75,'I_Budget Input Data'!$D$139*0.6/('I_Inputs &amp; Assumptions'!$B$8/2),'I_Budget Input Data'!$D$139*0.2/('I_Inputs &amp; Assumptions'!$B$8/4))),IF('I_Budget Input Data'!$E$139="At Completion",IF(4='I_Inputs &amp; Assumptions'!$B$8,'I_Budget Input Data'!$D$139,0),'I_Budget Input Data'!$D$139/'I_Inputs &amp; Assumptions'!$B$8)))))),0)</f>
        <v>122307.69230769231</v>
      </c>
      <c r="G139" s="91">
        <f>IF(5&lt;='I_Inputs &amp; Assumptions'!$B$8,IF('I_Budget Input Data'!$E$139="Upfront",IF(5=1,'I_Budget Input Data'!$D$139,0),IF('I_Budget Input Data'!$E$139="Equal",'I_Budget Input Data'!$D$139/'I_Inputs &amp; Assumptions'!$B$8,IF('I_Budget Input Data'!$E$139="Front-loaded",IF(5&lt;='I_Inputs &amp; Assumptions'!$B$8/2,'I_Budget Input Data'!$D$139*0.6/('I_Inputs &amp; Assumptions'!$B$8/2),'I_Budget Input Data'!$D$139*0.4/('I_Inputs &amp; Assumptions'!$B$8/2)),IF('I_Budget Input Data'!$E$139="Back-loaded",IF(5&lt;='I_Inputs &amp; Assumptions'!$B$8/2,'I_Budget Input Data'!$D$139*0.4/('I_Inputs &amp; Assumptions'!$B$8/2),'I_Budget Input Data'!$D$139*0.6/('I_Inputs &amp; Assumptions'!$B$8/2)),IF('I_Budget Input Data'!$E$139="Mid-weighted",IF(5&lt;='I_Inputs &amp; Assumptions'!$B$8/4,'I_Budget Input Data'!$D$139*0.2/('I_Inputs &amp; Assumptions'!$B$8/4),IF(5&lt;='I_Inputs &amp; Assumptions'!$B$8*0.75,'I_Budget Input Data'!$D$139*0.6/('I_Inputs &amp; Assumptions'!$B$8/2),'I_Budget Input Data'!$D$139*0.2/('I_Inputs &amp; Assumptions'!$B$8/4))),IF('I_Budget Input Data'!$E$139="At Completion",IF(5='I_Inputs &amp; Assumptions'!$B$8,'I_Budget Input Data'!$D$139,0),'I_Budget Input Data'!$D$139/'I_Inputs &amp; Assumptions'!$B$8)))))),0)</f>
        <v>122307.69230769231</v>
      </c>
      <c r="H139" s="91">
        <f>IF(6&lt;='I_Inputs &amp; Assumptions'!$B$8,IF('I_Budget Input Data'!$E$139="Upfront",IF(6=1,'I_Budget Input Data'!$D$139,0),IF('I_Budget Input Data'!$E$139="Equal",'I_Budget Input Data'!$D$139/'I_Inputs &amp; Assumptions'!$B$8,IF('I_Budget Input Data'!$E$139="Front-loaded",IF(6&lt;='I_Inputs &amp; Assumptions'!$B$8/2,'I_Budget Input Data'!$D$139*0.6/('I_Inputs &amp; Assumptions'!$B$8/2),'I_Budget Input Data'!$D$139*0.4/('I_Inputs &amp; Assumptions'!$B$8/2)),IF('I_Budget Input Data'!$E$139="Back-loaded",IF(6&lt;='I_Inputs &amp; Assumptions'!$B$8/2,'I_Budget Input Data'!$D$139*0.4/('I_Inputs &amp; Assumptions'!$B$8/2),'I_Budget Input Data'!$D$139*0.6/('I_Inputs &amp; Assumptions'!$B$8/2)),IF('I_Budget Input Data'!$E$139="Mid-weighted",IF(6&lt;='I_Inputs &amp; Assumptions'!$B$8/4,'I_Budget Input Data'!$D$139*0.2/('I_Inputs &amp; Assumptions'!$B$8/4),IF(6&lt;='I_Inputs &amp; Assumptions'!$B$8*0.75,'I_Budget Input Data'!$D$139*0.6/('I_Inputs &amp; Assumptions'!$B$8/2),'I_Budget Input Data'!$D$139*0.2/('I_Inputs &amp; Assumptions'!$B$8/4))),IF('I_Budget Input Data'!$E$139="At Completion",IF(6='I_Inputs &amp; Assumptions'!$B$8,'I_Budget Input Data'!$D$139,0),'I_Budget Input Data'!$D$139/'I_Inputs &amp; Assumptions'!$B$8)))))),0)</f>
        <v>122307.69230769231</v>
      </c>
      <c r="I139" s="91">
        <f>IF(7&lt;='I_Inputs &amp; Assumptions'!$B$8,IF('I_Budget Input Data'!$E$139="Upfront",IF(7=1,'I_Budget Input Data'!$D$139,0),IF('I_Budget Input Data'!$E$139="Equal",'I_Budget Input Data'!$D$139/'I_Inputs &amp; Assumptions'!$B$8,IF('I_Budget Input Data'!$E$139="Front-loaded",IF(7&lt;='I_Inputs &amp; Assumptions'!$B$8/2,'I_Budget Input Data'!$D$139*0.6/('I_Inputs &amp; Assumptions'!$B$8/2),'I_Budget Input Data'!$D$139*0.4/('I_Inputs &amp; Assumptions'!$B$8/2)),IF('I_Budget Input Data'!$E$139="Back-loaded",IF(7&lt;='I_Inputs &amp; Assumptions'!$B$8/2,'I_Budget Input Data'!$D$139*0.4/('I_Inputs &amp; Assumptions'!$B$8/2),'I_Budget Input Data'!$D$139*0.6/('I_Inputs &amp; Assumptions'!$B$8/2)),IF('I_Budget Input Data'!$E$139="Mid-weighted",IF(7&lt;='I_Inputs &amp; Assumptions'!$B$8/4,'I_Budget Input Data'!$D$139*0.2/('I_Inputs &amp; Assumptions'!$B$8/4),IF(7&lt;='I_Inputs &amp; Assumptions'!$B$8*0.75,'I_Budget Input Data'!$D$139*0.6/('I_Inputs &amp; Assumptions'!$B$8/2),'I_Budget Input Data'!$D$139*0.2/('I_Inputs &amp; Assumptions'!$B$8/4))),IF('I_Budget Input Data'!$E$139="At Completion",IF(7='I_Inputs &amp; Assumptions'!$B$8,'I_Budget Input Data'!$D$139,0),'I_Budget Input Data'!$D$139/'I_Inputs &amp; Assumptions'!$B$8)))))),0)</f>
        <v>81538.461538461532</v>
      </c>
      <c r="J139" s="91">
        <f>IF(8&lt;='I_Inputs &amp; Assumptions'!$B$8,IF('I_Budget Input Data'!$E$139="Upfront",IF(8=1,'I_Budget Input Data'!$D$139,0),IF('I_Budget Input Data'!$E$139="Equal",'I_Budget Input Data'!$D$139/'I_Inputs &amp; Assumptions'!$B$8,IF('I_Budget Input Data'!$E$139="Front-loaded",IF(8&lt;='I_Inputs &amp; Assumptions'!$B$8/2,'I_Budget Input Data'!$D$139*0.6/('I_Inputs &amp; Assumptions'!$B$8/2),'I_Budget Input Data'!$D$139*0.4/('I_Inputs &amp; Assumptions'!$B$8/2)),IF('I_Budget Input Data'!$E$139="Back-loaded",IF(8&lt;='I_Inputs &amp; Assumptions'!$B$8/2,'I_Budget Input Data'!$D$139*0.4/('I_Inputs &amp; Assumptions'!$B$8/2),'I_Budget Input Data'!$D$139*0.6/('I_Inputs &amp; Assumptions'!$B$8/2)),IF('I_Budget Input Data'!$E$139="Mid-weighted",IF(8&lt;='I_Inputs &amp; Assumptions'!$B$8/4,'I_Budget Input Data'!$D$139*0.2/('I_Inputs &amp; Assumptions'!$B$8/4),IF(8&lt;='I_Inputs &amp; Assumptions'!$B$8*0.75,'I_Budget Input Data'!$D$139*0.6/('I_Inputs &amp; Assumptions'!$B$8/2),'I_Budget Input Data'!$D$139*0.2/('I_Inputs &amp; Assumptions'!$B$8/4))),IF('I_Budget Input Data'!$E$139="At Completion",IF(8='I_Inputs &amp; Assumptions'!$B$8,'I_Budget Input Data'!$D$139,0),'I_Budget Input Data'!$D$139/'I_Inputs &amp; Assumptions'!$B$8)))))),0)</f>
        <v>81538.461538461532</v>
      </c>
      <c r="K139" s="91">
        <f>IF(9&lt;='I_Inputs &amp; Assumptions'!$B$8,IF('I_Budget Input Data'!$E$139="Upfront",IF(9=1,'I_Budget Input Data'!$D$139,0),IF('I_Budget Input Data'!$E$139="Equal",'I_Budget Input Data'!$D$139/'I_Inputs &amp; Assumptions'!$B$8,IF('I_Budget Input Data'!$E$139="Front-loaded",IF(9&lt;='I_Inputs &amp; Assumptions'!$B$8/2,'I_Budget Input Data'!$D$139*0.6/('I_Inputs &amp; Assumptions'!$B$8/2),'I_Budget Input Data'!$D$139*0.4/('I_Inputs &amp; Assumptions'!$B$8/2)),IF('I_Budget Input Data'!$E$139="Back-loaded",IF(9&lt;='I_Inputs &amp; Assumptions'!$B$8/2,'I_Budget Input Data'!$D$139*0.4/('I_Inputs &amp; Assumptions'!$B$8/2),'I_Budget Input Data'!$D$139*0.6/('I_Inputs &amp; Assumptions'!$B$8/2)),IF('I_Budget Input Data'!$E$139="Mid-weighted",IF(9&lt;='I_Inputs &amp; Assumptions'!$B$8/4,'I_Budget Input Data'!$D$139*0.2/('I_Inputs &amp; Assumptions'!$B$8/4),IF(9&lt;='I_Inputs &amp; Assumptions'!$B$8*0.75,'I_Budget Input Data'!$D$139*0.6/('I_Inputs &amp; Assumptions'!$B$8/2),'I_Budget Input Data'!$D$139*0.2/('I_Inputs &amp; Assumptions'!$B$8/4))),IF('I_Budget Input Data'!$E$139="At Completion",IF(9='I_Inputs &amp; Assumptions'!$B$8,'I_Budget Input Data'!$D$139,0),'I_Budget Input Data'!$D$139/'I_Inputs &amp; Assumptions'!$B$8)))))),0)</f>
        <v>81538.461538461532</v>
      </c>
      <c r="L139" s="91">
        <f>IF(10&lt;='I_Inputs &amp; Assumptions'!$B$8,IF('I_Budget Input Data'!$E$139="Upfront",IF(10=1,'I_Budget Input Data'!$D$139,0),IF('I_Budget Input Data'!$E$139="Equal",'I_Budget Input Data'!$D$139/'I_Inputs &amp; Assumptions'!$B$8,IF('I_Budget Input Data'!$E$139="Front-loaded",IF(10&lt;='I_Inputs &amp; Assumptions'!$B$8/2,'I_Budget Input Data'!$D$139*0.6/('I_Inputs &amp; Assumptions'!$B$8/2),'I_Budget Input Data'!$D$139*0.4/('I_Inputs &amp; Assumptions'!$B$8/2)),IF('I_Budget Input Data'!$E$139="Back-loaded",IF(10&lt;='I_Inputs &amp; Assumptions'!$B$8/2,'I_Budget Input Data'!$D$139*0.4/('I_Inputs &amp; Assumptions'!$B$8/2),'I_Budget Input Data'!$D$139*0.6/('I_Inputs &amp; Assumptions'!$B$8/2)),IF('I_Budget Input Data'!$E$139="Mid-weighted",IF(10&lt;='I_Inputs &amp; Assumptions'!$B$8/4,'I_Budget Input Data'!$D$139*0.2/('I_Inputs &amp; Assumptions'!$B$8/4),IF(10&lt;='I_Inputs &amp; Assumptions'!$B$8*0.75,'I_Budget Input Data'!$D$139*0.6/('I_Inputs &amp; Assumptions'!$B$8/2),'I_Budget Input Data'!$D$139*0.2/('I_Inputs &amp; Assumptions'!$B$8/4))),IF('I_Budget Input Data'!$E$139="At Completion",IF(10='I_Inputs &amp; Assumptions'!$B$8,'I_Budget Input Data'!$D$139,0),'I_Budget Input Data'!$D$139/'I_Inputs &amp; Assumptions'!$B$8)))))),0)</f>
        <v>81538.461538461532</v>
      </c>
      <c r="M139" s="91">
        <f>IF(11&lt;='I_Inputs &amp; Assumptions'!$B$8,IF('I_Budget Input Data'!$E$139="Upfront",IF(11=1,'I_Budget Input Data'!$D$139,0),IF('I_Budget Input Data'!$E$139="Equal",'I_Budget Input Data'!$D$139/'I_Inputs &amp; Assumptions'!$B$8,IF('I_Budget Input Data'!$E$139="Front-loaded",IF(11&lt;='I_Inputs &amp; Assumptions'!$B$8/2,'I_Budget Input Data'!$D$139*0.6/('I_Inputs &amp; Assumptions'!$B$8/2),'I_Budget Input Data'!$D$139*0.4/('I_Inputs &amp; Assumptions'!$B$8/2)),IF('I_Budget Input Data'!$E$139="Back-loaded",IF(11&lt;='I_Inputs &amp; Assumptions'!$B$8/2,'I_Budget Input Data'!$D$139*0.4/('I_Inputs &amp; Assumptions'!$B$8/2),'I_Budget Input Data'!$D$139*0.6/('I_Inputs &amp; Assumptions'!$B$8/2)),IF('I_Budget Input Data'!$E$139="Mid-weighted",IF(11&lt;='I_Inputs &amp; Assumptions'!$B$8/4,'I_Budget Input Data'!$D$139*0.2/('I_Inputs &amp; Assumptions'!$B$8/4),IF(11&lt;='I_Inputs &amp; Assumptions'!$B$8*0.75,'I_Budget Input Data'!$D$139*0.6/('I_Inputs &amp; Assumptions'!$B$8/2),'I_Budget Input Data'!$D$139*0.2/('I_Inputs &amp; Assumptions'!$B$8/4))),IF('I_Budget Input Data'!$E$139="At Completion",IF(11='I_Inputs &amp; Assumptions'!$B$8,'I_Budget Input Data'!$D$139,0),'I_Budget Input Data'!$D$139/'I_Inputs &amp; Assumptions'!$B$8)))))),0)</f>
        <v>81538.461538461532</v>
      </c>
      <c r="N139" s="91">
        <f>IF(12&lt;='I_Inputs &amp; Assumptions'!$B$8,IF('I_Budget Input Data'!$E$139="Upfront",IF(12=1,'I_Budget Input Data'!$D$139,0),IF('I_Budget Input Data'!$E$139="Equal",'I_Budget Input Data'!$D$139/'I_Inputs &amp; Assumptions'!$B$8,IF('I_Budget Input Data'!$E$139="Front-loaded",IF(12&lt;='I_Inputs &amp; Assumptions'!$B$8/2,'I_Budget Input Data'!$D$139*0.6/('I_Inputs &amp; Assumptions'!$B$8/2),'I_Budget Input Data'!$D$139*0.4/('I_Inputs &amp; Assumptions'!$B$8/2)),IF('I_Budget Input Data'!$E$139="Back-loaded",IF(12&lt;='I_Inputs &amp; Assumptions'!$B$8/2,'I_Budget Input Data'!$D$139*0.4/('I_Inputs &amp; Assumptions'!$B$8/2),'I_Budget Input Data'!$D$139*0.6/('I_Inputs &amp; Assumptions'!$B$8/2)),IF('I_Budget Input Data'!$E$139="Mid-weighted",IF(12&lt;='I_Inputs &amp; Assumptions'!$B$8/4,'I_Budget Input Data'!$D$139*0.2/('I_Inputs &amp; Assumptions'!$B$8/4),IF(12&lt;='I_Inputs &amp; Assumptions'!$B$8*0.75,'I_Budget Input Data'!$D$139*0.6/('I_Inputs &amp; Assumptions'!$B$8/2),'I_Budget Input Data'!$D$139*0.2/('I_Inputs &amp; Assumptions'!$B$8/4))),IF('I_Budget Input Data'!$E$139="At Completion",IF(12='I_Inputs &amp; Assumptions'!$B$8,'I_Budget Input Data'!$D$139,0),'I_Budget Input Data'!$D$139/'I_Inputs &amp; Assumptions'!$B$8)))))),0)</f>
        <v>81538.461538461532</v>
      </c>
      <c r="O139" s="91">
        <f>IF(13&lt;='I_Inputs &amp; Assumptions'!$B$8,IF('I_Budget Input Data'!$E$139="Upfront",IF(13=1,'I_Budget Input Data'!$D$139,0),IF('I_Budget Input Data'!$E$139="Equal",'I_Budget Input Data'!$D$139/'I_Inputs &amp; Assumptions'!$B$8,IF('I_Budget Input Data'!$E$139="Front-loaded",IF(13&lt;='I_Inputs &amp; Assumptions'!$B$8/2,'I_Budget Input Data'!$D$139*0.6/('I_Inputs &amp; Assumptions'!$B$8/2),'I_Budget Input Data'!$D$139*0.4/('I_Inputs &amp; Assumptions'!$B$8/2)),IF('I_Budget Input Data'!$E$139="Back-loaded",IF(13&lt;='I_Inputs &amp; Assumptions'!$B$8/2,'I_Budget Input Data'!$D$139*0.4/('I_Inputs &amp; Assumptions'!$B$8/2),'I_Budget Input Data'!$D$139*0.6/('I_Inputs &amp; Assumptions'!$B$8/2)),IF('I_Budget Input Data'!$E$139="Mid-weighted",IF(13&lt;='I_Inputs &amp; Assumptions'!$B$8/4,'I_Budget Input Data'!$D$139*0.2/('I_Inputs &amp; Assumptions'!$B$8/4),IF(13&lt;='I_Inputs &amp; Assumptions'!$B$8*0.75,'I_Budget Input Data'!$D$139*0.6/('I_Inputs &amp; Assumptions'!$B$8/2),'I_Budget Input Data'!$D$139*0.2/('I_Inputs &amp; Assumptions'!$B$8/4))),IF('I_Budget Input Data'!$E$139="At Completion",IF(13='I_Inputs &amp; Assumptions'!$B$8,'I_Budget Input Data'!$D$139,0),'I_Budget Input Data'!$D$139/'I_Inputs &amp; Assumptions'!$B$8)))))),0)</f>
        <v>81538.461538461532</v>
      </c>
      <c r="P139" s="91">
        <f>IF(14&lt;='I_Inputs &amp; Assumptions'!$B$8,IF('I_Budget Input Data'!$E$139="Upfront",IF(14=1,'I_Budget Input Data'!$D$139,0),IF('I_Budget Input Data'!$E$139="Equal",'I_Budget Input Data'!$D$139/'I_Inputs &amp; Assumptions'!$B$8,IF('I_Budget Input Data'!$E$139="Front-loaded",IF(14&lt;='I_Inputs &amp; Assumptions'!$B$8/2,'I_Budget Input Data'!$D$139*0.6/('I_Inputs &amp; Assumptions'!$B$8/2),'I_Budget Input Data'!$D$139*0.4/('I_Inputs &amp; Assumptions'!$B$8/2)),IF('I_Budget Input Data'!$E$139="Back-loaded",IF(14&lt;='I_Inputs &amp; Assumptions'!$B$8/2,'I_Budget Input Data'!$D$139*0.4/('I_Inputs &amp; Assumptions'!$B$8/2),'I_Budget Input Data'!$D$139*0.6/('I_Inputs &amp; Assumptions'!$B$8/2)),IF('I_Budget Input Data'!$E$139="Mid-weighted",IF(14&lt;='I_Inputs &amp; Assumptions'!$B$8/4,'I_Budget Input Data'!$D$139*0.2/('I_Inputs &amp; Assumptions'!$B$8/4),IF(14&lt;='I_Inputs &amp; Assumptions'!$B$8*0.75,'I_Budget Input Data'!$D$139*0.6/('I_Inputs &amp; Assumptions'!$B$8/2),'I_Budget Input Data'!$D$139*0.2/('I_Inputs &amp; Assumptions'!$B$8/4))),IF('I_Budget Input Data'!$E$139="At Completion",IF(14='I_Inputs &amp; Assumptions'!$B$8,'I_Budget Input Data'!$D$139,0),'I_Budget Input Data'!$D$139/'I_Inputs &amp; Assumptions'!$B$8)))))),0)</f>
        <v>0</v>
      </c>
      <c r="Q139" s="91">
        <f>IF(15&lt;='I_Inputs &amp; Assumptions'!$B$8,IF('I_Budget Input Data'!$E$139="Upfront",IF(15=1,'I_Budget Input Data'!$D$139,0),IF('I_Budget Input Data'!$E$139="Equal",'I_Budget Input Data'!$D$139/'I_Inputs &amp; Assumptions'!$B$8,IF('I_Budget Input Data'!$E$139="Front-loaded",IF(15&lt;='I_Inputs &amp; Assumptions'!$B$8/2,'I_Budget Input Data'!$D$139*0.6/('I_Inputs &amp; Assumptions'!$B$8/2),'I_Budget Input Data'!$D$139*0.4/('I_Inputs &amp; Assumptions'!$B$8/2)),IF('I_Budget Input Data'!$E$139="Back-loaded",IF(15&lt;='I_Inputs &amp; Assumptions'!$B$8/2,'I_Budget Input Data'!$D$139*0.4/('I_Inputs &amp; Assumptions'!$B$8/2),'I_Budget Input Data'!$D$139*0.6/('I_Inputs &amp; Assumptions'!$B$8/2)),IF('I_Budget Input Data'!$E$139="Mid-weighted",IF(15&lt;='I_Inputs &amp; Assumptions'!$B$8/4,'I_Budget Input Data'!$D$139*0.2/('I_Inputs &amp; Assumptions'!$B$8/4),IF(15&lt;='I_Inputs &amp; Assumptions'!$B$8*0.75,'I_Budget Input Data'!$D$139*0.6/('I_Inputs &amp; Assumptions'!$B$8/2),'I_Budget Input Data'!$D$139*0.2/('I_Inputs &amp; Assumptions'!$B$8/4))),IF('I_Budget Input Data'!$E$139="At Completion",IF(15='I_Inputs &amp; Assumptions'!$B$8,'I_Budget Input Data'!$D$139,0),'I_Budget Input Data'!$D$139/'I_Inputs &amp; Assumptions'!$B$8)))))),0)</f>
        <v>0</v>
      </c>
      <c r="R139" s="91">
        <f>IF(16&lt;='I_Inputs &amp; Assumptions'!$B$8,IF('I_Budget Input Data'!$E$139="Upfront",IF(16=1,'I_Budget Input Data'!$D$139,0),IF('I_Budget Input Data'!$E$139="Equal",'I_Budget Input Data'!$D$139/'I_Inputs &amp; Assumptions'!$B$8,IF('I_Budget Input Data'!$E$139="Front-loaded",IF(16&lt;='I_Inputs &amp; Assumptions'!$B$8/2,'I_Budget Input Data'!$D$139*0.6/('I_Inputs &amp; Assumptions'!$B$8/2),'I_Budget Input Data'!$D$139*0.4/('I_Inputs &amp; Assumptions'!$B$8/2)),IF('I_Budget Input Data'!$E$139="Back-loaded",IF(16&lt;='I_Inputs &amp; Assumptions'!$B$8/2,'I_Budget Input Data'!$D$139*0.4/('I_Inputs &amp; Assumptions'!$B$8/2),'I_Budget Input Data'!$D$139*0.6/('I_Inputs &amp; Assumptions'!$B$8/2)),IF('I_Budget Input Data'!$E$139="Mid-weighted",IF(16&lt;='I_Inputs &amp; Assumptions'!$B$8/4,'I_Budget Input Data'!$D$139*0.2/('I_Inputs &amp; Assumptions'!$B$8/4),IF(16&lt;='I_Inputs &amp; Assumptions'!$B$8*0.75,'I_Budget Input Data'!$D$139*0.6/('I_Inputs &amp; Assumptions'!$B$8/2),'I_Budget Input Data'!$D$139*0.2/('I_Inputs &amp; Assumptions'!$B$8/4))),IF('I_Budget Input Data'!$E$139="At Completion",IF(16='I_Inputs &amp; Assumptions'!$B$8,'I_Budget Input Data'!$D$139,0),'I_Budget Input Data'!$D$139/'I_Inputs &amp; Assumptions'!$B$8)))))),0)</f>
        <v>0</v>
      </c>
      <c r="S139" s="91">
        <f>IF(17&lt;='I_Inputs &amp; Assumptions'!$B$8,IF('I_Budget Input Data'!$E$139="Upfront",IF(17=1,'I_Budget Input Data'!$D$139,0),IF('I_Budget Input Data'!$E$139="Equal",'I_Budget Input Data'!$D$139/'I_Inputs &amp; Assumptions'!$B$8,IF('I_Budget Input Data'!$E$139="Front-loaded",IF(17&lt;='I_Inputs &amp; Assumptions'!$B$8/2,'I_Budget Input Data'!$D$139*0.6/('I_Inputs &amp; Assumptions'!$B$8/2),'I_Budget Input Data'!$D$139*0.4/('I_Inputs &amp; Assumptions'!$B$8/2)),IF('I_Budget Input Data'!$E$139="Back-loaded",IF(17&lt;='I_Inputs &amp; Assumptions'!$B$8/2,'I_Budget Input Data'!$D$139*0.4/('I_Inputs &amp; Assumptions'!$B$8/2),'I_Budget Input Data'!$D$139*0.6/('I_Inputs &amp; Assumptions'!$B$8/2)),IF('I_Budget Input Data'!$E$139="Mid-weighted",IF(17&lt;='I_Inputs &amp; Assumptions'!$B$8/4,'I_Budget Input Data'!$D$139*0.2/('I_Inputs &amp; Assumptions'!$B$8/4),IF(17&lt;='I_Inputs &amp; Assumptions'!$B$8*0.75,'I_Budget Input Data'!$D$139*0.6/('I_Inputs &amp; Assumptions'!$B$8/2),'I_Budget Input Data'!$D$139*0.2/('I_Inputs &amp; Assumptions'!$B$8/4))),IF('I_Budget Input Data'!$E$139="At Completion",IF(17='I_Inputs &amp; Assumptions'!$B$8,'I_Budget Input Data'!$D$139,0),'I_Budget Input Data'!$D$139/'I_Inputs &amp; Assumptions'!$B$8)))))),0)</f>
        <v>0</v>
      </c>
      <c r="T139" s="91">
        <f>IF(18&lt;='I_Inputs &amp; Assumptions'!$B$8,IF('I_Budget Input Data'!$E$139="Upfront",IF(18=1,'I_Budget Input Data'!$D$139,0),IF('I_Budget Input Data'!$E$139="Equal",'I_Budget Input Data'!$D$139/'I_Inputs &amp; Assumptions'!$B$8,IF('I_Budget Input Data'!$E$139="Front-loaded",IF(18&lt;='I_Inputs &amp; Assumptions'!$B$8/2,'I_Budget Input Data'!$D$139*0.6/('I_Inputs &amp; Assumptions'!$B$8/2),'I_Budget Input Data'!$D$139*0.4/('I_Inputs &amp; Assumptions'!$B$8/2)),IF('I_Budget Input Data'!$E$139="Back-loaded",IF(18&lt;='I_Inputs &amp; Assumptions'!$B$8/2,'I_Budget Input Data'!$D$139*0.4/('I_Inputs &amp; Assumptions'!$B$8/2),'I_Budget Input Data'!$D$139*0.6/('I_Inputs &amp; Assumptions'!$B$8/2)),IF('I_Budget Input Data'!$E$139="Mid-weighted",IF(18&lt;='I_Inputs &amp; Assumptions'!$B$8/4,'I_Budget Input Data'!$D$139*0.2/('I_Inputs &amp; Assumptions'!$B$8/4),IF(18&lt;='I_Inputs &amp; Assumptions'!$B$8*0.75,'I_Budget Input Data'!$D$139*0.6/('I_Inputs &amp; Assumptions'!$B$8/2),'I_Budget Input Data'!$D$139*0.2/('I_Inputs &amp; Assumptions'!$B$8/4))),IF('I_Budget Input Data'!$E$139="At Completion",IF(18='I_Inputs &amp; Assumptions'!$B$8,'I_Budget Input Data'!$D$139,0),'I_Budget Input Data'!$D$139/'I_Inputs &amp; Assumptions'!$B$8)))))),0)</f>
        <v>0</v>
      </c>
      <c r="U139" s="91">
        <f>IF(19&lt;='I_Inputs &amp; Assumptions'!$B$8,IF('I_Budget Input Data'!$E$139="Upfront",IF(19=1,'I_Budget Input Data'!$D$139,0),IF('I_Budget Input Data'!$E$139="Equal",'I_Budget Input Data'!$D$139/'I_Inputs &amp; Assumptions'!$B$8,IF('I_Budget Input Data'!$E$139="Front-loaded",IF(19&lt;='I_Inputs &amp; Assumptions'!$B$8/2,'I_Budget Input Data'!$D$139*0.6/('I_Inputs &amp; Assumptions'!$B$8/2),'I_Budget Input Data'!$D$139*0.4/('I_Inputs &amp; Assumptions'!$B$8/2)),IF('I_Budget Input Data'!$E$139="Back-loaded",IF(19&lt;='I_Inputs &amp; Assumptions'!$B$8/2,'I_Budget Input Data'!$D$139*0.4/('I_Inputs &amp; Assumptions'!$B$8/2),'I_Budget Input Data'!$D$139*0.6/('I_Inputs &amp; Assumptions'!$B$8/2)),IF('I_Budget Input Data'!$E$139="Mid-weighted",IF(19&lt;='I_Inputs &amp; Assumptions'!$B$8/4,'I_Budget Input Data'!$D$139*0.2/('I_Inputs &amp; Assumptions'!$B$8/4),IF(19&lt;='I_Inputs &amp; Assumptions'!$B$8*0.75,'I_Budget Input Data'!$D$139*0.6/('I_Inputs &amp; Assumptions'!$B$8/2),'I_Budget Input Data'!$D$139*0.2/('I_Inputs &amp; Assumptions'!$B$8/4))),IF('I_Budget Input Data'!$E$139="At Completion",IF(19='I_Inputs &amp; Assumptions'!$B$8,'I_Budget Input Data'!$D$139,0),'I_Budget Input Data'!$D$139/'I_Inputs &amp; Assumptions'!$B$8)))))),0)</f>
        <v>0</v>
      </c>
      <c r="V139" s="91">
        <f>IF(20&lt;='I_Inputs &amp; Assumptions'!$B$8,IF('I_Budget Input Data'!$E$139="Upfront",IF(20=1,'I_Budget Input Data'!$D$139,0),IF('I_Budget Input Data'!$E$139="Equal",'I_Budget Input Data'!$D$139/'I_Inputs &amp; Assumptions'!$B$8,IF('I_Budget Input Data'!$E$139="Front-loaded",IF(20&lt;='I_Inputs &amp; Assumptions'!$B$8/2,'I_Budget Input Data'!$D$139*0.6/('I_Inputs &amp; Assumptions'!$B$8/2),'I_Budget Input Data'!$D$139*0.4/('I_Inputs &amp; Assumptions'!$B$8/2)),IF('I_Budget Input Data'!$E$139="Back-loaded",IF(20&lt;='I_Inputs &amp; Assumptions'!$B$8/2,'I_Budget Input Data'!$D$139*0.4/('I_Inputs &amp; Assumptions'!$B$8/2),'I_Budget Input Data'!$D$139*0.6/('I_Inputs &amp; Assumptions'!$B$8/2)),IF('I_Budget Input Data'!$E$139="Mid-weighted",IF(20&lt;='I_Inputs &amp; Assumptions'!$B$8/4,'I_Budget Input Data'!$D$139*0.2/('I_Inputs &amp; Assumptions'!$B$8/4),IF(20&lt;='I_Inputs &amp; Assumptions'!$B$8*0.75,'I_Budget Input Data'!$D$139*0.6/('I_Inputs &amp; Assumptions'!$B$8/2),'I_Budget Input Data'!$D$139*0.2/('I_Inputs &amp; Assumptions'!$B$8/4))),IF('I_Budget Input Data'!$E$139="At Completion",IF(20='I_Inputs &amp; Assumptions'!$B$8,'I_Budget Input Data'!$D$139,0),'I_Budget Input Data'!$D$139/'I_Inputs &amp; Assumptions'!$B$8)))))),0)</f>
        <v>0</v>
      </c>
      <c r="W139" s="91">
        <f>IF(21&lt;='I_Inputs &amp; Assumptions'!$B$8,IF('I_Budget Input Data'!$E$139="Upfront",IF(21=1,'I_Budget Input Data'!$D$139,0),IF('I_Budget Input Data'!$E$139="Equal",'I_Budget Input Data'!$D$139/'I_Inputs &amp; Assumptions'!$B$8,IF('I_Budget Input Data'!$E$139="Front-loaded",IF(21&lt;='I_Inputs &amp; Assumptions'!$B$8/2,'I_Budget Input Data'!$D$139*0.6/('I_Inputs &amp; Assumptions'!$B$8/2),'I_Budget Input Data'!$D$139*0.4/('I_Inputs &amp; Assumptions'!$B$8/2)),IF('I_Budget Input Data'!$E$139="Back-loaded",IF(21&lt;='I_Inputs &amp; Assumptions'!$B$8/2,'I_Budget Input Data'!$D$139*0.4/('I_Inputs &amp; Assumptions'!$B$8/2),'I_Budget Input Data'!$D$139*0.6/('I_Inputs &amp; Assumptions'!$B$8/2)),IF('I_Budget Input Data'!$E$139="Mid-weighted",IF(21&lt;='I_Inputs &amp; Assumptions'!$B$8/4,'I_Budget Input Data'!$D$139*0.2/('I_Inputs &amp; Assumptions'!$B$8/4),IF(21&lt;='I_Inputs &amp; Assumptions'!$B$8*0.75,'I_Budget Input Data'!$D$139*0.6/('I_Inputs &amp; Assumptions'!$B$8/2),'I_Budget Input Data'!$D$139*0.2/('I_Inputs &amp; Assumptions'!$B$8/4))),IF('I_Budget Input Data'!$E$139="At Completion",IF(21='I_Inputs &amp; Assumptions'!$B$8,'I_Budget Input Data'!$D$139,0),'I_Budget Input Data'!$D$139/'I_Inputs &amp; Assumptions'!$B$8)))))),0)</f>
        <v>0</v>
      </c>
      <c r="X139" s="91">
        <f>IF(22&lt;='I_Inputs &amp; Assumptions'!$B$8,IF('I_Budget Input Data'!$E$139="Upfront",IF(22=1,'I_Budget Input Data'!$D$139,0),IF('I_Budget Input Data'!$E$139="Equal",'I_Budget Input Data'!$D$139/'I_Inputs &amp; Assumptions'!$B$8,IF('I_Budget Input Data'!$E$139="Front-loaded",IF(22&lt;='I_Inputs &amp; Assumptions'!$B$8/2,'I_Budget Input Data'!$D$139*0.6/('I_Inputs &amp; Assumptions'!$B$8/2),'I_Budget Input Data'!$D$139*0.4/('I_Inputs &amp; Assumptions'!$B$8/2)),IF('I_Budget Input Data'!$E$139="Back-loaded",IF(22&lt;='I_Inputs &amp; Assumptions'!$B$8/2,'I_Budget Input Data'!$D$139*0.4/('I_Inputs &amp; Assumptions'!$B$8/2),'I_Budget Input Data'!$D$139*0.6/('I_Inputs &amp; Assumptions'!$B$8/2)),IF('I_Budget Input Data'!$E$139="Mid-weighted",IF(22&lt;='I_Inputs &amp; Assumptions'!$B$8/4,'I_Budget Input Data'!$D$139*0.2/('I_Inputs &amp; Assumptions'!$B$8/4),IF(22&lt;='I_Inputs &amp; Assumptions'!$B$8*0.75,'I_Budget Input Data'!$D$139*0.6/('I_Inputs &amp; Assumptions'!$B$8/2),'I_Budget Input Data'!$D$139*0.2/('I_Inputs &amp; Assumptions'!$B$8/4))),IF('I_Budget Input Data'!$E$139="At Completion",IF(22='I_Inputs &amp; Assumptions'!$B$8,'I_Budget Input Data'!$D$139,0),'I_Budget Input Data'!$D$139/'I_Inputs &amp; Assumptions'!$B$8)))))),0)</f>
        <v>0</v>
      </c>
      <c r="Y139" s="91">
        <f>IF(23&lt;='I_Inputs &amp; Assumptions'!$B$8,IF('I_Budget Input Data'!$E$139="Upfront",IF(23=1,'I_Budget Input Data'!$D$139,0),IF('I_Budget Input Data'!$E$139="Equal",'I_Budget Input Data'!$D$139/'I_Inputs &amp; Assumptions'!$B$8,IF('I_Budget Input Data'!$E$139="Front-loaded",IF(23&lt;='I_Inputs &amp; Assumptions'!$B$8/2,'I_Budget Input Data'!$D$139*0.6/('I_Inputs &amp; Assumptions'!$B$8/2),'I_Budget Input Data'!$D$139*0.4/('I_Inputs &amp; Assumptions'!$B$8/2)),IF('I_Budget Input Data'!$E$139="Back-loaded",IF(23&lt;='I_Inputs &amp; Assumptions'!$B$8/2,'I_Budget Input Data'!$D$139*0.4/('I_Inputs &amp; Assumptions'!$B$8/2),'I_Budget Input Data'!$D$139*0.6/('I_Inputs &amp; Assumptions'!$B$8/2)),IF('I_Budget Input Data'!$E$139="Mid-weighted",IF(23&lt;='I_Inputs &amp; Assumptions'!$B$8/4,'I_Budget Input Data'!$D$139*0.2/('I_Inputs &amp; Assumptions'!$B$8/4),IF(23&lt;='I_Inputs &amp; Assumptions'!$B$8*0.75,'I_Budget Input Data'!$D$139*0.6/('I_Inputs &amp; Assumptions'!$B$8/2),'I_Budget Input Data'!$D$139*0.2/('I_Inputs &amp; Assumptions'!$B$8/4))),IF('I_Budget Input Data'!$E$139="At Completion",IF(23='I_Inputs &amp; Assumptions'!$B$8,'I_Budget Input Data'!$D$139,0),'I_Budget Input Data'!$D$139/'I_Inputs &amp; Assumptions'!$B$8)))))),0)</f>
        <v>0</v>
      </c>
      <c r="Z139" s="91">
        <f>IF(24&lt;='I_Inputs &amp; Assumptions'!$B$8,IF('I_Budget Input Data'!$E$139="Upfront",IF(24=1,'I_Budget Input Data'!$D$139,0),IF('I_Budget Input Data'!$E$139="Equal",'I_Budget Input Data'!$D$139/'I_Inputs &amp; Assumptions'!$B$8,IF('I_Budget Input Data'!$E$139="Front-loaded",IF(24&lt;='I_Inputs &amp; Assumptions'!$B$8/2,'I_Budget Input Data'!$D$139*0.6/('I_Inputs &amp; Assumptions'!$B$8/2),'I_Budget Input Data'!$D$139*0.4/('I_Inputs &amp; Assumptions'!$B$8/2)),IF('I_Budget Input Data'!$E$139="Back-loaded",IF(24&lt;='I_Inputs &amp; Assumptions'!$B$8/2,'I_Budget Input Data'!$D$139*0.4/('I_Inputs &amp; Assumptions'!$B$8/2),'I_Budget Input Data'!$D$139*0.6/('I_Inputs &amp; Assumptions'!$B$8/2)),IF('I_Budget Input Data'!$E$139="Mid-weighted",IF(24&lt;='I_Inputs &amp; Assumptions'!$B$8/4,'I_Budget Input Data'!$D$139*0.2/('I_Inputs &amp; Assumptions'!$B$8/4),IF(24&lt;='I_Inputs &amp; Assumptions'!$B$8*0.75,'I_Budget Input Data'!$D$139*0.6/('I_Inputs &amp; Assumptions'!$B$8/2),'I_Budget Input Data'!$D$139*0.2/('I_Inputs &amp; Assumptions'!$B$8/4))),IF('I_Budget Input Data'!$E$139="At Completion",IF(24='I_Inputs &amp; Assumptions'!$B$8,'I_Budget Input Data'!$D$139,0),'I_Budget Input Data'!$D$139/'I_Inputs &amp; Assumptions'!$B$8)))))),0)</f>
        <v>0</v>
      </c>
      <c r="AA139" s="91">
        <f>IF(25&lt;='I_Inputs &amp; Assumptions'!$B$8,IF('I_Budget Input Data'!$E$139="Upfront",IF(25=1,'I_Budget Input Data'!$D$139,0),IF('I_Budget Input Data'!$E$139="Equal",'I_Budget Input Data'!$D$139/'I_Inputs &amp; Assumptions'!$B$8,IF('I_Budget Input Data'!$E$139="Front-loaded",IF(25&lt;='I_Inputs &amp; Assumptions'!$B$8/2,'I_Budget Input Data'!$D$139*0.6/('I_Inputs &amp; Assumptions'!$B$8/2),'I_Budget Input Data'!$D$139*0.4/('I_Inputs &amp; Assumptions'!$B$8/2)),IF('I_Budget Input Data'!$E$139="Back-loaded",IF(25&lt;='I_Inputs &amp; Assumptions'!$B$8/2,'I_Budget Input Data'!$D$139*0.4/('I_Inputs &amp; Assumptions'!$B$8/2),'I_Budget Input Data'!$D$139*0.6/('I_Inputs &amp; Assumptions'!$B$8/2)),IF('I_Budget Input Data'!$E$139="Mid-weighted",IF(25&lt;='I_Inputs &amp; Assumptions'!$B$8/4,'I_Budget Input Data'!$D$139*0.2/('I_Inputs &amp; Assumptions'!$B$8/4),IF(25&lt;='I_Inputs &amp; Assumptions'!$B$8*0.75,'I_Budget Input Data'!$D$139*0.6/('I_Inputs &amp; Assumptions'!$B$8/2),'I_Budget Input Data'!$D$139*0.2/('I_Inputs &amp; Assumptions'!$B$8/4))),IF('I_Budget Input Data'!$E$139="At Completion",IF(25='I_Inputs &amp; Assumptions'!$B$8,'I_Budget Input Data'!$D$139,0),'I_Budget Input Data'!$D$139/'I_Inputs &amp; Assumptions'!$B$8)))))),0)</f>
        <v>0</v>
      </c>
      <c r="AB139" s="91">
        <f>IF(26&lt;='I_Inputs &amp; Assumptions'!$B$8,IF('I_Budget Input Data'!$E$139="Upfront",IF(26=1,'I_Budget Input Data'!$D$139,0),IF('I_Budget Input Data'!$E$139="Equal",'I_Budget Input Data'!$D$139/'I_Inputs &amp; Assumptions'!$B$8,IF('I_Budget Input Data'!$E$139="Front-loaded",IF(26&lt;='I_Inputs &amp; Assumptions'!$B$8/2,'I_Budget Input Data'!$D$139*0.6/('I_Inputs &amp; Assumptions'!$B$8/2),'I_Budget Input Data'!$D$139*0.4/('I_Inputs &amp; Assumptions'!$B$8/2)),IF('I_Budget Input Data'!$E$139="Back-loaded",IF(26&lt;='I_Inputs &amp; Assumptions'!$B$8/2,'I_Budget Input Data'!$D$139*0.4/('I_Inputs &amp; Assumptions'!$B$8/2),'I_Budget Input Data'!$D$139*0.6/('I_Inputs &amp; Assumptions'!$B$8/2)),IF('I_Budget Input Data'!$E$139="Mid-weighted",IF(26&lt;='I_Inputs &amp; Assumptions'!$B$8/4,'I_Budget Input Data'!$D$139*0.2/('I_Inputs &amp; Assumptions'!$B$8/4),IF(26&lt;='I_Inputs &amp; Assumptions'!$B$8*0.75,'I_Budget Input Data'!$D$139*0.6/('I_Inputs &amp; Assumptions'!$B$8/2),'I_Budget Input Data'!$D$139*0.2/('I_Inputs &amp; Assumptions'!$B$8/4))),IF('I_Budget Input Data'!$E$139="At Completion",IF(26='I_Inputs &amp; Assumptions'!$B$8,'I_Budget Input Data'!$D$139,0),'I_Budget Input Data'!$D$139/'I_Inputs &amp; Assumptions'!$B$8)))))),0)</f>
        <v>0</v>
      </c>
      <c r="AC139" s="91">
        <f>IF(27&lt;='I_Inputs &amp; Assumptions'!$B$8,IF('I_Budget Input Data'!$E$139="Upfront",IF(27=1,'I_Budget Input Data'!$D$139,0),IF('I_Budget Input Data'!$E$139="Equal",'I_Budget Input Data'!$D$139/'I_Inputs &amp; Assumptions'!$B$8,IF('I_Budget Input Data'!$E$139="Front-loaded",IF(27&lt;='I_Inputs &amp; Assumptions'!$B$8/2,'I_Budget Input Data'!$D$139*0.6/('I_Inputs &amp; Assumptions'!$B$8/2),'I_Budget Input Data'!$D$139*0.4/('I_Inputs &amp; Assumptions'!$B$8/2)),IF('I_Budget Input Data'!$E$139="Back-loaded",IF(27&lt;='I_Inputs &amp; Assumptions'!$B$8/2,'I_Budget Input Data'!$D$139*0.4/('I_Inputs &amp; Assumptions'!$B$8/2),'I_Budget Input Data'!$D$139*0.6/('I_Inputs &amp; Assumptions'!$B$8/2)),IF('I_Budget Input Data'!$E$139="Mid-weighted",IF(27&lt;='I_Inputs &amp; Assumptions'!$B$8/4,'I_Budget Input Data'!$D$139*0.2/('I_Inputs &amp; Assumptions'!$B$8/4),IF(27&lt;='I_Inputs &amp; Assumptions'!$B$8*0.75,'I_Budget Input Data'!$D$139*0.6/('I_Inputs &amp; Assumptions'!$B$8/2),'I_Budget Input Data'!$D$139*0.2/('I_Inputs &amp; Assumptions'!$B$8/4))),IF('I_Budget Input Data'!$E$139="At Completion",IF(27='I_Inputs &amp; Assumptions'!$B$8,'I_Budget Input Data'!$D$139,0),'I_Budget Input Data'!$D$139/'I_Inputs &amp; Assumptions'!$B$8)))))),0)</f>
        <v>0</v>
      </c>
      <c r="AD139" s="91">
        <f>IF(28&lt;='I_Inputs &amp; Assumptions'!$B$8,IF('I_Budget Input Data'!$E$139="Upfront",IF(28=1,'I_Budget Input Data'!$D$139,0),IF('I_Budget Input Data'!$E$139="Equal",'I_Budget Input Data'!$D$139/'I_Inputs &amp; Assumptions'!$B$8,IF('I_Budget Input Data'!$E$139="Front-loaded",IF(28&lt;='I_Inputs &amp; Assumptions'!$B$8/2,'I_Budget Input Data'!$D$139*0.6/('I_Inputs &amp; Assumptions'!$B$8/2),'I_Budget Input Data'!$D$139*0.4/('I_Inputs &amp; Assumptions'!$B$8/2)),IF('I_Budget Input Data'!$E$139="Back-loaded",IF(28&lt;='I_Inputs &amp; Assumptions'!$B$8/2,'I_Budget Input Data'!$D$139*0.4/('I_Inputs &amp; Assumptions'!$B$8/2),'I_Budget Input Data'!$D$139*0.6/('I_Inputs &amp; Assumptions'!$B$8/2)),IF('I_Budget Input Data'!$E$139="Mid-weighted",IF(28&lt;='I_Inputs &amp; Assumptions'!$B$8/4,'I_Budget Input Data'!$D$139*0.2/('I_Inputs &amp; Assumptions'!$B$8/4),IF(28&lt;='I_Inputs &amp; Assumptions'!$B$8*0.75,'I_Budget Input Data'!$D$139*0.6/('I_Inputs &amp; Assumptions'!$B$8/2),'I_Budget Input Data'!$D$139*0.2/('I_Inputs &amp; Assumptions'!$B$8/4))),IF('I_Budget Input Data'!$E$139="At Completion",IF(28='I_Inputs &amp; Assumptions'!$B$8,'I_Budget Input Data'!$D$139,0),'I_Budget Input Data'!$D$139/'I_Inputs &amp; Assumptions'!$B$8)))))),0)</f>
        <v>0</v>
      </c>
      <c r="AE139" s="91">
        <f>IF(29&lt;='I_Inputs &amp; Assumptions'!$B$8,IF('I_Budget Input Data'!$E$139="Upfront",IF(29=1,'I_Budget Input Data'!$D$139,0),IF('I_Budget Input Data'!$E$139="Equal",'I_Budget Input Data'!$D$139/'I_Inputs &amp; Assumptions'!$B$8,IF('I_Budget Input Data'!$E$139="Front-loaded",IF(29&lt;='I_Inputs &amp; Assumptions'!$B$8/2,'I_Budget Input Data'!$D$139*0.6/('I_Inputs &amp; Assumptions'!$B$8/2),'I_Budget Input Data'!$D$139*0.4/('I_Inputs &amp; Assumptions'!$B$8/2)),IF('I_Budget Input Data'!$E$139="Back-loaded",IF(29&lt;='I_Inputs &amp; Assumptions'!$B$8/2,'I_Budget Input Data'!$D$139*0.4/('I_Inputs &amp; Assumptions'!$B$8/2),'I_Budget Input Data'!$D$139*0.6/('I_Inputs &amp; Assumptions'!$B$8/2)),IF('I_Budget Input Data'!$E$139="Mid-weighted",IF(29&lt;='I_Inputs &amp; Assumptions'!$B$8/4,'I_Budget Input Data'!$D$139*0.2/('I_Inputs &amp; Assumptions'!$B$8/4),IF(29&lt;='I_Inputs &amp; Assumptions'!$B$8*0.75,'I_Budget Input Data'!$D$139*0.6/('I_Inputs &amp; Assumptions'!$B$8/2),'I_Budget Input Data'!$D$139*0.2/('I_Inputs &amp; Assumptions'!$B$8/4))),IF('I_Budget Input Data'!$E$139="At Completion",IF(29='I_Inputs &amp; Assumptions'!$B$8,'I_Budget Input Data'!$D$139,0),'I_Budget Input Data'!$D$139/'I_Inputs &amp; Assumptions'!$B$8)))))),0)</f>
        <v>0</v>
      </c>
      <c r="AF139" s="91">
        <f>IF(30&lt;='I_Inputs &amp; Assumptions'!$B$8,IF('I_Budget Input Data'!$E$139="Upfront",IF(30=1,'I_Budget Input Data'!$D$139,0),IF('I_Budget Input Data'!$E$139="Equal",'I_Budget Input Data'!$D$139/'I_Inputs &amp; Assumptions'!$B$8,IF('I_Budget Input Data'!$E$139="Front-loaded",IF(30&lt;='I_Inputs &amp; Assumptions'!$B$8/2,'I_Budget Input Data'!$D$139*0.6/('I_Inputs &amp; Assumptions'!$B$8/2),'I_Budget Input Data'!$D$139*0.4/('I_Inputs &amp; Assumptions'!$B$8/2)),IF('I_Budget Input Data'!$E$139="Back-loaded",IF(30&lt;='I_Inputs &amp; Assumptions'!$B$8/2,'I_Budget Input Data'!$D$139*0.4/('I_Inputs &amp; Assumptions'!$B$8/2),'I_Budget Input Data'!$D$139*0.6/('I_Inputs &amp; Assumptions'!$B$8/2)),IF('I_Budget Input Data'!$E$139="Mid-weighted",IF(30&lt;='I_Inputs &amp; Assumptions'!$B$8/4,'I_Budget Input Data'!$D$139*0.2/('I_Inputs &amp; Assumptions'!$B$8/4),IF(30&lt;='I_Inputs &amp; Assumptions'!$B$8*0.75,'I_Budget Input Data'!$D$139*0.6/('I_Inputs &amp; Assumptions'!$B$8/2),'I_Budget Input Data'!$D$139*0.2/('I_Inputs &amp; Assumptions'!$B$8/4))),IF('I_Budget Input Data'!$E$139="At Completion",IF(30='I_Inputs &amp; Assumptions'!$B$8,'I_Budget Input Data'!$D$139,0),'I_Budget Input Data'!$D$139/'I_Inputs &amp; Assumptions'!$B$8)))))),0)</f>
        <v>0</v>
      </c>
      <c r="AG139" s="91">
        <f>IF(31&lt;='I_Inputs &amp; Assumptions'!$B$8,IF('I_Budget Input Data'!$E$139="Upfront",IF(31=1,'I_Budget Input Data'!$D$139,0),IF('I_Budget Input Data'!$E$139="Equal",'I_Budget Input Data'!$D$139/'I_Inputs &amp; Assumptions'!$B$8,IF('I_Budget Input Data'!$E$139="Front-loaded",IF(31&lt;='I_Inputs &amp; Assumptions'!$B$8/2,'I_Budget Input Data'!$D$139*0.6/('I_Inputs &amp; Assumptions'!$B$8/2),'I_Budget Input Data'!$D$139*0.4/('I_Inputs &amp; Assumptions'!$B$8/2)),IF('I_Budget Input Data'!$E$139="Back-loaded",IF(31&lt;='I_Inputs &amp; Assumptions'!$B$8/2,'I_Budget Input Data'!$D$139*0.4/('I_Inputs &amp; Assumptions'!$B$8/2),'I_Budget Input Data'!$D$139*0.6/('I_Inputs &amp; Assumptions'!$B$8/2)),IF('I_Budget Input Data'!$E$139="Mid-weighted",IF(31&lt;='I_Inputs &amp; Assumptions'!$B$8/4,'I_Budget Input Data'!$D$139*0.2/('I_Inputs &amp; Assumptions'!$B$8/4),IF(31&lt;='I_Inputs &amp; Assumptions'!$B$8*0.75,'I_Budget Input Data'!$D$139*0.6/('I_Inputs &amp; Assumptions'!$B$8/2),'I_Budget Input Data'!$D$139*0.2/('I_Inputs &amp; Assumptions'!$B$8/4))),IF('I_Budget Input Data'!$E$139="At Completion",IF(31='I_Inputs &amp; Assumptions'!$B$8,'I_Budget Input Data'!$D$139,0),'I_Budget Input Data'!$D$139/'I_Inputs &amp; Assumptions'!$B$8)))))),0)</f>
        <v>0</v>
      </c>
      <c r="AH139" s="91">
        <f>IF(32&lt;='I_Inputs &amp; Assumptions'!$B$8,IF('I_Budget Input Data'!$E$139="Upfront",IF(32=1,'I_Budget Input Data'!$D$139,0),IF('I_Budget Input Data'!$E$139="Equal",'I_Budget Input Data'!$D$139/'I_Inputs &amp; Assumptions'!$B$8,IF('I_Budget Input Data'!$E$139="Front-loaded",IF(32&lt;='I_Inputs &amp; Assumptions'!$B$8/2,'I_Budget Input Data'!$D$139*0.6/('I_Inputs &amp; Assumptions'!$B$8/2),'I_Budget Input Data'!$D$139*0.4/('I_Inputs &amp; Assumptions'!$B$8/2)),IF('I_Budget Input Data'!$E$139="Back-loaded",IF(32&lt;='I_Inputs &amp; Assumptions'!$B$8/2,'I_Budget Input Data'!$D$139*0.4/('I_Inputs &amp; Assumptions'!$B$8/2),'I_Budget Input Data'!$D$139*0.6/('I_Inputs &amp; Assumptions'!$B$8/2)),IF('I_Budget Input Data'!$E$139="Mid-weighted",IF(32&lt;='I_Inputs &amp; Assumptions'!$B$8/4,'I_Budget Input Data'!$D$139*0.2/('I_Inputs &amp; Assumptions'!$B$8/4),IF(32&lt;='I_Inputs &amp; Assumptions'!$B$8*0.75,'I_Budget Input Data'!$D$139*0.6/('I_Inputs &amp; Assumptions'!$B$8/2),'I_Budget Input Data'!$D$139*0.2/('I_Inputs &amp; Assumptions'!$B$8/4))),IF('I_Budget Input Data'!$E$139="At Completion",IF(32='I_Inputs &amp; Assumptions'!$B$8,'I_Budget Input Data'!$D$139,0),'I_Budget Input Data'!$D$139/'I_Inputs &amp; Assumptions'!$B$8)))))),0)</f>
        <v>0</v>
      </c>
      <c r="AI139" s="91">
        <f>IF(33&lt;='I_Inputs &amp; Assumptions'!$B$8,IF('I_Budget Input Data'!$E$139="Upfront",IF(33=1,'I_Budget Input Data'!$D$139,0),IF('I_Budget Input Data'!$E$139="Equal",'I_Budget Input Data'!$D$139/'I_Inputs &amp; Assumptions'!$B$8,IF('I_Budget Input Data'!$E$139="Front-loaded",IF(33&lt;='I_Inputs &amp; Assumptions'!$B$8/2,'I_Budget Input Data'!$D$139*0.6/('I_Inputs &amp; Assumptions'!$B$8/2),'I_Budget Input Data'!$D$139*0.4/('I_Inputs &amp; Assumptions'!$B$8/2)),IF('I_Budget Input Data'!$E$139="Back-loaded",IF(33&lt;='I_Inputs &amp; Assumptions'!$B$8/2,'I_Budget Input Data'!$D$139*0.4/('I_Inputs &amp; Assumptions'!$B$8/2),'I_Budget Input Data'!$D$139*0.6/('I_Inputs &amp; Assumptions'!$B$8/2)),IF('I_Budget Input Data'!$E$139="Mid-weighted",IF(33&lt;='I_Inputs &amp; Assumptions'!$B$8/4,'I_Budget Input Data'!$D$139*0.2/('I_Inputs &amp; Assumptions'!$B$8/4),IF(33&lt;='I_Inputs &amp; Assumptions'!$B$8*0.75,'I_Budget Input Data'!$D$139*0.6/('I_Inputs &amp; Assumptions'!$B$8/2),'I_Budget Input Data'!$D$139*0.2/('I_Inputs &amp; Assumptions'!$B$8/4))),IF('I_Budget Input Data'!$E$139="At Completion",IF(33='I_Inputs &amp; Assumptions'!$B$8,'I_Budget Input Data'!$D$139,0),'I_Budget Input Data'!$D$139/'I_Inputs &amp; Assumptions'!$B$8)))))),0)</f>
        <v>0</v>
      </c>
      <c r="AJ139" s="91">
        <f>IF(34&lt;='I_Inputs &amp; Assumptions'!$B$8,IF('I_Budget Input Data'!$E$139="Upfront",IF(34=1,'I_Budget Input Data'!$D$139,0),IF('I_Budget Input Data'!$E$139="Equal",'I_Budget Input Data'!$D$139/'I_Inputs &amp; Assumptions'!$B$8,IF('I_Budget Input Data'!$E$139="Front-loaded",IF(34&lt;='I_Inputs &amp; Assumptions'!$B$8/2,'I_Budget Input Data'!$D$139*0.6/('I_Inputs &amp; Assumptions'!$B$8/2),'I_Budget Input Data'!$D$139*0.4/('I_Inputs &amp; Assumptions'!$B$8/2)),IF('I_Budget Input Data'!$E$139="Back-loaded",IF(34&lt;='I_Inputs &amp; Assumptions'!$B$8/2,'I_Budget Input Data'!$D$139*0.4/('I_Inputs &amp; Assumptions'!$B$8/2),'I_Budget Input Data'!$D$139*0.6/('I_Inputs &amp; Assumptions'!$B$8/2)),IF('I_Budget Input Data'!$E$139="Mid-weighted",IF(34&lt;='I_Inputs &amp; Assumptions'!$B$8/4,'I_Budget Input Data'!$D$139*0.2/('I_Inputs &amp; Assumptions'!$B$8/4),IF(34&lt;='I_Inputs &amp; Assumptions'!$B$8*0.75,'I_Budget Input Data'!$D$139*0.6/('I_Inputs &amp; Assumptions'!$B$8/2),'I_Budget Input Data'!$D$139*0.2/('I_Inputs &amp; Assumptions'!$B$8/4))),IF('I_Budget Input Data'!$E$139="At Completion",IF(34='I_Inputs &amp; Assumptions'!$B$8,'I_Budget Input Data'!$D$139,0),'I_Budget Input Data'!$D$139/'I_Inputs &amp; Assumptions'!$B$8)))))),0)</f>
        <v>0</v>
      </c>
      <c r="AK139" s="91">
        <f>IF(35&lt;='I_Inputs &amp; Assumptions'!$B$8,IF('I_Budget Input Data'!$E$139="Upfront",IF(35=1,'I_Budget Input Data'!$D$139,0),IF('I_Budget Input Data'!$E$139="Equal",'I_Budget Input Data'!$D$139/'I_Inputs &amp; Assumptions'!$B$8,IF('I_Budget Input Data'!$E$139="Front-loaded",IF(35&lt;='I_Inputs &amp; Assumptions'!$B$8/2,'I_Budget Input Data'!$D$139*0.6/('I_Inputs &amp; Assumptions'!$B$8/2),'I_Budget Input Data'!$D$139*0.4/('I_Inputs &amp; Assumptions'!$B$8/2)),IF('I_Budget Input Data'!$E$139="Back-loaded",IF(35&lt;='I_Inputs &amp; Assumptions'!$B$8/2,'I_Budget Input Data'!$D$139*0.4/('I_Inputs &amp; Assumptions'!$B$8/2),'I_Budget Input Data'!$D$139*0.6/('I_Inputs &amp; Assumptions'!$B$8/2)),IF('I_Budget Input Data'!$E$139="Mid-weighted",IF(35&lt;='I_Inputs &amp; Assumptions'!$B$8/4,'I_Budget Input Data'!$D$139*0.2/('I_Inputs &amp; Assumptions'!$B$8/4),IF(35&lt;='I_Inputs &amp; Assumptions'!$B$8*0.75,'I_Budget Input Data'!$D$139*0.6/('I_Inputs &amp; Assumptions'!$B$8/2),'I_Budget Input Data'!$D$139*0.2/('I_Inputs &amp; Assumptions'!$B$8/4))),IF('I_Budget Input Data'!$E$139="At Completion",IF(35='I_Inputs &amp; Assumptions'!$B$8,'I_Budget Input Data'!$D$139,0),'I_Budget Input Data'!$D$139/'I_Inputs &amp; Assumptions'!$B$8)))))),0)</f>
        <v>0</v>
      </c>
      <c r="AL139" s="91">
        <f>IF(36&lt;='I_Inputs &amp; Assumptions'!$B$8,IF('I_Budget Input Data'!$E$139="Upfront",IF(36=1,'I_Budget Input Data'!$D$139,0),IF('I_Budget Input Data'!$E$139="Equal",'I_Budget Input Data'!$D$139/'I_Inputs &amp; Assumptions'!$B$8,IF('I_Budget Input Data'!$E$139="Front-loaded",IF(36&lt;='I_Inputs &amp; Assumptions'!$B$8/2,'I_Budget Input Data'!$D$139*0.6/('I_Inputs &amp; Assumptions'!$B$8/2),'I_Budget Input Data'!$D$139*0.4/('I_Inputs &amp; Assumptions'!$B$8/2)),IF('I_Budget Input Data'!$E$139="Back-loaded",IF(36&lt;='I_Inputs &amp; Assumptions'!$B$8/2,'I_Budget Input Data'!$D$139*0.4/('I_Inputs &amp; Assumptions'!$B$8/2),'I_Budget Input Data'!$D$139*0.6/('I_Inputs &amp; Assumptions'!$B$8/2)),IF('I_Budget Input Data'!$E$139="Mid-weighted",IF(36&lt;='I_Inputs &amp; Assumptions'!$B$8/4,'I_Budget Input Data'!$D$139*0.2/('I_Inputs &amp; Assumptions'!$B$8/4),IF(36&lt;='I_Inputs &amp; Assumptions'!$B$8*0.75,'I_Budget Input Data'!$D$139*0.6/('I_Inputs &amp; Assumptions'!$B$8/2),'I_Budget Input Data'!$D$139*0.2/('I_Inputs &amp; Assumptions'!$B$8/4))),IF('I_Budget Input Data'!$E$139="At Completion",IF(36='I_Inputs &amp; Assumptions'!$B$8,'I_Budget Input Data'!$D$139,0),'I_Budget Input Data'!$D$139/'I_Inputs &amp; Assumptions'!$B$8)))))),0)</f>
        <v>0</v>
      </c>
    </row>
    <row r="140" spans="1:38" ht="15" customHeight="1" x14ac:dyDescent="0.2">
      <c r="A140" t="s">
        <v>248</v>
      </c>
      <c r="B140" t="s">
        <v>255</v>
      </c>
      <c r="C140" s="91">
        <f>IF(1&lt;='I_Inputs &amp; Assumptions'!$B$8,IF('I_Budget Input Data'!$E$140="Upfront",IF(1=1,'I_Budget Input Data'!$D$140,0),IF('I_Budget Input Data'!$E$140="Equal",'I_Budget Input Data'!$D$140/'I_Inputs &amp; Assumptions'!$B$8,IF('I_Budget Input Data'!$E$140="Front-loaded",IF(1&lt;='I_Inputs &amp; Assumptions'!$B$8/2,'I_Budget Input Data'!$D$140*0.6/('I_Inputs &amp; Assumptions'!$B$8/2),'I_Budget Input Data'!$D$140*0.4/('I_Inputs &amp; Assumptions'!$B$8/2)),IF('I_Budget Input Data'!$E$140="Back-loaded",IF(1&lt;='I_Inputs &amp; Assumptions'!$B$8/2,'I_Budget Input Data'!$D$140*0.4/('I_Inputs &amp; Assumptions'!$B$8/2),'I_Budget Input Data'!$D$140*0.6/('I_Inputs &amp; Assumptions'!$B$8/2)),IF('I_Budget Input Data'!$E$140="Mid-weighted",IF(1&lt;='I_Inputs &amp; Assumptions'!$B$8/4,'I_Budget Input Data'!$D$140*0.2/('I_Inputs &amp; Assumptions'!$B$8/4),IF(1&lt;='I_Inputs &amp; Assumptions'!$B$8*0.75,'I_Budget Input Data'!$D$140*0.6/('I_Inputs &amp; Assumptions'!$B$8/2),'I_Budget Input Data'!$D$140*0.2/('I_Inputs &amp; Assumptions'!$B$8/4))),IF('I_Budget Input Data'!$E$140="At Completion",IF(1='I_Inputs &amp; Assumptions'!$B$8,'I_Budget Input Data'!$D$140,0),'I_Budget Input Data'!$D$140/'I_Inputs &amp; Assumptions'!$B$8)))))),0)</f>
        <v>21014.400000000001</v>
      </c>
      <c r="D140" s="91">
        <f>IF(2&lt;='I_Inputs &amp; Assumptions'!$B$8,IF('I_Budget Input Data'!$E$140="Upfront",IF(2=1,'I_Budget Input Data'!$D$140,0),IF('I_Budget Input Data'!$E$140="Equal",'I_Budget Input Data'!$D$140/'I_Inputs &amp; Assumptions'!$B$8,IF('I_Budget Input Data'!$E$140="Front-loaded",IF(2&lt;='I_Inputs &amp; Assumptions'!$B$8/2,'I_Budget Input Data'!$D$140*0.6/('I_Inputs &amp; Assumptions'!$B$8/2),'I_Budget Input Data'!$D$140*0.4/('I_Inputs &amp; Assumptions'!$B$8/2)),IF('I_Budget Input Data'!$E$140="Back-loaded",IF(2&lt;='I_Inputs &amp; Assumptions'!$B$8/2,'I_Budget Input Data'!$D$140*0.4/('I_Inputs &amp; Assumptions'!$B$8/2),'I_Budget Input Data'!$D$140*0.6/('I_Inputs &amp; Assumptions'!$B$8/2)),IF('I_Budget Input Data'!$E$140="Mid-weighted",IF(2&lt;='I_Inputs &amp; Assumptions'!$B$8/4,'I_Budget Input Data'!$D$140*0.2/('I_Inputs &amp; Assumptions'!$B$8/4),IF(2&lt;='I_Inputs &amp; Assumptions'!$B$8*0.75,'I_Budget Input Data'!$D$140*0.6/('I_Inputs &amp; Assumptions'!$B$8/2),'I_Budget Input Data'!$D$140*0.2/('I_Inputs &amp; Assumptions'!$B$8/4))),IF('I_Budget Input Data'!$E$140="At Completion",IF(2='I_Inputs &amp; Assumptions'!$B$8,'I_Budget Input Data'!$D$140,0),'I_Budget Input Data'!$D$140/'I_Inputs &amp; Assumptions'!$B$8)))))),0)</f>
        <v>21014.400000000001</v>
      </c>
      <c r="E140" s="91">
        <f>IF(3&lt;='I_Inputs &amp; Assumptions'!$B$8,IF('I_Budget Input Data'!$E$140="Upfront",IF(3=1,'I_Budget Input Data'!$D$140,0),IF('I_Budget Input Data'!$E$140="Equal",'I_Budget Input Data'!$D$140/'I_Inputs &amp; Assumptions'!$B$8,IF('I_Budget Input Data'!$E$140="Front-loaded",IF(3&lt;='I_Inputs &amp; Assumptions'!$B$8/2,'I_Budget Input Data'!$D$140*0.6/('I_Inputs &amp; Assumptions'!$B$8/2),'I_Budget Input Data'!$D$140*0.4/('I_Inputs &amp; Assumptions'!$B$8/2)),IF('I_Budget Input Data'!$E$140="Back-loaded",IF(3&lt;='I_Inputs &amp; Assumptions'!$B$8/2,'I_Budget Input Data'!$D$140*0.4/('I_Inputs &amp; Assumptions'!$B$8/2),'I_Budget Input Data'!$D$140*0.6/('I_Inputs &amp; Assumptions'!$B$8/2)),IF('I_Budget Input Data'!$E$140="Mid-weighted",IF(3&lt;='I_Inputs &amp; Assumptions'!$B$8/4,'I_Budget Input Data'!$D$140*0.2/('I_Inputs &amp; Assumptions'!$B$8/4),IF(3&lt;='I_Inputs &amp; Assumptions'!$B$8*0.75,'I_Budget Input Data'!$D$140*0.6/('I_Inputs &amp; Assumptions'!$B$8/2),'I_Budget Input Data'!$D$140*0.2/('I_Inputs &amp; Assumptions'!$B$8/4))),IF('I_Budget Input Data'!$E$140="At Completion",IF(3='I_Inputs &amp; Assumptions'!$B$8,'I_Budget Input Data'!$D$140,0),'I_Budget Input Data'!$D$140/'I_Inputs &amp; Assumptions'!$B$8)))))),0)</f>
        <v>21014.400000000001</v>
      </c>
      <c r="F140" s="91">
        <f>IF(4&lt;='I_Inputs &amp; Assumptions'!$B$8,IF('I_Budget Input Data'!$E$140="Upfront",IF(4=1,'I_Budget Input Data'!$D$140,0),IF('I_Budget Input Data'!$E$140="Equal",'I_Budget Input Data'!$D$140/'I_Inputs &amp; Assumptions'!$B$8,IF('I_Budget Input Data'!$E$140="Front-loaded",IF(4&lt;='I_Inputs &amp; Assumptions'!$B$8/2,'I_Budget Input Data'!$D$140*0.6/('I_Inputs &amp; Assumptions'!$B$8/2),'I_Budget Input Data'!$D$140*0.4/('I_Inputs &amp; Assumptions'!$B$8/2)),IF('I_Budget Input Data'!$E$140="Back-loaded",IF(4&lt;='I_Inputs &amp; Assumptions'!$B$8/2,'I_Budget Input Data'!$D$140*0.4/('I_Inputs &amp; Assumptions'!$B$8/2),'I_Budget Input Data'!$D$140*0.6/('I_Inputs &amp; Assumptions'!$B$8/2)),IF('I_Budget Input Data'!$E$140="Mid-weighted",IF(4&lt;='I_Inputs &amp; Assumptions'!$B$8/4,'I_Budget Input Data'!$D$140*0.2/('I_Inputs &amp; Assumptions'!$B$8/4),IF(4&lt;='I_Inputs &amp; Assumptions'!$B$8*0.75,'I_Budget Input Data'!$D$140*0.6/('I_Inputs &amp; Assumptions'!$B$8/2),'I_Budget Input Data'!$D$140*0.2/('I_Inputs &amp; Assumptions'!$B$8/4))),IF('I_Budget Input Data'!$E$140="At Completion",IF(4='I_Inputs &amp; Assumptions'!$B$8,'I_Budget Input Data'!$D$140,0),'I_Budget Input Data'!$D$140/'I_Inputs &amp; Assumptions'!$B$8)))))),0)</f>
        <v>21014.400000000001</v>
      </c>
      <c r="G140" s="91">
        <f>IF(5&lt;='I_Inputs &amp; Assumptions'!$B$8,IF('I_Budget Input Data'!$E$140="Upfront",IF(5=1,'I_Budget Input Data'!$D$140,0),IF('I_Budget Input Data'!$E$140="Equal",'I_Budget Input Data'!$D$140/'I_Inputs &amp; Assumptions'!$B$8,IF('I_Budget Input Data'!$E$140="Front-loaded",IF(5&lt;='I_Inputs &amp; Assumptions'!$B$8/2,'I_Budget Input Data'!$D$140*0.6/('I_Inputs &amp; Assumptions'!$B$8/2),'I_Budget Input Data'!$D$140*0.4/('I_Inputs &amp; Assumptions'!$B$8/2)),IF('I_Budget Input Data'!$E$140="Back-loaded",IF(5&lt;='I_Inputs &amp; Assumptions'!$B$8/2,'I_Budget Input Data'!$D$140*0.4/('I_Inputs &amp; Assumptions'!$B$8/2),'I_Budget Input Data'!$D$140*0.6/('I_Inputs &amp; Assumptions'!$B$8/2)),IF('I_Budget Input Data'!$E$140="Mid-weighted",IF(5&lt;='I_Inputs &amp; Assumptions'!$B$8/4,'I_Budget Input Data'!$D$140*0.2/('I_Inputs &amp; Assumptions'!$B$8/4),IF(5&lt;='I_Inputs &amp; Assumptions'!$B$8*0.75,'I_Budget Input Data'!$D$140*0.6/('I_Inputs &amp; Assumptions'!$B$8/2),'I_Budget Input Data'!$D$140*0.2/('I_Inputs &amp; Assumptions'!$B$8/4))),IF('I_Budget Input Data'!$E$140="At Completion",IF(5='I_Inputs &amp; Assumptions'!$B$8,'I_Budget Input Data'!$D$140,0),'I_Budget Input Data'!$D$140/'I_Inputs &amp; Assumptions'!$B$8)))))),0)</f>
        <v>21014.400000000001</v>
      </c>
      <c r="H140" s="91">
        <f>IF(6&lt;='I_Inputs &amp; Assumptions'!$B$8,IF('I_Budget Input Data'!$E$140="Upfront",IF(6=1,'I_Budget Input Data'!$D$140,0),IF('I_Budget Input Data'!$E$140="Equal",'I_Budget Input Data'!$D$140/'I_Inputs &amp; Assumptions'!$B$8,IF('I_Budget Input Data'!$E$140="Front-loaded",IF(6&lt;='I_Inputs &amp; Assumptions'!$B$8/2,'I_Budget Input Data'!$D$140*0.6/('I_Inputs &amp; Assumptions'!$B$8/2),'I_Budget Input Data'!$D$140*0.4/('I_Inputs &amp; Assumptions'!$B$8/2)),IF('I_Budget Input Data'!$E$140="Back-loaded",IF(6&lt;='I_Inputs &amp; Assumptions'!$B$8/2,'I_Budget Input Data'!$D$140*0.4/('I_Inputs &amp; Assumptions'!$B$8/2),'I_Budget Input Data'!$D$140*0.6/('I_Inputs &amp; Assumptions'!$B$8/2)),IF('I_Budget Input Data'!$E$140="Mid-weighted",IF(6&lt;='I_Inputs &amp; Assumptions'!$B$8/4,'I_Budget Input Data'!$D$140*0.2/('I_Inputs &amp; Assumptions'!$B$8/4),IF(6&lt;='I_Inputs &amp; Assumptions'!$B$8*0.75,'I_Budget Input Data'!$D$140*0.6/('I_Inputs &amp; Assumptions'!$B$8/2),'I_Budget Input Data'!$D$140*0.2/('I_Inputs &amp; Assumptions'!$B$8/4))),IF('I_Budget Input Data'!$E$140="At Completion",IF(6='I_Inputs &amp; Assumptions'!$B$8,'I_Budget Input Data'!$D$140,0),'I_Budget Input Data'!$D$140/'I_Inputs &amp; Assumptions'!$B$8)))))),0)</f>
        <v>21014.400000000001</v>
      </c>
      <c r="I140" s="91">
        <f>IF(7&lt;='I_Inputs &amp; Assumptions'!$B$8,IF('I_Budget Input Data'!$E$140="Upfront",IF(7=1,'I_Budget Input Data'!$D$140,0),IF('I_Budget Input Data'!$E$140="Equal",'I_Budget Input Data'!$D$140/'I_Inputs &amp; Assumptions'!$B$8,IF('I_Budget Input Data'!$E$140="Front-loaded",IF(7&lt;='I_Inputs &amp; Assumptions'!$B$8/2,'I_Budget Input Data'!$D$140*0.6/('I_Inputs &amp; Assumptions'!$B$8/2),'I_Budget Input Data'!$D$140*0.4/('I_Inputs &amp; Assumptions'!$B$8/2)),IF('I_Budget Input Data'!$E$140="Back-loaded",IF(7&lt;='I_Inputs &amp; Assumptions'!$B$8/2,'I_Budget Input Data'!$D$140*0.4/('I_Inputs &amp; Assumptions'!$B$8/2),'I_Budget Input Data'!$D$140*0.6/('I_Inputs &amp; Assumptions'!$B$8/2)),IF('I_Budget Input Data'!$E$140="Mid-weighted",IF(7&lt;='I_Inputs &amp; Assumptions'!$B$8/4,'I_Budget Input Data'!$D$140*0.2/('I_Inputs &amp; Assumptions'!$B$8/4),IF(7&lt;='I_Inputs &amp; Assumptions'!$B$8*0.75,'I_Budget Input Data'!$D$140*0.6/('I_Inputs &amp; Assumptions'!$B$8/2),'I_Budget Input Data'!$D$140*0.2/('I_Inputs &amp; Assumptions'!$B$8/4))),IF('I_Budget Input Data'!$E$140="At Completion",IF(7='I_Inputs &amp; Assumptions'!$B$8,'I_Budget Input Data'!$D$140,0),'I_Budget Input Data'!$D$140/'I_Inputs &amp; Assumptions'!$B$8)))))),0)</f>
        <v>14009.600000000002</v>
      </c>
      <c r="J140" s="91">
        <f>IF(8&lt;='I_Inputs &amp; Assumptions'!$B$8,IF('I_Budget Input Data'!$E$140="Upfront",IF(8=1,'I_Budget Input Data'!$D$140,0),IF('I_Budget Input Data'!$E$140="Equal",'I_Budget Input Data'!$D$140/'I_Inputs &amp; Assumptions'!$B$8,IF('I_Budget Input Data'!$E$140="Front-loaded",IF(8&lt;='I_Inputs &amp; Assumptions'!$B$8/2,'I_Budget Input Data'!$D$140*0.6/('I_Inputs &amp; Assumptions'!$B$8/2),'I_Budget Input Data'!$D$140*0.4/('I_Inputs &amp; Assumptions'!$B$8/2)),IF('I_Budget Input Data'!$E$140="Back-loaded",IF(8&lt;='I_Inputs &amp; Assumptions'!$B$8/2,'I_Budget Input Data'!$D$140*0.4/('I_Inputs &amp; Assumptions'!$B$8/2),'I_Budget Input Data'!$D$140*0.6/('I_Inputs &amp; Assumptions'!$B$8/2)),IF('I_Budget Input Data'!$E$140="Mid-weighted",IF(8&lt;='I_Inputs &amp; Assumptions'!$B$8/4,'I_Budget Input Data'!$D$140*0.2/('I_Inputs &amp; Assumptions'!$B$8/4),IF(8&lt;='I_Inputs &amp; Assumptions'!$B$8*0.75,'I_Budget Input Data'!$D$140*0.6/('I_Inputs &amp; Assumptions'!$B$8/2),'I_Budget Input Data'!$D$140*0.2/('I_Inputs &amp; Assumptions'!$B$8/4))),IF('I_Budget Input Data'!$E$140="At Completion",IF(8='I_Inputs &amp; Assumptions'!$B$8,'I_Budget Input Data'!$D$140,0),'I_Budget Input Data'!$D$140/'I_Inputs &amp; Assumptions'!$B$8)))))),0)</f>
        <v>14009.600000000002</v>
      </c>
      <c r="K140" s="91">
        <f>IF(9&lt;='I_Inputs &amp; Assumptions'!$B$8,IF('I_Budget Input Data'!$E$140="Upfront",IF(9=1,'I_Budget Input Data'!$D$140,0),IF('I_Budget Input Data'!$E$140="Equal",'I_Budget Input Data'!$D$140/'I_Inputs &amp; Assumptions'!$B$8,IF('I_Budget Input Data'!$E$140="Front-loaded",IF(9&lt;='I_Inputs &amp; Assumptions'!$B$8/2,'I_Budget Input Data'!$D$140*0.6/('I_Inputs &amp; Assumptions'!$B$8/2),'I_Budget Input Data'!$D$140*0.4/('I_Inputs &amp; Assumptions'!$B$8/2)),IF('I_Budget Input Data'!$E$140="Back-loaded",IF(9&lt;='I_Inputs &amp; Assumptions'!$B$8/2,'I_Budget Input Data'!$D$140*0.4/('I_Inputs &amp; Assumptions'!$B$8/2),'I_Budget Input Data'!$D$140*0.6/('I_Inputs &amp; Assumptions'!$B$8/2)),IF('I_Budget Input Data'!$E$140="Mid-weighted",IF(9&lt;='I_Inputs &amp; Assumptions'!$B$8/4,'I_Budget Input Data'!$D$140*0.2/('I_Inputs &amp; Assumptions'!$B$8/4),IF(9&lt;='I_Inputs &amp; Assumptions'!$B$8*0.75,'I_Budget Input Data'!$D$140*0.6/('I_Inputs &amp; Assumptions'!$B$8/2),'I_Budget Input Data'!$D$140*0.2/('I_Inputs &amp; Assumptions'!$B$8/4))),IF('I_Budget Input Data'!$E$140="At Completion",IF(9='I_Inputs &amp; Assumptions'!$B$8,'I_Budget Input Data'!$D$140,0),'I_Budget Input Data'!$D$140/'I_Inputs &amp; Assumptions'!$B$8)))))),0)</f>
        <v>14009.600000000002</v>
      </c>
      <c r="L140" s="91">
        <f>IF(10&lt;='I_Inputs &amp; Assumptions'!$B$8,IF('I_Budget Input Data'!$E$140="Upfront",IF(10=1,'I_Budget Input Data'!$D$140,0),IF('I_Budget Input Data'!$E$140="Equal",'I_Budget Input Data'!$D$140/'I_Inputs &amp; Assumptions'!$B$8,IF('I_Budget Input Data'!$E$140="Front-loaded",IF(10&lt;='I_Inputs &amp; Assumptions'!$B$8/2,'I_Budget Input Data'!$D$140*0.6/('I_Inputs &amp; Assumptions'!$B$8/2),'I_Budget Input Data'!$D$140*0.4/('I_Inputs &amp; Assumptions'!$B$8/2)),IF('I_Budget Input Data'!$E$140="Back-loaded",IF(10&lt;='I_Inputs &amp; Assumptions'!$B$8/2,'I_Budget Input Data'!$D$140*0.4/('I_Inputs &amp; Assumptions'!$B$8/2),'I_Budget Input Data'!$D$140*0.6/('I_Inputs &amp; Assumptions'!$B$8/2)),IF('I_Budget Input Data'!$E$140="Mid-weighted",IF(10&lt;='I_Inputs &amp; Assumptions'!$B$8/4,'I_Budget Input Data'!$D$140*0.2/('I_Inputs &amp; Assumptions'!$B$8/4),IF(10&lt;='I_Inputs &amp; Assumptions'!$B$8*0.75,'I_Budget Input Data'!$D$140*0.6/('I_Inputs &amp; Assumptions'!$B$8/2),'I_Budget Input Data'!$D$140*0.2/('I_Inputs &amp; Assumptions'!$B$8/4))),IF('I_Budget Input Data'!$E$140="At Completion",IF(10='I_Inputs &amp; Assumptions'!$B$8,'I_Budget Input Data'!$D$140,0),'I_Budget Input Data'!$D$140/'I_Inputs &amp; Assumptions'!$B$8)))))),0)</f>
        <v>14009.600000000002</v>
      </c>
      <c r="M140" s="91">
        <f>IF(11&lt;='I_Inputs &amp; Assumptions'!$B$8,IF('I_Budget Input Data'!$E$140="Upfront",IF(11=1,'I_Budget Input Data'!$D$140,0),IF('I_Budget Input Data'!$E$140="Equal",'I_Budget Input Data'!$D$140/'I_Inputs &amp; Assumptions'!$B$8,IF('I_Budget Input Data'!$E$140="Front-loaded",IF(11&lt;='I_Inputs &amp; Assumptions'!$B$8/2,'I_Budget Input Data'!$D$140*0.6/('I_Inputs &amp; Assumptions'!$B$8/2),'I_Budget Input Data'!$D$140*0.4/('I_Inputs &amp; Assumptions'!$B$8/2)),IF('I_Budget Input Data'!$E$140="Back-loaded",IF(11&lt;='I_Inputs &amp; Assumptions'!$B$8/2,'I_Budget Input Data'!$D$140*0.4/('I_Inputs &amp; Assumptions'!$B$8/2),'I_Budget Input Data'!$D$140*0.6/('I_Inputs &amp; Assumptions'!$B$8/2)),IF('I_Budget Input Data'!$E$140="Mid-weighted",IF(11&lt;='I_Inputs &amp; Assumptions'!$B$8/4,'I_Budget Input Data'!$D$140*0.2/('I_Inputs &amp; Assumptions'!$B$8/4),IF(11&lt;='I_Inputs &amp; Assumptions'!$B$8*0.75,'I_Budget Input Data'!$D$140*0.6/('I_Inputs &amp; Assumptions'!$B$8/2),'I_Budget Input Data'!$D$140*0.2/('I_Inputs &amp; Assumptions'!$B$8/4))),IF('I_Budget Input Data'!$E$140="At Completion",IF(11='I_Inputs &amp; Assumptions'!$B$8,'I_Budget Input Data'!$D$140,0),'I_Budget Input Data'!$D$140/'I_Inputs &amp; Assumptions'!$B$8)))))),0)</f>
        <v>14009.600000000002</v>
      </c>
      <c r="N140" s="91">
        <f>IF(12&lt;='I_Inputs &amp; Assumptions'!$B$8,IF('I_Budget Input Data'!$E$140="Upfront",IF(12=1,'I_Budget Input Data'!$D$140,0),IF('I_Budget Input Data'!$E$140="Equal",'I_Budget Input Data'!$D$140/'I_Inputs &amp; Assumptions'!$B$8,IF('I_Budget Input Data'!$E$140="Front-loaded",IF(12&lt;='I_Inputs &amp; Assumptions'!$B$8/2,'I_Budget Input Data'!$D$140*0.6/('I_Inputs &amp; Assumptions'!$B$8/2),'I_Budget Input Data'!$D$140*0.4/('I_Inputs &amp; Assumptions'!$B$8/2)),IF('I_Budget Input Data'!$E$140="Back-loaded",IF(12&lt;='I_Inputs &amp; Assumptions'!$B$8/2,'I_Budget Input Data'!$D$140*0.4/('I_Inputs &amp; Assumptions'!$B$8/2),'I_Budget Input Data'!$D$140*0.6/('I_Inputs &amp; Assumptions'!$B$8/2)),IF('I_Budget Input Data'!$E$140="Mid-weighted",IF(12&lt;='I_Inputs &amp; Assumptions'!$B$8/4,'I_Budget Input Data'!$D$140*0.2/('I_Inputs &amp; Assumptions'!$B$8/4),IF(12&lt;='I_Inputs &amp; Assumptions'!$B$8*0.75,'I_Budget Input Data'!$D$140*0.6/('I_Inputs &amp; Assumptions'!$B$8/2),'I_Budget Input Data'!$D$140*0.2/('I_Inputs &amp; Assumptions'!$B$8/4))),IF('I_Budget Input Data'!$E$140="At Completion",IF(12='I_Inputs &amp; Assumptions'!$B$8,'I_Budget Input Data'!$D$140,0),'I_Budget Input Data'!$D$140/'I_Inputs &amp; Assumptions'!$B$8)))))),0)</f>
        <v>14009.600000000002</v>
      </c>
      <c r="O140" s="91">
        <f>IF(13&lt;='I_Inputs &amp; Assumptions'!$B$8,IF('I_Budget Input Data'!$E$140="Upfront",IF(13=1,'I_Budget Input Data'!$D$140,0),IF('I_Budget Input Data'!$E$140="Equal",'I_Budget Input Data'!$D$140/'I_Inputs &amp; Assumptions'!$B$8,IF('I_Budget Input Data'!$E$140="Front-loaded",IF(13&lt;='I_Inputs &amp; Assumptions'!$B$8/2,'I_Budget Input Data'!$D$140*0.6/('I_Inputs &amp; Assumptions'!$B$8/2),'I_Budget Input Data'!$D$140*0.4/('I_Inputs &amp; Assumptions'!$B$8/2)),IF('I_Budget Input Data'!$E$140="Back-loaded",IF(13&lt;='I_Inputs &amp; Assumptions'!$B$8/2,'I_Budget Input Data'!$D$140*0.4/('I_Inputs &amp; Assumptions'!$B$8/2),'I_Budget Input Data'!$D$140*0.6/('I_Inputs &amp; Assumptions'!$B$8/2)),IF('I_Budget Input Data'!$E$140="Mid-weighted",IF(13&lt;='I_Inputs &amp; Assumptions'!$B$8/4,'I_Budget Input Data'!$D$140*0.2/('I_Inputs &amp; Assumptions'!$B$8/4),IF(13&lt;='I_Inputs &amp; Assumptions'!$B$8*0.75,'I_Budget Input Data'!$D$140*0.6/('I_Inputs &amp; Assumptions'!$B$8/2),'I_Budget Input Data'!$D$140*0.2/('I_Inputs &amp; Assumptions'!$B$8/4))),IF('I_Budget Input Data'!$E$140="At Completion",IF(13='I_Inputs &amp; Assumptions'!$B$8,'I_Budget Input Data'!$D$140,0),'I_Budget Input Data'!$D$140/'I_Inputs &amp; Assumptions'!$B$8)))))),0)</f>
        <v>14009.600000000002</v>
      </c>
      <c r="P140" s="91">
        <f>IF(14&lt;='I_Inputs &amp; Assumptions'!$B$8,IF('I_Budget Input Data'!$E$140="Upfront",IF(14=1,'I_Budget Input Data'!$D$140,0),IF('I_Budget Input Data'!$E$140="Equal",'I_Budget Input Data'!$D$140/'I_Inputs &amp; Assumptions'!$B$8,IF('I_Budget Input Data'!$E$140="Front-loaded",IF(14&lt;='I_Inputs &amp; Assumptions'!$B$8/2,'I_Budget Input Data'!$D$140*0.6/('I_Inputs &amp; Assumptions'!$B$8/2),'I_Budget Input Data'!$D$140*0.4/('I_Inputs &amp; Assumptions'!$B$8/2)),IF('I_Budget Input Data'!$E$140="Back-loaded",IF(14&lt;='I_Inputs &amp; Assumptions'!$B$8/2,'I_Budget Input Data'!$D$140*0.4/('I_Inputs &amp; Assumptions'!$B$8/2),'I_Budget Input Data'!$D$140*0.6/('I_Inputs &amp; Assumptions'!$B$8/2)),IF('I_Budget Input Data'!$E$140="Mid-weighted",IF(14&lt;='I_Inputs &amp; Assumptions'!$B$8/4,'I_Budget Input Data'!$D$140*0.2/('I_Inputs &amp; Assumptions'!$B$8/4),IF(14&lt;='I_Inputs &amp; Assumptions'!$B$8*0.75,'I_Budget Input Data'!$D$140*0.6/('I_Inputs &amp; Assumptions'!$B$8/2),'I_Budget Input Data'!$D$140*0.2/('I_Inputs &amp; Assumptions'!$B$8/4))),IF('I_Budget Input Data'!$E$140="At Completion",IF(14='I_Inputs &amp; Assumptions'!$B$8,'I_Budget Input Data'!$D$140,0),'I_Budget Input Data'!$D$140/'I_Inputs &amp; Assumptions'!$B$8)))))),0)</f>
        <v>0</v>
      </c>
      <c r="Q140" s="91">
        <f>IF(15&lt;='I_Inputs &amp; Assumptions'!$B$8,IF('I_Budget Input Data'!$E$140="Upfront",IF(15=1,'I_Budget Input Data'!$D$140,0),IF('I_Budget Input Data'!$E$140="Equal",'I_Budget Input Data'!$D$140/'I_Inputs &amp; Assumptions'!$B$8,IF('I_Budget Input Data'!$E$140="Front-loaded",IF(15&lt;='I_Inputs &amp; Assumptions'!$B$8/2,'I_Budget Input Data'!$D$140*0.6/('I_Inputs &amp; Assumptions'!$B$8/2),'I_Budget Input Data'!$D$140*0.4/('I_Inputs &amp; Assumptions'!$B$8/2)),IF('I_Budget Input Data'!$E$140="Back-loaded",IF(15&lt;='I_Inputs &amp; Assumptions'!$B$8/2,'I_Budget Input Data'!$D$140*0.4/('I_Inputs &amp; Assumptions'!$B$8/2),'I_Budget Input Data'!$D$140*0.6/('I_Inputs &amp; Assumptions'!$B$8/2)),IF('I_Budget Input Data'!$E$140="Mid-weighted",IF(15&lt;='I_Inputs &amp; Assumptions'!$B$8/4,'I_Budget Input Data'!$D$140*0.2/('I_Inputs &amp; Assumptions'!$B$8/4),IF(15&lt;='I_Inputs &amp; Assumptions'!$B$8*0.75,'I_Budget Input Data'!$D$140*0.6/('I_Inputs &amp; Assumptions'!$B$8/2),'I_Budget Input Data'!$D$140*0.2/('I_Inputs &amp; Assumptions'!$B$8/4))),IF('I_Budget Input Data'!$E$140="At Completion",IF(15='I_Inputs &amp; Assumptions'!$B$8,'I_Budget Input Data'!$D$140,0),'I_Budget Input Data'!$D$140/'I_Inputs &amp; Assumptions'!$B$8)))))),0)</f>
        <v>0</v>
      </c>
      <c r="R140" s="91">
        <f>IF(16&lt;='I_Inputs &amp; Assumptions'!$B$8,IF('I_Budget Input Data'!$E$140="Upfront",IF(16=1,'I_Budget Input Data'!$D$140,0),IF('I_Budget Input Data'!$E$140="Equal",'I_Budget Input Data'!$D$140/'I_Inputs &amp; Assumptions'!$B$8,IF('I_Budget Input Data'!$E$140="Front-loaded",IF(16&lt;='I_Inputs &amp; Assumptions'!$B$8/2,'I_Budget Input Data'!$D$140*0.6/('I_Inputs &amp; Assumptions'!$B$8/2),'I_Budget Input Data'!$D$140*0.4/('I_Inputs &amp; Assumptions'!$B$8/2)),IF('I_Budget Input Data'!$E$140="Back-loaded",IF(16&lt;='I_Inputs &amp; Assumptions'!$B$8/2,'I_Budget Input Data'!$D$140*0.4/('I_Inputs &amp; Assumptions'!$B$8/2),'I_Budget Input Data'!$D$140*0.6/('I_Inputs &amp; Assumptions'!$B$8/2)),IF('I_Budget Input Data'!$E$140="Mid-weighted",IF(16&lt;='I_Inputs &amp; Assumptions'!$B$8/4,'I_Budget Input Data'!$D$140*0.2/('I_Inputs &amp; Assumptions'!$B$8/4),IF(16&lt;='I_Inputs &amp; Assumptions'!$B$8*0.75,'I_Budget Input Data'!$D$140*0.6/('I_Inputs &amp; Assumptions'!$B$8/2),'I_Budget Input Data'!$D$140*0.2/('I_Inputs &amp; Assumptions'!$B$8/4))),IF('I_Budget Input Data'!$E$140="At Completion",IF(16='I_Inputs &amp; Assumptions'!$B$8,'I_Budget Input Data'!$D$140,0),'I_Budget Input Data'!$D$140/'I_Inputs &amp; Assumptions'!$B$8)))))),0)</f>
        <v>0</v>
      </c>
      <c r="S140" s="91">
        <f>IF(17&lt;='I_Inputs &amp; Assumptions'!$B$8,IF('I_Budget Input Data'!$E$140="Upfront",IF(17=1,'I_Budget Input Data'!$D$140,0),IF('I_Budget Input Data'!$E$140="Equal",'I_Budget Input Data'!$D$140/'I_Inputs &amp; Assumptions'!$B$8,IF('I_Budget Input Data'!$E$140="Front-loaded",IF(17&lt;='I_Inputs &amp; Assumptions'!$B$8/2,'I_Budget Input Data'!$D$140*0.6/('I_Inputs &amp; Assumptions'!$B$8/2),'I_Budget Input Data'!$D$140*0.4/('I_Inputs &amp; Assumptions'!$B$8/2)),IF('I_Budget Input Data'!$E$140="Back-loaded",IF(17&lt;='I_Inputs &amp; Assumptions'!$B$8/2,'I_Budget Input Data'!$D$140*0.4/('I_Inputs &amp; Assumptions'!$B$8/2),'I_Budget Input Data'!$D$140*0.6/('I_Inputs &amp; Assumptions'!$B$8/2)),IF('I_Budget Input Data'!$E$140="Mid-weighted",IF(17&lt;='I_Inputs &amp; Assumptions'!$B$8/4,'I_Budget Input Data'!$D$140*0.2/('I_Inputs &amp; Assumptions'!$B$8/4),IF(17&lt;='I_Inputs &amp; Assumptions'!$B$8*0.75,'I_Budget Input Data'!$D$140*0.6/('I_Inputs &amp; Assumptions'!$B$8/2),'I_Budget Input Data'!$D$140*0.2/('I_Inputs &amp; Assumptions'!$B$8/4))),IF('I_Budget Input Data'!$E$140="At Completion",IF(17='I_Inputs &amp; Assumptions'!$B$8,'I_Budget Input Data'!$D$140,0),'I_Budget Input Data'!$D$140/'I_Inputs &amp; Assumptions'!$B$8)))))),0)</f>
        <v>0</v>
      </c>
      <c r="T140" s="91">
        <f>IF(18&lt;='I_Inputs &amp; Assumptions'!$B$8,IF('I_Budget Input Data'!$E$140="Upfront",IF(18=1,'I_Budget Input Data'!$D$140,0),IF('I_Budget Input Data'!$E$140="Equal",'I_Budget Input Data'!$D$140/'I_Inputs &amp; Assumptions'!$B$8,IF('I_Budget Input Data'!$E$140="Front-loaded",IF(18&lt;='I_Inputs &amp; Assumptions'!$B$8/2,'I_Budget Input Data'!$D$140*0.6/('I_Inputs &amp; Assumptions'!$B$8/2),'I_Budget Input Data'!$D$140*0.4/('I_Inputs &amp; Assumptions'!$B$8/2)),IF('I_Budget Input Data'!$E$140="Back-loaded",IF(18&lt;='I_Inputs &amp; Assumptions'!$B$8/2,'I_Budget Input Data'!$D$140*0.4/('I_Inputs &amp; Assumptions'!$B$8/2),'I_Budget Input Data'!$D$140*0.6/('I_Inputs &amp; Assumptions'!$B$8/2)),IF('I_Budget Input Data'!$E$140="Mid-weighted",IF(18&lt;='I_Inputs &amp; Assumptions'!$B$8/4,'I_Budget Input Data'!$D$140*0.2/('I_Inputs &amp; Assumptions'!$B$8/4),IF(18&lt;='I_Inputs &amp; Assumptions'!$B$8*0.75,'I_Budget Input Data'!$D$140*0.6/('I_Inputs &amp; Assumptions'!$B$8/2),'I_Budget Input Data'!$D$140*0.2/('I_Inputs &amp; Assumptions'!$B$8/4))),IF('I_Budget Input Data'!$E$140="At Completion",IF(18='I_Inputs &amp; Assumptions'!$B$8,'I_Budget Input Data'!$D$140,0),'I_Budget Input Data'!$D$140/'I_Inputs &amp; Assumptions'!$B$8)))))),0)</f>
        <v>0</v>
      </c>
      <c r="U140" s="91">
        <f>IF(19&lt;='I_Inputs &amp; Assumptions'!$B$8,IF('I_Budget Input Data'!$E$140="Upfront",IF(19=1,'I_Budget Input Data'!$D$140,0),IF('I_Budget Input Data'!$E$140="Equal",'I_Budget Input Data'!$D$140/'I_Inputs &amp; Assumptions'!$B$8,IF('I_Budget Input Data'!$E$140="Front-loaded",IF(19&lt;='I_Inputs &amp; Assumptions'!$B$8/2,'I_Budget Input Data'!$D$140*0.6/('I_Inputs &amp; Assumptions'!$B$8/2),'I_Budget Input Data'!$D$140*0.4/('I_Inputs &amp; Assumptions'!$B$8/2)),IF('I_Budget Input Data'!$E$140="Back-loaded",IF(19&lt;='I_Inputs &amp; Assumptions'!$B$8/2,'I_Budget Input Data'!$D$140*0.4/('I_Inputs &amp; Assumptions'!$B$8/2),'I_Budget Input Data'!$D$140*0.6/('I_Inputs &amp; Assumptions'!$B$8/2)),IF('I_Budget Input Data'!$E$140="Mid-weighted",IF(19&lt;='I_Inputs &amp; Assumptions'!$B$8/4,'I_Budget Input Data'!$D$140*0.2/('I_Inputs &amp; Assumptions'!$B$8/4),IF(19&lt;='I_Inputs &amp; Assumptions'!$B$8*0.75,'I_Budget Input Data'!$D$140*0.6/('I_Inputs &amp; Assumptions'!$B$8/2),'I_Budget Input Data'!$D$140*0.2/('I_Inputs &amp; Assumptions'!$B$8/4))),IF('I_Budget Input Data'!$E$140="At Completion",IF(19='I_Inputs &amp; Assumptions'!$B$8,'I_Budget Input Data'!$D$140,0),'I_Budget Input Data'!$D$140/'I_Inputs &amp; Assumptions'!$B$8)))))),0)</f>
        <v>0</v>
      </c>
      <c r="V140" s="91">
        <f>IF(20&lt;='I_Inputs &amp; Assumptions'!$B$8,IF('I_Budget Input Data'!$E$140="Upfront",IF(20=1,'I_Budget Input Data'!$D$140,0),IF('I_Budget Input Data'!$E$140="Equal",'I_Budget Input Data'!$D$140/'I_Inputs &amp; Assumptions'!$B$8,IF('I_Budget Input Data'!$E$140="Front-loaded",IF(20&lt;='I_Inputs &amp; Assumptions'!$B$8/2,'I_Budget Input Data'!$D$140*0.6/('I_Inputs &amp; Assumptions'!$B$8/2),'I_Budget Input Data'!$D$140*0.4/('I_Inputs &amp; Assumptions'!$B$8/2)),IF('I_Budget Input Data'!$E$140="Back-loaded",IF(20&lt;='I_Inputs &amp; Assumptions'!$B$8/2,'I_Budget Input Data'!$D$140*0.4/('I_Inputs &amp; Assumptions'!$B$8/2),'I_Budget Input Data'!$D$140*0.6/('I_Inputs &amp; Assumptions'!$B$8/2)),IF('I_Budget Input Data'!$E$140="Mid-weighted",IF(20&lt;='I_Inputs &amp; Assumptions'!$B$8/4,'I_Budget Input Data'!$D$140*0.2/('I_Inputs &amp; Assumptions'!$B$8/4),IF(20&lt;='I_Inputs &amp; Assumptions'!$B$8*0.75,'I_Budget Input Data'!$D$140*0.6/('I_Inputs &amp; Assumptions'!$B$8/2),'I_Budget Input Data'!$D$140*0.2/('I_Inputs &amp; Assumptions'!$B$8/4))),IF('I_Budget Input Data'!$E$140="At Completion",IF(20='I_Inputs &amp; Assumptions'!$B$8,'I_Budget Input Data'!$D$140,0),'I_Budget Input Data'!$D$140/'I_Inputs &amp; Assumptions'!$B$8)))))),0)</f>
        <v>0</v>
      </c>
      <c r="W140" s="91">
        <f>IF(21&lt;='I_Inputs &amp; Assumptions'!$B$8,IF('I_Budget Input Data'!$E$140="Upfront",IF(21=1,'I_Budget Input Data'!$D$140,0),IF('I_Budget Input Data'!$E$140="Equal",'I_Budget Input Data'!$D$140/'I_Inputs &amp; Assumptions'!$B$8,IF('I_Budget Input Data'!$E$140="Front-loaded",IF(21&lt;='I_Inputs &amp; Assumptions'!$B$8/2,'I_Budget Input Data'!$D$140*0.6/('I_Inputs &amp; Assumptions'!$B$8/2),'I_Budget Input Data'!$D$140*0.4/('I_Inputs &amp; Assumptions'!$B$8/2)),IF('I_Budget Input Data'!$E$140="Back-loaded",IF(21&lt;='I_Inputs &amp; Assumptions'!$B$8/2,'I_Budget Input Data'!$D$140*0.4/('I_Inputs &amp; Assumptions'!$B$8/2),'I_Budget Input Data'!$D$140*0.6/('I_Inputs &amp; Assumptions'!$B$8/2)),IF('I_Budget Input Data'!$E$140="Mid-weighted",IF(21&lt;='I_Inputs &amp; Assumptions'!$B$8/4,'I_Budget Input Data'!$D$140*0.2/('I_Inputs &amp; Assumptions'!$B$8/4),IF(21&lt;='I_Inputs &amp; Assumptions'!$B$8*0.75,'I_Budget Input Data'!$D$140*0.6/('I_Inputs &amp; Assumptions'!$B$8/2),'I_Budget Input Data'!$D$140*0.2/('I_Inputs &amp; Assumptions'!$B$8/4))),IF('I_Budget Input Data'!$E$140="At Completion",IF(21='I_Inputs &amp; Assumptions'!$B$8,'I_Budget Input Data'!$D$140,0),'I_Budget Input Data'!$D$140/'I_Inputs &amp; Assumptions'!$B$8)))))),0)</f>
        <v>0</v>
      </c>
      <c r="X140" s="91">
        <f>IF(22&lt;='I_Inputs &amp; Assumptions'!$B$8,IF('I_Budget Input Data'!$E$140="Upfront",IF(22=1,'I_Budget Input Data'!$D$140,0),IF('I_Budget Input Data'!$E$140="Equal",'I_Budget Input Data'!$D$140/'I_Inputs &amp; Assumptions'!$B$8,IF('I_Budget Input Data'!$E$140="Front-loaded",IF(22&lt;='I_Inputs &amp; Assumptions'!$B$8/2,'I_Budget Input Data'!$D$140*0.6/('I_Inputs &amp; Assumptions'!$B$8/2),'I_Budget Input Data'!$D$140*0.4/('I_Inputs &amp; Assumptions'!$B$8/2)),IF('I_Budget Input Data'!$E$140="Back-loaded",IF(22&lt;='I_Inputs &amp; Assumptions'!$B$8/2,'I_Budget Input Data'!$D$140*0.4/('I_Inputs &amp; Assumptions'!$B$8/2),'I_Budget Input Data'!$D$140*0.6/('I_Inputs &amp; Assumptions'!$B$8/2)),IF('I_Budget Input Data'!$E$140="Mid-weighted",IF(22&lt;='I_Inputs &amp; Assumptions'!$B$8/4,'I_Budget Input Data'!$D$140*0.2/('I_Inputs &amp; Assumptions'!$B$8/4),IF(22&lt;='I_Inputs &amp; Assumptions'!$B$8*0.75,'I_Budget Input Data'!$D$140*0.6/('I_Inputs &amp; Assumptions'!$B$8/2),'I_Budget Input Data'!$D$140*0.2/('I_Inputs &amp; Assumptions'!$B$8/4))),IF('I_Budget Input Data'!$E$140="At Completion",IF(22='I_Inputs &amp; Assumptions'!$B$8,'I_Budget Input Data'!$D$140,0),'I_Budget Input Data'!$D$140/'I_Inputs &amp; Assumptions'!$B$8)))))),0)</f>
        <v>0</v>
      </c>
      <c r="Y140" s="91">
        <f>IF(23&lt;='I_Inputs &amp; Assumptions'!$B$8,IF('I_Budget Input Data'!$E$140="Upfront",IF(23=1,'I_Budget Input Data'!$D$140,0),IF('I_Budget Input Data'!$E$140="Equal",'I_Budget Input Data'!$D$140/'I_Inputs &amp; Assumptions'!$B$8,IF('I_Budget Input Data'!$E$140="Front-loaded",IF(23&lt;='I_Inputs &amp; Assumptions'!$B$8/2,'I_Budget Input Data'!$D$140*0.6/('I_Inputs &amp; Assumptions'!$B$8/2),'I_Budget Input Data'!$D$140*0.4/('I_Inputs &amp; Assumptions'!$B$8/2)),IF('I_Budget Input Data'!$E$140="Back-loaded",IF(23&lt;='I_Inputs &amp; Assumptions'!$B$8/2,'I_Budget Input Data'!$D$140*0.4/('I_Inputs &amp; Assumptions'!$B$8/2),'I_Budget Input Data'!$D$140*0.6/('I_Inputs &amp; Assumptions'!$B$8/2)),IF('I_Budget Input Data'!$E$140="Mid-weighted",IF(23&lt;='I_Inputs &amp; Assumptions'!$B$8/4,'I_Budget Input Data'!$D$140*0.2/('I_Inputs &amp; Assumptions'!$B$8/4),IF(23&lt;='I_Inputs &amp; Assumptions'!$B$8*0.75,'I_Budget Input Data'!$D$140*0.6/('I_Inputs &amp; Assumptions'!$B$8/2),'I_Budget Input Data'!$D$140*0.2/('I_Inputs &amp; Assumptions'!$B$8/4))),IF('I_Budget Input Data'!$E$140="At Completion",IF(23='I_Inputs &amp; Assumptions'!$B$8,'I_Budget Input Data'!$D$140,0),'I_Budget Input Data'!$D$140/'I_Inputs &amp; Assumptions'!$B$8)))))),0)</f>
        <v>0</v>
      </c>
      <c r="Z140" s="91">
        <f>IF(24&lt;='I_Inputs &amp; Assumptions'!$B$8,IF('I_Budget Input Data'!$E$140="Upfront",IF(24=1,'I_Budget Input Data'!$D$140,0),IF('I_Budget Input Data'!$E$140="Equal",'I_Budget Input Data'!$D$140/'I_Inputs &amp; Assumptions'!$B$8,IF('I_Budget Input Data'!$E$140="Front-loaded",IF(24&lt;='I_Inputs &amp; Assumptions'!$B$8/2,'I_Budget Input Data'!$D$140*0.6/('I_Inputs &amp; Assumptions'!$B$8/2),'I_Budget Input Data'!$D$140*0.4/('I_Inputs &amp; Assumptions'!$B$8/2)),IF('I_Budget Input Data'!$E$140="Back-loaded",IF(24&lt;='I_Inputs &amp; Assumptions'!$B$8/2,'I_Budget Input Data'!$D$140*0.4/('I_Inputs &amp; Assumptions'!$B$8/2),'I_Budget Input Data'!$D$140*0.6/('I_Inputs &amp; Assumptions'!$B$8/2)),IF('I_Budget Input Data'!$E$140="Mid-weighted",IF(24&lt;='I_Inputs &amp; Assumptions'!$B$8/4,'I_Budget Input Data'!$D$140*0.2/('I_Inputs &amp; Assumptions'!$B$8/4),IF(24&lt;='I_Inputs &amp; Assumptions'!$B$8*0.75,'I_Budget Input Data'!$D$140*0.6/('I_Inputs &amp; Assumptions'!$B$8/2),'I_Budget Input Data'!$D$140*0.2/('I_Inputs &amp; Assumptions'!$B$8/4))),IF('I_Budget Input Data'!$E$140="At Completion",IF(24='I_Inputs &amp; Assumptions'!$B$8,'I_Budget Input Data'!$D$140,0),'I_Budget Input Data'!$D$140/'I_Inputs &amp; Assumptions'!$B$8)))))),0)</f>
        <v>0</v>
      </c>
      <c r="AA140" s="91">
        <f>IF(25&lt;='I_Inputs &amp; Assumptions'!$B$8,IF('I_Budget Input Data'!$E$140="Upfront",IF(25=1,'I_Budget Input Data'!$D$140,0),IF('I_Budget Input Data'!$E$140="Equal",'I_Budget Input Data'!$D$140/'I_Inputs &amp; Assumptions'!$B$8,IF('I_Budget Input Data'!$E$140="Front-loaded",IF(25&lt;='I_Inputs &amp; Assumptions'!$B$8/2,'I_Budget Input Data'!$D$140*0.6/('I_Inputs &amp; Assumptions'!$B$8/2),'I_Budget Input Data'!$D$140*0.4/('I_Inputs &amp; Assumptions'!$B$8/2)),IF('I_Budget Input Data'!$E$140="Back-loaded",IF(25&lt;='I_Inputs &amp; Assumptions'!$B$8/2,'I_Budget Input Data'!$D$140*0.4/('I_Inputs &amp; Assumptions'!$B$8/2),'I_Budget Input Data'!$D$140*0.6/('I_Inputs &amp; Assumptions'!$B$8/2)),IF('I_Budget Input Data'!$E$140="Mid-weighted",IF(25&lt;='I_Inputs &amp; Assumptions'!$B$8/4,'I_Budget Input Data'!$D$140*0.2/('I_Inputs &amp; Assumptions'!$B$8/4),IF(25&lt;='I_Inputs &amp; Assumptions'!$B$8*0.75,'I_Budget Input Data'!$D$140*0.6/('I_Inputs &amp; Assumptions'!$B$8/2),'I_Budget Input Data'!$D$140*0.2/('I_Inputs &amp; Assumptions'!$B$8/4))),IF('I_Budget Input Data'!$E$140="At Completion",IF(25='I_Inputs &amp; Assumptions'!$B$8,'I_Budget Input Data'!$D$140,0),'I_Budget Input Data'!$D$140/'I_Inputs &amp; Assumptions'!$B$8)))))),0)</f>
        <v>0</v>
      </c>
      <c r="AB140" s="91">
        <f>IF(26&lt;='I_Inputs &amp; Assumptions'!$B$8,IF('I_Budget Input Data'!$E$140="Upfront",IF(26=1,'I_Budget Input Data'!$D$140,0),IF('I_Budget Input Data'!$E$140="Equal",'I_Budget Input Data'!$D$140/'I_Inputs &amp; Assumptions'!$B$8,IF('I_Budget Input Data'!$E$140="Front-loaded",IF(26&lt;='I_Inputs &amp; Assumptions'!$B$8/2,'I_Budget Input Data'!$D$140*0.6/('I_Inputs &amp; Assumptions'!$B$8/2),'I_Budget Input Data'!$D$140*0.4/('I_Inputs &amp; Assumptions'!$B$8/2)),IF('I_Budget Input Data'!$E$140="Back-loaded",IF(26&lt;='I_Inputs &amp; Assumptions'!$B$8/2,'I_Budget Input Data'!$D$140*0.4/('I_Inputs &amp; Assumptions'!$B$8/2),'I_Budget Input Data'!$D$140*0.6/('I_Inputs &amp; Assumptions'!$B$8/2)),IF('I_Budget Input Data'!$E$140="Mid-weighted",IF(26&lt;='I_Inputs &amp; Assumptions'!$B$8/4,'I_Budget Input Data'!$D$140*0.2/('I_Inputs &amp; Assumptions'!$B$8/4),IF(26&lt;='I_Inputs &amp; Assumptions'!$B$8*0.75,'I_Budget Input Data'!$D$140*0.6/('I_Inputs &amp; Assumptions'!$B$8/2),'I_Budget Input Data'!$D$140*0.2/('I_Inputs &amp; Assumptions'!$B$8/4))),IF('I_Budget Input Data'!$E$140="At Completion",IF(26='I_Inputs &amp; Assumptions'!$B$8,'I_Budget Input Data'!$D$140,0),'I_Budget Input Data'!$D$140/'I_Inputs &amp; Assumptions'!$B$8)))))),0)</f>
        <v>0</v>
      </c>
      <c r="AC140" s="91">
        <f>IF(27&lt;='I_Inputs &amp; Assumptions'!$B$8,IF('I_Budget Input Data'!$E$140="Upfront",IF(27=1,'I_Budget Input Data'!$D$140,0),IF('I_Budget Input Data'!$E$140="Equal",'I_Budget Input Data'!$D$140/'I_Inputs &amp; Assumptions'!$B$8,IF('I_Budget Input Data'!$E$140="Front-loaded",IF(27&lt;='I_Inputs &amp; Assumptions'!$B$8/2,'I_Budget Input Data'!$D$140*0.6/('I_Inputs &amp; Assumptions'!$B$8/2),'I_Budget Input Data'!$D$140*0.4/('I_Inputs &amp; Assumptions'!$B$8/2)),IF('I_Budget Input Data'!$E$140="Back-loaded",IF(27&lt;='I_Inputs &amp; Assumptions'!$B$8/2,'I_Budget Input Data'!$D$140*0.4/('I_Inputs &amp; Assumptions'!$B$8/2),'I_Budget Input Data'!$D$140*0.6/('I_Inputs &amp; Assumptions'!$B$8/2)),IF('I_Budget Input Data'!$E$140="Mid-weighted",IF(27&lt;='I_Inputs &amp; Assumptions'!$B$8/4,'I_Budget Input Data'!$D$140*0.2/('I_Inputs &amp; Assumptions'!$B$8/4),IF(27&lt;='I_Inputs &amp; Assumptions'!$B$8*0.75,'I_Budget Input Data'!$D$140*0.6/('I_Inputs &amp; Assumptions'!$B$8/2),'I_Budget Input Data'!$D$140*0.2/('I_Inputs &amp; Assumptions'!$B$8/4))),IF('I_Budget Input Data'!$E$140="At Completion",IF(27='I_Inputs &amp; Assumptions'!$B$8,'I_Budget Input Data'!$D$140,0),'I_Budget Input Data'!$D$140/'I_Inputs &amp; Assumptions'!$B$8)))))),0)</f>
        <v>0</v>
      </c>
      <c r="AD140" s="91">
        <f>IF(28&lt;='I_Inputs &amp; Assumptions'!$B$8,IF('I_Budget Input Data'!$E$140="Upfront",IF(28=1,'I_Budget Input Data'!$D$140,0),IF('I_Budget Input Data'!$E$140="Equal",'I_Budget Input Data'!$D$140/'I_Inputs &amp; Assumptions'!$B$8,IF('I_Budget Input Data'!$E$140="Front-loaded",IF(28&lt;='I_Inputs &amp; Assumptions'!$B$8/2,'I_Budget Input Data'!$D$140*0.6/('I_Inputs &amp; Assumptions'!$B$8/2),'I_Budget Input Data'!$D$140*0.4/('I_Inputs &amp; Assumptions'!$B$8/2)),IF('I_Budget Input Data'!$E$140="Back-loaded",IF(28&lt;='I_Inputs &amp; Assumptions'!$B$8/2,'I_Budget Input Data'!$D$140*0.4/('I_Inputs &amp; Assumptions'!$B$8/2),'I_Budget Input Data'!$D$140*0.6/('I_Inputs &amp; Assumptions'!$B$8/2)),IF('I_Budget Input Data'!$E$140="Mid-weighted",IF(28&lt;='I_Inputs &amp; Assumptions'!$B$8/4,'I_Budget Input Data'!$D$140*0.2/('I_Inputs &amp; Assumptions'!$B$8/4),IF(28&lt;='I_Inputs &amp; Assumptions'!$B$8*0.75,'I_Budget Input Data'!$D$140*0.6/('I_Inputs &amp; Assumptions'!$B$8/2),'I_Budget Input Data'!$D$140*0.2/('I_Inputs &amp; Assumptions'!$B$8/4))),IF('I_Budget Input Data'!$E$140="At Completion",IF(28='I_Inputs &amp; Assumptions'!$B$8,'I_Budget Input Data'!$D$140,0),'I_Budget Input Data'!$D$140/'I_Inputs &amp; Assumptions'!$B$8)))))),0)</f>
        <v>0</v>
      </c>
      <c r="AE140" s="91">
        <f>IF(29&lt;='I_Inputs &amp; Assumptions'!$B$8,IF('I_Budget Input Data'!$E$140="Upfront",IF(29=1,'I_Budget Input Data'!$D$140,0),IF('I_Budget Input Data'!$E$140="Equal",'I_Budget Input Data'!$D$140/'I_Inputs &amp; Assumptions'!$B$8,IF('I_Budget Input Data'!$E$140="Front-loaded",IF(29&lt;='I_Inputs &amp; Assumptions'!$B$8/2,'I_Budget Input Data'!$D$140*0.6/('I_Inputs &amp; Assumptions'!$B$8/2),'I_Budget Input Data'!$D$140*0.4/('I_Inputs &amp; Assumptions'!$B$8/2)),IF('I_Budget Input Data'!$E$140="Back-loaded",IF(29&lt;='I_Inputs &amp; Assumptions'!$B$8/2,'I_Budget Input Data'!$D$140*0.4/('I_Inputs &amp; Assumptions'!$B$8/2),'I_Budget Input Data'!$D$140*0.6/('I_Inputs &amp; Assumptions'!$B$8/2)),IF('I_Budget Input Data'!$E$140="Mid-weighted",IF(29&lt;='I_Inputs &amp; Assumptions'!$B$8/4,'I_Budget Input Data'!$D$140*0.2/('I_Inputs &amp; Assumptions'!$B$8/4),IF(29&lt;='I_Inputs &amp; Assumptions'!$B$8*0.75,'I_Budget Input Data'!$D$140*0.6/('I_Inputs &amp; Assumptions'!$B$8/2),'I_Budget Input Data'!$D$140*0.2/('I_Inputs &amp; Assumptions'!$B$8/4))),IF('I_Budget Input Data'!$E$140="At Completion",IF(29='I_Inputs &amp; Assumptions'!$B$8,'I_Budget Input Data'!$D$140,0),'I_Budget Input Data'!$D$140/'I_Inputs &amp; Assumptions'!$B$8)))))),0)</f>
        <v>0</v>
      </c>
      <c r="AF140" s="91">
        <f>IF(30&lt;='I_Inputs &amp; Assumptions'!$B$8,IF('I_Budget Input Data'!$E$140="Upfront",IF(30=1,'I_Budget Input Data'!$D$140,0),IF('I_Budget Input Data'!$E$140="Equal",'I_Budget Input Data'!$D$140/'I_Inputs &amp; Assumptions'!$B$8,IF('I_Budget Input Data'!$E$140="Front-loaded",IF(30&lt;='I_Inputs &amp; Assumptions'!$B$8/2,'I_Budget Input Data'!$D$140*0.6/('I_Inputs &amp; Assumptions'!$B$8/2),'I_Budget Input Data'!$D$140*0.4/('I_Inputs &amp; Assumptions'!$B$8/2)),IF('I_Budget Input Data'!$E$140="Back-loaded",IF(30&lt;='I_Inputs &amp; Assumptions'!$B$8/2,'I_Budget Input Data'!$D$140*0.4/('I_Inputs &amp; Assumptions'!$B$8/2),'I_Budget Input Data'!$D$140*0.6/('I_Inputs &amp; Assumptions'!$B$8/2)),IF('I_Budget Input Data'!$E$140="Mid-weighted",IF(30&lt;='I_Inputs &amp; Assumptions'!$B$8/4,'I_Budget Input Data'!$D$140*0.2/('I_Inputs &amp; Assumptions'!$B$8/4),IF(30&lt;='I_Inputs &amp; Assumptions'!$B$8*0.75,'I_Budget Input Data'!$D$140*0.6/('I_Inputs &amp; Assumptions'!$B$8/2),'I_Budget Input Data'!$D$140*0.2/('I_Inputs &amp; Assumptions'!$B$8/4))),IF('I_Budget Input Data'!$E$140="At Completion",IF(30='I_Inputs &amp; Assumptions'!$B$8,'I_Budget Input Data'!$D$140,0),'I_Budget Input Data'!$D$140/'I_Inputs &amp; Assumptions'!$B$8)))))),0)</f>
        <v>0</v>
      </c>
      <c r="AG140" s="91">
        <f>IF(31&lt;='I_Inputs &amp; Assumptions'!$B$8,IF('I_Budget Input Data'!$E$140="Upfront",IF(31=1,'I_Budget Input Data'!$D$140,0),IF('I_Budget Input Data'!$E$140="Equal",'I_Budget Input Data'!$D$140/'I_Inputs &amp; Assumptions'!$B$8,IF('I_Budget Input Data'!$E$140="Front-loaded",IF(31&lt;='I_Inputs &amp; Assumptions'!$B$8/2,'I_Budget Input Data'!$D$140*0.6/('I_Inputs &amp; Assumptions'!$B$8/2),'I_Budget Input Data'!$D$140*0.4/('I_Inputs &amp; Assumptions'!$B$8/2)),IF('I_Budget Input Data'!$E$140="Back-loaded",IF(31&lt;='I_Inputs &amp; Assumptions'!$B$8/2,'I_Budget Input Data'!$D$140*0.4/('I_Inputs &amp; Assumptions'!$B$8/2),'I_Budget Input Data'!$D$140*0.6/('I_Inputs &amp; Assumptions'!$B$8/2)),IF('I_Budget Input Data'!$E$140="Mid-weighted",IF(31&lt;='I_Inputs &amp; Assumptions'!$B$8/4,'I_Budget Input Data'!$D$140*0.2/('I_Inputs &amp; Assumptions'!$B$8/4),IF(31&lt;='I_Inputs &amp; Assumptions'!$B$8*0.75,'I_Budget Input Data'!$D$140*0.6/('I_Inputs &amp; Assumptions'!$B$8/2),'I_Budget Input Data'!$D$140*0.2/('I_Inputs &amp; Assumptions'!$B$8/4))),IF('I_Budget Input Data'!$E$140="At Completion",IF(31='I_Inputs &amp; Assumptions'!$B$8,'I_Budget Input Data'!$D$140,0),'I_Budget Input Data'!$D$140/'I_Inputs &amp; Assumptions'!$B$8)))))),0)</f>
        <v>0</v>
      </c>
      <c r="AH140" s="91">
        <f>IF(32&lt;='I_Inputs &amp; Assumptions'!$B$8,IF('I_Budget Input Data'!$E$140="Upfront",IF(32=1,'I_Budget Input Data'!$D$140,0),IF('I_Budget Input Data'!$E$140="Equal",'I_Budget Input Data'!$D$140/'I_Inputs &amp; Assumptions'!$B$8,IF('I_Budget Input Data'!$E$140="Front-loaded",IF(32&lt;='I_Inputs &amp; Assumptions'!$B$8/2,'I_Budget Input Data'!$D$140*0.6/('I_Inputs &amp; Assumptions'!$B$8/2),'I_Budget Input Data'!$D$140*0.4/('I_Inputs &amp; Assumptions'!$B$8/2)),IF('I_Budget Input Data'!$E$140="Back-loaded",IF(32&lt;='I_Inputs &amp; Assumptions'!$B$8/2,'I_Budget Input Data'!$D$140*0.4/('I_Inputs &amp; Assumptions'!$B$8/2),'I_Budget Input Data'!$D$140*0.6/('I_Inputs &amp; Assumptions'!$B$8/2)),IF('I_Budget Input Data'!$E$140="Mid-weighted",IF(32&lt;='I_Inputs &amp; Assumptions'!$B$8/4,'I_Budget Input Data'!$D$140*0.2/('I_Inputs &amp; Assumptions'!$B$8/4),IF(32&lt;='I_Inputs &amp; Assumptions'!$B$8*0.75,'I_Budget Input Data'!$D$140*0.6/('I_Inputs &amp; Assumptions'!$B$8/2),'I_Budget Input Data'!$D$140*0.2/('I_Inputs &amp; Assumptions'!$B$8/4))),IF('I_Budget Input Data'!$E$140="At Completion",IF(32='I_Inputs &amp; Assumptions'!$B$8,'I_Budget Input Data'!$D$140,0),'I_Budget Input Data'!$D$140/'I_Inputs &amp; Assumptions'!$B$8)))))),0)</f>
        <v>0</v>
      </c>
      <c r="AI140" s="91">
        <f>IF(33&lt;='I_Inputs &amp; Assumptions'!$B$8,IF('I_Budget Input Data'!$E$140="Upfront",IF(33=1,'I_Budget Input Data'!$D$140,0),IF('I_Budget Input Data'!$E$140="Equal",'I_Budget Input Data'!$D$140/'I_Inputs &amp; Assumptions'!$B$8,IF('I_Budget Input Data'!$E$140="Front-loaded",IF(33&lt;='I_Inputs &amp; Assumptions'!$B$8/2,'I_Budget Input Data'!$D$140*0.6/('I_Inputs &amp; Assumptions'!$B$8/2),'I_Budget Input Data'!$D$140*0.4/('I_Inputs &amp; Assumptions'!$B$8/2)),IF('I_Budget Input Data'!$E$140="Back-loaded",IF(33&lt;='I_Inputs &amp; Assumptions'!$B$8/2,'I_Budget Input Data'!$D$140*0.4/('I_Inputs &amp; Assumptions'!$B$8/2),'I_Budget Input Data'!$D$140*0.6/('I_Inputs &amp; Assumptions'!$B$8/2)),IF('I_Budget Input Data'!$E$140="Mid-weighted",IF(33&lt;='I_Inputs &amp; Assumptions'!$B$8/4,'I_Budget Input Data'!$D$140*0.2/('I_Inputs &amp; Assumptions'!$B$8/4),IF(33&lt;='I_Inputs &amp; Assumptions'!$B$8*0.75,'I_Budget Input Data'!$D$140*0.6/('I_Inputs &amp; Assumptions'!$B$8/2),'I_Budget Input Data'!$D$140*0.2/('I_Inputs &amp; Assumptions'!$B$8/4))),IF('I_Budget Input Data'!$E$140="At Completion",IF(33='I_Inputs &amp; Assumptions'!$B$8,'I_Budget Input Data'!$D$140,0),'I_Budget Input Data'!$D$140/'I_Inputs &amp; Assumptions'!$B$8)))))),0)</f>
        <v>0</v>
      </c>
      <c r="AJ140" s="91">
        <f>IF(34&lt;='I_Inputs &amp; Assumptions'!$B$8,IF('I_Budget Input Data'!$E$140="Upfront",IF(34=1,'I_Budget Input Data'!$D$140,0),IF('I_Budget Input Data'!$E$140="Equal",'I_Budget Input Data'!$D$140/'I_Inputs &amp; Assumptions'!$B$8,IF('I_Budget Input Data'!$E$140="Front-loaded",IF(34&lt;='I_Inputs &amp; Assumptions'!$B$8/2,'I_Budget Input Data'!$D$140*0.6/('I_Inputs &amp; Assumptions'!$B$8/2),'I_Budget Input Data'!$D$140*0.4/('I_Inputs &amp; Assumptions'!$B$8/2)),IF('I_Budget Input Data'!$E$140="Back-loaded",IF(34&lt;='I_Inputs &amp; Assumptions'!$B$8/2,'I_Budget Input Data'!$D$140*0.4/('I_Inputs &amp; Assumptions'!$B$8/2),'I_Budget Input Data'!$D$140*0.6/('I_Inputs &amp; Assumptions'!$B$8/2)),IF('I_Budget Input Data'!$E$140="Mid-weighted",IF(34&lt;='I_Inputs &amp; Assumptions'!$B$8/4,'I_Budget Input Data'!$D$140*0.2/('I_Inputs &amp; Assumptions'!$B$8/4),IF(34&lt;='I_Inputs &amp; Assumptions'!$B$8*0.75,'I_Budget Input Data'!$D$140*0.6/('I_Inputs &amp; Assumptions'!$B$8/2),'I_Budget Input Data'!$D$140*0.2/('I_Inputs &amp; Assumptions'!$B$8/4))),IF('I_Budget Input Data'!$E$140="At Completion",IF(34='I_Inputs &amp; Assumptions'!$B$8,'I_Budget Input Data'!$D$140,0),'I_Budget Input Data'!$D$140/'I_Inputs &amp; Assumptions'!$B$8)))))),0)</f>
        <v>0</v>
      </c>
      <c r="AK140" s="91">
        <f>IF(35&lt;='I_Inputs &amp; Assumptions'!$B$8,IF('I_Budget Input Data'!$E$140="Upfront",IF(35=1,'I_Budget Input Data'!$D$140,0),IF('I_Budget Input Data'!$E$140="Equal",'I_Budget Input Data'!$D$140/'I_Inputs &amp; Assumptions'!$B$8,IF('I_Budget Input Data'!$E$140="Front-loaded",IF(35&lt;='I_Inputs &amp; Assumptions'!$B$8/2,'I_Budget Input Data'!$D$140*0.6/('I_Inputs &amp; Assumptions'!$B$8/2),'I_Budget Input Data'!$D$140*0.4/('I_Inputs &amp; Assumptions'!$B$8/2)),IF('I_Budget Input Data'!$E$140="Back-loaded",IF(35&lt;='I_Inputs &amp; Assumptions'!$B$8/2,'I_Budget Input Data'!$D$140*0.4/('I_Inputs &amp; Assumptions'!$B$8/2),'I_Budget Input Data'!$D$140*0.6/('I_Inputs &amp; Assumptions'!$B$8/2)),IF('I_Budget Input Data'!$E$140="Mid-weighted",IF(35&lt;='I_Inputs &amp; Assumptions'!$B$8/4,'I_Budget Input Data'!$D$140*0.2/('I_Inputs &amp; Assumptions'!$B$8/4),IF(35&lt;='I_Inputs &amp; Assumptions'!$B$8*0.75,'I_Budget Input Data'!$D$140*0.6/('I_Inputs &amp; Assumptions'!$B$8/2),'I_Budget Input Data'!$D$140*0.2/('I_Inputs &amp; Assumptions'!$B$8/4))),IF('I_Budget Input Data'!$E$140="At Completion",IF(35='I_Inputs &amp; Assumptions'!$B$8,'I_Budget Input Data'!$D$140,0),'I_Budget Input Data'!$D$140/'I_Inputs &amp; Assumptions'!$B$8)))))),0)</f>
        <v>0</v>
      </c>
      <c r="AL140" s="91">
        <f>IF(36&lt;='I_Inputs &amp; Assumptions'!$B$8,IF('I_Budget Input Data'!$E$140="Upfront",IF(36=1,'I_Budget Input Data'!$D$140,0),IF('I_Budget Input Data'!$E$140="Equal",'I_Budget Input Data'!$D$140/'I_Inputs &amp; Assumptions'!$B$8,IF('I_Budget Input Data'!$E$140="Front-loaded",IF(36&lt;='I_Inputs &amp; Assumptions'!$B$8/2,'I_Budget Input Data'!$D$140*0.6/('I_Inputs &amp; Assumptions'!$B$8/2),'I_Budget Input Data'!$D$140*0.4/('I_Inputs &amp; Assumptions'!$B$8/2)),IF('I_Budget Input Data'!$E$140="Back-loaded",IF(36&lt;='I_Inputs &amp; Assumptions'!$B$8/2,'I_Budget Input Data'!$D$140*0.4/('I_Inputs &amp; Assumptions'!$B$8/2),'I_Budget Input Data'!$D$140*0.6/('I_Inputs &amp; Assumptions'!$B$8/2)),IF('I_Budget Input Data'!$E$140="Mid-weighted",IF(36&lt;='I_Inputs &amp; Assumptions'!$B$8/4,'I_Budget Input Data'!$D$140*0.2/('I_Inputs &amp; Assumptions'!$B$8/4),IF(36&lt;='I_Inputs &amp; Assumptions'!$B$8*0.75,'I_Budget Input Data'!$D$140*0.6/('I_Inputs &amp; Assumptions'!$B$8/2),'I_Budget Input Data'!$D$140*0.2/('I_Inputs &amp; Assumptions'!$B$8/4))),IF('I_Budget Input Data'!$E$140="At Completion",IF(36='I_Inputs &amp; Assumptions'!$B$8,'I_Budget Input Data'!$D$140,0),'I_Budget Input Data'!$D$140/'I_Inputs &amp; Assumptions'!$B$8)))))),0)</f>
        <v>0</v>
      </c>
    </row>
    <row r="141" spans="1:38" ht="15" customHeight="1" x14ac:dyDescent="0.2">
      <c r="A141" t="s">
        <v>248</v>
      </c>
      <c r="B141" t="s">
        <v>256</v>
      </c>
      <c r="C141" s="91">
        <v>0</v>
      </c>
      <c r="D141" s="91">
        <v>0</v>
      </c>
      <c r="E141" s="91">
        <v>0</v>
      </c>
      <c r="F141" s="91">
        <v>0</v>
      </c>
      <c r="G141" s="91">
        <v>0</v>
      </c>
      <c r="H141" s="91">
        <v>0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91">
        <v>0</v>
      </c>
      <c r="R141" s="91">
        <v>0</v>
      </c>
      <c r="S141" s="91">
        <v>0</v>
      </c>
      <c r="T141" s="91">
        <v>0</v>
      </c>
      <c r="U141" s="91">
        <v>0</v>
      </c>
      <c r="V141" s="91">
        <v>0</v>
      </c>
      <c r="W141" s="91">
        <v>0</v>
      </c>
      <c r="X141" s="91">
        <v>0</v>
      </c>
      <c r="Y141" s="91">
        <v>0</v>
      </c>
      <c r="Z141" s="91">
        <v>0</v>
      </c>
      <c r="AA141" s="91">
        <v>0</v>
      </c>
      <c r="AB141" s="91">
        <v>0</v>
      </c>
      <c r="AC141" s="91">
        <v>0</v>
      </c>
      <c r="AD141" s="91">
        <v>0</v>
      </c>
      <c r="AE141" s="91">
        <v>0</v>
      </c>
      <c r="AF141" s="91">
        <v>0</v>
      </c>
      <c r="AG141" s="91">
        <v>0</v>
      </c>
      <c r="AH141" s="91">
        <v>0</v>
      </c>
      <c r="AI141" s="91">
        <v>0</v>
      </c>
      <c r="AJ141" s="91">
        <v>0</v>
      </c>
      <c r="AK141" s="91">
        <v>0</v>
      </c>
      <c r="AL141" s="91">
        <v>0</v>
      </c>
    </row>
    <row r="142" spans="1:38" ht="15" customHeight="1" x14ac:dyDescent="0.2">
      <c r="A142" t="s">
        <v>248</v>
      </c>
      <c r="B142" t="s">
        <v>257</v>
      </c>
      <c r="C142" s="91">
        <v>0</v>
      </c>
      <c r="D142" s="91">
        <v>0</v>
      </c>
      <c r="E142" s="91">
        <v>0</v>
      </c>
      <c r="F142" s="91">
        <v>0</v>
      </c>
      <c r="G142" s="91">
        <v>0</v>
      </c>
      <c r="H142" s="91">
        <v>0</v>
      </c>
      <c r="I142" s="91">
        <v>0</v>
      </c>
      <c r="J142" s="91">
        <v>0</v>
      </c>
      <c r="K142" s="91">
        <v>0</v>
      </c>
      <c r="L142" s="91">
        <v>0</v>
      </c>
      <c r="M142" s="91">
        <v>0</v>
      </c>
      <c r="N142" s="91">
        <v>0</v>
      </c>
      <c r="O142" s="91">
        <v>0</v>
      </c>
      <c r="P142" s="91">
        <v>0</v>
      </c>
      <c r="Q142" s="91">
        <v>0</v>
      </c>
      <c r="R142" s="91">
        <v>0</v>
      </c>
      <c r="S142" s="91">
        <v>0</v>
      </c>
      <c r="T142" s="91">
        <v>0</v>
      </c>
      <c r="U142" s="91">
        <v>0</v>
      </c>
      <c r="V142" s="91">
        <v>0</v>
      </c>
      <c r="W142" s="91">
        <v>0</v>
      </c>
      <c r="X142" s="91">
        <v>0</v>
      </c>
      <c r="Y142" s="91">
        <v>0</v>
      </c>
      <c r="Z142" s="91">
        <v>0</v>
      </c>
      <c r="AA142" s="91">
        <v>0</v>
      </c>
      <c r="AB142" s="91">
        <v>0</v>
      </c>
      <c r="AC142" s="91">
        <v>0</v>
      </c>
      <c r="AD142" s="91">
        <v>0</v>
      </c>
      <c r="AE142" s="91">
        <v>0</v>
      </c>
      <c r="AF142" s="91">
        <v>0</v>
      </c>
      <c r="AG142" s="91">
        <v>0</v>
      </c>
      <c r="AH142" s="91">
        <v>0</v>
      </c>
      <c r="AI142" s="91">
        <v>0</v>
      </c>
      <c r="AJ142" s="91">
        <v>0</v>
      </c>
      <c r="AK142" s="91">
        <v>0</v>
      </c>
      <c r="AL142" s="91">
        <v>0</v>
      </c>
    </row>
    <row r="143" spans="1:38" ht="15" customHeight="1" x14ac:dyDescent="0.2">
      <c r="A143" t="s">
        <v>248</v>
      </c>
      <c r="B143" t="s">
        <v>258</v>
      </c>
      <c r="C143" s="91">
        <f>IF(1&lt;='I_Inputs &amp; Assumptions'!$B$8,IF('I_Budget Input Data'!$E$143="Upfront",IF(1=1,'I_Budget Input Data'!$D$143,0),IF('I_Budget Input Data'!$E$143="Equal",'I_Budget Input Data'!$D$143/'I_Inputs &amp; Assumptions'!$B$8,IF('I_Budget Input Data'!$E$143="Front-loaded",IF(1&lt;='I_Inputs &amp; Assumptions'!$B$8/2,'I_Budget Input Data'!$D$143*0.6/('I_Inputs &amp; Assumptions'!$B$8/2),'I_Budget Input Data'!$D$143*0.4/('I_Inputs &amp; Assumptions'!$B$8/2)),IF('I_Budget Input Data'!$E$143="Back-loaded",IF(1&lt;='I_Inputs &amp; Assumptions'!$B$8/2,'I_Budget Input Data'!$D$143*0.4/('I_Inputs &amp; Assumptions'!$B$8/2),'I_Budget Input Data'!$D$143*0.6/('I_Inputs &amp; Assumptions'!$B$8/2)),IF('I_Budget Input Data'!$E$143="Mid-weighted",IF(1&lt;='I_Inputs &amp; Assumptions'!$B$8/4,'I_Budget Input Data'!$D$143*0.2/('I_Inputs &amp; Assumptions'!$B$8/4),IF(1&lt;='I_Inputs &amp; Assumptions'!$B$8*0.75,'I_Budget Input Data'!$D$143*0.6/('I_Inputs &amp; Assumptions'!$B$8/2),'I_Budget Input Data'!$D$143*0.2/('I_Inputs &amp; Assumptions'!$B$8/4))),IF('I_Budget Input Data'!$E$143="At Completion",IF(1='I_Inputs &amp; Assumptions'!$B$8,'I_Budget Input Data'!$D$143,0),'I_Budget Input Data'!$D$143/'I_Inputs &amp; Assumptions'!$B$8)))))),0)</f>
        <v>8306.2153846153851</v>
      </c>
      <c r="D143" s="91">
        <f>IF(2&lt;='I_Inputs &amp; Assumptions'!$B$8,IF('I_Budget Input Data'!$E$143="Upfront",IF(2=1,'I_Budget Input Data'!$D$143,0),IF('I_Budget Input Data'!$E$143="Equal",'I_Budget Input Data'!$D$143/'I_Inputs &amp; Assumptions'!$B$8,IF('I_Budget Input Data'!$E$143="Front-loaded",IF(2&lt;='I_Inputs &amp; Assumptions'!$B$8/2,'I_Budget Input Data'!$D$143*0.6/('I_Inputs &amp; Assumptions'!$B$8/2),'I_Budget Input Data'!$D$143*0.4/('I_Inputs &amp; Assumptions'!$B$8/2)),IF('I_Budget Input Data'!$E$143="Back-loaded",IF(2&lt;='I_Inputs &amp; Assumptions'!$B$8/2,'I_Budget Input Data'!$D$143*0.4/('I_Inputs &amp; Assumptions'!$B$8/2),'I_Budget Input Data'!$D$143*0.6/('I_Inputs &amp; Assumptions'!$B$8/2)),IF('I_Budget Input Data'!$E$143="Mid-weighted",IF(2&lt;='I_Inputs &amp; Assumptions'!$B$8/4,'I_Budget Input Data'!$D$143*0.2/('I_Inputs &amp; Assumptions'!$B$8/4),IF(2&lt;='I_Inputs &amp; Assumptions'!$B$8*0.75,'I_Budget Input Data'!$D$143*0.6/('I_Inputs &amp; Assumptions'!$B$8/2),'I_Budget Input Data'!$D$143*0.2/('I_Inputs &amp; Assumptions'!$B$8/4))),IF('I_Budget Input Data'!$E$143="At Completion",IF(2='I_Inputs &amp; Assumptions'!$B$8,'I_Budget Input Data'!$D$143,0),'I_Budget Input Data'!$D$143/'I_Inputs &amp; Assumptions'!$B$8)))))),0)</f>
        <v>8306.2153846153851</v>
      </c>
      <c r="E143" s="91">
        <f>IF(3&lt;='I_Inputs &amp; Assumptions'!$B$8,IF('I_Budget Input Data'!$E$143="Upfront",IF(3=1,'I_Budget Input Data'!$D$143,0),IF('I_Budget Input Data'!$E$143="Equal",'I_Budget Input Data'!$D$143/'I_Inputs &amp; Assumptions'!$B$8,IF('I_Budget Input Data'!$E$143="Front-loaded",IF(3&lt;='I_Inputs &amp; Assumptions'!$B$8/2,'I_Budget Input Data'!$D$143*0.6/('I_Inputs &amp; Assumptions'!$B$8/2),'I_Budget Input Data'!$D$143*0.4/('I_Inputs &amp; Assumptions'!$B$8/2)),IF('I_Budget Input Data'!$E$143="Back-loaded",IF(3&lt;='I_Inputs &amp; Assumptions'!$B$8/2,'I_Budget Input Data'!$D$143*0.4/('I_Inputs &amp; Assumptions'!$B$8/2),'I_Budget Input Data'!$D$143*0.6/('I_Inputs &amp; Assumptions'!$B$8/2)),IF('I_Budget Input Data'!$E$143="Mid-weighted",IF(3&lt;='I_Inputs &amp; Assumptions'!$B$8/4,'I_Budget Input Data'!$D$143*0.2/('I_Inputs &amp; Assumptions'!$B$8/4),IF(3&lt;='I_Inputs &amp; Assumptions'!$B$8*0.75,'I_Budget Input Data'!$D$143*0.6/('I_Inputs &amp; Assumptions'!$B$8/2),'I_Budget Input Data'!$D$143*0.2/('I_Inputs &amp; Assumptions'!$B$8/4))),IF('I_Budget Input Data'!$E$143="At Completion",IF(3='I_Inputs &amp; Assumptions'!$B$8,'I_Budget Input Data'!$D$143,0),'I_Budget Input Data'!$D$143/'I_Inputs &amp; Assumptions'!$B$8)))))),0)</f>
        <v>8306.2153846153851</v>
      </c>
      <c r="F143" s="91">
        <f>IF(4&lt;='I_Inputs &amp; Assumptions'!$B$8,IF('I_Budget Input Data'!$E$143="Upfront",IF(4=1,'I_Budget Input Data'!$D$143,0),IF('I_Budget Input Data'!$E$143="Equal",'I_Budget Input Data'!$D$143/'I_Inputs &amp; Assumptions'!$B$8,IF('I_Budget Input Data'!$E$143="Front-loaded",IF(4&lt;='I_Inputs &amp; Assumptions'!$B$8/2,'I_Budget Input Data'!$D$143*0.6/('I_Inputs &amp; Assumptions'!$B$8/2),'I_Budget Input Data'!$D$143*0.4/('I_Inputs &amp; Assumptions'!$B$8/2)),IF('I_Budget Input Data'!$E$143="Back-loaded",IF(4&lt;='I_Inputs &amp; Assumptions'!$B$8/2,'I_Budget Input Data'!$D$143*0.4/('I_Inputs &amp; Assumptions'!$B$8/2),'I_Budget Input Data'!$D$143*0.6/('I_Inputs &amp; Assumptions'!$B$8/2)),IF('I_Budget Input Data'!$E$143="Mid-weighted",IF(4&lt;='I_Inputs &amp; Assumptions'!$B$8/4,'I_Budget Input Data'!$D$143*0.2/('I_Inputs &amp; Assumptions'!$B$8/4),IF(4&lt;='I_Inputs &amp; Assumptions'!$B$8*0.75,'I_Budget Input Data'!$D$143*0.6/('I_Inputs &amp; Assumptions'!$B$8/2),'I_Budget Input Data'!$D$143*0.2/('I_Inputs &amp; Assumptions'!$B$8/4))),IF('I_Budget Input Data'!$E$143="At Completion",IF(4='I_Inputs &amp; Assumptions'!$B$8,'I_Budget Input Data'!$D$143,0),'I_Budget Input Data'!$D$143/'I_Inputs &amp; Assumptions'!$B$8)))))),0)</f>
        <v>8306.2153846153851</v>
      </c>
      <c r="G143" s="91">
        <f>IF(5&lt;='I_Inputs &amp; Assumptions'!$B$8,IF('I_Budget Input Data'!$E$143="Upfront",IF(5=1,'I_Budget Input Data'!$D$143,0),IF('I_Budget Input Data'!$E$143="Equal",'I_Budget Input Data'!$D$143/'I_Inputs &amp; Assumptions'!$B$8,IF('I_Budget Input Data'!$E$143="Front-loaded",IF(5&lt;='I_Inputs &amp; Assumptions'!$B$8/2,'I_Budget Input Data'!$D$143*0.6/('I_Inputs &amp; Assumptions'!$B$8/2),'I_Budget Input Data'!$D$143*0.4/('I_Inputs &amp; Assumptions'!$B$8/2)),IF('I_Budget Input Data'!$E$143="Back-loaded",IF(5&lt;='I_Inputs &amp; Assumptions'!$B$8/2,'I_Budget Input Data'!$D$143*0.4/('I_Inputs &amp; Assumptions'!$B$8/2),'I_Budget Input Data'!$D$143*0.6/('I_Inputs &amp; Assumptions'!$B$8/2)),IF('I_Budget Input Data'!$E$143="Mid-weighted",IF(5&lt;='I_Inputs &amp; Assumptions'!$B$8/4,'I_Budget Input Data'!$D$143*0.2/('I_Inputs &amp; Assumptions'!$B$8/4),IF(5&lt;='I_Inputs &amp; Assumptions'!$B$8*0.75,'I_Budget Input Data'!$D$143*0.6/('I_Inputs &amp; Assumptions'!$B$8/2),'I_Budget Input Data'!$D$143*0.2/('I_Inputs &amp; Assumptions'!$B$8/4))),IF('I_Budget Input Data'!$E$143="At Completion",IF(5='I_Inputs &amp; Assumptions'!$B$8,'I_Budget Input Data'!$D$143,0),'I_Budget Input Data'!$D$143/'I_Inputs &amp; Assumptions'!$B$8)))))),0)</f>
        <v>8306.2153846153851</v>
      </c>
      <c r="H143" s="91">
        <f>IF(6&lt;='I_Inputs &amp; Assumptions'!$B$8,IF('I_Budget Input Data'!$E$143="Upfront",IF(6=1,'I_Budget Input Data'!$D$143,0),IF('I_Budget Input Data'!$E$143="Equal",'I_Budget Input Data'!$D$143/'I_Inputs &amp; Assumptions'!$B$8,IF('I_Budget Input Data'!$E$143="Front-loaded",IF(6&lt;='I_Inputs &amp; Assumptions'!$B$8/2,'I_Budget Input Data'!$D$143*0.6/('I_Inputs &amp; Assumptions'!$B$8/2),'I_Budget Input Data'!$D$143*0.4/('I_Inputs &amp; Assumptions'!$B$8/2)),IF('I_Budget Input Data'!$E$143="Back-loaded",IF(6&lt;='I_Inputs &amp; Assumptions'!$B$8/2,'I_Budget Input Data'!$D$143*0.4/('I_Inputs &amp; Assumptions'!$B$8/2),'I_Budget Input Data'!$D$143*0.6/('I_Inputs &amp; Assumptions'!$B$8/2)),IF('I_Budget Input Data'!$E$143="Mid-weighted",IF(6&lt;='I_Inputs &amp; Assumptions'!$B$8/4,'I_Budget Input Data'!$D$143*0.2/('I_Inputs &amp; Assumptions'!$B$8/4),IF(6&lt;='I_Inputs &amp; Assumptions'!$B$8*0.75,'I_Budget Input Data'!$D$143*0.6/('I_Inputs &amp; Assumptions'!$B$8/2),'I_Budget Input Data'!$D$143*0.2/('I_Inputs &amp; Assumptions'!$B$8/4))),IF('I_Budget Input Data'!$E$143="At Completion",IF(6='I_Inputs &amp; Assumptions'!$B$8,'I_Budget Input Data'!$D$143,0),'I_Budget Input Data'!$D$143/'I_Inputs &amp; Assumptions'!$B$8)))))),0)</f>
        <v>8306.2153846153851</v>
      </c>
      <c r="I143" s="91">
        <f>IF(7&lt;='I_Inputs &amp; Assumptions'!$B$8,IF('I_Budget Input Data'!$E$143="Upfront",IF(7=1,'I_Budget Input Data'!$D$143,0),IF('I_Budget Input Data'!$E$143="Equal",'I_Budget Input Data'!$D$143/'I_Inputs &amp; Assumptions'!$B$8,IF('I_Budget Input Data'!$E$143="Front-loaded",IF(7&lt;='I_Inputs &amp; Assumptions'!$B$8/2,'I_Budget Input Data'!$D$143*0.6/('I_Inputs &amp; Assumptions'!$B$8/2),'I_Budget Input Data'!$D$143*0.4/('I_Inputs &amp; Assumptions'!$B$8/2)),IF('I_Budget Input Data'!$E$143="Back-loaded",IF(7&lt;='I_Inputs &amp; Assumptions'!$B$8/2,'I_Budget Input Data'!$D$143*0.4/('I_Inputs &amp; Assumptions'!$B$8/2),'I_Budget Input Data'!$D$143*0.6/('I_Inputs &amp; Assumptions'!$B$8/2)),IF('I_Budget Input Data'!$E$143="Mid-weighted",IF(7&lt;='I_Inputs &amp; Assumptions'!$B$8/4,'I_Budget Input Data'!$D$143*0.2/('I_Inputs &amp; Assumptions'!$B$8/4),IF(7&lt;='I_Inputs &amp; Assumptions'!$B$8*0.75,'I_Budget Input Data'!$D$143*0.6/('I_Inputs &amp; Assumptions'!$B$8/2),'I_Budget Input Data'!$D$143*0.2/('I_Inputs &amp; Assumptions'!$B$8/4))),IF('I_Budget Input Data'!$E$143="At Completion",IF(7='I_Inputs &amp; Assumptions'!$B$8,'I_Budget Input Data'!$D$143,0),'I_Budget Input Data'!$D$143/'I_Inputs &amp; Assumptions'!$B$8)))))),0)</f>
        <v>5537.4769230769225</v>
      </c>
      <c r="J143" s="91">
        <f>IF(8&lt;='I_Inputs &amp; Assumptions'!$B$8,IF('I_Budget Input Data'!$E$143="Upfront",IF(8=1,'I_Budget Input Data'!$D$143,0),IF('I_Budget Input Data'!$E$143="Equal",'I_Budget Input Data'!$D$143/'I_Inputs &amp; Assumptions'!$B$8,IF('I_Budget Input Data'!$E$143="Front-loaded",IF(8&lt;='I_Inputs &amp; Assumptions'!$B$8/2,'I_Budget Input Data'!$D$143*0.6/('I_Inputs &amp; Assumptions'!$B$8/2),'I_Budget Input Data'!$D$143*0.4/('I_Inputs &amp; Assumptions'!$B$8/2)),IF('I_Budget Input Data'!$E$143="Back-loaded",IF(8&lt;='I_Inputs &amp; Assumptions'!$B$8/2,'I_Budget Input Data'!$D$143*0.4/('I_Inputs &amp; Assumptions'!$B$8/2),'I_Budget Input Data'!$D$143*0.6/('I_Inputs &amp; Assumptions'!$B$8/2)),IF('I_Budget Input Data'!$E$143="Mid-weighted",IF(8&lt;='I_Inputs &amp; Assumptions'!$B$8/4,'I_Budget Input Data'!$D$143*0.2/('I_Inputs &amp; Assumptions'!$B$8/4),IF(8&lt;='I_Inputs &amp; Assumptions'!$B$8*0.75,'I_Budget Input Data'!$D$143*0.6/('I_Inputs &amp; Assumptions'!$B$8/2),'I_Budget Input Data'!$D$143*0.2/('I_Inputs &amp; Assumptions'!$B$8/4))),IF('I_Budget Input Data'!$E$143="At Completion",IF(8='I_Inputs &amp; Assumptions'!$B$8,'I_Budget Input Data'!$D$143,0),'I_Budget Input Data'!$D$143/'I_Inputs &amp; Assumptions'!$B$8)))))),0)</f>
        <v>5537.4769230769225</v>
      </c>
      <c r="K143" s="91">
        <f>IF(9&lt;='I_Inputs &amp; Assumptions'!$B$8,IF('I_Budget Input Data'!$E$143="Upfront",IF(9=1,'I_Budget Input Data'!$D$143,0),IF('I_Budget Input Data'!$E$143="Equal",'I_Budget Input Data'!$D$143/'I_Inputs &amp; Assumptions'!$B$8,IF('I_Budget Input Data'!$E$143="Front-loaded",IF(9&lt;='I_Inputs &amp; Assumptions'!$B$8/2,'I_Budget Input Data'!$D$143*0.6/('I_Inputs &amp; Assumptions'!$B$8/2),'I_Budget Input Data'!$D$143*0.4/('I_Inputs &amp; Assumptions'!$B$8/2)),IF('I_Budget Input Data'!$E$143="Back-loaded",IF(9&lt;='I_Inputs &amp; Assumptions'!$B$8/2,'I_Budget Input Data'!$D$143*0.4/('I_Inputs &amp; Assumptions'!$B$8/2),'I_Budget Input Data'!$D$143*0.6/('I_Inputs &amp; Assumptions'!$B$8/2)),IF('I_Budget Input Data'!$E$143="Mid-weighted",IF(9&lt;='I_Inputs &amp; Assumptions'!$B$8/4,'I_Budget Input Data'!$D$143*0.2/('I_Inputs &amp; Assumptions'!$B$8/4),IF(9&lt;='I_Inputs &amp; Assumptions'!$B$8*0.75,'I_Budget Input Data'!$D$143*0.6/('I_Inputs &amp; Assumptions'!$B$8/2),'I_Budget Input Data'!$D$143*0.2/('I_Inputs &amp; Assumptions'!$B$8/4))),IF('I_Budget Input Data'!$E$143="At Completion",IF(9='I_Inputs &amp; Assumptions'!$B$8,'I_Budget Input Data'!$D$143,0),'I_Budget Input Data'!$D$143/'I_Inputs &amp; Assumptions'!$B$8)))))),0)</f>
        <v>5537.4769230769225</v>
      </c>
      <c r="L143" s="91">
        <f>IF(10&lt;='I_Inputs &amp; Assumptions'!$B$8,IF('I_Budget Input Data'!$E$143="Upfront",IF(10=1,'I_Budget Input Data'!$D$143,0),IF('I_Budget Input Data'!$E$143="Equal",'I_Budget Input Data'!$D$143/'I_Inputs &amp; Assumptions'!$B$8,IF('I_Budget Input Data'!$E$143="Front-loaded",IF(10&lt;='I_Inputs &amp; Assumptions'!$B$8/2,'I_Budget Input Data'!$D$143*0.6/('I_Inputs &amp; Assumptions'!$B$8/2),'I_Budget Input Data'!$D$143*0.4/('I_Inputs &amp; Assumptions'!$B$8/2)),IF('I_Budget Input Data'!$E$143="Back-loaded",IF(10&lt;='I_Inputs &amp; Assumptions'!$B$8/2,'I_Budget Input Data'!$D$143*0.4/('I_Inputs &amp; Assumptions'!$B$8/2),'I_Budget Input Data'!$D$143*0.6/('I_Inputs &amp; Assumptions'!$B$8/2)),IF('I_Budget Input Data'!$E$143="Mid-weighted",IF(10&lt;='I_Inputs &amp; Assumptions'!$B$8/4,'I_Budget Input Data'!$D$143*0.2/('I_Inputs &amp; Assumptions'!$B$8/4),IF(10&lt;='I_Inputs &amp; Assumptions'!$B$8*0.75,'I_Budget Input Data'!$D$143*0.6/('I_Inputs &amp; Assumptions'!$B$8/2),'I_Budget Input Data'!$D$143*0.2/('I_Inputs &amp; Assumptions'!$B$8/4))),IF('I_Budget Input Data'!$E$143="At Completion",IF(10='I_Inputs &amp; Assumptions'!$B$8,'I_Budget Input Data'!$D$143,0),'I_Budget Input Data'!$D$143/'I_Inputs &amp; Assumptions'!$B$8)))))),0)</f>
        <v>5537.4769230769225</v>
      </c>
      <c r="M143" s="91">
        <f>IF(11&lt;='I_Inputs &amp; Assumptions'!$B$8,IF('I_Budget Input Data'!$E$143="Upfront",IF(11=1,'I_Budget Input Data'!$D$143,0),IF('I_Budget Input Data'!$E$143="Equal",'I_Budget Input Data'!$D$143/'I_Inputs &amp; Assumptions'!$B$8,IF('I_Budget Input Data'!$E$143="Front-loaded",IF(11&lt;='I_Inputs &amp; Assumptions'!$B$8/2,'I_Budget Input Data'!$D$143*0.6/('I_Inputs &amp; Assumptions'!$B$8/2),'I_Budget Input Data'!$D$143*0.4/('I_Inputs &amp; Assumptions'!$B$8/2)),IF('I_Budget Input Data'!$E$143="Back-loaded",IF(11&lt;='I_Inputs &amp; Assumptions'!$B$8/2,'I_Budget Input Data'!$D$143*0.4/('I_Inputs &amp; Assumptions'!$B$8/2),'I_Budget Input Data'!$D$143*0.6/('I_Inputs &amp; Assumptions'!$B$8/2)),IF('I_Budget Input Data'!$E$143="Mid-weighted",IF(11&lt;='I_Inputs &amp; Assumptions'!$B$8/4,'I_Budget Input Data'!$D$143*0.2/('I_Inputs &amp; Assumptions'!$B$8/4),IF(11&lt;='I_Inputs &amp; Assumptions'!$B$8*0.75,'I_Budget Input Data'!$D$143*0.6/('I_Inputs &amp; Assumptions'!$B$8/2),'I_Budget Input Data'!$D$143*0.2/('I_Inputs &amp; Assumptions'!$B$8/4))),IF('I_Budget Input Data'!$E$143="At Completion",IF(11='I_Inputs &amp; Assumptions'!$B$8,'I_Budget Input Data'!$D$143,0),'I_Budget Input Data'!$D$143/'I_Inputs &amp; Assumptions'!$B$8)))))),0)</f>
        <v>5537.4769230769225</v>
      </c>
      <c r="N143" s="91">
        <f>IF(12&lt;='I_Inputs &amp; Assumptions'!$B$8,IF('I_Budget Input Data'!$E$143="Upfront",IF(12=1,'I_Budget Input Data'!$D$143,0),IF('I_Budget Input Data'!$E$143="Equal",'I_Budget Input Data'!$D$143/'I_Inputs &amp; Assumptions'!$B$8,IF('I_Budget Input Data'!$E$143="Front-loaded",IF(12&lt;='I_Inputs &amp; Assumptions'!$B$8/2,'I_Budget Input Data'!$D$143*0.6/('I_Inputs &amp; Assumptions'!$B$8/2),'I_Budget Input Data'!$D$143*0.4/('I_Inputs &amp; Assumptions'!$B$8/2)),IF('I_Budget Input Data'!$E$143="Back-loaded",IF(12&lt;='I_Inputs &amp; Assumptions'!$B$8/2,'I_Budget Input Data'!$D$143*0.4/('I_Inputs &amp; Assumptions'!$B$8/2),'I_Budget Input Data'!$D$143*0.6/('I_Inputs &amp; Assumptions'!$B$8/2)),IF('I_Budget Input Data'!$E$143="Mid-weighted",IF(12&lt;='I_Inputs &amp; Assumptions'!$B$8/4,'I_Budget Input Data'!$D$143*0.2/('I_Inputs &amp; Assumptions'!$B$8/4),IF(12&lt;='I_Inputs &amp; Assumptions'!$B$8*0.75,'I_Budget Input Data'!$D$143*0.6/('I_Inputs &amp; Assumptions'!$B$8/2),'I_Budget Input Data'!$D$143*0.2/('I_Inputs &amp; Assumptions'!$B$8/4))),IF('I_Budget Input Data'!$E$143="At Completion",IF(12='I_Inputs &amp; Assumptions'!$B$8,'I_Budget Input Data'!$D$143,0),'I_Budget Input Data'!$D$143/'I_Inputs &amp; Assumptions'!$B$8)))))),0)</f>
        <v>5537.4769230769225</v>
      </c>
      <c r="O143" s="91">
        <f>IF(13&lt;='I_Inputs &amp; Assumptions'!$B$8,IF('I_Budget Input Data'!$E$143="Upfront",IF(13=1,'I_Budget Input Data'!$D$143,0),IF('I_Budget Input Data'!$E$143="Equal",'I_Budget Input Data'!$D$143/'I_Inputs &amp; Assumptions'!$B$8,IF('I_Budget Input Data'!$E$143="Front-loaded",IF(13&lt;='I_Inputs &amp; Assumptions'!$B$8/2,'I_Budget Input Data'!$D$143*0.6/('I_Inputs &amp; Assumptions'!$B$8/2),'I_Budget Input Data'!$D$143*0.4/('I_Inputs &amp; Assumptions'!$B$8/2)),IF('I_Budget Input Data'!$E$143="Back-loaded",IF(13&lt;='I_Inputs &amp; Assumptions'!$B$8/2,'I_Budget Input Data'!$D$143*0.4/('I_Inputs &amp; Assumptions'!$B$8/2),'I_Budget Input Data'!$D$143*0.6/('I_Inputs &amp; Assumptions'!$B$8/2)),IF('I_Budget Input Data'!$E$143="Mid-weighted",IF(13&lt;='I_Inputs &amp; Assumptions'!$B$8/4,'I_Budget Input Data'!$D$143*0.2/('I_Inputs &amp; Assumptions'!$B$8/4),IF(13&lt;='I_Inputs &amp; Assumptions'!$B$8*0.75,'I_Budget Input Data'!$D$143*0.6/('I_Inputs &amp; Assumptions'!$B$8/2),'I_Budget Input Data'!$D$143*0.2/('I_Inputs &amp; Assumptions'!$B$8/4))),IF('I_Budget Input Data'!$E$143="At Completion",IF(13='I_Inputs &amp; Assumptions'!$B$8,'I_Budget Input Data'!$D$143,0),'I_Budget Input Data'!$D$143/'I_Inputs &amp; Assumptions'!$B$8)))))),0)</f>
        <v>5537.4769230769225</v>
      </c>
      <c r="P143" s="91">
        <f>IF(14&lt;='I_Inputs &amp; Assumptions'!$B$8,IF('I_Budget Input Data'!$E$143="Upfront",IF(14=1,'I_Budget Input Data'!$D$143,0),IF('I_Budget Input Data'!$E$143="Equal",'I_Budget Input Data'!$D$143/'I_Inputs &amp; Assumptions'!$B$8,IF('I_Budget Input Data'!$E$143="Front-loaded",IF(14&lt;='I_Inputs &amp; Assumptions'!$B$8/2,'I_Budget Input Data'!$D$143*0.6/('I_Inputs &amp; Assumptions'!$B$8/2),'I_Budget Input Data'!$D$143*0.4/('I_Inputs &amp; Assumptions'!$B$8/2)),IF('I_Budget Input Data'!$E$143="Back-loaded",IF(14&lt;='I_Inputs &amp; Assumptions'!$B$8/2,'I_Budget Input Data'!$D$143*0.4/('I_Inputs &amp; Assumptions'!$B$8/2),'I_Budget Input Data'!$D$143*0.6/('I_Inputs &amp; Assumptions'!$B$8/2)),IF('I_Budget Input Data'!$E$143="Mid-weighted",IF(14&lt;='I_Inputs &amp; Assumptions'!$B$8/4,'I_Budget Input Data'!$D$143*0.2/('I_Inputs &amp; Assumptions'!$B$8/4),IF(14&lt;='I_Inputs &amp; Assumptions'!$B$8*0.75,'I_Budget Input Data'!$D$143*0.6/('I_Inputs &amp; Assumptions'!$B$8/2),'I_Budget Input Data'!$D$143*0.2/('I_Inputs &amp; Assumptions'!$B$8/4))),IF('I_Budget Input Data'!$E$143="At Completion",IF(14='I_Inputs &amp; Assumptions'!$B$8,'I_Budget Input Data'!$D$143,0),'I_Budget Input Data'!$D$143/'I_Inputs &amp; Assumptions'!$B$8)))))),0)</f>
        <v>0</v>
      </c>
      <c r="Q143" s="91">
        <f>IF(15&lt;='I_Inputs &amp; Assumptions'!$B$8,IF('I_Budget Input Data'!$E$143="Upfront",IF(15=1,'I_Budget Input Data'!$D$143,0),IF('I_Budget Input Data'!$E$143="Equal",'I_Budget Input Data'!$D$143/'I_Inputs &amp; Assumptions'!$B$8,IF('I_Budget Input Data'!$E$143="Front-loaded",IF(15&lt;='I_Inputs &amp; Assumptions'!$B$8/2,'I_Budget Input Data'!$D$143*0.6/('I_Inputs &amp; Assumptions'!$B$8/2),'I_Budget Input Data'!$D$143*0.4/('I_Inputs &amp; Assumptions'!$B$8/2)),IF('I_Budget Input Data'!$E$143="Back-loaded",IF(15&lt;='I_Inputs &amp; Assumptions'!$B$8/2,'I_Budget Input Data'!$D$143*0.4/('I_Inputs &amp; Assumptions'!$B$8/2),'I_Budget Input Data'!$D$143*0.6/('I_Inputs &amp; Assumptions'!$B$8/2)),IF('I_Budget Input Data'!$E$143="Mid-weighted",IF(15&lt;='I_Inputs &amp; Assumptions'!$B$8/4,'I_Budget Input Data'!$D$143*0.2/('I_Inputs &amp; Assumptions'!$B$8/4),IF(15&lt;='I_Inputs &amp; Assumptions'!$B$8*0.75,'I_Budget Input Data'!$D$143*0.6/('I_Inputs &amp; Assumptions'!$B$8/2),'I_Budget Input Data'!$D$143*0.2/('I_Inputs &amp; Assumptions'!$B$8/4))),IF('I_Budget Input Data'!$E$143="At Completion",IF(15='I_Inputs &amp; Assumptions'!$B$8,'I_Budget Input Data'!$D$143,0),'I_Budget Input Data'!$D$143/'I_Inputs &amp; Assumptions'!$B$8)))))),0)</f>
        <v>0</v>
      </c>
      <c r="R143" s="91">
        <f>IF(16&lt;='I_Inputs &amp; Assumptions'!$B$8,IF('I_Budget Input Data'!$E$143="Upfront",IF(16=1,'I_Budget Input Data'!$D$143,0),IF('I_Budget Input Data'!$E$143="Equal",'I_Budget Input Data'!$D$143/'I_Inputs &amp; Assumptions'!$B$8,IF('I_Budget Input Data'!$E$143="Front-loaded",IF(16&lt;='I_Inputs &amp; Assumptions'!$B$8/2,'I_Budget Input Data'!$D$143*0.6/('I_Inputs &amp; Assumptions'!$B$8/2),'I_Budget Input Data'!$D$143*0.4/('I_Inputs &amp; Assumptions'!$B$8/2)),IF('I_Budget Input Data'!$E$143="Back-loaded",IF(16&lt;='I_Inputs &amp; Assumptions'!$B$8/2,'I_Budget Input Data'!$D$143*0.4/('I_Inputs &amp; Assumptions'!$B$8/2),'I_Budget Input Data'!$D$143*0.6/('I_Inputs &amp; Assumptions'!$B$8/2)),IF('I_Budget Input Data'!$E$143="Mid-weighted",IF(16&lt;='I_Inputs &amp; Assumptions'!$B$8/4,'I_Budget Input Data'!$D$143*0.2/('I_Inputs &amp; Assumptions'!$B$8/4),IF(16&lt;='I_Inputs &amp; Assumptions'!$B$8*0.75,'I_Budget Input Data'!$D$143*0.6/('I_Inputs &amp; Assumptions'!$B$8/2),'I_Budget Input Data'!$D$143*0.2/('I_Inputs &amp; Assumptions'!$B$8/4))),IF('I_Budget Input Data'!$E$143="At Completion",IF(16='I_Inputs &amp; Assumptions'!$B$8,'I_Budget Input Data'!$D$143,0),'I_Budget Input Data'!$D$143/'I_Inputs &amp; Assumptions'!$B$8)))))),0)</f>
        <v>0</v>
      </c>
      <c r="S143" s="91">
        <f>IF(17&lt;='I_Inputs &amp; Assumptions'!$B$8,IF('I_Budget Input Data'!$E$143="Upfront",IF(17=1,'I_Budget Input Data'!$D$143,0),IF('I_Budget Input Data'!$E$143="Equal",'I_Budget Input Data'!$D$143/'I_Inputs &amp; Assumptions'!$B$8,IF('I_Budget Input Data'!$E$143="Front-loaded",IF(17&lt;='I_Inputs &amp; Assumptions'!$B$8/2,'I_Budget Input Data'!$D$143*0.6/('I_Inputs &amp; Assumptions'!$B$8/2),'I_Budget Input Data'!$D$143*0.4/('I_Inputs &amp; Assumptions'!$B$8/2)),IF('I_Budget Input Data'!$E$143="Back-loaded",IF(17&lt;='I_Inputs &amp; Assumptions'!$B$8/2,'I_Budget Input Data'!$D$143*0.4/('I_Inputs &amp; Assumptions'!$B$8/2),'I_Budget Input Data'!$D$143*0.6/('I_Inputs &amp; Assumptions'!$B$8/2)),IF('I_Budget Input Data'!$E$143="Mid-weighted",IF(17&lt;='I_Inputs &amp; Assumptions'!$B$8/4,'I_Budget Input Data'!$D$143*0.2/('I_Inputs &amp; Assumptions'!$B$8/4),IF(17&lt;='I_Inputs &amp; Assumptions'!$B$8*0.75,'I_Budget Input Data'!$D$143*0.6/('I_Inputs &amp; Assumptions'!$B$8/2),'I_Budget Input Data'!$D$143*0.2/('I_Inputs &amp; Assumptions'!$B$8/4))),IF('I_Budget Input Data'!$E$143="At Completion",IF(17='I_Inputs &amp; Assumptions'!$B$8,'I_Budget Input Data'!$D$143,0),'I_Budget Input Data'!$D$143/'I_Inputs &amp; Assumptions'!$B$8)))))),0)</f>
        <v>0</v>
      </c>
      <c r="T143" s="91">
        <f>IF(18&lt;='I_Inputs &amp; Assumptions'!$B$8,IF('I_Budget Input Data'!$E$143="Upfront",IF(18=1,'I_Budget Input Data'!$D$143,0),IF('I_Budget Input Data'!$E$143="Equal",'I_Budget Input Data'!$D$143/'I_Inputs &amp; Assumptions'!$B$8,IF('I_Budget Input Data'!$E$143="Front-loaded",IF(18&lt;='I_Inputs &amp; Assumptions'!$B$8/2,'I_Budget Input Data'!$D$143*0.6/('I_Inputs &amp; Assumptions'!$B$8/2),'I_Budget Input Data'!$D$143*0.4/('I_Inputs &amp; Assumptions'!$B$8/2)),IF('I_Budget Input Data'!$E$143="Back-loaded",IF(18&lt;='I_Inputs &amp; Assumptions'!$B$8/2,'I_Budget Input Data'!$D$143*0.4/('I_Inputs &amp; Assumptions'!$B$8/2),'I_Budget Input Data'!$D$143*0.6/('I_Inputs &amp; Assumptions'!$B$8/2)),IF('I_Budget Input Data'!$E$143="Mid-weighted",IF(18&lt;='I_Inputs &amp; Assumptions'!$B$8/4,'I_Budget Input Data'!$D$143*0.2/('I_Inputs &amp; Assumptions'!$B$8/4),IF(18&lt;='I_Inputs &amp; Assumptions'!$B$8*0.75,'I_Budget Input Data'!$D$143*0.6/('I_Inputs &amp; Assumptions'!$B$8/2),'I_Budget Input Data'!$D$143*0.2/('I_Inputs &amp; Assumptions'!$B$8/4))),IF('I_Budget Input Data'!$E$143="At Completion",IF(18='I_Inputs &amp; Assumptions'!$B$8,'I_Budget Input Data'!$D$143,0),'I_Budget Input Data'!$D$143/'I_Inputs &amp; Assumptions'!$B$8)))))),0)</f>
        <v>0</v>
      </c>
      <c r="U143" s="91">
        <f>IF(19&lt;='I_Inputs &amp; Assumptions'!$B$8,IF('I_Budget Input Data'!$E$143="Upfront",IF(19=1,'I_Budget Input Data'!$D$143,0),IF('I_Budget Input Data'!$E$143="Equal",'I_Budget Input Data'!$D$143/'I_Inputs &amp; Assumptions'!$B$8,IF('I_Budget Input Data'!$E$143="Front-loaded",IF(19&lt;='I_Inputs &amp; Assumptions'!$B$8/2,'I_Budget Input Data'!$D$143*0.6/('I_Inputs &amp; Assumptions'!$B$8/2),'I_Budget Input Data'!$D$143*0.4/('I_Inputs &amp; Assumptions'!$B$8/2)),IF('I_Budget Input Data'!$E$143="Back-loaded",IF(19&lt;='I_Inputs &amp; Assumptions'!$B$8/2,'I_Budget Input Data'!$D$143*0.4/('I_Inputs &amp; Assumptions'!$B$8/2),'I_Budget Input Data'!$D$143*0.6/('I_Inputs &amp; Assumptions'!$B$8/2)),IF('I_Budget Input Data'!$E$143="Mid-weighted",IF(19&lt;='I_Inputs &amp; Assumptions'!$B$8/4,'I_Budget Input Data'!$D$143*0.2/('I_Inputs &amp; Assumptions'!$B$8/4),IF(19&lt;='I_Inputs &amp; Assumptions'!$B$8*0.75,'I_Budget Input Data'!$D$143*0.6/('I_Inputs &amp; Assumptions'!$B$8/2),'I_Budget Input Data'!$D$143*0.2/('I_Inputs &amp; Assumptions'!$B$8/4))),IF('I_Budget Input Data'!$E$143="At Completion",IF(19='I_Inputs &amp; Assumptions'!$B$8,'I_Budget Input Data'!$D$143,0),'I_Budget Input Data'!$D$143/'I_Inputs &amp; Assumptions'!$B$8)))))),0)</f>
        <v>0</v>
      </c>
      <c r="V143" s="91">
        <f>IF(20&lt;='I_Inputs &amp; Assumptions'!$B$8,IF('I_Budget Input Data'!$E$143="Upfront",IF(20=1,'I_Budget Input Data'!$D$143,0),IF('I_Budget Input Data'!$E$143="Equal",'I_Budget Input Data'!$D$143/'I_Inputs &amp; Assumptions'!$B$8,IF('I_Budget Input Data'!$E$143="Front-loaded",IF(20&lt;='I_Inputs &amp; Assumptions'!$B$8/2,'I_Budget Input Data'!$D$143*0.6/('I_Inputs &amp; Assumptions'!$B$8/2),'I_Budget Input Data'!$D$143*0.4/('I_Inputs &amp; Assumptions'!$B$8/2)),IF('I_Budget Input Data'!$E$143="Back-loaded",IF(20&lt;='I_Inputs &amp; Assumptions'!$B$8/2,'I_Budget Input Data'!$D$143*0.4/('I_Inputs &amp; Assumptions'!$B$8/2),'I_Budget Input Data'!$D$143*0.6/('I_Inputs &amp; Assumptions'!$B$8/2)),IF('I_Budget Input Data'!$E$143="Mid-weighted",IF(20&lt;='I_Inputs &amp; Assumptions'!$B$8/4,'I_Budget Input Data'!$D$143*0.2/('I_Inputs &amp; Assumptions'!$B$8/4),IF(20&lt;='I_Inputs &amp; Assumptions'!$B$8*0.75,'I_Budget Input Data'!$D$143*0.6/('I_Inputs &amp; Assumptions'!$B$8/2),'I_Budget Input Data'!$D$143*0.2/('I_Inputs &amp; Assumptions'!$B$8/4))),IF('I_Budget Input Data'!$E$143="At Completion",IF(20='I_Inputs &amp; Assumptions'!$B$8,'I_Budget Input Data'!$D$143,0),'I_Budget Input Data'!$D$143/'I_Inputs &amp; Assumptions'!$B$8)))))),0)</f>
        <v>0</v>
      </c>
      <c r="W143" s="91">
        <f>IF(21&lt;='I_Inputs &amp; Assumptions'!$B$8,IF('I_Budget Input Data'!$E$143="Upfront",IF(21=1,'I_Budget Input Data'!$D$143,0),IF('I_Budget Input Data'!$E$143="Equal",'I_Budget Input Data'!$D$143/'I_Inputs &amp; Assumptions'!$B$8,IF('I_Budget Input Data'!$E$143="Front-loaded",IF(21&lt;='I_Inputs &amp; Assumptions'!$B$8/2,'I_Budget Input Data'!$D$143*0.6/('I_Inputs &amp; Assumptions'!$B$8/2),'I_Budget Input Data'!$D$143*0.4/('I_Inputs &amp; Assumptions'!$B$8/2)),IF('I_Budget Input Data'!$E$143="Back-loaded",IF(21&lt;='I_Inputs &amp; Assumptions'!$B$8/2,'I_Budget Input Data'!$D$143*0.4/('I_Inputs &amp; Assumptions'!$B$8/2),'I_Budget Input Data'!$D$143*0.6/('I_Inputs &amp; Assumptions'!$B$8/2)),IF('I_Budget Input Data'!$E$143="Mid-weighted",IF(21&lt;='I_Inputs &amp; Assumptions'!$B$8/4,'I_Budget Input Data'!$D$143*0.2/('I_Inputs &amp; Assumptions'!$B$8/4),IF(21&lt;='I_Inputs &amp; Assumptions'!$B$8*0.75,'I_Budget Input Data'!$D$143*0.6/('I_Inputs &amp; Assumptions'!$B$8/2),'I_Budget Input Data'!$D$143*0.2/('I_Inputs &amp; Assumptions'!$B$8/4))),IF('I_Budget Input Data'!$E$143="At Completion",IF(21='I_Inputs &amp; Assumptions'!$B$8,'I_Budget Input Data'!$D$143,0),'I_Budget Input Data'!$D$143/'I_Inputs &amp; Assumptions'!$B$8)))))),0)</f>
        <v>0</v>
      </c>
      <c r="X143" s="91">
        <f>IF(22&lt;='I_Inputs &amp; Assumptions'!$B$8,IF('I_Budget Input Data'!$E$143="Upfront",IF(22=1,'I_Budget Input Data'!$D$143,0),IF('I_Budget Input Data'!$E$143="Equal",'I_Budget Input Data'!$D$143/'I_Inputs &amp; Assumptions'!$B$8,IF('I_Budget Input Data'!$E$143="Front-loaded",IF(22&lt;='I_Inputs &amp; Assumptions'!$B$8/2,'I_Budget Input Data'!$D$143*0.6/('I_Inputs &amp; Assumptions'!$B$8/2),'I_Budget Input Data'!$D$143*0.4/('I_Inputs &amp; Assumptions'!$B$8/2)),IF('I_Budget Input Data'!$E$143="Back-loaded",IF(22&lt;='I_Inputs &amp; Assumptions'!$B$8/2,'I_Budget Input Data'!$D$143*0.4/('I_Inputs &amp; Assumptions'!$B$8/2),'I_Budget Input Data'!$D$143*0.6/('I_Inputs &amp; Assumptions'!$B$8/2)),IF('I_Budget Input Data'!$E$143="Mid-weighted",IF(22&lt;='I_Inputs &amp; Assumptions'!$B$8/4,'I_Budget Input Data'!$D$143*0.2/('I_Inputs &amp; Assumptions'!$B$8/4),IF(22&lt;='I_Inputs &amp; Assumptions'!$B$8*0.75,'I_Budget Input Data'!$D$143*0.6/('I_Inputs &amp; Assumptions'!$B$8/2),'I_Budget Input Data'!$D$143*0.2/('I_Inputs &amp; Assumptions'!$B$8/4))),IF('I_Budget Input Data'!$E$143="At Completion",IF(22='I_Inputs &amp; Assumptions'!$B$8,'I_Budget Input Data'!$D$143,0),'I_Budget Input Data'!$D$143/'I_Inputs &amp; Assumptions'!$B$8)))))),0)</f>
        <v>0</v>
      </c>
      <c r="Y143" s="91">
        <f>IF(23&lt;='I_Inputs &amp; Assumptions'!$B$8,IF('I_Budget Input Data'!$E$143="Upfront",IF(23=1,'I_Budget Input Data'!$D$143,0),IF('I_Budget Input Data'!$E$143="Equal",'I_Budget Input Data'!$D$143/'I_Inputs &amp; Assumptions'!$B$8,IF('I_Budget Input Data'!$E$143="Front-loaded",IF(23&lt;='I_Inputs &amp; Assumptions'!$B$8/2,'I_Budget Input Data'!$D$143*0.6/('I_Inputs &amp; Assumptions'!$B$8/2),'I_Budget Input Data'!$D$143*0.4/('I_Inputs &amp; Assumptions'!$B$8/2)),IF('I_Budget Input Data'!$E$143="Back-loaded",IF(23&lt;='I_Inputs &amp; Assumptions'!$B$8/2,'I_Budget Input Data'!$D$143*0.4/('I_Inputs &amp; Assumptions'!$B$8/2),'I_Budget Input Data'!$D$143*0.6/('I_Inputs &amp; Assumptions'!$B$8/2)),IF('I_Budget Input Data'!$E$143="Mid-weighted",IF(23&lt;='I_Inputs &amp; Assumptions'!$B$8/4,'I_Budget Input Data'!$D$143*0.2/('I_Inputs &amp; Assumptions'!$B$8/4),IF(23&lt;='I_Inputs &amp; Assumptions'!$B$8*0.75,'I_Budget Input Data'!$D$143*0.6/('I_Inputs &amp; Assumptions'!$B$8/2),'I_Budget Input Data'!$D$143*0.2/('I_Inputs &amp; Assumptions'!$B$8/4))),IF('I_Budget Input Data'!$E$143="At Completion",IF(23='I_Inputs &amp; Assumptions'!$B$8,'I_Budget Input Data'!$D$143,0),'I_Budget Input Data'!$D$143/'I_Inputs &amp; Assumptions'!$B$8)))))),0)</f>
        <v>0</v>
      </c>
      <c r="Z143" s="91">
        <f>IF(24&lt;='I_Inputs &amp; Assumptions'!$B$8,IF('I_Budget Input Data'!$E$143="Upfront",IF(24=1,'I_Budget Input Data'!$D$143,0),IF('I_Budget Input Data'!$E$143="Equal",'I_Budget Input Data'!$D$143/'I_Inputs &amp; Assumptions'!$B$8,IF('I_Budget Input Data'!$E$143="Front-loaded",IF(24&lt;='I_Inputs &amp; Assumptions'!$B$8/2,'I_Budget Input Data'!$D$143*0.6/('I_Inputs &amp; Assumptions'!$B$8/2),'I_Budget Input Data'!$D$143*0.4/('I_Inputs &amp; Assumptions'!$B$8/2)),IF('I_Budget Input Data'!$E$143="Back-loaded",IF(24&lt;='I_Inputs &amp; Assumptions'!$B$8/2,'I_Budget Input Data'!$D$143*0.4/('I_Inputs &amp; Assumptions'!$B$8/2),'I_Budget Input Data'!$D$143*0.6/('I_Inputs &amp; Assumptions'!$B$8/2)),IF('I_Budget Input Data'!$E$143="Mid-weighted",IF(24&lt;='I_Inputs &amp; Assumptions'!$B$8/4,'I_Budget Input Data'!$D$143*0.2/('I_Inputs &amp; Assumptions'!$B$8/4),IF(24&lt;='I_Inputs &amp; Assumptions'!$B$8*0.75,'I_Budget Input Data'!$D$143*0.6/('I_Inputs &amp; Assumptions'!$B$8/2),'I_Budget Input Data'!$D$143*0.2/('I_Inputs &amp; Assumptions'!$B$8/4))),IF('I_Budget Input Data'!$E$143="At Completion",IF(24='I_Inputs &amp; Assumptions'!$B$8,'I_Budget Input Data'!$D$143,0),'I_Budget Input Data'!$D$143/'I_Inputs &amp; Assumptions'!$B$8)))))),0)</f>
        <v>0</v>
      </c>
      <c r="AA143" s="91">
        <f>IF(25&lt;='I_Inputs &amp; Assumptions'!$B$8,IF('I_Budget Input Data'!$E$143="Upfront",IF(25=1,'I_Budget Input Data'!$D$143,0),IF('I_Budget Input Data'!$E$143="Equal",'I_Budget Input Data'!$D$143/'I_Inputs &amp; Assumptions'!$B$8,IF('I_Budget Input Data'!$E$143="Front-loaded",IF(25&lt;='I_Inputs &amp; Assumptions'!$B$8/2,'I_Budget Input Data'!$D$143*0.6/('I_Inputs &amp; Assumptions'!$B$8/2),'I_Budget Input Data'!$D$143*0.4/('I_Inputs &amp; Assumptions'!$B$8/2)),IF('I_Budget Input Data'!$E$143="Back-loaded",IF(25&lt;='I_Inputs &amp; Assumptions'!$B$8/2,'I_Budget Input Data'!$D$143*0.4/('I_Inputs &amp; Assumptions'!$B$8/2),'I_Budget Input Data'!$D$143*0.6/('I_Inputs &amp; Assumptions'!$B$8/2)),IF('I_Budget Input Data'!$E$143="Mid-weighted",IF(25&lt;='I_Inputs &amp; Assumptions'!$B$8/4,'I_Budget Input Data'!$D$143*0.2/('I_Inputs &amp; Assumptions'!$B$8/4),IF(25&lt;='I_Inputs &amp; Assumptions'!$B$8*0.75,'I_Budget Input Data'!$D$143*0.6/('I_Inputs &amp; Assumptions'!$B$8/2),'I_Budget Input Data'!$D$143*0.2/('I_Inputs &amp; Assumptions'!$B$8/4))),IF('I_Budget Input Data'!$E$143="At Completion",IF(25='I_Inputs &amp; Assumptions'!$B$8,'I_Budget Input Data'!$D$143,0),'I_Budget Input Data'!$D$143/'I_Inputs &amp; Assumptions'!$B$8)))))),0)</f>
        <v>0</v>
      </c>
      <c r="AB143" s="91">
        <f>IF(26&lt;='I_Inputs &amp; Assumptions'!$B$8,IF('I_Budget Input Data'!$E$143="Upfront",IF(26=1,'I_Budget Input Data'!$D$143,0),IF('I_Budget Input Data'!$E$143="Equal",'I_Budget Input Data'!$D$143/'I_Inputs &amp; Assumptions'!$B$8,IF('I_Budget Input Data'!$E$143="Front-loaded",IF(26&lt;='I_Inputs &amp; Assumptions'!$B$8/2,'I_Budget Input Data'!$D$143*0.6/('I_Inputs &amp; Assumptions'!$B$8/2),'I_Budget Input Data'!$D$143*0.4/('I_Inputs &amp; Assumptions'!$B$8/2)),IF('I_Budget Input Data'!$E$143="Back-loaded",IF(26&lt;='I_Inputs &amp; Assumptions'!$B$8/2,'I_Budget Input Data'!$D$143*0.4/('I_Inputs &amp; Assumptions'!$B$8/2),'I_Budget Input Data'!$D$143*0.6/('I_Inputs &amp; Assumptions'!$B$8/2)),IF('I_Budget Input Data'!$E$143="Mid-weighted",IF(26&lt;='I_Inputs &amp; Assumptions'!$B$8/4,'I_Budget Input Data'!$D$143*0.2/('I_Inputs &amp; Assumptions'!$B$8/4),IF(26&lt;='I_Inputs &amp; Assumptions'!$B$8*0.75,'I_Budget Input Data'!$D$143*0.6/('I_Inputs &amp; Assumptions'!$B$8/2),'I_Budget Input Data'!$D$143*0.2/('I_Inputs &amp; Assumptions'!$B$8/4))),IF('I_Budget Input Data'!$E$143="At Completion",IF(26='I_Inputs &amp; Assumptions'!$B$8,'I_Budget Input Data'!$D$143,0),'I_Budget Input Data'!$D$143/'I_Inputs &amp; Assumptions'!$B$8)))))),0)</f>
        <v>0</v>
      </c>
      <c r="AC143" s="91">
        <f>IF(27&lt;='I_Inputs &amp; Assumptions'!$B$8,IF('I_Budget Input Data'!$E$143="Upfront",IF(27=1,'I_Budget Input Data'!$D$143,0),IF('I_Budget Input Data'!$E$143="Equal",'I_Budget Input Data'!$D$143/'I_Inputs &amp; Assumptions'!$B$8,IF('I_Budget Input Data'!$E$143="Front-loaded",IF(27&lt;='I_Inputs &amp; Assumptions'!$B$8/2,'I_Budget Input Data'!$D$143*0.6/('I_Inputs &amp; Assumptions'!$B$8/2),'I_Budget Input Data'!$D$143*0.4/('I_Inputs &amp; Assumptions'!$B$8/2)),IF('I_Budget Input Data'!$E$143="Back-loaded",IF(27&lt;='I_Inputs &amp; Assumptions'!$B$8/2,'I_Budget Input Data'!$D$143*0.4/('I_Inputs &amp; Assumptions'!$B$8/2),'I_Budget Input Data'!$D$143*0.6/('I_Inputs &amp; Assumptions'!$B$8/2)),IF('I_Budget Input Data'!$E$143="Mid-weighted",IF(27&lt;='I_Inputs &amp; Assumptions'!$B$8/4,'I_Budget Input Data'!$D$143*0.2/('I_Inputs &amp; Assumptions'!$B$8/4),IF(27&lt;='I_Inputs &amp; Assumptions'!$B$8*0.75,'I_Budget Input Data'!$D$143*0.6/('I_Inputs &amp; Assumptions'!$B$8/2),'I_Budget Input Data'!$D$143*0.2/('I_Inputs &amp; Assumptions'!$B$8/4))),IF('I_Budget Input Data'!$E$143="At Completion",IF(27='I_Inputs &amp; Assumptions'!$B$8,'I_Budget Input Data'!$D$143,0),'I_Budget Input Data'!$D$143/'I_Inputs &amp; Assumptions'!$B$8)))))),0)</f>
        <v>0</v>
      </c>
      <c r="AD143" s="91">
        <f>IF(28&lt;='I_Inputs &amp; Assumptions'!$B$8,IF('I_Budget Input Data'!$E$143="Upfront",IF(28=1,'I_Budget Input Data'!$D$143,0),IF('I_Budget Input Data'!$E$143="Equal",'I_Budget Input Data'!$D$143/'I_Inputs &amp; Assumptions'!$B$8,IF('I_Budget Input Data'!$E$143="Front-loaded",IF(28&lt;='I_Inputs &amp; Assumptions'!$B$8/2,'I_Budget Input Data'!$D$143*0.6/('I_Inputs &amp; Assumptions'!$B$8/2),'I_Budget Input Data'!$D$143*0.4/('I_Inputs &amp; Assumptions'!$B$8/2)),IF('I_Budget Input Data'!$E$143="Back-loaded",IF(28&lt;='I_Inputs &amp; Assumptions'!$B$8/2,'I_Budget Input Data'!$D$143*0.4/('I_Inputs &amp; Assumptions'!$B$8/2),'I_Budget Input Data'!$D$143*0.6/('I_Inputs &amp; Assumptions'!$B$8/2)),IF('I_Budget Input Data'!$E$143="Mid-weighted",IF(28&lt;='I_Inputs &amp; Assumptions'!$B$8/4,'I_Budget Input Data'!$D$143*0.2/('I_Inputs &amp; Assumptions'!$B$8/4),IF(28&lt;='I_Inputs &amp; Assumptions'!$B$8*0.75,'I_Budget Input Data'!$D$143*0.6/('I_Inputs &amp; Assumptions'!$B$8/2),'I_Budget Input Data'!$D$143*0.2/('I_Inputs &amp; Assumptions'!$B$8/4))),IF('I_Budget Input Data'!$E$143="At Completion",IF(28='I_Inputs &amp; Assumptions'!$B$8,'I_Budget Input Data'!$D$143,0),'I_Budget Input Data'!$D$143/'I_Inputs &amp; Assumptions'!$B$8)))))),0)</f>
        <v>0</v>
      </c>
      <c r="AE143" s="91">
        <f>IF(29&lt;='I_Inputs &amp; Assumptions'!$B$8,IF('I_Budget Input Data'!$E$143="Upfront",IF(29=1,'I_Budget Input Data'!$D$143,0),IF('I_Budget Input Data'!$E$143="Equal",'I_Budget Input Data'!$D$143/'I_Inputs &amp; Assumptions'!$B$8,IF('I_Budget Input Data'!$E$143="Front-loaded",IF(29&lt;='I_Inputs &amp; Assumptions'!$B$8/2,'I_Budget Input Data'!$D$143*0.6/('I_Inputs &amp; Assumptions'!$B$8/2),'I_Budget Input Data'!$D$143*0.4/('I_Inputs &amp; Assumptions'!$B$8/2)),IF('I_Budget Input Data'!$E$143="Back-loaded",IF(29&lt;='I_Inputs &amp; Assumptions'!$B$8/2,'I_Budget Input Data'!$D$143*0.4/('I_Inputs &amp; Assumptions'!$B$8/2),'I_Budget Input Data'!$D$143*0.6/('I_Inputs &amp; Assumptions'!$B$8/2)),IF('I_Budget Input Data'!$E$143="Mid-weighted",IF(29&lt;='I_Inputs &amp; Assumptions'!$B$8/4,'I_Budget Input Data'!$D$143*0.2/('I_Inputs &amp; Assumptions'!$B$8/4),IF(29&lt;='I_Inputs &amp; Assumptions'!$B$8*0.75,'I_Budget Input Data'!$D$143*0.6/('I_Inputs &amp; Assumptions'!$B$8/2),'I_Budget Input Data'!$D$143*0.2/('I_Inputs &amp; Assumptions'!$B$8/4))),IF('I_Budget Input Data'!$E$143="At Completion",IF(29='I_Inputs &amp; Assumptions'!$B$8,'I_Budget Input Data'!$D$143,0),'I_Budget Input Data'!$D$143/'I_Inputs &amp; Assumptions'!$B$8)))))),0)</f>
        <v>0</v>
      </c>
      <c r="AF143" s="91">
        <f>IF(30&lt;='I_Inputs &amp; Assumptions'!$B$8,IF('I_Budget Input Data'!$E$143="Upfront",IF(30=1,'I_Budget Input Data'!$D$143,0),IF('I_Budget Input Data'!$E$143="Equal",'I_Budget Input Data'!$D$143/'I_Inputs &amp; Assumptions'!$B$8,IF('I_Budget Input Data'!$E$143="Front-loaded",IF(30&lt;='I_Inputs &amp; Assumptions'!$B$8/2,'I_Budget Input Data'!$D$143*0.6/('I_Inputs &amp; Assumptions'!$B$8/2),'I_Budget Input Data'!$D$143*0.4/('I_Inputs &amp; Assumptions'!$B$8/2)),IF('I_Budget Input Data'!$E$143="Back-loaded",IF(30&lt;='I_Inputs &amp; Assumptions'!$B$8/2,'I_Budget Input Data'!$D$143*0.4/('I_Inputs &amp; Assumptions'!$B$8/2),'I_Budget Input Data'!$D$143*0.6/('I_Inputs &amp; Assumptions'!$B$8/2)),IF('I_Budget Input Data'!$E$143="Mid-weighted",IF(30&lt;='I_Inputs &amp; Assumptions'!$B$8/4,'I_Budget Input Data'!$D$143*0.2/('I_Inputs &amp; Assumptions'!$B$8/4),IF(30&lt;='I_Inputs &amp; Assumptions'!$B$8*0.75,'I_Budget Input Data'!$D$143*0.6/('I_Inputs &amp; Assumptions'!$B$8/2),'I_Budget Input Data'!$D$143*0.2/('I_Inputs &amp; Assumptions'!$B$8/4))),IF('I_Budget Input Data'!$E$143="At Completion",IF(30='I_Inputs &amp; Assumptions'!$B$8,'I_Budget Input Data'!$D$143,0),'I_Budget Input Data'!$D$143/'I_Inputs &amp; Assumptions'!$B$8)))))),0)</f>
        <v>0</v>
      </c>
      <c r="AG143" s="91">
        <f>IF(31&lt;='I_Inputs &amp; Assumptions'!$B$8,IF('I_Budget Input Data'!$E$143="Upfront",IF(31=1,'I_Budget Input Data'!$D$143,0),IF('I_Budget Input Data'!$E$143="Equal",'I_Budget Input Data'!$D$143/'I_Inputs &amp; Assumptions'!$B$8,IF('I_Budget Input Data'!$E$143="Front-loaded",IF(31&lt;='I_Inputs &amp; Assumptions'!$B$8/2,'I_Budget Input Data'!$D$143*0.6/('I_Inputs &amp; Assumptions'!$B$8/2),'I_Budget Input Data'!$D$143*0.4/('I_Inputs &amp; Assumptions'!$B$8/2)),IF('I_Budget Input Data'!$E$143="Back-loaded",IF(31&lt;='I_Inputs &amp; Assumptions'!$B$8/2,'I_Budget Input Data'!$D$143*0.4/('I_Inputs &amp; Assumptions'!$B$8/2),'I_Budget Input Data'!$D$143*0.6/('I_Inputs &amp; Assumptions'!$B$8/2)),IF('I_Budget Input Data'!$E$143="Mid-weighted",IF(31&lt;='I_Inputs &amp; Assumptions'!$B$8/4,'I_Budget Input Data'!$D$143*0.2/('I_Inputs &amp; Assumptions'!$B$8/4),IF(31&lt;='I_Inputs &amp; Assumptions'!$B$8*0.75,'I_Budget Input Data'!$D$143*0.6/('I_Inputs &amp; Assumptions'!$B$8/2),'I_Budget Input Data'!$D$143*0.2/('I_Inputs &amp; Assumptions'!$B$8/4))),IF('I_Budget Input Data'!$E$143="At Completion",IF(31='I_Inputs &amp; Assumptions'!$B$8,'I_Budget Input Data'!$D$143,0),'I_Budget Input Data'!$D$143/'I_Inputs &amp; Assumptions'!$B$8)))))),0)</f>
        <v>0</v>
      </c>
      <c r="AH143" s="91">
        <f>IF(32&lt;='I_Inputs &amp; Assumptions'!$B$8,IF('I_Budget Input Data'!$E$143="Upfront",IF(32=1,'I_Budget Input Data'!$D$143,0),IF('I_Budget Input Data'!$E$143="Equal",'I_Budget Input Data'!$D$143/'I_Inputs &amp; Assumptions'!$B$8,IF('I_Budget Input Data'!$E$143="Front-loaded",IF(32&lt;='I_Inputs &amp; Assumptions'!$B$8/2,'I_Budget Input Data'!$D$143*0.6/('I_Inputs &amp; Assumptions'!$B$8/2),'I_Budget Input Data'!$D$143*0.4/('I_Inputs &amp; Assumptions'!$B$8/2)),IF('I_Budget Input Data'!$E$143="Back-loaded",IF(32&lt;='I_Inputs &amp; Assumptions'!$B$8/2,'I_Budget Input Data'!$D$143*0.4/('I_Inputs &amp; Assumptions'!$B$8/2),'I_Budget Input Data'!$D$143*0.6/('I_Inputs &amp; Assumptions'!$B$8/2)),IF('I_Budget Input Data'!$E$143="Mid-weighted",IF(32&lt;='I_Inputs &amp; Assumptions'!$B$8/4,'I_Budget Input Data'!$D$143*0.2/('I_Inputs &amp; Assumptions'!$B$8/4),IF(32&lt;='I_Inputs &amp; Assumptions'!$B$8*0.75,'I_Budget Input Data'!$D$143*0.6/('I_Inputs &amp; Assumptions'!$B$8/2),'I_Budget Input Data'!$D$143*0.2/('I_Inputs &amp; Assumptions'!$B$8/4))),IF('I_Budget Input Data'!$E$143="At Completion",IF(32='I_Inputs &amp; Assumptions'!$B$8,'I_Budget Input Data'!$D$143,0),'I_Budget Input Data'!$D$143/'I_Inputs &amp; Assumptions'!$B$8)))))),0)</f>
        <v>0</v>
      </c>
      <c r="AI143" s="91">
        <f>IF(33&lt;='I_Inputs &amp; Assumptions'!$B$8,IF('I_Budget Input Data'!$E$143="Upfront",IF(33=1,'I_Budget Input Data'!$D$143,0),IF('I_Budget Input Data'!$E$143="Equal",'I_Budget Input Data'!$D$143/'I_Inputs &amp; Assumptions'!$B$8,IF('I_Budget Input Data'!$E$143="Front-loaded",IF(33&lt;='I_Inputs &amp; Assumptions'!$B$8/2,'I_Budget Input Data'!$D$143*0.6/('I_Inputs &amp; Assumptions'!$B$8/2),'I_Budget Input Data'!$D$143*0.4/('I_Inputs &amp; Assumptions'!$B$8/2)),IF('I_Budget Input Data'!$E$143="Back-loaded",IF(33&lt;='I_Inputs &amp; Assumptions'!$B$8/2,'I_Budget Input Data'!$D$143*0.4/('I_Inputs &amp; Assumptions'!$B$8/2),'I_Budget Input Data'!$D$143*0.6/('I_Inputs &amp; Assumptions'!$B$8/2)),IF('I_Budget Input Data'!$E$143="Mid-weighted",IF(33&lt;='I_Inputs &amp; Assumptions'!$B$8/4,'I_Budget Input Data'!$D$143*0.2/('I_Inputs &amp; Assumptions'!$B$8/4),IF(33&lt;='I_Inputs &amp; Assumptions'!$B$8*0.75,'I_Budget Input Data'!$D$143*0.6/('I_Inputs &amp; Assumptions'!$B$8/2),'I_Budget Input Data'!$D$143*0.2/('I_Inputs &amp; Assumptions'!$B$8/4))),IF('I_Budget Input Data'!$E$143="At Completion",IF(33='I_Inputs &amp; Assumptions'!$B$8,'I_Budget Input Data'!$D$143,0),'I_Budget Input Data'!$D$143/'I_Inputs &amp; Assumptions'!$B$8)))))),0)</f>
        <v>0</v>
      </c>
      <c r="AJ143" s="91">
        <f>IF(34&lt;='I_Inputs &amp; Assumptions'!$B$8,IF('I_Budget Input Data'!$E$143="Upfront",IF(34=1,'I_Budget Input Data'!$D$143,0),IF('I_Budget Input Data'!$E$143="Equal",'I_Budget Input Data'!$D$143/'I_Inputs &amp; Assumptions'!$B$8,IF('I_Budget Input Data'!$E$143="Front-loaded",IF(34&lt;='I_Inputs &amp; Assumptions'!$B$8/2,'I_Budget Input Data'!$D$143*0.6/('I_Inputs &amp; Assumptions'!$B$8/2),'I_Budget Input Data'!$D$143*0.4/('I_Inputs &amp; Assumptions'!$B$8/2)),IF('I_Budget Input Data'!$E$143="Back-loaded",IF(34&lt;='I_Inputs &amp; Assumptions'!$B$8/2,'I_Budget Input Data'!$D$143*0.4/('I_Inputs &amp; Assumptions'!$B$8/2),'I_Budget Input Data'!$D$143*0.6/('I_Inputs &amp; Assumptions'!$B$8/2)),IF('I_Budget Input Data'!$E$143="Mid-weighted",IF(34&lt;='I_Inputs &amp; Assumptions'!$B$8/4,'I_Budget Input Data'!$D$143*0.2/('I_Inputs &amp; Assumptions'!$B$8/4),IF(34&lt;='I_Inputs &amp; Assumptions'!$B$8*0.75,'I_Budget Input Data'!$D$143*0.6/('I_Inputs &amp; Assumptions'!$B$8/2),'I_Budget Input Data'!$D$143*0.2/('I_Inputs &amp; Assumptions'!$B$8/4))),IF('I_Budget Input Data'!$E$143="At Completion",IF(34='I_Inputs &amp; Assumptions'!$B$8,'I_Budget Input Data'!$D$143,0),'I_Budget Input Data'!$D$143/'I_Inputs &amp; Assumptions'!$B$8)))))),0)</f>
        <v>0</v>
      </c>
      <c r="AK143" s="91">
        <f>IF(35&lt;='I_Inputs &amp; Assumptions'!$B$8,IF('I_Budget Input Data'!$E$143="Upfront",IF(35=1,'I_Budget Input Data'!$D$143,0),IF('I_Budget Input Data'!$E$143="Equal",'I_Budget Input Data'!$D$143/'I_Inputs &amp; Assumptions'!$B$8,IF('I_Budget Input Data'!$E$143="Front-loaded",IF(35&lt;='I_Inputs &amp; Assumptions'!$B$8/2,'I_Budget Input Data'!$D$143*0.6/('I_Inputs &amp; Assumptions'!$B$8/2),'I_Budget Input Data'!$D$143*0.4/('I_Inputs &amp; Assumptions'!$B$8/2)),IF('I_Budget Input Data'!$E$143="Back-loaded",IF(35&lt;='I_Inputs &amp; Assumptions'!$B$8/2,'I_Budget Input Data'!$D$143*0.4/('I_Inputs &amp; Assumptions'!$B$8/2),'I_Budget Input Data'!$D$143*0.6/('I_Inputs &amp; Assumptions'!$B$8/2)),IF('I_Budget Input Data'!$E$143="Mid-weighted",IF(35&lt;='I_Inputs &amp; Assumptions'!$B$8/4,'I_Budget Input Data'!$D$143*0.2/('I_Inputs &amp; Assumptions'!$B$8/4),IF(35&lt;='I_Inputs &amp; Assumptions'!$B$8*0.75,'I_Budget Input Data'!$D$143*0.6/('I_Inputs &amp; Assumptions'!$B$8/2),'I_Budget Input Data'!$D$143*0.2/('I_Inputs &amp; Assumptions'!$B$8/4))),IF('I_Budget Input Data'!$E$143="At Completion",IF(35='I_Inputs &amp; Assumptions'!$B$8,'I_Budget Input Data'!$D$143,0),'I_Budget Input Data'!$D$143/'I_Inputs &amp; Assumptions'!$B$8)))))),0)</f>
        <v>0</v>
      </c>
      <c r="AL143" s="91">
        <f>IF(36&lt;='I_Inputs &amp; Assumptions'!$B$8,IF('I_Budget Input Data'!$E$143="Upfront",IF(36=1,'I_Budget Input Data'!$D$143,0),IF('I_Budget Input Data'!$E$143="Equal",'I_Budget Input Data'!$D$143/'I_Inputs &amp; Assumptions'!$B$8,IF('I_Budget Input Data'!$E$143="Front-loaded",IF(36&lt;='I_Inputs &amp; Assumptions'!$B$8/2,'I_Budget Input Data'!$D$143*0.6/('I_Inputs &amp; Assumptions'!$B$8/2),'I_Budget Input Data'!$D$143*0.4/('I_Inputs &amp; Assumptions'!$B$8/2)),IF('I_Budget Input Data'!$E$143="Back-loaded",IF(36&lt;='I_Inputs &amp; Assumptions'!$B$8/2,'I_Budget Input Data'!$D$143*0.4/('I_Inputs &amp; Assumptions'!$B$8/2),'I_Budget Input Data'!$D$143*0.6/('I_Inputs &amp; Assumptions'!$B$8/2)),IF('I_Budget Input Data'!$E$143="Mid-weighted",IF(36&lt;='I_Inputs &amp; Assumptions'!$B$8/4,'I_Budget Input Data'!$D$143*0.2/('I_Inputs &amp; Assumptions'!$B$8/4),IF(36&lt;='I_Inputs &amp; Assumptions'!$B$8*0.75,'I_Budget Input Data'!$D$143*0.6/('I_Inputs &amp; Assumptions'!$B$8/2),'I_Budget Input Data'!$D$143*0.2/('I_Inputs &amp; Assumptions'!$B$8/4))),IF('I_Budget Input Data'!$E$143="At Completion",IF(36='I_Inputs &amp; Assumptions'!$B$8,'I_Budget Input Data'!$D$143,0),'I_Budget Input Data'!$D$143/'I_Inputs &amp; Assumptions'!$B$8)))))),0)</f>
        <v>0</v>
      </c>
    </row>
    <row r="144" spans="1:38" ht="15" customHeight="1" x14ac:dyDescent="0.2">
      <c r="A144" t="s">
        <v>248</v>
      </c>
      <c r="B144" t="s">
        <v>259</v>
      </c>
      <c r="C144" s="91">
        <f>IF(1&lt;='I_Inputs &amp; Assumptions'!$B$8,IF('I_Budget Input Data'!$E$144="Upfront",IF(1=1,'I_Budget Input Data'!$D$144,0),IF('I_Budget Input Data'!$E$144="Equal",'I_Budget Input Data'!$D$144/'I_Inputs &amp; Assumptions'!$B$8,IF('I_Budget Input Data'!$E$144="Front-loaded",IF(1&lt;='I_Inputs &amp; Assumptions'!$B$8/2,'I_Budget Input Data'!$D$144*0.6/('I_Inputs &amp; Assumptions'!$B$8/2),'I_Budget Input Data'!$D$144*0.4/('I_Inputs &amp; Assumptions'!$B$8/2)),IF('I_Budget Input Data'!$E$144="Back-loaded",IF(1&lt;='I_Inputs &amp; Assumptions'!$B$8/2,'I_Budget Input Data'!$D$144*0.4/('I_Inputs &amp; Assumptions'!$B$8/2),'I_Budget Input Data'!$D$144*0.6/('I_Inputs &amp; Assumptions'!$B$8/2)),IF('I_Budget Input Data'!$E$144="Mid-weighted",IF(1&lt;='I_Inputs &amp; Assumptions'!$B$8/4,'I_Budget Input Data'!$D$144*0.2/('I_Inputs &amp; Assumptions'!$B$8/4),IF(1&lt;='I_Inputs &amp; Assumptions'!$B$8*0.75,'I_Budget Input Data'!$D$144*0.6/('I_Inputs &amp; Assumptions'!$B$8/2),'I_Budget Input Data'!$D$144*0.2/('I_Inputs &amp; Assumptions'!$B$8/4))),IF('I_Budget Input Data'!$E$144="At Completion",IF(1='I_Inputs &amp; Assumptions'!$B$8,'I_Budget Input Data'!$D$144,0),'I_Budget Input Data'!$D$144/'I_Inputs &amp; Assumptions'!$B$8)))))),0)</f>
        <v>14585.815384615385</v>
      </c>
      <c r="D144" s="91">
        <f>IF(2&lt;='I_Inputs &amp; Assumptions'!$B$8,IF('I_Budget Input Data'!$E$144="Upfront",IF(2=1,'I_Budget Input Data'!$D$144,0),IF('I_Budget Input Data'!$E$144="Equal",'I_Budget Input Data'!$D$144/'I_Inputs &amp; Assumptions'!$B$8,IF('I_Budget Input Data'!$E$144="Front-loaded",IF(2&lt;='I_Inputs &amp; Assumptions'!$B$8/2,'I_Budget Input Data'!$D$144*0.6/('I_Inputs &amp; Assumptions'!$B$8/2),'I_Budget Input Data'!$D$144*0.4/('I_Inputs &amp; Assumptions'!$B$8/2)),IF('I_Budget Input Data'!$E$144="Back-loaded",IF(2&lt;='I_Inputs &amp; Assumptions'!$B$8/2,'I_Budget Input Data'!$D$144*0.4/('I_Inputs &amp; Assumptions'!$B$8/2),'I_Budget Input Data'!$D$144*0.6/('I_Inputs &amp; Assumptions'!$B$8/2)),IF('I_Budget Input Data'!$E$144="Mid-weighted",IF(2&lt;='I_Inputs &amp; Assumptions'!$B$8/4,'I_Budget Input Data'!$D$144*0.2/('I_Inputs &amp; Assumptions'!$B$8/4),IF(2&lt;='I_Inputs &amp; Assumptions'!$B$8*0.75,'I_Budget Input Data'!$D$144*0.6/('I_Inputs &amp; Assumptions'!$B$8/2),'I_Budget Input Data'!$D$144*0.2/('I_Inputs &amp; Assumptions'!$B$8/4))),IF('I_Budget Input Data'!$E$144="At Completion",IF(2='I_Inputs &amp; Assumptions'!$B$8,'I_Budget Input Data'!$D$144,0),'I_Budget Input Data'!$D$144/'I_Inputs &amp; Assumptions'!$B$8)))))),0)</f>
        <v>14585.815384615385</v>
      </c>
      <c r="E144" s="91">
        <f>IF(3&lt;='I_Inputs &amp; Assumptions'!$B$8,IF('I_Budget Input Data'!$E$144="Upfront",IF(3=1,'I_Budget Input Data'!$D$144,0),IF('I_Budget Input Data'!$E$144="Equal",'I_Budget Input Data'!$D$144/'I_Inputs &amp; Assumptions'!$B$8,IF('I_Budget Input Data'!$E$144="Front-loaded",IF(3&lt;='I_Inputs &amp; Assumptions'!$B$8/2,'I_Budget Input Data'!$D$144*0.6/('I_Inputs &amp; Assumptions'!$B$8/2),'I_Budget Input Data'!$D$144*0.4/('I_Inputs &amp; Assumptions'!$B$8/2)),IF('I_Budget Input Data'!$E$144="Back-loaded",IF(3&lt;='I_Inputs &amp; Assumptions'!$B$8/2,'I_Budget Input Data'!$D$144*0.4/('I_Inputs &amp; Assumptions'!$B$8/2),'I_Budget Input Data'!$D$144*0.6/('I_Inputs &amp; Assumptions'!$B$8/2)),IF('I_Budget Input Data'!$E$144="Mid-weighted",IF(3&lt;='I_Inputs &amp; Assumptions'!$B$8/4,'I_Budget Input Data'!$D$144*0.2/('I_Inputs &amp; Assumptions'!$B$8/4),IF(3&lt;='I_Inputs &amp; Assumptions'!$B$8*0.75,'I_Budget Input Data'!$D$144*0.6/('I_Inputs &amp; Assumptions'!$B$8/2),'I_Budget Input Data'!$D$144*0.2/('I_Inputs &amp; Assumptions'!$B$8/4))),IF('I_Budget Input Data'!$E$144="At Completion",IF(3='I_Inputs &amp; Assumptions'!$B$8,'I_Budget Input Data'!$D$144,0),'I_Budget Input Data'!$D$144/'I_Inputs &amp; Assumptions'!$B$8)))))),0)</f>
        <v>14585.815384615385</v>
      </c>
      <c r="F144" s="91">
        <f>IF(4&lt;='I_Inputs &amp; Assumptions'!$B$8,IF('I_Budget Input Data'!$E$144="Upfront",IF(4=1,'I_Budget Input Data'!$D$144,0),IF('I_Budget Input Data'!$E$144="Equal",'I_Budget Input Data'!$D$144/'I_Inputs &amp; Assumptions'!$B$8,IF('I_Budget Input Data'!$E$144="Front-loaded",IF(4&lt;='I_Inputs &amp; Assumptions'!$B$8/2,'I_Budget Input Data'!$D$144*0.6/('I_Inputs &amp; Assumptions'!$B$8/2),'I_Budget Input Data'!$D$144*0.4/('I_Inputs &amp; Assumptions'!$B$8/2)),IF('I_Budget Input Data'!$E$144="Back-loaded",IF(4&lt;='I_Inputs &amp; Assumptions'!$B$8/2,'I_Budget Input Data'!$D$144*0.4/('I_Inputs &amp; Assumptions'!$B$8/2),'I_Budget Input Data'!$D$144*0.6/('I_Inputs &amp; Assumptions'!$B$8/2)),IF('I_Budget Input Data'!$E$144="Mid-weighted",IF(4&lt;='I_Inputs &amp; Assumptions'!$B$8/4,'I_Budget Input Data'!$D$144*0.2/('I_Inputs &amp; Assumptions'!$B$8/4),IF(4&lt;='I_Inputs &amp; Assumptions'!$B$8*0.75,'I_Budget Input Data'!$D$144*0.6/('I_Inputs &amp; Assumptions'!$B$8/2),'I_Budget Input Data'!$D$144*0.2/('I_Inputs &amp; Assumptions'!$B$8/4))),IF('I_Budget Input Data'!$E$144="At Completion",IF(4='I_Inputs &amp; Assumptions'!$B$8,'I_Budget Input Data'!$D$144,0),'I_Budget Input Data'!$D$144/'I_Inputs &amp; Assumptions'!$B$8)))))),0)</f>
        <v>14585.815384615385</v>
      </c>
      <c r="G144" s="91">
        <f>IF(5&lt;='I_Inputs &amp; Assumptions'!$B$8,IF('I_Budget Input Data'!$E$144="Upfront",IF(5=1,'I_Budget Input Data'!$D$144,0),IF('I_Budget Input Data'!$E$144="Equal",'I_Budget Input Data'!$D$144/'I_Inputs &amp; Assumptions'!$B$8,IF('I_Budget Input Data'!$E$144="Front-loaded",IF(5&lt;='I_Inputs &amp; Assumptions'!$B$8/2,'I_Budget Input Data'!$D$144*0.6/('I_Inputs &amp; Assumptions'!$B$8/2),'I_Budget Input Data'!$D$144*0.4/('I_Inputs &amp; Assumptions'!$B$8/2)),IF('I_Budget Input Data'!$E$144="Back-loaded",IF(5&lt;='I_Inputs &amp; Assumptions'!$B$8/2,'I_Budget Input Data'!$D$144*0.4/('I_Inputs &amp; Assumptions'!$B$8/2),'I_Budget Input Data'!$D$144*0.6/('I_Inputs &amp; Assumptions'!$B$8/2)),IF('I_Budget Input Data'!$E$144="Mid-weighted",IF(5&lt;='I_Inputs &amp; Assumptions'!$B$8/4,'I_Budget Input Data'!$D$144*0.2/('I_Inputs &amp; Assumptions'!$B$8/4),IF(5&lt;='I_Inputs &amp; Assumptions'!$B$8*0.75,'I_Budget Input Data'!$D$144*0.6/('I_Inputs &amp; Assumptions'!$B$8/2),'I_Budget Input Data'!$D$144*0.2/('I_Inputs &amp; Assumptions'!$B$8/4))),IF('I_Budget Input Data'!$E$144="At Completion",IF(5='I_Inputs &amp; Assumptions'!$B$8,'I_Budget Input Data'!$D$144,0),'I_Budget Input Data'!$D$144/'I_Inputs &amp; Assumptions'!$B$8)))))),0)</f>
        <v>14585.815384615385</v>
      </c>
      <c r="H144" s="91">
        <f>IF(6&lt;='I_Inputs &amp; Assumptions'!$B$8,IF('I_Budget Input Data'!$E$144="Upfront",IF(6=1,'I_Budget Input Data'!$D$144,0),IF('I_Budget Input Data'!$E$144="Equal",'I_Budget Input Data'!$D$144/'I_Inputs &amp; Assumptions'!$B$8,IF('I_Budget Input Data'!$E$144="Front-loaded",IF(6&lt;='I_Inputs &amp; Assumptions'!$B$8/2,'I_Budget Input Data'!$D$144*0.6/('I_Inputs &amp; Assumptions'!$B$8/2),'I_Budget Input Data'!$D$144*0.4/('I_Inputs &amp; Assumptions'!$B$8/2)),IF('I_Budget Input Data'!$E$144="Back-loaded",IF(6&lt;='I_Inputs &amp; Assumptions'!$B$8/2,'I_Budget Input Data'!$D$144*0.4/('I_Inputs &amp; Assumptions'!$B$8/2),'I_Budget Input Data'!$D$144*0.6/('I_Inputs &amp; Assumptions'!$B$8/2)),IF('I_Budget Input Data'!$E$144="Mid-weighted",IF(6&lt;='I_Inputs &amp; Assumptions'!$B$8/4,'I_Budget Input Data'!$D$144*0.2/('I_Inputs &amp; Assumptions'!$B$8/4),IF(6&lt;='I_Inputs &amp; Assumptions'!$B$8*0.75,'I_Budget Input Data'!$D$144*0.6/('I_Inputs &amp; Assumptions'!$B$8/2),'I_Budget Input Data'!$D$144*0.2/('I_Inputs &amp; Assumptions'!$B$8/4))),IF('I_Budget Input Data'!$E$144="At Completion",IF(6='I_Inputs &amp; Assumptions'!$B$8,'I_Budget Input Data'!$D$144,0),'I_Budget Input Data'!$D$144/'I_Inputs &amp; Assumptions'!$B$8)))))),0)</f>
        <v>14585.815384615385</v>
      </c>
      <c r="I144" s="91">
        <f>IF(7&lt;='I_Inputs &amp; Assumptions'!$B$8,IF('I_Budget Input Data'!$E$144="Upfront",IF(7=1,'I_Budget Input Data'!$D$144,0),IF('I_Budget Input Data'!$E$144="Equal",'I_Budget Input Data'!$D$144/'I_Inputs &amp; Assumptions'!$B$8,IF('I_Budget Input Data'!$E$144="Front-loaded",IF(7&lt;='I_Inputs &amp; Assumptions'!$B$8/2,'I_Budget Input Data'!$D$144*0.6/('I_Inputs &amp; Assumptions'!$B$8/2),'I_Budget Input Data'!$D$144*0.4/('I_Inputs &amp; Assumptions'!$B$8/2)),IF('I_Budget Input Data'!$E$144="Back-loaded",IF(7&lt;='I_Inputs &amp; Assumptions'!$B$8/2,'I_Budget Input Data'!$D$144*0.4/('I_Inputs &amp; Assumptions'!$B$8/2),'I_Budget Input Data'!$D$144*0.6/('I_Inputs &amp; Assumptions'!$B$8/2)),IF('I_Budget Input Data'!$E$144="Mid-weighted",IF(7&lt;='I_Inputs &amp; Assumptions'!$B$8/4,'I_Budget Input Data'!$D$144*0.2/('I_Inputs &amp; Assumptions'!$B$8/4),IF(7&lt;='I_Inputs &amp; Assumptions'!$B$8*0.75,'I_Budget Input Data'!$D$144*0.6/('I_Inputs &amp; Assumptions'!$B$8/2),'I_Budget Input Data'!$D$144*0.2/('I_Inputs &amp; Assumptions'!$B$8/4))),IF('I_Budget Input Data'!$E$144="At Completion",IF(7='I_Inputs &amp; Assumptions'!$B$8,'I_Budget Input Data'!$D$144,0),'I_Budget Input Data'!$D$144/'I_Inputs &amp; Assumptions'!$B$8)))))),0)</f>
        <v>9723.876923076923</v>
      </c>
      <c r="J144" s="91">
        <f>IF(8&lt;='I_Inputs &amp; Assumptions'!$B$8,IF('I_Budget Input Data'!$E$144="Upfront",IF(8=1,'I_Budget Input Data'!$D$144,0),IF('I_Budget Input Data'!$E$144="Equal",'I_Budget Input Data'!$D$144/'I_Inputs &amp; Assumptions'!$B$8,IF('I_Budget Input Data'!$E$144="Front-loaded",IF(8&lt;='I_Inputs &amp; Assumptions'!$B$8/2,'I_Budget Input Data'!$D$144*0.6/('I_Inputs &amp; Assumptions'!$B$8/2),'I_Budget Input Data'!$D$144*0.4/('I_Inputs &amp; Assumptions'!$B$8/2)),IF('I_Budget Input Data'!$E$144="Back-loaded",IF(8&lt;='I_Inputs &amp; Assumptions'!$B$8/2,'I_Budget Input Data'!$D$144*0.4/('I_Inputs &amp; Assumptions'!$B$8/2),'I_Budget Input Data'!$D$144*0.6/('I_Inputs &amp; Assumptions'!$B$8/2)),IF('I_Budget Input Data'!$E$144="Mid-weighted",IF(8&lt;='I_Inputs &amp; Assumptions'!$B$8/4,'I_Budget Input Data'!$D$144*0.2/('I_Inputs &amp; Assumptions'!$B$8/4),IF(8&lt;='I_Inputs &amp; Assumptions'!$B$8*0.75,'I_Budget Input Data'!$D$144*0.6/('I_Inputs &amp; Assumptions'!$B$8/2),'I_Budget Input Data'!$D$144*0.2/('I_Inputs &amp; Assumptions'!$B$8/4))),IF('I_Budget Input Data'!$E$144="At Completion",IF(8='I_Inputs &amp; Assumptions'!$B$8,'I_Budget Input Data'!$D$144,0),'I_Budget Input Data'!$D$144/'I_Inputs &amp; Assumptions'!$B$8)))))),0)</f>
        <v>9723.876923076923</v>
      </c>
      <c r="K144" s="91">
        <f>IF(9&lt;='I_Inputs &amp; Assumptions'!$B$8,IF('I_Budget Input Data'!$E$144="Upfront",IF(9=1,'I_Budget Input Data'!$D$144,0),IF('I_Budget Input Data'!$E$144="Equal",'I_Budget Input Data'!$D$144/'I_Inputs &amp; Assumptions'!$B$8,IF('I_Budget Input Data'!$E$144="Front-loaded",IF(9&lt;='I_Inputs &amp; Assumptions'!$B$8/2,'I_Budget Input Data'!$D$144*0.6/('I_Inputs &amp; Assumptions'!$B$8/2),'I_Budget Input Data'!$D$144*0.4/('I_Inputs &amp; Assumptions'!$B$8/2)),IF('I_Budget Input Data'!$E$144="Back-loaded",IF(9&lt;='I_Inputs &amp; Assumptions'!$B$8/2,'I_Budget Input Data'!$D$144*0.4/('I_Inputs &amp; Assumptions'!$B$8/2),'I_Budget Input Data'!$D$144*0.6/('I_Inputs &amp; Assumptions'!$B$8/2)),IF('I_Budget Input Data'!$E$144="Mid-weighted",IF(9&lt;='I_Inputs &amp; Assumptions'!$B$8/4,'I_Budget Input Data'!$D$144*0.2/('I_Inputs &amp; Assumptions'!$B$8/4),IF(9&lt;='I_Inputs &amp; Assumptions'!$B$8*0.75,'I_Budget Input Data'!$D$144*0.6/('I_Inputs &amp; Assumptions'!$B$8/2),'I_Budget Input Data'!$D$144*0.2/('I_Inputs &amp; Assumptions'!$B$8/4))),IF('I_Budget Input Data'!$E$144="At Completion",IF(9='I_Inputs &amp; Assumptions'!$B$8,'I_Budget Input Data'!$D$144,0),'I_Budget Input Data'!$D$144/'I_Inputs &amp; Assumptions'!$B$8)))))),0)</f>
        <v>9723.876923076923</v>
      </c>
      <c r="L144" s="91">
        <f>IF(10&lt;='I_Inputs &amp; Assumptions'!$B$8,IF('I_Budget Input Data'!$E$144="Upfront",IF(10=1,'I_Budget Input Data'!$D$144,0),IF('I_Budget Input Data'!$E$144="Equal",'I_Budget Input Data'!$D$144/'I_Inputs &amp; Assumptions'!$B$8,IF('I_Budget Input Data'!$E$144="Front-loaded",IF(10&lt;='I_Inputs &amp; Assumptions'!$B$8/2,'I_Budget Input Data'!$D$144*0.6/('I_Inputs &amp; Assumptions'!$B$8/2),'I_Budget Input Data'!$D$144*0.4/('I_Inputs &amp; Assumptions'!$B$8/2)),IF('I_Budget Input Data'!$E$144="Back-loaded",IF(10&lt;='I_Inputs &amp; Assumptions'!$B$8/2,'I_Budget Input Data'!$D$144*0.4/('I_Inputs &amp; Assumptions'!$B$8/2),'I_Budget Input Data'!$D$144*0.6/('I_Inputs &amp; Assumptions'!$B$8/2)),IF('I_Budget Input Data'!$E$144="Mid-weighted",IF(10&lt;='I_Inputs &amp; Assumptions'!$B$8/4,'I_Budget Input Data'!$D$144*0.2/('I_Inputs &amp; Assumptions'!$B$8/4),IF(10&lt;='I_Inputs &amp; Assumptions'!$B$8*0.75,'I_Budget Input Data'!$D$144*0.6/('I_Inputs &amp; Assumptions'!$B$8/2),'I_Budget Input Data'!$D$144*0.2/('I_Inputs &amp; Assumptions'!$B$8/4))),IF('I_Budget Input Data'!$E$144="At Completion",IF(10='I_Inputs &amp; Assumptions'!$B$8,'I_Budget Input Data'!$D$144,0),'I_Budget Input Data'!$D$144/'I_Inputs &amp; Assumptions'!$B$8)))))),0)</f>
        <v>9723.876923076923</v>
      </c>
      <c r="M144" s="91">
        <f>IF(11&lt;='I_Inputs &amp; Assumptions'!$B$8,IF('I_Budget Input Data'!$E$144="Upfront",IF(11=1,'I_Budget Input Data'!$D$144,0),IF('I_Budget Input Data'!$E$144="Equal",'I_Budget Input Data'!$D$144/'I_Inputs &amp; Assumptions'!$B$8,IF('I_Budget Input Data'!$E$144="Front-loaded",IF(11&lt;='I_Inputs &amp; Assumptions'!$B$8/2,'I_Budget Input Data'!$D$144*0.6/('I_Inputs &amp; Assumptions'!$B$8/2),'I_Budget Input Data'!$D$144*0.4/('I_Inputs &amp; Assumptions'!$B$8/2)),IF('I_Budget Input Data'!$E$144="Back-loaded",IF(11&lt;='I_Inputs &amp; Assumptions'!$B$8/2,'I_Budget Input Data'!$D$144*0.4/('I_Inputs &amp; Assumptions'!$B$8/2),'I_Budget Input Data'!$D$144*0.6/('I_Inputs &amp; Assumptions'!$B$8/2)),IF('I_Budget Input Data'!$E$144="Mid-weighted",IF(11&lt;='I_Inputs &amp; Assumptions'!$B$8/4,'I_Budget Input Data'!$D$144*0.2/('I_Inputs &amp; Assumptions'!$B$8/4),IF(11&lt;='I_Inputs &amp; Assumptions'!$B$8*0.75,'I_Budget Input Data'!$D$144*0.6/('I_Inputs &amp; Assumptions'!$B$8/2),'I_Budget Input Data'!$D$144*0.2/('I_Inputs &amp; Assumptions'!$B$8/4))),IF('I_Budget Input Data'!$E$144="At Completion",IF(11='I_Inputs &amp; Assumptions'!$B$8,'I_Budget Input Data'!$D$144,0),'I_Budget Input Data'!$D$144/'I_Inputs &amp; Assumptions'!$B$8)))))),0)</f>
        <v>9723.876923076923</v>
      </c>
      <c r="N144" s="91">
        <f>IF(12&lt;='I_Inputs &amp; Assumptions'!$B$8,IF('I_Budget Input Data'!$E$144="Upfront",IF(12=1,'I_Budget Input Data'!$D$144,0),IF('I_Budget Input Data'!$E$144="Equal",'I_Budget Input Data'!$D$144/'I_Inputs &amp; Assumptions'!$B$8,IF('I_Budget Input Data'!$E$144="Front-loaded",IF(12&lt;='I_Inputs &amp; Assumptions'!$B$8/2,'I_Budget Input Data'!$D$144*0.6/('I_Inputs &amp; Assumptions'!$B$8/2),'I_Budget Input Data'!$D$144*0.4/('I_Inputs &amp; Assumptions'!$B$8/2)),IF('I_Budget Input Data'!$E$144="Back-loaded",IF(12&lt;='I_Inputs &amp; Assumptions'!$B$8/2,'I_Budget Input Data'!$D$144*0.4/('I_Inputs &amp; Assumptions'!$B$8/2),'I_Budget Input Data'!$D$144*0.6/('I_Inputs &amp; Assumptions'!$B$8/2)),IF('I_Budget Input Data'!$E$144="Mid-weighted",IF(12&lt;='I_Inputs &amp; Assumptions'!$B$8/4,'I_Budget Input Data'!$D$144*0.2/('I_Inputs &amp; Assumptions'!$B$8/4),IF(12&lt;='I_Inputs &amp; Assumptions'!$B$8*0.75,'I_Budget Input Data'!$D$144*0.6/('I_Inputs &amp; Assumptions'!$B$8/2),'I_Budget Input Data'!$D$144*0.2/('I_Inputs &amp; Assumptions'!$B$8/4))),IF('I_Budget Input Data'!$E$144="At Completion",IF(12='I_Inputs &amp; Assumptions'!$B$8,'I_Budget Input Data'!$D$144,0),'I_Budget Input Data'!$D$144/'I_Inputs &amp; Assumptions'!$B$8)))))),0)</f>
        <v>9723.876923076923</v>
      </c>
      <c r="O144" s="91">
        <f>IF(13&lt;='I_Inputs &amp; Assumptions'!$B$8,IF('I_Budget Input Data'!$E$144="Upfront",IF(13=1,'I_Budget Input Data'!$D$144,0),IF('I_Budget Input Data'!$E$144="Equal",'I_Budget Input Data'!$D$144/'I_Inputs &amp; Assumptions'!$B$8,IF('I_Budget Input Data'!$E$144="Front-loaded",IF(13&lt;='I_Inputs &amp; Assumptions'!$B$8/2,'I_Budget Input Data'!$D$144*0.6/('I_Inputs &amp; Assumptions'!$B$8/2),'I_Budget Input Data'!$D$144*0.4/('I_Inputs &amp; Assumptions'!$B$8/2)),IF('I_Budget Input Data'!$E$144="Back-loaded",IF(13&lt;='I_Inputs &amp; Assumptions'!$B$8/2,'I_Budget Input Data'!$D$144*0.4/('I_Inputs &amp; Assumptions'!$B$8/2),'I_Budget Input Data'!$D$144*0.6/('I_Inputs &amp; Assumptions'!$B$8/2)),IF('I_Budget Input Data'!$E$144="Mid-weighted",IF(13&lt;='I_Inputs &amp; Assumptions'!$B$8/4,'I_Budget Input Data'!$D$144*0.2/('I_Inputs &amp; Assumptions'!$B$8/4),IF(13&lt;='I_Inputs &amp; Assumptions'!$B$8*0.75,'I_Budget Input Data'!$D$144*0.6/('I_Inputs &amp; Assumptions'!$B$8/2),'I_Budget Input Data'!$D$144*0.2/('I_Inputs &amp; Assumptions'!$B$8/4))),IF('I_Budget Input Data'!$E$144="At Completion",IF(13='I_Inputs &amp; Assumptions'!$B$8,'I_Budget Input Data'!$D$144,0),'I_Budget Input Data'!$D$144/'I_Inputs &amp; Assumptions'!$B$8)))))),0)</f>
        <v>9723.876923076923</v>
      </c>
      <c r="P144" s="91">
        <f>IF(14&lt;='I_Inputs &amp; Assumptions'!$B$8,IF('I_Budget Input Data'!$E$144="Upfront",IF(14=1,'I_Budget Input Data'!$D$144,0),IF('I_Budget Input Data'!$E$144="Equal",'I_Budget Input Data'!$D$144/'I_Inputs &amp; Assumptions'!$B$8,IF('I_Budget Input Data'!$E$144="Front-loaded",IF(14&lt;='I_Inputs &amp; Assumptions'!$B$8/2,'I_Budget Input Data'!$D$144*0.6/('I_Inputs &amp; Assumptions'!$B$8/2),'I_Budget Input Data'!$D$144*0.4/('I_Inputs &amp; Assumptions'!$B$8/2)),IF('I_Budget Input Data'!$E$144="Back-loaded",IF(14&lt;='I_Inputs &amp; Assumptions'!$B$8/2,'I_Budget Input Data'!$D$144*0.4/('I_Inputs &amp; Assumptions'!$B$8/2),'I_Budget Input Data'!$D$144*0.6/('I_Inputs &amp; Assumptions'!$B$8/2)),IF('I_Budget Input Data'!$E$144="Mid-weighted",IF(14&lt;='I_Inputs &amp; Assumptions'!$B$8/4,'I_Budget Input Data'!$D$144*0.2/('I_Inputs &amp; Assumptions'!$B$8/4),IF(14&lt;='I_Inputs &amp; Assumptions'!$B$8*0.75,'I_Budget Input Data'!$D$144*0.6/('I_Inputs &amp; Assumptions'!$B$8/2),'I_Budget Input Data'!$D$144*0.2/('I_Inputs &amp; Assumptions'!$B$8/4))),IF('I_Budget Input Data'!$E$144="At Completion",IF(14='I_Inputs &amp; Assumptions'!$B$8,'I_Budget Input Data'!$D$144,0),'I_Budget Input Data'!$D$144/'I_Inputs &amp; Assumptions'!$B$8)))))),0)</f>
        <v>0</v>
      </c>
      <c r="Q144" s="91">
        <f>IF(15&lt;='I_Inputs &amp; Assumptions'!$B$8,IF('I_Budget Input Data'!$E$144="Upfront",IF(15=1,'I_Budget Input Data'!$D$144,0),IF('I_Budget Input Data'!$E$144="Equal",'I_Budget Input Data'!$D$144/'I_Inputs &amp; Assumptions'!$B$8,IF('I_Budget Input Data'!$E$144="Front-loaded",IF(15&lt;='I_Inputs &amp; Assumptions'!$B$8/2,'I_Budget Input Data'!$D$144*0.6/('I_Inputs &amp; Assumptions'!$B$8/2),'I_Budget Input Data'!$D$144*0.4/('I_Inputs &amp; Assumptions'!$B$8/2)),IF('I_Budget Input Data'!$E$144="Back-loaded",IF(15&lt;='I_Inputs &amp; Assumptions'!$B$8/2,'I_Budget Input Data'!$D$144*0.4/('I_Inputs &amp; Assumptions'!$B$8/2),'I_Budget Input Data'!$D$144*0.6/('I_Inputs &amp; Assumptions'!$B$8/2)),IF('I_Budget Input Data'!$E$144="Mid-weighted",IF(15&lt;='I_Inputs &amp; Assumptions'!$B$8/4,'I_Budget Input Data'!$D$144*0.2/('I_Inputs &amp; Assumptions'!$B$8/4),IF(15&lt;='I_Inputs &amp; Assumptions'!$B$8*0.75,'I_Budget Input Data'!$D$144*0.6/('I_Inputs &amp; Assumptions'!$B$8/2),'I_Budget Input Data'!$D$144*0.2/('I_Inputs &amp; Assumptions'!$B$8/4))),IF('I_Budget Input Data'!$E$144="At Completion",IF(15='I_Inputs &amp; Assumptions'!$B$8,'I_Budget Input Data'!$D$144,0),'I_Budget Input Data'!$D$144/'I_Inputs &amp; Assumptions'!$B$8)))))),0)</f>
        <v>0</v>
      </c>
      <c r="R144" s="91">
        <f>IF(16&lt;='I_Inputs &amp; Assumptions'!$B$8,IF('I_Budget Input Data'!$E$144="Upfront",IF(16=1,'I_Budget Input Data'!$D$144,0),IF('I_Budget Input Data'!$E$144="Equal",'I_Budget Input Data'!$D$144/'I_Inputs &amp; Assumptions'!$B$8,IF('I_Budget Input Data'!$E$144="Front-loaded",IF(16&lt;='I_Inputs &amp; Assumptions'!$B$8/2,'I_Budget Input Data'!$D$144*0.6/('I_Inputs &amp; Assumptions'!$B$8/2),'I_Budget Input Data'!$D$144*0.4/('I_Inputs &amp; Assumptions'!$B$8/2)),IF('I_Budget Input Data'!$E$144="Back-loaded",IF(16&lt;='I_Inputs &amp; Assumptions'!$B$8/2,'I_Budget Input Data'!$D$144*0.4/('I_Inputs &amp; Assumptions'!$B$8/2),'I_Budget Input Data'!$D$144*0.6/('I_Inputs &amp; Assumptions'!$B$8/2)),IF('I_Budget Input Data'!$E$144="Mid-weighted",IF(16&lt;='I_Inputs &amp; Assumptions'!$B$8/4,'I_Budget Input Data'!$D$144*0.2/('I_Inputs &amp; Assumptions'!$B$8/4),IF(16&lt;='I_Inputs &amp; Assumptions'!$B$8*0.75,'I_Budget Input Data'!$D$144*0.6/('I_Inputs &amp; Assumptions'!$B$8/2),'I_Budget Input Data'!$D$144*0.2/('I_Inputs &amp; Assumptions'!$B$8/4))),IF('I_Budget Input Data'!$E$144="At Completion",IF(16='I_Inputs &amp; Assumptions'!$B$8,'I_Budget Input Data'!$D$144,0),'I_Budget Input Data'!$D$144/'I_Inputs &amp; Assumptions'!$B$8)))))),0)</f>
        <v>0</v>
      </c>
      <c r="S144" s="91">
        <f>IF(17&lt;='I_Inputs &amp; Assumptions'!$B$8,IF('I_Budget Input Data'!$E$144="Upfront",IF(17=1,'I_Budget Input Data'!$D$144,0),IF('I_Budget Input Data'!$E$144="Equal",'I_Budget Input Data'!$D$144/'I_Inputs &amp; Assumptions'!$B$8,IF('I_Budget Input Data'!$E$144="Front-loaded",IF(17&lt;='I_Inputs &amp; Assumptions'!$B$8/2,'I_Budget Input Data'!$D$144*0.6/('I_Inputs &amp; Assumptions'!$B$8/2),'I_Budget Input Data'!$D$144*0.4/('I_Inputs &amp; Assumptions'!$B$8/2)),IF('I_Budget Input Data'!$E$144="Back-loaded",IF(17&lt;='I_Inputs &amp; Assumptions'!$B$8/2,'I_Budget Input Data'!$D$144*0.4/('I_Inputs &amp; Assumptions'!$B$8/2),'I_Budget Input Data'!$D$144*0.6/('I_Inputs &amp; Assumptions'!$B$8/2)),IF('I_Budget Input Data'!$E$144="Mid-weighted",IF(17&lt;='I_Inputs &amp; Assumptions'!$B$8/4,'I_Budget Input Data'!$D$144*0.2/('I_Inputs &amp; Assumptions'!$B$8/4),IF(17&lt;='I_Inputs &amp; Assumptions'!$B$8*0.75,'I_Budget Input Data'!$D$144*0.6/('I_Inputs &amp; Assumptions'!$B$8/2),'I_Budget Input Data'!$D$144*0.2/('I_Inputs &amp; Assumptions'!$B$8/4))),IF('I_Budget Input Data'!$E$144="At Completion",IF(17='I_Inputs &amp; Assumptions'!$B$8,'I_Budget Input Data'!$D$144,0),'I_Budget Input Data'!$D$144/'I_Inputs &amp; Assumptions'!$B$8)))))),0)</f>
        <v>0</v>
      </c>
      <c r="T144" s="91">
        <f>IF(18&lt;='I_Inputs &amp; Assumptions'!$B$8,IF('I_Budget Input Data'!$E$144="Upfront",IF(18=1,'I_Budget Input Data'!$D$144,0),IF('I_Budget Input Data'!$E$144="Equal",'I_Budget Input Data'!$D$144/'I_Inputs &amp; Assumptions'!$B$8,IF('I_Budget Input Data'!$E$144="Front-loaded",IF(18&lt;='I_Inputs &amp; Assumptions'!$B$8/2,'I_Budget Input Data'!$D$144*0.6/('I_Inputs &amp; Assumptions'!$B$8/2),'I_Budget Input Data'!$D$144*0.4/('I_Inputs &amp; Assumptions'!$B$8/2)),IF('I_Budget Input Data'!$E$144="Back-loaded",IF(18&lt;='I_Inputs &amp; Assumptions'!$B$8/2,'I_Budget Input Data'!$D$144*0.4/('I_Inputs &amp; Assumptions'!$B$8/2),'I_Budget Input Data'!$D$144*0.6/('I_Inputs &amp; Assumptions'!$B$8/2)),IF('I_Budget Input Data'!$E$144="Mid-weighted",IF(18&lt;='I_Inputs &amp; Assumptions'!$B$8/4,'I_Budget Input Data'!$D$144*0.2/('I_Inputs &amp; Assumptions'!$B$8/4),IF(18&lt;='I_Inputs &amp; Assumptions'!$B$8*0.75,'I_Budget Input Data'!$D$144*0.6/('I_Inputs &amp; Assumptions'!$B$8/2),'I_Budget Input Data'!$D$144*0.2/('I_Inputs &amp; Assumptions'!$B$8/4))),IF('I_Budget Input Data'!$E$144="At Completion",IF(18='I_Inputs &amp; Assumptions'!$B$8,'I_Budget Input Data'!$D$144,0),'I_Budget Input Data'!$D$144/'I_Inputs &amp; Assumptions'!$B$8)))))),0)</f>
        <v>0</v>
      </c>
      <c r="U144" s="91">
        <f>IF(19&lt;='I_Inputs &amp; Assumptions'!$B$8,IF('I_Budget Input Data'!$E$144="Upfront",IF(19=1,'I_Budget Input Data'!$D$144,0),IF('I_Budget Input Data'!$E$144="Equal",'I_Budget Input Data'!$D$144/'I_Inputs &amp; Assumptions'!$B$8,IF('I_Budget Input Data'!$E$144="Front-loaded",IF(19&lt;='I_Inputs &amp; Assumptions'!$B$8/2,'I_Budget Input Data'!$D$144*0.6/('I_Inputs &amp; Assumptions'!$B$8/2),'I_Budget Input Data'!$D$144*0.4/('I_Inputs &amp; Assumptions'!$B$8/2)),IF('I_Budget Input Data'!$E$144="Back-loaded",IF(19&lt;='I_Inputs &amp; Assumptions'!$B$8/2,'I_Budget Input Data'!$D$144*0.4/('I_Inputs &amp; Assumptions'!$B$8/2),'I_Budget Input Data'!$D$144*0.6/('I_Inputs &amp; Assumptions'!$B$8/2)),IF('I_Budget Input Data'!$E$144="Mid-weighted",IF(19&lt;='I_Inputs &amp; Assumptions'!$B$8/4,'I_Budget Input Data'!$D$144*0.2/('I_Inputs &amp; Assumptions'!$B$8/4),IF(19&lt;='I_Inputs &amp; Assumptions'!$B$8*0.75,'I_Budget Input Data'!$D$144*0.6/('I_Inputs &amp; Assumptions'!$B$8/2),'I_Budget Input Data'!$D$144*0.2/('I_Inputs &amp; Assumptions'!$B$8/4))),IF('I_Budget Input Data'!$E$144="At Completion",IF(19='I_Inputs &amp; Assumptions'!$B$8,'I_Budget Input Data'!$D$144,0),'I_Budget Input Data'!$D$144/'I_Inputs &amp; Assumptions'!$B$8)))))),0)</f>
        <v>0</v>
      </c>
      <c r="V144" s="91">
        <f>IF(20&lt;='I_Inputs &amp; Assumptions'!$B$8,IF('I_Budget Input Data'!$E$144="Upfront",IF(20=1,'I_Budget Input Data'!$D$144,0),IF('I_Budget Input Data'!$E$144="Equal",'I_Budget Input Data'!$D$144/'I_Inputs &amp; Assumptions'!$B$8,IF('I_Budget Input Data'!$E$144="Front-loaded",IF(20&lt;='I_Inputs &amp; Assumptions'!$B$8/2,'I_Budget Input Data'!$D$144*0.6/('I_Inputs &amp; Assumptions'!$B$8/2),'I_Budget Input Data'!$D$144*0.4/('I_Inputs &amp; Assumptions'!$B$8/2)),IF('I_Budget Input Data'!$E$144="Back-loaded",IF(20&lt;='I_Inputs &amp; Assumptions'!$B$8/2,'I_Budget Input Data'!$D$144*0.4/('I_Inputs &amp; Assumptions'!$B$8/2),'I_Budget Input Data'!$D$144*0.6/('I_Inputs &amp; Assumptions'!$B$8/2)),IF('I_Budget Input Data'!$E$144="Mid-weighted",IF(20&lt;='I_Inputs &amp; Assumptions'!$B$8/4,'I_Budget Input Data'!$D$144*0.2/('I_Inputs &amp; Assumptions'!$B$8/4),IF(20&lt;='I_Inputs &amp; Assumptions'!$B$8*0.75,'I_Budget Input Data'!$D$144*0.6/('I_Inputs &amp; Assumptions'!$B$8/2),'I_Budget Input Data'!$D$144*0.2/('I_Inputs &amp; Assumptions'!$B$8/4))),IF('I_Budget Input Data'!$E$144="At Completion",IF(20='I_Inputs &amp; Assumptions'!$B$8,'I_Budget Input Data'!$D$144,0),'I_Budget Input Data'!$D$144/'I_Inputs &amp; Assumptions'!$B$8)))))),0)</f>
        <v>0</v>
      </c>
      <c r="W144" s="91">
        <f>IF(21&lt;='I_Inputs &amp; Assumptions'!$B$8,IF('I_Budget Input Data'!$E$144="Upfront",IF(21=1,'I_Budget Input Data'!$D$144,0),IF('I_Budget Input Data'!$E$144="Equal",'I_Budget Input Data'!$D$144/'I_Inputs &amp; Assumptions'!$B$8,IF('I_Budget Input Data'!$E$144="Front-loaded",IF(21&lt;='I_Inputs &amp; Assumptions'!$B$8/2,'I_Budget Input Data'!$D$144*0.6/('I_Inputs &amp; Assumptions'!$B$8/2),'I_Budget Input Data'!$D$144*0.4/('I_Inputs &amp; Assumptions'!$B$8/2)),IF('I_Budget Input Data'!$E$144="Back-loaded",IF(21&lt;='I_Inputs &amp; Assumptions'!$B$8/2,'I_Budget Input Data'!$D$144*0.4/('I_Inputs &amp; Assumptions'!$B$8/2),'I_Budget Input Data'!$D$144*0.6/('I_Inputs &amp; Assumptions'!$B$8/2)),IF('I_Budget Input Data'!$E$144="Mid-weighted",IF(21&lt;='I_Inputs &amp; Assumptions'!$B$8/4,'I_Budget Input Data'!$D$144*0.2/('I_Inputs &amp; Assumptions'!$B$8/4),IF(21&lt;='I_Inputs &amp; Assumptions'!$B$8*0.75,'I_Budget Input Data'!$D$144*0.6/('I_Inputs &amp; Assumptions'!$B$8/2),'I_Budget Input Data'!$D$144*0.2/('I_Inputs &amp; Assumptions'!$B$8/4))),IF('I_Budget Input Data'!$E$144="At Completion",IF(21='I_Inputs &amp; Assumptions'!$B$8,'I_Budget Input Data'!$D$144,0),'I_Budget Input Data'!$D$144/'I_Inputs &amp; Assumptions'!$B$8)))))),0)</f>
        <v>0</v>
      </c>
      <c r="X144" s="91">
        <f>IF(22&lt;='I_Inputs &amp; Assumptions'!$B$8,IF('I_Budget Input Data'!$E$144="Upfront",IF(22=1,'I_Budget Input Data'!$D$144,0),IF('I_Budget Input Data'!$E$144="Equal",'I_Budget Input Data'!$D$144/'I_Inputs &amp; Assumptions'!$B$8,IF('I_Budget Input Data'!$E$144="Front-loaded",IF(22&lt;='I_Inputs &amp; Assumptions'!$B$8/2,'I_Budget Input Data'!$D$144*0.6/('I_Inputs &amp; Assumptions'!$B$8/2),'I_Budget Input Data'!$D$144*0.4/('I_Inputs &amp; Assumptions'!$B$8/2)),IF('I_Budget Input Data'!$E$144="Back-loaded",IF(22&lt;='I_Inputs &amp; Assumptions'!$B$8/2,'I_Budget Input Data'!$D$144*0.4/('I_Inputs &amp; Assumptions'!$B$8/2),'I_Budget Input Data'!$D$144*0.6/('I_Inputs &amp; Assumptions'!$B$8/2)),IF('I_Budget Input Data'!$E$144="Mid-weighted",IF(22&lt;='I_Inputs &amp; Assumptions'!$B$8/4,'I_Budget Input Data'!$D$144*0.2/('I_Inputs &amp; Assumptions'!$B$8/4),IF(22&lt;='I_Inputs &amp; Assumptions'!$B$8*0.75,'I_Budget Input Data'!$D$144*0.6/('I_Inputs &amp; Assumptions'!$B$8/2),'I_Budget Input Data'!$D$144*0.2/('I_Inputs &amp; Assumptions'!$B$8/4))),IF('I_Budget Input Data'!$E$144="At Completion",IF(22='I_Inputs &amp; Assumptions'!$B$8,'I_Budget Input Data'!$D$144,0),'I_Budget Input Data'!$D$144/'I_Inputs &amp; Assumptions'!$B$8)))))),0)</f>
        <v>0</v>
      </c>
      <c r="Y144" s="91">
        <f>IF(23&lt;='I_Inputs &amp; Assumptions'!$B$8,IF('I_Budget Input Data'!$E$144="Upfront",IF(23=1,'I_Budget Input Data'!$D$144,0),IF('I_Budget Input Data'!$E$144="Equal",'I_Budget Input Data'!$D$144/'I_Inputs &amp; Assumptions'!$B$8,IF('I_Budget Input Data'!$E$144="Front-loaded",IF(23&lt;='I_Inputs &amp; Assumptions'!$B$8/2,'I_Budget Input Data'!$D$144*0.6/('I_Inputs &amp; Assumptions'!$B$8/2),'I_Budget Input Data'!$D$144*0.4/('I_Inputs &amp; Assumptions'!$B$8/2)),IF('I_Budget Input Data'!$E$144="Back-loaded",IF(23&lt;='I_Inputs &amp; Assumptions'!$B$8/2,'I_Budget Input Data'!$D$144*0.4/('I_Inputs &amp; Assumptions'!$B$8/2),'I_Budget Input Data'!$D$144*0.6/('I_Inputs &amp; Assumptions'!$B$8/2)),IF('I_Budget Input Data'!$E$144="Mid-weighted",IF(23&lt;='I_Inputs &amp; Assumptions'!$B$8/4,'I_Budget Input Data'!$D$144*0.2/('I_Inputs &amp; Assumptions'!$B$8/4),IF(23&lt;='I_Inputs &amp; Assumptions'!$B$8*0.75,'I_Budget Input Data'!$D$144*0.6/('I_Inputs &amp; Assumptions'!$B$8/2),'I_Budget Input Data'!$D$144*0.2/('I_Inputs &amp; Assumptions'!$B$8/4))),IF('I_Budget Input Data'!$E$144="At Completion",IF(23='I_Inputs &amp; Assumptions'!$B$8,'I_Budget Input Data'!$D$144,0),'I_Budget Input Data'!$D$144/'I_Inputs &amp; Assumptions'!$B$8)))))),0)</f>
        <v>0</v>
      </c>
      <c r="Z144" s="91">
        <f>IF(24&lt;='I_Inputs &amp; Assumptions'!$B$8,IF('I_Budget Input Data'!$E$144="Upfront",IF(24=1,'I_Budget Input Data'!$D$144,0),IF('I_Budget Input Data'!$E$144="Equal",'I_Budget Input Data'!$D$144/'I_Inputs &amp; Assumptions'!$B$8,IF('I_Budget Input Data'!$E$144="Front-loaded",IF(24&lt;='I_Inputs &amp; Assumptions'!$B$8/2,'I_Budget Input Data'!$D$144*0.6/('I_Inputs &amp; Assumptions'!$B$8/2),'I_Budget Input Data'!$D$144*0.4/('I_Inputs &amp; Assumptions'!$B$8/2)),IF('I_Budget Input Data'!$E$144="Back-loaded",IF(24&lt;='I_Inputs &amp; Assumptions'!$B$8/2,'I_Budget Input Data'!$D$144*0.4/('I_Inputs &amp; Assumptions'!$B$8/2),'I_Budget Input Data'!$D$144*0.6/('I_Inputs &amp; Assumptions'!$B$8/2)),IF('I_Budget Input Data'!$E$144="Mid-weighted",IF(24&lt;='I_Inputs &amp; Assumptions'!$B$8/4,'I_Budget Input Data'!$D$144*0.2/('I_Inputs &amp; Assumptions'!$B$8/4),IF(24&lt;='I_Inputs &amp; Assumptions'!$B$8*0.75,'I_Budget Input Data'!$D$144*0.6/('I_Inputs &amp; Assumptions'!$B$8/2),'I_Budget Input Data'!$D$144*0.2/('I_Inputs &amp; Assumptions'!$B$8/4))),IF('I_Budget Input Data'!$E$144="At Completion",IF(24='I_Inputs &amp; Assumptions'!$B$8,'I_Budget Input Data'!$D$144,0),'I_Budget Input Data'!$D$144/'I_Inputs &amp; Assumptions'!$B$8)))))),0)</f>
        <v>0</v>
      </c>
      <c r="AA144" s="91">
        <f>IF(25&lt;='I_Inputs &amp; Assumptions'!$B$8,IF('I_Budget Input Data'!$E$144="Upfront",IF(25=1,'I_Budget Input Data'!$D$144,0),IF('I_Budget Input Data'!$E$144="Equal",'I_Budget Input Data'!$D$144/'I_Inputs &amp; Assumptions'!$B$8,IF('I_Budget Input Data'!$E$144="Front-loaded",IF(25&lt;='I_Inputs &amp; Assumptions'!$B$8/2,'I_Budget Input Data'!$D$144*0.6/('I_Inputs &amp; Assumptions'!$B$8/2),'I_Budget Input Data'!$D$144*0.4/('I_Inputs &amp; Assumptions'!$B$8/2)),IF('I_Budget Input Data'!$E$144="Back-loaded",IF(25&lt;='I_Inputs &amp; Assumptions'!$B$8/2,'I_Budget Input Data'!$D$144*0.4/('I_Inputs &amp; Assumptions'!$B$8/2),'I_Budget Input Data'!$D$144*0.6/('I_Inputs &amp; Assumptions'!$B$8/2)),IF('I_Budget Input Data'!$E$144="Mid-weighted",IF(25&lt;='I_Inputs &amp; Assumptions'!$B$8/4,'I_Budget Input Data'!$D$144*0.2/('I_Inputs &amp; Assumptions'!$B$8/4),IF(25&lt;='I_Inputs &amp; Assumptions'!$B$8*0.75,'I_Budget Input Data'!$D$144*0.6/('I_Inputs &amp; Assumptions'!$B$8/2),'I_Budget Input Data'!$D$144*0.2/('I_Inputs &amp; Assumptions'!$B$8/4))),IF('I_Budget Input Data'!$E$144="At Completion",IF(25='I_Inputs &amp; Assumptions'!$B$8,'I_Budget Input Data'!$D$144,0),'I_Budget Input Data'!$D$144/'I_Inputs &amp; Assumptions'!$B$8)))))),0)</f>
        <v>0</v>
      </c>
      <c r="AB144" s="91">
        <f>IF(26&lt;='I_Inputs &amp; Assumptions'!$B$8,IF('I_Budget Input Data'!$E$144="Upfront",IF(26=1,'I_Budget Input Data'!$D$144,0),IF('I_Budget Input Data'!$E$144="Equal",'I_Budget Input Data'!$D$144/'I_Inputs &amp; Assumptions'!$B$8,IF('I_Budget Input Data'!$E$144="Front-loaded",IF(26&lt;='I_Inputs &amp; Assumptions'!$B$8/2,'I_Budget Input Data'!$D$144*0.6/('I_Inputs &amp; Assumptions'!$B$8/2),'I_Budget Input Data'!$D$144*0.4/('I_Inputs &amp; Assumptions'!$B$8/2)),IF('I_Budget Input Data'!$E$144="Back-loaded",IF(26&lt;='I_Inputs &amp; Assumptions'!$B$8/2,'I_Budget Input Data'!$D$144*0.4/('I_Inputs &amp; Assumptions'!$B$8/2),'I_Budget Input Data'!$D$144*0.6/('I_Inputs &amp; Assumptions'!$B$8/2)),IF('I_Budget Input Data'!$E$144="Mid-weighted",IF(26&lt;='I_Inputs &amp; Assumptions'!$B$8/4,'I_Budget Input Data'!$D$144*0.2/('I_Inputs &amp; Assumptions'!$B$8/4),IF(26&lt;='I_Inputs &amp; Assumptions'!$B$8*0.75,'I_Budget Input Data'!$D$144*0.6/('I_Inputs &amp; Assumptions'!$B$8/2),'I_Budget Input Data'!$D$144*0.2/('I_Inputs &amp; Assumptions'!$B$8/4))),IF('I_Budget Input Data'!$E$144="At Completion",IF(26='I_Inputs &amp; Assumptions'!$B$8,'I_Budget Input Data'!$D$144,0),'I_Budget Input Data'!$D$144/'I_Inputs &amp; Assumptions'!$B$8)))))),0)</f>
        <v>0</v>
      </c>
      <c r="AC144" s="91">
        <f>IF(27&lt;='I_Inputs &amp; Assumptions'!$B$8,IF('I_Budget Input Data'!$E$144="Upfront",IF(27=1,'I_Budget Input Data'!$D$144,0),IF('I_Budget Input Data'!$E$144="Equal",'I_Budget Input Data'!$D$144/'I_Inputs &amp; Assumptions'!$B$8,IF('I_Budget Input Data'!$E$144="Front-loaded",IF(27&lt;='I_Inputs &amp; Assumptions'!$B$8/2,'I_Budget Input Data'!$D$144*0.6/('I_Inputs &amp; Assumptions'!$B$8/2),'I_Budget Input Data'!$D$144*0.4/('I_Inputs &amp; Assumptions'!$B$8/2)),IF('I_Budget Input Data'!$E$144="Back-loaded",IF(27&lt;='I_Inputs &amp; Assumptions'!$B$8/2,'I_Budget Input Data'!$D$144*0.4/('I_Inputs &amp; Assumptions'!$B$8/2),'I_Budget Input Data'!$D$144*0.6/('I_Inputs &amp; Assumptions'!$B$8/2)),IF('I_Budget Input Data'!$E$144="Mid-weighted",IF(27&lt;='I_Inputs &amp; Assumptions'!$B$8/4,'I_Budget Input Data'!$D$144*0.2/('I_Inputs &amp; Assumptions'!$B$8/4),IF(27&lt;='I_Inputs &amp; Assumptions'!$B$8*0.75,'I_Budget Input Data'!$D$144*0.6/('I_Inputs &amp; Assumptions'!$B$8/2),'I_Budget Input Data'!$D$144*0.2/('I_Inputs &amp; Assumptions'!$B$8/4))),IF('I_Budget Input Data'!$E$144="At Completion",IF(27='I_Inputs &amp; Assumptions'!$B$8,'I_Budget Input Data'!$D$144,0),'I_Budget Input Data'!$D$144/'I_Inputs &amp; Assumptions'!$B$8)))))),0)</f>
        <v>0</v>
      </c>
      <c r="AD144" s="91">
        <f>IF(28&lt;='I_Inputs &amp; Assumptions'!$B$8,IF('I_Budget Input Data'!$E$144="Upfront",IF(28=1,'I_Budget Input Data'!$D$144,0),IF('I_Budget Input Data'!$E$144="Equal",'I_Budget Input Data'!$D$144/'I_Inputs &amp; Assumptions'!$B$8,IF('I_Budget Input Data'!$E$144="Front-loaded",IF(28&lt;='I_Inputs &amp; Assumptions'!$B$8/2,'I_Budget Input Data'!$D$144*0.6/('I_Inputs &amp; Assumptions'!$B$8/2),'I_Budget Input Data'!$D$144*0.4/('I_Inputs &amp; Assumptions'!$B$8/2)),IF('I_Budget Input Data'!$E$144="Back-loaded",IF(28&lt;='I_Inputs &amp; Assumptions'!$B$8/2,'I_Budget Input Data'!$D$144*0.4/('I_Inputs &amp; Assumptions'!$B$8/2),'I_Budget Input Data'!$D$144*0.6/('I_Inputs &amp; Assumptions'!$B$8/2)),IF('I_Budget Input Data'!$E$144="Mid-weighted",IF(28&lt;='I_Inputs &amp; Assumptions'!$B$8/4,'I_Budget Input Data'!$D$144*0.2/('I_Inputs &amp; Assumptions'!$B$8/4),IF(28&lt;='I_Inputs &amp; Assumptions'!$B$8*0.75,'I_Budget Input Data'!$D$144*0.6/('I_Inputs &amp; Assumptions'!$B$8/2),'I_Budget Input Data'!$D$144*0.2/('I_Inputs &amp; Assumptions'!$B$8/4))),IF('I_Budget Input Data'!$E$144="At Completion",IF(28='I_Inputs &amp; Assumptions'!$B$8,'I_Budget Input Data'!$D$144,0),'I_Budget Input Data'!$D$144/'I_Inputs &amp; Assumptions'!$B$8)))))),0)</f>
        <v>0</v>
      </c>
      <c r="AE144" s="91">
        <f>IF(29&lt;='I_Inputs &amp; Assumptions'!$B$8,IF('I_Budget Input Data'!$E$144="Upfront",IF(29=1,'I_Budget Input Data'!$D$144,0),IF('I_Budget Input Data'!$E$144="Equal",'I_Budget Input Data'!$D$144/'I_Inputs &amp; Assumptions'!$B$8,IF('I_Budget Input Data'!$E$144="Front-loaded",IF(29&lt;='I_Inputs &amp; Assumptions'!$B$8/2,'I_Budget Input Data'!$D$144*0.6/('I_Inputs &amp; Assumptions'!$B$8/2),'I_Budget Input Data'!$D$144*0.4/('I_Inputs &amp; Assumptions'!$B$8/2)),IF('I_Budget Input Data'!$E$144="Back-loaded",IF(29&lt;='I_Inputs &amp; Assumptions'!$B$8/2,'I_Budget Input Data'!$D$144*0.4/('I_Inputs &amp; Assumptions'!$B$8/2),'I_Budget Input Data'!$D$144*0.6/('I_Inputs &amp; Assumptions'!$B$8/2)),IF('I_Budget Input Data'!$E$144="Mid-weighted",IF(29&lt;='I_Inputs &amp; Assumptions'!$B$8/4,'I_Budget Input Data'!$D$144*0.2/('I_Inputs &amp; Assumptions'!$B$8/4),IF(29&lt;='I_Inputs &amp; Assumptions'!$B$8*0.75,'I_Budget Input Data'!$D$144*0.6/('I_Inputs &amp; Assumptions'!$B$8/2),'I_Budget Input Data'!$D$144*0.2/('I_Inputs &amp; Assumptions'!$B$8/4))),IF('I_Budget Input Data'!$E$144="At Completion",IF(29='I_Inputs &amp; Assumptions'!$B$8,'I_Budget Input Data'!$D$144,0),'I_Budget Input Data'!$D$144/'I_Inputs &amp; Assumptions'!$B$8)))))),0)</f>
        <v>0</v>
      </c>
      <c r="AF144" s="91">
        <f>IF(30&lt;='I_Inputs &amp; Assumptions'!$B$8,IF('I_Budget Input Data'!$E$144="Upfront",IF(30=1,'I_Budget Input Data'!$D$144,0),IF('I_Budget Input Data'!$E$144="Equal",'I_Budget Input Data'!$D$144/'I_Inputs &amp; Assumptions'!$B$8,IF('I_Budget Input Data'!$E$144="Front-loaded",IF(30&lt;='I_Inputs &amp; Assumptions'!$B$8/2,'I_Budget Input Data'!$D$144*0.6/('I_Inputs &amp; Assumptions'!$B$8/2),'I_Budget Input Data'!$D$144*0.4/('I_Inputs &amp; Assumptions'!$B$8/2)),IF('I_Budget Input Data'!$E$144="Back-loaded",IF(30&lt;='I_Inputs &amp; Assumptions'!$B$8/2,'I_Budget Input Data'!$D$144*0.4/('I_Inputs &amp; Assumptions'!$B$8/2),'I_Budget Input Data'!$D$144*0.6/('I_Inputs &amp; Assumptions'!$B$8/2)),IF('I_Budget Input Data'!$E$144="Mid-weighted",IF(30&lt;='I_Inputs &amp; Assumptions'!$B$8/4,'I_Budget Input Data'!$D$144*0.2/('I_Inputs &amp; Assumptions'!$B$8/4),IF(30&lt;='I_Inputs &amp; Assumptions'!$B$8*0.75,'I_Budget Input Data'!$D$144*0.6/('I_Inputs &amp; Assumptions'!$B$8/2),'I_Budget Input Data'!$D$144*0.2/('I_Inputs &amp; Assumptions'!$B$8/4))),IF('I_Budget Input Data'!$E$144="At Completion",IF(30='I_Inputs &amp; Assumptions'!$B$8,'I_Budget Input Data'!$D$144,0),'I_Budget Input Data'!$D$144/'I_Inputs &amp; Assumptions'!$B$8)))))),0)</f>
        <v>0</v>
      </c>
      <c r="AG144" s="91">
        <f>IF(31&lt;='I_Inputs &amp; Assumptions'!$B$8,IF('I_Budget Input Data'!$E$144="Upfront",IF(31=1,'I_Budget Input Data'!$D$144,0),IF('I_Budget Input Data'!$E$144="Equal",'I_Budget Input Data'!$D$144/'I_Inputs &amp; Assumptions'!$B$8,IF('I_Budget Input Data'!$E$144="Front-loaded",IF(31&lt;='I_Inputs &amp; Assumptions'!$B$8/2,'I_Budget Input Data'!$D$144*0.6/('I_Inputs &amp; Assumptions'!$B$8/2),'I_Budget Input Data'!$D$144*0.4/('I_Inputs &amp; Assumptions'!$B$8/2)),IF('I_Budget Input Data'!$E$144="Back-loaded",IF(31&lt;='I_Inputs &amp; Assumptions'!$B$8/2,'I_Budget Input Data'!$D$144*0.4/('I_Inputs &amp; Assumptions'!$B$8/2),'I_Budget Input Data'!$D$144*0.6/('I_Inputs &amp; Assumptions'!$B$8/2)),IF('I_Budget Input Data'!$E$144="Mid-weighted",IF(31&lt;='I_Inputs &amp; Assumptions'!$B$8/4,'I_Budget Input Data'!$D$144*0.2/('I_Inputs &amp; Assumptions'!$B$8/4),IF(31&lt;='I_Inputs &amp; Assumptions'!$B$8*0.75,'I_Budget Input Data'!$D$144*0.6/('I_Inputs &amp; Assumptions'!$B$8/2),'I_Budget Input Data'!$D$144*0.2/('I_Inputs &amp; Assumptions'!$B$8/4))),IF('I_Budget Input Data'!$E$144="At Completion",IF(31='I_Inputs &amp; Assumptions'!$B$8,'I_Budget Input Data'!$D$144,0),'I_Budget Input Data'!$D$144/'I_Inputs &amp; Assumptions'!$B$8)))))),0)</f>
        <v>0</v>
      </c>
      <c r="AH144" s="91">
        <f>IF(32&lt;='I_Inputs &amp; Assumptions'!$B$8,IF('I_Budget Input Data'!$E$144="Upfront",IF(32=1,'I_Budget Input Data'!$D$144,0),IF('I_Budget Input Data'!$E$144="Equal",'I_Budget Input Data'!$D$144/'I_Inputs &amp; Assumptions'!$B$8,IF('I_Budget Input Data'!$E$144="Front-loaded",IF(32&lt;='I_Inputs &amp; Assumptions'!$B$8/2,'I_Budget Input Data'!$D$144*0.6/('I_Inputs &amp; Assumptions'!$B$8/2),'I_Budget Input Data'!$D$144*0.4/('I_Inputs &amp; Assumptions'!$B$8/2)),IF('I_Budget Input Data'!$E$144="Back-loaded",IF(32&lt;='I_Inputs &amp; Assumptions'!$B$8/2,'I_Budget Input Data'!$D$144*0.4/('I_Inputs &amp; Assumptions'!$B$8/2),'I_Budget Input Data'!$D$144*0.6/('I_Inputs &amp; Assumptions'!$B$8/2)),IF('I_Budget Input Data'!$E$144="Mid-weighted",IF(32&lt;='I_Inputs &amp; Assumptions'!$B$8/4,'I_Budget Input Data'!$D$144*0.2/('I_Inputs &amp; Assumptions'!$B$8/4),IF(32&lt;='I_Inputs &amp; Assumptions'!$B$8*0.75,'I_Budget Input Data'!$D$144*0.6/('I_Inputs &amp; Assumptions'!$B$8/2),'I_Budget Input Data'!$D$144*0.2/('I_Inputs &amp; Assumptions'!$B$8/4))),IF('I_Budget Input Data'!$E$144="At Completion",IF(32='I_Inputs &amp; Assumptions'!$B$8,'I_Budget Input Data'!$D$144,0),'I_Budget Input Data'!$D$144/'I_Inputs &amp; Assumptions'!$B$8)))))),0)</f>
        <v>0</v>
      </c>
      <c r="AI144" s="91">
        <f>IF(33&lt;='I_Inputs &amp; Assumptions'!$B$8,IF('I_Budget Input Data'!$E$144="Upfront",IF(33=1,'I_Budget Input Data'!$D$144,0),IF('I_Budget Input Data'!$E$144="Equal",'I_Budget Input Data'!$D$144/'I_Inputs &amp; Assumptions'!$B$8,IF('I_Budget Input Data'!$E$144="Front-loaded",IF(33&lt;='I_Inputs &amp; Assumptions'!$B$8/2,'I_Budget Input Data'!$D$144*0.6/('I_Inputs &amp; Assumptions'!$B$8/2),'I_Budget Input Data'!$D$144*0.4/('I_Inputs &amp; Assumptions'!$B$8/2)),IF('I_Budget Input Data'!$E$144="Back-loaded",IF(33&lt;='I_Inputs &amp; Assumptions'!$B$8/2,'I_Budget Input Data'!$D$144*0.4/('I_Inputs &amp; Assumptions'!$B$8/2),'I_Budget Input Data'!$D$144*0.6/('I_Inputs &amp; Assumptions'!$B$8/2)),IF('I_Budget Input Data'!$E$144="Mid-weighted",IF(33&lt;='I_Inputs &amp; Assumptions'!$B$8/4,'I_Budget Input Data'!$D$144*0.2/('I_Inputs &amp; Assumptions'!$B$8/4),IF(33&lt;='I_Inputs &amp; Assumptions'!$B$8*0.75,'I_Budget Input Data'!$D$144*0.6/('I_Inputs &amp; Assumptions'!$B$8/2),'I_Budget Input Data'!$D$144*0.2/('I_Inputs &amp; Assumptions'!$B$8/4))),IF('I_Budget Input Data'!$E$144="At Completion",IF(33='I_Inputs &amp; Assumptions'!$B$8,'I_Budget Input Data'!$D$144,0),'I_Budget Input Data'!$D$144/'I_Inputs &amp; Assumptions'!$B$8)))))),0)</f>
        <v>0</v>
      </c>
      <c r="AJ144" s="91">
        <f>IF(34&lt;='I_Inputs &amp; Assumptions'!$B$8,IF('I_Budget Input Data'!$E$144="Upfront",IF(34=1,'I_Budget Input Data'!$D$144,0),IF('I_Budget Input Data'!$E$144="Equal",'I_Budget Input Data'!$D$144/'I_Inputs &amp; Assumptions'!$B$8,IF('I_Budget Input Data'!$E$144="Front-loaded",IF(34&lt;='I_Inputs &amp; Assumptions'!$B$8/2,'I_Budget Input Data'!$D$144*0.6/('I_Inputs &amp; Assumptions'!$B$8/2),'I_Budget Input Data'!$D$144*0.4/('I_Inputs &amp; Assumptions'!$B$8/2)),IF('I_Budget Input Data'!$E$144="Back-loaded",IF(34&lt;='I_Inputs &amp; Assumptions'!$B$8/2,'I_Budget Input Data'!$D$144*0.4/('I_Inputs &amp; Assumptions'!$B$8/2),'I_Budget Input Data'!$D$144*0.6/('I_Inputs &amp; Assumptions'!$B$8/2)),IF('I_Budget Input Data'!$E$144="Mid-weighted",IF(34&lt;='I_Inputs &amp; Assumptions'!$B$8/4,'I_Budget Input Data'!$D$144*0.2/('I_Inputs &amp; Assumptions'!$B$8/4),IF(34&lt;='I_Inputs &amp; Assumptions'!$B$8*0.75,'I_Budget Input Data'!$D$144*0.6/('I_Inputs &amp; Assumptions'!$B$8/2),'I_Budget Input Data'!$D$144*0.2/('I_Inputs &amp; Assumptions'!$B$8/4))),IF('I_Budget Input Data'!$E$144="At Completion",IF(34='I_Inputs &amp; Assumptions'!$B$8,'I_Budget Input Data'!$D$144,0),'I_Budget Input Data'!$D$144/'I_Inputs &amp; Assumptions'!$B$8)))))),0)</f>
        <v>0</v>
      </c>
      <c r="AK144" s="91">
        <f>IF(35&lt;='I_Inputs &amp; Assumptions'!$B$8,IF('I_Budget Input Data'!$E$144="Upfront",IF(35=1,'I_Budget Input Data'!$D$144,0),IF('I_Budget Input Data'!$E$144="Equal",'I_Budget Input Data'!$D$144/'I_Inputs &amp; Assumptions'!$B$8,IF('I_Budget Input Data'!$E$144="Front-loaded",IF(35&lt;='I_Inputs &amp; Assumptions'!$B$8/2,'I_Budget Input Data'!$D$144*0.6/('I_Inputs &amp; Assumptions'!$B$8/2),'I_Budget Input Data'!$D$144*0.4/('I_Inputs &amp; Assumptions'!$B$8/2)),IF('I_Budget Input Data'!$E$144="Back-loaded",IF(35&lt;='I_Inputs &amp; Assumptions'!$B$8/2,'I_Budget Input Data'!$D$144*0.4/('I_Inputs &amp; Assumptions'!$B$8/2),'I_Budget Input Data'!$D$144*0.6/('I_Inputs &amp; Assumptions'!$B$8/2)),IF('I_Budget Input Data'!$E$144="Mid-weighted",IF(35&lt;='I_Inputs &amp; Assumptions'!$B$8/4,'I_Budget Input Data'!$D$144*0.2/('I_Inputs &amp; Assumptions'!$B$8/4),IF(35&lt;='I_Inputs &amp; Assumptions'!$B$8*0.75,'I_Budget Input Data'!$D$144*0.6/('I_Inputs &amp; Assumptions'!$B$8/2),'I_Budget Input Data'!$D$144*0.2/('I_Inputs &amp; Assumptions'!$B$8/4))),IF('I_Budget Input Data'!$E$144="At Completion",IF(35='I_Inputs &amp; Assumptions'!$B$8,'I_Budget Input Data'!$D$144,0),'I_Budget Input Data'!$D$144/'I_Inputs &amp; Assumptions'!$B$8)))))),0)</f>
        <v>0</v>
      </c>
      <c r="AL144" s="91">
        <f>IF(36&lt;='I_Inputs &amp; Assumptions'!$B$8,IF('I_Budget Input Data'!$E$144="Upfront",IF(36=1,'I_Budget Input Data'!$D$144,0),IF('I_Budget Input Data'!$E$144="Equal",'I_Budget Input Data'!$D$144/'I_Inputs &amp; Assumptions'!$B$8,IF('I_Budget Input Data'!$E$144="Front-loaded",IF(36&lt;='I_Inputs &amp; Assumptions'!$B$8/2,'I_Budget Input Data'!$D$144*0.6/('I_Inputs &amp; Assumptions'!$B$8/2),'I_Budget Input Data'!$D$144*0.4/('I_Inputs &amp; Assumptions'!$B$8/2)),IF('I_Budget Input Data'!$E$144="Back-loaded",IF(36&lt;='I_Inputs &amp; Assumptions'!$B$8/2,'I_Budget Input Data'!$D$144*0.4/('I_Inputs &amp; Assumptions'!$B$8/2),'I_Budget Input Data'!$D$144*0.6/('I_Inputs &amp; Assumptions'!$B$8/2)),IF('I_Budget Input Data'!$E$144="Mid-weighted",IF(36&lt;='I_Inputs &amp; Assumptions'!$B$8/4,'I_Budget Input Data'!$D$144*0.2/('I_Inputs &amp; Assumptions'!$B$8/4),IF(36&lt;='I_Inputs &amp; Assumptions'!$B$8*0.75,'I_Budget Input Data'!$D$144*0.6/('I_Inputs &amp; Assumptions'!$B$8/2),'I_Budget Input Data'!$D$144*0.2/('I_Inputs &amp; Assumptions'!$B$8/4))),IF('I_Budget Input Data'!$E$144="At Completion",IF(36='I_Inputs &amp; Assumptions'!$B$8,'I_Budget Input Data'!$D$144,0),'I_Budget Input Data'!$D$144/'I_Inputs &amp; Assumptions'!$B$8)))))),0)</f>
        <v>0</v>
      </c>
    </row>
    <row r="145" spans="1:38" ht="15" customHeight="1" x14ac:dyDescent="0.2">
      <c r="A145" t="s">
        <v>248</v>
      </c>
      <c r="B145" t="s">
        <v>260</v>
      </c>
      <c r="C145" s="91">
        <f>IF(1&lt;='I_Inputs &amp; Assumptions'!$B$8,IF('I_Budget Input Data'!$E$145="Upfront",IF(1=1,'I_Budget Input Data'!$D$145,0),IF('I_Budget Input Data'!$E$145="Equal",'I_Budget Input Data'!$D$145/'I_Inputs &amp; Assumptions'!$B$8,IF('I_Budget Input Data'!$E$145="Front-loaded",IF(1&lt;='I_Inputs &amp; Assumptions'!$B$8/2,'I_Budget Input Data'!$D$145*0.6/('I_Inputs &amp; Assumptions'!$B$8/2),'I_Budget Input Data'!$D$145*0.4/('I_Inputs &amp; Assumptions'!$B$8/2)),IF('I_Budget Input Data'!$E$145="Back-loaded",IF(1&lt;='I_Inputs &amp; Assumptions'!$B$8/2,'I_Budget Input Data'!$D$145*0.4/('I_Inputs &amp; Assumptions'!$B$8/2),'I_Budget Input Data'!$D$145*0.6/('I_Inputs &amp; Assumptions'!$B$8/2)),IF('I_Budget Input Data'!$E$145="Mid-weighted",IF(1&lt;='I_Inputs &amp; Assumptions'!$B$8/4,'I_Budget Input Data'!$D$145*0.2/('I_Inputs &amp; Assumptions'!$B$8/4),IF(1&lt;='I_Inputs &amp; Assumptions'!$B$8*0.75,'I_Budget Input Data'!$D$145*0.6/('I_Inputs &amp; Assumptions'!$B$8/2),'I_Budget Input Data'!$D$145*0.2/('I_Inputs &amp; Assumptions'!$B$8/4))),IF('I_Budget Input Data'!$E$145="At Completion",IF(1='I_Inputs &amp; Assumptions'!$B$8,'I_Budget Input Data'!$D$145,0),'I_Budget Input Data'!$D$145/'I_Inputs &amp; Assumptions'!$B$8)))))),0)</f>
        <v>1634.5846153846153</v>
      </c>
      <c r="D145" s="91">
        <f>IF(2&lt;='I_Inputs &amp; Assumptions'!$B$8,IF('I_Budget Input Data'!$E$145="Upfront",IF(2=1,'I_Budget Input Data'!$D$145,0),IF('I_Budget Input Data'!$E$145="Equal",'I_Budget Input Data'!$D$145/'I_Inputs &amp; Assumptions'!$B$8,IF('I_Budget Input Data'!$E$145="Front-loaded",IF(2&lt;='I_Inputs &amp; Assumptions'!$B$8/2,'I_Budget Input Data'!$D$145*0.6/('I_Inputs &amp; Assumptions'!$B$8/2),'I_Budget Input Data'!$D$145*0.4/('I_Inputs &amp; Assumptions'!$B$8/2)),IF('I_Budget Input Data'!$E$145="Back-loaded",IF(2&lt;='I_Inputs &amp; Assumptions'!$B$8/2,'I_Budget Input Data'!$D$145*0.4/('I_Inputs &amp; Assumptions'!$B$8/2),'I_Budget Input Data'!$D$145*0.6/('I_Inputs &amp; Assumptions'!$B$8/2)),IF('I_Budget Input Data'!$E$145="Mid-weighted",IF(2&lt;='I_Inputs &amp; Assumptions'!$B$8/4,'I_Budget Input Data'!$D$145*0.2/('I_Inputs &amp; Assumptions'!$B$8/4),IF(2&lt;='I_Inputs &amp; Assumptions'!$B$8*0.75,'I_Budget Input Data'!$D$145*0.6/('I_Inputs &amp; Assumptions'!$B$8/2),'I_Budget Input Data'!$D$145*0.2/('I_Inputs &amp; Assumptions'!$B$8/4))),IF('I_Budget Input Data'!$E$145="At Completion",IF(2='I_Inputs &amp; Assumptions'!$B$8,'I_Budget Input Data'!$D$145,0),'I_Budget Input Data'!$D$145/'I_Inputs &amp; Assumptions'!$B$8)))))),0)</f>
        <v>1634.5846153846153</v>
      </c>
      <c r="E145" s="91">
        <f>IF(3&lt;='I_Inputs &amp; Assumptions'!$B$8,IF('I_Budget Input Data'!$E$145="Upfront",IF(3=1,'I_Budget Input Data'!$D$145,0),IF('I_Budget Input Data'!$E$145="Equal",'I_Budget Input Data'!$D$145/'I_Inputs &amp; Assumptions'!$B$8,IF('I_Budget Input Data'!$E$145="Front-loaded",IF(3&lt;='I_Inputs &amp; Assumptions'!$B$8/2,'I_Budget Input Data'!$D$145*0.6/('I_Inputs &amp; Assumptions'!$B$8/2),'I_Budget Input Data'!$D$145*0.4/('I_Inputs &amp; Assumptions'!$B$8/2)),IF('I_Budget Input Data'!$E$145="Back-loaded",IF(3&lt;='I_Inputs &amp; Assumptions'!$B$8/2,'I_Budget Input Data'!$D$145*0.4/('I_Inputs &amp; Assumptions'!$B$8/2),'I_Budget Input Data'!$D$145*0.6/('I_Inputs &amp; Assumptions'!$B$8/2)),IF('I_Budget Input Data'!$E$145="Mid-weighted",IF(3&lt;='I_Inputs &amp; Assumptions'!$B$8/4,'I_Budget Input Data'!$D$145*0.2/('I_Inputs &amp; Assumptions'!$B$8/4),IF(3&lt;='I_Inputs &amp; Assumptions'!$B$8*0.75,'I_Budget Input Data'!$D$145*0.6/('I_Inputs &amp; Assumptions'!$B$8/2),'I_Budget Input Data'!$D$145*0.2/('I_Inputs &amp; Assumptions'!$B$8/4))),IF('I_Budget Input Data'!$E$145="At Completion",IF(3='I_Inputs &amp; Assumptions'!$B$8,'I_Budget Input Data'!$D$145,0),'I_Budget Input Data'!$D$145/'I_Inputs &amp; Assumptions'!$B$8)))))),0)</f>
        <v>1634.5846153846153</v>
      </c>
      <c r="F145" s="91">
        <f>IF(4&lt;='I_Inputs &amp; Assumptions'!$B$8,IF('I_Budget Input Data'!$E$145="Upfront",IF(4=1,'I_Budget Input Data'!$D$145,0),IF('I_Budget Input Data'!$E$145="Equal",'I_Budget Input Data'!$D$145/'I_Inputs &amp; Assumptions'!$B$8,IF('I_Budget Input Data'!$E$145="Front-loaded",IF(4&lt;='I_Inputs &amp; Assumptions'!$B$8/2,'I_Budget Input Data'!$D$145*0.6/('I_Inputs &amp; Assumptions'!$B$8/2),'I_Budget Input Data'!$D$145*0.4/('I_Inputs &amp; Assumptions'!$B$8/2)),IF('I_Budget Input Data'!$E$145="Back-loaded",IF(4&lt;='I_Inputs &amp; Assumptions'!$B$8/2,'I_Budget Input Data'!$D$145*0.4/('I_Inputs &amp; Assumptions'!$B$8/2),'I_Budget Input Data'!$D$145*0.6/('I_Inputs &amp; Assumptions'!$B$8/2)),IF('I_Budget Input Data'!$E$145="Mid-weighted",IF(4&lt;='I_Inputs &amp; Assumptions'!$B$8/4,'I_Budget Input Data'!$D$145*0.2/('I_Inputs &amp; Assumptions'!$B$8/4),IF(4&lt;='I_Inputs &amp; Assumptions'!$B$8*0.75,'I_Budget Input Data'!$D$145*0.6/('I_Inputs &amp; Assumptions'!$B$8/2),'I_Budget Input Data'!$D$145*0.2/('I_Inputs &amp; Assumptions'!$B$8/4))),IF('I_Budget Input Data'!$E$145="At Completion",IF(4='I_Inputs &amp; Assumptions'!$B$8,'I_Budget Input Data'!$D$145,0),'I_Budget Input Data'!$D$145/'I_Inputs &amp; Assumptions'!$B$8)))))),0)</f>
        <v>1634.5846153846153</v>
      </c>
      <c r="G145" s="91">
        <f>IF(5&lt;='I_Inputs &amp; Assumptions'!$B$8,IF('I_Budget Input Data'!$E$145="Upfront",IF(5=1,'I_Budget Input Data'!$D$145,0),IF('I_Budget Input Data'!$E$145="Equal",'I_Budget Input Data'!$D$145/'I_Inputs &amp; Assumptions'!$B$8,IF('I_Budget Input Data'!$E$145="Front-loaded",IF(5&lt;='I_Inputs &amp; Assumptions'!$B$8/2,'I_Budget Input Data'!$D$145*0.6/('I_Inputs &amp; Assumptions'!$B$8/2),'I_Budget Input Data'!$D$145*0.4/('I_Inputs &amp; Assumptions'!$B$8/2)),IF('I_Budget Input Data'!$E$145="Back-loaded",IF(5&lt;='I_Inputs &amp; Assumptions'!$B$8/2,'I_Budget Input Data'!$D$145*0.4/('I_Inputs &amp; Assumptions'!$B$8/2),'I_Budget Input Data'!$D$145*0.6/('I_Inputs &amp; Assumptions'!$B$8/2)),IF('I_Budget Input Data'!$E$145="Mid-weighted",IF(5&lt;='I_Inputs &amp; Assumptions'!$B$8/4,'I_Budget Input Data'!$D$145*0.2/('I_Inputs &amp; Assumptions'!$B$8/4),IF(5&lt;='I_Inputs &amp; Assumptions'!$B$8*0.75,'I_Budget Input Data'!$D$145*0.6/('I_Inputs &amp; Assumptions'!$B$8/2),'I_Budget Input Data'!$D$145*0.2/('I_Inputs &amp; Assumptions'!$B$8/4))),IF('I_Budget Input Data'!$E$145="At Completion",IF(5='I_Inputs &amp; Assumptions'!$B$8,'I_Budget Input Data'!$D$145,0),'I_Budget Input Data'!$D$145/'I_Inputs &amp; Assumptions'!$B$8)))))),0)</f>
        <v>1634.5846153846153</v>
      </c>
      <c r="H145" s="91">
        <f>IF(6&lt;='I_Inputs &amp; Assumptions'!$B$8,IF('I_Budget Input Data'!$E$145="Upfront",IF(6=1,'I_Budget Input Data'!$D$145,0),IF('I_Budget Input Data'!$E$145="Equal",'I_Budget Input Data'!$D$145/'I_Inputs &amp; Assumptions'!$B$8,IF('I_Budget Input Data'!$E$145="Front-loaded",IF(6&lt;='I_Inputs &amp; Assumptions'!$B$8/2,'I_Budget Input Data'!$D$145*0.6/('I_Inputs &amp; Assumptions'!$B$8/2),'I_Budget Input Data'!$D$145*0.4/('I_Inputs &amp; Assumptions'!$B$8/2)),IF('I_Budget Input Data'!$E$145="Back-loaded",IF(6&lt;='I_Inputs &amp; Assumptions'!$B$8/2,'I_Budget Input Data'!$D$145*0.4/('I_Inputs &amp; Assumptions'!$B$8/2),'I_Budget Input Data'!$D$145*0.6/('I_Inputs &amp; Assumptions'!$B$8/2)),IF('I_Budget Input Data'!$E$145="Mid-weighted",IF(6&lt;='I_Inputs &amp; Assumptions'!$B$8/4,'I_Budget Input Data'!$D$145*0.2/('I_Inputs &amp; Assumptions'!$B$8/4),IF(6&lt;='I_Inputs &amp; Assumptions'!$B$8*0.75,'I_Budget Input Data'!$D$145*0.6/('I_Inputs &amp; Assumptions'!$B$8/2),'I_Budget Input Data'!$D$145*0.2/('I_Inputs &amp; Assumptions'!$B$8/4))),IF('I_Budget Input Data'!$E$145="At Completion",IF(6='I_Inputs &amp; Assumptions'!$B$8,'I_Budget Input Data'!$D$145,0),'I_Budget Input Data'!$D$145/'I_Inputs &amp; Assumptions'!$B$8)))))),0)</f>
        <v>1634.5846153846153</v>
      </c>
      <c r="I145" s="91">
        <f>IF(7&lt;='I_Inputs &amp; Assumptions'!$B$8,IF('I_Budget Input Data'!$E$145="Upfront",IF(7=1,'I_Budget Input Data'!$D$145,0),IF('I_Budget Input Data'!$E$145="Equal",'I_Budget Input Data'!$D$145/'I_Inputs &amp; Assumptions'!$B$8,IF('I_Budget Input Data'!$E$145="Front-loaded",IF(7&lt;='I_Inputs &amp; Assumptions'!$B$8/2,'I_Budget Input Data'!$D$145*0.6/('I_Inputs &amp; Assumptions'!$B$8/2),'I_Budget Input Data'!$D$145*0.4/('I_Inputs &amp; Assumptions'!$B$8/2)),IF('I_Budget Input Data'!$E$145="Back-loaded",IF(7&lt;='I_Inputs &amp; Assumptions'!$B$8/2,'I_Budget Input Data'!$D$145*0.4/('I_Inputs &amp; Assumptions'!$B$8/2),'I_Budget Input Data'!$D$145*0.6/('I_Inputs &amp; Assumptions'!$B$8/2)),IF('I_Budget Input Data'!$E$145="Mid-weighted",IF(7&lt;='I_Inputs &amp; Assumptions'!$B$8/4,'I_Budget Input Data'!$D$145*0.2/('I_Inputs &amp; Assumptions'!$B$8/4),IF(7&lt;='I_Inputs &amp; Assumptions'!$B$8*0.75,'I_Budget Input Data'!$D$145*0.6/('I_Inputs &amp; Assumptions'!$B$8/2),'I_Budget Input Data'!$D$145*0.2/('I_Inputs &amp; Assumptions'!$B$8/4))),IF('I_Budget Input Data'!$E$145="At Completion",IF(7='I_Inputs &amp; Assumptions'!$B$8,'I_Budget Input Data'!$D$145,0),'I_Budget Input Data'!$D$145/'I_Inputs &amp; Assumptions'!$B$8)))))),0)</f>
        <v>1089.7230769230771</v>
      </c>
      <c r="J145" s="91">
        <f>IF(8&lt;='I_Inputs &amp; Assumptions'!$B$8,IF('I_Budget Input Data'!$E$145="Upfront",IF(8=1,'I_Budget Input Data'!$D$145,0),IF('I_Budget Input Data'!$E$145="Equal",'I_Budget Input Data'!$D$145/'I_Inputs &amp; Assumptions'!$B$8,IF('I_Budget Input Data'!$E$145="Front-loaded",IF(8&lt;='I_Inputs &amp; Assumptions'!$B$8/2,'I_Budget Input Data'!$D$145*0.6/('I_Inputs &amp; Assumptions'!$B$8/2),'I_Budget Input Data'!$D$145*0.4/('I_Inputs &amp; Assumptions'!$B$8/2)),IF('I_Budget Input Data'!$E$145="Back-loaded",IF(8&lt;='I_Inputs &amp; Assumptions'!$B$8/2,'I_Budget Input Data'!$D$145*0.4/('I_Inputs &amp; Assumptions'!$B$8/2),'I_Budget Input Data'!$D$145*0.6/('I_Inputs &amp; Assumptions'!$B$8/2)),IF('I_Budget Input Data'!$E$145="Mid-weighted",IF(8&lt;='I_Inputs &amp; Assumptions'!$B$8/4,'I_Budget Input Data'!$D$145*0.2/('I_Inputs &amp; Assumptions'!$B$8/4),IF(8&lt;='I_Inputs &amp; Assumptions'!$B$8*0.75,'I_Budget Input Data'!$D$145*0.6/('I_Inputs &amp; Assumptions'!$B$8/2),'I_Budget Input Data'!$D$145*0.2/('I_Inputs &amp; Assumptions'!$B$8/4))),IF('I_Budget Input Data'!$E$145="At Completion",IF(8='I_Inputs &amp; Assumptions'!$B$8,'I_Budget Input Data'!$D$145,0),'I_Budget Input Data'!$D$145/'I_Inputs &amp; Assumptions'!$B$8)))))),0)</f>
        <v>1089.7230769230771</v>
      </c>
      <c r="K145" s="91">
        <f>IF(9&lt;='I_Inputs &amp; Assumptions'!$B$8,IF('I_Budget Input Data'!$E$145="Upfront",IF(9=1,'I_Budget Input Data'!$D$145,0),IF('I_Budget Input Data'!$E$145="Equal",'I_Budget Input Data'!$D$145/'I_Inputs &amp; Assumptions'!$B$8,IF('I_Budget Input Data'!$E$145="Front-loaded",IF(9&lt;='I_Inputs &amp; Assumptions'!$B$8/2,'I_Budget Input Data'!$D$145*0.6/('I_Inputs &amp; Assumptions'!$B$8/2),'I_Budget Input Data'!$D$145*0.4/('I_Inputs &amp; Assumptions'!$B$8/2)),IF('I_Budget Input Data'!$E$145="Back-loaded",IF(9&lt;='I_Inputs &amp; Assumptions'!$B$8/2,'I_Budget Input Data'!$D$145*0.4/('I_Inputs &amp; Assumptions'!$B$8/2),'I_Budget Input Data'!$D$145*0.6/('I_Inputs &amp; Assumptions'!$B$8/2)),IF('I_Budget Input Data'!$E$145="Mid-weighted",IF(9&lt;='I_Inputs &amp; Assumptions'!$B$8/4,'I_Budget Input Data'!$D$145*0.2/('I_Inputs &amp; Assumptions'!$B$8/4),IF(9&lt;='I_Inputs &amp; Assumptions'!$B$8*0.75,'I_Budget Input Data'!$D$145*0.6/('I_Inputs &amp; Assumptions'!$B$8/2),'I_Budget Input Data'!$D$145*0.2/('I_Inputs &amp; Assumptions'!$B$8/4))),IF('I_Budget Input Data'!$E$145="At Completion",IF(9='I_Inputs &amp; Assumptions'!$B$8,'I_Budget Input Data'!$D$145,0),'I_Budget Input Data'!$D$145/'I_Inputs &amp; Assumptions'!$B$8)))))),0)</f>
        <v>1089.7230769230771</v>
      </c>
      <c r="L145" s="91">
        <f>IF(10&lt;='I_Inputs &amp; Assumptions'!$B$8,IF('I_Budget Input Data'!$E$145="Upfront",IF(10=1,'I_Budget Input Data'!$D$145,0),IF('I_Budget Input Data'!$E$145="Equal",'I_Budget Input Data'!$D$145/'I_Inputs &amp; Assumptions'!$B$8,IF('I_Budget Input Data'!$E$145="Front-loaded",IF(10&lt;='I_Inputs &amp; Assumptions'!$B$8/2,'I_Budget Input Data'!$D$145*0.6/('I_Inputs &amp; Assumptions'!$B$8/2),'I_Budget Input Data'!$D$145*0.4/('I_Inputs &amp; Assumptions'!$B$8/2)),IF('I_Budget Input Data'!$E$145="Back-loaded",IF(10&lt;='I_Inputs &amp; Assumptions'!$B$8/2,'I_Budget Input Data'!$D$145*0.4/('I_Inputs &amp; Assumptions'!$B$8/2),'I_Budget Input Data'!$D$145*0.6/('I_Inputs &amp; Assumptions'!$B$8/2)),IF('I_Budget Input Data'!$E$145="Mid-weighted",IF(10&lt;='I_Inputs &amp; Assumptions'!$B$8/4,'I_Budget Input Data'!$D$145*0.2/('I_Inputs &amp; Assumptions'!$B$8/4),IF(10&lt;='I_Inputs &amp; Assumptions'!$B$8*0.75,'I_Budget Input Data'!$D$145*0.6/('I_Inputs &amp; Assumptions'!$B$8/2),'I_Budget Input Data'!$D$145*0.2/('I_Inputs &amp; Assumptions'!$B$8/4))),IF('I_Budget Input Data'!$E$145="At Completion",IF(10='I_Inputs &amp; Assumptions'!$B$8,'I_Budget Input Data'!$D$145,0),'I_Budget Input Data'!$D$145/'I_Inputs &amp; Assumptions'!$B$8)))))),0)</f>
        <v>1089.7230769230771</v>
      </c>
      <c r="M145" s="91">
        <f>IF(11&lt;='I_Inputs &amp; Assumptions'!$B$8,IF('I_Budget Input Data'!$E$145="Upfront",IF(11=1,'I_Budget Input Data'!$D$145,0),IF('I_Budget Input Data'!$E$145="Equal",'I_Budget Input Data'!$D$145/'I_Inputs &amp; Assumptions'!$B$8,IF('I_Budget Input Data'!$E$145="Front-loaded",IF(11&lt;='I_Inputs &amp; Assumptions'!$B$8/2,'I_Budget Input Data'!$D$145*0.6/('I_Inputs &amp; Assumptions'!$B$8/2),'I_Budget Input Data'!$D$145*0.4/('I_Inputs &amp; Assumptions'!$B$8/2)),IF('I_Budget Input Data'!$E$145="Back-loaded",IF(11&lt;='I_Inputs &amp; Assumptions'!$B$8/2,'I_Budget Input Data'!$D$145*0.4/('I_Inputs &amp; Assumptions'!$B$8/2),'I_Budget Input Data'!$D$145*0.6/('I_Inputs &amp; Assumptions'!$B$8/2)),IF('I_Budget Input Data'!$E$145="Mid-weighted",IF(11&lt;='I_Inputs &amp; Assumptions'!$B$8/4,'I_Budget Input Data'!$D$145*0.2/('I_Inputs &amp; Assumptions'!$B$8/4),IF(11&lt;='I_Inputs &amp; Assumptions'!$B$8*0.75,'I_Budget Input Data'!$D$145*0.6/('I_Inputs &amp; Assumptions'!$B$8/2),'I_Budget Input Data'!$D$145*0.2/('I_Inputs &amp; Assumptions'!$B$8/4))),IF('I_Budget Input Data'!$E$145="At Completion",IF(11='I_Inputs &amp; Assumptions'!$B$8,'I_Budget Input Data'!$D$145,0),'I_Budget Input Data'!$D$145/'I_Inputs &amp; Assumptions'!$B$8)))))),0)</f>
        <v>1089.7230769230771</v>
      </c>
      <c r="N145" s="91">
        <f>IF(12&lt;='I_Inputs &amp; Assumptions'!$B$8,IF('I_Budget Input Data'!$E$145="Upfront",IF(12=1,'I_Budget Input Data'!$D$145,0),IF('I_Budget Input Data'!$E$145="Equal",'I_Budget Input Data'!$D$145/'I_Inputs &amp; Assumptions'!$B$8,IF('I_Budget Input Data'!$E$145="Front-loaded",IF(12&lt;='I_Inputs &amp; Assumptions'!$B$8/2,'I_Budget Input Data'!$D$145*0.6/('I_Inputs &amp; Assumptions'!$B$8/2),'I_Budget Input Data'!$D$145*0.4/('I_Inputs &amp; Assumptions'!$B$8/2)),IF('I_Budget Input Data'!$E$145="Back-loaded",IF(12&lt;='I_Inputs &amp; Assumptions'!$B$8/2,'I_Budget Input Data'!$D$145*0.4/('I_Inputs &amp; Assumptions'!$B$8/2),'I_Budget Input Data'!$D$145*0.6/('I_Inputs &amp; Assumptions'!$B$8/2)),IF('I_Budget Input Data'!$E$145="Mid-weighted",IF(12&lt;='I_Inputs &amp; Assumptions'!$B$8/4,'I_Budget Input Data'!$D$145*0.2/('I_Inputs &amp; Assumptions'!$B$8/4),IF(12&lt;='I_Inputs &amp; Assumptions'!$B$8*0.75,'I_Budget Input Data'!$D$145*0.6/('I_Inputs &amp; Assumptions'!$B$8/2),'I_Budget Input Data'!$D$145*0.2/('I_Inputs &amp; Assumptions'!$B$8/4))),IF('I_Budget Input Data'!$E$145="At Completion",IF(12='I_Inputs &amp; Assumptions'!$B$8,'I_Budget Input Data'!$D$145,0),'I_Budget Input Data'!$D$145/'I_Inputs &amp; Assumptions'!$B$8)))))),0)</f>
        <v>1089.7230769230771</v>
      </c>
      <c r="O145" s="91">
        <f>IF(13&lt;='I_Inputs &amp; Assumptions'!$B$8,IF('I_Budget Input Data'!$E$145="Upfront",IF(13=1,'I_Budget Input Data'!$D$145,0),IF('I_Budget Input Data'!$E$145="Equal",'I_Budget Input Data'!$D$145/'I_Inputs &amp; Assumptions'!$B$8,IF('I_Budget Input Data'!$E$145="Front-loaded",IF(13&lt;='I_Inputs &amp; Assumptions'!$B$8/2,'I_Budget Input Data'!$D$145*0.6/('I_Inputs &amp; Assumptions'!$B$8/2),'I_Budget Input Data'!$D$145*0.4/('I_Inputs &amp; Assumptions'!$B$8/2)),IF('I_Budget Input Data'!$E$145="Back-loaded",IF(13&lt;='I_Inputs &amp; Assumptions'!$B$8/2,'I_Budget Input Data'!$D$145*0.4/('I_Inputs &amp; Assumptions'!$B$8/2),'I_Budget Input Data'!$D$145*0.6/('I_Inputs &amp; Assumptions'!$B$8/2)),IF('I_Budget Input Data'!$E$145="Mid-weighted",IF(13&lt;='I_Inputs &amp; Assumptions'!$B$8/4,'I_Budget Input Data'!$D$145*0.2/('I_Inputs &amp; Assumptions'!$B$8/4),IF(13&lt;='I_Inputs &amp; Assumptions'!$B$8*0.75,'I_Budget Input Data'!$D$145*0.6/('I_Inputs &amp; Assumptions'!$B$8/2),'I_Budget Input Data'!$D$145*0.2/('I_Inputs &amp; Assumptions'!$B$8/4))),IF('I_Budget Input Data'!$E$145="At Completion",IF(13='I_Inputs &amp; Assumptions'!$B$8,'I_Budget Input Data'!$D$145,0),'I_Budget Input Data'!$D$145/'I_Inputs &amp; Assumptions'!$B$8)))))),0)</f>
        <v>1089.7230769230771</v>
      </c>
      <c r="P145" s="91">
        <f>IF(14&lt;='I_Inputs &amp; Assumptions'!$B$8,IF('I_Budget Input Data'!$E$145="Upfront",IF(14=1,'I_Budget Input Data'!$D$145,0),IF('I_Budget Input Data'!$E$145="Equal",'I_Budget Input Data'!$D$145/'I_Inputs &amp; Assumptions'!$B$8,IF('I_Budget Input Data'!$E$145="Front-loaded",IF(14&lt;='I_Inputs &amp; Assumptions'!$B$8/2,'I_Budget Input Data'!$D$145*0.6/('I_Inputs &amp; Assumptions'!$B$8/2),'I_Budget Input Data'!$D$145*0.4/('I_Inputs &amp; Assumptions'!$B$8/2)),IF('I_Budget Input Data'!$E$145="Back-loaded",IF(14&lt;='I_Inputs &amp; Assumptions'!$B$8/2,'I_Budget Input Data'!$D$145*0.4/('I_Inputs &amp; Assumptions'!$B$8/2),'I_Budget Input Data'!$D$145*0.6/('I_Inputs &amp; Assumptions'!$B$8/2)),IF('I_Budget Input Data'!$E$145="Mid-weighted",IF(14&lt;='I_Inputs &amp; Assumptions'!$B$8/4,'I_Budget Input Data'!$D$145*0.2/('I_Inputs &amp; Assumptions'!$B$8/4),IF(14&lt;='I_Inputs &amp; Assumptions'!$B$8*0.75,'I_Budget Input Data'!$D$145*0.6/('I_Inputs &amp; Assumptions'!$B$8/2),'I_Budget Input Data'!$D$145*0.2/('I_Inputs &amp; Assumptions'!$B$8/4))),IF('I_Budget Input Data'!$E$145="At Completion",IF(14='I_Inputs &amp; Assumptions'!$B$8,'I_Budget Input Data'!$D$145,0),'I_Budget Input Data'!$D$145/'I_Inputs &amp; Assumptions'!$B$8)))))),0)</f>
        <v>0</v>
      </c>
      <c r="Q145" s="91">
        <f>IF(15&lt;='I_Inputs &amp; Assumptions'!$B$8,IF('I_Budget Input Data'!$E$145="Upfront",IF(15=1,'I_Budget Input Data'!$D$145,0),IF('I_Budget Input Data'!$E$145="Equal",'I_Budget Input Data'!$D$145/'I_Inputs &amp; Assumptions'!$B$8,IF('I_Budget Input Data'!$E$145="Front-loaded",IF(15&lt;='I_Inputs &amp; Assumptions'!$B$8/2,'I_Budget Input Data'!$D$145*0.6/('I_Inputs &amp; Assumptions'!$B$8/2),'I_Budget Input Data'!$D$145*0.4/('I_Inputs &amp; Assumptions'!$B$8/2)),IF('I_Budget Input Data'!$E$145="Back-loaded",IF(15&lt;='I_Inputs &amp; Assumptions'!$B$8/2,'I_Budget Input Data'!$D$145*0.4/('I_Inputs &amp; Assumptions'!$B$8/2),'I_Budget Input Data'!$D$145*0.6/('I_Inputs &amp; Assumptions'!$B$8/2)),IF('I_Budget Input Data'!$E$145="Mid-weighted",IF(15&lt;='I_Inputs &amp; Assumptions'!$B$8/4,'I_Budget Input Data'!$D$145*0.2/('I_Inputs &amp; Assumptions'!$B$8/4),IF(15&lt;='I_Inputs &amp; Assumptions'!$B$8*0.75,'I_Budget Input Data'!$D$145*0.6/('I_Inputs &amp; Assumptions'!$B$8/2),'I_Budget Input Data'!$D$145*0.2/('I_Inputs &amp; Assumptions'!$B$8/4))),IF('I_Budget Input Data'!$E$145="At Completion",IF(15='I_Inputs &amp; Assumptions'!$B$8,'I_Budget Input Data'!$D$145,0),'I_Budget Input Data'!$D$145/'I_Inputs &amp; Assumptions'!$B$8)))))),0)</f>
        <v>0</v>
      </c>
      <c r="R145" s="91">
        <f>IF(16&lt;='I_Inputs &amp; Assumptions'!$B$8,IF('I_Budget Input Data'!$E$145="Upfront",IF(16=1,'I_Budget Input Data'!$D$145,0),IF('I_Budget Input Data'!$E$145="Equal",'I_Budget Input Data'!$D$145/'I_Inputs &amp; Assumptions'!$B$8,IF('I_Budget Input Data'!$E$145="Front-loaded",IF(16&lt;='I_Inputs &amp; Assumptions'!$B$8/2,'I_Budget Input Data'!$D$145*0.6/('I_Inputs &amp; Assumptions'!$B$8/2),'I_Budget Input Data'!$D$145*0.4/('I_Inputs &amp; Assumptions'!$B$8/2)),IF('I_Budget Input Data'!$E$145="Back-loaded",IF(16&lt;='I_Inputs &amp; Assumptions'!$B$8/2,'I_Budget Input Data'!$D$145*0.4/('I_Inputs &amp; Assumptions'!$B$8/2),'I_Budget Input Data'!$D$145*0.6/('I_Inputs &amp; Assumptions'!$B$8/2)),IF('I_Budget Input Data'!$E$145="Mid-weighted",IF(16&lt;='I_Inputs &amp; Assumptions'!$B$8/4,'I_Budget Input Data'!$D$145*0.2/('I_Inputs &amp; Assumptions'!$B$8/4),IF(16&lt;='I_Inputs &amp; Assumptions'!$B$8*0.75,'I_Budget Input Data'!$D$145*0.6/('I_Inputs &amp; Assumptions'!$B$8/2),'I_Budget Input Data'!$D$145*0.2/('I_Inputs &amp; Assumptions'!$B$8/4))),IF('I_Budget Input Data'!$E$145="At Completion",IF(16='I_Inputs &amp; Assumptions'!$B$8,'I_Budget Input Data'!$D$145,0),'I_Budget Input Data'!$D$145/'I_Inputs &amp; Assumptions'!$B$8)))))),0)</f>
        <v>0</v>
      </c>
      <c r="S145" s="91">
        <f>IF(17&lt;='I_Inputs &amp; Assumptions'!$B$8,IF('I_Budget Input Data'!$E$145="Upfront",IF(17=1,'I_Budget Input Data'!$D$145,0),IF('I_Budget Input Data'!$E$145="Equal",'I_Budget Input Data'!$D$145/'I_Inputs &amp; Assumptions'!$B$8,IF('I_Budget Input Data'!$E$145="Front-loaded",IF(17&lt;='I_Inputs &amp; Assumptions'!$B$8/2,'I_Budget Input Data'!$D$145*0.6/('I_Inputs &amp; Assumptions'!$B$8/2),'I_Budget Input Data'!$D$145*0.4/('I_Inputs &amp; Assumptions'!$B$8/2)),IF('I_Budget Input Data'!$E$145="Back-loaded",IF(17&lt;='I_Inputs &amp; Assumptions'!$B$8/2,'I_Budget Input Data'!$D$145*0.4/('I_Inputs &amp; Assumptions'!$B$8/2),'I_Budget Input Data'!$D$145*0.6/('I_Inputs &amp; Assumptions'!$B$8/2)),IF('I_Budget Input Data'!$E$145="Mid-weighted",IF(17&lt;='I_Inputs &amp; Assumptions'!$B$8/4,'I_Budget Input Data'!$D$145*0.2/('I_Inputs &amp; Assumptions'!$B$8/4),IF(17&lt;='I_Inputs &amp; Assumptions'!$B$8*0.75,'I_Budget Input Data'!$D$145*0.6/('I_Inputs &amp; Assumptions'!$B$8/2),'I_Budget Input Data'!$D$145*0.2/('I_Inputs &amp; Assumptions'!$B$8/4))),IF('I_Budget Input Data'!$E$145="At Completion",IF(17='I_Inputs &amp; Assumptions'!$B$8,'I_Budget Input Data'!$D$145,0),'I_Budget Input Data'!$D$145/'I_Inputs &amp; Assumptions'!$B$8)))))),0)</f>
        <v>0</v>
      </c>
      <c r="T145" s="91">
        <f>IF(18&lt;='I_Inputs &amp; Assumptions'!$B$8,IF('I_Budget Input Data'!$E$145="Upfront",IF(18=1,'I_Budget Input Data'!$D$145,0),IF('I_Budget Input Data'!$E$145="Equal",'I_Budget Input Data'!$D$145/'I_Inputs &amp; Assumptions'!$B$8,IF('I_Budget Input Data'!$E$145="Front-loaded",IF(18&lt;='I_Inputs &amp; Assumptions'!$B$8/2,'I_Budget Input Data'!$D$145*0.6/('I_Inputs &amp; Assumptions'!$B$8/2),'I_Budget Input Data'!$D$145*0.4/('I_Inputs &amp; Assumptions'!$B$8/2)),IF('I_Budget Input Data'!$E$145="Back-loaded",IF(18&lt;='I_Inputs &amp; Assumptions'!$B$8/2,'I_Budget Input Data'!$D$145*0.4/('I_Inputs &amp; Assumptions'!$B$8/2),'I_Budget Input Data'!$D$145*0.6/('I_Inputs &amp; Assumptions'!$B$8/2)),IF('I_Budget Input Data'!$E$145="Mid-weighted",IF(18&lt;='I_Inputs &amp; Assumptions'!$B$8/4,'I_Budget Input Data'!$D$145*0.2/('I_Inputs &amp; Assumptions'!$B$8/4),IF(18&lt;='I_Inputs &amp; Assumptions'!$B$8*0.75,'I_Budget Input Data'!$D$145*0.6/('I_Inputs &amp; Assumptions'!$B$8/2),'I_Budget Input Data'!$D$145*0.2/('I_Inputs &amp; Assumptions'!$B$8/4))),IF('I_Budget Input Data'!$E$145="At Completion",IF(18='I_Inputs &amp; Assumptions'!$B$8,'I_Budget Input Data'!$D$145,0),'I_Budget Input Data'!$D$145/'I_Inputs &amp; Assumptions'!$B$8)))))),0)</f>
        <v>0</v>
      </c>
      <c r="U145" s="91">
        <f>IF(19&lt;='I_Inputs &amp; Assumptions'!$B$8,IF('I_Budget Input Data'!$E$145="Upfront",IF(19=1,'I_Budget Input Data'!$D$145,0),IF('I_Budget Input Data'!$E$145="Equal",'I_Budget Input Data'!$D$145/'I_Inputs &amp; Assumptions'!$B$8,IF('I_Budget Input Data'!$E$145="Front-loaded",IF(19&lt;='I_Inputs &amp; Assumptions'!$B$8/2,'I_Budget Input Data'!$D$145*0.6/('I_Inputs &amp; Assumptions'!$B$8/2),'I_Budget Input Data'!$D$145*0.4/('I_Inputs &amp; Assumptions'!$B$8/2)),IF('I_Budget Input Data'!$E$145="Back-loaded",IF(19&lt;='I_Inputs &amp; Assumptions'!$B$8/2,'I_Budget Input Data'!$D$145*0.4/('I_Inputs &amp; Assumptions'!$B$8/2),'I_Budget Input Data'!$D$145*0.6/('I_Inputs &amp; Assumptions'!$B$8/2)),IF('I_Budget Input Data'!$E$145="Mid-weighted",IF(19&lt;='I_Inputs &amp; Assumptions'!$B$8/4,'I_Budget Input Data'!$D$145*0.2/('I_Inputs &amp; Assumptions'!$B$8/4),IF(19&lt;='I_Inputs &amp; Assumptions'!$B$8*0.75,'I_Budget Input Data'!$D$145*0.6/('I_Inputs &amp; Assumptions'!$B$8/2),'I_Budget Input Data'!$D$145*0.2/('I_Inputs &amp; Assumptions'!$B$8/4))),IF('I_Budget Input Data'!$E$145="At Completion",IF(19='I_Inputs &amp; Assumptions'!$B$8,'I_Budget Input Data'!$D$145,0),'I_Budget Input Data'!$D$145/'I_Inputs &amp; Assumptions'!$B$8)))))),0)</f>
        <v>0</v>
      </c>
      <c r="V145" s="91">
        <f>IF(20&lt;='I_Inputs &amp; Assumptions'!$B$8,IF('I_Budget Input Data'!$E$145="Upfront",IF(20=1,'I_Budget Input Data'!$D$145,0),IF('I_Budget Input Data'!$E$145="Equal",'I_Budget Input Data'!$D$145/'I_Inputs &amp; Assumptions'!$B$8,IF('I_Budget Input Data'!$E$145="Front-loaded",IF(20&lt;='I_Inputs &amp; Assumptions'!$B$8/2,'I_Budget Input Data'!$D$145*0.6/('I_Inputs &amp; Assumptions'!$B$8/2),'I_Budget Input Data'!$D$145*0.4/('I_Inputs &amp; Assumptions'!$B$8/2)),IF('I_Budget Input Data'!$E$145="Back-loaded",IF(20&lt;='I_Inputs &amp; Assumptions'!$B$8/2,'I_Budget Input Data'!$D$145*0.4/('I_Inputs &amp; Assumptions'!$B$8/2),'I_Budget Input Data'!$D$145*0.6/('I_Inputs &amp; Assumptions'!$B$8/2)),IF('I_Budget Input Data'!$E$145="Mid-weighted",IF(20&lt;='I_Inputs &amp; Assumptions'!$B$8/4,'I_Budget Input Data'!$D$145*0.2/('I_Inputs &amp; Assumptions'!$B$8/4),IF(20&lt;='I_Inputs &amp; Assumptions'!$B$8*0.75,'I_Budget Input Data'!$D$145*0.6/('I_Inputs &amp; Assumptions'!$B$8/2),'I_Budget Input Data'!$D$145*0.2/('I_Inputs &amp; Assumptions'!$B$8/4))),IF('I_Budget Input Data'!$E$145="At Completion",IF(20='I_Inputs &amp; Assumptions'!$B$8,'I_Budget Input Data'!$D$145,0),'I_Budget Input Data'!$D$145/'I_Inputs &amp; Assumptions'!$B$8)))))),0)</f>
        <v>0</v>
      </c>
      <c r="W145" s="91">
        <f>IF(21&lt;='I_Inputs &amp; Assumptions'!$B$8,IF('I_Budget Input Data'!$E$145="Upfront",IF(21=1,'I_Budget Input Data'!$D$145,0),IF('I_Budget Input Data'!$E$145="Equal",'I_Budget Input Data'!$D$145/'I_Inputs &amp; Assumptions'!$B$8,IF('I_Budget Input Data'!$E$145="Front-loaded",IF(21&lt;='I_Inputs &amp; Assumptions'!$B$8/2,'I_Budget Input Data'!$D$145*0.6/('I_Inputs &amp; Assumptions'!$B$8/2),'I_Budget Input Data'!$D$145*0.4/('I_Inputs &amp; Assumptions'!$B$8/2)),IF('I_Budget Input Data'!$E$145="Back-loaded",IF(21&lt;='I_Inputs &amp; Assumptions'!$B$8/2,'I_Budget Input Data'!$D$145*0.4/('I_Inputs &amp; Assumptions'!$B$8/2),'I_Budget Input Data'!$D$145*0.6/('I_Inputs &amp; Assumptions'!$B$8/2)),IF('I_Budget Input Data'!$E$145="Mid-weighted",IF(21&lt;='I_Inputs &amp; Assumptions'!$B$8/4,'I_Budget Input Data'!$D$145*0.2/('I_Inputs &amp; Assumptions'!$B$8/4),IF(21&lt;='I_Inputs &amp; Assumptions'!$B$8*0.75,'I_Budget Input Data'!$D$145*0.6/('I_Inputs &amp; Assumptions'!$B$8/2),'I_Budget Input Data'!$D$145*0.2/('I_Inputs &amp; Assumptions'!$B$8/4))),IF('I_Budget Input Data'!$E$145="At Completion",IF(21='I_Inputs &amp; Assumptions'!$B$8,'I_Budget Input Data'!$D$145,0),'I_Budget Input Data'!$D$145/'I_Inputs &amp; Assumptions'!$B$8)))))),0)</f>
        <v>0</v>
      </c>
      <c r="X145" s="91">
        <f>IF(22&lt;='I_Inputs &amp; Assumptions'!$B$8,IF('I_Budget Input Data'!$E$145="Upfront",IF(22=1,'I_Budget Input Data'!$D$145,0),IF('I_Budget Input Data'!$E$145="Equal",'I_Budget Input Data'!$D$145/'I_Inputs &amp; Assumptions'!$B$8,IF('I_Budget Input Data'!$E$145="Front-loaded",IF(22&lt;='I_Inputs &amp; Assumptions'!$B$8/2,'I_Budget Input Data'!$D$145*0.6/('I_Inputs &amp; Assumptions'!$B$8/2),'I_Budget Input Data'!$D$145*0.4/('I_Inputs &amp; Assumptions'!$B$8/2)),IF('I_Budget Input Data'!$E$145="Back-loaded",IF(22&lt;='I_Inputs &amp; Assumptions'!$B$8/2,'I_Budget Input Data'!$D$145*0.4/('I_Inputs &amp; Assumptions'!$B$8/2),'I_Budget Input Data'!$D$145*0.6/('I_Inputs &amp; Assumptions'!$B$8/2)),IF('I_Budget Input Data'!$E$145="Mid-weighted",IF(22&lt;='I_Inputs &amp; Assumptions'!$B$8/4,'I_Budget Input Data'!$D$145*0.2/('I_Inputs &amp; Assumptions'!$B$8/4),IF(22&lt;='I_Inputs &amp; Assumptions'!$B$8*0.75,'I_Budget Input Data'!$D$145*0.6/('I_Inputs &amp; Assumptions'!$B$8/2),'I_Budget Input Data'!$D$145*0.2/('I_Inputs &amp; Assumptions'!$B$8/4))),IF('I_Budget Input Data'!$E$145="At Completion",IF(22='I_Inputs &amp; Assumptions'!$B$8,'I_Budget Input Data'!$D$145,0),'I_Budget Input Data'!$D$145/'I_Inputs &amp; Assumptions'!$B$8)))))),0)</f>
        <v>0</v>
      </c>
      <c r="Y145" s="91">
        <f>IF(23&lt;='I_Inputs &amp; Assumptions'!$B$8,IF('I_Budget Input Data'!$E$145="Upfront",IF(23=1,'I_Budget Input Data'!$D$145,0),IF('I_Budget Input Data'!$E$145="Equal",'I_Budget Input Data'!$D$145/'I_Inputs &amp; Assumptions'!$B$8,IF('I_Budget Input Data'!$E$145="Front-loaded",IF(23&lt;='I_Inputs &amp; Assumptions'!$B$8/2,'I_Budget Input Data'!$D$145*0.6/('I_Inputs &amp; Assumptions'!$B$8/2),'I_Budget Input Data'!$D$145*0.4/('I_Inputs &amp; Assumptions'!$B$8/2)),IF('I_Budget Input Data'!$E$145="Back-loaded",IF(23&lt;='I_Inputs &amp; Assumptions'!$B$8/2,'I_Budget Input Data'!$D$145*0.4/('I_Inputs &amp; Assumptions'!$B$8/2),'I_Budget Input Data'!$D$145*0.6/('I_Inputs &amp; Assumptions'!$B$8/2)),IF('I_Budget Input Data'!$E$145="Mid-weighted",IF(23&lt;='I_Inputs &amp; Assumptions'!$B$8/4,'I_Budget Input Data'!$D$145*0.2/('I_Inputs &amp; Assumptions'!$B$8/4),IF(23&lt;='I_Inputs &amp; Assumptions'!$B$8*0.75,'I_Budget Input Data'!$D$145*0.6/('I_Inputs &amp; Assumptions'!$B$8/2),'I_Budget Input Data'!$D$145*0.2/('I_Inputs &amp; Assumptions'!$B$8/4))),IF('I_Budget Input Data'!$E$145="At Completion",IF(23='I_Inputs &amp; Assumptions'!$B$8,'I_Budget Input Data'!$D$145,0),'I_Budget Input Data'!$D$145/'I_Inputs &amp; Assumptions'!$B$8)))))),0)</f>
        <v>0</v>
      </c>
      <c r="Z145" s="91">
        <f>IF(24&lt;='I_Inputs &amp; Assumptions'!$B$8,IF('I_Budget Input Data'!$E$145="Upfront",IF(24=1,'I_Budget Input Data'!$D$145,0),IF('I_Budget Input Data'!$E$145="Equal",'I_Budget Input Data'!$D$145/'I_Inputs &amp; Assumptions'!$B$8,IF('I_Budget Input Data'!$E$145="Front-loaded",IF(24&lt;='I_Inputs &amp; Assumptions'!$B$8/2,'I_Budget Input Data'!$D$145*0.6/('I_Inputs &amp; Assumptions'!$B$8/2),'I_Budget Input Data'!$D$145*0.4/('I_Inputs &amp; Assumptions'!$B$8/2)),IF('I_Budget Input Data'!$E$145="Back-loaded",IF(24&lt;='I_Inputs &amp; Assumptions'!$B$8/2,'I_Budget Input Data'!$D$145*0.4/('I_Inputs &amp; Assumptions'!$B$8/2),'I_Budget Input Data'!$D$145*0.6/('I_Inputs &amp; Assumptions'!$B$8/2)),IF('I_Budget Input Data'!$E$145="Mid-weighted",IF(24&lt;='I_Inputs &amp; Assumptions'!$B$8/4,'I_Budget Input Data'!$D$145*0.2/('I_Inputs &amp; Assumptions'!$B$8/4),IF(24&lt;='I_Inputs &amp; Assumptions'!$B$8*0.75,'I_Budget Input Data'!$D$145*0.6/('I_Inputs &amp; Assumptions'!$B$8/2),'I_Budget Input Data'!$D$145*0.2/('I_Inputs &amp; Assumptions'!$B$8/4))),IF('I_Budget Input Data'!$E$145="At Completion",IF(24='I_Inputs &amp; Assumptions'!$B$8,'I_Budget Input Data'!$D$145,0),'I_Budget Input Data'!$D$145/'I_Inputs &amp; Assumptions'!$B$8)))))),0)</f>
        <v>0</v>
      </c>
      <c r="AA145" s="91">
        <f>IF(25&lt;='I_Inputs &amp; Assumptions'!$B$8,IF('I_Budget Input Data'!$E$145="Upfront",IF(25=1,'I_Budget Input Data'!$D$145,0),IF('I_Budget Input Data'!$E$145="Equal",'I_Budget Input Data'!$D$145/'I_Inputs &amp; Assumptions'!$B$8,IF('I_Budget Input Data'!$E$145="Front-loaded",IF(25&lt;='I_Inputs &amp; Assumptions'!$B$8/2,'I_Budget Input Data'!$D$145*0.6/('I_Inputs &amp; Assumptions'!$B$8/2),'I_Budget Input Data'!$D$145*0.4/('I_Inputs &amp; Assumptions'!$B$8/2)),IF('I_Budget Input Data'!$E$145="Back-loaded",IF(25&lt;='I_Inputs &amp; Assumptions'!$B$8/2,'I_Budget Input Data'!$D$145*0.4/('I_Inputs &amp; Assumptions'!$B$8/2),'I_Budget Input Data'!$D$145*0.6/('I_Inputs &amp; Assumptions'!$B$8/2)),IF('I_Budget Input Data'!$E$145="Mid-weighted",IF(25&lt;='I_Inputs &amp; Assumptions'!$B$8/4,'I_Budget Input Data'!$D$145*0.2/('I_Inputs &amp; Assumptions'!$B$8/4),IF(25&lt;='I_Inputs &amp; Assumptions'!$B$8*0.75,'I_Budget Input Data'!$D$145*0.6/('I_Inputs &amp; Assumptions'!$B$8/2),'I_Budget Input Data'!$D$145*0.2/('I_Inputs &amp; Assumptions'!$B$8/4))),IF('I_Budget Input Data'!$E$145="At Completion",IF(25='I_Inputs &amp; Assumptions'!$B$8,'I_Budget Input Data'!$D$145,0),'I_Budget Input Data'!$D$145/'I_Inputs &amp; Assumptions'!$B$8)))))),0)</f>
        <v>0</v>
      </c>
      <c r="AB145" s="91">
        <f>IF(26&lt;='I_Inputs &amp; Assumptions'!$B$8,IF('I_Budget Input Data'!$E$145="Upfront",IF(26=1,'I_Budget Input Data'!$D$145,0),IF('I_Budget Input Data'!$E$145="Equal",'I_Budget Input Data'!$D$145/'I_Inputs &amp; Assumptions'!$B$8,IF('I_Budget Input Data'!$E$145="Front-loaded",IF(26&lt;='I_Inputs &amp; Assumptions'!$B$8/2,'I_Budget Input Data'!$D$145*0.6/('I_Inputs &amp; Assumptions'!$B$8/2),'I_Budget Input Data'!$D$145*0.4/('I_Inputs &amp; Assumptions'!$B$8/2)),IF('I_Budget Input Data'!$E$145="Back-loaded",IF(26&lt;='I_Inputs &amp; Assumptions'!$B$8/2,'I_Budget Input Data'!$D$145*0.4/('I_Inputs &amp; Assumptions'!$B$8/2),'I_Budget Input Data'!$D$145*0.6/('I_Inputs &amp; Assumptions'!$B$8/2)),IF('I_Budget Input Data'!$E$145="Mid-weighted",IF(26&lt;='I_Inputs &amp; Assumptions'!$B$8/4,'I_Budget Input Data'!$D$145*0.2/('I_Inputs &amp; Assumptions'!$B$8/4),IF(26&lt;='I_Inputs &amp; Assumptions'!$B$8*0.75,'I_Budget Input Data'!$D$145*0.6/('I_Inputs &amp; Assumptions'!$B$8/2),'I_Budget Input Data'!$D$145*0.2/('I_Inputs &amp; Assumptions'!$B$8/4))),IF('I_Budget Input Data'!$E$145="At Completion",IF(26='I_Inputs &amp; Assumptions'!$B$8,'I_Budget Input Data'!$D$145,0),'I_Budget Input Data'!$D$145/'I_Inputs &amp; Assumptions'!$B$8)))))),0)</f>
        <v>0</v>
      </c>
      <c r="AC145" s="91">
        <f>IF(27&lt;='I_Inputs &amp; Assumptions'!$B$8,IF('I_Budget Input Data'!$E$145="Upfront",IF(27=1,'I_Budget Input Data'!$D$145,0),IF('I_Budget Input Data'!$E$145="Equal",'I_Budget Input Data'!$D$145/'I_Inputs &amp; Assumptions'!$B$8,IF('I_Budget Input Data'!$E$145="Front-loaded",IF(27&lt;='I_Inputs &amp; Assumptions'!$B$8/2,'I_Budget Input Data'!$D$145*0.6/('I_Inputs &amp; Assumptions'!$B$8/2),'I_Budget Input Data'!$D$145*0.4/('I_Inputs &amp; Assumptions'!$B$8/2)),IF('I_Budget Input Data'!$E$145="Back-loaded",IF(27&lt;='I_Inputs &amp; Assumptions'!$B$8/2,'I_Budget Input Data'!$D$145*0.4/('I_Inputs &amp; Assumptions'!$B$8/2),'I_Budget Input Data'!$D$145*0.6/('I_Inputs &amp; Assumptions'!$B$8/2)),IF('I_Budget Input Data'!$E$145="Mid-weighted",IF(27&lt;='I_Inputs &amp; Assumptions'!$B$8/4,'I_Budget Input Data'!$D$145*0.2/('I_Inputs &amp; Assumptions'!$B$8/4),IF(27&lt;='I_Inputs &amp; Assumptions'!$B$8*0.75,'I_Budget Input Data'!$D$145*0.6/('I_Inputs &amp; Assumptions'!$B$8/2),'I_Budget Input Data'!$D$145*0.2/('I_Inputs &amp; Assumptions'!$B$8/4))),IF('I_Budget Input Data'!$E$145="At Completion",IF(27='I_Inputs &amp; Assumptions'!$B$8,'I_Budget Input Data'!$D$145,0),'I_Budget Input Data'!$D$145/'I_Inputs &amp; Assumptions'!$B$8)))))),0)</f>
        <v>0</v>
      </c>
      <c r="AD145" s="91">
        <f>IF(28&lt;='I_Inputs &amp; Assumptions'!$B$8,IF('I_Budget Input Data'!$E$145="Upfront",IF(28=1,'I_Budget Input Data'!$D$145,0),IF('I_Budget Input Data'!$E$145="Equal",'I_Budget Input Data'!$D$145/'I_Inputs &amp; Assumptions'!$B$8,IF('I_Budget Input Data'!$E$145="Front-loaded",IF(28&lt;='I_Inputs &amp; Assumptions'!$B$8/2,'I_Budget Input Data'!$D$145*0.6/('I_Inputs &amp; Assumptions'!$B$8/2),'I_Budget Input Data'!$D$145*0.4/('I_Inputs &amp; Assumptions'!$B$8/2)),IF('I_Budget Input Data'!$E$145="Back-loaded",IF(28&lt;='I_Inputs &amp; Assumptions'!$B$8/2,'I_Budget Input Data'!$D$145*0.4/('I_Inputs &amp; Assumptions'!$B$8/2),'I_Budget Input Data'!$D$145*0.6/('I_Inputs &amp; Assumptions'!$B$8/2)),IF('I_Budget Input Data'!$E$145="Mid-weighted",IF(28&lt;='I_Inputs &amp; Assumptions'!$B$8/4,'I_Budget Input Data'!$D$145*0.2/('I_Inputs &amp; Assumptions'!$B$8/4),IF(28&lt;='I_Inputs &amp; Assumptions'!$B$8*0.75,'I_Budget Input Data'!$D$145*0.6/('I_Inputs &amp; Assumptions'!$B$8/2),'I_Budget Input Data'!$D$145*0.2/('I_Inputs &amp; Assumptions'!$B$8/4))),IF('I_Budget Input Data'!$E$145="At Completion",IF(28='I_Inputs &amp; Assumptions'!$B$8,'I_Budget Input Data'!$D$145,0),'I_Budget Input Data'!$D$145/'I_Inputs &amp; Assumptions'!$B$8)))))),0)</f>
        <v>0</v>
      </c>
      <c r="AE145" s="91">
        <f>IF(29&lt;='I_Inputs &amp; Assumptions'!$B$8,IF('I_Budget Input Data'!$E$145="Upfront",IF(29=1,'I_Budget Input Data'!$D$145,0),IF('I_Budget Input Data'!$E$145="Equal",'I_Budget Input Data'!$D$145/'I_Inputs &amp; Assumptions'!$B$8,IF('I_Budget Input Data'!$E$145="Front-loaded",IF(29&lt;='I_Inputs &amp; Assumptions'!$B$8/2,'I_Budget Input Data'!$D$145*0.6/('I_Inputs &amp; Assumptions'!$B$8/2),'I_Budget Input Data'!$D$145*0.4/('I_Inputs &amp; Assumptions'!$B$8/2)),IF('I_Budget Input Data'!$E$145="Back-loaded",IF(29&lt;='I_Inputs &amp; Assumptions'!$B$8/2,'I_Budget Input Data'!$D$145*0.4/('I_Inputs &amp; Assumptions'!$B$8/2),'I_Budget Input Data'!$D$145*0.6/('I_Inputs &amp; Assumptions'!$B$8/2)),IF('I_Budget Input Data'!$E$145="Mid-weighted",IF(29&lt;='I_Inputs &amp; Assumptions'!$B$8/4,'I_Budget Input Data'!$D$145*0.2/('I_Inputs &amp; Assumptions'!$B$8/4),IF(29&lt;='I_Inputs &amp; Assumptions'!$B$8*0.75,'I_Budget Input Data'!$D$145*0.6/('I_Inputs &amp; Assumptions'!$B$8/2),'I_Budget Input Data'!$D$145*0.2/('I_Inputs &amp; Assumptions'!$B$8/4))),IF('I_Budget Input Data'!$E$145="At Completion",IF(29='I_Inputs &amp; Assumptions'!$B$8,'I_Budget Input Data'!$D$145,0),'I_Budget Input Data'!$D$145/'I_Inputs &amp; Assumptions'!$B$8)))))),0)</f>
        <v>0</v>
      </c>
      <c r="AF145" s="91">
        <f>IF(30&lt;='I_Inputs &amp; Assumptions'!$B$8,IF('I_Budget Input Data'!$E$145="Upfront",IF(30=1,'I_Budget Input Data'!$D$145,0),IF('I_Budget Input Data'!$E$145="Equal",'I_Budget Input Data'!$D$145/'I_Inputs &amp; Assumptions'!$B$8,IF('I_Budget Input Data'!$E$145="Front-loaded",IF(30&lt;='I_Inputs &amp; Assumptions'!$B$8/2,'I_Budget Input Data'!$D$145*0.6/('I_Inputs &amp; Assumptions'!$B$8/2),'I_Budget Input Data'!$D$145*0.4/('I_Inputs &amp; Assumptions'!$B$8/2)),IF('I_Budget Input Data'!$E$145="Back-loaded",IF(30&lt;='I_Inputs &amp; Assumptions'!$B$8/2,'I_Budget Input Data'!$D$145*0.4/('I_Inputs &amp; Assumptions'!$B$8/2),'I_Budget Input Data'!$D$145*0.6/('I_Inputs &amp; Assumptions'!$B$8/2)),IF('I_Budget Input Data'!$E$145="Mid-weighted",IF(30&lt;='I_Inputs &amp; Assumptions'!$B$8/4,'I_Budget Input Data'!$D$145*0.2/('I_Inputs &amp; Assumptions'!$B$8/4),IF(30&lt;='I_Inputs &amp; Assumptions'!$B$8*0.75,'I_Budget Input Data'!$D$145*0.6/('I_Inputs &amp; Assumptions'!$B$8/2),'I_Budget Input Data'!$D$145*0.2/('I_Inputs &amp; Assumptions'!$B$8/4))),IF('I_Budget Input Data'!$E$145="At Completion",IF(30='I_Inputs &amp; Assumptions'!$B$8,'I_Budget Input Data'!$D$145,0),'I_Budget Input Data'!$D$145/'I_Inputs &amp; Assumptions'!$B$8)))))),0)</f>
        <v>0</v>
      </c>
      <c r="AG145" s="91">
        <f>IF(31&lt;='I_Inputs &amp; Assumptions'!$B$8,IF('I_Budget Input Data'!$E$145="Upfront",IF(31=1,'I_Budget Input Data'!$D$145,0),IF('I_Budget Input Data'!$E$145="Equal",'I_Budget Input Data'!$D$145/'I_Inputs &amp; Assumptions'!$B$8,IF('I_Budget Input Data'!$E$145="Front-loaded",IF(31&lt;='I_Inputs &amp; Assumptions'!$B$8/2,'I_Budget Input Data'!$D$145*0.6/('I_Inputs &amp; Assumptions'!$B$8/2),'I_Budget Input Data'!$D$145*0.4/('I_Inputs &amp; Assumptions'!$B$8/2)),IF('I_Budget Input Data'!$E$145="Back-loaded",IF(31&lt;='I_Inputs &amp; Assumptions'!$B$8/2,'I_Budget Input Data'!$D$145*0.4/('I_Inputs &amp; Assumptions'!$B$8/2),'I_Budget Input Data'!$D$145*0.6/('I_Inputs &amp; Assumptions'!$B$8/2)),IF('I_Budget Input Data'!$E$145="Mid-weighted",IF(31&lt;='I_Inputs &amp; Assumptions'!$B$8/4,'I_Budget Input Data'!$D$145*0.2/('I_Inputs &amp; Assumptions'!$B$8/4),IF(31&lt;='I_Inputs &amp; Assumptions'!$B$8*0.75,'I_Budget Input Data'!$D$145*0.6/('I_Inputs &amp; Assumptions'!$B$8/2),'I_Budget Input Data'!$D$145*0.2/('I_Inputs &amp; Assumptions'!$B$8/4))),IF('I_Budget Input Data'!$E$145="At Completion",IF(31='I_Inputs &amp; Assumptions'!$B$8,'I_Budget Input Data'!$D$145,0),'I_Budget Input Data'!$D$145/'I_Inputs &amp; Assumptions'!$B$8)))))),0)</f>
        <v>0</v>
      </c>
      <c r="AH145" s="91">
        <f>IF(32&lt;='I_Inputs &amp; Assumptions'!$B$8,IF('I_Budget Input Data'!$E$145="Upfront",IF(32=1,'I_Budget Input Data'!$D$145,0),IF('I_Budget Input Data'!$E$145="Equal",'I_Budget Input Data'!$D$145/'I_Inputs &amp; Assumptions'!$B$8,IF('I_Budget Input Data'!$E$145="Front-loaded",IF(32&lt;='I_Inputs &amp; Assumptions'!$B$8/2,'I_Budget Input Data'!$D$145*0.6/('I_Inputs &amp; Assumptions'!$B$8/2),'I_Budget Input Data'!$D$145*0.4/('I_Inputs &amp; Assumptions'!$B$8/2)),IF('I_Budget Input Data'!$E$145="Back-loaded",IF(32&lt;='I_Inputs &amp; Assumptions'!$B$8/2,'I_Budget Input Data'!$D$145*0.4/('I_Inputs &amp; Assumptions'!$B$8/2),'I_Budget Input Data'!$D$145*0.6/('I_Inputs &amp; Assumptions'!$B$8/2)),IF('I_Budget Input Data'!$E$145="Mid-weighted",IF(32&lt;='I_Inputs &amp; Assumptions'!$B$8/4,'I_Budget Input Data'!$D$145*0.2/('I_Inputs &amp; Assumptions'!$B$8/4),IF(32&lt;='I_Inputs &amp; Assumptions'!$B$8*0.75,'I_Budget Input Data'!$D$145*0.6/('I_Inputs &amp; Assumptions'!$B$8/2),'I_Budget Input Data'!$D$145*0.2/('I_Inputs &amp; Assumptions'!$B$8/4))),IF('I_Budget Input Data'!$E$145="At Completion",IF(32='I_Inputs &amp; Assumptions'!$B$8,'I_Budget Input Data'!$D$145,0),'I_Budget Input Data'!$D$145/'I_Inputs &amp; Assumptions'!$B$8)))))),0)</f>
        <v>0</v>
      </c>
      <c r="AI145" s="91">
        <f>IF(33&lt;='I_Inputs &amp; Assumptions'!$B$8,IF('I_Budget Input Data'!$E$145="Upfront",IF(33=1,'I_Budget Input Data'!$D$145,0),IF('I_Budget Input Data'!$E$145="Equal",'I_Budget Input Data'!$D$145/'I_Inputs &amp; Assumptions'!$B$8,IF('I_Budget Input Data'!$E$145="Front-loaded",IF(33&lt;='I_Inputs &amp; Assumptions'!$B$8/2,'I_Budget Input Data'!$D$145*0.6/('I_Inputs &amp; Assumptions'!$B$8/2),'I_Budget Input Data'!$D$145*0.4/('I_Inputs &amp; Assumptions'!$B$8/2)),IF('I_Budget Input Data'!$E$145="Back-loaded",IF(33&lt;='I_Inputs &amp; Assumptions'!$B$8/2,'I_Budget Input Data'!$D$145*0.4/('I_Inputs &amp; Assumptions'!$B$8/2),'I_Budget Input Data'!$D$145*0.6/('I_Inputs &amp; Assumptions'!$B$8/2)),IF('I_Budget Input Data'!$E$145="Mid-weighted",IF(33&lt;='I_Inputs &amp; Assumptions'!$B$8/4,'I_Budget Input Data'!$D$145*0.2/('I_Inputs &amp; Assumptions'!$B$8/4),IF(33&lt;='I_Inputs &amp; Assumptions'!$B$8*0.75,'I_Budget Input Data'!$D$145*0.6/('I_Inputs &amp; Assumptions'!$B$8/2),'I_Budget Input Data'!$D$145*0.2/('I_Inputs &amp; Assumptions'!$B$8/4))),IF('I_Budget Input Data'!$E$145="At Completion",IF(33='I_Inputs &amp; Assumptions'!$B$8,'I_Budget Input Data'!$D$145,0),'I_Budget Input Data'!$D$145/'I_Inputs &amp; Assumptions'!$B$8)))))),0)</f>
        <v>0</v>
      </c>
      <c r="AJ145" s="91">
        <f>IF(34&lt;='I_Inputs &amp; Assumptions'!$B$8,IF('I_Budget Input Data'!$E$145="Upfront",IF(34=1,'I_Budget Input Data'!$D$145,0),IF('I_Budget Input Data'!$E$145="Equal",'I_Budget Input Data'!$D$145/'I_Inputs &amp; Assumptions'!$B$8,IF('I_Budget Input Data'!$E$145="Front-loaded",IF(34&lt;='I_Inputs &amp; Assumptions'!$B$8/2,'I_Budget Input Data'!$D$145*0.6/('I_Inputs &amp; Assumptions'!$B$8/2),'I_Budget Input Data'!$D$145*0.4/('I_Inputs &amp; Assumptions'!$B$8/2)),IF('I_Budget Input Data'!$E$145="Back-loaded",IF(34&lt;='I_Inputs &amp; Assumptions'!$B$8/2,'I_Budget Input Data'!$D$145*0.4/('I_Inputs &amp; Assumptions'!$B$8/2),'I_Budget Input Data'!$D$145*0.6/('I_Inputs &amp; Assumptions'!$B$8/2)),IF('I_Budget Input Data'!$E$145="Mid-weighted",IF(34&lt;='I_Inputs &amp; Assumptions'!$B$8/4,'I_Budget Input Data'!$D$145*0.2/('I_Inputs &amp; Assumptions'!$B$8/4),IF(34&lt;='I_Inputs &amp; Assumptions'!$B$8*0.75,'I_Budget Input Data'!$D$145*0.6/('I_Inputs &amp; Assumptions'!$B$8/2),'I_Budget Input Data'!$D$145*0.2/('I_Inputs &amp; Assumptions'!$B$8/4))),IF('I_Budget Input Data'!$E$145="At Completion",IF(34='I_Inputs &amp; Assumptions'!$B$8,'I_Budget Input Data'!$D$145,0),'I_Budget Input Data'!$D$145/'I_Inputs &amp; Assumptions'!$B$8)))))),0)</f>
        <v>0</v>
      </c>
      <c r="AK145" s="91">
        <f>IF(35&lt;='I_Inputs &amp; Assumptions'!$B$8,IF('I_Budget Input Data'!$E$145="Upfront",IF(35=1,'I_Budget Input Data'!$D$145,0),IF('I_Budget Input Data'!$E$145="Equal",'I_Budget Input Data'!$D$145/'I_Inputs &amp; Assumptions'!$B$8,IF('I_Budget Input Data'!$E$145="Front-loaded",IF(35&lt;='I_Inputs &amp; Assumptions'!$B$8/2,'I_Budget Input Data'!$D$145*0.6/('I_Inputs &amp; Assumptions'!$B$8/2),'I_Budget Input Data'!$D$145*0.4/('I_Inputs &amp; Assumptions'!$B$8/2)),IF('I_Budget Input Data'!$E$145="Back-loaded",IF(35&lt;='I_Inputs &amp; Assumptions'!$B$8/2,'I_Budget Input Data'!$D$145*0.4/('I_Inputs &amp; Assumptions'!$B$8/2),'I_Budget Input Data'!$D$145*0.6/('I_Inputs &amp; Assumptions'!$B$8/2)),IF('I_Budget Input Data'!$E$145="Mid-weighted",IF(35&lt;='I_Inputs &amp; Assumptions'!$B$8/4,'I_Budget Input Data'!$D$145*0.2/('I_Inputs &amp; Assumptions'!$B$8/4),IF(35&lt;='I_Inputs &amp; Assumptions'!$B$8*0.75,'I_Budget Input Data'!$D$145*0.6/('I_Inputs &amp; Assumptions'!$B$8/2),'I_Budget Input Data'!$D$145*0.2/('I_Inputs &amp; Assumptions'!$B$8/4))),IF('I_Budget Input Data'!$E$145="At Completion",IF(35='I_Inputs &amp; Assumptions'!$B$8,'I_Budget Input Data'!$D$145,0),'I_Budget Input Data'!$D$145/'I_Inputs &amp; Assumptions'!$B$8)))))),0)</f>
        <v>0</v>
      </c>
      <c r="AL145" s="91">
        <f>IF(36&lt;='I_Inputs &amp; Assumptions'!$B$8,IF('I_Budget Input Data'!$E$145="Upfront",IF(36=1,'I_Budget Input Data'!$D$145,0),IF('I_Budget Input Data'!$E$145="Equal",'I_Budget Input Data'!$D$145/'I_Inputs &amp; Assumptions'!$B$8,IF('I_Budget Input Data'!$E$145="Front-loaded",IF(36&lt;='I_Inputs &amp; Assumptions'!$B$8/2,'I_Budget Input Data'!$D$145*0.6/('I_Inputs &amp; Assumptions'!$B$8/2),'I_Budget Input Data'!$D$145*0.4/('I_Inputs &amp; Assumptions'!$B$8/2)),IF('I_Budget Input Data'!$E$145="Back-loaded",IF(36&lt;='I_Inputs &amp; Assumptions'!$B$8/2,'I_Budget Input Data'!$D$145*0.4/('I_Inputs &amp; Assumptions'!$B$8/2),'I_Budget Input Data'!$D$145*0.6/('I_Inputs &amp; Assumptions'!$B$8/2)),IF('I_Budget Input Data'!$E$145="Mid-weighted",IF(36&lt;='I_Inputs &amp; Assumptions'!$B$8/4,'I_Budget Input Data'!$D$145*0.2/('I_Inputs &amp; Assumptions'!$B$8/4),IF(36&lt;='I_Inputs &amp; Assumptions'!$B$8*0.75,'I_Budget Input Data'!$D$145*0.6/('I_Inputs &amp; Assumptions'!$B$8/2),'I_Budget Input Data'!$D$145*0.2/('I_Inputs &amp; Assumptions'!$B$8/4))),IF('I_Budget Input Data'!$E$145="At Completion",IF(36='I_Inputs &amp; Assumptions'!$B$8,'I_Budget Input Data'!$D$145,0),'I_Budget Input Data'!$D$145/'I_Inputs &amp; Assumptions'!$B$8)))))),0)</f>
        <v>0</v>
      </c>
    </row>
    <row r="146" spans="1:38" ht="15" customHeight="1" x14ac:dyDescent="0.2">
      <c r="A146" t="s">
        <v>248</v>
      </c>
      <c r="B146" t="s">
        <v>261</v>
      </c>
      <c r="C146" s="91">
        <f>IF(1&lt;='I_Inputs &amp; Assumptions'!$B$8,IF('I_Budget Input Data'!$E$146="Upfront",IF(1=1,'I_Budget Input Data'!$D$146,0),IF('I_Budget Input Data'!$E$146="Equal",'I_Budget Input Data'!$D$146/'I_Inputs &amp; Assumptions'!$B$8,IF('I_Budget Input Data'!$E$146="Front-loaded",IF(1&lt;='I_Inputs &amp; Assumptions'!$B$8/2,'I_Budget Input Data'!$D$146*0.6/('I_Inputs &amp; Assumptions'!$B$8/2),'I_Budget Input Data'!$D$146*0.4/('I_Inputs &amp; Assumptions'!$B$8/2)),IF('I_Budget Input Data'!$E$146="Back-loaded",IF(1&lt;='I_Inputs &amp; Assumptions'!$B$8/2,'I_Budget Input Data'!$D$146*0.4/('I_Inputs &amp; Assumptions'!$B$8/2),'I_Budget Input Data'!$D$146*0.6/('I_Inputs &amp; Assumptions'!$B$8/2)),IF('I_Budget Input Data'!$E$146="Mid-weighted",IF(1&lt;='I_Inputs &amp; Assumptions'!$B$8/4,'I_Budget Input Data'!$D$146*0.2/('I_Inputs &amp; Assumptions'!$B$8/4),IF(1&lt;='I_Inputs &amp; Assumptions'!$B$8*0.75,'I_Budget Input Data'!$D$146*0.6/('I_Inputs &amp; Assumptions'!$B$8/2),'I_Budget Input Data'!$D$146*0.2/('I_Inputs &amp; Assumptions'!$B$8/4))),IF('I_Budget Input Data'!$E$146="At Completion",IF(1='I_Inputs &amp; Assumptions'!$B$8,'I_Budget Input Data'!$D$146,0),'I_Budget Input Data'!$D$146/'I_Inputs &amp; Assumptions'!$B$8)))))),0)</f>
        <v>461.53846153846155</v>
      </c>
      <c r="D146" s="91">
        <f>IF(2&lt;='I_Inputs &amp; Assumptions'!$B$8,IF('I_Budget Input Data'!$E$146="Upfront",IF(2=1,'I_Budget Input Data'!$D$146,0),IF('I_Budget Input Data'!$E$146="Equal",'I_Budget Input Data'!$D$146/'I_Inputs &amp; Assumptions'!$B$8,IF('I_Budget Input Data'!$E$146="Front-loaded",IF(2&lt;='I_Inputs &amp; Assumptions'!$B$8/2,'I_Budget Input Data'!$D$146*0.6/('I_Inputs &amp; Assumptions'!$B$8/2),'I_Budget Input Data'!$D$146*0.4/('I_Inputs &amp; Assumptions'!$B$8/2)),IF('I_Budget Input Data'!$E$146="Back-loaded",IF(2&lt;='I_Inputs &amp; Assumptions'!$B$8/2,'I_Budget Input Data'!$D$146*0.4/('I_Inputs &amp; Assumptions'!$B$8/2),'I_Budget Input Data'!$D$146*0.6/('I_Inputs &amp; Assumptions'!$B$8/2)),IF('I_Budget Input Data'!$E$146="Mid-weighted",IF(2&lt;='I_Inputs &amp; Assumptions'!$B$8/4,'I_Budget Input Data'!$D$146*0.2/('I_Inputs &amp; Assumptions'!$B$8/4),IF(2&lt;='I_Inputs &amp; Assumptions'!$B$8*0.75,'I_Budget Input Data'!$D$146*0.6/('I_Inputs &amp; Assumptions'!$B$8/2),'I_Budget Input Data'!$D$146*0.2/('I_Inputs &amp; Assumptions'!$B$8/4))),IF('I_Budget Input Data'!$E$146="At Completion",IF(2='I_Inputs &amp; Assumptions'!$B$8,'I_Budget Input Data'!$D$146,0),'I_Budget Input Data'!$D$146/'I_Inputs &amp; Assumptions'!$B$8)))))),0)</f>
        <v>461.53846153846155</v>
      </c>
      <c r="E146" s="91">
        <f>IF(3&lt;='I_Inputs &amp; Assumptions'!$B$8,IF('I_Budget Input Data'!$E$146="Upfront",IF(3=1,'I_Budget Input Data'!$D$146,0),IF('I_Budget Input Data'!$E$146="Equal",'I_Budget Input Data'!$D$146/'I_Inputs &amp; Assumptions'!$B$8,IF('I_Budget Input Data'!$E$146="Front-loaded",IF(3&lt;='I_Inputs &amp; Assumptions'!$B$8/2,'I_Budget Input Data'!$D$146*0.6/('I_Inputs &amp; Assumptions'!$B$8/2),'I_Budget Input Data'!$D$146*0.4/('I_Inputs &amp; Assumptions'!$B$8/2)),IF('I_Budget Input Data'!$E$146="Back-loaded",IF(3&lt;='I_Inputs &amp; Assumptions'!$B$8/2,'I_Budget Input Data'!$D$146*0.4/('I_Inputs &amp; Assumptions'!$B$8/2),'I_Budget Input Data'!$D$146*0.6/('I_Inputs &amp; Assumptions'!$B$8/2)),IF('I_Budget Input Data'!$E$146="Mid-weighted",IF(3&lt;='I_Inputs &amp; Assumptions'!$B$8/4,'I_Budget Input Data'!$D$146*0.2/('I_Inputs &amp; Assumptions'!$B$8/4),IF(3&lt;='I_Inputs &amp; Assumptions'!$B$8*0.75,'I_Budget Input Data'!$D$146*0.6/('I_Inputs &amp; Assumptions'!$B$8/2),'I_Budget Input Data'!$D$146*0.2/('I_Inputs &amp; Assumptions'!$B$8/4))),IF('I_Budget Input Data'!$E$146="At Completion",IF(3='I_Inputs &amp; Assumptions'!$B$8,'I_Budget Input Data'!$D$146,0),'I_Budget Input Data'!$D$146/'I_Inputs &amp; Assumptions'!$B$8)))))),0)</f>
        <v>461.53846153846155</v>
      </c>
      <c r="F146" s="91">
        <f>IF(4&lt;='I_Inputs &amp; Assumptions'!$B$8,IF('I_Budget Input Data'!$E$146="Upfront",IF(4=1,'I_Budget Input Data'!$D$146,0),IF('I_Budget Input Data'!$E$146="Equal",'I_Budget Input Data'!$D$146/'I_Inputs &amp; Assumptions'!$B$8,IF('I_Budget Input Data'!$E$146="Front-loaded",IF(4&lt;='I_Inputs &amp; Assumptions'!$B$8/2,'I_Budget Input Data'!$D$146*0.6/('I_Inputs &amp; Assumptions'!$B$8/2),'I_Budget Input Data'!$D$146*0.4/('I_Inputs &amp; Assumptions'!$B$8/2)),IF('I_Budget Input Data'!$E$146="Back-loaded",IF(4&lt;='I_Inputs &amp; Assumptions'!$B$8/2,'I_Budget Input Data'!$D$146*0.4/('I_Inputs &amp; Assumptions'!$B$8/2),'I_Budget Input Data'!$D$146*0.6/('I_Inputs &amp; Assumptions'!$B$8/2)),IF('I_Budget Input Data'!$E$146="Mid-weighted",IF(4&lt;='I_Inputs &amp; Assumptions'!$B$8/4,'I_Budget Input Data'!$D$146*0.2/('I_Inputs &amp; Assumptions'!$B$8/4),IF(4&lt;='I_Inputs &amp; Assumptions'!$B$8*0.75,'I_Budget Input Data'!$D$146*0.6/('I_Inputs &amp; Assumptions'!$B$8/2),'I_Budget Input Data'!$D$146*0.2/('I_Inputs &amp; Assumptions'!$B$8/4))),IF('I_Budget Input Data'!$E$146="At Completion",IF(4='I_Inputs &amp; Assumptions'!$B$8,'I_Budget Input Data'!$D$146,0),'I_Budget Input Data'!$D$146/'I_Inputs &amp; Assumptions'!$B$8)))))),0)</f>
        <v>461.53846153846155</v>
      </c>
      <c r="G146" s="91">
        <f>IF(5&lt;='I_Inputs &amp; Assumptions'!$B$8,IF('I_Budget Input Data'!$E$146="Upfront",IF(5=1,'I_Budget Input Data'!$D$146,0),IF('I_Budget Input Data'!$E$146="Equal",'I_Budget Input Data'!$D$146/'I_Inputs &amp; Assumptions'!$B$8,IF('I_Budget Input Data'!$E$146="Front-loaded",IF(5&lt;='I_Inputs &amp; Assumptions'!$B$8/2,'I_Budget Input Data'!$D$146*0.6/('I_Inputs &amp; Assumptions'!$B$8/2),'I_Budget Input Data'!$D$146*0.4/('I_Inputs &amp; Assumptions'!$B$8/2)),IF('I_Budget Input Data'!$E$146="Back-loaded",IF(5&lt;='I_Inputs &amp; Assumptions'!$B$8/2,'I_Budget Input Data'!$D$146*0.4/('I_Inputs &amp; Assumptions'!$B$8/2),'I_Budget Input Data'!$D$146*0.6/('I_Inputs &amp; Assumptions'!$B$8/2)),IF('I_Budget Input Data'!$E$146="Mid-weighted",IF(5&lt;='I_Inputs &amp; Assumptions'!$B$8/4,'I_Budget Input Data'!$D$146*0.2/('I_Inputs &amp; Assumptions'!$B$8/4),IF(5&lt;='I_Inputs &amp; Assumptions'!$B$8*0.75,'I_Budget Input Data'!$D$146*0.6/('I_Inputs &amp; Assumptions'!$B$8/2),'I_Budget Input Data'!$D$146*0.2/('I_Inputs &amp; Assumptions'!$B$8/4))),IF('I_Budget Input Data'!$E$146="At Completion",IF(5='I_Inputs &amp; Assumptions'!$B$8,'I_Budget Input Data'!$D$146,0),'I_Budget Input Data'!$D$146/'I_Inputs &amp; Assumptions'!$B$8)))))),0)</f>
        <v>461.53846153846155</v>
      </c>
      <c r="H146" s="91">
        <f>IF(6&lt;='I_Inputs &amp; Assumptions'!$B$8,IF('I_Budget Input Data'!$E$146="Upfront",IF(6=1,'I_Budget Input Data'!$D$146,0),IF('I_Budget Input Data'!$E$146="Equal",'I_Budget Input Data'!$D$146/'I_Inputs &amp; Assumptions'!$B$8,IF('I_Budget Input Data'!$E$146="Front-loaded",IF(6&lt;='I_Inputs &amp; Assumptions'!$B$8/2,'I_Budget Input Data'!$D$146*0.6/('I_Inputs &amp; Assumptions'!$B$8/2),'I_Budget Input Data'!$D$146*0.4/('I_Inputs &amp; Assumptions'!$B$8/2)),IF('I_Budget Input Data'!$E$146="Back-loaded",IF(6&lt;='I_Inputs &amp; Assumptions'!$B$8/2,'I_Budget Input Data'!$D$146*0.4/('I_Inputs &amp; Assumptions'!$B$8/2),'I_Budget Input Data'!$D$146*0.6/('I_Inputs &amp; Assumptions'!$B$8/2)),IF('I_Budget Input Data'!$E$146="Mid-weighted",IF(6&lt;='I_Inputs &amp; Assumptions'!$B$8/4,'I_Budget Input Data'!$D$146*0.2/('I_Inputs &amp; Assumptions'!$B$8/4),IF(6&lt;='I_Inputs &amp; Assumptions'!$B$8*0.75,'I_Budget Input Data'!$D$146*0.6/('I_Inputs &amp; Assumptions'!$B$8/2),'I_Budget Input Data'!$D$146*0.2/('I_Inputs &amp; Assumptions'!$B$8/4))),IF('I_Budget Input Data'!$E$146="At Completion",IF(6='I_Inputs &amp; Assumptions'!$B$8,'I_Budget Input Data'!$D$146,0),'I_Budget Input Data'!$D$146/'I_Inputs &amp; Assumptions'!$B$8)))))),0)</f>
        <v>461.53846153846155</v>
      </c>
      <c r="I146" s="91">
        <f>IF(7&lt;='I_Inputs &amp; Assumptions'!$B$8,IF('I_Budget Input Data'!$E$146="Upfront",IF(7=1,'I_Budget Input Data'!$D$146,0),IF('I_Budget Input Data'!$E$146="Equal",'I_Budget Input Data'!$D$146/'I_Inputs &amp; Assumptions'!$B$8,IF('I_Budget Input Data'!$E$146="Front-loaded",IF(7&lt;='I_Inputs &amp; Assumptions'!$B$8/2,'I_Budget Input Data'!$D$146*0.6/('I_Inputs &amp; Assumptions'!$B$8/2),'I_Budget Input Data'!$D$146*0.4/('I_Inputs &amp; Assumptions'!$B$8/2)),IF('I_Budget Input Data'!$E$146="Back-loaded",IF(7&lt;='I_Inputs &amp; Assumptions'!$B$8/2,'I_Budget Input Data'!$D$146*0.4/('I_Inputs &amp; Assumptions'!$B$8/2),'I_Budget Input Data'!$D$146*0.6/('I_Inputs &amp; Assumptions'!$B$8/2)),IF('I_Budget Input Data'!$E$146="Mid-weighted",IF(7&lt;='I_Inputs &amp; Assumptions'!$B$8/4,'I_Budget Input Data'!$D$146*0.2/('I_Inputs &amp; Assumptions'!$B$8/4),IF(7&lt;='I_Inputs &amp; Assumptions'!$B$8*0.75,'I_Budget Input Data'!$D$146*0.6/('I_Inputs &amp; Assumptions'!$B$8/2),'I_Budget Input Data'!$D$146*0.2/('I_Inputs &amp; Assumptions'!$B$8/4))),IF('I_Budget Input Data'!$E$146="At Completion",IF(7='I_Inputs &amp; Assumptions'!$B$8,'I_Budget Input Data'!$D$146,0),'I_Budget Input Data'!$D$146/'I_Inputs &amp; Assumptions'!$B$8)))))),0)</f>
        <v>307.69230769230768</v>
      </c>
      <c r="J146" s="91">
        <f>IF(8&lt;='I_Inputs &amp; Assumptions'!$B$8,IF('I_Budget Input Data'!$E$146="Upfront",IF(8=1,'I_Budget Input Data'!$D$146,0),IF('I_Budget Input Data'!$E$146="Equal",'I_Budget Input Data'!$D$146/'I_Inputs &amp; Assumptions'!$B$8,IF('I_Budget Input Data'!$E$146="Front-loaded",IF(8&lt;='I_Inputs &amp; Assumptions'!$B$8/2,'I_Budget Input Data'!$D$146*0.6/('I_Inputs &amp; Assumptions'!$B$8/2),'I_Budget Input Data'!$D$146*0.4/('I_Inputs &amp; Assumptions'!$B$8/2)),IF('I_Budget Input Data'!$E$146="Back-loaded",IF(8&lt;='I_Inputs &amp; Assumptions'!$B$8/2,'I_Budget Input Data'!$D$146*0.4/('I_Inputs &amp; Assumptions'!$B$8/2),'I_Budget Input Data'!$D$146*0.6/('I_Inputs &amp; Assumptions'!$B$8/2)),IF('I_Budget Input Data'!$E$146="Mid-weighted",IF(8&lt;='I_Inputs &amp; Assumptions'!$B$8/4,'I_Budget Input Data'!$D$146*0.2/('I_Inputs &amp; Assumptions'!$B$8/4),IF(8&lt;='I_Inputs &amp; Assumptions'!$B$8*0.75,'I_Budget Input Data'!$D$146*0.6/('I_Inputs &amp; Assumptions'!$B$8/2),'I_Budget Input Data'!$D$146*0.2/('I_Inputs &amp; Assumptions'!$B$8/4))),IF('I_Budget Input Data'!$E$146="At Completion",IF(8='I_Inputs &amp; Assumptions'!$B$8,'I_Budget Input Data'!$D$146,0),'I_Budget Input Data'!$D$146/'I_Inputs &amp; Assumptions'!$B$8)))))),0)</f>
        <v>307.69230769230768</v>
      </c>
      <c r="K146" s="91">
        <f>IF(9&lt;='I_Inputs &amp; Assumptions'!$B$8,IF('I_Budget Input Data'!$E$146="Upfront",IF(9=1,'I_Budget Input Data'!$D$146,0),IF('I_Budget Input Data'!$E$146="Equal",'I_Budget Input Data'!$D$146/'I_Inputs &amp; Assumptions'!$B$8,IF('I_Budget Input Data'!$E$146="Front-loaded",IF(9&lt;='I_Inputs &amp; Assumptions'!$B$8/2,'I_Budget Input Data'!$D$146*0.6/('I_Inputs &amp; Assumptions'!$B$8/2),'I_Budget Input Data'!$D$146*0.4/('I_Inputs &amp; Assumptions'!$B$8/2)),IF('I_Budget Input Data'!$E$146="Back-loaded",IF(9&lt;='I_Inputs &amp; Assumptions'!$B$8/2,'I_Budget Input Data'!$D$146*0.4/('I_Inputs &amp; Assumptions'!$B$8/2),'I_Budget Input Data'!$D$146*0.6/('I_Inputs &amp; Assumptions'!$B$8/2)),IF('I_Budget Input Data'!$E$146="Mid-weighted",IF(9&lt;='I_Inputs &amp; Assumptions'!$B$8/4,'I_Budget Input Data'!$D$146*0.2/('I_Inputs &amp; Assumptions'!$B$8/4),IF(9&lt;='I_Inputs &amp; Assumptions'!$B$8*0.75,'I_Budget Input Data'!$D$146*0.6/('I_Inputs &amp; Assumptions'!$B$8/2),'I_Budget Input Data'!$D$146*0.2/('I_Inputs &amp; Assumptions'!$B$8/4))),IF('I_Budget Input Data'!$E$146="At Completion",IF(9='I_Inputs &amp; Assumptions'!$B$8,'I_Budget Input Data'!$D$146,0),'I_Budget Input Data'!$D$146/'I_Inputs &amp; Assumptions'!$B$8)))))),0)</f>
        <v>307.69230769230768</v>
      </c>
      <c r="L146" s="91">
        <f>IF(10&lt;='I_Inputs &amp; Assumptions'!$B$8,IF('I_Budget Input Data'!$E$146="Upfront",IF(10=1,'I_Budget Input Data'!$D$146,0),IF('I_Budget Input Data'!$E$146="Equal",'I_Budget Input Data'!$D$146/'I_Inputs &amp; Assumptions'!$B$8,IF('I_Budget Input Data'!$E$146="Front-loaded",IF(10&lt;='I_Inputs &amp; Assumptions'!$B$8/2,'I_Budget Input Data'!$D$146*0.6/('I_Inputs &amp; Assumptions'!$B$8/2),'I_Budget Input Data'!$D$146*0.4/('I_Inputs &amp; Assumptions'!$B$8/2)),IF('I_Budget Input Data'!$E$146="Back-loaded",IF(10&lt;='I_Inputs &amp; Assumptions'!$B$8/2,'I_Budget Input Data'!$D$146*0.4/('I_Inputs &amp; Assumptions'!$B$8/2),'I_Budget Input Data'!$D$146*0.6/('I_Inputs &amp; Assumptions'!$B$8/2)),IF('I_Budget Input Data'!$E$146="Mid-weighted",IF(10&lt;='I_Inputs &amp; Assumptions'!$B$8/4,'I_Budget Input Data'!$D$146*0.2/('I_Inputs &amp; Assumptions'!$B$8/4),IF(10&lt;='I_Inputs &amp; Assumptions'!$B$8*0.75,'I_Budget Input Data'!$D$146*0.6/('I_Inputs &amp; Assumptions'!$B$8/2),'I_Budget Input Data'!$D$146*0.2/('I_Inputs &amp; Assumptions'!$B$8/4))),IF('I_Budget Input Data'!$E$146="At Completion",IF(10='I_Inputs &amp; Assumptions'!$B$8,'I_Budget Input Data'!$D$146,0),'I_Budget Input Data'!$D$146/'I_Inputs &amp; Assumptions'!$B$8)))))),0)</f>
        <v>307.69230769230768</v>
      </c>
      <c r="M146" s="91">
        <f>IF(11&lt;='I_Inputs &amp; Assumptions'!$B$8,IF('I_Budget Input Data'!$E$146="Upfront",IF(11=1,'I_Budget Input Data'!$D$146,0),IF('I_Budget Input Data'!$E$146="Equal",'I_Budget Input Data'!$D$146/'I_Inputs &amp; Assumptions'!$B$8,IF('I_Budget Input Data'!$E$146="Front-loaded",IF(11&lt;='I_Inputs &amp; Assumptions'!$B$8/2,'I_Budget Input Data'!$D$146*0.6/('I_Inputs &amp; Assumptions'!$B$8/2),'I_Budget Input Data'!$D$146*0.4/('I_Inputs &amp; Assumptions'!$B$8/2)),IF('I_Budget Input Data'!$E$146="Back-loaded",IF(11&lt;='I_Inputs &amp; Assumptions'!$B$8/2,'I_Budget Input Data'!$D$146*0.4/('I_Inputs &amp; Assumptions'!$B$8/2),'I_Budget Input Data'!$D$146*0.6/('I_Inputs &amp; Assumptions'!$B$8/2)),IF('I_Budget Input Data'!$E$146="Mid-weighted",IF(11&lt;='I_Inputs &amp; Assumptions'!$B$8/4,'I_Budget Input Data'!$D$146*0.2/('I_Inputs &amp; Assumptions'!$B$8/4),IF(11&lt;='I_Inputs &amp; Assumptions'!$B$8*0.75,'I_Budget Input Data'!$D$146*0.6/('I_Inputs &amp; Assumptions'!$B$8/2),'I_Budget Input Data'!$D$146*0.2/('I_Inputs &amp; Assumptions'!$B$8/4))),IF('I_Budget Input Data'!$E$146="At Completion",IF(11='I_Inputs &amp; Assumptions'!$B$8,'I_Budget Input Data'!$D$146,0),'I_Budget Input Data'!$D$146/'I_Inputs &amp; Assumptions'!$B$8)))))),0)</f>
        <v>307.69230769230768</v>
      </c>
      <c r="N146" s="91">
        <f>IF(12&lt;='I_Inputs &amp; Assumptions'!$B$8,IF('I_Budget Input Data'!$E$146="Upfront",IF(12=1,'I_Budget Input Data'!$D$146,0),IF('I_Budget Input Data'!$E$146="Equal",'I_Budget Input Data'!$D$146/'I_Inputs &amp; Assumptions'!$B$8,IF('I_Budget Input Data'!$E$146="Front-loaded",IF(12&lt;='I_Inputs &amp; Assumptions'!$B$8/2,'I_Budget Input Data'!$D$146*0.6/('I_Inputs &amp; Assumptions'!$B$8/2),'I_Budget Input Data'!$D$146*0.4/('I_Inputs &amp; Assumptions'!$B$8/2)),IF('I_Budget Input Data'!$E$146="Back-loaded",IF(12&lt;='I_Inputs &amp; Assumptions'!$B$8/2,'I_Budget Input Data'!$D$146*0.4/('I_Inputs &amp; Assumptions'!$B$8/2),'I_Budget Input Data'!$D$146*0.6/('I_Inputs &amp; Assumptions'!$B$8/2)),IF('I_Budget Input Data'!$E$146="Mid-weighted",IF(12&lt;='I_Inputs &amp; Assumptions'!$B$8/4,'I_Budget Input Data'!$D$146*0.2/('I_Inputs &amp; Assumptions'!$B$8/4),IF(12&lt;='I_Inputs &amp; Assumptions'!$B$8*0.75,'I_Budget Input Data'!$D$146*0.6/('I_Inputs &amp; Assumptions'!$B$8/2),'I_Budget Input Data'!$D$146*0.2/('I_Inputs &amp; Assumptions'!$B$8/4))),IF('I_Budget Input Data'!$E$146="At Completion",IF(12='I_Inputs &amp; Assumptions'!$B$8,'I_Budget Input Data'!$D$146,0),'I_Budget Input Data'!$D$146/'I_Inputs &amp; Assumptions'!$B$8)))))),0)</f>
        <v>307.69230769230768</v>
      </c>
      <c r="O146" s="91">
        <f>IF(13&lt;='I_Inputs &amp; Assumptions'!$B$8,IF('I_Budget Input Data'!$E$146="Upfront",IF(13=1,'I_Budget Input Data'!$D$146,0),IF('I_Budget Input Data'!$E$146="Equal",'I_Budget Input Data'!$D$146/'I_Inputs &amp; Assumptions'!$B$8,IF('I_Budget Input Data'!$E$146="Front-loaded",IF(13&lt;='I_Inputs &amp; Assumptions'!$B$8/2,'I_Budget Input Data'!$D$146*0.6/('I_Inputs &amp; Assumptions'!$B$8/2),'I_Budget Input Data'!$D$146*0.4/('I_Inputs &amp; Assumptions'!$B$8/2)),IF('I_Budget Input Data'!$E$146="Back-loaded",IF(13&lt;='I_Inputs &amp; Assumptions'!$B$8/2,'I_Budget Input Data'!$D$146*0.4/('I_Inputs &amp; Assumptions'!$B$8/2),'I_Budget Input Data'!$D$146*0.6/('I_Inputs &amp; Assumptions'!$B$8/2)),IF('I_Budget Input Data'!$E$146="Mid-weighted",IF(13&lt;='I_Inputs &amp; Assumptions'!$B$8/4,'I_Budget Input Data'!$D$146*0.2/('I_Inputs &amp; Assumptions'!$B$8/4),IF(13&lt;='I_Inputs &amp; Assumptions'!$B$8*0.75,'I_Budget Input Data'!$D$146*0.6/('I_Inputs &amp; Assumptions'!$B$8/2),'I_Budget Input Data'!$D$146*0.2/('I_Inputs &amp; Assumptions'!$B$8/4))),IF('I_Budget Input Data'!$E$146="At Completion",IF(13='I_Inputs &amp; Assumptions'!$B$8,'I_Budget Input Data'!$D$146,0),'I_Budget Input Data'!$D$146/'I_Inputs &amp; Assumptions'!$B$8)))))),0)</f>
        <v>307.69230769230768</v>
      </c>
      <c r="P146" s="91">
        <f>IF(14&lt;='I_Inputs &amp; Assumptions'!$B$8,IF('I_Budget Input Data'!$E$146="Upfront",IF(14=1,'I_Budget Input Data'!$D$146,0),IF('I_Budget Input Data'!$E$146="Equal",'I_Budget Input Data'!$D$146/'I_Inputs &amp; Assumptions'!$B$8,IF('I_Budget Input Data'!$E$146="Front-loaded",IF(14&lt;='I_Inputs &amp; Assumptions'!$B$8/2,'I_Budget Input Data'!$D$146*0.6/('I_Inputs &amp; Assumptions'!$B$8/2),'I_Budget Input Data'!$D$146*0.4/('I_Inputs &amp; Assumptions'!$B$8/2)),IF('I_Budget Input Data'!$E$146="Back-loaded",IF(14&lt;='I_Inputs &amp; Assumptions'!$B$8/2,'I_Budget Input Data'!$D$146*0.4/('I_Inputs &amp; Assumptions'!$B$8/2),'I_Budget Input Data'!$D$146*0.6/('I_Inputs &amp; Assumptions'!$B$8/2)),IF('I_Budget Input Data'!$E$146="Mid-weighted",IF(14&lt;='I_Inputs &amp; Assumptions'!$B$8/4,'I_Budget Input Data'!$D$146*0.2/('I_Inputs &amp; Assumptions'!$B$8/4),IF(14&lt;='I_Inputs &amp; Assumptions'!$B$8*0.75,'I_Budget Input Data'!$D$146*0.6/('I_Inputs &amp; Assumptions'!$B$8/2),'I_Budget Input Data'!$D$146*0.2/('I_Inputs &amp; Assumptions'!$B$8/4))),IF('I_Budget Input Data'!$E$146="At Completion",IF(14='I_Inputs &amp; Assumptions'!$B$8,'I_Budget Input Data'!$D$146,0),'I_Budget Input Data'!$D$146/'I_Inputs &amp; Assumptions'!$B$8)))))),0)</f>
        <v>0</v>
      </c>
      <c r="Q146" s="91">
        <f>IF(15&lt;='I_Inputs &amp; Assumptions'!$B$8,IF('I_Budget Input Data'!$E$146="Upfront",IF(15=1,'I_Budget Input Data'!$D$146,0),IF('I_Budget Input Data'!$E$146="Equal",'I_Budget Input Data'!$D$146/'I_Inputs &amp; Assumptions'!$B$8,IF('I_Budget Input Data'!$E$146="Front-loaded",IF(15&lt;='I_Inputs &amp; Assumptions'!$B$8/2,'I_Budget Input Data'!$D$146*0.6/('I_Inputs &amp; Assumptions'!$B$8/2),'I_Budget Input Data'!$D$146*0.4/('I_Inputs &amp; Assumptions'!$B$8/2)),IF('I_Budget Input Data'!$E$146="Back-loaded",IF(15&lt;='I_Inputs &amp; Assumptions'!$B$8/2,'I_Budget Input Data'!$D$146*0.4/('I_Inputs &amp; Assumptions'!$B$8/2),'I_Budget Input Data'!$D$146*0.6/('I_Inputs &amp; Assumptions'!$B$8/2)),IF('I_Budget Input Data'!$E$146="Mid-weighted",IF(15&lt;='I_Inputs &amp; Assumptions'!$B$8/4,'I_Budget Input Data'!$D$146*0.2/('I_Inputs &amp; Assumptions'!$B$8/4),IF(15&lt;='I_Inputs &amp; Assumptions'!$B$8*0.75,'I_Budget Input Data'!$D$146*0.6/('I_Inputs &amp; Assumptions'!$B$8/2),'I_Budget Input Data'!$D$146*0.2/('I_Inputs &amp; Assumptions'!$B$8/4))),IF('I_Budget Input Data'!$E$146="At Completion",IF(15='I_Inputs &amp; Assumptions'!$B$8,'I_Budget Input Data'!$D$146,0),'I_Budget Input Data'!$D$146/'I_Inputs &amp; Assumptions'!$B$8)))))),0)</f>
        <v>0</v>
      </c>
      <c r="R146" s="91">
        <f>IF(16&lt;='I_Inputs &amp; Assumptions'!$B$8,IF('I_Budget Input Data'!$E$146="Upfront",IF(16=1,'I_Budget Input Data'!$D$146,0),IF('I_Budget Input Data'!$E$146="Equal",'I_Budget Input Data'!$D$146/'I_Inputs &amp; Assumptions'!$B$8,IF('I_Budget Input Data'!$E$146="Front-loaded",IF(16&lt;='I_Inputs &amp; Assumptions'!$B$8/2,'I_Budget Input Data'!$D$146*0.6/('I_Inputs &amp; Assumptions'!$B$8/2),'I_Budget Input Data'!$D$146*0.4/('I_Inputs &amp; Assumptions'!$B$8/2)),IF('I_Budget Input Data'!$E$146="Back-loaded",IF(16&lt;='I_Inputs &amp; Assumptions'!$B$8/2,'I_Budget Input Data'!$D$146*0.4/('I_Inputs &amp; Assumptions'!$B$8/2),'I_Budget Input Data'!$D$146*0.6/('I_Inputs &amp; Assumptions'!$B$8/2)),IF('I_Budget Input Data'!$E$146="Mid-weighted",IF(16&lt;='I_Inputs &amp; Assumptions'!$B$8/4,'I_Budget Input Data'!$D$146*0.2/('I_Inputs &amp; Assumptions'!$B$8/4),IF(16&lt;='I_Inputs &amp; Assumptions'!$B$8*0.75,'I_Budget Input Data'!$D$146*0.6/('I_Inputs &amp; Assumptions'!$B$8/2),'I_Budget Input Data'!$D$146*0.2/('I_Inputs &amp; Assumptions'!$B$8/4))),IF('I_Budget Input Data'!$E$146="At Completion",IF(16='I_Inputs &amp; Assumptions'!$B$8,'I_Budget Input Data'!$D$146,0),'I_Budget Input Data'!$D$146/'I_Inputs &amp; Assumptions'!$B$8)))))),0)</f>
        <v>0</v>
      </c>
      <c r="S146" s="91">
        <f>IF(17&lt;='I_Inputs &amp; Assumptions'!$B$8,IF('I_Budget Input Data'!$E$146="Upfront",IF(17=1,'I_Budget Input Data'!$D$146,0),IF('I_Budget Input Data'!$E$146="Equal",'I_Budget Input Data'!$D$146/'I_Inputs &amp; Assumptions'!$B$8,IF('I_Budget Input Data'!$E$146="Front-loaded",IF(17&lt;='I_Inputs &amp; Assumptions'!$B$8/2,'I_Budget Input Data'!$D$146*0.6/('I_Inputs &amp; Assumptions'!$B$8/2),'I_Budget Input Data'!$D$146*0.4/('I_Inputs &amp; Assumptions'!$B$8/2)),IF('I_Budget Input Data'!$E$146="Back-loaded",IF(17&lt;='I_Inputs &amp; Assumptions'!$B$8/2,'I_Budget Input Data'!$D$146*0.4/('I_Inputs &amp; Assumptions'!$B$8/2),'I_Budget Input Data'!$D$146*0.6/('I_Inputs &amp; Assumptions'!$B$8/2)),IF('I_Budget Input Data'!$E$146="Mid-weighted",IF(17&lt;='I_Inputs &amp; Assumptions'!$B$8/4,'I_Budget Input Data'!$D$146*0.2/('I_Inputs &amp; Assumptions'!$B$8/4),IF(17&lt;='I_Inputs &amp; Assumptions'!$B$8*0.75,'I_Budget Input Data'!$D$146*0.6/('I_Inputs &amp; Assumptions'!$B$8/2),'I_Budget Input Data'!$D$146*0.2/('I_Inputs &amp; Assumptions'!$B$8/4))),IF('I_Budget Input Data'!$E$146="At Completion",IF(17='I_Inputs &amp; Assumptions'!$B$8,'I_Budget Input Data'!$D$146,0),'I_Budget Input Data'!$D$146/'I_Inputs &amp; Assumptions'!$B$8)))))),0)</f>
        <v>0</v>
      </c>
      <c r="T146" s="91">
        <f>IF(18&lt;='I_Inputs &amp; Assumptions'!$B$8,IF('I_Budget Input Data'!$E$146="Upfront",IF(18=1,'I_Budget Input Data'!$D$146,0),IF('I_Budget Input Data'!$E$146="Equal",'I_Budget Input Data'!$D$146/'I_Inputs &amp; Assumptions'!$B$8,IF('I_Budget Input Data'!$E$146="Front-loaded",IF(18&lt;='I_Inputs &amp; Assumptions'!$B$8/2,'I_Budget Input Data'!$D$146*0.6/('I_Inputs &amp; Assumptions'!$B$8/2),'I_Budget Input Data'!$D$146*0.4/('I_Inputs &amp; Assumptions'!$B$8/2)),IF('I_Budget Input Data'!$E$146="Back-loaded",IF(18&lt;='I_Inputs &amp; Assumptions'!$B$8/2,'I_Budget Input Data'!$D$146*0.4/('I_Inputs &amp; Assumptions'!$B$8/2),'I_Budget Input Data'!$D$146*0.6/('I_Inputs &amp; Assumptions'!$B$8/2)),IF('I_Budget Input Data'!$E$146="Mid-weighted",IF(18&lt;='I_Inputs &amp; Assumptions'!$B$8/4,'I_Budget Input Data'!$D$146*0.2/('I_Inputs &amp; Assumptions'!$B$8/4),IF(18&lt;='I_Inputs &amp; Assumptions'!$B$8*0.75,'I_Budget Input Data'!$D$146*0.6/('I_Inputs &amp; Assumptions'!$B$8/2),'I_Budget Input Data'!$D$146*0.2/('I_Inputs &amp; Assumptions'!$B$8/4))),IF('I_Budget Input Data'!$E$146="At Completion",IF(18='I_Inputs &amp; Assumptions'!$B$8,'I_Budget Input Data'!$D$146,0),'I_Budget Input Data'!$D$146/'I_Inputs &amp; Assumptions'!$B$8)))))),0)</f>
        <v>0</v>
      </c>
      <c r="U146" s="91">
        <f>IF(19&lt;='I_Inputs &amp; Assumptions'!$B$8,IF('I_Budget Input Data'!$E$146="Upfront",IF(19=1,'I_Budget Input Data'!$D$146,0),IF('I_Budget Input Data'!$E$146="Equal",'I_Budget Input Data'!$D$146/'I_Inputs &amp; Assumptions'!$B$8,IF('I_Budget Input Data'!$E$146="Front-loaded",IF(19&lt;='I_Inputs &amp; Assumptions'!$B$8/2,'I_Budget Input Data'!$D$146*0.6/('I_Inputs &amp; Assumptions'!$B$8/2),'I_Budget Input Data'!$D$146*0.4/('I_Inputs &amp; Assumptions'!$B$8/2)),IF('I_Budget Input Data'!$E$146="Back-loaded",IF(19&lt;='I_Inputs &amp; Assumptions'!$B$8/2,'I_Budget Input Data'!$D$146*0.4/('I_Inputs &amp; Assumptions'!$B$8/2),'I_Budget Input Data'!$D$146*0.6/('I_Inputs &amp; Assumptions'!$B$8/2)),IF('I_Budget Input Data'!$E$146="Mid-weighted",IF(19&lt;='I_Inputs &amp; Assumptions'!$B$8/4,'I_Budget Input Data'!$D$146*0.2/('I_Inputs &amp; Assumptions'!$B$8/4),IF(19&lt;='I_Inputs &amp; Assumptions'!$B$8*0.75,'I_Budget Input Data'!$D$146*0.6/('I_Inputs &amp; Assumptions'!$B$8/2),'I_Budget Input Data'!$D$146*0.2/('I_Inputs &amp; Assumptions'!$B$8/4))),IF('I_Budget Input Data'!$E$146="At Completion",IF(19='I_Inputs &amp; Assumptions'!$B$8,'I_Budget Input Data'!$D$146,0),'I_Budget Input Data'!$D$146/'I_Inputs &amp; Assumptions'!$B$8)))))),0)</f>
        <v>0</v>
      </c>
      <c r="V146" s="91">
        <f>IF(20&lt;='I_Inputs &amp; Assumptions'!$B$8,IF('I_Budget Input Data'!$E$146="Upfront",IF(20=1,'I_Budget Input Data'!$D$146,0),IF('I_Budget Input Data'!$E$146="Equal",'I_Budget Input Data'!$D$146/'I_Inputs &amp; Assumptions'!$B$8,IF('I_Budget Input Data'!$E$146="Front-loaded",IF(20&lt;='I_Inputs &amp; Assumptions'!$B$8/2,'I_Budget Input Data'!$D$146*0.6/('I_Inputs &amp; Assumptions'!$B$8/2),'I_Budget Input Data'!$D$146*0.4/('I_Inputs &amp; Assumptions'!$B$8/2)),IF('I_Budget Input Data'!$E$146="Back-loaded",IF(20&lt;='I_Inputs &amp; Assumptions'!$B$8/2,'I_Budget Input Data'!$D$146*0.4/('I_Inputs &amp; Assumptions'!$B$8/2),'I_Budget Input Data'!$D$146*0.6/('I_Inputs &amp; Assumptions'!$B$8/2)),IF('I_Budget Input Data'!$E$146="Mid-weighted",IF(20&lt;='I_Inputs &amp; Assumptions'!$B$8/4,'I_Budget Input Data'!$D$146*0.2/('I_Inputs &amp; Assumptions'!$B$8/4),IF(20&lt;='I_Inputs &amp; Assumptions'!$B$8*0.75,'I_Budget Input Data'!$D$146*0.6/('I_Inputs &amp; Assumptions'!$B$8/2),'I_Budget Input Data'!$D$146*0.2/('I_Inputs &amp; Assumptions'!$B$8/4))),IF('I_Budget Input Data'!$E$146="At Completion",IF(20='I_Inputs &amp; Assumptions'!$B$8,'I_Budget Input Data'!$D$146,0),'I_Budget Input Data'!$D$146/'I_Inputs &amp; Assumptions'!$B$8)))))),0)</f>
        <v>0</v>
      </c>
      <c r="W146" s="91">
        <f>IF(21&lt;='I_Inputs &amp; Assumptions'!$B$8,IF('I_Budget Input Data'!$E$146="Upfront",IF(21=1,'I_Budget Input Data'!$D$146,0),IF('I_Budget Input Data'!$E$146="Equal",'I_Budget Input Data'!$D$146/'I_Inputs &amp; Assumptions'!$B$8,IF('I_Budget Input Data'!$E$146="Front-loaded",IF(21&lt;='I_Inputs &amp; Assumptions'!$B$8/2,'I_Budget Input Data'!$D$146*0.6/('I_Inputs &amp; Assumptions'!$B$8/2),'I_Budget Input Data'!$D$146*0.4/('I_Inputs &amp; Assumptions'!$B$8/2)),IF('I_Budget Input Data'!$E$146="Back-loaded",IF(21&lt;='I_Inputs &amp; Assumptions'!$B$8/2,'I_Budget Input Data'!$D$146*0.4/('I_Inputs &amp; Assumptions'!$B$8/2),'I_Budget Input Data'!$D$146*0.6/('I_Inputs &amp; Assumptions'!$B$8/2)),IF('I_Budget Input Data'!$E$146="Mid-weighted",IF(21&lt;='I_Inputs &amp; Assumptions'!$B$8/4,'I_Budget Input Data'!$D$146*0.2/('I_Inputs &amp; Assumptions'!$B$8/4),IF(21&lt;='I_Inputs &amp; Assumptions'!$B$8*0.75,'I_Budget Input Data'!$D$146*0.6/('I_Inputs &amp; Assumptions'!$B$8/2),'I_Budget Input Data'!$D$146*0.2/('I_Inputs &amp; Assumptions'!$B$8/4))),IF('I_Budget Input Data'!$E$146="At Completion",IF(21='I_Inputs &amp; Assumptions'!$B$8,'I_Budget Input Data'!$D$146,0),'I_Budget Input Data'!$D$146/'I_Inputs &amp; Assumptions'!$B$8)))))),0)</f>
        <v>0</v>
      </c>
      <c r="X146" s="91">
        <f>IF(22&lt;='I_Inputs &amp; Assumptions'!$B$8,IF('I_Budget Input Data'!$E$146="Upfront",IF(22=1,'I_Budget Input Data'!$D$146,0),IF('I_Budget Input Data'!$E$146="Equal",'I_Budget Input Data'!$D$146/'I_Inputs &amp; Assumptions'!$B$8,IF('I_Budget Input Data'!$E$146="Front-loaded",IF(22&lt;='I_Inputs &amp; Assumptions'!$B$8/2,'I_Budget Input Data'!$D$146*0.6/('I_Inputs &amp; Assumptions'!$B$8/2),'I_Budget Input Data'!$D$146*0.4/('I_Inputs &amp; Assumptions'!$B$8/2)),IF('I_Budget Input Data'!$E$146="Back-loaded",IF(22&lt;='I_Inputs &amp; Assumptions'!$B$8/2,'I_Budget Input Data'!$D$146*0.4/('I_Inputs &amp; Assumptions'!$B$8/2),'I_Budget Input Data'!$D$146*0.6/('I_Inputs &amp; Assumptions'!$B$8/2)),IF('I_Budget Input Data'!$E$146="Mid-weighted",IF(22&lt;='I_Inputs &amp; Assumptions'!$B$8/4,'I_Budget Input Data'!$D$146*0.2/('I_Inputs &amp; Assumptions'!$B$8/4),IF(22&lt;='I_Inputs &amp; Assumptions'!$B$8*0.75,'I_Budget Input Data'!$D$146*0.6/('I_Inputs &amp; Assumptions'!$B$8/2),'I_Budget Input Data'!$D$146*0.2/('I_Inputs &amp; Assumptions'!$B$8/4))),IF('I_Budget Input Data'!$E$146="At Completion",IF(22='I_Inputs &amp; Assumptions'!$B$8,'I_Budget Input Data'!$D$146,0),'I_Budget Input Data'!$D$146/'I_Inputs &amp; Assumptions'!$B$8)))))),0)</f>
        <v>0</v>
      </c>
      <c r="Y146" s="91">
        <f>IF(23&lt;='I_Inputs &amp; Assumptions'!$B$8,IF('I_Budget Input Data'!$E$146="Upfront",IF(23=1,'I_Budget Input Data'!$D$146,0),IF('I_Budget Input Data'!$E$146="Equal",'I_Budget Input Data'!$D$146/'I_Inputs &amp; Assumptions'!$B$8,IF('I_Budget Input Data'!$E$146="Front-loaded",IF(23&lt;='I_Inputs &amp; Assumptions'!$B$8/2,'I_Budget Input Data'!$D$146*0.6/('I_Inputs &amp; Assumptions'!$B$8/2),'I_Budget Input Data'!$D$146*0.4/('I_Inputs &amp; Assumptions'!$B$8/2)),IF('I_Budget Input Data'!$E$146="Back-loaded",IF(23&lt;='I_Inputs &amp; Assumptions'!$B$8/2,'I_Budget Input Data'!$D$146*0.4/('I_Inputs &amp; Assumptions'!$B$8/2),'I_Budget Input Data'!$D$146*0.6/('I_Inputs &amp; Assumptions'!$B$8/2)),IF('I_Budget Input Data'!$E$146="Mid-weighted",IF(23&lt;='I_Inputs &amp; Assumptions'!$B$8/4,'I_Budget Input Data'!$D$146*0.2/('I_Inputs &amp; Assumptions'!$B$8/4),IF(23&lt;='I_Inputs &amp; Assumptions'!$B$8*0.75,'I_Budget Input Data'!$D$146*0.6/('I_Inputs &amp; Assumptions'!$B$8/2),'I_Budget Input Data'!$D$146*0.2/('I_Inputs &amp; Assumptions'!$B$8/4))),IF('I_Budget Input Data'!$E$146="At Completion",IF(23='I_Inputs &amp; Assumptions'!$B$8,'I_Budget Input Data'!$D$146,0),'I_Budget Input Data'!$D$146/'I_Inputs &amp; Assumptions'!$B$8)))))),0)</f>
        <v>0</v>
      </c>
      <c r="Z146" s="91">
        <f>IF(24&lt;='I_Inputs &amp; Assumptions'!$B$8,IF('I_Budget Input Data'!$E$146="Upfront",IF(24=1,'I_Budget Input Data'!$D$146,0),IF('I_Budget Input Data'!$E$146="Equal",'I_Budget Input Data'!$D$146/'I_Inputs &amp; Assumptions'!$B$8,IF('I_Budget Input Data'!$E$146="Front-loaded",IF(24&lt;='I_Inputs &amp; Assumptions'!$B$8/2,'I_Budget Input Data'!$D$146*0.6/('I_Inputs &amp; Assumptions'!$B$8/2),'I_Budget Input Data'!$D$146*0.4/('I_Inputs &amp; Assumptions'!$B$8/2)),IF('I_Budget Input Data'!$E$146="Back-loaded",IF(24&lt;='I_Inputs &amp; Assumptions'!$B$8/2,'I_Budget Input Data'!$D$146*0.4/('I_Inputs &amp; Assumptions'!$B$8/2),'I_Budget Input Data'!$D$146*0.6/('I_Inputs &amp; Assumptions'!$B$8/2)),IF('I_Budget Input Data'!$E$146="Mid-weighted",IF(24&lt;='I_Inputs &amp; Assumptions'!$B$8/4,'I_Budget Input Data'!$D$146*0.2/('I_Inputs &amp; Assumptions'!$B$8/4),IF(24&lt;='I_Inputs &amp; Assumptions'!$B$8*0.75,'I_Budget Input Data'!$D$146*0.6/('I_Inputs &amp; Assumptions'!$B$8/2),'I_Budget Input Data'!$D$146*0.2/('I_Inputs &amp; Assumptions'!$B$8/4))),IF('I_Budget Input Data'!$E$146="At Completion",IF(24='I_Inputs &amp; Assumptions'!$B$8,'I_Budget Input Data'!$D$146,0),'I_Budget Input Data'!$D$146/'I_Inputs &amp; Assumptions'!$B$8)))))),0)</f>
        <v>0</v>
      </c>
      <c r="AA146" s="91">
        <f>IF(25&lt;='I_Inputs &amp; Assumptions'!$B$8,IF('I_Budget Input Data'!$E$146="Upfront",IF(25=1,'I_Budget Input Data'!$D$146,0),IF('I_Budget Input Data'!$E$146="Equal",'I_Budget Input Data'!$D$146/'I_Inputs &amp; Assumptions'!$B$8,IF('I_Budget Input Data'!$E$146="Front-loaded",IF(25&lt;='I_Inputs &amp; Assumptions'!$B$8/2,'I_Budget Input Data'!$D$146*0.6/('I_Inputs &amp; Assumptions'!$B$8/2),'I_Budget Input Data'!$D$146*0.4/('I_Inputs &amp; Assumptions'!$B$8/2)),IF('I_Budget Input Data'!$E$146="Back-loaded",IF(25&lt;='I_Inputs &amp; Assumptions'!$B$8/2,'I_Budget Input Data'!$D$146*0.4/('I_Inputs &amp; Assumptions'!$B$8/2),'I_Budget Input Data'!$D$146*0.6/('I_Inputs &amp; Assumptions'!$B$8/2)),IF('I_Budget Input Data'!$E$146="Mid-weighted",IF(25&lt;='I_Inputs &amp; Assumptions'!$B$8/4,'I_Budget Input Data'!$D$146*0.2/('I_Inputs &amp; Assumptions'!$B$8/4),IF(25&lt;='I_Inputs &amp; Assumptions'!$B$8*0.75,'I_Budget Input Data'!$D$146*0.6/('I_Inputs &amp; Assumptions'!$B$8/2),'I_Budget Input Data'!$D$146*0.2/('I_Inputs &amp; Assumptions'!$B$8/4))),IF('I_Budget Input Data'!$E$146="At Completion",IF(25='I_Inputs &amp; Assumptions'!$B$8,'I_Budget Input Data'!$D$146,0),'I_Budget Input Data'!$D$146/'I_Inputs &amp; Assumptions'!$B$8)))))),0)</f>
        <v>0</v>
      </c>
      <c r="AB146" s="91">
        <f>IF(26&lt;='I_Inputs &amp; Assumptions'!$B$8,IF('I_Budget Input Data'!$E$146="Upfront",IF(26=1,'I_Budget Input Data'!$D$146,0),IF('I_Budget Input Data'!$E$146="Equal",'I_Budget Input Data'!$D$146/'I_Inputs &amp; Assumptions'!$B$8,IF('I_Budget Input Data'!$E$146="Front-loaded",IF(26&lt;='I_Inputs &amp; Assumptions'!$B$8/2,'I_Budget Input Data'!$D$146*0.6/('I_Inputs &amp; Assumptions'!$B$8/2),'I_Budget Input Data'!$D$146*0.4/('I_Inputs &amp; Assumptions'!$B$8/2)),IF('I_Budget Input Data'!$E$146="Back-loaded",IF(26&lt;='I_Inputs &amp; Assumptions'!$B$8/2,'I_Budget Input Data'!$D$146*0.4/('I_Inputs &amp; Assumptions'!$B$8/2),'I_Budget Input Data'!$D$146*0.6/('I_Inputs &amp; Assumptions'!$B$8/2)),IF('I_Budget Input Data'!$E$146="Mid-weighted",IF(26&lt;='I_Inputs &amp; Assumptions'!$B$8/4,'I_Budget Input Data'!$D$146*0.2/('I_Inputs &amp; Assumptions'!$B$8/4),IF(26&lt;='I_Inputs &amp; Assumptions'!$B$8*0.75,'I_Budget Input Data'!$D$146*0.6/('I_Inputs &amp; Assumptions'!$B$8/2),'I_Budget Input Data'!$D$146*0.2/('I_Inputs &amp; Assumptions'!$B$8/4))),IF('I_Budget Input Data'!$E$146="At Completion",IF(26='I_Inputs &amp; Assumptions'!$B$8,'I_Budget Input Data'!$D$146,0),'I_Budget Input Data'!$D$146/'I_Inputs &amp; Assumptions'!$B$8)))))),0)</f>
        <v>0</v>
      </c>
      <c r="AC146" s="91">
        <f>IF(27&lt;='I_Inputs &amp; Assumptions'!$B$8,IF('I_Budget Input Data'!$E$146="Upfront",IF(27=1,'I_Budget Input Data'!$D$146,0),IF('I_Budget Input Data'!$E$146="Equal",'I_Budget Input Data'!$D$146/'I_Inputs &amp; Assumptions'!$B$8,IF('I_Budget Input Data'!$E$146="Front-loaded",IF(27&lt;='I_Inputs &amp; Assumptions'!$B$8/2,'I_Budget Input Data'!$D$146*0.6/('I_Inputs &amp; Assumptions'!$B$8/2),'I_Budget Input Data'!$D$146*0.4/('I_Inputs &amp; Assumptions'!$B$8/2)),IF('I_Budget Input Data'!$E$146="Back-loaded",IF(27&lt;='I_Inputs &amp; Assumptions'!$B$8/2,'I_Budget Input Data'!$D$146*0.4/('I_Inputs &amp; Assumptions'!$B$8/2),'I_Budget Input Data'!$D$146*0.6/('I_Inputs &amp; Assumptions'!$B$8/2)),IF('I_Budget Input Data'!$E$146="Mid-weighted",IF(27&lt;='I_Inputs &amp; Assumptions'!$B$8/4,'I_Budget Input Data'!$D$146*0.2/('I_Inputs &amp; Assumptions'!$B$8/4),IF(27&lt;='I_Inputs &amp; Assumptions'!$B$8*0.75,'I_Budget Input Data'!$D$146*0.6/('I_Inputs &amp; Assumptions'!$B$8/2),'I_Budget Input Data'!$D$146*0.2/('I_Inputs &amp; Assumptions'!$B$8/4))),IF('I_Budget Input Data'!$E$146="At Completion",IF(27='I_Inputs &amp; Assumptions'!$B$8,'I_Budget Input Data'!$D$146,0),'I_Budget Input Data'!$D$146/'I_Inputs &amp; Assumptions'!$B$8)))))),0)</f>
        <v>0</v>
      </c>
      <c r="AD146" s="91">
        <f>IF(28&lt;='I_Inputs &amp; Assumptions'!$B$8,IF('I_Budget Input Data'!$E$146="Upfront",IF(28=1,'I_Budget Input Data'!$D$146,0),IF('I_Budget Input Data'!$E$146="Equal",'I_Budget Input Data'!$D$146/'I_Inputs &amp; Assumptions'!$B$8,IF('I_Budget Input Data'!$E$146="Front-loaded",IF(28&lt;='I_Inputs &amp; Assumptions'!$B$8/2,'I_Budget Input Data'!$D$146*0.6/('I_Inputs &amp; Assumptions'!$B$8/2),'I_Budget Input Data'!$D$146*0.4/('I_Inputs &amp; Assumptions'!$B$8/2)),IF('I_Budget Input Data'!$E$146="Back-loaded",IF(28&lt;='I_Inputs &amp; Assumptions'!$B$8/2,'I_Budget Input Data'!$D$146*0.4/('I_Inputs &amp; Assumptions'!$B$8/2),'I_Budget Input Data'!$D$146*0.6/('I_Inputs &amp; Assumptions'!$B$8/2)),IF('I_Budget Input Data'!$E$146="Mid-weighted",IF(28&lt;='I_Inputs &amp; Assumptions'!$B$8/4,'I_Budget Input Data'!$D$146*0.2/('I_Inputs &amp; Assumptions'!$B$8/4),IF(28&lt;='I_Inputs &amp; Assumptions'!$B$8*0.75,'I_Budget Input Data'!$D$146*0.6/('I_Inputs &amp; Assumptions'!$B$8/2),'I_Budget Input Data'!$D$146*0.2/('I_Inputs &amp; Assumptions'!$B$8/4))),IF('I_Budget Input Data'!$E$146="At Completion",IF(28='I_Inputs &amp; Assumptions'!$B$8,'I_Budget Input Data'!$D$146,0),'I_Budget Input Data'!$D$146/'I_Inputs &amp; Assumptions'!$B$8)))))),0)</f>
        <v>0</v>
      </c>
      <c r="AE146" s="91">
        <f>IF(29&lt;='I_Inputs &amp; Assumptions'!$B$8,IF('I_Budget Input Data'!$E$146="Upfront",IF(29=1,'I_Budget Input Data'!$D$146,0),IF('I_Budget Input Data'!$E$146="Equal",'I_Budget Input Data'!$D$146/'I_Inputs &amp; Assumptions'!$B$8,IF('I_Budget Input Data'!$E$146="Front-loaded",IF(29&lt;='I_Inputs &amp; Assumptions'!$B$8/2,'I_Budget Input Data'!$D$146*0.6/('I_Inputs &amp; Assumptions'!$B$8/2),'I_Budget Input Data'!$D$146*0.4/('I_Inputs &amp; Assumptions'!$B$8/2)),IF('I_Budget Input Data'!$E$146="Back-loaded",IF(29&lt;='I_Inputs &amp; Assumptions'!$B$8/2,'I_Budget Input Data'!$D$146*0.4/('I_Inputs &amp; Assumptions'!$B$8/2),'I_Budget Input Data'!$D$146*0.6/('I_Inputs &amp; Assumptions'!$B$8/2)),IF('I_Budget Input Data'!$E$146="Mid-weighted",IF(29&lt;='I_Inputs &amp; Assumptions'!$B$8/4,'I_Budget Input Data'!$D$146*0.2/('I_Inputs &amp; Assumptions'!$B$8/4),IF(29&lt;='I_Inputs &amp; Assumptions'!$B$8*0.75,'I_Budget Input Data'!$D$146*0.6/('I_Inputs &amp; Assumptions'!$B$8/2),'I_Budget Input Data'!$D$146*0.2/('I_Inputs &amp; Assumptions'!$B$8/4))),IF('I_Budget Input Data'!$E$146="At Completion",IF(29='I_Inputs &amp; Assumptions'!$B$8,'I_Budget Input Data'!$D$146,0),'I_Budget Input Data'!$D$146/'I_Inputs &amp; Assumptions'!$B$8)))))),0)</f>
        <v>0</v>
      </c>
      <c r="AF146" s="91">
        <f>IF(30&lt;='I_Inputs &amp; Assumptions'!$B$8,IF('I_Budget Input Data'!$E$146="Upfront",IF(30=1,'I_Budget Input Data'!$D$146,0),IF('I_Budget Input Data'!$E$146="Equal",'I_Budget Input Data'!$D$146/'I_Inputs &amp; Assumptions'!$B$8,IF('I_Budget Input Data'!$E$146="Front-loaded",IF(30&lt;='I_Inputs &amp; Assumptions'!$B$8/2,'I_Budget Input Data'!$D$146*0.6/('I_Inputs &amp; Assumptions'!$B$8/2),'I_Budget Input Data'!$D$146*0.4/('I_Inputs &amp; Assumptions'!$B$8/2)),IF('I_Budget Input Data'!$E$146="Back-loaded",IF(30&lt;='I_Inputs &amp; Assumptions'!$B$8/2,'I_Budget Input Data'!$D$146*0.4/('I_Inputs &amp; Assumptions'!$B$8/2),'I_Budget Input Data'!$D$146*0.6/('I_Inputs &amp; Assumptions'!$B$8/2)),IF('I_Budget Input Data'!$E$146="Mid-weighted",IF(30&lt;='I_Inputs &amp; Assumptions'!$B$8/4,'I_Budget Input Data'!$D$146*0.2/('I_Inputs &amp; Assumptions'!$B$8/4),IF(30&lt;='I_Inputs &amp; Assumptions'!$B$8*0.75,'I_Budget Input Data'!$D$146*0.6/('I_Inputs &amp; Assumptions'!$B$8/2),'I_Budget Input Data'!$D$146*0.2/('I_Inputs &amp; Assumptions'!$B$8/4))),IF('I_Budget Input Data'!$E$146="At Completion",IF(30='I_Inputs &amp; Assumptions'!$B$8,'I_Budget Input Data'!$D$146,0),'I_Budget Input Data'!$D$146/'I_Inputs &amp; Assumptions'!$B$8)))))),0)</f>
        <v>0</v>
      </c>
      <c r="AG146" s="91">
        <f>IF(31&lt;='I_Inputs &amp; Assumptions'!$B$8,IF('I_Budget Input Data'!$E$146="Upfront",IF(31=1,'I_Budget Input Data'!$D$146,0),IF('I_Budget Input Data'!$E$146="Equal",'I_Budget Input Data'!$D$146/'I_Inputs &amp; Assumptions'!$B$8,IF('I_Budget Input Data'!$E$146="Front-loaded",IF(31&lt;='I_Inputs &amp; Assumptions'!$B$8/2,'I_Budget Input Data'!$D$146*0.6/('I_Inputs &amp; Assumptions'!$B$8/2),'I_Budget Input Data'!$D$146*0.4/('I_Inputs &amp; Assumptions'!$B$8/2)),IF('I_Budget Input Data'!$E$146="Back-loaded",IF(31&lt;='I_Inputs &amp; Assumptions'!$B$8/2,'I_Budget Input Data'!$D$146*0.4/('I_Inputs &amp; Assumptions'!$B$8/2),'I_Budget Input Data'!$D$146*0.6/('I_Inputs &amp; Assumptions'!$B$8/2)),IF('I_Budget Input Data'!$E$146="Mid-weighted",IF(31&lt;='I_Inputs &amp; Assumptions'!$B$8/4,'I_Budget Input Data'!$D$146*0.2/('I_Inputs &amp; Assumptions'!$B$8/4),IF(31&lt;='I_Inputs &amp; Assumptions'!$B$8*0.75,'I_Budget Input Data'!$D$146*0.6/('I_Inputs &amp; Assumptions'!$B$8/2),'I_Budget Input Data'!$D$146*0.2/('I_Inputs &amp; Assumptions'!$B$8/4))),IF('I_Budget Input Data'!$E$146="At Completion",IF(31='I_Inputs &amp; Assumptions'!$B$8,'I_Budget Input Data'!$D$146,0),'I_Budget Input Data'!$D$146/'I_Inputs &amp; Assumptions'!$B$8)))))),0)</f>
        <v>0</v>
      </c>
      <c r="AH146" s="91">
        <f>IF(32&lt;='I_Inputs &amp; Assumptions'!$B$8,IF('I_Budget Input Data'!$E$146="Upfront",IF(32=1,'I_Budget Input Data'!$D$146,0),IF('I_Budget Input Data'!$E$146="Equal",'I_Budget Input Data'!$D$146/'I_Inputs &amp; Assumptions'!$B$8,IF('I_Budget Input Data'!$E$146="Front-loaded",IF(32&lt;='I_Inputs &amp; Assumptions'!$B$8/2,'I_Budget Input Data'!$D$146*0.6/('I_Inputs &amp; Assumptions'!$B$8/2),'I_Budget Input Data'!$D$146*0.4/('I_Inputs &amp; Assumptions'!$B$8/2)),IF('I_Budget Input Data'!$E$146="Back-loaded",IF(32&lt;='I_Inputs &amp; Assumptions'!$B$8/2,'I_Budget Input Data'!$D$146*0.4/('I_Inputs &amp; Assumptions'!$B$8/2),'I_Budget Input Data'!$D$146*0.6/('I_Inputs &amp; Assumptions'!$B$8/2)),IF('I_Budget Input Data'!$E$146="Mid-weighted",IF(32&lt;='I_Inputs &amp; Assumptions'!$B$8/4,'I_Budget Input Data'!$D$146*0.2/('I_Inputs &amp; Assumptions'!$B$8/4),IF(32&lt;='I_Inputs &amp; Assumptions'!$B$8*0.75,'I_Budget Input Data'!$D$146*0.6/('I_Inputs &amp; Assumptions'!$B$8/2),'I_Budget Input Data'!$D$146*0.2/('I_Inputs &amp; Assumptions'!$B$8/4))),IF('I_Budget Input Data'!$E$146="At Completion",IF(32='I_Inputs &amp; Assumptions'!$B$8,'I_Budget Input Data'!$D$146,0),'I_Budget Input Data'!$D$146/'I_Inputs &amp; Assumptions'!$B$8)))))),0)</f>
        <v>0</v>
      </c>
      <c r="AI146" s="91">
        <f>IF(33&lt;='I_Inputs &amp; Assumptions'!$B$8,IF('I_Budget Input Data'!$E$146="Upfront",IF(33=1,'I_Budget Input Data'!$D$146,0),IF('I_Budget Input Data'!$E$146="Equal",'I_Budget Input Data'!$D$146/'I_Inputs &amp; Assumptions'!$B$8,IF('I_Budget Input Data'!$E$146="Front-loaded",IF(33&lt;='I_Inputs &amp; Assumptions'!$B$8/2,'I_Budget Input Data'!$D$146*0.6/('I_Inputs &amp; Assumptions'!$B$8/2),'I_Budget Input Data'!$D$146*0.4/('I_Inputs &amp; Assumptions'!$B$8/2)),IF('I_Budget Input Data'!$E$146="Back-loaded",IF(33&lt;='I_Inputs &amp; Assumptions'!$B$8/2,'I_Budget Input Data'!$D$146*0.4/('I_Inputs &amp; Assumptions'!$B$8/2),'I_Budget Input Data'!$D$146*0.6/('I_Inputs &amp; Assumptions'!$B$8/2)),IF('I_Budget Input Data'!$E$146="Mid-weighted",IF(33&lt;='I_Inputs &amp; Assumptions'!$B$8/4,'I_Budget Input Data'!$D$146*0.2/('I_Inputs &amp; Assumptions'!$B$8/4),IF(33&lt;='I_Inputs &amp; Assumptions'!$B$8*0.75,'I_Budget Input Data'!$D$146*0.6/('I_Inputs &amp; Assumptions'!$B$8/2),'I_Budget Input Data'!$D$146*0.2/('I_Inputs &amp; Assumptions'!$B$8/4))),IF('I_Budget Input Data'!$E$146="At Completion",IF(33='I_Inputs &amp; Assumptions'!$B$8,'I_Budget Input Data'!$D$146,0),'I_Budget Input Data'!$D$146/'I_Inputs &amp; Assumptions'!$B$8)))))),0)</f>
        <v>0</v>
      </c>
      <c r="AJ146" s="91">
        <f>IF(34&lt;='I_Inputs &amp; Assumptions'!$B$8,IF('I_Budget Input Data'!$E$146="Upfront",IF(34=1,'I_Budget Input Data'!$D$146,0),IF('I_Budget Input Data'!$E$146="Equal",'I_Budget Input Data'!$D$146/'I_Inputs &amp; Assumptions'!$B$8,IF('I_Budget Input Data'!$E$146="Front-loaded",IF(34&lt;='I_Inputs &amp; Assumptions'!$B$8/2,'I_Budget Input Data'!$D$146*0.6/('I_Inputs &amp; Assumptions'!$B$8/2),'I_Budget Input Data'!$D$146*0.4/('I_Inputs &amp; Assumptions'!$B$8/2)),IF('I_Budget Input Data'!$E$146="Back-loaded",IF(34&lt;='I_Inputs &amp; Assumptions'!$B$8/2,'I_Budget Input Data'!$D$146*0.4/('I_Inputs &amp; Assumptions'!$B$8/2),'I_Budget Input Data'!$D$146*0.6/('I_Inputs &amp; Assumptions'!$B$8/2)),IF('I_Budget Input Data'!$E$146="Mid-weighted",IF(34&lt;='I_Inputs &amp; Assumptions'!$B$8/4,'I_Budget Input Data'!$D$146*0.2/('I_Inputs &amp; Assumptions'!$B$8/4),IF(34&lt;='I_Inputs &amp; Assumptions'!$B$8*0.75,'I_Budget Input Data'!$D$146*0.6/('I_Inputs &amp; Assumptions'!$B$8/2),'I_Budget Input Data'!$D$146*0.2/('I_Inputs &amp; Assumptions'!$B$8/4))),IF('I_Budget Input Data'!$E$146="At Completion",IF(34='I_Inputs &amp; Assumptions'!$B$8,'I_Budget Input Data'!$D$146,0),'I_Budget Input Data'!$D$146/'I_Inputs &amp; Assumptions'!$B$8)))))),0)</f>
        <v>0</v>
      </c>
      <c r="AK146" s="91">
        <f>IF(35&lt;='I_Inputs &amp; Assumptions'!$B$8,IF('I_Budget Input Data'!$E$146="Upfront",IF(35=1,'I_Budget Input Data'!$D$146,0),IF('I_Budget Input Data'!$E$146="Equal",'I_Budget Input Data'!$D$146/'I_Inputs &amp; Assumptions'!$B$8,IF('I_Budget Input Data'!$E$146="Front-loaded",IF(35&lt;='I_Inputs &amp; Assumptions'!$B$8/2,'I_Budget Input Data'!$D$146*0.6/('I_Inputs &amp; Assumptions'!$B$8/2),'I_Budget Input Data'!$D$146*0.4/('I_Inputs &amp; Assumptions'!$B$8/2)),IF('I_Budget Input Data'!$E$146="Back-loaded",IF(35&lt;='I_Inputs &amp; Assumptions'!$B$8/2,'I_Budget Input Data'!$D$146*0.4/('I_Inputs &amp; Assumptions'!$B$8/2),'I_Budget Input Data'!$D$146*0.6/('I_Inputs &amp; Assumptions'!$B$8/2)),IF('I_Budget Input Data'!$E$146="Mid-weighted",IF(35&lt;='I_Inputs &amp; Assumptions'!$B$8/4,'I_Budget Input Data'!$D$146*0.2/('I_Inputs &amp; Assumptions'!$B$8/4),IF(35&lt;='I_Inputs &amp; Assumptions'!$B$8*0.75,'I_Budget Input Data'!$D$146*0.6/('I_Inputs &amp; Assumptions'!$B$8/2),'I_Budget Input Data'!$D$146*0.2/('I_Inputs &amp; Assumptions'!$B$8/4))),IF('I_Budget Input Data'!$E$146="At Completion",IF(35='I_Inputs &amp; Assumptions'!$B$8,'I_Budget Input Data'!$D$146,0),'I_Budget Input Data'!$D$146/'I_Inputs &amp; Assumptions'!$B$8)))))),0)</f>
        <v>0</v>
      </c>
      <c r="AL146" s="91">
        <f>IF(36&lt;='I_Inputs &amp; Assumptions'!$B$8,IF('I_Budget Input Data'!$E$146="Upfront",IF(36=1,'I_Budget Input Data'!$D$146,0),IF('I_Budget Input Data'!$E$146="Equal",'I_Budget Input Data'!$D$146/'I_Inputs &amp; Assumptions'!$B$8,IF('I_Budget Input Data'!$E$146="Front-loaded",IF(36&lt;='I_Inputs &amp; Assumptions'!$B$8/2,'I_Budget Input Data'!$D$146*0.6/('I_Inputs &amp; Assumptions'!$B$8/2),'I_Budget Input Data'!$D$146*0.4/('I_Inputs &amp; Assumptions'!$B$8/2)),IF('I_Budget Input Data'!$E$146="Back-loaded",IF(36&lt;='I_Inputs &amp; Assumptions'!$B$8/2,'I_Budget Input Data'!$D$146*0.4/('I_Inputs &amp; Assumptions'!$B$8/2),'I_Budget Input Data'!$D$146*0.6/('I_Inputs &amp; Assumptions'!$B$8/2)),IF('I_Budget Input Data'!$E$146="Mid-weighted",IF(36&lt;='I_Inputs &amp; Assumptions'!$B$8/4,'I_Budget Input Data'!$D$146*0.2/('I_Inputs &amp; Assumptions'!$B$8/4),IF(36&lt;='I_Inputs &amp; Assumptions'!$B$8*0.75,'I_Budget Input Data'!$D$146*0.6/('I_Inputs &amp; Assumptions'!$B$8/2),'I_Budget Input Data'!$D$146*0.2/('I_Inputs &amp; Assumptions'!$B$8/4))),IF('I_Budget Input Data'!$E$146="At Completion",IF(36='I_Inputs &amp; Assumptions'!$B$8,'I_Budget Input Data'!$D$146,0),'I_Budget Input Data'!$D$146/'I_Inputs &amp; Assumptions'!$B$8)))))),0)</f>
        <v>0</v>
      </c>
    </row>
    <row r="147" spans="1:38" ht="15" customHeight="1" x14ac:dyDescent="0.2">
      <c r="A147" t="s">
        <v>248</v>
      </c>
      <c r="B147" t="s">
        <v>262</v>
      </c>
      <c r="C147" s="91">
        <f>IF(1&lt;='I_Inputs &amp; Assumptions'!$B$8,IF('I_Budget Input Data'!$E$147="Upfront",IF(1=1,'I_Budget Input Data'!$D$147,0),IF('I_Budget Input Data'!$E$147="Equal",'I_Budget Input Data'!$D$147/'I_Inputs &amp; Assumptions'!$B$8,IF('I_Budget Input Data'!$E$147="Front-loaded",IF(1&lt;='I_Inputs &amp; Assumptions'!$B$8/2,'I_Budget Input Data'!$D$147*0.6/('I_Inputs &amp; Assumptions'!$B$8/2),'I_Budget Input Data'!$D$147*0.4/('I_Inputs &amp; Assumptions'!$B$8/2)),IF('I_Budget Input Data'!$E$147="Back-loaded",IF(1&lt;='I_Inputs &amp; Assumptions'!$B$8/2,'I_Budget Input Data'!$D$147*0.4/('I_Inputs &amp; Assumptions'!$B$8/2),'I_Budget Input Data'!$D$147*0.6/('I_Inputs &amp; Assumptions'!$B$8/2)),IF('I_Budget Input Data'!$E$147="Mid-weighted",IF(1&lt;='I_Inputs &amp; Assumptions'!$B$8/4,'I_Budget Input Data'!$D$147*0.2/('I_Inputs &amp; Assumptions'!$B$8/4),IF(1&lt;='I_Inputs &amp; Assumptions'!$B$8*0.75,'I_Budget Input Data'!$D$147*0.6/('I_Inputs &amp; Assumptions'!$B$8/2),'I_Budget Input Data'!$D$147*0.2/('I_Inputs &amp; Assumptions'!$B$8/4))),IF('I_Budget Input Data'!$E$147="At Completion",IF(1='I_Inputs &amp; Assumptions'!$B$8,'I_Budget Input Data'!$D$147,0),'I_Budget Input Data'!$D$147/'I_Inputs &amp; Assumptions'!$B$8)))))),0)</f>
        <v>7556.6769230769232</v>
      </c>
      <c r="D147" s="91">
        <f>IF(2&lt;='I_Inputs &amp; Assumptions'!$B$8,IF('I_Budget Input Data'!$E$147="Upfront",IF(2=1,'I_Budget Input Data'!$D$147,0),IF('I_Budget Input Data'!$E$147="Equal",'I_Budget Input Data'!$D$147/'I_Inputs &amp; Assumptions'!$B$8,IF('I_Budget Input Data'!$E$147="Front-loaded",IF(2&lt;='I_Inputs &amp; Assumptions'!$B$8/2,'I_Budget Input Data'!$D$147*0.6/('I_Inputs &amp; Assumptions'!$B$8/2),'I_Budget Input Data'!$D$147*0.4/('I_Inputs &amp; Assumptions'!$B$8/2)),IF('I_Budget Input Data'!$E$147="Back-loaded",IF(2&lt;='I_Inputs &amp; Assumptions'!$B$8/2,'I_Budget Input Data'!$D$147*0.4/('I_Inputs &amp; Assumptions'!$B$8/2),'I_Budget Input Data'!$D$147*0.6/('I_Inputs &amp; Assumptions'!$B$8/2)),IF('I_Budget Input Data'!$E$147="Mid-weighted",IF(2&lt;='I_Inputs &amp; Assumptions'!$B$8/4,'I_Budget Input Data'!$D$147*0.2/('I_Inputs &amp; Assumptions'!$B$8/4),IF(2&lt;='I_Inputs &amp; Assumptions'!$B$8*0.75,'I_Budget Input Data'!$D$147*0.6/('I_Inputs &amp; Assumptions'!$B$8/2),'I_Budget Input Data'!$D$147*0.2/('I_Inputs &amp; Assumptions'!$B$8/4))),IF('I_Budget Input Data'!$E$147="At Completion",IF(2='I_Inputs &amp; Assumptions'!$B$8,'I_Budget Input Data'!$D$147,0),'I_Budget Input Data'!$D$147/'I_Inputs &amp; Assumptions'!$B$8)))))),0)</f>
        <v>7556.6769230769232</v>
      </c>
      <c r="E147" s="91">
        <f>IF(3&lt;='I_Inputs &amp; Assumptions'!$B$8,IF('I_Budget Input Data'!$E$147="Upfront",IF(3=1,'I_Budget Input Data'!$D$147,0),IF('I_Budget Input Data'!$E$147="Equal",'I_Budget Input Data'!$D$147/'I_Inputs &amp; Assumptions'!$B$8,IF('I_Budget Input Data'!$E$147="Front-loaded",IF(3&lt;='I_Inputs &amp; Assumptions'!$B$8/2,'I_Budget Input Data'!$D$147*0.6/('I_Inputs &amp; Assumptions'!$B$8/2),'I_Budget Input Data'!$D$147*0.4/('I_Inputs &amp; Assumptions'!$B$8/2)),IF('I_Budget Input Data'!$E$147="Back-loaded",IF(3&lt;='I_Inputs &amp; Assumptions'!$B$8/2,'I_Budget Input Data'!$D$147*0.4/('I_Inputs &amp; Assumptions'!$B$8/2),'I_Budget Input Data'!$D$147*0.6/('I_Inputs &amp; Assumptions'!$B$8/2)),IF('I_Budget Input Data'!$E$147="Mid-weighted",IF(3&lt;='I_Inputs &amp; Assumptions'!$B$8/4,'I_Budget Input Data'!$D$147*0.2/('I_Inputs &amp; Assumptions'!$B$8/4),IF(3&lt;='I_Inputs &amp; Assumptions'!$B$8*0.75,'I_Budget Input Data'!$D$147*0.6/('I_Inputs &amp; Assumptions'!$B$8/2),'I_Budget Input Data'!$D$147*0.2/('I_Inputs &amp; Assumptions'!$B$8/4))),IF('I_Budget Input Data'!$E$147="At Completion",IF(3='I_Inputs &amp; Assumptions'!$B$8,'I_Budget Input Data'!$D$147,0),'I_Budget Input Data'!$D$147/'I_Inputs &amp; Assumptions'!$B$8)))))),0)</f>
        <v>7556.6769230769232</v>
      </c>
      <c r="F147" s="91">
        <f>IF(4&lt;='I_Inputs &amp; Assumptions'!$B$8,IF('I_Budget Input Data'!$E$147="Upfront",IF(4=1,'I_Budget Input Data'!$D$147,0),IF('I_Budget Input Data'!$E$147="Equal",'I_Budget Input Data'!$D$147/'I_Inputs &amp; Assumptions'!$B$8,IF('I_Budget Input Data'!$E$147="Front-loaded",IF(4&lt;='I_Inputs &amp; Assumptions'!$B$8/2,'I_Budget Input Data'!$D$147*0.6/('I_Inputs &amp; Assumptions'!$B$8/2),'I_Budget Input Data'!$D$147*0.4/('I_Inputs &amp; Assumptions'!$B$8/2)),IF('I_Budget Input Data'!$E$147="Back-loaded",IF(4&lt;='I_Inputs &amp; Assumptions'!$B$8/2,'I_Budget Input Data'!$D$147*0.4/('I_Inputs &amp; Assumptions'!$B$8/2),'I_Budget Input Data'!$D$147*0.6/('I_Inputs &amp; Assumptions'!$B$8/2)),IF('I_Budget Input Data'!$E$147="Mid-weighted",IF(4&lt;='I_Inputs &amp; Assumptions'!$B$8/4,'I_Budget Input Data'!$D$147*0.2/('I_Inputs &amp; Assumptions'!$B$8/4),IF(4&lt;='I_Inputs &amp; Assumptions'!$B$8*0.75,'I_Budget Input Data'!$D$147*0.6/('I_Inputs &amp; Assumptions'!$B$8/2),'I_Budget Input Data'!$D$147*0.2/('I_Inputs &amp; Assumptions'!$B$8/4))),IF('I_Budget Input Data'!$E$147="At Completion",IF(4='I_Inputs &amp; Assumptions'!$B$8,'I_Budget Input Data'!$D$147,0),'I_Budget Input Data'!$D$147/'I_Inputs &amp; Assumptions'!$B$8)))))),0)</f>
        <v>7556.6769230769232</v>
      </c>
      <c r="G147" s="91">
        <f>IF(5&lt;='I_Inputs &amp; Assumptions'!$B$8,IF('I_Budget Input Data'!$E$147="Upfront",IF(5=1,'I_Budget Input Data'!$D$147,0),IF('I_Budget Input Data'!$E$147="Equal",'I_Budget Input Data'!$D$147/'I_Inputs &amp; Assumptions'!$B$8,IF('I_Budget Input Data'!$E$147="Front-loaded",IF(5&lt;='I_Inputs &amp; Assumptions'!$B$8/2,'I_Budget Input Data'!$D$147*0.6/('I_Inputs &amp; Assumptions'!$B$8/2),'I_Budget Input Data'!$D$147*0.4/('I_Inputs &amp; Assumptions'!$B$8/2)),IF('I_Budget Input Data'!$E$147="Back-loaded",IF(5&lt;='I_Inputs &amp; Assumptions'!$B$8/2,'I_Budget Input Data'!$D$147*0.4/('I_Inputs &amp; Assumptions'!$B$8/2),'I_Budget Input Data'!$D$147*0.6/('I_Inputs &amp; Assumptions'!$B$8/2)),IF('I_Budget Input Data'!$E$147="Mid-weighted",IF(5&lt;='I_Inputs &amp; Assumptions'!$B$8/4,'I_Budget Input Data'!$D$147*0.2/('I_Inputs &amp; Assumptions'!$B$8/4),IF(5&lt;='I_Inputs &amp; Assumptions'!$B$8*0.75,'I_Budget Input Data'!$D$147*0.6/('I_Inputs &amp; Assumptions'!$B$8/2),'I_Budget Input Data'!$D$147*0.2/('I_Inputs &amp; Assumptions'!$B$8/4))),IF('I_Budget Input Data'!$E$147="At Completion",IF(5='I_Inputs &amp; Assumptions'!$B$8,'I_Budget Input Data'!$D$147,0),'I_Budget Input Data'!$D$147/'I_Inputs &amp; Assumptions'!$B$8)))))),0)</f>
        <v>7556.6769230769232</v>
      </c>
      <c r="H147" s="91">
        <f>IF(6&lt;='I_Inputs &amp; Assumptions'!$B$8,IF('I_Budget Input Data'!$E$147="Upfront",IF(6=1,'I_Budget Input Data'!$D$147,0),IF('I_Budget Input Data'!$E$147="Equal",'I_Budget Input Data'!$D$147/'I_Inputs &amp; Assumptions'!$B$8,IF('I_Budget Input Data'!$E$147="Front-loaded",IF(6&lt;='I_Inputs &amp; Assumptions'!$B$8/2,'I_Budget Input Data'!$D$147*0.6/('I_Inputs &amp; Assumptions'!$B$8/2),'I_Budget Input Data'!$D$147*0.4/('I_Inputs &amp; Assumptions'!$B$8/2)),IF('I_Budget Input Data'!$E$147="Back-loaded",IF(6&lt;='I_Inputs &amp; Assumptions'!$B$8/2,'I_Budget Input Data'!$D$147*0.4/('I_Inputs &amp; Assumptions'!$B$8/2),'I_Budget Input Data'!$D$147*0.6/('I_Inputs &amp; Assumptions'!$B$8/2)),IF('I_Budget Input Data'!$E$147="Mid-weighted",IF(6&lt;='I_Inputs &amp; Assumptions'!$B$8/4,'I_Budget Input Data'!$D$147*0.2/('I_Inputs &amp; Assumptions'!$B$8/4),IF(6&lt;='I_Inputs &amp; Assumptions'!$B$8*0.75,'I_Budget Input Data'!$D$147*0.6/('I_Inputs &amp; Assumptions'!$B$8/2),'I_Budget Input Data'!$D$147*0.2/('I_Inputs &amp; Assumptions'!$B$8/4))),IF('I_Budget Input Data'!$E$147="At Completion",IF(6='I_Inputs &amp; Assumptions'!$B$8,'I_Budget Input Data'!$D$147,0),'I_Budget Input Data'!$D$147/'I_Inputs &amp; Assumptions'!$B$8)))))),0)</f>
        <v>7556.6769230769232</v>
      </c>
      <c r="I147" s="91">
        <f>IF(7&lt;='I_Inputs &amp; Assumptions'!$B$8,IF('I_Budget Input Data'!$E$147="Upfront",IF(7=1,'I_Budget Input Data'!$D$147,0),IF('I_Budget Input Data'!$E$147="Equal",'I_Budget Input Data'!$D$147/'I_Inputs &amp; Assumptions'!$B$8,IF('I_Budget Input Data'!$E$147="Front-loaded",IF(7&lt;='I_Inputs &amp; Assumptions'!$B$8/2,'I_Budget Input Data'!$D$147*0.6/('I_Inputs &amp; Assumptions'!$B$8/2),'I_Budget Input Data'!$D$147*0.4/('I_Inputs &amp; Assumptions'!$B$8/2)),IF('I_Budget Input Data'!$E$147="Back-loaded",IF(7&lt;='I_Inputs &amp; Assumptions'!$B$8/2,'I_Budget Input Data'!$D$147*0.4/('I_Inputs &amp; Assumptions'!$B$8/2),'I_Budget Input Data'!$D$147*0.6/('I_Inputs &amp; Assumptions'!$B$8/2)),IF('I_Budget Input Data'!$E$147="Mid-weighted",IF(7&lt;='I_Inputs &amp; Assumptions'!$B$8/4,'I_Budget Input Data'!$D$147*0.2/('I_Inputs &amp; Assumptions'!$B$8/4),IF(7&lt;='I_Inputs &amp; Assumptions'!$B$8*0.75,'I_Budget Input Data'!$D$147*0.6/('I_Inputs &amp; Assumptions'!$B$8/2),'I_Budget Input Data'!$D$147*0.2/('I_Inputs &amp; Assumptions'!$B$8/4))),IF('I_Budget Input Data'!$E$147="At Completion",IF(7='I_Inputs &amp; Assumptions'!$B$8,'I_Budget Input Data'!$D$147,0),'I_Budget Input Data'!$D$147/'I_Inputs &amp; Assumptions'!$B$8)))))),0)</f>
        <v>5037.7846153846158</v>
      </c>
      <c r="J147" s="91">
        <f>IF(8&lt;='I_Inputs &amp; Assumptions'!$B$8,IF('I_Budget Input Data'!$E$147="Upfront",IF(8=1,'I_Budget Input Data'!$D$147,0),IF('I_Budget Input Data'!$E$147="Equal",'I_Budget Input Data'!$D$147/'I_Inputs &amp; Assumptions'!$B$8,IF('I_Budget Input Data'!$E$147="Front-loaded",IF(8&lt;='I_Inputs &amp; Assumptions'!$B$8/2,'I_Budget Input Data'!$D$147*0.6/('I_Inputs &amp; Assumptions'!$B$8/2),'I_Budget Input Data'!$D$147*0.4/('I_Inputs &amp; Assumptions'!$B$8/2)),IF('I_Budget Input Data'!$E$147="Back-loaded",IF(8&lt;='I_Inputs &amp; Assumptions'!$B$8/2,'I_Budget Input Data'!$D$147*0.4/('I_Inputs &amp; Assumptions'!$B$8/2),'I_Budget Input Data'!$D$147*0.6/('I_Inputs &amp; Assumptions'!$B$8/2)),IF('I_Budget Input Data'!$E$147="Mid-weighted",IF(8&lt;='I_Inputs &amp; Assumptions'!$B$8/4,'I_Budget Input Data'!$D$147*0.2/('I_Inputs &amp; Assumptions'!$B$8/4),IF(8&lt;='I_Inputs &amp; Assumptions'!$B$8*0.75,'I_Budget Input Data'!$D$147*0.6/('I_Inputs &amp; Assumptions'!$B$8/2),'I_Budget Input Data'!$D$147*0.2/('I_Inputs &amp; Assumptions'!$B$8/4))),IF('I_Budget Input Data'!$E$147="At Completion",IF(8='I_Inputs &amp; Assumptions'!$B$8,'I_Budget Input Data'!$D$147,0),'I_Budget Input Data'!$D$147/'I_Inputs &amp; Assumptions'!$B$8)))))),0)</f>
        <v>5037.7846153846158</v>
      </c>
      <c r="K147" s="91">
        <f>IF(9&lt;='I_Inputs &amp; Assumptions'!$B$8,IF('I_Budget Input Data'!$E$147="Upfront",IF(9=1,'I_Budget Input Data'!$D$147,0),IF('I_Budget Input Data'!$E$147="Equal",'I_Budget Input Data'!$D$147/'I_Inputs &amp; Assumptions'!$B$8,IF('I_Budget Input Data'!$E$147="Front-loaded",IF(9&lt;='I_Inputs &amp; Assumptions'!$B$8/2,'I_Budget Input Data'!$D$147*0.6/('I_Inputs &amp; Assumptions'!$B$8/2),'I_Budget Input Data'!$D$147*0.4/('I_Inputs &amp; Assumptions'!$B$8/2)),IF('I_Budget Input Data'!$E$147="Back-loaded",IF(9&lt;='I_Inputs &amp; Assumptions'!$B$8/2,'I_Budget Input Data'!$D$147*0.4/('I_Inputs &amp; Assumptions'!$B$8/2),'I_Budget Input Data'!$D$147*0.6/('I_Inputs &amp; Assumptions'!$B$8/2)),IF('I_Budget Input Data'!$E$147="Mid-weighted",IF(9&lt;='I_Inputs &amp; Assumptions'!$B$8/4,'I_Budget Input Data'!$D$147*0.2/('I_Inputs &amp; Assumptions'!$B$8/4),IF(9&lt;='I_Inputs &amp; Assumptions'!$B$8*0.75,'I_Budget Input Data'!$D$147*0.6/('I_Inputs &amp; Assumptions'!$B$8/2),'I_Budget Input Data'!$D$147*0.2/('I_Inputs &amp; Assumptions'!$B$8/4))),IF('I_Budget Input Data'!$E$147="At Completion",IF(9='I_Inputs &amp; Assumptions'!$B$8,'I_Budget Input Data'!$D$147,0),'I_Budget Input Data'!$D$147/'I_Inputs &amp; Assumptions'!$B$8)))))),0)</f>
        <v>5037.7846153846158</v>
      </c>
      <c r="L147" s="91">
        <f>IF(10&lt;='I_Inputs &amp; Assumptions'!$B$8,IF('I_Budget Input Data'!$E$147="Upfront",IF(10=1,'I_Budget Input Data'!$D$147,0),IF('I_Budget Input Data'!$E$147="Equal",'I_Budget Input Data'!$D$147/'I_Inputs &amp; Assumptions'!$B$8,IF('I_Budget Input Data'!$E$147="Front-loaded",IF(10&lt;='I_Inputs &amp; Assumptions'!$B$8/2,'I_Budget Input Data'!$D$147*0.6/('I_Inputs &amp; Assumptions'!$B$8/2),'I_Budget Input Data'!$D$147*0.4/('I_Inputs &amp; Assumptions'!$B$8/2)),IF('I_Budget Input Data'!$E$147="Back-loaded",IF(10&lt;='I_Inputs &amp; Assumptions'!$B$8/2,'I_Budget Input Data'!$D$147*0.4/('I_Inputs &amp; Assumptions'!$B$8/2),'I_Budget Input Data'!$D$147*0.6/('I_Inputs &amp; Assumptions'!$B$8/2)),IF('I_Budget Input Data'!$E$147="Mid-weighted",IF(10&lt;='I_Inputs &amp; Assumptions'!$B$8/4,'I_Budget Input Data'!$D$147*0.2/('I_Inputs &amp; Assumptions'!$B$8/4),IF(10&lt;='I_Inputs &amp; Assumptions'!$B$8*0.75,'I_Budget Input Data'!$D$147*0.6/('I_Inputs &amp; Assumptions'!$B$8/2),'I_Budget Input Data'!$D$147*0.2/('I_Inputs &amp; Assumptions'!$B$8/4))),IF('I_Budget Input Data'!$E$147="At Completion",IF(10='I_Inputs &amp; Assumptions'!$B$8,'I_Budget Input Data'!$D$147,0),'I_Budget Input Data'!$D$147/'I_Inputs &amp; Assumptions'!$B$8)))))),0)</f>
        <v>5037.7846153846158</v>
      </c>
      <c r="M147" s="91">
        <f>IF(11&lt;='I_Inputs &amp; Assumptions'!$B$8,IF('I_Budget Input Data'!$E$147="Upfront",IF(11=1,'I_Budget Input Data'!$D$147,0),IF('I_Budget Input Data'!$E$147="Equal",'I_Budget Input Data'!$D$147/'I_Inputs &amp; Assumptions'!$B$8,IF('I_Budget Input Data'!$E$147="Front-loaded",IF(11&lt;='I_Inputs &amp; Assumptions'!$B$8/2,'I_Budget Input Data'!$D$147*0.6/('I_Inputs &amp; Assumptions'!$B$8/2),'I_Budget Input Data'!$D$147*0.4/('I_Inputs &amp; Assumptions'!$B$8/2)),IF('I_Budget Input Data'!$E$147="Back-loaded",IF(11&lt;='I_Inputs &amp; Assumptions'!$B$8/2,'I_Budget Input Data'!$D$147*0.4/('I_Inputs &amp; Assumptions'!$B$8/2),'I_Budget Input Data'!$D$147*0.6/('I_Inputs &amp; Assumptions'!$B$8/2)),IF('I_Budget Input Data'!$E$147="Mid-weighted",IF(11&lt;='I_Inputs &amp; Assumptions'!$B$8/4,'I_Budget Input Data'!$D$147*0.2/('I_Inputs &amp; Assumptions'!$B$8/4),IF(11&lt;='I_Inputs &amp; Assumptions'!$B$8*0.75,'I_Budget Input Data'!$D$147*0.6/('I_Inputs &amp; Assumptions'!$B$8/2),'I_Budget Input Data'!$D$147*0.2/('I_Inputs &amp; Assumptions'!$B$8/4))),IF('I_Budget Input Data'!$E$147="At Completion",IF(11='I_Inputs &amp; Assumptions'!$B$8,'I_Budget Input Data'!$D$147,0),'I_Budget Input Data'!$D$147/'I_Inputs &amp; Assumptions'!$B$8)))))),0)</f>
        <v>5037.7846153846158</v>
      </c>
      <c r="N147" s="91">
        <f>IF(12&lt;='I_Inputs &amp; Assumptions'!$B$8,IF('I_Budget Input Data'!$E$147="Upfront",IF(12=1,'I_Budget Input Data'!$D$147,0),IF('I_Budget Input Data'!$E$147="Equal",'I_Budget Input Data'!$D$147/'I_Inputs &amp; Assumptions'!$B$8,IF('I_Budget Input Data'!$E$147="Front-loaded",IF(12&lt;='I_Inputs &amp; Assumptions'!$B$8/2,'I_Budget Input Data'!$D$147*0.6/('I_Inputs &amp; Assumptions'!$B$8/2),'I_Budget Input Data'!$D$147*0.4/('I_Inputs &amp; Assumptions'!$B$8/2)),IF('I_Budget Input Data'!$E$147="Back-loaded",IF(12&lt;='I_Inputs &amp; Assumptions'!$B$8/2,'I_Budget Input Data'!$D$147*0.4/('I_Inputs &amp; Assumptions'!$B$8/2),'I_Budget Input Data'!$D$147*0.6/('I_Inputs &amp; Assumptions'!$B$8/2)),IF('I_Budget Input Data'!$E$147="Mid-weighted",IF(12&lt;='I_Inputs &amp; Assumptions'!$B$8/4,'I_Budget Input Data'!$D$147*0.2/('I_Inputs &amp; Assumptions'!$B$8/4),IF(12&lt;='I_Inputs &amp; Assumptions'!$B$8*0.75,'I_Budget Input Data'!$D$147*0.6/('I_Inputs &amp; Assumptions'!$B$8/2),'I_Budget Input Data'!$D$147*0.2/('I_Inputs &amp; Assumptions'!$B$8/4))),IF('I_Budget Input Data'!$E$147="At Completion",IF(12='I_Inputs &amp; Assumptions'!$B$8,'I_Budget Input Data'!$D$147,0),'I_Budget Input Data'!$D$147/'I_Inputs &amp; Assumptions'!$B$8)))))),0)</f>
        <v>5037.7846153846158</v>
      </c>
      <c r="O147" s="91">
        <f>IF(13&lt;='I_Inputs &amp; Assumptions'!$B$8,IF('I_Budget Input Data'!$E$147="Upfront",IF(13=1,'I_Budget Input Data'!$D$147,0),IF('I_Budget Input Data'!$E$147="Equal",'I_Budget Input Data'!$D$147/'I_Inputs &amp; Assumptions'!$B$8,IF('I_Budget Input Data'!$E$147="Front-loaded",IF(13&lt;='I_Inputs &amp; Assumptions'!$B$8/2,'I_Budget Input Data'!$D$147*0.6/('I_Inputs &amp; Assumptions'!$B$8/2),'I_Budget Input Data'!$D$147*0.4/('I_Inputs &amp; Assumptions'!$B$8/2)),IF('I_Budget Input Data'!$E$147="Back-loaded",IF(13&lt;='I_Inputs &amp; Assumptions'!$B$8/2,'I_Budget Input Data'!$D$147*0.4/('I_Inputs &amp; Assumptions'!$B$8/2),'I_Budget Input Data'!$D$147*0.6/('I_Inputs &amp; Assumptions'!$B$8/2)),IF('I_Budget Input Data'!$E$147="Mid-weighted",IF(13&lt;='I_Inputs &amp; Assumptions'!$B$8/4,'I_Budget Input Data'!$D$147*0.2/('I_Inputs &amp; Assumptions'!$B$8/4),IF(13&lt;='I_Inputs &amp; Assumptions'!$B$8*0.75,'I_Budget Input Data'!$D$147*0.6/('I_Inputs &amp; Assumptions'!$B$8/2),'I_Budget Input Data'!$D$147*0.2/('I_Inputs &amp; Assumptions'!$B$8/4))),IF('I_Budget Input Data'!$E$147="At Completion",IF(13='I_Inputs &amp; Assumptions'!$B$8,'I_Budget Input Data'!$D$147,0),'I_Budget Input Data'!$D$147/'I_Inputs &amp; Assumptions'!$B$8)))))),0)</f>
        <v>5037.7846153846158</v>
      </c>
      <c r="P147" s="91">
        <f>IF(14&lt;='I_Inputs &amp; Assumptions'!$B$8,IF('I_Budget Input Data'!$E$147="Upfront",IF(14=1,'I_Budget Input Data'!$D$147,0),IF('I_Budget Input Data'!$E$147="Equal",'I_Budget Input Data'!$D$147/'I_Inputs &amp; Assumptions'!$B$8,IF('I_Budget Input Data'!$E$147="Front-loaded",IF(14&lt;='I_Inputs &amp; Assumptions'!$B$8/2,'I_Budget Input Data'!$D$147*0.6/('I_Inputs &amp; Assumptions'!$B$8/2),'I_Budget Input Data'!$D$147*0.4/('I_Inputs &amp; Assumptions'!$B$8/2)),IF('I_Budget Input Data'!$E$147="Back-loaded",IF(14&lt;='I_Inputs &amp; Assumptions'!$B$8/2,'I_Budget Input Data'!$D$147*0.4/('I_Inputs &amp; Assumptions'!$B$8/2),'I_Budget Input Data'!$D$147*0.6/('I_Inputs &amp; Assumptions'!$B$8/2)),IF('I_Budget Input Data'!$E$147="Mid-weighted",IF(14&lt;='I_Inputs &amp; Assumptions'!$B$8/4,'I_Budget Input Data'!$D$147*0.2/('I_Inputs &amp; Assumptions'!$B$8/4),IF(14&lt;='I_Inputs &amp; Assumptions'!$B$8*0.75,'I_Budget Input Data'!$D$147*0.6/('I_Inputs &amp; Assumptions'!$B$8/2),'I_Budget Input Data'!$D$147*0.2/('I_Inputs &amp; Assumptions'!$B$8/4))),IF('I_Budget Input Data'!$E$147="At Completion",IF(14='I_Inputs &amp; Assumptions'!$B$8,'I_Budget Input Data'!$D$147,0),'I_Budget Input Data'!$D$147/'I_Inputs &amp; Assumptions'!$B$8)))))),0)</f>
        <v>0</v>
      </c>
      <c r="Q147" s="91">
        <f>IF(15&lt;='I_Inputs &amp; Assumptions'!$B$8,IF('I_Budget Input Data'!$E$147="Upfront",IF(15=1,'I_Budget Input Data'!$D$147,0),IF('I_Budget Input Data'!$E$147="Equal",'I_Budget Input Data'!$D$147/'I_Inputs &amp; Assumptions'!$B$8,IF('I_Budget Input Data'!$E$147="Front-loaded",IF(15&lt;='I_Inputs &amp; Assumptions'!$B$8/2,'I_Budget Input Data'!$D$147*0.6/('I_Inputs &amp; Assumptions'!$B$8/2),'I_Budget Input Data'!$D$147*0.4/('I_Inputs &amp; Assumptions'!$B$8/2)),IF('I_Budget Input Data'!$E$147="Back-loaded",IF(15&lt;='I_Inputs &amp; Assumptions'!$B$8/2,'I_Budget Input Data'!$D$147*0.4/('I_Inputs &amp; Assumptions'!$B$8/2),'I_Budget Input Data'!$D$147*0.6/('I_Inputs &amp; Assumptions'!$B$8/2)),IF('I_Budget Input Data'!$E$147="Mid-weighted",IF(15&lt;='I_Inputs &amp; Assumptions'!$B$8/4,'I_Budget Input Data'!$D$147*0.2/('I_Inputs &amp; Assumptions'!$B$8/4),IF(15&lt;='I_Inputs &amp; Assumptions'!$B$8*0.75,'I_Budget Input Data'!$D$147*0.6/('I_Inputs &amp; Assumptions'!$B$8/2),'I_Budget Input Data'!$D$147*0.2/('I_Inputs &amp; Assumptions'!$B$8/4))),IF('I_Budget Input Data'!$E$147="At Completion",IF(15='I_Inputs &amp; Assumptions'!$B$8,'I_Budget Input Data'!$D$147,0),'I_Budget Input Data'!$D$147/'I_Inputs &amp; Assumptions'!$B$8)))))),0)</f>
        <v>0</v>
      </c>
      <c r="R147" s="91">
        <f>IF(16&lt;='I_Inputs &amp; Assumptions'!$B$8,IF('I_Budget Input Data'!$E$147="Upfront",IF(16=1,'I_Budget Input Data'!$D$147,0),IF('I_Budget Input Data'!$E$147="Equal",'I_Budget Input Data'!$D$147/'I_Inputs &amp; Assumptions'!$B$8,IF('I_Budget Input Data'!$E$147="Front-loaded",IF(16&lt;='I_Inputs &amp; Assumptions'!$B$8/2,'I_Budget Input Data'!$D$147*0.6/('I_Inputs &amp; Assumptions'!$B$8/2),'I_Budget Input Data'!$D$147*0.4/('I_Inputs &amp; Assumptions'!$B$8/2)),IF('I_Budget Input Data'!$E$147="Back-loaded",IF(16&lt;='I_Inputs &amp; Assumptions'!$B$8/2,'I_Budget Input Data'!$D$147*0.4/('I_Inputs &amp; Assumptions'!$B$8/2),'I_Budget Input Data'!$D$147*0.6/('I_Inputs &amp; Assumptions'!$B$8/2)),IF('I_Budget Input Data'!$E$147="Mid-weighted",IF(16&lt;='I_Inputs &amp; Assumptions'!$B$8/4,'I_Budget Input Data'!$D$147*0.2/('I_Inputs &amp; Assumptions'!$B$8/4),IF(16&lt;='I_Inputs &amp; Assumptions'!$B$8*0.75,'I_Budget Input Data'!$D$147*0.6/('I_Inputs &amp; Assumptions'!$B$8/2),'I_Budget Input Data'!$D$147*0.2/('I_Inputs &amp; Assumptions'!$B$8/4))),IF('I_Budget Input Data'!$E$147="At Completion",IF(16='I_Inputs &amp; Assumptions'!$B$8,'I_Budget Input Data'!$D$147,0),'I_Budget Input Data'!$D$147/'I_Inputs &amp; Assumptions'!$B$8)))))),0)</f>
        <v>0</v>
      </c>
      <c r="S147" s="91">
        <f>IF(17&lt;='I_Inputs &amp; Assumptions'!$B$8,IF('I_Budget Input Data'!$E$147="Upfront",IF(17=1,'I_Budget Input Data'!$D$147,0),IF('I_Budget Input Data'!$E$147="Equal",'I_Budget Input Data'!$D$147/'I_Inputs &amp; Assumptions'!$B$8,IF('I_Budget Input Data'!$E$147="Front-loaded",IF(17&lt;='I_Inputs &amp; Assumptions'!$B$8/2,'I_Budget Input Data'!$D$147*0.6/('I_Inputs &amp; Assumptions'!$B$8/2),'I_Budget Input Data'!$D$147*0.4/('I_Inputs &amp; Assumptions'!$B$8/2)),IF('I_Budget Input Data'!$E$147="Back-loaded",IF(17&lt;='I_Inputs &amp; Assumptions'!$B$8/2,'I_Budget Input Data'!$D$147*0.4/('I_Inputs &amp; Assumptions'!$B$8/2),'I_Budget Input Data'!$D$147*0.6/('I_Inputs &amp; Assumptions'!$B$8/2)),IF('I_Budget Input Data'!$E$147="Mid-weighted",IF(17&lt;='I_Inputs &amp; Assumptions'!$B$8/4,'I_Budget Input Data'!$D$147*0.2/('I_Inputs &amp; Assumptions'!$B$8/4),IF(17&lt;='I_Inputs &amp; Assumptions'!$B$8*0.75,'I_Budget Input Data'!$D$147*0.6/('I_Inputs &amp; Assumptions'!$B$8/2),'I_Budget Input Data'!$D$147*0.2/('I_Inputs &amp; Assumptions'!$B$8/4))),IF('I_Budget Input Data'!$E$147="At Completion",IF(17='I_Inputs &amp; Assumptions'!$B$8,'I_Budget Input Data'!$D$147,0),'I_Budget Input Data'!$D$147/'I_Inputs &amp; Assumptions'!$B$8)))))),0)</f>
        <v>0</v>
      </c>
      <c r="T147" s="91">
        <f>IF(18&lt;='I_Inputs &amp; Assumptions'!$B$8,IF('I_Budget Input Data'!$E$147="Upfront",IF(18=1,'I_Budget Input Data'!$D$147,0),IF('I_Budget Input Data'!$E$147="Equal",'I_Budget Input Data'!$D$147/'I_Inputs &amp; Assumptions'!$B$8,IF('I_Budget Input Data'!$E$147="Front-loaded",IF(18&lt;='I_Inputs &amp; Assumptions'!$B$8/2,'I_Budget Input Data'!$D$147*0.6/('I_Inputs &amp; Assumptions'!$B$8/2),'I_Budget Input Data'!$D$147*0.4/('I_Inputs &amp; Assumptions'!$B$8/2)),IF('I_Budget Input Data'!$E$147="Back-loaded",IF(18&lt;='I_Inputs &amp; Assumptions'!$B$8/2,'I_Budget Input Data'!$D$147*0.4/('I_Inputs &amp; Assumptions'!$B$8/2),'I_Budget Input Data'!$D$147*0.6/('I_Inputs &amp; Assumptions'!$B$8/2)),IF('I_Budget Input Data'!$E$147="Mid-weighted",IF(18&lt;='I_Inputs &amp; Assumptions'!$B$8/4,'I_Budget Input Data'!$D$147*0.2/('I_Inputs &amp; Assumptions'!$B$8/4),IF(18&lt;='I_Inputs &amp; Assumptions'!$B$8*0.75,'I_Budget Input Data'!$D$147*0.6/('I_Inputs &amp; Assumptions'!$B$8/2),'I_Budget Input Data'!$D$147*0.2/('I_Inputs &amp; Assumptions'!$B$8/4))),IF('I_Budget Input Data'!$E$147="At Completion",IF(18='I_Inputs &amp; Assumptions'!$B$8,'I_Budget Input Data'!$D$147,0),'I_Budget Input Data'!$D$147/'I_Inputs &amp; Assumptions'!$B$8)))))),0)</f>
        <v>0</v>
      </c>
      <c r="U147" s="91">
        <f>IF(19&lt;='I_Inputs &amp; Assumptions'!$B$8,IF('I_Budget Input Data'!$E$147="Upfront",IF(19=1,'I_Budget Input Data'!$D$147,0),IF('I_Budget Input Data'!$E$147="Equal",'I_Budget Input Data'!$D$147/'I_Inputs &amp; Assumptions'!$B$8,IF('I_Budget Input Data'!$E$147="Front-loaded",IF(19&lt;='I_Inputs &amp; Assumptions'!$B$8/2,'I_Budget Input Data'!$D$147*0.6/('I_Inputs &amp; Assumptions'!$B$8/2),'I_Budget Input Data'!$D$147*0.4/('I_Inputs &amp; Assumptions'!$B$8/2)),IF('I_Budget Input Data'!$E$147="Back-loaded",IF(19&lt;='I_Inputs &amp; Assumptions'!$B$8/2,'I_Budget Input Data'!$D$147*0.4/('I_Inputs &amp; Assumptions'!$B$8/2),'I_Budget Input Data'!$D$147*0.6/('I_Inputs &amp; Assumptions'!$B$8/2)),IF('I_Budget Input Data'!$E$147="Mid-weighted",IF(19&lt;='I_Inputs &amp; Assumptions'!$B$8/4,'I_Budget Input Data'!$D$147*0.2/('I_Inputs &amp; Assumptions'!$B$8/4),IF(19&lt;='I_Inputs &amp; Assumptions'!$B$8*0.75,'I_Budget Input Data'!$D$147*0.6/('I_Inputs &amp; Assumptions'!$B$8/2),'I_Budget Input Data'!$D$147*0.2/('I_Inputs &amp; Assumptions'!$B$8/4))),IF('I_Budget Input Data'!$E$147="At Completion",IF(19='I_Inputs &amp; Assumptions'!$B$8,'I_Budget Input Data'!$D$147,0),'I_Budget Input Data'!$D$147/'I_Inputs &amp; Assumptions'!$B$8)))))),0)</f>
        <v>0</v>
      </c>
      <c r="V147" s="91">
        <f>IF(20&lt;='I_Inputs &amp; Assumptions'!$B$8,IF('I_Budget Input Data'!$E$147="Upfront",IF(20=1,'I_Budget Input Data'!$D$147,0),IF('I_Budget Input Data'!$E$147="Equal",'I_Budget Input Data'!$D$147/'I_Inputs &amp; Assumptions'!$B$8,IF('I_Budget Input Data'!$E$147="Front-loaded",IF(20&lt;='I_Inputs &amp; Assumptions'!$B$8/2,'I_Budget Input Data'!$D$147*0.6/('I_Inputs &amp; Assumptions'!$B$8/2),'I_Budget Input Data'!$D$147*0.4/('I_Inputs &amp; Assumptions'!$B$8/2)),IF('I_Budget Input Data'!$E$147="Back-loaded",IF(20&lt;='I_Inputs &amp; Assumptions'!$B$8/2,'I_Budget Input Data'!$D$147*0.4/('I_Inputs &amp; Assumptions'!$B$8/2),'I_Budget Input Data'!$D$147*0.6/('I_Inputs &amp; Assumptions'!$B$8/2)),IF('I_Budget Input Data'!$E$147="Mid-weighted",IF(20&lt;='I_Inputs &amp; Assumptions'!$B$8/4,'I_Budget Input Data'!$D$147*0.2/('I_Inputs &amp; Assumptions'!$B$8/4),IF(20&lt;='I_Inputs &amp; Assumptions'!$B$8*0.75,'I_Budget Input Data'!$D$147*0.6/('I_Inputs &amp; Assumptions'!$B$8/2),'I_Budget Input Data'!$D$147*0.2/('I_Inputs &amp; Assumptions'!$B$8/4))),IF('I_Budget Input Data'!$E$147="At Completion",IF(20='I_Inputs &amp; Assumptions'!$B$8,'I_Budget Input Data'!$D$147,0),'I_Budget Input Data'!$D$147/'I_Inputs &amp; Assumptions'!$B$8)))))),0)</f>
        <v>0</v>
      </c>
      <c r="W147" s="91">
        <f>IF(21&lt;='I_Inputs &amp; Assumptions'!$B$8,IF('I_Budget Input Data'!$E$147="Upfront",IF(21=1,'I_Budget Input Data'!$D$147,0),IF('I_Budget Input Data'!$E$147="Equal",'I_Budget Input Data'!$D$147/'I_Inputs &amp; Assumptions'!$B$8,IF('I_Budget Input Data'!$E$147="Front-loaded",IF(21&lt;='I_Inputs &amp; Assumptions'!$B$8/2,'I_Budget Input Data'!$D$147*0.6/('I_Inputs &amp; Assumptions'!$B$8/2),'I_Budget Input Data'!$D$147*0.4/('I_Inputs &amp; Assumptions'!$B$8/2)),IF('I_Budget Input Data'!$E$147="Back-loaded",IF(21&lt;='I_Inputs &amp; Assumptions'!$B$8/2,'I_Budget Input Data'!$D$147*0.4/('I_Inputs &amp; Assumptions'!$B$8/2),'I_Budget Input Data'!$D$147*0.6/('I_Inputs &amp; Assumptions'!$B$8/2)),IF('I_Budget Input Data'!$E$147="Mid-weighted",IF(21&lt;='I_Inputs &amp; Assumptions'!$B$8/4,'I_Budget Input Data'!$D$147*0.2/('I_Inputs &amp; Assumptions'!$B$8/4),IF(21&lt;='I_Inputs &amp; Assumptions'!$B$8*0.75,'I_Budget Input Data'!$D$147*0.6/('I_Inputs &amp; Assumptions'!$B$8/2),'I_Budget Input Data'!$D$147*0.2/('I_Inputs &amp; Assumptions'!$B$8/4))),IF('I_Budget Input Data'!$E$147="At Completion",IF(21='I_Inputs &amp; Assumptions'!$B$8,'I_Budget Input Data'!$D$147,0),'I_Budget Input Data'!$D$147/'I_Inputs &amp; Assumptions'!$B$8)))))),0)</f>
        <v>0</v>
      </c>
      <c r="X147" s="91">
        <f>IF(22&lt;='I_Inputs &amp; Assumptions'!$B$8,IF('I_Budget Input Data'!$E$147="Upfront",IF(22=1,'I_Budget Input Data'!$D$147,0),IF('I_Budget Input Data'!$E$147="Equal",'I_Budget Input Data'!$D$147/'I_Inputs &amp; Assumptions'!$B$8,IF('I_Budget Input Data'!$E$147="Front-loaded",IF(22&lt;='I_Inputs &amp; Assumptions'!$B$8/2,'I_Budget Input Data'!$D$147*0.6/('I_Inputs &amp; Assumptions'!$B$8/2),'I_Budget Input Data'!$D$147*0.4/('I_Inputs &amp; Assumptions'!$B$8/2)),IF('I_Budget Input Data'!$E$147="Back-loaded",IF(22&lt;='I_Inputs &amp; Assumptions'!$B$8/2,'I_Budget Input Data'!$D$147*0.4/('I_Inputs &amp; Assumptions'!$B$8/2),'I_Budget Input Data'!$D$147*0.6/('I_Inputs &amp; Assumptions'!$B$8/2)),IF('I_Budget Input Data'!$E$147="Mid-weighted",IF(22&lt;='I_Inputs &amp; Assumptions'!$B$8/4,'I_Budget Input Data'!$D$147*0.2/('I_Inputs &amp; Assumptions'!$B$8/4),IF(22&lt;='I_Inputs &amp; Assumptions'!$B$8*0.75,'I_Budget Input Data'!$D$147*0.6/('I_Inputs &amp; Assumptions'!$B$8/2),'I_Budget Input Data'!$D$147*0.2/('I_Inputs &amp; Assumptions'!$B$8/4))),IF('I_Budget Input Data'!$E$147="At Completion",IF(22='I_Inputs &amp; Assumptions'!$B$8,'I_Budget Input Data'!$D$147,0),'I_Budget Input Data'!$D$147/'I_Inputs &amp; Assumptions'!$B$8)))))),0)</f>
        <v>0</v>
      </c>
      <c r="Y147" s="91">
        <f>IF(23&lt;='I_Inputs &amp; Assumptions'!$B$8,IF('I_Budget Input Data'!$E$147="Upfront",IF(23=1,'I_Budget Input Data'!$D$147,0),IF('I_Budget Input Data'!$E$147="Equal",'I_Budget Input Data'!$D$147/'I_Inputs &amp; Assumptions'!$B$8,IF('I_Budget Input Data'!$E$147="Front-loaded",IF(23&lt;='I_Inputs &amp; Assumptions'!$B$8/2,'I_Budget Input Data'!$D$147*0.6/('I_Inputs &amp; Assumptions'!$B$8/2),'I_Budget Input Data'!$D$147*0.4/('I_Inputs &amp; Assumptions'!$B$8/2)),IF('I_Budget Input Data'!$E$147="Back-loaded",IF(23&lt;='I_Inputs &amp; Assumptions'!$B$8/2,'I_Budget Input Data'!$D$147*0.4/('I_Inputs &amp; Assumptions'!$B$8/2),'I_Budget Input Data'!$D$147*0.6/('I_Inputs &amp; Assumptions'!$B$8/2)),IF('I_Budget Input Data'!$E$147="Mid-weighted",IF(23&lt;='I_Inputs &amp; Assumptions'!$B$8/4,'I_Budget Input Data'!$D$147*0.2/('I_Inputs &amp; Assumptions'!$B$8/4),IF(23&lt;='I_Inputs &amp; Assumptions'!$B$8*0.75,'I_Budget Input Data'!$D$147*0.6/('I_Inputs &amp; Assumptions'!$B$8/2),'I_Budget Input Data'!$D$147*0.2/('I_Inputs &amp; Assumptions'!$B$8/4))),IF('I_Budget Input Data'!$E$147="At Completion",IF(23='I_Inputs &amp; Assumptions'!$B$8,'I_Budget Input Data'!$D$147,0),'I_Budget Input Data'!$D$147/'I_Inputs &amp; Assumptions'!$B$8)))))),0)</f>
        <v>0</v>
      </c>
      <c r="Z147" s="91">
        <f>IF(24&lt;='I_Inputs &amp; Assumptions'!$B$8,IF('I_Budget Input Data'!$E$147="Upfront",IF(24=1,'I_Budget Input Data'!$D$147,0),IF('I_Budget Input Data'!$E$147="Equal",'I_Budget Input Data'!$D$147/'I_Inputs &amp; Assumptions'!$B$8,IF('I_Budget Input Data'!$E$147="Front-loaded",IF(24&lt;='I_Inputs &amp; Assumptions'!$B$8/2,'I_Budget Input Data'!$D$147*0.6/('I_Inputs &amp; Assumptions'!$B$8/2),'I_Budget Input Data'!$D$147*0.4/('I_Inputs &amp; Assumptions'!$B$8/2)),IF('I_Budget Input Data'!$E$147="Back-loaded",IF(24&lt;='I_Inputs &amp; Assumptions'!$B$8/2,'I_Budget Input Data'!$D$147*0.4/('I_Inputs &amp; Assumptions'!$B$8/2),'I_Budget Input Data'!$D$147*0.6/('I_Inputs &amp; Assumptions'!$B$8/2)),IF('I_Budget Input Data'!$E$147="Mid-weighted",IF(24&lt;='I_Inputs &amp; Assumptions'!$B$8/4,'I_Budget Input Data'!$D$147*0.2/('I_Inputs &amp; Assumptions'!$B$8/4),IF(24&lt;='I_Inputs &amp; Assumptions'!$B$8*0.75,'I_Budget Input Data'!$D$147*0.6/('I_Inputs &amp; Assumptions'!$B$8/2),'I_Budget Input Data'!$D$147*0.2/('I_Inputs &amp; Assumptions'!$B$8/4))),IF('I_Budget Input Data'!$E$147="At Completion",IF(24='I_Inputs &amp; Assumptions'!$B$8,'I_Budget Input Data'!$D$147,0),'I_Budget Input Data'!$D$147/'I_Inputs &amp; Assumptions'!$B$8)))))),0)</f>
        <v>0</v>
      </c>
      <c r="AA147" s="91">
        <f>IF(25&lt;='I_Inputs &amp; Assumptions'!$B$8,IF('I_Budget Input Data'!$E$147="Upfront",IF(25=1,'I_Budget Input Data'!$D$147,0),IF('I_Budget Input Data'!$E$147="Equal",'I_Budget Input Data'!$D$147/'I_Inputs &amp; Assumptions'!$B$8,IF('I_Budget Input Data'!$E$147="Front-loaded",IF(25&lt;='I_Inputs &amp; Assumptions'!$B$8/2,'I_Budget Input Data'!$D$147*0.6/('I_Inputs &amp; Assumptions'!$B$8/2),'I_Budget Input Data'!$D$147*0.4/('I_Inputs &amp; Assumptions'!$B$8/2)),IF('I_Budget Input Data'!$E$147="Back-loaded",IF(25&lt;='I_Inputs &amp; Assumptions'!$B$8/2,'I_Budget Input Data'!$D$147*0.4/('I_Inputs &amp; Assumptions'!$B$8/2),'I_Budget Input Data'!$D$147*0.6/('I_Inputs &amp; Assumptions'!$B$8/2)),IF('I_Budget Input Data'!$E$147="Mid-weighted",IF(25&lt;='I_Inputs &amp; Assumptions'!$B$8/4,'I_Budget Input Data'!$D$147*0.2/('I_Inputs &amp; Assumptions'!$B$8/4),IF(25&lt;='I_Inputs &amp; Assumptions'!$B$8*0.75,'I_Budget Input Data'!$D$147*0.6/('I_Inputs &amp; Assumptions'!$B$8/2),'I_Budget Input Data'!$D$147*0.2/('I_Inputs &amp; Assumptions'!$B$8/4))),IF('I_Budget Input Data'!$E$147="At Completion",IF(25='I_Inputs &amp; Assumptions'!$B$8,'I_Budget Input Data'!$D$147,0),'I_Budget Input Data'!$D$147/'I_Inputs &amp; Assumptions'!$B$8)))))),0)</f>
        <v>0</v>
      </c>
      <c r="AB147" s="91">
        <f>IF(26&lt;='I_Inputs &amp; Assumptions'!$B$8,IF('I_Budget Input Data'!$E$147="Upfront",IF(26=1,'I_Budget Input Data'!$D$147,0),IF('I_Budget Input Data'!$E$147="Equal",'I_Budget Input Data'!$D$147/'I_Inputs &amp; Assumptions'!$B$8,IF('I_Budget Input Data'!$E$147="Front-loaded",IF(26&lt;='I_Inputs &amp; Assumptions'!$B$8/2,'I_Budget Input Data'!$D$147*0.6/('I_Inputs &amp; Assumptions'!$B$8/2),'I_Budget Input Data'!$D$147*0.4/('I_Inputs &amp; Assumptions'!$B$8/2)),IF('I_Budget Input Data'!$E$147="Back-loaded",IF(26&lt;='I_Inputs &amp; Assumptions'!$B$8/2,'I_Budget Input Data'!$D$147*0.4/('I_Inputs &amp; Assumptions'!$B$8/2),'I_Budget Input Data'!$D$147*0.6/('I_Inputs &amp; Assumptions'!$B$8/2)),IF('I_Budget Input Data'!$E$147="Mid-weighted",IF(26&lt;='I_Inputs &amp; Assumptions'!$B$8/4,'I_Budget Input Data'!$D$147*0.2/('I_Inputs &amp; Assumptions'!$B$8/4),IF(26&lt;='I_Inputs &amp; Assumptions'!$B$8*0.75,'I_Budget Input Data'!$D$147*0.6/('I_Inputs &amp; Assumptions'!$B$8/2),'I_Budget Input Data'!$D$147*0.2/('I_Inputs &amp; Assumptions'!$B$8/4))),IF('I_Budget Input Data'!$E$147="At Completion",IF(26='I_Inputs &amp; Assumptions'!$B$8,'I_Budget Input Data'!$D$147,0),'I_Budget Input Data'!$D$147/'I_Inputs &amp; Assumptions'!$B$8)))))),0)</f>
        <v>0</v>
      </c>
      <c r="AC147" s="91">
        <f>IF(27&lt;='I_Inputs &amp; Assumptions'!$B$8,IF('I_Budget Input Data'!$E$147="Upfront",IF(27=1,'I_Budget Input Data'!$D$147,0),IF('I_Budget Input Data'!$E$147="Equal",'I_Budget Input Data'!$D$147/'I_Inputs &amp; Assumptions'!$B$8,IF('I_Budget Input Data'!$E$147="Front-loaded",IF(27&lt;='I_Inputs &amp; Assumptions'!$B$8/2,'I_Budget Input Data'!$D$147*0.6/('I_Inputs &amp; Assumptions'!$B$8/2),'I_Budget Input Data'!$D$147*0.4/('I_Inputs &amp; Assumptions'!$B$8/2)),IF('I_Budget Input Data'!$E$147="Back-loaded",IF(27&lt;='I_Inputs &amp; Assumptions'!$B$8/2,'I_Budget Input Data'!$D$147*0.4/('I_Inputs &amp; Assumptions'!$B$8/2),'I_Budget Input Data'!$D$147*0.6/('I_Inputs &amp; Assumptions'!$B$8/2)),IF('I_Budget Input Data'!$E$147="Mid-weighted",IF(27&lt;='I_Inputs &amp; Assumptions'!$B$8/4,'I_Budget Input Data'!$D$147*0.2/('I_Inputs &amp; Assumptions'!$B$8/4),IF(27&lt;='I_Inputs &amp; Assumptions'!$B$8*0.75,'I_Budget Input Data'!$D$147*0.6/('I_Inputs &amp; Assumptions'!$B$8/2),'I_Budget Input Data'!$D$147*0.2/('I_Inputs &amp; Assumptions'!$B$8/4))),IF('I_Budget Input Data'!$E$147="At Completion",IF(27='I_Inputs &amp; Assumptions'!$B$8,'I_Budget Input Data'!$D$147,0),'I_Budget Input Data'!$D$147/'I_Inputs &amp; Assumptions'!$B$8)))))),0)</f>
        <v>0</v>
      </c>
      <c r="AD147" s="91">
        <f>IF(28&lt;='I_Inputs &amp; Assumptions'!$B$8,IF('I_Budget Input Data'!$E$147="Upfront",IF(28=1,'I_Budget Input Data'!$D$147,0),IF('I_Budget Input Data'!$E$147="Equal",'I_Budget Input Data'!$D$147/'I_Inputs &amp; Assumptions'!$B$8,IF('I_Budget Input Data'!$E$147="Front-loaded",IF(28&lt;='I_Inputs &amp; Assumptions'!$B$8/2,'I_Budget Input Data'!$D$147*0.6/('I_Inputs &amp; Assumptions'!$B$8/2),'I_Budget Input Data'!$D$147*0.4/('I_Inputs &amp; Assumptions'!$B$8/2)),IF('I_Budget Input Data'!$E$147="Back-loaded",IF(28&lt;='I_Inputs &amp; Assumptions'!$B$8/2,'I_Budget Input Data'!$D$147*0.4/('I_Inputs &amp; Assumptions'!$B$8/2),'I_Budget Input Data'!$D$147*0.6/('I_Inputs &amp; Assumptions'!$B$8/2)),IF('I_Budget Input Data'!$E$147="Mid-weighted",IF(28&lt;='I_Inputs &amp; Assumptions'!$B$8/4,'I_Budget Input Data'!$D$147*0.2/('I_Inputs &amp; Assumptions'!$B$8/4),IF(28&lt;='I_Inputs &amp; Assumptions'!$B$8*0.75,'I_Budget Input Data'!$D$147*0.6/('I_Inputs &amp; Assumptions'!$B$8/2),'I_Budget Input Data'!$D$147*0.2/('I_Inputs &amp; Assumptions'!$B$8/4))),IF('I_Budget Input Data'!$E$147="At Completion",IF(28='I_Inputs &amp; Assumptions'!$B$8,'I_Budget Input Data'!$D$147,0),'I_Budget Input Data'!$D$147/'I_Inputs &amp; Assumptions'!$B$8)))))),0)</f>
        <v>0</v>
      </c>
      <c r="AE147" s="91">
        <f>IF(29&lt;='I_Inputs &amp; Assumptions'!$B$8,IF('I_Budget Input Data'!$E$147="Upfront",IF(29=1,'I_Budget Input Data'!$D$147,0),IF('I_Budget Input Data'!$E$147="Equal",'I_Budget Input Data'!$D$147/'I_Inputs &amp; Assumptions'!$B$8,IF('I_Budget Input Data'!$E$147="Front-loaded",IF(29&lt;='I_Inputs &amp; Assumptions'!$B$8/2,'I_Budget Input Data'!$D$147*0.6/('I_Inputs &amp; Assumptions'!$B$8/2),'I_Budget Input Data'!$D$147*0.4/('I_Inputs &amp; Assumptions'!$B$8/2)),IF('I_Budget Input Data'!$E$147="Back-loaded",IF(29&lt;='I_Inputs &amp; Assumptions'!$B$8/2,'I_Budget Input Data'!$D$147*0.4/('I_Inputs &amp; Assumptions'!$B$8/2),'I_Budget Input Data'!$D$147*0.6/('I_Inputs &amp; Assumptions'!$B$8/2)),IF('I_Budget Input Data'!$E$147="Mid-weighted",IF(29&lt;='I_Inputs &amp; Assumptions'!$B$8/4,'I_Budget Input Data'!$D$147*0.2/('I_Inputs &amp; Assumptions'!$B$8/4),IF(29&lt;='I_Inputs &amp; Assumptions'!$B$8*0.75,'I_Budget Input Data'!$D$147*0.6/('I_Inputs &amp; Assumptions'!$B$8/2),'I_Budget Input Data'!$D$147*0.2/('I_Inputs &amp; Assumptions'!$B$8/4))),IF('I_Budget Input Data'!$E$147="At Completion",IF(29='I_Inputs &amp; Assumptions'!$B$8,'I_Budget Input Data'!$D$147,0),'I_Budget Input Data'!$D$147/'I_Inputs &amp; Assumptions'!$B$8)))))),0)</f>
        <v>0</v>
      </c>
      <c r="AF147" s="91">
        <f>IF(30&lt;='I_Inputs &amp; Assumptions'!$B$8,IF('I_Budget Input Data'!$E$147="Upfront",IF(30=1,'I_Budget Input Data'!$D$147,0),IF('I_Budget Input Data'!$E$147="Equal",'I_Budget Input Data'!$D$147/'I_Inputs &amp; Assumptions'!$B$8,IF('I_Budget Input Data'!$E$147="Front-loaded",IF(30&lt;='I_Inputs &amp; Assumptions'!$B$8/2,'I_Budget Input Data'!$D$147*0.6/('I_Inputs &amp; Assumptions'!$B$8/2),'I_Budget Input Data'!$D$147*0.4/('I_Inputs &amp; Assumptions'!$B$8/2)),IF('I_Budget Input Data'!$E$147="Back-loaded",IF(30&lt;='I_Inputs &amp; Assumptions'!$B$8/2,'I_Budget Input Data'!$D$147*0.4/('I_Inputs &amp; Assumptions'!$B$8/2),'I_Budget Input Data'!$D$147*0.6/('I_Inputs &amp; Assumptions'!$B$8/2)),IF('I_Budget Input Data'!$E$147="Mid-weighted",IF(30&lt;='I_Inputs &amp; Assumptions'!$B$8/4,'I_Budget Input Data'!$D$147*0.2/('I_Inputs &amp; Assumptions'!$B$8/4),IF(30&lt;='I_Inputs &amp; Assumptions'!$B$8*0.75,'I_Budget Input Data'!$D$147*0.6/('I_Inputs &amp; Assumptions'!$B$8/2),'I_Budget Input Data'!$D$147*0.2/('I_Inputs &amp; Assumptions'!$B$8/4))),IF('I_Budget Input Data'!$E$147="At Completion",IF(30='I_Inputs &amp; Assumptions'!$B$8,'I_Budget Input Data'!$D$147,0),'I_Budget Input Data'!$D$147/'I_Inputs &amp; Assumptions'!$B$8)))))),0)</f>
        <v>0</v>
      </c>
      <c r="AG147" s="91">
        <f>IF(31&lt;='I_Inputs &amp; Assumptions'!$B$8,IF('I_Budget Input Data'!$E$147="Upfront",IF(31=1,'I_Budget Input Data'!$D$147,0),IF('I_Budget Input Data'!$E$147="Equal",'I_Budget Input Data'!$D$147/'I_Inputs &amp; Assumptions'!$B$8,IF('I_Budget Input Data'!$E$147="Front-loaded",IF(31&lt;='I_Inputs &amp; Assumptions'!$B$8/2,'I_Budget Input Data'!$D$147*0.6/('I_Inputs &amp; Assumptions'!$B$8/2),'I_Budget Input Data'!$D$147*0.4/('I_Inputs &amp; Assumptions'!$B$8/2)),IF('I_Budget Input Data'!$E$147="Back-loaded",IF(31&lt;='I_Inputs &amp; Assumptions'!$B$8/2,'I_Budget Input Data'!$D$147*0.4/('I_Inputs &amp; Assumptions'!$B$8/2),'I_Budget Input Data'!$D$147*0.6/('I_Inputs &amp; Assumptions'!$B$8/2)),IF('I_Budget Input Data'!$E$147="Mid-weighted",IF(31&lt;='I_Inputs &amp; Assumptions'!$B$8/4,'I_Budget Input Data'!$D$147*0.2/('I_Inputs &amp; Assumptions'!$B$8/4),IF(31&lt;='I_Inputs &amp; Assumptions'!$B$8*0.75,'I_Budget Input Data'!$D$147*0.6/('I_Inputs &amp; Assumptions'!$B$8/2),'I_Budget Input Data'!$D$147*0.2/('I_Inputs &amp; Assumptions'!$B$8/4))),IF('I_Budget Input Data'!$E$147="At Completion",IF(31='I_Inputs &amp; Assumptions'!$B$8,'I_Budget Input Data'!$D$147,0),'I_Budget Input Data'!$D$147/'I_Inputs &amp; Assumptions'!$B$8)))))),0)</f>
        <v>0</v>
      </c>
      <c r="AH147" s="91">
        <f>IF(32&lt;='I_Inputs &amp; Assumptions'!$B$8,IF('I_Budget Input Data'!$E$147="Upfront",IF(32=1,'I_Budget Input Data'!$D$147,0),IF('I_Budget Input Data'!$E$147="Equal",'I_Budget Input Data'!$D$147/'I_Inputs &amp; Assumptions'!$B$8,IF('I_Budget Input Data'!$E$147="Front-loaded",IF(32&lt;='I_Inputs &amp; Assumptions'!$B$8/2,'I_Budget Input Data'!$D$147*0.6/('I_Inputs &amp; Assumptions'!$B$8/2),'I_Budget Input Data'!$D$147*0.4/('I_Inputs &amp; Assumptions'!$B$8/2)),IF('I_Budget Input Data'!$E$147="Back-loaded",IF(32&lt;='I_Inputs &amp; Assumptions'!$B$8/2,'I_Budget Input Data'!$D$147*0.4/('I_Inputs &amp; Assumptions'!$B$8/2),'I_Budget Input Data'!$D$147*0.6/('I_Inputs &amp; Assumptions'!$B$8/2)),IF('I_Budget Input Data'!$E$147="Mid-weighted",IF(32&lt;='I_Inputs &amp; Assumptions'!$B$8/4,'I_Budget Input Data'!$D$147*0.2/('I_Inputs &amp; Assumptions'!$B$8/4),IF(32&lt;='I_Inputs &amp; Assumptions'!$B$8*0.75,'I_Budget Input Data'!$D$147*0.6/('I_Inputs &amp; Assumptions'!$B$8/2),'I_Budget Input Data'!$D$147*0.2/('I_Inputs &amp; Assumptions'!$B$8/4))),IF('I_Budget Input Data'!$E$147="At Completion",IF(32='I_Inputs &amp; Assumptions'!$B$8,'I_Budget Input Data'!$D$147,0),'I_Budget Input Data'!$D$147/'I_Inputs &amp; Assumptions'!$B$8)))))),0)</f>
        <v>0</v>
      </c>
      <c r="AI147" s="91">
        <f>IF(33&lt;='I_Inputs &amp; Assumptions'!$B$8,IF('I_Budget Input Data'!$E$147="Upfront",IF(33=1,'I_Budget Input Data'!$D$147,0),IF('I_Budget Input Data'!$E$147="Equal",'I_Budget Input Data'!$D$147/'I_Inputs &amp; Assumptions'!$B$8,IF('I_Budget Input Data'!$E$147="Front-loaded",IF(33&lt;='I_Inputs &amp; Assumptions'!$B$8/2,'I_Budget Input Data'!$D$147*0.6/('I_Inputs &amp; Assumptions'!$B$8/2),'I_Budget Input Data'!$D$147*0.4/('I_Inputs &amp; Assumptions'!$B$8/2)),IF('I_Budget Input Data'!$E$147="Back-loaded",IF(33&lt;='I_Inputs &amp; Assumptions'!$B$8/2,'I_Budget Input Data'!$D$147*0.4/('I_Inputs &amp; Assumptions'!$B$8/2),'I_Budget Input Data'!$D$147*0.6/('I_Inputs &amp; Assumptions'!$B$8/2)),IF('I_Budget Input Data'!$E$147="Mid-weighted",IF(33&lt;='I_Inputs &amp; Assumptions'!$B$8/4,'I_Budget Input Data'!$D$147*0.2/('I_Inputs &amp; Assumptions'!$B$8/4),IF(33&lt;='I_Inputs &amp; Assumptions'!$B$8*0.75,'I_Budget Input Data'!$D$147*0.6/('I_Inputs &amp; Assumptions'!$B$8/2),'I_Budget Input Data'!$D$147*0.2/('I_Inputs &amp; Assumptions'!$B$8/4))),IF('I_Budget Input Data'!$E$147="At Completion",IF(33='I_Inputs &amp; Assumptions'!$B$8,'I_Budget Input Data'!$D$147,0),'I_Budget Input Data'!$D$147/'I_Inputs &amp; Assumptions'!$B$8)))))),0)</f>
        <v>0</v>
      </c>
      <c r="AJ147" s="91">
        <f>IF(34&lt;='I_Inputs &amp; Assumptions'!$B$8,IF('I_Budget Input Data'!$E$147="Upfront",IF(34=1,'I_Budget Input Data'!$D$147,0),IF('I_Budget Input Data'!$E$147="Equal",'I_Budget Input Data'!$D$147/'I_Inputs &amp; Assumptions'!$B$8,IF('I_Budget Input Data'!$E$147="Front-loaded",IF(34&lt;='I_Inputs &amp; Assumptions'!$B$8/2,'I_Budget Input Data'!$D$147*0.6/('I_Inputs &amp; Assumptions'!$B$8/2),'I_Budget Input Data'!$D$147*0.4/('I_Inputs &amp; Assumptions'!$B$8/2)),IF('I_Budget Input Data'!$E$147="Back-loaded",IF(34&lt;='I_Inputs &amp; Assumptions'!$B$8/2,'I_Budget Input Data'!$D$147*0.4/('I_Inputs &amp; Assumptions'!$B$8/2),'I_Budget Input Data'!$D$147*0.6/('I_Inputs &amp; Assumptions'!$B$8/2)),IF('I_Budget Input Data'!$E$147="Mid-weighted",IF(34&lt;='I_Inputs &amp; Assumptions'!$B$8/4,'I_Budget Input Data'!$D$147*0.2/('I_Inputs &amp; Assumptions'!$B$8/4),IF(34&lt;='I_Inputs &amp; Assumptions'!$B$8*0.75,'I_Budget Input Data'!$D$147*0.6/('I_Inputs &amp; Assumptions'!$B$8/2),'I_Budget Input Data'!$D$147*0.2/('I_Inputs &amp; Assumptions'!$B$8/4))),IF('I_Budget Input Data'!$E$147="At Completion",IF(34='I_Inputs &amp; Assumptions'!$B$8,'I_Budget Input Data'!$D$147,0),'I_Budget Input Data'!$D$147/'I_Inputs &amp; Assumptions'!$B$8)))))),0)</f>
        <v>0</v>
      </c>
      <c r="AK147" s="91">
        <f>IF(35&lt;='I_Inputs &amp; Assumptions'!$B$8,IF('I_Budget Input Data'!$E$147="Upfront",IF(35=1,'I_Budget Input Data'!$D$147,0),IF('I_Budget Input Data'!$E$147="Equal",'I_Budget Input Data'!$D$147/'I_Inputs &amp; Assumptions'!$B$8,IF('I_Budget Input Data'!$E$147="Front-loaded",IF(35&lt;='I_Inputs &amp; Assumptions'!$B$8/2,'I_Budget Input Data'!$D$147*0.6/('I_Inputs &amp; Assumptions'!$B$8/2),'I_Budget Input Data'!$D$147*0.4/('I_Inputs &amp; Assumptions'!$B$8/2)),IF('I_Budget Input Data'!$E$147="Back-loaded",IF(35&lt;='I_Inputs &amp; Assumptions'!$B$8/2,'I_Budget Input Data'!$D$147*0.4/('I_Inputs &amp; Assumptions'!$B$8/2),'I_Budget Input Data'!$D$147*0.6/('I_Inputs &amp; Assumptions'!$B$8/2)),IF('I_Budget Input Data'!$E$147="Mid-weighted",IF(35&lt;='I_Inputs &amp; Assumptions'!$B$8/4,'I_Budget Input Data'!$D$147*0.2/('I_Inputs &amp; Assumptions'!$B$8/4),IF(35&lt;='I_Inputs &amp; Assumptions'!$B$8*0.75,'I_Budget Input Data'!$D$147*0.6/('I_Inputs &amp; Assumptions'!$B$8/2),'I_Budget Input Data'!$D$147*0.2/('I_Inputs &amp; Assumptions'!$B$8/4))),IF('I_Budget Input Data'!$E$147="At Completion",IF(35='I_Inputs &amp; Assumptions'!$B$8,'I_Budget Input Data'!$D$147,0),'I_Budget Input Data'!$D$147/'I_Inputs &amp; Assumptions'!$B$8)))))),0)</f>
        <v>0</v>
      </c>
      <c r="AL147" s="91">
        <f>IF(36&lt;='I_Inputs &amp; Assumptions'!$B$8,IF('I_Budget Input Data'!$E$147="Upfront",IF(36=1,'I_Budget Input Data'!$D$147,0),IF('I_Budget Input Data'!$E$147="Equal",'I_Budget Input Data'!$D$147/'I_Inputs &amp; Assumptions'!$B$8,IF('I_Budget Input Data'!$E$147="Front-loaded",IF(36&lt;='I_Inputs &amp; Assumptions'!$B$8/2,'I_Budget Input Data'!$D$147*0.6/('I_Inputs &amp; Assumptions'!$B$8/2),'I_Budget Input Data'!$D$147*0.4/('I_Inputs &amp; Assumptions'!$B$8/2)),IF('I_Budget Input Data'!$E$147="Back-loaded",IF(36&lt;='I_Inputs &amp; Assumptions'!$B$8/2,'I_Budget Input Data'!$D$147*0.4/('I_Inputs &amp; Assumptions'!$B$8/2),'I_Budget Input Data'!$D$147*0.6/('I_Inputs &amp; Assumptions'!$B$8/2)),IF('I_Budget Input Data'!$E$147="Mid-weighted",IF(36&lt;='I_Inputs &amp; Assumptions'!$B$8/4,'I_Budget Input Data'!$D$147*0.2/('I_Inputs &amp; Assumptions'!$B$8/4),IF(36&lt;='I_Inputs &amp; Assumptions'!$B$8*0.75,'I_Budget Input Data'!$D$147*0.6/('I_Inputs &amp; Assumptions'!$B$8/2),'I_Budget Input Data'!$D$147*0.2/('I_Inputs &amp; Assumptions'!$B$8/4))),IF('I_Budget Input Data'!$E$147="At Completion",IF(36='I_Inputs &amp; Assumptions'!$B$8,'I_Budget Input Data'!$D$147,0),'I_Budget Input Data'!$D$147/'I_Inputs &amp; Assumptions'!$B$8)))))),0)</f>
        <v>0</v>
      </c>
    </row>
    <row r="148" spans="1:38" ht="15" customHeight="1" x14ac:dyDescent="0.2">
      <c r="A148" t="s">
        <v>248</v>
      </c>
      <c r="B148" t="s">
        <v>263</v>
      </c>
      <c r="C148" s="91">
        <f>IF(1&lt;='I_Inputs &amp; Assumptions'!$B$8,IF('I_Budget Input Data'!$E$148="Upfront",IF(1=1,'I_Budget Input Data'!$D$148,0),IF('I_Budget Input Data'!$E$148="Equal",'I_Budget Input Data'!$D$148/'I_Inputs &amp; Assumptions'!$B$8,IF('I_Budget Input Data'!$E$148="Front-loaded",IF(1&lt;='I_Inputs &amp; Assumptions'!$B$8/2,'I_Budget Input Data'!$D$148*0.6/('I_Inputs &amp; Assumptions'!$B$8/2),'I_Budget Input Data'!$D$148*0.4/('I_Inputs &amp; Assumptions'!$B$8/2)),IF('I_Budget Input Data'!$E$148="Back-loaded",IF(1&lt;='I_Inputs &amp; Assumptions'!$B$8/2,'I_Budget Input Data'!$D$148*0.4/('I_Inputs &amp; Assumptions'!$B$8/2),'I_Budget Input Data'!$D$148*0.6/('I_Inputs &amp; Assumptions'!$B$8/2)),IF('I_Budget Input Data'!$E$148="Mid-weighted",IF(1&lt;='I_Inputs &amp; Assumptions'!$B$8/4,'I_Budget Input Data'!$D$148*0.2/('I_Inputs &amp; Assumptions'!$B$8/4),IF(1&lt;='I_Inputs &amp; Assumptions'!$B$8*0.75,'I_Budget Input Data'!$D$148*0.6/('I_Inputs &amp; Assumptions'!$B$8/2),'I_Budget Input Data'!$D$148*0.2/('I_Inputs &amp; Assumptions'!$B$8/4))),IF('I_Budget Input Data'!$E$148="At Completion",IF(1='I_Inputs &amp; Assumptions'!$B$8,'I_Budget Input Data'!$D$148,0),'I_Budget Input Data'!$D$148/'I_Inputs &amp; Assumptions'!$B$8)))))),0)</f>
        <v>5955.9692307692303</v>
      </c>
      <c r="D148" s="91">
        <f>IF(2&lt;='I_Inputs &amp; Assumptions'!$B$8,IF('I_Budget Input Data'!$E$148="Upfront",IF(2=1,'I_Budget Input Data'!$D$148,0),IF('I_Budget Input Data'!$E$148="Equal",'I_Budget Input Data'!$D$148/'I_Inputs &amp; Assumptions'!$B$8,IF('I_Budget Input Data'!$E$148="Front-loaded",IF(2&lt;='I_Inputs &amp; Assumptions'!$B$8/2,'I_Budget Input Data'!$D$148*0.6/('I_Inputs &amp; Assumptions'!$B$8/2),'I_Budget Input Data'!$D$148*0.4/('I_Inputs &amp; Assumptions'!$B$8/2)),IF('I_Budget Input Data'!$E$148="Back-loaded",IF(2&lt;='I_Inputs &amp; Assumptions'!$B$8/2,'I_Budget Input Data'!$D$148*0.4/('I_Inputs &amp; Assumptions'!$B$8/2),'I_Budget Input Data'!$D$148*0.6/('I_Inputs &amp; Assumptions'!$B$8/2)),IF('I_Budget Input Data'!$E$148="Mid-weighted",IF(2&lt;='I_Inputs &amp; Assumptions'!$B$8/4,'I_Budget Input Data'!$D$148*0.2/('I_Inputs &amp; Assumptions'!$B$8/4),IF(2&lt;='I_Inputs &amp; Assumptions'!$B$8*0.75,'I_Budget Input Data'!$D$148*0.6/('I_Inputs &amp; Assumptions'!$B$8/2),'I_Budget Input Data'!$D$148*0.2/('I_Inputs &amp; Assumptions'!$B$8/4))),IF('I_Budget Input Data'!$E$148="At Completion",IF(2='I_Inputs &amp; Assumptions'!$B$8,'I_Budget Input Data'!$D$148,0),'I_Budget Input Data'!$D$148/'I_Inputs &amp; Assumptions'!$B$8)))))),0)</f>
        <v>5955.9692307692303</v>
      </c>
      <c r="E148" s="91">
        <f>IF(3&lt;='I_Inputs &amp; Assumptions'!$B$8,IF('I_Budget Input Data'!$E$148="Upfront",IF(3=1,'I_Budget Input Data'!$D$148,0),IF('I_Budget Input Data'!$E$148="Equal",'I_Budget Input Data'!$D$148/'I_Inputs &amp; Assumptions'!$B$8,IF('I_Budget Input Data'!$E$148="Front-loaded",IF(3&lt;='I_Inputs &amp; Assumptions'!$B$8/2,'I_Budget Input Data'!$D$148*0.6/('I_Inputs &amp; Assumptions'!$B$8/2),'I_Budget Input Data'!$D$148*0.4/('I_Inputs &amp; Assumptions'!$B$8/2)),IF('I_Budget Input Data'!$E$148="Back-loaded",IF(3&lt;='I_Inputs &amp; Assumptions'!$B$8/2,'I_Budget Input Data'!$D$148*0.4/('I_Inputs &amp; Assumptions'!$B$8/2),'I_Budget Input Data'!$D$148*0.6/('I_Inputs &amp; Assumptions'!$B$8/2)),IF('I_Budget Input Data'!$E$148="Mid-weighted",IF(3&lt;='I_Inputs &amp; Assumptions'!$B$8/4,'I_Budget Input Data'!$D$148*0.2/('I_Inputs &amp; Assumptions'!$B$8/4),IF(3&lt;='I_Inputs &amp; Assumptions'!$B$8*0.75,'I_Budget Input Data'!$D$148*0.6/('I_Inputs &amp; Assumptions'!$B$8/2),'I_Budget Input Data'!$D$148*0.2/('I_Inputs &amp; Assumptions'!$B$8/4))),IF('I_Budget Input Data'!$E$148="At Completion",IF(3='I_Inputs &amp; Assumptions'!$B$8,'I_Budget Input Data'!$D$148,0),'I_Budget Input Data'!$D$148/'I_Inputs &amp; Assumptions'!$B$8)))))),0)</f>
        <v>5955.9692307692303</v>
      </c>
      <c r="F148" s="91">
        <f>IF(4&lt;='I_Inputs &amp; Assumptions'!$B$8,IF('I_Budget Input Data'!$E$148="Upfront",IF(4=1,'I_Budget Input Data'!$D$148,0),IF('I_Budget Input Data'!$E$148="Equal",'I_Budget Input Data'!$D$148/'I_Inputs &amp; Assumptions'!$B$8,IF('I_Budget Input Data'!$E$148="Front-loaded",IF(4&lt;='I_Inputs &amp; Assumptions'!$B$8/2,'I_Budget Input Data'!$D$148*0.6/('I_Inputs &amp; Assumptions'!$B$8/2),'I_Budget Input Data'!$D$148*0.4/('I_Inputs &amp; Assumptions'!$B$8/2)),IF('I_Budget Input Data'!$E$148="Back-loaded",IF(4&lt;='I_Inputs &amp; Assumptions'!$B$8/2,'I_Budget Input Data'!$D$148*0.4/('I_Inputs &amp; Assumptions'!$B$8/2),'I_Budget Input Data'!$D$148*0.6/('I_Inputs &amp; Assumptions'!$B$8/2)),IF('I_Budget Input Data'!$E$148="Mid-weighted",IF(4&lt;='I_Inputs &amp; Assumptions'!$B$8/4,'I_Budget Input Data'!$D$148*0.2/('I_Inputs &amp; Assumptions'!$B$8/4),IF(4&lt;='I_Inputs &amp; Assumptions'!$B$8*0.75,'I_Budget Input Data'!$D$148*0.6/('I_Inputs &amp; Assumptions'!$B$8/2),'I_Budget Input Data'!$D$148*0.2/('I_Inputs &amp; Assumptions'!$B$8/4))),IF('I_Budget Input Data'!$E$148="At Completion",IF(4='I_Inputs &amp; Assumptions'!$B$8,'I_Budget Input Data'!$D$148,0),'I_Budget Input Data'!$D$148/'I_Inputs &amp; Assumptions'!$B$8)))))),0)</f>
        <v>5955.9692307692303</v>
      </c>
      <c r="G148" s="91">
        <f>IF(5&lt;='I_Inputs &amp; Assumptions'!$B$8,IF('I_Budget Input Data'!$E$148="Upfront",IF(5=1,'I_Budget Input Data'!$D$148,0),IF('I_Budget Input Data'!$E$148="Equal",'I_Budget Input Data'!$D$148/'I_Inputs &amp; Assumptions'!$B$8,IF('I_Budget Input Data'!$E$148="Front-loaded",IF(5&lt;='I_Inputs &amp; Assumptions'!$B$8/2,'I_Budget Input Data'!$D$148*0.6/('I_Inputs &amp; Assumptions'!$B$8/2),'I_Budget Input Data'!$D$148*0.4/('I_Inputs &amp; Assumptions'!$B$8/2)),IF('I_Budget Input Data'!$E$148="Back-loaded",IF(5&lt;='I_Inputs &amp; Assumptions'!$B$8/2,'I_Budget Input Data'!$D$148*0.4/('I_Inputs &amp; Assumptions'!$B$8/2),'I_Budget Input Data'!$D$148*0.6/('I_Inputs &amp; Assumptions'!$B$8/2)),IF('I_Budget Input Data'!$E$148="Mid-weighted",IF(5&lt;='I_Inputs &amp; Assumptions'!$B$8/4,'I_Budget Input Data'!$D$148*0.2/('I_Inputs &amp; Assumptions'!$B$8/4),IF(5&lt;='I_Inputs &amp; Assumptions'!$B$8*0.75,'I_Budget Input Data'!$D$148*0.6/('I_Inputs &amp; Assumptions'!$B$8/2),'I_Budget Input Data'!$D$148*0.2/('I_Inputs &amp; Assumptions'!$B$8/4))),IF('I_Budget Input Data'!$E$148="At Completion",IF(5='I_Inputs &amp; Assumptions'!$B$8,'I_Budget Input Data'!$D$148,0),'I_Budget Input Data'!$D$148/'I_Inputs &amp; Assumptions'!$B$8)))))),0)</f>
        <v>5955.9692307692303</v>
      </c>
      <c r="H148" s="91">
        <f>IF(6&lt;='I_Inputs &amp; Assumptions'!$B$8,IF('I_Budget Input Data'!$E$148="Upfront",IF(6=1,'I_Budget Input Data'!$D$148,0),IF('I_Budget Input Data'!$E$148="Equal",'I_Budget Input Data'!$D$148/'I_Inputs &amp; Assumptions'!$B$8,IF('I_Budget Input Data'!$E$148="Front-loaded",IF(6&lt;='I_Inputs &amp; Assumptions'!$B$8/2,'I_Budget Input Data'!$D$148*0.6/('I_Inputs &amp; Assumptions'!$B$8/2),'I_Budget Input Data'!$D$148*0.4/('I_Inputs &amp; Assumptions'!$B$8/2)),IF('I_Budget Input Data'!$E$148="Back-loaded",IF(6&lt;='I_Inputs &amp; Assumptions'!$B$8/2,'I_Budget Input Data'!$D$148*0.4/('I_Inputs &amp; Assumptions'!$B$8/2),'I_Budget Input Data'!$D$148*0.6/('I_Inputs &amp; Assumptions'!$B$8/2)),IF('I_Budget Input Data'!$E$148="Mid-weighted",IF(6&lt;='I_Inputs &amp; Assumptions'!$B$8/4,'I_Budget Input Data'!$D$148*0.2/('I_Inputs &amp; Assumptions'!$B$8/4),IF(6&lt;='I_Inputs &amp; Assumptions'!$B$8*0.75,'I_Budget Input Data'!$D$148*0.6/('I_Inputs &amp; Assumptions'!$B$8/2),'I_Budget Input Data'!$D$148*0.2/('I_Inputs &amp; Assumptions'!$B$8/4))),IF('I_Budget Input Data'!$E$148="At Completion",IF(6='I_Inputs &amp; Assumptions'!$B$8,'I_Budget Input Data'!$D$148,0),'I_Budget Input Data'!$D$148/'I_Inputs &amp; Assumptions'!$B$8)))))),0)</f>
        <v>5955.9692307692303</v>
      </c>
      <c r="I148" s="91">
        <f>IF(7&lt;='I_Inputs &amp; Assumptions'!$B$8,IF('I_Budget Input Data'!$E$148="Upfront",IF(7=1,'I_Budget Input Data'!$D$148,0),IF('I_Budget Input Data'!$E$148="Equal",'I_Budget Input Data'!$D$148/'I_Inputs &amp; Assumptions'!$B$8,IF('I_Budget Input Data'!$E$148="Front-loaded",IF(7&lt;='I_Inputs &amp; Assumptions'!$B$8/2,'I_Budget Input Data'!$D$148*0.6/('I_Inputs &amp; Assumptions'!$B$8/2),'I_Budget Input Data'!$D$148*0.4/('I_Inputs &amp; Assumptions'!$B$8/2)),IF('I_Budget Input Data'!$E$148="Back-loaded",IF(7&lt;='I_Inputs &amp; Assumptions'!$B$8/2,'I_Budget Input Data'!$D$148*0.4/('I_Inputs &amp; Assumptions'!$B$8/2),'I_Budget Input Data'!$D$148*0.6/('I_Inputs &amp; Assumptions'!$B$8/2)),IF('I_Budget Input Data'!$E$148="Mid-weighted",IF(7&lt;='I_Inputs &amp; Assumptions'!$B$8/4,'I_Budget Input Data'!$D$148*0.2/('I_Inputs &amp; Assumptions'!$B$8/4),IF(7&lt;='I_Inputs &amp; Assumptions'!$B$8*0.75,'I_Budget Input Data'!$D$148*0.6/('I_Inputs &amp; Assumptions'!$B$8/2),'I_Budget Input Data'!$D$148*0.2/('I_Inputs &amp; Assumptions'!$B$8/4))),IF('I_Budget Input Data'!$E$148="At Completion",IF(7='I_Inputs &amp; Assumptions'!$B$8,'I_Budget Input Data'!$D$148,0),'I_Budget Input Data'!$D$148/'I_Inputs &amp; Assumptions'!$B$8)))))),0)</f>
        <v>3970.646153846154</v>
      </c>
      <c r="J148" s="91">
        <f>IF(8&lt;='I_Inputs &amp; Assumptions'!$B$8,IF('I_Budget Input Data'!$E$148="Upfront",IF(8=1,'I_Budget Input Data'!$D$148,0),IF('I_Budget Input Data'!$E$148="Equal",'I_Budget Input Data'!$D$148/'I_Inputs &amp; Assumptions'!$B$8,IF('I_Budget Input Data'!$E$148="Front-loaded",IF(8&lt;='I_Inputs &amp; Assumptions'!$B$8/2,'I_Budget Input Data'!$D$148*0.6/('I_Inputs &amp; Assumptions'!$B$8/2),'I_Budget Input Data'!$D$148*0.4/('I_Inputs &amp; Assumptions'!$B$8/2)),IF('I_Budget Input Data'!$E$148="Back-loaded",IF(8&lt;='I_Inputs &amp; Assumptions'!$B$8/2,'I_Budget Input Data'!$D$148*0.4/('I_Inputs &amp; Assumptions'!$B$8/2),'I_Budget Input Data'!$D$148*0.6/('I_Inputs &amp; Assumptions'!$B$8/2)),IF('I_Budget Input Data'!$E$148="Mid-weighted",IF(8&lt;='I_Inputs &amp; Assumptions'!$B$8/4,'I_Budget Input Data'!$D$148*0.2/('I_Inputs &amp; Assumptions'!$B$8/4),IF(8&lt;='I_Inputs &amp; Assumptions'!$B$8*0.75,'I_Budget Input Data'!$D$148*0.6/('I_Inputs &amp; Assumptions'!$B$8/2),'I_Budget Input Data'!$D$148*0.2/('I_Inputs &amp; Assumptions'!$B$8/4))),IF('I_Budget Input Data'!$E$148="At Completion",IF(8='I_Inputs &amp; Assumptions'!$B$8,'I_Budget Input Data'!$D$148,0),'I_Budget Input Data'!$D$148/'I_Inputs &amp; Assumptions'!$B$8)))))),0)</f>
        <v>3970.646153846154</v>
      </c>
      <c r="K148" s="91">
        <f>IF(9&lt;='I_Inputs &amp; Assumptions'!$B$8,IF('I_Budget Input Data'!$E$148="Upfront",IF(9=1,'I_Budget Input Data'!$D$148,0),IF('I_Budget Input Data'!$E$148="Equal",'I_Budget Input Data'!$D$148/'I_Inputs &amp; Assumptions'!$B$8,IF('I_Budget Input Data'!$E$148="Front-loaded",IF(9&lt;='I_Inputs &amp; Assumptions'!$B$8/2,'I_Budget Input Data'!$D$148*0.6/('I_Inputs &amp; Assumptions'!$B$8/2),'I_Budget Input Data'!$D$148*0.4/('I_Inputs &amp; Assumptions'!$B$8/2)),IF('I_Budget Input Data'!$E$148="Back-loaded",IF(9&lt;='I_Inputs &amp; Assumptions'!$B$8/2,'I_Budget Input Data'!$D$148*0.4/('I_Inputs &amp; Assumptions'!$B$8/2),'I_Budget Input Data'!$D$148*0.6/('I_Inputs &amp; Assumptions'!$B$8/2)),IF('I_Budget Input Data'!$E$148="Mid-weighted",IF(9&lt;='I_Inputs &amp; Assumptions'!$B$8/4,'I_Budget Input Data'!$D$148*0.2/('I_Inputs &amp; Assumptions'!$B$8/4),IF(9&lt;='I_Inputs &amp; Assumptions'!$B$8*0.75,'I_Budget Input Data'!$D$148*0.6/('I_Inputs &amp; Assumptions'!$B$8/2),'I_Budget Input Data'!$D$148*0.2/('I_Inputs &amp; Assumptions'!$B$8/4))),IF('I_Budget Input Data'!$E$148="At Completion",IF(9='I_Inputs &amp; Assumptions'!$B$8,'I_Budget Input Data'!$D$148,0),'I_Budget Input Data'!$D$148/'I_Inputs &amp; Assumptions'!$B$8)))))),0)</f>
        <v>3970.646153846154</v>
      </c>
      <c r="L148" s="91">
        <f>IF(10&lt;='I_Inputs &amp; Assumptions'!$B$8,IF('I_Budget Input Data'!$E$148="Upfront",IF(10=1,'I_Budget Input Data'!$D$148,0),IF('I_Budget Input Data'!$E$148="Equal",'I_Budget Input Data'!$D$148/'I_Inputs &amp; Assumptions'!$B$8,IF('I_Budget Input Data'!$E$148="Front-loaded",IF(10&lt;='I_Inputs &amp; Assumptions'!$B$8/2,'I_Budget Input Data'!$D$148*0.6/('I_Inputs &amp; Assumptions'!$B$8/2),'I_Budget Input Data'!$D$148*0.4/('I_Inputs &amp; Assumptions'!$B$8/2)),IF('I_Budget Input Data'!$E$148="Back-loaded",IF(10&lt;='I_Inputs &amp; Assumptions'!$B$8/2,'I_Budget Input Data'!$D$148*0.4/('I_Inputs &amp; Assumptions'!$B$8/2),'I_Budget Input Data'!$D$148*0.6/('I_Inputs &amp; Assumptions'!$B$8/2)),IF('I_Budget Input Data'!$E$148="Mid-weighted",IF(10&lt;='I_Inputs &amp; Assumptions'!$B$8/4,'I_Budget Input Data'!$D$148*0.2/('I_Inputs &amp; Assumptions'!$B$8/4),IF(10&lt;='I_Inputs &amp; Assumptions'!$B$8*0.75,'I_Budget Input Data'!$D$148*0.6/('I_Inputs &amp; Assumptions'!$B$8/2),'I_Budget Input Data'!$D$148*0.2/('I_Inputs &amp; Assumptions'!$B$8/4))),IF('I_Budget Input Data'!$E$148="At Completion",IF(10='I_Inputs &amp; Assumptions'!$B$8,'I_Budget Input Data'!$D$148,0),'I_Budget Input Data'!$D$148/'I_Inputs &amp; Assumptions'!$B$8)))))),0)</f>
        <v>3970.646153846154</v>
      </c>
      <c r="M148" s="91">
        <f>IF(11&lt;='I_Inputs &amp; Assumptions'!$B$8,IF('I_Budget Input Data'!$E$148="Upfront",IF(11=1,'I_Budget Input Data'!$D$148,0),IF('I_Budget Input Data'!$E$148="Equal",'I_Budget Input Data'!$D$148/'I_Inputs &amp; Assumptions'!$B$8,IF('I_Budget Input Data'!$E$148="Front-loaded",IF(11&lt;='I_Inputs &amp; Assumptions'!$B$8/2,'I_Budget Input Data'!$D$148*0.6/('I_Inputs &amp; Assumptions'!$B$8/2),'I_Budget Input Data'!$D$148*0.4/('I_Inputs &amp; Assumptions'!$B$8/2)),IF('I_Budget Input Data'!$E$148="Back-loaded",IF(11&lt;='I_Inputs &amp; Assumptions'!$B$8/2,'I_Budget Input Data'!$D$148*0.4/('I_Inputs &amp; Assumptions'!$B$8/2),'I_Budget Input Data'!$D$148*0.6/('I_Inputs &amp; Assumptions'!$B$8/2)),IF('I_Budget Input Data'!$E$148="Mid-weighted",IF(11&lt;='I_Inputs &amp; Assumptions'!$B$8/4,'I_Budget Input Data'!$D$148*0.2/('I_Inputs &amp; Assumptions'!$B$8/4),IF(11&lt;='I_Inputs &amp; Assumptions'!$B$8*0.75,'I_Budget Input Data'!$D$148*0.6/('I_Inputs &amp; Assumptions'!$B$8/2),'I_Budget Input Data'!$D$148*0.2/('I_Inputs &amp; Assumptions'!$B$8/4))),IF('I_Budget Input Data'!$E$148="At Completion",IF(11='I_Inputs &amp; Assumptions'!$B$8,'I_Budget Input Data'!$D$148,0),'I_Budget Input Data'!$D$148/'I_Inputs &amp; Assumptions'!$B$8)))))),0)</f>
        <v>3970.646153846154</v>
      </c>
      <c r="N148" s="91">
        <f>IF(12&lt;='I_Inputs &amp; Assumptions'!$B$8,IF('I_Budget Input Data'!$E$148="Upfront",IF(12=1,'I_Budget Input Data'!$D$148,0),IF('I_Budget Input Data'!$E$148="Equal",'I_Budget Input Data'!$D$148/'I_Inputs &amp; Assumptions'!$B$8,IF('I_Budget Input Data'!$E$148="Front-loaded",IF(12&lt;='I_Inputs &amp; Assumptions'!$B$8/2,'I_Budget Input Data'!$D$148*0.6/('I_Inputs &amp; Assumptions'!$B$8/2),'I_Budget Input Data'!$D$148*0.4/('I_Inputs &amp; Assumptions'!$B$8/2)),IF('I_Budget Input Data'!$E$148="Back-loaded",IF(12&lt;='I_Inputs &amp; Assumptions'!$B$8/2,'I_Budget Input Data'!$D$148*0.4/('I_Inputs &amp; Assumptions'!$B$8/2),'I_Budget Input Data'!$D$148*0.6/('I_Inputs &amp; Assumptions'!$B$8/2)),IF('I_Budget Input Data'!$E$148="Mid-weighted",IF(12&lt;='I_Inputs &amp; Assumptions'!$B$8/4,'I_Budget Input Data'!$D$148*0.2/('I_Inputs &amp; Assumptions'!$B$8/4),IF(12&lt;='I_Inputs &amp; Assumptions'!$B$8*0.75,'I_Budget Input Data'!$D$148*0.6/('I_Inputs &amp; Assumptions'!$B$8/2),'I_Budget Input Data'!$D$148*0.2/('I_Inputs &amp; Assumptions'!$B$8/4))),IF('I_Budget Input Data'!$E$148="At Completion",IF(12='I_Inputs &amp; Assumptions'!$B$8,'I_Budget Input Data'!$D$148,0),'I_Budget Input Data'!$D$148/'I_Inputs &amp; Assumptions'!$B$8)))))),0)</f>
        <v>3970.646153846154</v>
      </c>
      <c r="O148" s="91">
        <f>IF(13&lt;='I_Inputs &amp; Assumptions'!$B$8,IF('I_Budget Input Data'!$E$148="Upfront",IF(13=1,'I_Budget Input Data'!$D$148,0),IF('I_Budget Input Data'!$E$148="Equal",'I_Budget Input Data'!$D$148/'I_Inputs &amp; Assumptions'!$B$8,IF('I_Budget Input Data'!$E$148="Front-loaded",IF(13&lt;='I_Inputs &amp; Assumptions'!$B$8/2,'I_Budget Input Data'!$D$148*0.6/('I_Inputs &amp; Assumptions'!$B$8/2),'I_Budget Input Data'!$D$148*0.4/('I_Inputs &amp; Assumptions'!$B$8/2)),IF('I_Budget Input Data'!$E$148="Back-loaded",IF(13&lt;='I_Inputs &amp; Assumptions'!$B$8/2,'I_Budget Input Data'!$D$148*0.4/('I_Inputs &amp; Assumptions'!$B$8/2),'I_Budget Input Data'!$D$148*0.6/('I_Inputs &amp; Assumptions'!$B$8/2)),IF('I_Budget Input Data'!$E$148="Mid-weighted",IF(13&lt;='I_Inputs &amp; Assumptions'!$B$8/4,'I_Budget Input Data'!$D$148*0.2/('I_Inputs &amp; Assumptions'!$B$8/4),IF(13&lt;='I_Inputs &amp; Assumptions'!$B$8*0.75,'I_Budget Input Data'!$D$148*0.6/('I_Inputs &amp; Assumptions'!$B$8/2),'I_Budget Input Data'!$D$148*0.2/('I_Inputs &amp; Assumptions'!$B$8/4))),IF('I_Budget Input Data'!$E$148="At Completion",IF(13='I_Inputs &amp; Assumptions'!$B$8,'I_Budget Input Data'!$D$148,0),'I_Budget Input Data'!$D$148/'I_Inputs &amp; Assumptions'!$B$8)))))),0)</f>
        <v>3970.646153846154</v>
      </c>
      <c r="P148" s="91">
        <f>IF(14&lt;='I_Inputs &amp; Assumptions'!$B$8,IF('I_Budget Input Data'!$E$148="Upfront",IF(14=1,'I_Budget Input Data'!$D$148,0),IF('I_Budget Input Data'!$E$148="Equal",'I_Budget Input Data'!$D$148/'I_Inputs &amp; Assumptions'!$B$8,IF('I_Budget Input Data'!$E$148="Front-loaded",IF(14&lt;='I_Inputs &amp; Assumptions'!$B$8/2,'I_Budget Input Data'!$D$148*0.6/('I_Inputs &amp; Assumptions'!$B$8/2),'I_Budget Input Data'!$D$148*0.4/('I_Inputs &amp; Assumptions'!$B$8/2)),IF('I_Budget Input Data'!$E$148="Back-loaded",IF(14&lt;='I_Inputs &amp; Assumptions'!$B$8/2,'I_Budget Input Data'!$D$148*0.4/('I_Inputs &amp; Assumptions'!$B$8/2),'I_Budget Input Data'!$D$148*0.6/('I_Inputs &amp; Assumptions'!$B$8/2)),IF('I_Budget Input Data'!$E$148="Mid-weighted",IF(14&lt;='I_Inputs &amp; Assumptions'!$B$8/4,'I_Budget Input Data'!$D$148*0.2/('I_Inputs &amp; Assumptions'!$B$8/4),IF(14&lt;='I_Inputs &amp; Assumptions'!$B$8*0.75,'I_Budget Input Data'!$D$148*0.6/('I_Inputs &amp; Assumptions'!$B$8/2),'I_Budget Input Data'!$D$148*0.2/('I_Inputs &amp; Assumptions'!$B$8/4))),IF('I_Budget Input Data'!$E$148="At Completion",IF(14='I_Inputs &amp; Assumptions'!$B$8,'I_Budget Input Data'!$D$148,0),'I_Budget Input Data'!$D$148/'I_Inputs &amp; Assumptions'!$B$8)))))),0)</f>
        <v>0</v>
      </c>
      <c r="Q148" s="91">
        <f>IF(15&lt;='I_Inputs &amp; Assumptions'!$B$8,IF('I_Budget Input Data'!$E$148="Upfront",IF(15=1,'I_Budget Input Data'!$D$148,0),IF('I_Budget Input Data'!$E$148="Equal",'I_Budget Input Data'!$D$148/'I_Inputs &amp; Assumptions'!$B$8,IF('I_Budget Input Data'!$E$148="Front-loaded",IF(15&lt;='I_Inputs &amp; Assumptions'!$B$8/2,'I_Budget Input Data'!$D$148*0.6/('I_Inputs &amp; Assumptions'!$B$8/2),'I_Budget Input Data'!$D$148*0.4/('I_Inputs &amp; Assumptions'!$B$8/2)),IF('I_Budget Input Data'!$E$148="Back-loaded",IF(15&lt;='I_Inputs &amp; Assumptions'!$B$8/2,'I_Budget Input Data'!$D$148*0.4/('I_Inputs &amp; Assumptions'!$B$8/2),'I_Budget Input Data'!$D$148*0.6/('I_Inputs &amp; Assumptions'!$B$8/2)),IF('I_Budget Input Data'!$E$148="Mid-weighted",IF(15&lt;='I_Inputs &amp; Assumptions'!$B$8/4,'I_Budget Input Data'!$D$148*0.2/('I_Inputs &amp; Assumptions'!$B$8/4),IF(15&lt;='I_Inputs &amp; Assumptions'!$B$8*0.75,'I_Budget Input Data'!$D$148*0.6/('I_Inputs &amp; Assumptions'!$B$8/2),'I_Budget Input Data'!$D$148*0.2/('I_Inputs &amp; Assumptions'!$B$8/4))),IF('I_Budget Input Data'!$E$148="At Completion",IF(15='I_Inputs &amp; Assumptions'!$B$8,'I_Budget Input Data'!$D$148,0),'I_Budget Input Data'!$D$148/'I_Inputs &amp; Assumptions'!$B$8)))))),0)</f>
        <v>0</v>
      </c>
      <c r="R148" s="91">
        <f>IF(16&lt;='I_Inputs &amp; Assumptions'!$B$8,IF('I_Budget Input Data'!$E$148="Upfront",IF(16=1,'I_Budget Input Data'!$D$148,0),IF('I_Budget Input Data'!$E$148="Equal",'I_Budget Input Data'!$D$148/'I_Inputs &amp; Assumptions'!$B$8,IF('I_Budget Input Data'!$E$148="Front-loaded",IF(16&lt;='I_Inputs &amp; Assumptions'!$B$8/2,'I_Budget Input Data'!$D$148*0.6/('I_Inputs &amp; Assumptions'!$B$8/2),'I_Budget Input Data'!$D$148*0.4/('I_Inputs &amp; Assumptions'!$B$8/2)),IF('I_Budget Input Data'!$E$148="Back-loaded",IF(16&lt;='I_Inputs &amp; Assumptions'!$B$8/2,'I_Budget Input Data'!$D$148*0.4/('I_Inputs &amp; Assumptions'!$B$8/2),'I_Budget Input Data'!$D$148*0.6/('I_Inputs &amp; Assumptions'!$B$8/2)),IF('I_Budget Input Data'!$E$148="Mid-weighted",IF(16&lt;='I_Inputs &amp; Assumptions'!$B$8/4,'I_Budget Input Data'!$D$148*0.2/('I_Inputs &amp; Assumptions'!$B$8/4),IF(16&lt;='I_Inputs &amp; Assumptions'!$B$8*0.75,'I_Budget Input Data'!$D$148*0.6/('I_Inputs &amp; Assumptions'!$B$8/2),'I_Budget Input Data'!$D$148*0.2/('I_Inputs &amp; Assumptions'!$B$8/4))),IF('I_Budget Input Data'!$E$148="At Completion",IF(16='I_Inputs &amp; Assumptions'!$B$8,'I_Budget Input Data'!$D$148,0),'I_Budget Input Data'!$D$148/'I_Inputs &amp; Assumptions'!$B$8)))))),0)</f>
        <v>0</v>
      </c>
      <c r="S148" s="91">
        <f>IF(17&lt;='I_Inputs &amp; Assumptions'!$B$8,IF('I_Budget Input Data'!$E$148="Upfront",IF(17=1,'I_Budget Input Data'!$D$148,0),IF('I_Budget Input Data'!$E$148="Equal",'I_Budget Input Data'!$D$148/'I_Inputs &amp; Assumptions'!$B$8,IF('I_Budget Input Data'!$E$148="Front-loaded",IF(17&lt;='I_Inputs &amp; Assumptions'!$B$8/2,'I_Budget Input Data'!$D$148*0.6/('I_Inputs &amp; Assumptions'!$B$8/2),'I_Budget Input Data'!$D$148*0.4/('I_Inputs &amp; Assumptions'!$B$8/2)),IF('I_Budget Input Data'!$E$148="Back-loaded",IF(17&lt;='I_Inputs &amp; Assumptions'!$B$8/2,'I_Budget Input Data'!$D$148*0.4/('I_Inputs &amp; Assumptions'!$B$8/2),'I_Budget Input Data'!$D$148*0.6/('I_Inputs &amp; Assumptions'!$B$8/2)),IF('I_Budget Input Data'!$E$148="Mid-weighted",IF(17&lt;='I_Inputs &amp; Assumptions'!$B$8/4,'I_Budget Input Data'!$D$148*0.2/('I_Inputs &amp; Assumptions'!$B$8/4),IF(17&lt;='I_Inputs &amp; Assumptions'!$B$8*0.75,'I_Budget Input Data'!$D$148*0.6/('I_Inputs &amp; Assumptions'!$B$8/2),'I_Budget Input Data'!$D$148*0.2/('I_Inputs &amp; Assumptions'!$B$8/4))),IF('I_Budget Input Data'!$E$148="At Completion",IF(17='I_Inputs &amp; Assumptions'!$B$8,'I_Budget Input Data'!$D$148,0),'I_Budget Input Data'!$D$148/'I_Inputs &amp; Assumptions'!$B$8)))))),0)</f>
        <v>0</v>
      </c>
      <c r="T148" s="91">
        <f>IF(18&lt;='I_Inputs &amp; Assumptions'!$B$8,IF('I_Budget Input Data'!$E$148="Upfront",IF(18=1,'I_Budget Input Data'!$D$148,0),IF('I_Budget Input Data'!$E$148="Equal",'I_Budget Input Data'!$D$148/'I_Inputs &amp; Assumptions'!$B$8,IF('I_Budget Input Data'!$E$148="Front-loaded",IF(18&lt;='I_Inputs &amp; Assumptions'!$B$8/2,'I_Budget Input Data'!$D$148*0.6/('I_Inputs &amp; Assumptions'!$B$8/2),'I_Budget Input Data'!$D$148*0.4/('I_Inputs &amp; Assumptions'!$B$8/2)),IF('I_Budget Input Data'!$E$148="Back-loaded",IF(18&lt;='I_Inputs &amp; Assumptions'!$B$8/2,'I_Budget Input Data'!$D$148*0.4/('I_Inputs &amp; Assumptions'!$B$8/2),'I_Budget Input Data'!$D$148*0.6/('I_Inputs &amp; Assumptions'!$B$8/2)),IF('I_Budget Input Data'!$E$148="Mid-weighted",IF(18&lt;='I_Inputs &amp; Assumptions'!$B$8/4,'I_Budget Input Data'!$D$148*0.2/('I_Inputs &amp; Assumptions'!$B$8/4),IF(18&lt;='I_Inputs &amp; Assumptions'!$B$8*0.75,'I_Budget Input Data'!$D$148*0.6/('I_Inputs &amp; Assumptions'!$B$8/2),'I_Budget Input Data'!$D$148*0.2/('I_Inputs &amp; Assumptions'!$B$8/4))),IF('I_Budget Input Data'!$E$148="At Completion",IF(18='I_Inputs &amp; Assumptions'!$B$8,'I_Budget Input Data'!$D$148,0),'I_Budget Input Data'!$D$148/'I_Inputs &amp; Assumptions'!$B$8)))))),0)</f>
        <v>0</v>
      </c>
      <c r="U148" s="91">
        <f>IF(19&lt;='I_Inputs &amp; Assumptions'!$B$8,IF('I_Budget Input Data'!$E$148="Upfront",IF(19=1,'I_Budget Input Data'!$D$148,0),IF('I_Budget Input Data'!$E$148="Equal",'I_Budget Input Data'!$D$148/'I_Inputs &amp; Assumptions'!$B$8,IF('I_Budget Input Data'!$E$148="Front-loaded",IF(19&lt;='I_Inputs &amp; Assumptions'!$B$8/2,'I_Budget Input Data'!$D$148*0.6/('I_Inputs &amp; Assumptions'!$B$8/2),'I_Budget Input Data'!$D$148*0.4/('I_Inputs &amp; Assumptions'!$B$8/2)),IF('I_Budget Input Data'!$E$148="Back-loaded",IF(19&lt;='I_Inputs &amp; Assumptions'!$B$8/2,'I_Budget Input Data'!$D$148*0.4/('I_Inputs &amp; Assumptions'!$B$8/2),'I_Budget Input Data'!$D$148*0.6/('I_Inputs &amp; Assumptions'!$B$8/2)),IF('I_Budget Input Data'!$E$148="Mid-weighted",IF(19&lt;='I_Inputs &amp; Assumptions'!$B$8/4,'I_Budget Input Data'!$D$148*0.2/('I_Inputs &amp; Assumptions'!$B$8/4),IF(19&lt;='I_Inputs &amp; Assumptions'!$B$8*0.75,'I_Budget Input Data'!$D$148*0.6/('I_Inputs &amp; Assumptions'!$B$8/2),'I_Budget Input Data'!$D$148*0.2/('I_Inputs &amp; Assumptions'!$B$8/4))),IF('I_Budget Input Data'!$E$148="At Completion",IF(19='I_Inputs &amp; Assumptions'!$B$8,'I_Budget Input Data'!$D$148,0),'I_Budget Input Data'!$D$148/'I_Inputs &amp; Assumptions'!$B$8)))))),0)</f>
        <v>0</v>
      </c>
      <c r="V148" s="91">
        <f>IF(20&lt;='I_Inputs &amp; Assumptions'!$B$8,IF('I_Budget Input Data'!$E$148="Upfront",IF(20=1,'I_Budget Input Data'!$D$148,0),IF('I_Budget Input Data'!$E$148="Equal",'I_Budget Input Data'!$D$148/'I_Inputs &amp; Assumptions'!$B$8,IF('I_Budget Input Data'!$E$148="Front-loaded",IF(20&lt;='I_Inputs &amp; Assumptions'!$B$8/2,'I_Budget Input Data'!$D$148*0.6/('I_Inputs &amp; Assumptions'!$B$8/2),'I_Budget Input Data'!$D$148*0.4/('I_Inputs &amp; Assumptions'!$B$8/2)),IF('I_Budget Input Data'!$E$148="Back-loaded",IF(20&lt;='I_Inputs &amp; Assumptions'!$B$8/2,'I_Budget Input Data'!$D$148*0.4/('I_Inputs &amp; Assumptions'!$B$8/2),'I_Budget Input Data'!$D$148*0.6/('I_Inputs &amp; Assumptions'!$B$8/2)),IF('I_Budget Input Data'!$E$148="Mid-weighted",IF(20&lt;='I_Inputs &amp; Assumptions'!$B$8/4,'I_Budget Input Data'!$D$148*0.2/('I_Inputs &amp; Assumptions'!$B$8/4),IF(20&lt;='I_Inputs &amp; Assumptions'!$B$8*0.75,'I_Budget Input Data'!$D$148*0.6/('I_Inputs &amp; Assumptions'!$B$8/2),'I_Budget Input Data'!$D$148*0.2/('I_Inputs &amp; Assumptions'!$B$8/4))),IF('I_Budget Input Data'!$E$148="At Completion",IF(20='I_Inputs &amp; Assumptions'!$B$8,'I_Budget Input Data'!$D$148,0),'I_Budget Input Data'!$D$148/'I_Inputs &amp; Assumptions'!$B$8)))))),0)</f>
        <v>0</v>
      </c>
      <c r="W148" s="91">
        <f>IF(21&lt;='I_Inputs &amp; Assumptions'!$B$8,IF('I_Budget Input Data'!$E$148="Upfront",IF(21=1,'I_Budget Input Data'!$D$148,0),IF('I_Budget Input Data'!$E$148="Equal",'I_Budget Input Data'!$D$148/'I_Inputs &amp; Assumptions'!$B$8,IF('I_Budget Input Data'!$E$148="Front-loaded",IF(21&lt;='I_Inputs &amp; Assumptions'!$B$8/2,'I_Budget Input Data'!$D$148*0.6/('I_Inputs &amp; Assumptions'!$B$8/2),'I_Budget Input Data'!$D$148*0.4/('I_Inputs &amp; Assumptions'!$B$8/2)),IF('I_Budget Input Data'!$E$148="Back-loaded",IF(21&lt;='I_Inputs &amp; Assumptions'!$B$8/2,'I_Budget Input Data'!$D$148*0.4/('I_Inputs &amp; Assumptions'!$B$8/2),'I_Budget Input Data'!$D$148*0.6/('I_Inputs &amp; Assumptions'!$B$8/2)),IF('I_Budget Input Data'!$E$148="Mid-weighted",IF(21&lt;='I_Inputs &amp; Assumptions'!$B$8/4,'I_Budget Input Data'!$D$148*0.2/('I_Inputs &amp; Assumptions'!$B$8/4),IF(21&lt;='I_Inputs &amp; Assumptions'!$B$8*0.75,'I_Budget Input Data'!$D$148*0.6/('I_Inputs &amp; Assumptions'!$B$8/2),'I_Budget Input Data'!$D$148*0.2/('I_Inputs &amp; Assumptions'!$B$8/4))),IF('I_Budget Input Data'!$E$148="At Completion",IF(21='I_Inputs &amp; Assumptions'!$B$8,'I_Budget Input Data'!$D$148,0),'I_Budget Input Data'!$D$148/'I_Inputs &amp; Assumptions'!$B$8)))))),0)</f>
        <v>0</v>
      </c>
      <c r="X148" s="91">
        <f>IF(22&lt;='I_Inputs &amp; Assumptions'!$B$8,IF('I_Budget Input Data'!$E$148="Upfront",IF(22=1,'I_Budget Input Data'!$D$148,0),IF('I_Budget Input Data'!$E$148="Equal",'I_Budget Input Data'!$D$148/'I_Inputs &amp; Assumptions'!$B$8,IF('I_Budget Input Data'!$E$148="Front-loaded",IF(22&lt;='I_Inputs &amp; Assumptions'!$B$8/2,'I_Budget Input Data'!$D$148*0.6/('I_Inputs &amp; Assumptions'!$B$8/2),'I_Budget Input Data'!$D$148*0.4/('I_Inputs &amp; Assumptions'!$B$8/2)),IF('I_Budget Input Data'!$E$148="Back-loaded",IF(22&lt;='I_Inputs &amp; Assumptions'!$B$8/2,'I_Budget Input Data'!$D$148*0.4/('I_Inputs &amp; Assumptions'!$B$8/2),'I_Budget Input Data'!$D$148*0.6/('I_Inputs &amp; Assumptions'!$B$8/2)),IF('I_Budget Input Data'!$E$148="Mid-weighted",IF(22&lt;='I_Inputs &amp; Assumptions'!$B$8/4,'I_Budget Input Data'!$D$148*0.2/('I_Inputs &amp; Assumptions'!$B$8/4),IF(22&lt;='I_Inputs &amp; Assumptions'!$B$8*0.75,'I_Budget Input Data'!$D$148*0.6/('I_Inputs &amp; Assumptions'!$B$8/2),'I_Budget Input Data'!$D$148*0.2/('I_Inputs &amp; Assumptions'!$B$8/4))),IF('I_Budget Input Data'!$E$148="At Completion",IF(22='I_Inputs &amp; Assumptions'!$B$8,'I_Budget Input Data'!$D$148,0),'I_Budget Input Data'!$D$148/'I_Inputs &amp; Assumptions'!$B$8)))))),0)</f>
        <v>0</v>
      </c>
      <c r="Y148" s="91">
        <f>IF(23&lt;='I_Inputs &amp; Assumptions'!$B$8,IF('I_Budget Input Data'!$E$148="Upfront",IF(23=1,'I_Budget Input Data'!$D$148,0),IF('I_Budget Input Data'!$E$148="Equal",'I_Budget Input Data'!$D$148/'I_Inputs &amp; Assumptions'!$B$8,IF('I_Budget Input Data'!$E$148="Front-loaded",IF(23&lt;='I_Inputs &amp; Assumptions'!$B$8/2,'I_Budget Input Data'!$D$148*0.6/('I_Inputs &amp; Assumptions'!$B$8/2),'I_Budget Input Data'!$D$148*0.4/('I_Inputs &amp; Assumptions'!$B$8/2)),IF('I_Budget Input Data'!$E$148="Back-loaded",IF(23&lt;='I_Inputs &amp; Assumptions'!$B$8/2,'I_Budget Input Data'!$D$148*0.4/('I_Inputs &amp; Assumptions'!$B$8/2),'I_Budget Input Data'!$D$148*0.6/('I_Inputs &amp; Assumptions'!$B$8/2)),IF('I_Budget Input Data'!$E$148="Mid-weighted",IF(23&lt;='I_Inputs &amp; Assumptions'!$B$8/4,'I_Budget Input Data'!$D$148*0.2/('I_Inputs &amp; Assumptions'!$B$8/4),IF(23&lt;='I_Inputs &amp; Assumptions'!$B$8*0.75,'I_Budget Input Data'!$D$148*0.6/('I_Inputs &amp; Assumptions'!$B$8/2),'I_Budget Input Data'!$D$148*0.2/('I_Inputs &amp; Assumptions'!$B$8/4))),IF('I_Budget Input Data'!$E$148="At Completion",IF(23='I_Inputs &amp; Assumptions'!$B$8,'I_Budget Input Data'!$D$148,0),'I_Budget Input Data'!$D$148/'I_Inputs &amp; Assumptions'!$B$8)))))),0)</f>
        <v>0</v>
      </c>
      <c r="Z148" s="91">
        <f>IF(24&lt;='I_Inputs &amp; Assumptions'!$B$8,IF('I_Budget Input Data'!$E$148="Upfront",IF(24=1,'I_Budget Input Data'!$D$148,0),IF('I_Budget Input Data'!$E$148="Equal",'I_Budget Input Data'!$D$148/'I_Inputs &amp; Assumptions'!$B$8,IF('I_Budget Input Data'!$E$148="Front-loaded",IF(24&lt;='I_Inputs &amp; Assumptions'!$B$8/2,'I_Budget Input Data'!$D$148*0.6/('I_Inputs &amp; Assumptions'!$B$8/2),'I_Budget Input Data'!$D$148*0.4/('I_Inputs &amp; Assumptions'!$B$8/2)),IF('I_Budget Input Data'!$E$148="Back-loaded",IF(24&lt;='I_Inputs &amp; Assumptions'!$B$8/2,'I_Budget Input Data'!$D$148*0.4/('I_Inputs &amp; Assumptions'!$B$8/2),'I_Budget Input Data'!$D$148*0.6/('I_Inputs &amp; Assumptions'!$B$8/2)),IF('I_Budget Input Data'!$E$148="Mid-weighted",IF(24&lt;='I_Inputs &amp; Assumptions'!$B$8/4,'I_Budget Input Data'!$D$148*0.2/('I_Inputs &amp; Assumptions'!$B$8/4),IF(24&lt;='I_Inputs &amp; Assumptions'!$B$8*0.75,'I_Budget Input Data'!$D$148*0.6/('I_Inputs &amp; Assumptions'!$B$8/2),'I_Budget Input Data'!$D$148*0.2/('I_Inputs &amp; Assumptions'!$B$8/4))),IF('I_Budget Input Data'!$E$148="At Completion",IF(24='I_Inputs &amp; Assumptions'!$B$8,'I_Budget Input Data'!$D$148,0),'I_Budget Input Data'!$D$148/'I_Inputs &amp; Assumptions'!$B$8)))))),0)</f>
        <v>0</v>
      </c>
      <c r="AA148" s="91">
        <f>IF(25&lt;='I_Inputs &amp; Assumptions'!$B$8,IF('I_Budget Input Data'!$E$148="Upfront",IF(25=1,'I_Budget Input Data'!$D$148,0),IF('I_Budget Input Data'!$E$148="Equal",'I_Budget Input Data'!$D$148/'I_Inputs &amp; Assumptions'!$B$8,IF('I_Budget Input Data'!$E$148="Front-loaded",IF(25&lt;='I_Inputs &amp; Assumptions'!$B$8/2,'I_Budget Input Data'!$D$148*0.6/('I_Inputs &amp; Assumptions'!$B$8/2),'I_Budget Input Data'!$D$148*0.4/('I_Inputs &amp; Assumptions'!$B$8/2)),IF('I_Budget Input Data'!$E$148="Back-loaded",IF(25&lt;='I_Inputs &amp; Assumptions'!$B$8/2,'I_Budget Input Data'!$D$148*0.4/('I_Inputs &amp; Assumptions'!$B$8/2),'I_Budget Input Data'!$D$148*0.6/('I_Inputs &amp; Assumptions'!$B$8/2)),IF('I_Budget Input Data'!$E$148="Mid-weighted",IF(25&lt;='I_Inputs &amp; Assumptions'!$B$8/4,'I_Budget Input Data'!$D$148*0.2/('I_Inputs &amp; Assumptions'!$B$8/4),IF(25&lt;='I_Inputs &amp; Assumptions'!$B$8*0.75,'I_Budget Input Data'!$D$148*0.6/('I_Inputs &amp; Assumptions'!$B$8/2),'I_Budget Input Data'!$D$148*0.2/('I_Inputs &amp; Assumptions'!$B$8/4))),IF('I_Budget Input Data'!$E$148="At Completion",IF(25='I_Inputs &amp; Assumptions'!$B$8,'I_Budget Input Data'!$D$148,0),'I_Budget Input Data'!$D$148/'I_Inputs &amp; Assumptions'!$B$8)))))),0)</f>
        <v>0</v>
      </c>
      <c r="AB148" s="91">
        <f>IF(26&lt;='I_Inputs &amp; Assumptions'!$B$8,IF('I_Budget Input Data'!$E$148="Upfront",IF(26=1,'I_Budget Input Data'!$D$148,0),IF('I_Budget Input Data'!$E$148="Equal",'I_Budget Input Data'!$D$148/'I_Inputs &amp; Assumptions'!$B$8,IF('I_Budget Input Data'!$E$148="Front-loaded",IF(26&lt;='I_Inputs &amp; Assumptions'!$B$8/2,'I_Budget Input Data'!$D$148*0.6/('I_Inputs &amp; Assumptions'!$B$8/2),'I_Budget Input Data'!$D$148*0.4/('I_Inputs &amp; Assumptions'!$B$8/2)),IF('I_Budget Input Data'!$E$148="Back-loaded",IF(26&lt;='I_Inputs &amp; Assumptions'!$B$8/2,'I_Budget Input Data'!$D$148*0.4/('I_Inputs &amp; Assumptions'!$B$8/2),'I_Budget Input Data'!$D$148*0.6/('I_Inputs &amp; Assumptions'!$B$8/2)),IF('I_Budget Input Data'!$E$148="Mid-weighted",IF(26&lt;='I_Inputs &amp; Assumptions'!$B$8/4,'I_Budget Input Data'!$D$148*0.2/('I_Inputs &amp; Assumptions'!$B$8/4),IF(26&lt;='I_Inputs &amp; Assumptions'!$B$8*0.75,'I_Budget Input Data'!$D$148*0.6/('I_Inputs &amp; Assumptions'!$B$8/2),'I_Budget Input Data'!$D$148*0.2/('I_Inputs &amp; Assumptions'!$B$8/4))),IF('I_Budget Input Data'!$E$148="At Completion",IF(26='I_Inputs &amp; Assumptions'!$B$8,'I_Budget Input Data'!$D$148,0),'I_Budget Input Data'!$D$148/'I_Inputs &amp; Assumptions'!$B$8)))))),0)</f>
        <v>0</v>
      </c>
      <c r="AC148" s="91">
        <f>IF(27&lt;='I_Inputs &amp; Assumptions'!$B$8,IF('I_Budget Input Data'!$E$148="Upfront",IF(27=1,'I_Budget Input Data'!$D$148,0),IF('I_Budget Input Data'!$E$148="Equal",'I_Budget Input Data'!$D$148/'I_Inputs &amp; Assumptions'!$B$8,IF('I_Budget Input Data'!$E$148="Front-loaded",IF(27&lt;='I_Inputs &amp; Assumptions'!$B$8/2,'I_Budget Input Data'!$D$148*0.6/('I_Inputs &amp; Assumptions'!$B$8/2),'I_Budget Input Data'!$D$148*0.4/('I_Inputs &amp; Assumptions'!$B$8/2)),IF('I_Budget Input Data'!$E$148="Back-loaded",IF(27&lt;='I_Inputs &amp; Assumptions'!$B$8/2,'I_Budget Input Data'!$D$148*0.4/('I_Inputs &amp; Assumptions'!$B$8/2),'I_Budget Input Data'!$D$148*0.6/('I_Inputs &amp; Assumptions'!$B$8/2)),IF('I_Budget Input Data'!$E$148="Mid-weighted",IF(27&lt;='I_Inputs &amp; Assumptions'!$B$8/4,'I_Budget Input Data'!$D$148*0.2/('I_Inputs &amp; Assumptions'!$B$8/4),IF(27&lt;='I_Inputs &amp; Assumptions'!$B$8*0.75,'I_Budget Input Data'!$D$148*0.6/('I_Inputs &amp; Assumptions'!$B$8/2),'I_Budget Input Data'!$D$148*0.2/('I_Inputs &amp; Assumptions'!$B$8/4))),IF('I_Budget Input Data'!$E$148="At Completion",IF(27='I_Inputs &amp; Assumptions'!$B$8,'I_Budget Input Data'!$D$148,0),'I_Budget Input Data'!$D$148/'I_Inputs &amp; Assumptions'!$B$8)))))),0)</f>
        <v>0</v>
      </c>
      <c r="AD148" s="91">
        <f>IF(28&lt;='I_Inputs &amp; Assumptions'!$B$8,IF('I_Budget Input Data'!$E$148="Upfront",IF(28=1,'I_Budget Input Data'!$D$148,0),IF('I_Budget Input Data'!$E$148="Equal",'I_Budget Input Data'!$D$148/'I_Inputs &amp; Assumptions'!$B$8,IF('I_Budget Input Data'!$E$148="Front-loaded",IF(28&lt;='I_Inputs &amp; Assumptions'!$B$8/2,'I_Budget Input Data'!$D$148*0.6/('I_Inputs &amp; Assumptions'!$B$8/2),'I_Budget Input Data'!$D$148*0.4/('I_Inputs &amp; Assumptions'!$B$8/2)),IF('I_Budget Input Data'!$E$148="Back-loaded",IF(28&lt;='I_Inputs &amp; Assumptions'!$B$8/2,'I_Budget Input Data'!$D$148*0.4/('I_Inputs &amp; Assumptions'!$B$8/2),'I_Budget Input Data'!$D$148*0.6/('I_Inputs &amp; Assumptions'!$B$8/2)),IF('I_Budget Input Data'!$E$148="Mid-weighted",IF(28&lt;='I_Inputs &amp; Assumptions'!$B$8/4,'I_Budget Input Data'!$D$148*0.2/('I_Inputs &amp; Assumptions'!$B$8/4),IF(28&lt;='I_Inputs &amp; Assumptions'!$B$8*0.75,'I_Budget Input Data'!$D$148*0.6/('I_Inputs &amp; Assumptions'!$B$8/2),'I_Budget Input Data'!$D$148*0.2/('I_Inputs &amp; Assumptions'!$B$8/4))),IF('I_Budget Input Data'!$E$148="At Completion",IF(28='I_Inputs &amp; Assumptions'!$B$8,'I_Budget Input Data'!$D$148,0),'I_Budget Input Data'!$D$148/'I_Inputs &amp; Assumptions'!$B$8)))))),0)</f>
        <v>0</v>
      </c>
      <c r="AE148" s="91">
        <f>IF(29&lt;='I_Inputs &amp; Assumptions'!$B$8,IF('I_Budget Input Data'!$E$148="Upfront",IF(29=1,'I_Budget Input Data'!$D$148,0),IF('I_Budget Input Data'!$E$148="Equal",'I_Budget Input Data'!$D$148/'I_Inputs &amp; Assumptions'!$B$8,IF('I_Budget Input Data'!$E$148="Front-loaded",IF(29&lt;='I_Inputs &amp; Assumptions'!$B$8/2,'I_Budget Input Data'!$D$148*0.6/('I_Inputs &amp; Assumptions'!$B$8/2),'I_Budget Input Data'!$D$148*0.4/('I_Inputs &amp; Assumptions'!$B$8/2)),IF('I_Budget Input Data'!$E$148="Back-loaded",IF(29&lt;='I_Inputs &amp; Assumptions'!$B$8/2,'I_Budget Input Data'!$D$148*0.4/('I_Inputs &amp; Assumptions'!$B$8/2),'I_Budget Input Data'!$D$148*0.6/('I_Inputs &amp; Assumptions'!$B$8/2)),IF('I_Budget Input Data'!$E$148="Mid-weighted",IF(29&lt;='I_Inputs &amp; Assumptions'!$B$8/4,'I_Budget Input Data'!$D$148*0.2/('I_Inputs &amp; Assumptions'!$B$8/4),IF(29&lt;='I_Inputs &amp; Assumptions'!$B$8*0.75,'I_Budget Input Data'!$D$148*0.6/('I_Inputs &amp; Assumptions'!$B$8/2),'I_Budget Input Data'!$D$148*0.2/('I_Inputs &amp; Assumptions'!$B$8/4))),IF('I_Budget Input Data'!$E$148="At Completion",IF(29='I_Inputs &amp; Assumptions'!$B$8,'I_Budget Input Data'!$D$148,0),'I_Budget Input Data'!$D$148/'I_Inputs &amp; Assumptions'!$B$8)))))),0)</f>
        <v>0</v>
      </c>
      <c r="AF148" s="91">
        <f>IF(30&lt;='I_Inputs &amp; Assumptions'!$B$8,IF('I_Budget Input Data'!$E$148="Upfront",IF(30=1,'I_Budget Input Data'!$D$148,0),IF('I_Budget Input Data'!$E$148="Equal",'I_Budget Input Data'!$D$148/'I_Inputs &amp; Assumptions'!$B$8,IF('I_Budget Input Data'!$E$148="Front-loaded",IF(30&lt;='I_Inputs &amp; Assumptions'!$B$8/2,'I_Budget Input Data'!$D$148*0.6/('I_Inputs &amp; Assumptions'!$B$8/2),'I_Budget Input Data'!$D$148*0.4/('I_Inputs &amp; Assumptions'!$B$8/2)),IF('I_Budget Input Data'!$E$148="Back-loaded",IF(30&lt;='I_Inputs &amp; Assumptions'!$B$8/2,'I_Budget Input Data'!$D$148*0.4/('I_Inputs &amp; Assumptions'!$B$8/2),'I_Budget Input Data'!$D$148*0.6/('I_Inputs &amp; Assumptions'!$B$8/2)),IF('I_Budget Input Data'!$E$148="Mid-weighted",IF(30&lt;='I_Inputs &amp; Assumptions'!$B$8/4,'I_Budget Input Data'!$D$148*0.2/('I_Inputs &amp; Assumptions'!$B$8/4),IF(30&lt;='I_Inputs &amp; Assumptions'!$B$8*0.75,'I_Budget Input Data'!$D$148*0.6/('I_Inputs &amp; Assumptions'!$B$8/2),'I_Budget Input Data'!$D$148*0.2/('I_Inputs &amp; Assumptions'!$B$8/4))),IF('I_Budget Input Data'!$E$148="At Completion",IF(30='I_Inputs &amp; Assumptions'!$B$8,'I_Budget Input Data'!$D$148,0),'I_Budget Input Data'!$D$148/'I_Inputs &amp; Assumptions'!$B$8)))))),0)</f>
        <v>0</v>
      </c>
      <c r="AG148" s="91">
        <f>IF(31&lt;='I_Inputs &amp; Assumptions'!$B$8,IF('I_Budget Input Data'!$E$148="Upfront",IF(31=1,'I_Budget Input Data'!$D$148,0),IF('I_Budget Input Data'!$E$148="Equal",'I_Budget Input Data'!$D$148/'I_Inputs &amp; Assumptions'!$B$8,IF('I_Budget Input Data'!$E$148="Front-loaded",IF(31&lt;='I_Inputs &amp; Assumptions'!$B$8/2,'I_Budget Input Data'!$D$148*0.6/('I_Inputs &amp; Assumptions'!$B$8/2),'I_Budget Input Data'!$D$148*0.4/('I_Inputs &amp; Assumptions'!$B$8/2)),IF('I_Budget Input Data'!$E$148="Back-loaded",IF(31&lt;='I_Inputs &amp; Assumptions'!$B$8/2,'I_Budget Input Data'!$D$148*0.4/('I_Inputs &amp; Assumptions'!$B$8/2),'I_Budget Input Data'!$D$148*0.6/('I_Inputs &amp; Assumptions'!$B$8/2)),IF('I_Budget Input Data'!$E$148="Mid-weighted",IF(31&lt;='I_Inputs &amp; Assumptions'!$B$8/4,'I_Budget Input Data'!$D$148*0.2/('I_Inputs &amp; Assumptions'!$B$8/4),IF(31&lt;='I_Inputs &amp; Assumptions'!$B$8*0.75,'I_Budget Input Data'!$D$148*0.6/('I_Inputs &amp; Assumptions'!$B$8/2),'I_Budget Input Data'!$D$148*0.2/('I_Inputs &amp; Assumptions'!$B$8/4))),IF('I_Budget Input Data'!$E$148="At Completion",IF(31='I_Inputs &amp; Assumptions'!$B$8,'I_Budget Input Data'!$D$148,0),'I_Budget Input Data'!$D$148/'I_Inputs &amp; Assumptions'!$B$8)))))),0)</f>
        <v>0</v>
      </c>
      <c r="AH148" s="91">
        <f>IF(32&lt;='I_Inputs &amp; Assumptions'!$B$8,IF('I_Budget Input Data'!$E$148="Upfront",IF(32=1,'I_Budget Input Data'!$D$148,0),IF('I_Budget Input Data'!$E$148="Equal",'I_Budget Input Data'!$D$148/'I_Inputs &amp; Assumptions'!$B$8,IF('I_Budget Input Data'!$E$148="Front-loaded",IF(32&lt;='I_Inputs &amp; Assumptions'!$B$8/2,'I_Budget Input Data'!$D$148*0.6/('I_Inputs &amp; Assumptions'!$B$8/2),'I_Budget Input Data'!$D$148*0.4/('I_Inputs &amp; Assumptions'!$B$8/2)),IF('I_Budget Input Data'!$E$148="Back-loaded",IF(32&lt;='I_Inputs &amp; Assumptions'!$B$8/2,'I_Budget Input Data'!$D$148*0.4/('I_Inputs &amp; Assumptions'!$B$8/2),'I_Budget Input Data'!$D$148*0.6/('I_Inputs &amp; Assumptions'!$B$8/2)),IF('I_Budget Input Data'!$E$148="Mid-weighted",IF(32&lt;='I_Inputs &amp; Assumptions'!$B$8/4,'I_Budget Input Data'!$D$148*0.2/('I_Inputs &amp; Assumptions'!$B$8/4),IF(32&lt;='I_Inputs &amp; Assumptions'!$B$8*0.75,'I_Budget Input Data'!$D$148*0.6/('I_Inputs &amp; Assumptions'!$B$8/2),'I_Budget Input Data'!$D$148*0.2/('I_Inputs &amp; Assumptions'!$B$8/4))),IF('I_Budget Input Data'!$E$148="At Completion",IF(32='I_Inputs &amp; Assumptions'!$B$8,'I_Budget Input Data'!$D$148,0),'I_Budget Input Data'!$D$148/'I_Inputs &amp; Assumptions'!$B$8)))))),0)</f>
        <v>0</v>
      </c>
      <c r="AI148" s="91">
        <f>IF(33&lt;='I_Inputs &amp; Assumptions'!$B$8,IF('I_Budget Input Data'!$E$148="Upfront",IF(33=1,'I_Budget Input Data'!$D$148,0),IF('I_Budget Input Data'!$E$148="Equal",'I_Budget Input Data'!$D$148/'I_Inputs &amp; Assumptions'!$B$8,IF('I_Budget Input Data'!$E$148="Front-loaded",IF(33&lt;='I_Inputs &amp; Assumptions'!$B$8/2,'I_Budget Input Data'!$D$148*0.6/('I_Inputs &amp; Assumptions'!$B$8/2),'I_Budget Input Data'!$D$148*0.4/('I_Inputs &amp; Assumptions'!$B$8/2)),IF('I_Budget Input Data'!$E$148="Back-loaded",IF(33&lt;='I_Inputs &amp; Assumptions'!$B$8/2,'I_Budget Input Data'!$D$148*0.4/('I_Inputs &amp; Assumptions'!$B$8/2),'I_Budget Input Data'!$D$148*0.6/('I_Inputs &amp; Assumptions'!$B$8/2)),IF('I_Budget Input Data'!$E$148="Mid-weighted",IF(33&lt;='I_Inputs &amp; Assumptions'!$B$8/4,'I_Budget Input Data'!$D$148*0.2/('I_Inputs &amp; Assumptions'!$B$8/4),IF(33&lt;='I_Inputs &amp; Assumptions'!$B$8*0.75,'I_Budget Input Data'!$D$148*0.6/('I_Inputs &amp; Assumptions'!$B$8/2),'I_Budget Input Data'!$D$148*0.2/('I_Inputs &amp; Assumptions'!$B$8/4))),IF('I_Budget Input Data'!$E$148="At Completion",IF(33='I_Inputs &amp; Assumptions'!$B$8,'I_Budget Input Data'!$D$148,0),'I_Budget Input Data'!$D$148/'I_Inputs &amp; Assumptions'!$B$8)))))),0)</f>
        <v>0</v>
      </c>
      <c r="AJ148" s="91">
        <f>IF(34&lt;='I_Inputs &amp; Assumptions'!$B$8,IF('I_Budget Input Data'!$E$148="Upfront",IF(34=1,'I_Budget Input Data'!$D$148,0),IF('I_Budget Input Data'!$E$148="Equal",'I_Budget Input Data'!$D$148/'I_Inputs &amp; Assumptions'!$B$8,IF('I_Budget Input Data'!$E$148="Front-loaded",IF(34&lt;='I_Inputs &amp; Assumptions'!$B$8/2,'I_Budget Input Data'!$D$148*0.6/('I_Inputs &amp; Assumptions'!$B$8/2),'I_Budget Input Data'!$D$148*0.4/('I_Inputs &amp; Assumptions'!$B$8/2)),IF('I_Budget Input Data'!$E$148="Back-loaded",IF(34&lt;='I_Inputs &amp; Assumptions'!$B$8/2,'I_Budget Input Data'!$D$148*0.4/('I_Inputs &amp; Assumptions'!$B$8/2),'I_Budget Input Data'!$D$148*0.6/('I_Inputs &amp; Assumptions'!$B$8/2)),IF('I_Budget Input Data'!$E$148="Mid-weighted",IF(34&lt;='I_Inputs &amp; Assumptions'!$B$8/4,'I_Budget Input Data'!$D$148*0.2/('I_Inputs &amp; Assumptions'!$B$8/4),IF(34&lt;='I_Inputs &amp; Assumptions'!$B$8*0.75,'I_Budget Input Data'!$D$148*0.6/('I_Inputs &amp; Assumptions'!$B$8/2),'I_Budget Input Data'!$D$148*0.2/('I_Inputs &amp; Assumptions'!$B$8/4))),IF('I_Budget Input Data'!$E$148="At Completion",IF(34='I_Inputs &amp; Assumptions'!$B$8,'I_Budget Input Data'!$D$148,0),'I_Budget Input Data'!$D$148/'I_Inputs &amp; Assumptions'!$B$8)))))),0)</f>
        <v>0</v>
      </c>
      <c r="AK148" s="91">
        <f>IF(35&lt;='I_Inputs &amp; Assumptions'!$B$8,IF('I_Budget Input Data'!$E$148="Upfront",IF(35=1,'I_Budget Input Data'!$D$148,0),IF('I_Budget Input Data'!$E$148="Equal",'I_Budget Input Data'!$D$148/'I_Inputs &amp; Assumptions'!$B$8,IF('I_Budget Input Data'!$E$148="Front-loaded",IF(35&lt;='I_Inputs &amp; Assumptions'!$B$8/2,'I_Budget Input Data'!$D$148*0.6/('I_Inputs &amp; Assumptions'!$B$8/2),'I_Budget Input Data'!$D$148*0.4/('I_Inputs &amp; Assumptions'!$B$8/2)),IF('I_Budget Input Data'!$E$148="Back-loaded",IF(35&lt;='I_Inputs &amp; Assumptions'!$B$8/2,'I_Budget Input Data'!$D$148*0.4/('I_Inputs &amp; Assumptions'!$B$8/2),'I_Budget Input Data'!$D$148*0.6/('I_Inputs &amp; Assumptions'!$B$8/2)),IF('I_Budget Input Data'!$E$148="Mid-weighted",IF(35&lt;='I_Inputs &amp; Assumptions'!$B$8/4,'I_Budget Input Data'!$D$148*0.2/('I_Inputs &amp; Assumptions'!$B$8/4),IF(35&lt;='I_Inputs &amp; Assumptions'!$B$8*0.75,'I_Budget Input Data'!$D$148*0.6/('I_Inputs &amp; Assumptions'!$B$8/2),'I_Budget Input Data'!$D$148*0.2/('I_Inputs &amp; Assumptions'!$B$8/4))),IF('I_Budget Input Data'!$E$148="At Completion",IF(35='I_Inputs &amp; Assumptions'!$B$8,'I_Budget Input Data'!$D$148,0),'I_Budget Input Data'!$D$148/'I_Inputs &amp; Assumptions'!$B$8)))))),0)</f>
        <v>0</v>
      </c>
      <c r="AL148" s="91">
        <f>IF(36&lt;='I_Inputs &amp; Assumptions'!$B$8,IF('I_Budget Input Data'!$E$148="Upfront",IF(36=1,'I_Budget Input Data'!$D$148,0),IF('I_Budget Input Data'!$E$148="Equal",'I_Budget Input Data'!$D$148/'I_Inputs &amp; Assumptions'!$B$8,IF('I_Budget Input Data'!$E$148="Front-loaded",IF(36&lt;='I_Inputs &amp; Assumptions'!$B$8/2,'I_Budget Input Data'!$D$148*0.6/('I_Inputs &amp; Assumptions'!$B$8/2),'I_Budget Input Data'!$D$148*0.4/('I_Inputs &amp; Assumptions'!$B$8/2)),IF('I_Budget Input Data'!$E$148="Back-loaded",IF(36&lt;='I_Inputs &amp; Assumptions'!$B$8/2,'I_Budget Input Data'!$D$148*0.4/('I_Inputs &amp; Assumptions'!$B$8/2),'I_Budget Input Data'!$D$148*0.6/('I_Inputs &amp; Assumptions'!$B$8/2)),IF('I_Budget Input Data'!$E$148="Mid-weighted",IF(36&lt;='I_Inputs &amp; Assumptions'!$B$8/4,'I_Budget Input Data'!$D$148*0.2/('I_Inputs &amp; Assumptions'!$B$8/4),IF(36&lt;='I_Inputs &amp; Assumptions'!$B$8*0.75,'I_Budget Input Data'!$D$148*0.6/('I_Inputs &amp; Assumptions'!$B$8/2),'I_Budget Input Data'!$D$148*0.2/('I_Inputs &amp; Assumptions'!$B$8/4))),IF('I_Budget Input Data'!$E$148="At Completion",IF(36='I_Inputs &amp; Assumptions'!$B$8,'I_Budget Input Data'!$D$148,0),'I_Budget Input Data'!$D$148/'I_Inputs &amp; Assumptions'!$B$8)))))),0)</f>
        <v>0</v>
      </c>
    </row>
    <row r="149" spans="1:38" ht="15" customHeight="1" x14ac:dyDescent="0.2">
      <c r="A149" t="s">
        <v>248</v>
      </c>
      <c r="B149" t="s">
        <v>264</v>
      </c>
      <c r="C149" s="91">
        <f>IF(1&lt;='I_Inputs &amp; Assumptions'!$B$8,IF('I_Budget Input Data'!$E$149="Upfront",IF(1=1,'I_Budget Input Data'!$D$149,0),IF('I_Budget Input Data'!$E$149="Equal",'I_Budget Input Data'!$D$149/'I_Inputs &amp; Assumptions'!$B$8,IF('I_Budget Input Data'!$E$149="Front-loaded",IF(1&lt;='I_Inputs &amp; Assumptions'!$B$8/2,'I_Budget Input Data'!$D$149*0.6/('I_Inputs &amp; Assumptions'!$B$8/2),'I_Budget Input Data'!$D$149*0.4/('I_Inputs &amp; Assumptions'!$B$8/2)),IF('I_Budget Input Data'!$E$149="Back-loaded",IF(1&lt;='I_Inputs &amp; Assumptions'!$B$8/2,'I_Budget Input Data'!$D$149*0.4/('I_Inputs &amp; Assumptions'!$B$8/2),'I_Budget Input Data'!$D$149*0.6/('I_Inputs &amp; Assumptions'!$B$8/2)),IF('I_Budget Input Data'!$E$149="Mid-weighted",IF(1&lt;='I_Inputs &amp; Assumptions'!$B$8/4,'I_Budget Input Data'!$D$149*0.2/('I_Inputs &amp; Assumptions'!$B$8/4),IF(1&lt;='I_Inputs &amp; Assumptions'!$B$8*0.75,'I_Budget Input Data'!$D$149*0.6/('I_Inputs &amp; Assumptions'!$B$8/2),'I_Budget Input Data'!$D$149*0.2/('I_Inputs &amp; Assumptions'!$B$8/4))),IF('I_Budget Input Data'!$E$149="At Completion",IF(1='I_Inputs &amp; Assumptions'!$B$8,'I_Budget Input Data'!$D$149,0),'I_Budget Input Data'!$D$149/'I_Inputs &amp; Assumptions'!$B$8)))))),0)</f>
        <v>27478.061538461538</v>
      </c>
      <c r="D149" s="91">
        <f>IF(2&lt;='I_Inputs &amp; Assumptions'!$B$8,IF('I_Budget Input Data'!$E$149="Upfront",IF(2=1,'I_Budget Input Data'!$D$149,0),IF('I_Budget Input Data'!$E$149="Equal",'I_Budget Input Data'!$D$149/'I_Inputs &amp; Assumptions'!$B$8,IF('I_Budget Input Data'!$E$149="Front-loaded",IF(2&lt;='I_Inputs &amp; Assumptions'!$B$8/2,'I_Budget Input Data'!$D$149*0.6/('I_Inputs &amp; Assumptions'!$B$8/2),'I_Budget Input Data'!$D$149*0.4/('I_Inputs &amp; Assumptions'!$B$8/2)),IF('I_Budget Input Data'!$E$149="Back-loaded",IF(2&lt;='I_Inputs &amp; Assumptions'!$B$8/2,'I_Budget Input Data'!$D$149*0.4/('I_Inputs &amp; Assumptions'!$B$8/2),'I_Budget Input Data'!$D$149*0.6/('I_Inputs &amp; Assumptions'!$B$8/2)),IF('I_Budget Input Data'!$E$149="Mid-weighted",IF(2&lt;='I_Inputs &amp; Assumptions'!$B$8/4,'I_Budget Input Data'!$D$149*0.2/('I_Inputs &amp; Assumptions'!$B$8/4),IF(2&lt;='I_Inputs &amp; Assumptions'!$B$8*0.75,'I_Budget Input Data'!$D$149*0.6/('I_Inputs &amp; Assumptions'!$B$8/2),'I_Budget Input Data'!$D$149*0.2/('I_Inputs &amp; Assumptions'!$B$8/4))),IF('I_Budget Input Data'!$E$149="At Completion",IF(2='I_Inputs &amp; Assumptions'!$B$8,'I_Budget Input Data'!$D$149,0),'I_Budget Input Data'!$D$149/'I_Inputs &amp; Assumptions'!$B$8)))))),0)</f>
        <v>27478.061538461538</v>
      </c>
      <c r="E149" s="91">
        <f>IF(3&lt;='I_Inputs &amp; Assumptions'!$B$8,IF('I_Budget Input Data'!$E$149="Upfront",IF(3=1,'I_Budget Input Data'!$D$149,0),IF('I_Budget Input Data'!$E$149="Equal",'I_Budget Input Data'!$D$149/'I_Inputs &amp; Assumptions'!$B$8,IF('I_Budget Input Data'!$E$149="Front-loaded",IF(3&lt;='I_Inputs &amp; Assumptions'!$B$8/2,'I_Budget Input Data'!$D$149*0.6/('I_Inputs &amp; Assumptions'!$B$8/2),'I_Budget Input Data'!$D$149*0.4/('I_Inputs &amp; Assumptions'!$B$8/2)),IF('I_Budget Input Data'!$E$149="Back-loaded",IF(3&lt;='I_Inputs &amp; Assumptions'!$B$8/2,'I_Budget Input Data'!$D$149*0.4/('I_Inputs &amp; Assumptions'!$B$8/2),'I_Budget Input Data'!$D$149*0.6/('I_Inputs &amp; Assumptions'!$B$8/2)),IF('I_Budget Input Data'!$E$149="Mid-weighted",IF(3&lt;='I_Inputs &amp; Assumptions'!$B$8/4,'I_Budget Input Data'!$D$149*0.2/('I_Inputs &amp; Assumptions'!$B$8/4),IF(3&lt;='I_Inputs &amp; Assumptions'!$B$8*0.75,'I_Budget Input Data'!$D$149*0.6/('I_Inputs &amp; Assumptions'!$B$8/2),'I_Budget Input Data'!$D$149*0.2/('I_Inputs &amp; Assumptions'!$B$8/4))),IF('I_Budget Input Data'!$E$149="At Completion",IF(3='I_Inputs &amp; Assumptions'!$B$8,'I_Budget Input Data'!$D$149,0),'I_Budget Input Data'!$D$149/'I_Inputs &amp; Assumptions'!$B$8)))))),0)</f>
        <v>27478.061538461538</v>
      </c>
      <c r="F149" s="91">
        <f>IF(4&lt;='I_Inputs &amp; Assumptions'!$B$8,IF('I_Budget Input Data'!$E$149="Upfront",IF(4=1,'I_Budget Input Data'!$D$149,0),IF('I_Budget Input Data'!$E$149="Equal",'I_Budget Input Data'!$D$149/'I_Inputs &amp; Assumptions'!$B$8,IF('I_Budget Input Data'!$E$149="Front-loaded",IF(4&lt;='I_Inputs &amp; Assumptions'!$B$8/2,'I_Budget Input Data'!$D$149*0.6/('I_Inputs &amp; Assumptions'!$B$8/2),'I_Budget Input Data'!$D$149*0.4/('I_Inputs &amp; Assumptions'!$B$8/2)),IF('I_Budget Input Data'!$E$149="Back-loaded",IF(4&lt;='I_Inputs &amp; Assumptions'!$B$8/2,'I_Budget Input Data'!$D$149*0.4/('I_Inputs &amp; Assumptions'!$B$8/2),'I_Budget Input Data'!$D$149*0.6/('I_Inputs &amp; Assumptions'!$B$8/2)),IF('I_Budget Input Data'!$E$149="Mid-weighted",IF(4&lt;='I_Inputs &amp; Assumptions'!$B$8/4,'I_Budget Input Data'!$D$149*0.2/('I_Inputs &amp; Assumptions'!$B$8/4),IF(4&lt;='I_Inputs &amp; Assumptions'!$B$8*0.75,'I_Budget Input Data'!$D$149*0.6/('I_Inputs &amp; Assumptions'!$B$8/2),'I_Budget Input Data'!$D$149*0.2/('I_Inputs &amp; Assumptions'!$B$8/4))),IF('I_Budget Input Data'!$E$149="At Completion",IF(4='I_Inputs &amp; Assumptions'!$B$8,'I_Budget Input Data'!$D$149,0),'I_Budget Input Data'!$D$149/'I_Inputs &amp; Assumptions'!$B$8)))))),0)</f>
        <v>27478.061538461538</v>
      </c>
      <c r="G149" s="91">
        <f>IF(5&lt;='I_Inputs &amp; Assumptions'!$B$8,IF('I_Budget Input Data'!$E$149="Upfront",IF(5=1,'I_Budget Input Data'!$D$149,0),IF('I_Budget Input Data'!$E$149="Equal",'I_Budget Input Data'!$D$149/'I_Inputs &amp; Assumptions'!$B$8,IF('I_Budget Input Data'!$E$149="Front-loaded",IF(5&lt;='I_Inputs &amp; Assumptions'!$B$8/2,'I_Budget Input Data'!$D$149*0.6/('I_Inputs &amp; Assumptions'!$B$8/2),'I_Budget Input Data'!$D$149*0.4/('I_Inputs &amp; Assumptions'!$B$8/2)),IF('I_Budget Input Data'!$E$149="Back-loaded",IF(5&lt;='I_Inputs &amp; Assumptions'!$B$8/2,'I_Budget Input Data'!$D$149*0.4/('I_Inputs &amp; Assumptions'!$B$8/2),'I_Budget Input Data'!$D$149*0.6/('I_Inputs &amp; Assumptions'!$B$8/2)),IF('I_Budget Input Data'!$E$149="Mid-weighted",IF(5&lt;='I_Inputs &amp; Assumptions'!$B$8/4,'I_Budget Input Data'!$D$149*0.2/('I_Inputs &amp; Assumptions'!$B$8/4),IF(5&lt;='I_Inputs &amp; Assumptions'!$B$8*0.75,'I_Budget Input Data'!$D$149*0.6/('I_Inputs &amp; Assumptions'!$B$8/2),'I_Budget Input Data'!$D$149*0.2/('I_Inputs &amp; Assumptions'!$B$8/4))),IF('I_Budget Input Data'!$E$149="At Completion",IF(5='I_Inputs &amp; Assumptions'!$B$8,'I_Budget Input Data'!$D$149,0),'I_Budget Input Data'!$D$149/'I_Inputs &amp; Assumptions'!$B$8)))))),0)</f>
        <v>27478.061538461538</v>
      </c>
      <c r="H149" s="91">
        <f>IF(6&lt;='I_Inputs &amp; Assumptions'!$B$8,IF('I_Budget Input Data'!$E$149="Upfront",IF(6=1,'I_Budget Input Data'!$D$149,0),IF('I_Budget Input Data'!$E$149="Equal",'I_Budget Input Data'!$D$149/'I_Inputs &amp; Assumptions'!$B$8,IF('I_Budget Input Data'!$E$149="Front-loaded",IF(6&lt;='I_Inputs &amp; Assumptions'!$B$8/2,'I_Budget Input Data'!$D$149*0.6/('I_Inputs &amp; Assumptions'!$B$8/2),'I_Budget Input Data'!$D$149*0.4/('I_Inputs &amp; Assumptions'!$B$8/2)),IF('I_Budget Input Data'!$E$149="Back-loaded",IF(6&lt;='I_Inputs &amp; Assumptions'!$B$8/2,'I_Budget Input Data'!$D$149*0.4/('I_Inputs &amp; Assumptions'!$B$8/2),'I_Budget Input Data'!$D$149*0.6/('I_Inputs &amp; Assumptions'!$B$8/2)),IF('I_Budget Input Data'!$E$149="Mid-weighted",IF(6&lt;='I_Inputs &amp; Assumptions'!$B$8/4,'I_Budget Input Data'!$D$149*0.2/('I_Inputs &amp; Assumptions'!$B$8/4),IF(6&lt;='I_Inputs &amp; Assumptions'!$B$8*0.75,'I_Budget Input Data'!$D$149*0.6/('I_Inputs &amp; Assumptions'!$B$8/2),'I_Budget Input Data'!$D$149*0.2/('I_Inputs &amp; Assumptions'!$B$8/4))),IF('I_Budget Input Data'!$E$149="At Completion",IF(6='I_Inputs &amp; Assumptions'!$B$8,'I_Budget Input Data'!$D$149,0),'I_Budget Input Data'!$D$149/'I_Inputs &amp; Assumptions'!$B$8)))))),0)</f>
        <v>27478.061538461538</v>
      </c>
      <c r="I149" s="91">
        <f>IF(7&lt;='I_Inputs &amp; Assumptions'!$B$8,IF('I_Budget Input Data'!$E$149="Upfront",IF(7=1,'I_Budget Input Data'!$D$149,0),IF('I_Budget Input Data'!$E$149="Equal",'I_Budget Input Data'!$D$149/'I_Inputs &amp; Assumptions'!$B$8,IF('I_Budget Input Data'!$E$149="Front-loaded",IF(7&lt;='I_Inputs &amp; Assumptions'!$B$8/2,'I_Budget Input Data'!$D$149*0.6/('I_Inputs &amp; Assumptions'!$B$8/2),'I_Budget Input Data'!$D$149*0.4/('I_Inputs &amp; Assumptions'!$B$8/2)),IF('I_Budget Input Data'!$E$149="Back-loaded",IF(7&lt;='I_Inputs &amp; Assumptions'!$B$8/2,'I_Budget Input Data'!$D$149*0.4/('I_Inputs &amp; Assumptions'!$B$8/2),'I_Budget Input Data'!$D$149*0.6/('I_Inputs &amp; Assumptions'!$B$8/2)),IF('I_Budget Input Data'!$E$149="Mid-weighted",IF(7&lt;='I_Inputs &amp; Assumptions'!$B$8/4,'I_Budget Input Data'!$D$149*0.2/('I_Inputs &amp; Assumptions'!$B$8/4),IF(7&lt;='I_Inputs &amp; Assumptions'!$B$8*0.75,'I_Budget Input Data'!$D$149*0.6/('I_Inputs &amp; Assumptions'!$B$8/2),'I_Budget Input Data'!$D$149*0.2/('I_Inputs &amp; Assumptions'!$B$8/4))),IF('I_Budget Input Data'!$E$149="At Completion",IF(7='I_Inputs &amp; Assumptions'!$B$8,'I_Budget Input Data'!$D$149,0),'I_Budget Input Data'!$D$149/'I_Inputs &amp; Assumptions'!$B$8)))))),0)</f>
        <v>18318.707692307693</v>
      </c>
      <c r="J149" s="91">
        <f>IF(8&lt;='I_Inputs &amp; Assumptions'!$B$8,IF('I_Budget Input Data'!$E$149="Upfront",IF(8=1,'I_Budget Input Data'!$D$149,0),IF('I_Budget Input Data'!$E$149="Equal",'I_Budget Input Data'!$D$149/'I_Inputs &amp; Assumptions'!$B$8,IF('I_Budget Input Data'!$E$149="Front-loaded",IF(8&lt;='I_Inputs &amp; Assumptions'!$B$8/2,'I_Budget Input Data'!$D$149*0.6/('I_Inputs &amp; Assumptions'!$B$8/2),'I_Budget Input Data'!$D$149*0.4/('I_Inputs &amp; Assumptions'!$B$8/2)),IF('I_Budget Input Data'!$E$149="Back-loaded",IF(8&lt;='I_Inputs &amp; Assumptions'!$B$8/2,'I_Budget Input Data'!$D$149*0.4/('I_Inputs &amp; Assumptions'!$B$8/2),'I_Budget Input Data'!$D$149*0.6/('I_Inputs &amp; Assumptions'!$B$8/2)),IF('I_Budget Input Data'!$E$149="Mid-weighted",IF(8&lt;='I_Inputs &amp; Assumptions'!$B$8/4,'I_Budget Input Data'!$D$149*0.2/('I_Inputs &amp; Assumptions'!$B$8/4),IF(8&lt;='I_Inputs &amp; Assumptions'!$B$8*0.75,'I_Budget Input Data'!$D$149*0.6/('I_Inputs &amp; Assumptions'!$B$8/2),'I_Budget Input Data'!$D$149*0.2/('I_Inputs &amp; Assumptions'!$B$8/4))),IF('I_Budget Input Data'!$E$149="At Completion",IF(8='I_Inputs &amp; Assumptions'!$B$8,'I_Budget Input Data'!$D$149,0),'I_Budget Input Data'!$D$149/'I_Inputs &amp; Assumptions'!$B$8)))))),0)</f>
        <v>18318.707692307693</v>
      </c>
      <c r="K149" s="91">
        <f>IF(9&lt;='I_Inputs &amp; Assumptions'!$B$8,IF('I_Budget Input Data'!$E$149="Upfront",IF(9=1,'I_Budget Input Data'!$D$149,0),IF('I_Budget Input Data'!$E$149="Equal",'I_Budget Input Data'!$D$149/'I_Inputs &amp; Assumptions'!$B$8,IF('I_Budget Input Data'!$E$149="Front-loaded",IF(9&lt;='I_Inputs &amp; Assumptions'!$B$8/2,'I_Budget Input Data'!$D$149*0.6/('I_Inputs &amp; Assumptions'!$B$8/2),'I_Budget Input Data'!$D$149*0.4/('I_Inputs &amp; Assumptions'!$B$8/2)),IF('I_Budget Input Data'!$E$149="Back-loaded",IF(9&lt;='I_Inputs &amp; Assumptions'!$B$8/2,'I_Budget Input Data'!$D$149*0.4/('I_Inputs &amp; Assumptions'!$B$8/2),'I_Budget Input Data'!$D$149*0.6/('I_Inputs &amp; Assumptions'!$B$8/2)),IF('I_Budget Input Data'!$E$149="Mid-weighted",IF(9&lt;='I_Inputs &amp; Assumptions'!$B$8/4,'I_Budget Input Data'!$D$149*0.2/('I_Inputs &amp; Assumptions'!$B$8/4),IF(9&lt;='I_Inputs &amp; Assumptions'!$B$8*0.75,'I_Budget Input Data'!$D$149*0.6/('I_Inputs &amp; Assumptions'!$B$8/2),'I_Budget Input Data'!$D$149*0.2/('I_Inputs &amp; Assumptions'!$B$8/4))),IF('I_Budget Input Data'!$E$149="At Completion",IF(9='I_Inputs &amp; Assumptions'!$B$8,'I_Budget Input Data'!$D$149,0),'I_Budget Input Data'!$D$149/'I_Inputs &amp; Assumptions'!$B$8)))))),0)</f>
        <v>18318.707692307693</v>
      </c>
      <c r="L149" s="91">
        <f>IF(10&lt;='I_Inputs &amp; Assumptions'!$B$8,IF('I_Budget Input Data'!$E$149="Upfront",IF(10=1,'I_Budget Input Data'!$D$149,0),IF('I_Budget Input Data'!$E$149="Equal",'I_Budget Input Data'!$D$149/'I_Inputs &amp; Assumptions'!$B$8,IF('I_Budget Input Data'!$E$149="Front-loaded",IF(10&lt;='I_Inputs &amp; Assumptions'!$B$8/2,'I_Budget Input Data'!$D$149*0.6/('I_Inputs &amp; Assumptions'!$B$8/2),'I_Budget Input Data'!$D$149*0.4/('I_Inputs &amp; Assumptions'!$B$8/2)),IF('I_Budget Input Data'!$E$149="Back-loaded",IF(10&lt;='I_Inputs &amp; Assumptions'!$B$8/2,'I_Budget Input Data'!$D$149*0.4/('I_Inputs &amp; Assumptions'!$B$8/2),'I_Budget Input Data'!$D$149*0.6/('I_Inputs &amp; Assumptions'!$B$8/2)),IF('I_Budget Input Data'!$E$149="Mid-weighted",IF(10&lt;='I_Inputs &amp; Assumptions'!$B$8/4,'I_Budget Input Data'!$D$149*0.2/('I_Inputs &amp; Assumptions'!$B$8/4),IF(10&lt;='I_Inputs &amp; Assumptions'!$B$8*0.75,'I_Budget Input Data'!$D$149*0.6/('I_Inputs &amp; Assumptions'!$B$8/2),'I_Budget Input Data'!$D$149*0.2/('I_Inputs &amp; Assumptions'!$B$8/4))),IF('I_Budget Input Data'!$E$149="At Completion",IF(10='I_Inputs &amp; Assumptions'!$B$8,'I_Budget Input Data'!$D$149,0),'I_Budget Input Data'!$D$149/'I_Inputs &amp; Assumptions'!$B$8)))))),0)</f>
        <v>18318.707692307693</v>
      </c>
      <c r="M149" s="91">
        <f>IF(11&lt;='I_Inputs &amp; Assumptions'!$B$8,IF('I_Budget Input Data'!$E$149="Upfront",IF(11=1,'I_Budget Input Data'!$D$149,0),IF('I_Budget Input Data'!$E$149="Equal",'I_Budget Input Data'!$D$149/'I_Inputs &amp; Assumptions'!$B$8,IF('I_Budget Input Data'!$E$149="Front-loaded",IF(11&lt;='I_Inputs &amp; Assumptions'!$B$8/2,'I_Budget Input Data'!$D$149*0.6/('I_Inputs &amp; Assumptions'!$B$8/2),'I_Budget Input Data'!$D$149*0.4/('I_Inputs &amp; Assumptions'!$B$8/2)),IF('I_Budget Input Data'!$E$149="Back-loaded",IF(11&lt;='I_Inputs &amp; Assumptions'!$B$8/2,'I_Budget Input Data'!$D$149*0.4/('I_Inputs &amp; Assumptions'!$B$8/2),'I_Budget Input Data'!$D$149*0.6/('I_Inputs &amp; Assumptions'!$B$8/2)),IF('I_Budget Input Data'!$E$149="Mid-weighted",IF(11&lt;='I_Inputs &amp; Assumptions'!$B$8/4,'I_Budget Input Data'!$D$149*0.2/('I_Inputs &amp; Assumptions'!$B$8/4),IF(11&lt;='I_Inputs &amp; Assumptions'!$B$8*0.75,'I_Budget Input Data'!$D$149*0.6/('I_Inputs &amp; Assumptions'!$B$8/2),'I_Budget Input Data'!$D$149*0.2/('I_Inputs &amp; Assumptions'!$B$8/4))),IF('I_Budget Input Data'!$E$149="At Completion",IF(11='I_Inputs &amp; Assumptions'!$B$8,'I_Budget Input Data'!$D$149,0),'I_Budget Input Data'!$D$149/'I_Inputs &amp; Assumptions'!$B$8)))))),0)</f>
        <v>18318.707692307693</v>
      </c>
      <c r="N149" s="91">
        <f>IF(12&lt;='I_Inputs &amp; Assumptions'!$B$8,IF('I_Budget Input Data'!$E$149="Upfront",IF(12=1,'I_Budget Input Data'!$D$149,0),IF('I_Budget Input Data'!$E$149="Equal",'I_Budget Input Data'!$D$149/'I_Inputs &amp; Assumptions'!$B$8,IF('I_Budget Input Data'!$E$149="Front-loaded",IF(12&lt;='I_Inputs &amp; Assumptions'!$B$8/2,'I_Budget Input Data'!$D$149*0.6/('I_Inputs &amp; Assumptions'!$B$8/2),'I_Budget Input Data'!$D$149*0.4/('I_Inputs &amp; Assumptions'!$B$8/2)),IF('I_Budget Input Data'!$E$149="Back-loaded",IF(12&lt;='I_Inputs &amp; Assumptions'!$B$8/2,'I_Budget Input Data'!$D$149*0.4/('I_Inputs &amp; Assumptions'!$B$8/2),'I_Budget Input Data'!$D$149*0.6/('I_Inputs &amp; Assumptions'!$B$8/2)),IF('I_Budget Input Data'!$E$149="Mid-weighted",IF(12&lt;='I_Inputs &amp; Assumptions'!$B$8/4,'I_Budget Input Data'!$D$149*0.2/('I_Inputs &amp; Assumptions'!$B$8/4),IF(12&lt;='I_Inputs &amp; Assumptions'!$B$8*0.75,'I_Budget Input Data'!$D$149*0.6/('I_Inputs &amp; Assumptions'!$B$8/2),'I_Budget Input Data'!$D$149*0.2/('I_Inputs &amp; Assumptions'!$B$8/4))),IF('I_Budget Input Data'!$E$149="At Completion",IF(12='I_Inputs &amp; Assumptions'!$B$8,'I_Budget Input Data'!$D$149,0),'I_Budget Input Data'!$D$149/'I_Inputs &amp; Assumptions'!$B$8)))))),0)</f>
        <v>18318.707692307693</v>
      </c>
      <c r="O149" s="91">
        <f>IF(13&lt;='I_Inputs &amp; Assumptions'!$B$8,IF('I_Budget Input Data'!$E$149="Upfront",IF(13=1,'I_Budget Input Data'!$D$149,0),IF('I_Budget Input Data'!$E$149="Equal",'I_Budget Input Data'!$D$149/'I_Inputs &amp; Assumptions'!$B$8,IF('I_Budget Input Data'!$E$149="Front-loaded",IF(13&lt;='I_Inputs &amp; Assumptions'!$B$8/2,'I_Budget Input Data'!$D$149*0.6/('I_Inputs &amp; Assumptions'!$B$8/2),'I_Budget Input Data'!$D$149*0.4/('I_Inputs &amp; Assumptions'!$B$8/2)),IF('I_Budget Input Data'!$E$149="Back-loaded",IF(13&lt;='I_Inputs &amp; Assumptions'!$B$8/2,'I_Budget Input Data'!$D$149*0.4/('I_Inputs &amp; Assumptions'!$B$8/2),'I_Budget Input Data'!$D$149*0.6/('I_Inputs &amp; Assumptions'!$B$8/2)),IF('I_Budget Input Data'!$E$149="Mid-weighted",IF(13&lt;='I_Inputs &amp; Assumptions'!$B$8/4,'I_Budget Input Data'!$D$149*0.2/('I_Inputs &amp; Assumptions'!$B$8/4),IF(13&lt;='I_Inputs &amp; Assumptions'!$B$8*0.75,'I_Budget Input Data'!$D$149*0.6/('I_Inputs &amp; Assumptions'!$B$8/2),'I_Budget Input Data'!$D$149*0.2/('I_Inputs &amp; Assumptions'!$B$8/4))),IF('I_Budget Input Data'!$E$149="At Completion",IF(13='I_Inputs &amp; Assumptions'!$B$8,'I_Budget Input Data'!$D$149,0),'I_Budget Input Data'!$D$149/'I_Inputs &amp; Assumptions'!$B$8)))))),0)</f>
        <v>18318.707692307693</v>
      </c>
      <c r="P149" s="91">
        <f>IF(14&lt;='I_Inputs &amp; Assumptions'!$B$8,IF('I_Budget Input Data'!$E$149="Upfront",IF(14=1,'I_Budget Input Data'!$D$149,0),IF('I_Budget Input Data'!$E$149="Equal",'I_Budget Input Data'!$D$149/'I_Inputs &amp; Assumptions'!$B$8,IF('I_Budget Input Data'!$E$149="Front-loaded",IF(14&lt;='I_Inputs &amp; Assumptions'!$B$8/2,'I_Budget Input Data'!$D$149*0.6/('I_Inputs &amp; Assumptions'!$B$8/2),'I_Budget Input Data'!$D$149*0.4/('I_Inputs &amp; Assumptions'!$B$8/2)),IF('I_Budget Input Data'!$E$149="Back-loaded",IF(14&lt;='I_Inputs &amp; Assumptions'!$B$8/2,'I_Budget Input Data'!$D$149*0.4/('I_Inputs &amp; Assumptions'!$B$8/2),'I_Budget Input Data'!$D$149*0.6/('I_Inputs &amp; Assumptions'!$B$8/2)),IF('I_Budget Input Data'!$E$149="Mid-weighted",IF(14&lt;='I_Inputs &amp; Assumptions'!$B$8/4,'I_Budget Input Data'!$D$149*0.2/('I_Inputs &amp; Assumptions'!$B$8/4),IF(14&lt;='I_Inputs &amp; Assumptions'!$B$8*0.75,'I_Budget Input Data'!$D$149*0.6/('I_Inputs &amp; Assumptions'!$B$8/2),'I_Budget Input Data'!$D$149*0.2/('I_Inputs &amp; Assumptions'!$B$8/4))),IF('I_Budget Input Data'!$E$149="At Completion",IF(14='I_Inputs &amp; Assumptions'!$B$8,'I_Budget Input Data'!$D$149,0),'I_Budget Input Data'!$D$149/'I_Inputs &amp; Assumptions'!$B$8)))))),0)</f>
        <v>0</v>
      </c>
      <c r="Q149" s="91">
        <f>IF(15&lt;='I_Inputs &amp; Assumptions'!$B$8,IF('I_Budget Input Data'!$E$149="Upfront",IF(15=1,'I_Budget Input Data'!$D$149,0),IF('I_Budget Input Data'!$E$149="Equal",'I_Budget Input Data'!$D$149/'I_Inputs &amp; Assumptions'!$B$8,IF('I_Budget Input Data'!$E$149="Front-loaded",IF(15&lt;='I_Inputs &amp; Assumptions'!$B$8/2,'I_Budget Input Data'!$D$149*0.6/('I_Inputs &amp; Assumptions'!$B$8/2),'I_Budget Input Data'!$D$149*0.4/('I_Inputs &amp; Assumptions'!$B$8/2)),IF('I_Budget Input Data'!$E$149="Back-loaded",IF(15&lt;='I_Inputs &amp; Assumptions'!$B$8/2,'I_Budget Input Data'!$D$149*0.4/('I_Inputs &amp; Assumptions'!$B$8/2),'I_Budget Input Data'!$D$149*0.6/('I_Inputs &amp; Assumptions'!$B$8/2)),IF('I_Budget Input Data'!$E$149="Mid-weighted",IF(15&lt;='I_Inputs &amp; Assumptions'!$B$8/4,'I_Budget Input Data'!$D$149*0.2/('I_Inputs &amp; Assumptions'!$B$8/4),IF(15&lt;='I_Inputs &amp; Assumptions'!$B$8*0.75,'I_Budget Input Data'!$D$149*0.6/('I_Inputs &amp; Assumptions'!$B$8/2),'I_Budget Input Data'!$D$149*0.2/('I_Inputs &amp; Assumptions'!$B$8/4))),IF('I_Budget Input Data'!$E$149="At Completion",IF(15='I_Inputs &amp; Assumptions'!$B$8,'I_Budget Input Data'!$D$149,0),'I_Budget Input Data'!$D$149/'I_Inputs &amp; Assumptions'!$B$8)))))),0)</f>
        <v>0</v>
      </c>
      <c r="R149" s="91">
        <f>IF(16&lt;='I_Inputs &amp; Assumptions'!$B$8,IF('I_Budget Input Data'!$E$149="Upfront",IF(16=1,'I_Budget Input Data'!$D$149,0),IF('I_Budget Input Data'!$E$149="Equal",'I_Budget Input Data'!$D$149/'I_Inputs &amp; Assumptions'!$B$8,IF('I_Budget Input Data'!$E$149="Front-loaded",IF(16&lt;='I_Inputs &amp; Assumptions'!$B$8/2,'I_Budget Input Data'!$D$149*0.6/('I_Inputs &amp; Assumptions'!$B$8/2),'I_Budget Input Data'!$D$149*0.4/('I_Inputs &amp; Assumptions'!$B$8/2)),IF('I_Budget Input Data'!$E$149="Back-loaded",IF(16&lt;='I_Inputs &amp; Assumptions'!$B$8/2,'I_Budget Input Data'!$D$149*0.4/('I_Inputs &amp; Assumptions'!$B$8/2),'I_Budget Input Data'!$D$149*0.6/('I_Inputs &amp; Assumptions'!$B$8/2)),IF('I_Budget Input Data'!$E$149="Mid-weighted",IF(16&lt;='I_Inputs &amp; Assumptions'!$B$8/4,'I_Budget Input Data'!$D$149*0.2/('I_Inputs &amp; Assumptions'!$B$8/4),IF(16&lt;='I_Inputs &amp; Assumptions'!$B$8*0.75,'I_Budget Input Data'!$D$149*0.6/('I_Inputs &amp; Assumptions'!$B$8/2),'I_Budget Input Data'!$D$149*0.2/('I_Inputs &amp; Assumptions'!$B$8/4))),IF('I_Budget Input Data'!$E$149="At Completion",IF(16='I_Inputs &amp; Assumptions'!$B$8,'I_Budget Input Data'!$D$149,0),'I_Budget Input Data'!$D$149/'I_Inputs &amp; Assumptions'!$B$8)))))),0)</f>
        <v>0</v>
      </c>
      <c r="S149" s="91">
        <f>IF(17&lt;='I_Inputs &amp; Assumptions'!$B$8,IF('I_Budget Input Data'!$E$149="Upfront",IF(17=1,'I_Budget Input Data'!$D$149,0),IF('I_Budget Input Data'!$E$149="Equal",'I_Budget Input Data'!$D$149/'I_Inputs &amp; Assumptions'!$B$8,IF('I_Budget Input Data'!$E$149="Front-loaded",IF(17&lt;='I_Inputs &amp; Assumptions'!$B$8/2,'I_Budget Input Data'!$D$149*0.6/('I_Inputs &amp; Assumptions'!$B$8/2),'I_Budget Input Data'!$D$149*0.4/('I_Inputs &amp; Assumptions'!$B$8/2)),IF('I_Budget Input Data'!$E$149="Back-loaded",IF(17&lt;='I_Inputs &amp; Assumptions'!$B$8/2,'I_Budget Input Data'!$D$149*0.4/('I_Inputs &amp; Assumptions'!$B$8/2),'I_Budget Input Data'!$D$149*0.6/('I_Inputs &amp; Assumptions'!$B$8/2)),IF('I_Budget Input Data'!$E$149="Mid-weighted",IF(17&lt;='I_Inputs &amp; Assumptions'!$B$8/4,'I_Budget Input Data'!$D$149*0.2/('I_Inputs &amp; Assumptions'!$B$8/4),IF(17&lt;='I_Inputs &amp; Assumptions'!$B$8*0.75,'I_Budget Input Data'!$D$149*0.6/('I_Inputs &amp; Assumptions'!$B$8/2),'I_Budget Input Data'!$D$149*0.2/('I_Inputs &amp; Assumptions'!$B$8/4))),IF('I_Budget Input Data'!$E$149="At Completion",IF(17='I_Inputs &amp; Assumptions'!$B$8,'I_Budget Input Data'!$D$149,0),'I_Budget Input Data'!$D$149/'I_Inputs &amp; Assumptions'!$B$8)))))),0)</f>
        <v>0</v>
      </c>
      <c r="T149" s="91">
        <f>IF(18&lt;='I_Inputs &amp; Assumptions'!$B$8,IF('I_Budget Input Data'!$E$149="Upfront",IF(18=1,'I_Budget Input Data'!$D$149,0),IF('I_Budget Input Data'!$E$149="Equal",'I_Budget Input Data'!$D$149/'I_Inputs &amp; Assumptions'!$B$8,IF('I_Budget Input Data'!$E$149="Front-loaded",IF(18&lt;='I_Inputs &amp; Assumptions'!$B$8/2,'I_Budget Input Data'!$D$149*0.6/('I_Inputs &amp; Assumptions'!$B$8/2),'I_Budget Input Data'!$D$149*0.4/('I_Inputs &amp; Assumptions'!$B$8/2)),IF('I_Budget Input Data'!$E$149="Back-loaded",IF(18&lt;='I_Inputs &amp; Assumptions'!$B$8/2,'I_Budget Input Data'!$D$149*0.4/('I_Inputs &amp; Assumptions'!$B$8/2),'I_Budget Input Data'!$D$149*0.6/('I_Inputs &amp; Assumptions'!$B$8/2)),IF('I_Budget Input Data'!$E$149="Mid-weighted",IF(18&lt;='I_Inputs &amp; Assumptions'!$B$8/4,'I_Budget Input Data'!$D$149*0.2/('I_Inputs &amp; Assumptions'!$B$8/4),IF(18&lt;='I_Inputs &amp; Assumptions'!$B$8*0.75,'I_Budget Input Data'!$D$149*0.6/('I_Inputs &amp; Assumptions'!$B$8/2),'I_Budget Input Data'!$D$149*0.2/('I_Inputs &amp; Assumptions'!$B$8/4))),IF('I_Budget Input Data'!$E$149="At Completion",IF(18='I_Inputs &amp; Assumptions'!$B$8,'I_Budget Input Data'!$D$149,0),'I_Budget Input Data'!$D$149/'I_Inputs &amp; Assumptions'!$B$8)))))),0)</f>
        <v>0</v>
      </c>
      <c r="U149" s="91">
        <f>IF(19&lt;='I_Inputs &amp; Assumptions'!$B$8,IF('I_Budget Input Data'!$E$149="Upfront",IF(19=1,'I_Budget Input Data'!$D$149,0),IF('I_Budget Input Data'!$E$149="Equal",'I_Budget Input Data'!$D$149/'I_Inputs &amp; Assumptions'!$B$8,IF('I_Budget Input Data'!$E$149="Front-loaded",IF(19&lt;='I_Inputs &amp; Assumptions'!$B$8/2,'I_Budget Input Data'!$D$149*0.6/('I_Inputs &amp; Assumptions'!$B$8/2),'I_Budget Input Data'!$D$149*0.4/('I_Inputs &amp; Assumptions'!$B$8/2)),IF('I_Budget Input Data'!$E$149="Back-loaded",IF(19&lt;='I_Inputs &amp; Assumptions'!$B$8/2,'I_Budget Input Data'!$D$149*0.4/('I_Inputs &amp; Assumptions'!$B$8/2),'I_Budget Input Data'!$D$149*0.6/('I_Inputs &amp; Assumptions'!$B$8/2)),IF('I_Budget Input Data'!$E$149="Mid-weighted",IF(19&lt;='I_Inputs &amp; Assumptions'!$B$8/4,'I_Budget Input Data'!$D$149*0.2/('I_Inputs &amp; Assumptions'!$B$8/4),IF(19&lt;='I_Inputs &amp; Assumptions'!$B$8*0.75,'I_Budget Input Data'!$D$149*0.6/('I_Inputs &amp; Assumptions'!$B$8/2),'I_Budget Input Data'!$D$149*0.2/('I_Inputs &amp; Assumptions'!$B$8/4))),IF('I_Budget Input Data'!$E$149="At Completion",IF(19='I_Inputs &amp; Assumptions'!$B$8,'I_Budget Input Data'!$D$149,0),'I_Budget Input Data'!$D$149/'I_Inputs &amp; Assumptions'!$B$8)))))),0)</f>
        <v>0</v>
      </c>
      <c r="V149" s="91">
        <f>IF(20&lt;='I_Inputs &amp; Assumptions'!$B$8,IF('I_Budget Input Data'!$E$149="Upfront",IF(20=1,'I_Budget Input Data'!$D$149,0),IF('I_Budget Input Data'!$E$149="Equal",'I_Budget Input Data'!$D$149/'I_Inputs &amp; Assumptions'!$B$8,IF('I_Budget Input Data'!$E$149="Front-loaded",IF(20&lt;='I_Inputs &amp; Assumptions'!$B$8/2,'I_Budget Input Data'!$D$149*0.6/('I_Inputs &amp; Assumptions'!$B$8/2),'I_Budget Input Data'!$D$149*0.4/('I_Inputs &amp; Assumptions'!$B$8/2)),IF('I_Budget Input Data'!$E$149="Back-loaded",IF(20&lt;='I_Inputs &amp; Assumptions'!$B$8/2,'I_Budget Input Data'!$D$149*0.4/('I_Inputs &amp; Assumptions'!$B$8/2),'I_Budget Input Data'!$D$149*0.6/('I_Inputs &amp; Assumptions'!$B$8/2)),IF('I_Budget Input Data'!$E$149="Mid-weighted",IF(20&lt;='I_Inputs &amp; Assumptions'!$B$8/4,'I_Budget Input Data'!$D$149*0.2/('I_Inputs &amp; Assumptions'!$B$8/4),IF(20&lt;='I_Inputs &amp; Assumptions'!$B$8*0.75,'I_Budget Input Data'!$D$149*0.6/('I_Inputs &amp; Assumptions'!$B$8/2),'I_Budget Input Data'!$D$149*0.2/('I_Inputs &amp; Assumptions'!$B$8/4))),IF('I_Budget Input Data'!$E$149="At Completion",IF(20='I_Inputs &amp; Assumptions'!$B$8,'I_Budget Input Data'!$D$149,0),'I_Budget Input Data'!$D$149/'I_Inputs &amp; Assumptions'!$B$8)))))),0)</f>
        <v>0</v>
      </c>
      <c r="W149" s="91">
        <f>IF(21&lt;='I_Inputs &amp; Assumptions'!$B$8,IF('I_Budget Input Data'!$E$149="Upfront",IF(21=1,'I_Budget Input Data'!$D$149,0),IF('I_Budget Input Data'!$E$149="Equal",'I_Budget Input Data'!$D$149/'I_Inputs &amp; Assumptions'!$B$8,IF('I_Budget Input Data'!$E$149="Front-loaded",IF(21&lt;='I_Inputs &amp; Assumptions'!$B$8/2,'I_Budget Input Data'!$D$149*0.6/('I_Inputs &amp; Assumptions'!$B$8/2),'I_Budget Input Data'!$D$149*0.4/('I_Inputs &amp; Assumptions'!$B$8/2)),IF('I_Budget Input Data'!$E$149="Back-loaded",IF(21&lt;='I_Inputs &amp; Assumptions'!$B$8/2,'I_Budget Input Data'!$D$149*0.4/('I_Inputs &amp; Assumptions'!$B$8/2),'I_Budget Input Data'!$D$149*0.6/('I_Inputs &amp; Assumptions'!$B$8/2)),IF('I_Budget Input Data'!$E$149="Mid-weighted",IF(21&lt;='I_Inputs &amp; Assumptions'!$B$8/4,'I_Budget Input Data'!$D$149*0.2/('I_Inputs &amp; Assumptions'!$B$8/4),IF(21&lt;='I_Inputs &amp; Assumptions'!$B$8*0.75,'I_Budget Input Data'!$D$149*0.6/('I_Inputs &amp; Assumptions'!$B$8/2),'I_Budget Input Data'!$D$149*0.2/('I_Inputs &amp; Assumptions'!$B$8/4))),IF('I_Budget Input Data'!$E$149="At Completion",IF(21='I_Inputs &amp; Assumptions'!$B$8,'I_Budget Input Data'!$D$149,0),'I_Budget Input Data'!$D$149/'I_Inputs &amp; Assumptions'!$B$8)))))),0)</f>
        <v>0</v>
      </c>
      <c r="X149" s="91">
        <f>IF(22&lt;='I_Inputs &amp; Assumptions'!$B$8,IF('I_Budget Input Data'!$E$149="Upfront",IF(22=1,'I_Budget Input Data'!$D$149,0),IF('I_Budget Input Data'!$E$149="Equal",'I_Budget Input Data'!$D$149/'I_Inputs &amp; Assumptions'!$B$8,IF('I_Budget Input Data'!$E$149="Front-loaded",IF(22&lt;='I_Inputs &amp; Assumptions'!$B$8/2,'I_Budget Input Data'!$D$149*0.6/('I_Inputs &amp; Assumptions'!$B$8/2),'I_Budget Input Data'!$D$149*0.4/('I_Inputs &amp; Assumptions'!$B$8/2)),IF('I_Budget Input Data'!$E$149="Back-loaded",IF(22&lt;='I_Inputs &amp; Assumptions'!$B$8/2,'I_Budget Input Data'!$D$149*0.4/('I_Inputs &amp; Assumptions'!$B$8/2),'I_Budget Input Data'!$D$149*0.6/('I_Inputs &amp; Assumptions'!$B$8/2)),IF('I_Budget Input Data'!$E$149="Mid-weighted",IF(22&lt;='I_Inputs &amp; Assumptions'!$B$8/4,'I_Budget Input Data'!$D$149*0.2/('I_Inputs &amp; Assumptions'!$B$8/4),IF(22&lt;='I_Inputs &amp; Assumptions'!$B$8*0.75,'I_Budget Input Data'!$D$149*0.6/('I_Inputs &amp; Assumptions'!$B$8/2),'I_Budget Input Data'!$D$149*0.2/('I_Inputs &amp; Assumptions'!$B$8/4))),IF('I_Budget Input Data'!$E$149="At Completion",IF(22='I_Inputs &amp; Assumptions'!$B$8,'I_Budget Input Data'!$D$149,0),'I_Budget Input Data'!$D$149/'I_Inputs &amp; Assumptions'!$B$8)))))),0)</f>
        <v>0</v>
      </c>
      <c r="Y149" s="91">
        <f>IF(23&lt;='I_Inputs &amp; Assumptions'!$B$8,IF('I_Budget Input Data'!$E$149="Upfront",IF(23=1,'I_Budget Input Data'!$D$149,0),IF('I_Budget Input Data'!$E$149="Equal",'I_Budget Input Data'!$D$149/'I_Inputs &amp; Assumptions'!$B$8,IF('I_Budget Input Data'!$E$149="Front-loaded",IF(23&lt;='I_Inputs &amp; Assumptions'!$B$8/2,'I_Budget Input Data'!$D$149*0.6/('I_Inputs &amp; Assumptions'!$B$8/2),'I_Budget Input Data'!$D$149*0.4/('I_Inputs &amp; Assumptions'!$B$8/2)),IF('I_Budget Input Data'!$E$149="Back-loaded",IF(23&lt;='I_Inputs &amp; Assumptions'!$B$8/2,'I_Budget Input Data'!$D$149*0.4/('I_Inputs &amp; Assumptions'!$B$8/2),'I_Budget Input Data'!$D$149*0.6/('I_Inputs &amp; Assumptions'!$B$8/2)),IF('I_Budget Input Data'!$E$149="Mid-weighted",IF(23&lt;='I_Inputs &amp; Assumptions'!$B$8/4,'I_Budget Input Data'!$D$149*0.2/('I_Inputs &amp; Assumptions'!$B$8/4),IF(23&lt;='I_Inputs &amp; Assumptions'!$B$8*0.75,'I_Budget Input Data'!$D$149*0.6/('I_Inputs &amp; Assumptions'!$B$8/2),'I_Budget Input Data'!$D$149*0.2/('I_Inputs &amp; Assumptions'!$B$8/4))),IF('I_Budget Input Data'!$E$149="At Completion",IF(23='I_Inputs &amp; Assumptions'!$B$8,'I_Budget Input Data'!$D$149,0),'I_Budget Input Data'!$D$149/'I_Inputs &amp; Assumptions'!$B$8)))))),0)</f>
        <v>0</v>
      </c>
      <c r="Z149" s="91">
        <f>IF(24&lt;='I_Inputs &amp; Assumptions'!$B$8,IF('I_Budget Input Data'!$E$149="Upfront",IF(24=1,'I_Budget Input Data'!$D$149,0),IF('I_Budget Input Data'!$E$149="Equal",'I_Budget Input Data'!$D$149/'I_Inputs &amp; Assumptions'!$B$8,IF('I_Budget Input Data'!$E$149="Front-loaded",IF(24&lt;='I_Inputs &amp; Assumptions'!$B$8/2,'I_Budget Input Data'!$D$149*0.6/('I_Inputs &amp; Assumptions'!$B$8/2),'I_Budget Input Data'!$D$149*0.4/('I_Inputs &amp; Assumptions'!$B$8/2)),IF('I_Budget Input Data'!$E$149="Back-loaded",IF(24&lt;='I_Inputs &amp; Assumptions'!$B$8/2,'I_Budget Input Data'!$D$149*0.4/('I_Inputs &amp; Assumptions'!$B$8/2),'I_Budget Input Data'!$D$149*0.6/('I_Inputs &amp; Assumptions'!$B$8/2)),IF('I_Budget Input Data'!$E$149="Mid-weighted",IF(24&lt;='I_Inputs &amp; Assumptions'!$B$8/4,'I_Budget Input Data'!$D$149*0.2/('I_Inputs &amp; Assumptions'!$B$8/4),IF(24&lt;='I_Inputs &amp; Assumptions'!$B$8*0.75,'I_Budget Input Data'!$D$149*0.6/('I_Inputs &amp; Assumptions'!$B$8/2),'I_Budget Input Data'!$D$149*0.2/('I_Inputs &amp; Assumptions'!$B$8/4))),IF('I_Budget Input Data'!$E$149="At Completion",IF(24='I_Inputs &amp; Assumptions'!$B$8,'I_Budget Input Data'!$D$149,0),'I_Budget Input Data'!$D$149/'I_Inputs &amp; Assumptions'!$B$8)))))),0)</f>
        <v>0</v>
      </c>
      <c r="AA149" s="91">
        <f>IF(25&lt;='I_Inputs &amp; Assumptions'!$B$8,IF('I_Budget Input Data'!$E$149="Upfront",IF(25=1,'I_Budget Input Data'!$D$149,0),IF('I_Budget Input Data'!$E$149="Equal",'I_Budget Input Data'!$D$149/'I_Inputs &amp; Assumptions'!$B$8,IF('I_Budget Input Data'!$E$149="Front-loaded",IF(25&lt;='I_Inputs &amp; Assumptions'!$B$8/2,'I_Budget Input Data'!$D$149*0.6/('I_Inputs &amp; Assumptions'!$B$8/2),'I_Budget Input Data'!$D$149*0.4/('I_Inputs &amp; Assumptions'!$B$8/2)),IF('I_Budget Input Data'!$E$149="Back-loaded",IF(25&lt;='I_Inputs &amp; Assumptions'!$B$8/2,'I_Budget Input Data'!$D$149*0.4/('I_Inputs &amp; Assumptions'!$B$8/2),'I_Budget Input Data'!$D$149*0.6/('I_Inputs &amp; Assumptions'!$B$8/2)),IF('I_Budget Input Data'!$E$149="Mid-weighted",IF(25&lt;='I_Inputs &amp; Assumptions'!$B$8/4,'I_Budget Input Data'!$D$149*0.2/('I_Inputs &amp; Assumptions'!$B$8/4),IF(25&lt;='I_Inputs &amp; Assumptions'!$B$8*0.75,'I_Budget Input Data'!$D$149*0.6/('I_Inputs &amp; Assumptions'!$B$8/2),'I_Budget Input Data'!$D$149*0.2/('I_Inputs &amp; Assumptions'!$B$8/4))),IF('I_Budget Input Data'!$E$149="At Completion",IF(25='I_Inputs &amp; Assumptions'!$B$8,'I_Budget Input Data'!$D$149,0),'I_Budget Input Data'!$D$149/'I_Inputs &amp; Assumptions'!$B$8)))))),0)</f>
        <v>0</v>
      </c>
      <c r="AB149" s="91">
        <f>IF(26&lt;='I_Inputs &amp; Assumptions'!$B$8,IF('I_Budget Input Data'!$E$149="Upfront",IF(26=1,'I_Budget Input Data'!$D$149,0),IF('I_Budget Input Data'!$E$149="Equal",'I_Budget Input Data'!$D$149/'I_Inputs &amp; Assumptions'!$B$8,IF('I_Budget Input Data'!$E$149="Front-loaded",IF(26&lt;='I_Inputs &amp; Assumptions'!$B$8/2,'I_Budget Input Data'!$D$149*0.6/('I_Inputs &amp; Assumptions'!$B$8/2),'I_Budget Input Data'!$D$149*0.4/('I_Inputs &amp; Assumptions'!$B$8/2)),IF('I_Budget Input Data'!$E$149="Back-loaded",IF(26&lt;='I_Inputs &amp; Assumptions'!$B$8/2,'I_Budget Input Data'!$D$149*0.4/('I_Inputs &amp; Assumptions'!$B$8/2),'I_Budget Input Data'!$D$149*0.6/('I_Inputs &amp; Assumptions'!$B$8/2)),IF('I_Budget Input Data'!$E$149="Mid-weighted",IF(26&lt;='I_Inputs &amp; Assumptions'!$B$8/4,'I_Budget Input Data'!$D$149*0.2/('I_Inputs &amp; Assumptions'!$B$8/4),IF(26&lt;='I_Inputs &amp; Assumptions'!$B$8*0.75,'I_Budget Input Data'!$D$149*0.6/('I_Inputs &amp; Assumptions'!$B$8/2),'I_Budget Input Data'!$D$149*0.2/('I_Inputs &amp; Assumptions'!$B$8/4))),IF('I_Budget Input Data'!$E$149="At Completion",IF(26='I_Inputs &amp; Assumptions'!$B$8,'I_Budget Input Data'!$D$149,0),'I_Budget Input Data'!$D$149/'I_Inputs &amp; Assumptions'!$B$8)))))),0)</f>
        <v>0</v>
      </c>
      <c r="AC149" s="91">
        <f>IF(27&lt;='I_Inputs &amp; Assumptions'!$B$8,IF('I_Budget Input Data'!$E$149="Upfront",IF(27=1,'I_Budget Input Data'!$D$149,0),IF('I_Budget Input Data'!$E$149="Equal",'I_Budget Input Data'!$D$149/'I_Inputs &amp; Assumptions'!$B$8,IF('I_Budget Input Data'!$E$149="Front-loaded",IF(27&lt;='I_Inputs &amp; Assumptions'!$B$8/2,'I_Budget Input Data'!$D$149*0.6/('I_Inputs &amp; Assumptions'!$B$8/2),'I_Budget Input Data'!$D$149*0.4/('I_Inputs &amp; Assumptions'!$B$8/2)),IF('I_Budget Input Data'!$E$149="Back-loaded",IF(27&lt;='I_Inputs &amp; Assumptions'!$B$8/2,'I_Budget Input Data'!$D$149*0.4/('I_Inputs &amp; Assumptions'!$B$8/2),'I_Budget Input Data'!$D$149*0.6/('I_Inputs &amp; Assumptions'!$B$8/2)),IF('I_Budget Input Data'!$E$149="Mid-weighted",IF(27&lt;='I_Inputs &amp; Assumptions'!$B$8/4,'I_Budget Input Data'!$D$149*0.2/('I_Inputs &amp; Assumptions'!$B$8/4),IF(27&lt;='I_Inputs &amp; Assumptions'!$B$8*0.75,'I_Budget Input Data'!$D$149*0.6/('I_Inputs &amp; Assumptions'!$B$8/2),'I_Budget Input Data'!$D$149*0.2/('I_Inputs &amp; Assumptions'!$B$8/4))),IF('I_Budget Input Data'!$E$149="At Completion",IF(27='I_Inputs &amp; Assumptions'!$B$8,'I_Budget Input Data'!$D$149,0),'I_Budget Input Data'!$D$149/'I_Inputs &amp; Assumptions'!$B$8)))))),0)</f>
        <v>0</v>
      </c>
      <c r="AD149" s="91">
        <f>IF(28&lt;='I_Inputs &amp; Assumptions'!$B$8,IF('I_Budget Input Data'!$E$149="Upfront",IF(28=1,'I_Budget Input Data'!$D$149,0),IF('I_Budget Input Data'!$E$149="Equal",'I_Budget Input Data'!$D$149/'I_Inputs &amp; Assumptions'!$B$8,IF('I_Budget Input Data'!$E$149="Front-loaded",IF(28&lt;='I_Inputs &amp; Assumptions'!$B$8/2,'I_Budget Input Data'!$D$149*0.6/('I_Inputs &amp; Assumptions'!$B$8/2),'I_Budget Input Data'!$D$149*0.4/('I_Inputs &amp; Assumptions'!$B$8/2)),IF('I_Budget Input Data'!$E$149="Back-loaded",IF(28&lt;='I_Inputs &amp; Assumptions'!$B$8/2,'I_Budget Input Data'!$D$149*0.4/('I_Inputs &amp; Assumptions'!$B$8/2),'I_Budget Input Data'!$D$149*0.6/('I_Inputs &amp; Assumptions'!$B$8/2)),IF('I_Budget Input Data'!$E$149="Mid-weighted",IF(28&lt;='I_Inputs &amp; Assumptions'!$B$8/4,'I_Budget Input Data'!$D$149*0.2/('I_Inputs &amp; Assumptions'!$B$8/4),IF(28&lt;='I_Inputs &amp; Assumptions'!$B$8*0.75,'I_Budget Input Data'!$D$149*0.6/('I_Inputs &amp; Assumptions'!$B$8/2),'I_Budget Input Data'!$D$149*0.2/('I_Inputs &amp; Assumptions'!$B$8/4))),IF('I_Budget Input Data'!$E$149="At Completion",IF(28='I_Inputs &amp; Assumptions'!$B$8,'I_Budget Input Data'!$D$149,0),'I_Budget Input Data'!$D$149/'I_Inputs &amp; Assumptions'!$B$8)))))),0)</f>
        <v>0</v>
      </c>
      <c r="AE149" s="91">
        <f>IF(29&lt;='I_Inputs &amp; Assumptions'!$B$8,IF('I_Budget Input Data'!$E$149="Upfront",IF(29=1,'I_Budget Input Data'!$D$149,0),IF('I_Budget Input Data'!$E$149="Equal",'I_Budget Input Data'!$D$149/'I_Inputs &amp; Assumptions'!$B$8,IF('I_Budget Input Data'!$E$149="Front-loaded",IF(29&lt;='I_Inputs &amp; Assumptions'!$B$8/2,'I_Budget Input Data'!$D$149*0.6/('I_Inputs &amp; Assumptions'!$B$8/2),'I_Budget Input Data'!$D$149*0.4/('I_Inputs &amp; Assumptions'!$B$8/2)),IF('I_Budget Input Data'!$E$149="Back-loaded",IF(29&lt;='I_Inputs &amp; Assumptions'!$B$8/2,'I_Budget Input Data'!$D$149*0.4/('I_Inputs &amp; Assumptions'!$B$8/2),'I_Budget Input Data'!$D$149*0.6/('I_Inputs &amp; Assumptions'!$B$8/2)),IF('I_Budget Input Data'!$E$149="Mid-weighted",IF(29&lt;='I_Inputs &amp; Assumptions'!$B$8/4,'I_Budget Input Data'!$D$149*0.2/('I_Inputs &amp; Assumptions'!$B$8/4),IF(29&lt;='I_Inputs &amp; Assumptions'!$B$8*0.75,'I_Budget Input Data'!$D$149*0.6/('I_Inputs &amp; Assumptions'!$B$8/2),'I_Budget Input Data'!$D$149*0.2/('I_Inputs &amp; Assumptions'!$B$8/4))),IF('I_Budget Input Data'!$E$149="At Completion",IF(29='I_Inputs &amp; Assumptions'!$B$8,'I_Budget Input Data'!$D$149,0),'I_Budget Input Data'!$D$149/'I_Inputs &amp; Assumptions'!$B$8)))))),0)</f>
        <v>0</v>
      </c>
      <c r="AF149" s="91">
        <f>IF(30&lt;='I_Inputs &amp; Assumptions'!$B$8,IF('I_Budget Input Data'!$E$149="Upfront",IF(30=1,'I_Budget Input Data'!$D$149,0),IF('I_Budget Input Data'!$E$149="Equal",'I_Budget Input Data'!$D$149/'I_Inputs &amp; Assumptions'!$B$8,IF('I_Budget Input Data'!$E$149="Front-loaded",IF(30&lt;='I_Inputs &amp; Assumptions'!$B$8/2,'I_Budget Input Data'!$D$149*0.6/('I_Inputs &amp; Assumptions'!$B$8/2),'I_Budget Input Data'!$D$149*0.4/('I_Inputs &amp; Assumptions'!$B$8/2)),IF('I_Budget Input Data'!$E$149="Back-loaded",IF(30&lt;='I_Inputs &amp; Assumptions'!$B$8/2,'I_Budget Input Data'!$D$149*0.4/('I_Inputs &amp; Assumptions'!$B$8/2),'I_Budget Input Data'!$D$149*0.6/('I_Inputs &amp; Assumptions'!$B$8/2)),IF('I_Budget Input Data'!$E$149="Mid-weighted",IF(30&lt;='I_Inputs &amp; Assumptions'!$B$8/4,'I_Budget Input Data'!$D$149*0.2/('I_Inputs &amp; Assumptions'!$B$8/4),IF(30&lt;='I_Inputs &amp; Assumptions'!$B$8*0.75,'I_Budget Input Data'!$D$149*0.6/('I_Inputs &amp; Assumptions'!$B$8/2),'I_Budget Input Data'!$D$149*0.2/('I_Inputs &amp; Assumptions'!$B$8/4))),IF('I_Budget Input Data'!$E$149="At Completion",IF(30='I_Inputs &amp; Assumptions'!$B$8,'I_Budget Input Data'!$D$149,0),'I_Budget Input Data'!$D$149/'I_Inputs &amp; Assumptions'!$B$8)))))),0)</f>
        <v>0</v>
      </c>
      <c r="AG149" s="91">
        <f>IF(31&lt;='I_Inputs &amp; Assumptions'!$B$8,IF('I_Budget Input Data'!$E$149="Upfront",IF(31=1,'I_Budget Input Data'!$D$149,0),IF('I_Budget Input Data'!$E$149="Equal",'I_Budget Input Data'!$D$149/'I_Inputs &amp; Assumptions'!$B$8,IF('I_Budget Input Data'!$E$149="Front-loaded",IF(31&lt;='I_Inputs &amp; Assumptions'!$B$8/2,'I_Budget Input Data'!$D$149*0.6/('I_Inputs &amp; Assumptions'!$B$8/2),'I_Budget Input Data'!$D$149*0.4/('I_Inputs &amp; Assumptions'!$B$8/2)),IF('I_Budget Input Data'!$E$149="Back-loaded",IF(31&lt;='I_Inputs &amp; Assumptions'!$B$8/2,'I_Budget Input Data'!$D$149*0.4/('I_Inputs &amp; Assumptions'!$B$8/2),'I_Budget Input Data'!$D$149*0.6/('I_Inputs &amp; Assumptions'!$B$8/2)),IF('I_Budget Input Data'!$E$149="Mid-weighted",IF(31&lt;='I_Inputs &amp; Assumptions'!$B$8/4,'I_Budget Input Data'!$D$149*0.2/('I_Inputs &amp; Assumptions'!$B$8/4),IF(31&lt;='I_Inputs &amp; Assumptions'!$B$8*0.75,'I_Budget Input Data'!$D$149*0.6/('I_Inputs &amp; Assumptions'!$B$8/2),'I_Budget Input Data'!$D$149*0.2/('I_Inputs &amp; Assumptions'!$B$8/4))),IF('I_Budget Input Data'!$E$149="At Completion",IF(31='I_Inputs &amp; Assumptions'!$B$8,'I_Budget Input Data'!$D$149,0),'I_Budget Input Data'!$D$149/'I_Inputs &amp; Assumptions'!$B$8)))))),0)</f>
        <v>0</v>
      </c>
      <c r="AH149" s="91">
        <f>IF(32&lt;='I_Inputs &amp; Assumptions'!$B$8,IF('I_Budget Input Data'!$E$149="Upfront",IF(32=1,'I_Budget Input Data'!$D$149,0),IF('I_Budget Input Data'!$E$149="Equal",'I_Budget Input Data'!$D$149/'I_Inputs &amp; Assumptions'!$B$8,IF('I_Budget Input Data'!$E$149="Front-loaded",IF(32&lt;='I_Inputs &amp; Assumptions'!$B$8/2,'I_Budget Input Data'!$D$149*0.6/('I_Inputs &amp; Assumptions'!$B$8/2),'I_Budget Input Data'!$D$149*0.4/('I_Inputs &amp; Assumptions'!$B$8/2)),IF('I_Budget Input Data'!$E$149="Back-loaded",IF(32&lt;='I_Inputs &amp; Assumptions'!$B$8/2,'I_Budget Input Data'!$D$149*0.4/('I_Inputs &amp; Assumptions'!$B$8/2),'I_Budget Input Data'!$D$149*0.6/('I_Inputs &amp; Assumptions'!$B$8/2)),IF('I_Budget Input Data'!$E$149="Mid-weighted",IF(32&lt;='I_Inputs &amp; Assumptions'!$B$8/4,'I_Budget Input Data'!$D$149*0.2/('I_Inputs &amp; Assumptions'!$B$8/4),IF(32&lt;='I_Inputs &amp; Assumptions'!$B$8*0.75,'I_Budget Input Data'!$D$149*0.6/('I_Inputs &amp; Assumptions'!$B$8/2),'I_Budget Input Data'!$D$149*0.2/('I_Inputs &amp; Assumptions'!$B$8/4))),IF('I_Budget Input Data'!$E$149="At Completion",IF(32='I_Inputs &amp; Assumptions'!$B$8,'I_Budget Input Data'!$D$149,0),'I_Budget Input Data'!$D$149/'I_Inputs &amp; Assumptions'!$B$8)))))),0)</f>
        <v>0</v>
      </c>
      <c r="AI149" s="91">
        <f>IF(33&lt;='I_Inputs &amp; Assumptions'!$B$8,IF('I_Budget Input Data'!$E$149="Upfront",IF(33=1,'I_Budget Input Data'!$D$149,0),IF('I_Budget Input Data'!$E$149="Equal",'I_Budget Input Data'!$D$149/'I_Inputs &amp; Assumptions'!$B$8,IF('I_Budget Input Data'!$E$149="Front-loaded",IF(33&lt;='I_Inputs &amp; Assumptions'!$B$8/2,'I_Budget Input Data'!$D$149*0.6/('I_Inputs &amp; Assumptions'!$B$8/2),'I_Budget Input Data'!$D$149*0.4/('I_Inputs &amp; Assumptions'!$B$8/2)),IF('I_Budget Input Data'!$E$149="Back-loaded",IF(33&lt;='I_Inputs &amp; Assumptions'!$B$8/2,'I_Budget Input Data'!$D$149*0.4/('I_Inputs &amp; Assumptions'!$B$8/2),'I_Budget Input Data'!$D$149*0.6/('I_Inputs &amp; Assumptions'!$B$8/2)),IF('I_Budget Input Data'!$E$149="Mid-weighted",IF(33&lt;='I_Inputs &amp; Assumptions'!$B$8/4,'I_Budget Input Data'!$D$149*0.2/('I_Inputs &amp; Assumptions'!$B$8/4),IF(33&lt;='I_Inputs &amp; Assumptions'!$B$8*0.75,'I_Budget Input Data'!$D$149*0.6/('I_Inputs &amp; Assumptions'!$B$8/2),'I_Budget Input Data'!$D$149*0.2/('I_Inputs &amp; Assumptions'!$B$8/4))),IF('I_Budget Input Data'!$E$149="At Completion",IF(33='I_Inputs &amp; Assumptions'!$B$8,'I_Budget Input Data'!$D$149,0),'I_Budget Input Data'!$D$149/'I_Inputs &amp; Assumptions'!$B$8)))))),0)</f>
        <v>0</v>
      </c>
      <c r="AJ149" s="91">
        <f>IF(34&lt;='I_Inputs &amp; Assumptions'!$B$8,IF('I_Budget Input Data'!$E$149="Upfront",IF(34=1,'I_Budget Input Data'!$D$149,0),IF('I_Budget Input Data'!$E$149="Equal",'I_Budget Input Data'!$D$149/'I_Inputs &amp; Assumptions'!$B$8,IF('I_Budget Input Data'!$E$149="Front-loaded",IF(34&lt;='I_Inputs &amp; Assumptions'!$B$8/2,'I_Budget Input Data'!$D$149*0.6/('I_Inputs &amp; Assumptions'!$B$8/2),'I_Budget Input Data'!$D$149*0.4/('I_Inputs &amp; Assumptions'!$B$8/2)),IF('I_Budget Input Data'!$E$149="Back-loaded",IF(34&lt;='I_Inputs &amp; Assumptions'!$B$8/2,'I_Budget Input Data'!$D$149*0.4/('I_Inputs &amp; Assumptions'!$B$8/2),'I_Budget Input Data'!$D$149*0.6/('I_Inputs &amp; Assumptions'!$B$8/2)),IF('I_Budget Input Data'!$E$149="Mid-weighted",IF(34&lt;='I_Inputs &amp; Assumptions'!$B$8/4,'I_Budget Input Data'!$D$149*0.2/('I_Inputs &amp; Assumptions'!$B$8/4),IF(34&lt;='I_Inputs &amp; Assumptions'!$B$8*0.75,'I_Budget Input Data'!$D$149*0.6/('I_Inputs &amp; Assumptions'!$B$8/2),'I_Budget Input Data'!$D$149*0.2/('I_Inputs &amp; Assumptions'!$B$8/4))),IF('I_Budget Input Data'!$E$149="At Completion",IF(34='I_Inputs &amp; Assumptions'!$B$8,'I_Budget Input Data'!$D$149,0),'I_Budget Input Data'!$D$149/'I_Inputs &amp; Assumptions'!$B$8)))))),0)</f>
        <v>0</v>
      </c>
      <c r="AK149" s="91">
        <f>IF(35&lt;='I_Inputs &amp; Assumptions'!$B$8,IF('I_Budget Input Data'!$E$149="Upfront",IF(35=1,'I_Budget Input Data'!$D$149,0),IF('I_Budget Input Data'!$E$149="Equal",'I_Budget Input Data'!$D$149/'I_Inputs &amp; Assumptions'!$B$8,IF('I_Budget Input Data'!$E$149="Front-loaded",IF(35&lt;='I_Inputs &amp; Assumptions'!$B$8/2,'I_Budget Input Data'!$D$149*0.6/('I_Inputs &amp; Assumptions'!$B$8/2),'I_Budget Input Data'!$D$149*0.4/('I_Inputs &amp; Assumptions'!$B$8/2)),IF('I_Budget Input Data'!$E$149="Back-loaded",IF(35&lt;='I_Inputs &amp; Assumptions'!$B$8/2,'I_Budget Input Data'!$D$149*0.4/('I_Inputs &amp; Assumptions'!$B$8/2),'I_Budget Input Data'!$D$149*0.6/('I_Inputs &amp; Assumptions'!$B$8/2)),IF('I_Budget Input Data'!$E$149="Mid-weighted",IF(35&lt;='I_Inputs &amp; Assumptions'!$B$8/4,'I_Budget Input Data'!$D$149*0.2/('I_Inputs &amp; Assumptions'!$B$8/4),IF(35&lt;='I_Inputs &amp; Assumptions'!$B$8*0.75,'I_Budget Input Data'!$D$149*0.6/('I_Inputs &amp; Assumptions'!$B$8/2),'I_Budget Input Data'!$D$149*0.2/('I_Inputs &amp; Assumptions'!$B$8/4))),IF('I_Budget Input Data'!$E$149="At Completion",IF(35='I_Inputs &amp; Assumptions'!$B$8,'I_Budget Input Data'!$D$149,0),'I_Budget Input Data'!$D$149/'I_Inputs &amp; Assumptions'!$B$8)))))),0)</f>
        <v>0</v>
      </c>
      <c r="AL149" s="91">
        <f>IF(36&lt;='I_Inputs &amp; Assumptions'!$B$8,IF('I_Budget Input Data'!$E$149="Upfront",IF(36=1,'I_Budget Input Data'!$D$149,0),IF('I_Budget Input Data'!$E$149="Equal",'I_Budget Input Data'!$D$149/'I_Inputs &amp; Assumptions'!$B$8,IF('I_Budget Input Data'!$E$149="Front-loaded",IF(36&lt;='I_Inputs &amp; Assumptions'!$B$8/2,'I_Budget Input Data'!$D$149*0.6/('I_Inputs &amp; Assumptions'!$B$8/2),'I_Budget Input Data'!$D$149*0.4/('I_Inputs &amp; Assumptions'!$B$8/2)),IF('I_Budget Input Data'!$E$149="Back-loaded",IF(36&lt;='I_Inputs &amp; Assumptions'!$B$8/2,'I_Budget Input Data'!$D$149*0.4/('I_Inputs &amp; Assumptions'!$B$8/2),'I_Budget Input Data'!$D$149*0.6/('I_Inputs &amp; Assumptions'!$B$8/2)),IF('I_Budget Input Data'!$E$149="Mid-weighted",IF(36&lt;='I_Inputs &amp; Assumptions'!$B$8/4,'I_Budget Input Data'!$D$149*0.2/('I_Inputs &amp; Assumptions'!$B$8/4),IF(36&lt;='I_Inputs &amp; Assumptions'!$B$8*0.75,'I_Budget Input Data'!$D$149*0.6/('I_Inputs &amp; Assumptions'!$B$8/2),'I_Budget Input Data'!$D$149*0.2/('I_Inputs &amp; Assumptions'!$B$8/4))),IF('I_Budget Input Data'!$E$149="At Completion",IF(36='I_Inputs &amp; Assumptions'!$B$8,'I_Budget Input Data'!$D$149,0),'I_Budget Input Data'!$D$149/'I_Inputs &amp; Assumptions'!$B$8)))))),0)</f>
        <v>0</v>
      </c>
    </row>
    <row r="150" spans="1:38" ht="15" customHeight="1" x14ac:dyDescent="0.2">
      <c r="A150" t="s">
        <v>248</v>
      </c>
      <c r="B150" t="s">
        <v>265</v>
      </c>
      <c r="C150" s="91">
        <f>IF(1&lt;='I_Inputs &amp; Assumptions'!$B$8,IF('I_Budget Input Data'!$E$150="Upfront",IF(1=1,'I_Budget Input Data'!$D$150,0),IF('I_Budget Input Data'!$E$150="Equal",'I_Budget Input Data'!$D$150/'I_Inputs &amp; Assumptions'!$B$8,IF('I_Budget Input Data'!$E$150="Front-loaded",IF(1&lt;='I_Inputs &amp; Assumptions'!$B$8/2,'I_Budget Input Data'!$D$150*0.6/('I_Inputs &amp; Assumptions'!$B$8/2),'I_Budget Input Data'!$D$150*0.4/('I_Inputs &amp; Assumptions'!$B$8/2)),IF('I_Budget Input Data'!$E$150="Back-loaded",IF(1&lt;='I_Inputs &amp; Assumptions'!$B$8/2,'I_Budget Input Data'!$D$150*0.4/('I_Inputs &amp; Assumptions'!$B$8/2),'I_Budget Input Data'!$D$150*0.6/('I_Inputs &amp; Assumptions'!$B$8/2)),IF('I_Budget Input Data'!$E$150="Mid-weighted",IF(1&lt;='I_Inputs &amp; Assumptions'!$B$8/4,'I_Budget Input Data'!$D$150*0.2/('I_Inputs &amp; Assumptions'!$B$8/4),IF(1&lt;='I_Inputs &amp; Assumptions'!$B$8*0.75,'I_Budget Input Data'!$D$150*0.6/('I_Inputs &amp; Assumptions'!$B$8/2),'I_Budget Input Data'!$D$150*0.2/('I_Inputs &amp; Assumptions'!$B$8/4))),IF('I_Budget Input Data'!$E$150="At Completion",IF(1='I_Inputs &amp; Assumptions'!$B$8,'I_Budget Input Data'!$D$150,0),'I_Budget Input Data'!$D$150/'I_Inputs &amp; Assumptions'!$B$8)))))),0)</f>
        <v>8961.2307692307695</v>
      </c>
      <c r="D150" s="91">
        <f>IF(2&lt;='I_Inputs &amp; Assumptions'!$B$8,IF('I_Budget Input Data'!$E$150="Upfront",IF(2=1,'I_Budget Input Data'!$D$150,0),IF('I_Budget Input Data'!$E$150="Equal",'I_Budget Input Data'!$D$150/'I_Inputs &amp; Assumptions'!$B$8,IF('I_Budget Input Data'!$E$150="Front-loaded",IF(2&lt;='I_Inputs &amp; Assumptions'!$B$8/2,'I_Budget Input Data'!$D$150*0.6/('I_Inputs &amp; Assumptions'!$B$8/2),'I_Budget Input Data'!$D$150*0.4/('I_Inputs &amp; Assumptions'!$B$8/2)),IF('I_Budget Input Data'!$E$150="Back-loaded",IF(2&lt;='I_Inputs &amp; Assumptions'!$B$8/2,'I_Budget Input Data'!$D$150*0.4/('I_Inputs &amp; Assumptions'!$B$8/2),'I_Budget Input Data'!$D$150*0.6/('I_Inputs &amp; Assumptions'!$B$8/2)),IF('I_Budget Input Data'!$E$150="Mid-weighted",IF(2&lt;='I_Inputs &amp; Assumptions'!$B$8/4,'I_Budget Input Data'!$D$150*0.2/('I_Inputs &amp; Assumptions'!$B$8/4),IF(2&lt;='I_Inputs &amp; Assumptions'!$B$8*0.75,'I_Budget Input Data'!$D$150*0.6/('I_Inputs &amp; Assumptions'!$B$8/2),'I_Budget Input Data'!$D$150*0.2/('I_Inputs &amp; Assumptions'!$B$8/4))),IF('I_Budget Input Data'!$E$150="At Completion",IF(2='I_Inputs &amp; Assumptions'!$B$8,'I_Budget Input Data'!$D$150,0),'I_Budget Input Data'!$D$150/'I_Inputs &amp; Assumptions'!$B$8)))))),0)</f>
        <v>8961.2307692307695</v>
      </c>
      <c r="E150" s="91">
        <f>IF(3&lt;='I_Inputs &amp; Assumptions'!$B$8,IF('I_Budget Input Data'!$E$150="Upfront",IF(3=1,'I_Budget Input Data'!$D$150,0),IF('I_Budget Input Data'!$E$150="Equal",'I_Budget Input Data'!$D$150/'I_Inputs &amp; Assumptions'!$B$8,IF('I_Budget Input Data'!$E$150="Front-loaded",IF(3&lt;='I_Inputs &amp; Assumptions'!$B$8/2,'I_Budget Input Data'!$D$150*0.6/('I_Inputs &amp; Assumptions'!$B$8/2),'I_Budget Input Data'!$D$150*0.4/('I_Inputs &amp; Assumptions'!$B$8/2)),IF('I_Budget Input Data'!$E$150="Back-loaded",IF(3&lt;='I_Inputs &amp; Assumptions'!$B$8/2,'I_Budget Input Data'!$D$150*0.4/('I_Inputs &amp; Assumptions'!$B$8/2),'I_Budget Input Data'!$D$150*0.6/('I_Inputs &amp; Assumptions'!$B$8/2)),IF('I_Budget Input Data'!$E$150="Mid-weighted",IF(3&lt;='I_Inputs &amp; Assumptions'!$B$8/4,'I_Budget Input Data'!$D$150*0.2/('I_Inputs &amp; Assumptions'!$B$8/4),IF(3&lt;='I_Inputs &amp; Assumptions'!$B$8*0.75,'I_Budget Input Data'!$D$150*0.6/('I_Inputs &amp; Assumptions'!$B$8/2),'I_Budget Input Data'!$D$150*0.2/('I_Inputs &amp; Assumptions'!$B$8/4))),IF('I_Budget Input Data'!$E$150="At Completion",IF(3='I_Inputs &amp; Assumptions'!$B$8,'I_Budget Input Data'!$D$150,0),'I_Budget Input Data'!$D$150/'I_Inputs &amp; Assumptions'!$B$8)))))),0)</f>
        <v>8961.2307692307695</v>
      </c>
      <c r="F150" s="91">
        <f>IF(4&lt;='I_Inputs &amp; Assumptions'!$B$8,IF('I_Budget Input Data'!$E$150="Upfront",IF(4=1,'I_Budget Input Data'!$D$150,0),IF('I_Budget Input Data'!$E$150="Equal",'I_Budget Input Data'!$D$150/'I_Inputs &amp; Assumptions'!$B$8,IF('I_Budget Input Data'!$E$150="Front-loaded",IF(4&lt;='I_Inputs &amp; Assumptions'!$B$8/2,'I_Budget Input Data'!$D$150*0.6/('I_Inputs &amp; Assumptions'!$B$8/2),'I_Budget Input Data'!$D$150*0.4/('I_Inputs &amp; Assumptions'!$B$8/2)),IF('I_Budget Input Data'!$E$150="Back-loaded",IF(4&lt;='I_Inputs &amp; Assumptions'!$B$8/2,'I_Budget Input Data'!$D$150*0.4/('I_Inputs &amp; Assumptions'!$B$8/2),'I_Budget Input Data'!$D$150*0.6/('I_Inputs &amp; Assumptions'!$B$8/2)),IF('I_Budget Input Data'!$E$150="Mid-weighted",IF(4&lt;='I_Inputs &amp; Assumptions'!$B$8/4,'I_Budget Input Data'!$D$150*0.2/('I_Inputs &amp; Assumptions'!$B$8/4),IF(4&lt;='I_Inputs &amp; Assumptions'!$B$8*0.75,'I_Budget Input Data'!$D$150*0.6/('I_Inputs &amp; Assumptions'!$B$8/2),'I_Budget Input Data'!$D$150*0.2/('I_Inputs &amp; Assumptions'!$B$8/4))),IF('I_Budget Input Data'!$E$150="At Completion",IF(4='I_Inputs &amp; Assumptions'!$B$8,'I_Budget Input Data'!$D$150,0),'I_Budget Input Data'!$D$150/'I_Inputs &amp; Assumptions'!$B$8)))))),0)</f>
        <v>8961.2307692307695</v>
      </c>
      <c r="G150" s="91">
        <f>IF(5&lt;='I_Inputs &amp; Assumptions'!$B$8,IF('I_Budget Input Data'!$E$150="Upfront",IF(5=1,'I_Budget Input Data'!$D$150,0),IF('I_Budget Input Data'!$E$150="Equal",'I_Budget Input Data'!$D$150/'I_Inputs &amp; Assumptions'!$B$8,IF('I_Budget Input Data'!$E$150="Front-loaded",IF(5&lt;='I_Inputs &amp; Assumptions'!$B$8/2,'I_Budget Input Data'!$D$150*0.6/('I_Inputs &amp; Assumptions'!$B$8/2),'I_Budget Input Data'!$D$150*0.4/('I_Inputs &amp; Assumptions'!$B$8/2)),IF('I_Budget Input Data'!$E$150="Back-loaded",IF(5&lt;='I_Inputs &amp; Assumptions'!$B$8/2,'I_Budget Input Data'!$D$150*0.4/('I_Inputs &amp; Assumptions'!$B$8/2),'I_Budget Input Data'!$D$150*0.6/('I_Inputs &amp; Assumptions'!$B$8/2)),IF('I_Budget Input Data'!$E$150="Mid-weighted",IF(5&lt;='I_Inputs &amp; Assumptions'!$B$8/4,'I_Budget Input Data'!$D$150*0.2/('I_Inputs &amp; Assumptions'!$B$8/4),IF(5&lt;='I_Inputs &amp; Assumptions'!$B$8*0.75,'I_Budget Input Data'!$D$150*0.6/('I_Inputs &amp; Assumptions'!$B$8/2),'I_Budget Input Data'!$D$150*0.2/('I_Inputs &amp; Assumptions'!$B$8/4))),IF('I_Budget Input Data'!$E$150="At Completion",IF(5='I_Inputs &amp; Assumptions'!$B$8,'I_Budget Input Data'!$D$150,0),'I_Budget Input Data'!$D$150/'I_Inputs &amp; Assumptions'!$B$8)))))),0)</f>
        <v>8961.2307692307695</v>
      </c>
      <c r="H150" s="91">
        <f>IF(6&lt;='I_Inputs &amp; Assumptions'!$B$8,IF('I_Budget Input Data'!$E$150="Upfront",IF(6=1,'I_Budget Input Data'!$D$150,0),IF('I_Budget Input Data'!$E$150="Equal",'I_Budget Input Data'!$D$150/'I_Inputs &amp; Assumptions'!$B$8,IF('I_Budget Input Data'!$E$150="Front-loaded",IF(6&lt;='I_Inputs &amp; Assumptions'!$B$8/2,'I_Budget Input Data'!$D$150*0.6/('I_Inputs &amp; Assumptions'!$B$8/2),'I_Budget Input Data'!$D$150*0.4/('I_Inputs &amp; Assumptions'!$B$8/2)),IF('I_Budget Input Data'!$E$150="Back-loaded",IF(6&lt;='I_Inputs &amp; Assumptions'!$B$8/2,'I_Budget Input Data'!$D$150*0.4/('I_Inputs &amp; Assumptions'!$B$8/2),'I_Budget Input Data'!$D$150*0.6/('I_Inputs &amp; Assumptions'!$B$8/2)),IF('I_Budget Input Data'!$E$150="Mid-weighted",IF(6&lt;='I_Inputs &amp; Assumptions'!$B$8/4,'I_Budget Input Data'!$D$150*0.2/('I_Inputs &amp; Assumptions'!$B$8/4),IF(6&lt;='I_Inputs &amp; Assumptions'!$B$8*0.75,'I_Budget Input Data'!$D$150*0.6/('I_Inputs &amp; Assumptions'!$B$8/2),'I_Budget Input Data'!$D$150*0.2/('I_Inputs &amp; Assumptions'!$B$8/4))),IF('I_Budget Input Data'!$E$150="At Completion",IF(6='I_Inputs &amp; Assumptions'!$B$8,'I_Budget Input Data'!$D$150,0),'I_Budget Input Data'!$D$150/'I_Inputs &amp; Assumptions'!$B$8)))))),0)</f>
        <v>8961.2307692307695</v>
      </c>
      <c r="I150" s="91">
        <f>IF(7&lt;='I_Inputs &amp; Assumptions'!$B$8,IF('I_Budget Input Data'!$E$150="Upfront",IF(7=1,'I_Budget Input Data'!$D$150,0),IF('I_Budget Input Data'!$E$150="Equal",'I_Budget Input Data'!$D$150/'I_Inputs &amp; Assumptions'!$B$8,IF('I_Budget Input Data'!$E$150="Front-loaded",IF(7&lt;='I_Inputs &amp; Assumptions'!$B$8/2,'I_Budget Input Data'!$D$150*0.6/('I_Inputs &amp; Assumptions'!$B$8/2),'I_Budget Input Data'!$D$150*0.4/('I_Inputs &amp; Assumptions'!$B$8/2)),IF('I_Budget Input Data'!$E$150="Back-loaded",IF(7&lt;='I_Inputs &amp; Assumptions'!$B$8/2,'I_Budget Input Data'!$D$150*0.4/('I_Inputs &amp; Assumptions'!$B$8/2),'I_Budget Input Data'!$D$150*0.6/('I_Inputs &amp; Assumptions'!$B$8/2)),IF('I_Budget Input Data'!$E$150="Mid-weighted",IF(7&lt;='I_Inputs &amp; Assumptions'!$B$8/4,'I_Budget Input Data'!$D$150*0.2/('I_Inputs &amp; Assumptions'!$B$8/4),IF(7&lt;='I_Inputs &amp; Assumptions'!$B$8*0.75,'I_Budget Input Data'!$D$150*0.6/('I_Inputs &amp; Assumptions'!$B$8/2),'I_Budget Input Data'!$D$150*0.2/('I_Inputs &amp; Assumptions'!$B$8/4))),IF('I_Budget Input Data'!$E$150="At Completion",IF(7='I_Inputs &amp; Assumptions'!$B$8,'I_Budget Input Data'!$D$150,0),'I_Budget Input Data'!$D$150/'I_Inputs &amp; Assumptions'!$B$8)))))),0)</f>
        <v>5974.1538461538457</v>
      </c>
      <c r="J150" s="91">
        <f>IF(8&lt;='I_Inputs &amp; Assumptions'!$B$8,IF('I_Budget Input Data'!$E$150="Upfront",IF(8=1,'I_Budget Input Data'!$D$150,0),IF('I_Budget Input Data'!$E$150="Equal",'I_Budget Input Data'!$D$150/'I_Inputs &amp; Assumptions'!$B$8,IF('I_Budget Input Data'!$E$150="Front-loaded",IF(8&lt;='I_Inputs &amp; Assumptions'!$B$8/2,'I_Budget Input Data'!$D$150*0.6/('I_Inputs &amp; Assumptions'!$B$8/2),'I_Budget Input Data'!$D$150*0.4/('I_Inputs &amp; Assumptions'!$B$8/2)),IF('I_Budget Input Data'!$E$150="Back-loaded",IF(8&lt;='I_Inputs &amp; Assumptions'!$B$8/2,'I_Budget Input Data'!$D$150*0.4/('I_Inputs &amp; Assumptions'!$B$8/2),'I_Budget Input Data'!$D$150*0.6/('I_Inputs &amp; Assumptions'!$B$8/2)),IF('I_Budget Input Data'!$E$150="Mid-weighted",IF(8&lt;='I_Inputs &amp; Assumptions'!$B$8/4,'I_Budget Input Data'!$D$150*0.2/('I_Inputs &amp; Assumptions'!$B$8/4),IF(8&lt;='I_Inputs &amp; Assumptions'!$B$8*0.75,'I_Budget Input Data'!$D$150*0.6/('I_Inputs &amp; Assumptions'!$B$8/2),'I_Budget Input Data'!$D$150*0.2/('I_Inputs &amp; Assumptions'!$B$8/4))),IF('I_Budget Input Data'!$E$150="At Completion",IF(8='I_Inputs &amp; Assumptions'!$B$8,'I_Budget Input Data'!$D$150,0),'I_Budget Input Data'!$D$150/'I_Inputs &amp; Assumptions'!$B$8)))))),0)</f>
        <v>5974.1538461538457</v>
      </c>
      <c r="K150" s="91">
        <f>IF(9&lt;='I_Inputs &amp; Assumptions'!$B$8,IF('I_Budget Input Data'!$E$150="Upfront",IF(9=1,'I_Budget Input Data'!$D$150,0),IF('I_Budget Input Data'!$E$150="Equal",'I_Budget Input Data'!$D$150/'I_Inputs &amp; Assumptions'!$B$8,IF('I_Budget Input Data'!$E$150="Front-loaded",IF(9&lt;='I_Inputs &amp; Assumptions'!$B$8/2,'I_Budget Input Data'!$D$150*0.6/('I_Inputs &amp; Assumptions'!$B$8/2),'I_Budget Input Data'!$D$150*0.4/('I_Inputs &amp; Assumptions'!$B$8/2)),IF('I_Budget Input Data'!$E$150="Back-loaded",IF(9&lt;='I_Inputs &amp; Assumptions'!$B$8/2,'I_Budget Input Data'!$D$150*0.4/('I_Inputs &amp; Assumptions'!$B$8/2),'I_Budget Input Data'!$D$150*0.6/('I_Inputs &amp; Assumptions'!$B$8/2)),IF('I_Budget Input Data'!$E$150="Mid-weighted",IF(9&lt;='I_Inputs &amp; Assumptions'!$B$8/4,'I_Budget Input Data'!$D$150*0.2/('I_Inputs &amp; Assumptions'!$B$8/4),IF(9&lt;='I_Inputs &amp; Assumptions'!$B$8*0.75,'I_Budget Input Data'!$D$150*0.6/('I_Inputs &amp; Assumptions'!$B$8/2),'I_Budget Input Data'!$D$150*0.2/('I_Inputs &amp; Assumptions'!$B$8/4))),IF('I_Budget Input Data'!$E$150="At Completion",IF(9='I_Inputs &amp; Assumptions'!$B$8,'I_Budget Input Data'!$D$150,0),'I_Budget Input Data'!$D$150/'I_Inputs &amp; Assumptions'!$B$8)))))),0)</f>
        <v>5974.1538461538457</v>
      </c>
      <c r="L150" s="91">
        <f>IF(10&lt;='I_Inputs &amp; Assumptions'!$B$8,IF('I_Budget Input Data'!$E$150="Upfront",IF(10=1,'I_Budget Input Data'!$D$150,0),IF('I_Budget Input Data'!$E$150="Equal",'I_Budget Input Data'!$D$150/'I_Inputs &amp; Assumptions'!$B$8,IF('I_Budget Input Data'!$E$150="Front-loaded",IF(10&lt;='I_Inputs &amp; Assumptions'!$B$8/2,'I_Budget Input Data'!$D$150*0.6/('I_Inputs &amp; Assumptions'!$B$8/2),'I_Budget Input Data'!$D$150*0.4/('I_Inputs &amp; Assumptions'!$B$8/2)),IF('I_Budget Input Data'!$E$150="Back-loaded",IF(10&lt;='I_Inputs &amp; Assumptions'!$B$8/2,'I_Budget Input Data'!$D$150*0.4/('I_Inputs &amp; Assumptions'!$B$8/2),'I_Budget Input Data'!$D$150*0.6/('I_Inputs &amp; Assumptions'!$B$8/2)),IF('I_Budget Input Data'!$E$150="Mid-weighted",IF(10&lt;='I_Inputs &amp; Assumptions'!$B$8/4,'I_Budget Input Data'!$D$150*0.2/('I_Inputs &amp; Assumptions'!$B$8/4),IF(10&lt;='I_Inputs &amp; Assumptions'!$B$8*0.75,'I_Budget Input Data'!$D$150*0.6/('I_Inputs &amp; Assumptions'!$B$8/2),'I_Budget Input Data'!$D$150*0.2/('I_Inputs &amp; Assumptions'!$B$8/4))),IF('I_Budget Input Data'!$E$150="At Completion",IF(10='I_Inputs &amp; Assumptions'!$B$8,'I_Budget Input Data'!$D$150,0),'I_Budget Input Data'!$D$150/'I_Inputs &amp; Assumptions'!$B$8)))))),0)</f>
        <v>5974.1538461538457</v>
      </c>
      <c r="M150" s="91">
        <f>IF(11&lt;='I_Inputs &amp; Assumptions'!$B$8,IF('I_Budget Input Data'!$E$150="Upfront",IF(11=1,'I_Budget Input Data'!$D$150,0),IF('I_Budget Input Data'!$E$150="Equal",'I_Budget Input Data'!$D$150/'I_Inputs &amp; Assumptions'!$B$8,IF('I_Budget Input Data'!$E$150="Front-loaded",IF(11&lt;='I_Inputs &amp; Assumptions'!$B$8/2,'I_Budget Input Data'!$D$150*0.6/('I_Inputs &amp; Assumptions'!$B$8/2),'I_Budget Input Data'!$D$150*0.4/('I_Inputs &amp; Assumptions'!$B$8/2)),IF('I_Budget Input Data'!$E$150="Back-loaded",IF(11&lt;='I_Inputs &amp; Assumptions'!$B$8/2,'I_Budget Input Data'!$D$150*0.4/('I_Inputs &amp; Assumptions'!$B$8/2),'I_Budget Input Data'!$D$150*0.6/('I_Inputs &amp; Assumptions'!$B$8/2)),IF('I_Budget Input Data'!$E$150="Mid-weighted",IF(11&lt;='I_Inputs &amp; Assumptions'!$B$8/4,'I_Budget Input Data'!$D$150*0.2/('I_Inputs &amp; Assumptions'!$B$8/4),IF(11&lt;='I_Inputs &amp; Assumptions'!$B$8*0.75,'I_Budget Input Data'!$D$150*0.6/('I_Inputs &amp; Assumptions'!$B$8/2),'I_Budget Input Data'!$D$150*0.2/('I_Inputs &amp; Assumptions'!$B$8/4))),IF('I_Budget Input Data'!$E$150="At Completion",IF(11='I_Inputs &amp; Assumptions'!$B$8,'I_Budget Input Data'!$D$150,0),'I_Budget Input Data'!$D$150/'I_Inputs &amp; Assumptions'!$B$8)))))),0)</f>
        <v>5974.1538461538457</v>
      </c>
      <c r="N150" s="91">
        <f>IF(12&lt;='I_Inputs &amp; Assumptions'!$B$8,IF('I_Budget Input Data'!$E$150="Upfront",IF(12=1,'I_Budget Input Data'!$D$150,0),IF('I_Budget Input Data'!$E$150="Equal",'I_Budget Input Data'!$D$150/'I_Inputs &amp; Assumptions'!$B$8,IF('I_Budget Input Data'!$E$150="Front-loaded",IF(12&lt;='I_Inputs &amp; Assumptions'!$B$8/2,'I_Budget Input Data'!$D$150*0.6/('I_Inputs &amp; Assumptions'!$B$8/2),'I_Budget Input Data'!$D$150*0.4/('I_Inputs &amp; Assumptions'!$B$8/2)),IF('I_Budget Input Data'!$E$150="Back-loaded",IF(12&lt;='I_Inputs &amp; Assumptions'!$B$8/2,'I_Budget Input Data'!$D$150*0.4/('I_Inputs &amp; Assumptions'!$B$8/2),'I_Budget Input Data'!$D$150*0.6/('I_Inputs &amp; Assumptions'!$B$8/2)),IF('I_Budget Input Data'!$E$150="Mid-weighted",IF(12&lt;='I_Inputs &amp; Assumptions'!$B$8/4,'I_Budget Input Data'!$D$150*0.2/('I_Inputs &amp; Assumptions'!$B$8/4),IF(12&lt;='I_Inputs &amp; Assumptions'!$B$8*0.75,'I_Budget Input Data'!$D$150*0.6/('I_Inputs &amp; Assumptions'!$B$8/2),'I_Budget Input Data'!$D$150*0.2/('I_Inputs &amp; Assumptions'!$B$8/4))),IF('I_Budget Input Data'!$E$150="At Completion",IF(12='I_Inputs &amp; Assumptions'!$B$8,'I_Budget Input Data'!$D$150,0),'I_Budget Input Data'!$D$150/'I_Inputs &amp; Assumptions'!$B$8)))))),0)</f>
        <v>5974.1538461538457</v>
      </c>
      <c r="O150" s="91">
        <f>IF(13&lt;='I_Inputs &amp; Assumptions'!$B$8,IF('I_Budget Input Data'!$E$150="Upfront",IF(13=1,'I_Budget Input Data'!$D$150,0),IF('I_Budget Input Data'!$E$150="Equal",'I_Budget Input Data'!$D$150/'I_Inputs &amp; Assumptions'!$B$8,IF('I_Budget Input Data'!$E$150="Front-loaded",IF(13&lt;='I_Inputs &amp; Assumptions'!$B$8/2,'I_Budget Input Data'!$D$150*0.6/('I_Inputs &amp; Assumptions'!$B$8/2),'I_Budget Input Data'!$D$150*0.4/('I_Inputs &amp; Assumptions'!$B$8/2)),IF('I_Budget Input Data'!$E$150="Back-loaded",IF(13&lt;='I_Inputs &amp; Assumptions'!$B$8/2,'I_Budget Input Data'!$D$150*0.4/('I_Inputs &amp; Assumptions'!$B$8/2),'I_Budget Input Data'!$D$150*0.6/('I_Inputs &amp; Assumptions'!$B$8/2)),IF('I_Budget Input Data'!$E$150="Mid-weighted",IF(13&lt;='I_Inputs &amp; Assumptions'!$B$8/4,'I_Budget Input Data'!$D$150*0.2/('I_Inputs &amp; Assumptions'!$B$8/4),IF(13&lt;='I_Inputs &amp; Assumptions'!$B$8*0.75,'I_Budget Input Data'!$D$150*0.6/('I_Inputs &amp; Assumptions'!$B$8/2),'I_Budget Input Data'!$D$150*0.2/('I_Inputs &amp; Assumptions'!$B$8/4))),IF('I_Budget Input Data'!$E$150="At Completion",IF(13='I_Inputs &amp; Assumptions'!$B$8,'I_Budget Input Data'!$D$150,0),'I_Budget Input Data'!$D$150/'I_Inputs &amp; Assumptions'!$B$8)))))),0)</f>
        <v>5974.1538461538457</v>
      </c>
      <c r="P150" s="91">
        <f>IF(14&lt;='I_Inputs &amp; Assumptions'!$B$8,IF('I_Budget Input Data'!$E$150="Upfront",IF(14=1,'I_Budget Input Data'!$D$150,0),IF('I_Budget Input Data'!$E$150="Equal",'I_Budget Input Data'!$D$150/'I_Inputs &amp; Assumptions'!$B$8,IF('I_Budget Input Data'!$E$150="Front-loaded",IF(14&lt;='I_Inputs &amp; Assumptions'!$B$8/2,'I_Budget Input Data'!$D$150*0.6/('I_Inputs &amp; Assumptions'!$B$8/2),'I_Budget Input Data'!$D$150*0.4/('I_Inputs &amp; Assumptions'!$B$8/2)),IF('I_Budget Input Data'!$E$150="Back-loaded",IF(14&lt;='I_Inputs &amp; Assumptions'!$B$8/2,'I_Budget Input Data'!$D$150*0.4/('I_Inputs &amp; Assumptions'!$B$8/2),'I_Budget Input Data'!$D$150*0.6/('I_Inputs &amp; Assumptions'!$B$8/2)),IF('I_Budget Input Data'!$E$150="Mid-weighted",IF(14&lt;='I_Inputs &amp; Assumptions'!$B$8/4,'I_Budget Input Data'!$D$150*0.2/('I_Inputs &amp; Assumptions'!$B$8/4),IF(14&lt;='I_Inputs &amp; Assumptions'!$B$8*0.75,'I_Budget Input Data'!$D$150*0.6/('I_Inputs &amp; Assumptions'!$B$8/2),'I_Budget Input Data'!$D$150*0.2/('I_Inputs &amp; Assumptions'!$B$8/4))),IF('I_Budget Input Data'!$E$150="At Completion",IF(14='I_Inputs &amp; Assumptions'!$B$8,'I_Budget Input Data'!$D$150,0),'I_Budget Input Data'!$D$150/'I_Inputs &amp; Assumptions'!$B$8)))))),0)</f>
        <v>0</v>
      </c>
      <c r="Q150" s="91">
        <f>IF(15&lt;='I_Inputs &amp; Assumptions'!$B$8,IF('I_Budget Input Data'!$E$150="Upfront",IF(15=1,'I_Budget Input Data'!$D$150,0),IF('I_Budget Input Data'!$E$150="Equal",'I_Budget Input Data'!$D$150/'I_Inputs &amp; Assumptions'!$B$8,IF('I_Budget Input Data'!$E$150="Front-loaded",IF(15&lt;='I_Inputs &amp; Assumptions'!$B$8/2,'I_Budget Input Data'!$D$150*0.6/('I_Inputs &amp; Assumptions'!$B$8/2),'I_Budget Input Data'!$D$150*0.4/('I_Inputs &amp; Assumptions'!$B$8/2)),IF('I_Budget Input Data'!$E$150="Back-loaded",IF(15&lt;='I_Inputs &amp; Assumptions'!$B$8/2,'I_Budget Input Data'!$D$150*0.4/('I_Inputs &amp; Assumptions'!$B$8/2),'I_Budget Input Data'!$D$150*0.6/('I_Inputs &amp; Assumptions'!$B$8/2)),IF('I_Budget Input Data'!$E$150="Mid-weighted",IF(15&lt;='I_Inputs &amp; Assumptions'!$B$8/4,'I_Budget Input Data'!$D$150*0.2/('I_Inputs &amp; Assumptions'!$B$8/4),IF(15&lt;='I_Inputs &amp; Assumptions'!$B$8*0.75,'I_Budget Input Data'!$D$150*0.6/('I_Inputs &amp; Assumptions'!$B$8/2),'I_Budget Input Data'!$D$150*0.2/('I_Inputs &amp; Assumptions'!$B$8/4))),IF('I_Budget Input Data'!$E$150="At Completion",IF(15='I_Inputs &amp; Assumptions'!$B$8,'I_Budget Input Data'!$D$150,0),'I_Budget Input Data'!$D$150/'I_Inputs &amp; Assumptions'!$B$8)))))),0)</f>
        <v>0</v>
      </c>
      <c r="R150" s="91">
        <f>IF(16&lt;='I_Inputs &amp; Assumptions'!$B$8,IF('I_Budget Input Data'!$E$150="Upfront",IF(16=1,'I_Budget Input Data'!$D$150,0),IF('I_Budget Input Data'!$E$150="Equal",'I_Budget Input Data'!$D$150/'I_Inputs &amp; Assumptions'!$B$8,IF('I_Budget Input Data'!$E$150="Front-loaded",IF(16&lt;='I_Inputs &amp; Assumptions'!$B$8/2,'I_Budget Input Data'!$D$150*0.6/('I_Inputs &amp; Assumptions'!$B$8/2),'I_Budget Input Data'!$D$150*0.4/('I_Inputs &amp; Assumptions'!$B$8/2)),IF('I_Budget Input Data'!$E$150="Back-loaded",IF(16&lt;='I_Inputs &amp; Assumptions'!$B$8/2,'I_Budget Input Data'!$D$150*0.4/('I_Inputs &amp; Assumptions'!$B$8/2),'I_Budget Input Data'!$D$150*0.6/('I_Inputs &amp; Assumptions'!$B$8/2)),IF('I_Budget Input Data'!$E$150="Mid-weighted",IF(16&lt;='I_Inputs &amp; Assumptions'!$B$8/4,'I_Budget Input Data'!$D$150*0.2/('I_Inputs &amp; Assumptions'!$B$8/4),IF(16&lt;='I_Inputs &amp; Assumptions'!$B$8*0.75,'I_Budget Input Data'!$D$150*0.6/('I_Inputs &amp; Assumptions'!$B$8/2),'I_Budget Input Data'!$D$150*0.2/('I_Inputs &amp; Assumptions'!$B$8/4))),IF('I_Budget Input Data'!$E$150="At Completion",IF(16='I_Inputs &amp; Assumptions'!$B$8,'I_Budget Input Data'!$D$150,0),'I_Budget Input Data'!$D$150/'I_Inputs &amp; Assumptions'!$B$8)))))),0)</f>
        <v>0</v>
      </c>
      <c r="S150" s="91">
        <f>IF(17&lt;='I_Inputs &amp; Assumptions'!$B$8,IF('I_Budget Input Data'!$E$150="Upfront",IF(17=1,'I_Budget Input Data'!$D$150,0),IF('I_Budget Input Data'!$E$150="Equal",'I_Budget Input Data'!$D$150/'I_Inputs &amp; Assumptions'!$B$8,IF('I_Budget Input Data'!$E$150="Front-loaded",IF(17&lt;='I_Inputs &amp; Assumptions'!$B$8/2,'I_Budget Input Data'!$D$150*0.6/('I_Inputs &amp; Assumptions'!$B$8/2),'I_Budget Input Data'!$D$150*0.4/('I_Inputs &amp; Assumptions'!$B$8/2)),IF('I_Budget Input Data'!$E$150="Back-loaded",IF(17&lt;='I_Inputs &amp; Assumptions'!$B$8/2,'I_Budget Input Data'!$D$150*0.4/('I_Inputs &amp; Assumptions'!$B$8/2),'I_Budget Input Data'!$D$150*0.6/('I_Inputs &amp; Assumptions'!$B$8/2)),IF('I_Budget Input Data'!$E$150="Mid-weighted",IF(17&lt;='I_Inputs &amp; Assumptions'!$B$8/4,'I_Budget Input Data'!$D$150*0.2/('I_Inputs &amp; Assumptions'!$B$8/4),IF(17&lt;='I_Inputs &amp; Assumptions'!$B$8*0.75,'I_Budget Input Data'!$D$150*0.6/('I_Inputs &amp; Assumptions'!$B$8/2),'I_Budget Input Data'!$D$150*0.2/('I_Inputs &amp; Assumptions'!$B$8/4))),IF('I_Budget Input Data'!$E$150="At Completion",IF(17='I_Inputs &amp; Assumptions'!$B$8,'I_Budget Input Data'!$D$150,0),'I_Budget Input Data'!$D$150/'I_Inputs &amp; Assumptions'!$B$8)))))),0)</f>
        <v>0</v>
      </c>
      <c r="T150" s="91">
        <f>IF(18&lt;='I_Inputs &amp; Assumptions'!$B$8,IF('I_Budget Input Data'!$E$150="Upfront",IF(18=1,'I_Budget Input Data'!$D$150,0),IF('I_Budget Input Data'!$E$150="Equal",'I_Budget Input Data'!$D$150/'I_Inputs &amp; Assumptions'!$B$8,IF('I_Budget Input Data'!$E$150="Front-loaded",IF(18&lt;='I_Inputs &amp; Assumptions'!$B$8/2,'I_Budget Input Data'!$D$150*0.6/('I_Inputs &amp; Assumptions'!$B$8/2),'I_Budget Input Data'!$D$150*0.4/('I_Inputs &amp; Assumptions'!$B$8/2)),IF('I_Budget Input Data'!$E$150="Back-loaded",IF(18&lt;='I_Inputs &amp; Assumptions'!$B$8/2,'I_Budget Input Data'!$D$150*0.4/('I_Inputs &amp; Assumptions'!$B$8/2),'I_Budget Input Data'!$D$150*0.6/('I_Inputs &amp; Assumptions'!$B$8/2)),IF('I_Budget Input Data'!$E$150="Mid-weighted",IF(18&lt;='I_Inputs &amp; Assumptions'!$B$8/4,'I_Budget Input Data'!$D$150*0.2/('I_Inputs &amp; Assumptions'!$B$8/4),IF(18&lt;='I_Inputs &amp; Assumptions'!$B$8*0.75,'I_Budget Input Data'!$D$150*0.6/('I_Inputs &amp; Assumptions'!$B$8/2),'I_Budget Input Data'!$D$150*0.2/('I_Inputs &amp; Assumptions'!$B$8/4))),IF('I_Budget Input Data'!$E$150="At Completion",IF(18='I_Inputs &amp; Assumptions'!$B$8,'I_Budget Input Data'!$D$150,0),'I_Budget Input Data'!$D$150/'I_Inputs &amp; Assumptions'!$B$8)))))),0)</f>
        <v>0</v>
      </c>
      <c r="U150" s="91">
        <f>IF(19&lt;='I_Inputs &amp; Assumptions'!$B$8,IF('I_Budget Input Data'!$E$150="Upfront",IF(19=1,'I_Budget Input Data'!$D$150,0),IF('I_Budget Input Data'!$E$150="Equal",'I_Budget Input Data'!$D$150/'I_Inputs &amp; Assumptions'!$B$8,IF('I_Budget Input Data'!$E$150="Front-loaded",IF(19&lt;='I_Inputs &amp; Assumptions'!$B$8/2,'I_Budget Input Data'!$D$150*0.6/('I_Inputs &amp; Assumptions'!$B$8/2),'I_Budget Input Data'!$D$150*0.4/('I_Inputs &amp; Assumptions'!$B$8/2)),IF('I_Budget Input Data'!$E$150="Back-loaded",IF(19&lt;='I_Inputs &amp; Assumptions'!$B$8/2,'I_Budget Input Data'!$D$150*0.4/('I_Inputs &amp; Assumptions'!$B$8/2),'I_Budget Input Data'!$D$150*0.6/('I_Inputs &amp; Assumptions'!$B$8/2)),IF('I_Budget Input Data'!$E$150="Mid-weighted",IF(19&lt;='I_Inputs &amp; Assumptions'!$B$8/4,'I_Budget Input Data'!$D$150*0.2/('I_Inputs &amp; Assumptions'!$B$8/4),IF(19&lt;='I_Inputs &amp; Assumptions'!$B$8*0.75,'I_Budget Input Data'!$D$150*0.6/('I_Inputs &amp; Assumptions'!$B$8/2),'I_Budget Input Data'!$D$150*0.2/('I_Inputs &amp; Assumptions'!$B$8/4))),IF('I_Budget Input Data'!$E$150="At Completion",IF(19='I_Inputs &amp; Assumptions'!$B$8,'I_Budget Input Data'!$D$150,0),'I_Budget Input Data'!$D$150/'I_Inputs &amp; Assumptions'!$B$8)))))),0)</f>
        <v>0</v>
      </c>
      <c r="V150" s="91">
        <f>IF(20&lt;='I_Inputs &amp; Assumptions'!$B$8,IF('I_Budget Input Data'!$E$150="Upfront",IF(20=1,'I_Budget Input Data'!$D$150,0),IF('I_Budget Input Data'!$E$150="Equal",'I_Budget Input Data'!$D$150/'I_Inputs &amp; Assumptions'!$B$8,IF('I_Budget Input Data'!$E$150="Front-loaded",IF(20&lt;='I_Inputs &amp; Assumptions'!$B$8/2,'I_Budget Input Data'!$D$150*0.6/('I_Inputs &amp; Assumptions'!$B$8/2),'I_Budget Input Data'!$D$150*0.4/('I_Inputs &amp; Assumptions'!$B$8/2)),IF('I_Budget Input Data'!$E$150="Back-loaded",IF(20&lt;='I_Inputs &amp; Assumptions'!$B$8/2,'I_Budget Input Data'!$D$150*0.4/('I_Inputs &amp; Assumptions'!$B$8/2),'I_Budget Input Data'!$D$150*0.6/('I_Inputs &amp; Assumptions'!$B$8/2)),IF('I_Budget Input Data'!$E$150="Mid-weighted",IF(20&lt;='I_Inputs &amp; Assumptions'!$B$8/4,'I_Budget Input Data'!$D$150*0.2/('I_Inputs &amp; Assumptions'!$B$8/4),IF(20&lt;='I_Inputs &amp; Assumptions'!$B$8*0.75,'I_Budget Input Data'!$D$150*0.6/('I_Inputs &amp; Assumptions'!$B$8/2),'I_Budget Input Data'!$D$150*0.2/('I_Inputs &amp; Assumptions'!$B$8/4))),IF('I_Budget Input Data'!$E$150="At Completion",IF(20='I_Inputs &amp; Assumptions'!$B$8,'I_Budget Input Data'!$D$150,0),'I_Budget Input Data'!$D$150/'I_Inputs &amp; Assumptions'!$B$8)))))),0)</f>
        <v>0</v>
      </c>
      <c r="W150" s="91">
        <f>IF(21&lt;='I_Inputs &amp; Assumptions'!$B$8,IF('I_Budget Input Data'!$E$150="Upfront",IF(21=1,'I_Budget Input Data'!$D$150,0),IF('I_Budget Input Data'!$E$150="Equal",'I_Budget Input Data'!$D$150/'I_Inputs &amp; Assumptions'!$B$8,IF('I_Budget Input Data'!$E$150="Front-loaded",IF(21&lt;='I_Inputs &amp; Assumptions'!$B$8/2,'I_Budget Input Data'!$D$150*0.6/('I_Inputs &amp; Assumptions'!$B$8/2),'I_Budget Input Data'!$D$150*0.4/('I_Inputs &amp; Assumptions'!$B$8/2)),IF('I_Budget Input Data'!$E$150="Back-loaded",IF(21&lt;='I_Inputs &amp; Assumptions'!$B$8/2,'I_Budget Input Data'!$D$150*0.4/('I_Inputs &amp; Assumptions'!$B$8/2),'I_Budget Input Data'!$D$150*0.6/('I_Inputs &amp; Assumptions'!$B$8/2)),IF('I_Budget Input Data'!$E$150="Mid-weighted",IF(21&lt;='I_Inputs &amp; Assumptions'!$B$8/4,'I_Budget Input Data'!$D$150*0.2/('I_Inputs &amp; Assumptions'!$B$8/4),IF(21&lt;='I_Inputs &amp; Assumptions'!$B$8*0.75,'I_Budget Input Data'!$D$150*0.6/('I_Inputs &amp; Assumptions'!$B$8/2),'I_Budget Input Data'!$D$150*0.2/('I_Inputs &amp; Assumptions'!$B$8/4))),IF('I_Budget Input Data'!$E$150="At Completion",IF(21='I_Inputs &amp; Assumptions'!$B$8,'I_Budget Input Data'!$D$150,0),'I_Budget Input Data'!$D$150/'I_Inputs &amp; Assumptions'!$B$8)))))),0)</f>
        <v>0</v>
      </c>
      <c r="X150" s="91">
        <f>IF(22&lt;='I_Inputs &amp; Assumptions'!$B$8,IF('I_Budget Input Data'!$E$150="Upfront",IF(22=1,'I_Budget Input Data'!$D$150,0),IF('I_Budget Input Data'!$E$150="Equal",'I_Budget Input Data'!$D$150/'I_Inputs &amp; Assumptions'!$B$8,IF('I_Budget Input Data'!$E$150="Front-loaded",IF(22&lt;='I_Inputs &amp; Assumptions'!$B$8/2,'I_Budget Input Data'!$D$150*0.6/('I_Inputs &amp; Assumptions'!$B$8/2),'I_Budget Input Data'!$D$150*0.4/('I_Inputs &amp; Assumptions'!$B$8/2)),IF('I_Budget Input Data'!$E$150="Back-loaded",IF(22&lt;='I_Inputs &amp; Assumptions'!$B$8/2,'I_Budget Input Data'!$D$150*0.4/('I_Inputs &amp; Assumptions'!$B$8/2),'I_Budget Input Data'!$D$150*0.6/('I_Inputs &amp; Assumptions'!$B$8/2)),IF('I_Budget Input Data'!$E$150="Mid-weighted",IF(22&lt;='I_Inputs &amp; Assumptions'!$B$8/4,'I_Budget Input Data'!$D$150*0.2/('I_Inputs &amp; Assumptions'!$B$8/4),IF(22&lt;='I_Inputs &amp; Assumptions'!$B$8*0.75,'I_Budget Input Data'!$D$150*0.6/('I_Inputs &amp; Assumptions'!$B$8/2),'I_Budget Input Data'!$D$150*0.2/('I_Inputs &amp; Assumptions'!$B$8/4))),IF('I_Budget Input Data'!$E$150="At Completion",IF(22='I_Inputs &amp; Assumptions'!$B$8,'I_Budget Input Data'!$D$150,0),'I_Budget Input Data'!$D$150/'I_Inputs &amp; Assumptions'!$B$8)))))),0)</f>
        <v>0</v>
      </c>
      <c r="Y150" s="91">
        <f>IF(23&lt;='I_Inputs &amp; Assumptions'!$B$8,IF('I_Budget Input Data'!$E$150="Upfront",IF(23=1,'I_Budget Input Data'!$D$150,0),IF('I_Budget Input Data'!$E$150="Equal",'I_Budget Input Data'!$D$150/'I_Inputs &amp; Assumptions'!$B$8,IF('I_Budget Input Data'!$E$150="Front-loaded",IF(23&lt;='I_Inputs &amp; Assumptions'!$B$8/2,'I_Budget Input Data'!$D$150*0.6/('I_Inputs &amp; Assumptions'!$B$8/2),'I_Budget Input Data'!$D$150*0.4/('I_Inputs &amp; Assumptions'!$B$8/2)),IF('I_Budget Input Data'!$E$150="Back-loaded",IF(23&lt;='I_Inputs &amp; Assumptions'!$B$8/2,'I_Budget Input Data'!$D$150*0.4/('I_Inputs &amp; Assumptions'!$B$8/2),'I_Budget Input Data'!$D$150*0.6/('I_Inputs &amp; Assumptions'!$B$8/2)),IF('I_Budget Input Data'!$E$150="Mid-weighted",IF(23&lt;='I_Inputs &amp; Assumptions'!$B$8/4,'I_Budget Input Data'!$D$150*0.2/('I_Inputs &amp; Assumptions'!$B$8/4),IF(23&lt;='I_Inputs &amp; Assumptions'!$B$8*0.75,'I_Budget Input Data'!$D$150*0.6/('I_Inputs &amp; Assumptions'!$B$8/2),'I_Budget Input Data'!$D$150*0.2/('I_Inputs &amp; Assumptions'!$B$8/4))),IF('I_Budget Input Data'!$E$150="At Completion",IF(23='I_Inputs &amp; Assumptions'!$B$8,'I_Budget Input Data'!$D$150,0),'I_Budget Input Data'!$D$150/'I_Inputs &amp; Assumptions'!$B$8)))))),0)</f>
        <v>0</v>
      </c>
      <c r="Z150" s="91">
        <f>IF(24&lt;='I_Inputs &amp; Assumptions'!$B$8,IF('I_Budget Input Data'!$E$150="Upfront",IF(24=1,'I_Budget Input Data'!$D$150,0),IF('I_Budget Input Data'!$E$150="Equal",'I_Budget Input Data'!$D$150/'I_Inputs &amp; Assumptions'!$B$8,IF('I_Budget Input Data'!$E$150="Front-loaded",IF(24&lt;='I_Inputs &amp; Assumptions'!$B$8/2,'I_Budget Input Data'!$D$150*0.6/('I_Inputs &amp; Assumptions'!$B$8/2),'I_Budget Input Data'!$D$150*0.4/('I_Inputs &amp; Assumptions'!$B$8/2)),IF('I_Budget Input Data'!$E$150="Back-loaded",IF(24&lt;='I_Inputs &amp; Assumptions'!$B$8/2,'I_Budget Input Data'!$D$150*0.4/('I_Inputs &amp; Assumptions'!$B$8/2),'I_Budget Input Data'!$D$150*0.6/('I_Inputs &amp; Assumptions'!$B$8/2)),IF('I_Budget Input Data'!$E$150="Mid-weighted",IF(24&lt;='I_Inputs &amp; Assumptions'!$B$8/4,'I_Budget Input Data'!$D$150*0.2/('I_Inputs &amp; Assumptions'!$B$8/4),IF(24&lt;='I_Inputs &amp; Assumptions'!$B$8*0.75,'I_Budget Input Data'!$D$150*0.6/('I_Inputs &amp; Assumptions'!$B$8/2),'I_Budget Input Data'!$D$150*0.2/('I_Inputs &amp; Assumptions'!$B$8/4))),IF('I_Budget Input Data'!$E$150="At Completion",IF(24='I_Inputs &amp; Assumptions'!$B$8,'I_Budget Input Data'!$D$150,0),'I_Budget Input Data'!$D$150/'I_Inputs &amp; Assumptions'!$B$8)))))),0)</f>
        <v>0</v>
      </c>
      <c r="AA150" s="91">
        <f>IF(25&lt;='I_Inputs &amp; Assumptions'!$B$8,IF('I_Budget Input Data'!$E$150="Upfront",IF(25=1,'I_Budget Input Data'!$D$150,0),IF('I_Budget Input Data'!$E$150="Equal",'I_Budget Input Data'!$D$150/'I_Inputs &amp; Assumptions'!$B$8,IF('I_Budget Input Data'!$E$150="Front-loaded",IF(25&lt;='I_Inputs &amp; Assumptions'!$B$8/2,'I_Budget Input Data'!$D$150*0.6/('I_Inputs &amp; Assumptions'!$B$8/2),'I_Budget Input Data'!$D$150*0.4/('I_Inputs &amp; Assumptions'!$B$8/2)),IF('I_Budget Input Data'!$E$150="Back-loaded",IF(25&lt;='I_Inputs &amp; Assumptions'!$B$8/2,'I_Budget Input Data'!$D$150*0.4/('I_Inputs &amp; Assumptions'!$B$8/2),'I_Budget Input Data'!$D$150*0.6/('I_Inputs &amp; Assumptions'!$B$8/2)),IF('I_Budget Input Data'!$E$150="Mid-weighted",IF(25&lt;='I_Inputs &amp; Assumptions'!$B$8/4,'I_Budget Input Data'!$D$150*0.2/('I_Inputs &amp; Assumptions'!$B$8/4),IF(25&lt;='I_Inputs &amp; Assumptions'!$B$8*0.75,'I_Budget Input Data'!$D$150*0.6/('I_Inputs &amp; Assumptions'!$B$8/2),'I_Budget Input Data'!$D$150*0.2/('I_Inputs &amp; Assumptions'!$B$8/4))),IF('I_Budget Input Data'!$E$150="At Completion",IF(25='I_Inputs &amp; Assumptions'!$B$8,'I_Budget Input Data'!$D$150,0),'I_Budget Input Data'!$D$150/'I_Inputs &amp; Assumptions'!$B$8)))))),0)</f>
        <v>0</v>
      </c>
      <c r="AB150" s="91">
        <f>IF(26&lt;='I_Inputs &amp; Assumptions'!$B$8,IF('I_Budget Input Data'!$E$150="Upfront",IF(26=1,'I_Budget Input Data'!$D$150,0),IF('I_Budget Input Data'!$E$150="Equal",'I_Budget Input Data'!$D$150/'I_Inputs &amp; Assumptions'!$B$8,IF('I_Budget Input Data'!$E$150="Front-loaded",IF(26&lt;='I_Inputs &amp; Assumptions'!$B$8/2,'I_Budget Input Data'!$D$150*0.6/('I_Inputs &amp; Assumptions'!$B$8/2),'I_Budget Input Data'!$D$150*0.4/('I_Inputs &amp; Assumptions'!$B$8/2)),IF('I_Budget Input Data'!$E$150="Back-loaded",IF(26&lt;='I_Inputs &amp; Assumptions'!$B$8/2,'I_Budget Input Data'!$D$150*0.4/('I_Inputs &amp; Assumptions'!$B$8/2),'I_Budget Input Data'!$D$150*0.6/('I_Inputs &amp; Assumptions'!$B$8/2)),IF('I_Budget Input Data'!$E$150="Mid-weighted",IF(26&lt;='I_Inputs &amp; Assumptions'!$B$8/4,'I_Budget Input Data'!$D$150*0.2/('I_Inputs &amp; Assumptions'!$B$8/4),IF(26&lt;='I_Inputs &amp; Assumptions'!$B$8*0.75,'I_Budget Input Data'!$D$150*0.6/('I_Inputs &amp; Assumptions'!$B$8/2),'I_Budget Input Data'!$D$150*0.2/('I_Inputs &amp; Assumptions'!$B$8/4))),IF('I_Budget Input Data'!$E$150="At Completion",IF(26='I_Inputs &amp; Assumptions'!$B$8,'I_Budget Input Data'!$D$150,0),'I_Budget Input Data'!$D$150/'I_Inputs &amp; Assumptions'!$B$8)))))),0)</f>
        <v>0</v>
      </c>
      <c r="AC150" s="91">
        <f>IF(27&lt;='I_Inputs &amp; Assumptions'!$B$8,IF('I_Budget Input Data'!$E$150="Upfront",IF(27=1,'I_Budget Input Data'!$D$150,0),IF('I_Budget Input Data'!$E$150="Equal",'I_Budget Input Data'!$D$150/'I_Inputs &amp; Assumptions'!$B$8,IF('I_Budget Input Data'!$E$150="Front-loaded",IF(27&lt;='I_Inputs &amp; Assumptions'!$B$8/2,'I_Budget Input Data'!$D$150*0.6/('I_Inputs &amp; Assumptions'!$B$8/2),'I_Budget Input Data'!$D$150*0.4/('I_Inputs &amp; Assumptions'!$B$8/2)),IF('I_Budget Input Data'!$E$150="Back-loaded",IF(27&lt;='I_Inputs &amp; Assumptions'!$B$8/2,'I_Budget Input Data'!$D$150*0.4/('I_Inputs &amp; Assumptions'!$B$8/2),'I_Budget Input Data'!$D$150*0.6/('I_Inputs &amp; Assumptions'!$B$8/2)),IF('I_Budget Input Data'!$E$150="Mid-weighted",IF(27&lt;='I_Inputs &amp; Assumptions'!$B$8/4,'I_Budget Input Data'!$D$150*0.2/('I_Inputs &amp; Assumptions'!$B$8/4),IF(27&lt;='I_Inputs &amp; Assumptions'!$B$8*0.75,'I_Budget Input Data'!$D$150*0.6/('I_Inputs &amp; Assumptions'!$B$8/2),'I_Budget Input Data'!$D$150*0.2/('I_Inputs &amp; Assumptions'!$B$8/4))),IF('I_Budget Input Data'!$E$150="At Completion",IF(27='I_Inputs &amp; Assumptions'!$B$8,'I_Budget Input Data'!$D$150,0),'I_Budget Input Data'!$D$150/'I_Inputs &amp; Assumptions'!$B$8)))))),0)</f>
        <v>0</v>
      </c>
      <c r="AD150" s="91">
        <f>IF(28&lt;='I_Inputs &amp; Assumptions'!$B$8,IF('I_Budget Input Data'!$E$150="Upfront",IF(28=1,'I_Budget Input Data'!$D$150,0),IF('I_Budget Input Data'!$E$150="Equal",'I_Budget Input Data'!$D$150/'I_Inputs &amp; Assumptions'!$B$8,IF('I_Budget Input Data'!$E$150="Front-loaded",IF(28&lt;='I_Inputs &amp; Assumptions'!$B$8/2,'I_Budget Input Data'!$D$150*0.6/('I_Inputs &amp; Assumptions'!$B$8/2),'I_Budget Input Data'!$D$150*0.4/('I_Inputs &amp; Assumptions'!$B$8/2)),IF('I_Budget Input Data'!$E$150="Back-loaded",IF(28&lt;='I_Inputs &amp; Assumptions'!$B$8/2,'I_Budget Input Data'!$D$150*0.4/('I_Inputs &amp; Assumptions'!$B$8/2),'I_Budget Input Data'!$D$150*0.6/('I_Inputs &amp; Assumptions'!$B$8/2)),IF('I_Budget Input Data'!$E$150="Mid-weighted",IF(28&lt;='I_Inputs &amp; Assumptions'!$B$8/4,'I_Budget Input Data'!$D$150*0.2/('I_Inputs &amp; Assumptions'!$B$8/4),IF(28&lt;='I_Inputs &amp; Assumptions'!$B$8*0.75,'I_Budget Input Data'!$D$150*0.6/('I_Inputs &amp; Assumptions'!$B$8/2),'I_Budget Input Data'!$D$150*0.2/('I_Inputs &amp; Assumptions'!$B$8/4))),IF('I_Budget Input Data'!$E$150="At Completion",IF(28='I_Inputs &amp; Assumptions'!$B$8,'I_Budget Input Data'!$D$150,0),'I_Budget Input Data'!$D$150/'I_Inputs &amp; Assumptions'!$B$8)))))),0)</f>
        <v>0</v>
      </c>
      <c r="AE150" s="91">
        <f>IF(29&lt;='I_Inputs &amp; Assumptions'!$B$8,IF('I_Budget Input Data'!$E$150="Upfront",IF(29=1,'I_Budget Input Data'!$D$150,0),IF('I_Budget Input Data'!$E$150="Equal",'I_Budget Input Data'!$D$150/'I_Inputs &amp; Assumptions'!$B$8,IF('I_Budget Input Data'!$E$150="Front-loaded",IF(29&lt;='I_Inputs &amp; Assumptions'!$B$8/2,'I_Budget Input Data'!$D$150*0.6/('I_Inputs &amp; Assumptions'!$B$8/2),'I_Budget Input Data'!$D$150*0.4/('I_Inputs &amp; Assumptions'!$B$8/2)),IF('I_Budget Input Data'!$E$150="Back-loaded",IF(29&lt;='I_Inputs &amp; Assumptions'!$B$8/2,'I_Budget Input Data'!$D$150*0.4/('I_Inputs &amp; Assumptions'!$B$8/2),'I_Budget Input Data'!$D$150*0.6/('I_Inputs &amp; Assumptions'!$B$8/2)),IF('I_Budget Input Data'!$E$150="Mid-weighted",IF(29&lt;='I_Inputs &amp; Assumptions'!$B$8/4,'I_Budget Input Data'!$D$150*0.2/('I_Inputs &amp; Assumptions'!$B$8/4),IF(29&lt;='I_Inputs &amp; Assumptions'!$B$8*0.75,'I_Budget Input Data'!$D$150*0.6/('I_Inputs &amp; Assumptions'!$B$8/2),'I_Budget Input Data'!$D$150*0.2/('I_Inputs &amp; Assumptions'!$B$8/4))),IF('I_Budget Input Data'!$E$150="At Completion",IF(29='I_Inputs &amp; Assumptions'!$B$8,'I_Budget Input Data'!$D$150,0),'I_Budget Input Data'!$D$150/'I_Inputs &amp; Assumptions'!$B$8)))))),0)</f>
        <v>0</v>
      </c>
      <c r="AF150" s="91">
        <f>IF(30&lt;='I_Inputs &amp; Assumptions'!$B$8,IF('I_Budget Input Data'!$E$150="Upfront",IF(30=1,'I_Budget Input Data'!$D$150,0),IF('I_Budget Input Data'!$E$150="Equal",'I_Budget Input Data'!$D$150/'I_Inputs &amp; Assumptions'!$B$8,IF('I_Budget Input Data'!$E$150="Front-loaded",IF(30&lt;='I_Inputs &amp; Assumptions'!$B$8/2,'I_Budget Input Data'!$D$150*0.6/('I_Inputs &amp; Assumptions'!$B$8/2),'I_Budget Input Data'!$D$150*0.4/('I_Inputs &amp; Assumptions'!$B$8/2)),IF('I_Budget Input Data'!$E$150="Back-loaded",IF(30&lt;='I_Inputs &amp; Assumptions'!$B$8/2,'I_Budget Input Data'!$D$150*0.4/('I_Inputs &amp; Assumptions'!$B$8/2),'I_Budget Input Data'!$D$150*0.6/('I_Inputs &amp; Assumptions'!$B$8/2)),IF('I_Budget Input Data'!$E$150="Mid-weighted",IF(30&lt;='I_Inputs &amp; Assumptions'!$B$8/4,'I_Budget Input Data'!$D$150*0.2/('I_Inputs &amp; Assumptions'!$B$8/4),IF(30&lt;='I_Inputs &amp; Assumptions'!$B$8*0.75,'I_Budget Input Data'!$D$150*0.6/('I_Inputs &amp; Assumptions'!$B$8/2),'I_Budget Input Data'!$D$150*0.2/('I_Inputs &amp; Assumptions'!$B$8/4))),IF('I_Budget Input Data'!$E$150="At Completion",IF(30='I_Inputs &amp; Assumptions'!$B$8,'I_Budget Input Data'!$D$150,0),'I_Budget Input Data'!$D$150/'I_Inputs &amp; Assumptions'!$B$8)))))),0)</f>
        <v>0</v>
      </c>
      <c r="AG150" s="91">
        <f>IF(31&lt;='I_Inputs &amp; Assumptions'!$B$8,IF('I_Budget Input Data'!$E$150="Upfront",IF(31=1,'I_Budget Input Data'!$D$150,0),IF('I_Budget Input Data'!$E$150="Equal",'I_Budget Input Data'!$D$150/'I_Inputs &amp; Assumptions'!$B$8,IF('I_Budget Input Data'!$E$150="Front-loaded",IF(31&lt;='I_Inputs &amp; Assumptions'!$B$8/2,'I_Budget Input Data'!$D$150*0.6/('I_Inputs &amp; Assumptions'!$B$8/2),'I_Budget Input Data'!$D$150*0.4/('I_Inputs &amp; Assumptions'!$B$8/2)),IF('I_Budget Input Data'!$E$150="Back-loaded",IF(31&lt;='I_Inputs &amp; Assumptions'!$B$8/2,'I_Budget Input Data'!$D$150*0.4/('I_Inputs &amp; Assumptions'!$B$8/2),'I_Budget Input Data'!$D$150*0.6/('I_Inputs &amp; Assumptions'!$B$8/2)),IF('I_Budget Input Data'!$E$150="Mid-weighted",IF(31&lt;='I_Inputs &amp; Assumptions'!$B$8/4,'I_Budget Input Data'!$D$150*0.2/('I_Inputs &amp; Assumptions'!$B$8/4),IF(31&lt;='I_Inputs &amp; Assumptions'!$B$8*0.75,'I_Budget Input Data'!$D$150*0.6/('I_Inputs &amp; Assumptions'!$B$8/2),'I_Budget Input Data'!$D$150*0.2/('I_Inputs &amp; Assumptions'!$B$8/4))),IF('I_Budget Input Data'!$E$150="At Completion",IF(31='I_Inputs &amp; Assumptions'!$B$8,'I_Budget Input Data'!$D$150,0),'I_Budget Input Data'!$D$150/'I_Inputs &amp; Assumptions'!$B$8)))))),0)</f>
        <v>0</v>
      </c>
      <c r="AH150" s="91">
        <f>IF(32&lt;='I_Inputs &amp; Assumptions'!$B$8,IF('I_Budget Input Data'!$E$150="Upfront",IF(32=1,'I_Budget Input Data'!$D$150,0),IF('I_Budget Input Data'!$E$150="Equal",'I_Budget Input Data'!$D$150/'I_Inputs &amp; Assumptions'!$B$8,IF('I_Budget Input Data'!$E$150="Front-loaded",IF(32&lt;='I_Inputs &amp; Assumptions'!$B$8/2,'I_Budget Input Data'!$D$150*0.6/('I_Inputs &amp; Assumptions'!$B$8/2),'I_Budget Input Data'!$D$150*0.4/('I_Inputs &amp; Assumptions'!$B$8/2)),IF('I_Budget Input Data'!$E$150="Back-loaded",IF(32&lt;='I_Inputs &amp; Assumptions'!$B$8/2,'I_Budget Input Data'!$D$150*0.4/('I_Inputs &amp; Assumptions'!$B$8/2),'I_Budget Input Data'!$D$150*0.6/('I_Inputs &amp; Assumptions'!$B$8/2)),IF('I_Budget Input Data'!$E$150="Mid-weighted",IF(32&lt;='I_Inputs &amp; Assumptions'!$B$8/4,'I_Budget Input Data'!$D$150*0.2/('I_Inputs &amp; Assumptions'!$B$8/4),IF(32&lt;='I_Inputs &amp; Assumptions'!$B$8*0.75,'I_Budget Input Data'!$D$150*0.6/('I_Inputs &amp; Assumptions'!$B$8/2),'I_Budget Input Data'!$D$150*0.2/('I_Inputs &amp; Assumptions'!$B$8/4))),IF('I_Budget Input Data'!$E$150="At Completion",IF(32='I_Inputs &amp; Assumptions'!$B$8,'I_Budget Input Data'!$D$150,0),'I_Budget Input Data'!$D$150/'I_Inputs &amp; Assumptions'!$B$8)))))),0)</f>
        <v>0</v>
      </c>
      <c r="AI150" s="91">
        <f>IF(33&lt;='I_Inputs &amp; Assumptions'!$B$8,IF('I_Budget Input Data'!$E$150="Upfront",IF(33=1,'I_Budget Input Data'!$D$150,0),IF('I_Budget Input Data'!$E$150="Equal",'I_Budget Input Data'!$D$150/'I_Inputs &amp; Assumptions'!$B$8,IF('I_Budget Input Data'!$E$150="Front-loaded",IF(33&lt;='I_Inputs &amp; Assumptions'!$B$8/2,'I_Budget Input Data'!$D$150*0.6/('I_Inputs &amp; Assumptions'!$B$8/2),'I_Budget Input Data'!$D$150*0.4/('I_Inputs &amp; Assumptions'!$B$8/2)),IF('I_Budget Input Data'!$E$150="Back-loaded",IF(33&lt;='I_Inputs &amp; Assumptions'!$B$8/2,'I_Budget Input Data'!$D$150*0.4/('I_Inputs &amp; Assumptions'!$B$8/2),'I_Budget Input Data'!$D$150*0.6/('I_Inputs &amp; Assumptions'!$B$8/2)),IF('I_Budget Input Data'!$E$150="Mid-weighted",IF(33&lt;='I_Inputs &amp; Assumptions'!$B$8/4,'I_Budget Input Data'!$D$150*0.2/('I_Inputs &amp; Assumptions'!$B$8/4),IF(33&lt;='I_Inputs &amp; Assumptions'!$B$8*0.75,'I_Budget Input Data'!$D$150*0.6/('I_Inputs &amp; Assumptions'!$B$8/2),'I_Budget Input Data'!$D$150*0.2/('I_Inputs &amp; Assumptions'!$B$8/4))),IF('I_Budget Input Data'!$E$150="At Completion",IF(33='I_Inputs &amp; Assumptions'!$B$8,'I_Budget Input Data'!$D$150,0),'I_Budget Input Data'!$D$150/'I_Inputs &amp; Assumptions'!$B$8)))))),0)</f>
        <v>0</v>
      </c>
      <c r="AJ150" s="91">
        <f>IF(34&lt;='I_Inputs &amp; Assumptions'!$B$8,IF('I_Budget Input Data'!$E$150="Upfront",IF(34=1,'I_Budget Input Data'!$D$150,0),IF('I_Budget Input Data'!$E$150="Equal",'I_Budget Input Data'!$D$150/'I_Inputs &amp; Assumptions'!$B$8,IF('I_Budget Input Data'!$E$150="Front-loaded",IF(34&lt;='I_Inputs &amp; Assumptions'!$B$8/2,'I_Budget Input Data'!$D$150*0.6/('I_Inputs &amp; Assumptions'!$B$8/2),'I_Budget Input Data'!$D$150*0.4/('I_Inputs &amp; Assumptions'!$B$8/2)),IF('I_Budget Input Data'!$E$150="Back-loaded",IF(34&lt;='I_Inputs &amp; Assumptions'!$B$8/2,'I_Budget Input Data'!$D$150*0.4/('I_Inputs &amp; Assumptions'!$B$8/2),'I_Budget Input Data'!$D$150*0.6/('I_Inputs &amp; Assumptions'!$B$8/2)),IF('I_Budget Input Data'!$E$150="Mid-weighted",IF(34&lt;='I_Inputs &amp; Assumptions'!$B$8/4,'I_Budget Input Data'!$D$150*0.2/('I_Inputs &amp; Assumptions'!$B$8/4),IF(34&lt;='I_Inputs &amp; Assumptions'!$B$8*0.75,'I_Budget Input Data'!$D$150*0.6/('I_Inputs &amp; Assumptions'!$B$8/2),'I_Budget Input Data'!$D$150*0.2/('I_Inputs &amp; Assumptions'!$B$8/4))),IF('I_Budget Input Data'!$E$150="At Completion",IF(34='I_Inputs &amp; Assumptions'!$B$8,'I_Budget Input Data'!$D$150,0),'I_Budget Input Data'!$D$150/'I_Inputs &amp; Assumptions'!$B$8)))))),0)</f>
        <v>0</v>
      </c>
      <c r="AK150" s="91">
        <f>IF(35&lt;='I_Inputs &amp; Assumptions'!$B$8,IF('I_Budget Input Data'!$E$150="Upfront",IF(35=1,'I_Budget Input Data'!$D$150,0),IF('I_Budget Input Data'!$E$150="Equal",'I_Budget Input Data'!$D$150/'I_Inputs &amp; Assumptions'!$B$8,IF('I_Budget Input Data'!$E$150="Front-loaded",IF(35&lt;='I_Inputs &amp; Assumptions'!$B$8/2,'I_Budget Input Data'!$D$150*0.6/('I_Inputs &amp; Assumptions'!$B$8/2),'I_Budget Input Data'!$D$150*0.4/('I_Inputs &amp; Assumptions'!$B$8/2)),IF('I_Budget Input Data'!$E$150="Back-loaded",IF(35&lt;='I_Inputs &amp; Assumptions'!$B$8/2,'I_Budget Input Data'!$D$150*0.4/('I_Inputs &amp; Assumptions'!$B$8/2),'I_Budget Input Data'!$D$150*0.6/('I_Inputs &amp; Assumptions'!$B$8/2)),IF('I_Budget Input Data'!$E$150="Mid-weighted",IF(35&lt;='I_Inputs &amp; Assumptions'!$B$8/4,'I_Budget Input Data'!$D$150*0.2/('I_Inputs &amp; Assumptions'!$B$8/4),IF(35&lt;='I_Inputs &amp; Assumptions'!$B$8*0.75,'I_Budget Input Data'!$D$150*0.6/('I_Inputs &amp; Assumptions'!$B$8/2),'I_Budget Input Data'!$D$150*0.2/('I_Inputs &amp; Assumptions'!$B$8/4))),IF('I_Budget Input Data'!$E$150="At Completion",IF(35='I_Inputs &amp; Assumptions'!$B$8,'I_Budget Input Data'!$D$150,0),'I_Budget Input Data'!$D$150/'I_Inputs &amp; Assumptions'!$B$8)))))),0)</f>
        <v>0</v>
      </c>
      <c r="AL150" s="91">
        <f>IF(36&lt;='I_Inputs &amp; Assumptions'!$B$8,IF('I_Budget Input Data'!$E$150="Upfront",IF(36=1,'I_Budget Input Data'!$D$150,0),IF('I_Budget Input Data'!$E$150="Equal",'I_Budget Input Data'!$D$150/'I_Inputs &amp; Assumptions'!$B$8,IF('I_Budget Input Data'!$E$150="Front-loaded",IF(36&lt;='I_Inputs &amp; Assumptions'!$B$8/2,'I_Budget Input Data'!$D$150*0.6/('I_Inputs &amp; Assumptions'!$B$8/2),'I_Budget Input Data'!$D$150*0.4/('I_Inputs &amp; Assumptions'!$B$8/2)),IF('I_Budget Input Data'!$E$150="Back-loaded",IF(36&lt;='I_Inputs &amp; Assumptions'!$B$8/2,'I_Budget Input Data'!$D$150*0.4/('I_Inputs &amp; Assumptions'!$B$8/2),'I_Budget Input Data'!$D$150*0.6/('I_Inputs &amp; Assumptions'!$B$8/2)),IF('I_Budget Input Data'!$E$150="Mid-weighted",IF(36&lt;='I_Inputs &amp; Assumptions'!$B$8/4,'I_Budget Input Data'!$D$150*0.2/('I_Inputs &amp; Assumptions'!$B$8/4),IF(36&lt;='I_Inputs &amp; Assumptions'!$B$8*0.75,'I_Budget Input Data'!$D$150*0.6/('I_Inputs &amp; Assumptions'!$B$8/2),'I_Budget Input Data'!$D$150*0.2/('I_Inputs &amp; Assumptions'!$B$8/4))),IF('I_Budget Input Data'!$E$150="At Completion",IF(36='I_Inputs &amp; Assumptions'!$B$8,'I_Budget Input Data'!$D$150,0),'I_Budget Input Data'!$D$150/'I_Inputs &amp; Assumptions'!$B$8)))))),0)</f>
        <v>0</v>
      </c>
    </row>
    <row r="151" spans="1:38" ht="15" customHeight="1" x14ac:dyDescent="0.2">
      <c r="A151" t="s">
        <v>248</v>
      </c>
      <c r="B151" t="s">
        <v>266</v>
      </c>
      <c r="C151" s="91">
        <f>IF(1&lt;='I_Inputs &amp; Assumptions'!$B$8,IF('I_Budget Input Data'!$E$151="Upfront",IF(1=1,'I_Budget Input Data'!$D$151,0),IF('I_Budget Input Data'!$E$151="Equal",'I_Budget Input Data'!$D$151/'I_Inputs &amp; Assumptions'!$B$8,IF('I_Budget Input Data'!$E$151="Front-loaded",IF(1&lt;='I_Inputs &amp; Assumptions'!$B$8/2,'I_Budget Input Data'!$D$151*0.6/('I_Inputs &amp; Assumptions'!$B$8/2),'I_Budget Input Data'!$D$151*0.4/('I_Inputs &amp; Assumptions'!$B$8/2)),IF('I_Budget Input Data'!$E$151="Back-loaded",IF(1&lt;='I_Inputs &amp; Assumptions'!$B$8/2,'I_Budget Input Data'!$D$151*0.4/('I_Inputs &amp; Assumptions'!$B$8/2),'I_Budget Input Data'!$D$151*0.6/('I_Inputs &amp; Assumptions'!$B$8/2)),IF('I_Budget Input Data'!$E$151="Mid-weighted",IF(1&lt;='I_Inputs &amp; Assumptions'!$B$8/4,'I_Budget Input Data'!$D$151*0.2/('I_Inputs &amp; Assumptions'!$B$8/4),IF(1&lt;='I_Inputs &amp; Assumptions'!$B$8*0.75,'I_Budget Input Data'!$D$151*0.6/('I_Inputs &amp; Assumptions'!$B$8/2),'I_Budget Input Data'!$D$151*0.2/('I_Inputs &amp; Assumptions'!$B$8/4))),IF('I_Budget Input Data'!$E$151="At Completion",IF(1='I_Inputs &amp; Assumptions'!$B$8,'I_Budget Input Data'!$D$151,0),'I_Budget Input Data'!$D$151/'I_Inputs &amp; Assumptions'!$B$8)))))),0)</f>
        <v>8614.0615384615394</v>
      </c>
      <c r="D151" s="91">
        <f>IF(2&lt;='I_Inputs &amp; Assumptions'!$B$8,IF('I_Budget Input Data'!$E$151="Upfront",IF(2=1,'I_Budget Input Data'!$D$151,0),IF('I_Budget Input Data'!$E$151="Equal",'I_Budget Input Data'!$D$151/'I_Inputs &amp; Assumptions'!$B$8,IF('I_Budget Input Data'!$E$151="Front-loaded",IF(2&lt;='I_Inputs &amp; Assumptions'!$B$8/2,'I_Budget Input Data'!$D$151*0.6/('I_Inputs &amp; Assumptions'!$B$8/2),'I_Budget Input Data'!$D$151*0.4/('I_Inputs &amp; Assumptions'!$B$8/2)),IF('I_Budget Input Data'!$E$151="Back-loaded",IF(2&lt;='I_Inputs &amp; Assumptions'!$B$8/2,'I_Budget Input Data'!$D$151*0.4/('I_Inputs &amp; Assumptions'!$B$8/2),'I_Budget Input Data'!$D$151*0.6/('I_Inputs &amp; Assumptions'!$B$8/2)),IF('I_Budget Input Data'!$E$151="Mid-weighted",IF(2&lt;='I_Inputs &amp; Assumptions'!$B$8/4,'I_Budget Input Data'!$D$151*0.2/('I_Inputs &amp; Assumptions'!$B$8/4),IF(2&lt;='I_Inputs &amp; Assumptions'!$B$8*0.75,'I_Budget Input Data'!$D$151*0.6/('I_Inputs &amp; Assumptions'!$B$8/2),'I_Budget Input Data'!$D$151*0.2/('I_Inputs &amp; Assumptions'!$B$8/4))),IF('I_Budget Input Data'!$E$151="At Completion",IF(2='I_Inputs &amp; Assumptions'!$B$8,'I_Budget Input Data'!$D$151,0),'I_Budget Input Data'!$D$151/'I_Inputs &amp; Assumptions'!$B$8)))))),0)</f>
        <v>8614.0615384615394</v>
      </c>
      <c r="E151" s="91">
        <f>IF(3&lt;='I_Inputs &amp; Assumptions'!$B$8,IF('I_Budget Input Data'!$E$151="Upfront",IF(3=1,'I_Budget Input Data'!$D$151,0),IF('I_Budget Input Data'!$E$151="Equal",'I_Budget Input Data'!$D$151/'I_Inputs &amp; Assumptions'!$B$8,IF('I_Budget Input Data'!$E$151="Front-loaded",IF(3&lt;='I_Inputs &amp; Assumptions'!$B$8/2,'I_Budget Input Data'!$D$151*0.6/('I_Inputs &amp; Assumptions'!$B$8/2),'I_Budget Input Data'!$D$151*0.4/('I_Inputs &amp; Assumptions'!$B$8/2)),IF('I_Budget Input Data'!$E$151="Back-loaded",IF(3&lt;='I_Inputs &amp; Assumptions'!$B$8/2,'I_Budget Input Data'!$D$151*0.4/('I_Inputs &amp; Assumptions'!$B$8/2),'I_Budget Input Data'!$D$151*0.6/('I_Inputs &amp; Assumptions'!$B$8/2)),IF('I_Budget Input Data'!$E$151="Mid-weighted",IF(3&lt;='I_Inputs &amp; Assumptions'!$B$8/4,'I_Budget Input Data'!$D$151*0.2/('I_Inputs &amp; Assumptions'!$B$8/4),IF(3&lt;='I_Inputs &amp; Assumptions'!$B$8*0.75,'I_Budget Input Data'!$D$151*0.6/('I_Inputs &amp; Assumptions'!$B$8/2),'I_Budget Input Data'!$D$151*0.2/('I_Inputs &amp; Assumptions'!$B$8/4))),IF('I_Budget Input Data'!$E$151="At Completion",IF(3='I_Inputs &amp; Assumptions'!$B$8,'I_Budget Input Data'!$D$151,0),'I_Budget Input Data'!$D$151/'I_Inputs &amp; Assumptions'!$B$8)))))),0)</f>
        <v>8614.0615384615394</v>
      </c>
      <c r="F151" s="91">
        <f>IF(4&lt;='I_Inputs &amp; Assumptions'!$B$8,IF('I_Budget Input Data'!$E$151="Upfront",IF(4=1,'I_Budget Input Data'!$D$151,0),IF('I_Budget Input Data'!$E$151="Equal",'I_Budget Input Data'!$D$151/'I_Inputs &amp; Assumptions'!$B$8,IF('I_Budget Input Data'!$E$151="Front-loaded",IF(4&lt;='I_Inputs &amp; Assumptions'!$B$8/2,'I_Budget Input Data'!$D$151*0.6/('I_Inputs &amp; Assumptions'!$B$8/2),'I_Budget Input Data'!$D$151*0.4/('I_Inputs &amp; Assumptions'!$B$8/2)),IF('I_Budget Input Data'!$E$151="Back-loaded",IF(4&lt;='I_Inputs &amp; Assumptions'!$B$8/2,'I_Budget Input Data'!$D$151*0.4/('I_Inputs &amp; Assumptions'!$B$8/2),'I_Budget Input Data'!$D$151*0.6/('I_Inputs &amp; Assumptions'!$B$8/2)),IF('I_Budget Input Data'!$E$151="Mid-weighted",IF(4&lt;='I_Inputs &amp; Assumptions'!$B$8/4,'I_Budget Input Data'!$D$151*0.2/('I_Inputs &amp; Assumptions'!$B$8/4),IF(4&lt;='I_Inputs &amp; Assumptions'!$B$8*0.75,'I_Budget Input Data'!$D$151*0.6/('I_Inputs &amp; Assumptions'!$B$8/2),'I_Budget Input Data'!$D$151*0.2/('I_Inputs &amp; Assumptions'!$B$8/4))),IF('I_Budget Input Data'!$E$151="At Completion",IF(4='I_Inputs &amp; Assumptions'!$B$8,'I_Budget Input Data'!$D$151,0),'I_Budget Input Data'!$D$151/'I_Inputs &amp; Assumptions'!$B$8)))))),0)</f>
        <v>8614.0615384615394</v>
      </c>
      <c r="G151" s="91">
        <f>IF(5&lt;='I_Inputs &amp; Assumptions'!$B$8,IF('I_Budget Input Data'!$E$151="Upfront",IF(5=1,'I_Budget Input Data'!$D$151,0),IF('I_Budget Input Data'!$E$151="Equal",'I_Budget Input Data'!$D$151/'I_Inputs &amp; Assumptions'!$B$8,IF('I_Budget Input Data'!$E$151="Front-loaded",IF(5&lt;='I_Inputs &amp; Assumptions'!$B$8/2,'I_Budget Input Data'!$D$151*0.6/('I_Inputs &amp; Assumptions'!$B$8/2),'I_Budget Input Data'!$D$151*0.4/('I_Inputs &amp; Assumptions'!$B$8/2)),IF('I_Budget Input Data'!$E$151="Back-loaded",IF(5&lt;='I_Inputs &amp; Assumptions'!$B$8/2,'I_Budget Input Data'!$D$151*0.4/('I_Inputs &amp; Assumptions'!$B$8/2),'I_Budget Input Data'!$D$151*0.6/('I_Inputs &amp; Assumptions'!$B$8/2)),IF('I_Budget Input Data'!$E$151="Mid-weighted",IF(5&lt;='I_Inputs &amp; Assumptions'!$B$8/4,'I_Budget Input Data'!$D$151*0.2/('I_Inputs &amp; Assumptions'!$B$8/4),IF(5&lt;='I_Inputs &amp; Assumptions'!$B$8*0.75,'I_Budget Input Data'!$D$151*0.6/('I_Inputs &amp; Assumptions'!$B$8/2),'I_Budget Input Data'!$D$151*0.2/('I_Inputs &amp; Assumptions'!$B$8/4))),IF('I_Budget Input Data'!$E$151="At Completion",IF(5='I_Inputs &amp; Assumptions'!$B$8,'I_Budget Input Data'!$D$151,0),'I_Budget Input Data'!$D$151/'I_Inputs &amp; Assumptions'!$B$8)))))),0)</f>
        <v>8614.0615384615394</v>
      </c>
      <c r="H151" s="91">
        <f>IF(6&lt;='I_Inputs &amp; Assumptions'!$B$8,IF('I_Budget Input Data'!$E$151="Upfront",IF(6=1,'I_Budget Input Data'!$D$151,0),IF('I_Budget Input Data'!$E$151="Equal",'I_Budget Input Data'!$D$151/'I_Inputs &amp; Assumptions'!$B$8,IF('I_Budget Input Data'!$E$151="Front-loaded",IF(6&lt;='I_Inputs &amp; Assumptions'!$B$8/2,'I_Budget Input Data'!$D$151*0.6/('I_Inputs &amp; Assumptions'!$B$8/2),'I_Budget Input Data'!$D$151*0.4/('I_Inputs &amp; Assumptions'!$B$8/2)),IF('I_Budget Input Data'!$E$151="Back-loaded",IF(6&lt;='I_Inputs &amp; Assumptions'!$B$8/2,'I_Budget Input Data'!$D$151*0.4/('I_Inputs &amp; Assumptions'!$B$8/2),'I_Budget Input Data'!$D$151*0.6/('I_Inputs &amp; Assumptions'!$B$8/2)),IF('I_Budget Input Data'!$E$151="Mid-weighted",IF(6&lt;='I_Inputs &amp; Assumptions'!$B$8/4,'I_Budget Input Data'!$D$151*0.2/('I_Inputs &amp; Assumptions'!$B$8/4),IF(6&lt;='I_Inputs &amp; Assumptions'!$B$8*0.75,'I_Budget Input Data'!$D$151*0.6/('I_Inputs &amp; Assumptions'!$B$8/2),'I_Budget Input Data'!$D$151*0.2/('I_Inputs &amp; Assumptions'!$B$8/4))),IF('I_Budget Input Data'!$E$151="At Completion",IF(6='I_Inputs &amp; Assumptions'!$B$8,'I_Budget Input Data'!$D$151,0),'I_Budget Input Data'!$D$151/'I_Inputs &amp; Assumptions'!$B$8)))))),0)</f>
        <v>8614.0615384615394</v>
      </c>
      <c r="I151" s="91">
        <f>IF(7&lt;='I_Inputs &amp; Assumptions'!$B$8,IF('I_Budget Input Data'!$E$151="Upfront",IF(7=1,'I_Budget Input Data'!$D$151,0),IF('I_Budget Input Data'!$E$151="Equal",'I_Budget Input Data'!$D$151/'I_Inputs &amp; Assumptions'!$B$8,IF('I_Budget Input Data'!$E$151="Front-loaded",IF(7&lt;='I_Inputs &amp; Assumptions'!$B$8/2,'I_Budget Input Data'!$D$151*0.6/('I_Inputs &amp; Assumptions'!$B$8/2),'I_Budget Input Data'!$D$151*0.4/('I_Inputs &amp; Assumptions'!$B$8/2)),IF('I_Budget Input Data'!$E$151="Back-loaded",IF(7&lt;='I_Inputs &amp; Assumptions'!$B$8/2,'I_Budget Input Data'!$D$151*0.4/('I_Inputs &amp; Assumptions'!$B$8/2),'I_Budget Input Data'!$D$151*0.6/('I_Inputs &amp; Assumptions'!$B$8/2)),IF('I_Budget Input Data'!$E$151="Mid-weighted",IF(7&lt;='I_Inputs &amp; Assumptions'!$B$8/4,'I_Budget Input Data'!$D$151*0.2/('I_Inputs &amp; Assumptions'!$B$8/4),IF(7&lt;='I_Inputs &amp; Assumptions'!$B$8*0.75,'I_Budget Input Data'!$D$151*0.6/('I_Inputs &amp; Assumptions'!$B$8/2),'I_Budget Input Data'!$D$151*0.2/('I_Inputs &amp; Assumptions'!$B$8/4))),IF('I_Budget Input Data'!$E$151="At Completion",IF(7='I_Inputs &amp; Assumptions'!$B$8,'I_Budget Input Data'!$D$151,0),'I_Budget Input Data'!$D$151/'I_Inputs &amp; Assumptions'!$B$8)))))),0)</f>
        <v>5742.707692307692</v>
      </c>
      <c r="J151" s="91">
        <f>IF(8&lt;='I_Inputs &amp; Assumptions'!$B$8,IF('I_Budget Input Data'!$E$151="Upfront",IF(8=1,'I_Budget Input Data'!$D$151,0),IF('I_Budget Input Data'!$E$151="Equal",'I_Budget Input Data'!$D$151/'I_Inputs &amp; Assumptions'!$B$8,IF('I_Budget Input Data'!$E$151="Front-loaded",IF(8&lt;='I_Inputs &amp; Assumptions'!$B$8/2,'I_Budget Input Data'!$D$151*0.6/('I_Inputs &amp; Assumptions'!$B$8/2),'I_Budget Input Data'!$D$151*0.4/('I_Inputs &amp; Assumptions'!$B$8/2)),IF('I_Budget Input Data'!$E$151="Back-loaded",IF(8&lt;='I_Inputs &amp; Assumptions'!$B$8/2,'I_Budget Input Data'!$D$151*0.4/('I_Inputs &amp; Assumptions'!$B$8/2),'I_Budget Input Data'!$D$151*0.6/('I_Inputs &amp; Assumptions'!$B$8/2)),IF('I_Budget Input Data'!$E$151="Mid-weighted",IF(8&lt;='I_Inputs &amp; Assumptions'!$B$8/4,'I_Budget Input Data'!$D$151*0.2/('I_Inputs &amp; Assumptions'!$B$8/4),IF(8&lt;='I_Inputs &amp; Assumptions'!$B$8*0.75,'I_Budget Input Data'!$D$151*0.6/('I_Inputs &amp; Assumptions'!$B$8/2),'I_Budget Input Data'!$D$151*0.2/('I_Inputs &amp; Assumptions'!$B$8/4))),IF('I_Budget Input Data'!$E$151="At Completion",IF(8='I_Inputs &amp; Assumptions'!$B$8,'I_Budget Input Data'!$D$151,0),'I_Budget Input Data'!$D$151/'I_Inputs &amp; Assumptions'!$B$8)))))),0)</f>
        <v>5742.707692307692</v>
      </c>
      <c r="K151" s="91">
        <f>IF(9&lt;='I_Inputs &amp; Assumptions'!$B$8,IF('I_Budget Input Data'!$E$151="Upfront",IF(9=1,'I_Budget Input Data'!$D$151,0),IF('I_Budget Input Data'!$E$151="Equal",'I_Budget Input Data'!$D$151/'I_Inputs &amp; Assumptions'!$B$8,IF('I_Budget Input Data'!$E$151="Front-loaded",IF(9&lt;='I_Inputs &amp; Assumptions'!$B$8/2,'I_Budget Input Data'!$D$151*0.6/('I_Inputs &amp; Assumptions'!$B$8/2),'I_Budget Input Data'!$D$151*0.4/('I_Inputs &amp; Assumptions'!$B$8/2)),IF('I_Budget Input Data'!$E$151="Back-loaded",IF(9&lt;='I_Inputs &amp; Assumptions'!$B$8/2,'I_Budget Input Data'!$D$151*0.4/('I_Inputs &amp; Assumptions'!$B$8/2),'I_Budget Input Data'!$D$151*0.6/('I_Inputs &amp; Assumptions'!$B$8/2)),IF('I_Budget Input Data'!$E$151="Mid-weighted",IF(9&lt;='I_Inputs &amp; Assumptions'!$B$8/4,'I_Budget Input Data'!$D$151*0.2/('I_Inputs &amp; Assumptions'!$B$8/4),IF(9&lt;='I_Inputs &amp; Assumptions'!$B$8*0.75,'I_Budget Input Data'!$D$151*0.6/('I_Inputs &amp; Assumptions'!$B$8/2),'I_Budget Input Data'!$D$151*0.2/('I_Inputs &amp; Assumptions'!$B$8/4))),IF('I_Budget Input Data'!$E$151="At Completion",IF(9='I_Inputs &amp; Assumptions'!$B$8,'I_Budget Input Data'!$D$151,0),'I_Budget Input Data'!$D$151/'I_Inputs &amp; Assumptions'!$B$8)))))),0)</f>
        <v>5742.707692307692</v>
      </c>
      <c r="L151" s="91">
        <f>IF(10&lt;='I_Inputs &amp; Assumptions'!$B$8,IF('I_Budget Input Data'!$E$151="Upfront",IF(10=1,'I_Budget Input Data'!$D$151,0),IF('I_Budget Input Data'!$E$151="Equal",'I_Budget Input Data'!$D$151/'I_Inputs &amp; Assumptions'!$B$8,IF('I_Budget Input Data'!$E$151="Front-loaded",IF(10&lt;='I_Inputs &amp; Assumptions'!$B$8/2,'I_Budget Input Data'!$D$151*0.6/('I_Inputs &amp; Assumptions'!$B$8/2),'I_Budget Input Data'!$D$151*0.4/('I_Inputs &amp; Assumptions'!$B$8/2)),IF('I_Budget Input Data'!$E$151="Back-loaded",IF(10&lt;='I_Inputs &amp; Assumptions'!$B$8/2,'I_Budget Input Data'!$D$151*0.4/('I_Inputs &amp; Assumptions'!$B$8/2),'I_Budget Input Data'!$D$151*0.6/('I_Inputs &amp; Assumptions'!$B$8/2)),IF('I_Budget Input Data'!$E$151="Mid-weighted",IF(10&lt;='I_Inputs &amp; Assumptions'!$B$8/4,'I_Budget Input Data'!$D$151*0.2/('I_Inputs &amp; Assumptions'!$B$8/4),IF(10&lt;='I_Inputs &amp; Assumptions'!$B$8*0.75,'I_Budget Input Data'!$D$151*0.6/('I_Inputs &amp; Assumptions'!$B$8/2),'I_Budget Input Data'!$D$151*0.2/('I_Inputs &amp; Assumptions'!$B$8/4))),IF('I_Budget Input Data'!$E$151="At Completion",IF(10='I_Inputs &amp; Assumptions'!$B$8,'I_Budget Input Data'!$D$151,0),'I_Budget Input Data'!$D$151/'I_Inputs &amp; Assumptions'!$B$8)))))),0)</f>
        <v>5742.707692307692</v>
      </c>
      <c r="M151" s="91">
        <f>IF(11&lt;='I_Inputs &amp; Assumptions'!$B$8,IF('I_Budget Input Data'!$E$151="Upfront",IF(11=1,'I_Budget Input Data'!$D$151,0),IF('I_Budget Input Data'!$E$151="Equal",'I_Budget Input Data'!$D$151/'I_Inputs &amp; Assumptions'!$B$8,IF('I_Budget Input Data'!$E$151="Front-loaded",IF(11&lt;='I_Inputs &amp; Assumptions'!$B$8/2,'I_Budget Input Data'!$D$151*0.6/('I_Inputs &amp; Assumptions'!$B$8/2),'I_Budget Input Data'!$D$151*0.4/('I_Inputs &amp; Assumptions'!$B$8/2)),IF('I_Budget Input Data'!$E$151="Back-loaded",IF(11&lt;='I_Inputs &amp; Assumptions'!$B$8/2,'I_Budget Input Data'!$D$151*0.4/('I_Inputs &amp; Assumptions'!$B$8/2),'I_Budget Input Data'!$D$151*0.6/('I_Inputs &amp; Assumptions'!$B$8/2)),IF('I_Budget Input Data'!$E$151="Mid-weighted",IF(11&lt;='I_Inputs &amp; Assumptions'!$B$8/4,'I_Budget Input Data'!$D$151*0.2/('I_Inputs &amp; Assumptions'!$B$8/4),IF(11&lt;='I_Inputs &amp; Assumptions'!$B$8*0.75,'I_Budget Input Data'!$D$151*0.6/('I_Inputs &amp; Assumptions'!$B$8/2),'I_Budget Input Data'!$D$151*0.2/('I_Inputs &amp; Assumptions'!$B$8/4))),IF('I_Budget Input Data'!$E$151="At Completion",IF(11='I_Inputs &amp; Assumptions'!$B$8,'I_Budget Input Data'!$D$151,0),'I_Budget Input Data'!$D$151/'I_Inputs &amp; Assumptions'!$B$8)))))),0)</f>
        <v>5742.707692307692</v>
      </c>
      <c r="N151" s="91">
        <f>IF(12&lt;='I_Inputs &amp; Assumptions'!$B$8,IF('I_Budget Input Data'!$E$151="Upfront",IF(12=1,'I_Budget Input Data'!$D$151,0),IF('I_Budget Input Data'!$E$151="Equal",'I_Budget Input Data'!$D$151/'I_Inputs &amp; Assumptions'!$B$8,IF('I_Budget Input Data'!$E$151="Front-loaded",IF(12&lt;='I_Inputs &amp; Assumptions'!$B$8/2,'I_Budget Input Data'!$D$151*0.6/('I_Inputs &amp; Assumptions'!$B$8/2),'I_Budget Input Data'!$D$151*0.4/('I_Inputs &amp; Assumptions'!$B$8/2)),IF('I_Budget Input Data'!$E$151="Back-loaded",IF(12&lt;='I_Inputs &amp; Assumptions'!$B$8/2,'I_Budget Input Data'!$D$151*0.4/('I_Inputs &amp; Assumptions'!$B$8/2),'I_Budget Input Data'!$D$151*0.6/('I_Inputs &amp; Assumptions'!$B$8/2)),IF('I_Budget Input Data'!$E$151="Mid-weighted",IF(12&lt;='I_Inputs &amp; Assumptions'!$B$8/4,'I_Budget Input Data'!$D$151*0.2/('I_Inputs &amp; Assumptions'!$B$8/4),IF(12&lt;='I_Inputs &amp; Assumptions'!$B$8*0.75,'I_Budget Input Data'!$D$151*0.6/('I_Inputs &amp; Assumptions'!$B$8/2),'I_Budget Input Data'!$D$151*0.2/('I_Inputs &amp; Assumptions'!$B$8/4))),IF('I_Budget Input Data'!$E$151="At Completion",IF(12='I_Inputs &amp; Assumptions'!$B$8,'I_Budget Input Data'!$D$151,0),'I_Budget Input Data'!$D$151/'I_Inputs &amp; Assumptions'!$B$8)))))),0)</f>
        <v>5742.707692307692</v>
      </c>
      <c r="O151" s="91">
        <f>IF(13&lt;='I_Inputs &amp; Assumptions'!$B$8,IF('I_Budget Input Data'!$E$151="Upfront",IF(13=1,'I_Budget Input Data'!$D$151,0),IF('I_Budget Input Data'!$E$151="Equal",'I_Budget Input Data'!$D$151/'I_Inputs &amp; Assumptions'!$B$8,IF('I_Budget Input Data'!$E$151="Front-loaded",IF(13&lt;='I_Inputs &amp; Assumptions'!$B$8/2,'I_Budget Input Data'!$D$151*0.6/('I_Inputs &amp; Assumptions'!$B$8/2),'I_Budget Input Data'!$D$151*0.4/('I_Inputs &amp; Assumptions'!$B$8/2)),IF('I_Budget Input Data'!$E$151="Back-loaded",IF(13&lt;='I_Inputs &amp; Assumptions'!$B$8/2,'I_Budget Input Data'!$D$151*0.4/('I_Inputs &amp; Assumptions'!$B$8/2),'I_Budget Input Data'!$D$151*0.6/('I_Inputs &amp; Assumptions'!$B$8/2)),IF('I_Budget Input Data'!$E$151="Mid-weighted",IF(13&lt;='I_Inputs &amp; Assumptions'!$B$8/4,'I_Budget Input Data'!$D$151*0.2/('I_Inputs &amp; Assumptions'!$B$8/4),IF(13&lt;='I_Inputs &amp; Assumptions'!$B$8*0.75,'I_Budget Input Data'!$D$151*0.6/('I_Inputs &amp; Assumptions'!$B$8/2),'I_Budget Input Data'!$D$151*0.2/('I_Inputs &amp; Assumptions'!$B$8/4))),IF('I_Budget Input Data'!$E$151="At Completion",IF(13='I_Inputs &amp; Assumptions'!$B$8,'I_Budget Input Data'!$D$151,0),'I_Budget Input Data'!$D$151/'I_Inputs &amp; Assumptions'!$B$8)))))),0)</f>
        <v>5742.707692307692</v>
      </c>
      <c r="P151" s="91">
        <f>IF(14&lt;='I_Inputs &amp; Assumptions'!$B$8,IF('I_Budget Input Data'!$E$151="Upfront",IF(14=1,'I_Budget Input Data'!$D$151,0),IF('I_Budget Input Data'!$E$151="Equal",'I_Budget Input Data'!$D$151/'I_Inputs &amp; Assumptions'!$B$8,IF('I_Budget Input Data'!$E$151="Front-loaded",IF(14&lt;='I_Inputs &amp; Assumptions'!$B$8/2,'I_Budget Input Data'!$D$151*0.6/('I_Inputs &amp; Assumptions'!$B$8/2),'I_Budget Input Data'!$D$151*0.4/('I_Inputs &amp; Assumptions'!$B$8/2)),IF('I_Budget Input Data'!$E$151="Back-loaded",IF(14&lt;='I_Inputs &amp; Assumptions'!$B$8/2,'I_Budget Input Data'!$D$151*0.4/('I_Inputs &amp; Assumptions'!$B$8/2),'I_Budget Input Data'!$D$151*0.6/('I_Inputs &amp; Assumptions'!$B$8/2)),IF('I_Budget Input Data'!$E$151="Mid-weighted",IF(14&lt;='I_Inputs &amp; Assumptions'!$B$8/4,'I_Budget Input Data'!$D$151*0.2/('I_Inputs &amp; Assumptions'!$B$8/4),IF(14&lt;='I_Inputs &amp; Assumptions'!$B$8*0.75,'I_Budget Input Data'!$D$151*0.6/('I_Inputs &amp; Assumptions'!$B$8/2),'I_Budget Input Data'!$D$151*0.2/('I_Inputs &amp; Assumptions'!$B$8/4))),IF('I_Budget Input Data'!$E$151="At Completion",IF(14='I_Inputs &amp; Assumptions'!$B$8,'I_Budget Input Data'!$D$151,0),'I_Budget Input Data'!$D$151/'I_Inputs &amp; Assumptions'!$B$8)))))),0)</f>
        <v>0</v>
      </c>
      <c r="Q151" s="91">
        <f>IF(15&lt;='I_Inputs &amp; Assumptions'!$B$8,IF('I_Budget Input Data'!$E$151="Upfront",IF(15=1,'I_Budget Input Data'!$D$151,0),IF('I_Budget Input Data'!$E$151="Equal",'I_Budget Input Data'!$D$151/'I_Inputs &amp; Assumptions'!$B$8,IF('I_Budget Input Data'!$E$151="Front-loaded",IF(15&lt;='I_Inputs &amp; Assumptions'!$B$8/2,'I_Budget Input Data'!$D$151*0.6/('I_Inputs &amp; Assumptions'!$B$8/2),'I_Budget Input Data'!$D$151*0.4/('I_Inputs &amp; Assumptions'!$B$8/2)),IF('I_Budget Input Data'!$E$151="Back-loaded",IF(15&lt;='I_Inputs &amp; Assumptions'!$B$8/2,'I_Budget Input Data'!$D$151*0.4/('I_Inputs &amp; Assumptions'!$B$8/2),'I_Budget Input Data'!$D$151*0.6/('I_Inputs &amp; Assumptions'!$B$8/2)),IF('I_Budget Input Data'!$E$151="Mid-weighted",IF(15&lt;='I_Inputs &amp; Assumptions'!$B$8/4,'I_Budget Input Data'!$D$151*0.2/('I_Inputs &amp; Assumptions'!$B$8/4),IF(15&lt;='I_Inputs &amp; Assumptions'!$B$8*0.75,'I_Budget Input Data'!$D$151*0.6/('I_Inputs &amp; Assumptions'!$B$8/2),'I_Budget Input Data'!$D$151*0.2/('I_Inputs &amp; Assumptions'!$B$8/4))),IF('I_Budget Input Data'!$E$151="At Completion",IF(15='I_Inputs &amp; Assumptions'!$B$8,'I_Budget Input Data'!$D$151,0),'I_Budget Input Data'!$D$151/'I_Inputs &amp; Assumptions'!$B$8)))))),0)</f>
        <v>0</v>
      </c>
      <c r="R151" s="91">
        <f>IF(16&lt;='I_Inputs &amp; Assumptions'!$B$8,IF('I_Budget Input Data'!$E$151="Upfront",IF(16=1,'I_Budget Input Data'!$D$151,0),IF('I_Budget Input Data'!$E$151="Equal",'I_Budget Input Data'!$D$151/'I_Inputs &amp; Assumptions'!$B$8,IF('I_Budget Input Data'!$E$151="Front-loaded",IF(16&lt;='I_Inputs &amp; Assumptions'!$B$8/2,'I_Budget Input Data'!$D$151*0.6/('I_Inputs &amp; Assumptions'!$B$8/2),'I_Budget Input Data'!$D$151*0.4/('I_Inputs &amp; Assumptions'!$B$8/2)),IF('I_Budget Input Data'!$E$151="Back-loaded",IF(16&lt;='I_Inputs &amp; Assumptions'!$B$8/2,'I_Budget Input Data'!$D$151*0.4/('I_Inputs &amp; Assumptions'!$B$8/2),'I_Budget Input Data'!$D$151*0.6/('I_Inputs &amp; Assumptions'!$B$8/2)),IF('I_Budget Input Data'!$E$151="Mid-weighted",IF(16&lt;='I_Inputs &amp; Assumptions'!$B$8/4,'I_Budget Input Data'!$D$151*0.2/('I_Inputs &amp; Assumptions'!$B$8/4),IF(16&lt;='I_Inputs &amp; Assumptions'!$B$8*0.75,'I_Budget Input Data'!$D$151*0.6/('I_Inputs &amp; Assumptions'!$B$8/2),'I_Budget Input Data'!$D$151*0.2/('I_Inputs &amp; Assumptions'!$B$8/4))),IF('I_Budget Input Data'!$E$151="At Completion",IF(16='I_Inputs &amp; Assumptions'!$B$8,'I_Budget Input Data'!$D$151,0),'I_Budget Input Data'!$D$151/'I_Inputs &amp; Assumptions'!$B$8)))))),0)</f>
        <v>0</v>
      </c>
      <c r="S151" s="91">
        <f>IF(17&lt;='I_Inputs &amp; Assumptions'!$B$8,IF('I_Budget Input Data'!$E$151="Upfront",IF(17=1,'I_Budget Input Data'!$D$151,0),IF('I_Budget Input Data'!$E$151="Equal",'I_Budget Input Data'!$D$151/'I_Inputs &amp; Assumptions'!$B$8,IF('I_Budget Input Data'!$E$151="Front-loaded",IF(17&lt;='I_Inputs &amp; Assumptions'!$B$8/2,'I_Budget Input Data'!$D$151*0.6/('I_Inputs &amp; Assumptions'!$B$8/2),'I_Budget Input Data'!$D$151*0.4/('I_Inputs &amp; Assumptions'!$B$8/2)),IF('I_Budget Input Data'!$E$151="Back-loaded",IF(17&lt;='I_Inputs &amp; Assumptions'!$B$8/2,'I_Budget Input Data'!$D$151*0.4/('I_Inputs &amp; Assumptions'!$B$8/2),'I_Budget Input Data'!$D$151*0.6/('I_Inputs &amp; Assumptions'!$B$8/2)),IF('I_Budget Input Data'!$E$151="Mid-weighted",IF(17&lt;='I_Inputs &amp; Assumptions'!$B$8/4,'I_Budget Input Data'!$D$151*0.2/('I_Inputs &amp; Assumptions'!$B$8/4),IF(17&lt;='I_Inputs &amp; Assumptions'!$B$8*0.75,'I_Budget Input Data'!$D$151*0.6/('I_Inputs &amp; Assumptions'!$B$8/2),'I_Budget Input Data'!$D$151*0.2/('I_Inputs &amp; Assumptions'!$B$8/4))),IF('I_Budget Input Data'!$E$151="At Completion",IF(17='I_Inputs &amp; Assumptions'!$B$8,'I_Budget Input Data'!$D$151,0),'I_Budget Input Data'!$D$151/'I_Inputs &amp; Assumptions'!$B$8)))))),0)</f>
        <v>0</v>
      </c>
      <c r="T151" s="91">
        <f>IF(18&lt;='I_Inputs &amp; Assumptions'!$B$8,IF('I_Budget Input Data'!$E$151="Upfront",IF(18=1,'I_Budget Input Data'!$D$151,0),IF('I_Budget Input Data'!$E$151="Equal",'I_Budget Input Data'!$D$151/'I_Inputs &amp; Assumptions'!$B$8,IF('I_Budget Input Data'!$E$151="Front-loaded",IF(18&lt;='I_Inputs &amp; Assumptions'!$B$8/2,'I_Budget Input Data'!$D$151*0.6/('I_Inputs &amp; Assumptions'!$B$8/2),'I_Budget Input Data'!$D$151*0.4/('I_Inputs &amp; Assumptions'!$B$8/2)),IF('I_Budget Input Data'!$E$151="Back-loaded",IF(18&lt;='I_Inputs &amp; Assumptions'!$B$8/2,'I_Budget Input Data'!$D$151*0.4/('I_Inputs &amp; Assumptions'!$B$8/2),'I_Budget Input Data'!$D$151*0.6/('I_Inputs &amp; Assumptions'!$B$8/2)),IF('I_Budget Input Data'!$E$151="Mid-weighted",IF(18&lt;='I_Inputs &amp; Assumptions'!$B$8/4,'I_Budget Input Data'!$D$151*0.2/('I_Inputs &amp; Assumptions'!$B$8/4),IF(18&lt;='I_Inputs &amp; Assumptions'!$B$8*0.75,'I_Budget Input Data'!$D$151*0.6/('I_Inputs &amp; Assumptions'!$B$8/2),'I_Budget Input Data'!$D$151*0.2/('I_Inputs &amp; Assumptions'!$B$8/4))),IF('I_Budget Input Data'!$E$151="At Completion",IF(18='I_Inputs &amp; Assumptions'!$B$8,'I_Budget Input Data'!$D$151,0),'I_Budget Input Data'!$D$151/'I_Inputs &amp; Assumptions'!$B$8)))))),0)</f>
        <v>0</v>
      </c>
      <c r="U151" s="91">
        <f>IF(19&lt;='I_Inputs &amp; Assumptions'!$B$8,IF('I_Budget Input Data'!$E$151="Upfront",IF(19=1,'I_Budget Input Data'!$D$151,0),IF('I_Budget Input Data'!$E$151="Equal",'I_Budget Input Data'!$D$151/'I_Inputs &amp; Assumptions'!$B$8,IF('I_Budget Input Data'!$E$151="Front-loaded",IF(19&lt;='I_Inputs &amp; Assumptions'!$B$8/2,'I_Budget Input Data'!$D$151*0.6/('I_Inputs &amp; Assumptions'!$B$8/2),'I_Budget Input Data'!$D$151*0.4/('I_Inputs &amp; Assumptions'!$B$8/2)),IF('I_Budget Input Data'!$E$151="Back-loaded",IF(19&lt;='I_Inputs &amp; Assumptions'!$B$8/2,'I_Budget Input Data'!$D$151*0.4/('I_Inputs &amp; Assumptions'!$B$8/2),'I_Budget Input Data'!$D$151*0.6/('I_Inputs &amp; Assumptions'!$B$8/2)),IF('I_Budget Input Data'!$E$151="Mid-weighted",IF(19&lt;='I_Inputs &amp; Assumptions'!$B$8/4,'I_Budget Input Data'!$D$151*0.2/('I_Inputs &amp; Assumptions'!$B$8/4),IF(19&lt;='I_Inputs &amp; Assumptions'!$B$8*0.75,'I_Budget Input Data'!$D$151*0.6/('I_Inputs &amp; Assumptions'!$B$8/2),'I_Budget Input Data'!$D$151*0.2/('I_Inputs &amp; Assumptions'!$B$8/4))),IF('I_Budget Input Data'!$E$151="At Completion",IF(19='I_Inputs &amp; Assumptions'!$B$8,'I_Budget Input Data'!$D$151,0),'I_Budget Input Data'!$D$151/'I_Inputs &amp; Assumptions'!$B$8)))))),0)</f>
        <v>0</v>
      </c>
      <c r="V151" s="91">
        <f>IF(20&lt;='I_Inputs &amp; Assumptions'!$B$8,IF('I_Budget Input Data'!$E$151="Upfront",IF(20=1,'I_Budget Input Data'!$D$151,0),IF('I_Budget Input Data'!$E$151="Equal",'I_Budget Input Data'!$D$151/'I_Inputs &amp; Assumptions'!$B$8,IF('I_Budget Input Data'!$E$151="Front-loaded",IF(20&lt;='I_Inputs &amp; Assumptions'!$B$8/2,'I_Budget Input Data'!$D$151*0.6/('I_Inputs &amp; Assumptions'!$B$8/2),'I_Budget Input Data'!$D$151*0.4/('I_Inputs &amp; Assumptions'!$B$8/2)),IF('I_Budget Input Data'!$E$151="Back-loaded",IF(20&lt;='I_Inputs &amp; Assumptions'!$B$8/2,'I_Budget Input Data'!$D$151*0.4/('I_Inputs &amp; Assumptions'!$B$8/2),'I_Budget Input Data'!$D$151*0.6/('I_Inputs &amp; Assumptions'!$B$8/2)),IF('I_Budget Input Data'!$E$151="Mid-weighted",IF(20&lt;='I_Inputs &amp; Assumptions'!$B$8/4,'I_Budget Input Data'!$D$151*0.2/('I_Inputs &amp; Assumptions'!$B$8/4),IF(20&lt;='I_Inputs &amp; Assumptions'!$B$8*0.75,'I_Budget Input Data'!$D$151*0.6/('I_Inputs &amp; Assumptions'!$B$8/2),'I_Budget Input Data'!$D$151*0.2/('I_Inputs &amp; Assumptions'!$B$8/4))),IF('I_Budget Input Data'!$E$151="At Completion",IF(20='I_Inputs &amp; Assumptions'!$B$8,'I_Budget Input Data'!$D$151,0),'I_Budget Input Data'!$D$151/'I_Inputs &amp; Assumptions'!$B$8)))))),0)</f>
        <v>0</v>
      </c>
      <c r="W151" s="91">
        <f>IF(21&lt;='I_Inputs &amp; Assumptions'!$B$8,IF('I_Budget Input Data'!$E$151="Upfront",IF(21=1,'I_Budget Input Data'!$D$151,0),IF('I_Budget Input Data'!$E$151="Equal",'I_Budget Input Data'!$D$151/'I_Inputs &amp; Assumptions'!$B$8,IF('I_Budget Input Data'!$E$151="Front-loaded",IF(21&lt;='I_Inputs &amp; Assumptions'!$B$8/2,'I_Budget Input Data'!$D$151*0.6/('I_Inputs &amp; Assumptions'!$B$8/2),'I_Budget Input Data'!$D$151*0.4/('I_Inputs &amp; Assumptions'!$B$8/2)),IF('I_Budget Input Data'!$E$151="Back-loaded",IF(21&lt;='I_Inputs &amp; Assumptions'!$B$8/2,'I_Budget Input Data'!$D$151*0.4/('I_Inputs &amp; Assumptions'!$B$8/2),'I_Budget Input Data'!$D$151*0.6/('I_Inputs &amp; Assumptions'!$B$8/2)),IF('I_Budget Input Data'!$E$151="Mid-weighted",IF(21&lt;='I_Inputs &amp; Assumptions'!$B$8/4,'I_Budget Input Data'!$D$151*0.2/('I_Inputs &amp; Assumptions'!$B$8/4),IF(21&lt;='I_Inputs &amp; Assumptions'!$B$8*0.75,'I_Budget Input Data'!$D$151*0.6/('I_Inputs &amp; Assumptions'!$B$8/2),'I_Budget Input Data'!$D$151*0.2/('I_Inputs &amp; Assumptions'!$B$8/4))),IF('I_Budget Input Data'!$E$151="At Completion",IF(21='I_Inputs &amp; Assumptions'!$B$8,'I_Budget Input Data'!$D$151,0),'I_Budget Input Data'!$D$151/'I_Inputs &amp; Assumptions'!$B$8)))))),0)</f>
        <v>0</v>
      </c>
      <c r="X151" s="91">
        <f>IF(22&lt;='I_Inputs &amp; Assumptions'!$B$8,IF('I_Budget Input Data'!$E$151="Upfront",IF(22=1,'I_Budget Input Data'!$D$151,0),IF('I_Budget Input Data'!$E$151="Equal",'I_Budget Input Data'!$D$151/'I_Inputs &amp; Assumptions'!$B$8,IF('I_Budget Input Data'!$E$151="Front-loaded",IF(22&lt;='I_Inputs &amp; Assumptions'!$B$8/2,'I_Budget Input Data'!$D$151*0.6/('I_Inputs &amp; Assumptions'!$B$8/2),'I_Budget Input Data'!$D$151*0.4/('I_Inputs &amp; Assumptions'!$B$8/2)),IF('I_Budget Input Data'!$E$151="Back-loaded",IF(22&lt;='I_Inputs &amp; Assumptions'!$B$8/2,'I_Budget Input Data'!$D$151*0.4/('I_Inputs &amp; Assumptions'!$B$8/2),'I_Budget Input Data'!$D$151*0.6/('I_Inputs &amp; Assumptions'!$B$8/2)),IF('I_Budget Input Data'!$E$151="Mid-weighted",IF(22&lt;='I_Inputs &amp; Assumptions'!$B$8/4,'I_Budget Input Data'!$D$151*0.2/('I_Inputs &amp; Assumptions'!$B$8/4),IF(22&lt;='I_Inputs &amp; Assumptions'!$B$8*0.75,'I_Budget Input Data'!$D$151*0.6/('I_Inputs &amp; Assumptions'!$B$8/2),'I_Budget Input Data'!$D$151*0.2/('I_Inputs &amp; Assumptions'!$B$8/4))),IF('I_Budget Input Data'!$E$151="At Completion",IF(22='I_Inputs &amp; Assumptions'!$B$8,'I_Budget Input Data'!$D$151,0),'I_Budget Input Data'!$D$151/'I_Inputs &amp; Assumptions'!$B$8)))))),0)</f>
        <v>0</v>
      </c>
      <c r="Y151" s="91">
        <f>IF(23&lt;='I_Inputs &amp; Assumptions'!$B$8,IF('I_Budget Input Data'!$E$151="Upfront",IF(23=1,'I_Budget Input Data'!$D$151,0),IF('I_Budget Input Data'!$E$151="Equal",'I_Budget Input Data'!$D$151/'I_Inputs &amp; Assumptions'!$B$8,IF('I_Budget Input Data'!$E$151="Front-loaded",IF(23&lt;='I_Inputs &amp; Assumptions'!$B$8/2,'I_Budget Input Data'!$D$151*0.6/('I_Inputs &amp; Assumptions'!$B$8/2),'I_Budget Input Data'!$D$151*0.4/('I_Inputs &amp; Assumptions'!$B$8/2)),IF('I_Budget Input Data'!$E$151="Back-loaded",IF(23&lt;='I_Inputs &amp; Assumptions'!$B$8/2,'I_Budget Input Data'!$D$151*0.4/('I_Inputs &amp; Assumptions'!$B$8/2),'I_Budget Input Data'!$D$151*0.6/('I_Inputs &amp; Assumptions'!$B$8/2)),IF('I_Budget Input Data'!$E$151="Mid-weighted",IF(23&lt;='I_Inputs &amp; Assumptions'!$B$8/4,'I_Budget Input Data'!$D$151*0.2/('I_Inputs &amp; Assumptions'!$B$8/4),IF(23&lt;='I_Inputs &amp; Assumptions'!$B$8*0.75,'I_Budget Input Data'!$D$151*0.6/('I_Inputs &amp; Assumptions'!$B$8/2),'I_Budget Input Data'!$D$151*0.2/('I_Inputs &amp; Assumptions'!$B$8/4))),IF('I_Budget Input Data'!$E$151="At Completion",IF(23='I_Inputs &amp; Assumptions'!$B$8,'I_Budget Input Data'!$D$151,0),'I_Budget Input Data'!$D$151/'I_Inputs &amp; Assumptions'!$B$8)))))),0)</f>
        <v>0</v>
      </c>
      <c r="Z151" s="91">
        <f>IF(24&lt;='I_Inputs &amp; Assumptions'!$B$8,IF('I_Budget Input Data'!$E$151="Upfront",IF(24=1,'I_Budget Input Data'!$D$151,0),IF('I_Budget Input Data'!$E$151="Equal",'I_Budget Input Data'!$D$151/'I_Inputs &amp; Assumptions'!$B$8,IF('I_Budget Input Data'!$E$151="Front-loaded",IF(24&lt;='I_Inputs &amp; Assumptions'!$B$8/2,'I_Budget Input Data'!$D$151*0.6/('I_Inputs &amp; Assumptions'!$B$8/2),'I_Budget Input Data'!$D$151*0.4/('I_Inputs &amp; Assumptions'!$B$8/2)),IF('I_Budget Input Data'!$E$151="Back-loaded",IF(24&lt;='I_Inputs &amp; Assumptions'!$B$8/2,'I_Budget Input Data'!$D$151*0.4/('I_Inputs &amp; Assumptions'!$B$8/2),'I_Budget Input Data'!$D$151*0.6/('I_Inputs &amp; Assumptions'!$B$8/2)),IF('I_Budget Input Data'!$E$151="Mid-weighted",IF(24&lt;='I_Inputs &amp; Assumptions'!$B$8/4,'I_Budget Input Data'!$D$151*0.2/('I_Inputs &amp; Assumptions'!$B$8/4),IF(24&lt;='I_Inputs &amp; Assumptions'!$B$8*0.75,'I_Budget Input Data'!$D$151*0.6/('I_Inputs &amp; Assumptions'!$B$8/2),'I_Budget Input Data'!$D$151*0.2/('I_Inputs &amp; Assumptions'!$B$8/4))),IF('I_Budget Input Data'!$E$151="At Completion",IF(24='I_Inputs &amp; Assumptions'!$B$8,'I_Budget Input Data'!$D$151,0),'I_Budget Input Data'!$D$151/'I_Inputs &amp; Assumptions'!$B$8)))))),0)</f>
        <v>0</v>
      </c>
      <c r="AA151" s="91">
        <f>IF(25&lt;='I_Inputs &amp; Assumptions'!$B$8,IF('I_Budget Input Data'!$E$151="Upfront",IF(25=1,'I_Budget Input Data'!$D$151,0),IF('I_Budget Input Data'!$E$151="Equal",'I_Budget Input Data'!$D$151/'I_Inputs &amp; Assumptions'!$B$8,IF('I_Budget Input Data'!$E$151="Front-loaded",IF(25&lt;='I_Inputs &amp; Assumptions'!$B$8/2,'I_Budget Input Data'!$D$151*0.6/('I_Inputs &amp; Assumptions'!$B$8/2),'I_Budget Input Data'!$D$151*0.4/('I_Inputs &amp; Assumptions'!$B$8/2)),IF('I_Budget Input Data'!$E$151="Back-loaded",IF(25&lt;='I_Inputs &amp; Assumptions'!$B$8/2,'I_Budget Input Data'!$D$151*0.4/('I_Inputs &amp; Assumptions'!$B$8/2),'I_Budget Input Data'!$D$151*0.6/('I_Inputs &amp; Assumptions'!$B$8/2)),IF('I_Budget Input Data'!$E$151="Mid-weighted",IF(25&lt;='I_Inputs &amp; Assumptions'!$B$8/4,'I_Budget Input Data'!$D$151*0.2/('I_Inputs &amp; Assumptions'!$B$8/4),IF(25&lt;='I_Inputs &amp; Assumptions'!$B$8*0.75,'I_Budget Input Data'!$D$151*0.6/('I_Inputs &amp; Assumptions'!$B$8/2),'I_Budget Input Data'!$D$151*0.2/('I_Inputs &amp; Assumptions'!$B$8/4))),IF('I_Budget Input Data'!$E$151="At Completion",IF(25='I_Inputs &amp; Assumptions'!$B$8,'I_Budget Input Data'!$D$151,0),'I_Budget Input Data'!$D$151/'I_Inputs &amp; Assumptions'!$B$8)))))),0)</f>
        <v>0</v>
      </c>
      <c r="AB151" s="91">
        <f>IF(26&lt;='I_Inputs &amp; Assumptions'!$B$8,IF('I_Budget Input Data'!$E$151="Upfront",IF(26=1,'I_Budget Input Data'!$D$151,0),IF('I_Budget Input Data'!$E$151="Equal",'I_Budget Input Data'!$D$151/'I_Inputs &amp; Assumptions'!$B$8,IF('I_Budget Input Data'!$E$151="Front-loaded",IF(26&lt;='I_Inputs &amp; Assumptions'!$B$8/2,'I_Budget Input Data'!$D$151*0.6/('I_Inputs &amp; Assumptions'!$B$8/2),'I_Budget Input Data'!$D$151*0.4/('I_Inputs &amp; Assumptions'!$B$8/2)),IF('I_Budget Input Data'!$E$151="Back-loaded",IF(26&lt;='I_Inputs &amp; Assumptions'!$B$8/2,'I_Budget Input Data'!$D$151*0.4/('I_Inputs &amp; Assumptions'!$B$8/2),'I_Budget Input Data'!$D$151*0.6/('I_Inputs &amp; Assumptions'!$B$8/2)),IF('I_Budget Input Data'!$E$151="Mid-weighted",IF(26&lt;='I_Inputs &amp; Assumptions'!$B$8/4,'I_Budget Input Data'!$D$151*0.2/('I_Inputs &amp; Assumptions'!$B$8/4),IF(26&lt;='I_Inputs &amp; Assumptions'!$B$8*0.75,'I_Budget Input Data'!$D$151*0.6/('I_Inputs &amp; Assumptions'!$B$8/2),'I_Budget Input Data'!$D$151*0.2/('I_Inputs &amp; Assumptions'!$B$8/4))),IF('I_Budget Input Data'!$E$151="At Completion",IF(26='I_Inputs &amp; Assumptions'!$B$8,'I_Budget Input Data'!$D$151,0),'I_Budget Input Data'!$D$151/'I_Inputs &amp; Assumptions'!$B$8)))))),0)</f>
        <v>0</v>
      </c>
      <c r="AC151" s="91">
        <f>IF(27&lt;='I_Inputs &amp; Assumptions'!$B$8,IF('I_Budget Input Data'!$E$151="Upfront",IF(27=1,'I_Budget Input Data'!$D$151,0),IF('I_Budget Input Data'!$E$151="Equal",'I_Budget Input Data'!$D$151/'I_Inputs &amp; Assumptions'!$B$8,IF('I_Budget Input Data'!$E$151="Front-loaded",IF(27&lt;='I_Inputs &amp; Assumptions'!$B$8/2,'I_Budget Input Data'!$D$151*0.6/('I_Inputs &amp; Assumptions'!$B$8/2),'I_Budget Input Data'!$D$151*0.4/('I_Inputs &amp; Assumptions'!$B$8/2)),IF('I_Budget Input Data'!$E$151="Back-loaded",IF(27&lt;='I_Inputs &amp; Assumptions'!$B$8/2,'I_Budget Input Data'!$D$151*0.4/('I_Inputs &amp; Assumptions'!$B$8/2),'I_Budget Input Data'!$D$151*0.6/('I_Inputs &amp; Assumptions'!$B$8/2)),IF('I_Budget Input Data'!$E$151="Mid-weighted",IF(27&lt;='I_Inputs &amp; Assumptions'!$B$8/4,'I_Budget Input Data'!$D$151*0.2/('I_Inputs &amp; Assumptions'!$B$8/4),IF(27&lt;='I_Inputs &amp; Assumptions'!$B$8*0.75,'I_Budget Input Data'!$D$151*0.6/('I_Inputs &amp; Assumptions'!$B$8/2),'I_Budget Input Data'!$D$151*0.2/('I_Inputs &amp; Assumptions'!$B$8/4))),IF('I_Budget Input Data'!$E$151="At Completion",IF(27='I_Inputs &amp; Assumptions'!$B$8,'I_Budget Input Data'!$D$151,0),'I_Budget Input Data'!$D$151/'I_Inputs &amp; Assumptions'!$B$8)))))),0)</f>
        <v>0</v>
      </c>
      <c r="AD151" s="91">
        <f>IF(28&lt;='I_Inputs &amp; Assumptions'!$B$8,IF('I_Budget Input Data'!$E$151="Upfront",IF(28=1,'I_Budget Input Data'!$D$151,0),IF('I_Budget Input Data'!$E$151="Equal",'I_Budget Input Data'!$D$151/'I_Inputs &amp; Assumptions'!$B$8,IF('I_Budget Input Data'!$E$151="Front-loaded",IF(28&lt;='I_Inputs &amp; Assumptions'!$B$8/2,'I_Budget Input Data'!$D$151*0.6/('I_Inputs &amp; Assumptions'!$B$8/2),'I_Budget Input Data'!$D$151*0.4/('I_Inputs &amp; Assumptions'!$B$8/2)),IF('I_Budget Input Data'!$E$151="Back-loaded",IF(28&lt;='I_Inputs &amp; Assumptions'!$B$8/2,'I_Budget Input Data'!$D$151*0.4/('I_Inputs &amp; Assumptions'!$B$8/2),'I_Budget Input Data'!$D$151*0.6/('I_Inputs &amp; Assumptions'!$B$8/2)),IF('I_Budget Input Data'!$E$151="Mid-weighted",IF(28&lt;='I_Inputs &amp; Assumptions'!$B$8/4,'I_Budget Input Data'!$D$151*0.2/('I_Inputs &amp; Assumptions'!$B$8/4),IF(28&lt;='I_Inputs &amp; Assumptions'!$B$8*0.75,'I_Budget Input Data'!$D$151*0.6/('I_Inputs &amp; Assumptions'!$B$8/2),'I_Budget Input Data'!$D$151*0.2/('I_Inputs &amp; Assumptions'!$B$8/4))),IF('I_Budget Input Data'!$E$151="At Completion",IF(28='I_Inputs &amp; Assumptions'!$B$8,'I_Budget Input Data'!$D$151,0),'I_Budget Input Data'!$D$151/'I_Inputs &amp; Assumptions'!$B$8)))))),0)</f>
        <v>0</v>
      </c>
      <c r="AE151" s="91">
        <f>IF(29&lt;='I_Inputs &amp; Assumptions'!$B$8,IF('I_Budget Input Data'!$E$151="Upfront",IF(29=1,'I_Budget Input Data'!$D$151,0),IF('I_Budget Input Data'!$E$151="Equal",'I_Budget Input Data'!$D$151/'I_Inputs &amp; Assumptions'!$B$8,IF('I_Budget Input Data'!$E$151="Front-loaded",IF(29&lt;='I_Inputs &amp; Assumptions'!$B$8/2,'I_Budget Input Data'!$D$151*0.6/('I_Inputs &amp; Assumptions'!$B$8/2),'I_Budget Input Data'!$D$151*0.4/('I_Inputs &amp; Assumptions'!$B$8/2)),IF('I_Budget Input Data'!$E$151="Back-loaded",IF(29&lt;='I_Inputs &amp; Assumptions'!$B$8/2,'I_Budget Input Data'!$D$151*0.4/('I_Inputs &amp; Assumptions'!$B$8/2),'I_Budget Input Data'!$D$151*0.6/('I_Inputs &amp; Assumptions'!$B$8/2)),IF('I_Budget Input Data'!$E$151="Mid-weighted",IF(29&lt;='I_Inputs &amp; Assumptions'!$B$8/4,'I_Budget Input Data'!$D$151*0.2/('I_Inputs &amp; Assumptions'!$B$8/4),IF(29&lt;='I_Inputs &amp; Assumptions'!$B$8*0.75,'I_Budget Input Data'!$D$151*0.6/('I_Inputs &amp; Assumptions'!$B$8/2),'I_Budget Input Data'!$D$151*0.2/('I_Inputs &amp; Assumptions'!$B$8/4))),IF('I_Budget Input Data'!$E$151="At Completion",IF(29='I_Inputs &amp; Assumptions'!$B$8,'I_Budget Input Data'!$D$151,0),'I_Budget Input Data'!$D$151/'I_Inputs &amp; Assumptions'!$B$8)))))),0)</f>
        <v>0</v>
      </c>
      <c r="AF151" s="91">
        <f>IF(30&lt;='I_Inputs &amp; Assumptions'!$B$8,IF('I_Budget Input Data'!$E$151="Upfront",IF(30=1,'I_Budget Input Data'!$D$151,0),IF('I_Budget Input Data'!$E$151="Equal",'I_Budget Input Data'!$D$151/'I_Inputs &amp; Assumptions'!$B$8,IF('I_Budget Input Data'!$E$151="Front-loaded",IF(30&lt;='I_Inputs &amp; Assumptions'!$B$8/2,'I_Budget Input Data'!$D$151*0.6/('I_Inputs &amp; Assumptions'!$B$8/2),'I_Budget Input Data'!$D$151*0.4/('I_Inputs &amp; Assumptions'!$B$8/2)),IF('I_Budget Input Data'!$E$151="Back-loaded",IF(30&lt;='I_Inputs &amp; Assumptions'!$B$8/2,'I_Budget Input Data'!$D$151*0.4/('I_Inputs &amp; Assumptions'!$B$8/2),'I_Budget Input Data'!$D$151*0.6/('I_Inputs &amp; Assumptions'!$B$8/2)),IF('I_Budget Input Data'!$E$151="Mid-weighted",IF(30&lt;='I_Inputs &amp; Assumptions'!$B$8/4,'I_Budget Input Data'!$D$151*0.2/('I_Inputs &amp; Assumptions'!$B$8/4),IF(30&lt;='I_Inputs &amp; Assumptions'!$B$8*0.75,'I_Budget Input Data'!$D$151*0.6/('I_Inputs &amp; Assumptions'!$B$8/2),'I_Budget Input Data'!$D$151*0.2/('I_Inputs &amp; Assumptions'!$B$8/4))),IF('I_Budget Input Data'!$E$151="At Completion",IF(30='I_Inputs &amp; Assumptions'!$B$8,'I_Budget Input Data'!$D$151,0),'I_Budget Input Data'!$D$151/'I_Inputs &amp; Assumptions'!$B$8)))))),0)</f>
        <v>0</v>
      </c>
      <c r="AG151" s="91">
        <f>IF(31&lt;='I_Inputs &amp; Assumptions'!$B$8,IF('I_Budget Input Data'!$E$151="Upfront",IF(31=1,'I_Budget Input Data'!$D$151,0),IF('I_Budget Input Data'!$E$151="Equal",'I_Budget Input Data'!$D$151/'I_Inputs &amp; Assumptions'!$B$8,IF('I_Budget Input Data'!$E$151="Front-loaded",IF(31&lt;='I_Inputs &amp; Assumptions'!$B$8/2,'I_Budget Input Data'!$D$151*0.6/('I_Inputs &amp; Assumptions'!$B$8/2),'I_Budget Input Data'!$D$151*0.4/('I_Inputs &amp; Assumptions'!$B$8/2)),IF('I_Budget Input Data'!$E$151="Back-loaded",IF(31&lt;='I_Inputs &amp; Assumptions'!$B$8/2,'I_Budget Input Data'!$D$151*0.4/('I_Inputs &amp; Assumptions'!$B$8/2),'I_Budget Input Data'!$D$151*0.6/('I_Inputs &amp; Assumptions'!$B$8/2)),IF('I_Budget Input Data'!$E$151="Mid-weighted",IF(31&lt;='I_Inputs &amp; Assumptions'!$B$8/4,'I_Budget Input Data'!$D$151*0.2/('I_Inputs &amp; Assumptions'!$B$8/4),IF(31&lt;='I_Inputs &amp; Assumptions'!$B$8*0.75,'I_Budget Input Data'!$D$151*0.6/('I_Inputs &amp; Assumptions'!$B$8/2),'I_Budget Input Data'!$D$151*0.2/('I_Inputs &amp; Assumptions'!$B$8/4))),IF('I_Budget Input Data'!$E$151="At Completion",IF(31='I_Inputs &amp; Assumptions'!$B$8,'I_Budget Input Data'!$D$151,0),'I_Budget Input Data'!$D$151/'I_Inputs &amp; Assumptions'!$B$8)))))),0)</f>
        <v>0</v>
      </c>
      <c r="AH151" s="91">
        <f>IF(32&lt;='I_Inputs &amp; Assumptions'!$B$8,IF('I_Budget Input Data'!$E$151="Upfront",IF(32=1,'I_Budget Input Data'!$D$151,0),IF('I_Budget Input Data'!$E$151="Equal",'I_Budget Input Data'!$D$151/'I_Inputs &amp; Assumptions'!$B$8,IF('I_Budget Input Data'!$E$151="Front-loaded",IF(32&lt;='I_Inputs &amp; Assumptions'!$B$8/2,'I_Budget Input Data'!$D$151*0.6/('I_Inputs &amp; Assumptions'!$B$8/2),'I_Budget Input Data'!$D$151*0.4/('I_Inputs &amp; Assumptions'!$B$8/2)),IF('I_Budget Input Data'!$E$151="Back-loaded",IF(32&lt;='I_Inputs &amp; Assumptions'!$B$8/2,'I_Budget Input Data'!$D$151*0.4/('I_Inputs &amp; Assumptions'!$B$8/2),'I_Budget Input Data'!$D$151*0.6/('I_Inputs &amp; Assumptions'!$B$8/2)),IF('I_Budget Input Data'!$E$151="Mid-weighted",IF(32&lt;='I_Inputs &amp; Assumptions'!$B$8/4,'I_Budget Input Data'!$D$151*0.2/('I_Inputs &amp; Assumptions'!$B$8/4),IF(32&lt;='I_Inputs &amp; Assumptions'!$B$8*0.75,'I_Budget Input Data'!$D$151*0.6/('I_Inputs &amp; Assumptions'!$B$8/2),'I_Budget Input Data'!$D$151*0.2/('I_Inputs &amp; Assumptions'!$B$8/4))),IF('I_Budget Input Data'!$E$151="At Completion",IF(32='I_Inputs &amp; Assumptions'!$B$8,'I_Budget Input Data'!$D$151,0),'I_Budget Input Data'!$D$151/'I_Inputs &amp; Assumptions'!$B$8)))))),0)</f>
        <v>0</v>
      </c>
      <c r="AI151" s="91">
        <f>IF(33&lt;='I_Inputs &amp; Assumptions'!$B$8,IF('I_Budget Input Data'!$E$151="Upfront",IF(33=1,'I_Budget Input Data'!$D$151,0),IF('I_Budget Input Data'!$E$151="Equal",'I_Budget Input Data'!$D$151/'I_Inputs &amp; Assumptions'!$B$8,IF('I_Budget Input Data'!$E$151="Front-loaded",IF(33&lt;='I_Inputs &amp; Assumptions'!$B$8/2,'I_Budget Input Data'!$D$151*0.6/('I_Inputs &amp; Assumptions'!$B$8/2),'I_Budget Input Data'!$D$151*0.4/('I_Inputs &amp; Assumptions'!$B$8/2)),IF('I_Budget Input Data'!$E$151="Back-loaded",IF(33&lt;='I_Inputs &amp; Assumptions'!$B$8/2,'I_Budget Input Data'!$D$151*0.4/('I_Inputs &amp; Assumptions'!$B$8/2),'I_Budget Input Data'!$D$151*0.6/('I_Inputs &amp; Assumptions'!$B$8/2)),IF('I_Budget Input Data'!$E$151="Mid-weighted",IF(33&lt;='I_Inputs &amp; Assumptions'!$B$8/4,'I_Budget Input Data'!$D$151*0.2/('I_Inputs &amp; Assumptions'!$B$8/4),IF(33&lt;='I_Inputs &amp; Assumptions'!$B$8*0.75,'I_Budget Input Data'!$D$151*0.6/('I_Inputs &amp; Assumptions'!$B$8/2),'I_Budget Input Data'!$D$151*0.2/('I_Inputs &amp; Assumptions'!$B$8/4))),IF('I_Budget Input Data'!$E$151="At Completion",IF(33='I_Inputs &amp; Assumptions'!$B$8,'I_Budget Input Data'!$D$151,0),'I_Budget Input Data'!$D$151/'I_Inputs &amp; Assumptions'!$B$8)))))),0)</f>
        <v>0</v>
      </c>
      <c r="AJ151" s="91">
        <f>IF(34&lt;='I_Inputs &amp; Assumptions'!$B$8,IF('I_Budget Input Data'!$E$151="Upfront",IF(34=1,'I_Budget Input Data'!$D$151,0),IF('I_Budget Input Data'!$E$151="Equal",'I_Budget Input Data'!$D$151/'I_Inputs &amp; Assumptions'!$B$8,IF('I_Budget Input Data'!$E$151="Front-loaded",IF(34&lt;='I_Inputs &amp; Assumptions'!$B$8/2,'I_Budget Input Data'!$D$151*0.6/('I_Inputs &amp; Assumptions'!$B$8/2),'I_Budget Input Data'!$D$151*0.4/('I_Inputs &amp; Assumptions'!$B$8/2)),IF('I_Budget Input Data'!$E$151="Back-loaded",IF(34&lt;='I_Inputs &amp; Assumptions'!$B$8/2,'I_Budget Input Data'!$D$151*0.4/('I_Inputs &amp; Assumptions'!$B$8/2),'I_Budget Input Data'!$D$151*0.6/('I_Inputs &amp; Assumptions'!$B$8/2)),IF('I_Budget Input Data'!$E$151="Mid-weighted",IF(34&lt;='I_Inputs &amp; Assumptions'!$B$8/4,'I_Budget Input Data'!$D$151*0.2/('I_Inputs &amp; Assumptions'!$B$8/4),IF(34&lt;='I_Inputs &amp; Assumptions'!$B$8*0.75,'I_Budget Input Data'!$D$151*0.6/('I_Inputs &amp; Assumptions'!$B$8/2),'I_Budget Input Data'!$D$151*0.2/('I_Inputs &amp; Assumptions'!$B$8/4))),IF('I_Budget Input Data'!$E$151="At Completion",IF(34='I_Inputs &amp; Assumptions'!$B$8,'I_Budget Input Data'!$D$151,0),'I_Budget Input Data'!$D$151/'I_Inputs &amp; Assumptions'!$B$8)))))),0)</f>
        <v>0</v>
      </c>
      <c r="AK151" s="91">
        <f>IF(35&lt;='I_Inputs &amp; Assumptions'!$B$8,IF('I_Budget Input Data'!$E$151="Upfront",IF(35=1,'I_Budget Input Data'!$D$151,0),IF('I_Budget Input Data'!$E$151="Equal",'I_Budget Input Data'!$D$151/'I_Inputs &amp; Assumptions'!$B$8,IF('I_Budget Input Data'!$E$151="Front-loaded",IF(35&lt;='I_Inputs &amp; Assumptions'!$B$8/2,'I_Budget Input Data'!$D$151*0.6/('I_Inputs &amp; Assumptions'!$B$8/2),'I_Budget Input Data'!$D$151*0.4/('I_Inputs &amp; Assumptions'!$B$8/2)),IF('I_Budget Input Data'!$E$151="Back-loaded",IF(35&lt;='I_Inputs &amp; Assumptions'!$B$8/2,'I_Budget Input Data'!$D$151*0.4/('I_Inputs &amp; Assumptions'!$B$8/2),'I_Budget Input Data'!$D$151*0.6/('I_Inputs &amp; Assumptions'!$B$8/2)),IF('I_Budget Input Data'!$E$151="Mid-weighted",IF(35&lt;='I_Inputs &amp; Assumptions'!$B$8/4,'I_Budget Input Data'!$D$151*0.2/('I_Inputs &amp; Assumptions'!$B$8/4),IF(35&lt;='I_Inputs &amp; Assumptions'!$B$8*0.75,'I_Budget Input Data'!$D$151*0.6/('I_Inputs &amp; Assumptions'!$B$8/2),'I_Budget Input Data'!$D$151*0.2/('I_Inputs &amp; Assumptions'!$B$8/4))),IF('I_Budget Input Data'!$E$151="At Completion",IF(35='I_Inputs &amp; Assumptions'!$B$8,'I_Budget Input Data'!$D$151,0),'I_Budget Input Data'!$D$151/'I_Inputs &amp; Assumptions'!$B$8)))))),0)</f>
        <v>0</v>
      </c>
      <c r="AL151" s="91">
        <f>IF(36&lt;='I_Inputs &amp; Assumptions'!$B$8,IF('I_Budget Input Data'!$E$151="Upfront",IF(36=1,'I_Budget Input Data'!$D$151,0),IF('I_Budget Input Data'!$E$151="Equal",'I_Budget Input Data'!$D$151/'I_Inputs &amp; Assumptions'!$B$8,IF('I_Budget Input Data'!$E$151="Front-loaded",IF(36&lt;='I_Inputs &amp; Assumptions'!$B$8/2,'I_Budget Input Data'!$D$151*0.6/('I_Inputs &amp; Assumptions'!$B$8/2),'I_Budget Input Data'!$D$151*0.4/('I_Inputs &amp; Assumptions'!$B$8/2)),IF('I_Budget Input Data'!$E$151="Back-loaded",IF(36&lt;='I_Inputs &amp; Assumptions'!$B$8/2,'I_Budget Input Data'!$D$151*0.4/('I_Inputs &amp; Assumptions'!$B$8/2),'I_Budget Input Data'!$D$151*0.6/('I_Inputs &amp; Assumptions'!$B$8/2)),IF('I_Budget Input Data'!$E$151="Mid-weighted",IF(36&lt;='I_Inputs &amp; Assumptions'!$B$8/4,'I_Budget Input Data'!$D$151*0.2/('I_Inputs &amp; Assumptions'!$B$8/4),IF(36&lt;='I_Inputs &amp; Assumptions'!$B$8*0.75,'I_Budget Input Data'!$D$151*0.6/('I_Inputs &amp; Assumptions'!$B$8/2),'I_Budget Input Data'!$D$151*0.2/('I_Inputs &amp; Assumptions'!$B$8/4))),IF('I_Budget Input Data'!$E$151="At Completion",IF(36='I_Inputs &amp; Assumptions'!$B$8,'I_Budget Input Data'!$D$151,0),'I_Budget Input Data'!$D$151/'I_Inputs &amp; Assumptions'!$B$8)))))),0)</f>
        <v>0</v>
      </c>
    </row>
    <row r="152" spans="1:38" ht="15" customHeight="1" x14ac:dyDescent="0.2">
      <c r="A152" t="s">
        <v>248</v>
      </c>
      <c r="B152" t="s">
        <v>267</v>
      </c>
      <c r="C152" s="91">
        <f>IF(1&lt;='I_Inputs &amp; Assumptions'!$B$8,IF('I_Budget Input Data'!$E$152="Upfront",IF(1=1,'I_Budget Input Data'!$D$152,0),IF('I_Budget Input Data'!$E$152="Equal",'I_Budget Input Data'!$D$152/'I_Inputs &amp; Assumptions'!$B$8,IF('I_Budget Input Data'!$E$152="Front-loaded",IF(1&lt;='I_Inputs &amp; Assumptions'!$B$8/2,'I_Budget Input Data'!$D$152*0.6/('I_Inputs &amp; Assumptions'!$B$8/2),'I_Budget Input Data'!$D$152*0.4/('I_Inputs &amp; Assumptions'!$B$8/2)),IF('I_Budget Input Data'!$E$152="Back-loaded",IF(1&lt;='I_Inputs &amp; Assumptions'!$B$8/2,'I_Budget Input Data'!$D$152*0.4/('I_Inputs &amp; Assumptions'!$B$8/2),'I_Budget Input Data'!$D$152*0.6/('I_Inputs &amp; Assumptions'!$B$8/2)),IF('I_Budget Input Data'!$E$152="Mid-weighted",IF(1&lt;='I_Inputs &amp; Assumptions'!$B$8/4,'I_Budget Input Data'!$D$152*0.2/('I_Inputs &amp; Assumptions'!$B$8/4),IF(1&lt;='I_Inputs &amp; Assumptions'!$B$8*0.75,'I_Budget Input Data'!$D$152*0.6/('I_Inputs &amp; Assumptions'!$B$8/2),'I_Budget Input Data'!$D$152*0.2/('I_Inputs &amp; Assumptions'!$B$8/4))),IF('I_Budget Input Data'!$E$152="At Completion",IF(1='I_Inputs &amp; Assumptions'!$B$8,'I_Budget Input Data'!$D$152,0),'I_Budget Input Data'!$D$152/'I_Inputs &amp; Assumptions'!$B$8)))))),0)</f>
        <v>5220.1846153846145</v>
      </c>
      <c r="D152" s="91">
        <f>IF(2&lt;='I_Inputs &amp; Assumptions'!$B$8,IF('I_Budget Input Data'!$E$152="Upfront",IF(2=1,'I_Budget Input Data'!$D$152,0),IF('I_Budget Input Data'!$E$152="Equal",'I_Budget Input Data'!$D$152/'I_Inputs &amp; Assumptions'!$B$8,IF('I_Budget Input Data'!$E$152="Front-loaded",IF(2&lt;='I_Inputs &amp; Assumptions'!$B$8/2,'I_Budget Input Data'!$D$152*0.6/('I_Inputs &amp; Assumptions'!$B$8/2),'I_Budget Input Data'!$D$152*0.4/('I_Inputs &amp; Assumptions'!$B$8/2)),IF('I_Budget Input Data'!$E$152="Back-loaded",IF(2&lt;='I_Inputs &amp; Assumptions'!$B$8/2,'I_Budget Input Data'!$D$152*0.4/('I_Inputs &amp; Assumptions'!$B$8/2),'I_Budget Input Data'!$D$152*0.6/('I_Inputs &amp; Assumptions'!$B$8/2)),IF('I_Budget Input Data'!$E$152="Mid-weighted",IF(2&lt;='I_Inputs &amp; Assumptions'!$B$8/4,'I_Budget Input Data'!$D$152*0.2/('I_Inputs &amp; Assumptions'!$B$8/4),IF(2&lt;='I_Inputs &amp; Assumptions'!$B$8*0.75,'I_Budget Input Data'!$D$152*0.6/('I_Inputs &amp; Assumptions'!$B$8/2),'I_Budget Input Data'!$D$152*0.2/('I_Inputs &amp; Assumptions'!$B$8/4))),IF('I_Budget Input Data'!$E$152="At Completion",IF(2='I_Inputs &amp; Assumptions'!$B$8,'I_Budget Input Data'!$D$152,0),'I_Budget Input Data'!$D$152/'I_Inputs &amp; Assumptions'!$B$8)))))),0)</f>
        <v>5220.1846153846145</v>
      </c>
      <c r="E152" s="91">
        <f>IF(3&lt;='I_Inputs &amp; Assumptions'!$B$8,IF('I_Budget Input Data'!$E$152="Upfront",IF(3=1,'I_Budget Input Data'!$D$152,0),IF('I_Budget Input Data'!$E$152="Equal",'I_Budget Input Data'!$D$152/'I_Inputs &amp; Assumptions'!$B$8,IF('I_Budget Input Data'!$E$152="Front-loaded",IF(3&lt;='I_Inputs &amp; Assumptions'!$B$8/2,'I_Budget Input Data'!$D$152*0.6/('I_Inputs &amp; Assumptions'!$B$8/2),'I_Budget Input Data'!$D$152*0.4/('I_Inputs &amp; Assumptions'!$B$8/2)),IF('I_Budget Input Data'!$E$152="Back-loaded",IF(3&lt;='I_Inputs &amp; Assumptions'!$B$8/2,'I_Budget Input Data'!$D$152*0.4/('I_Inputs &amp; Assumptions'!$B$8/2),'I_Budget Input Data'!$D$152*0.6/('I_Inputs &amp; Assumptions'!$B$8/2)),IF('I_Budget Input Data'!$E$152="Mid-weighted",IF(3&lt;='I_Inputs &amp; Assumptions'!$B$8/4,'I_Budget Input Data'!$D$152*0.2/('I_Inputs &amp; Assumptions'!$B$8/4),IF(3&lt;='I_Inputs &amp; Assumptions'!$B$8*0.75,'I_Budget Input Data'!$D$152*0.6/('I_Inputs &amp; Assumptions'!$B$8/2),'I_Budget Input Data'!$D$152*0.2/('I_Inputs &amp; Assumptions'!$B$8/4))),IF('I_Budget Input Data'!$E$152="At Completion",IF(3='I_Inputs &amp; Assumptions'!$B$8,'I_Budget Input Data'!$D$152,0),'I_Budget Input Data'!$D$152/'I_Inputs &amp; Assumptions'!$B$8)))))),0)</f>
        <v>5220.1846153846145</v>
      </c>
      <c r="F152" s="91">
        <f>IF(4&lt;='I_Inputs &amp; Assumptions'!$B$8,IF('I_Budget Input Data'!$E$152="Upfront",IF(4=1,'I_Budget Input Data'!$D$152,0),IF('I_Budget Input Data'!$E$152="Equal",'I_Budget Input Data'!$D$152/'I_Inputs &amp; Assumptions'!$B$8,IF('I_Budget Input Data'!$E$152="Front-loaded",IF(4&lt;='I_Inputs &amp; Assumptions'!$B$8/2,'I_Budget Input Data'!$D$152*0.6/('I_Inputs &amp; Assumptions'!$B$8/2),'I_Budget Input Data'!$D$152*0.4/('I_Inputs &amp; Assumptions'!$B$8/2)),IF('I_Budget Input Data'!$E$152="Back-loaded",IF(4&lt;='I_Inputs &amp; Assumptions'!$B$8/2,'I_Budget Input Data'!$D$152*0.4/('I_Inputs &amp; Assumptions'!$B$8/2),'I_Budget Input Data'!$D$152*0.6/('I_Inputs &amp; Assumptions'!$B$8/2)),IF('I_Budget Input Data'!$E$152="Mid-weighted",IF(4&lt;='I_Inputs &amp; Assumptions'!$B$8/4,'I_Budget Input Data'!$D$152*0.2/('I_Inputs &amp; Assumptions'!$B$8/4),IF(4&lt;='I_Inputs &amp; Assumptions'!$B$8*0.75,'I_Budget Input Data'!$D$152*0.6/('I_Inputs &amp; Assumptions'!$B$8/2),'I_Budget Input Data'!$D$152*0.2/('I_Inputs &amp; Assumptions'!$B$8/4))),IF('I_Budget Input Data'!$E$152="At Completion",IF(4='I_Inputs &amp; Assumptions'!$B$8,'I_Budget Input Data'!$D$152,0),'I_Budget Input Data'!$D$152/'I_Inputs &amp; Assumptions'!$B$8)))))),0)</f>
        <v>5220.1846153846145</v>
      </c>
      <c r="G152" s="91">
        <f>IF(5&lt;='I_Inputs &amp; Assumptions'!$B$8,IF('I_Budget Input Data'!$E$152="Upfront",IF(5=1,'I_Budget Input Data'!$D$152,0),IF('I_Budget Input Data'!$E$152="Equal",'I_Budget Input Data'!$D$152/'I_Inputs &amp; Assumptions'!$B$8,IF('I_Budget Input Data'!$E$152="Front-loaded",IF(5&lt;='I_Inputs &amp; Assumptions'!$B$8/2,'I_Budget Input Data'!$D$152*0.6/('I_Inputs &amp; Assumptions'!$B$8/2),'I_Budget Input Data'!$D$152*0.4/('I_Inputs &amp; Assumptions'!$B$8/2)),IF('I_Budget Input Data'!$E$152="Back-loaded",IF(5&lt;='I_Inputs &amp; Assumptions'!$B$8/2,'I_Budget Input Data'!$D$152*0.4/('I_Inputs &amp; Assumptions'!$B$8/2),'I_Budget Input Data'!$D$152*0.6/('I_Inputs &amp; Assumptions'!$B$8/2)),IF('I_Budget Input Data'!$E$152="Mid-weighted",IF(5&lt;='I_Inputs &amp; Assumptions'!$B$8/4,'I_Budget Input Data'!$D$152*0.2/('I_Inputs &amp; Assumptions'!$B$8/4),IF(5&lt;='I_Inputs &amp; Assumptions'!$B$8*0.75,'I_Budget Input Data'!$D$152*0.6/('I_Inputs &amp; Assumptions'!$B$8/2),'I_Budget Input Data'!$D$152*0.2/('I_Inputs &amp; Assumptions'!$B$8/4))),IF('I_Budget Input Data'!$E$152="At Completion",IF(5='I_Inputs &amp; Assumptions'!$B$8,'I_Budget Input Data'!$D$152,0),'I_Budget Input Data'!$D$152/'I_Inputs &amp; Assumptions'!$B$8)))))),0)</f>
        <v>5220.1846153846145</v>
      </c>
      <c r="H152" s="91">
        <f>IF(6&lt;='I_Inputs &amp; Assumptions'!$B$8,IF('I_Budget Input Data'!$E$152="Upfront",IF(6=1,'I_Budget Input Data'!$D$152,0),IF('I_Budget Input Data'!$E$152="Equal",'I_Budget Input Data'!$D$152/'I_Inputs &amp; Assumptions'!$B$8,IF('I_Budget Input Data'!$E$152="Front-loaded",IF(6&lt;='I_Inputs &amp; Assumptions'!$B$8/2,'I_Budget Input Data'!$D$152*0.6/('I_Inputs &amp; Assumptions'!$B$8/2),'I_Budget Input Data'!$D$152*0.4/('I_Inputs &amp; Assumptions'!$B$8/2)),IF('I_Budget Input Data'!$E$152="Back-loaded",IF(6&lt;='I_Inputs &amp; Assumptions'!$B$8/2,'I_Budget Input Data'!$D$152*0.4/('I_Inputs &amp; Assumptions'!$B$8/2),'I_Budget Input Data'!$D$152*0.6/('I_Inputs &amp; Assumptions'!$B$8/2)),IF('I_Budget Input Data'!$E$152="Mid-weighted",IF(6&lt;='I_Inputs &amp; Assumptions'!$B$8/4,'I_Budget Input Data'!$D$152*0.2/('I_Inputs &amp; Assumptions'!$B$8/4),IF(6&lt;='I_Inputs &amp; Assumptions'!$B$8*0.75,'I_Budget Input Data'!$D$152*0.6/('I_Inputs &amp; Assumptions'!$B$8/2),'I_Budget Input Data'!$D$152*0.2/('I_Inputs &amp; Assumptions'!$B$8/4))),IF('I_Budget Input Data'!$E$152="At Completion",IF(6='I_Inputs &amp; Assumptions'!$B$8,'I_Budget Input Data'!$D$152,0),'I_Budget Input Data'!$D$152/'I_Inputs &amp; Assumptions'!$B$8)))))),0)</f>
        <v>5220.1846153846145</v>
      </c>
      <c r="I152" s="91">
        <f>IF(7&lt;='I_Inputs &amp; Assumptions'!$B$8,IF('I_Budget Input Data'!$E$152="Upfront",IF(7=1,'I_Budget Input Data'!$D$152,0),IF('I_Budget Input Data'!$E$152="Equal",'I_Budget Input Data'!$D$152/'I_Inputs &amp; Assumptions'!$B$8,IF('I_Budget Input Data'!$E$152="Front-loaded",IF(7&lt;='I_Inputs &amp; Assumptions'!$B$8/2,'I_Budget Input Data'!$D$152*0.6/('I_Inputs &amp; Assumptions'!$B$8/2),'I_Budget Input Data'!$D$152*0.4/('I_Inputs &amp; Assumptions'!$B$8/2)),IF('I_Budget Input Data'!$E$152="Back-loaded",IF(7&lt;='I_Inputs &amp; Assumptions'!$B$8/2,'I_Budget Input Data'!$D$152*0.4/('I_Inputs &amp; Assumptions'!$B$8/2),'I_Budget Input Data'!$D$152*0.6/('I_Inputs &amp; Assumptions'!$B$8/2)),IF('I_Budget Input Data'!$E$152="Mid-weighted",IF(7&lt;='I_Inputs &amp; Assumptions'!$B$8/4,'I_Budget Input Data'!$D$152*0.2/('I_Inputs &amp; Assumptions'!$B$8/4),IF(7&lt;='I_Inputs &amp; Assumptions'!$B$8*0.75,'I_Budget Input Data'!$D$152*0.6/('I_Inputs &amp; Assumptions'!$B$8/2),'I_Budget Input Data'!$D$152*0.2/('I_Inputs &amp; Assumptions'!$B$8/4))),IF('I_Budget Input Data'!$E$152="At Completion",IF(7='I_Inputs &amp; Assumptions'!$B$8,'I_Budget Input Data'!$D$152,0),'I_Budget Input Data'!$D$152/'I_Inputs &amp; Assumptions'!$B$8)))))),0)</f>
        <v>3480.1230769230774</v>
      </c>
      <c r="J152" s="91">
        <f>IF(8&lt;='I_Inputs &amp; Assumptions'!$B$8,IF('I_Budget Input Data'!$E$152="Upfront",IF(8=1,'I_Budget Input Data'!$D$152,0),IF('I_Budget Input Data'!$E$152="Equal",'I_Budget Input Data'!$D$152/'I_Inputs &amp; Assumptions'!$B$8,IF('I_Budget Input Data'!$E$152="Front-loaded",IF(8&lt;='I_Inputs &amp; Assumptions'!$B$8/2,'I_Budget Input Data'!$D$152*0.6/('I_Inputs &amp; Assumptions'!$B$8/2),'I_Budget Input Data'!$D$152*0.4/('I_Inputs &amp; Assumptions'!$B$8/2)),IF('I_Budget Input Data'!$E$152="Back-loaded",IF(8&lt;='I_Inputs &amp; Assumptions'!$B$8/2,'I_Budget Input Data'!$D$152*0.4/('I_Inputs &amp; Assumptions'!$B$8/2),'I_Budget Input Data'!$D$152*0.6/('I_Inputs &amp; Assumptions'!$B$8/2)),IF('I_Budget Input Data'!$E$152="Mid-weighted",IF(8&lt;='I_Inputs &amp; Assumptions'!$B$8/4,'I_Budget Input Data'!$D$152*0.2/('I_Inputs &amp; Assumptions'!$B$8/4),IF(8&lt;='I_Inputs &amp; Assumptions'!$B$8*0.75,'I_Budget Input Data'!$D$152*0.6/('I_Inputs &amp; Assumptions'!$B$8/2),'I_Budget Input Data'!$D$152*0.2/('I_Inputs &amp; Assumptions'!$B$8/4))),IF('I_Budget Input Data'!$E$152="At Completion",IF(8='I_Inputs &amp; Assumptions'!$B$8,'I_Budget Input Data'!$D$152,0),'I_Budget Input Data'!$D$152/'I_Inputs &amp; Assumptions'!$B$8)))))),0)</f>
        <v>3480.1230769230774</v>
      </c>
      <c r="K152" s="91">
        <f>IF(9&lt;='I_Inputs &amp; Assumptions'!$B$8,IF('I_Budget Input Data'!$E$152="Upfront",IF(9=1,'I_Budget Input Data'!$D$152,0),IF('I_Budget Input Data'!$E$152="Equal",'I_Budget Input Data'!$D$152/'I_Inputs &amp; Assumptions'!$B$8,IF('I_Budget Input Data'!$E$152="Front-loaded",IF(9&lt;='I_Inputs &amp; Assumptions'!$B$8/2,'I_Budget Input Data'!$D$152*0.6/('I_Inputs &amp; Assumptions'!$B$8/2),'I_Budget Input Data'!$D$152*0.4/('I_Inputs &amp; Assumptions'!$B$8/2)),IF('I_Budget Input Data'!$E$152="Back-loaded",IF(9&lt;='I_Inputs &amp; Assumptions'!$B$8/2,'I_Budget Input Data'!$D$152*0.4/('I_Inputs &amp; Assumptions'!$B$8/2),'I_Budget Input Data'!$D$152*0.6/('I_Inputs &amp; Assumptions'!$B$8/2)),IF('I_Budget Input Data'!$E$152="Mid-weighted",IF(9&lt;='I_Inputs &amp; Assumptions'!$B$8/4,'I_Budget Input Data'!$D$152*0.2/('I_Inputs &amp; Assumptions'!$B$8/4),IF(9&lt;='I_Inputs &amp; Assumptions'!$B$8*0.75,'I_Budget Input Data'!$D$152*0.6/('I_Inputs &amp; Assumptions'!$B$8/2),'I_Budget Input Data'!$D$152*0.2/('I_Inputs &amp; Assumptions'!$B$8/4))),IF('I_Budget Input Data'!$E$152="At Completion",IF(9='I_Inputs &amp; Assumptions'!$B$8,'I_Budget Input Data'!$D$152,0),'I_Budget Input Data'!$D$152/'I_Inputs &amp; Assumptions'!$B$8)))))),0)</f>
        <v>3480.1230769230774</v>
      </c>
      <c r="L152" s="91">
        <f>IF(10&lt;='I_Inputs &amp; Assumptions'!$B$8,IF('I_Budget Input Data'!$E$152="Upfront",IF(10=1,'I_Budget Input Data'!$D$152,0),IF('I_Budget Input Data'!$E$152="Equal",'I_Budget Input Data'!$D$152/'I_Inputs &amp; Assumptions'!$B$8,IF('I_Budget Input Data'!$E$152="Front-loaded",IF(10&lt;='I_Inputs &amp; Assumptions'!$B$8/2,'I_Budget Input Data'!$D$152*0.6/('I_Inputs &amp; Assumptions'!$B$8/2),'I_Budget Input Data'!$D$152*0.4/('I_Inputs &amp; Assumptions'!$B$8/2)),IF('I_Budget Input Data'!$E$152="Back-loaded",IF(10&lt;='I_Inputs &amp; Assumptions'!$B$8/2,'I_Budget Input Data'!$D$152*0.4/('I_Inputs &amp; Assumptions'!$B$8/2),'I_Budget Input Data'!$D$152*0.6/('I_Inputs &amp; Assumptions'!$B$8/2)),IF('I_Budget Input Data'!$E$152="Mid-weighted",IF(10&lt;='I_Inputs &amp; Assumptions'!$B$8/4,'I_Budget Input Data'!$D$152*0.2/('I_Inputs &amp; Assumptions'!$B$8/4),IF(10&lt;='I_Inputs &amp; Assumptions'!$B$8*0.75,'I_Budget Input Data'!$D$152*0.6/('I_Inputs &amp; Assumptions'!$B$8/2),'I_Budget Input Data'!$D$152*0.2/('I_Inputs &amp; Assumptions'!$B$8/4))),IF('I_Budget Input Data'!$E$152="At Completion",IF(10='I_Inputs &amp; Assumptions'!$B$8,'I_Budget Input Data'!$D$152,0),'I_Budget Input Data'!$D$152/'I_Inputs &amp; Assumptions'!$B$8)))))),0)</f>
        <v>3480.1230769230774</v>
      </c>
      <c r="M152" s="91">
        <f>IF(11&lt;='I_Inputs &amp; Assumptions'!$B$8,IF('I_Budget Input Data'!$E$152="Upfront",IF(11=1,'I_Budget Input Data'!$D$152,0),IF('I_Budget Input Data'!$E$152="Equal",'I_Budget Input Data'!$D$152/'I_Inputs &amp; Assumptions'!$B$8,IF('I_Budget Input Data'!$E$152="Front-loaded",IF(11&lt;='I_Inputs &amp; Assumptions'!$B$8/2,'I_Budget Input Data'!$D$152*0.6/('I_Inputs &amp; Assumptions'!$B$8/2),'I_Budget Input Data'!$D$152*0.4/('I_Inputs &amp; Assumptions'!$B$8/2)),IF('I_Budget Input Data'!$E$152="Back-loaded",IF(11&lt;='I_Inputs &amp; Assumptions'!$B$8/2,'I_Budget Input Data'!$D$152*0.4/('I_Inputs &amp; Assumptions'!$B$8/2),'I_Budget Input Data'!$D$152*0.6/('I_Inputs &amp; Assumptions'!$B$8/2)),IF('I_Budget Input Data'!$E$152="Mid-weighted",IF(11&lt;='I_Inputs &amp; Assumptions'!$B$8/4,'I_Budget Input Data'!$D$152*0.2/('I_Inputs &amp; Assumptions'!$B$8/4),IF(11&lt;='I_Inputs &amp; Assumptions'!$B$8*0.75,'I_Budget Input Data'!$D$152*0.6/('I_Inputs &amp; Assumptions'!$B$8/2),'I_Budget Input Data'!$D$152*0.2/('I_Inputs &amp; Assumptions'!$B$8/4))),IF('I_Budget Input Data'!$E$152="At Completion",IF(11='I_Inputs &amp; Assumptions'!$B$8,'I_Budget Input Data'!$D$152,0),'I_Budget Input Data'!$D$152/'I_Inputs &amp; Assumptions'!$B$8)))))),0)</f>
        <v>3480.1230769230774</v>
      </c>
      <c r="N152" s="91">
        <f>IF(12&lt;='I_Inputs &amp; Assumptions'!$B$8,IF('I_Budget Input Data'!$E$152="Upfront",IF(12=1,'I_Budget Input Data'!$D$152,0),IF('I_Budget Input Data'!$E$152="Equal",'I_Budget Input Data'!$D$152/'I_Inputs &amp; Assumptions'!$B$8,IF('I_Budget Input Data'!$E$152="Front-loaded",IF(12&lt;='I_Inputs &amp; Assumptions'!$B$8/2,'I_Budget Input Data'!$D$152*0.6/('I_Inputs &amp; Assumptions'!$B$8/2),'I_Budget Input Data'!$D$152*0.4/('I_Inputs &amp; Assumptions'!$B$8/2)),IF('I_Budget Input Data'!$E$152="Back-loaded",IF(12&lt;='I_Inputs &amp; Assumptions'!$B$8/2,'I_Budget Input Data'!$D$152*0.4/('I_Inputs &amp; Assumptions'!$B$8/2),'I_Budget Input Data'!$D$152*0.6/('I_Inputs &amp; Assumptions'!$B$8/2)),IF('I_Budget Input Data'!$E$152="Mid-weighted",IF(12&lt;='I_Inputs &amp; Assumptions'!$B$8/4,'I_Budget Input Data'!$D$152*0.2/('I_Inputs &amp; Assumptions'!$B$8/4),IF(12&lt;='I_Inputs &amp; Assumptions'!$B$8*0.75,'I_Budget Input Data'!$D$152*0.6/('I_Inputs &amp; Assumptions'!$B$8/2),'I_Budget Input Data'!$D$152*0.2/('I_Inputs &amp; Assumptions'!$B$8/4))),IF('I_Budget Input Data'!$E$152="At Completion",IF(12='I_Inputs &amp; Assumptions'!$B$8,'I_Budget Input Data'!$D$152,0),'I_Budget Input Data'!$D$152/'I_Inputs &amp; Assumptions'!$B$8)))))),0)</f>
        <v>3480.1230769230774</v>
      </c>
      <c r="O152" s="91">
        <f>IF(13&lt;='I_Inputs &amp; Assumptions'!$B$8,IF('I_Budget Input Data'!$E$152="Upfront",IF(13=1,'I_Budget Input Data'!$D$152,0),IF('I_Budget Input Data'!$E$152="Equal",'I_Budget Input Data'!$D$152/'I_Inputs &amp; Assumptions'!$B$8,IF('I_Budget Input Data'!$E$152="Front-loaded",IF(13&lt;='I_Inputs &amp; Assumptions'!$B$8/2,'I_Budget Input Data'!$D$152*0.6/('I_Inputs &amp; Assumptions'!$B$8/2),'I_Budget Input Data'!$D$152*0.4/('I_Inputs &amp; Assumptions'!$B$8/2)),IF('I_Budget Input Data'!$E$152="Back-loaded",IF(13&lt;='I_Inputs &amp; Assumptions'!$B$8/2,'I_Budget Input Data'!$D$152*0.4/('I_Inputs &amp; Assumptions'!$B$8/2),'I_Budget Input Data'!$D$152*0.6/('I_Inputs &amp; Assumptions'!$B$8/2)),IF('I_Budget Input Data'!$E$152="Mid-weighted",IF(13&lt;='I_Inputs &amp; Assumptions'!$B$8/4,'I_Budget Input Data'!$D$152*0.2/('I_Inputs &amp; Assumptions'!$B$8/4),IF(13&lt;='I_Inputs &amp; Assumptions'!$B$8*0.75,'I_Budget Input Data'!$D$152*0.6/('I_Inputs &amp; Assumptions'!$B$8/2),'I_Budget Input Data'!$D$152*0.2/('I_Inputs &amp; Assumptions'!$B$8/4))),IF('I_Budget Input Data'!$E$152="At Completion",IF(13='I_Inputs &amp; Assumptions'!$B$8,'I_Budget Input Data'!$D$152,0),'I_Budget Input Data'!$D$152/'I_Inputs &amp; Assumptions'!$B$8)))))),0)</f>
        <v>3480.1230769230774</v>
      </c>
      <c r="P152" s="91">
        <f>IF(14&lt;='I_Inputs &amp; Assumptions'!$B$8,IF('I_Budget Input Data'!$E$152="Upfront",IF(14=1,'I_Budget Input Data'!$D$152,0),IF('I_Budget Input Data'!$E$152="Equal",'I_Budget Input Data'!$D$152/'I_Inputs &amp; Assumptions'!$B$8,IF('I_Budget Input Data'!$E$152="Front-loaded",IF(14&lt;='I_Inputs &amp; Assumptions'!$B$8/2,'I_Budget Input Data'!$D$152*0.6/('I_Inputs &amp; Assumptions'!$B$8/2),'I_Budget Input Data'!$D$152*0.4/('I_Inputs &amp; Assumptions'!$B$8/2)),IF('I_Budget Input Data'!$E$152="Back-loaded",IF(14&lt;='I_Inputs &amp; Assumptions'!$B$8/2,'I_Budget Input Data'!$D$152*0.4/('I_Inputs &amp; Assumptions'!$B$8/2),'I_Budget Input Data'!$D$152*0.6/('I_Inputs &amp; Assumptions'!$B$8/2)),IF('I_Budget Input Data'!$E$152="Mid-weighted",IF(14&lt;='I_Inputs &amp; Assumptions'!$B$8/4,'I_Budget Input Data'!$D$152*0.2/('I_Inputs &amp; Assumptions'!$B$8/4),IF(14&lt;='I_Inputs &amp; Assumptions'!$B$8*0.75,'I_Budget Input Data'!$D$152*0.6/('I_Inputs &amp; Assumptions'!$B$8/2),'I_Budget Input Data'!$D$152*0.2/('I_Inputs &amp; Assumptions'!$B$8/4))),IF('I_Budget Input Data'!$E$152="At Completion",IF(14='I_Inputs &amp; Assumptions'!$B$8,'I_Budget Input Data'!$D$152,0),'I_Budget Input Data'!$D$152/'I_Inputs &amp; Assumptions'!$B$8)))))),0)</f>
        <v>0</v>
      </c>
      <c r="Q152" s="91">
        <f>IF(15&lt;='I_Inputs &amp; Assumptions'!$B$8,IF('I_Budget Input Data'!$E$152="Upfront",IF(15=1,'I_Budget Input Data'!$D$152,0),IF('I_Budget Input Data'!$E$152="Equal",'I_Budget Input Data'!$D$152/'I_Inputs &amp; Assumptions'!$B$8,IF('I_Budget Input Data'!$E$152="Front-loaded",IF(15&lt;='I_Inputs &amp; Assumptions'!$B$8/2,'I_Budget Input Data'!$D$152*0.6/('I_Inputs &amp; Assumptions'!$B$8/2),'I_Budget Input Data'!$D$152*0.4/('I_Inputs &amp; Assumptions'!$B$8/2)),IF('I_Budget Input Data'!$E$152="Back-loaded",IF(15&lt;='I_Inputs &amp; Assumptions'!$B$8/2,'I_Budget Input Data'!$D$152*0.4/('I_Inputs &amp; Assumptions'!$B$8/2),'I_Budget Input Data'!$D$152*0.6/('I_Inputs &amp; Assumptions'!$B$8/2)),IF('I_Budget Input Data'!$E$152="Mid-weighted",IF(15&lt;='I_Inputs &amp; Assumptions'!$B$8/4,'I_Budget Input Data'!$D$152*0.2/('I_Inputs &amp; Assumptions'!$B$8/4),IF(15&lt;='I_Inputs &amp; Assumptions'!$B$8*0.75,'I_Budget Input Data'!$D$152*0.6/('I_Inputs &amp; Assumptions'!$B$8/2),'I_Budget Input Data'!$D$152*0.2/('I_Inputs &amp; Assumptions'!$B$8/4))),IF('I_Budget Input Data'!$E$152="At Completion",IF(15='I_Inputs &amp; Assumptions'!$B$8,'I_Budget Input Data'!$D$152,0),'I_Budget Input Data'!$D$152/'I_Inputs &amp; Assumptions'!$B$8)))))),0)</f>
        <v>0</v>
      </c>
      <c r="R152" s="91">
        <f>IF(16&lt;='I_Inputs &amp; Assumptions'!$B$8,IF('I_Budget Input Data'!$E$152="Upfront",IF(16=1,'I_Budget Input Data'!$D$152,0),IF('I_Budget Input Data'!$E$152="Equal",'I_Budget Input Data'!$D$152/'I_Inputs &amp; Assumptions'!$B$8,IF('I_Budget Input Data'!$E$152="Front-loaded",IF(16&lt;='I_Inputs &amp; Assumptions'!$B$8/2,'I_Budget Input Data'!$D$152*0.6/('I_Inputs &amp; Assumptions'!$B$8/2),'I_Budget Input Data'!$D$152*0.4/('I_Inputs &amp; Assumptions'!$B$8/2)),IF('I_Budget Input Data'!$E$152="Back-loaded",IF(16&lt;='I_Inputs &amp; Assumptions'!$B$8/2,'I_Budget Input Data'!$D$152*0.4/('I_Inputs &amp; Assumptions'!$B$8/2),'I_Budget Input Data'!$D$152*0.6/('I_Inputs &amp; Assumptions'!$B$8/2)),IF('I_Budget Input Data'!$E$152="Mid-weighted",IF(16&lt;='I_Inputs &amp; Assumptions'!$B$8/4,'I_Budget Input Data'!$D$152*0.2/('I_Inputs &amp; Assumptions'!$B$8/4),IF(16&lt;='I_Inputs &amp; Assumptions'!$B$8*0.75,'I_Budget Input Data'!$D$152*0.6/('I_Inputs &amp; Assumptions'!$B$8/2),'I_Budget Input Data'!$D$152*0.2/('I_Inputs &amp; Assumptions'!$B$8/4))),IF('I_Budget Input Data'!$E$152="At Completion",IF(16='I_Inputs &amp; Assumptions'!$B$8,'I_Budget Input Data'!$D$152,0),'I_Budget Input Data'!$D$152/'I_Inputs &amp; Assumptions'!$B$8)))))),0)</f>
        <v>0</v>
      </c>
      <c r="S152" s="91">
        <f>IF(17&lt;='I_Inputs &amp; Assumptions'!$B$8,IF('I_Budget Input Data'!$E$152="Upfront",IF(17=1,'I_Budget Input Data'!$D$152,0),IF('I_Budget Input Data'!$E$152="Equal",'I_Budget Input Data'!$D$152/'I_Inputs &amp; Assumptions'!$B$8,IF('I_Budget Input Data'!$E$152="Front-loaded",IF(17&lt;='I_Inputs &amp; Assumptions'!$B$8/2,'I_Budget Input Data'!$D$152*0.6/('I_Inputs &amp; Assumptions'!$B$8/2),'I_Budget Input Data'!$D$152*0.4/('I_Inputs &amp; Assumptions'!$B$8/2)),IF('I_Budget Input Data'!$E$152="Back-loaded",IF(17&lt;='I_Inputs &amp; Assumptions'!$B$8/2,'I_Budget Input Data'!$D$152*0.4/('I_Inputs &amp; Assumptions'!$B$8/2),'I_Budget Input Data'!$D$152*0.6/('I_Inputs &amp; Assumptions'!$B$8/2)),IF('I_Budget Input Data'!$E$152="Mid-weighted",IF(17&lt;='I_Inputs &amp; Assumptions'!$B$8/4,'I_Budget Input Data'!$D$152*0.2/('I_Inputs &amp; Assumptions'!$B$8/4),IF(17&lt;='I_Inputs &amp; Assumptions'!$B$8*0.75,'I_Budget Input Data'!$D$152*0.6/('I_Inputs &amp; Assumptions'!$B$8/2),'I_Budget Input Data'!$D$152*0.2/('I_Inputs &amp; Assumptions'!$B$8/4))),IF('I_Budget Input Data'!$E$152="At Completion",IF(17='I_Inputs &amp; Assumptions'!$B$8,'I_Budget Input Data'!$D$152,0),'I_Budget Input Data'!$D$152/'I_Inputs &amp; Assumptions'!$B$8)))))),0)</f>
        <v>0</v>
      </c>
      <c r="T152" s="91">
        <f>IF(18&lt;='I_Inputs &amp; Assumptions'!$B$8,IF('I_Budget Input Data'!$E$152="Upfront",IF(18=1,'I_Budget Input Data'!$D$152,0),IF('I_Budget Input Data'!$E$152="Equal",'I_Budget Input Data'!$D$152/'I_Inputs &amp; Assumptions'!$B$8,IF('I_Budget Input Data'!$E$152="Front-loaded",IF(18&lt;='I_Inputs &amp; Assumptions'!$B$8/2,'I_Budget Input Data'!$D$152*0.6/('I_Inputs &amp; Assumptions'!$B$8/2),'I_Budget Input Data'!$D$152*0.4/('I_Inputs &amp; Assumptions'!$B$8/2)),IF('I_Budget Input Data'!$E$152="Back-loaded",IF(18&lt;='I_Inputs &amp; Assumptions'!$B$8/2,'I_Budget Input Data'!$D$152*0.4/('I_Inputs &amp; Assumptions'!$B$8/2),'I_Budget Input Data'!$D$152*0.6/('I_Inputs &amp; Assumptions'!$B$8/2)),IF('I_Budget Input Data'!$E$152="Mid-weighted",IF(18&lt;='I_Inputs &amp; Assumptions'!$B$8/4,'I_Budget Input Data'!$D$152*0.2/('I_Inputs &amp; Assumptions'!$B$8/4),IF(18&lt;='I_Inputs &amp; Assumptions'!$B$8*0.75,'I_Budget Input Data'!$D$152*0.6/('I_Inputs &amp; Assumptions'!$B$8/2),'I_Budget Input Data'!$D$152*0.2/('I_Inputs &amp; Assumptions'!$B$8/4))),IF('I_Budget Input Data'!$E$152="At Completion",IF(18='I_Inputs &amp; Assumptions'!$B$8,'I_Budget Input Data'!$D$152,0),'I_Budget Input Data'!$D$152/'I_Inputs &amp; Assumptions'!$B$8)))))),0)</f>
        <v>0</v>
      </c>
      <c r="U152" s="91">
        <f>IF(19&lt;='I_Inputs &amp; Assumptions'!$B$8,IF('I_Budget Input Data'!$E$152="Upfront",IF(19=1,'I_Budget Input Data'!$D$152,0),IF('I_Budget Input Data'!$E$152="Equal",'I_Budget Input Data'!$D$152/'I_Inputs &amp; Assumptions'!$B$8,IF('I_Budget Input Data'!$E$152="Front-loaded",IF(19&lt;='I_Inputs &amp; Assumptions'!$B$8/2,'I_Budget Input Data'!$D$152*0.6/('I_Inputs &amp; Assumptions'!$B$8/2),'I_Budget Input Data'!$D$152*0.4/('I_Inputs &amp; Assumptions'!$B$8/2)),IF('I_Budget Input Data'!$E$152="Back-loaded",IF(19&lt;='I_Inputs &amp; Assumptions'!$B$8/2,'I_Budget Input Data'!$D$152*0.4/('I_Inputs &amp; Assumptions'!$B$8/2),'I_Budget Input Data'!$D$152*0.6/('I_Inputs &amp; Assumptions'!$B$8/2)),IF('I_Budget Input Data'!$E$152="Mid-weighted",IF(19&lt;='I_Inputs &amp; Assumptions'!$B$8/4,'I_Budget Input Data'!$D$152*0.2/('I_Inputs &amp; Assumptions'!$B$8/4),IF(19&lt;='I_Inputs &amp; Assumptions'!$B$8*0.75,'I_Budget Input Data'!$D$152*0.6/('I_Inputs &amp; Assumptions'!$B$8/2),'I_Budget Input Data'!$D$152*0.2/('I_Inputs &amp; Assumptions'!$B$8/4))),IF('I_Budget Input Data'!$E$152="At Completion",IF(19='I_Inputs &amp; Assumptions'!$B$8,'I_Budget Input Data'!$D$152,0),'I_Budget Input Data'!$D$152/'I_Inputs &amp; Assumptions'!$B$8)))))),0)</f>
        <v>0</v>
      </c>
      <c r="V152" s="91">
        <f>IF(20&lt;='I_Inputs &amp; Assumptions'!$B$8,IF('I_Budget Input Data'!$E$152="Upfront",IF(20=1,'I_Budget Input Data'!$D$152,0),IF('I_Budget Input Data'!$E$152="Equal",'I_Budget Input Data'!$D$152/'I_Inputs &amp; Assumptions'!$B$8,IF('I_Budget Input Data'!$E$152="Front-loaded",IF(20&lt;='I_Inputs &amp; Assumptions'!$B$8/2,'I_Budget Input Data'!$D$152*0.6/('I_Inputs &amp; Assumptions'!$B$8/2),'I_Budget Input Data'!$D$152*0.4/('I_Inputs &amp; Assumptions'!$B$8/2)),IF('I_Budget Input Data'!$E$152="Back-loaded",IF(20&lt;='I_Inputs &amp; Assumptions'!$B$8/2,'I_Budget Input Data'!$D$152*0.4/('I_Inputs &amp; Assumptions'!$B$8/2),'I_Budget Input Data'!$D$152*0.6/('I_Inputs &amp; Assumptions'!$B$8/2)),IF('I_Budget Input Data'!$E$152="Mid-weighted",IF(20&lt;='I_Inputs &amp; Assumptions'!$B$8/4,'I_Budget Input Data'!$D$152*0.2/('I_Inputs &amp; Assumptions'!$B$8/4),IF(20&lt;='I_Inputs &amp; Assumptions'!$B$8*0.75,'I_Budget Input Data'!$D$152*0.6/('I_Inputs &amp; Assumptions'!$B$8/2),'I_Budget Input Data'!$D$152*0.2/('I_Inputs &amp; Assumptions'!$B$8/4))),IF('I_Budget Input Data'!$E$152="At Completion",IF(20='I_Inputs &amp; Assumptions'!$B$8,'I_Budget Input Data'!$D$152,0),'I_Budget Input Data'!$D$152/'I_Inputs &amp; Assumptions'!$B$8)))))),0)</f>
        <v>0</v>
      </c>
      <c r="W152" s="91">
        <f>IF(21&lt;='I_Inputs &amp; Assumptions'!$B$8,IF('I_Budget Input Data'!$E$152="Upfront",IF(21=1,'I_Budget Input Data'!$D$152,0),IF('I_Budget Input Data'!$E$152="Equal",'I_Budget Input Data'!$D$152/'I_Inputs &amp; Assumptions'!$B$8,IF('I_Budget Input Data'!$E$152="Front-loaded",IF(21&lt;='I_Inputs &amp; Assumptions'!$B$8/2,'I_Budget Input Data'!$D$152*0.6/('I_Inputs &amp; Assumptions'!$B$8/2),'I_Budget Input Data'!$D$152*0.4/('I_Inputs &amp; Assumptions'!$B$8/2)),IF('I_Budget Input Data'!$E$152="Back-loaded",IF(21&lt;='I_Inputs &amp; Assumptions'!$B$8/2,'I_Budget Input Data'!$D$152*0.4/('I_Inputs &amp; Assumptions'!$B$8/2),'I_Budget Input Data'!$D$152*0.6/('I_Inputs &amp; Assumptions'!$B$8/2)),IF('I_Budget Input Data'!$E$152="Mid-weighted",IF(21&lt;='I_Inputs &amp; Assumptions'!$B$8/4,'I_Budget Input Data'!$D$152*0.2/('I_Inputs &amp; Assumptions'!$B$8/4),IF(21&lt;='I_Inputs &amp; Assumptions'!$B$8*0.75,'I_Budget Input Data'!$D$152*0.6/('I_Inputs &amp; Assumptions'!$B$8/2),'I_Budget Input Data'!$D$152*0.2/('I_Inputs &amp; Assumptions'!$B$8/4))),IF('I_Budget Input Data'!$E$152="At Completion",IF(21='I_Inputs &amp; Assumptions'!$B$8,'I_Budget Input Data'!$D$152,0),'I_Budget Input Data'!$D$152/'I_Inputs &amp; Assumptions'!$B$8)))))),0)</f>
        <v>0</v>
      </c>
      <c r="X152" s="91">
        <f>IF(22&lt;='I_Inputs &amp; Assumptions'!$B$8,IF('I_Budget Input Data'!$E$152="Upfront",IF(22=1,'I_Budget Input Data'!$D$152,0),IF('I_Budget Input Data'!$E$152="Equal",'I_Budget Input Data'!$D$152/'I_Inputs &amp; Assumptions'!$B$8,IF('I_Budget Input Data'!$E$152="Front-loaded",IF(22&lt;='I_Inputs &amp; Assumptions'!$B$8/2,'I_Budget Input Data'!$D$152*0.6/('I_Inputs &amp; Assumptions'!$B$8/2),'I_Budget Input Data'!$D$152*0.4/('I_Inputs &amp; Assumptions'!$B$8/2)),IF('I_Budget Input Data'!$E$152="Back-loaded",IF(22&lt;='I_Inputs &amp; Assumptions'!$B$8/2,'I_Budget Input Data'!$D$152*0.4/('I_Inputs &amp; Assumptions'!$B$8/2),'I_Budget Input Data'!$D$152*0.6/('I_Inputs &amp; Assumptions'!$B$8/2)),IF('I_Budget Input Data'!$E$152="Mid-weighted",IF(22&lt;='I_Inputs &amp; Assumptions'!$B$8/4,'I_Budget Input Data'!$D$152*0.2/('I_Inputs &amp; Assumptions'!$B$8/4),IF(22&lt;='I_Inputs &amp; Assumptions'!$B$8*0.75,'I_Budget Input Data'!$D$152*0.6/('I_Inputs &amp; Assumptions'!$B$8/2),'I_Budget Input Data'!$D$152*0.2/('I_Inputs &amp; Assumptions'!$B$8/4))),IF('I_Budget Input Data'!$E$152="At Completion",IF(22='I_Inputs &amp; Assumptions'!$B$8,'I_Budget Input Data'!$D$152,0),'I_Budget Input Data'!$D$152/'I_Inputs &amp; Assumptions'!$B$8)))))),0)</f>
        <v>0</v>
      </c>
      <c r="Y152" s="91">
        <f>IF(23&lt;='I_Inputs &amp; Assumptions'!$B$8,IF('I_Budget Input Data'!$E$152="Upfront",IF(23=1,'I_Budget Input Data'!$D$152,0),IF('I_Budget Input Data'!$E$152="Equal",'I_Budget Input Data'!$D$152/'I_Inputs &amp; Assumptions'!$B$8,IF('I_Budget Input Data'!$E$152="Front-loaded",IF(23&lt;='I_Inputs &amp; Assumptions'!$B$8/2,'I_Budget Input Data'!$D$152*0.6/('I_Inputs &amp; Assumptions'!$B$8/2),'I_Budget Input Data'!$D$152*0.4/('I_Inputs &amp; Assumptions'!$B$8/2)),IF('I_Budget Input Data'!$E$152="Back-loaded",IF(23&lt;='I_Inputs &amp; Assumptions'!$B$8/2,'I_Budget Input Data'!$D$152*0.4/('I_Inputs &amp; Assumptions'!$B$8/2),'I_Budget Input Data'!$D$152*0.6/('I_Inputs &amp; Assumptions'!$B$8/2)),IF('I_Budget Input Data'!$E$152="Mid-weighted",IF(23&lt;='I_Inputs &amp; Assumptions'!$B$8/4,'I_Budget Input Data'!$D$152*0.2/('I_Inputs &amp; Assumptions'!$B$8/4),IF(23&lt;='I_Inputs &amp; Assumptions'!$B$8*0.75,'I_Budget Input Data'!$D$152*0.6/('I_Inputs &amp; Assumptions'!$B$8/2),'I_Budget Input Data'!$D$152*0.2/('I_Inputs &amp; Assumptions'!$B$8/4))),IF('I_Budget Input Data'!$E$152="At Completion",IF(23='I_Inputs &amp; Assumptions'!$B$8,'I_Budget Input Data'!$D$152,0),'I_Budget Input Data'!$D$152/'I_Inputs &amp; Assumptions'!$B$8)))))),0)</f>
        <v>0</v>
      </c>
      <c r="Z152" s="91">
        <f>IF(24&lt;='I_Inputs &amp; Assumptions'!$B$8,IF('I_Budget Input Data'!$E$152="Upfront",IF(24=1,'I_Budget Input Data'!$D$152,0),IF('I_Budget Input Data'!$E$152="Equal",'I_Budget Input Data'!$D$152/'I_Inputs &amp; Assumptions'!$B$8,IF('I_Budget Input Data'!$E$152="Front-loaded",IF(24&lt;='I_Inputs &amp; Assumptions'!$B$8/2,'I_Budget Input Data'!$D$152*0.6/('I_Inputs &amp; Assumptions'!$B$8/2),'I_Budget Input Data'!$D$152*0.4/('I_Inputs &amp; Assumptions'!$B$8/2)),IF('I_Budget Input Data'!$E$152="Back-loaded",IF(24&lt;='I_Inputs &amp; Assumptions'!$B$8/2,'I_Budget Input Data'!$D$152*0.4/('I_Inputs &amp; Assumptions'!$B$8/2),'I_Budget Input Data'!$D$152*0.6/('I_Inputs &amp; Assumptions'!$B$8/2)),IF('I_Budget Input Data'!$E$152="Mid-weighted",IF(24&lt;='I_Inputs &amp; Assumptions'!$B$8/4,'I_Budget Input Data'!$D$152*0.2/('I_Inputs &amp; Assumptions'!$B$8/4),IF(24&lt;='I_Inputs &amp; Assumptions'!$B$8*0.75,'I_Budget Input Data'!$D$152*0.6/('I_Inputs &amp; Assumptions'!$B$8/2),'I_Budget Input Data'!$D$152*0.2/('I_Inputs &amp; Assumptions'!$B$8/4))),IF('I_Budget Input Data'!$E$152="At Completion",IF(24='I_Inputs &amp; Assumptions'!$B$8,'I_Budget Input Data'!$D$152,0),'I_Budget Input Data'!$D$152/'I_Inputs &amp; Assumptions'!$B$8)))))),0)</f>
        <v>0</v>
      </c>
      <c r="AA152" s="91">
        <f>IF(25&lt;='I_Inputs &amp; Assumptions'!$B$8,IF('I_Budget Input Data'!$E$152="Upfront",IF(25=1,'I_Budget Input Data'!$D$152,0),IF('I_Budget Input Data'!$E$152="Equal",'I_Budget Input Data'!$D$152/'I_Inputs &amp; Assumptions'!$B$8,IF('I_Budget Input Data'!$E$152="Front-loaded",IF(25&lt;='I_Inputs &amp; Assumptions'!$B$8/2,'I_Budget Input Data'!$D$152*0.6/('I_Inputs &amp; Assumptions'!$B$8/2),'I_Budget Input Data'!$D$152*0.4/('I_Inputs &amp; Assumptions'!$B$8/2)),IF('I_Budget Input Data'!$E$152="Back-loaded",IF(25&lt;='I_Inputs &amp; Assumptions'!$B$8/2,'I_Budget Input Data'!$D$152*0.4/('I_Inputs &amp; Assumptions'!$B$8/2),'I_Budget Input Data'!$D$152*0.6/('I_Inputs &amp; Assumptions'!$B$8/2)),IF('I_Budget Input Data'!$E$152="Mid-weighted",IF(25&lt;='I_Inputs &amp; Assumptions'!$B$8/4,'I_Budget Input Data'!$D$152*0.2/('I_Inputs &amp; Assumptions'!$B$8/4),IF(25&lt;='I_Inputs &amp; Assumptions'!$B$8*0.75,'I_Budget Input Data'!$D$152*0.6/('I_Inputs &amp; Assumptions'!$B$8/2),'I_Budget Input Data'!$D$152*0.2/('I_Inputs &amp; Assumptions'!$B$8/4))),IF('I_Budget Input Data'!$E$152="At Completion",IF(25='I_Inputs &amp; Assumptions'!$B$8,'I_Budget Input Data'!$D$152,0),'I_Budget Input Data'!$D$152/'I_Inputs &amp; Assumptions'!$B$8)))))),0)</f>
        <v>0</v>
      </c>
      <c r="AB152" s="91">
        <f>IF(26&lt;='I_Inputs &amp; Assumptions'!$B$8,IF('I_Budget Input Data'!$E$152="Upfront",IF(26=1,'I_Budget Input Data'!$D$152,0),IF('I_Budget Input Data'!$E$152="Equal",'I_Budget Input Data'!$D$152/'I_Inputs &amp; Assumptions'!$B$8,IF('I_Budget Input Data'!$E$152="Front-loaded",IF(26&lt;='I_Inputs &amp; Assumptions'!$B$8/2,'I_Budget Input Data'!$D$152*0.6/('I_Inputs &amp; Assumptions'!$B$8/2),'I_Budget Input Data'!$D$152*0.4/('I_Inputs &amp; Assumptions'!$B$8/2)),IF('I_Budget Input Data'!$E$152="Back-loaded",IF(26&lt;='I_Inputs &amp; Assumptions'!$B$8/2,'I_Budget Input Data'!$D$152*0.4/('I_Inputs &amp; Assumptions'!$B$8/2),'I_Budget Input Data'!$D$152*0.6/('I_Inputs &amp; Assumptions'!$B$8/2)),IF('I_Budget Input Data'!$E$152="Mid-weighted",IF(26&lt;='I_Inputs &amp; Assumptions'!$B$8/4,'I_Budget Input Data'!$D$152*0.2/('I_Inputs &amp; Assumptions'!$B$8/4),IF(26&lt;='I_Inputs &amp; Assumptions'!$B$8*0.75,'I_Budget Input Data'!$D$152*0.6/('I_Inputs &amp; Assumptions'!$B$8/2),'I_Budget Input Data'!$D$152*0.2/('I_Inputs &amp; Assumptions'!$B$8/4))),IF('I_Budget Input Data'!$E$152="At Completion",IF(26='I_Inputs &amp; Assumptions'!$B$8,'I_Budget Input Data'!$D$152,0),'I_Budget Input Data'!$D$152/'I_Inputs &amp; Assumptions'!$B$8)))))),0)</f>
        <v>0</v>
      </c>
      <c r="AC152" s="91">
        <f>IF(27&lt;='I_Inputs &amp; Assumptions'!$B$8,IF('I_Budget Input Data'!$E$152="Upfront",IF(27=1,'I_Budget Input Data'!$D$152,0),IF('I_Budget Input Data'!$E$152="Equal",'I_Budget Input Data'!$D$152/'I_Inputs &amp; Assumptions'!$B$8,IF('I_Budget Input Data'!$E$152="Front-loaded",IF(27&lt;='I_Inputs &amp; Assumptions'!$B$8/2,'I_Budget Input Data'!$D$152*0.6/('I_Inputs &amp; Assumptions'!$B$8/2),'I_Budget Input Data'!$D$152*0.4/('I_Inputs &amp; Assumptions'!$B$8/2)),IF('I_Budget Input Data'!$E$152="Back-loaded",IF(27&lt;='I_Inputs &amp; Assumptions'!$B$8/2,'I_Budget Input Data'!$D$152*0.4/('I_Inputs &amp; Assumptions'!$B$8/2),'I_Budget Input Data'!$D$152*0.6/('I_Inputs &amp; Assumptions'!$B$8/2)),IF('I_Budget Input Data'!$E$152="Mid-weighted",IF(27&lt;='I_Inputs &amp; Assumptions'!$B$8/4,'I_Budget Input Data'!$D$152*0.2/('I_Inputs &amp; Assumptions'!$B$8/4),IF(27&lt;='I_Inputs &amp; Assumptions'!$B$8*0.75,'I_Budget Input Data'!$D$152*0.6/('I_Inputs &amp; Assumptions'!$B$8/2),'I_Budget Input Data'!$D$152*0.2/('I_Inputs &amp; Assumptions'!$B$8/4))),IF('I_Budget Input Data'!$E$152="At Completion",IF(27='I_Inputs &amp; Assumptions'!$B$8,'I_Budget Input Data'!$D$152,0),'I_Budget Input Data'!$D$152/'I_Inputs &amp; Assumptions'!$B$8)))))),0)</f>
        <v>0</v>
      </c>
      <c r="AD152" s="91">
        <f>IF(28&lt;='I_Inputs &amp; Assumptions'!$B$8,IF('I_Budget Input Data'!$E$152="Upfront",IF(28=1,'I_Budget Input Data'!$D$152,0),IF('I_Budget Input Data'!$E$152="Equal",'I_Budget Input Data'!$D$152/'I_Inputs &amp; Assumptions'!$B$8,IF('I_Budget Input Data'!$E$152="Front-loaded",IF(28&lt;='I_Inputs &amp; Assumptions'!$B$8/2,'I_Budget Input Data'!$D$152*0.6/('I_Inputs &amp; Assumptions'!$B$8/2),'I_Budget Input Data'!$D$152*0.4/('I_Inputs &amp; Assumptions'!$B$8/2)),IF('I_Budget Input Data'!$E$152="Back-loaded",IF(28&lt;='I_Inputs &amp; Assumptions'!$B$8/2,'I_Budget Input Data'!$D$152*0.4/('I_Inputs &amp; Assumptions'!$B$8/2),'I_Budget Input Data'!$D$152*0.6/('I_Inputs &amp; Assumptions'!$B$8/2)),IF('I_Budget Input Data'!$E$152="Mid-weighted",IF(28&lt;='I_Inputs &amp; Assumptions'!$B$8/4,'I_Budget Input Data'!$D$152*0.2/('I_Inputs &amp; Assumptions'!$B$8/4),IF(28&lt;='I_Inputs &amp; Assumptions'!$B$8*0.75,'I_Budget Input Data'!$D$152*0.6/('I_Inputs &amp; Assumptions'!$B$8/2),'I_Budget Input Data'!$D$152*0.2/('I_Inputs &amp; Assumptions'!$B$8/4))),IF('I_Budget Input Data'!$E$152="At Completion",IF(28='I_Inputs &amp; Assumptions'!$B$8,'I_Budget Input Data'!$D$152,0),'I_Budget Input Data'!$D$152/'I_Inputs &amp; Assumptions'!$B$8)))))),0)</f>
        <v>0</v>
      </c>
      <c r="AE152" s="91">
        <f>IF(29&lt;='I_Inputs &amp; Assumptions'!$B$8,IF('I_Budget Input Data'!$E$152="Upfront",IF(29=1,'I_Budget Input Data'!$D$152,0),IF('I_Budget Input Data'!$E$152="Equal",'I_Budget Input Data'!$D$152/'I_Inputs &amp; Assumptions'!$B$8,IF('I_Budget Input Data'!$E$152="Front-loaded",IF(29&lt;='I_Inputs &amp; Assumptions'!$B$8/2,'I_Budget Input Data'!$D$152*0.6/('I_Inputs &amp; Assumptions'!$B$8/2),'I_Budget Input Data'!$D$152*0.4/('I_Inputs &amp; Assumptions'!$B$8/2)),IF('I_Budget Input Data'!$E$152="Back-loaded",IF(29&lt;='I_Inputs &amp; Assumptions'!$B$8/2,'I_Budget Input Data'!$D$152*0.4/('I_Inputs &amp; Assumptions'!$B$8/2),'I_Budget Input Data'!$D$152*0.6/('I_Inputs &amp; Assumptions'!$B$8/2)),IF('I_Budget Input Data'!$E$152="Mid-weighted",IF(29&lt;='I_Inputs &amp; Assumptions'!$B$8/4,'I_Budget Input Data'!$D$152*0.2/('I_Inputs &amp; Assumptions'!$B$8/4),IF(29&lt;='I_Inputs &amp; Assumptions'!$B$8*0.75,'I_Budget Input Data'!$D$152*0.6/('I_Inputs &amp; Assumptions'!$B$8/2),'I_Budget Input Data'!$D$152*0.2/('I_Inputs &amp; Assumptions'!$B$8/4))),IF('I_Budget Input Data'!$E$152="At Completion",IF(29='I_Inputs &amp; Assumptions'!$B$8,'I_Budget Input Data'!$D$152,0),'I_Budget Input Data'!$D$152/'I_Inputs &amp; Assumptions'!$B$8)))))),0)</f>
        <v>0</v>
      </c>
      <c r="AF152" s="91">
        <f>IF(30&lt;='I_Inputs &amp; Assumptions'!$B$8,IF('I_Budget Input Data'!$E$152="Upfront",IF(30=1,'I_Budget Input Data'!$D$152,0),IF('I_Budget Input Data'!$E$152="Equal",'I_Budget Input Data'!$D$152/'I_Inputs &amp; Assumptions'!$B$8,IF('I_Budget Input Data'!$E$152="Front-loaded",IF(30&lt;='I_Inputs &amp; Assumptions'!$B$8/2,'I_Budget Input Data'!$D$152*0.6/('I_Inputs &amp; Assumptions'!$B$8/2),'I_Budget Input Data'!$D$152*0.4/('I_Inputs &amp; Assumptions'!$B$8/2)),IF('I_Budget Input Data'!$E$152="Back-loaded",IF(30&lt;='I_Inputs &amp; Assumptions'!$B$8/2,'I_Budget Input Data'!$D$152*0.4/('I_Inputs &amp; Assumptions'!$B$8/2),'I_Budget Input Data'!$D$152*0.6/('I_Inputs &amp; Assumptions'!$B$8/2)),IF('I_Budget Input Data'!$E$152="Mid-weighted",IF(30&lt;='I_Inputs &amp; Assumptions'!$B$8/4,'I_Budget Input Data'!$D$152*0.2/('I_Inputs &amp; Assumptions'!$B$8/4),IF(30&lt;='I_Inputs &amp; Assumptions'!$B$8*0.75,'I_Budget Input Data'!$D$152*0.6/('I_Inputs &amp; Assumptions'!$B$8/2),'I_Budget Input Data'!$D$152*0.2/('I_Inputs &amp; Assumptions'!$B$8/4))),IF('I_Budget Input Data'!$E$152="At Completion",IF(30='I_Inputs &amp; Assumptions'!$B$8,'I_Budget Input Data'!$D$152,0),'I_Budget Input Data'!$D$152/'I_Inputs &amp; Assumptions'!$B$8)))))),0)</f>
        <v>0</v>
      </c>
      <c r="AG152" s="91">
        <f>IF(31&lt;='I_Inputs &amp; Assumptions'!$B$8,IF('I_Budget Input Data'!$E$152="Upfront",IF(31=1,'I_Budget Input Data'!$D$152,0),IF('I_Budget Input Data'!$E$152="Equal",'I_Budget Input Data'!$D$152/'I_Inputs &amp; Assumptions'!$B$8,IF('I_Budget Input Data'!$E$152="Front-loaded",IF(31&lt;='I_Inputs &amp; Assumptions'!$B$8/2,'I_Budget Input Data'!$D$152*0.6/('I_Inputs &amp; Assumptions'!$B$8/2),'I_Budget Input Data'!$D$152*0.4/('I_Inputs &amp; Assumptions'!$B$8/2)),IF('I_Budget Input Data'!$E$152="Back-loaded",IF(31&lt;='I_Inputs &amp; Assumptions'!$B$8/2,'I_Budget Input Data'!$D$152*0.4/('I_Inputs &amp; Assumptions'!$B$8/2),'I_Budget Input Data'!$D$152*0.6/('I_Inputs &amp; Assumptions'!$B$8/2)),IF('I_Budget Input Data'!$E$152="Mid-weighted",IF(31&lt;='I_Inputs &amp; Assumptions'!$B$8/4,'I_Budget Input Data'!$D$152*0.2/('I_Inputs &amp; Assumptions'!$B$8/4),IF(31&lt;='I_Inputs &amp; Assumptions'!$B$8*0.75,'I_Budget Input Data'!$D$152*0.6/('I_Inputs &amp; Assumptions'!$B$8/2),'I_Budget Input Data'!$D$152*0.2/('I_Inputs &amp; Assumptions'!$B$8/4))),IF('I_Budget Input Data'!$E$152="At Completion",IF(31='I_Inputs &amp; Assumptions'!$B$8,'I_Budget Input Data'!$D$152,0),'I_Budget Input Data'!$D$152/'I_Inputs &amp; Assumptions'!$B$8)))))),0)</f>
        <v>0</v>
      </c>
      <c r="AH152" s="91">
        <f>IF(32&lt;='I_Inputs &amp; Assumptions'!$B$8,IF('I_Budget Input Data'!$E$152="Upfront",IF(32=1,'I_Budget Input Data'!$D$152,0),IF('I_Budget Input Data'!$E$152="Equal",'I_Budget Input Data'!$D$152/'I_Inputs &amp; Assumptions'!$B$8,IF('I_Budget Input Data'!$E$152="Front-loaded",IF(32&lt;='I_Inputs &amp; Assumptions'!$B$8/2,'I_Budget Input Data'!$D$152*0.6/('I_Inputs &amp; Assumptions'!$B$8/2),'I_Budget Input Data'!$D$152*0.4/('I_Inputs &amp; Assumptions'!$B$8/2)),IF('I_Budget Input Data'!$E$152="Back-loaded",IF(32&lt;='I_Inputs &amp; Assumptions'!$B$8/2,'I_Budget Input Data'!$D$152*0.4/('I_Inputs &amp; Assumptions'!$B$8/2),'I_Budget Input Data'!$D$152*0.6/('I_Inputs &amp; Assumptions'!$B$8/2)),IF('I_Budget Input Data'!$E$152="Mid-weighted",IF(32&lt;='I_Inputs &amp; Assumptions'!$B$8/4,'I_Budget Input Data'!$D$152*0.2/('I_Inputs &amp; Assumptions'!$B$8/4),IF(32&lt;='I_Inputs &amp; Assumptions'!$B$8*0.75,'I_Budget Input Data'!$D$152*0.6/('I_Inputs &amp; Assumptions'!$B$8/2),'I_Budget Input Data'!$D$152*0.2/('I_Inputs &amp; Assumptions'!$B$8/4))),IF('I_Budget Input Data'!$E$152="At Completion",IF(32='I_Inputs &amp; Assumptions'!$B$8,'I_Budget Input Data'!$D$152,0),'I_Budget Input Data'!$D$152/'I_Inputs &amp; Assumptions'!$B$8)))))),0)</f>
        <v>0</v>
      </c>
      <c r="AI152" s="91">
        <f>IF(33&lt;='I_Inputs &amp; Assumptions'!$B$8,IF('I_Budget Input Data'!$E$152="Upfront",IF(33=1,'I_Budget Input Data'!$D$152,0),IF('I_Budget Input Data'!$E$152="Equal",'I_Budget Input Data'!$D$152/'I_Inputs &amp; Assumptions'!$B$8,IF('I_Budget Input Data'!$E$152="Front-loaded",IF(33&lt;='I_Inputs &amp; Assumptions'!$B$8/2,'I_Budget Input Data'!$D$152*0.6/('I_Inputs &amp; Assumptions'!$B$8/2),'I_Budget Input Data'!$D$152*0.4/('I_Inputs &amp; Assumptions'!$B$8/2)),IF('I_Budget Input Data'!$E$152="Back-loaded",IF(33&lt;='I_Inputs &amp; Assumptions'!$B$8/2,'I_Budget Input Data'!$D$152*0.4/('I_Inputs &amp; Assumptions'!$B$8/2),'I_Budget Input Data'!$D$152*0.6/('I_Inputs &amp; Assumptions'!$B$8/2)),IF('I_Budget Input Data'!$E$152="Mid-weighted",IF(33&lt;='I_Inputs &amp; Assumptions'!$B$8/4,'I_Budget Input Data'!$D$152*0.2/('I_Inputs &amp; Assumptions'!$B$8/4),IF(33&lt;='I_Inputs &amp; Assumptions'!$B$8*0.75,'I_Budget Input Data'!$D$152*0.6/('I_Inputs &amp; Assumptions'!$B$8/2),'I_Budget Input Data'!$D$152*0.2/('I_Inputs &amp; Assumptions'!$B$8/4))),IF('I_Budget Input Data'!$E$152="At Completion",IF(33='I_Inputs &amp; Assumptions'!$B$8,'I_Budget Input Data'!$D$152,0),'I_Budget Input Data'!$D$152/'I_Inputs &amp; Assumptions'!$B$8)))))),0)</f>
        <v>0</v>
      </c>
      <c r="AJ152" s="91">
        <f>IF(34&lt;='I_Inputs &amp; Assumptions'!$B$8,IF('I_Budget Input Data'!$E$152="Upfront",IF(34=1,'I_Budget Input Data'!$D$152,0),IF('I_Budget Input Data'!$E$152="Equal",'I_Budget Input Data'!$D$152/'I_Inputs &amp; Assumptions'!$B$8,IF('I_Budget Input Data'!$E$152="Front-loaded",IF(34&lt;='I_Inputs &amp; Assumptions'!$B$8/2,'I_Budget Input Data'!$D$152*0.6/('I_Inputs &amp; Assumptions'!$B$8/2),'I_Budget Input Data'!$D$152*0.4/('I_Inputs &amp; Assumptions'!$B$8/2)),IF('I_Budget Input Data'!$E$152="Back-loaded",IF(34&lt;='I_Inputs &amp; Assumptions'!$B$8/2,'I_Budget Input Data'!$D$152*0.4/('I_Inputs &amp; Assumptions'!$B$8/2),'I_Budget Input Data'!$D$152*0.6/('I_Inputs &amp; Assumptions'!$B$8/2)),IF('I_Budget Input Data'!$E$152="Mid-weighted",IF(34&lt;='I_Inputs &amp; Assumptions'!$B$8/4,'I_Budget Input Data'!$D$152*0.2/('I_Inputs &amp; Assumptions'!$B$8/4),IF(34&lt;='I_Inputs &amp; Assumptions'!$B$8*0.75,'I_Budget Input Data'!$D$152*0.6/('I_Inputs &amp; Assumptions'!$B$8/2),'I_Budget Input Data'!$D$152*0.2/('I_Inputs &amp; Assumptions'!$B$8/4))),IF('I_Budget Input Data'!$E$152="At Completion",IF(34='I_Inputs &amp; Assumptions'!$B$8,'I_Budget Input Data'!$D$152,0),'I_Budget Input Data'!$D$152/'I_Inputs &amp; Assumptions'!$B$8)))))),0)</f>
        <v>0</v>
      </c>
      <c r="AK152" s="91">
        <f>IF(35&lt;='I_Inputs &amp; Assumptions'!$B$8,IF('I_Budget Input Data'!$E$152="Upfront",IF(35=1,'I_Budget Input Data'!$D$152,0),IF('I_Budget Input Data'!$E$152="Equal",'I_Budget Input Data'!$D$152/'I_Inputs &amp; Assumptions'!$B$8,IF('I_Budget Input Data'!$E$152="Front-loaded",IF(35&lt;='I_Inputs &amp; Assumptions'!$B$8/2,'I_Budget Input Data'!$D$152*0.6/('I_Inputs &amp; Assumptions'!$B$8/2),'I_Budget Input Data'!$D$152*0.4/('I_Inputs &amp; Assumptions'!$B$8/2)),IF('I_Budget Input Data'!$E$152="Back-loaded",IF(35&lt;='I_Inputs &amp; Assumptions'!$B$8/2,'I_Budget Input Data'!$D$152*0.4/('I_Inputs &amp; Assumptions'!$B$8/2),'I_Budget Input Data'!$D$152*0.6/('I_Inputs &amp; Assumptions'!$B$8/2)),IF('I_Budget Input Data'!$E$152="Mid-weighted",IF(35&lt;='I_Inputs &amp; Assumptions'!$B$8/4,'I_Budget Input Data'!$D$152*0.2/('I_Inputs &amp; Assumptions'!$B$8/4),IF(35&lt;='I_Inputs &amp; Assumptions'!$B$8*0.75,'I_Budget Input Data'!$D$152*0.6/('I_Inputs &amp; Assumptions'!$B$8/2),'I_Budget Input Data'!$D$152*0.2/('I_Inputs &amp; Assumptions'!$B$8/4))),IF('I_Budget Input Data'!$E$152="At Completion",IF(35='I_Inputs &amp; Assumptions'!$B$8,'I_Budget Input Data'!$D$152,0),'I_Budget Input Data'!$D$152/'I_Inputs &amp; Assumptions'!$B$8)))))),0)</f>
        <v>0</v>
      </c>
      <c r="AL152" s="91">
        <f>IF(36&lt;='I_Inputs &amp; Assumptions'!$B$8,IF('I_Budget Input Data'!$E$152="Upfront",IF(36=1,'I_Budget Input Data'!$D$152,0),IF('I_Budget Input Data'!$E$152="Equal",'I_Budget Input Data'!$D$152/'I_Inputs &amp; Assumptions'!$B$8,IF('I_Budget Input Data'!$E$152="Front-loaded",IF(36&lt;='I_Inputs &amp; Assumptions'!$B$8/2,'I_Budget Input Data'!$D$152*0.6/('I_Inputs &amp; Assumptions'!$B$8/2),'I_Budget Input Data'!$D$152*0.4/('I_Inputs &amp; Assumptions'!$B$8/2)),IF('I_Budget Input Data'!$E$152="Back-loaded",IF(36&lt;='I_Inputs &amp; Assumptions'!$B$8/2,'I_Budget Input Data'!$D$152*0.4/('I_Inputs &amp; Assumptions'!$B$8/2),'I_Budget Input Data'!$D$152*0.6/('I_Inputs &amp; Assumptions'!$B$8/2)),IF('I_Budget Input Data'!$E$152="Mid-weighted",IF(36&lt;='I_Inputs &amp; Assumptions'!$B$8/4,'I_Budget Input Data'!$D$152*0.2/('I_Inputs &amp; Assumptions'!$B$8/4),IF(36&lt;='I_Inputs &amp; Assumptions'!$B$8*0.75,'I_Budget Input Data'!$D$152*0.6/('I_Inputs &amp; Assumptions'!$B$8/2),'I_Budget Input Data'!$D$152*0.2/('I_Inputs &amp; Assumptions'!$B$8/4))),IF('I_Budget Input Data'!$E$152="At Completion",IF(36='I_Inputs &amp; Assumptions'!$B$8,'I_Budget Input Data'!$D$152,0),'I_Budget Input Data'!$D$152/'I_Inputs &amp; Assumptions'!$B$8)))))),0)</f>
        <v>0</v>
      </c>
    </row>
    <row r="153" spans="1:38" ht="15" customHeight="1" x14ac:dyDescent="0.2">
      <c r="A153" t="s">
        <v>248</v>
      </c>
      <c r="B153" t="s">
        <v>268</v>
      </c>
      <c r="C153" s="91">
        <f>IF(1&lt;='I_Inputs &amp; Assumptions'!$B$8,IF('I_Budget Input Data'!$E$153="Upfront",IF(1=1,'I_Budget Input Data'!$D$153,0),IF('I_Budget Input Data'!$E$153="Equal",'I_Budget Input Data'!$D$153/'I_Inputs &amp; Assumptions'!$B$8,IF('I_Budget Input Data'!$E$153="Front-loaded",IF(1&lt;='I_Inputs &amp; Assumptions'!$B$8/2,'I_Budget Input Data'!$D$153*0.6/('I_Inputs &amp; Assumptions'!$B$8/2),'I_Budget Input Data'!$D$153*0.4/('I_Inputs &amp; Assumptions'!$B$8/2)),IF('I_Budget Input Data'!$E$153="Back-loaded",IF(1&lt;='I_Inputs &amp; Assumptions'!$B$8/2,'I_Budget Input Data'!$D$153*0.4/('I_Inputs &amp; Assumptions'!$B$8/2),'I_Budget Input Data'!$D$153*0.6/('I_Inputs &amp; Assumptions'!$B$8/2)),IF('I_Budget Input Data'!$E$153="Mid-weighted",IF(1&lt;='I_Inputs &amp; Assumptions'!$B$8/4,'I_Budget Input Data'!$D$153*0.2/('I_Inputs &amp; Assumptions'!$B$8/4),IF(1&lt;='I_Inputs &amp; Assumptions'!$B$8*0.75,'I_Budget Input Data'!$D$153*0.6/('I_Inputs &amp; Assumptions'!$B$8/2),'I_Budget Input Data'!$D$153*0.2/('I_Inputs &amp; Assumptions'!$B$8/4))),IF('I_Budget Input Data'!$E$153="At Completion",IF(1='I_Inputs &amp; Assumptions'!$B$8,'I_Budget Input Data'!$D$153,0),'I_Budget Input Data'!$D$153/'I_Inputs &amp; Assumptions'!$B$8)))))),0)</f>
        <v>369.23076923076923</v>
      </c>
      <c r="D153" s="91">
        <f>IF(2&lt;='I_Inputs &amp; Assumptions'!$B$8,IF('I_Budget Input Data'!$E$153="Upfront",IF(2=1,'I_Budget Input Data'!$D$153,0),IF('I_Budget Input Data'!$E$153="Equal",'I_Budget Input Data'!$D$153/'I_Inputs &amp; Assumptions'!$B$8,IF('I_Budget Input Data'!$E$153="Front-loaded",IF(2&lt;='I_Inputs &amp; Assumptions'!$B$8/2,'I_Budget Input Data'!$D$153*0.6/('I_Inputs &amp; Assumptions'!$B$8/2),'I_Budget Input Data'!$D$153*0.4/('I_Inputs &amp; Assumptions'!$B$8/2)),IF('I_Budget Input Data'!$E$153="Back-loaded",IF(2&lt;='I_Inputs &amp; Assumptions'!$B$8/2,'I_Budget Input Data'!$D$153*0.4/('I_Inputs &amp; Assumptions'!$B$8/2),'I_Budget Input Data'!$D$153*0.6/('I_Inputs &amp; Assumptions'!$B$8/2)),IF('I_Budget Input Data'!$E$153="Mid-weighted",IF(2&lt;='I_Inputs &amp; Assumptions'!$B$8/4,'I_Budget Input Data'!$D$153*0.2/('I_Inputs &amp; Assumptions'!$B$8/4),IF(2&lt;='I_Inputs &amp; Assumptions'!$B$8*0.75,'I_Budget Input Data'!$D$153*0.6/('I_Inputs &amp; Assumptions'!$B$8/2),'I_Budget Input Data'!$D$153*0.2/('I_Inputs &amp; Assumptions'!$B$8/4))),IF('I_Budget Input Data'!$E$153="At Completion",IF(2='I_Inputs &amp; Assumptions'!$B$8,'I_Budget Input Data'!$D$153,0),'I_Budget Input Data'!$D$153/'I_Inputs &amp; Assumptions'!$B$8)))))),0)</f>
        <v>369.23076923076923</v>
      </c>
      <c r="E153" s="91">
        <f>IF(3&lt;='I_Inputs &amp; Assumptions'!$B$8,IF('I_Budget Input Data'!$E$153="Upfront",IF(3=1,'I_Budget Input Data'!$D$153,0),IF('I_Budget Input Data'!$E$153="Equal",'I_Budget Input Data'!$D$153/'I_Inputs &amp; Assumptions'!$B$8,IF('I_Budget Input Data'!$E$153="Front-loaded",IF(3&lt;='I_Inputs &amp; Assumptions'!$B$8/2,'I_Budget Input Data'!$D$153*0.6/('I_Inputs &amp; Assumptions'!$B$8/2),'I_Budget Input Data'!$D$153*0.4/('I_Inputs &amp; Assumptions'!$B$8/2)),IF('I_Budget Input Data'!$E$153="Back-loaded",IF(3&lt;='I_Inputs &amp; Assumptions'!$B$8/2,'I_Budget Input Data'!$D$153*0.4/('I_Inputs &amp; Assumptions'!$B$8/2),'I_Budget Input Data'!$D$153*0.6/('I_Inputs &amp; Assumptions'!$B$8/2)),IF('I_Budget Input Data'!$E$153="Mid-weighted",IF(3&lt;='I_Inputs &amp; Assumptions'!$B$8/4,'I_Budget Input Data'!$D$153*0.2/('I_Inputs &amp; Assumptions'!$B$8/4),IF(3&lt;='I_Inputs &amp; Assumptions'!$B$8*0.75,'I_Budget Input Data'!$D$153*0.6/('I_Inputs &amp; Assumptions'!$B$8/2),'I_Budget Input Data'!$D$153*0.2/('I_Inputs &amp; Assumptions'!$B$8/4))),IF('I_Budget Input Data'!$E$153="At Completion",IF(3='I_Inputs &amp; Assumptions'!$B$8,'I_Budget Input Data'!$D$153,0),'I_Budget Input Data'!$D$153/'I_Inputs &amp; Assumptions'!$B$8)))))),0)</f>
        <v>369.23076923076923</v>
      </c>
      <c r="F153" s="91">
        <f>IF(4&lt;='I_Inputs &amp; Assumptions'!$B$8,IF('I_Budget Input Data'!$E$153="Upfront",IF(4=1,'I_Budget Input Data'!$D$153,0),IF('I_Budget Input Data'!$E$153="Equal",'I_Budget Input Data'!$D$153/'I_Inputs &amp; Assumptions'!$B$8,IF('I_Budget Input Data'!$E$153="Front-loaded",IF(4&lt;='I_Inputs &amp; Assumptions'!$B$8/2,'I_Budget Input Data'!$D$153*0.6/('I_Inputs &amp; Assumptions'!$B$8/2),'I_Budget Input Data'!$D$153*0.4/('I_Inputs &amp; Assumptions'!$B$8/2)),IF('I_Budget Input Data'!$E$153="Back-loaded",IF(4&lt;='I_Inputs &amp; Assumptions'!$B$8/2,'I_Budget Input Data'!$D$153*0.4/('I_Inputs &amp; Assumptions'!$B$8/2),'I_Budget Input Data'!$D$153*0.6/('I_Inputs &amp; Assumptions'!$B$8/2)),IF('I_Budget Input Data'!$E$153="Mid-weighted",IF(4&lt;='I_Inputs &amp; Assumptions'!$B$8/4,'I_Budget Input Data'!$D$153*0.2/('I_Inputs &amp; Assumptions'!$B$8/4),IF(4&lt;='I_Inputs &amp; Assumptions'!$B$8*0.75,'I_Budget Input Data'!$D$153*0.6/('I_Inputs &amp; Assumptions'!$B$8/2),'I_Budget Input Data'!$D$153*0.2/('I_Inputs &amp; Assumptions'!$B$8/4))),IF('I_Budget Input Data'!$E$153="At Completion",IF(4='I_Inputs &amp; Assumptions'!$B$8,'I_Budget Input Data'!$D$153,0),'I_Budget Input Data'!$D$153/'I_Inputs &amp; Assumptions'!$B$8)))))),0)</f>
        <v>369.23076923076923</v>
      </c>
      <c r="G153" s="91">
        <f>IF(5&lt;='I_Inputs &amp; Assumptions'!$B$8,IF('I_Budget Input Data'!$E$153="Upfront",IF(5=1,'I_Budget Input Data'!$D$153,0),IF('I_Budget Input Data'!$E$153="Equal",'I_Budget Input Data'!$D$153/'I_Inputs &amp; Assumptions'!$B$8,IF('I_Budget Input Data'!$E$153="Front-loaded",IF(5&lt;='I_Inputs &amp; Assumptions'!$B$8/2,'I_Budget Input Data'!$D$153*0.6/('I_Inputs &amp; Assumptions'!$B$8/2),'I_Budget Input Data'!$D$153*0.4/('I_Inputs &amp; Assumptions'!$B$8/2)),IF('I_Budget Input Data'!$E$153="Back-loaded",IF(5&lt;='I_Inputs &amp; Assumptions'!$B$8/2,'I_Budget Input Data'!$D$153*0.4/('I_Inputs &amp; Assumptions'!$B$8/2),'I_Budget Input Data'!$D$153*0.6/('I_Inputs &amp; Assumptions'!$B$8/2)),IF('I_Budget Input Data'!$E$153="Mid-weighted",IF(5&lt;='I_Inputs &amp; Assumptions'!$B$8/4,'I_Budget Input Data'!$D$153*0.2/('I_Inputs &amp; Assumptions'!$B$8/4),IF(5&lt;='I_Inputs &amp; Assumptions'!$B$8*0.75,'I_Budget Input Data'!$D$153*0.6/('I_Inputs &amp; Assumptions'!$B$8/2),'I_Budget Input Data'!$D$153*0.2/('I_Inputs &amp; Assumptions'!$B$8/4))),IF('I_Budget Input Data'!$E$153="At Completion",IF(5='I_Inputs &amp; Assumptions'!$B$8,'I_Budget Input Data'!$D$153,0),'I_Budget Input Data'!$D$153/'I_Inputs &amp; Assumptions'!$B$8)))))),0)</f>
        <v>369.23076923076923</v>
      </c>
      <c r="H153" s="91">
        <f>IF(6&lt;='I_Inputs &amp; Assumptions'!$B$8,IF('I_Budget Input Data'!$E$153="Upfront",IF(6=1,'I_Budget Input Data'!$D$153,0),IF('I_Budget Input Data'!$E$153="Equal",'I_Budget Input Data'!$D$153/'I_Inputs &amp; Assumptions'!$B$8,IF('I_Budget Input Data'!$E$153="Front-loaded",IF(6&lt;='I_Inputs &amp; Assumptions'!$B$8/2,'I_Budget Input Data'!$D$153*0.6/('I_Inputs &amp; Assumptions'!$B$8/2),'I_Budget Input Data'!$D$153*0.4/('I_Inputs &amp; Assumptions'!$B$8/2)),IF('I_Budget Input Data'!$E$153="Back-loaded",IF(6&lt;='I_Inputs &amp; Assumptions'!$B$8/2,'I_Budget Input Data'!$D$153*0.4/('I_Inputs &amp; Assumptions'!$B$8/2),'I_Budget Input Data'!$D$153*0.6/('I_Inputs &amp; Assumptions'!$B$8/2)),IF('I_Budget Input Data'!$E$153="Mid-weighted",IF(6&lt;='I_Inputs &amp; Assumptions'!$B$8/4,'I_Budget Input Data'!$D$153*0.2/('I_Inputs &amp; Assumptions'!$B$8/4),IF(6&lt;='I_Inputs &amp; Assumptions'!$B$8*0.75,'I_Budget Input Data'!$D$153*0.6/('I_Inputs &amp; Assumptions'!$B$8/2),'I_Budget Input Data'!$D$153*0.2/('I_Inputs &amp; Assumptions'!$B$8/4))),IF('I_Budget Input Data'!$E$153="At Completion",IF(6='I_Inputs &amp; Assumptions'!$B$8,'I_Budget Input Data'!$D$153,0),'I_Budget Input Data'!$D$153/'I_Inputs &amp; Assumptions'!$B$8)))))),0)</f>
        <v>369.23076923076923</v>
      </c>
      <c r="I153" s="91">
        <f>IF(7&lt;='I_Inputs &amp; Assumptions'!$B$8,IF('I_Budget Input Data'!$E$153="Upfront",IF(7=1,'I_Budget Input Data'!$D$153,0),IF('I_Budget Input Data'!$E$153="Equal",'I_Budget Input Data'!$D$153/'I_Inputs &amp; Assumptions'!$B$8,IF('I_Budget Input Data'!$E$153="Front-loaded",IF(7&lt;='I_Inputs &amp; Assumptions'!$B$8/2,'I_Budget Input Data'!$D$153*0.6/('I_Inputs &amp; Assumptions'!$B$8/2),'I_Budget Input Data'!$D$153*0.4/('I_Inputs &amp; Assumptions'!$B$8/2)),IF('I_Budget Input Data'!$E$153="Back-loaded",IF(7&lt;='I_Inputs &amp; Assumptions'!$B$8/2,'I_Budget Input Data'!$D$153*0.4/('I_Inputs &amp; Assumptions'!$B$8/2),'I_Budget Input Data'!$D$153*0.6/('I_Inputs &amp; Assumptions'!$B$8/2)),IF('I_Budget Input Data'!$E$153="Mid-weighted",IF(7&lt;='I_Inputs &amp; Assumptions'!$B$8/4,'I_Budget Input Data'!$D$153*0.2/('I_Inputs &amp; Assumptions'!$B$8/4),IF(7&lt;='I_Inputs &amp; Assumptions'!$B$8*0.75,'I_Budget Input Data'!$D$153*0.6/('I_Inputs &amp; Assumptions'!$B$8/2),'I_Budget Input Data'!$D$153*0.2/('I_Inputs &amp; Assumptions'!$B$8/4))),IF('I_Budget Input Data'!$E$153="At Completion",IF(7='I_Inputs &amp; Assumptions'!$B$8,'I_Budget Input Data'!$D$153,0),'I_Budget Input Data'!$D$153/'I_Inputs &amp; Assumptions'!$B$8)))))),0)</f>
        <v>246.15384615384616</v>
      </c>
      <c r="J153" s="91">
        <f>IF(8&lt;='I_Inputs &amp; Assumptions'!$B$8,IF('I_Budget Input Data'!$E$153="Upfront",IF(8=1,'I_Budget Input Data'!$D$153,0),IF('I_Budget Input Data'!$E$153="Equal",'I_Budget Input Data'!$D$153/'I_Inputs &amp; Assumptions'!$B$8,IF('I_Budget Input Data'!$E$153="Front-loaded",IF(8&lt;='I_Inputs &amp; Assumptions'!$B$8/2,'I_Budget Input Data'!$D$153*0.6/('I_Inputs &amp; Assumptions'!$B$8/2),'I_Budget Input Data'!$D$153*0.4/('I_Inputs &amp; Assumptions'!$B$8/2)),IF('I_Budget Input Data'!$E$153="Back-loaded",IF(8&lt;='I_Inputs &amp; Assumptions'!$B$8/2,'I_Budget Input Data'!$D$153*0.4/('I_Inputs &amp; Assumptions'!$B$8/2),'I_Budget Input Data'!$D$153*0.6/('I_Inputs &amp; Assumptions'!$B$8/2)),IF('I_Budget Input Data'!$E$153="Mid-weighted",IF(8&lt;='I_Inputs &amp; Assumptions'!$B$8/4,'I_Budget Input Data'!$D$153*0.2/('I_Inputs &amp; Assumptions'!$B$8/4),IF(8&lt;='I_Inputs &amp; Assumptions'!$B$8*0.75,'I_Budget Input Data'!$D$153*0.6/('I_Inputs &amp; Assumptions'!$B$8/2),'I_Budget Input Data'!$D$153*0.2/('I_Inputs &amp; Assumptions'!$B$8/4))),IF('I_Budget Input Data'!$E$153="At Completion",IF(8='I_Inputs &amp; Assumptions'!$B$8,'I_Budget Input Data'!$D$153,0),'I_Budget Input Data'!$D$153/'I_Inputs &amp; Assumptions'!$B$8)))))),0)</f>
        <v>246.15384615384616</v>
      </c>
      <c r="K153" s="91">
        <f>IF(9&lt;='I_Inputs &amp; Assumptions'!$B$8,IF('I_Budget Input Data'!$E$153="Upfront",IF(9=1,'I_Budget Input Data'!$D$153,0),IF('I_Budget Input Data'!$E$153="Equal",'I_Budget Input Data'!$D$153/'I_Inputs &amp; Assumptions'!$B$8,IF('I_Budget Input Data'!$E$153="Front-loaded",IF(9&lt;='I_Inputs &amp; Assumptions'!$B$8/2,'I_Budget Input Data'!$D$153*0.6/('I_Inputs &amp; Assumptions'!$B$8/2),'I_Budget Input Data'!$D$153*0.4/('I_Inputs &amp; Assumptions'!$B$8/2)),IF('I_Budget Input Data'!$E$153="Back-loaded",IF(9&lt;='I_Inputs &amp; Assumptions'!$B$8/2,'I_Budget Input Data'!$D$153*0.4/('I_Inputs &amp; Assumptions'!$B$8/2),'I_Budget Input Data'!$D$153*0.6/('I_Inputs &amp; Assumptions'!$B$8/2)),IF('I_Budget Input Data'!$E$153="Mid-weighted",IF(9&lt;='I_Inputs &amp; Assumptions'!$B$8/4,'I_Budget Input Data'!$D$153*0.2/('I_Inputs &amp; Assumptions'!$B$8/4),IF(9&lt;='I_Inputs &amp; Assumptions'!$B$8*0.75,'I_Budget Input Data'!$D$153*0.6/('I_Inputs &amp; Assumptions'!$B$8/2),'I_Budget Input Data'!$D$153*0.2/('I_Inputs &amp; Assumptions'!$B$8/4))),IF('I_Budget Input Data'!$E$153="At Completion",IF(9='I_Inputs &amp; Assumptions'!$B$8,'I_Budget Input Data'!$D$153,0),'I_Budget Input Data'!$D$153/'I_Inputs &amp; Assumptions'!$B$8)))))),0)</f>
        <v>246.15384615384616</v>
      </c>
      <c r="L153" s="91">
        <f>IF(10&lt;='I_Inputs &amp; Assumptions'!$B$8,IF('I_Budget Input Data'!$E$153="Upfront",IF(10=1,'I_Budget Input Data'!$D$153,0),IF('I_Budget Input Data'!$E$153="Equal",'I_Budget Input Data'!$D$153/'I_Inputs &amp; Assumptions'!$B$8,IF('I_Budget Input Data'!$E$153="Front-loaded",IF(10&lt;='I_Inputs &amp; Assumptions'!$B$8/2,'I_Budget Input Data'!$D$153*0.6/('I_Inputs &amp; Assumptions'!$B$8/2),'I_Budget Input Data'!$D$153*0.4/('I_Inputs &amp; Assumptions'!$B$8/2)),IF('I_Budget Input Data'!$E$153="Back-loaded",IF(10&lt;='I_Inputs &amp; Assumptions'!$B$8/2,'I_Budget Input Data'!$D$153*0.4/('I_Inputs &amp; Assumptions'!$B$8/2),'I_Budget Input Data'!$D$153*0.6/('I_Inputs &amp; Assumptions'!$B$8/2)),IF('I_Budget Input Data'!$E$153="Mid-weighted",IF(10&lt;='I_Inputs &amp; Assumptions'!$B$8/4,'I_Budget Input Data'!$D$153*0.2/('I_Inputs &amp; Assumptions'!$B$8/4),IF(10&lt;='I_Inputs &amp; Assumptions'!$B$8*0.75,'I_Budget Input Data'!$D$153*0.6/('I_Inputs &amp; Assumptions'!$B$8/2),'I_Budget Input Data'!$D$153*0.2/('I_Inputs &amp; Assumptions'!$B$8/4))),IF('I_Budget Input Data'!$E$153="At Completion",IF(10='I_Inputs &amp; Assumptions'!$B$8,'I_Budget Input Data'!$D$153,0),'I_Budget Input Data'!$D$153/'I_Inputs &amp; Assumptions'!$B$8)))))),0)</f>
        <v>246.15384615384616</v>
      </c>
      <c r="M153" s="91">
        <f>IF(11&lt;='I_Inputs &amp; Assumptions'!$B$8,IF('I_Budget Input Data'!$E$153="Upfront",IF(11=1,'I_Budget Input Data'!$D$153,0),IF('I_Budget Input Data'!$E$153="Equal",'I_Budget Input Data'!$D$153/'I_Inputs &amp; Assumptions'!$B$8,IF('I_Budget Input Data'!$E$153="Front-loaded",IF(11&lt;='I_Inputs &amp; Assumptions'!$B$8/2,'I_Budget Input Data'!$D$153*0.6/('I_Inputs &amp; Assumptions'!$B$8/2),'I_Budget Input Data'!$D$153*0.4/('I_Inputs &amp; Assumptions'!$B$8/2)),IF('I_Budget Input Data'!$E$153="Back-loaded",IF(11&lt;='I_Inputs &amp; Assumptions'!$B$8/2,'I_Budget Input Data'!$D$153*0.4/('I_Inputs &amp; Assumptions'!$B$8/2),'I_Budget Input Data'!$D$153*0.6/('I_Inputs &amp; Assumptions'!$B$8/2)),IF('I_Budget Input Data'!$E$153="Mid-weighted",IF(11&lt;='I_Inputs &amp; Assumptions'!$B$8/4,'I_Budget Input Data'!$D$153*0.2/('I_Inputs &amp; Assumptions'!$B$8/4),IF(11&lt;='I_Inputs &amp; Assumptions'!$B$8*0.75,'I_Budget Input Data'!$D$153*0.6/('I_Inputs &amp; Assumptions'!$B$8/2),'I_Budget Input Data'!$D$153*0.2/('I_Inputs &amp; Assumptions'!$B$8/4))),IF('I_Budget Input Data'!$E$153="At Completion",IF(11='I_Inputs &amp; Assumptions'!$B$8,'I_Budget Input Data'!$D$153,0),'I_Budget Input Data'!$D$153/'I_Inputs &amp; Assumptions'!$B$8)))))),0)</f>
        <v>246.15384615384616</v>
      </c>
      <c r="N153" s="91">
        <f>IF(12&lt;='I_Inputs &amp; Assumptions'!$B$8,IF('I_Budget Input Data'!$E$153="Upfront",IF(12=1,'I_Budget Input Data'!$D$153,0),IF('I_Budget Input Data'!$E$153="Equal",'I_Budget Input Data'!$D$153/'I_Inputs &amp; Assumptions'!$B$8,IF('I_Budget Input Data'!$E$153="Front-loaded",IF(12&lt;='I_Inputs &amp; Assumptions'!$B$8/2,'I_Budget Input Data'!$D$153*0.6/('I_Inputs &amp; Assumptions'!$B$8/2),'I_Budget Input Data'!$D$153*0.4/('I_Inputs &amp; Assumptions'!$B$8/2)),IF('I_Budget Input Data'!$E$153="Back-loaded",IF(12&lt;='I_Inputs &amp; Assumptions'!$B$8/2,'I_Budget Input Data'!$D$153*0.4/('I_Inputs &amp; Assumptions'!$B$8/2),'I_Budget Input Data'!$D$153*0.6/('I_Inputs &amp; Assumptions'!$B$8/2)),IF('I_Budget Input Data'!$E$153="Mid-weighted",IF(12&lt;='I_Inputs &amp; Assumptions'!$B$8/4,'I_Budget Input Data'!$D$153*0.2/('I_Inputs &amp; Assumptions'!$B$8/4),IF(12&lt;='I_Inputs &amp; Assumptions'!$B$8*0.75,'I_Budget Input Data'!$D$153*0.6/('I_Inputs &amp; Assumptions'!$B$8/2),'I_Budget Input Data'!$D$153*0.2/('I_Inputs &amp; Assumptions'!$B$8/4))),IF('I_Budget Input Data'!$E$153="At Completion",IF(12='I_Inputs &amp; Assumptions'!$B$8,'I_Budget Input Data'!$D$153,0),'I_Budget Input Data'!$D$153/'I_Inputs &amp; Assumptions'!$B$8)))))),0)</f>
        <v>246.15384615384616</v>
      </c>
      <c r="O153" s="91">
        <f>IF(13&lt;='I_Inputs &amp; Assumptions'!$B$8,IF('I_Budget Input Data'!$E$153="Upfront",IF(13=1,'I_Budget Input Data'!$D$153,0),IF('I_Budget Input Data'!$E$153="Equal",'I_Budget Input Data'!$D$153/'I_Inputs &amp; Assumptions'!$B$8,IF('I_Budget Input Data'!$E$153="Front-loaded",IF(13&lt;='I_Inputs &amp; Assumptions'!$B$8/2,'I_Budget Input Data'!$D$153*0.6/('I_Inputs &amp; Assumptions'!$B$8/2),'I_Budget Input Data'!$D$153*0.4/('I_Inputs &amp; Assumptions'!$B$8/2)),IF('I_Budget Input Data'!$E$153="Back-loaded",IF(13&lt;='I_Inputs &amp; Assumptions'!$B$8/2,'I_Budget Input Data'!$D$153*0.4/('I_Inputs &amp; Assumptions'!$B$8/2),'I_Budget Input Data'!$D$153*0.6/('I_Inputs &amp; Assumptions'!$B$8/2)),IF('I_Budget Input Data'!$E$153="Mid-weighted",IF(13&lt;='I_Inputs &amp; Assumptions'!$B$8/4,'I_Budget Input Data'!$D$153*0.2/('I_Inputs &amp; Assumptions'!$B$8/4),IF(13&lt;='I_Inputs &amp; Assumptions'!$B$8*0.75,'I_Budget Input Data'!$D$153*0.6/('I_Inputs &amp; Assumptions'!$B$8/2),'I_Budget Input Data'!$D$153*0.2/('I_Inputs &amp; Assumptions'!$B$8/4))),IF('I_Budget Input Data'!$E$153="At Completion",IF(13='I_Inputs &amp; Assumptions'!$B$8,'I_Budget Input Data'!$D$153,0),'I_Budget Input Data'!$D$153/'I_Inputs &amp; Assumptions'!$B$8)))))),0)</f>
        <v>246.15384615384616</v>
      </c>
      <c r="P153" s="91">
        <f>IF(14&lt;='I_Inputs &amp; Assumptions'!$B$8,IF('I_Budget Input Data'!$E$153="Upfront",IF(14=1,'I_Budget Input Data'!$D$153,0),IF('I_Budget Input Data'!$E$153="Equal",'I_Budget Input Data'!$D$153/'I_Inputs &amp; Assumptions'!$B$8,IF('I_Budget Input Data'!$E$153="Front-loaded",IF(14&lt;='I_Inputs &amp; Assumptions'!$B$8/2,'I_Budget Input Data'!$D$153*0.6/('I_Inputs &amp; Assumptions'!$B$8/2),'I_Budget Input Data'!$D$153*0.4/('I_Inputs &amp; Assumptions'!$B$8/2)),IF('I_Budget Input Data'!$E$153="Back-loaded",IF(14&lt;='I_Inputs &amp; Assumptions'!$B$8/2,'I_Budget Input Data'!$D$153*0.4/('I_Inputs &amp; Assumptions'!$B$8/2),'I_Budget Input Data'!$D$153*0.6/('I_Inputs &amp; Assumptions'!$B$8/2)),IF('I_Budget Input Data'!$E$153="Mid-weighted",IF(14&lt;='I_Inputs &amp; Assumptions'!$B$8/4,'I_Budget Input Data'!$D$153*0.2/('I_Inputs &amp; Assumptions'!$B$8/4),IF(14&lt;='I_Inputs &amp; Assumptions'!$B$8*0.75,'I_Budget Input Data'!$D$153*0.6/('I_Inputs &amp; Assumptions'!$B$8/2),'I_Budget Input Data'!$D$153*0.2/('I_Inputs &amp; Assumptions'!$B$8/4))),IF('I_Budget Input Data'!$E$153="At Completion",IF(14='I_Inputs &amp; Assumptions'!$B$8,'I_Budget Input Data'!$D$153,0),'I_Budget Input Data'!$D$153/'I_Inputs &amp; Assumptions'!$B$8)))))),0)</f>
        <v>0</v>
      </c>
      <c r="Q153" s="91">
        <f>IF(15&lt;='I_Inputs &amp; Assumptions'!$B$8,IF('I_Budget Input Data'!$E$153="Upfront",IF(15=1,'I_Budget Input Data'!$D$153,0),IF('I_Budget Input Data'!$E$153="Equal",'I_Budget Input Data'!$D$153/'I_Inputs &amp; Assumptions'!$B$8,IF('I_Budget Input Data'!$E$153="Front-loaded",IF(15&lt;='I_Inputs &amp; Assumptions'!$B$8/2,'I_Budget Input Data'!$D$153*0.6/('I_Inputs &amp; Assumptions'!$B$8/2),'I_Budget Input Data'!$D$153*0.4/('I_Inputs &amp; Assumptions'!$B$8/2)),IF('I_Budget Input Data'!$E$153="Back-loaded",IF(15&lt;='I_Inputs &amp; Assumptions'!$B$8/2,'I_Budget Input Data'!$D$153*0.4/('I_Inputs &amp; Assumptions'!$B$8/2),'I_Budget Input Data'!$D$153*0.6/('I_Inputs &amp; Assumptions'!$B$8/2)),IF('I_Budget Input Data'!$E$153="Mid-weighted",IF(15&lt;='I_Inputs &amp; Assumptions'!$B$8/4,'I_Budget Input Data'!$D$153*0.2/('I_Inputs &amp; Assumptions'!$B$8/4),IF(15&lt;='I_Inputs &amp; Assumptions'!$B$8*0.75,'I_Budget Input Data'!$D$153*0.6/('I_Inputs &amp; Assumptions'!$B$8/2),'I_Budget Input Data'!$D$153*0.2/('I_Inputs &amp; Assumptions'!$B$8/4))),IF('I_Budget Input Data'!$E$153="At Completion",IF(15='I_Inputs &amp; Assumptions'!$B$8,'I_Budget Input Data'!$D$153,0),'I_Budget Input Data'!$D$153/'I_Inputs &amp; Assumptions'!$B$8)))))),0)</f>
        <v>0</v>
      </c>
      <c r="R153" s="91">
        <f>IF(16&lt;='I_Inputs &amp; Assumptions'!$B$8,IF('I_Budget Input Data'!$E$153="Upfront",IF(16=1,'I_Budget Input Data'!$D$153,0),IF('I_Budget Input Data'!$E$153="Equal",'I_Budget Input Data'!$D$153/'I_Inputs &amp; Assumptions'!$B$8,IF('I_Budget Input Data'!$E$153="Front-loaded",IF(16&lt;='I_Inputs &amp; Assumptions'!$B$8/2,'I_Budget Input Data'!$D$153*0.6/('I_Inputs &amp; Assumptions'!$B$8/2),'I_Budget Input Data'!$D$153*0.4/('I_Inputs &amp; Assumptions'!$B$8/2)),IF('I_Budget Input Data'!$E$153="Back-loaded",IF(16&lt;='I_Inputs &amp; Assumptions'!$B$8/2,'I_Budget Input Data'!$D$153*0.4/('I_Inputs &amp; Assumptions'!$B$8/2),'I_Budget Input Data'!$D$153*0.6/('I_Inputs &amp; Assumptions'!$B$8/2)),IF('I_Budget Input Data'!$E$153="Mid-weighted",IF(16&lt;='I_Inputs &amp; Assumptions'!$B$8/4,'I_Budget Input Data'!$D$153*0.2/('I_Inputs &amp; Assumptions'!$B$8/4),IF(16&lt;='I_Inputs &amp; Assumptions'!$B$8*0.75,'I_Budget Input Data'!$D$153*0.6/('I_Inputs &amp; Assumptions'!$B$8/2),'I_Budget Input Data'!$D$153*0.2/('I_Inputs &amp; Assumptions'!$B$8/4))),IF('I_Budget Input Data'!$E$153="At Completion",IF(16='I_Inputs &amp; Assumptions'!$B$8,'I_Budget Input Data'!$D$153,0),'I_Budget Input Data'!$D$153/'I_Inputs &amp; Assumptions'!$B$8)))))),0)</f>
        <v>0</v>
      </c>
      <c r="S153" s="91">
        <f>IF(17&lt;='I_Inputs &amp; Assumptions'!$B$8,IF('I_Budget Input Data'!$E$153="Upfront",IF(17=1,'I_Budget Input Data'!$D$153,0),IF('I_Budget Input Data'!$E$153="Equal",'I_Budget Input Data'!$D$153/'I_Inputs &amp; Assumptions'!$B$8,IF('I_Budget Input Data'!$E$153="Front-loaded",IF(17&lt;='I_Inputs &amp; Assumptions'!$B$8/2,'I_Budget Input Data'!$D$153*0.6/('I_Inputs &amp; Assumptions'!$B$8/2),'I_Budget Input Data'!$D$153*0.4/('I_Inputs &amp; Assumptions'!$B$8/2)),IF('I_Budget Input Data'!$E$153="Back-loaded",IF(17&lt;='I_Inputs &amp; Assumptions'!$B$8/2,'I_Budget Input Data'!$D$153*0.4/('I_Inputs &amp; Assumptions'!$B$8/2),'I_Budget Input Data'!$D$153*0.6/('I_Inputs &amp; Assumptions'!$B$8/2)),IF('I_Budget Input Data'!$E$153="Mid-weighted",IF(17&lt;='I_Inputs &amp; Assumptions'!$B$8/4,'I_Budget Input Data'!$D$153*0.2/('I_Inputs &amp; Assumptions'!$B$8/4),IF(17&lt;='I_Inputs &amp; Assumptions'!$B$8*0.75,'I_Budget Input Data'!$D$153*0.6/('I_Inputs &amp; Assumptions'!$B$8/2),'I_Budget Input Data'!$D$153*0.2/('I_Inputs &amp; Assumptions'!$B$8/4))),IF('I_Budget Input Data'!$E$153="At Completion",IF(17='I_Inputs &amp; Assumptions'!$B$8,'I_Budget Input Data'!$D$153,0),'I_Budget Input Data'!$D$153/'I_Inputs &amp; Assumptions'!$B$8)))))),0)</f>
        <v>0</v>
      </c>
      <c r="T153" s="91">
        <f>IF(18&lt;='I_Inputs &amp; Assumptions'!$B$8,IF('I_Budget Input Data'!$E$153="Upfront",IF(18=1,'I_Budget Input Data'!$D$153,0),IF('I_Budget Input Data'!$E$153="Equal",'I_Budget Input Data'!$D$153/'I_Inputs &amp; Assumptions'!$B$8,IF('I_Budget Input Data'!$E$153="Front-loaded",IF(18&lt;='I_Inputs &amp; Assumptions'!$B$8/2,'I_Budget Input Data'!$D$153*0.6/('I_Inputs &amp; Assumptions'!$B$8/2),'I_Budget Input Data'!$D$153*0.4/('I_Inputs &amp; Assumptions'!$B$8/2)),IF('I_Budget Input Data'!$E$153="Back-loaded",IF(18&lt;='I_Inputs &amp; Assumptions'!$B$8/2,'I_Budget Input Data'!$D$153*0.4/('I_Inputs &amp; Assumptions'!$B$8/2),'I_Budget Input Data'!$D$153*0.6/('I_Inputs &amp; Assumptions'!$B$8/2)),IF('I_Budget Input Data'!$E$153="Mid-weighted",IF(18&lt;='I_Inputs &amp; Assumptions'!$B$8/4,'I_Budget Input Data'!$D$153*0.2/('I_Inputs &amp; Assumptions'!$B$8/4),IF(18&lt;='I_Inputs &amp; Assumptions'!$B$8*0.75,'I_Budget Input Data'!$D$153*0.6/('I_Inputs &amp; Assumptions'!$B$8/2),'I_Budget Input Data'!$D$153*0.2/('I_Inputs &amp; Assumptions'!$B$8/4))),IF('I_Budget Input Data'!$E$153="At Completion",IF(18='I_Inputs &amp; Assumptions'!$B$8,'I_Budget Input Data'!$D$153,0),'I_Budget Input Data'!$D$153/'I_Inputs &amp; Assumptions'!$B$8)))))),0)</f>
        <v>0</v>
      </c>
      <c r="U153" s="91">
        <f>IF(19&lt;='I_Inputs &amp; Assumptions'!$B$8,IF('I_Budget Input Data'!$E$153="Upfront",IF(19=1,'I_Budget Input Data'!$D$153,0),IF('I_Budget Input Data'!$E$153="Equal",'I_Budget Input Data'!$D$153/'I_Inputs &amp; Assumptions'!$B$8,IF('I_Budget Input Data'!$E$153="Front-loaded",IF(19&lt;='I_Inputs &amp; Assumptions'!$B$8/2,'I_Budget Input Data'!$D$153*0.6/('I_Inputs &amp; Assumptions'!$B$8/2),'I_Budget Input Data'!$D$153*0.4/('I_Inputs &amp; Assumptions'!$B$8/2)),IF('I_Budget Input Data'!$E$153="Back-loaded",IF(19&lt;='I_Inputs &amp; Assumptions'!$B$8/2,'I_Budget Input Data'!$D$153*0.4/('I_Inputs &amp; Assumptions'!$B$8/2),'I_Budget Input Data'!$D$153*0.6/('I_Inputs &amp; Assumptions'!$B$8/2)),IF('I_Budget Input Data'!$E$153="Mid-weighted",IF(19&lt;='I_Inputs &amp; Assumptions'!$B$8/4,'I_Budget Input Data'!$D$153*0.2/('I_Inputs &amp; Assumptions'!$B$8/4),IF(19&lt;='I_Inputs &amp; Assumptions'!$B$8*0.75,'I_Budget Input Data'!$D$153*0.6/('I_Inputs &amp; Assumptions'!$B$8/2),'I_Budget Input Data'!$D$153*0.2/('I_Inputs &amp; Assumptions'!$B$8/4))),IF('I_Budget Input Data'!$E$153="At Completion",IF(19='I_Inputs &amp; Assumptions'!$B$8,'I_Budget Input Data'!$D$153,0),'I_Budget Input Data'!$D$153/'I_Inputs &amp; Assumptions'!$B$8)))))),0)</f>
        <v>0</v>
      </c>
      <c r="V153" s="91">
        <f>IF(20&lt;='I_Inputs &amp; Assumptions'!$B$8,IF('I_Budget Input Data'!$E$153="Upfront",IF(20=1,'I_Budget Input Data'!$D$153,0),IF('I_Budget Input Data'!$E$153="Equal",'I_Budget Input Data'!$D$153/'I_Inputs &amp; Assumptions'!$B$8,IF('I_Budget Input Data'!$E$153="Front-loaded",IF(20&lt;='I_Inputs &amp; Assumptions'!$B$8/2,'I_Budget Input Data'!$D$153*0.6/('I_Inputs &amp; Assumptions'!$B$8/2),'I_Budget Input Data'!$D$153*0.4/('I_Inputs &amp; Assumptions'!$B$8/2)),IF('I_Budget Input Data'!$E$153="Back-loaded",IF(20&lt;='I_Inputs &amp; Assumptions'!$B$8/2,'I_Budget Input Data'!$D$153*0.4/('I_Inputs &amp; Assumptions'!$B$8/2),'I_Budget Input Data'!$D$153*0.6/('I_Inputs &amp; Assumptions'!$B$8/2)),IF('I_Budget Input Data'!$E$153="Mid-weighted",IF(20&lt;='I_Inputs &amp; Assumptions'!$B$8/4,'I_Budget Input Data'!$D$153*0.2/('I_Inputs &amp; Assumptions'!$B$8/4),IF(20&lt;='I_Inputs &amp; Assumptions'!$B$8*0.75,'I_Budget Input Data'!$D$153*0.6/('I_Inputs &amp; Assumptions'!$B$8/2),'I_Budget Input Data'!$D$153*0.2/('I_Inputs &amp; Assumptions'!$B$8/4))),IF('I_Budget Input Data'!$E$153="At Completion",IF(20='I_Inputs &amp; Assumptions'!$B$8,'I_Budget Input Data'!$D$153,0),'I_Budget Input Data'!$D$153/'I_Inputs &amp; Assumptions'!$B$8)))))),0)</f>
        <v>0</v>
      </c>
      <c r="W153" s="91">
        <f>IF(21&lt;='I_Inputs &amp; Assumptions'!$B$8,IF('I_Budget Input Data'!$E$153="Upfront",IF(21=1,'I_Budget Input Data'!$D$153,0),IF('I_Budget Input Data'!$E$153="Equal",'I_Budget Input Data'!$D$153/'I_Inputs &amp; Assumptions'!$B$8,IF('I_Budget Input Data'!$E$153="Front-loaded",IF(21&lt;='I_Inputs &amp; Assumptions'!$B$8/2,'I_Budget Input Data'!$D$153*0.6/('I_Inputs &amp; Assumptions'!$B$8/2),'I_Budget Input Data'!$D$153*0.4/('I_Inputs &amp; Assumptions'!$B$8/2)),IF('I_Budget Input Data'!$E$153="Back-loaded",IF(21&lt;='I_Inputs &amp; Assumptions'!$B$8/2,'I_Budget Input Data'!$D$153*0.4/('I_Inputs &amp; Assumptions'!$B$8/2),'I_Budget Input Data'!$D$153*0.6/('I_Inputs &amp; Assumptions'!$B$8/2)),IF('I_Budget Input Data'!$E$153="Mid-weighted",IF(21&lt;='I_Inputs &amp; Assumptions'!$B$8/4,'I_Budget Input Data'!$D$153*0.2/('I_Inputs &amp; Assumptions'!$B$8/4),IF(21&lt;='I_Inputs &amp; Assumptions'!$B$8*0.75,'I_Budget Input Data'!$D$153*0.6/('I_Inputs &amp; Assumptions'!$B$8/2),'I_Budget Input Data'!$D$153*0.2/('I_Inputs &amp; Assumptions'!$B$8/4))),IF('I_Budget Input Data'!$E$153="At Completion",IF(21='I_Inputs &amp; Assumptions'!$B$8,'I_Budget Input Data'!$D$153,0),'I_Budget Input Data'!$D$153/'I_Inputs &amp; Assumptions'!$B$8)))))),0)</f>
        <v>0</v>
      </c>
      <c r="X153" s="91">
        <f>IF(22&lt;='I_Inputs &amp; Assumptions'!$B$8,IF('I_Budget Input Data'!$E$153="Upfront",IF(22=1,'I_Budget Input Data'!$D$153,0),IF('I_Budget Input Data'!$E$153="Equal",'I_Budget Input Data'!$D$153/'I_Inputs &amp; Assumptions'!$B$8,IF('I_Budget Input Data'!$E$153="Front-loaded",IF(22&lt;='I_Inputs &amp; Assumptions'!$B$8/2,'I_Budget Input Data'!$D$153*0.6/('I_Inputs &amp; Assumptions'!$B$8/2),'I_Budget Input Data'!$D$153*0.4/('I_Inputs &amp; Assumptions'!$B$8/2)),IF('I_Budget Input Data'!$E$153="Back-loaded",IF(22&lt;='I_Inputs &amp; Assumptions'!$B$8/2,'I_Budget Input Data'!$D$153*0.4/('I_Inputs &amp; Assumptions'!$B$8/2),'I_Budget Input Data'!$D$153*0.6/('I_Inputs &amp; Assumptions'!$B$8/2)),IF('I_Budget Input Data'!$E$153="Mid-weighted",IF(22&lt;='I_Inputs &amp; Assumptions'!$B$8/4,'I_Budget Input Data'!$D$153*0.2/('I_Inputs &amp; Assumptions'!$B$8/4),IF(22&lt;='I_Inputs &amp; Assumptions'!$B$8*0.75,'I_Budget Input Data'!$D$153*0.6/('I_Inputs &amp; Assumptions'!$B$8/2),'I_Budget Input Data'!$D$153*0.2/('I_Inputs &amp; Assumptions'!$B$8/4))),IF('I_Budget Input Data'!$E$153="At Completion",IF(22='I_Inputs &amp; Assumptions'!$B$8,'I_Budget Input Data'!$D$153,0),'I_Budget Input Data'!$D$153/'I_Inputs &amp; Assumptions'!$B$8)))))),0)</f>
        <v>0</v>
      </c>
      <c r="Y153" s="91">
        <f>IF(23&lt;='I_Inputs &amp; Assumptions'!$B$8,IF('I_Budget Input Data'!$E$153="Upfront",IF(23=1,'I_Budget Input Data'!$D$153,0),IF('I_Budget Input Data'!$E$153="Equal",'I_Budget Input Data'!$D$153/'I_Inputs &amp; Assumptions'!$B$8,IF('I_Budget Input Data'!$E$153="Front-loaded",IF(23&lt;='I_Inputs &amp; Assumptions'!$B$8/2,'I_Budget Input Data'!$D$153*0.6/('I_Inputs &amp; Assumptions'!$B$8/2),'I_Budget Input Data'!$D$153*0.4/('I_Inputs &amp; Assumptions'!$B$8/2)),IF('I_Budget Input Data'!$E$153="Back-loaded",IF(23&lt;='I_Inputs &amp; Assumptions'!$B$8/2,'I_Budget Input Data'!$D$153*0.4/('I_Inputs &amp; Assumptions'!$B$8/2),'I_Budget Input Data'!$D$153*0.6/('I_Inputs &amp; Assumptions'!$B$8/2)),IF('I_Budget Input Data'!$E$153="Mid-weighted",IF(23&lt;='I_Inputs &amp; Assumptions'!$B$8/4,'I_Budget Input Data'!$D$153*0.2/('I_Inputs &amp; Assumptions'!$B$8/4),IF(23&lt;='I_Inputs &amp; Assumptions'!$B$8*0.75,'I_Budget Input Data'!$D$153*0.6/('I_Inputs &amp; Assumptions'!$B$8/2),'I_Budget Input Data'!$D$153*0.2/('I_Inputs &amp; Assumptions'!$B$8/4))),IF('I_Budget Input Data'!$E$153="At Completion",IF(23='I_Inputs &amp; Assumptions'!$B$8,'I_Budget Input Data'!$D$153,0),'I_Budget Input Data'!$D$153/'I_Inputs &amp; Assumptions'!$B$8)))))),0)</f>
        <v>0</v>
      </c>
      <c r="Z153" s="91">
        <f>IF(24&lt;='I_Inputs &amp; Assumptions'!$B$8,IF('I_Budget Input Data'!$E$153="Upfront",IF(24=1,'I_Budget Input Data'!$D$153,0),IF('I_Budget Input Data'!$E$153="Equal",'I_Budget Input Data'!$D$153/'I_Inputs &amp; Assumptions'!$B$8,IF('I_Budget Input Data'!$E$153="Front-loaded",IF(24&lt;='I_Inputs &amp; Assumptions'!$B$8/2,'I_Budget Input Data'!$D$153*0.6/('I_Inputs &amp; Assumptions'!$B$8/2),'I_Budget Input Data'!$D$153*0.4/('I_Inputs &amp; Assumptions'!$B$8/2)),IF('I_Budget Input Data'!$E$153="Back-loaded",IF(24&lt;='I_Inputs &amp; Assumptions'!$B$8/2,'I_Budget Input Data'!$D$153*0.4/('I_Inputs &amp; Assumptions'!$B$8/2),'I_Budget Input Data'!$D$153*0.6/('I_Inputs &amp; Assumptions'!$B$8/2)),IF('I_Budget Input Data'!$E$153="Mid-weighted",IF(24&lt;='I_Inputs &amp; Assumptions'!$B$8/4,'I_Budget Input Data'!$D$153*0.2/('I_Inputs &amp; Assumptions'!$B$8/4),IF(24&lt;='I_Inputs &amp; Assumptions'!$B$8*0.75,'I_Budget Input Data'!$D$153*0.6/('I_Inputs &amp; Assumptions'!$B$8/2),'I_Budget Input Data'!$D$153*0.2/('I_Inputs &amp; Assumptions'!$B$8/4))),IF('I_Budget Input Data'!$E$153="At Completion",IF(24='I_Inputs &amp; Assumptions'!$B$8,'I_Budget Input Data'!$D$153,0),'I_Budget Input Data'!$D$153/'I_Inputs &amp; Assumptions'!$B$8)))))),0)</f>
        <v>0</v>
      </c>
      <c r="AA153" s="91">
        <f>IF(25&lt;='I_Inputs &amp; Assumptions'!$B$8,IF('I_Budget Input Data'!$E$153="Upfront",IF(25=1,'I_Budget Input Data'!$D$153,0),IF('I_Budget Input Data'!$E$153="Equal",'I_Budget Input Data'!$D$153/'I_Inputs &amp; Assumptions'!$B$8,IF('I_Budget Input Data'!$E$153="Front-loaded",IF(25&lt;='I_Inputs &amp; Assumptions'!$B$8/2,'I_Budget Input Data'!$D$153*0.6/('I_Inputs &amp; Assumptions'!$B$8/2),'I_Budget Input Data'!$D$153*0.4/('I_Inputs &amp; Assumptions'!$B$8/2)),IF('I_Budget Input Data'!$E$153="Back-loaded",IF(25&lt;='I_Inputs &amp; Assumptions'!$B$8/2,'I_Budget Input Data'!$D$153*0.4/('I_Inputs &amp; Assumptions'!$B$8/2),'I_Budget Input Data'!$D$153*0.6/('I_Inputs &amp; Assumptions'!$B$8/2)),IF('I_Budget Input Data'!$E$153="Mid-weighted",IF(25&lt;='I_Inputs &amp; Assumptions'!$B$8/4,'I_Budget Input Data'!$D$153*0.2/('I_Inputs &amp; Assumptions'!$B$8/4),IF(25&lt;='I_Inputs &amp; Assumptions'!$B$8*0.75,'I_Budget Input Data'!$D$153*0.6/('I_Inputs &amp; Assumptions'!$B$8/2),'I_Budget Input Data'!$D$153*0.2/('I_Inputs &amp; Assumptions'!$B$8/4))),IF('I_Budget Input Data'!$E$153="At Completion",IF(25='I_Inputs &amp; Assumptions'!$B$8,'I_Budget Input Data'!$D$153,0),'I_Budget Input Data'!$D$153/'I_Inputs &amp; Assumptions'!$B$8)))))),0)</f>
        <v>0</v>
      </c>
      <c r="AB153" s="91">
        <f>IF(26&lt;='I_Inputs &amp; Assumptions'!$B$8,IF('I_Budget Input Data'!$E$153="Upfront",IF(26=1,'I_Budget Input Data'!$D$153,0),IF('I_Budget Input Data'!$E$153="Equal",'I_Budget Input Data'!$D$153/'I_Inputs &amp; Assumptions'!$B$8,IF('I_Budget Input Data'!$E$153="Front-loaded",IF(26&lt;='I_Inputs &amp; Assumptions'!$B$8/2,'I_Budget Input Data'!$D$153*0.6/('I_Inputs &amp; Assumptions'!$B$8/2),'I_Budget Input Data'!$D$153*0.4/('I_Inputs &amp; Assumptions'!$B$8/2)),IF('I_Budget Input Data'!$E$153="Back-loaded",IF(26&lt;='I_Inputs &amp; Assumptions'!$B$8/2,'I_Budget Input Data'!$D$153*0.4/('I_Inputs &amp; Assumptions'!$B$8/2),'I_Budget Input Data'!$D$153*0.6/('I_Inputs &amp; Assumptions'!$B$8/2)),IF('I_Budget Input Data'!$E$153="Mid-weighted",IF(26&lt;='I_Inputs &amp; Assumptions'!$B$8/4,'I_Budget Input Data'!$D$153*0.2/('I_Inputs &amp; Assumptions'!$B$8/4),IF(26&lt;='I_Inputs &amp; Assumptions'!$B$8*0.75,'I_Budget Input Data'!$D$153*0.6/('I_Inputs &amp; Assumptions'!$B$8/2),'I_Budget Input Data'!$D$153*0.2/('I_Inputs &amp; Assumptions'!$B$8/4))),IF('I_Budget Input Data'!$E$153="At Completion",IF(26='I_Inputs &amp; Assumptions'!$B$8,'I_Budget Input Data'!$D$153,0),'I_Budget Input Data'!$D$153/'I_Inputs &amp; Assumptions'!$B$8)))))),0)</f>
        <v>0</v>
      </c>
      <c r="AC153" s="91">
        <f>IF(27&lt;='I_Inputs &amp; Assumptions'!$B$8,IF('I_Budget Input Data'!$E$153="Upfront",IF(27=1,'I_Budget Input Data'!$D$153,0),IF('I_Budget Input Data'!$E$153="Equal",'I_Budget Input Data'!$D$153/'I_Inputs &amp; Assumptions'!$B$8,IF('I_Budget Input Data'!$E$153="Front-loaded",IF(27&lt;='I_Inputs &amp; Assumptions'!$B$8/2,'I_Budget Input Data'!$D$153*0.6/('I_Inputs &amp; Assumptions'!$B$8/2),'I_Budget Input Data'!$D$153*0.4/('I_Inputs &amp; Assumptions'!$B$8/2)),IF('I_Budget Input Data'!$E$153="Back-loaded",IF(27&lt;='I_Inputs &amp; Assumptions'!$B$8/2,'I_Budget Input Data'!$D$153*0.4/('I_Inputs &amp; Assumptions'!$B$8/2),'I_Budget Input Data'!$D$153*0.6/('I_Inputs &amp; Assumptions'!$B$8/2)),IF('I_Budget Input Data'!$E$153="Mid-weighted",IF(27&lt;='I_Inputs &amp; Assumptions'!$B$8/4,'I_Budget Input Data'!$D$153*0.2/('I_Inputs &amp; Assumptions'!$B$8/4),IF(27&lt;='I_Inputs &amp; Assumptions'!$B$8*0.75,'I_Budget Input Data'!$D$153*0.6/('I_Inputs &amp; Assumptions'!$B$8/2),'I_Budget Input Data'!$D$153*0.2/('I_Inputs &amp; Assumptions'!$B$8/4))),IF('I_Budget Input Data'!$E$153="At Completion",IF(27='I_Inputs &amp; Assumptions'!$B$8,'I_Budget Input Data'!$D$153,0),'I_Budget Input Data'!$D$153/'I_Inputs &amp; Assumptions'!$B$8)))))),0)</f>
        <v>0</v>
      </c>
      <c r="AD153" s="91">
        <f>IF(28&lt;='I_Inputs &amp; Assumptions'!$B$8,IF('I_Budget Input Data'!$E$153="Upfront",IF(28=1,'I_Budget Input Data'!$D$153,0),IF('I_Budget Input Data'!$E$153="Equal",'I_Budget Input Data'!$D$153/'I_Inputs &amp; Assumptions'!$B$8,IF('I_Budget Input Data'!$E$153="Front-loaded",IF(28&lt;='I_Inputs &amp; Assumptions'!$B$8/2,'I_Budget Input Data'!$D$153*0.6/('I_Inputs &amp; Assumptions'!$B$8/2),'I_Budget Input Data'!$D$153*0.4/('I_Inputs &amp; Assumptions'!$B$8/2)),IF('I_Budget Input Data'!$E$153="Back-loaded",IF(28&lt;='I_Inputs &amp; Assumptions'!$B$8/2,'I_Budget Input Data'!$D$153*0.4/('I_Inputs &amp; Assumptions'!$B$8/2),'I_Budget Input Data'!$D$153*0.6/('I_Inputs &amp; Assumptions'!$B$8/2)),IF('I_Budget Input Data'!$E$153="Mid-weighted",IF(28&lt;='I_Inputs &amp; Assumptions'!$B$8/4,'I_Budget Input Data'!$D$153*0.2/('I_Inputs &amp; Assumptions'!$B$8/4),IF(28&lt;='I_Inputs &amp; Assumptions'!$B$8*0.75,'I_Budget Input Data'!$D$153*0.6/('I_Inputs &amp; Assumptions'!$B$8/2),'I_Budget Input Data'!$D$153*0.2/('I_Inputs &amp; Assumptions'!$B$8/4))),IF('I_Budget Input Data'!$E$153="At Completion",IF(28='I_Inputs &amp; Assumptions'!$B$8,'I_Budget Input Data'!$D$153,0),'I_Budget Input Data'!$D$153/'I_Inputs &amp; Assumptions'!$B$8)))))),0)</f>
        <v>0</v>
      </c>
      <c r="AE153" s="91">
        <f>IF(29&lt;='I_Inputs &amp; Assumptions'!$B$8,IF('I_Budget Input Data'!$E$153="Upfront",IF(29=1,'I_Budget Input Data'!$D$153,0),IF('I_Budget Input Data'!$E$153="Equal",'I_Budget Input Data'!$D$153/'I_Inputs &amp; Assumptions'!$B$8,IF('I_Budget Input Data'!$E$153="Front-loaded",IF(29&lt;='I_Inputs &amp; Assumptions'!$B$8/2,'I_Budget Input Data'!$D$153*0.6/('I_Inputs &amp; Assumptions'!$B$8/2),'I_Budget Input Data'!$D$153*0.4/('I_Inputs &amp; Assumptions'!$B$8/2)),IF('I_Budget Input Data'!$E$153="Back-loaded",IF(29&lt;='I_Inputs &amp; Assumptions'!$B$8/2,'I_Budget Input Data'!$D$153*0.4/('I_Inputs &amp; Assumptions'!$B$8/2),'I_Budget Input Data'!$D$153*0.6/('I_Inputs &amp; Assumptions'!$B$8/2)),IF('I_Budget Input Data'!$E$153="Mid-weighted",IF(29&lt;='I_Inputs &amp; Assumptions'!$B$8/4,'I_Budget Input Data'!$D$153*0.2/('I_Inputs &amp; Assumptions'!$B$8/4),IF(29&lt;='I_Inputs &amp; Assumptions'!$B$8*0.75,'I_Budget Input Data'!$D$153*0.6/('I_Inputs &amp; Assumptions'!$B$8/2),'I_Budget Input Data'!$D$153*0.2/('I_Inputs &amp; Assumptions'!$B$8/4))),IF('I_Budget Input Data'!$E$153="At Completion",IF(29='I_Inputs &amp; Assumptions'!$B$8,'I_Budget Input Data'!$D$153,0),'I_Budget Input Data'!$D$153/'I_Inputs &amp; Assumptions'!$B$8)))))),0)</f>
        <v>0</v>
      </c>
      <c r="AF153" s="91">
        <f>IF(30&lt;='I_Inputs &amp; Assumptions'!$B$8,IF('I_Budget Input Data'!$E$153="Upfront",IF(30=1,'I_Budget Input Data'!$D$153,0),IF('I_Budget Input Data'!$E$153="Equal",'I_Budget Input Data'!$D$153/'I_Inputs &amp; Assumptions'!$B$8,IF('I_Budget Input Data'!$E$153="Front-loaded",IF(30&lt;='I_Inputs &amp; Assumptions'!$B$8/2,'I_Budget Input Data'!$D$153*0.6/('I_Inputs &amp; Assumptions'!$B$8/2),'I_Budget Input Data'!$D$153*0.4/('I_Inputs &amp; Assumptions'!$B$8/2)),IF('I_Budget Input Data'!$E$153="Back-loaded",IF(30&lt;='I_Inputs &amp; Assumptions'!$B$8/2,'I_Budget Input Data'!$D$153*0.4/('I_Inputs &amp; Assumptions'!$B$8/2),'I_Budget Input Data'!$D$153*0.6/('I_Inputs &amp; Assumptions'!$B$8/2)),IF('I_Budget Input Data'!$E$153="Mid-weighted",IF(30&lt;='I_Inputs &amp; Assumptions'!$B$8/4,'I_Budget Input Data'!$D$153*0.2/('I_Inputs &amp; Assumptions'!$B$8/4),IF(30&lt;='I_Inputs &amp; Assumptions'!$B$8*0.75,'I_Budget Input Data'!$D$153*0.6/('I_Inputs &amp; Assumptions'!$B$8/2),'I_Budget Input Data'!$D$153*0.2/('I_Inputs &amp; Assumptions'!$B$8/4))),IF('I_Budget Input Data'!$E$153="At Completion",IF(30='I_Inputs &amp; Assumptions'!$B$8,'I_Budget Input Data'!$D$153,0),'I_Budget Input Data'!$D$153/'I_Inputs &amp; Assumptions'!$B$8)))))),0)</f>
        <v>0</v>
      </c>
      <c r="AG153" s="91">
        <f>IF(31&lt;='I_Inputs &amp; Assumptions'!$B$8,IF('I_Budget Input Data'!$E$153="Upfront",IF(31=1,'I_Budget Input Data'!$D$153,0),IF('I_Budget Input Data'!$E$153="Equal",'I_Budget Input Data'!$D$153/'I_Inputs &amp; Assumptions'!$B$8,IF('I_Budget Input Data'!$E$153="Front-loaded",IF(31&lt;='I_Inputs &amp; Assumptions'!$B$8/2,'I_Budget Input Data'!$D$153*0.6/('I_Inputs &amp; Assumptions'!$B$8/2),'I_Budget Input Data'!$D$153*0.4/('I_Inputs &amp; Assumptions'!$B$8/2)),IF('I_Budget Input Data'!$E$153="Back-loaded",IF(31&lt;='I_Inputs &amp; Assumptions'!$B$8/2,'I_Budget Input Data'!$D$153*0.4/('I_Inputs &amp; Assumptions'!$B$8/2),'I_Budget Input Data'!$D$153*0.6/('I_Inputs &amp; Assumptions'!$B$8/2)),IF('I_Budget Input Data'!$E$153="Mid-weighted",IF(31&lt;='I_Inputs &amp; Assumptions'!$B$8/4,'I_Budget Input Data'!$D$153*0.2/('I_Inputs &amp; Assumptions'!$B$8/4),IF(31&lt;='I_Inputs &amp; Assumptions'!$B$8*0.75,'I_Budget Input Data'!$D$153*0.6/('I_Inputs &amp; Assumptions'!$B$8/2),'I_Budget Input Data'!$D$153*0.2/('I_Inputs &amp; Assumptions'!$B$8/4))),IF('I_Budget Input Data'!$E$153="At Completion",IF(31='I_Inputs &amp; Assumptions'!$B$8,'I_Budget Input Data'!$D$153,0),'I_Budget Input Data'!$D$153/'I_Inputs &amp; Assumptions'!$B$8)))))),0)</f>
        <v>0</v>
      </c>
      <c r="AH153" s="91">
        <f>IF(32&lt;='I_Inputs &amp; Assumptions'!$B$8,IF('I_Budget Input Data'!$E$153="Upfront",IF(32=1,'I_Budget Input Data'!$D$153,0),IF('I_Budget Input Data'!$E$153="Equal",'I_Budget Input Data'!$D$153/'I_Inputs &amp; Assumptions'!$B$8,IF('I_Budget Input Data'!$E$153="Front-loaded",IF(32&lt;='I_Inputs &amp; Assumptions'!$B$8/2,'I_Budget Input Data'!$D$153*0.6/('I_Inputs &amp; Assumptions'!$B$8/2),'I_Budget Input Data'!$D$153*0.4/('I_Inputs &amp; Assumptions'!$B$8/2)),IF('I_Budget Input Data'!$E$153="Back-loaded",IF(32&lt;='I_Inputs &amp; Assumptions'!$B$8/2,'I_Budget Input Data'!$D$153*0.4/('I_Inputs &amp; Assumptions'!$B$8/2),'I_Budget Input Data'!$D$153*0.6/('I_Inputs &amp; Assumptions'!$B$8/2)),IF('I_Budget Input Data'!$E$153="Mid-weighted",IF(32&lt;='I_Inputs &amp; Assumptions'!$B$8/4,'I_Budget Input Data'!$D$153*0.2/('I_Inputs &amp; Assumptions'!$B$8/4),IF(32&lt;='I_Inputs &amp; Assumptions'!$B$8*0.75,'I_Budget Input Data'!$D$153*0.6/('I_Inputs &amp; Assumptions'!$B$8/2),'I_Budget Input Data'!$D$153*0.2/('I_Inputs &amp; Assumptions'!$B$8/4))),IF('I_Budget Input Data'!$E$153="At Completion",IF(32='I_Inputs &amp; Assumptions'!$B$8,'I_Budget Input Data'!$D$153,0),'I_Budget Input Data'!$D$153/'I_Inputs &amp; Assumptions'!$B$8)))))),0)</f>
        <v>0</v>
      </c>
      <c r="AI153" s="91">
        <f>IF(33&lt;='I_Inputs &amp; Assumptions'!$B$8,IF('I_Budget Input Data'!$E$153="Upfront",IF(33=1,'I_Budget Input Data'!$D$153,0),IF('I_Budget Input Data'!$E$153="Equal",'I_Budget Input Data'!$D$153/'I_Inputs &amp; Assumptions'!$B$8,IF('I_Budget Input Data'!$E$153="Front-loaded",IF(33&lt;='I_Inputs &amp; Assumptions'!$B$8/2,'I_Budget Input Data'!$D$153*0.6/('I_Inputs &amp; Assumptions'!$B$8/2),'I_Budget Input Data'!$D$153*0.4/('I_Inputs &amp; Assumptions'!$B$8/2)),IF('I_Budget Input Data'!$E$153="Back-loaded",IF(33&lt;='I_Inputs &amp; Assumptions'!$B$8/2,'I_Budget Input Data'!$D$153*0.4/('I_Inputs &amp; Assumptions'!$B$8/2),'I_Budget Input Data'!$D$153*0.6/('I_Inputs &amp; Assumptions'!$B$8/2)),IF('I_Budget Input Data'!$E$153="Mid-weighted",IF(33&lt;='I_Inputs &amp; Assumptions'!$B$8/4,'I_Budget Input Data'!$D$153*0.2/('I_Inputs &amp; Assumptions'!$B$8/4),IF(33&lt;='I_Inputs &amp; Assumptions'!$B$8*0.75,'I_Budget Input Data'!$D$153*0.6/('I_Inputs &amp; Assumptions'!$B$8/2),'I_Budget Input Data'!$D$153*0.2/('I_Inputs &amp; Assumptions'!$B$8/4))),IF('I_Budget Input Data'!$E$153="At Completion",IF(33='I_Inputs &amp; Assumptions'!$B$8,'I_Budget Input Data'!$D$153,0),'I_Budget Input Data'!$D$153/'I_Inputs &amp; Assumptions'!$B$8)))))),0)</f>
        <v>0</v>
      </c>
      <c r="AJ153" s="91">
        <f>IF(34&lt;='I_Inputs &amp; Assumptions'!$B$8,IF('I_Budget Input Data'!$E$153="Upfront",IF(34=1,'I_Budget Input Data'!$D$153,0),IF('I_Budget Input Data'!$E$153="Equal",'I_Budget Input Data'!$D$153/'I_Inputs &amp; Assumptions'!$B$8,IF('I_Budget Input Data'!$E$153="Front-loaded",IF(34&lt;='I_Inputs &amp; Assumptions'!$B$8/2,'I_Budget Input Data'!$D$153*0.6/('I_Inputs &amp; Assumptions'!$B$8/2),'I_Budget Input Data'!$D$153*0.4/('I_Inputs &amp; Assumptions'!$B$8/2)),IF('I_Budget Input Data'!$E$153="Back-loaded",IF(34&lt;='I_Inputs &amp; Assumptions'!$B$8/2,'I_Budget Input Data'!$D$153*0.4/('I_Inputs &amp; Assumptions'!$B$8/2),'I_Budget Input Data'!$D$153*0.6/('I_Inputs &amp; Assumptions'!$B$8/2)),IF('I_Budget Input Data'!$E$153="Mid-weighted",IF(34&lt;='I_Inputs &amp; Assumptions'!$B$8/4,'I_Budget Input Data'!$D$153*0.2/('I_Inputs &amp; Assumptions'!$B$8/4),IF(34&lt;='I_Inputs &amp; Assumptions'!$B$8*0.75,'I_Budget Input Data'!$D$153*0.6/('I_Inputs &amp; Assumptions'!$B$8/2),'I_Budget Input Data'!$D$153*0.2/('I_Inputs &amp; Assumptions'!$B$8/4))),IF('I_Budget Input Data'!$E$153="At Completion",IF(34='I_Inputs &amp; Assumptions'!$B$8,'I_Budget Input Data'!$D$153,0),'I_Budget Input Data'!$D$153/'I_Inputs &amp; Assumptions'!$B$8)))))),0)</f>
        <v>0</v>
      </c>
      <c r="AK153" s="91">
        <f>IF(35&lt;='I_Inputs &amp; Assumptions'!$B$8,IF('I_Budget Input Data'!$E$153="Upfront",IF(35=1,'I_Budget Input Data'!$D$153,0),IF('I_Budget Input Data'!$E$153="Equal",'I_Budget Input Data'!$D$153/'I_Inputs &amp; Assumptions'!$B$8,IF('I_Budget Input Data'!$E$153="Front-loaded",IF(35&lt;='I_Inputs &amp; Assumptions'!$B$8/2,'I_Budget Input Data'!$D$153*0.6/('I_Inputs &amp; Assumptions'!$B$8/2),'I_Budget Input Data'!$D$153*0.4/('I_Inputs &amp; Assumptions'!$B$8/2)),IF('I_Budget Input Data'!$E$153="Back-loaded",IF(35&lt;='I_Inputs &amp; Assumptions'!$B$8/2,'I_Budget Input Data'!$D$153*0.4/('I_Inputs &amp; Assumptions'!$B$8/2),'I_Budget Input Data'!$D$153*0.6/('I_Inputs &amp; Assumptions'!$B$8/2)),IF('I_Budget Input Data'!$E$153="Mid-weighted",IF(35&lt;='I_Inputs &amp; Assumptions'!$B$8/4,'I_Budget Input Data'!$D$153*0.2/('I_Inputs &amp; Assumptions'!$B$8/4),IF(35&lt;='I_Inputs &amp; Assumptions'!$B$8*0.75,'I_Budget Input Data'!$D$153*0.6/('I_Inputs &amp; Assumptions'!$B$8/2),'I_Budget Input Data'!$D$153*0.2/('I_Inputs &amp; Assumptions'!$B$8/4))),IF('I_Budget Input Data'!$E$153="At Completion",IF(35='I_Inputs &amp; Assumptions'!$B$8,'I_Budget Input Data'!$D$153,0),'I_Budget Input Data'!$D$153/'I_Inputs &amp; Assumptions'!$B$8)))))),0)</f>
        <v>0</v>
      </c>
      <c r="AL153" s="91">
        <f>IF(36&lt;='I_Inputs &amp; Assumptions'!$B$8,IF('I_Budget Input Data'!$E$153="Upfront",IF(36=1,'I_Budget Input Data'!$D$153,0),IF('I_Budget Input Data'!$E$153="Equal",'I_Budget Input Data'!$D$153/'I_Inputs &amp; Assumptions'!$B$8,IF('I_Budget Input Data'!$E$153="Front-loaded",IF(36&lt;='I_Inputs &amp; Assumptions'!$B$8/2,'I_Budget Input Data'!$D$153*0.6/('I_Inputs &amp; Assumptions'!$B$8/2),'I_Budget Input Data'!$D$153*0.4/('I_Inputs &amp; Assumptions'!$B$8/2)),IF('I_Budget Input Data'!$E$153="Back-loaded",IF(36&lt;='I_Inputs &amp; Assumptions'!$B$8/2,'I_Budget Input Data'!$D$153*0.4/('I_Inputs &amp; Assumptions'!$B$8/2),'I_Budget Input Data'!$D$153*0.6/('I_Inputs &amp; Assumptions'!$B$8/2)),IF('I_Budget Input Data'!$E$153="Mid-weighted",IF(36&lt;='I_Inputs &amp; Assumptions'!$B$8/4,'I_Budget Input Data'!$D$153*0.2/('I_Inputs &amp; Assumptions'!$B$8/4),IF(36&lt;='I_Inputs &amp; Assumptions'!$B$8*0.75,'I_Budget Input Data'!$D$153*0.6/('I_Inputs &amp; Assumptions'!$B$8/2),'I_Budget Input Data'!$D$153*0.2/('I_Inputs &amp; Assumptions'!$B$8/4))),IF('I_Budget Input Data'!$E$153="At Completion",IF(36='I_Inputs &amp; Assumptions'!$B$8,'I_Budget Input Data'!$D$153,0),'I_Budget Input Data'!$D$153/'I_Inputs &amp; Assumptions'!$B$8)))))),0)</f>
        <v>0</v>
      </c>
    </row>
    <row r="154" spans="1:38" ht="15" customHeight="1" x14ac:dyDescent="0.2">
      <c r="A154" t="s">
        <v>248</v>
      </c>
      <c r="B154" t="s">
        <v>269</v>
      </c>
      <c r="C154" s="91">
        <f>IF(1&lt;='I_Inputs &amp; Assumptions'!$B$8,IF('I_Budget Input Data'!$E$154="Upfront",IF(1=1,'I_Budget Input Data'!$D$154,0),IF('I_Budget Input Data'!$E$154="Equal",'I_Budget Input Data'!$D$154/'I_Inputs &amp; Assumptions'!$B$8,IF('I_Budget Input Data'!$E$154="Front-loaded",IF(1&lt;='I_Inputs &amp; Assumptions'!$B$8/2,'I_Budget Input Data'!$D$154*0.6/('I_Inputs &amp; Assumptions'!$B$8/2),'I_Budget Input Data'!$D$154*0.4/('I_Inputs &amp; Assumptions'!$B$8/2)),IF('I_Budget Input Data'!$E$154="Back-loaded",IF(1&lt;='I_Inputs &amp; Assumptions'!$B$8/2,'I_Budget Input Data'!$D$154*0.4/('I_Inputs &amp; Assumptions'!$B$8/2),'I_Budget Input Data'!$D$154*0.6/('I_Inputs &amp; Assumptions'!$B$8/2)),IF('I_Budget Input Data'!$E$154="Mid-weighted",IF(1&lt;='I_Inputs &amp; Assumptions'!$B$8/4,'I_Budget Input Data'!$D$154*0.2/('I_Inputs &amp; Assumptions'!$B$8/4),IF(1&lt;='I_Inputs &amp; Assumptions'!$B$8*0.75,'I_Budget Input Data'!$D$154*0.6/('I_Inputs &amp; Assumptions'!$B$8/2),'I_Budget Input Data'!$D$154*0.2/('I_Inputs &amp; Assumptions'!$B$8/4))),IF('I_Budget Input Data'!$E$154="At Completion",IF(1='I_Inputs &amp; Assumptions'!$B$8,'I_Budget Input Data'!$D$154,0),'I_Budget Input Data'!$D$154/'I_Inputs &amp; Assumptions'!$B$8)))))),0)</f>
        <v>1384.6153846153845</v>
      </c>
      <c r="D154" s="91">
        <f>IF(2&lt;='I_Inputs &amp; Assumptions'!$B$8,IF('I_Budget Input Data'!$E$154="Upfront",IF(2=1,'I_Budget Input Data'!$D$154,0),IF('I_Budget Input Data'!$E$154="Equal",'I_Budget Input Data'!$D$154/'I_Inputs &amp; Assumptions'!$B$8,IF('I_Budget Input Data'!$E$154="Front-loaded",IF(2&lt;='I_Inputs &amp; Assumptions'!$B$8/2,'I_Budget Input Data'!$D$154*0.6/('I_Inputs &amp; Assumptions'!$B$8/2),'I_Budget Input Data'!$D$154*0.4/('I_Inputs &amp; Assumptions'!$B$8/2)),IF('I_Budget Input Data'!$E$154="Back-loaded",IF(2&lt;='I_Inputs &amp; Assumptions'!$B$8/2,'I_Budget Input Data'!$D$154*0.4/('I_Inputs &amp; Assumptions'!$B$8/2),'I_Budget Input Data'!$D$154*0.6/('I_Inputs &amp; Assumptions'!$B$8/2)),IF('I_Budget Input Data'!$E$154="Mid-weighted",IF(2&lt;='I_Inputs &amp; Assumptions'!$B$8/4,'I_Budget Input Data'!$D$154*0.2/('I_Inputs &amp; Assumptions'!$B$8/4),IF(2&lt;='I_Inputs &amp; Assumptions'!$B$8*0.75,'I_Budget Input Data'!$D$154*0.6/('I_Inputs &amp; Assumptions'!$B$8/2),'I_Budget Input Data'!$D$154*0.2/('I_Inputs &amp; Assumptions'!$B$8/4))),IF('I_Budget Input Data'!$E$154="At Completion",IF(2='I_Inputs &amp; Assumptions'!$B$8,'I_Budget Input Data'!$D$154,0),'I_Budget Input Data'!$D$154/'I_Inputs &amp; Assumptions'!$B$8)))))),0)</f>
        <v>1384.6153846153845</v>
      </c>
      <c r="E154" s="91">
        <f>IF(3&lt;='I_Inputs &amp; Assumptions'!$B$8,IF('I_Budget Input Data'!$E$154="Upfront",IF(3=1,'I_Budget Input Data'!$D$154,0),IF('I_Budget Input Data'!$E$154="Equal",'I_Budget Input Data'!$D$154/'I_Inputs &amp; Assumptions'!$B$8,IF('I_Budget Input Data'!$E$154="Front-loaded",IF(3&lt;='I_Inputs &amp; Assumptions'!$B$8/2,'I_Budget Input Data'!$D$154*0.6/('I_Inputs &amp; Assumptions'!$B$8/2),'I_Budget Input Data'!$D$154*0.4/('I_Inputs &amp; Assumptions'!$B$8/2)),IF('I_Budget Input Data'!$E$154="Back-loaded",IF(3&lt;='I_Inputs &amp; Assumptions'!$B$8/2,'I_Budget Input Data'!$D$154*0.4/('I_Inputs &amp; Assumptions'!$B$8/2),'I_Budget Input Data'!$D$154*0.6/('I_Inputs &amp; Assumptions'!$B$8/2)),IF('I_Budget Input Data'!$E$154="Mid-weighted",IF(3&lt;='I_Inputs &amp; Assumptions'!$B$8/4,'I_Budget Input Data'!$D$154*0.2/('I_Inputs &amp; Assumptions'!$B$8/4),IF(3&lt;='I_Inputs &amp; Assumptions'!$B$8*0.75,'I_Budget Input Data'!$D$154*0.6/('I_Inputs &amp; Assumptions'!$B$8/2),'I_Budget Input Data'!$D$154*0.2/('I_Inputs &amp; Assumptions'!$B$8/4))),IF('I_Budget Input Data'!$E$154="At Completion",IF(3='I_Inputs &amp; Assumptions'!$B$8,'I_Budget Input Data'!$D$154,0),'I_Budget Input Data'!$D$154/'I_Inputs &amp; Assumptions'!$B$8)))))),0)</f>
        <v>1384.6153846153845</v>
      </c>
      <c r="F154" s="91">
        <f>IF(4&lt;='I_Inputs &amp; Assumptions'!$B$8,IF('I_Budget Input Data'!$E$154="Upfront",IF(4=1,'I_Budget Input Data'!$D$154,0),IF('I_Budget Input Data'!$E$154="Equal",'I_Budget Input Data'!$D$154/'I_Inputs &amp; Assumptions'!$B$8,IF('I_Budget Input Data'!$E$154="Front-loaded",IF(4&lt;='I_Inputs &amp; Assumptions'!$B$8/2,'I_Budget Input Data'!$D$154*0.6/('I_Inputs &amp; Assumptions'!$B$8/2),'I_Budget Input Data'!$D$154*0.4/('I_Inputs &amp; Assumptions'!$B$8/2)),IF('I_Budget Input Data'!$E$154="Back-loaded",IF(4&lt;='I_Inputs &amp; Assumptions'!$B$8/2,'I_Budget Input Data'!$D$154*0.4/('I_Inputs &amp; Assumptions'!$B$8/2),'I_Budget Input Data'!$D$154*0.6/('I_Inputs &amp; Assumptions'!$B$8/2)),IF('I_Budget Input Data'!$E$154="Mid-weighted",IF(4&lt;='I_Inputs &amp; Assumptions'!$B$8/4,'I_Budget Input Data'!$D$154*0.2/('I_Inputs &amp; Assumptions'!$B$8/4),IF(4&lt;='I_Inputs &amp; Assumptions'!$B$8*0.75,'I_Budget Input Data'!$D$154*0.6/('I_Inputs &amp; Assumptions'!$B$8/2),'I_Budget Input Data'!$D$154*0.2/('I_Inputs &amp; Assumptions'!$B$8/4))),IF('I_Budget Input Data'!$E$154="At Completion",IF(4='I_Inputs &amp; Assumptions'!$B$8,'I_Budget Input Data'!$D$154,0),'I_Budget Input Data'!$D$154/'I_Inputs &amp; Assumptions'!$B$8)))))),0)</f>
        <v>1384.6153846153845</v>
      </c>
      <c r="G154" s="91">
        <f>IF(5&lt;='I_Inputs &amp; Assumptions'!$B$8,IF('I_Budget Input Data'!$E$154="Upfront",IF(5=1,'I_Budget Input Data'!$D$154,0),IF('I_Budget Input Data'!$E$154="Equal",'I_Budget Input Data'!$D$154/'I_Inputs &amp; Assumptions'!$B$8,IF('I_Budget Input Data'!$E$154="Front-loaded",IF(5&lt;='I_Inputs &amp; Assumptions'!$B$8/2,'I_Budget Input Data'!$D$154*0.6/('I_Inputs &amp; Assumptions'!$B$8/2),'I_Budget Input Data'!$D$154*0.4/('I_Inputs &amp; Assumptions'!$B$8/2)),IF('I_Budget Input Data'!$E$154="Back-loaded",IF(5&lt;='I_Inputs &amp; Assumptions'!$B$8/2,'I_Budget Input Data'!$D$154*0.4/('I_Inputs &amp; Assumptions'!$B$8/2),'I_Budget Input Data'!$D$154*0.6/('I_Inputs &amp; Assumptions'!$B$8/2)),IF('I_Budget Input Data'!$E$154="Mid-weighted",IF(5&lt;='I_Inputs &amp; Assumptions'!$B$8/4,'I_Budget Input Data'!$D$154*0.2/('I_Inputs &amp; Assumptions'!$B$8/4),IF(5&lt;='I_Inputs &amp; Assumptions'!$B$8*0.75,'I_Budget Input Data'!$D$154*0.6/('I_Inputs &amp; Assumptions'!$B$8/2),'I_Budget Input Data'!$D$154*0.2/('I_Inputs &amp; Assumptions'!$B$8/4))),IF('I_Budget Input Data'!$E$154="At Completion",IF(5='I_Inputs &amp; Assumptions'!$B$8,'I_Budget Input Data'!$D$154,0),'I_Budget Input Data'!$D$154/'I_Inputs &amp; Assumptions'!$B$8)))))),0)</f>
        <v>1384.6153846153845</v>
      </c>
      <c r="H154" s="91">
        <f>IF(6&lt;='I_Inputs &amp; Assumptions'!$B$8,IF('I_Budget Input Data'!$E$154="Upfront",IF(6=1,'I_Budget Input Data'!$D$154,0),IF('I_Budget Input Data'!$E$154="Equal",'I_Budget Input Data'!$D$154/'I_Inputs &amp; Assumptions'!$B$8,IF('I_Budget Input Data'!$E$154="Front-loaded",IF(6&lt;='I_Inputs &amp; Assumptions'!$B$8/2,'I_Budget Input Data'!$D$154*0.6/('I_Inputs &amp; Assumptions'!$B$8/2),'I_Budget Input Data'!$D$154*0.4/('I_Inputs &amp; Assumptions'!$B$8/2)),IF('I_Budget Input Data'!$E$154="Back-loaded",IF(6&lt;='I_Inputs &amp; Assumptions'!$B$8/2,'I_Budget Input Data'!$D$154*0.4/('I_Inputs &amp; Assumptions'!$B$8/2),'I_Budget Input Data'!$D$154*0.6/('I_Inputs &amp; Assumptions'!$B$8/2)),IF('I_Budget Input Data'!$E$154="Mid-weighted",IF(6&lt;='I_Inputs &amp; Assumptions'!$B$8/4,'I_Budget Input Data'!$D$154*0.2/('I_Inputs &amp; Assumptions'!$B$8/4),IF(6&lt;='I_Inputs &amp; Assumptions'!$B$8*0.75,'I_Budget Input Data'!$D$154*0.6/('I_Inputs &amp; Assumptions'!$B$8/2),'I_Budget Input Data'!$D$154*0.2/('I_Inputs &amp; Assumptions'!$B$8/4))),IF('I_Budget Input Data'!$E$154="At Completion",IF(6='I_Inputs &amp; Assumptions'!$B$8,'I_Budget Input Data'!$D$154,0),'I_Budget Input Data'!$D$154/'I_Inputs &amp; Assumptions'!$B$8)))))),0)</f>
        <v>1384.6153846153845</v>
      </c>
      <c r="I154" s="91">
        <f>IF(7&lt;='I_Inputs &amp; Assumptions'!$B$8,IF('I_Budget Input Data'!$E$154="Upfront",IF(7=1,'I_Budget Input Data'!$D$154,0),IF('I_Budget Input Data'!$E$154="Equal",'I_Budget Input Data'!$D$154/'I_Inputs &amp; Assumptions'!$B$8,IF('I_Budget Input Data'!$E$154="Front-loaded",IF(7&lt;='I_Inputs &amp; Assumptions'!$B$8/2,'I_Budget Input Data'!$D$154*0.6/('I_Inputs &amp; Assumptions'!$B$8/2),'I_Budget Input Data'!$D$154*0.4/('I_Inputs &amp; Assumptions'!$B$8/2)),IF('I_Budget Input Data'!$E$154="Back-loaded",IF(7&lt;='I_Inputs &amp; Assumptions'!$B$8/2,'I_Budget Input Data'!$D$154*0.4/('I_Inputs &amp; Assumptions'!$B$8/2),'I_Budget Input Data'!$D$154*0.6/('I_Inputs &amp; Assumptions'!$B$8/2)),IF('I_Budget Input Data'!$E$154="Mid-weighted",IF(7&lt;='I_Inputs &amp; Assumptions'!$B$8/4,'I_Budget Input Data'!$D$154*0.2/('I_Inputs &amp; Assumptions'!$B$8/4),IF(7&lt;='I_Inputs &amp; Assumptions'!$B$8*0.75,'I_Budget Input Data'!$D$154*0.6/('I_Inputs &amp; Assumptions'!$B$8/2),'I_Budget Input Data'!$D$154*0.2/('I_Inputs &amp; Assumptions'!$B$8/4))),IF('I_Budget Input Data'!$E$154="At Completion",IF(7='I_Inputs &amp; Assumptions'!$B$8,'I_Budget Input Data'!$D$154,0),'I_Budget Input Data'!$D$154/'I_Inputs &amp; Assumptions'!$B$8)))))),0)</f>
        <v>923.07692307692309</v>
      </c>
      <c r="J154" s="91">
        <f>IF(8&lt;='I_Inputs &amp; Assumptions'!$B$8,IF('I_Budget Input Data'!$E$154="Upfront",IF(8=1,'I_Budget Input Data'!$D$154,0),IF('I_Budget Input Data'!$E$154="Equal",'I_Budget Input Data'!$D$154/'I_Inputs &amp; Assumptions'!$B$8,IF('I_Budget Input Data'!$E$154="Front-loaded",IF(8&lt;='I_Inputs &amp; Assumptions'!$B$8/2,'I_Budget Input Data'!$D$154*0.6/('I_Inputs &amp; Assumptions'!$B$8/2),'I_Budget Input Data'!$D$154*0.4/('I_Inputs &amp; Assumptions'!$B$8/2)),IF('I_Budget Input Data'!$E$154="Back-loaded",IF(8&lt;='I_Inputs &amp; Assumptions'!$B$8/2,'I_Budget Input Data'!$D$154*0.4/('I_Inputs &amp; Assumptions'!$B$8/2),'I_Budget Input Data'!$D$154*0.6/('I_Inputs &amp; Assumptions'!$B$8/2)),IF('I_Budget Input Data'!$E$154="Mid-weighted",IF(8&lt;='I_Inputs &amp; Assumptions'!$B$8/4,'I_Budget Input Data'!$D$154*0.2/('I_Inputs &amp; Assumptions'!$B$8/4),IF(8&lt;='I_Inputs &amp; Assumptions'!$B$8*0.75,'I_Budget Input Data'!$D$154*0.6/('I_Inputs &amp; Assumptions'!$B$8/2),'I_Budget Input Data'!$D$154*0.2/('I_Inputs &amp; Assumptions'!$B$8/4))),IF('I_Budget Input Data'!$E$154="At Completion",IF(8='I_Inputs &amp; Assumptions'!$B$8,'I_Budget Input Data'!$D$154,0),'I_Budget Input Data'!$D$154/'I_Inputs &amp; Assumptions'!$B$8)))))),0)</f>
        <v>923.07692307692309</v>
      </c>
      <c r="K154" s="91">
        <f>IF(9&lt;='I_Inputs &amp; Assumptions'!$B$8,IF('I_Budget Input Data'!$E$154="Upfront",IF(9=1,'I_Budget Input Data'!$D$154,0),IF('I_Budget Input Data'!$E$154="Equal",'I_Budget Input Data'!$D$154/'I_Inputs &amp; Assumptions'!$B$8,IF('I_Budget Input Data'!$E$154="Front-loaded",IF(9&lt;='I_Inputs &amp; Assumptions'!$B$8/2,'I_Budget Input Data'!$D$154*0.6/('I_Inputs &amp; Assumptions'!$B$8/2),'I_Budget Input Data'!$D$154*0.4/('I_Inputs &amp; Assumptions'!$B$8/2)),IF('I_Budget Input Data'!$E$154="Back-loaded",IF(9&lt;='I_Inputs &amp; Assumptions'!$B$8/2,'I_Budget Input Data'!$D$154*0.4/('I_Inputs &amp; Assumptions'!$B$8/2),'I_Budget Input Data'!$D$154*0.6/('I_Inputs &amp; Assumptions'!$B$8/2)),IF('I_Budget Input Data'!$E$154="Mid-weighted",IF(9&lt;='I_Inputs &amp; Assumptions'!$B$8/4,'I_Budget Input Data'!$D$154*0.2/('I_Inputs &amp; Assumptions'!$B$8/4),IF(9&lt;='I_Inputs &amp; Assumptions'!$B$8*0.75,'I_Budget Input Data'!$D$154*0.6/('I_Inputs &amp; Assumptions'!$B$8/2),'I_Budget Input Data'!$D$154*0.2/('I_Inputs &amp; Assumptions'!$B$8/4))),IF('I_Budget Input Data'!$E$154="At Completion",IF(9='I_Inputs &amp; Assumptions'!$B$8,'I_Budget Input Data'!$D$154,0),'I_Budget Input Data'!$D$154/'I_Inputs &amp; Assumptions'!$B$8)))))),0)</f>
        <v>923.07692307692309</v>
      </c>
      <c r="L154" s="91">
        <f>IF(10&lt;='I_Inputs &amp; Assumptions'!$B$8,IF('I_Budget Input Data'!$E$154="Upfront",IF(10=1,'I_Budget Input Data'!$D$154,0),IF('I_Budget Input Data'!$E$154="Equal",'I_Budget Input Data'!$D$154/'I_Inputs &amp; Assumptions'!$B$8,IF('I_Budget Input Data'!$E$154="Front-loaded",IF(10&lt;='I_Inputs &amp; Assumptions'!$B$8/2,'I_Budget Input Data'!$D$154*0.6/('I_Inputs &amp; Assumptions'!$B$8/2),'I_Budget Input Data'!$D$154*0.4/('I_Inputs &amp; Assumptions'!$B$8/2)),IF('I_Budget Input Data'!$E$154="Back-loaded",IF(10&lt;='I_Inputs &amp; Assumptions'!$B$8/2,'I_Budget Input Data'!$D$154*0.4/('I_Inputs &amp; Assumptions'!$B$8/2),'I_Budget Input Data'!$D$154*0.6/('I_Inputs &amp; Assumptions'!$B$8/2)),IF('I_Budget Input Data'!$E$154="Mid-weighted",IF(10&lt;='I_Inputs &amp; Assumptions'!$B$8/4,'I_Budget Input Data'!$D$154*0.2/('I_Inputs &amp; Assumptions'!$B$8/4),IF(10&lt;='I_Inputs &amp; Assumptions'!$B$8*0.75,'I_Budget Input Data'!$D$154*0.6/('I_Inputs &amp; Assumptions'!$B$8/2),'I_Budget Input Data'!$D$154*0.2/('I_Inputs &amp; Assumptions'!$B$8/4))),IF('I_Budget Input Data'!$E$154="At Completion",IF(10='I_Inputs &amp; Assumptions'!$B$8,'I_Budget Input Data'!$D$154,0),'I_Budget Input Data'!$D$154/'I_Inputs &amp; Assumptions'!$B$8)))))),0)</f>
        <v>923.07692307692309</v>
      </c>
      <c r="M154" s="91">
        <f>IF(11&lt;='I_Inputs &amp; Assumptions'!$B$8,IF('I_Budget Input Data'!$E$154="Upfront",IF(11=1,'I_Budget Input Data'!$D$154,0),IF('I_Budget Input Data'!$E$154="Equal",'I_Budget Input Data'!$D$154/'I_Inputs &amp; Assumptions'!$B$8,IF('I_Budget Input Data'!$E$154="Front-loaded",IF(11&lt;='I_Inputs &amp; Assumptions'!$B$8/2,'I_Budget Input Data'!$D$154*0.6/('I_Inputs &amp; Assumptions'!$B$8/2),'I_Budget Input Data'!$D$154*0.4/('I_Inputs &amp; Assumptions'!$B$8/2)),IF('I_Budget Input Data'!$E$154="Back-loaded",IF(11&lt;='I_Inputs &amp; Assumptions'!$B$8/2,'I_Budget Input Data'!$D$154*0.4/('I_Inputs &amp; Assumptions'!$B$8/2),'I_Budget Input Data'!$D$154*0.6/('I_Inputs &amp; Assumptions'!$B$8/2)),IF('I_Budget Input Data'!$E$154="Mid-weighted",IF(11&lt;='I_Inputs &amp; Assumptions'!$B$8/4,'I_Budget Input Data'!$D$154*0.2/('I_Inputs &amp; Assumptions'!$B$8/4),IF(11&lt;='I_Inputs &amp; Assumptions'!$B$8*0.75,'I_Budget Input Data'!$D$154*0.6/('I_Inputs &amp; Assumptions'!$B$8/2),'I_Budget Input Data'!$D$154*0.2/('I_Inputs &amp; Assumptions'!$B$8/4))),IF('I_Budget Input Data'!$E$154="At Completion",IF(11='I_Inputs &amp; Assumptions'!$B$8,'I_Budget Input Data'!$D$154,0),'I_Budget Input Data'!$D$154/'I_Inputs &amp; Assumptions'!$B$8)))))),0)</f>
        <v>923.07692307692309</v>
      </c>
      <c r="N154" s="91">
        <f>IF(12&lt;='I_Inputs &amp; Assumptions'!$B$8,IF('I_Budget Input Data'!$E$154="Upfront",IF(12=1,'I_Budget Input Data'!$D$154,0),IF('I_Budget Input Data'!$E$154="Equal",'I_Budget Input Data'!$D$154/'I_Inputs &amp; Assumptions'!$B$8,IF('I_Budget Input Data'!$E$154="Front-loaded",IF(12&lt;='I_Inputs &amp; Assumptions'!$B$8/2,'I_Budget Input Data'!$D$154*0.6/('I_Inputs &amp; Assumptions'!$B$8/2),'I_Budget Input Data'!$D$154*0.4/('I_Inputs &amp; Assumptions'!$B$8/2)),IF('I_Budget Input Data'!$E$154="Back-loaded",IF(12&lt;='I_Inputs &amp; Assumptions'!$B$8/2,'I_Budget Input Data'!$D$154*0.4/('I_Inputs &amp; Assumptions'!$B$8/2),'I_Budget Input Data'!$D$154*0.6/('I_Inputs &amp; Assumptions'!$B$8/2)),IF('I_Budget Input Data'!$E$154="Mid-weighted",IF(12&lt;='I_Inputs &amp; Assumptions'!$B$8/4,'I_Budget Input Data'!$D$154*0.2/('I_Inputs &amp; Assumptions'!$B$8/4),IF(12&lt;='I_Inputs &amp; Assumptions'!$B$8*0.75,'I_Budget Input Data'!$D$154*0.6/('I_Inputs &amp; Assumptions'!$B$8/2),'I_Budget Input Data'!$D$154*0.2/('I_Inputs &amp; Assumptions'!$B$8/4))),IF('I_Budget Input Data'!$E$154="At Completion",IF(12='I_Inputs &amp; Assumptions'!$B$8,'I_Budget Input Data'!$D$154,0),'I_Budget Input Data'!$D$154/'I_Inputs &amp; Assumptions'!$B$8)))))),0)</f>
        <v>923.07692307692309</v>
      </c>
      <c r="O154" s="91">
        <f>IF(13&lt;='I_Inputs &amp; Assumptions'!$B$8,IF('I_Budget Input Data'!$E$154="Upfront",IF(13=1,'I_Budget Input Data'!$D$154,0),IF('I_Budget Input Data'!$E$154="Equal",'I_Budget Input Data'!$D$154/'I_Inputs &amp; Assumptions'!$B$8,IF('I_Budget Input Data'!$E$154="Front-loaded",IF(13&lt;='I_Inputs &amp; Assumptions'!$B$8/2,'I_Budget Input Data'!$D$154*0.6/('I_Inputs &amp; Assumptions'!$B$8/2),'I_Budget Input Data'!$D$154*0.4/('I_Inputs &amp; Assumptions'!$B$8/2)),IF('I_Budget Input Data'!$E$154="Back-loaded",IF(13&lt;='I_Inputs &amp; Assumptions'!$B$8/2,'I_Budget Input Data'!$D$154*0.4/('I_Inputs &amp; Assumptions'!$B$8/2),'I_Budget Input Data'!$D$154*0.6/('I_Inputs &amp; Assumptions'!$B$8/2)),IF('I_Budget Input Data'!$E$154="Mid-weighted",IF(13&lt;='I_Inputs &amp; Assumptions'!$B$8/4,'I_Budget Input Data'!$D$154*0.2/('I_Inputs &amp; Assumptions'!$B$8/4),IF(13&lt;='I_Inputs &amp; Assumptions'!$B$8*0.75,'I_Budget Input Data'!$D$154*0.6/('I_Inputs &amp; Assumptions'!$B$8/2),'I_Budget Input Data'!$D$154*0.2/('I_Inputs &amp; Assumptions'!$B$8/4))),IF('I_Budget Input Data'!$E$154="At Completion",IF(13='I_Inputs &amp; Assumptions'!$B$8,'I_Budget Input Data'!$D$154,0),'I_Budget Input Data'!$D$154/'I_Inputs &amp; Assumptions'!$B$8)))))),0)</f>
        <v>923.07692307692309</v>
      </c>
      <c r="P154" s="91">
        <f>IF(14&lt;='I_Inputs &amp; Assumptions'!$B$8,IF('I_Budget Input Data'!$E$154="Upfront",IF(14=1,'I_Budget Input Data'!$D$154,0),IF('I_Budget Input Data'!$E$154="Equal",'I_Budget Input Data'!$D$154/'I_Inputs &amp; Assumptions'!$B$8,IF('I_Budget Input Data'!$E$154="Front-loaded",IF(14&lt;='I_Inputs &amp; Assumptions'!$B$8/2,'I_Budget Input Data'!$D$154*0.6/('I_Inputs &amp; Assumptions'!$B$8/2),'I_Budget Input Data'!$D$154*0.4/('I_Inputs &amp; Assumptions'!$B$8/2)),IF('I_Budget Input Data'!$E$154="Back-loaded",IF(14&lt;='I_Inputs &amp; Assumptions'!$B$8/2,'I_Budget Input Data'!$D$154*0.4/('I_Inputs &amp; Assumptions'!$B$8/2),'I_Budget Input Data'!$D$154*0.6/('I_Inputs &amp; Assumptions'!$B$8/2)),IF('I_Budget Input Data'!$E$154="Mid-weighted",IF(14&lt;='I_Inputs &amp; Assumptions'!$B$8/4,'I_Budget Input Data'!$D$154*0.2/('I_Inputs &amp; Assumptions'!$B$8/4),IF(14&lt;='I_Inputs &amp; Assumptions'!$B$8*0.75,'I_Budget Input Data'!$D$154*0.6/('I_Inputs &amp; Assumptions'!$B$8/2),'I_Budget Input Data'!$D$154*0.2/('I_Inputs &amp; Assumptions'!$B$8/4))),IF('I_Budget Input Data'!$E$154="At Completion",IF(14='I_Inputs &amp; Assumptions'!$B$8,'I_Budget Input Data'!$D$154,0),'I_Budget Input Data'!$D$154/'I_Inputs &amp; Assumptions'!$B$8)))))),0)</f>
        <v>0</v>
      </c>
      <c r="Q154" s="91">
        <f>IF(15&lt;='I_Inputs &amp; Assumptions'!$B$8,IF('I_Budget Input Data'!$E$154="Upfront",IF(15=1,'I_Budget Input Data'!$D$154,0),IF('I_Budget Input Data'!$E$154="Equal",'I_Budget Input Data'!$D$154/'I_Inputs &amp; Assumptions'!$B$8,IF('I_Budget Input Data'!$E$154="Front-loaded",IF(15&lt;='I_Inputs &amp; Assumptions'!$B$8/2,'I_Budget Input Data'!$D$154*0.6/('I_Inputs &amp; Assumptions'!$B$8/2),'I_Budget Input Data'!$D$154*0.4/('I_Inputs &amp; Assumptions'!$B$8/2)),IF('I_Budget Input Data'!$E$154="Back-loaded",IF(15&lt;='I_Inputs &amp; Assumptions'!$B$8/2,'I_Budget Input Data'!$D$154*0.4/('I_Inputs &amp; Assumptions'!$B$8/2),'I_Budget Input Data'!$D$154*0.6/('I_Inputs &amp; Assumptions'!$B$8/2)),IF('I_Budget Input Data'!$E$154="Mid-weighted",IF(15&lt;='I_Inputs &amp; Assumptions'!$B$8/4,'I_Budget Input Data'!$D$154*0.2/('I_Inputs &amp; Assumptions'!$B$8/4),IF(15&lt;='I_Inputs &amp; Assumptions'!$B$8*0.75,'I_Budget Input Data'!$D$154*0.6/('I_Inputs &amp; Assumptions'!$B$8/2),'I_Budget Input Data'!$D$154*0.2/('I_Inputs &amp; Assumptions'!$B$8/4))),IF('I_Budget Input Data'!$E$154="At Completion",IF(15='I_Inputs &amp; Assumptions'!$B$8,'I_Budget Input Data'!$D$154,0),'I_Budget Input Data'!$D$154/'I_Inputs &amp; Assumptions'!$B$8)))))),0)</f>
        <v>0</v>
      </c>
      <c r="R154" s="91">
        <f>IF(16&lt;='I_Inputs &amp; Assumptions'!$B$8,IF('I_Budget Input Data'!$E$154="Upfront",IF(16=1,'I_Budget Input Data'!$D$154,0),IF('I_Budget Input Data'!$E$154="Equal",'I_Budget Input Data'!$D$154/'I_Inputs &amp; Assumptions'!$B$8,IF('I_Budget Input Data'!$E$154="Front-loaded",IF(16&lt;='I_Inputs &amp; Assumptions'!$B$8/2,'I_Budget Input Data'!$D$154*0.6/('I_Inputs &amp; Assumptions'!$B$8/2),'I_Budget Input Data'!$D$154*0.4/('I_Inputs &amp; Assumptions'!$B$8/2)),IF('I_Budget Input Data'!$E$154="Back-loaded",IF(16&lt;='I_Inputs &amp; Assumptions'!$B$8/2,'I_Budget Input Data'!$D$154*0.4/('I_Inputs &amp; Assumptions'!$B$8/2),'I_Budget Input Data'!$D$154*0.6/('I_Inputs &amp; Assumptions'!$B$8/2)),IF('I_Budget Input Data'!$E$154="Mid-weighted",IF(16&lt;='I_Inputs &amp; Assumptions'!$B$8/4,'I_Budget Input Data'!$D$154*0.2/('I_Inputs &amp; Assumptions'!$B$8/4),IF(16&lt;='I_Inputs &amp; Assumptions'!$B$8*0.75,'I_Budget Input Data'!$D$154*0.6/('I_Inputs &amp; Assumptions'!$B$8/2),'I_Budget Input Data'!$D$154*0.2/('I_Inputs &amp; Assumptions'!$B$8/4))),IF('I_Budget Input Data'!$E$154="At Completion",IF(16='I_Inputs &amp; Assumptions'!$B$8,'I_Budget Input Data'!$D$154,0),'I_Budget Input Data'!$D$154/'I_Inputs &amp; Assumptions'!$B$8)))))),0)</f>
        <v>0</v>
      </c>
      <c r="S154" s="91">
        <f>IF(17&lt;='I_Inputs &amp; Assumptions'!$B$8,IF('I_Budget Input Data'!$E$154="Upfront",IF(17=1,'I_Budget Input Data'!$D$154,0),IF('I_Budget Input Data'!$E$154="Equal",'I_Budget Input Data'!$D$154/'I_Inputs &amp; Assumptions'!$B$8,IF('I_Budget Input Data'!$E$154="Front-loaded",IF(17&lt;='I_Inputs &amp; Assumptions'!$B$8/2,'I_Budget Input Data'!$D$154*0.6/('I_Inputs &amp; Assumptions'!$B$8/2),'I_Budget Input Data'!$D$154*0.4/('I_Inputs &amp; Assumptions'!$B$8/2)),IF('I_Budget Input Data'!$E$154="Back-loaded",IF(17&lt;='I_Inputs &amp; Assumptions'!$B$8/2,'I_Budget Input Data'!$D$154*0.4/('I_Inputs &amp; Assumptions'!$B$8/2),'I_Budget Input Data'!$D$154*0.6/('I_Inputs &amp; Assumptions'!$B$8/2)),IF('I_Budget Input Data'!$E$154="Mid-weighted",IF(17&lt;='I_Inputs &amp; Assumptions'!$B$8/4,'I_Budget Input Data'!$D$154*0.2/('I_Inputs &amp; Assumptions'!$B$8/4),IF(17&lt;='I_Inputs &amp; Assumptions'!$B$8*0.75,'I_Budget Input Data'!$D$154*0.6/('I_Inputs &amp; Assumptions'!$B$8/2),'I_Budget Input Data'!$D$154*0.2/('I_Inputs &amp; Assumptions'!$B$8/4))),IF('I_Budget Input Data'!$E$154="At Completion",IF(17='I_Inputs &amp; Assumptions'!$B$8,'I_Budget Input Data'!$D$154,0),'I_Budget Input Data'!$D$154/'I_Inputs &amp; Assumptions'!$B$8)))))),0)</f>
        <v>0</v>
      </c>
      <c r="T154" s="91">
        <f>IF(18&lt;='I_Inputs &amp; Assumptions'!$B$8,IF('I_Budget Input Data'!$E$154="Upfront",IF(18=1,'I_Budget Input Data'!$D$154,0),IF('I_Budget Input Data'!$E$154="Equal",'I_Budget Input Data'!$D$154/'I_Inputs &amp; Assumptions'!$B$8,IF('I_Budget Input Data'!$E$154="Front-loaded",IF(18&lt;='I_Inputs &amp; Assumptions'!$B$8/2,'I_Budget Input Data'!$D$154*0.6/('I_Inputs &amp; Assumptions'!$B$8/2),'I_Budget Input Data'!$D$154*0.4/('I_Inputs &amp; Assumptions'!$B$8/2)),IF('I_Budget Input Data'!$E$154="Back-loaded",IF(18&lt;='I_Inputs &amp; Assumptions'!$B$8/2,'I_Budget Input Data'!$D$154*0.4/('I_Inputs &amp; Assumptions'!$B$8/2),'I_Budget Input Data'!$D$154*0.6/('I_Inputs &amp; Assumptions'!$B$8/2)),IF('I_Budget Input Data'!$E$154="Mid-weighted",IF(18&lt;='I_Inputs &amp; Assumptions'!$B$8/4,'I_Budget Input Data'!$D$154*0.2/('I_Inputs &amp; Assumptions'!$B$8/4),IF(18&lt;='I_Inputs &amp; Assumptions'!$B$8*0.75,'I_Budget Input Data'!$D$154*0.6/('I_Inputs &amp; Assumptions'!$B$8/2),'I_Budget Input Data'!$D$154*0.2/('I_Inputs &amp; Assumptions'!$B$8/4))),IF('I_Budget Input Data'!$E$154="At Completion",IF(18='I_Inputs &amp; Assumptions'!$B$8,'I_Budget Input Data'!$D$154,0),'I_Budget Input Data'!$D$154/'I_Inputs &amp; Assumptions'!$B$8)))))),0)</f>
        <v>0</v>
      </c>
      <c r="U154" s="91">
        <f>IF(19&lt;='I_Inputs &amp; Assumptions'!$B$8,IF('I_Budget Input Data'!$E$154="Upfront",IF(19=1,'I_Budget Input Data'!$D$154,0),IF('I_Budget Input Data'!$E$154="Equal",'I_Budget Input Data'!$D$154/'I_Inputs &amp; Assumptions'!$B$8,IF('I_Budget Input Data'!$E$154="Front-loaded",IF(19&lt;='I_Inputs &amp; Assumptions'!$B$8/2,'I_Budget Input Data'!$D$154*0.6/('I_Inputs &amp; Assumptions'!$B$8/2),'I_Budget Input Data'!$D$154*0.4/('I_Inputs &amp; Assumptions'!$B$8/2)),IF('I_Budget Input Data'!$E$154="Back-loaded",IF(19&lt;='I_Inputs &amp; Assumptions'!$B$8/2,'I_Budget Input Data'!$D$154*0.4/('I_Inputs &amp; Assumptions'!$B$8/2),'I_Budget Input Data'!$D$154*0.6/('I_Inputs &amp; Assumptions'!$B$8/2)),IF('I_Budget Input Data'!$E$154="Mid-weighted",IF(19&lt;='I_Inputs &amp; Assumptions'!$B$8/4,'I_Budget Input Data'!$D$154*0.2/('I_Inputs &amp; Assumptions'!$B$8/4),IF(19&lt;='I_Inputs &amp; Assumptions'!$B$8*0.75,'I_Budget Input Data'!$D$154*0.6/('I_Inputs &amp; Assumptions'!$B$8/2),'I_Budget Input Data'!$D$154*0.2/('I_Inputs &amp; Assumptions'!$B$8/4))),IF('I_Budget Input Data'!$E$154="At Completion",IF(19='I_Inputs &amp; Assumptions'!$B$8,'I_Budget Input Data'!$D$154,0),'I_Budget Input Data'!$D$154/'I_Inputs &amp; Assumptions'!$B$8)))))),0)</f>
        <v>0</v>
      </c>
      <c r="V154" s="91">
        <f>IF(20&lt;='I_Inputs &amp; Assumptions'!$B$8,IF('I_Budget Input Data'!$E$154="Upfront",IF(20=1,'I_Budget Input Data'!$D$154,0),IF('I_Budget Input Data'!$E$154="Equal",'I_Budget Input Data'!$D$154/'I_Inputs &amp; Assumptions'!$B$8,IF('I_Budget Input Data'!$E$154="Front-loaded",IF(20&lt;='I_Inputs &amp; Assumptions'!$B$8/2,'I_Budget Input Data'!$D$154*0.6/('I_Inputs &amp; Assumptions'!$B$8/2),'I_Budget Input Data'!$D$154*0.4/('I_Inputs &amp; Assumptions'!$B$8/2)),IF('I_Budget Input Data'!$E$154="Back-loaded",IF(20&lt;='I_Inputs &amp; Assumptions'!$B$8/2,'I_Budget Input Data'!$D$154*0.4/('I_Inputs &amp; Assumptions'!$B$8/2),'I_Budget Input Data'!$D$154*0.6/('I_Inputs &amp; Assumptions'!$B$8/2)),IF('I_Budget Input Data'!$E$154="Mid-weighted",IF(20&lt;='I_Inputs &amp; Assumptions'!$B$8/4,'I_Budget Input Data'!$D$154*0.2/('I_Inputs &amp; Assumptions'!$B$8/4),IF(20&lt;='I_Inputs &amp; Assumptions'!$B$8*0.75,'I_Budget Input Data'!$D$154*0.6/('I_Inputs &amp; Assumptions'!$B$8/2),'I_Budget Input Data'!$D$154*0.2/('I_Inputs &amp; Assumptions'!$B$8/4))),IF('I_Budget Input Data'!$E$154="At Completion",IF(20='I_Inputs &amp; Assumptions'!$B$8,'I_Budget Input Data'!$D$154,0),'I_Budget Input Data'!$D$154/'I_Inputs &amp; Assumptions'!$B$8)))))),0)</f>
        <v>0</v>
      </c>
      <c r="W154" s="91">
        <f>IF(21&lt;='I_Inputs &amp; Assumptions'!$B$8,IF('I_Budget Input Data'!$E$154="Upfront",IF(21=1,'I_Budget Input Data'!$D$154,0),IF('I_Budget Input Data'!$E$154="Equal",'I_Budget Input Data'!$D$154/'I_Inputs &amp; Assumptions'!$B$8,IF('I_Budget Input Data'!$E$154="Front-loaded",IF(21&lt;='I_Inputs &amp; Assumptions'!$B$8/2,'I_Budget Input Data'!$D$154*0.6/('I_Inputs &amp; Assumptions'!$B$8/2),'I_Budget Input Data'!$D$154*0.4/('I_Inputs &amp; Assumptions'!$B$8/2)),IF('I_Budget Input Data'!$E$154="Back-loaded",IF(21&lt;='I_Inputs &amp; Assumptions'!$B$8/2,'I_Budget Input Data'!$D$154*0.4/('I_Inputs &amp; Assumptions'!$B$8/2),'I_Budget Input Data'!$D$154*0.6/('I_Inputs &amp; Assumptions'!$B$8/2)),IF('I_Budget Input Data'!$E$154="Mid-weighted",IF(21&lt;='I_Inputs &amp; Assumptions'!$B$8/4,'I_Budget Input Data'!$D$154*0.2/('I_Inputs &amp; Assumptions'!$B$8/4),IF(21&lt;='I_Inputs &amp; Assumptions'!$B$8*0.75,'I_Budget Input Data'!$D$154*0.6/('I_Inputs &amp; Assumptions'!$B$8/2),'I_Budget Input Data'!$D$154*0.2/('I_Inputs &amp; Assumptions'!$B$8/4))),IF('I_Budget Input Data'!$E$154="At Completion",IF(21='I_Inputs &amp; Assumptions'!$B$8,'I_Budget Input Data'!$D$154,0),'I_Budget Input Data'!$D$154/'I_Inputs &amp; Assumptions'!$B$8)))))),0)</f>
        <v>0</v>
      </c>
      <c r="X154" s="91">
        <f>IF(22&lt;='I_Inputs &amp; Assumptions'!$B$8,IF('I_Budget Input Data'!$E$154="Upfront",IF(22=1,'I_Budget Input Data'!$D$154,0),IF('I_Budget Input Data'!$E$154="Equal",'I_Budget Input Data'!$D$154/'I_Inputs &amp; Assumptions'!$B$8,IF('I_Budget Input Data'!$E$154="Front-loaded",IF(22&lt;='I_Inputs &amp; Assumptions'!$B$8/2,'I_Budget Input Data'!$D$154*0.6/('I_Inputs &amp; Assumptions'!$B$8/2),'I_Budget Input Data'!$D$154*0.4/('I_Inputs &amp; Assumptions'!$B$8/2)),IF('I_Budget Input Data'!$E$154="Back-loaded",IF(22&lt;='I_Inputs &amp; Assumptions'!$B$8/2,'I_Budget Input Data'!$D$154*0.4/('I_Inputs &amp; Assumptions'!$B$8/2),'I_Budget Input Data'!$D$154*0.6/('I_Inputs &amp; Assumptions'!$B$8/2)),IF('I_Budget Input Data'!$E$154="Mid-weighted",IF(22&lt;='I_Inputs &amp; Assumptions'!$B$8/4,'I_Budget Input Data'!$D$154*0.2/('I_Inputs &amp; Assumptions'!$B$8/4),IF(22&lt;='I_Inputs &amp; Assumptions'!$B$8*0.75,'I_Budget Input Data'!$D$154*0.6/('I_Inputs &amp; Assumptions'!$B$8/2),'I_Budget Input Data'!$D$154*0.2/('I_Inputs &amp; Assumptions'!$B$8/4))),IF('I_Budget Input Data'!$E$154="At Completion",IF(22='I_Inputs &amp; Assumptions'!$B$8,'I_Budget Input Data'!$D$154,0),'I_Budget Input Data'!$D$154/'I_Inputs &amp; Assumptions'!$B$8)))))),0)</f>
        <v>0</v>
      </c>
      <c r="Y154" s="91">
        <f>IF(23&lt;='I_Inputs &amp; Assumptions'!$B$8,IF('I_Budget Input Data'!$E$154="Upfront",IF(23=1,'I_Budget Input Data'!$D$154,0),IF('I_Budget Input Data'!$E$154="Equal",'I_Budget Input Data'!$D$154/'I_Inputs &amp; Assumptions'!$B$8,IF('I_Budget Input Data'!$E$154="Front-loaded",IF(23&lt;='I_Inputs &amp; Assumptions'!$B$8/2,'I_Budget Input Data'!$D$154*0.6/('I_Inputs &amp; Assumptions'!$B$8/2),'I_Budget Input Data'!$D$154*0.4/('I_Inputs &amp; Assumptions'!$B$8/2)),IF('I_Budget Input Data'!$E$154="Back-loaded",IF(23&lt;='I_Inputs &amp; Assumptions'!$B$8/2,'I_Budget Input Data'!$D$154*0.4/('I_Inputs &amp; Assumptions'!$B$8/2),'I_Budget Input Data'!$D$154*0.6/('I_Inputs &amp; Assumptions'!$B$8/2)),IF('I_Budget Input Data'!$E$154="Mid-weighted",IF(23&lt;='I_Inputs &amp; Assumptions'!$B$8/4,'I_Budget Input Data'!$D$154*0.2/('I_Inputs &amp; Assumptions'!$B$8/4),IF(23&lt;='I_Inputs &amp; Assumptions'!$B$8*0.75,'I_Budget Input Data'!$D$154*0.6/('I_Inputs &amp; Assumptions'!$B$8/2),'I_Budget Input Data'!$D$154*0.2/('I_Inputs &amp; Assumptions'!$B$8/4))),IF('I_Budget Input Data'!$E$154="At Completion",IF(23='I_Inputs &amp; Assumptions'!$B$8,'I_Budget Input Data'!$D$154,0),'I_Budget Input Data'!$D$154/'I_Inputs &amp; Assumptions'!$B$8)))))),0)</f>
        <v>0</v>
      </c>
      <c r="Z154" s="91">
        <f>IF(24&lt;='I_Inputs &amp; Assumptions'!$B$8,IF('I_Budget Input Data'!$E$154="Upfront",IF(24=1,'I_Budget Input Data'!$D$154,0),IF('I_Budget Input Data'!$E$154="Equal",'I_Budget Input Data'!$D$154/'I_Inputs &amp; Assumptions'!$B$8,IF('I_Budget Input Data'!$E$154="Front-loaded",IF(24&lt;='I_Inputs &amp; Assumptions'!$B$8/2,'I_Budget Input Data'!$D$154*0.6/('I_Inputs &amp; Assumptions'!$B$8/2),'I_Budget Input Data'!$D$154*0.4/('I_Inputs &amp; Assumptions'!$B$8/2)),IF('I_Budget Input Data'!$E$154="Back-loaded",IF(24&lt;='I_Inputs &amp; Assumptions'!$B$8/2,'I_Budget Input Data'!$D$154*0.4/('I_Inputs &amp; Assumptions'!$B$8/2),'I_Budget Input Data'!$D$154*0.6/('I_Inputs &amp; Assumptions'!$B$8/2)),IF('I_Budget Input Data'!$E$154="Mid-weighted",IF(24&lt;='I_Inputs &amp; Assumptions'!$B$8/4,'I_Budget Input Data'!$D$154*0.2/('I_Inputs &amp; Assumptions'!$B$8/4),IF(24&lt;='I_Inputs &amp; Assumptions'!$B$8*0.75,'I_Budget Input Data'!$D$154*0.6/('I_Inputs &amp; Assumptions'!$B$8/2),'I_Budget Input Data'!$D$154*0.2/('I_Inputs &amp; Assumptions'!$B$8/4))),IF('I_Budget Input Data'!$E$154="At Completion",IF(24='I_Inputs &amp; Assumptions'!$B$8,'I_Budget Input Data'!$D$154,0),'I_Budget Input Data'!$D$154/'I_Inputs &amp; Assumptions'!$B$8)))))),0)</f>
        <v>0</v>
      </c>
      <c r="AA154" s="91">
        <f>IF(25&lt;='I_Inputs &amp; Assumptions'!$B$8,IF('I_Budget Input Data'!$E$154="Upfront",IF(25=1,'I_Budget Input Data'!$D$154,0),IF('I_Budget Input Data'!$E$154="Equal",'I_Budget Input Data'!$D$154/'I_Inputs &amp; Assumptions'!$B$8,IF('I_Budget Input Data'!$E$154="Front-loaded",IF(25&lt;='I_Inputs &amp; Assumptions'!$B$8/2,'I_Budget Input Data'!$D$154*0.6/('I_Inputs &amp; Assumptions'!$B$8/2),'I_Budget Input Data'!$D$154*0.4/('I_Inputs &amp; Assumptions'!$B$8/2)),IF('I_Budget Input Data'!$E$154="Back-loaded",IF(25&lt;='I_Inputs &amp; Assumptions'!$B$8/2,'I_Budget Input Data'!$D$154*0.4/('I_Inputs &amp; Assumptions'!$B$8/2),'I_Budget Input Data'!$D$154*0.6/('I_Inputs &amp; Assumptions'!$B$8/2)),IF('I_Budget Input Data'!$E$154="Mid-weighted",IF(25&lt;='I_Inputs &amp; Assumptions'!$B$8/4,'I_Budget Input Data'!$D$154*0.2/('I_Inputs &amp; Assumptions'!$B$8/4),IF(25&lt;='I_Inputs &amp; Assumptions'!$B$8*0.75,'I_Budget Input Data'!$D$154*0.6/('I_Inputs &amp; Assumptions'!$B$8/2),'I_Budget Input Data'!$D$154*0.2/('I_Inputs &amp; Assumptions'!$B$8/4))),IF('I_Budget Input Data'!$E$154="At Completion",IF(25='I_Inputs &amp; Assumptions'!$B$8,'I_Budget Input Data'!$D$154,0),'I_Budget Input Data'!$D$154/'I_Inputs &amp; Assumptions'!$B$8)))))),0)</f>
        <v>0</v>
      </c>
      <c r="AB154" s="91">
        <f>IF(26&lt;='I_Inputs &amp; Assumptions'!$B$8,IF('I_Budget Input Data'!$E$154="Upfront",IF(26=1,'I_Budget Input Data'!$D$154,0),IF('I_Budget Input Data'!$E$154="Equal",'I_Budget Input Data'!$D$154/'I_Inputs &amp; Assumptions'!$B$8,IF('I_Budget Input Data'!$E$154="Front-loaded",IF(26&lt;='I_Inputs &amp; Assumptions'!$B$8/2,'I_Budget Input Data'!$D$154*0.6/('I_Inputs &amp; Assumptions'!$B$8/2),'I_Budget Input Data'!$D$154*0.4/('I_Inputs &amp; Assumptions'!$B$8/2)),IF('I_Budget Input Data'!$E$154="Back-loaded",IF(26&lt;='I_Inputs &amp; Assumptions'!$B$8/2,'I_Budget Input Data'!$D$154*0.4/('I_Inputs &amp; Assumptions'!$B$8/2),'I_Budget Input Data'!$D$154*0.6/('I_Inputs &amp; Assumptions'!$B$8/2)),IF('I_Budget Input Data'!$E$154="Mid-weighted",IF(26&lt;='I_Inputs &amp; Assumptions'!$B$8/4,'I_Budget Input Data'!$D$154*0.2/('I_Inputs &amp; Assumptions'!$B$8/4),IF(26&lt;='I_Inputs &amp; Assumptions'!$B$8*0.75,'I_Budget Input Data'!$D$154*0.6/('I_Inputs &amp; Assumptions'!$B$8/2),'I_Budget Input Data'!$D$154*0.2/('I_Inputs &amp; Assumptions'!$B$8/4))),IF('I_Budget Input Data'!$E$154="At Completion",IF(26='I_Inputs &amp; Assumptions'!$B$8,'I_Budget Input Data'!$D$154,0),'I_Budget Input Data'!$D$154/'I_Inputs &amp; Assumptions'!$B$8)))))),0)</f>
        <v>0</v>
      </c>
      <c r="AC154" s="91">
        <f>IF(27&lt;='I_Inputs &amp; Assumptions'!$B$8,IF('I_Budget Input Data'!$E$154="Upfront",IF(27=1,'I_Budget Input Data'!$D$154,0),IF('I_Budget Input Data'!$E$154="Equal",'I_Budget Input Data'!$D$154/'I_Inputs &amp; Assumptions'!$B$8,IF('I_Budget Input Data'!$E$154="Front-loaded",IF(27&lt;='I_Inputs &amp; Assumptions'!$B$8/2,'I_Budget Input Data'!$D$154*0.6/('I_Inputs &amp; Assumptions'!$B$8/2),'I_Budget Input Data'!$D$154*0.4/('I_Inputs &amp; Assumptions'!$B$8/2)),IF('I_Budget Input Data'!$E$154="Back-loaded",IF(27&lt;='I_Inputs &amp; Assumptions'!$B$8/2,'I_Budget Input Data'!$D$154*0.4/('I_Inputs &amp; Assumptions'!$B$8/2),'I_Budget Input Data'!$D$154*0.6/('I_Inputs &amp; Assumptions'!$B$8/2)),IF('I_Budget Input Data'!$E$154="Mid-weighted",IF(27&lt;='I_Inputs &amp; Assumptions'!$B$8/4,'I_Budget Input Data'!$D$154*0.2/('I_Inputs &amp; Assumptions'!$B$8/4),IF(27&lt;='I_Inputs &amp; Assumptions'!$B$8*0.75,'I_Budget Input Data'!$D$154*0.6/('I_Inputs &amp; Assumptions'!$B$8/2),'I_Budget Input Data'!$D$154*0.2/('I_Inputs &amp; Assumptions'!$B$8/4))),IF('I_Budget Input Data'!$E$154="At Completion",IF(27='I_Inputs &amp; Assumptions'!$B$8,'I_Budget Input Data'!$D$154,0),'I_Budget Input Data'!$D$154/'I_Inputs &amp; Assumptions'!$B$8)))))),0)</f>
        <v>0</v>
      </c>
      <c r="AD154" s="91">
        <f>IF(28&lt;='I_Inputs &amp; Assumptions'!$B$8,IF('I_Budget Input Data'!$E$154="Upfront",IF(28=1,'I_Budget Input Data'!$D$154,0),IF('I_Budget Input Data'!$E$154="Equal",'I_Budget Input Data'!$D$154/'I_Inputs &amp; Assumptions'!$B$8,IF('I_Budget Input Data'!$E$154="Front-loaded",IF(28&lt;='I_Inputs &amp; Assumptions'!$B$8/2,'I_Budget Input Data'!$D$154*0.6/('I_Inputs &amp; Assumptions'!$B$8/2),'I_Budget Input Data'!$D$154*0.4/('I_Inputs &amp; Assumptions'!$B$8/2)),IF('I_Budget Input Data'!$E$154="Back-loaded",IF(28&lt;='I_Inputs &amp; Assumptions'!$B$8/2,'I_Budget Input Data'!$D$154*0.4/('I_Inputs &amp; Assumptions'!$B$8/2),'I_Budget Input Data'!$D$154*0.6/('I_Inputs &amp; Assumptions'!$B$8/2)),IF('I_Budget Input Data'!$E$154="Mid-weighted",IF(28&lt;='I_Inputs &amp; Assumptions'!$B$8/4,'I_Budget Input Data'!$D$154*0.2/('I_Inputs &amp; Assumptions'!$B$8/4),IF(28&lt;='I_Inputs &amp; Assumptions'!$B$8*0.75,'I_Budget Input Data'!$D$154*0.6/('I_Inputs &amp; Assumptions'!$B$8/2),'I_Budget Input Data'!$D$154*0.2/('I_Inputs &amp; Assumptions'!$B$8/4))),IF('I_Budget Input Data'!$E$154="At Completion",IF(28='I_Inputs &amp; Assumptions'!$B$8,'I_Budget Input Data'!$D$154,0),'I_Budget Input Data'!$D$154/'I_Inputs &amp; Assumptions'!$B$8)))))),0)</f>
        <v>0</v>
      </c>
      <c r="AE154" s="91">
        <f>IF(29&lt;='I_Inputs &amp; Assumptions'!$B$8,IF('I_Budget Input Data'!$E$154="Upfront",IF(29=1,'I_Budget Input Data'!$D$154,0),IF('I_Budget Input Data'!$E$154="Equal",'I_Budget Input Data'!$D$154/'I_Inputs &amp; Assumptions'!$B$8,IF('I_Budget Input Data'!$E$154="Front-loaded",IF(29&lt;='I_Inputs &amp; Assumptions'!$B$8/2,'I_Budget Input Data'!$D$154*0.6/('I_Inputs &amp; Assumptions'!$B$8/2),'I_Budget Input Data'!$D$154*0.4/('I_Inputs &amp; Assumptions'!$B$8/2)),IF('I_Budget Input Data'!$E$154="Back-loaded",IF(29&lt;='I_Inputs &amp; Assumptions'!$B$8/2,'I_Budget Input Data'!$D$154*0.4/('I_Inputs &amp; Assumptions'!$B$8/2),'I_Budget Input Data'!$D$154*0.6/('I_Inputs &amp; Assumptions'!$B$8/2)),IF('I_Budget Input Data'!$E$154="Mid-weighted",IF(29&lt;='I_Inputs &amp; Assumptions'!$B$8/4,'I_Budget Input Data'!$D$154*0.2/('I_Inputs &amp; Assumptions'!$B$8/4),IF(29&lt;='I_Inputs &amp; Assumptions'!$B$8*0.75,'I_Budget Input Data'!$D$154*0.6/('I_Inputs &amp; Assumptions'!$B$8/2),'I_Budget Input Data'!$D$154*0.2/('I_Inputs &amp; Assumptions'!$B$8/4))),IF('I_Budget Input Data'!$E$154="At Completion",IF(29='I_Inputs &amp; Assumptions'!$B$8,'I_Budget Input Data'!$D$154,0),'I_Budget Input Data'!$D$154/'I_Inputs &amp; Assumptions'!$B$8)))))),0)</f>
        <v>0</v>
      </c>
      <c r="AF154" s="91">
        <f>IF(30&lt;='I_Inputs &amp; Assumptions'!$B$8,IF('I_Budget Input Data'!$E$154="Upfront",IF(30=1,'I_Budget Input Data'!$D$154,0),IF('I_Budget Input Data'!$E$154="Equal",'I_Budget Input Data'!$D$154/'I_Inputs &amp; Assumptions'!$B$8,IF('I_Budget Input Data'!$E$154="Front-loaded",IF(30&lt;='I_Inputs &amp; Assumptions'!$B$8/2,'I_Budget Input Data'!$D$154*0.6/('I_Inputs &amp; Assumptions'!$B$8/2),'I_Budget Input Data'!$D$154*0.4/('I_Inputs &amp; Assumptions'!$B$8/2)),IF('I_Budget Input Data'!$E$154="Back-loaded",IF(30&lt;='I_Inputs &amp; Assumptions'!$B$8/2,'I_Budget Input Data'!$D$154*0.4/('I_Inputs &amp; Assumptions'!$B$8/2),'I_Budget Input Data'!$D$154*0.6/('I_Inputs &amp; Assumptions'!$B$8/2)),IF('I_Budget Input Data'!$E$154="Mid-weighted",IF(30&lt;='I_Inputs &amp; Assumptions'!$B$8/4,'I_Budget Input Data'!$D$154*0.2/('I_Inputs &amp; Assumptions'!$B$8/4),IF(30&lt;='I_Inputs &amp; Assumptions'!$B$8*0.75,'I_Budget Input Data'!$D$154*0.6/('I_Inputs &amp; Assumptions'!$B$8/2),'I_Budget Input Data'!$D$154*0.2/('I_Inputs &amp; Assumptions'!$B$8/4))),IF('I_Budget Input Data'!$E$154="At Completion",IF(30='I_Inputs &amp; Assumptions'!$B$8,'I_Budget Input Data'!$D$154,0),'I_Budget Input Data'!$D$154/'I_Inputs &amp; Assumptions'!$B$8)))))),0)</f>
        <v>0</v>
      </c>
      <c r="AG154" s="91">
        <f>IF(31&lt;='I_Inputs &amp; Assumptions'!$B$8,IF('I_Budget Input Data'!$E$154="Upfront",IF(31=1,'I_Budget Input Data'!$D$154,0),IF('I_Budget Input Data'!$E$154="Equal",'I_Budget Input Data'!$D$154/'I_Inputs &amp; Assumptions'!$B$8,IF('I_Budget Input Data'!$E$154="Front-loaded",IF(31&lt;='I_Inputs &amp; Assumptions'!$B$8/2,'I_Budget Input Data'!$D$154*0.6/('I_Inputs &amp; Assumptions'!$B$8/2),'I_Budget Input Data'!$D$154*0.4/('I_Inputs &amp; Assumptions'!$B$8/2)),IF('I_Budget Input Data'!$E$154="Back-loaded",IF(31&lt;='I_Inputs &amp; Assumptions'!$B$8/2,'I_Budget Input Data'!$D$154*0.4/('I_Inputs &amp; Assumptions'!$B$8/2),'I_Budget Input Data'!$D$154*0.6/('I_Inputs &amp; Assumptions'!$B$8/2)),IF('I_Budget Input Data'!$E$154="Mid-weighted",IF(31&lt;='I_Inputs &amp; Assumptions'!$B$8/4,'I_Budget Input Data'!$D$154*0.2/('I_Inputs &amp; Assumptions'!$B$8/4),IF(31&lt;='I_Inputs &amp; Assumptions'!$B$8*0.75,'I_Budget Input Data'!$D$154*0.6/('I_Inputs &amp; Assumptions'!$B$8/2),'I_Budget Input Data'!$D$154*0.2/('I_Inputs &amp; Assumptions'!$B$8/4))),IF('I_Budget Input Data'!$E$154="At Completion",IF(31='I_Inputs &amp; Assumptions'!$B$8,'I_Budget Input Data'!$D$154,0),'I_Budget Input Data'!$D$154/'I_Inputs &amp; Assumptions'!$B$8)))))),0)</f>
        <v>0</v>
      </c>
      <c r="AH154" s="91">
        <f>IF(32&lt;='I_Inputs &amp; Assumptions'!$B$8,IF('I_Budget Input Data'!$E$154="Upfront",IF(32=1,'I_Budget Input Data'!$D$154,0),IF('I_Budget Input Data'!$E$154="Equal",'I_Budget Input Data'!$D$154/'I_Inputs &amp; Assumptions'!$B$8,IF('I_Budget Input Data'!$E$154="Front-loaded",IF(32&lt;='I_Inputs &amp; Assumptions'!$B$8/2,'I_Budget Input Data'!$D$154*0.6/('I_Inputs &amp; Assumptions'!$B$8/2),'I_Budget Input Data'!$D$154*0.4/('I_Inputs &amp; Assumptions'!$B$8/2)),IF('I_Budget Input Data'!$E$154="Back-loaded",IF(32&lt;='I_Inputs &amp; Assumptions'!$B$8/2,'I_Budget Input Data'!$D$154*0.4/('I_Inputs &amp; Assumptions'!$B$8/2),'I_Budget Input Data'!$D$154*0.6/('I_Inputs &amp; Assumptions'!$B$8/2)),IF('I_Budget Input Data'!$E$154="Mid-weighted",IF(32&lt;='I_Inputs &amp; Assumptions'!$B$8/4,'I_Budget Input Data'!$D$154*0.2/('I_Inputs &amp; Assumptions'!$B$8/4),IF(32&lt;='I_Inputs &amp; Assumptions'!$B$8*0.75,'I_Budget Input Data'!$D$154*0.6/('I_Inputs &amp; Assumptions'!$B$8/2),'I_Budget Input Data'!$D$154*0.2/('I_Inputs &amp; Assumptions'!$B$8/4))),IF('I_Budget Input Data'!$E$154="At Completion",IF(32='I_Inputs &amp; Assumptions'!$B$8,'I_Budget Input Data'!$D$154,0),'I_Budget Input Data'!$D$154/'I_Inputs &amp; Assumptions'!$B$8)))))),0)</f>
        <v>0</v>
      </c>
      <c r="AI154" s="91">
        <f>IF(33&lt;='I_Inputs &amp; Assumptions'!$B$8,IF('I_Budget Input Data'!$E$154="Upfront",IF(33=1,'I_Budget Input Data'!$D$154,0),IF('I_Budget Input Data'!$E$154="Equal",'I_Budget Input Data'!$D$154/'I_Inputs &amp; Assumptions'!$B$8,IF('I_Budget Input Data'!$E$154="Front-loaded",IF(33&lt;='I_Inputs &amp; Assumptions'!$B$8/2,'I_Budget Input Data'!$D$154*0.6/('I_Inputs &amp; Assumptions'!$B$8/2),'I_Budget Input Data'!$D$154*0.4/('I_Inputs &amp; Assumptions'!$B$8/2)),IF('I_Budget Input Data'!$E$154="Back-loaded",IF(33&lt;='I_Inputs &amp; Assumptions'!$B$8/2,'I_Budget Input Data'!$D$154*0.4/('I_Inputs &amp; Assumptions'!$B$8/2),'I_Budget Input Data'!$D$154*0.6/('I_Inputs &amp; Assumptions'!$B$8/2)),IF('I_Budget Input Data'!$E$154="Mid-weighted",IF(33&lt;='I_Inputs &amp; Assumptions'!$B$8/4,'I_Budget Input Data'!$D$154*0.2/('I_Inputs &amp; Assumptions'!$B$8/4),IF(33&lt;='I_Inputs &amp; Assumptions'!$B$8*0.75,'I_Budget Input Data'!$D$154*0.6/('I_Inputs &amp; Assumptions'!$B$8/2),'I_Budget Input Data'!$D$154*0.2/('I_Inputs &amp; Assumptions'!$B$8/4))),IF('I_Budget Input Data'!$E$154="At Completion",IF(33='I_Inputs &amp; Assumptions'!$B$8,'I_Budget Input Data'!$D$154,0),'I_Budget Input Data'!$D$154/'I_Inputs &amp; Assumptions'!$B$8)))))),0)</f>
        <v>0</v>
      </c>
      <c r="AJ154" s="91">
        <f>IF(34&lt;='I_Inputs &amp; Assumptions'!$B$8,IF('I_Budget Input Data'!$E$154="Upfront",IF(34=1,'I_Budget Input Data'!$D$154,0),IF('I_Budget Input Data'!$E$154="Equal",'I_Budget Input Data'!$D$154/'I_Inputs &amp; Assumptions'!$B$8,IF('I_Budget Input Data'!$E$154="Front-loaded",IF(34&lt;='I_Inputs &amp; Assumptions'!$B$8/2,'I_Budget Input Data'!$D$154*0.6/('I_Inputs &amp; Assumptions'!$B$8/2),'I_Budget Input Data'!$D$154*0.4/('I_Inputs &amp; Assumptions'!$B$8/2)),IF('I_Budget Input Data'!$E$154="Back-loaded",IF(34&lt;='I_Inputs &amp; Assumptions'!$B$8/2,'I_Budget Input Data'!$D$154*0.4/('I_Inputs &amp; Assumptions'!$B$8/2),'I_Budget Input Data'!$D$154*0.6/('I_Inputs &amp; Assumptions'!$B$8/2)),IF('I_Budget Input Data'!$E$154="Mid-weighted",IF(34&lt;='I_Inputs &amp; Assumptions'!$B$8/4,'I_Budget Input Data'!$D$154*0.2/('I_Inputs &amp; Assumptions'!$B$8/4),IF(34&lt;='I_Inputs &amp; Assumptions'!$B$8*0.75,'I_Budget Input Data'!$D$154*0.6/('I_Inputs &amp; Assumptions'!$B$8/2),'I_Budget Input Data'!$D$154*0.2/('I_Inputs &amp; Assumptions'!$B$8/4))),IF('I_Budget Input Data'!$E$154="At Completion",IF(34='I_Inputs &amp; Assumptions'!$B$8,'I_Budget Input Data'!$D$154,0),'I_Budget Input Data'!$D$154/'I_Inputs &amp; Assumptions'!$B$8)))))),0)</f>
        <v>0</v>
      </c>
      <c r="AK154" s="91">
        <f>IF(35&lt;='I_Inputs &amp; Assumptions'!$B$8,IF('I_Budget Input Data'!$E$154="Upfront",IF(35=1,'I_Budget Input Data'!$D$154,0),IF('I_Budget Input Data'!$E$154="Equal",'I_Budget Input Data'!$D$154/'I_Inputs &amp; Assumptions'!$B$8,IF('I_Budget Input Data'!$E$154="Front-loaded",IF(35&lt;='I_Inputs &amp; Assumptions'!$B$8/2,'I_Budget Input Data'!$D$154*0.6/('I_Inputs &amp; Assumptions'!$B$8/2),'I_Budget Input Data'!$D$154*0.4/('I_Inputs &amp; Assumptions'!$B$8/2)),IF('I_Budget Input Data'!$E$154="Back-loaded",IF(35&lt;='I_Inputs &amp; Assumptions'!$B$8/2,'I_Budget Input Data'!$D$154*0.4/('I_Inputs &amp; Assumptions'!$B$8/2),'I_Budget Input Data'!$D$154*0.6/('I_Inputs &amp; Assumptions'!$B$8/2)),IF('I_Budget Input Data'!$E$154="Mid-weighted",IF(35&lt;='I_Inputs &amp; Assumptions'!$B$8/4,'I_Budget Input Data'!$D$154*0.2/('I_Inputs &amp; Assumptions'!$B$8/4),IF(35&lt;='I_Inputs &amp; Assumptions'!$B$8*0.75,'I_Budget Input Data'!$D$154*0.6/('I_Inputs &amp; Assumptions'!$B$8/2),'I_Budget Input Data'!$D$154*0.2/('I_Inputs &amp; Assumptions'!$B$8/4))),IF('I_Budget Input Data'!$E$154="At Completion",IF(35='I_Inputs &amp; Assumptions'!$B$8,'I_Budget Input Data'!$D$154,0),'I_Budget Input Data'!$D$154/'I_Inputs &amp; Assumptions'!$B$8)))))),0)</f>
        <v>0</v>
      </c>
      <c r="AL154" s="91">
        <f>IF(36&lt;='I_Inputs &amp; Assumptions'!$B$8,IF('I_Budget Input Data'!$E$154="Upfront",IF(36=1,'I_Budget Input Data'!$D$154,0),IF('I_Budget Input Data'!$E$154="Equal",'I_Budget Input Data'!$D$154/'I_Inputs &amp; Assumptions'!$B$8,IF('I_Budget Input Data'!$E$154="Front-loaded",IF(36&lt;='I_Inputs &amp; Assumptions'!$B$8/2,'I_Budget Input Data'!$D$154*0.6/('I_Inputs &amp; Assumptions'!$B$8/2),'I_Budget Input Data'!$D$154*0.4/('I_Inputs &amp; Assumptions'!$B$8/2)),IF('I_Budget Input Data'!$E$154="Back-loaded",IF(36&lt;='I_Inputs &amp; Assumptions'!$B$8/2,'I_Budget Input Data'!$D$154*0.4/('I_Inputs &amp; Assumptions'!$B$8/2),'I_Budget Input Data'!$D$154*0.6/('I_Inputs &amp; Assumptions'!$B$8/2)),IF('I_Budget Input Data'!$E$154="Mid-weighted",IF(36&lt;='I_Inputs &amp; Assumptions'!$B$8/4,'I_Budget Input Data'!$D$154*0.2/('I_Inputs &amp; Assumptions'!$B$8/4),IF(36&lt;='I_Inputs &amp; Assumptions'!$B$8*0.75,'I_Budget Input Data'!$D$154*0.6/('I_Inputs &amp; Assumptions'!$B$8/2),'I_Budget Input Data'!$D$154*0.2/('I_Inputs &amp; Assumptions'!$B$8/4))),IF('I_Budget Input Data'!$E$154="At Completion",IF(36='I_Inputs &amp; Assumptions'!$B$8,'I_Budget Input Data'!$D$154,0),'I_Budget Input Data'!$D$154/'I_Inputs &amp; Assumptions'!$B$8)))))),0)</f>
        <v>0</v>
      </c>
    </row>
    <row r="155" spans="1:38" ht="15" customHeight="1" x14ac:dyDescent="0.2">
      <c r="A155" t="s">
        <v>270</v>
      </c>
      <c r="B155" t="s">
        <v>271</v>
      </c>
      <c r="C155" s="91">
        <f>IF(1&lt;='I_Inputs &amp; Assumptions'!$B$8,IF('I_Budget Input Data'!$E$155="Upfront",IF(1=1,'I_Budget Input Data'!$D$155,0),IF('I_Budget Input Data'!$E$155="Equal",'I_Budget Input Data'!$D$155/'I_Inputs &amp; Assumptions'!$B$8,IF('I_Budget Input Data'!$E$155="Front-loaded",IF(1&lt;='I_Inputs &amp; Assumptions'!$B$8/2,'I_Budget Input Data'!$D$155*0.6/('I_Inputs &amp; Assumptions'!$B$8/2),'I_Budget Input Data'!$D$155*0.4/('I_Inputs &amp; Assumptions'!$B$8/2)),IF('I_Budget Input Data'!$E$155="Back-loaded",IF(1&lt;='I_Inputs &amp; Assumptions'!$B$8/2,'I_Budget Input Data'!$D$155*0.4/('I_Inputs &amp; Assumptions'!$B$8/2),'I_Budget Input Data'!$D$155*0.6/('I_Inputs &amp; Assumptions'!$B$8/2)),IF('I_Budget Input Data'!$E$155="Mid-weighted",IF(1&lt;='I_Inputs &amp; Assumptions'!$B$8/4,'I_Budget Input Data'!$D$155*0.2/('I_Inputs &amp; Assumptions'!$B$8/4),IF(1&lt;='I_Inputs &amp; Assumptions'!$B$8*0.75,'I_Budget Input Data'!$D$155*0.6/('I_Inputs &amp; Assumptions'!$B$8/2),'I_Budget Input Data'!$D$155*0.2/('I_Inputs &amp; Assumptions'!$B$8/4))),IF('I_Budget Input Data'!$E$155="At Completion",IF(1='I_Inputs &amp; Assumptions'!$B$8,'I_Budget Input Data'!$D$155,0),'I_Budget Input Data'!$D$155/'I_Inputs &amp; Assumptions'!$B$8)))))),0)</f>
        <v>18461.538461538461</v>
      </c>
      <c r="D155" s="91">
        <f>IF(2&lt;='I_Inputs &amp; Assumptions'!$B$8,IF('I_Budget Input Data'!$E$155="Upfront",IF(2=1,'I_Budget Input Data'!$D$155,0),IF('I_Budget Input Data'!$E$155="Equal",'I_Budget Input Data'!$D$155/'I_Inputs &amp; Assumptions'!$B$8,IF('I_Budget Input Data'!$E$155="Front-loaded",IF(2&lt;='I_Inputs &amp; Assumptions'!$B$8/2,'I_Budget Input Data'!$D$155*0.6/('I_Inputs &amp; Assumptions'!$B$8/2),'I_Budget Input Data'!$D$155*0.4/('I_Inputs &amp; Assumptions'!$B$8/2)),IF('I_Budget Input Data'!$E$155="Back-loaded",IF(2&lt;='I_Inputs &amp; Assumptions'!$B$8/2,'I_Budget Input Data'!$D$155*0.4/('I_Inputs &amp; Assumptions'!$B$8/2),'I_Budget Input Data'!$D$155*0.6/('I_Inputs &amp; Assumptions'!$B$8/2)),IF('I_Budget Input Data'!$E$155="Mid-weighted",IF(2&lt;='I_Inputs &amp; Assumptions'!$B$8/4,'I_Budget Input Data'!$D$155*0.2/('I_Inputs &amp; Assumptions'!$B$8/4),IF(2&lt;='I_Inputs &amp; Assumptions'!$B$8*0.75,'I_Budget Input Data'!$D$155*0.6/('I_Inputs &amp; Assumptions'!$B$8/2),'I_Budget Input Data'!$D$155*0.2/('I_Inputs &amp; Assumptions'!$B$8/4))),IF('I_Budget Input Data'!$E$155="At Completion",IF(2='I_Inputs &amp; Assumptions'!$B$8,'I_Budget Input Data'!$D$155,0),'I_Budget Input Data'!$D$155/'I_Inputs &amp; Assumptions'!$B$8)))))),0)</f>
        <v>18461.538461538461</v>
      </c>
      <c r="E155" s="91">
        <f>IF(3&lt;='I_Inputs &amp; Assumptions'!$B$8,IF('I_Budget Input Data'!$E$155="Upfront",IF(3=1,'I_Budget Input Data'!$D$155,0),IF('I_Budget Input Data'!$E$155="Equal",'I_Budget Input Data'!$D$155/'I_Inputs &amp; Assumptions'!$B$8,IF('I_Budget Input Data'!$E$155="Front-loaded",IF(3&lt;='I_Inputs &amp; Assumptions'!$B$8/2,'I_Budget Input Data'!$D$155*0.6/('I_Inputs &amp; Assumptions'!$B$8/2),'I_Budget Input Data'!$D$155*0.4/('I_Inputs &amp; Assumptions'!$B$8/2)),IF('I_Budget Input Data'!$E$155="Back-loaded",IF(3&lt;='I_Inputs &amp; Assumptions'!$B$8/2,'I_Budget Input Data'!$D$155*0.4/('I_Inputs &amp; Assumptions'!$B$8/2),'I_Budget Input Data'!$D$155*0.6/('I_Inputs &amp; Assumptions'!$B$8/2)),IF('I_Budget Input Data'!$E$155="Mid-weighted",IF(3&lt;='I_Inputs &amp; Assumptions'!$B$8/4,'I_Budget Input Data'!$D$155*0.2/('I_Inputs &amp; Assumptions'!$B$8/4),IF(3&lt;='I_Inputs &amp; Assumptions'!$B$8*0.75,'I_Budget Input Data'!$D$155*0.6/('I_Inputs &amp; Assumptions'!$B$8/2),'I_Budget Input Data'!$D$155*0.2/('I_Inputs &amp; Assumptions'!$B$8/4))),IF('I_Budget Input Data'!$E$155="At Completion",IF(3='I_Inputs &amp; Assumptions'!$B$8,'I_Budget Input Data'!$D$155,0),'I_Budget Input Data'!$D$155/'I_Inputs &amp; Assumptions'!$B$8)))))),0)</f>
        <v>18461.538461538461</v>
      </c>
      <c r="F155" s="91">
        <f>IF(4&lt;='I_Inputs &amp; Assumptions'!$B$8,IF('I_Budget Input Data'!$E$155="Upfront",IF(4=1,'I_Budget Input Data'!$D$155,0),IF('I_Budget Input Data'!$E$155="Equal",'I_Budget Input Data'!$D$155/'I_Inputs &amp; Assumptions'!$B$8,IF('I_Budget Input Data'!$E$155="Front-loaded",IF(4&lt;='I_Inputs &amp; Assumptions'!$B$8/2,'I_Budget Input Data'!$D$155*0.6/('I_Inputs &amp; Assumptions'!$B$8/2),'I_Budget Input Data'!$D$155*0.4/('I_Inputs &amp; Assumptions'!$B$8/2)),IF('I_Budget Input Data'!$E$155="Back-loaded",IF(4&lt;='I_Inputs &amp; Assumptions'!$B$8/2,'I_Budget Input Data'!$D$155*0.4/('I_Inputs &amp; Assumptions'!$B$8/2),'I_Budget Input Data'!$D$155*0.6/('I_Inputs &amp; Assumptions'!$B$8/2)),IF('I_Budget Input Data'!$E$155="Mid-weighted",IF(4&lt;='I_Inputs &amp; Assumptions'!$B$8/4,'I_Budget Input Data'!$D$155*0.2/('I_Inputs &amp; Assumptions'!$B$8/4),IF(4&lt;='I_Inputs &amp; Assumptions'!$B$8*0.75,'I_Budget Input Data'!$D$155*0.6/('I_Inputs &amp; Assumptions'!$B$8/2),'I_Budget Input Data'!$D$155*0.2/('I_Inputs &amp; Assumptions'!$B$8/4))),IF('I_Budget Input Data'!$E$155="At Completion",IF(4='I_Inputs &amp; Assumptions'!$B$8,'I_Budget Input Data'!$D$155,0),'I_Budget Input Data'!$D$155/'I_Inputs &amp; Assumptions'!$B$8)))))),0)</f>
        <v>18461.538461538461</v>
      </c>
      <c r="G155" s="91">
        <f>IF(5&lt;='I_Inputs &amp; Assumptions'!$B$8,IF('I_Budget Input Data'!$E$155="Upfront",IF(5=1,'I_Budget Input Data'!$D$155,0),IF('I_Budget Input Data'!$E$155="Equal",'I_Budget Input Data'!$D$155/'I_Inputs &amp; Assumptions'!$B$8,IF('I_Budget Input Data'!$E$155="Front-loaded",IF(5&lt;='I_Inputs &amp; Assumptions'!$B$8/2,'I_Budget Input Data'!$D$155*0.6/('I_Inputs &amp; Assumptions'!$B$8/2),'I_Budget Input Data'!$D$155*0.4/('I_Inputs &amp; Assumptions'!$B$8/2)),IF('I_Budget Input Data'!$E$155="Back-loaded",IF(5&lt;='I_Inputs &amp; Assumptions'!$B$8/2,'I_Budget Input Data'!$D$155*0.4/('I_Inputs &amp; Assumptions'!$B$8/2),'I_Budget Input Data'!$D$155*0.6/('I_Inputs &amp; Assumptions'!$B$8/2)),IF('I_Budget Input Data'!$E$155="Mid-weighted",IF(5&lt;='I_Inputs &amp; Assumptions'!$B$8/4,'I_Budget Input Data'!$D$155*0.2/('I_Inputs &amp; Assumptions'!$B$8/4),IF(5&lt;='I_Inputs &amp; Assumptions'!$B$8*0.75,'I_Budget Input Data'!$D$155*0.6/('I_Inputs &amp; Assumptions'!$B$8/2),'I_Budget Input Data'!$D$155*0.2/('I_Inputs &amp; Assumptions'!$B$8/4))),IF('I_Budget Input Data'!$E$155="At Completion",IF(5='I_Inputs &amp; Assumptions'!$B$8,'I_Budget Input Data'!$D$155,0),'I_Budget Input Data'!$D$155/'I_Inputs &amp; Assumptions'!$B$8)))))),0)</f>
        <v>18461.538461538461</v>
      </c>
      <c r="H155" s="91">
        <f>IF(6&lt;='I_Inputs &amp; Assumptions'!$B$8,IF('I_Budget Input Data'!$E$155="Upfront",IF(6=1,'I_Budget Input Data'!$D$155,0),IF('I_Budget Input Data'!$E$155="Equal",'I_Budget Input Data'!$D$155/'I_Inputs &amp; Assumptions'!$B$8,IF('I_Budget Input Data'!$E$155="Front-loaded",IF(6&lt;='I_Inputs &amp; Assumptions'!$B$8/2,'I_Budget Input Data'!$D$155*0.6/('I_Inputs &amp; Assumptions'!$B$8/2),'I_Budget Input Data'!$D$155*0.4/('I_Inputs &amp; Assumptions'!$B$8/2)),IF('I_Budget Input Data'!$E$155="Back-loaded",IF(6&lt;='I_Inputs &amp; Assumptions'!$B$8/2,'I_Budget Input Data'!$D$155*0.4/('I_Inputs &amp; Assumptions'!$B$8/2),'I_Budget Input Data'!$D$155*0.6/('I_Inputs &amp; Assumptions'!$B$8/2)),IF('I_Budget Input Data'!$E$155="Mid-weighted",IF(6&lt;='I_Inputs &amp; Assumptions'!$B$8/4,'I_Budget Input Data'!$D$155*0.2/('I_Inputs &amp; Assumptions'!$B$8/4),IF(6&lt;='I_Inputs &amp; Assumptions'!$B$8*0.75,'I_Budget Input Data'!$D$155*0.6/('I_Inputs &amp; Assumptions'!$B$8/2),'I_Budget Input Data'!$D$155*0.2/('I_Inputs &amp; Assumptions'!$B$8/4))),IF('I_Budget Input Data'!$E$155="At Completion",IF(6='I_Inputs &amp; Assumptions'!$B$8,'I_Budget Input Data'!$D$155,0),'I_Budget Input Data'!$D$155/'I_Inputs &amp; Assumptions'!$B$8)))))),0)</f>
        <v>18461.538461538461</v>
      </c>
      <c r="I155" s="91">
        <f>IF(7&lt;='I_Inputs &amp; Assumptions'!$B$8,IF('I_Budget Input Data'!$E$155="Upfront",IF(7=1,'I_Budget Input Data'!$D$155,0),IF('I_Budget Input Data'!$E$155="Equal",'I_Budget Input Data'!$D$155/'I_Inputs &amp; Assumptions'!$B$8,IF('I_Budget Input Data'!$E$155="Front-loaded",IF(7&lt;='I_Inputs &amp; Assumptions'!$B$8/2,'I_Budget Input Data'!$D$155*0.6/('I_Inputs &amp; Assumptions'!$B$8/2),'I_Budget Input Data'!$D$155*0.4/('I_Inputs &amp; Assumptions'!$B$8/2)),IF('I_Budget Input Data'!$E$155="Back-loaded",IF(7&lt;='I_Inputs &amp; Assumptions'!$B$8/2,'I_Budget Input Data'!$D$155*0.4/('I_Inputs &amp; Assumptions'!$B$8/2),'I_Budget Input Data'!$D$155*0.6/('I_Inputs &amp; Assumptions'!$B$8/2)),IF('I_Budget Input Data'!$E$155="Mid-weighted",IF(7&lt;='I_Inputs &amp; Assumptions'!$B$8/4,'I_Budget Input Data'!$D$155*0.2/('I_Inputs &amp; Assumptions'!$B$8/4),IF(7&lt;='I_Inputs &amp; Assumptions'!$B$8*0.75,'I_Budget Input Data'!$D$155*0.6/('I_Inputs &amp; Assumptions'!$B$8/2),'I_Budget Input Data'!$D$155*0.2/('I_Inputs &amp; Assumptions'!$B$8/4))),IF('I_Budget Input Data'!$E$155="At Completion",IF(7='I_Inputs &amp; Assumptions'!$B$8,'I_Budget Input Data'!$D$155,0),'I_Budget Input Data'!$D$155/'I_Inputs &amp; Assumptions'!$B$8)))))),0)</f>
        <v>18461.538461538461</v>
      </c>
      <c r="J155" s="91">
        <f>IF(8&lt;='I_Inputs &amp; Assumptions'!$B$8,IF('I_Budget Input Data'!$E$155="Upfront",IF(8=1,'I_Budget Input Data'!$D$155,0),IF('I_Budget Input Data'!$E$155="Equal",'I_Budget Input Data'!$D$155/'I_Inputs &amp; Assumptions'!$B$8,IF('I_Budget Input Data'!$E$155="Front-loaded",IF(8&lt;='I_Inputs &amp; Assumptions'!$B$8/2,'I_Budget Input Data'!$D$155*0.6/('I_Inputs &amp; Assumptions'!$B$8/2),'I_Budget Input Data'!$D$155*0.4/('I_Inputs &amp; Assumptions'!$B$8/2)),IF('I_Budget Input Data'!$E$155="Back-loaded",IF(8&lt;='I_Inputs &amp; Assumptions'!$B$8/2,'I_Budget Input Data'!$D$155*0.4/('I_Inputs &amp; Assumptions'!$B$8/2),'I_Budget Input Data'!$D$155*0.6/('I_Inputs &amp; Assumptions'!$B$8/2)),IF('I_Budget Input Data'!$E$155="Mid-weighted",IF(8&lt;='I_Inputs &amp; Assumptions'!$B$8/4,'I_Budget Input Data'!$D$155*0.2/('I_Inputs &amp; Assumptions'!$B$8/4),IF(8&lt;='I_Inputs &amp; Assumptions'!$B$8*0.75,'I_Budget Input Data'!$D$155*0.6/('I_Inputs &amp; Assumptions'!$B$8/2),'I_Budget Input Data'!$D$155*0.2/('I_Inputs &amp; Assumptions'!$B$8/4))),IF('I_Budget Input Data'!$E$155="At Completion",IF(8='I_Inputs &amp; Assumptions'!$B$8,'I_Budget Input Data'!$D$155,0),'I_Budget Input Data'!$D$155/'I_Inputs &amp; Assumptions'!$B$8)))))),0)</f>
        <v>18461.538461538461</v>
      </c>
      <c r="K155" s="91">
        <f>IF(9&lt;='I_Inputs &amp; Assumptions'!$B$8,IF('I_Budget Input Data'!$E$155="Upfront",IF(9=1,'I_Budget Input Data'!$D$155,0),IF('I_Budget Input Data'!$E$155="Equal",'I_Budget Input Data'!$D$155/'I_Inputs &amp; Assumptions'!$B$8,IF('I_Budget Input Data'!$E$155="Front-loaded",IF(9&lt;='I_Inputs &amp; Assumptions'!$B$8/2,'I_Budget Input Data'!$D$155*0.6/('I_Inputs &amp; Assumptions'!$B$8/2),'I_Budget Input Data'!$D$155*0.4/('I_Inputs &amp; Assumptions'!$B$8/2)),IF('I_Budget Input Data'!$E$155="Back-loaded",IF(9&lt;='I_Inputs &amp; Assumptions'!$B$8/2,'I_Budget Input Data'!$D$155*0.4/('I_Inputs &amp; Assumptions'!$B$8/2),'I_Budget Input Data'!$D$155*0.6/('I_Inputs &amp; Assumptions'!$B$8/2)),IF('I_Budget Input Data'!$E$155="Mid-weighted",IF(9&lt;='I_Inputs &amp; Assumptions'!$B$8/4,'I_Budget Input Data'!$D$155*0.2/('I_Inputs &amp; Assumptions'!$B$8/4),IF(9&lt;='I_Inputs &amp; Assumptions'!$B$8*0.75,'I_Budget Input Data'!$D$155*0.6/('I_Inputs &amp; Assumptions'!$B$8/2),'I_Budget Input Data'!$D$155*0.2/('I_Inputs &amp; Assumptions'!$B$8/4))),IF('I_Budget Input Data'!$E$155="At Completion",IF(9='I_Inputs &amp; Assumptions'!$B$8,'I_Budget Input Data'!$D$155,0),'I_Budget Input Data'!$D$155/'I_Inputs &amp; Assumptions'!$B$8)))))),0)</f>
        <v>18461.538461538461</v>
      </c>
      <c r="L155" s="91">
        <f>IF(10&lt;='I_Inputs &amp; Assumptions'!$B$8,IF('I_Budget Input Data'!$E$155="Upfront",IF(10=1,'I_Budget Input Data'!$D$155,0),IF('I_Budget Input Data'!$E$155="Equal",'I_Budget Input Data'!$D$155/'I_Inputs &amp; Assumptions'!$B$8,IF('I_Budget Input Data'!$E$155="Front-loaded",IF(10&lt;='I_Inputs &amp; Assumptions'!$B$8/2,'I_Budget Input Data'!$D$155*0.6/('I_Inputs &amp; Assumptions'!$B$8/2),'I_Budget Input Data'!$D$155*0.4/('I_Inputs &amp; Assumptions'!$B$8/2)),IF('I_Budget Input Data'!$E$155="Back-loaded",IF(10&lt;='I_Inputs &amp; Assumptions'!$B$8/2,'I_Budget Input Data'!$D$155*0.4/('I_Inputs &amp; Assumptions'!$B$8/2),'I_Budget Input Data'!$D$155*0.6/('I_Inputs &amp; Assumptions'!$B$8/2)),IF('I_Budget Input Data'!$E$155="Mid-weighted",IF(10&lt;='I_Inputs &amp; Assumptions'!$B$8/4,'I_Budget Input Data'!$D$155*0.2/('I_Inputs &amp; Assumptions'!$B$8/4),IF(10&lt;='I_Inputs &amp; Assumptions'!$B$8*0.75,'I_Budget Input Data'!$D$155*0.6/('I_Inputs &amp; Assumptions'!$B$8/2),'I_Budget Input Data'!$D$155*0.2/('I_Inputs &amp; Assumptions'!$B$8/4))),IF('I_Budget Input Data'!$E$155="At Completion",IF(10='I_Inputs &amp; Assumptions'!$B$8,'I_Budget Input Data'!$D$155,0),'I_Budget Input Data'!$D$155/'I_Inputs &amp; Assumptions'!$B$8)))))),0)</f>
        <v>18461.538461538461</v>
      </c>
      <c r="M155" s="91">
        <f>IF(11&lt;='I_Inputs &amp; Assumptions'!$B$8,IF('I_Budget Input Data'!$E$155="Upfront",IF(11=1,'I_Budget Input Data'!$D$155,0),IF('I_Budget Input Data'!$E$155="Equal",'I_Budget Input Data'!$D$155/'I_Inputs &amp; Assumptions'!$B$8,IF('I_Budget Input Data'!$E$155="Front-loaded",IF(11&lt;='I_Inputs &amp; Assumptions'!$B$8/2,'I_Budget Input Data'!$D$155*0.6/('I_Inputs &amp; Assumptions'!$B$8/2),'I_Budget Input Data'!$D$155*0.4/('I_Inputs &amp; Assumptions'!$B$8/2)),IF('I_Budget Input Data'!$E$155="Back-loaded",IF(11&lt;='I_Inputs &amp; Assumptions'!$B$8/2,'I_Budget Input Data'!$D$155*0.4/('I_Inputs &amp; Assumptions'!$B$8/2),'I_Budget Input Data'!$D$155*0.6/('I_Inputs &amp; Assumptions'!$B$8/2)),IF('I_Budget Input Data'!$E$155="Mid-weighted",IF(11&lt;='I_Inputs &amp; Assumptions'!$B$8/4,'I_Budget Input Data'!$D$155*0.2/('I_Inputs &amp; Assumptions'!$B$8/4),IF(11&lt;='I_Inputs &amp; Assumptions'!$B$8*0.75,'I_Budget Input Data'!$D$155*0.6/('I_Inputs &amp; Assumptions'!$B$8/2),'I_Budget Input Data'!$D$155*0.2/('I_Inputs &amp; Assumptions'!$B$8/4))),IF('I_Budget Input Data'!$E$155="At Completion",IF(11='I_Inputs &amp; Assumptions'!$B$8,'I_Budget Input Data'!$D$155,0),'I_Budget Input Data'!$D$155/'I_Inputs &amp; Assumptions'!$B$8)))))),0)</f>
        <v>18461.538461538461</v>
      </c>
      <c r="N155" s="91">
        <f>IF(12&lt;='I_Inputs &amp; Assumptions'!$B$8,IF('I_Budget Input Data'!$E$155="Upfront",IF(12=1,'I_Budget Input Data'!$D$155,0),IF('I_Budget Input Data'!$E$155="Equal",'I_Budget Input Data'!$D$155/'I_Inputs &amp; Assumptions'!$B$8,IF('I_Budget Input Data'!$E$155="Front-loaded",IF(12&lt;='I_Inputs &amp; Assumptions'!$B$8/2,'I_Budget Input Data'!$D$155*0.6/('I_Inputs &amp; Assumptions'!$B$8/2),'I_Budget Input Data'!$D$155*0.4/('I_Inputs &amp; Assumptions'!$B$8/2)),IF('I_Budget Input Data'!$E$155="Back-loaded",IF(12&lt;='I_Inputs &amp; Assumptions'!$B$8/2,'I_Budget Input Data'!$D$155*0.4/('I_Inputs &amp; Assumptions'!$B$8/2),'I_Budget Input Data'!$D$155*0.6/('I_Inputs &amp; Assumptions'!$B$8/2)),IF('I_Budget Input Data'!$E$155="Mid-weighted",IF(12&lt;='I_Inputs &amp; Assumptions'!$B$8/4,'I_Budget Input Data'!$D$155*0.2/('I_Inputs &amp; Assumptions'!$B$8/4),IF(12&lt;='I_Inputs &amp; Assumptions'!$B$8*0.75,'I_Budget Input Data'!$D$155*0.6/('I_Inputs &amp; Assumptions'!$B$8/2),'I_Budget Input Data'!$D$155*0.2/('I_Inputs &amp; Assumptions'!$B$8/4))),IF('I_Budget Input Data'!$E$155="At Completion",IF(12='I_Inputs &amp; Assumptions'!$B$8,'I_Budget Input Data'!$D$155,0),'I_Budget Input Data'!$D$155/'I_Inputs &amp; Assumptions'!$B$8)))))),0)</f>
        <v>18461.538461538461</v>
      </c>
      <c r="O155" s="91">
        <f>IF(13&lt;='I_Inputs &amp; Assumptions'!$B$8,IF('I_Budget Input Data'!$E$155="Upfront",IF(13=1,'I_Budget Input Data'!$D$155,0),IF('I_Budget Input Data'!$E$155="Equal",'I_Budget Input Data'!$D$155/'I_Inputs &amp; Assumptions'!$B$8,IF('I_Budget Input Data'!$E$155="Front-loaded",IF(13&lt;='I_Inputs &amp; Assumptions'!$B$8/2,'I_Budget Input Data'!$D$155*0.6/('I_Inputs &amp; Assumptions'!$B$8/2),'I_Budget Input Data'!$D$155*0.4/('I_Inputs &amp; Assumptions'!$B$8/2)),IF('I_Budget Input Data'!$E$155="Back-loaded",IF(13&lt;='I_Inputs &amp; Assumptions'!$B$8/2,'I_Budget Input Data'!$D$155*0.4/('I_Inputs &amp; Assumptions'!$B$8/2),'I_Budget Input Data'!$D$155*0.6/('I_Inputs &amp; Assumptions'!$B$8/2)),IF('I_Budget Input Data'!$E$155="Mid-weighted",IF(13&lt;='I_Inputs &amp; Assumptions'!$B$8/4,'I_Budget Input Data'!$D$155*0.2/('I_Inputs &amp; Assumptions'!$B$8/4),IF(13&lt;='I_Inputs &amp; Assumptions'!$B$8*0.75,'I_Budget Input Data'!$D$155*0.6/('I_Inputs &amp; Assumptions'!$B$8/2),'I_Budget Input Data'!$D$155*0.2/('I_Inputs &amp; Assumptions'!$B$8/4))),IF('I_Budget Input Data'!$E$155="At Completion",IF(13='I_Inputs &amp; Assumptions'!$B$8,'I_Budget Input Data'!$D$155,0),'I_Budget Input Data'!$D$155/'I_Inputs &amp; Assumptions'!$B$8)))))),0)</f>
        <v>18461.538461538461</v>
      </c>
      <c r="P155" s="91">
        <f>IF(14&lt;='I_Inputs &amp; Assumptions'!$B$8,IF('I_Budget Input Data'!$E$155="Upfront",IF(14=1,'I_Budget Input Data'!$D$155,0),IF('I_Budget Input Data'!$E$155="Equal",'I_Budget Input Data'!$D$155/'I_Inputs &amp; Assumptions'!$B$8,IF('I_Budget Input Data'!$E$155="Front-loaded",IF(14&lt;='I_Inputs &amp; Assumptions'!$B$8/2,'I_Budget Input Data'!$D$155*0.6/('I_Inputs &amp; Assumptions'!$B$8/2),'I_Budget Input Data'!$D$155*0.4/('I_Inputs &amp; Assumptions'!$B$8/2)),IF('I_Budget Input Data'!$E$155="Back-loaded",IF(14&lt;='I_Inputs &amp; Assumptions'!$B$8/2,'I_Budget Input Data'!$D$155*0.4/('I_Inputs &amp; Assumptions'!$B$8/2),'I_Budget Input Data'!$D$155*0.6/('I_Inputs &amp; Assumptions'!$B$8/2)),IF('I_Budget Input Data'!$E$155="Mid-weighted",IF(14&lt;='I_Inputs &amp; Assumptions'!$B$8/4,'I_Budget Input Data'!$D$155*0.2/('I_Inputs &amp; Assumptions'!$B$8/4),IF(14&lt;='I_Inputs &amp; Assumptions'!$B$8*0.75,'I_Budget Input Data'!$D$155*0.6/('I_Inputs &amp; Assumptions'!$B$8/2),'I_Budget Input Data'!$D$155*0.2/('I_Inputs &amp; Assumptions'!$B$8/4))),IF('I_Budget Input Data'!$E$155="At Completion",IF(14='I_Inputs &amp; Assumptions'!$B$8,'I_Budget Input Data'!$D$155,0),'I_Budget Input Data'!$D$155/'I_Inputs &amp; Assumptions'!$B$8)))))),0)</f>
        <v>0</v>
      </c>
      <c r="Q155" s="91">
        <f>IF(15&lt;='I_Inputs &amp; Assumptions'!$B$8,IF('I_Budget Input Data'!$E$155="Upfront",IF(15=1,'I_Budget Input Data'!$D$155,0),IF('I_Budget Input Data'!$E$155="Equal",'I_Budget Input Data'!$D$155/'I_Inputs &amp; Assumptions'!$B$8,IF('I_Budget Input Data'!$E$155="Front-loaded",IF(15&lt;='I_Inputs &amp; Assumptions'!$B$8/2,'I_Budget Input Data'!$D$155*0.6/('I_Inputs &amp; Assumptions'!$B$8/2),'I_Budget Input Data'!$D$155*0.4/('I_Inputs &amp; Assumptions'!$B$8/2)),IF('I_Budget Input Data'!$E$155="Back-loaded",IF(15&lt;='I_Inputs &amp; Assumptions'!$B$8/2,'I_Budget Input Data'!$D$155*0.4/('I_Inputs &amp; Assumptions'!$B$8/2),'I_Budget Input Data'!$D$155*0.6/('I_Inputs &amp; Assumptions'!$B$8/2)),IF('I_Budget Input Data'!$E$155="Mid-weighted",IF(15&lt;='I_Inputs &amp; Assumptions'!$B$8/4,'I_Budget Input Data'!$D$155*0.2/('I_Inputs &amp; Assumptions'!$B$8/4),IF(15&lt;='I_Inputs &amp; Assumptions'!$B$8*0.75,'I_Budget Input Data'!$D$155*0.6/('I_Inputs &amp; Assumptions'!$B$8/2),'I_Budget Input Data'!$D$155*0.2/('I_Inputs &amp; Assumptions'!$B$8/4))),IF('I_Budget Input Data'!$E$155="At Completion",IF(15='I_Inputs &amp; Assumptions'!$B$8,'I_Budget Input Data'!$D$155,0),'I_Budget Input Data'!$D$155/'I_Inputs &amp; Assumptions'!$B$8)))))),0)</f>
        <v>0</v>
      </c>
      <c r="R155" s="91">
        <f>IF(16&lt;='I_Inputs &amp; Assumptions'!$B$8,IF('I_Budget Input Data'!$E$155="Upfront",IF(16=1,'I_Budget Input Data'!$D$155,0),IF('I_Budget Input Data'!$E$155="Equal",'I_Budget Input Data'!$D$155/'I_Inputs &amp; Assumptions'!$B$8,IF('I_Budget Input Data'!$E$155="Front-loaded",IF(16&lt;='I_Inputs &amp; Assumptions'!$B$8/2,'I_Budget Input Data'!$D$155*0.6/('I_Inputs &amp; Assumptions'!$B$8/2),'I_Budget Input Data'!$D$155*0.4/('I_Inputs &amp; Assumptions'!$B$8/2)),IF('I_Budget Input Data'!$E$155="Back-loaded",IF(16&lt;='I_Inputs &amp; Assumptions'!$B$8/2,'I_Budget Input Data'!$D$155*0.4/('I_Inputs &amp; Assumptions'!$B$8/2),'I_Budget Input Data'!$D$155*0.6/('I_Inputs &amp; Assumptions'!$B$8/2)),IF('I_Budget Input Data'!$E$155="Mid-weighted",IF(16&lt;='I_Inputs &amp; Assumptions'!$B$8/4,'I_Budget Input Data'!$D$155*0.2/('I_Inputs &amp; Assumptions'!$B$8/4),IF(16&lt;='I_Inputs &amp; Assumptions'!$B$8*0.75,'I_Budget Input Data'!$D$155*0.6/('I_Inputs &amp; Assumptions'!$B$8/2),'I_Budget Input Data'!$D$155*0.2/('I_Inputs &amp; Assumptions'!$B$8/4))),IF('I_Budget Input Data'!$E$155="At Completion",IF(16='I_Inputs &amp; Assumptions'!$B$8,'I_Budget Input Data'!$D$155,0),'I_Budget Input Data'!$D$155/'I_Inputs &amp; Assumptions'!$B$8)))))),0)</f>
        <v>0</v>
      </c>
      <c r="S155" s="91">
        <f>IF(17&lt;='I_Inputs &amp; Assumptions'!$B$8,IF('I_Budget Input Data'!$E$155="Upfront",IF(17=1,'I_Budget Input Data'!$D$155,0),IF('I_Budget Input Data'!$E$155="Equal",'I_Budget Input Data'!$D$155/'I_Inputs &amp; Assumptions'!$B$8,IF('I_Budget Input Data'!$E$155="Front-loaded",IF(17&lt;='I_Inputs &amp; Assumptions'!$B$8/2,'I_Budget Input Data'!$D$155*0.6/('I_Inputs &amp; Assumptions'!$B$8/2),'I_Budget Input Data'!$D$155*0.4/('I_Inputs &amp; Assumptions'!$B$8/2)),IF('I_Budget Input Data'!$E$155="Back-loaded",IF(17&lt;='I_Inputs &amp; Assumptions'!$B$8/2,'I_Budget Input Data'!$D$155*0.4/('I_Inputs &amp; Assumptions'!$B$8/2),'I_Budget Input Data'!$D$155*0.6/('I_Inputs &amp; Assumptions'!$B$8/2)),IF('I_Budget Input Data'!$E$155="Mid-weighted",IF(17&lt;='I_Inputs &amp; Assumptions'!$B$8/4,'I_Budget Input Data'!$D$155*0.2/('I_Inputs &amp; Assumptions'!$B$8/4),IF(17&lt;='I_Inputs &amp; Assumptions'!$B$8*0.75,'I_Budget Input Data'!$D$155*0.6/('I_Inputs &amp; Assumptions'!$B$8/2),'I_Budget Input Data'!$D$155*0.2/('I_Inputs &amp; Assumptions'!$B$8/4))),IF('I_Budget Input Data'!$E$155="At Completion",IF(17='I_Inputs &amp; Assumptions'!$B$8,'I_Budget Input Data'!$D$155,0),'I_Budget Input Data'!$D$155/'I_Inputs &amp; Assumptions'!$B$8)))))),0)</f>
        <v>0</v>
      </c>
      <c r="T155" s="91">
        <f>IF(18&lt;='I_Inputs &amp; Assumptions'!$B$8,IF('I_Budget Input Data'!$E$155="Upfront",IF(18=1,'I_Budget Input Data'!$D$155,0),IF('I_Budget Input Data'!$E$155="Equal",'I_Budget Input Data'!$D$155/'I_Inputs &amp; Assumptions'!$B$8,IF('I_Budget Input Data'!$E$155="Front-loaded",IF(18&lt;='I_Inputs &amp; Assumptions'!$B$8/2,'I_Budget Input Data'!$D$155*0.6/('I_Inputs &amp; Assumptions'!$B$8/2),'I_Budget Input Data'!$D$155*0.4/('I_Inputs &amp; Assumptions'!$B$8/2)),IF('I_Budget Input Data'!$E$155="Back-loaded",IF(18&lt;='I_Inputs &amp; Assumptions'!$B$8/2,'I_Budget Input Data'!$D$155*0.4/('I_Inputs &amp; Assumptions'!$B$8/2),'I_Budget Input Data'!$D$155*0.6/('I_Inputs &amp; Assumptions'!$B$8/2)),IF('I_Budget Input Data'!$E$155="Mid-weighted",IF(18&lt;='I_Inputs &amp; Assumptions'!$B$8/4,'I_Budget Input Data'!$D$155*0.2/('I_Inputs &amp; Assumptions'!$B$8/4),IF(18&lt;='I_Inputs &amp; Assumptions'!$B$8*0.75,'I_Budget Input Data'!$D$155*0.6/('I_Inputs &amp; Assumptions'!$B$8/2),'I_Budget Input Data'!$D$155*0.2/('I_Inputs &amp; Assumptions'!$B$8/4))),IF('I_Budget Input Data'!$E$155="At Completion",IF(18='I_Inputs &amp; Assumptions'!$B$8,'I_Budget Input Data'!$D$155,0),'I_Budget Input Data'!$D$155/'I_Inputs &amp; Assumptions'!$B$8)))))),0)</f>
        <v>0</v>
      </c>
      <c r="U155" s="91">
        <f>IF(19&lt;='I_Inputs &amp; Assumptions'!$B$8,IF('I_Budget Input Data'!$E$155="Upfront",IF(19=1,'I_Budget Input Data'!$D$155,0),IF('I_Budget Input Data'!$E$155="Equal",'I_Budget Input Data'!$D$155/'I_Inputs &amp; Assumptions'!$B$8,IF('I_Budget Input Data'!$E$155="Front-loaded",IF(19&lt;='I_Inputs &amp; Assumptions'!$B$8/2,'I_Budget Input Data'!$D$155*0.6/('I_Inputs &amp; Assumptions'!$B$8/2),'I_Budget Input Data'!$D$155*0.4/('I_Inputs &amp; Assumptions'!$B$8/2)),IF('I_Budget Input Data'!$E$155="Back-loaded",IF(19&lt;='I_Inputs &amp; Assumptions'!$B$8/2,'I_Budget Input Data'!$D$155*0.4/('I_Inputs &amp; Assumptions'!$B$8/2),'I_Budget Input Data'!$D$155*0.6/('I_Inputs &amp; Assumptions'!$B$8/2)),IF('I_Budget Input Data'!$E$155="Mid-weighted",IF(19&lt;='I_Inputs &amp; Assumptions'!$B$8/4,'I_Budget Input Data'!$D$155*0.2/('I_Inputs &amp; Assumptions'!$B$8/4),IF(19&lt;='I_Inputs &amp; Assumptions'!$B$8*0.75,'I_Budget Input Data'!$D$155*0.6/('I_Inputs &amp; Assumptions'!$B$8/2),'I_Budget Input Data'!$D$155*0.2/('I_Inputs &amp; Assumptions'!$B$8/4))),IF('I_Budget Input Data'!$E$155="At Completion",IF(19='I_Inputs &amp; Assumptions'!$B$8,'I_Budget Input Data'!$D$155,0),'I_Budget Input Data'!$D$155/'I_Inputs &amp; Assumptions'!$B$8)))))),0)</f>
        <v>0</v>
      </c>
      <c r="V155" s="91">
        <f>IF(20&lt;='I_Inputs &amp; Assumptions'!$B$8,IF('I_Budget Input Data'!$E$155="Upfront",IF(20=1,'I_Budget Input Data'!$D$155,0),IF('I_Budget Input Data'!$E$155="Equal",'I_Budget Input Data'!$D$155/'I_Inputs &amp; Assumptions'!$B$8,IF('I_Budget Input Data'!$E$155="Front-loaded",IF(20&lt;='I_Inputs &amp; Assumptions'!$B$8/2,'I_Budget Input Data'!$D$155*0.6/('I_Inputs &amp; Assumptions'!$B$8/2),'I_Budget Input Data'!$D$155*0.4/('I_Inputs &amp; Assumptions'!$B$8/2)),IF('I_Budget Input Data'!$E$155="Back-loaded",IF(20&lt;='I_Inputs &amp; Assumptions'!$B$8/2,'I_Budget Input Data'!$D$155*0.4/('I_Inputs &amp; Assumptions'!$B$8/2),'I_Budget Input Data'!$D$155*0.6/('I_Inputs &amp; Assumptions'!$B$8/2)),IF('I_Budget Input Data'!$E$155="Mid-weighted",IF(20&lt;='I_Inputs &amp; Assumptions'!$B$8/4,'I_Budget Input Data'!$D$155*0.2/('I_Inputs &amp; Assumptions'!$B$8/4),IF(20&lt;='I_Inputs &amp; Assumptions'!$B$8*0.75,'I_Budget Input Data'!$D$155*0.6/('I_Inputs &amp; Assumptions'!$B$8/2),'I_Budget Input Data'!$D$155*0.2/('I_Inputs &amp; Assumptions'!$B$8/4))),IF('I_Budget Input Data'!$E$155="At Completion",IF(20='I_Inputs &amp; Assumptions'!$B$8,'I_Budget Input Data'!$D$155,0),'I_Budget Input Data'!$D$155/'I_Inputs &amp; Assumptions'!$B$8)))))),0)</f>
        <v>0</v>
      </c>
      <c r="W155" s="91">
        <f>IF(21&lt;='I_Inputs &amp; Assumptions'!$B$8,IF('I_Budget Input Data'!$E$155="Upfront",IF(21=1,'I_Budget Input Data'!$D$155,0),IF('I_Budget Input Data'!$E$155="Equal",'I_Budget Input Data'!$D$155/'I_Inputs &amp; Assumptions'!$B$8,IF('I_Budget Input Data'!$E$155="Front-loaded",IF(21&lt;='I_Inputs &amp; Assumptions'!$B$8/2,'I_Budget Input Data'!$D$155*0.6/('I_Inputs &amp; Assumptions'!$B$8/2),'I_Budget Input Data'!$D$155*0.4/('I_Inputs &amp; Assumptions'!$B$8/2)),IF('I_Budget Input Data'!$E$155="Back-loaded",IF(21&lt;='I_Inputs &amp; Assumptions'!$B$8/2,'I_Budget Input Data'!$D$155*0.4/('I_Inputs &amp; Assumptions'!$B$8/2),'I_Budget Input Data'!$D$155*0.6/('I_Inputs &amp; Assumptions'!$B$8/2)),IF('I_Budget Input Data'!$E$155="Mid-weighted",IF(21&lt;='I_Inputs &amp; Assumptions'!$B$8/4,'I_Budget Input Data'!$D$155*0.2/('I_Inputs &amp; Assumptions'!$B$8/4),IF(21&lt;='I_Inputs &amp; Assumptions'!$B$8*0.75,'I_Budget Input Data'!$D$155*0.6/('I_Inputs &amp; Assumptions'!$B$8/2),'I_Budget Input Data'!$D$155*0.2/('I_Inputs &amp; Assumptions'!$B$8/4))),IF('I_Budget Input Data'!$E$155="At Completion",IF(21='I_Inputs &amp; Assumptions'!$B$8,'I_Budget Input Data'!$D$155,0),'I_Budget Input Data'!$D$155/'I_Inputs &amp; Assumptions'!$B$8)))))),0)</f>
        <v>0</v>
      </c>
      <c r="X155" s="91">
        <f>IF(22&lt;='I_Inputs &amp; Assumptions'!$B$8,IF('I_Budget Input Data'!$E$155="Upfront",IF(22=1,'I_Budget Input Data'!$D$155,0),IF('I_Budget Input Data'!$E$155="Equal",'I_Budget Input Data'!$D$155/'I_Inputs &amp; Assumptions'!$B$8,IF('I_Budget Input Data'!$E$155="Front-loaded",IF(22&lt;='I_Inputs &amp; Assumptions'!$B$8/2,'I_Budget Input Data'!$D$155*0.6/('I_Inputs &amp; Assumptions'!$B$8/2),'I_Budget Input Data'!$D$155*0.4/('I_Inputs &amp; Assumptions'!$B$8/2)),IF('I_Budget Input Data'!$E$155="Back-loaded",IF(22&lt;='I_Inputs &amp; Assumptions'!$B$8/2,'I_Budget Input Data'!$D$155*0.4/('I_Inputs &amp; Assumptions'!$B$8/2),'I_Budget Input Data'!$D$155*0.6/('I_Inputs &amp; Assumptions'!$B$8/2)),IF('I_Budget Input Data'!$E$155="Mid-weighted",IF(22&lt;='I_Inputs &amp; Assumptions'!$B$8/4,'I_Budget Input Data'!$D$155*0.2/('I_Inputs &amp; Assumptions'!$B$8/4),IF(22&lt;='I_Inputs &amp; Assumptions'!$B$8*0.75,'I_Budget Input Data'!$D$155*0.6/('I_Inputs &amp; Assumptions'!$B$8/2),'I_Budget Input Data'!$D$155*0.2/('I_Inputs &amp; Assumptions'!$B$8/4))),IF('I_Budget Input Data'!$E$155="At Completion",IF(22='I_Inputs &amp; Assumptions'!$B$8,'I_Budget Input Data'!$D$155,0),'I_Budget Input Data'!$D$155/'I_Inputs &amp; Assumptions'!$B$8)))))),0)</f>
        <v>0</v>
      </c>
      <c r="Y155" s="91">
        <f>IF(23&lt;='I_Inputs &amp; Assumptions'!$B$8,IF('I_Budget Input Data'!$E$155="Upfront",IF(23=1,'I_Budget Input Data'!$D$155,0),IF('I_Budget Input Data'!$E$155="Equal",'I_Budget Input Data'!$D$155/'I_Inputs &amp; Assumptions'!$B$8,IF('I_Budget Input Data'!$E$155="Front-loaded",IF(23&lt;='I_Inputs &amp; Assumptions'!$B$8/2,'I_Budget Input Data'!$D$155*0.6/('I_Inputs &amp; Assumptions'!$B$8/2),'I_Budget Input Data'!$D$155*0.4/('I_Inputs &amp; Assumptions'!$B$8/2)),IF('I_Budget Input Data'!$E$155="Back-loaded",IF(23&lt;='I_Inputs &amp; Assumptions'!$B$8/2,'I_Budget Input Data'!$D$155*0.4/('I_Inputs &amp; Assumptions'!$B$8/2),'I_Budget Input Data'!$D$155*0.6/('I_Inputs &amp; Assumptions'!$B$8/2)),IF('I_Budget Input Data'!$E$155="Mid-weighted",IF(23&lt;='I_Inputs &amp; Assumptions'!$B$8/4,'I_Budget Input Data'!$D$155*0.2/('I_Inputs &amp; Assumptions'!$B$8/4),IF(23&lt;='I_Inputs &amp; Assumptions'!$B$8*0.75,'I_Budget Input Data'!$D$155*0.6/('I_Inputs &amp; Assumptions'!$B$8/2),'I_Budget Input Data'!$D$155*0.2/('I_Inputs &amp; Assumptions'!$B$8/4))),IF('I_Budget Input Data'!$E$155="At Completion",IF(23='I_Inputs &amp; Assumptions'!$B$8,'I_Budget Input Data'!$D$155,0),'I_Budget Input Data'!$D$155/'I_Inputs &amp; Assumptions'!$B$8)))))),0)</f>
        <v>0</v>
      </c>
      <c r="Z155" s="91">
        <f>IF(24&lt;='I_Inputs &amp; Assumptions'!$B$8,IF('I_Budget Input Data'!$E$155="Upfront",IF(24=1,'I_Budget Input Data'!$D$155,0),IF('I_Budget Input Data'!$E$155="Equal",'I_Budget Input Data'!$D$155/'I_Inputs &amp; Assumptions'!$B$8,IF('I_Budget Input Data'!$E$155="Front-loaded",IF(24&lt;='I_Inputs &amp; Assumptions'!$B$8/2,'I_Budget Input Data'!$D$155*0.6/('I_Inputs &amp; Assumptions'!$B$8/2),'I_Budget Input Data'!$D$155*0.4/('I_Inputs &amp; Assumptions'!$B$8/2)),IF('I_Budget Input Data'!$E$155="Back-loaded",IF(24&lt;='I_Inputs &amp; Assumptions'!$B$8/2,'I_Budget Input Data'!$D$155*0.4/('I_Inputs &amp; Assumptions'!$B$8/2),'I_Budget Input Data'!$D$155*0.6/('I_Inputs &amp; Assumptions'!$B$8/2)),IF('I_Budget Input Data'!$E$155="Mid-weighted",IF(24&lt;='I_Inputs &amp; Assumptions'!$B$8/4,'I_Budget Input Data'!$D$155*0.2/('I_Inputs &amp; Assumptions'!$B$8/4),IF(24&lt;='I_Inputs &amp; Assumptions'!$B$8*0.75,'I_Budget Input Data'!$D$155*0.6/('I_Inputs &amp; Assumptions'!$B$8/2),'I_Budget Input Data'!$D$155*0.2/('I_Inputs &amp; Assumptions'!$B$8/4))),IF('I_Budget Input Data'!$E$155="At Completion",IF(24='I_Inputs &amp; Assumptions'!$B$8,'I_Budget Input Data'!$D$155,0),'I_Budget Input Data'!$D$155/'I_Inputs &amp; Assumptions'!$B$8)))))),0)</f>
        <v>0</v>
      </c>
      <c r="AA155" s="91">
        <f>IF(25&lt;='I_Inputs &amp; Assumptions'!$B$8,IF('I_Budget Input Data'!$E$155="Upfront",IF(25=1,'I_Budget Input Data'!$D$155,0),IF('I_Budget Input Data'!$E$155="Equal",'I_Budget Input Data'!$D$155/'I_Inputs &amp; Assumptions'!$B$8,IF('I_Budget Input Data'!$E$155="Front-loaded",IF(25&lt;='I_Inputs &amp; Assumptions'!$B$8/2,'I_Budget Input Data'!$D$155*0.6/('I_Inputs &amp; Assumptions'!$B$8/2),'I_Budget Input Data'!$D$155*0.4/('I_Inputs &amp; Assumptions'!$B$8/2)),IF('I_Budget Input Data'!$E$155="Back-loaded",IF(25&lt;='I_Inputs &amp; Assumptions'!$B$8/2,'I_Budget Input Data'!$D$155*0.4/('I_Inputs &amp; Assumptions'!$B$8/2),'I_Budget Input Data'!$D$155*0.6/('I_Inputs &amp; Assumptions'!$B$8/2)),IF('I_Budget Input Data'!$E$155="Mid-weighted",IF(25&lt;='I_Inputs &amp; Assumptions'!$B$8/4,'I_Budget Input Data'!$D$155*0.2/('I_Inputs &amp; Assumptions'!$B$8/4),IF(25&lt;='I_Inputs &amp; Assumptions'!$B$8*0.75,'I_Budget Input Data'!$D$155*0.6/('I_Inputs &amp; Assumptions'!$B$8/2),'I_Budget Input Data'!$D$155*0.2/('I_Inputs &amp; Assumptions'!$B$8/4))),IF('I_Budget Input Data'!$E$155="At Completion",IF(25='I_Inputs &amp; Assumptions'!$B$8,'I_Budget Input Data'!$D$155,0),'I_Budget Input Data'!$D$155/'I_Inputs &amp; Assumptions'!$B$8)))))),0)</f>
        <v>0</v>
      </c>
      <c r="AB155" s="91">
        <f>IF(26&lt;='I_Inputs &amp; Assumptions'!$B$8,IF('I_Budget Input Data'!$E$155="Upfront",IF(26=1,'I_Budget Input Data'!$D$155,0),IF('I_Budget Input Data'!$E$155="Equal",'I_Budget Input Data'!$D$155/'I_Inputs &amp; Assumptions'!$B$8,IF('I_Budget Input Data'!$E$155="Front-loaded",IF(26&lt;='I_Inputs &amp; Assumptions'!$B$8/2,'I_Budget Input Data'!$D$155*0.6/('I_Inputs &amp; Assumptions'!$B$8/2),'I_Budget Input Data'!$D$155*0.4/('I_Inputs &amp; Assumptions'!$B$8/2)),IF('I_Budget Input Data'!$E$155="Back-loaded",IF(26&lt;='I_Inputs &amp; Assumptions'!$B$8/2,'I_Budget Input Data'!$D$155*0.4/('I_Inputs &amp; Assumptions'!$B$8/2),'I_Budget Input Data'!$D$155*0.6/('I_Inputs &amp; Assumptions'!$B$8/2)),IF('I_Budget Input Data'!$E$155="Mid-weighted",IF(26&lt;='I_Inputs &amp; Assumptions'!$B$8/4,'I_Budget Input Data'!$D$155*0.2/('I_Inputs &amp; Assumptions'!$B$8/4),IF(26&lt;='I_Inputs &amp; Assumptions'!$B$8*0.75,'I_Budget Input Data'!$D$155*0.6/('I_Inputs &amp; Assumptions'!$B$8/2),'I_Budget Input Data'!$D$155*0.2/('I_Inputs &amp; Assumptions'!$B$8/4))),IF('I_Budget Input Data'!$E$155="At Completion",IF(26='I_Inputs &amp; Assumptions'!$B$8,'I_Budget Input Data'!$D$155,0),'I_Budget Input Data'!$D$155/'I_Inputs &amp; Assumptions'!$B$8)))))),0)</f>
        <v>0</v>
      </c>
      <c r="AC155" s="91">
        <f>IF(27&lt;='I_Inputs &amp; Assumptions'!$B$8,IF('I_Budget Input Data'!$E$155="Upfront",IF(27=1,'I_Budget Input Data'!$D$155,0),IF('I_Budget Input Data'!$E$155="Equal",'I_Budget Input Data'!$D$155/'I_Inputs &amp; Assumptions'!$B$8,IF('I_Budget Input Data'!$E$155="Front-loaded",IF(27&lt;='I_Inputs &amp; Assumptions'!$B$8/2,'I_Budget Input Data'!$D$155*0.6/('I_Inputs &amp; Assumptions'!$B$8/2),'I_Budget Input Data'!$D$155*0.4/('I_Inputs &amp; Assumptions'!$B$8/2)),IF('I_Budget Input Data'!$E$155="Back-loaded",IF(27&lt;='I_Inputs &amp; Assumptions'!$B$8/2,'I_Budget Input Data'!$D$155*0.4/('I_Inputs &amp; Assumptions'!$B$8/2),'I_Budget Input Data'!$D$155*0.6/('I_Inputs &amp; Assumptions'!$B$8/2)),IF('I_Budget Input Data'!$E$155="Mid-weighted",IF(27&lt;='I_Inputs &amp; Assumptions'!$B$8/4,'I_Budget Input Data'!$D$155*0.2/('I_Inputs &amp; Assumptions'!$B$8/4),IF(27&lt;='I_Inputs &amp; Assumptions'!$B$8*0.75,'I_Budget Input Data'!$D$155*0.6/('I_Inputs &amp; Assumptions'!$B$8/2),'I_Budget Input Data'!$D$155*0.2/('I_Inputs &amp; Assumptions'!$B$8/4))),IF('I_Budget Input Data'!$E$155="At Completion",IF(27='I_Inputs &amp; Assumptions'!$B$8,'I_Budget Input Data'!$D$155,0),'I_Budget Input Data'!$D$155/'I_Inputs &amp; Assumptions'!$B$8)))))),0)</f>
        <v>0</v>
      </c>
      <c r="AD155" s="91">
        <f>IF(28&lt;='I_Inputs &amp; Assumptions'!$B$8,IF('I_Budget Input Data'!$E$155="Upfront",IF(28=1,'I_Budget Input Data'!$D$155,0),IF('I_Budget Input Data'!$E$155="Equal",'I_Budget Input Data'!$D$155/'I_Inputs &amp; Assumptions'!$B$8,IF('I_Budget Input Data'!$E$155="Front-loaded",IF(28&lt;='I_Inputs &amp; Assumptions'!$B$8/2,'I_Budget Input Data'!$D$155*0.6/('I_Inputs &amp; Assumptions'!$B$8/2),'I_Budget Input Data'!$D$155*0.4/('I_Inputs &amp; Assumptions'!$B$8/2)),IF('I_Budget Input Data'!$E$155="Back-loaded",IF(28&lt;='I_Inputs &amp; Assumptions'!$B$8/2,'I_Budget Input Data'!$D$155*0.4/('I_Inputs &amp; Assumptions'!$B$8/2),'I_Budget Input Data'!$D$155*0.6/('I_Inputs &amp; Assumptions'!$B$8/2)),IF('I_Budget Input Data'!$E$155="Mid-weighted",IF(28&lt;='I_Inputs &amp; Assumptions'!$B$8/4,'I_Budget Input Data'!$D$155*0.2/('I_Inputs &amp; Assumptions'!$B$8/4),IF(28&lt;='I_Inputs &amp; Assumptions'!$B$8*0.75,'I_Budget Input Data'!$D$155*0.6/('I_Inputs &amp; Assumptions'!$B$8/2),'I_Budget Input Data'!$D$155*0.2/('I_Inputs &amp; Assumptions'!$B$8/4))),IF('I_Budget Input Data'!$E$155="At Completion",IF(28='I_Inputs &amp; Assumptions'!$B$8,'I_Budget Input Data'!$D$155,0),'I_Budget Input Data'!$D$155/'I_Inputs &amp; Assumptions'!$B$8)))))),0)</f>
        <v>0</v>
      </c>
      <c r="AE155" s="91">
        <f>IF(29&lt;='I_Inputs &amp; Assumptions'!$B$8,IF('I_Budget Input Data'!$E$155="Upfront",IF(29=1,'I_Budget Input Data'!$D$155,0),IF('I_Budget Input Data'!$E$155="Equal",'I_Budget Input Data'!$D$155/'I_Inputs &amp; Assumptions'!$B$8,IF('I_Budget Input Data'!$E$155="Front-loaded",IF(29&lt;='I_Inputs &amp; Assumptions'!$B$8/2,'I_Budget Input Data'!$D$155*0.6/('I_Inputs &amp; Assumptions'!$B$8/2),'I_Budget Input Data'!$D$155*0.4/('I_Inputs &amp; Assumptions'!$B$8/2)),IF('I_Budget Input Data'!$E$155="Back-loaded",IF(29&lt;='I_Inputs &amp; Assumptions'!$B$8/2,'I_Budget Input Data'!$D$155*0.4/('I_Inputs &amp; Assumptions'!$B$8/2),'I_Budget Input Data'!$D$155*0.6/('I_Inputs &amp; Assumptions'!$B$8/2)),IF('I_Budget Input Data'!$E$155="Mid-weighted",IF(29&lt;='I_Inputs &amp; Assumptions'!$B$8/4,'I_Budget Input Data'!$D$155*0.2/('I_Inputs &amp; Assumptions'!$B$8/4),IF(29&lt;='I_Inputs &amp; Assumptions'!$B$8*0.75,'I_Budget Input Data'!$D$155*0.6/('I_Inputs &amp; Assumptions'!$B$8/2),'I_Budget Input Data'!$D$155*0.2/('I_Inputs &amp; Assumptions'!$B$8/4))),IF('I_Budget Input Data'!$E$155="At Completion",IF(29='I_Inputs &amp; Assumptions'!$B$8,'I_Budget Input Data'!$D$155,0),'I_Budget Input Data'!$D$155/'I_Inputs &amp; Assumptions'!$B$8)))))),0)</f>
        <v>0</v>
      </c>
      <c r="AF155" s="91">
        <f>IF(30&lt;='I_Inputs &amp; Assumptions'!$B$8,IF('I_Budget Input Data'!$E$155="Upfront",IF(30=1,'I_Budget Input Data'!$D$155,0),IF('I_Budget Input Data'!$E$155="Equal",'I_Budget Input Data'!$D$155/'I_Inputs &amp; Assumptions'!$B$8,IF('I_Budget Input Data'!$E$155="Front-loaded",IF(30&lt;='I_Inputs &amp; Assumptions'!$B$8/2,'I_Budget Input Data'!$D$155*0.6/('I_Inputs &amp; Assumptions'!$B$8/2),'I_Budget Input Data'!$D$155*0.4/('I_Inputs &amp; Assumptions'!$B$8/2)),IF('I_Budget Input Data'!$E$155="Back-loaded",IF(30&lt;='I_Inputs &amp; Assumptions'!$B$8/2,'I_Budget Input Data'!$D$155*0.4/('I_Inputs &amp; Assumptions'!$B$8/2),'I_Budget Input Data'!$D$155*0.6/('I_Inputs &amp; Assumptions'!$B$8/2)),IF('I_Budget Input Data'!$E$155="Mid-weighted",IF(30&lt;='I_Inputs &amp; Assumptions'!$B$8/4,'I_Budget Input Data'!$D$155*0.2/('I_Inputs &amp; Assumptions'!$B$8/4),IF(30&lt;='I_Inputs &amp; Assumptions'!$B$8*0.75,'I_Budget Input Data'!$D$155*0.6/('I_Inputs &amp; Assumptions'!$B$8/2),'I_Budget Input Data'!$D$155*0.2/('I_Inputs &amp; Assumptions'!$B$8/4))),IF('I_Budget Input Data'!$E$155="At Completion",IF(30='I_Inputs &amp; Assumptions'!$B$8,'I_Budget Input Data'!$D$155,0),'I_Budget Input Data'!$D$155/'I_Inputs &amp; Assumptions'!$B$8)))))),0)</f>
        <v>0</v>
      </c>
      <c r="AG155" s="91">
        <f>IF(31&lt;='I_Inputs &amp; Assumptions'!$B$8,IF('I_Budget Input Data'!$E$155="Upfront",IF(31=1,'I_Budget Input Data'!$D$155,0),IF('I_Budget Input Data'!$E$155="Equal",'I_Budget Input Data'!$D$155/'I_Inputs &amp; Assumptions'!$B$8,IF('I_Budget Input Data'!$E$155="Front-loaded",IF(31&lt;='I_Inputs &amp; Assumptions'!$B$8/2,'I_Budget Input Data'!$D$155*0.6/('I_Inputs &amp; Assumptions'!$B$8/2),'I_Budget Input Data'!$D$155*0.4/('I_Inputs &amp; Assumptions'!$B$8/2)),IF('I_Budget Input Data'!$E$155="Back-loaded",IF(31&lt;='I_Inputs &amp; Assumptions'!$B$8/2,'I_Budget Input Data'!$D$155*0.4/('I_Inputs &amp; Assumptions'!$B$8/2),'I_Budget Input Data'!$D$155*0.6/('I_Inputs &amp; Assumptions'!$B$8/2)),IF('I_Budget Input Data'!$E$155="Mid-weighted",IF(31&lt;='I_Inputs &amp; Assumptions'!$B$8/4,'I_Budget Input Data'!$D$155*0.2/('I_Inputs &amp; Assumptions'!$B$8/4),IF(31&lt;='I_Inputs &amp; Assumptions'!$B$8*0.75,'I_Budget Input Data'!$D$155*0.6/('I_Inputs &amp; Assumptions'!$B$8/2),'I_Budget Input Data'!$D$155*0.2/('I_Inputs &amp; Assumptions'!$B$8/4))),IF('I_Budget Input Data'!$E$155="At Completion",IF(31='I_Inputs &amp; Assumptions'!$B$8,'I_Budget Input Data'!$D$155,0),'I_Budget Input Data'!$D$155/'I_Inputs &amp; Assumptions'!$B$8)))))),0)</f>
        <v>0</v>
      </c>
      <c r="AH155" s="91">
        <f>IF(32&lt;='I_Inputs &amp; Assumptions'!$B$8,IF('I_Budget Input Data'!$E$155="Upfront",IF(32=1,'I_Budget Input Data'!$D$155,0),IF('I_Budget Input Data'!$E$155="Equal",'I_Budget Input Data'!$D$155/'I_Inputs &amp; Assumptions'!$B$8,IF('I_Budget Input Data'!$E$155="Front-loaded",IF(32&lt;='I_Inputs &amp; Assumptions'!$B$8/2,'I_Budget Input Data'!$D$155*0.6/('I_Inputs &amp; Assumptions'!$B$8/2),'I_Budget Input Data'!$D$155*0.4/('I_Inputs &amp; Assumptions'!$B$8/2)),IF('I_Budget Input Data'!$E$155="Back-loaded",IF(32&lt;='I_Inputs &amp; Assumptions'!$B$8/2,'I_Budget Input Data'!$D$155*0.4/('I_Inputs &amp; Assumptions'!$B$8/2),'I_Budget Input Data'!$D$155*0.6/('I_Inputs &amp; Assumptions'!$B$8/2)),IF('I_Budget Input Data'!$E$155="Mid-weighted",IF(32&lt;='I_Inputs &amp; Assumptions'!$B$8/4,'I_Budget Input Data'!$D$155*0.2/('I_Inputs &amp; Assumptions'!$B$8/4),IF(32&lt;='I_Inputs &amp; Assumptions'!$B$8*0.75,'I_Budget Input Data'!$D$155*0.6/('I_Inputs &amp; Assumptions'!$B$8/2),'I_Budget Input Data'!$D$155*0.2/('I_Inputs &amp; Assumptions'!$B$8/4))),IF('I_Budget Input Data'!$E$155="At Completion",IF(32='I_Inputs &amp; Assumptions'!$B$8,'I_Budget Input Data'!$D$155,0),'I_Budget Input Data'!$D$155/'I_Inputs &amp; Assumptions'!$B$8)))))),0)</f>
        <v>0</v>
      </c>
      <c r="AI155" s="91">
        <f>IF(33&lt;='I_Inputs &amp; Assumptions'!$B$8,IF('I_Budget Input Data'!$E$155="Upfront",IF(33=1,'I_Budget Input Data'!$D$155,0),IF('I_Budget Input Data'!$E$155="Equal",'I_Budget Input Data'!$D$155/'I_Inputs &amp; Assumptions'!$B$8,IF('I_Budget Input Data'!$E$155="Front-loaded",IF(33&lt;='I_Inputs &amp; Assumptions'!$B$8/2,'I_Budget Input Data'!$D$155*0.6/('I_Inputs &amp; Assumptions'!$B$8/2),'I_Budget Input Data'!$D$155*0.4/('I_Inputs &amp; Assumptions'!$B$8/2)),IF('I_Budget Input Data'!$E$155="Back-loaded",IF(33&lt;='I_Inputs &amp; Assumptions'!$B$8/2,'I_Budget Input Data'!$D$155*0.4/('I_Inputs &amp; Assumptions'!$B$8/2),'I_Budget Input Data'!$D$155*0.6/('I_Inputs &amp; Assumptions'!$B$8/2)),IF('I_Budget Input Data'!$E$155="Mid-weighted",IF(33&lt;='I_Inputs &amp; Assumptions'!$B$8/4,'I_Budget Input Data'!$D$155*0.2/('I_Inputs &amp; Assumptions'!$B$8/4),IF(33&lt;='I_Inputs &amp; Assumptions'!$B$8*0.75,'I_Budget Input Data'!$D$155*0.6/('I_Inputs &amp; Assumptions'!$B$8/2),'I_Budget Input Data'!$D$155*0.2/('I_Inputs &amp; Assumptions'!$B$8/4))),IF('I_Budget Input Data'!$E$155="At Completion",IF(33='I_Inputs &amp; Assumptions'!$B$8,'I_Budget Input Data'!$D$155,0),'I_Budget Input Data'!$D$155/'I_Inputs &amp; Assumptions'!$B$8)))))),0)</f>
        <v>0</v>
      </c>
      <c r="AJ155" s="91">
        <f>IF(34&lt;='I_Inputs &amp; Assumptions'!$B$8,IF('I_Budget Input Data'!$E$155="Upfront",IF(34=1,'I_Budget Input Data'!$D$155,0),IF('I_Budget Input Data'!$E$155="Equal",'I_Budget Input Data'!$D$155/'I_Inputs &amp; Assumptions'!$B$8,IF('I_Budget Input Data'!$E$155="Front-loaded",IF(34&lt;='I_Inputs &amp; Assumptions'!$B$8/2,'I_Budget Input Data'!$D$155*0.6/('I_Inputs &amp; Assumptions'!$B$8/2),'I_Budget Input Data'!$D$155*0.4/('I_Inputs &amp; Assumptions'!$B$8/2)),IF('I_Budget Input Data'!$E$155="Back-loaded",IF(34&lt;='I_Inputs &amp; Assumptions'!$B$8/2,'I_Budget Input Data'!$D$155*0.4/('I_Inputs &amp; Assumptions'!$B$8/2),'I_Budget Input Data'!$D$155*0.6/('I_Inputs &amp; Assumptions'!$B$8/2)),IF('I_Budget Input Data'!$E$155="Mid-weighted",IF(34&lt;='I_Inputs &amp; Assumptions'!$B$8/4,'I_Budget Input Data'!$D$155*0.2/('I_Inputs &amp; Assumptions'!$B$8/4),IF(34&lt;='I_Inputs &amp; Assumptions'!$B$8*0.75,'I_Budget Input Data'!$D$155*0.6/('I_Inputs &amp; Assumptions'!$B$8/2),'I_Budget Input Data'!$D$155*0.2/('I_Inputs &amp; Assumptions'!$B$8/4))),IF('I_Budget Input Data'!$E$155="At Completion",IF(34='I_Inputs &amp; Assumptions'!$B$8,'I_Budget Input Data'!$D$155,0),'I_Budget Input Data'!$D$155/'I_Inputs &amp; Assumptions'!$B$8)))))),0)</f>
        <v>0</v>
      </c>
      <c r="AK155" s="91">
        <f>IF(35&lt;='I_Inputs &amp; Assumptions'!$B$8,IF('I_Budget Input Data'!$E$155="Upfront",IF(35=1,'I_Budget Input Data'!$D$155,0),IF('I_Budget Input Data'!$E$155="Equal",'I_Budget Input Data'!$D$155/'I_Inputs &amp; Assumptions'!$B$8,IF('I_Budget Input Data'!$E$155="Front-loaded",IF(35&lt;='I_Inputs &amp; Assumptions'!$B$8/2,'I_Budget Input Data'!$D$155*0.6/('I_Inputs &amp; Assumptions'!$B$8/2),'I_Budget Input Data'!$D$155*0.4/('I_Inputs &amp; Assumptions'!$B$8/2)),IF('I_Budget Input Data'!$E$155="Back-loaded",IF(35&lt;='I_Inputs &amp; Assumptions'!$B$8/2,'I_Budget Input Data'!$D$155*0.4/('I_Inputs &amp; Assumptions'!$B$8/2),'I_Budget Input Data'!$D$155*0.6/('I_Inputs &amp; Assumptions'!$B$8/2)),IF('I_Budget Input Data'!$E$155="Mid-weighted",IF(35&lt;='I_Inputs &amp; Assumptions'!$B$8/4,'I_Budget Input Data'!$D$155*0.2/('I_Inputs &amp; Assumptions'!$B$8/4),IF(35&lt;='I_Inputs &amp; Assumptions'!$B$8*0.75,'I_Budget Input Data'!$D$155*0.6/('I_Inputs &amp; Assumptions'!$B$8/2),'I_Budget Input Data'!$D$155*0.2/('I_Inputs &amp; Assumptions'!$B$8/4))),IF('I_Budget Input Data'!$E$155="At Completion",IF(35='I_Inputs &amp; Assumptions'!$B$8,'I_Budget Input Data'!$D$155,0),'I_Budget Input Data'!$D$155/'I_Inputs &amp; Assumptions'!$B$8)))))),0)</f>
        <v>0</v>
      </c>
      <c r="AL155" s="91">
        <f>IF(36&lt;='I_Inputs &amp; Assumptions'!$B$8,IF('I_Budget Input Data'!$E$155="Upfront",IF(36=1,'I_Budget Input Data'!$D$155,0),IF('I_Budget Input Data'!$E$155="Equal",'I_Budget Input Data'!$D$155/'I_Inputs &amp; Assumptions'!$B$8,IF('I_Budget Input Data'!$E$155="Front-loaded",IF(36&lt;='I_Inputs &amp; Assumptions'!$B$8/2,'I_Budget Input Data'!$D$155*0.6/('I_Inputs &amp; Assumptions'!$B$8/2),'I_Budget Input Data'!$D$155*0.4/('I_Inputs &amp; Assumptions'!$B$8/2)),IF('I_Budget Input Data'!$E$155="Back-loaded",IF(36&lt;='I_Inputs &amp; Assumptions'!$B$8/2,'I_Budget Input Data'!$D$155*0.4/('I_Inputs &amp; Assumptions'!$B$8/2),'I_Budget Input Data'!$D$155*0.6/('I_Inputs &amp; Assumptions'!$B$8/2)),IF('I_Budget Input Data'!$E$155="Mid-weighted",IF(36&lt;='I_Inputs &amp; Assumptions'!$B$8/4,'I_Budget Input Data'!$D$155*0.2/('I_Inputs &amp; Assumptions'!$B$8/4),IF(36&lt;='I_Inputs &amp; Assumptions'!$B$8*0.75,'I_Budget Input Data'!$D$155*0.6/('I_Inputs &amp; Assumptions'!$B$8/2),'I_Budget Input Data'!$D$155*0.2/('I_Inputs &amp; Assumptions'!$B$8/4))),IF('I_Budget Input Data'!$E$155="At Completion",IF(36='I_Inputs &amp; Assumptions'!$B$8,'I_Budget Input Data'!$D$155,0),'I_Budget Input Data'!$D$155/'I_Inputs &amp; Assumptions'!$B$8)))))),0)</f>
        <v>0</v>
      </c>
    </row>
    <row r="156" spans="1:38" ht="15" customHeight="1" x14ac:dyDescent="0.2">
      <c r="A156" t="s">
        <v>270</v>
      </c>
      <c r="B156" t="s">
        <v>272</v>
      </c>
      <c r="C156" s="91">
        <f>IF(1&lt;='I_Inputs &amp; Assumptions'!$B$8,IF('I_Budget Input Data'!$E$156="Upfront",IF(1=1,'I_Budget Input Data'!$D$156,0),IF('I_Budget Input Data'!$E$156="Equal",'I_Budget Input Data'!$D$156/'I_Inputs &amp; Assumptions'!$B$8,IF('I_Budget Input Data'!$E$156="Front-loaded",IF(1&lt;='I_Inputs &amp; Assumptions'!$B$8/2,'I_Budget Input Data'!$D$156*0.6/('I_Inputs &amp; Assumptions'!$B$8/2),'I_Budget Input Data'!$D$156*0.4/('I_Inputs &amp; Assumptions'!$B$8/2)),IF('I_Budget Input Data'!$E$156="Back-loaded",IF(1&lt;='I_Inputs &amp; Assumptions'!$B$8/2,'I_Budget Input Data'!$D$156*0.4/('I_Inputs &amp; Assumptions'!$B$8/2),'I_Budget Input Data'!$D$156*0.6/('I_Inputs &amp; Assumptions'!$B$8/2)),IF('I_Budget Input Data'!$E$156="Mid-weighted",IF(1&lt;='I_Inputs &amp; Assumptions'!$B$8/4,'I_Budget Input Data'!$D$156*0.2/('I_Inputs &amp; Assumptions'!$B$8/4),IF(1&lt;='I_Inputs &amp; Assumptions'!$B$8*0.75,'I_Budget Input Data'!$D$156*0.6/('I_Inputs &amp; Assumptions'!$B$8/2),'I_Budget Input Data'!$D$156*0.2/('I_Inputs &amp; Assumptions'!$B$8/4))),IF('I_Budget Input Data'!$E$156="At Completion",IF(1='I_Inputs &amp; Assumptions'!$B$8,'I_Budget Input Data'!$D$156,0),'I_Budget Input Data'!$D$156/'I_Inputs &amp; Assumptions'!$B$8)))))),0)</f>
        <v>122498.69230769231</v>
      </c>
      <c r="D156" s="91">
        <f>IF(2&lt;='I_Inputs &amp; Assumptions'!$B$8,IF('I_Budget Input Data'!$E$156="Upfront",IF(2=1,'I_Budget Input Data'!$D$156,0),IF('I_Budget Input Data'!$E$156="Equal",'I_Budget Input Data'!$D$156/'I_Inputs &amp; Assumptions'!$B$8,IF('I_Budget Input Data'!$E$156="Front-loaded",IF(2&lt;='I_Inputs &amp; Assumptions'!$B$8/2,'I_Budget Input Data'!$D$156*0.6/('I_Inputs &amp; Assumptions'!$B$8/2),'I_Budget Input Data'!$D$156*0.4/('I_Inputs &amp; Assumptions'!$B$8/2)),IF('I_Budget Input Data'!$E$156="Back-loaded",IF(2&lt;='I_Inputs &amp; Assumptions'!$B$8/2,'I_Budget Input Data'!$D$156*0.4/('I_Inputs &amp; Assumptions'!$B$8/2),'I_Budget Input Data'!$D$156*0.6/('I_Inputs &amp; Assumptions'!$B$8/2)),IF('I_Budget Input Data'!$E$156="Mid-weighted",IF(2&lt;='I_Inputs &amp; Assumptions'!$B$8/4,'I_Budget Input Data'!$D$156*0.2/('I_Inputs &amp; Assumptions'!$B$8/4),IF(2&lt;='I_Inputs &amp; Assumptions'!$B$8*0.75,'I_Budget Input Data'!$D$156*0.6/('I_Inputs &amp; Assumptions'!$B$8/2),'I_Budget Input Data'!$D$156*0.2/('I_Inputs &amp; Assumptions'!$B$8/4))),IF('I_Budget Input Data'!$E$156="At Completion",IF(2='I_Inputs &amp; Assumptions'!$B$8,'I_Budget Input Data'!$D$156,0),'I_Budget Input Data'!$D$156/'I_Inputs &amp; Assumptions'!$B$8)))))),0)</f>
        <v>122498.69230769231</v>
      </c>
      <c r="E156" s="91">
        <f>IF(3&lt;='I_Inputs &amp; Assumptions'!$B$8,IF('I_Budget Input Data'!$E$156="Upfront",IF(3=1,'I_Budget Input Data'!$D$156,0),IF('I_Budget Input Data'!$E$156="Equal",'I_Budget Input Data'!$D$156/'I_Inputs &amp; Assumptions'!$B$8,IF('I_Budget Input Data'!$E$156="Front-loaded",IF(3&lt;='I_Inputs &amp; Assumptions'!$B$8/2,'I_Budget Input Data'!$D$156*0.6/('I_Inputs &amp; Assumptions'!$B$8/2),'I_Budget Input Data'!$D$156*0.4/('I_Inputs &amp; Assumptions'!$B$8/2)),IF('I_Budget Input Data'!$E$156="Back-loaded",IF(3&lt;='I_Inputs &amp; Assumptions'!$B$8/2,'I_Budget Input Data'!$D$156*0.4/('I_Inputs &amp; Assumptions'!$B$8/2),'I_Budget Input Data'!$D$156*0.6/('I_Inputs &amp; Assumptions'!$B$8/2)),IF('I_Budget Input Data'!$E$156="Mid-weighted",IF(3&lt;='I_Inputs &amp; Assumptions'!$B$8/4,'I_Budget Input Data'!$D$156*0.2/('I_Inputs &amp; Assumptions'!$B$8/4),IF(3&lt;='I_Inputs &amp; Assumptions'!$B$8*0.75,'I_Budget Input Data'!$D$156*0.6/('I_Inputs &amp; Assumptions'!$B$8/2),'I_Budget Input Data'!$D$156*0.2/('I_Inputs &amp; Assumptions'!$B$8/4))),IF('I_Budget Input Data'!$E$156="At Completion",IF(3='I_Inputs &amp; Assumptions'!$B$8,'I_Budget Input Data'!$D$156,0),'I_Budget Input Data'!$D$156/'I_Inputs &amp; Assumptions'!$B$8)))))),0)</f>
        <v>122498.69230769231</v>
      </c>
      <c r="F156" s="91">
        <f>IF(4&lt;='I_Inputs &amp; Assumptions'!$B$8,IF('I_Budget Input Data'!$E$156="Upfront",IF(4=1,'I_Budget Input Data'!$D$156,0),IF('I_Budget Input Data'!$E$156="Equal",'I_Budget Input Data'!$D$156/'I_Inputs &amp; Assumptions'!$B$8,IF('I_Budget Input Data'!$E$156="Front-loaded",IF(4&lt;='I_Inputs &amp; Assumptions'!$B$8/2,'I_Budget Input Data'!$D$156*0.6/('I_Inputs &amp; Assumptions'!$B$8/2),'I_Budget Input Data'!$D$156*0.4/('I_Inputs &amp; Assumptions'!$B$8/2)),IF('I_Budget Input Data'!$E$156="Back-loaded",IF(4&lt;='I_Inputs &amp; Assumptions'!$B$8/2,'I_Budget Input Data'!$D$156*0.4/('I_Inputs &amp; Assumptions'!$B$8/2),'I_Budget Input Data'!$D$156*0.6/('I_Inputs &amp; Assumptions'!$B$8/2)),IF('I_Budget Input Data'!$E$156="Mid-weighted",IF(4&lt;='I_Inputs &amp; Assumptions'!$B$8/4,'I_Budget Input Data'!$D$156*0.2/('I_Inputs &amp; Assumptions'!$B$8/4),IF(4&lt;='I_Inputs &amp; Assumptions'!$B$8*0.75,'I_Budget Input Data'!$D$156*0.6/('I_Inputs &amp; Assumptions'!$B$8/2),'I_Budget Input Data'!$D$156*0.2/('I_Inputs &amp; Assumptions'!$B$8/4))),IF('I_Budget Input Data'!$E$156="At Completion",IF(4='I_Inputs &amp; Assumptions'!$B$8,'I_Budget Input Data'!$D$156,0),'I_Budget Input Data'!$D$156/'I_Inputs &amp; Assumptions'!$B$8)))))),0)</f>
        <v>122498.69230769231</v>
      </c>
      <c r="G156" s="91">
        <f>IF(5&lt;='I_Inputs &amp; Assumptions'!$B$8,IF('I_Budget Input Data'!$E$156="Upfront",IF(5=1,'I_Budget Input Data'!$D$156,0),IF('I_Budget Input Data'!$E$156="Equal",'I_Budget Input Data'!$D$156/'I_Inputs &amp; Assumptions'!$B$8,IF('I_Budget Input Data'!$E$156="Front-loaded",IF(5&lt;='I_Inputs &amp; Assumptions'!$B$8/2,'I_Budget Input Data'!$D$156*0.6/('I_Inputs &amp; Assumptions'!$B$8/2),'I_Budget Input Data'!$D$156*0.4/('I_Inputs &amp; Assumptions'!$B$8/2)),IF('I_Budget Input Data'!$E$156="Back-loaded",IF(5&lt;='I_Inputs &amp; Assumptions'!$B$8/2,'I_Budget Input Data'!$D$156*0.4/('I_Inputs &amp; Assumptions'!$B$8/2),'I_Budget Input Data'!$D$156*0.6/('I_Inputs &amp; Assumptions'!$B$8/2)),IF('I_Budget Input Data'!$E$156="Mid-weighted",IF(5&lt;='I_Inputs &amp; Assumptions'!$B$8/4,'I_Budget Input Data'!$D$156*0.2/('I_Inputs &amp; Assumptions'!$B$8/4),IF(5&lt;='I_Inputs &amp; Assumptions'!$B$8*0.75,'I_Budget Input Data'!$D$156*0.6/('I_Inputs &amp; Assumptions'!$B$8/2),'I_Budget Input Data'!$D$156*0.2/('I_Inputs &amp; Assumptions'!$B$8/4))),IF('I_Budget Input Data'!$E$156="At Completion",IF(5='I_Inputs &amp; Assumptions'!$B$8,'I_Budget Input Data'!$D$156,0),'I_Budget Input Data'!$D$156/'I_Inputs &amp; Assumptions'!$B$8)))))),0)</f>
        <v>122498.69230769231</v>
      </c>
      <c r="H156" s="91">
        <f>IF(6&lt;='I_Inputs &amp; Assumptions'!$B$8,IF('I_Budget Input Data'!$E$156="Upfront",IF(6=1,'I_Budget Input Data'!$D$156,0),IF('I_Budget Input Data'!$E$156="Equal",'I_Budget Input Data'!$D$156/'I_Inputs &amp; Assumptions'!$B$8,IF('I_Budget Input Data'!$E$156="Front-loaded",IF(6&lt;='I_Inputs &amp; Assumptions'!$B$8/2,'I_Budget Input Data'!$D$156*0.6/('I_Inputs &amp; Assumptions'!$B$8/2),'I_Budget Input Data'!$D$156*0.4/('I_Inputs &amp; Assumptions'!$B$8/2)),IF('I_Budget Input Data'!$E$156="Back-loaded",IF(6&lt;='I_Inputs &amp; Assumptions'!$B$8/2,'I_Budget Input Data'!$D$156*0.4/('I_Inputs &amp; Assumptions'!$B$8/2),'I_Budget Input Data'!$D$156*0.6/('I_Inputs &amp; Assumptions'!$B$8/2)),IF('I_Budget Input Data'!$E$156="Mid-weighted",IF(6&lt;='I_Inputs &amp; Assumptions'!$B$8/4,'I_Budget Input Data'!$D$156*0.2/('I_Inputs &amp; Assumptions'!$B$8/4),IF(6&lt;='I_Inputs &amp; Assumptions'!$B$8*0.75,'I_Budget Input Data'!$D$156*0.6/('I_Inputs &amp; Assumptions'!$B$8/2),'I_Budget Input Data'!$D$156*0.2/('I_Inputs &amp; Assumptions'!$B$8/4))),IF('I_Budget Input Data'!$E$156="At Completion",IF(6='I_Inputs &amp; Assumptions'!$B$8,'I_Budget Input Data'!$D$156,0),'I_Budget Input Data'!$D$156/'I_Inputs &amp; Assumptions'!$B$8)))))),0)</f>
        <v>122498.69230769231</v>
      </c>
      <c r="I156" s="91">
        <f>IF(7&lt;='I_Inputs &amp; Assumptions'!$B$8,IF('I_Budget Input Data'!$E$156="Upfront",IF(7=1,'I_Budget Input Data'!$D$156,0),IF('I_Budget Input Data'!$E$156="Equal",'I_Budget Input Data'!$D$156/'I_Inputs &amp; Assumptions'!$B$8,IF('I_Budget Input Data'!$E$156="Front-loaded",IF(7&lt;='I_Inputs &amp; Assumptions'!$B$8/2,'I_Budget Input Data'!$D$156*0.6/('I_Inputs &amp; Assumptions'!$B$8/2),'I_Budget Input Data'!$D$156*0.4/('I_Inputs &amp; Assumptions'!$B$8/2)),IF('I_Budget Input Data'!$E$156="Back-loaded",IF(7&lt;='I_Inputs &amp; Assumptions'!$B$8/2,'I_Budget Input Data'!$D$156*0.4/('I_Inputs &amp; Assumptions'!$B$8/2),'I_Budget Input Data'!$D$156*0.6/('I_Inputs &amp; Assumptions'!$B$8/2)),IF('I_Budget Input Data'!$E$156="Mid-weighted",IF(7&lt;='I_Inputs &amp; Assumptions'!$B$8/4,'I_Budget Input Data'!$D$156*0.2/('I_Inputs &amp; Assumptions'!$B$8/4),IF(7&lt;='I_Inputs &amp; Assumptions'!$B$8*0.75,'I_Budget Input Data'!$D$156*0.6/('I_Inputs &amp; Assumptions'!$B$8/2),'I_Budget Input Data'!$D$156*0.2/('I_Inputs &amp; Assumptions'!$B$8/4))),IF('I_Budget Input Data'!$E$156="At Completion",IF(7='I_Inputs &amp; Assumptions'!$B$8,'I_Budget Input Data'!$D$156,0),'I_Budget Input Data'!$D$156/'I_Inputs &amp; Assumptions'!$B$8)))))),0)</f>
        <v>122498.69230769231</v>
      </c>
      <c r="J156" s="91">
        <f>IF(8&lt;='I_Inputs &amp; Assumptions'!$B$8,IF('I_Budget Input Data'!$E$156="Upfront",IF(8=1,'I_Budget Input Data'!$D$156,0),IF('I_Budget Input Data'!$E$156="Equal",'I_Budget Input Data'!$D$156/'I_Inputs &amp; Assumptions'!$B$8,IF('I_Budget Input Data'!$E$156="Front-loaded",IF(8&lt;='I_Inputs &amp; Assumptions'!$B$8/2,'I_Budget Input Data'!$D$156*0.6/('I_Inputs &amp; Assumptions'!$B$8/2),'I_Budget Input Data'!$D$156*0.4/('I_Inputs &amp; Assumptions'!$B$8/2)),IF('I_Budget Input Data'!$E$156="Back-loaded",IF(8&lt;='I_Inputs &amp; Assumptions'!$B$8/2,'I_Budget Input Data'!$D$156*0.4/('I_Inputs &amp; Assumptions'!$B$8/2),'I_Budget Input Data'!$D$156*0.6/('I_Inputs &amp; Assumptions'!$B$8/2)),IF('I_Budget Input Data'!$E$156="Mid-weighted",IF(8&lt;='I_Inputs &amp; Assumptions'!$B$8/4,'I_Budget Input Data'!$D$156*0.2/('I_Inputs &amp; Assumptions'!$B$8/4),IF(8&lt;='I_Inputs &amp; Assumptions'!$B$8*0.75,'I_Budget Input Data'!$D$156*0.6/('I_Inputs &amp; Assumptions'!$B$8/2),'I_Budget Input Data'!$D$156*0.2/('I_Inputs &amp; Assumptions'!$B$8/4))),IF('I_Budget Input Data'!$E$156="At Completion",IF(8='I_Inputs &amp; Assumptions'!$B$8,'I_Budget Input Data'!$D$156,0),'I_Budget Input Data'!$D$156/'I_Inputs &amp; Assumptions'!$B$8)))))),0)</f>
        <v>122498.69230769231</v>
      </c>
      <c r="K156" s="91">
        <f>IF(9&lt;='I_Inputs &amp; Assumptions'!$B$8,IF('I_Budget Input Data'!$E$156="Upfront",IF(9=1,'I_Budget Input Data'!$D$156,0),IF('I_Budget Input Data'!$E$156="Equal",'I_Budget Input Data'!$D$156/'I_Inputs &amp; Assumptions'!$B$8,IF('I_Budget Input Data'!$E$156="Front-loaded",IF(9&lt;='I_Inputs &amp; Assumptions'!$B$8/2,'I_Budget Input Data'!$D$156*0.6/('I_Inputs &amp; Assumptions'!$B$8/2),'I_Budget Input Data'!$D$156*0.4/('I_Inputs &amp; Assumptions'!$B$8/2)),IF('I_Budget Input Data'!$E$156="Back-loaded",IF(9&lt;='I_Inputs &amp; Assumptions'!$B$8/2,'I_Budget Input Data'!$D$156*0.4/('I_Inputs &amp; Assumptions'!$B$8/2),'I_Budget Input Data'!$D$156*0.6/('I_Inputs &amp; Assumptions'!$B$8/2)),IF('I_Budget Input Data'!$E$156="Mid-weighted",IF(9&lt;='I_Inputs &amp; Assumptions'!$B$8/4,'I_Budget Input Data'!$D$156*0.2/('I_Inputs &amp; Assumptions'!$B$8/4),IF(9&lt;='I_Inputs &amp; Assumptions'!$B$8*0.75,'I_Budget Input Data'!$D$156*0.6/('I_Inputs &amp; Assumptions'!$B$8/2),'I_Budget Input Data'!$D$156*0.2/('I_Inputs &amp; Assumptions'!$B$8/4))),IF('I_Budget Input Data'!$E$156="At Completion",IF(9='I_Inputs &amp; Assumptions'!$B$8,'I_Budget Input Data'!$D$156,0),'I_Budget Input Data'!$D$156/'I_Inputs &amp; Assumptions'!$B$8)))))),0)</f>
        <v>122498.69230769231</v>
      </c>
      <c r="L156" s="91">
        <f>IF(10&lt;='I_Inputs &amp; Assumptions'!$B$8,IF('I_Budget Input Data'!$E$156="Upfront",IF(10=1,'I_Budget Input Data'!$D$156,0),IF('I_Budget Input Data'!$E$156="Equal",'I_Budget Input Data'!$D$156/'I_Inputs &amp; Assumptions'!$B$8,IF('I_Budget Input Data'!$E$156="Front-loaded",IF(10&lt;='I_Inputs &amp; Assumptions'!$B$8/2,'I_Budget Input Data'!$D$156*0.6/('I_Inputs &amp; Assumptions'!$B$8/2),'I_Budget Input Data'!$D$156*0.4/('I_Inputs &amp; Assumptions'!$B$8/2)),IF('I_Budget Input Data'!$E$156="Back-loaded",IF(10&lt;='I_Inputs &amp; Assumptions'!$B$8/2,'I_Budget Input Data'!$D$156*0.4/('I_Inputs &amp; Assumptions'!$B$8/2),'I_Budget Input Data'!$D$156*0.6/('I_Inputs &amp; Assumptions'!$B$8/2)),IF('I_Budget Input Data'!$E$156="Mid-weighted",IF(10&lt;='I_Inputs &amp; Assumptions'!$B$8/4,'I_Budget Input Data'!$D$156*0.2/('I_Inputs &amp; Assumptions'!$B$8/4),IF(10&lt;='I_Inputs &amp; Assumptions'!$B$8*0.75,'I_Budget Input Data'!$D$156*0.6/('I_Inputs &amp; Assumptions'!$B$8/2),'I_Budget Input Data'!$D$156*0.2/('I_Inputs &amp; Assumptions'!$B$8/4))),IF('I_Budget Input Data'!$E$156="At Completion",IF(10='I_Inputs &amp; Assumptions'!$B$8,'I_Budget Input Data'!$D$156,0),'I_Budget Input Data'!$D$156/'I_Inputs &amp; Assumptions'!$B$8)))))),0)</f>
        <v>122498.69230769231</v>
      </c>
      <c r="M156" s="91">
        <f>IF(11&lt;='I_Inputs &amp; Assumptions'!$B$8,IF('I_Budget Input Data'!$E$156="Upfront",IF(11=1,'I_Budget Input Data'!$D$156,0),IF('I_Budget Input Data'!$E$156="Equal",'I_Budget Input Data'!$D$156/'I_Inputs &amp; Assumptions'!$B$8,IF('I_Budget Input Data'!$E$156="Front-loaded",IF(11&lt;='I_Inputs &amp; Assumptions'!$B$8/2,'I_Budget Input Data'!$D$156*0.6/('I_Inputs &amp; Assumptions'!$B$8/2),'I_Budget Input Data'!$D$156*0.4/('I_Inputs &amp; Assumptions'!$B$8/2)),IF('I_Budget Input Data'!$E$156="Back-loaded",IF(11&lt;='I_Inputs &amp; Assumptions'!$B$8/2,'I_Budget Input Data'!$D$156*0.4/('I_Inputs &amp; Assumptions'!$B$8/2),'I_Budget Input Data'!$D$156*0.6/('I_Inputs &amp; Assumptions'!$B$8/2)),IF('I_Budget Input Data'!$E$156="Mid-weighted",IF(11&lt;='I_Inputs &amp; Assumptions'!$B$8/4,'I_Budget Input Data'!$D$156*0.2/('I_Inputs &amp; Assumptions'!$B$8/4),IF(11&lt;='I_Inputs &amp; Assumptions'!$B$8*0.75,'I_Budget Input Data'!$D$156*0.6/('I_Inputs &amp; Assumptions'!$B$8/2),'I_Budget Input Data'!$D$156*0.2/('I_Inputs &amp; Assumptions'!$B$8/4))),IF('I_Budget Input Data'!$E$156="At Completion",IF(11='I_Inputs &amp; Assumptions'!$B$8,'I_Budget Input Data'!$D$156,0),'I_Budget Input Data'!$D$156/'I_Inputs &amp; Assumptions'!$B$8)))))),0)</f>
        <v>122498.69230769231</v>
      </c>
      <c r="N156" s="91">
        <f>IF(12&lt;='I_Inputs &amp; Assumptions'!$B$8,IF('I_Budget Input Data'!$E$156="Upfront",IF(12=1,'I_Budget Input Data'!$D$156,0),IF('I_Budget Input Data'!$E$156="Equal",'I_Budget Input Data'!$D$156/'I_Inputs &amp; Assumptions'!$B$8,IF('I_Budget Input Data'!$E$156="Front-loaded",IF(12&lt;='I_Inputs &amp; Assumptions'!$B$8/2,'I_Budget Input Data'!$D$156*0.6/('I_Inputs &amp; Assumptions'!$B$8/2),'I_Budget Input Data'!$D$156*0.4/('I_Inputs &amp; Assumptions'!$B$8/2)),IF('I_Budget Input Data'!$E$156="Back-loaded",IF(12&lt;='I_Inputs &amp; Assumptions'!$B$8/2,'I_Budget Input Data'!$D$156*0.4/('I_Inputs &amp; Assumptions'!$B$8/2),'I_Budget Input Data'!$D$156*0.6/('I_Inputs &amp; Assumptions'!$B$8/2)),IF('I_Budget Input Data'!$E$156="Mid-weighted",IF(12&lt;='I_Inputs &amp; Assumptions'!$B$8/4,'I_Budget Input Data'!$D$156*0.2/('I_Inputs &amp; Assumptions'!$B$8/4),IF(12&lt;='I_Inputs &amp; Assumptions'!$B$8*0.75,'I_Budget Input Data'!$D$156*0.6/('I_Inputs &amp; Assumptions'!$B$8/2),'I_Budget Input Data'!$D$156*0.2/('I_Inputs &amp; Assumptions'!$B$8/4))),IF('I_Budget Input Data'!$E$156="At Completion",IF(12='I_Inputs &amp; Assumptions'!$B$8,'I_Budget Input Data'!$D$156,0),'I_Budget Input Data'!$D$156/'I_Inputs &amp; Assumptions'!$B$8)))))),0)</f>
        <v>122498.69230769231</v>
      </c>
      <c r="O156" s="91">
        <f>IF(13&lt;='I_Inputs &amp; Assumptions'!$B$8,IF('I_Budget Input Data'!$E$156="Upfront",IF(13=1,'I_Budget Input Data'!$D$156,0),IF('I_Budget Input Data'!$E$156="Equal",'I_Budget Input Data'!$D$156/'I_Inputs &amp; Assumptions'!$B$8,IF('I_Budget Input Data'!$E$156="Front-loaded",IF(13&lt;='I_Inputs &amp; Assumptions'!$B$8/2,'I_Budget Input Data'!$D$156*0.6/('I_Inputs &amp; Assumptions'!$B$8/2),'I_Budget Input Data'!$D$156*0.4/('I_Inputs &amp; Assumptions'!$B$8/2)),IF('I_Budget Input Data'!$E$156="Back-loaded",IF(13&lt;='I_Inputs &amp; Assumptions'!$B$8/2,'I_Budget Input Data'!$D$156*0.4/('I_Inputs &amp; Assumptions'!$B$8/2),'I_Budget Input Data'!$D$156*0.6/('I_Inputs &amp; Assumptions'!$B$8/2)),IF('I_Budget Input Data'!$E$156="Mid-weighted",IF(13&lt;='I_Inputs &amp; Assumptions'!$B$8/4,'I_Budget Input Data'!$D$156*0.2/('I_Inputs &amp; Assumptions'!$B$8/4),IF(13&lt;='I_Inputs &amp; Assumptions'!$B$8*0.75,'I_Budget Input Data'!$D$156*0.6/('I_Inputs &amp; Assumptions'!$B$8/2),'I_Budget Input Data'!$D$156*0.2/('I_Inputs &amp; Assumptions'!$B$8/4))),IF('I_Budget Input Data'!$E$156="At Completion",IF(13='I_Inputs &amp; Assumptions'!$B$8,'I_Budget Input Data'!$D$156,0),'I_Budget Input Data'!$D$156/'I_Inputs &amp; Assumptions'!$B$8)))))),0)</f>
        <v>122498.69230769231</v>
      </c>
      <c r="P156" s="91">
        <f>IF(14&lt;='I_Inputs &amp; Assumptions'!$B$8,IF('I_Budget Input Data'!$E$156="Upfront",IF(14=1,'I_Budget Input Data'!$D$156,0),IF('I_Budget Input Data'!$E$156="Equal",'I_Budget Input Data'!$D$156/'I_Inputs &amp; Assumptions'!$B$8,IF('I_Budget Input Data'!$E$156="Front-loaded",IF(14&lt;='I_Inputs &amp; Assumptions'!$B$8/2,'I_Budget Input Data'!$D$156*0.6/('I_Inputs &amp; Assumptions'!$B$8/2),'I_Budget Input Data'!$D$156*0.4/('I_Inputs &amp; Assumptions'!$B$8/2)),IF('I_Budget Input Data'!$E$156="Back-loaded",IF(14&lt;='I_Inputs &amp; Assumptions'!$B$8/2,'I_Budget Input Data'!$D$156*0.4/('I_Inputs &amp; Assumptions'!$B$8/2),'I_Budget Input Data'!$D$156*0.6/('I_Inputs &amp; Assumptions'!$B$8/2)),IF('I_Budget Input Data'!$E$156="Mid-weighted",IF(14&lt;='I_Inputs &amp; Assumptions'!$B$8/4,'I_Budget Input Data'!$D$156*0.2/('I_Inputs &amp; Assumptions'!$B$8/4),IF(14&lt;='I_Inputs &amp; Assumptions'!$B$8*0.75,'I_Budget Input Data'!$D$156*0.6/('I_Inputs &amp; Assumptions'!$B$8/2),'I_Budget Input Data'!$D$156*0.2/('I_Inputs &amp; Assumptions'!$B$8/4))),IF('I_Budget Input Data'!$E$156="At Completion",IF(14='I_Inputs &amp; Assumptions'!$B$8,'I_Budget Input Data'!$D$156,0),'I_Budget Input Data'!$D$156/'I_Inputs &amp; Assumptions'!$B$8)))))),0)</f>
        <v>0</v>
      </c>
      <c r="Q156" s="91">
        <f>IF(15&lt;='I_Inputs &amp; Assumptions'!$B$8,IF('I_Budget Input Data'!$E$156="Upfront",IF(15=1,'I_Budget Input Data'!$D$156,0),IF('I_Budget Input Data'!$E$156="Equal",'I_Budget Input Data'!$D$156/'I_Inputs &amp; Assumptions'!$B$8,IF('I_Budget Input Data'!$E$156="Front-loaded",IF(15&lt;='I_Inputs &amp; Assumptions'!$B$8/2,'I_Budget Input Data'!$D$156*0.6/('I_Inputs &amp; Assumptions'!$B$8/2),'I_Budget Input Data'!$D$156*0.4/('I_Inputs &amp; Assumptions'!$B$8/2)),IF('I_Budget Input Data'!$E$156="Back-loaded",IF(15&lt;='I_Inputs &amp; Assumptions'!$B$8/2,'I_Budget Input Data'!$D$156*0.4/('I_Inputs &amp; Assumptions'!$B$8/2),'I_Budget Input Data'!$D$156*0.6/('I_Inputs &amp; Assumptions'!$B$8/2)),IF('I_Budget Input Data'!$E$156="Mid-weighted",IF(15&lt;='I_Inputs &amp; Assumptions'!$B$8/4,'I_Budget Input Data'!$D$156*0.2/('I_Inputs &amp; Assumptions'!$B$8/4),IF(15&lt;='I_Inputs &amp; Assumptions'!$B$8*0.75,'I_Budget Input Data'!$D$156*0.6/('I_Inputs &amp; Assumptions'!$B$8/2),'I_Budget Input Data'!$D$156*0.2/('I_Inputs &amp; Assumptions'!$B$8/4))),IF('I_Budget Input Data'!$E$156="At Completion",IF(15='I_Inputs &amp; Assumptions'!$B$8,'I_Budget Input Data'!$D$156,0),'I_Budget Input Data'!$D$156/'I_Inputs &amp; Assumptions'!$B$8)))))),0)</f>
        <v>0</v>
      </c>
      <c r="R156" s="91">
        <f>IF(16&lt;='I_Inputs &amp; Assumptions'!$B$8,IF('I_Budget Input Data'!$E$156="Upfront",IF(16=1,'I_Budget Input Data'!$D$156,0),IF('I_Budget Input Data'!$E$156="Equal",'I_Budget Input Data'!$D$156/'I_Inputs &amp; Assumptions'!$B$8,IF('I_Budget Input Data'!$E$156="Front-loaded",IF(16&lt;='I_Inputs &amp; Assumptions'!$B$8/2,'I_Budget Input Data'!$D$156*0.6/('I_Inputs &amp; Assumptions'!$B$8/2),'I_Budget Input Data'!$D$156*0.4/('I_Inputs &amp; Assumptions'!$B$8/2)),IF('I_Budget Input Data'!$E$156="Back-loaded",IF(16&lt;='I_Inputs &amp; Assumptions'!$B$8/2,'I_Budget Input Data'!$D$156*0.4/('I_Inputs &amp; Assumptions'!$B$8/2),'I_Budget Input Data'!$D$156*0.6/('I_Inputs &amp; Assumptions'!$B$8/2)),IF('I_Budget Input Data'!$E$156="Mid-weighted",IF(16&lt;='I_Inputs &amp; Assumptions'!$B$8/4,'I_Budget Input Data'!$D$156*0.2/('I_Inputs &amp; Assumptions'!$B$8/4),IF(16&lt;='I_Inputs &amp; Assumptions'!$B$8*0.75,'I_Budget Input Data'!$D$156*0.6/('I_Inputs &amp; Assumptions'!$B$8/2),'I_Budget Input Data'!$D$156*0.2/('I_Inputs &amp; Assumptions'!$B$8/4))),IF('I_Budget Input Data'!$E$156="At Completion",IF(16='I_Inputs &amp; Assumptions'!$B$8,'I_Budget Input Data'!$D$156,0),'I_Budget Input Data'!$D$156/'I_Inputs &amp; Assumptions'!$B$8)))))),0)</f>
        <v>0</v>
      </c>
      <c r="S156" s="91">
        <f>IF(17&lt;='I_Inputs &amp; Assumptions'!$B$8,IF('I_Budget Input Data'!$E$156="Upfront",IF(17=1,'I_Budget Input Data'!$D$156,0),IF('I_Budget Input Data'!$E$156="Equal",'I_Budget Input Data'!$D$156/'I_Inputs &amp; Assumptions'!$B$8,IF('I_Budget Input Data'!$E$156="Front-loaded",IF(17&lt;='I_Inputs &amp; Assumptions'!$B$8/2,'I_Budget Input Data'!$D$156*0.6/('I_Inputs &amp; Assumptions'!$B$8/2),'I_Budget Input Data'!$D$156*0.4/('I_Inputs &amp; Assumptions'!$B$8/2)),IF('I_Budget Input Data'!$E$156="Back-loaded",IF(17&lt;='I_Inputs &amp; Assumptions'!$B$8/2,'I_Budget Input Data'!$D$156*0.4/('I_Inputs &amp; Assumptions'!$B$8/2),'I_Budget Input Data'!$D$156*0.6/('I_Inputs &amp; Assumptions'!$B$8/2)),IF('I_Budget Input Data'!$E$156="Mid-weighted",IF(17&lt;='I_Inputs &amp; Assumptions'!$B$8/4,'I_Budget Input Data'!$D$156*0.2/('I_Inputs &amp; Assumptions'!$B$8/4),IF(17&lt;='I_Inputs &amp; Assumptions'!$B$8*0.75,'I_Budget Input Data'!$D$156*0.6/('I_Inputs &amp; Assumptions'!$B$8/2),'I_Budget Input Data'!$D$156*0.2/('I_Inputs &amp; Assumptions'!$B$8/4))),IF('I_Budget Input Data'!$E$156="At Completion",IF(17='I_Inputs &amp; Assumptions'!$B$8,'I_Budget Input Data'!$D$156,0),'I_Budget Input Data'!$D$156/'I_Inputs &amp; Assumptions'!$B$8)))))),0)</f>
        <v>0</v>
      </c>
      <c r="T156" s="91">
        <f>IF(18&lt;='I_Inputs &amp; Assumptions'!$B$8,IF('I_Budget Input Data'!$E$156="Upfront",IF(18=1,'I_Budget Input Data'!$D$156,0),IF('I_Budget Input Data'!$E$156="Equal",'I_Budget Input Data'!$D$156/'I_Inputs &amp; Assumptions'!$B$8,IF('I_Budget Input Data'!$E$156="Front-loaded",IF(18&lt;='I_Inputs &amp; Assumptions'!$B$8/2,'I_Budget Input Data'!$D$156*0.6/('I_Inputs &amp; Assumptions'!$B$8/2),'I_Budget Input Data'!$D$156*0.4/('I_Inputs &amp; Assumptions'!$B$8/2)),IF('I_Budget Input Data'!$E$156="Back-loaded",IF(18&lt;='I_Inputs &amp; Assumptions'!$B$8/2,'I_Budget Input Data'!$D$156*0.4/('I_Inputs &amp; Assumptions'!$B$8/2),'I_Budget Input Data'!$D$156*0.6/('I_Inputs &amp; Assumptions'!$B$8/2)),IF('I_Budget Input Data'!$E$156="Mid-weighted",IF(18&lt;='I_Inputs &amp; Assumptions'!$B$8/4,'I_Budget Input Data'!$D$156*0.2/('I_Inputs &amp; Assumptions'!$B$8/4),IF(18&lt;='I_Inputs &amp; Assumptions'!$B$8*0.75,'I_Budget Input Data'!$D$156*0.6/('I_Inputs &amp; Assumptions'!$B$8/2),'I_Budget Input Data'!$D$156*0.2/('I_Inputs &amp; Assumptions'!$B$8/4))),IF('I_Budget Input Data'!$E$156="At Completion",IF(18='I_Inputs &amp; Assumptions'!$B$8,'I_Budget Input Data'!$D$156,0),'I_Budget Input Data'!$D$156/'I_Inputs &amp; Assumptions'!$B$8)))))),0)</f>
        <v>0</v>
      </c>
      <c r="U156" s="91">
        <f>IF(19&lt;='I_Inputs &amp; Assumptions'!$B$8,IF('I_Budget Input Data'!$E$156="Upfront",IF(19=1,'I_Budget Input Data'!$D$156,0),IF('I_Budget Input Data'!$E$156="Equal",'I_Budget Input Data'!$D$156/'I_Inputs &amp; Assumptions'!$B$8,IF('I_Budget Input Data'!$E$156="Front-loaded",IF(19&lt;='I_Inputs &amp; Assumptions'!$B$8/2,'I_Budget Input Data'!$D$156*0.6/('I_Inputs &amp; Assumptions'!$B$8/2),'I_Budget Input Data'!$D$156*0.4/('I_Inputs &amp; Assumptions'!$B$8/2)),IF('I_Budget Input Data'!$E$156="Back-loaded",IF(19&lt;='I_Inputs &amp; Assumptions'!$B$8/2,'I_Budget Input Data'!$D$156*0.4/('I_Inputs &amp; Assumptions'!$B$8/2),'I_Budget Input Data'!$D$156*0.6/('I_Inputs &amp; Assumptions'!$B$8/2)),IF('I_Budget Input Data'!$E$156="Mid-weighted",IF(19&lt;='I_Inputs &amp; Assumptions'!$B$8/4,'I_Budget Input Data'!$D$156*0.2/('I_Inputs &amp; Assumptions'!$B$8/4),IF(19&lt;='I_Inputs &amp; Assumptions'!$B$8*0.75,'I_Budget Input Data'!$D$156*0.6/('I_Inputs &amp; Assumptions'!$B$8/2),'I_Budget Input Data'!$D$156*0.2/('I_Inputs &amp; Assumptions'!$B$8/4))),IF('I_Budget Input Data'!$E$156="At Completion",IF(19='I_Inputs &amp; Assumptions'!$B$8,'I_Budget Input Data'!$D$156,0),'I_Budget Input Data'!$D$156/'I_Inputs &amp; Assumptions'!$B$8)))))),0)</f>
        <v>0</v>
      </c>
      <c r="V156" s="91">
        <f>IF(20&lt;='I_Inputs &amp; Assumptions'!$B$8,IF('I_Budget Input Data'!$E$156="Upfront",IF(20=1,'I_Budget Input Data'!$D$156,0),IF('I_Budget Input Data'!$E$156="Equal",'I_Budget Input Data'!$D$156/'I_Inputs &amp; Assumptions'!$B$8,IF('I_Budget Input Data'!$E$156="Front-loaded",IF(20&lt;='I_Inputs &amp; Assumptions'!$B$8/2,'I_Budget Input Data'!$D$156*0.6/('I_Inputs &amp; Assumptions'!$B$8/2),'I_Budget Input Data'!$D$156*0.4/('I_Inputs &amp; Assumptions'!$B$8/2)),IF('I_Budget Input Data'!$E$156="Back-loaded",IF(20&lt;='I_Inputs &amp; Assumptions'!$B$8/2,'I_Budget Input Data'!$D$156*0.4/('I_Inputs &amp; Assumptions'!$B$8/2),'I_Budget Input Data'!$D$156*0.6/('I_Inputs &amp; Assumptions'!$B$8/2)),IF('I_Budget Input Data'!$E$156="Mid-weighted",IF(20&lt;='I_Inputs &amp; Assumptions'!$B$8/4,'I_Budget Input Data'!$D$156*0.2/('I_Inputs &amp; Assumptions'!$B$8/4),IF(20&lt;='I_Inputs &amp; Assumptions'!$B$8*0.75,'I_Budget Input Data'!$D$156*0.6/('I_Inputs &amp; Assumptions'!$B$8/2),'I_Budget Input Data'!$D$156*0.2/('I_Inputs &amp; Assumptions'!$B$8/4))),IF('I_Budget Input Data'!$E$156="At Completion",IF(20='I_Inputs &amp; Assumptions'!$B$8,'I_Budget Input Data'!$D$156,0),'I_Budget Input Data'!$D$156/'I_Inputs &amp; Assumptions'!$B$8)))))),0)</f>
        <v>0</v>
      </c>
      <c r="W156" s="91">
        <f>IF(21&lt;='I_Inputs &amp; Assumptions'!$B$8,IF('I_Budget Input Data'!$E$156="Upfront",IF(21=1,'I_Budget Input Data'!$D$156,0),IF('I_Budget Input Data'!$E$156="Equal",'I_Budget Input Data'!$D$156/'I_Inputs &amp; Assumptions'!$B$8,IF('I_Budget Input Data'!$E$156="Front-loaded",IF(21&lt;='I_Inputs &amp; Assumptions'!$B$8/2,'I_Budget Input Data'!$D$156*0.6/('I_Inputs &amp; Assumptions'!$B$8/2),'I_Budget Input Data'!$D$156*0.4/('I_Inputs &amp; Assumptions'!$B$8/2)),IF('I_Budget Input Data'!$E$156="Back-loaded",IF(21&lt;='I_Inputs &amp; Assumptions'!$B$8/2,'I_Budget Input Data'!$D$156*0.4/('I_Inputs &amp; Assumptions'!$B$8/2),'I_Budget Input Data'!$D$156*0.6/('I_Inputs &amp; Assumptions'!$B$8/2)),IF('I_Budget Input Data'!$E$156="Mid-weighted",IF(21&lt;='I_Inputs &amp; Assumptions'!$B$8/4,'I_Budget Input Data'!$D$156*0.2/('I_Inputs &amp; Assumptions'!$B$8/4),IF(21&lt;='I_Inputs &amp; Assumptions'!$B$8*0.75,'I_Budget Input Data'!$D$156*0.6/('I_Inputs &amp; Assumptions'!$B$8/2),'I_Budget Input Data'!$D$156*0.2/('I_Inputs &amp; Assumptions'!$B$8/4))),IF('I_Budget Input Data'!$E$156="At Completion",IF(21='I_Inputs &amp; Assumptions'!$B$8,'I_Budget Input Data'!$D$156,0),'I_Budget Input Data'!$D$156/'I_Inputs &amp; Assumptions'!$B$8)))))),0)</f>
        <v>0</v>
      </c>
      <c r="X156" s="91">
        <f>IF(22&lt;='I_Inputs &amp; Assumptions'!$B$8,IF('I_Budget Input Data'!$E$156="Upfront",IF(22=1,'I_Budget Input Data'!$D$156,0),IF('I_Budget Input Data'!$E$156="Equal",'I_Budget Input Data'!$D$156/'I_Inputs &amp; Assumptions'!$B$8,IF('I_Budget Input Data'!$E$156="Front-loaded",IF(22&lt;='I_Inputs &amp; Assumptions'!$B$8/2,'I_Budget Input Data'!$D$156*0.6/('I_Inputs &amp; Assumptions'!$B$8/2),'I_Budget Input Data'!$D$156*0.4/('I_Inputs &amp; Assumptions'!$B$8/2)),IF('I_Budget Input Data'!$E$156="Back-loaded",IF(22&lt;='I_Inputs &amp; Assumptions'!$B$8/2,'I_Budget Input Data'!$D$156*0.4/('I_Inputs &amp; Assumptions'!$B$8/2),'I_Budget Input Data'!$D$156*0.6/('I_Inputs &amp; Assumptions'!$B$8/2)),IF('I_Budget Input Data'!$E$156="Mid-weighted",IF(22&lt;='I_Inputs &amp; Assumptions'!$B$8/4,'I_Budget Input Data'!$D$156*0.2/('I_Inputs &amp; Assumptions'!$B$8/4),IF(22&lt;='I_Inputs &amp; Assumptions'!$B$8*0.75,'I_Budget Input Data'!$D$156*0.6/('I_Inputs &amp; Assumptions'!$B$8/2),'I_Budget Input Data'!$D$156*0.2/('I_Inputs &amp; Assumptions'!$B$8/4))),IF('I_Budget Input Data'!$E$156="At Completion",IF(22='I_Inputs &amp; Assumptions'!$B$8,'I_Budget Input Data'!$D$156,0),'I_Budget Input Data'!$D$156/'I_Inputs &amp; Assumptions'!$B$8)))))),0)</f>
        <v>0</v>
      </c>
      <c r="Y156" s="91">
        <f>IF(23&lt;='I_Inputs &amp; Assumptions'!$B$8,IF('I_Budget Input Data'!$E$156="Upfront",IF(23=1,'I_Budget Input Data'!$D$156,0),IF('I_Budget Input Data'!$E$156="Equal",'I_Budget Input Data'!$D$156/'I_Inputs &amp; Assumptions'!$B$8,IF('I_Budget Input Data'!$E$156="Front-loaded",IF(23&lt;='I_Inputs &amp; Assumptions'!$B$8/2,'I_Budget Input Data'!$D$156*0.6/('I_Inputs &amp; Assumptions'!$B$8/2),'I_Budget Input Data'!$D$156*0.4/('I_Inputs &amp; Assumptions'!$B$8/2)),IF('I_Budget Input Data'!$E$156="Back-loaded",IF(23&lt;='I_Inputs &amp; Assumptions'!$B$8/2,'I_Budget Input Data'!$D$156*0.4/('I_Inputs &amp; Assumptions'!$B$8/2),'I_Budget Input Data'!$D$156*0.6/('I_Inputs &amp; Assumptions'!$B$8/2)),IF('I_Budget Input Data'!$E$156="Mid-weighted",IF(23&lt;='I_Inputs &amp; Assumptions'!$B$8/4,'I_Budget Input Data'!$D$156*0.2/('I_Inputs &amp; Assumptions'!$B$8/4),IF(23&lt;='I_Inputs &amp; Assumptions'!$B$8*0.75,'I_Budget Input Data'!$D$156*0.6/('I_Inputs &amp; Assumptions'!$B$8/2),'I_Budget Input Data'!$D$156*0.2/('I_Inputs &amp; Assumptions'!$B$8/4))),IF('I_Budget Input Data'!$E$156="At Completion",IF(23='I_Inputs &amp; Assumptions'!$B$8,'I_Budget Input Data'!$D$156,0),'I_Budget Input Data'!$D$156/'I_Inputs &amp; Assumptions'!$B$8)))))),0)</f>
        <v>0</v>
      </c>
      <c r="Z156" s="91">
        <f>IF(24&lt;='I_Inputs &amp; Assumptions'!$B$8,IF('I_Budget Input Data'!$E$156="Upfront",IF(24=1,'I_Budget Input Data'!$D$156,0),IF('I_Budget Input Data'!$E$156="Equal",'I_Budget Input Data'!$D$156/'I_Inputs &amp; Assumptions'!$B$8,IF('I_Budget Input Data'!$E$156="Front-loaded",IF(24&lt;='I_Inputs &amp; Assumptions'!$B$8/2,'I_Budget Input Data'!$D$156*0.6/('I_Inputs &amp; Assumptions'!$B$8/2),'I_Budget Input Data'!$D$156*0.4/('I_Inputs &amp; Assumptions'!$B$8/2)),IF('I_Budget Input Data'!$E$156="Back-loaded",IF(24&lt;='I_Inputs &amp; Assumptions'!$B$8/2,'I_Budget Input Data'!$D$156*0.4/('I_Inputs &amp; Assumptions'!$B$8/2),'I_Budget Input Data'!$D$156*0.6/('I_Inputs &amp; Assumptions'!$B$8/2)),IF('I_Budget Input Data'!$E$156="Mid-weighted",IF(24&lt;='I_Inputs &amp; Assumptions'!$B$8/4,'I_Budget Input Data'!$D$156*0.2/('I_Inputs &amp; Assumptions'!$B$8/4),IF(24&lt;='I_Inputs &amp; Assumptions'!$B$8*0.75,'I_Budget Input Data'!$D$156*0.6/('I_Inputs &amp; Assumptions'!$B$8/2),'I_Budget Input Data'!$D$156*0.2/('I_Inputs &amp; Assumptions'!$B$8/4))),IF('I_Budget Input Data'!$E$156="At Completion",IF(24='I_Inputs &amp; Assumptions'!$B$8,'I_Budget Input Data'!$D$156,0),'I_Budget Input Data'!$D$156/'I_Inputs &amp; Assumptions'!$B$8)))))),0)</f>
        <v>0</v>
      </c>
      <c r="AA156" s="91">
        <f>IF(25&lt;='I_Inputs &amp; Assumptions'!$B$8,IF('I_Budget Input Data'!$E$156="Upfront",IF(25=1,'I_Budget Input Data'!$D$156,0),IF('I_Budget Input Data'!$E$156="Equal",'I_Budget Input Data'!$D$156/'I_Inputs &amp; Assumptions'!$B$8,IF('I_Budget Input Data'!$E$156="Front-loaded",IF(25&lt;='I_Inputs &amp; Assumptions'!$B$8/2,'I_Budget Input Data'!$D$156*0.6/('I_Inputs &amp; Assumptions'!$B$8/2),'I_Budget Input Data'!$D$156*0.4/('I_Inputs &amp; Assumptions'!$B$8/2)),IF('I_Budget Input Data'!$E$156="Back-loaded",IF(25&lt;='I_Inputs &amp; Assumptions'!$B$8/2,'I_Budget Input Data'!$D$156*0.4/('I_Inputs &amp; Assumptions'!$B$8/2),'I_Budget Input Data'!$D$156*0.6/('I_Inputs &amp; Assumptions'!$B$8/2)),IF('I_Budget Input Data'!$E$156="Mid-weighted",IF(25&lt;='I_Inputs &amp; Assumptions'!$B$8/4,'I_Budget Input Data'!$D$156*0.2/('I_Inputs &amp; Assumptions'!$B$8/4),IF(25&lt;='I_Inputs &amp; Assumptions'!$B$8*0.75,'I_Budget Input Data'!$D$156*0.6/('I_Inputs &amp; Assumptions'!$B$8/2),'I_Budget Input Data'!$D$156*0.2/('I_Inputs &amp; Assumptions'!$B$8/4))),IF('I_Budget Input Data'!$E$156="At Completion",IF(25='I_Inputs &amp; Assumptions'!$B$8,'I_Budget Input Data'!$D$156,0),'I_Budget Input Data'!$D$156/'I_Inputs &amp; Assumptions'!$B$8)))))),0)</f>
        <v>0</v>
      </c>
      <c r="AB156" s="91">
        <f>IF(26&lt;='I_Inputs &amp; Assumptions'!$B$8,IF('I_Budget Input Data'!$E$156="Upfront",IF(26=1,'I_Budget Input Data'!$D$156,0),IF('I_Budget Input Data'!$E$156="Equal",'I_Budget Input Data'!$D$156/'I_Inputs &amp; Assumptions'!$B$8,IF('I_Budget Input Data'!$E$156="Front-loaded",IF(26&lt;='I_Inputs &amp; Assumptions'!$B$8/2,'I_Budget Input Data'!$D$156*0.6/('I_Inputs &amp; Assumptions'!$B$8/2),'I_Budget Input Data'!$D$156*0.4/('I_Inputs &amp; Assumptions'!$B$8/2)),IF('I_Budget Input Data'!$E$156="Back-loaded",IF(26&lt;='I_Inputs &amp; Assumptions'!$B$8/2,'I_Budget Input Data'!$D$156*0.4/('I_Inputs &amp; Assumptions'!$B$8/2),'I_Budget Input Data'!$D$156*0.6/('I_Inputs &amp; Assumptions'!$B$8/2)),IF('I_Budget Input Data'!$E$156="Mid-weighted",IF(26&lt;='I_Inputs &amp; Assumptions'!$B$8/4,'I_Budget Input Data'!$D$156*0.2/('I_Inputs &amp; Assumptions'!$B$8/4),IF(26&lt;='I_Inputs &amp; Assumptions'!$B$8*0.75,'I_Budget Input Data'!$D$156*0.6/('I_Inputs &amp; Assumptions'!$B$8/2),'I_Budget Input Data'!$D$156*0.2/('I_Inputs &amp; Assumptions'!$B$8/4))),IF('I_Budget Input Data'!$E$156="At Completion",IF(26='I_Inputs &amp; Assumptions'!$B$8,'I_Budget Input Data'!$D$156,0),'I_Budget Input Data'!$D$156/'I_Inputs &amp; Assumptions'!$B$8)))))),0)</f>
        <v>0</v>
      </c>
      <c r="AC156" s="91">
        <f>IF(27&lt;='I_Inputs &amp; Assumptions'!$B$8,IF('I_Budget Input Data'!$E$156="Upfront",IF(27=1,'I_Budget Input Data'!$D$156,0),IF('I_Budget Input Data'!$E$156="Equal",'I_Budget Input Data'!$D$156/'I_Inputs &amp; Assumptions'!$B$8,IF('I_Budget Input Data'!$E$156="Front-loaded",IF(27&lt;='I_Inputs &amp; Assumptions'!$B$8/2,'I_Budget Input Data'!$D$156*0.6/('I_Inputs &amp; Assumptions'!$B$8/2),'I_Budget Input Data'!$D$156*0.4/('I_Inputs &amp; Assumptions'!$B$8/2)),IF('I_Budget Input Data'!$E$156="Back-loaded",IF(27&lt;='I_Inputs &amp; Assumptions'!$B$8/2,'I_Budget Input Data'!$D$156*0.4/('I_Inputs &amp; Assumptions'!$B$8/2),'I_Budget Input Data'!$D$156*0.6/('I_Inputs &amp; Assumptions'!$B$8/2)),IF('I_Budget Input Data'!$E$156="Mid-weighted",IF(27&lt;='I_Inputs &amp; Assumptions'!$B$8/4,'I_Budget Input Data'!$D$156*0.2/('I_Inputs &amp; Assumptions'!$B$8/4),IF(27&lt;='I_Inputs &amp; Assumptions'!$B$8*0.75,'I_Budget Input Data'!$D$156*0.6/('I_Inputs &amp; Assumptions'!$B$8/2),'I_Budget Input Data'!$D$156*0.2/('I_Inputs &amp; Assumptions'!$B$8/4))),IF('I_Budget Input Data'!$E$156="At Completion",IF(27='I_Inputs &amp; Assumptions'!$B$8,'I_Budget Input Data'!$D$156,0),'I_Budget Input Data'!$D$156/'I_Inputs &amp; Assumptions'!$B$8)))))),0)</f>
        <v>0</v>
      </c>
      <c r="AD156" s="91">
        <f>IF(28&lt;='I_Inputs &amp; Assumptions'!$B$8,IF('I_Budget Input Data'!$E$156="Upfront",IF(28=1,'I_Budget Input Data'!$D$156,0),IF('I_Budget Input Data'!$E$156="Equal",'I_Budget Input Data'!$D$156/'I_Inputs &amp; Assumptions'!$B$8,IF('I_Budget Input Data'!$E$156="Front-loaded",IF(28&lt;='I_Inputs &amp; Assumptions'!$B$8/2,'I_Budget Input Data'!$D$156*0.6/('I_Inputs &amp; Assumptions'!$B$8/2),'I_Budget Input Data'!$D$156*0.4/('I_Inputs &amp; Assumptions'!$B$8/2)),IF('I_Budget Input Data'!$E$156="Back-loaded",IF(28&lt;='I_Inputs &amp; Assumptions'!$B$8/2,'I_Budget Input Data'!$D$156*0.4/('I_Inputs &amp; Assumptions'!$B$8/2),'I_Budget Input Data'!$D$156*0.6/('I_Inputs &amp; Assumptions'!$B$8/2)),IF('I_Budget Input Data'!$E$156="Mid-weighted",IF(28&lt;='I_Inputs &amp; Assumptions'!$B$8/4,'I_Budget Input Data'!$D$156*0.2/('I_Inputs &amp; Assumptions'!$B$8/4),IF(28&lt;='I_Inputs &amp; Assumptions'!$B$8*0.75,'I_Budget Input Data'!$D$156*0.6/('I_Inputs &amp; Assumptions'!$B$8/2),'I_Budget Input Data'!$D$156*0.2/('I_Inputs &amp; Assumptions'!$B$8/4))),IF('I_Budget Input Data'!$E$156="At Completion",IF(28='I_Inputs &amp; Assumptions'!$B$8,'I_Budget Input Data'!$D$156,0),'I_Budget Input Data'!$D$156/'I_Inputs &amp; Assumptions'!$B$8)))))),0)</f>
        <v>0</v>
      </c>
      <c r="AE156" s="91">
        <f>IF(29&lt;='I_Inputs &amp; Assumptions'!$B$8,IF('I_Budget Input Data'!$E$156="Upfront",IF(29=1,'I_Budget Input Data'!$D$156,0),IF('I_Budget Input Data'!$E$156="Equal",'I_Budget Input Data'!$D$156/'I_Inputs &amp; Assumptions'!$B$8,IF('I_Budget Input Data'!$E$156="Front-loaded",IF(29&lt;='I_Inputs &amp; Assumptions'!$B$8/2,'I_Budget Input Data'!$D$156*0.6/('I_Inputs &amp; Assumptions'!$B$8/2),'I_Budget Input Data'!$D$156*0.4/('I_Inputs &amp; Assumptions'!$B$8/2)),IF('I_Budget Input Data'!$E$156="Back-loaded",IF(29&lt;='I_Inputs &amp; Assumptions'!$B$8/2,'I_Budget Input Data'!$D$156*0.4/('I_Inputs &amp; Assumptions'!$B$8/2),'I_Budget Input Data'!$D$156*0.6/('I_Inputs &amp; Assumptions'!$B$8/2)),IF('I_Budget Input Data'!$E$156="Mid-weighted",IF(29&lt;='I_Inputs &amp; Assumptions'!$B$8/4,'I_Budget Input Data'!$D$156*0.2/('I_Inputs &amp; Assumptions'!$B$8/4),IF(29&lt;='I_Inputs &amp; Assumptions'!$B$8*0.75,'I_Budget Input Data'!$D$156*0.6/('I_Inputs &amp; Assumptions'!$B$8/2),'I_Budget Input Data'!$D$156*0.2/('I_Inputs &amp; Assumptions'!$B$8/4))),IF('I_Budget Input Data'!$E$156="At Completion",IF(29='I_Inputs &amp; Assumptions'!$B$8,'I_Budget Input Data'!$D$156,0),'I_Budget Input Data'!$D$156/'I_Inputs &amp; Assumptions'!$B$8)))))),0)</f>
        <v>0</v>
      </c>
      <c r="AF156" s="91">
        <f>IF(30&lt;='I_Inputs &amp; Assumptions'!$B$8,IF('I_Budget Input Data'!$E$156="Upfront",IF(30=1,'I_Budget Input Data'!$D$156,0),IF('I_Budget Input Data'!$E$156="Equal",'I_Budget Input Data'!$D$156/'I_Inputs &amp; Assumptions'!$B$8,IF('I_Budget Input Data'!$E$156="Front-loaded",IF(30&lt;='I_Inputs &amp; Assumptions'!$B$8/2,'I_Budget Input Data'!$D$156*0.6/('I_Inputs &amp; Assumptions'!$B$8/2),'I_Budget Input Data'!$D$156*0.4/('I_Inputs &amp; Assumptions'!$B$8/2)),IF('I_Budget Input Data'!$E$156="Back-loaded",IF(30&lt;='I_Inputs &amp; Assumptions'!$B$8/2,'I_Budget Input Data'!$D$156*0.4/('I_Inputs &amp; Assumptions'!$B$8/2),'I_Budget Input Data'!$D$156*0.6/('I_Inputs &amp; Assumptions'!$B$8/2)),IF('I_Budget Input Data'!$E$156="Mid-weighted",IF(30&lt;='I_Inputs &amp; Assumptions'!$B$8/4,'I_Budget Input Data'!$D$156*0.2/('I_Inputs &amp; Assumptions'!$B$8/4),IF(30&lt;='I_Inputs &amp; Assumptions'!$B$8*0.75,'I_Budget Input Data'!$D$156*0.6/('I_Inputs &amp; Assumptions'!$B$8/2),'I_Budget Input Data'!$D$156*0.2/('I_Inputs &amp; Assumptions'!$B$8/4))),IF('I_Budget Input Data'!$E$156="At Completion",IF(30='I_Inputs &amp; Assumptions'!$B$8,'I_Budget Input Data'!$D$156,0),'I_Budget Input Data'!$D$156/'I_Inputs &amp; Assumptions'!$B$8)))))),0)</f>
        <v>0</v>
      </c>
      <c r="AG156" s="91">
        <f>IF(31&lt;='I_Inputs &amp; Assumptions'!$B$8,IF('I_Budget Input Data'!$E$156="Upfront",IF(31=1,'I_Budget Input Data'!$D$156,0),IF('I_Budget Input Data'!$E$156="Equal",'I_Budget Input Data'!$D$156/'I_Inputs &amp; Assumptions'!$B$8,IF('I_Budget Input Data'!$E$156="Front-loaded",IF(31&lt;='I_Inputs &amp; Assumptions'!$B$8/2,'I_Budget Input Data'!$D$156*0.6/('I_Inputs &amp; Assumptions'!$B$8/2),'I_Budget Input Data'!$D$156*0.4/('I_Inputs &amp; Assumptions'!$B$8/2)),IF('I_Budget Input Data'!$E$156="Back-loaded",IF(31&lt;='I_Inputs &amp; Assumptions'!$B$8/2,'I_Budget Input Data'!$D$156*0.4/('I_Inputs &amp; Assumptions'!$B$8/2),'I_Budget Input Data'!$D$156*0.6/('I_Inputs &amp; Assumptions'!$B$8/2)),IF('I_Budget Input Data'!$E$156="Mid-weighted",IF(31&lt;='I_Inputs &amp; Assumptions'!$B$8/4,'I_Budget Input Data'!$D$156*0.2/('I_Inputs &amp; Assumptions'!$B$8/4),IF(31&lt;='I_Inputs &amp; Assumptions'!$B$8*0.75,'I_Budget Input Data'!$D$156*0.6/('I_Inputs &amp; Assumptions'!$B$8/2),'I_Budget Input Data'!$D$156*0.2/('I_Inputs &amp; Assumptions'!$B$8/4))),IF('I_Budget Input Data'!$E$156="At Completion",IF(31='I_Inputs &amp; Assumptions'!$B$8,'I_Budget Input Data'!$D$156,0),'I_Budget Input Data'!$D$156/'I_Inputs &amp; Assumptions'!$B$8)))))),0)</f>
        <v>0</v>
      </c>
      <c r="AH156" s="91">
        <f>IF(32&lt;='I_Inputs &amp; Assumptions'!$B$8,IF('I_Budget Input Data'!$E$156="Upfront",IF(32=1,'I_Budget Input Data'!$D$156,0),IF('I_Budget Input Data'!$E$156="Equal",'I_Budget Input Data'!$D$156/'I_Inputs &amp; Assumptions'!$B$8,IF('I_Budget Input Data'!$E$156="Front-loaded",IF(32&lt;='I_Inputs &amp; Assumptions'!$B$8/2,'I_Budget Input Data'!$D$156*0.6/('I_Inputs &amp; Assumptions'!$B$8/2),'I_Budget Input Data'!$D$156*0.4/('I_Inputs &amp; Assumptions'!$B$8/2)),IF('I_Budget Input Data'!$E$156="Back-loaded",IF(32&lt;='I_Inputs &amp; Assumptions'!$B$8/2,'I_Budget Input Data'!$D$156*0.4/('I_Inputs &amp; Assumptions'!$B$8/2),'I_Budget Input Data'!$D$156*0.6/('I_Inputs &amp; Assumptions'!$B$8/2)),IF('I_Budget Input Data'!$E$156="Mid-weighted",IF(32&lt;='I_Inputs &amp; Assumptions'!$B$8/4,'I_Budget Input Data'!$D$156*0.2/('I_Inputs &amp; Assumptions'!$B$8/4),IF(32&lt;='I_Inputs &amp; Assumptions'!$B$8*0.75,'I_Budget Input Data'!$D$156*0.6/('I_Inputs &amp; Assumptions'!$B$8/2),'I_Budget Input Data'!$D$156*0.2/('I_Inputs &amp; Assumptions'!$B$8/4))),IF('I_Budget Input Data'!$E$156="At Completion",IF(32='I_Inputs &amp; Assumptions'!$B$8,'I_Budget Input Data'!$D$156,0),'I_Budget Input Data'!$D$156/'I_Inputs &amp; Assumptions'!$B$8)))))),0)</f>
        <v>0</v>
      </c>
      <c r="AI156" s="91">
        <f>IF(33&lt;='I_Inputs &amp; Assumptions'!$B$8,IF('I_Budget Input Data'!$E$156="Upfront",IF(33=1,'I_Budget Input Data'!$D$156,0),IF('I_Budget Input Data'!$E$156="Equal",'I_Budget Input Data'!$D$156/'I_Inputs &amp; Assumptions'!$B$8,IF('I_Budget Input Data'!$E$156="Front-loaded",IF(33&lt;='I_Inputs &amp; Assumptions'!$B$8/2,'I_Budget Input Data'!$D$156*0.6/('I_Inputs &amp; Assumptions'!$B$8/2),'I_Budget Input Data'!$D$156*0.4/('I_Inputs &amp; Assumptions'!$B$8/2)),IF('I_Budget Input Data'!$E$156="Back-loaded",IF(33&lt;='I_Inputs &amp; Assumptions'!$B$8/2,'I_Budget Input Data'!$D$156*0.4/('I_Inputs &amp; Assumptions'!$B$8/2),'I_Budget Input Data'!$D$156*0.6/('I_Inputs &amp; Assumptions'!$B$8/2)),IF('I_Budget Input Data'!$E$156="Mid-weighted",IF(33&lt;='I_Inputs &amp; Assumptions'!$B$8/4,'I_Budget Input Data'!$D$156*0.2/('I_Inputs &amp; Assumptions'!$B$8/4),IF(33&lt;='I_Inputs &amp; Assumptions'!$B$8*0.75,'I_Budget Input Data'!$D$156*0.6/('I_Inputs &amp; Assumptions'!$B$8/2),'I_Budget Input Data'!$D$156*0.2/('I_Inputs &amp; Assumptions'!$B$8/4))),IF('I_Budget Input Data'!$E$156="At Completion",IF(33='I_Inputs &amp; Assumptions'!$B$8,'I_Budget Input Data'!$D$156,0),'I_Budget Input Data'!$D$156/'I_Inputs &amp; Assumptions'!$B$8)))))),0)</f>
        <v>0</v>
      </c>
      <c r="AJ156" s="91">
        <f>IF(34&lt;='I_Inputs &amp; Assumptions'!$B$8,IF('I_Budget Input Data'!$E$156="Upfront",IF(34=1,'I_Budget Input Data'!$D$156,0),IF('I_Budget Input Data'!$E$156="Equal",'I_Budget Input Data'!$D$156/'I_Inputs &amp; Assumptions'!$B$8,IF('I_Budget Input Data'!$E$156="Front-loaded",IF(34&lt;='I_Inputs &amp; Assumptions'!$B$8/2,'I_Budget Input Data'!$D$156*0.6/('I_Inputs &amp; Assumptions'!$B$8/2),'I_Budget Input Data'!$D$156*0.4/('I_Inputs &amp; Assumptions'!$B$8/2)),IF('I_Budget Input Data'!$E$156="Back-loaded",IF(34&lt;='I_Inputs &amp; Assumptions'!$B$8/2,'I_Budget Input Data'!$D$156*0.4/('I_Inputs &amp; Assumptions'!$B$8/2),'I_Budget Input Data'!$D$156*0.6/('I_Inputs &amp; Assumptions'!$B$8/2)),IF('I_Budget Input Data'!$E$156="Mid-weighted",IF(34&lt;='I_Inputs &amp; Assumptions'!$B$8/4,'I_Budget Input Data'!$D$156*0.2/('I_Inputs &amp; Assumptions'!$B$8/4),IF(34&lt;='I_Inputs &amp; Assumptions'!$B$8*0.75,'I_Budget Input Data'!$D$156*0.6/('I_Inputs &amp; Assumptions'!$B$8/2),'I_Budget Input Data'!$D$156*0.2/('I_Inputs &amp; Assumptions'!$B$8/4))),IF('I_Budget Input Data'!$E$156="At Completion",IF(34='I_Inputs &amp; Assumptions'!$B$8,'I_Budget Input Data'!$D$156,0),'I_Budget Input Data'!$D$156/'I_Inputs &amp; Assumptions'!$B$8)))))),0)</f>
        <v>0</v>
      </c>
      <c r="AK156" s="91">
        <f>IF(35&lt;='I_Inputs &amp; Assumptions'!$B$8,IF('I_Budget Input Data'!$E$156="Upfront",IF(35=1,'I_Budget Input Data'!$D$156,0),IF('I_Budget Input Data'!$E$156="Equal",'I_Budget Input Data'!$D$156/'I_Inputs &amp; Assumptions'!$B$8,IF('I_Budget Input Data'!$E$156="Front-loaded",IF(35&lt;='I_Inputs &amp; Assumptions'!$B$8/2,'I_Budget Input Data'!$D$156*0.6/('I_Inputs &amp; Assumptions'!$B$8/2),'I_Budget Input Data'!$D$156*0.4/('I_Inputs &amp; Assumptions'!$B$8/2)),IF('I_Budget Input Data'!$E$156="Back-loaded",IF(35&lt;='I_Inputs &amp; Assumptions'!$B$8/2,'I_Budget Input Data'!$D$156*0.4/('I_Inputs &amp; Assumptions'!$B$8/2),'I_Budget Input Data'!$D$156*0.6/('I_Inputs &amp; Assumptions'!$B$8/2)),IF('I_Budget Input Data'!$E$156="Mid-weighted",IF(35&lt;='I_Inputs &amp; Assumptions'!$B$8/4,'I_Budget Input Data'!$D$156*0.2/('I_Inputs &amp; Assumptions'!$B$8/4),IF(35&lt;='I_Inputs &amp; Assumptions'!$B$8*0.75,'I_Budget Input Data'!$D$156*0.6/('I_Inputs &amp; Assumptions'!$B$8/2),'I_Budget Input Data'!$D$156*0.2/('I_Inputs &amp; Assumptions'!$B$8/4))),IF('I_Budget Input Data'!$E$156="At Completion",IF(35='I_Inputs &amp; Assumptions'!$B$8,'I_Budget Input Data'!$D$156,0),'I_Budget Input Data'!$D$156/'I_Inputs &amp; Assumptions'!$B$8)))))),0)</f>
        <v>0</v>
      </c>
      <c r="AL156" s="91">
        <f>IF(36&lt;='I_Inputs &amp; Assumptions'!$B$8,IF('I_Budget Input Data'!$E$156="Upfront",IF(36=1,'I_Budget Input Data'!$D$156,0),IF('I_Budget Input Data'!$E$156="Equal",'I_Budget Input Data'!$D$156/'I_Inputs &amp; Assumptions'!$B$8,IF('I_Budget Input Data'!$E$156="Front-loaded",IF(36&lt;='I_Inputs &amp; Assumptions'!$B$8/2,'I_Budget Input Data'!$D$156*0.6/('I_Inputs &amp; Assumptions'!$B$8/2),'I_Budget Input Data'!$D$156*0.4/('I_Inputs &amp; Assumptions'!$B$8/2)),IF('I_Budget Input Data'!$E$156="Back-loaded",IF(36&lt;='I_Inputs &amp; Assumptions'!$B$8/2,'I_Budget Input Data'!$D$156*0.4/('I_Inputs &amp; Assumptions'!$B$8/2),'I_Budget Input Data'!$D$156*0.6/('I_Inputs &amp; Assumptions'!$B$8/2)),IF('I_Budget Input Data'!$E$156="Mid-weighted",IF(36&lt;='I_Inputs &amp; Assumptions'!$B$8/4,'I_Budget Input Data'!$D$156*0.2/('I_Inputs &amp; Assumptions'!$B$8/4),IF(36&lt;='I_Inputs &amp; Assumptions'!$B$8*0.75,'I_Budget Input Data'!$D$156*0.6/('I_Inputs &amp; Assumptions'!$B$8/2),'I_Budget Input Data'!$D$156*0.2/('I_Inputs &amp; Assumptions'!$B$8/4))),IF('I_Budget Input Data'!$E$156="At Completion",IF(36='I_Inputs &amp; Assumptions'!$B$8,'I_Budget Input Data'!$D$156,0),'I_Budget Input Data'!$D$156/'I_Inputs &amp; Assumptions'!$B$8)))))),0)</f>
        <v>0</v>
      </c>
    </row>
    <row r="157" spans="1:38" ht="15" customHeight="1" x14ac:dyDescent="0.2">
      <c r="A157" t="s">
        <v>270</v>
      </c>
      <c r="B157" t="s">
        <v>273</v>
      </c>
      <c r="C157" s="91">
        <f>IF(1&lt;='I_Inputs &amp; Assumptions'!$B$8,IF('I_Budget Input Data'!$E$157="Upfront",IF(1=1,'I_Budget Input Data'!$D$157,0),IF('I_Budget Input Data'!$E$157="Equal",'I_Budget Input Data'!$D$157/'I_Inputs &amp; Assumptions'!$B$8,IF('I_Budget Input Data'!$E$157="Front-loaded",IF(1&lt;='I_Inputs &amp; Assumptions'!$B$8/2,'I_Budget Input Data'!$D$157*0.6/('I_Inputs &amp; Assumptions'!$B$8/2),'I_Budget Input Data'!$D$157*0.4/('I_Inputs &amp; Assumptions'!$B$8/2)),IF('I_Budget Input Data'!$E$157="Back-loaded",IF(1&lt;='I_Inputs &amp; Assumptions'!$B$8/2,'I_Budget Input Data'!$D$157*0.4/('I_Inputs &amp; Assumptions'!$B$8/2),'I_Budget Input Data'!$D$157*0.6/('I_Inputs &amp; Assumptions'!$B$8/2)),IF('I_Budget Input Data'!$E$157="Mid-weighted",IF(1&lt;='I_Inputs &amp; Assumptions'!$B$8/4,'I_Budget Input Data'!$D$157*0.2/('I_Inputs &amp; Assumptions'!$B$8/4),IF(1&lt;='I_Inputs &amp; Assumptions'!$B$8*0.75,'I_Budget Input Data'!$D$157*0.6/('I_Inputs &amp; Assumptions'!$B$8/2),'I_Budget Input Data'!$D$157*0.2/('I_Inputs &amp; Assumptions'!$B$8/4))),IF('I_Budget Input Data'!$E$157="At Completion",IF(1='I_Inputs &amp; Assumptions'!$B$8,'I_Budget Input Data'!$D$157,0),'I_Budget Input Data'!$D$157/'I_Inputs &amp; Assumptions'!$B$8)))))),0)</f>
        <v>786.15384615384619</v>
      </c>
      <c r="D157" s="91">
        <f>IF(2&lt;='I_Inputs &amp; Assumptions'!$B$8,IF('I_Budget Input Data'!$E$157="Upfront",IF(2=1,'I_Budget Input Data'!$D$157,0),IF('I_Budget Input Data'!$E$157="Equal",'I_Budget Input Data'!$D$157/'I_Inputs &amp; Assumptions'!$B$8,IF('I_Budget Input Data'!$E$157="Front-loaded",IF(2&lt;='I_Inputs &amp; Assumptions'!$B$8/2,'I_Budget Input Data'!$D$157*0.6/('I_Inputs &amp; Assumptions'!$B$8/2),'I_Budget Input Data'!$D$157*0.4/('I_Inputs &amp; Assumptions'!$B$8/2)),IF('I_Budget Input Data'!$E$157="Back-loaded",IF(2&lt;='I_Inputs &amp; Assumptions'!$B$8/2,'I_Budget Input Data'!$D$157*0.4/('I_Inputs &amp; Assumptions'!$B$8/2),'I_Budget Input Data'!$D$157*0.6/('I_Inputs &amp; Assumptions'!$B$8/2)),IF('I_Budget Input Data'!$E$157="Mid-weighted",IF(2&lt;='I_Inputs &amp; Assumptions'!$B$8/4,'I_Budget Input Data'!$D$157*0.2/('I_Inputs &amp; Assumptions'!$B$8/4),IF(2&lt;='I_Inputs &amp; Assumptions'!$B$8*0.75,'I_Budget Input Data'!$D$157*0.6/('I_Inputs &amp; Assumptions'!$B$8/2),'I_Budget Input Data'!$D$157*0.2/('I_Inputs &amp; Assumptions'!$B$8/4))),IF('I_Budget Input Data'!$E$157="At Completion",IF(2='I_Inputs &amp; Assumptions'!$B$8,'I_Budget Input Data'!$D$157,0),'I_Budget Input Data'!$D$157/'I_Inputs &amp; Assumptions'!$B$8)))))),0)</f>
        <v>786.15384615384619</v>
      </c>
      <c r="E157" s="91">
        <f>IF(3&lt;='I_Inputs &amp; Assumptions'!$B$8,IF('I_Budget Input Data'!$E$157="Upfront",IF(3=1,'I_Budget Input Data'!$D$157,0),IF('I_Budget Input Data'!$E$157="Equal",'I_Budget Input Data'!$D$157/'I_Inputs &amp; Assumptions'!$B$8,IF('I_Budget Input Data'!$E$157="Front-loaded",IF(3&lt;='I_Inputs &amp; Assumptions'!$B$8/2,'I_Budget Input Data'!$D$157*0.6/('I_Inputs &amp; Assumptions'!$B$8/2),'I_Budget Input Data'!$D$157*0.4/('I_Inputs &amp; Assumptions'!$B$8/2)),IF('I_Budget Input Data'!$E$157="Back-loaded",IF(3&lt;='I_Inputs &amp; Assumptions'!$B$8/2,'I_Budget Input Data'!$D$157*0.4/('I_Inputs &amp; Assumptions'!$B$8/2),'I_Budget Input Data'!$D$157*0.6/('I_Inputs &amp; Assumptions'!$B$8/2)),IF('I_Budget Input Data'!$E$157="Mid-weighted",IF(3&lt;='I_Inputs &amp; Assumptions'!$B$8/4,'I_Budget Input Data'!$D$157*0.2/('I_Inputs &amp; Assumptions'!$B$8/4),IF(3&lt;='I_Inputs &amp; Assumptions'!$B$8*0.75,'I_Budget Input Data'!$D$157*0.6/('I_Inputs &amp; Assumptions'!$B$8/2),'I_Budget Input Data'!$D$157*0.2/('I_Inputs &amp; Assumptions'!$B$8/4))),IF('I_Budget Input Data'!$E$157="At Completion",IF(3='I_Inputs &amp; Assumptions'!$B$8,'I_Budget Input Data'!$D$157,0),'I_Budget Input Data'!$D$157/'I_Inputs &amp; Assumptions'!$B$8)))))),0)</f>
        <v>786.15384615384619</v>
      </c>
      <c r="F157" s="91">
        <f>IF(4&lt;='I_Inputs &amp; Assumptions'!$B$8,IF('I_Budget Input Data'!$E$157="Upfront",IF(4=1,'I_Budget Input Data'!$D$157,0),IF('I_Budget Input Data'!$E$157="Equal",'I_Budget Input Data'!$D$157/'I_Inputs &amp; Assumptions'!$B$8,IF('I_Budget Input Data'!$E$157="Front-loaded",IF(4&lt;='I_Inputs &amp; Assumptions'!$B$8/2,'I_Budget Input Data'!$D$157*0.6/('I_Inputs &amp; Assumptions'!$B$8/2),'I_Budget Input Data'!$D$157*0.4/('I_Inputs &amp; Assumptions'!$B$8/2)),IF('I_Budget Input Data'!$E$157="Back-loaded",IF(4&lt;='I_Inputs &amp; Assumptions'!$B$8/2,'I_Budget Input Data'!$D$157*0.4/('I_Inputs &amp; Assumptions'!$B$8/2),'I_Budget Input Data'!$D$157*0.6/('I_Inputs &amp; Assumptions'!$B$8/2)),IF('I_Budget Input Data'!$E$157="Mid-weighted",IF(4&lt;='I_Inputs &amp; Assumptions'!$B$8/4,'I_Budget Input Data'!$D$157*0.2/('I_Inputs &amp; Assumptions'!$B$8/4),IF(4&lt;='I_Inputs &amp; Assumptions'!$B$8*0.75,'I_Budget Input Data'!$D$157*0.6/('I_Inputs &amp; Assumptions'!$B$8/2),'I_Budget Input Data'!$D$157*0.2/('I_Inputs &amp; Assumptions'!$B$8/4))),IF('I_Budget Input Data'!$E$157="At Completion",IF(4='I_Inputs &amp; Assumptions'!$B$8,'I_Budget Input Data'!$D$157,0),'I_Budget Input Data'!$D$157/'I_Inputs &amp; Assumptions'!$B$8)))))),0)</f>
        <v>786.15384615384619</v>
      </c>
      <c r="G157" s="91">
        <f>IF(5&lt;='I_Inputs &amp; Assumptions'!$B$8,IF('I_Budget Input Data'!$E$157="Upfront",IF(5=1,'I_Budget Input Data'!$D$157,0),IF('I_Budget Input Data'!$E$157="Equal",'I_Budget Input Data'!$D$157/'I_Inputs &amp; Assumptions'!$B$8,IF('I_Budget Input Data'!$E$157="Front-loaded",IF(5&lt;='I_Inputs &amp; Assumptions'!$B$8/2,'I_Budget Input Data'!$D$157*0.6/('I_Inputs &amp; Assumptions'!$B$8/2),'I_Budget Input Data'!$D$157*0.4/('I_Inputs &amp; Assumptions'!$B$8/2)),IF('I_Budget Input Data'!$E$157="Back-loaded",IF(5&lt;='I_Inputs &amp; Assumptions'!$B$8/2,'I_Budget Input Data'!$D$157*0.4/('I_Inputs &amp; Assumptions'!$B$8/2),'I_Budget Input Data'!$D$157*0.6/('I_Inputs &amp; Assumptions'!$B$8/2)),IF('I_Budget Input Data'!$E$157="Mid-weighted",IF(5&lt;='I_Inputs &amp; Assumptions'!$B$8/4,'I_Budget Input Data'!$D$157*0.2/('I_Inputs &amp; Assumptions'!$B$8/4),IF(5&lt;='I_Inputs &amp; Assumptions'!$B$8*0.75,'I_Budget Input Data'!$D$157*0.6/('I_Inputs &amp; Assumptions'!$B$8/2),'I_Budget Input Data'!$D$157*0.2/('I_Inputs &amp; Assumptions'!$B$8/4))),IF('I_Budget Input Data'!$E$157="At Completion",IF(5='I_Inputs &amp; Assumptions'!$B$8,'I_Budget Input Data'!$D$157,0),'I_Budget Input Data'!$D$157/'I_Inputs &amp; Assumptions'!$B$8)))))),0)</f>
        <v>786.15384615384619</v>
      </c>
      <c r="H157" s="91">
        <f>IF(6&lt;='I_Inputs &amp; Assumptions'!$B$8,IF('I_Budget Input Data'!$E$157="Upfront",IF(6=1,'I_Budget Input Data'!$D$157,0),IF('I_Budget Input Data'!$E$157="Equal",'I_Budget Input Data'!$D$157/'I_Inputs &amp; Assumptions'!$B$8,IF('I_Budget Input Data'!$E$157="Front-loaded",IF(6&lt;='I_Inputs &amp; Assumptions'!$B$8/2,'I_Budget Input Data'!$D$157*0.6/('I_Inputs &amp; Assumptions'!$B$8/2),'I_Budget Input Data'!$D$157*0.4/('I_Inputs &amp; Assumptions'!$B$8/2)),IF('I_Budget Input Data'!$E$157="Back-loaded",IF(6&lt;='I_Inputs &amp; Assumptions'!$B$8/2,'I_Budget Input Data'!$D$157*0.4/('I_Inputs &amp; Assumptions'!$B$8/2),'I_Budget Input Data'!$D$157*0.6/('I_Inputs &amp; Assumptions'!$B$8/2)),IF('I_Budget Input Data'!$E$157="Mid-weighted",IF(6&lt;='I_Inputs &amp; Assumptions'!$B$8/4,'I_Budget Input Data'!$D$157*0.2/('I_Inputs &amp; Assumptions'!$B$8/4),IF(6&lt;='I_Inputs &amp; Assumptions'!$B$8*0.75,'I_Budget Input Data'!$D$157*0.6/('I_Inputs &amp; Assumptions'!$B$8/2),'I_Budget Input Data'!$D$157*0.2/('I_Inputs &amp; Assumptions'!$B$8/4))),IF('I_Budget Input Data'!$E$157="At Completion",IF(6='I_Inputs &amp; Assumptions'!$B$8,'I_Budget Input Data'!$D$157,0),'I_Budget Input Data'!$D$157/'I_Inputs &amp; Assumptions'!$B$8)))))),0)</f>
        <v>786.15384615384619</v>
      </c>
      <c r="I157" s="91">
        <f>IF(7&lt;='I_Inputs &amp; Assumptions'!$B$8,IF('I_Budget Input Data'!$E$157="Upfront",IF(7=1,'I_Budget Input Data'!$D$157,0),IF('I_Budget Input Data'!$E$157="Equal",'I_Budget Input Data'!$D$157/'I_Inputs &amp; Assumptions'!$B$8,IF('I_Budget Input Data'!$E$157="Front-loaded",IF(7&lt;='I_Inputs &amp; Assumptions'!$B$8/2,'I_Budget Input Data'!$D$157*0.6/('I_Inputs &amp; Assumptions'!$B$8/2),'I_Budget Input Data'!$D$157*0.4/('I_Inputs &amp; Assumptions'!$B$8/2)),IF('I_Budget Input Data'!$E$157="Back-loaded",IF(7&lt;='I_Inputs &amp; Assumptions'!$B$8/2,'I_Budget Input Data'!$D$157*0.4/('I_Inputs &amp; Assumptions'!$B$8/2),'I_Budget Input Data'!$D$157*0.6/('I_Inputs &amp; Assumptions'!$B$8/2)),IF('I_Budget Input Data'!$E$157="Mid-weighted",IF(7&lt;='I_Inputs &amp; Assumptions'!$B$8/4,'I_Budget Input Data'!$D$157*0.2/('I_Inputs &amp; Assumptions'!$B$8/4),IF(7&lt;='I_Inputs &amp; Assumptions'!$B$8*0.75,'I_Budget Input Data'!$D$157*0.6/('I_Inputs &amp; Assumptions'!$B$8/2),'I_Budget Input Data'!$D$157*0.2/('I_Inputs &amp; Assumptions'!$B$8/4))),IF('I_Budget Input Data'!$E$157="At Completion",IF(7='I_Inputs &amp; Assumptions'!$B$8,'I_Budget Input Data'!$D$157,0),'I_Budget Input Data'!$D$157/'I_Inputs &amp; Assumptions'!$B$8)))))),0)</f>
        <v>786.15384615384619</v>
      </c>
      <c r="J157" s="91">
        <f>IF(8&lt;='I_Inputs &amp; Assumptions'!$B$8,IF('I_Budget Input Data'!$E$157="Upfront",IF(8=1,'I_Budget Input Data'!$D$157,0),IF('I_Budget Input Data'!$E$157="Equal",'I_Budget Input Data'!$D$157/'I_Inputs &amp; Assumptions'!$B$8,IF('I_Budget Input Data'!$E$157="Front-loaded",IF(8&lt;='I_Inputs &amp; Assumptions'!$B$8/2,'I_Budget Input Data'!$D$157*0.6/('I_Inputs &amp; Assumptions'!$B$8/2),'I_Budget Input Data'!$D$157*0.4/('I_Inputs &amp; Assumptions'!$B$8/2)),IF('I_Budget Input Data'!$E$157="Back-loaded",IF(8&lt;='I_Inputs &amp; Assumptions'!$B$8/2,'I_Budget Input Data'!$D$157*0.4/('I_Inputs &amp; Assumptions'!$B$8/2),'I_Budget Input Data'!$D$157*0.6/('I_Inputs &amp; Assumptions'!$B$8/2)),IF('I_Budget Input Data'!$E$157="Mid-weighted",IF(8&lt;='I_Inputs &amp; Assumptions'!$B$8/4,'I_Budget Input Data'!$D$157*0.2/('I_Inputs &amp; Assumptions'!$B$8/4),IF(8&lt;='I_Inputs &amp; Assumptions'!$B$8*0.75,'I_Budget Input Data'!$D$157*0.6/('I_Inputs &amp; Assumptions'!$B$8/2),'I_Budget Input Data'!$D$157*0.2/('I_Inputs &amp; Assumptions'!$B$8/4))),IF('I_Budget Input Data'!$E$157="At Completion",IF(8='I_Inputs &amp; Assumptions'!$B$8,'I_Budget Input Data'!$D$157,0),'I_Budget Input Data'!$D$157/'I_Inputs &amp; Assumptions'!$B$8)))))),0)</f>
        <v>786.15384615384619</v>
      </c>
      <c r="K157" s="91">
        <f>IF(9&lt;='I_Inputs &amp; Assumptions'!$B$8,IF('I_Budget Input Data'!$E$157="Upfront",IF(9=1,'I_Budget Input Data'!$D$157,0),IF('I_Budget Input Data'!$E$157="Equal",'I_Budget Input Data'!$D$157/'I_Inputs &amp; Assumptions'!$B$8,IF('I_Budget Input Data'!$E$157="Front-loaded",IF(9&lt;='I_Inputs &amp; Assumptions'!$B$8/2,'I_Budget Input Data'!$D$157*0.6/('I_Inputs &amp; Assumptions'!$B$8/2),'I_Budget Input Data'!$D$157*0.4/('I_Inputs &amp; Assumptions'!$B$8/2)),IF('I_Budget Input Data'!$E$157="Back-loaded",IF(9&lt;='I_Inputs &amp; Assumptions'!$B$8/2,'I_Budget Input Data'!$D$157*0.4/('I_Inputs &amp; Assumptions'!$B$8/2),'I_Budget Input Data'!$D$157*0.6/('I_Inputs &amp; Assumptions'!$B$8/2)),IF('I_Budget Input Data'!$E$157="Mid-weighted",IF(9&lt;='I_Inputs &amp; Assumptions'!$B$8/4,'I_Budget Input Data'!$D$157*0.2/('I_Inputs &amp; Assumptions'!$B$8/4),IF(9&lt;='I_Inputs &amp; Assumptions'!$B$8*0.75,'I_Budget Input Data'!$D$157*0.6/('I_Inputs &amp; Assumptions'!$B$8/2),'I_Budget Input Data'!$D$157*0.2/('I_Inputs &amp; Assumptions'!$B$8/4))),IF('I_Budget Input Data'!$E$157="At Completion",IF(9='I_Inputs &amp; Assumptions'!$B$8,'I_Budget Input Data'!$D$157,0),'I_Budget Input Data'!$D$157/'I_Inputs &amp; Assumptions'!$B$8)))))),0)</f>
        <v>786.15384615384619</v>
      </c>
      <c r="L157" s="91">
        <f>IF(10&lt;='I_Inputs &amp; Assumptions'!$B$8,IF('I_Budget Input Data'!$E$157="Upfront",IF(10=1,'I_Budget Input Data'!$D$157,0),IF('I_Budget Input Data'!$E$157="Equal",'I_Budget Input Data'!$D$157/'I_Inputs &amp; Assumptions'!$B$8,IF('I_Budget Input Data'!$E$157="Front-loaded",IF(10&lt;='I_Inputs &amp; Assumptions'!$B$8/2,'I_Budget Input Data'!$D$157*0.6/('I_Inputs &amp; Assumptions'!$B$8/2),'I_Budget Input Data'!$D$157*0.4/('I_Inputs &amp; Assumptions'!$B$8/2)),IF('I_Budget Input Data'!$E$157="Back-loaded",IF(10&lt;='I_Inputs &amp; Assumptions'!$B$8/2,'I_Budget Input Data'!$D$157*0.4/('I_Inputs &amp; Assumptions'!$B$8/2),'I_Budget Input Data'!$D$157*0.6/('I_Inputs &amp; Assumptions'!$B$8/2)),IF('I_Budget Input Data'!$E$157="Mid-weighted",IF(10&lt;='I_Inputs &amp; Assumptions'!$B$8/4,'I_Budget Input Data'!$D$157*0.2/('I_Inputs &amp; Assumptions'!$B$8/4),IF(10&lt;='I_Inputs &amp; Assumptions'!$B$8*0.75,'I_Budget Input Data'!$D$157*0.6/('I_Inputs &amp; Assumptions'!$B$8/2),'I_Budget Input Data'!$D$157*0.2/('I_Inputs &amp; Assumptions'!$B$8/4))),IF('I_Budget Input Data'!$E$157="At Completion",IF(10='I_Inputs &amp; Assumptions'!$B$8,'I_Budget Input Data'!$D$157,0),'I_Budget Input Data'!$D$157/'I_Inputs &amp; Assumptions'!$B$8)))))),0)</f>
        <v>786.15384615384619</v>
      </c>
      <c r="M157" s="91">
        <f>IF(11&lt;='I_Inputs &amp; Assumptions'!$B$8,IF('I_Budget Input Data'!$E$157="Upfront",IF(11=1,'I_Budget Input Data'!$D$157,0),IF('I_Budget Input Data'!$E$157="Equal",'I_Budget Input Data'!$D$157/'I_Inputs &amp; Assumptions'!$B$8,IF('I_Budget Input Data'!$E$157="Front-loaded",IF(11&lt;='I_Inputs &amp; Assumptions'!$B$8/2,'I_Budget Input Data'!$D$157*0.6/('I_Inputs &amp; Assumptions'!$B$8/2),'I_Budget Input Data'!$D$157*0.4/('I_Inputs &amp; Assumptions'!$B$8/2)),IF('I_Budget Input Data'!$E$157="Back-loaded",IF(11&lt;='I_Inputs &amp; Assumptions'!$B$8/2,'I_Budget Input Data'!$D$157*0.4/('I_Inputs &amp; Assumptions'!$B$8/2),'I_Budget Input Data'!$D$157*0.6/('I_Inputs &amp; Assumptions'!$B$8/2)),IF('I_Budget Input Data'!$E$157="Mid-weighted",IF(11&lt;='I_Inputs &amp; Assumptions'!$B$8/4,'I_Budget Input Data'!$D$157*0.2/('I_Inputs &amp; Assumptions'!$B$8/4),IF(11&lt;='I_Inputs &amp; Assumptions'!$B$8*0.75,'I_Budget Input Data'!$D$157*0.6/('I_Inputs &amp; Assumptions'!$B$8/2),'I_Budget Input Data'!$D$157*0.2/('I_Inputs &amp; Assumptions'!$B$8/4))),IF('I_Budget Input Data'!$E$157="At Completion",IF(11='I_Inputs &amp; Assumptions'!$B$8,'I_Budget Input Data'!$D$157,0),'I_Budget Input Data'!$D$157/'I_Inputs &amp; Assumptions'!$B$8)))))),0)</f>
        <v>786.15384615384619</v>
      </c>
      <c r="N157" s="91">
        <f>IF(12&lt;='I_Inputs &amp; Assumptions'!$B$8,IF('I_Budget Input Data'!$E$157="Upfront",IF(12=1,'I_Budget Input Data'!$D$157,0),IF('I_Budget Input Data'!$E$157="Equal",'I_Budget Input Data'!$D$157/'I_Inputs &amp; Assumptions'!$B$8,IF('I_Budget Input Data'!$E$157="Front-loaded",IF(12&lt;='I_Inputs &amp; Assumptions'!$B$8/2,'I_Budget Input Data'!$D$157*0.6/('I_Inputs &amp; Assumptions'!$B$8/2),'I_Budget Input Data'!$D$157*0.4/('I_Inputs &amp; Assumptions'!$B$8/2)),IF('I_Budget Input Data'!$E$157="Back-loaded",IF(12&lt;='I_Inputs &amp; Assumptions'!$B$8/2,'I_Budget Input Data'!$D$157*0.4/('I_Inputs &amp; Assumptions'!$B$8/2),'I_Budget Input Data'!$D$157*0.6/('I_Inputs &amp; Assumptions'!$B$8/2)),IF('I_Budget Input Data'!$E$157="Mid-weighted",IF(12&lt;='I_Inputs &amp; Assumptions'!$B$8/4,'I_Budget Input Data'!$D$157*0.2/('I_Inputs &amp; Assumptions'!$B$8/4),IF(12&lt;='I_Inputs &amp; Assumptions'!$B$8*0.75,'I_Budget Input Data'!$D$157*0.6/('I_Inputs &amp; Assumptions'!$B$8/2),'I_Budget Input Data'!$D$157*0.2/('I_Inputs &amp; Assumptions'!$B$8/4))),IF('I_Budget Input Data'!$E$157="At Completion",IF(12='I_Inputs &amp; Assumptions'!$B$8,'I_Budget Input Data'!$D$157,0),'I_Budget Input Data'!$D$157/'I_Inputs &amp; Assumptions'!$B$8)))))),0)</f>
        <v>786.15384615384619</v>
      </c>
      <c r="O157" s="91">
        <f>IF(13&lt;='I_Inputs &amp; Assumptions'!$B$8,IF('I_Budget Input Data'!$E$157="Upfront",IF(13=1,'I_Budget Input Data'!$D$157,0),IF('I_Budget Input Data'!$E$157="Equal",'I_Budget Input Data'!$D$157/'I_Inputs &amp; Assumptions'!$B$8,IF('I_Budget Input Data'!$E$157="Front-loaded",IF(13&lt;='I_Inputs &amp; Assumptions'!$B$8/2,'I_Budget Input Data'!$D$157*0.6/('I_Inputs &amp; Assumptions'!$B$8/2),'I_Budget Input Data'!$D$157*0.4/('I_Inputs &amp; Assumptions'!$B$8/2)),IF('I_Budget Input Data'!$E$157="Back-loaded",IF(13&lt;='I_Inputs &amp; Assumptions'!$B$8/2,'I_Budget Input Data'!$D$157*0.4/('I_Inputs &amp; Assumptions'!$B$8/2),'I_Budget Input Data'!$D$157*0.6/('I_Inputs &amp; Assumptions'!$B$8/2)),IF('I_Budget Input Data'!$E$157="Mid-weighted",IF(13&lt;='I_Inputs &amp; Assumptions'!$B$8/4,'I_Budget Input Data'!$D$157*0.2/('I_Inputs &amp; Assumptions'!$B$8/4),IF(13&lt;='I_Inputs &amp; Assumptions'!$B$8*0.75,'I_Budget Input Data'!$D$157*0.6/('I_Inputs &amp; Assumptions'!$B$8/2),'I_Budget Input Data'!$D$157*0.2/('I_Inputs &amp; Assumptions'!$B$8/4))),IF('I_Budget Input Data'!$E$157="At Completion",IF(13='I_Inputs &amp; Assumptions'!$B$8,'I_Budget Input Data'!$D$157,0),'I_Budget Input Data'!$D$157/'I_Inputs &amp; Assumptions'!$B$8)))))),0)</f>
        <v>786.15384615384619</v>
      </c>
      <c r="P157" s="91">
        <f>IF(14&lt;='I_Inputs &amp; Assumptions'!$B$8,IF('I_Budget Input Data'!$E$157="Upfront",IF(14=1,'I_Budget Input Data'!$D$157,0),IF('I_Budget Input Data'!$E$157="Equal",'I_Budget Input Data'!$D$157/'I_Inputs &amp; Assumptions'!$B$8,IF('I_Budget Input Data'!$E$157="Front-loaded",IF(14&lt;='I_Inputs &amp; Assumptions'!$B$8/2,'I_Budget Input Data'!$D$157*0.6/('I_Inputs &amp; Assumptions'!$B$8/2),'I_Budget Input Data'!$D$157*0.4/('I_Inputs &amp; Assumptions'!$B$8/2)),IF('I_Budget Input Data'!$E$157="Back-loaded",IF(14&lt;='I_Inputs &amp; Assumptions'!$B$8/2,'I_Budget Input Data'!$D$157*0.4/('I_Inputs &amp; Assumptions'!$B$8/2),'I_Budget Input Data'!$D$157*0.6/('I_Inputs &amp; Assumptions'!$B$8/2)),IF('I_Budget Input Data'!$E$157="Mid-weighted",IF(14&lt;='I_Inputs &amp; Assumptions'!$B$8/4,'I_Budget Input Data'!$D$157*0.2/('I_Inputs &amp; Assumptions'!$B$8/4),IF(14&lt;='I_Inputs &amp; Assumptions'!$B$8*0.75,'I_Budget Input Data'!$D$157*0.6/('I_Inputs &amp; Assumptions'!$B$8/2),'I_Budget Input Data'!$D$157*0.2/('I_Inputs &amp; Assumptions'!$B$8/4))),IF('I_Budget Input Data'!$E$157="At Completion",IF(14='I_Inputs &amp; Assumptions'!$B$8,'I_Budget Input Data'!$D$157,0),'I_Budget Input Data'!$D$157/'I_Inputs &amp; Assumptions'!$B$8)))))),0)</f>
        <v>0</v>
      </c>
      <c r="Q157" s="91">
        <f>IF(15&lt;='I_Inputs &amp; Assumptions'!$B$8,IF('I_Budget Input Data'!$E$157="Upfront",IF(15=1,'I_Budget Input Data'!$D$157,0),IF('I_Budget Input Data'!$E$157="Equal",'I_Budget Input Data'!$D$157/'I_Inputs &amp; Assumptions'!$B$8,IF('I_Budget Input Data'!$E$157="Front-loaded",IF(15&lt;='I_Inputs &amp; Assumptions'!$B$8/2,'I_Budget Input Data'!$D$157*0.6/('I_Inputs &amp; Assumptions'!$B$8/2),'I_Budget Input Data'!$D$157*0.4/('I_Inputs &amp; Assumptions'!$B$8/2)),IF('I_Budget Input Data'!$E$157="Back-loaded",IF(15&lt;='I_Inputs &amp; Assumptions'!$B$8/2,'I_Budget Input Data'!$D$157*0.4/('I_Inputs &amp; Assumptions'!$B$8/2),'I_Budget Input Data'!$D$157*0.6/('I_Inputs &amp; Assumptions'!$B$8/2)),IF('I_Budget Input Data'!$E$157="Mid-weighted",IF(15&lt;='I_Inputs &amp; Assumptions'!$B$8/4,'I_Budget Input Data'!$D$157*0.2/('I_Inputs &amp; Assumptions'!$B$8/4),IF(15&lt;='I_Inputs &amp; Assumptions'!$B$8*0.75,'I_Budget Input Data'!$D$157*0.6/('I_Inputs &amp; Assumptions'!$B$8/2),'I_Budget Input Data'!$D$157*0.2/('I_Inputs &amp; Assumptions'!$B$8/4))),IF('I_Budget Input Data'!$E$157="At Completion",IF(15='I_Inputs &amp; Assumptions'!$B$8,'I_Budget Input Data'!$D$157,0),'I_Budget Input Data'!$D$157/'I_Inputs &amp; Assumptions'!$B$8)))))),0)</f>
        <v>0</v>
      </c>
      <c r="R157" s="91">
        <f>IF(16&lt;='I_Inputs &amp; Assumptions'!$B$8,IF('I_Budget Input Data'!$E$157="Upfront",IF(16=1,'I_Budget Input Data'!$D$157,0),IF('I_Budget Input Data'!$E$157="Equal",'I_Budget Input Data'!$D$157/'I_Inputs &amp; Assumptions'!$B$8,IF('I_Budget Input Data'!$E$157="Front-loaded",IF(16&lt;='I_Inputs &amp; Assumptions'!$B$8/2,'I_Budget Input Data'!$D$157*0.6/('I_Inputs &amp; Assumptions'!$B$8/2),'I_Budget Input Data'!$D$157*0.4/('I_Inputs &amp; Assumptions'!$B$8/2)),IF('I_Budget Input Data'!$E$157="Back-loaded",IF(16&lt;='I_Inputs &amp; Assumptions'!$B$8/2,'I_Budget Input Data'!$D$157*0.4/('I_Inputs &amp; Assumptions'!$B$8/2),'I_Budget Input Data'!$D$157*0.6/('I_Inputs &amp; Assumptions'!$B$8/2)),IF('I_Budget Input Data'!$E$157="Mid-weighted",IF(16&lt;='I_Inputs &amp; Assumptions'!$B$8/4,'I_Budget Input Data'!$D$157*0.2/('I_Inputs &amp; Assumptions'!$B$8/4),IF(16&lt;='I_Inputs &amp; Assumptions'!$B$8*0.75,'I_Budget Input Data'!$D$157*0.6/('I_Inputs &amp; Assumptions'!$B$8/2),'I_Budget Input Data'!$D$157*0.2/('I_Inputs &amp; Assumptions'!$B$8/4))),IF('I_Budget Input Data'!$E$157="At Completion",IF(16='I_Inputs &amp; Assumptions'!$B$8,'I_Budget Input Data'!$D$157,0),'I_Budget Input Data'!$D$157/'I_Inputs &amp; Assumptions'!$B$8)))))),0)</f>
        <v>0</v>
      </c>
      <c r="S157" s="91">
        <f>IF(17&lt;='I_Inputs &amp; Assumptions'!$B$8,IF('I_Budget Input Data'!$E$157="Upfront",IF(17=1,'I_Budget Input Data'!$D$157,0),IF('I_Budget Input Data'!$E$157="Equal",'I_Budget Input Data'!$D$157/'I_Inputs &amp; Assumptions'!$B$8,IF('I_Budget Input Data'!$E$157="Front-loaded",IF(17&lt;='I_Inputs &amp; Assumptions'!$B$8/2,'I_Budget Input Data'!$D$157*0.6/('I_Inputs &amp; Assumptions'!$B$8/2),'I_Budget Input Data'!$D$157*0.4/('I_Inputs &amp; Assumptions'!$B$8/2)),IF('I_Budget Input Data'!$E$157="Back-loaded",IF(17&lt;='I_Inputs &amp; Assumptions'!$B$8/2,'I_Budget Input Data'!$D$157*0.4/('I_Inputs &amp; Assumptions'!$B$8/2),'I_Budget Input Data'!$D$157*0.6/('I_Inputs &amp; Assumptions'!$B$8/2)),IF('I_Budget Input Data'!$E$157="Mid-weighted",IF(17&lt;='I_Inputs &amp; Assumptions'!$B$8/4,'I_Budget Input Data'!$D$157*0.2/('I_Inputs &amp; Assumptions'!$B$8/4),IF(17&lt;='I_Inputs &amp; Assumptions'!$B$8*0.75,'I_Budget Input Data'!$D$157*0.6/('I_Inputs &amp; Assumptions'!$B$8/2),'I_Budget Input Data'!$D$157*0.2/('I_Inputs &amp; Assumptions'!$B$8/4))),IF('I_Budget Input Data'!$E$157="At Completion",IF(17='I_Inputs &amp; Assumptions'!$B$8,'I_Budget Input Data'!$D$157,0),'I_Budget Input Data'!$D$157/'I_Inputs &amp; Assumptions'!$B$8)))))),0)</f>
        <v>0</v>
      </c>
      <c r="T157" s="91">
        <f>IF(18&lt;='I_Inputs &amp; Assumptions'!$B$8,IF('I_Budget Input Data'!$E$157="Upfront",IF(18=1,'I_Budget Input Data'!$D$157,0),IF('I_Budget Input Data'!$E$157="Equal",'I_Budget Input Data'!$D$157/'I_Inputs &amp; Assumptions'!$B$8,IF('I_Budget Input Data'!$E$157="Front-loaded",IF(18&lt;='I_Inputs &amp; Assumptions'!$B$8/2,'I_Budget Input Data'!$D$157*0.6/('I_Inputs &amp; Assumptions'!$B$8/2),'I_Budget Input Data'!$D$157*0.4/('I_Inputs &amp; Assumptions'!$B$8/2)),IF('I_Budget Input Data'!$E$157="Back-loaded",IF(18&lt;='I_Inputs &amp; Assumptions'!$B$8/2,'I_Budget Input Data'!$D$157*0.4/('I_Inputs &amp; Assumptions'!$B$8/2),'I_Budget Input Data'!$D$157*0.6/('I_Inputs &amp; Assumptions'!$B$8/2)),IF('I_Budget Input Data'!$E$157="Mid-weighted",IF(18&lt;='I_Inputs &amp; Assumptions'!$B$8/4,'I_Budget Input Data'!$D$157*0.2/('I_Inputs &amp; Assumptions'!$B$8/4),IF(18&lt;='I_Inputs &amp; Assumptions'!$B$8*0.75,'I_Budget Input Data'!$D$157*0.6/('I_Inputs &amp; Assumptions'!$B$8/2),'I_Budget Input Data'!$D$157*0.2/('I_Inputs &amp; Assumptions'!$B$8/4))),IF('I_Budget Input Data'!$E$157="At Completion",IF(18='I_Inputs &amp; Assumptions'!$B$8,'I_Budget Input Data'!$D$157,0),'I_Budget Input Data'!$D$157/'I_Inputs &amp; Assumptions'!$B$8)))))),0)</f>
        <v>0</v>
      </c>
      <c r="U157" s="91">
        <f>IF(19&lt;='I_Inputs &amp; Assumptions'!$B$8,IF('I_Budget Input Data'!$E$157="Upfront",IF(19=1,'I_Budget Input Data'!$D$157,0),IF('I_Budget Input Data'!$E$157="Equal",'I_Budget Input Data'!$D$157/'I_Inputs &amp; Assumptions'!$B$8,IF('I_Budget Input Data'!$E$157="Front-loaded",IF(19&lt;='I_Inputs &amp; Assumptions'!$B$8/2,'I_Budget Input Data'!$D$157*0.6/('I_Inputs &amp; Assumptions'!$B$8/2),'I_Budget Input Data'!$D$157*0.4/('I_Inputs &amp; Assumptions'!$B$8/2)),IF('I_Budget Input Data'!$E$157="Back-loaded",IF(19&lt;='I_Inputs &amp; Assumptions'!$B$8/2,'I_Budget Input Data'!$D$157*0.4/('I_Inputs &amp; Assumptions'!$B$8/2),'I_Budget Input Data'!$D$157*0.6/('I_Inputs &amp; Assumptions'!$B$8/2)),IF('I_Budget Input Data'!$E$157="Mid-weighted",IF(19&lt;='I_Inputs &amp; Assumptions'!$B$8/4,'I_Budget Input Data'!$D$157*0.2/('I_Inputs &amp; Assumptions'!$B$8/4),IF(19&lt;='I_Inputs &amp; Assumptions'!$B$8*0.75,'I_Budget Input Data'!$D$157*0.6/('I_Inputs &amp; Assumptions'!$B$8/2),'I_Budget Input Data'!$D$157*0.2/('I_Inputs &amp; Assumptions'!$B$8/4))),IF('I_Budget Input Data'!$E$157="At Completion",IF(19='I_Inputs &amp; Assumptions'!$B$8,'I_Budget Input Data'!$D$157,0),'I_Budget Input Data'!$D$157/'I_Inputs &amp; Assumptions'!$B$8)))))),0)</f>
        <v>0</v>
      </c>
      <c r="V157" s="91">
        <f>IF(20&lt;='I_Inputs &amp; Assumptions'!$B$8,IF('I_Budget Input Data'!$E$157="Upfront",IF(20=1,'I_Budget Input Data'!$D$157,0),IF('I_Budget Input Data'!$E$157="Equal",'I_Budget Input Data'!$D$157/'I_Inputs &amp; Assumptions'!$B$8,IF('I_Budget Input Data'!$E$157="Front-loaded",IF(20&lt;='I_Inputs &amp; Assumptions'!$B$8/2,'I_Budget Input Data'!$D$157*0.6/('I_Inputs &amp; Assumptions'!$B$8/2),'I_Budget Input Data'!$D$157*0.4/('I_Inputs &amp; Assumptions'!$B$8/2)),IF('I_Budget Input Data'!$E$157="Back-loaded",IF(20&lt;='I_Inputs &amp; Assumptions'!$B$8/2,'I_Budget Input Data'!$D$157*0.4/('I_Inputs &amp; Assumptions'!$B$8/2),'I_Budget Input Data'!$D$157*0.6/('I_Inputs &amp; Assumptions'!$B$8/2)),IF('I_Budget Input Data'!$E$157="Mid-weighted",IF(20&lt;='I_Inputs &amp; Assumptions'!$B$8/4,'I_Budget Input Data'!$D$157*0.2/('I_Inputs &amp; Assumptions'!$B$8/4),IF(20&lt;='I_Inputs &amp; Assumptions'!$B$8*0.75,'I_Budget Input Data'!$D$157*0.6/('I_Inputs &amp; Assumptions'!$B$8/2),'I_Budget Input Data'!$D$157*0.2/('I_Inputs &amp; Assumptions'!$B$8/4))),IF('I_Budget Input Data'!$E$157="At Completion",IF(20='I_Inputs &amp; Assumptions'!$B$8,'I_Budget Input Data'!$D$157,0),'I_Budget Input Data'!$D$157/'I_Inputs &amp; Assumptions'!$B$8)))))),0)</f>
        <v>0</v>
      </c>
      <c r="W157" s="91">
        <f>IF(21&lt;='I_Inputs &amp; Assumptions'!$B$8,IF('I_Budget Input Data'!$E$157="Upfront",IF(21=1,'I_Budget Input Data'!$D$157,0),IF('I_Budget Input Data'!$E$157="Equal",'I_Budget Input Data'!$D$157/'I_Inputs &amp; Assumptions'!$B$8,IF('I_Budget Input Data'!$E$157="Front-loaded",IF(21&lt;='I_Inputs &amp; Assumptions'!$B$8/2,'I_Budget Input Data'!$D$157*0.6/('I_Inputs &amp; Assumptions'!$B$8/2),'I_Budget Input Data'!$D$157*0.4/('I_Inputs &amp; Assumptions'!$B$8/2)),IF('I_Budget Input Data'!$E$157="Back-loaded",IF(21&lt;='I_Inputs &amp; Assumptions'!$B$8/2,'I_Budget Input Data'!$D$157*0.4/('I_Inputs &amp; Assumptions'!$B$8/2),'I_Budget Input Data'!$D$157*0.6/('I_Inputs &amp; Assumptions'!$B$8/2)),IF('I_Budget Input Data'!$E$157="Mid-weighted",IF(21&lt;='I_Inputs &amp; Assumptions'!$B$8/4,'I_Budget Input Data'!$D$157*0.2/('I_Inputs &amp; Assumptions'!$B$8/4),IF(21&lt;='I_Inputs &amp; Assumptions'!$B$8*0.75,'I_Budget Input Data'!$D$157*0.6/('I_Inputs &amp; Assumptions'!$B$8/2),'I_Budget Input Data'!$D$157*0.2/('I_Inputs &amp; Assumptions'!$B$8/4))),IF('I_Budget Input Data'!$E$157="At Completion",IF(21='I_Inputs &amp; Assumptions'!$B$8,'I_Budget Input Data'!$D$157,0),'I_Budget Input Data'!$D$157/'I_Inputs &amp; Assumptions'!$B$8)))))),0)</f>
        <v>0</v>
      </c>
      <c r="X157" s="91">
        <f>IF(22&lt;='I_Inputs &amp; Assumptions'!$B$8,IF('I_Budget Input Data'!$E$157="Upfront",IF(22=1,'I_Budget Input Data'!$D$157,0),IF('I_Budget Input Data'!$E$157="Equal",'I_Budget Input Data'!$D$157/'I_Inputs &amp; Assumptions'!$B$8,IF('I_Budget Input Data'!$E$157="Front-loaded",IF(22&lt;='I_Inputs &amp; Assumptions'!$B$8/2,'I_Budget Input Data'!$D$157*0.6/('I_Inputs &amp; Assumptions'!$B$8/2),'I_Budget Input Data'!$D$157*0.4/('I_Inputs &amp; Assumptions'!$B$8/2)),IF('I_Budget Input Data'!$E$157="Back-loaded",IF(22&lt;='I_Inputs &amp; Assumptions'!$B$8/2,'I_Budget Input Data'!$D$157*0.4/('I_Inputs &amp; Assumptions'!$B$8/2),'I_Budget Input Data'!$D$157*0.6/('I_Inputs &amp; Assumptions'!$B$8/2)),IF('I_Budget Input Data'!$E$157="Mid-weighted",IF(22&lt;='I_Inputs &amp; Assumptions'!$B$8/4,'I_Budget Input Data'!$D$157*0.2/('I_Inputs &amp; Assumptions'!$B$8/4),IF(22&lt;='I_Inputs &amp; Assumptions'!$B$8*0.75,'I_Budget Input Data'!$D$157*0.6/('I_Inputs &amp; Assumptions'!$B$8/2),'I_Budget Input Data'!$D$157*0.2/('I_Inputs &amp; Assumptions'!$B$8/4))),IF('I_Budget Input Data'!$E$157="At Completion",IF(22='I_Inputs &amp; Assumptions'!$B$8,'I_Budget Input Data'!$D$157,0),'I_Budget Input Data'!$D$157/'I_Inputs &amp; Assumptions'!$B$8)))))),0)</f>
        <v>0</v>
      </c>
      <c r="Y157" s="91">
        <f>IF(23&lt;='I_Inputs &amp; Assumptions'!$B$8,IF('I_Budget Input Data'!$E$157="Upfront",IF(23=1,'I_Budget Input Data'!$D$157,0),IF('I_Budget Input Data'!$E$157="Equal",'I_Budget Input Data'!$D$157/'I_Inputs &amp; Assumptions'!$B$8,IF('I_Budget Input Data'!$E$157="Front-loaded",IF(23&lt;='I_Inputs &amp; Assumptions'!$B$8/2,'I_Budget Input Data'!$D$157*0.6/('I_Inputs &amp; Assumptions'!$B$8/2),'I_Budget Input Data'!$D$157*0.4/('I_Inputs &amp; Assumptions'!$B$8/2)),IF('I_Budget Input Data'!$E$157="Back-loaded",IF(23&lt;='I_Inputs &amp; Assumptions'!$B$8/2,'I_Budget Input Data'!$D$157*0.4/('I_Inputs &amp; Assumptions'!$B$8/2),'I_Budget Input Data'!$D$157*0.6/('I_Inputs &amp; Assumptions'!$B$8/2)),IF('I_Budget Input Data'!$E$157="Mid-weighted",IF(23&lt;='I_Inputs &amp; Assumptions'!$B$8/4,'I_Budget Input Data'!$D$157*0.2/('I_Inputs &amp; Assumptions'!$B$8/4),IF(23&lt;='I_Inputs &amp; Assumptions'!$B$8*0.75,'I_Budget Input Data'!$D$157*0.6/('I_Inputs &amp; Assumptions'!$B$8/2),'I_Budget Input Data'!$D$157*0.2/('I_Inputs &amp; Assumptions'!$B$8/4))),IF('I_Budget Input Data'!$E$157="At Completion",IF(23='I_Inputs &amp; Assumptions'!$B$8,'I_Budget Input Data'!$D$157,0),'I_Budget Input Data'!$D$157/'I_Inputs &amp; Assumptions'!$B$8)))))),0)</f>
        <v>0</v>
      </c>
      <c r="Z157" s="91">
        <f>IF(24&lt;='I_Inputs &amp; Assumptions'!$B$8,IF('I_Budget Input Data'!$E$157="Upfront",IF(24=1,'I_Budget Input Data'!$D$157,0),IF('I_Budget Input Data'!$E$157="Equal",'I_Budget Input Data'!$D$157/'I_Inputs &amp; Assumptions'!$B$8,IF('I_Budget Input Data'!$E$157="Front-loaded",IF(24&lt;='I_Inputs &amp; Assumptions'!$B$8/2,'I_Budget Input Data'!$D$157*0.6/('I_Inputs &amp; Assumptions'!$B$8/2),'I_Budget Input Data'!$D$157*0.4/('I_Inputs &amp; Assumptions'!$B$8/2)),IF('I_Budget Input Data'!$E$157="Back-loaded",IF(24&lt;='I_Inputs &amp; Assumptions'!$B$8/2,'I_Budget Input Data'!$D$157*0.4/('I_Inputs &amp; Assumptions'!$B$8/2),'I_Budget Input Data'!$D$157*0.6/('I_Inputs &amp; Assumptions'!$B$8/2)),IF('I_Budget Input Data'!$E$157="Mid-weighted",IF(24&lt;='I_Inputs &amp; Assumptions'!$B$8/4,'I_Budget Input Data'!$D$157*0.2/('I_Inputs &amp; Assumptions'!$B$8/4),IF(24&lt;='I_Inputs &amp; Assumptions'!$B$8*0.75,'I_Budget Input Data'!$D$157*0.6/('I_Inputs &amp; Assumptions'!$B$8/2),'I_Budget Input Data'!$D$157*0.2/('I_Inputs &amp; Assumptions'!$B$8/4))),IF('I_Budget Input Data'!$E$157="At Completion",IF(24='I_Inputs &amp; Assumptions'!$B$8,'I_Budget Input Data'!$D$157,0),'I_Budget Input Data'!$D$157/'I_Inputs &amp; Assumptions'!$B$8)))))),0)</f>
        <v>0</v>
      </c>
      <c r="AA157" s="91">
        <f>IF(25&lt;='I_Inputs &amp; Assumptions'!$B$8,IF('I_Budget Input Data'!$E$157="Upfront",IF(25=1,'I_Budget Input Data'!$D$157,0),IF('I_Budget Input Data'!$E$157="Equal",'I_Budget Input Data'!$D$157/'I_Inputs &amp; Assumptions'!$B$8,IF('I_Budget Input Data'!$E$157="Front-loaded",IF(25&lt;='I_Inputs &amp; Assumptions'!$B$8/2,'I_Budget Input Data'!$D$157*0.6/('I_Inputs &amp; Assumptions'!$B$8/2),'I_Budget Input Data'!$D$157*0.4/('I_Inputs &amp; Assumptions'!$B$8/2)),IF('I_Budget Input Data'!$E$157="Back-loaded",IF(25&lt;='I_Inputs &amp; Assumptions'!$B$8/2,'I_Budget Input Data'!$D$157*0.4/('I_Inputs &amp; Assumptions'!$B$8/2),'I_Budget Input Data'!$D$157*0.6/('I_Inputs &amp; Assumptions'!$B$8/2)),IF('I_Budget Input Data'!$E$157="Mid-weighted",IF(25&lt;='I_Inputs &amp; Assumptions'!$B$8/4,'I_Budget Input Data'!$D$157*0.2/('I_Inputs &amp; Assumptions'!$B$8/4),IF(25&lt;='I_Inputs &amp; Assumptions'!$B$8*0.75,'I_Budget Input Data'!$D$157*0.6/('I_Inputs &amp; Assumptions'!$B$8/2),'I_Budget Input Data'!$D$157*0.2/('I_Inputs &amp; Assumptions'!$B$8/4))),IF('I_Budget Input Data'!$E$157="At Completion",IF(25='I_Inputs &amp; Assumptions'!$B$8,'I_Budget Input Data'!$D$157,0),'I_Budget Input Data'!$D$157/'I_Inputs &amp; Assumptions'!$B$8)))))),0)</f>
        <v>0</v>
      </c>
      <c r="AB157" s="91">
        <f>IF(26&lt;='I_Inputs &amp; Assumptions'!$B$8,IF('I_Budget Input Data'!$E$157="Upfront",IF(26=1,'I_Budget Input Data'!$D$157,0),IF('I_Budget Input Data'!$E$157="Equal",'I_Budget Input Data'!$D$157/'I_Inputs &amp; Assumptions'!$B$8,IF('I_Budget Input Data'!$E$157="Front-loaded",IF(26&lt;='I_Inputs &amp; Assumptions'!$B$8/2,'I_Budget Input Data'!$D$157*0.6/('I_Inputs &amp; Assumptions'!$B$8/2),'I_Budget Input Data'!$D$157*0.4/('I_Inputs &amp; Assumptions'!$B$8/2)),IF('I_Budget Input Data'!$E$157="Back-loaded",IF(26&lt;='I_Inputs &amp; Assumptions'!$B$8/2,'I_Budget Input Data'!$D$157*0.4/('I_Inputs &amp; Assumptions'!$B$8/2),'I_Budget Input Data'!$D$157*0.6/('I_Inputs &amp; Assumptions'!$B$8/2)),IF('I_Budget Input Data'!$E$157="Mid-weighted",IF(26&lt;='I_Inputs &amp; Assumptions'!$B$8/4,'I_Budget Input Data'!$D$157*0.2/('I_Inputs &amp; Assumptions'!$B$8/4),IF(26&lt;='I_Inputs &amp; Assumptions'!$B$8*0.75,'I_Budget Input Data'!$D$157*0.6/('I_Inputs &amp; Assumptions'!$B$8/2),'I_Budget Input Data'!$D$157*0.2/('I_Inputs &amp; Assumptions'!$B$8/4))),IF('I_Budget Input Data'!$E$157="At Completion",IF(26='I_Inputs &amp; Assumptions'!$B$8,'I_Budget Input Data'!$D$157,0),'I_Budget Input Data'!$D$157/'I_Inputs &amp; Assumptions'!$B$8)))))),0)</f>
        <v>0</v>
      </c>
      <c r="AC157" s="91">
        <f>IF(27&lt;='I_Inputs &amp; Assumptions'!$B$8,IF('I_Budget Input Data'!$E$157="Upfront",IF(27=1,'I_Budget Input Data'!$D$157,0),IF('I_Budget Input Data'!$E$157="Equal",'I_Budget Input Data'!$D$157/'I_Inputs &amp; Assumptions'!$B$8,IF('I_Budget Input Data'!$E$157="Front-loaded",IF(27&lt;='I_Inputs &amp; Assumptions'!$B$8/2,'I_Budget Input Data'!$D$157*0.6/('I_Inputs &amp; Assumptions'!$B$8/2),'I_Budget Input Data'!$D$157*0.4/('I_Inputs &amp; Assumptions'!$B$8/2)),IF('I_Budget Input Data'!$E$157="Back-loaded",IF(27&lt;='I_Inputs &amp; Assumptions'!$B$8/2,'I_Budget Input Data'!$D$157*0.4/('I_Inputs &amp; Assumptions'!$B$8/2),'I_Budget Input Data'!$D$157*0.6/('I_Inputs &amp; Assumptions'!$B$8/2)),IF('I_Budget Input Data'!$E$157="Mid-weighted",IF(27&lt;='I_Inputs &amp; Assumptions'!$B$8/4,'I_Budget Input Data'!$D$157*0.2/('I_Inputs &amp; Assumptions'!$B$8/4),IF(27&lt;='I_Inputs &amp; Assumptions'!$B$8*0.75,'I_Budget Input Data'!$D$157*0.6/('I_Inputs &amp; Assumptions'!$B$8/2),'I_Budget Input Data'!$D$157*0.2/('I_Inputs &amp; Assumptions'!$B$8/4))),IF('I_Budget Input Data'!$E$157="At Completion",IF(27='I_Inputs &amp; Assumptions'!$B$8,'I_Budget Input Data'!$D$157,0),'I_Budget Input Data'!$D$157/'I_Inputs &amp; Assumptions'!$B$8)))))),0)</f>
        <v>0</v>
      </c>
      <c r="AD157" s="91">
        <f>IF(28&lt;='I_Inputs &amp; Assumptions'!$B$8,IF('I_Budget Input Data'!$E$157="Upfront",IF(28=1,'I_Budget Input Data'!$D$157,0),IF('I_Budget Input Data'!$E$157="Equal",'I_Budget Input Data'!$D$157/'I_Inputs &amp; Assumptions'!$B$8,IF('I_Budget Input Data'!$E$157="Front-loaded",IF(28&lt;='I_Inputs &amp; Assumptions'!$B$8/2,'I_Budget Input Data'!$D$157*0.6/('I_Inputs &amp; Assumptions'!$B$8/2),'I_Budget Input Data'!$D$157*0.4/('I_Inputs &amp; Assumptions'!$B$8/2)),IF('I_Budget Input Data'!$E$157="Back-loaded",IF(28&lt;='I_Inputs &amp; Assumptions'!$B$8/2,'I_Budget Input Data'!$D$157*0.4/('I_Inputs &amp; Assumptions'!$B$8/2),'I_Budget Input Data'!$D$157*0.6/('I_Inputs &amp; Assumptions'!$B$8/2)),IF('I_Budget Input Data'!$E$157="Mid-weighted",IF(28&lt;='I_Inputs &amp; Assumptions'!$B$8/4,'I_Budget Input Data'!$D$157*0.2/('I_Inputs &amp; Assumptions'!$B$8/4),IF(28&lt;='I_Inputs &amp; Assumptions'!$B$8*0.75,'I_Budget Input Data'!$D$157*0.6/('I_Inputs &amp; Assumptions'!$B$8/2),'I_Budget Input Data'!$D$157*0.2/('I_Inputs &amp; Assumptions'!$B$8/4))),IF('I_Budget Input Data'!$E$157="At Completion",IF(28='I_Inputs &amp; Assumptions'!$B$8,'I_Budget Input Data'!$D$157,0),'I_Budget Input Data'!$D$157/'I_Inputs &amp; Assumptions'!$B$8)))))),0)</f>
        <v>0</v>
      </c>
      <c r="AE157" s="91">
        <f>IF(29&lt;='I_Inputs &amp; Assumptions'!$B$8,IF('I_Budget Input Data'!$E$157="Upfront",IF(29=1,'I_Budget Input Data'!$D$157,0),IF('I_Budget Input Data'!$E$157="Equal",'I_Budget Input Data'!$D$157/'I_Inputs &amp; Assumptions'!$B$8,IF('I_Budget Input Data'!$E$157="Front-loaded",IF(29&lt;='I_Inputs &amp; Assumptions'!$B$8/2,'I_Budget Input Data'!$D$157*0.6/('I_Inputs &amp; Assumptions'!$B$8/2),'I_Budget Input Data'!$D$157*0.4/('I_Inputs &amp; Assumptions'!$B$8/2)),IF('I_Budget Input Data'!$E$157="Back-loaded",IF(29&lt;='I_Inputs &amp; Assumptions'!$B$8/2,'I_Budget Input Data'!$D$157*0.4/('I_Inputs &amp; Assumptions'!$B$8/2),'I_Budget Input Data'!$D$157*0.6/('I_Inputs &amp; Assumptions'!$B$8/2)),IF('I_Budget Input Data'!$E$157="Mid-weighted",IF(29&lt;='I_Inputs &amp; Assumptions'!$B$8/4,'I_Budget Input Data'!$D$157*0.2/('I_Inputs &amp; Assumptions'!$B$8/4),IF(29&lt;='I_Inputs &amp; Assumptions'!$B$8*0.75,'I_Budget Input Data'!$D$157*0.6/('I_Inputs &amp; Assumptions'!$B$8/2),'I_Budget Input Data'!$D$157*0.2/('I_Inputs &amp; Assumptions'!$B$8/4))),IF('I_Budget Input Data'!$E$157="At Completion",IF(29='I_Inputs &amp; Assumptions'!$B$8,'I_Budget Input Data'!$D$157,0),'I_Budget Input Data'!$D$157/'I_Inputs &amp; Assumptions'!$B$8)))))),0)</f>
        <v>0</v>
      </c>
      <c r="AF157" s="91">
        <f>IF(30&lt;='I_Inputs &amp; Assumptions'!$B$8,IF('I_Budget Input Data'!$E$157="Upfront",IF(30=1,'I_Budget Input Data'!$D$157,0),IF('I_Budget Input Data'!$E$157="Equal",'I_Budget Input Data'!$D$157/'I_Inputs &amp; Assumptions'!$B$8,IF('I_Budget Input Data'!$E$157="Front-loaded",IF(30&lt;='I_Inputs &amp; Assumptions'!$B$8/2,'I_Budget Input Data'!$D$157*0.6/('I_Inputs &amp; Assumptions'!$B$8/2),'I_Budget Input Data'!$D$157*0.4/('I_Inputs &amp; Assumptions'!$B$8/2)),IF('I_Budget Input Data'!$E$157="Back-loaded",IF(30&lt;='I_Inputs &amp; Assumptions'!$B$8/2,'I_Budget Input Data'!$D$157*0.4/('I_Inputs &amp; Assumptions'!$B$8/2),'I_Budget Input Data'!$D$157*0.6/('I_Inputs &amp; Assumptions'!$B$8/2)),IF('I_Budget Input Data'!$E$157="Mid-weighted",IF(30&lt;='I_Inputs &amp; Assumptions'!$B$8/4,'I_Budget Input Data'!$D$157*0.2/('I_Inputs &amp; Assumptions'!$B$8/4),IF(30&lt;='I_Inputs &amp; Assumptions'!$B$8*0.75,'I_Budget Input Data'!$D$157*0.6/('I_Inputs &amp; Assumptions'!$B$8/2),'I_Budget Input Data'!$D$157*0.2/('I_Inputs &amp; Assumptions'!$B$8/4))),IF('I_Budget Input Data'!$E$157="At Completion",IF(30='I_Inputs &amp; Assumptions'!$B$8,'I_Budget Input Data'!$D$157,0),'I_Budget Input Data'!$D$157/'I_Inputs &amp; Assumptions'!$B$8)))))),0)</f>
        <v>0</v>
      </c>
      <c r="AG157" s="91">
        <f>IF(31&lt;='I_Inputs &amp; Assumptions'!$B$8,IF('I_Budget Input Data'!$E$157="Upfront",IF(31=1,'I_Budget Input Data'!$D$157,0),IF('I_Budget Input Data'!$E$157="Equal",'I_Budget Input Data'!$D$157/'I_Inputs &amp; Assumptions'!$B$8,IF('I_Budget Input Data'!$E$157="Front-loaded",IF(31&lt;='I_Inputs &amp; Assumptions'!$B$8/2,'I_Budget Input Data'!$D$157*0.6/('I_Inputs &amp; Assumptions'!$B$8/2),'I_Budget Input Data'!$D$157*0.4/('I_Inputs &amp; Assumptions'!$B$8/2)),IF('I_Budget Input Data'!$E$157="Back-loaded",IF(31&lt;='I_Inputs &amp; Assumptions'!$B$8/2,'I_Budget Input Data'!$D$157*0.4/('I_Inputs &amp; Assumptions'!$B$8/2),'I_Budget Input Data'!$D$157*0.6/('I_Inputs &amp; Assumptions'!$B$8/2)),IF('I_Budget Input Data'!$E$157="Mid-weighted",IF(31&lt;='I_Inputs &amp; Assumptions'!$B$8/4,'I_Budget Input Data'!$D$157*0.2/('I_Inputs &amp; Assumptions'!$B$8/4),IF(31&lt;='I_Inputs &amp; Assumptions'!$B$8*0.75,'I_Budget Input Data'!$D$157*0.6/('I_Inputs &amp; Assumptions'!$B$8/2),'I_Budget Input Data'!$D$157*0.2/('I_Inputs &amp; Assumptions'!$B$8/4))),IF('I_Budget Input Data'!$E$157="At Completion",IF(31='I_Inputs &amp; Assumptions'!$B$8,'I_Budget Input Data'!$D$157,0),'I_Budget Input Data'!$D$157/'I_Inputs &amp; Assumptions'!$B$8)))))),0)</f>
        <v>0</v>
      </c>
      <c r="AH157" s="91">
        <f>IF(32&lt;='I_Inputs &amp; Assumptions'!$B$8,IF('I_Budget Input Data'!$E$157="Upfront",IF(32=1,'I_Budget Input Data'!$D$157,0),IF('I_Budget Input Data'!$E$157="Equal",'I_Budget Input Data'!$D$157/'I_Inputs &amp; Assumptions'!$B$8,IF('I_Budget Input Data'!$E$157="Front-loaded",IF(32&lt;='I_Inputs &amp; Assumptions'!$B$8/2,'I_Budget Input Data'!$D$157*0.6/('I_Inputs &amp; Assumptions'!$B$8/2),'I_Budget Input Data'!$D$157*0.4/('I_Inputs &amp; Assumptions'!$B$8/2)),IF('I_Budget Input Data'!$E$157="Back-loaded",IF(32&lt;='I_Inputs &amp; Assumptions'!$B$8/2,'I_Budget Input Data'!$D$157*0.4/('I_Inputs &amp; Assumptions'!$B$8/2),'I_Budget Input Data'!$D$157*0.6/('I_Inputs &amp; Assumptions'!$B$8/2)),IF('I_Budget Input Data'!$E$157="Mid-weighted",IF(32&lt;='I_Inputs &amp; Assumptions'!$B$8/4,'I_Budget Input Data'!$D$157*0.2/('I_Inputs &amp; Assumptions'!$B$8/4),IF(32&lt;='I_Inputs &amp; Assumptions'!$B$8*0.75,'I_Budget Input Data'!$D$157*0.6/('I_Inputs &amp; Assumptions'!$B$8/2),'I_Budget Input Data'!$D$157*0.2/('I_Inputs &amp; Assumptions'!$B$8/4))),IF('I_Budget Input Data'!$E$157="At Completion",IF(32='I_Inputs &amp; Assumptions'!$B$8,'I_Budget Input Data'!$D$157,0),'I_Budget Input Data'!$D$157/'I_Inputs &amp; Assumptions'!$B$8)))))),0)</f>
        <v>0</v>
      </c>
      <c r="AI157" s="91">
        <f>IF(33&lt;='I_Inputs &amp; Assumptions'!$B$8,IF('I_Budget Input Data'!$E$157="Upfront",IF(33=1,'I_Budget Input Data'!$D$157,0),IF('I_Budget Input Data'!$E$157="Equal",'I_Budget Input Data'!$D$157/'I_Inputs &amp; Assumptions'!$B$8,IF('I_Budget Input Data'!$E$157="Front-loaded",IF(33&lt;='I_Inputs &amp; Assumptions'!$B$8/2,'I_Budget Input Data'!$D$157*0.6/('I_Inputs &amp; Assumptions'!$B$8/2),'I_Budget Input Data'!$D$157*0.4/('I_Inputs &amp; Assumptions'!$B$8/2)),IF('I_Budget Input Data'!$E$157="Back-loaded",IF(33&lt;='I_Inputs &amp; Assumptions'!$B$8/2,'I_Budget Input Data'!$D$157*0.4/('I_Inputs &amp; Assumptions'!$B$8/2),'I_Budget Input Data'!$D$157*0.6/('I_Inputs &amp; Assumptions'!$B$8/2)),IF('I_Budget Input Data'!$E$157="Mid-weighted",IF(33&lt;='I_Inputs &amp; Assumptions'!$B$8/4,'I_Budget Input Data'!$D$157*0.2/('I_Inputs &amp; Assumptions'!$B$8/4),IF(33&lt;='I_Inputs &amp; Assumptions'!$B$8*0.75,'I_Budget Input Data'!$D$157*0.6/('I_Inputs &amp; Assumptions'!$B$8/2),'I_Budget Input Data'!$D$157*0.2/('I_Inputs &amp; Assumptions'!$B$8/4))),IF('I_Budget Input Data'!$E$157="At Completion",IF(33='I_Inputs &amp; Assumptions'!$B$8,'I_Budget Input Data'!$D$157,0),'I_Budget Input Data'!$D$157/'I_Inputs &amp; Assumptions'!$B$8)))))),0)</f>
        <v>0</v>
      </c>
      <c r="AJ157" s="91">
        <f>IF(34&lt;='I_Inputs &amp; Assumptions'!$B$8,IF('I_Budget Input Data'!$E$157="Upfront",IF(34=1,'I_Budget Input Data'!$D$157,0),IF('I_Budget Input Data'!$E$157="Equal",'I_Budget Input Data'!$D$157/'I_Inputs &amp; Assumptions'!$B$8,IF('I_Budget Input Data'!$E$157="Front-loaded",IF(34&lt;='I_Inputs &amp; Assumptions'!$B$8/2,'I_Budget Input Data'!$D$157*0.6/('I_Inputs &amp; Assumptions'!$B$8/2),'I_Budget Input Data'!$D$157*0.4/('I_Inputs &amp; Assumptions'!$B$8/2)),IF('I_Budget Input Data'!$E$157="Back-loaded",IF(34&lt;='I_Inputs &amp; Assumptions'!$B$8/2,'I_Budget Input Data'!$D$157*0.4/('I_Inputs &amp; Assumptions'!$B$8/2),'I_Budget Input Data'!$D$157*0.6/('I_Inputs &amp; Assumptions'!$B$8/2)),IF('I_Budget Input Data'!$E$157="Mid-weighted",IF(34&lt;='I_Inputs &amp; Assumptions'!$B$8/4,'I_Budget Input Data'!$D$157*0.2/('I_Inputs &amp; Assumptions'!$B$8/4),IF(34&lt;='I_Inputs &amp; Assumptions'!$B$8*0.75,'I_Budget Input Data'!$D$157*0.6/('I_Inputs &amp; Assumptions'!$B$8/2),'I_Budget Input Data'!$D$157*0.2/('I_Inputs &amp; Assumptions'!$B$8/4))),IF('I_Budget Input Data'!$E$157="At Completion",IF(34='I_Inputs &amp; Assumptions'!$B$8,'I_Budget Input Data'!$D$157,0),'I_Budget Input Data'!$D$157/'I_Inputs &amp; Assumptions'!$B$8)))))),0)</f>
        <v>0</v>
      </c>
      <c r="AK157" s="91">
        <f>IF(35&lt;='I_Inputs &amp; Assumptions'!$B$8,IF('I_Budget Input Data'!$E$157="Upfront",IF(35=1,'I_Budget Input Data'!$D$157,0),IF('I_Budget Input Data'!$E$157="Equal",'I_Budget Input Data'!$D$157/'I_Inputs &amp; Assumptions'!$B$8,IF('I_Budget Input Data'!$E$157="Front-loaded",IF(35&lt;='I_Inputs &amp; Assumptions'!$B$8/2,'I_Budget Input Data'!$D$157*0.6/('I_Inputs &amp; Assumptions'!$B$8/2),'I_Budget Input Data'!$D$157*0.4/('I_Inputs &amp; Assumptions'!$B$8/2)),IF('I_Budget Input Data'!$E$157="Back-loaded",IF(35&lt;='I_Inputs &amp; Assumptions'!$B$8/2,'I_Budget Input Data'!$D$157*0.4/('I_Inputs &amp; Assumptions'!$B$8/2),'I_Budget Input Data'!$D$157*0.6/('I_Inputs &amp; Assumptions'!$B$8/2)),IF('I_Budget Input Data'!$E$157="Mid-weighted",IF(35&lt;='I_Inputs &amp; Assumptions'!$B$8/4,'I_Budget Input Data'!$D$157*0.2/('I_Inputs &amp; Assumptions'!$B$8/4),IF(35&lt;='I_Inputs &amp; Assumptions'!$B$8*0.75,'I_Budget Input Data'!$D$157*0.6/('I_Inputs &amp; Assumptions'!$B$8/2),'I_Budget Input Data'!$D$157*0.2/('I_Inputs &amp; Assumptions'!$B$8/4))),IF('I_Budget Input Data'!$E$157="At Completion",IF(35='I_Inputs &amp; Assumptions'!$B$8,'I_Budget Input Data'!$D$157,0),'I_Budget Input Data'!$D$157/'I_Inputs &amp; Assumptions'!$B$8)))))),0)</f>
        <v>0</v>
      </c>
      <c r="AL157" s="91">
        <f>IF(36&lt;='I_Inputs &amp; Assumptions'!$B$8,IF('I_Budget Input Data'!$E$157="Upfront",IF(36=1,'I_Budget Input Data'!$D$157,0),IF('I_Budget Input Data'!$E$157="Equal",'I_Budget Input Data'!$D$157/'I_Inputs &amp; Assumptions'!$B$8,IF('I_Budget Input Data'!$E$157="Front-loaded",IF(36&lt;='I_Inputs &amp; Assumptions'!$B$8/2,'I_Budget Input Data'!$D$157*0.6/('I_Inputs &amp; Assumptions'!$B$8/2),'I_Budget Input Data'!$D$157*0.4/('I_Inputs &amp; Assumptions'!$B$8/2)),IF('I_Budget Input Data'!$E$157="Back-loaded",IF(36&lt;='I_Inputs &amp; Assumptions'!$B$8/2,'I_Budget Input Data'!$D$157*0.4/('I_Inputs &amp; Assumptions'!$B$8/2),'I_Budget Input Data'!$D$157*0.6/('I_Inputs &amp; Assumptions'!$B$8/2)),IF('I_Budget Input Data'!$E$157="Mid-weighted",IF(36&lt;='I_Inputs &amp; Assumptions'!$B$8/4,'I_Budget Input Data'!$D$157*0.2/('I_Inputs &amp; Assumptions'!$B$8/4),IF(36&lt;='I_Inputs &amp; Assumptions'!$B$8*0.75,'I_Budget Input Data'!$D$157*0.6/('I_Inputs &amp; Assumptions'!$B$8/2),'I_Budget Input Data'!$D$157*0.2/('I_Inputs &amp; Assumptions'!$B$8/4))),IF('I_Budget Input Data'!$E$157="At Completion",IF(36='I_Inputs &amp; Assumptions'!$B$8,'I_Budget Input Data'!$D$157,0),'I_Budget Input Data'!$D$157/'I_Inputs &amp; Assumptions'!$B$8)))))),0)</f>
        <v>0</v>
      </c>
    </row>
    <row r="158" spans="1:38" ht="15" customHeight="1" x14ac:dyDescent="0.2">
      <c r="A158" t="s">
        <v>270</v>
      </c>
      <c r="B158" t="s">
        <v>91</v>
      </c>
      <c r="C158" s="91">
        <f>IF(1&lt;='I_Inputs &amp; Assumptions'!$B$8,IF('I_Budget Input Data'!$E$158="Upfront",IF(1=1,'I_Budget Input Data'!$D$158,0),IF('I_Budget Input Data'!$E$158="Equal",'I_Budget Input Data'!$D$158/'I_Inputs &amp; Assumptions'!$B$8,IF('I_Budget Input Data'!$E$158="Front-loaded",IF(1&lt;='I_Inputs &amp; Assumptions'!$B$8/2,'I_Budget Input Data'!$D$158*0.6/('I_Inputs &amp; Assumptions'!$B$8/2),'I_Budget Input Data'!$D$158*0.4/('I_Inputs &amp; Assumptions'!$B$8/2)),IF('I_Budget Input Data'!$E$158="Back-loaded",IF(1&lt;='I_Inputs &amp; Assumptions'!$B$8/2,'I_Budget Input Data'!$D$158*0.4/('I_Inputs &amp; Assumptions'!$B$8/2),'I_Budget Input Data'!$D$158*0.6/('I_Inputs &amp; Assumptions'!$B$8/2)),IF('I_Budget Input Data'!$E$158="Mid-weighted",IF(1&lt;='I_Inputs &amp; Assumptions'!$B$8/4,'I_Budget Input Data'!$D$158*0.2/('I_Inputs &amp; Assumptions'!$B$8/4),IF(1&lt;='I_Inputs &amp; Assumptions'!$B$8*0.75,'I_Budget Input Data'!$D$158*0.6/('I_Inputs &amp; Assumptions'!$B$8/2),'I_Budget Input Data'!$D$158*0.2/('I_Inputs &amp; Assumptions'!$B$8/4))),IF('I_Budget Input Data'!$E$158="At Completion",IF(1='I_Inputs &amp; Assumptions'!$B$8,'I_Budget Input Data'!$D$158,0),'I_Budget Input Data'!$D$158/'I_Inputs &amp; Assumptions'!$B$8)))))),0)</f>
        <v>3442.5384615384614</v>
      </c>
      <c r="D158" s="91">
        <f>IF(2&lt;='I_Inputs &amp; Assumptions'!$B$8,IF('I_Budget Input Data'!$E$158="Upfront",IF(2=1,'I_Budget Input Data'!$D$158,0),IF('I_Budget Input Data'!$E$158="Equal",'I_Budget Input Data'!$D$158/'I_Inputs &amp; Assumptions'!$B$8,IF('I_Budget Input Data'!$E$158="Front-loaded",IF(2&lt;='I_Inputs &amp; Assumptions'!$B$8/2,'I_Budget Input Data'!$D$158*0.6/('I_Inputs &amp; Assumptions'!$B$8/2),'I_Budget Input Data'!$D$158*0.4/('I_Inputs &amp; Assumptions'!$B$8/2)),IF('I_Budget Input Data'!$E$158="Back-loaded",IF(2&lt;='I_Inputs &amp; Assumptions'!$B$8/2,'I_Budget Input Data'!$D$158*0.4/('I_Inputs &amp; Assumptions'!$B$8/2),'I_Budget Input Data'!$D$158*0.6/('I_Inputs &amp; Assumptions'!$B$8/2)),IF('I_Budget Input Data'!$E$158="Mid-weighted",IF(2&lt;='I_Inputs &amp; Assumptions'!$B$8/4,'I_Budget Input Data'!$D$158*0.2/('I_Inputs &amp; Assumptions'!$B$8/4),IF(2&lt;='I_Inputs &amp; Assumptions'!$B$8*0.75,'I_Budget Input Data'!$D$158*0.6/('I_Inputs &amp; Assumptions'!$B$8/2),'I_Budget Input Data'!$D$158*0.2/('I_Inputs &amp; Assumptions'!$B$8/4))),IF('I_Budget Input Data'!$E$158="At Completion",IF(2='I_Inputs &amp; Assumptions'!$B$8,'I_Budget Input Data'!$D$158,0),'I_Budget Input Data'!$D$158/'I_Inputs &amp; Assumptions'!$B$8)))))),0)</f>
        <v>3442.5384615384614</v>
      </c>
      <c r="E158" s="91">
        <f>IF(3&lt;='I_Inputs &amp; Assumptions'!$B$8,IF('I_Budget Input Data'!$E$158="Upfront",IF(3=1,'I_Budget Input Data'!$D$158,0),IF('I_Budget Input Data'!$E$158="Equal",'I_Budget Input Data'!$D$158/'I_Inputs &amp; Assumptions'!$B$8,IF('I_Budget Input Data'!$E$158="Front-loaded",IF(3&lt;='I_Inputs &amp; Assumptions'!$B$8/2,'I_Budget Input Data'!$D$158*0.6/('I_Inputs &amp; Assumptions'!$B$8/2),'I_Budget Input Data'!$D$158*0.4/('I_Inputs &amp; Assumptions'!$B$8/2)),IF('I_Budget Input Data'!$E$158="Back-loaded",IF(3&lt;='I_Inputs &amp; Assumptions'!$B$8/2,'I_Budget Input Data'!$D$158*0.4/('I_Inputs &amp; Assumptions'!$B$8/2),'I_Budget Input Data'!$D$158*0.6/('I_Inputs &amp; Assumptions'!$B$8/2)),IF('I_Budget Input Data'!$E$158="Mid-weighted",IF(3&lt;='I_Inputs &amp; Assumptions'!$B$8/4,'I_Budget Input Data'!$D$158*0.2/('I_Inputs &amp; Assumptions'!$B$8/4),IF(3&lt;='I_Inputs &amp; Assumptions'!$B$8*0.75,'I_Budget Input Data'!$D$158*0.6/('I_Inputs &amp; Assumptions'!$B$8/2),'I_Budget Input Data'!$D$158*0.2/('I_Inputs &amp; Assumptions'!$B$8/4))),IF('I_Budget Input Data'!$E$158="At Completion",IF(3='I_Inputs &amp; Assumptions'!$B$8,'I_Budget Input Data'!$D$158,0),'I_Budget Input Data'!$D$158/'I_Inputs &amp; Assumptions'!$B$8)))))),0)</f>
        <v>3442.5384615384614</v>
      </c>
      <c r="F158" s="91">
        <f>IF(4&lt;='I_Inputs &amp; Assumptions'!$B$8,IF('I_Budget Input Data'!$E$158="Upfront",IF(4=1,'I_Budget Input Data'!$D$158,0),IF('I_Budget Input Data'!$E$158="Equal",'I_Budget Input Data'!$D$158/'I_Inputs &amp; Assumptions'!$B$8,IF('I_Budget Input Data'!$E$158="Front-loaded",IF(4&lt;='I_Inputs &amp; Assumptions'!$B$8/2,'I_Budget Input Data'!$D$158*0.6/('I_Inputs &amp; Assumptions'!$B$8/2),'I_Budget Input Data'!$D$158*0.4/('I_Inputs &amp; Assumptions'!$B$8/2)),IF('I_Budget Input Data'!$E$158="Back-loaded",IF(4&lt;='I_Inputs &amp; Assumptions'!$B$8/2,'I_Budget Input Data'!$D$158*0.4/('I_Inputs &amp; Assumptions'!$B$8/2),'I_Budget Input Data'!$D$158*0.6/('I_Inputs &amp; Assumptions'!$B$8/2)),IF('I_Budget Input Data'!$E$158="Mid-weighted",IF(4&lt;='I_Inputs &amp; Assumptions'!$B$8/4,'I_Budget Input Data'!$D$158*0.2/('I_Inputs &amp; Assumptions'!$B$8/4),IF(4&lt;='I_Inputs &amp; Assumptions'!$B$8*0.75,'I_Budget Input Data'!$D$158*0.6/('I_Inputs &amp; Assumptions'!$B$8/2),'I_Budget Input Data'!$D$158*0.2/('I_Inputs &amp; Assumptions'!$B$8/4))),IF('I_Budget Input Data'!$E$158="At Completion",IF(4='I_Inputs &amp; Assumptions'!$B$8,'I_Budget Input Data'!$D$158,0),'I_Budget Input Data'!$D$158/'I_Inputs &amp; Assumptions'!$B$8)))))),0)</f>
        <v>3442.5384615384614</v>
      </c>
      <c r="G158" s="91">
        <f>IF(5&lt;='I_Inputs &amp; Assumptions'!$B$8,IF('I_Budget Input Data'!$E$158="Upfront",IF(5=1,'I_Budget Input Data'!$D$158,0),IF('I_Budget Input Data'!$E$158="Equal",'I_Budget Input Data'!$D$158/'I_Inputs &amp; Assumptions'!$B$8,IF('I_Budget Input Data'!$E$158="Front-loaded",IF(5&lt;='I_Inputs &amp; Assumptions'!$B$8/2,'I_Budget Input Data'!$D$158*0.6/('I_Inputs &amp; Assumptions'!$B$8/2),'I_Budget Input Data'!$D$158*0.4/('I_Inputs &amp; Assumptions'!$B$8/2)),IF('I_Budget Input Data'!$E$158="Back-loaded",IF(5&lt;='I_Inputs &amp; Assumptions'!$B$8/2,'I_Budget Input Data'!$D$158*0.4/('I_Inputs &amp; Assumptions'!$B$8/2),'I_Budget Input Data'!$D$158*0.6/('I_Inputs &amp; Assumptions'!$B$8/2)),IF('I_Budget Input Data'!$E$158="Mid-weighted",IF(5&lt;='I_Inputs &amp; Assumptions'!$B$8/4,'I_Budget Input Data'!$D$158*0.2/('I_Inputs &amp; Assumptions'!$B$8/4),IF(5&lt;='I_Inputs &amp; Assumptions'!$B$8*0.75,'I_Budget Input Data'!$D$158*0.6/('I_Inputs &amp; Assumptions'!$B$8/2),'I_Budget Input Data'!$D$158*0.2/('I_Inputs &amp; Assumptions'!$B$8/4))),IF('I_Budget Input Data'!$E$158="At Completion",IF(5='I_Inputs &amp; Assumptions'!$B$8,'I_Budget Input Data'!$D$158,0),'I_Budget Input Data'!$D$158/'I_Inputs &amp; Assumptions'!$B$8)))))),0)</f>
        <v>3442.5384615384614</v>
      </c>
      <c r="H158" s="91">
        <f>IF(6&lt;='I_Inputs &amp; Assumptions'!$B$8,IF('I_Budget Input Data'!$E$158="Upfront",IF(6=1,'I_Budget Input Data'!$D$158,0),IF('I_Budget Input Data'!$E$158="Equal",'I_Budget Input Data'!$D$158/'I_Inputs &amp; Assumptions'!$B$8,IF('I_Budget Input Data'!$E$158="Front-loaded",IF(6&lt;='I_Inputs &amp; Assumptions'!$B$8/2,'I_Budget Input Data'!$D$158*0.6/('I_Inputs &amp; Assumptions'!$B$8/2),'I_Budget Input Data'!$D$158*0.4/('I_Inputs &amp; Assumptions'!$B$8/2)),IF('I_Budget Input Data'!$E$158="Back-loaded",IF(6&lt;='I_Inputs &amp; Assumptions'!$B$8/2,'I_Budget Input Data'!$D$158*0.4/('I_Inputs &amp; Assumptions'!$B$8/2),'I_Budget Input Data'!$D$158*0.6/('I_Inputs &amp; Assumptions'!$B$8/2)),IF('I_Budget Input Data'!$E$158="Mid-weighted",IF(6&lt;='I_Inputs &amp; Assumptions'!$B$8/4,'I_Budget Input Data'!$D$158*0.2/('I_Inputs &amp; Assumptions'!$B$8/4),IF(6&lt;='I_Inputs &amp; Assumptions'!$B$8*0.75,'I_Budget Input Data'!$D$158*0.6/('I_Inputs &amp; Assumptions'!$B$8/2),'I_Budget Input Data'!$D$158*0.2/('I_Inputs &amp; Assumptions'!$B$8/4))),IF('I_Budget Input Data'!$E$158="At Completion",IF(6='I_Inputs &amp; Assumptions'!$B$8,'I_Budget Input Data'!$D$158,0),'I_Budget Input Data'!$D$158/'I_Inputs &amp; Assumptions'!$B$8)))))),0)</f>
        <v>3442.5384615384614</v>
      </c>
      <c r="I158" s="91">
        <f>IF(7&lt;='I_Inputs &amp; Assumptions'!$B$8,IF('I_Budget Input Data'!$E$158="Upfront",IF(7=1,'I_Budget Input Data'!$D$158,0),IF('I_Budget Input Data'!$E$158="Equal",'I_Budget Input Data'!$D$158/'I_Inputs &amp; Assumptions'!$B$8,IF('I_Budget Input Data'!$E$158="Front-loaded",IF(7&lt;='I_Inputs &amp; Assumptions'!$B$8/2,'I_Budget Input Data'!$D$158*0.6/('I_Inputs &amp; Assumptions'!$B$8/2),'I_Budget Input Data'!$D$158*0.4/('I_Inputs &amp; Assumptions'!$B$8/2)),IF('I_Budget Input Data'!$E$158="Back-loaded",IF(7&lt;='I_Inputs &amp; Assumptions'!$B$8/2,'I_Budget Input Data'!$D$158*0.4/('I_Inputs &amp; Assumptions'!$B$8/2),'I_Budget Input Data'!$D$158*0.6/('I_Inputs &amp; Assumptions'!$B$8/2)),IF('I_Budget Input Data'!$E$158="Mid-weighted",IF(7&lt;='I_Inputs &amp; Assumptions'!$B$8/4,'I_Budget Input Data'!$D$158*0.2/('I_Inputs &amp; Assumptions'!$B$8/4),IF(7&lt;='I_Inputs &amp; Assumptions'!$B$8*0.75,'I_Budget Input Data'!$D$158*0.6/('I_Inputs &amp; Assumptions'!$B$8/2),'I_Budget Input Data'!$D$158*0.2/('I_Inputs &amp; Assumptions'!$B$8/4))),IF('I_Budget Input Data'!$E$158="At Completion",IF(7='I_Inputs &amp; Assumptions'!$B$8,'I_Budget Input Data'!$D$158,0),'I_Budget Input Data'!$D$158/'I_Inputs &amp; Assumptions'!$B$8)))))),0)</f>
        <v>3442.5384615384614</v>
      </c>
      <c r="J158" s="91">
        <f>IF(8&lt;='I_Inputs &amp; Assumptions'!$B$8,IF('I_Budget Input Data'!$E$158="Upfront",IF(8=1,'I_Budget Input Data'!$D$158,0),IF('I_Budget Input Data'!$E$158="Equal",'I_Budget Input Data'!$D$158/'I_Inputs &amp; Assumptions'!$B$8,IF('I_Budget Input Data'!$E$158="Front-loaded",IF(8&lt;='I_Inputs &amp; Assumptions'!$B$8/2,'I_Budget Input Data'!$D$158*0.6/('I_Inputs &amp; Assumptions'!$B$8/2),'I_Budget Input Data'!$D$158*0.4/('I_Inputs &amp; Assumptions'!$B$8/2)),IF('I_Budget Input Data'!$E$158="Back-loaded",IF(8&lt;='I_Inputs &amp; Assumptions'!$B$8/2,'I_Budget Input Data'!$D$158*0.4/('I_Inputs &amp; Assumptions'!$B$8/2),'I_Budget Input Data'!$D$158*0.6/('I_Inputs &amp; Assumptions'!$B$8/2)),IF('I_Budget Input Data'!$E$158="Mid-weighted",IF(8&lt;='I_Inputs &amp; Assumptions'!$B$8/4,'I_Budget Input Data'!$D$158*0.2/('I_Inputs &amp; Assumptions'!$B$8/4),IF(8&lt;='I_Inputs &amp; Assumptions'!$B$8*0.75,'I_Budget Input Data'!$D$158*0.6/('I_Inputs &amp; Assumptions'!$B$8/2),'I_Budget Input Data'!$D$158*0.2/('I_Inputs &amp; Assumptions'!$B$8/4))),IF('I_Budget Input Data'!$E$158="At Completion",IF(8='I_Inputs &amp; Assumptions'!$B$8,'I_Budget Input Data'!$D$158,0),'I_Budget Input Data'!$D$158/'I_Inputs &amp; Assumptions'!$B$8)))))),0)</f>
        <v>3442.5384615384614</v>
      </c>
      <c r="K158" s="91">
        <f>IF(9&lt;='I_Inputs &amp; Assumptions'!$B$8,IF('I_Budget Input Data'!$E$158="Upfront",IF(9=1,'I_Budget Input Data'!$D$158,0),IF('I_Budget Input Data'!$E$158="Equal",'I_Budget Input Data'!$D$158/'I_Inputs &amp; Assumptions'!$B$8,IF('I_Budget Input Data'!$E$158="Front-loaded",IF(9&lt;='I_Inputs &amp; Assumptions'!$B$8/2,'I_Budget Input Data'!$D$158*0.6/('I_Inputs &amp; Assumptions'!$B$8/2),'I_Budget Input Data'!$D$158*0.4/('I_Inputs &amp; Assumptions'!$B$8/2)),IF('I_Budget Input Data'!$E$158="Back-loaded",IF(9&lt;='I_Inputs &amp; Assumptions'!$B$8/2,'I_Budget Input Data'!$D$158*0.4/('I_Inputs &amp; Assumptions'!$B$8/2),'I_Budget Input Data'!$D$158*0.6/('I_Inputs &amp; Assumptions'!$B$8/2)),IF('I_Budget Input Data'!$E$158="Mid-weighted",IF(9&lt;='I_Inputs &amp; Assumptions'!$B$8/4,'I_Budget Input Data'!$D$158*0.2/('I_Inputs &amp; Assumptions'!$B$8/4),IF(9&lt;='I_Inputs &amp; Assumptions'!$B$8*0.75,'I_Budget Input Data'!$D$158*0.6/('I_Inputs &amp; Assumptions'!$B$8/2),'I_Budget Input Data'!$D$158*0.2/('I_Inputs &amp; Assumptions'!$B$8/4))),IF('I_Budget Input Data'!$E$158="At Completion",IF(9='I_Inputs &amp; Assumptions'!$B$8,'I_Budget Input Data'!$D$158,0),'I_Budget Input Data'!$D$158/'I_Inputs &amp; Assumptions'!$B$8)))))),0)</f>
        <v>3442.5384615384614</v>
      </c>
      <c r="L158" s="91">
        <f>IF(10&lt;='I_Inputs &amp; Assumptions'!$B$8,IF('I_Budget Input Data'!$E$158="Upfront",IF(10=1,'I_Budget Input Data'!$D$158,0),IF('I_Budget Input Data'!$E$158="Equal",'I_Budget Input Data'!$D$158/'I_Inputs &amp; Assumptions'!$B$8,IF('I_Budget Input Data'!$E$158="Front-loaded",IF(10&lt;='I_Inputs &amp; Assumptions'!$B$8/2,'I_Budget Input Data'!$D$158*0.6/('I_Inputs &amp; Assumptions'!$B$8/2),'I_Budget Input Data'!$D$158*0.4/('I_Inputs &amp; Assumptions'!$B$8/2)),IF('I_Budget Input Data'!$E$158="Back-loaded",IF(10&lt;='I_Inputs &amp; Assumptions'!$B$8/2,'I_Budget Input Data'!$D$158*0.4/('I_Inputs &amp; Assumptions'!$B$8/2),'I_Budget Input Data'!$D$158*0.6/('I_Inputs &amp; Assumptions'!$B$8/2)),IF('I_Budget Input Data'!$E$158="Mid-weighted",IF(10&lt;='I_Inputs &amp; Assumptions'!$B$8/4,'I_Budget Input Data'!$D$158*0.2/('I_Inputs &amp; Assumptions'!$B$8/4),IF(10&lt;='I_Inputs &amp; Assumptions'!$B$8*0.75,'I_Budget Input Data'!$D$158*0.6/('I_Inputs &amp; Assumptions'!$B$8/2),'I_Budget Input Data'!$D$158*0.2/('I_Inputs &amp; Assumptions'!$B$8/4))),IF('I_Budget Input Data'!$E$158="At Completion",IF(10='I_Inputs &amp; Assumptions'!$B$8,'I_Budget Input Data'!$D$158,0),'I_Budget Input Data'!$D$158/'I_Inputs &amp; Assumptions'!$B$8)))))),0)</f>
        <v>3442.5384615384614</v>
      </c>
      <c r="M158" s="91">
        <f>IF(11&lt;='I_Inputs &amp; Assumptions'!$B$8,IF('I_Budget Input Data'!$E$158="Upfront",IF(11=1,'I_Budget Input Data'!$D$158,0),IF('I_Budget Input Data'!$E$158="Equal",'I_Budget Input Data'!$D$158/'I_Inputs &amp; Assumptions'!$B$8,IF('I_Budget Input Data'!$E$158="Front-loaded",IF(11&lt;='I_Inputs &amp; Assumptions'!$B$8/2,'I_Budget Input Data'!$D$158*0.6/('I_Inputs &amp; Assumptions'!$B$8/2),'I_Budget Input Data'!$D$158*0.4/('I_Inputs &amp; Assumptions'!$B$8/2)),IF('I_Budget Input Data'!$E$158="Back-loaded",IF(11&lt;='I_Inputs &amp; Assumptions'!$B$8/2,'I_Budget Input Data'!$D$158*0.4/('I_Inputs &amp; Assumptions'!$B$8/2),'I_Budget Input Data'!$D$158*0.6/('I_Inputs &amp; Assumptions'!$B$8/2)),IF('I_Budget Input Data'!$E$158="Mid-weighted",IF(11&lt;='I_Inputs &amp; Assumptions'!$B$8/4,'I_Budget Input Data'!$D$158*0.2/('I_Inputs &amp; Assumptions'!$B$8/4),IF(11&lt;='I_Inputs &amp; Assumptions'!$B$8*0.75,'I_Budget Input Data'!$D$158*0.6/('I_Inputs &amp; Assumptions'!$B$8/2),'I_Budget Input Data'!$D$158*0.2/('I_Inputs &amp; Assumptions'!$B$8/4))),IF('I_Budget Input Data'!$E$158="At Completion",IF(11='I_Inputs &amp; Assumptions'!$B$8,'I_Budget Input Data'!$D$158,0),'I_Budget Input Data'!$D$158/'I_Inputs &amp; Assumptions'!$B$8)))))),0)</f>
        <v>3442.5384615384614</v>
      </c>
      <c r="N158" s="91">
        <f>IF(12&lt;='I_Inputs &amp; Assumptions'!$B$8,IF('I_Budget Input Data'!$E$158="Upfront",IF(12=1,'I_Budget Input Data'!$D$158,0),IF('I_Budget Input Data'!$E$158="Equal",'I_Budget Input Data'!$D$158/'I_Inputs &amp; Assumptions'!$B$8,IF('I_Budget Input Data'!$E$158="Front-loaded",IF(12&lt;='I_Inputs &amp; Assumptions'!$B$8/2,'I_Budget Input Data'!$D$158*0.6/('I_Inputs &amp; Assumptions'!$B$8/2),'I_Budget Input Data'!$D$158*0.4/('I_Inputs &amp; Assumptions'!$B$8/2)),IF('I_Budget Input Data'!$E$158="Back-loaded",IF(12&lt;='I_Inputs &amp; Assumptions'!$B$8/2,'I_Budget Input Data'!$D$158*0.4/('I_Inputs &amp; Assumptions'!$B$8/2),'I_Budget Input Data'!$D$158*0.6/('I_Inputs &amp; Assumptions'!$B$8/2)),IF('I_Budget Input Data'!$E$158="Mid-weighted",IF(12&lt;='I_Inputs &amp; Assumptions'!$B$8/4,'I_Budget Input Data'!$D$158*0.2/('I_Inputs &amp; Assumptions'!$B$8/4),IF(12&lt;='I_Inputs &amp; Assumptions'!$B$8*0.75,'I_Budget Input Data'!$D$158*0.6/('I_Inputs &amp; Assumptions'!$B$8/2),'I_Budget Input Data'!$D$158*0.2/('I_Inputs &amp; Assumptions'!$B$8/4))),IF('I_Budget Input Data'!$E$158="At Completion",IF(12='I_Inputs &amp; Assumptions'!$B$8,'I_Budget Input Data'!$D$158,0),'I_Budget Input Data'!$D$158/'I_Inputs &amp; Assumptions'!$B$8)))))),0)</f>
        <v>3442.5384615384614</v>
      </c>
      <c r="O158" s="91">
        <f>IF(13&lt;='I_Inputs &amp; Assumptions'!$B$8,IF('I_Budget Input Data'!$E$158="Upfront",IF(13=1,'I_Budget Input Data'!$D$158,0),IF('I_Budget Input Data'!$E$158="Equal",'I_Budget Input Data'!$D$158/'I_Inputs &amp; Assumptions'!$B$8,IF('I_Budget Input Data'!$E$158="Front-loaded",IF(13&lt;='I_Inputs &amp; Assumptions'!$B$8/2,'I_Budget Input Data'!$D$158*0.6/('I_Inputs &amp; Assumptions'!$B$8/2),'I_Budget Input Data'!$D$158*0.4/('I_Inputs &amp; Assumptions'!$B$8/2)),IF('I_Budget Input Data'!$E$158="Back-loaded",IF(13&lt;='I_Inputs &amp; Assumptions'!$B$8/2,'I_Budget Input Data'!$D$158*0.4/('I_Inputs &amp; Assumptions'!$B$8/2),'I_Budget Input Data'!$D$158*0.6/('I_Inputs &amp; Assumptions'!$B$8/2)),IF('I_Budget Input Data'!$E$158="Mid-weighted",IF(13&lt;='I_Inputs &amp; Assumptions'!$B$8/4,'I_Budget Input Data'!$D$158*0.2/('I_Inputs &amp; Assumptions'!$B$8/4),IF(13&lt;='I_Inputs &amp; Assumptions'!$B$8*0.75,'I_Budget Input Data'!$D$158*0.6/('I_Inputs &amp; Assumptions'!$B$8/2),'I_Budget Input Data'!$D$158*0.2/('I_Inputs &amp; Assumptions'!$B$8/4))),IF('I_Budget Input Data'!$E$158="At Completion",IF(13='I_Inputs &amp; Assumptions'!$B$8,'I_Budget Input Data'!$D$158,0),'I_Budget Input Data'!$D$158/'I_Inputs &amp; Assumptions'!$B$8)))))),0)</f>
        <v>3442.5384615384614</v>
      </c>
      <c r="P158" s="91">
        <f>IF(14&lt;='I_Inputs &amp; Assumptions'!$B$8,IF('I_Budget Input Data'!$E$158="Upfront",IF(14=1,'I_Budget Input Data'!$D$158,0),IF('I_Budget Input Data'!$E$158="Equal",'I_Budget Input Data'!$D$158/'I_Inputs &amp; Assumptions'!$B$8,IF('I_Budget Input Data'!$E$158="Front-loaded",IF(14&lt;='I_Inputs &amp; Assumptions'!$B$8/2,'I_Budget Input Data'!$D$158*0.6/('I_Inputs &amp; Assumptions'!$B$8/2),'I_Budget Input Data'!$D$158*0.4/('I_Inputs &amp; Assumptions'!$B$8/2)),IF('I_Budget Input Data'!$E$158="Back-loaded",IF(14&lt;='I_Inputs &amp; Assumptions'!$B$8/2,'I_Budget Input Data'!$D$158*0.4/('I_Inputs &amp; Assumptions'!$B$8/2),'I_Budget Input Data'!$D$158*0.6/('I_Inputs &amp; Assumptions'!$B$8/2)),IF('I_Budget Input Data'!$E$158="Mid-weighted",IF(14&lt;='I_Inputs &amp; Assumptions'!$B$8/4,'I_Budget Input Data'!$D$158*0.2/('I_Inputs &amp; Assumptions'!$B$8/4),IF(14&lt;='I_Inputs &amp; Assumptions'!$B$8*0.75,'I_Budget Input Data'!$D$158*0.6/('I_Inputs &amp; Assumptions'!$B$8/2),'I_Budget Input Data'!$D$158*0.2/('I_Inputs &amp; Assumptions'!$B$8/4))),IF('I_Budget Input Data'!$E$158="At Completion",IF(14='I_Inputs &amp; Assumptions'!$B$8,'I_Budget Input Data'!$D$158,0),'I_Budget Input Data'!$D$158/'I_Inputs &amp; Assumptions'!$B$8)))))),0)</f>
        <v>0</v>
      </c>
      <c r="Q158" s="91">
        <f>IF(15&lt;='I_Inputs &amp; Assumptions'!$B$8,IF('I_Budget Input Data'!$E$158="Upfront",IF(15=1,'I_Budget Input Data'!$D$158,0),IF('I_Budget Input Data'!$E$158="Equal",'I_Budget Input Data'!$D$158/'I_Inputs &amp; Assumptions'!$B$8,IF('I_Budget Input Data'!$E$158="Front-loaded",IF(15&lt;='I_Inputs &amp; Assumptions'!$B$8/2,'I_Budget Input Data'!$D$158*0.6/('I_Inputs &amp; Assumptions'!$B$8/2),'I_Budget Input Data'!$D$158*0.4/('I_Inputs &amp; Assumptions'!$B$8/2)),IF('I_Budget Input Data'!$E$158="Back-loaded",IF(15&lt;='I_Inputs &amp; Assumptions'!$B$8/2,'I_Budget Input Data'!$D$158*0.4/('I_Inputs &amp; Assumptions'!$B$8/2),'I_Budget Input Data'!$D$158*0.6/('I_Inputs &amp; Assumptions'!$B$8/2)),IF('I_Budget Input Data'!$E$158="Mid-weighted",IF(15&lt;='I_Inputs &amp; Assumptions'!$B$8/4,'I_Budget Input Data'!$D$158*0.2/('I_Inputs &amp; Assumptions'!$B$8/4),IF(15&lt;='I_Inputs &amp; Assumptions'!$B$8*0.75,'I_Budget Input Data'!$D$158*0.6/('I_Inputs &amp; Assumptions'!$B$8/2),'I_Budget Input Data'!$D$158*0.2/('I_Inputs &amp; Assumptions'!$B$8/4))),IF('I_Budget Input Data'!$E$158="At Completion",IF(15='I_Inputs &amp; Assumptions'!$B$8,'I_Budget Input Data'!$D$158,0),'I_Budget Input Data'!$D$158/'I_Inputs &amp; Assumptions'!$B$8)))))),0)</f>
        <v>0</v>
      </c>
      <c r="R158" s="91">
        <f>IF(16&lt;='I_Inputs &amp; Assumptions'!$B$8,IF('I_Budget Input Data'!$E$158="Upfront",IF(16=1,'I_Budget Input Data'!$D$158,0),IF('I_Budget Input Data'!$E$158="Equal",'I_Budget Input Data'!$D$158/'I_Inputs &amp; Assumptions'!$B$8,IF('I_Budget Input Data'!$E$158="Front-loaded",IF(16&lt;='I_Inputs &amp; Assumptions'!$B$8/2,'I_Budget Input Data'!$D$158*0.6/('I_Inputs &amp; Assumptions'!$B$8/2),'I_Budget Input Data'!$D$158*0.4/('I_Inputs &amp; Assumptions'!$B$8/2)),IF('I_Budget Input Data'!$E$158="Back-loaded",IF(16&lt;='I_Inputs &amp; Assumptions'!$B$8/2,'I_Budget Input Data'!$D$158*0.4/('I_Inputs &amp; Assumptions'!$B$8/2),'I_Budget Input Data'!$D$158*0.6/('I_Inputs &amp; Assumptions'!$B$8/2)),IF('I_Budget Input Data'!$E$158="Mid-weighted",IF(16&lt;='I_Inputs &amp; Assumptions'!$B$8/4,'I_Budget Input Data'!$D$158*0.2/('I_Inputs &amp; Assumptions'!$B$8/4),IF(16&lt;='I_Inputs &amp; Assumptions'!$B$8*0.75,'I_Budget Input Data'!$D$158*0.6/('I_Inputs &amp; Assumptions'!$B$8/2),'I_Budget Input Data'!$D$158*0.2/('I_Inputs &amp; Assumptions'!$B$8/4))),IF('I_Budget Input Data'!$E$158="At Completion",IF(16='I_Inputs &amp; Assumptions'!$B$8,'I_Budget Input Data'!$D$158,0),'I_Budget Input Data'!$D$158/'I_Inputs &amp; Assumptions'!$B$8)))))),0)</f>
        <v>0</v>
      </c>
      <c r="S158" s="91">
        <f>IF(17&lt;='I_Inputs &amp; Assumptions'!$B$8,IF('I_Budget Input Data'!$E$158="Upfront",IF(17=1,'I_Budget Input Data'!$D$158,0),IF('I_Budget Input Data'!$E$158="Equal",'I_Budget Input Data'!$D$158/'I_Inputs &amp; Assumptions'!$B$8,IF('I_Budget Input Data'!$E$158="Front-loaded",IF(17&lt;='I_Inputs &amp; Assumptions'!$B$8/2,'I_Budget Input Data'!$D$158*0.6/('I_Inputs &amp; Assumptions'!$B$8/2),'I_Budget Input Data'!$D$158*0.4/('I_Inputs &amp; Assumptions'!$B$8/2)),IF('I_Budget Input Data'!$E$158="Back-loaded",IF(17&lt;='I_Inputs &amp; Assumptions'!$B$8/2,'I_Budget Input Data'!$D$158*0.4/('I_Inputs &amp; Assumptions'!$B$8/2),'I_Budget Input Data'!$D$158*0.6/('I_Inputs &amp; Assumptions'!$B$8/2)),IF('I_Budget Input Data'!$E$158="Mid-weighted",IF(17&lt;='I_Inputs &amp; Assumptions'!$B$8/4,'I_Budget Input Data'!$D$158*0.2/('I_Inputs &amp; Assumptions'!$B$8/4),IF(17&lt;='I_Inputs &amp; Assumptions'!$B$8*0.75,'I_Budget Input Data'!$D$158*0.6/('I_Inputs &amp; Assumptions'!$B$8/2),'I_Budget Input Data'!$D$158*0.2/('I_Inputs &amp; Assumptions'!$B$8/4))),IF('I_Budget Input Data'!$E$158="At Completion",IF(17='I_Inputs &amp; Assumptions'!$B$8,'I_Budget Input Data'!$D$158,0),'I_Budget Input Data'!$D$158/'I_Inputs &amp; Assumptions'!$B$8)))))),0)</f>
        <v>0</v>
      </c>
      <c r="T158" s="91">
        <f>IF(18&lt;='I_Inputs &amp; Assumptions'!$B$8,IF('I_Budget Input Data'!$E$158="Upfront",IF(18=1,'I_Budget Input Data'!$D$158,0),IF('I_Budget Input Data'!$E$158="Equal",'I_Budget Input Data'!$D$158/'I_Inputs &amp; Assumptions'!$B$8,IF('I_Budget Input Data'!$E$158="Front-loaded",IF(18&lt;='I_Inputs &amp; Assumptions'!$B$8/2,'I_Budget Input Data'!$D$158*0.6/('I_Inputs &amp; Assumptions'!$B$8/2),'I_Budget Input Data'!$D$158*0.4/('I_Inputs &amp; Assumptions'!$B$8/2)),IF('I_Budget Input Data'!$E$158="Back-loaded",IF(18&lt;='I_Inputs &amp; Assumptions'!$B$8/2,'I_Budget Input Data'!$D$158*0.4/('I_Inputs &amp; Assumptions'!$B$8/2),'I_Budget Input Data'!$D$158*0.6/('I_Inputs &amp; Assumptions'!$B$8/2)),IF('I_Budget Input Data'!$E$158="Mid-weighted",IF(18&lt;='I_Inputs &amp; Assumptions'!$B$8/4,'I_Budget Input Data'!$D$158*0.2/('I_Inputs &amp; Assumptions'!$B$8/4),IF(18&lt;='I_Inputs &amp; Assumptions'!$B$8*0.75,'I_Budget Input Data'!$D$158*0.6/('I_Inputs &amp; Assumptions'!$B$8/2),'I_Budget Input Data'!$D$158*0.2/('I_Inputs &amp; Assumptions'!$B$8/4))),IF('I_Budget Input Data'!$E$158="At Completion",IF(18='I_Inputs &amp; Assumptions'!$B$8,'I_Budget Input Data'!$D$158,0),'I_Budget Input Data'!$D$158/'I_Inputs &amp; Assumptions'!$B$8)))))),0)</f>
        <v>0</v>
      </c>
      <c r="U158" s="91">
        <f>IF(19&lt;='I_Inputs &amp; Assumptions'!$B$8,IF('I_Budget Input Data'!$E$158="Upfront",IF(19=1,'I_Budget Input Data'!$D$158,0),IF('I_Budget Input Data'!$E$158="Equal",'I_Budget Input Data'!$D$158/'I_Inputs &amp; Assumptions'!$B$8,IF('I_Budget Input Data'!$E$158="Front-loaded",IF(19&lt;='I_Inputs &amp; Assumptions'!$B$8/2,'I_Budget Input Data'!$D$158*0.6/('I_Inputs &amp; Assumptions'!$B$8/2),'I_Budget Input Data'!$D$158*0.4/('I_Inputs &amp; Assumptions'!$B$8/2)),IF('I_Budget Input Data'!$E$158="Back-loaded",IF(19&lt;='I_Inputs &amp; Assumptions'!$B$8/2,'I_Budget Input Data'!$D$158*0.4/('I_Inputs &amp; Assumptions'!$B$8/2),'I_Budget Input Data'!$D$158*0.6/('I_Inputs &amp; Assumptions'!$B$8/2)),IF('I_Budget Input Data'!$E$158="Mid-weighted",IF(19&lt;='I_Inputs &amp; Assumptions'!$B$8/4,'I_Budget Input Data'!$D$158*0.2/('I_Inputs &amp; Assumptions'!$B$8/4),IF(19&lt;='I_Inputs &amp; Assumptions'!$B$8*0.75,'I_Budget Input Data'!$D$158*0.6/('I_Inputs &amp; Assumptions'!$B$8/2),'I_Budget Input Data'!$D$158*0.2/('I_Inputs &amp; Assumptions'!$B$8/4))),IF('I_Budget Input Data'!$E$158="At Completion",IF(19='I_Inputs &amp; Assumptions'!$B$8,'I_Budget Input Data'!$D$158,0),'I_Budget Input Data'!$D$158/'I_Inputs &amp; Assumptions'!$B$8)))))),0)</f>
        <v>0</v>
      </c>
      <c r="V158" s="91">
        <f>IF(20&lt;='I_Inputs &amp; Assumptions'!$B$8,IF('I_Budget Input Data'!$E$158="Upfront",IF(20=1,'I_Budget Input Data'!$D$158,0),IF('I_Budget Input Data'!$E$158="Equal",'I_Budget Input Data'!$D$158/'I_Inputs &amp; Assumptions'!$B$8,IF('I_Budget Input Data'!$E$158="Front-loaded",IF(20&lt;='I_Inputs &amp; Assumptions'!$B$8/2,'I_Budget Input Data'!$D$158*0.6/('I_Inputs &amp; Assumptions'!$B$8/2),'I_Budget Input Data'!$D$158*0.4/('I_Inputs &amp; Assumptions'!$B$8/2)),IF('I_Budget Input Data'!$E$158="Back-loaded",IF(20&lt;='I_Inputs &amp; Assumptions'!$B$8/2,'I_Budget Input Data'!$D$158*0.4/('I_Inputs &amp; Assumptions'!$B$8/2),'I_Budget Input Data'!$D$158*0.6/('I_Inputs &amp; Assumptions'!$B$8/2)),IF('I_Budget Input Data'!$E$158="Mid-weighted",IF(20&lt;='I_Inputs &amp; Assumptions'!$B$8/4,'I_Budget Input Data'!$D$158*0.2/('I_Inputs &amp; Assumptions'!$B$8/4),IF(20&lt;='I_Inputs &amp; Assumptions'!$B$8*0.75,'I_Budget Input Data'!$D$158*0.6/('I_Inputs &amp; Assumptions'!$B$8/2),'I_Budget Input Data'!$D$158*0.2/('I_Inputs &amp; Assumptions'!$B$8/4))),IF('I_Budget Input Data'!$E$158="At Completion",IF(20='I_Inputs &amp; Assumptions'!$B$8,'I_Budget Input Data'!$D$158,0),'I_Budget Input Data'!$D$158/'I_Inputs &amp; Assumptions'!$B$8)))))),0)</f>
        <v>0</v>
      </c>
      <c r="W158" s="91">
        <f>IF(21&lt;='I_Inputs &amp; Assumptions'!$B$8,IF('I_Budget Input Data'!$E$158="Upfront",IF(21=1,'I_Budget Input Data'!$D$158,0),IF('I_Budget Input Data'!$E$158="Equal",'I_Budget Input Data'!$D$158/'I_Inputs &amp; Assumptions'!$B$8,IF('I_Budget Input Data'!$E$158="Front-loaded",IF(21&lt;='I_Inputs &amp; Assumptions'!$B$8/2,'I_Budget Input Data'!$D$158*0.6/('I_Inputs &amp; Assumptions'!$B$8/2),'I_Budget Input Data'!$D$158*0.4/('I_Inputs &amp; Assumptions'!$B$8/2)),IF('I_Budget Input Data'!$E$158="Back-loaded",IF(21&lt;='I_Inputs &amp; Assumptions'!$B$8/2,'I_Budget Input Data'!$D$158*0.4/('I_Inputs &amp; Assumptions'!$B$8/2),'I_Budget Input Data'!$D$158*0.6/('I_Inputs &amp; Assumptions'!$B$8/2)),IF('I_Budget Input Data'!$E$158="Mid-weighted",IF(21&lt;='I_Inputs &amp; Assumptions'!$B$8/4,'I_Budget Input Data'!$D$158*0.2/('I_Inputs &amp; Assumptions'!$B$8/4),IF(21&lt;='I_Inputs &amp; Assumptions'!$B$8*0.75,'I_Budget Input Data'!$D$158*0.6/('I_Inputs &amp; Assumptions'!$B$8/2),'I_Budget Input Data'!$D$158*0.2/('I_Inputs &amp; Assumptions'!$B$8/4))),IF('I_Budget Input Data'!$E$158="At Completion",IF(21='I_Inputs &amp; Assumptions'!$B$8,'I_Budget Input Data'!$D$158,0),'I_Budget Input Data'!$D$158/'I_Inputs &amp; Assumptions'!$B$8)))))),0)</f>
        <v>0</v>
      </c>
      <c r="X158" s="91">
        <f>IF(22&lt;='I_Inputs &amp; Assumptions'!$B$8,IF('I_Budget Input Data'!$E$158="Upfront",IF(22=1,'I_Budget Input Data'!$D$158,0),IF('I_Budget Input Data'!$E$158="Equal",'I_Budget Input Data'!$D$158/'I_Inputs &amp; Assumptions'!$B$8,IF('I_Budget Input Data'!$E$158="Front-loaded",IF(22&lt;='I_Inputs &amp; Assumptions'!$B$8/2,'I_Budget Input Data'!$D$158*0.6/('I_Inputs &amp; Assumptions'!$B$8/2),'I_Budget Input Data'!$D$158*0.4/('I_Inputs &amp; Assumptions'!$B$8/2)),IF('I_Budget Input Data'!$E$158="Back-loaded",IF(22&lt;='I_Inputs &amp; Assumptions'!$B$8/2,'I_Budget Input Data'!$D$158*0.4/('I_Inputs &amp; Assumptions'!$B$8/2),'I_Budget Input Data'!$D$158*0.6/('I_Inputs &amp; Assumptions'!$B$8/2)),IF('I_Budget Input Data'!$E$158="Mid-weighted",IF(22&lt;='I_Inputs &amp; Assumptions'!$B$8/4,'I_Budget Input Data'!$D$158*0.2/('I_Inputs &amp; Assumptions'!$B$8/4),IF(22&lt;='I_Inputs &amp; Assumptions'!$B$8*0.75,'I_Budget Input Data'!$D$158*0.6/('I_Inputs &amp; Assumptions'!$B$8/2),'I_Budget Input Data'!$D$158*0.2/('I_Inputs &amp; Assumptions'!$B$8/4))),IF('I_Budget Input Data'!$E$158="At Completion",IF(22='I_Inputs &amp; Assumptions'!$B$8,'I_Budget Input Data'!$D$158,0),'I_Budget Input Data'!$D$158/'I_Inputs &amp; Assumptions'!$B$8)))))),0)</f>
        <v>0</v>
      </c>
      <c r="Y158" s="91">
        <f>IF(23&lt;='I_Inputs &amp; Assumptions'!$B$8,IF('I_Budget Input Data'!$E$158="Upfront",IF(23=1,'I_Budget Input Data'!$D$158,0),IF('I_Budget Input Data'!$E$158="Equal",'I_Budget Input Data'!$D$158/'I_Inputs &amp; Assumptions'!$B$8,IF('I_Budget Input Data'!$E$158="Front-loaded",IF(23&lt;='I_Inputs &amp; Assumptions'!$B$8/2,'I_Budget Input Data'!$D$158*0.6/('I_Inputs &amp; Assumptions'!$B$8/2),'I_Budget Input Data'!$D$158*0.4/('I_Inputs &amp; Assumptions'!$B$8/2)),IF('I_Budget Input Data'!$E$158="Back-loaded",IF(23&lt;='I_Inputs &amp; Assumptions'!$B$8/2,'I_Budget Input Data'!$D$158*0.4/('I_Inputs &amp; Assumptions'!$B$8/2),'I_Budget Input Data'!$D$158*0.6/('I_Inputs &amp; Assumptions'!$B$8/2)),IF('I_Budget Input Data'!$E$158="Mid-weighted",IF(23&lt;='I_Inputs &amp; Assumptions'!$B$8/4,'I_Budget Input Data'!$D$158*0.2/('I_Inputs &amp; Assumptions'!$B$8/4),IF(23&lt;='I_Inputs &amp; Assumptions'!$B$8*0.75,'I_Budget Input Data'!$D$158*0.6/('I_Inputs &amp; Assumptions'!$B$8/2),'I_Budget Input Data'!$D$158*0.2/('I_Inputs &amp; Assumptions'!$B$8/4))),IF('I_Budget Input Data'!$E$158="At Completion",IF(23='I_Inputs &amp; Assumptions'!$B$8,'I_Budget Input Data'!$D$158,0),'I_Budget Input Data'!$D$158/'I_Inputs &amp; Assumptions'!$B$8)))))),0)</f>
        <v>0</v>
      </c>
      <c r="Z158" s="91">
        <f>IF(24&lt;='I_Inputs &amp; Assumptions'!$B$8,IF('I_Budget Input Data'!$E$158="Upfront",IF(24=1,'I_Budget Input Data'!$D$158,0),IF('I_Budget Input Data'!$E$158="Equal",'I_Budget Input Data'!$D$158/'I_Inputs &amp; Assumptions'!$B$8,IF('I_Budget Input Data'!$E$158="Front-loaded",IF(24&lt;='I_Inputs &amp; Assumptions'!$B$8/2,'I_Budget Input Data'!$D$158*0.6/('I_Inputs &amp; Assumptions'!$B$8/2),'I_Budget Input Data'!$D$158*0.4/('I_Inputs &amp; Assumptions'!$B$8/2)),IF('I_Budget Input Data'!$E$158="Back-loaded",IF(24&lt;='I_Inputs &amp; Assumptions'!$B$8/2,'I_Budget Input Data'!$D$158*0.4/('I_Inputs &amp; Assumptions'!$B$8/2),'I_Budget Input Data'!$D$158*0.6/('I_Inputs &amp; Assumptions'!$B$8/2)),IF('I_Budget Input Data'!$E$158="Mid-weighted",IF(24&lt;='I_Inputs &amp; Assumptions'!$B$8/4,'I_Budget Input Data'!$D$158*0.2/('I_Inputs &amp; Assumptions'!$B$8/4),IF(24&lt;='I_Inputs &amp; Assumptions'!$B$8*0.75,'I_Budget Input Data'!$D$158*0.6/('I_Inputs &amp; Assumptions'!$B$8/2),'I_Budget Input Data'!$D$158*0.2/('I_Inputs &amp; Assumptions'!$B$8/4))),IF('I_Budget Input Data'!$E$158="At Completion",IF(24='I_Inputs &amp; Assumptions'!$B$8,'I_Budget Input Data'!$D$158,0),'I_Budget Input Data'!$D$158/'I_Inputs &amp; Assumptions'!$B$8)))))),0)</f>
        <v>0</v>
      </c>
      <c r="AA158" s="91">
        <f>IF(25&lt;='I_Inputs &amp; Assumptions'!$B$8,IF('I_Budget Input Data'!$E$158="Upfront",IF(25=1,'I_Budget Input Data'!$D$158,0),IF('I_Budget Input Data'!$E$158="Equal",'I_Budget Input Data'!$D$158/'I_Inputs &amp; Assumptions'!$B$8,IF('I_Budget Input Data'!$E$158="Front-loaded",IF(25&lt;='I_Inputs &amp; Assumptions'!$B$8/2,'I_Budget Input Data'!$D$158*0.6/('I_Inputs &amp; Assumptions'!$B$8/2),'I_Budget Input Data'!$D$158*0.4/('I_Inputs &amp; Assumptions'!$B$8/2)),IF('I_Budget Input Data'!$E$158="Back-loaded",IF(25&lt;='I_Inputs &amp; Assumptions'!$B$8/2,'I_Budget Input Data'!$D$158*0.4/('I_Inputs &amp; Assumptions'!$B$8/2),'I_Budget Input Data'!$D$158*0.6/('I_Inputs &amp; Assumptions'!$B$8/2)),IF('I_Budget Input Data'!$E$158="Mid-weighted",IF(25&lt;='I_Inputs &amp; Assumptions'!$B$8/4,'I_Budget Input Data'!$D$158*0.2/('I_Inputs &amp; Assumptions'!$B$8/4),IF(25&lt;='I_Inputs &amp; Assumptions'!$B$8*0.75,'I_Budget Input Data'!$D$158*0.6/('I_Inputs &amp; Assumptions'!$B$8/2),'I_Budget Input Data'!$D$158*0.2/('I_Inputs &amp; Assumptions'!$B$8/4))),IF('I_Budget Input Data'!$E$158="At Completion",IF(25='I_Inputs &amp; Assumptions'!$B$8,'I_Budget Input Data'!$D$158,0),'I_Budget Input Data'!$D$158/'I_Inputs &amp; Assumptions'!$B$8)))))),0)</f>
        <v>0</v>
      </c>
      <c r="AB158" s="91">
        <f>IF(26&lt;='I_Inputs &amp; Assumptions'!$B$8,IF('I_Budget Input Data'!$E$158="Upfront",IF(26=1,'I_Budget Input Data'!$D$158,0),IF('I_Budget Input Data'!$E$158="Equal",'I_Budget Input Data'!$D$158/'I_Inputs &amp; Assumptions'!$B$8,IF('I_Budget Input Data'!$E$158="Front-loaded",IF(26&lt;='I_Inputs &amp; Assumptions'!$B$8/2,'I_Budget Input Data'!$D$158*0.6/('I_Inputs &amp; Assumptions'!$B$8/2),'I_Budget Input Data'!$D$158*0.4/('I_Inputs &amp; Assumptions'!$B$8/2)),IF('I_Budget Input Data'!$E$158="Back-loaded",IF(26&lt;='I_Inputs &amp; Assumptions'!$B$8/2,'I_Budget Input Data'!$D$158*0.4/('I_Inputs &amp; Assumptions'!$B$8/2),'I_Budget Input Data'!$D$158*0.6/('I_Inputs &amp; Assumptions'!$B$8/2)),IF('I_Budget Input Data'!$E$158="Mid-weighted",IF(26&lt;='I_Inputs &amp; Assumptions'!$B$8/4,'I_Budget Input Data'!$D$158*0.2/('I_Inputs &amp; Assumptions'!$B$8/4),IF(26&lt;='I_Inputs &amp; Assumptions'!$B$8*0.75,'I_Budget Input Data'!$D$158*0.6/('I_Inputs &amp; Assumptions'!$B$8/2),'I_Budget Input Data'!$D$158*0.2/('I_Inputs &amp; Assumptions'!$B$8/4))),IF('I_Budget Input Data'!$E$158="At Completion",IF(26='I_Inputs &amp; Assumptions'!$B$8,'I_Budget Input Data'!$D$158,0),'I_Budget Input Data'!$D$158/'I_Inputs &amp; Assumptions'!$B$8)))))),0)</f>
        <v>0</v>
      </c>
      <c r="AC158" s="91">
        <f>IF(27&lt;='I_Inputs &amp; Assumptions'!$B$8,IF('I_Budget Input Data'!$E$158="Upfront",IF(27=1,'I_Budget Input Data'!$D$158,0),IF('I_Budget Input Data'!$E$158="Equal",'I_Budget Input Data'!$D$158/'I_Inputs &amp; Assumptions'!$B$8,IF('I_Budget Input Data'!$E$158="Front-loaded",IF(27&lt;='I_Inputs &amp; Assumptions'!$B$8/2,'I_Budget Input Data'!$D$158*0.6/('I_Inputs &amp; Assumptions'!$B$8/2),'I_Budget Input Data'!$D$158*0.4/('I_Inputs &amp; Assumptions'!$B$8/2)),IF('I_Budget Input Data'!$E$158="Back-loaded",IF(27&lt;='I_Inputs &amp; Assumptions'!$B$8/2,'I_Budget Input Data'!$D$158*0.4/('I_Inputs &amp; Assumptions'!$B$8/2),'I_Budget Input Data'!$D$158*0.6/('I_Inputs &amp; Assumptions'!$B$8/2)),IF('I_Budget Input Data'!$E$158="Mid-weighted",IF(27&lt;='I_Inputs &amp; Assumptions'!$B$8/4,'I_Budget Input Data'!$D$158*0.2/('I_Inputs &amp; Assumptions'!$B$8/4),IF(27&lt;='I_Inputs &amp; Assumptions'!$B$8*0.75,'I_Budget Input Data'!$D$158*0.6/('I_Inputs &amp; Assumptions'!$B$8/2),'I_Budget Input Data'!$D$158*0.2/('I_Inputs &amp; Assumptions'!$B$8/4))),IF('I_Budget Input Data'!$E$158="At Completion",IF(27='I_Inputs &amp; Assumptions'!$B$8,'I_Budget Input Data'!$D$158,0),'I_Budget Input Data'!$D$158/'I_Inputs &amp; Assumptions'!$B$8)))))),0)</f>
        <v>0</v>
      </c>
      <c r="AD158" s="91">
        <f>IF(28&lt;='I_Inputs &amp; Assumptions'!$B$8,IF('I_Budget Input Data'!$E$158="Upfront",IF(28=1,'I_Budget Input Data'!$D$158,0),IF('I_Budget Input Data'!$E$158="Equal",'I_Budget Input Data'!$D$158/'I_Inputs &amp; Assumptions'!$B$8,IF('I_Budget Input Data'!$E$158="Front-loaded",IF(28&lt;='I_Inputs &amp; Assumptions'!$B$8/2,'I_Budget Input Data'!$D$158*0.6/('I_Inputs &amp; Assumptions'!$B$8/2),'I_Budget Input Data'!$D$158*0.4/('I_Inputs &amp; Assumptions'!$B$8/2)),IF('I_Budget Input Data'!$E$158="Back-loaded",IF(28&lt;='I_Inputs &amp; Assumptions'!$B$8/2,'I_Budget Input Data'!$D$158*0.4/('I_Inputs &amp; Assumptions'!$B$8/2),'I_Budget Input Data'!$D$158*0.6/('I_Inputs &amp; Assumptions'!$B$8/2)),IF('I_Budget Input Data'!$E$158="Mid-weighted",IF(28&lt;='I_Inputs &amp; Assumptions'!$B$8/4,'I_Budget Input Data'!$D$158*0.2/('I_Inputs &amp; Assumptions'!$B$8/4),IF(28&lt;='I_Inputs &amp; Assumptions'!$B$8*0.75,'I_Budget Input Data'!$D$158*0.6/('I_Inputs &amp; Assumptions'!$B$8/2),'I_Budget Input Data'!$D$158*0.2/('I_Inputs &amp; Assumptions'!$B$8/4))),IF('I_Budget Input Data'!$E$158="At Completion",IF(28='I_Inputs &amp; Assumptions'!$B$8,'I_Budget Input Data'!$D$158,0),'I_Budget Input Data'!$D$158/'I_Inputs &amp; Assumptions'!$B$8)))))),0)</f>
        <v>0</v>
      </c>
      <c r="AE158" s="91">
        <f>IF(29&lt;='I_Inputs &amp; Assumptions'!$B$8,IF('I_Budget Input Data'!$E$158="Upfront",IF(29=1,'I_Budget Input Data'!$D$158,0),IF('I_Budget Input Data'!$E$158="Equal",'I_Budget Input Data'!$D$158/'I_Inputs &amp; Assumptions'!$B$8,IF('I_Budget Input Data'!$E$158="Front-loaded",IF(29&lt;='I_Inputs &amp; Assumptions'!$B$8/2,'I_Budget Input Data'!$D$158*0.6/('I_Inputs &amp; Assumptions'!$B$8/2),'I_Budget Input Data'!$D$158*0.4/('I_Inputs &amp; Assumptions'!$B$8/2)),IF('I_Budget Input Data'!$E$158="Back-loaded",IF(29&lt;='I_Inputs &amp; Assumptions'!$B$8/2,'I_Budget Input Data'!$D$158*0.4/('I_Inputs &amp; Assumptions'!$B$8/2),'I_Budget Input Data'!$D$158*0.6/('I_Inputs &amp; Assumptions'!$B$8/2)),IF('I_Budget Input Data'!$E$158="Mid-weighted",IF(29&lt;='I_Inputs &amp; Assumptions'!$B$8/4,'I_Budget Input Data'!$D$158*0.2/('I_Inputs &amp; Assumptions'!$B$8/4),IF(29&lt;='I_Inputs &amp; Assumptions'!$B$8*0.75,'I_Budget Input Data'!$D$158*0.6/('I_Inputs &amp; Assumptions'!$B$8/2),'I_Budget Input Data'!$D$158*0.2/('I_Inputs &amp; Assumptions'!$B$8/4))),IF('I_Budget Input Data'!$E$158="At Completion",IF(29='I_Inputs &amp; Assumptions'!$B$8,'I_Budget Input Data'!$D$158,0),'I_Budget Input Data'!$D$158/'I_Inputs &amp; Assumptions'!$B$8)))))),0)</f>
        <v>0</v>
      </c>
      <c r="AF158" s="91">
        <f>IF(30&lt;='I_Inputs &amp; Assumptions'!$B$8,IF('I_Budget Input Data'!$E$158="Upfront",IF(30=1,'I_Budget Input Data'!$D$158,0),IF('I_Budget Input Data'!$E$158="Equal",'I_Budget Input Data'!$D$158/'I_Inputs &amp; Assumptions'!$B$8,IF('I_Budget Input Data'!$E$158="Front-loaded",IF(30&lt;='I_Inputs &amp; Assumptions'!$B$8/2,'I_Budget Input Data'!$D$158*0.6/('I_Inputs &amp; Assumptions'!$B$8/2),'I_Budget Input Data'!$D$158*0.4/('I_Inputs &amp; Assumptions'!$B$8/2)),IF('I_Budget Input Data'!$E$158="Back-loaded",IF(30&lt;='I_Inputs &amp; Assumptions'!$B$8/2,'I_Budget Input Data'!$D$158*0.4/('I_Inputs &amp; Assumptions'!$B$8/2),'I_Budget Input Data'!$D$158*0.6/('I_Inputs &amp; Assumptions'!$B$8/2)),IF('I_Budget Input Data'!$E$158="Mid-weighted",IF(30&lt;='I_Inputs &amp; Assumptions'!$B$8/4,'I_Budget Input Data'!$D$158*0.2/('I_Inputs &amp; Assumptions'!$B$8/4),IF(30&lt;='I_Inputs &amp; Assumptions'!$B$8*0.75,'I_Budget Input Data'!$D$158*0.6/('I_Inputs &amp; Assumptions'!$B$8/2),'I_Budget Input Data'!$D$158*0.2/('I_Inputs &amp; Assumptions'!$B$8/4))),IF('I_Budget Input Data'!$E$158="At Completion",IF(30='I_Inputs &amp; Assumptions'!$B$8,'I_Budget Input Data'!$D$158,0),'I_Budget Input Data'!$D$158/'I_Inputs &amp; Assumptions'!$B$8)))))),0)</f>
        <v>0</v>
      </c>
      <c r="AG158" s="91">
        <f>IF(31&lt;='I_Inputs &amp; Assumptions'!$B$8,IF('I_Budget Input Data'!$E$158="Upfront",IF(31=1,'I_Budget Input Data'!$D$158,0),IF('I_Budget Input Data'!$E$158="Equal",'I_Budget Input Data'!$D$158/'I_Inputs &amp; Assumptions'!$B$8,IF('I_Budget Input Data'!$E$158="Front-loaded",IF(31&lt;='I_Inputs &amp; Assumptions'!$B$8/2,'I_Budget Input Data'!$D$158*0.6/('I_Inputs &amp; Assumptions'!$B$8/2),'I_Budget Input Data'!$D$158*0.4/('I_Inputs &amp; Assumptions'!$B$8/2)),IF('I_Budget Input Data'!$E$158="Back-loaded",IF(31&lt;='I_Inputs &amp; Assumptions'!$B$8/2,'I_Budget Input Data'!$D$158*0.4/('I_Inputs &amp; Assumptions'!$B$8/2),'I_Budget Input Data'!$D$158*0.6/('I_Inputs &amp; Assumptions'!$B$8/2)),IF('I_Budget Input Data'!$E$158="Mid-weighted",IF(31&lt;='I_Inputs &amp; Assumptions'!$B$8/4,'I_Budget Input Data'!$D$158*0.2/('I_Inputs &amp; Assumptions'!$B$8/4),IF(31&lt;='I_Inputs &amp; Assumptions'!$B$8*0.75,'I_Budget Input Data'!$D$158*0.6/('I_Inputs &amp; Assumptions'!$B$8/2),'I_Budget Input Data'!$D$158*0.2/('I_Inputs &amp; Assumptions'!$B$8/4))),IF('I_Budget Input Data'!$E$158="At Completion",IF(31='I_Inputs &amp; Assumptions'!$B$8,'I_Budget Input Data'!$D$158,0),'I_Budget Input Data'!$D$158/'I_Inputs &amp; Assumptions'!$B$8)))))),0)</f>
        <v>0</v>
      </c>
      <c r="AH158" s="91">
        <f>IF(32&lt;='I_Inputs &amp; Assumptions'!$B$8,IF('I_Budget Input Data'!$E$158="Upfront",IF(32=1,'I_Budget Input Data'!$D$158,0),IF('I_Budget Input Data'!$E$158="Equal",'I_Budget Input Data'!$D$158/'I_Inputs &amp; Assumptions'!$B$8,IF('I_Budget Input Data'!$E$158="Front-loaded",IF(32&lt;='I_Inputs &amp; Assumptions'!$B$8/2,'I_Budget Input Data'!$D$158*0.6/('I_Inputs &amp; Assumptions'!$B$8/2),'I_Budget Input Data'!$D$158*0.4/('I_Inputs &amp; Assumptions'!$B$8/2)),IF('I_Budget Input Data'!$E$158="Back-loaded",IF(32&lt;='I_Inputs &amp; Assumptions'!$B$8/2,'I_Budget Input Data'!$D$158*0.4/('I_Inputs &amp; Assumptions'!$B$8/2),'I_Budget Input Data'!$D$158*0.6/('I_Inputs &amp; Assumptions'!$B$8/2)),IF('I_Budget Input Data'!$E$158="Mid-weighted",IF(32&lt;='I_Inputs &amp; Assumptions'!$B$8/4,'I_Budget Input Data'!$D$158*0.2/('I_Inputs &amp; Assumptions'!$B$8/4),IF(32&lt;='I_Inputs &amp; Assumptions'!$B$8*0.75,'I_Budget Input Data'!$D$158*0.6/('I_Inputs &amp; Assumptions'!$B$8/2),'I_Budget Input Data'!$D$158*0.2/('I_Inputs &amp; Assumptions'!$B$8/4))),IF('I_Budget Input Data'!$E$158="At Completion",IF(32='I_Inputs &amp; Assumptions'!$B$8,'I_Budget Input Data'!$D$158,0),'I_Budget Input Data'!$D$158/'I_Inputs &amp; Assumptions'!$B$8)))))),0)</f>
        <v>0</v>
      </c>
      <c r="AI158" s="91">
        <f>IF(33&lt;='I_Inputs &amp; Assumptions'!$B$8,IF('I_Budget Input Data'!$E$158="Upfront",IF(33=1,'I_Budget Input Data'!$D$158,0),IF('I_Budget Input Data'!$E$158="Equal",'I_Budget Input Data'!$D$158/'I_Inputs &amp; Assumptions'!$B$8,IF('I_Budget Input Data'!$E$158="Front-loaded",IF(33&lt;='I_Inputs &amp; Assumptions'!$B$8/2,'I_Budget Input Data'!$D$158*0.6/('I_Inputs &amp; Assumptions'!$B$8/2),'I_Budget Input Data'!$D$158*0.4/('I_Inputs &amp; Assumptions'!$B$8/2)),IF('I_Budget Input Data'!$E$158="Back-loaded",IF(33&lt;='I_Inputs &amp; Assumptions'!$B$8/2,'I_Budget Input Data'!$D$158*0.4/('I_Inputs &amp; Assumptions'!$B$8/2),'I_Budget Input Data'!$D$158*0.6/('I_Inputs &amp; Assumptions'!$B$8/2)),IF('I_Budget Input Data'!$E$158="Mid-weighted",IF(33&lt;='I_Inputs &amp; Assumptions'!$B$8/4,'I_Budget Input Data'!$D$158*0.2/('I_Inputs &amp; Assumptions'!$B$8/4),IF(33&lt;='I_Inputs &amp; Assumptions'!$B$8*0.75,'I_Budget Input Data'!$D$158*0.6/('I_Inputs &amp; Assumptions'!$B$8/2),'I_Budget Input Data'!$D$158*0.2/('I_Inputs &amp; Assumptions'!$B$8/4))),IF('I_Budget Input Data'!$E$158="At Completion",IF(33='I_Inputs &amp; Assumptions'!$B$8,'I_Budget Input Data'!$D$158,0),'I_Budget Input Data'!$D$158/'I_Inputs &amp; Assumptions'!$B$8)))))),0)</f>
        <v>0</v>
      </c>
      <c r="AJ158" s="91">
        <f>IF(34&lt;='I_Inputs &amp; Assumptions'!$B$8,IF('I_Budget Input Data'!$E$158="Upfront",IF(34=1,'I_Budget Input Data'!$D$158,0),IF('I_Budget Input Data'!$E$158="Equal",'I_Budget Input Data'!$D$158/'I_Inputs &amp; Assumptions'!$B$8,IF('I_Budget Input Data'!$E$158="Front-loaded",IF(34&lt;='I_Inputs &amp; Assumptions'!$B$8/2,'I_Budget Input Data'!$D$158*0.6/('I_Inputs &amp; Assumptions'!$B$8/2),'I_Budget Input Data'!$D$158*0.4/('I_Inputs &amp; Assumptions'!$B$8/2)),IF('I_Budget Input Data'!$E$158="Back-loaded",IF(34&lt;='I_Inputs &amp; Assumptions'!$B$8/2,'I_Budget Input Data'!$D$158*0.4/('I_Inputs &amp; Assumptions'!$B$8/2),'I_Budget Input Data'!$D$158*0.6/('I_Inputs &amp; Assumptions'!$B$8/2)),IF('I_Budget Input Data'!$E$158="Mid-weighted",IF(34&lt;='I_Inputs &amp; Assumptions'!$B$8/4,'I_Budget Input Data'!$D$158*0.2/('I_Inputs &amp; Assumptions'!$B$8/4),IF(34&lt;='I_Inputs &amp; Assumptions'!$B$8*0.75,'I_Budget Input Data'!$D$158*0.6/('I_Inputs &amp; Assumptions'!$B$8/2),'I_Budget Input Data'!$D$158*0.2/('I_Inputs &amp; Assumptions'!$B$8/4))),IF('I_Budget Input Data'!$E$158="At Completion",IF(34='I_Inputs &amp; Assumptions'!$B$8,'I_Budget Input Data'!$D$158,0),'I_Budget Input Data'!$D$158/'I_Inputs &amp; Assumptions'!$B$8)))))),0)</f>
        <v>0</v>
      </c>
      <c r="AK158" s="91">
        <f>IF(35&lt;='I_Inputs &amp; Assumptions'!$B$8,IF('I_Budget Input Data'!$E$158="Upfront",IF(35=1,'I_Budget Input Data'!$D$158,0),IF('I_Budget Input Data'!$E$158="Equal",'I_Budget Input Data'!$D$158/'I_Inputs &amp; Assumptions'!$B$8,IF('I_Budget Input Data'!$E$158="Front-loaded",IF(35&lt;='I_Inputs &amp; Assumptions'!$B$8/2,'I_Budget Input Data'!$D$158*0.6/('I_Inputs &amp; Assumptions'!$B$8/2),'I_Budget Input Data'!$D$158*0.4/('I_Inputs &amp; Assumptions'!$B$8/2)),IF('I_Budget Input Data'!$E$158="Back-loaded",IF(35&lt;='I_Inputs &amp; Assumptions'!$B$8/2,'I_Budget Input Data'!$D$158*0.4/('I_Inputs &amp; Assumptions'!$B$8/2),'I_Budget Input Data'!$D$158*0.6/('I_Inputs &amp; Assumptions'!$B$8/2)),IF('I_Budget Input Data'!$E$158="Mid-weighted",IF(35&lt;='I_Inputs &amp; Assumptions'!$B$8/4,'I_Budget Input Data'!$D$158*0.2/('I_Inputs &amp; Assumptions'!$B$8/4),IF(35&lt;='I_Inputs &amp; Assumptions'!$B$8*0.75,'I_Budget Input Data'!$D$158*0.6/('I_Inputs &amp; Assumptions'!$B$8/2),'I_Budget Input Data'!$D$158*0.2/('I_Inputs &amp; Assumptions'!$B$8/4))),IF('I_Budget Input Data'!$E$158="At Completion",IF(35='I_Inputs &amp; Assumptions'!$B$8,'I_Budget Input Data'!$D$158,0),'I_Budget Input Data'!$D$158/'I_Inputs &amp; Assumptions'!$B$8)))))),0)</f>
        <v>0</v>
      </c>
      <c r="AL158" s="91">
        <f>IF(36&lt;='I_Inputs &amp; Assumptions'!$B$8,IF('I_Budget Input Data'!$E$158="Upfront",IF(36=1,'I_Budget Input Data'!$D$158,0),IF('I_Budget Input Data'!$E$158="Equal",'I_Budget Input Data'!$D$158/'I_Inputs &amp; Assumptions'!$B$8,IF('I_Budget Input Data'!$E$158="Front-loaded",IF(36&lt;='I_Inputs &amp; Assumptions'!$B$8/2,'I_Budget Input Data'!$D$158*0.6/('I_Inputs &amp; Assumptions'!$B$8/2),'I_Budget Input Data'!$D$158*0.4/('I_Inputs &amp; Assumptions'!$B$8/2)),IF('I_Budget Input Data'!$E$158="Back-loaded",IF(36&lt;='I_Inputs &amp; Assumptions'!$B$8/2,'I_Budget Input Data'!$D$158*0.4/('I_Inputs &amp; Assumptions'!$B$8/2),'I_Budget Input Data'!$D$158*0.6/('I_Inputs &amp; Assumptions'!$B$8/2)),IF('I_Budget Input Data'!$E$158="Mid-weighted",IF(36&lt;='I_Inputs &amp; Assumptions'!$B$8/4,'I_Budget Input Data'!$D$158*0.2/('I_Inputs &amp; Assumptions'!$B$8/4),IF(36&lt;='I_Inputs &amp; Assumptions'!$B$8*0.75,'I_Budget Input Data'!$D$158*0.6/('I_Inputs &amp; Assumptions'!$B$8/2),'I_Budget Input Data'!$D$158*0.2/('I_Inputs &amp; Assumptions'!$B$8/4))),IF('I_Budget Input Data'!$E$158="At Completion",IF(36='I_Inputs &amp; Assumptions'!$B$8,'I_Budget Input Data'!$D$158,0),'I_Budget Input Data'!$D$158/'I_Inputs &amp; Assumptions'!$B$8)))))),0)</f>
        <v>0</v>
      </c>
    </row>
    <row r="159" spans="1:38" ht="15" customHeight="1" x14ac:dyDescent="0.2">
      <c r="A159" t="s">
        <v>270</v>
      </c>
      <c r="B159" t="s">
        <v>274</v>
      </c>
      <c r="C159" s="91">
        <f>IF(1&lt;='I_Inputs &amp; Assumptions'!$B$8,IF('I_Budget Input Data'!$E$159="Upfront",IF(1=1,'I_Budget Input Data'!$D$159,0),IF('I_Budget Input Data'!$E$159="Equal",'I_Budget Input Data'!$D$159/'I_Inputs &amp; Assumptions'!$B$8,IF('I_Budget Input Data'!$E$159="Front-loaded",IF(1&lt;='I_Inputs &amp; Assumptions'!$B$8/2,'I_Budget Input Data'!$D$159*0.6/('I_Inputs &amp; Assumptions'!$B$8/2),'I_Budget Input Data'!$D$159*0.4/('I_Inputs &amp; Assumptions'!$B$8/2)),IF('I_Budget Input Data'!$E$159="Back-loaded",IF(1&lt;='I_Inputs &amp; Assumptions'!$B$8/2,'I_Budget Input Data'!$D$159*0.4/('I_Inputs &amp; Assumptions'!$B$8/2),'I_Budget Input Data'!$D$159*0.6/('I_Inputs &amp; Assumptions'!$B$8/2)),IF('I_Budget Input Data'!$E$159="Mid-weighted",IF(1&lt;='I_Inputs &amp; Assumptions'!$B$8/4,'I_Budget Input Data'!$D$159*0.2/('I_Inputs &amp; Assumptions'!$B$8/4),IF(1&lt;='I_Inputs &amp; Assumptions'!$B$8*0.75,'I_Budget Input Data'!$D$159*0.6/('I_Inputs &amp; Assumptions'!$B$8/2),'I_Budget Input Data'!$D$159*0.2/('I_Inputs &amp; Assumptions'!$B$8/4))),IF('I_Budget Input Data'!$E$159="At Completion",IF(1='I_Inputs &amp; Assumptions'!$B$8,'I_Budget Input Data'!$D$159,0),'I_Budget Input Data'!$D$159/'I_Inputs &amp; Assumptions'!$B$8)))))),0)</f>
        <v>9641.461538461539</v>
      </c>
      <c r="D159" s="91">
        <f>IF(2&lt;='I_Inputs &amp; Assumptions'!$B$8,IF('I_Budget Input Data'!$E$159="Upfront",IF(2=1,'I_Budget Input Data'!$D$159,0),IF('I_Budget Input Data'!$E$159="Equal",'I_Budget Input Data'!$D$159/'I_Inputs &amp; Assumptions'!$B$8,IF('I_Budget Input Data'!$E$159="Front-loaded",IF(2&lt;='I_Inputs &amp; Assumptions'!$B$8/2,'I_Budget Input Data'!$D$159*0.6/('I_Inputs &amp; Assumptions'!$B$8/2),'I_Budget Input Data'!$D$159*0.4/('I_Inputs &amp; Assumptions'!$B$8/2)),IF('I_Budget Input Data'!$E$159="Back-loaded",IF(2&lt;='I_Inputs &amp; Assumptions'!$B$8/2,'I_Budget Input Data'!$D$159*0.4/('I_Inputs &amp; Assumptions'!$B$8/2),'I_Budget Input Data'!$D$159*0.6/('I_Inputs &amp; Assumptions'!$B$8/2)),IF('I_Budget Input Data'!$E$159="Mid-weighted",IF(2&lt;='I_Inputs &amp; Assumptions'!$B$8/4,'I_Budget Input Data'!$D$159*0.2/('I_Inputs &amp; Assumptions'!$B$8/4),IF(2&lt;='I_Inputs &amp; Assumptions'!$B$8*0.75,'I_Budget Input Data'!$D$159*0.6/('I_Inputs &amp; Assumptions'!$B$8/2),'I_Budget Input Data'!$D$159*0.2/('I_Inputs &amp; Assumptions'!$B$8/4))),IF('I_Budget Input Data'!$E$159="At Completion",IF(2='I_Inputs &amp; Assumptions'!$B$8,'I_Budget Input Data'!$D$159,0),'I_Budget Input Data'!$D$159/'I_Inputs &amp; Assumptions'!$B$8)))))),0)</f>
        <v>9641.461538461539</v>
      </c>
      <c r="E159" s="91">
        <f>IF(3&lt;='I_Inputs &amp; Assumptions'!$B$8,IF('I_Budget Input Data'!$E$159="Upfront",IF(3=1,'I_Budget Input Data'!$D$159,0),IF('I_Budget Input Data'!$E$159="Equal",'I_Budget Input Data'!$D$159/'I_Inputs &amp; Assumptions'!$B$8,IF('I_Budget Input Data'!$E$159="Front-loaded",IF(3&lt;='I_Inputs &amp; Assumptions'!$B$8/2,'I_Budget Input Data'!$D$159*0.6/('I_Inputs &amp; Assumptions'!$B$8/2),'I_Budget Input Data'!$D$159*0.4/('I_Inputs &amp; Assumptions'!$B$8/2)),IF('I_Budget Input Data'!$E$159="Back-loaded",IF(3&lt;='I_Inputs &amp; Assumptions'!$B$8/2,'I_Budget Input Data'!$D$159*0.4/('I_Inputs &amp; Assumptions'!$B$8/2),'I_Budget Input Data'!$D$159*0.6/('I_Inputs &amp; Assumptions'!$B$8/2)),IF('I_Budget Input Data'!$E$159="Mid-weighted",IF(3&lt;='I_Inputs &amp; Assumptions'!$B$8/4,'I_Budget Input Data'!$D$159*0.2/('I_Inputs &amp; Assumptions'!$B$8/4),IF(3&lt;='I_Inputs &amp; Assumptions'!$B$8*0.75,'I_Budget Input Data'!$D$159*0.6/('I_Inputs &amp; Assumptions'!$B$8/2),'I_Budget Input Data'!$D$159*0.2/('I_Inputs &amp; Assumptions'!$B$8/4))),IF('I_Budget Input Data'!$E$159="At Completion",IF(3='I_Inputs &amp; Assumptions'!$B$8,'I_Budget Input Data'!$D$159,0),'I_Budget Input Data'!$D$159/'I_Inputs &amp; Assumptions'!$B$8)))))),0)</f>
        <v>9641.461538461539</v>
      </c>
      <c r="F159" s="91">
        <f>IF(4&lt;='I_Inputs &amp; Assumptions'!$B$8,IF('I_Budget Input Data'!$E$159="Upfront",IF(4=1,'I_Budget Input Data'!$D$159,0),IF('I_Budget Input Data'!$E$159="Equal",'I_Budget Input Data'!$D$159/'I_Inputs &amp; Assumptions'!$B$8,IF('I_Budget Input Data'!$E$159="Front-loaded",IF(4&lt;='I_Inputs &amp; Assumptions'!$B$8/2,'I_Budget Input Data'!$D$159*0.6/('I_Inputs &amp; Assumptions'!$B$8/2),'I_Budget Input Data'!$D$159*0.4/('I_Inputs &amp; Assumptions'!$B$8/2)),IF('I_Budget Input Data'!$E$159="Back-loaded",IF(4&lt;='I_Inputs &amp; Assumptions'!$B$8/2,'I_Budget Input Data'!$D$159*0.4/('I_Inputs &amp; Assumptions'!$B$8/2),'I_Budget Input Data'!$D$159*0.6/('I_Inputs &amp; Assumptions'!$B$8/2)),IF('I_Budget Input Data'!$E$159="Mid-weighted",IF(4&lt;='I_Inputs &amp; Assumptions'!$B$8/4,'I_Budget Input Data'!$D$159*0.2/('I_Inputs &amp; Assumptions'!$B$8/4),IF(4&lt;='I_Inputs &amp; Assumptions'!$B$8*0.75,'I_Budget Input Data'!$D$159*0.6/('I_Inputs &amp; Assumptions'!$B$8/2),'I_Budget Input Data'!$D$159*0.2/('I_Inputs &amp; Assumptions'!$B$8/4))),IF('I_Budget Input Data'!$E$159="At Completion",IF(4='I_Inputs &amp; Assumptions'!$B$8,'I_Budget Input Data'!$D$159,0),'I_Budget Input Data'!$D$159/'I_Inputs &amp; Assumptions'!$B$8)))))),0)</f>
        <v>9641.461538461539</v>
      </c>
      <c r="G159" s="91">
        <f>IF(5&lt;='I_Inputs &amp; Assumptions'!$B$8,IF('I_Budget Input Data'!$E$159="Upfront",IF(5=1,'I_Budget Input Data'!$D$159,0),IF('I_Budget Input Data'!$E$159="Equal",'I_Budget Input Data'!$D$159/'I_Inputs &amp; Assumptions'!$B$8,IF('I_Budget Input Data'!$E$159="Front-loaded",IF(5&lt;='I_Inputs &amp; Assumptions'!$B$8/2,'I_Budget Input Data'!$D$159*0.6/('I_Inputs &amp; Assumptions'!$B$8/2),'I_Budget Input Data'!$D$159*0.4/('I_Inputs &amp; Assumptions'!$B$8/2)),IF('I_Budget Input Data'!$E$159="Back-loaded",IF(5&lt;='I_Inputs &amp; Assumptions'!$B$8/2,'I_Budget Input Data'!$D$159*0.4/('I_Inputs &amp; Assumptions'!$B$8/2),'I_Budget Input Data'!$D$159*0.6/('I_Inputs &amp; Assumptions'!$B$8/2)),IF('I_Budget Input Data'!$E$159="Mid-weighted",IF(5&lt;='I_Inputs &amp; Assumptions'!$B$8/4,'I_Budget Input Data'!$D$159*0.2/('I_Inputs &amp; Assumptions'!$B$8/4),IF(5&lt;='I_Inputs &amp; Assumptions'!$B$8*0.75,'I_Budget Input Data'!$D$159*0.6/('I_Inputs &amp; Assumptions'!$B$8/2),'I_Budget Input Data'!$D$159*0.2/('I_Inputs &amp; Assumptions'!$B$8/4))),IF('I_Budget Input Data'!$E$159="At Completion",IF(5='I_Inputs &amp; Assumptions'!$B$8,'I_Budget Input Data'!$D$159,0),'I_Budget Input Data'!$D$159/'I_Inputs &amp; Assumptions'!$B$8)))))),0)</f>
        <v>9641.461538461539</v>
      </c>
      <c r="H159" s="91">
        <f>IF(6&lt;='I_Inputs &amp; Assumptions'!$B$8,IF('I_Budget Input Data'!$E$159="Upfront",IF(6=1,'I_Budget Input Data'!$D$159,0),IF('I_Budget Input Data'!$E$159="Equal",'I_Budget Input Data'!$D$159/'I_Inputs &amp; Assumptions'!$B$8,IF('I_Budget Input Data'!$E$159="Front-loaded",IF(6&lt;='I_Inputs &amp; Assumptions'!$B$8/2,'I_Budget Input Data'!$D$159*0.6/('I_Inputs &amp; Assumptions'!$B$8/2),'I_Budget Input Data'!$D$159*0.4/('I_Inputs &amp; Assumptions'!$B$8/2)),IF('I_Budget Input Data'!$E$159="Back-loaded",IF(6&lt;='I_Inputs &amp; Assumptions'!$B$8/2,'I_Budget Input Data'!$D$159*0.4/('I_Inputs &amp; Assumptions'!$B$8/2),'I_Budget Input Data'!$D$159*0.6/('I_Inputs &amp; Assumptions'!$B$8/2)),IF('I_Budget Input Data'!$E$159="Mid-weighted",IF(6&lt;='I_Inputs &amp; Assumptions'!$B$8/4,'I_Budget Input Data'!$D$159*0.2/('I_Inputs &amp; Assumptions'!$B$8/4),IF(6&lt;='I_Inputs &amp; Assumptions'!$B$8*0.75,'I_Budget Input Data'!$D$159*0.6/('I_Inputs &amp; Assumptions'!$B$8/2),'I_Budget Input Data'!$D$159*0.2/('I_Inputs &amp; Assumptions'!$B$8/4))),IF('I_Budget Input Data'!$E$159="At Completion",IF(6='I_Inputs &amp; Assumptions'!$B$8,'I_Budget Input Data'!$D$159,0),'I_Budget Input Data'!$D$159/'I_Inputs &amp; Assumptions'!$B$8)))))),0)</f>
        <v>9641.461538461539</v>
      </c>
      <c r="I159" s="91">
        <f>IF(7&lt;='I_Inputs &amp; Assumptions'!$B$8,IF('I_Budget Input Data'!$E$159="Upfront",IF(7=1,'I_Budget Input Data'!$D$159,0),IF('I_Budget Input Data'!$E$159="Equal",'I_Budget Input Data'!$D$159/'I_Inputs &amp; Assumptions'!$B$8,IF('I_Budget Input Data'!$E$159="Front-loaded",IF(7&lt;='I_Inputs &amp; Assumptions'!$B$8/2,'I_Budget Input Data'!$D$159*0.6/('I_Inputs &amp; Assumptions'!$B$8/2),'I_Budget Input Data'!$D$159*0.4/('I_Inputs &amp; Assumptions'!$B$8/2)),IF('I_Budget Input Data'!$E$159="Back-loaded",IF(7&lt;='I_Inputs &amp; Assumptions'!$B$8/2,'I_Budget Input Data'!$D$159*0.4/('I_Inputs &amp; Assumptions'!$B$8/2),'I_Budget Input Data'!$D$159*0.6/('I_Inputs &amp; Assumptions'!$B$8/2)),IF('I_Budget Input Data'!$E$159="Mid-weighted",IF(7&lt;='I_Inputs &amp; Assumptions'!$B$8/4,'I_Budget Input Data'!$D$159*0.2/('I_Inputs &amp; Assumptions'!$B$8/4),IF(7&lt;='I_Inputs &amp; Assumptions'!$B$8*0.75,'I_Budget Input Data'!$D$159*0.6/('I_Inputs &amp; Assumptions'!$B$8/2),'I_Budget Input Data'!$D$159*0.2/('I_Inputs &amp; Assumptions'!$B$8/4))),IF('I_Budget Input Data'!$E$159="At Completion",IF(7='I_Inputs &amp; Assumptions'!$B$8,'I_Budget Input Data'!$D$159,0),'I_Budget Input Data'!$D$159/'I_Inputs &amp; Assumptions'!$B$8)))))),0)</f>
        <v>9641.461538461539</v>
      </c>
      <c r="J159" s="91">
        <f>IF(8&lt;='I_Inputs &amp; Assumptions'!$B$8,IF('I_Budget Input Data'!$E$159="Upfront",IF(8=1,'I_Budget Input Data'!$D$159,0),IF('I_Budget Input Data'!$E$159="Equal",'I_Budget Input Data'!$D$159/'I_Inputs &amp; Assumptions'!$B$8,IF('I_Budget Input Data'!$E$159="Front-loaded",IF(8&lt;='I_Inputs &amp; Assumptions'!$B$8/2,'I_Budget Input Data'!$D$159*0.6/('I_Inputs &amp; Assumptions'!$B$8/2),'I_Budget Input Data'!$D$159*0.4/('I_Inputs &amp; Assumptions'!$B$8/2)),IF('I_Budget Input Data'!$E$159="Back-loaded",IF(8&lt;='I_Inputs &amp; Assumptions'!$B$8/2,'I_Budget Input Data'!$D$159*0.4/('I_Inputs &amp; Assumptions'!$B$8/2),'I_Budget Input Data'!$D$159*0.6/('I_Inputs &amp; Assumptions'!$B$8/2)),IF('I_Budget Input Data'!$E$159="Mid-weighted",IF(8&lt;='I_Inputs &amp; Assumptions'!$B$8/4,'I_Budget Input Data'!$D$159*0.2/('I_Inputs &amp; Assumptions'!$B$8/4),IF(8&lt;='I_Inputs &amp; Assumptions'!$B$8*0.75,'I_Budget Input Data'!$D$159*0.6/('I_Inputs &amp; Assumptions'!$B$8/2),'I_Budget Input Data'!$D$159*0.2/('I_Inputs &amp; Assumptions'!$B$8/4))),IF('I_Budget Input Data'!$E$159="At Completion",IF(8='I_Inputs &amp; Assumptions'!$B$8,'I_Budget Input Data'!$D$159,0),'I_Budget Input Data'!$D$159/'I_Inputs &amp; Assumptions'!$B$8)))))),0)</f>
        <v>9641.461538461539</v>
      </c>
      <c r="K159" s="91">
        <f>IF(9&lt;='I_Inputs &amp; Assumptions'!$B$8,IF('I_Budget Input Data'!$E$159="Upfront",IF(9=1,'I_Budget Input Data'!$D$159,0),IF('I_Budget Input Data'!$E$159="Equal",'I_Budget Input Data'!$D$159/'I_Inputs &amp; Assumptions'!$B$8,IF('I_Budget Input Data'!$E$159="Front-loaded",IF(9&lt;='I_Inputs &amp; Assumptions'!$B$8/2,'I_Budget Input Data'!$D$159*0.6/('I_Inputs &amp; Assumptions'!$B$8/2),'I_Budget Input Data'!$D$159*0.4/('I_Inputs &amp; Assumptions'!$B$8/2)),IF('I_Budget Input Data'!$E$159="Back-loaded",IF(9&lt;='I_Inputs &amp; Assumptions'!$B$8/2,'I_Budget Input Data'!$D$159*0.4/('I_Inputs &amp; Assumptions'!$B$8/2),'I_Budget Input Data'!$D$159*0.6/('I_Inputs &amp; Assumptions'!$B$8/2)),IF('I_Budget Input Data'!$E$159="Mid-weighted",IF(9&lt;='I_Inputs &amp; Assumptions'!$B$8/4,'I_Budget Input Data'!$D$159*0.2/('I_Inputs &amp; Assumptions'!$B$8/4),IF(9&lt;='I_Inputs &amp; Assumptions'!$B$8*0.75,'I_Budget Input Data'!$D$159*0.6/('I_Inputs &amp; Assumptions'!$B$8/2),'I_Budget Input Data'!$D$159*0.2/('I_Inputs &amp; Assumptions'!$B$8/4))),IF('I_Budget Input Data'!$E$159="At Completion",IF(9='I_Inputs &amp; Assumptions'!$B$8,'I_Budget Input Data'!$D$159,0),'I_Budget Input Data'!$D$159/'I_Inputs &amp; Assumptions'!$B$8)))))),0)</f>
        <v>9641.461538461539</v>
      </c>
      <c r="L159" s="91">
        <f>IF(10&lt;='I_Inputs &amp; Assumptions'!$B$8,IF('I_Budget Input Data'!$E$159="Upfront",IF(10=1,'I_Budget Input Data'!$D$159,0),IF('I_Budget Input Data'!$E$159="Equal",'I_Budget Input Data'!$D$159/'I_Inputs &amp; Assumptions'!$B$8,IF('I_Budget Input Data'!$E$159="Front-loaded",IF(10&lt;='I_Inputs &amp; Assumptions'!$B$8/2,'I_Budget Input Data'!$D$159*0.6/('I_Inputs &amp; Assumptions'!$B$8/2),'I_Budget Input Data'!$D$159*0.4/('I_Inputs &amp; Assumptions'!$B$8/2)),IF('I_Budget Input Data'!$E$159="Back-loaded",IF(10&lt;='I_Inputs &amp; Assumptions'!$B$8/2,'I_Budget Input Data'!$D$159*0.4/('I_Inputs &amp; Assumptions'!$B$8/2),'I_Budget Input Data'!$D$159*0.6/('I_Inputs &amp; Assumptions'!$B$8/2)),IF('I_Budget Input Data'!$E$159="Mid-weighted",IF(10&lt;='I_Inputs &amp; Assumptions'!$B$8/4,'I_Budget Input Data'!$D$159*0.2/('I_Inputs &amp; Assumptions'!$B$8/4),IF(10&lt;='I_Inputs &amp; Assumptions'!$B$8*0.75,'I_Budget Input Data'!$D$159*0.6/('I_Inputs &amp; Assumptions'!$B$8/2),'I_Budget Input Data'!$D$159*0.2/('I_Inputs &amp; Assumptions'!$B$8/4))),IF('I_Budget Input Data'!$E$159="At Completion",IF(10='I_Inputs &amp; Assumptions'!$B$8,'I_Budget Input Data'!$D$159,0),'I_Budget Input Data'!$D$159/'I_Inputs &amp; Assumptions'!$B$8)))))),0)</f>
        <v>9641.461538461539</v>
      </c>
      <c r="M159" s="91">
        <f>IF(11&lt;='I_Inputs &amp; Assumptions'!$B$8,IF('I_Budget Input Data'!$E$159="Upfront",IF(11=1,'I_Budget Input Data'!$D$159,0),IF('I_Budget Input Data'!$E$159="Equal",'I_Budget Input Data'!$D$159/'I_Inputs &amp; Assumptions'!$B$8,IF('I_Budget Input Data'!$E$159="Front-loaded",IF(11&lt;='I_Inputs &amp; Assumptions'!$B$8/2,'I_Budget Input Data'!$D$159*0.6/('I_Inputs &amp; Assumptions'!$B$8/2),'I_Budget Input Data'!$D$159*0.4/('I_Inputs &amp; Assumptions'!$B$8/2)),IF('I_Budget Input Data'!$E$159="Back-loaded",IF(11&lt;='I_Inputs &amp; Assumptions'!$B$8/2,'I_Budget Input Data'!$D$159*0.4/('I_Inputs &amp; Assumptions'!$B$8/2),'I_Budget Input Data'!$D$159*0.6/('I_Inputs &amp; Assumptions'!$B$8/2)),IF('I_Budget Input Data'!$E$159="Mid-weighted",IF(11&lt;='I_Inputs &amp; Assumptions'!$B$8/4,'I_Budget Input Data'!$D$159*0.2/('I_Inputs &amp; Assumptions'!$B$8/4),IF(11&lt;='I_Inputs &amp; Assumptions'!$B$8*0.75,'I_Budget Input Data'!$D$159*0.6/('I_Inputs &amp; Assumptions'!$B$8/2),'I_Budget Input Data'!$D$159*0.2/('I_Inputs &amp; Assumptions'!$B$8/4))),IF('I_Budget Input Data'!$E$159="At Completion",IF(11='I_Inputs &amp; Assumptions'!$B$8,'I_Budget Input Data'!$D$159,0),'I_Budget Input Data'!$D$159/'I_Inputs &amp; Assumptions'!$B$8)))))),0)</f>
        <v>9641.461538461539</v>
      </c>
      <c r="N159" s="91">
        <f>IF(12&lt;='I_Inputs &amp; Assumptions'!$B$8,IF('I_Budget Input Data'!$E$159="Upfront",IF(12=1,'I_Budget Input Data'!$D$159,0),IF('I_Budget Input Data'!$E$159="Equal",'I_Budget Input Data'!$D$159/'I_Inputs &amp; Assumptions'!$B$8,IF('I_Budget Input Data'!$E$159="Front-loaded",IF(12&lt;='I_Inputs &amp; Assumptions'!$B$8/2,'I_Budget Input Data'!$D$159*0.6/('I_Inputs &amp; Assumptions'!$B$8/2),'I_Budget Input Data'!$D$159*0.4/('I_Inputs &amp; Assumptions'!$B$8/2)),IF('I_Budget Input Data'!$E$159="Back-loaded",IF(12&lt;='I_Inputs &amp; Assumptions'!$B$8/2,'I_Budget Input Data'!$D$159*0.4/('I_Inputs &amp; Assumptions'!$B$8/2),'I_Budget Input Data'!$D$159*0.6/('I_Inputs &amp; Assumptions'!$B$8/2)),IF('I_Budget Input Data'!$E$159="Mid-weighted",IF(12&lt;='I_Inputs &amp; Assumptions'!$B$8/4,'I_Budget Input Data'!$D$159*0.2/('I_Inputs &amp; Assumptions'!$B$8/4),IF(12&lt;='I_Inputs &amp; Assumptions'!$B$8*0.75,'I_Budget Input Data'!$D$159*0.6/('I_Inputs &amp; Assumptions'!$B$8/2),'I_Budget Input Data'!$D$159*0.2/('I_Inputs &amp; Assumptions'!$B$8/4))),IF('I_Budget Input Data'!$E$159="At Completion",IF(12='I_Inputs &amp; Assumptions'!$B$8,'I_Budget Input Data'!$D$159,0),'I_Budget Input Data'!$D$159/'I_Inputs &amp; Assumptions'!$B$8)))))),0)</f>
        <v>9641.461538461539</v>
      </c>
      <c r="O159" s="91">
        <f>IF(13&lt;='I_Inputs &amp; Assumptions'!$B$8,IF('I_Budget Input Data'!$E$159="Upfront",IF(13=1,'I_Budget Input Data'!$D$159,0),IF('I_Budget Input Data'!$E$159="Equal",'I_Budget Input Data'!$D$159/'I_Inputs &amp; Assumptions'!$B$8,IF('I_Budget Input Data'!$E$159="Front-loaded",IF(13&lt;='I_Inputs &amp; Assumptions'!$B$8/2,'I_Budget Input Data'!$D$159*0.6/('I_Inputs &amp; Assumptions'!$B$8/2),'I_Budget Input Data'!$D$159*0.4/('I_Inputs &amp; Assumptions'!$B$8/2)),IF('I_Budget Input Data'!$E$159="Back-loaded",IF(13&lt;='I_Inputs &amp; Assumptions'!$B$8/2,'I_Budget Input Data'!$D$159*0.4/('I_Inputs &amp; Assumptions'!$B$8/2),'I_Budget Input Data'!$D$159*0.6/('I_Inputs &amp; Assumptions'!$B$8/2)),IF('I_Budget Input Data'!$E$159="Mid-weighted",IF(13&lt;='I_Inputs &amp; Assumptions'!$B$8/4,'I_Budget Input Data'!$D$159*0.2/('I_Inputs &amp; Assumptions'!$B$8/4),IF(13&lt;='I_Inputs &amp; Assumptions'!$B$8*0.75,'I_Budget Input Data'!$D$159*0.6/('I_Inputs &amp; Assumptions'!$B$8/2),'I_Budget Input Data'!$D$159*0.2/('I_Inputs &amp; Assumptions'!$B$8/4))),IF('I_Budget Input Data'!$E$159="At Completion",IF(13='I_Inputs &amp; Assumptions'!$B$8,'I_Budget Input Data'!$D$159,0),'I_Budget Input Data'!$D$159/'I_Inputs &amp; Assumptions'!$B$8)))))),0)</f>
        <v>9641.461538461539</v>
      </c>
      <c r="P159" s="91">
        <f>IF(14&lt;='I_Inputs &amp; Assumptions'!$B$8,IF('I_Budget Input Data'!$E$159="Upfront",IF(14=1,'I_Budget Input Data'!$D$159,0),IF('I_Budget Input Data'!$E$159="Equal",'I_Budget Input Data'!$D$159/'I_Inputs &amp; Assumptions'!$B$8,IF('I_Budget Input Data'!$E$159="Front-loaded",IF(14&lt;='I_Inputs &amp; Assumptions'!$B$8/2,'I_Budget Input Data'!$D$159*0.6/('I_Inputs &amp; Assumptions'!$B$8/2),'I_Budget Input Data'!$D$159*0.4/('I_Inputs &amp; Assumptions'!$B$8/2)),IF('I_Budget Input Data'!$E$159="Back-loaded",IF(14&lt;='I_Inputs &amp; Assumptions'!$B$8/2,'I_Budget Input Data'!$D$159*0.4/('I_Inputs &amp; Assumptions'!$B$8/2),'I_Budget Input Data'!$D$159*0.6/('I_Inputs &amp; Assumptions'!$B$8/2)),IF('I_Budget Input Data'!$E$159="Mid-weighted",IF(14&lt;='I_Inputs &amp; Assumptions'!$B$8/4,'I_Budget Input Data'!$D$159*0.2/('I_Inputs &amp; Assumptions'!$B$8/4),IF(14&lt;='I_Inputs &amp; Assumptions'!$B$8*0.75,'I_Budget Input Data'!$D$159*0.6/('I_Inputs &amp; Assumptions'!$B$8/2),'I_Budget Input Data'!$D$159*0.2/('I_Inputs &amp; Assumptions'!$B$8/4))),IF('I_Budget Input Data'!$E$159="At Completion",IF(14='I_Inputs &amp; Assumptions'!$B$8,'I_Budget Input Data'!$D$159,0),'I_Budget Input Data'!$D$159/'I_Inputs &amp; Assumptions'!$B$8)))))),0)</f>
        <v>0</v>
      </c>
      <c r="Q159" s="91">
        <f>IF(15&lt;='I_Inputs &amp; Assumptions'!$B$8,IF('I_Budget Input Data'!$E$159="Upfront",IF(15=1,'I_Budget Input Data'!$D$159,0),IF('I_Budget Input Data'!$E$159="Equal",'I_Budget Input Data'!$D$159/'I_Inputs &amp; Assumptions'!$B$8,IF('I_Budget Input Data'!$E$159="Front-loaded",IF(15&lt;='I_Inputs &amp; Assumptions'!$B$8/2,'I_Budget Input Data'!$D$159*0.6/('I_Inputs &amp; Assumptions'!$B$8/2),'I_Budget Input Data'!$D$159*0.4/('I_Inputs &amp; Assumptions'!$B$8/2)),IF('I_Budget Input Data'!$E$159="Back-loaded",IF(15&lt;='I_Inputs &amp; Assumptions'!$B$8/2,'I_Budget Input Data'!$D$159*0.4/('I_Inputs &amp; Assumptions'!$B$8/2),'I_Budget Input Data'!$D$159*0.6/('I_Inputs &amp; Assumptions'!$B$8/2)),IF('I_Budget Input Data'!$E$159="Mid-weighted",IF(15&lt;='I_Inputs &amp; Assumptions'!$B$8/4,'I_Budget Input Data'!$D$159*0.2/('I_Inputs &amp; Assumptions'!$B$8/4),IF(15&lt;='I_Inputs &amp; Assumptions'!$B$8*0.75,'I_Budget Input Data'!$D$159*0.6/('I_Inputs &amp; Assumptions'!$B$8/2),'I_Budget Input Data'!$D$159*0.2/('I_Inputs &amp; Assumptions'!$B$8/4))),IF('I_Budget Input Data'!$E$159="At Completion",IF(15='I_Inputs &amp; Assumptions'!$B$8,'I_Budget Input Data'!$D$159,0),'I_Budget Input Data'!$D$159/'I_Inputs &amp; Assumptions'!$B$8)))))),0)</f>
        <v>0</v>
      </c>
      <c r="R159" s="91">
        <f>IF(16&lt;='I_Inputs &amp; Assumptions'!$B$8,IF('I_Budget Input Data'!$E$159="Upfront",IF(16=1,'I_Budget Input Data'!$D$159,0),IF('I_Budget Input Data'!$E$159="Equal",'I_Budget Input Data'!$D$159/'I_Inputs &amp; Assumptions'!$B$8,IF('I_Budget Input Data'!$E$159="Front-loaded",IF(16&lt;='I_Inputs &amp; Assumptions'!$B$8/2,'I_Budget Input Data'!$D$159*0.6/('I_Inputs &amp; Assumptions'!$B$8/2),'I_Budget Input Data'!$D$159*0.4/('I_Inputs &amp; Assumptions'!$B$8/2)),IF('I_Budget Input Data'!$E$159="Back-loaded",IF(16&lt;='I_Inputs &amp; Assumptions'!$B$8/2,'I_Budget Input Data'!$D$159*0.4/('I_Inputs &amp; Assumptions'!$B$8/2),'I_Budget Input Data'!$D$159*0.6/('I_Inputs &amp; Assumptions'!$B$8/2)),IF('I_Budget Input Data'!$E$159="Mid-weighted",IF(16&lt;='I_Inputs &amp; Assumptions'!$B$8/4,'I_Budget Input Data'!$D$159*0.2/('I_Inputs &amp; Assumptions'!$B$8/4),IF(16&lt;='I_Inputs &amp; Assumptions'!$B$8*0.75,'I_Budget Input Data'!$D$159*0.6/('I_Inputs &amp; Assumptions'!$B$8/2),'I_Budget Input Data'!$D$159*0.2/('I_Inputs &amp; Assumptions'!$B$8/4))),IF('I_Budget Input Data'!$E$159="At Completion",IF(16='I_Inputs &amp; Assumptions'!$B$8,'I_Budget Input Data'!$D$159,0),'I_Budget Input Data'!$D$159/'I_Inputs &amp; Assumptions'!$B$8)))))),0)</f>
        <v>0</v>
      </c>
      <c r="S159" s="91">
        <f>IF(17&lt;='I_Inputs &amp; Assumptions'!$B$8,IF('I_Budget Input Data'!$E$159="Upfront",IF(17=1,'I_Budget Input Data'!$D$159,0),IF('I_Budget Input Data'!$E$159="Equal",'I_Budget Input Data'!$D$159/'I_Inputs &amp; Assumptions'!$B$8,IF('I_Budget Input Data'!$E$159="Front-loaded",IF(17&lt;='I_Inputs &amp; Assumptions'!$B$8/2,'I_Budget Input Data'!$D$159*0.6/('I_Inputs &amp; Assumptions'!$B$8/2),'I_Budget Input Data'!$D$159*0.4/('I_Inputs &amp; Assumptions'!$B$8/2)),IF('I_Budget Input Data'!$E$159="Back-loaded",IF(17&lt;='I_Inputs &amp; Assumptions'!$B$8/2,'I_Budget Input Data'!$D$159*0.4/('I_Inputs &amp; Assumptions'!$B$8/2),'I_Budget Input Data'!$D$159*0.6/('I_Inputs &amp; Assumptions'!$B$8/2)),IF('I_Budget Input Data'!$E$159="Mid-weighted",IF(17&lt;='I_Inputs &amp; Assumptions'!$B$8/4,'I_Budget Input Data'!$D$159*0.2/('I_Inputs &amp; Assumptions'!$B$8/4),IF(17&lt;='I_Inputs &amp; Assumptions'!$B$8*0.75,'I_Budget Input Data'!$D$159*0.6/('I_Inputs &amp; Assumptions'!$B$8/2),'I_Budget Input Data'!$D$159*0.2/('I_Inputs &amp; Assumptions'!$B$8/4))),IF('I_Budget Input Data'!$E$159="At Completion",IF(17='I_Inputs &amp; Assumptions'!$B$8,'I_Budget Input Data'!$D$159,0),'I_Budget Input Data'!$D$159/'I_Inputs &amp; Assumptions'!$B$8)))))),0)</f>
        <v>0</v>
      </c>
      <c r="T159" s="91">
        <f>IF(18&lt;='I_Inputs &amp; Assumptions'!$B$8,IF('I_Budget Input Data'!$E$159="Upfront",IF(18=1,'I_Budget Input Data'!$D$159,0),IF('I_Budget Input Data'!$E$159="Equal",'I_Budget Input Data'!$D$159/'I_Inputs &amp; Assumptions'!$B$8,IF('I_Budget Input Data'!$E$159="Front-loaded",IF(18&lt;='I_Inputs &amp; Assumptions'!$B$8/2,'I_Budget Input Data'!$D$159*0.6/('I_Inputs &amp; Assumptions'!$B$8/2),'I_Budget Input Data'!$D$159*0.4/('I_Inputs &amp; Assumptions'!$B$8/2)),IF('I_Budget Input Data'!$E$159="Back-loaded",IF(18&lt;='I_Inputs &amp; Assumptions'!$B$8/2,'I_Budget Input Data'!$D$159*0.4/('I_Inputs &amp; Assumptions'!$B$8/2),'I_Budget Input Data'!$D$159*0.6/('I_Inputs &amp; Assumptions'!$B$8/2)),IF('I_Budget Input Data'!$E$159="Mid-weighted",IF(18&lt;='I_Inputs &amp; Assumptions'!$B$8/4,'I_Budget Input Data'!$D$159*0.2/('I_Inputs &amp; Assumptions'!$B$8/4),IF(18&lt;='I_Inputs &amp; Assumptions'!$B$8*0.75,'I_Budget Input Data'!$D$159*0.6/('I_Inputs &amp; Assumptions'!$B$8/2),'I_Budget Input Data'!$D$159*0.2/('I_Inputs &amp; Assumptions'!$B$8/4))),IF('I_Budget Input Data'!$E$159="At Completion",IF(18='I_Inputs &amp; Assumptions'!$B$8,'I_Budget Input Data'!$D$159,0),'I_Budget Input Data'!$D$159/'I_Inputs &amp; Assumptions'!$B$8)))))),0)</f>
        <v>0</v>
      </c>
      <c r="U159" s="91">
        <f>IF(19&lt;='I_Inputs &amp; Assumptions'!$B$8,IF('I_Budget Input Data'!$E$159="Upfront",IF(19=1,'I_Budget Input Data'!$D$159,0),IF('I_Budget Input Data'!$E$159="Equal",'I_Budget Input Data'!$D$159/'I_Inputs &amp; Assumptions'!$B$8,IF('I_Budget Input Data'!$E$159="Front-loaded",IF(19&lt;='I_Inputs &amp; Assumptions'!$B$8/2,'I_Budget Input Data'!$D$159*0.6/('I_Inputs &amp; Assumptions'!$B$8/2),'I_Budget Input Data'!$D$159*0.4/('I_Inputs &amp; Assumptions'!$B$8/2)),IF('I_Budget Input Data'!$E$159="Back-loaded",IF(19&lt;='I_Inputs &amp; Assumptions'!$B$8/2,'I_Budget Input Data'!$D$159*0.4/('I_Inputs &amp; Assumptions'!$B$8/2),'I_Budget Input Data'!$D$159*0.6/('I_Inputs &amp; Assumptions'!$B$8/2)),IF('I_Budget Input Data'!$E$159="Mid-weighted",IF(19&lt;='I_Inputs &amp; Assumptions'!$B$8/4,'I_Budget Input Data'!$D$159*0.2/('I_Inputs &amp; Assumptions'!$B$8/4),IF(19&lt;='I_Inputs &amp; Assumptions'!$B$8*0.75,'I_Budget Input Data'!$D$159*0.6/('I_Inputs &amp; Assumptions'!$B$8/2),'I_Budget Input Data'!$D$159*0.2/('I_Inputs &amp; Assumptions'!$B$8/4))),IF('I_Budget Input Data'!$E$159="At Completion",IF(19='I_Inputs &amp; Assumptions'!$B$8,'I_Budget Input Data'!$D$159,0),'I_Budget Input Data'!$D$159/'I_Inputs &amp; Assumptions'!$B$8)))))),0)</f>
        <v>0</v>
      </c>
      <c r="V159" s="91">
        <f>IF(20&lt;='I_Inputs &amp; Assumptions'!$B$8,IF('I_Budget Input Data'!$E$159="Upfront",IF(20=1,'I_Budget Input Data'!$D$159,0),IF('I_Budget Input Data'!$E$159="Equal",'I_Budget Input Data'!$D$159/'I_Inputs &amp; Assumptions'!$B$8,IF('I_Budget Input Data'!$E$159="Front-loaded",IF(20&lt;='I_Inputs &amp; Assumptions'!$B$8/2,'I_Budget Input Data'!$D$159*0.6/('I_Inputs &amp; Assumptions'!$B$8/2),'I_Budget Input Data'!$D$159*0.4/('I_Inputs &amp; Assumptions'!$B$8/2)),IF('I_Budget Input Data'!$E$159="Back-loaded",IF(20&lt;='I_Inputs &amp; Assumptions'!$B$8/2,'I_Budget Input Data'!$D$159*0.4/('I_Inputs &amp; Assumptions'!$B$8/2),'I_Budget Input Data'!$D$159*0.6/('I_Inputs &amp; Assumptions'!$B$8/2)),IF('I_Budget Input Data'!$E$159="Mid-weighted",IF(20&lt;='I_Inputs &amp; Assumptions'!$B$8/4,'I_Budget Input Data'!$D$159*0.2/('I_Inputs &amp; Assumptions'!$B$8/4),IF(20&lt;='I_Inputs &amp; Assumptions'!$B$8*0.75,'I_Budget Input Data'!$D$159*0.6/('I_Inputs &amp; Assumptions'!$B$8/2),'I_Budget Input Data'!$D$159*0.2/('I_Inputs &amp; Assumptions'!$B$8/4))),IF('I_Budget Input Data'!$E$159="At Completion",IF(20='I_Inputs &amp; Assumptions'!$B$8,'I_Budget Input Data'!$D$159,0),'I_Budget Input Data'!$D$159/'I_Inputs &amp; Assumptions'!$B$8)))))),0)</f>
        <v>0</v>
      </c>
      <c r="W159" s="91">
        <f>IF(21&lt;='I_Inputs &amp; Assumptions'!$B$8,IF('I_Budget Input Data'!$E$159="Upfront",IF(21=1,'I_Budget Input Data'!$D$159,0),IF('I_Budget Input Data'!$E$159="Equal",'I_Budget Input Data'!$D$159/'I_Inputs &amp; Assumptions'!$B$8,IF('I_Budget Input Data'!$E$159="Front-loaded",IF(21&lt;='I_Inputs &amp; Assumptions'!$B$8/2,'I_Budget Input Data'!$D$159*0.6/('I_Inputs &amp; Assumptions'!$B$8/2),'I_Budget Input Data'!$D$159*0.4/('I_Inputs &amp; Assumptions'!$B$8/2)),IF('I_Budget Input Data'!$E$159="Back-loaded",IF(21&lt;='I_Inputs &amp; Assumptions'!$B$8/2,'I_Budget Input Data'!$D$159*0.4/('I_Inputs &amp; Assumptions'!$B$8/2),'I_Budget Input Data'!$D$159*0.6/('I_Inputs &amp; Assumptions'!$B$8/2)),IF('I_Budget Input Data'!$E$159="Mid-weighted",IF(21&lt;='I_Inputs &amp; Assumptions'!$B$8/4,'I_Budget Input Data'!$D$159*0.2/('I_Inputs &amp; Assumptions'!$B$8/4),IF(21&lt;='I_Inputs &amp; Assumptions'!$B$8*0.75,'I_Budget Input Data'!$D$159*0.6/('I_Inputs &amp; Assumptions'!$B$8/2),'I_Budget Input Data'!$D$159*0.2/('I_Inputs &amp; Assumptions'!$B$8/4))),IF('I_Budget Input Data'!$E$159="At Completion",IF(21='I_Inputs &amp; Assumptions'!$B$8,'I_Budget Input Data'!$D$159,0),'I_Budget Input Data'!$D$159/'I_Inputs &amp; Assumptions'!$B$8)))))),0)</f>
        <v>0</v>
      </c>
      <c r="X159" s="91">
        <f>IF(22&lt;='I_Inputs &amp; Assumptions'!$B$8,IF('I_Budget Input Data'!$E$159="Upfront",IF(22=1,'I_Budget Input Data'!$D$159,0),IF('I_Budget Input Data'!$E$159="Equal",'I_Budget Input Data'!$D$159/'I_Inputs &amp; Assumptions'!$B$8,IF('I_Budget Input Data'!$E$159="Front-loaded",IF(22&lt;='I_Inputs &amp; Assumptions'!$B$8/2,'I_Budget Input Data'!$D$159*0.6/('I_Inputs &amp; Assumptions'!$B$8/2),'I_Budget Input Data'!$D$159*0.4/('I_Inputs &amp; Assumptions'!$B$8/2)),IF('I_Budget Input Data'!$E$159="Back-loaded",IF(22&lt;='I_Inputs &amp; Assumptions'!$B$8/2,'I_Budget Input Data'!$D$159*0.4/('I_Inputs &amp; Assumptions'!$B$8/2),'I_Budget Input Data'!$D$159*0.6/('I_Inputs &amp; Assumptions'!$B$8/2)),IF('I_Budget Input Data'!$E$159="Mid-weighted",IF(22&lt;='I_Inputs &amp; Assumptions'!$B$8/4,'I_Budget Input Data'!$D$159*0.2/('I_Inputs &amp; Assumptions'!$B$8/4),IF(22&lt;='I_Inputs &amp; Assumptions'!$B$8*0.75,'I_Budget Input Data'!$D$159*0.6/('I_Inputs &amp; Assumptions'!$B$8/2),'I_Budget Input Data'!$D$159*0.2/('I_Inputs &amp; Assumptions'!$B$8/4))),IF('I_Budget Input Data'!$E$159="At Completion",IF(22='I_Inputs &amp; Assumptions'!$B$8,'I_Budget Input Data'!$D$159,0),'I_Budget Input Data'!$D$159/'I_Inputs &amp; Assumptions'!$B$8)))))),0)</f>
        <v>0</v>
      </c>
      <c r="Y159" s="91">
        <f>IF(23&lt;='I_Inputs &amp; Assumptions'!$B$8,IF('I_Budget Input Data'!$E$159="Upfront",IF(23=1,'I_Budget Input Data'!$D$159,0),IF('I_Budget Input Data'!$E$159="Equal",'I_Budget Input Data'!$D$159/'I_Inputs &amp; Assumptions'!$B$8,IF('I_Budget Input Data'!$E$159="Front-loaded",IF(23&lt;='I_Inputs &amp; Assumptions'!$B$8/2,'I_Budget Input Data'!$D$159*0.6/('I_Inputs &amp; Assumptions'!$B$8/2),'I_Budget Input Data'!$D$159*0.4/('I_Inputs &amp; Assumptions'!$B$8/2)),IF('I_Budget Input Data'!$E$159="Back-loaded",IF(23&lt;='I_Inputs &amp; Assumptions'!$B$8/2,'I_Budget Input Data'!$D$159*0.4/('I_Inputs &amp; Assumptions'!$B$8/2),'I_Budget Input Data'!$D$159*0.6/('I_Inputs &amp; Assumptions'!$B$8/2)),IF('I_Budget Input Data'!$E$159="Mid-weighted",IF(23&lt;='I_Inputs &amp; Assumptions'!$B$8/4,'I_Budget Input Data'!$D$159*0.2/('I_Inputs &amp; Assumptions'!$B$8/4),IF(23&lt;='I_Inputs &amp; Assumptions'!$B$8*0.75,'I_Budget Input Data'!$D$159*0.6/('I_Inputs &amp; Assumptions'!$B$8/2),'I_Budget Input Data'!$D$159*0.2/('I_Inputs &amp; Assumptions'!$B$8/4))),IF('I_Budget Input Data'!$E$159="At Completion",IF(23='I_Inputs &amp; Assumptions'!$B$8,'I_Budget Input Data'!$D$159,0),'I_Budget Input Data'!$D$159/'I_Inputs &amp; Assumptions'!$B$8)))))),0)</f>
        <v>0</v>
      </c>
      <c r="Z159" s="91">
        <f>IF(24&lt;='I_Inputs &amp; Assumptions'!$B$8,IF('I_Budget Input Data'!$E$159="Upfront",IF(24=1,'I_Budget Input Data'!$D$159,0),IF('I_Budget Input Data'!$E$159="Equal",'I_Budget Input Data'!$D$159/'I_Inputs &amp; Assumptions'!$B$8,IF('I_Budget Input Data'!$E$159="Front-loaded",IF(24&lt;='I_Inputs &amp; Assumptions'!$B$8/2,'I_Budget Input Data'!$D$159*0.6/('I_Inputs &amp; Assumptions'!$B$8/2),'I_Budget Input Data'!$D$159*0.4/('I_Inputs &amp; Assumptions'!$B$8/2)),IF('I_Budget Input Data'!$E$159="Back-loaded",IF(24&lt;='I_Inputs &amp; Assumptions'!$B$8/2,'I_Budget Input Data'!$D$159*0.4/('I_Inputs &amp; Assumptions'!$B$8/2),'I_Budget Input Data'!$D$159*0.6/('I_Inputs &amp; Assumptions'!$B$8/2)),IF('I_Budget Input Data'!$E$159="Mid-weighted",IF(24&lt;='I_Inputs &amp; Assumptions'!$B$8/4,'I_Budget Input Data'!$D$159*0.2/('I_Inputs &amp; Assumptions'!$B$8/4),IF(24&lt;='I_Inputs &amp; Assumptions'!$B$8*0.75,'I_Budget Input Data'!$D$159*0.6/('I_Inputs &amp; Assumptions'!$B$8/2),'I_Budget Input Data'!$D$159*0.2/('I_Inputs &amp; Assumptions'!$B$8/4))),IF('I_Budget Input Data'!$E$159="At Completion",IF(24='I_Inputs &amp; Assumptions'!$B$8,'I_Budget Input Data'!$D$159,0),'I_Budget Input Data'!$D$159/'I_Inputs &amp; Assumptions'!$B$8)))))),0)</f>
        <v>0</v>
      </c>
      <c r="AA159" s="91">
        <f>IF(25&lt;='I_Inputs &amp; Assumptions'!$B$8,IF('I_Budget Input Data'!$E$159="Upfront",IF(25=1,'I_Budget Input Data'!$D$159,0),IF('I_Budget Input Data'!$E$159="Equal",'I_Budget Input Data'!$D$159/'I_Inputs &amp; Assumptions'!$B$8,IF('I_Budget Input Data'!$E$159="Front-loaded",IF(25&lt;='I_Inputs &amp; Assumptions'!$B$8/2,'I_Budget Input Data'!$D$159*0.6/('I_Inputs &amp; Assumptions'!$B$8/2),'I_Budget Input Data'!$D$159*0.4/('I_Inputs &amp; Assumptions'!$B$8/2)),IF('I_Budget Input Data'!$E$159="Back-loaded",IF(25&lt;='I_Inputs &amp; Assumptions'!$B$8/2,'I_Budget Input Data'!$D$159*0.4/('I_Inputs &amp; Assumptions'!$B$8/2),'I_Budget Input Data'!$D$159*0.6/('I_Inputs &amp; Assumptions'!$B$8/2)),IF('I_Budget Input Data'!$E$159="Mid-weighted",IF(25&lt;='I_Inputs &amp; Assumptions'!$B$8/4,'I_Budget Input Data'!$D$159*0.2/('I_Inputs &amp; Assumptions'!$B$8/4),IF(25&lt;='I_Inputs &amp; Assumptions'!$B$8*0.75,'I_Budget Input Data'!$D$159*0.6/('I_Inputs &amp; Assumptions'!$B$8/2),'I_Budget Input Data'!$D$159*0.2/('I_Inputs &amp; Assumptions'!$B$8/4))),IF('I_Budget Input Data'!$E$159="At Completion",IF(25='I_Inputs &amp; Assumptions'!$B$8,'I_Budget Input Data'!$D$159,0),'I_Budget Input Data'!$D$159/'I_Inputs &amp; Assumptions'!$B$8)))))),0)</f>
        <v>0</v>
      </c>
      <c r="AB159" s="91">
        <f>IF(26&lt;='I_Inputs &amp; Assumptions'!$B$8,IF('I_Budget Input Data'!$E$159="Upfront",IF(26=1,'I_Budget Input Data'!$D$159,0),IF('I_Budget Input Data'!$E$159="Equal",'I_Budget Input Data'!$D$159/'I_Inputs &amp; Assumptions'!$B$8,IF('I_Budget Input Data'!$E$159="Front-loaded",IF(26&lt;='I_Inputs &amp; Assumptions'!$B$8/2,'I_Budget Input Data'!$D$159*0.6/('I_Inputs &amp; Assumptions'!$B$8/2),'I_Budget Input Data'!$D$159*0.4/('I_Inputs &amp; Assumptions'!$B$8/2)),IF('I_Budget Input Data'!$E$159="Back-loaded",IF(26&lt;='I_Inputs &amp; Assumptions'!$B$8/2,'I_Budget Input Data'!$D$159*0.4/('I_Inputs &amp; Assumptions'!$B$8/2),'I_Budget Input Data'!$D$159*0.6/('I_Inputs &amp; Assumptions'!$B$8/2)),IF('I_Budget Input Data'!$E$159="Mid-weighted",IF(26&lt;='I_Inputs &amp; Assumptions'!$B$8/4,'I_Budget Input Data'!$D$159*0.2/('I_Inputs &amp; Assumptions'!$B$8/4),IF(26&lt;='I_Inputs &amp; Assumptions'!$B$8*0.75,'I_Budget Input Data'!$D$159*0.6/('I_Inputs &amp; Assumptions'!$B$8/2),'I_Budget Input Data'!$D$159*0.2/('I_Inputs &amp; Assumptions'!$B$8/4))),IF('I_Budget Input Data'!$E$159="At Completion",IF(26='I_Inputs &amp; Assumptions'!$B$8,'I_Budget Input Data'!$D$159,0),'I_Budget Input Data'!$D$159/'I_Inputs &amp; Assumptions'!$B$8)))))),0)</f>
        <v>0</v>
      </c>
      <c r="AC159" s="91">
        <f>IF(27&lt;='I_Inputs &amp; Assumptions'!$B$8,IF('I_Budget Input Data'!$E$159="Upfront",IF(27=1,'I_Budget Input Data'!$D$159,0),IF('I_Budget Input Data'!$E$159="Equal",'I_Budget Input Data'!$D$159/'I_Inputs &amp; Assumptions'!$B$8,IF('I_Budget Input Data'!$E$159="Front-loaded",IF(27&lt;='I_Inputs &amp; Assumptions'!$B$8/2,'I_Budget Input Data'!$D$159*0.6/('I_Inputs &amp; Assumptions'!$B$8/2),'I_Budget Input Data'!$D$159*0.4/('I_Inputs &amp; Assumptions'!$B$8/2)),IF('I_Budget Input Data'!$E$159="Back-loaded",IF(27&lt;='I_Inputs &amp; Assumptions'!$B$8/2,'I_Budget Input Data'!$D$159*0.4/('I_Inputs &amp; Assumptions'!$B$8/2),'I_Budget Input Data'!$D$159*0.6/('I_Inputs &amp; Assumptions'!$B$8/2)),IF('I_Budget Input Data'!$E$159="Mid-weighted",IF(27&lt;='I_Inputs &amp; Assumptions'!$B$8/4,'I_Budget Input Data'!$D$159*0.2/('I_Inputs &amp; Assumptions'!$B$8/4),IF(27&lt;='I_Inputs &amp; Assumptions'!$B$8*0.75,'I_Budget Input Data'!$D$159*0.6/('I_Inputs &amp; Assumptions'!$B$8/2),'I_Budget Input Data'!$D$159*0.2/('I_Inputs &amp; Assumptions'!$B$8/4))),IF('I_Budget Input Data'!$E$159="At Completion",IF(27='I_Inputs &amp; Assumptions'!$B$8,'I_Budget Input Data'!$D$159,0),'I_Budget Input Data'!$D$159/'I_Inputs &amp; Assumptions'!$B$8)))))),0)</f>
        <v>0</v>
      </c>
      <c r="AD159" s="91">
        <f>IF(28&lt;='I_Inputs &amp; Assumptions'!$B$8,IF('I_Budget Input Data'!$E$159="Upfront",IF(28=1,'I_Budget Input Data'!$D$159,0),IF('I_Budget Input Data'!$E$159="Equal",'I_Budget Input Data'!$D$159/'I_Inputs &amp; Assumptions'!$B$8,IF('I_Budget Input Data'!$E$159="Front-loaded",IF(28&lt;='I_Inputs &amp; Assumptions'!$B$8/2,'I_Budget Input Data'!$D$159*0.6/('I_Inputs &amp; Assumptions'!$B$8/2),'I_Budget Input Data'!$D$159*0.4/('I_Inputs &amp; Assumptions'!$B$8/2)),IF('I_Budget Input Data'!$E$159="Back-loaded",IF(28&lt;='I_Inputs &amp; Assumptions'!$B$8/2,'I_Budget Input Data'!$D$159*0.4/('I_Inputs &amp; Assumptions'!$B$8/2),'I_Budget Input Data'!$D$159*0.6/('I_Inputs &amp; Assumptions'!$B$8/2)),IF('I_Budget Input Data'!$E$159="Mid-weighted",IF(28&lt;='I_Inputs &amp; Assumptions'!$B$8/4,'I_Budget Input Data'!$D$159*0.2/('I_Inputs &amp; Assumptions'!$B$8/4),IF(28&lt;='I_Inputs &amp; Assumptions'!$B$8*0.75,'I_Budget Input Data'!$D$159*0.6/('I_Inputs &amp; Assumptions'!$B$8/2),'I_Budget Input Data'!$D$159*0.2/('I_Inputs &amp; Assumptions'!$B$8/4))),IF('I_Budget Input Data'!$E$159="At Completion",IF(28='I_Inputs &amp; Assumptions'!$B$8,'I_Budget Input Data'!$D$159,0),'I_Budget Input Data'!$D$159/'I_Inputs &amp; Assumptions'!$B$8)))))),0)</f>
        <v>0</v>
      </c>
      <c r="AE159" s="91">
        <f>IF(29&lt;='I_Inputs &amp; Assumptions'!$B$8,IF('I_Budget Input Data'!$E$159="Upfront",IF(29=1,'I_Budget Input Data'!$D$159,0),IF('I_Budget Input Data'!$E$159="Equal",'I_Budget Input Data'!$D$159/'I_Inputs &amp; Assumptions'!$B$8,IF('I_Budget Input Data'!$E$159="Front-loaded",IF(29&lt;='I_Inputs &amp; Assumptions'!$B$8/2,'I_Budget Input Data'!$D$159*0.6/('I_Inputs &amp; Assumptions'!$B$8/2),'I_Budget Input Data'!$D$159*0.4/('I_Inputs &amp; Assumptions'!$B$8/2)),IF('I_Budget Input Data'!$E$159="Back-loaded",IF(29&lt;='I_Inputs &amp; Assumptions'!$B$8/2,'I_Budget Input Data'!$D$159*0.4/('I_Inputs &amp; Assumptions'!$B$8/2),'I_Budget Input Data'!$D$159*0.6/('I_Inputs &amp; Assumptions'!$B$8/2)),IF('I_Budget Input Data'!$E$159="Mid-weighted",IF(29&lt;='I_Inputs &amp; Assumptions'!$B$8/4,'I_Budget Input Data'!$D$159*0.2/('I_Inputs &amp; Assumptions'!$B$8/4),IF(29&lt;='I_Inputs &amp; Assumptions'!$B$8*0.75,'I_Budget Input Data'!$D$159*0.6/('I_Inputs &amp; Assumptions'!$B$8/2),'I_Budget Input Data'!$D$159*0.2/('I_Inputs &amp; Assumptions'!$B$8/4))),IF('I_Budget Input Data'!$E$159="At Completion",IF(29='I_Inputs &amp; Assumptions'!$B$8,'I_Budget Input Data'!$D$159,0),'I_Budget Input Data'!$D$159/'I_Inputs &amp; Assumptions'!$B$8)))))),0)</f>
        <v>0</v>
      </c>
      <c r="AF159" s="91">
        <f>IF(30&lt;='I_Inputs &amp; Assumptions'!$B$8,IF('I_Budget Input Data'!$E$159="Upfront",IF(30=1,'I_Budget Input Data'!$D$159,0),IF('I_Budget Input Data'!$E$159="Equal",'I_Budget Input Data'!$D$159/'I_Inputs &amp; Assumptions'!$B$8,IF('I_Budget Input Data'!$E$159="Front-loaded",IF(30&lt;='I_Inputs &amp; Assumptions'!$B$8/2,'I_Budget Input Data'!$D$159*0.6/('I_Inputs &amp; Assumptions'!$B$8/2),'I_Budget Input Data'!$D$159*0.4/('I_Inputs &amp; Assumptions'!$B$8/2)),IF('I_Budget Input Data'!$E$159="Back-loaded",IF(30&lt;='I_Inputs &amp; Assumptions'!$B$8/2,'I_Budget Input Data'!$D$159*0.4/('I_Inputs &amp; Assumptions'!$B$8/2),'I_Budget Input Data'!$D$159*0.6/('I_Inputs &amp; Assumptions'!$B$8/2)),IF('I_Budget Input Data'!$E$159="Mid-weighted",IF(30&lt;='I_Inputs &amp; Assumptions'!$B$8/4,'I_Budget Input Data'!$D$159*0.2/('I_Inputs &amp; Assumptions'!$B$8/4),IF(30&lt;='I_Inputs &amp; Assumptions'!$B$8*0.75,'I_Budget Input Data'!$D$159*0.6/('I_Inputs &amp; Assumptions'!$B$8/2),'I_Budget Input Data'!$D$159*0.2/('I_Inputs &amp; Assumptions'!$B$8/4))),IF('I_Budget Input Data'!$E$159="At Completion",IF(30='I_Inputs &amp; Assumptions'!$B$8,'I_Budget Input Data'!$D$159,0),'I_Budget Input Data'!$D$159/'I_Inputs &amp; Assumptions'!$B$8)))))),0)</f>
        <v>0</v>
      </c>
      <c r="AG159" s="91">
        <f>IF(31&lt;='I_Inputs &amp; Assumptions'!$B$8,IF('I_Budget Input Data'!$E$159="Upfront",IF(31=1,'I_Budget Input Data'!$D$159,0),IF('I_Budget Input Data'!$E$159="Equal",'I_Budget Input Data'!$D$159/'I_Inputs &amp; Assumptions'!$B$8,IF('I_Budget Input Data'!$E$159="Front-loaded",IF(31&lt;='I_Inputs &amp; Assumptions'!$B$8/2,'I_Budget Input Data'!$D$159*0.6/('I_Inputs &amp; Assumptions'!$B$8/2),'I_Budget Input Data'!$D$159*0.4/('I_Inputs &amp; Assumptions'!$B$8/2)),IF('I_Budget Input Data'!$E$159="Back-loaded",IF(31&lt;='I_Inputs &amp; Assumptions'!$B$8/2,'I_Budget Input Data'!$D$159*0.4/('I_Inputs &amp; Assumptions'!$B$8/2),'I_Budget Input Data'!$D$159*0.6/('I_Inputs &amp; Assumptions'!$B$8/2)),IF('I_Budget Input Data'!$E$159="Mid-weighted",IF(31&lt;='I_Inputs &amp; Assumptions'!$B$8/4,'I_Budget Input Data'!$D$159*0.2/('I_Inputs &amp; Assumptions'!$B$8/4),IF(31&lt;='I_Inputs &amp; Assumptions'!$B$8*0.75,'I_Budget Input Data'!$D$159*0.6/('I_Inputs &amp; Assumptions'!$B$8/2),'I_Budget Input Data'!$D$159*0.2/('I_Inputs &amp; Assumptions'!$B$8/4))),IF('I_Budget Input Data'!$E$159="At Completion",IF(31='I_Inputs &amp; Assumptions'!$B$8,'I_Budget Input Data'!$D$159,0),'I_Budget Input Data'!$D$159/'I_Inputs &amp; Assumptions'!$B$8)))))),0)</f>
        <v>0</v>
      </c>
      <c r="AH159" s="91">
        <f>IF(32&lt;='I_Inputs &amp; Assumptions'!$B$8,IF('I_Budget Input Data'!$E$159="Upfront",IF(32=1,'I_Budget Input Data'!$D$159,0),IF('I_Budget Input Data'!$E$159="Equal",'I_Budget Input Data'!$D$159/'I_Inputs &amp; Assumptions'!$B$8,IF('I_Budget Input Data'!$E$159="Front-loaded",IF(32&lt;='I_Inputs &amp; Assumptions'!$B$8/2,'I_Budget Input Data'!$D$159*0.6/('I_Inputs &amp; Assumptions'!$B$8/2),'I_Budget Input Data'!$D$159*0.4/('I_Inputs &amp; Assumptions'!$B$8/2)),IF('I_Budget Input Data'!$E$159="Back-loaded",IF(32&lt;='I_Inputs &amp; Assumptions'!$B$8/2,'I_Budget Input Data'!$D$159*0.4/('I_Inputs &amp; Assumptions'!$B$8/2),'I_Budget Input Data'!$D$159*0.6/('I_Inputs &amp; Assumptions'!$B$8/2)),IF('I_Budget Input Data'!$E$159="Mid-weighted",IF(32&lt;='I_Inputs &amp; Assumptions'!$B$8/4,'I_Budget Input Data'!$D$159*0.2/('I_Inputs &amp; Assumptions'!$B$8/4),IF(32&lt;='I_Inputs &amp; Assumptions'!$B$8*0.75,'I_Budget Input Data'!$D$159*0.6/('I_Inputs &amp; Assumptions'!$B$8/2),'I_Budget Input Data'!$D$159*0.2/('I_Inputs &amp; Assumptions'!$B$8/4))),IF('I_Budget Input Data'!$E$159="At Completion",IF(32='I_Inputs &amp; Assumptions'!$B$8,'I_Budget Input Data'!$D$159,0),'I_Budget Input Data'!$D$159/'I_Inputs &amp; Assumptions'!$B$8)))))),0)</f>
        <v>0</v>
      </c>
      <c r="AI159" s="91">
        <f>IF(33&lt;='I_Inputs &amp; Assumptions'!$B$8,IF('I_Budget Input Data'!$E$159="Upfront",IF(33=1,'I_Budget Input Data'!$D$159,0),IF('I_Budget Input Data'!$E$159="Equal",'I_Budget Input Data'!$D$159/'I_Inputs &amp; Assumptions'!$B$8,IF('I_Budget Input Data'!$E$159="Front-loaded",IF(33&lt;='I_Inputs &amp; Assumptions'!$B$8/2,'I_Budget Input Data'!$D$159*0.6/('I_Inputs &amp; Assumptions'!$B$8/2),'I_Budget Input Data'!$D$159*0.4/('I_Inputs &amp; Assumptions'!$B$8/2)),IF('I_Budget Input Data'!$E$159="Back-loaded",IF(33&lt;='I_Inputs &amp; Assumptions'!$B$8/2,'I_Budget Input Data'!$D$159*0.4/('I_Inputs &amp; Assumptions'!$B$8/2),'I_Budget Input Data'!$D$159*0.6/('I_Inputs &amp; Assumptions'!$B$8/2)),IF('I_Budget Input Data'!$E$159="Mid-weighted",IF(33&lt;='I_Inputs &amp; Assumptions'!$B$8/4,'I_Budget Input Data'!$D$159*0.2/('I_Inputs &amp; Assumptions'!$B$8/4),IF(33&lt;='I_Inputs &amp; Assumptions'!$B$8*0.75,'I_Budget Input Data'!$D$159*0.6/('I_Inputs &amp; Assumptions'!$B$8/2),'I_Budget Input Data'!$D$159*0.2/('I_Inputs &amp; Assumptions'!$B$8/4))),IF('I_Budget Input Data'!$E$159="At Completion",IF(33='I_Inputs &amp; Assumptions'!$B$8,'I_Budget Input Data'!$D$159,0),'I_Budget Input Data'!$D$159/'I_Inputs &amp; Assumptions'!$B$8)))))),0)</f>
        <v>0</v>
      </c>
      <c r="AJ159" s="91">
        <f>IF(34&lt;='I_Inputs &amp; Assumptions'!$B$8,IF('I_Budget Input Data'!$E$159="Upfront",IF(34=1,'I_Budget Input Data'!$D$159,0),IF('I_Budget Input Data'!$E$159="Equal",'I_Budget Input Data'!$D$159/'I_Inputs &amp; Assumptions'!$B$8,IF('I_Budget Input Data'!$E$159="Front-loaded",IF(34&lt;='I_Inputs &amp; Assumptions'!$B$8/2,'I_Budget Input Data'!$D$159*0.6/('I_Inputs &amp; Assumptions'!$B$8/2),'I_Budget Input Data'!$D$159*0.4/('I_Inputs &amp; Assumptions'!$B$8/2)),IF('I_Budget Input Data'!$E$159="Back-loaded",IF(34&lt;='I_Inputs &amp; Assumptions'!$B$8/2,'I_Budget Input Data'!$D$159*0.4/('I_Inputs &amp; Assumptions'!$B$8/2),'I_Budget Input Data'!$D$159*0.6/('I_Inputs &amp; Assumptions'!$B$8/2)),IF('I_Budget Input Data'!$E$159="Mid-weighted",IF(34&lt;='I_Inputs &amp; Assumptions'!$B$8/4,'I_Budget Input Data'!$D$159*0.2/('I_Inputs &amp; Assumptions'!$B$8/4),IF(34&lt;='I_Inputs &amp; Assumptions'!$B$8*0.75,'I_Budget Input Data'!$D$159*0.6/('I_Inputs &amp; Assumptions'!$B$8/2),'I_Budget Input Data'!$D$159*0.2/('I_Inputs &amp; Assumptions'!$B$8/4))),IF('I_Budget Input Data'!$E$159="At Completion",IF(34='I_Inputs &amp; Assumptions'!$B$8,'I_Budget Input Data'!$D$159,0),'I_Budget Input Data'!$D$159/'I_Inputs &amp; Assumptions'!$B$8)))))),0)</f>
        <v>0</v>
      </c>
      <c r="AK159" s="91">
        <f>IF(35&lt;='I_Inputs &amp; Assumptions'!$B$8,IF('I_Budget Input Data'!$E$159="Upfront",IF(35=1,'I_Budget Input Data'!$D$159,0),IF('I_Budget Input Data'!$E$159="Equal",'I_Budget Input Data'!$D$159/'I_Inputs &amp; Assumptions'!$B$8,IF('I_Budget Input Data'!$E$159="Front-loaded",IF(35&lt;='I_Inputs &amp; Assumptions'!$B$8/2,'I_Budget Input Data'!$D$159*0.6/('I_Inputs &amp; Assumptions'!$B$8/2),'I_Budget Input Data'!$D$159*0.4/('I_Inputs &amp; Assumptions'!$B$8/2)),IF('I_Budget Input Data'!$E$159="Back-loaded",IF(35&lt;='I_Inputs &amp; Assumptions'!$B$8/2,'I_Budget Input Data'!$D$159*0.4/('I_Inputs &amp; Assumptions'!$B$8/2),'I_Budget Input Data'!$D$159*0.6/('I_Inputs &amp; Assumptions'!$B$8/2)),IF('I_Budget Input Data'!$E$159="Mid-weighted",IF(35&lt;='I_Inputs &amp; Assumptions'!$B$8/4,'I_Budget Input Data'!$D$159*0.2/('I_Inputs &amp; Assumptions'!$B$8/4),IF(35&lt;='I_Inputs &amp; Assumptions'!$B$8*0.75,'I_Budget Input Data'!$D$159*0.6/('I_Inputs &amp; Assumptions'!$B$8/2),'I_Budget Input Data'!$D$159*0.2/('I_Inputs &amp; Assumptions'!$B$8/4))),IF('I_Budget Input Data'!$E$159="At Completion",IF(35='I_Inputs &amp; Assumptions'!$B$8,'I_Budget Input Data'!$D$159,0),'I_Budget Input Data'!$D$159/'I_Inputs &amp; Assumptions'!$B$8)))))),0)</f>
        <v>0</v>
      </c>
      <c r="AL159" s="91">
        <f>IF(36&lt;='I_Inputs &amp; Assumptions'!$B$8,IF('I_Budget Input Data'!$E$159="Upfront",IF(36=1,'I_Budget Input Data'!$D$159,0),IF('I_Budget Input Data'!$E$159="Equal",'I_Budget Input Data'!$D$159/'I_Inputs &amp; Assumptions'!$B$8,IF('I_Budget Input Data'!$E$159="Front-loaded",IF(36&lt;='I_Inputs &amp; Assumptions'!$B$8/2,'I_Budget Input Data'!$D$159*0.6/('I_Inputs &amp; Assumptions'!$B$8/2),'I_Budget Input Data'!$D$159*0.4/('I_Inputs &amp; Assumptions'!$B$8/2)),IF('I_Budget Input Data'!$E$159="Back-loaded",IF(36&lt;='I_Inputs &amp; Assumptions'!$B$8/2,'I_Budget Input Data'!$D$159*0.4/('I_Inputs &amp; Assumptions'!$B$8/2),'I_Budget Input Data'!$D$159*0.6/('I_Inputs &amp; Assumptions'!$B$8/2)),IF('I_Budget Input Data'!$E$159="Mid-weighted",IF(36&lt;='I_Inputs &amp; Assumptions'!$B$8/4,'I_Budget Input Data'!$D$159*0.2/('I_Inputs &amp; Assumptions'!$B$8/4),IF(36&lt;='I_Inputs &amp; Assumptions'!$B$8*0.75,'I_Budget Input Data'!$D$159*0.6/('I_Inputs &amp; Assumptions'!$B$8/2),'I_Budget Input Data'!$D$159*0.2/('I_Inputs &amp; Assumptions'!$B$8/4))),IF('I_Budget Input Data'!$E$159="At Completion",IF(36='I_Inputs &amp; Assumptions'!$B$8,'I_Budget Input Data'!$D$159,0),'I_Budget Input Data'!$D$159/'I_Inputs &amp; Assumptions'!$B$8)))))),0)</f>
        <v>0</v>
      </c>
    </row>
    <row r="160" spans="1:38" ht="15" customHeight="1" x14ac:dyDescent="0.2">
      <c r="A160" t="s">
        <v>270</v>
      </c>
      <c r="B160" t="s">
        <v>275</v>
      </c>
      <c r="C160" s="91">
        <f>IF(1&lt;='I_Inputs &amp; Assumptions'!$B$8,IF('I_Budget Input Data'!$E$160="Upfront",IF(1=1,'I_Budget Input Data'!$D$160,0),IF('I_Budget Input Data'!$E$160="Equal",'I_Budget Input Data'!$D$160/'I_Inputs &amp; Assumptions'!$B$8,IF('I_Budget Input Data'!$E$160="Front-loaded",IF(1&lt;='I_Inputs &amp; Assumptions'!$B$8/2,'I_Budget Input Data'!$D$160*0.6/('I_Inputs &amp; Assumptions'!$B$8/2),'I_Budget Input Data'!$D$160*0.4/('I_Inputs &amp; Assumptions'!$B$8/2)),IF('I_Budget Input Data'!$E$160="Back-loaded",IF(1&lt;='I_Inputs &amp; Assumptions'!$B$8/2,'I_Budget Input Data'!$D$160*0.4/('I_Inputs &amp; Assumptions'!$B$8/2),'I_Budget Input Data'!$D$160*0.6/('I_Inputs &amp; Assumptions'!$B$8/2)),IF('I_Budget Input Data'!$E$160="Mid-weighted",IF(1&lt;='I_Inputs &amp; Assumptions'!$B$8/4,'I_Budget Input Data'!$D$160*0.2/('I_Inputs &amp; Assumptions'!$B$8/4),IF(1&lt;='I_Inputs &amp; Assumptions'!$B$8*0.75,'I_Budget Input Data'!$D$160*0.6/('I_Inputs &amp; Assumptions'!$B$8/2),'I_Budget Input Data'!$D$160*0.2/('I_Inputs &amp; Assumptions'!$B$8/4))),IF('I_Budget Input Data'!$E$160="At Completion",IF(1='I_Inputs &amp; Assumptions'!$B$8,'I_Budget Input Data'!$D$160,0),'I_Budget Input Data'!$D$160/'I_Inputs &amp; Assumptions'!$B$8)))))),0)</f>
        <v>8637.6923076923085</v>
      </c>
      <c r="D160" s="91">
        <f>IF(2&lt;='I_Inputs &amp; Assumptions'!$B$8,IF('I_Budget Input Data'!$E$160="Upfront",IF(2=1,'I_Budget Input Data'!$D$160,0),IF('I_Budget Input Data'!$E$160="Equal",'I_Budget Input Data'!$D$160/'I_Inputs &amp; Assumptions'!$B$8,IF('I_Budget Input Data'!$E$160="Front-loaded",IF(2&lt;='I_Inputs &amp; Assumptions'!$B$8/2,'I_Budget Input Data'!$D$160*0.6/('I_Inputs &amp; Assumptions'!$B$8/2),'I_Budget Input Data'!$D$160*0.4/('I_Inputs &amp; Assumptions'!$B$8/2)),IF('I_Budget Input Data'!$E$160="Back-loaded",IF(2&lt;='I_Inputs &amp; Assumptions'!$B$8/2,'I_Budget Input Data'!$D$160*0.4/('I_Inputs &amp; Assumptions'!$B$8/2),'I_Budget Input Data'!$D$160*0.6/('I_Inputs &amp; Assumptions'!$B$8/2)),IF('I_Budget Input Data'!$E$160="Mid-weighted",IF(2&lt;='I_Inputs &amp; Assumptions'!$B$8/4,'I_Budget Input Data'!$D$160*0.2/('I_Inputs &amp; Assumptions'!$B$8/4),IF(2&lt;='I_Inputs &amp; Assumptions'!$B$8*0.75,'I_Budget Input Data'!$D$160*0.6/('I_Inputs &amp; Assumptions'!$B$8/2),'I_Budget Input Data'!$D$160*0.2/('I_Inputs &amp; Assumptions'!$B$8/4))),IF('I_Budget Input Data'!$E$160="At Completion",IF(2='I_Inputs &amp; Assumptions'!$B$8,'I_Budget Input Data'!$D$160,0),'I_Budget Input Data'!$D$160/'I_Inputs &amp; Assumptions'!$B$8)))))),0)</f>
        <v>8637.6923076923085</v>
      </c>
      <c r="E160" s="91">
        <f>IF(3&lt;='I_Inputs &amp; Assumptions'!$B$8,IF('I_Budget Input Data'!$E$160="Upfront",IF(3=1,'I_Budget Input Data'!$D$160,0),IF('I_Budget Input Data'!$E$160="Equal",'I_Budget Input Data'!$D$160/'I_Inputs &amp; Assumptions'!$B$8,IF('I_Budget Input Data'!$E$160="Front-loaded",IF(3&lt;='I_Inputs &amp; Assumptions'!$B$8/2,'I_Budget Input Data'!$D$160*0.6/('I_Inputs &amp; Assumptions'!$B$8/2),'I_Budget Input Data'!$D$160*0.4/('I_Inputs &amp; Assumptions'!$B$8/2)),IF('I_Budget Input Data'!$E$160="Back-loaded",IF(3&lt;='I_Inputs &amp; Assumptions'!$B$8/2,'I_Budget Input Data'!$D$160*0.4/('I_Inputs &amp; Assumptions'!$B$8/2),'I_Budget Input Data'!$D$160*0.6/('I_Inputs &amp; Assumptions'!$B$8/2)),IF('I_Budget Input Data'!$E$160="Mid-weighted",IF(3&lt;='I_Inputs &amp; Assumptions'!$B$8/4,'I_Budget Input Data'!$D$160*0.2/('I_Inputs &amp; Assumptions'!$B$8/4),IF(3&lt;='I_Inputs &amp; Assumptions'!$B$8*0.75,'I_Budget Input Data'!$D$160*0.6/('I_Inputs &amp; Assumptions'!$B$8/2),'I_Budget Input Data'!$D$160*0.2/('I_Inputs &amp; Assumptions'!$B$8/4))),IF('I_Budget Input Data'!$E$160="At Completion",IF(3='I_Inputs &amp; Assumptions'!$B$8,'I_Budget Input Data'!$D$160,0),'I_Budget Input Data'!$D$160/'I_Inputs &amp; Assumptions'!$B$8)))))),0)</f>
        <v>8637.6923076923085</v>
      </c>
      <c r="F160" s="91">
        <f>IF(4&lt;='I_Inputs &amp; Assumptions'!$B$8,IF('I_Budget Input Data'!$E$160="Upfront",IF(4=1,'I_Budget Input Data'!$D$160,0),IF('I_Budget Input Data'!$E$160="Equal",'I_Budget Input Data'!$D$160/'I_Inputs &amp; Assumptions'!$B$8,IF('I_Budget Input Data'!$E$160="Front-loaded",IF(4&lt;='I_Inputs &amp; Assumptions'!$B$8/2,'I_Budget Input Data'!$D$160*0.6/('I_Inputs &amp; Assumptions'!$B$8/2),'I_Budget Input Data'!$D$160*0.4/('I_Inputs &amp; Assumptions'!$B$8/2)),IF('I_Budget Input Data'!$E$160="Back-loaded",IF(4&lt;='I_Inputs &amp; Assumptions'!$B$8/2,'I_Budget Input Data'!$D$160*0.4/('I_Inputs &amp; Assumptions'!$B$8/2),'I_Budget Input Data'!$D$160*0.6/('I_Inputs &amp; Assumptions'!$B$8/2)),IF('I_Budget Input Data'!$E$160="Mid-weighted",IF(4&lt;='I_Inputs &amp; Assumptions'!$B$8/4,'I_Budget Input Data'!$D$160*0.2/('I_Inputs &amp; Assumptions'!$B$8/4),IF(4&lt;='I_Inputs &amp; Assumptions'!$B$8*0.75,'I_Budget Input Data'!$D$160*0.6/('I_Inputs &amp; Assumptions'!$B$8/2),'I_Budget Input Data'!$D$160*0.2/('I_Inputs &amp; Assumptions'!$B$8/4))),IF('I_Budget Input Data'!$E$160="At Completion",IF(4='I_Inputs &amp; Assumptions'!$B$8,'I_Budget Input Data'!$D$160,0),'I_Budget Input Data'!$D$160/'I_Inputs &amp; Assumptions'!$B$8)))))),0)</f>
        <v>8637.6923076923085</v>
      </c>
      <c r="G160" s="91">
        <f>IF(5&lt;='I_Inputs &amp; Assumptions'!$B$8,IF('I_Budget Input Data'!$E$160="Upfront",IF(5=1,'I_Budget Input Data'!$D$160,0),IF('I_Budget Input Data'!$E$160="Equal",'I_Budget Input Data'!$D$160/'I_Inputs &amp; Assumptions'!$B$8,IF('I_Budget Input Data'!$E$160="Front-loaded",IF(5&lt;='I_Inputs &amp; Assumptions'!$B$8/2,'I_Budget Input Data'!$D$160*0.6/('I_Inputs &amp; Assumptions'!$B$8/2),'I_Budget Input Data'!$D$160*0.4/('I_Inputs &amp; Assumptions'!$B$8/2)),IF('I_Budget Input Data'!$E$160="Back-loaded",IF(5&lt;='I_Inputs &amp; Assumptions'!$B$8/2,'I_Budget Input Data'!$D$160*0.4/('I_Inputs &amp; Assumptions'!$B$8/2),'I_Budget Input Data'!$D$160*0.6/('I_Inputs &amp; Assumptions'!$B$8/2)),IF('I_Budget Input Data'!$E$160="Mid-weighted",IF(5&lt;='I_Inputs &amp; Assumptions'!$B$8/4,'I_Budget Input Data'!$D$160*0.2/('I_Inputs &amp; Assumptions'!$B$8/4),IF(5&lt;='I_Inputs &amp; Assumptions'!$B$8*0.75,'I_Budget Input Data'!$D$160*0.6/('I_Inputs &amp; Assumptions'!$B$8/2),'I_Budget Input Data'!$D$160*0.2/('I_Inputs &amp; Assumptions'!$B$8/4))),IF('I_Budget Input Data'!$E$160="At Completion",IF(5='I_Inputs &amp; Assumptions'!$B$8,'I_Budget Input Data'!$D$160,0),'I_Budget Input Data'!$D$160/'I_Inputs &amp; Assumptions'!$B$8)))))),0)</f>
        <v>8637.6923076923085</v>
      </c>
      <c r="H160" s="91">
        <f>IF(6&lt;='I_Inputs &amp; Assumptions'!$B$8,IF('I_Budget Input Data'!$E$160="Upfront",IF(6=1,'I_Budget Input Data'!$D$160,0),IF('I_Budget Input Data'!$E$160="Equal",'I_Budget Input Data'!$D$160/'I_Inputs &amp; Assumptions'!$B$8,IF('I_Budget Input Data'!$E$160="Front-loaded",IF(6&lt;='I_Inputs &amp; Assumptions'!$B$8/2,'I_Budget Input Data'!$D$160*0.6/('I_Inputs &amp; Assumptions'!$B$8/2),'I_Budget Input Data'!$D$160*0.4/('I_Inputs &amp; Assumptions'!$B$8/2)),IF('I_Budget Input Data'!$E$160="Back-loaded",IF(6&lt;='I_Inputs &amp; Assumptions'!$B$8/2,'I_Budget Input Data'!$D$160*0.4/('I_Inputs &amp; Assumptions'!$B$8/2),'I_Budget Input Data'!$D$160*0.6/('I_Inputs &amp; Assumptions'!$B$8/2)),IF('I_Budget Input Data'!$E$160="Mid-weighted",IF(6&lt;='I_Inputs &amp; Assumptions'!$B$8/4,'I_Budget Input Data'!$D$160*0.2/('I_Inputs &amp; Assumptions'!$B$8/4),IF(6&lt;='I_Inputs &amp; Assumptions'!$B$8*0.75,'I_Budget Input Data'!$D$160*0.6/('I_Inputs &amp; Assumptions'!$B$8/2),'I_Budget Input Data'!$D$160*0.2/('I_Inputs &amp; Assumptions'!$B$8/4))),IF('I_Budget Input Data'!$E$160="At Completion",IF(6='I_Inputs &amp; Assumptions'!$B$8,'I_Budget Input Data'!$D$160,0),'I_Budget Input Data'!$D$160/'I_Inputs &amp; Assumptions'!$B$8)))))),0)</f>
        <v>8637.6923076923085</v>
      </c>
      <c r="I160" s="91">
        <f>IF(7&lt;='I_Inputs &amp; Assumptions'!$B$8,IF('I_Budget Input Data'!$E$160="Upfront",IF(7=1,'I_Budget Input Data'!$D$160,0),IF('I_Budget Input Data'!$E$160="Equal",'I_Budget Input Data'!$D$160/'I_Inputs &amp; Assumptions'!$B$8,IF('I_Budget Input Data'!$E$160="Front-loaded",IF(7&lt;='I_Inputs &amp; Assumptions'!$B$8/2,'I_Budget Input Data'!$D$160*0.6/('I_Inputs &amp; Assumptions'!$B$8/2),'I_Budget Input Data'!$D$160*0.4/('I_Inputs &amp; Assumptions'!$B$8/2)),IF('I_Budget Input Data'!$E$160="Back-loaded",IF(7&lt;='I_Inputs &amp; Assumptions'!$B$8/2,'I_Budget Input Data'!$D$160*0.4/('I_Inputs &amp; Assumptions'!$B$8/2),'I_Budget Input Data'!$D$160*0.6/('I_Inputs &amp; Assumptions'!$B$8/2)),IF('I_Budget Input Data'!$E$160="Mid-weighted",IF(7&lt;='I_Inputs &amp; Assumptions'!$B$8/4,'I_Budget Input Data'!$D$160*0.2/('I_Inputs &amp; Assumptions'!$B$8/4),IF(7&lt;='I_Inputs &amp; Assumptions'!$B$8*0.75,'I_Budget Input Data'!$D$160*0.6/('I_Inputs &amp; Assumptions'!$B$8/2),'I_Budget Input Data'!$D$160*0.2/('I_Inputs &amp; Assumptions'!$B$8/4))),IF('I_Budget Input Data'!$E$160="At Completion",IF(7='I_Inputs &amp; Assumptions'!$B$8,'I_Budget Input Data'!$D$160,0),'I_Budget Input Data'!$D$160/'I_Inputs &amp; Assumptions'!$B$8)))))),0)</f>
        <v>8637.6923076923085</v>
      </c>
      <c r="J160" s="91">
        <f>IF(8&lt;='I_Inputs &amp; Assumptions'!$B$8,IF('I_Budget Input Data'!$E$160="Upfront",IF(8=1,'I_Budget Input Data'!$D$160,0),IF('I_Budget Input Data'!$E$160="Equal",'I_Budget Input Data'!$D$160/'I_Inputs &amp; Assumptions'!$B$8,IF('I_Budget Input Data'!$E$160="Front-loaded",IF(8&lt;='I_Inputs &amp; Assumptions'!$B$8/2,'I_Budget Input Data'!$D$160*0.6/('I_Inputs &amp; Assumptions'!$B$8/2),'I_Budget Input Data'!$D$160*0.4/('I_Inputs &amp; Assumptions'!$B$8/2)),IF('I_Budget Input Data'!$E$160="Back-loaded",IF(8&lt;='I_Inputs &amp; Assumptions'!$B$8/2,'I_Budget Input Data'!$D$160*0.4/('I_Inputs &amp; Assumptions'!$B$8/2),'I_Budget Input Data'!$D$160*0.6/('I_Inputs &amp; Assumptions'!$B$8/2)),IF('I_Budget Input Data'!$E$160="Mid-weighted",IF(8&lt;='I_Inputs &amp; Assumptions'!$B$8/4,'I_Budget Input Data'!$D$160*0.2/('I_Inputs &amp; Assumptions'!$B$8/4),IF(8&lt;='I_Inputs &amp; Assumptions'!$B$8*0.75,'I_Budget Input Data'!$D$160*0.6/('I_Inputs &amp; Assumptions'!$B$8/2),'I_Budget Input Data'!$D$160*0.2/('I_Inputs &amp; Assumptions'!$B$8/4))),IF('I_Budget Input Data'!$E$160="At Completion",IF(8='I_Inputs &amp; Assumptions'!$B$8,'I_Budget Input Data'!$D$160,0),'I_Budget Input Data'!$D$160/'I_Inputs &amp; Assumptions'!$B$8)))))),0)</f>
        <v>8637.6923076923085</v>
      </c>
      <c r="K160" s="91">
        <f>IF(9&lt;='I_Inputs &amp; Assumptions'!$B$8,IF('I_Budget Input Data'!$E$160="Upfront",IF(9=1,'I_Budget Input Data'!$D$160,0),IF('I_Budget Input Data'!$E$160="Equal",'I_Budget Input Data'!$D$160/'I_Inputs &amp; Assumptions'!$B$8,IF('I_Budget Input Data'!$E$160="Front-loaded",IF(9&lt;='I_Inputs &amp; Assumptions'!$B$8/2,'I_Budget Input Data'!$D$160*0.6/('I_Inputs &amp; Assumptions'!$B$8/2),'I_Budget Input Data'!$D$160*0.4/('I_Inputs &amp; Assumptions'!$B$8/2)),IF('I_Budget Input Data'!$E$160="Back-loaded",IF(9&lt;='I_Inputs &amp; Assumptions'!$B$8/2,'I_Budget Input Data'!$D$160*0.4/('I_Inputs &amp; Assumptions'!$B$8/2),'I_Budget Input Data'!$D$160*0.6/('I_Inputs &amp; Assumptions'!$B$8/2)),IF('I_Budget Input Data'!$E$160="Mid-weighted",IF(9&lt;='I_Inputs &amp; Assumptions'!$B$8/4,'I_Budget Input Data'!$D$160*0.2/('I_Inputs &amp; Assumptions'!$B$8/4),IF(9&lt;='I_Inputs &amp; Assumptions'!$B$8*0.75,'I_Budget Input Data'!$D$160*0.6/('I_Inputs &amp; Assumptions'!$B$8/2),'I_Budget Input Data'!$D$160*0.2/('I_Inputs &amp; Assumptions'!$B$8/4))),IF('I_Budget Input Data'!$E$160="At Completion",IF(9='I_Inputs &amp; Assumptions'!$B$8,'I_Budget Input Data'!$D$160,0),'I_Budget Input Data'!$D$160/'I_Inputs &amp; Assumptions'!$B$8)))))),0)</f>
        <v>8637.6923076923085</v>
      </c>
      <c r="L160" s="91">
        <f>IF(10&lt;='I_Inputs &amp; Assumptions'!$B$8,IF('I_Budget Input Data'!$E$160="Upfront",IF(10=1,'I_Budget Input Data'!$D$160,0),IF('I_Budget Input Data'!$E$160="Equal",'I_Budget Input Data'!$D$160/'I_Inputs &amp; Assumptions'!$B$8,IF('I_Budget Input Data'!$E$160="Front-loaded",IF(10&lt;='I_Inputs &amp; Assumptions'!$B$8/2,'I_Budget Input Data'!$D$160*0.6/('I_Inputs &amp; Assumptions'!$B$8/2),'I_Budget Input Data'!$D$160*0.4/('I_Inputs &amp; Assumptions'!$B$8/2)),IF('I_Budget Input Data'!$E$160="Back-loaded",IF(10&lt;='I_Inputs &amp; Assumptions'!$B$8/2,'I_Budget Input Data'!$D$160*0.4/('I_Inputs &amp; Assumptions'!$B$8/2),'I_Budget Input Data'!$D$160*0.6/('I_Inputs &amp; Assumptions'!$B$8/2)),IF('I_Budget Input Data'!$E$160="Mid-weighted",IF(10&lt;='I_Inputs &amp; Assumptions'!$B$8/4,'I_Budget Input Data'!$D$160*0.2/('I_Inputs &amp; Assumptions'!$B$8/4),IF(10&lt;='I_Inputs &amp; Assumptions'!$B$8*0.75,'I_Budget Input Data'!$D$160*0.6/('I_Inputs &amp; Assumptions'!$B$8/2),'I_Budget Input Data'!$D$160*0.2/('I_Inputs &amp; Assumptions'!$B$8/4))),IF('I_Budget Input Data'!$E$160="At Completion",IF(10='I_Inputs &amp; Assumptions'!$B$8,'I_Budget Input Data'!$D$160,0),'I_Budget Input Data'!$D$160/'I_Inputs &amp; Assumptions'!$B$8)))))),0)</f>
        <v>8637.6923076923085</v>
      </c>
      <c r="M160" s="91">
        <f>IF(11&lt;='I_Inputs &amp; Assumptions'!$B$8,IF('I_Budget Input Data'!$E$160="Upfront",IF(11=1,'I_Budget Input Data'!$D$160,0),IF('I_Budget Input Data'!$E$160="Equal",'I_Budget Input Data'!$D$160/'I_Inputs &amp; Assumptions'!$B$8,IF('I_Budget Input Data'!$E$160="Front-loaded",IF(11&lt;='I_Inputs &amp; Assumptions'!$B$8/2,'I_Budget Input Data'!$D$160*0.6/('I_Inputs &amp; Assumptions'!$B$8/2),'I_Budget Input Data'!$D$160*0.4/('I_Inputs &amp; Assumptions'!$B$8/2)),IF('I_Budget Input Data'!$E$160="Back-loaded",IF(11&lt;='I_Inputs &amp; Assumptions'!$B$8/2,'I_Budget Input Data'!$D$160*0.4/('I_Inputs &amp; Assumptions'!$B$8/2),'I_Budget Input Data'!$D$160*0.6/('I_Inputs &amp; Assumptions'!$B$8/2)),IF('I_Budget Input Data'!$E$160="Mid-weighted",IF(11&lt;='I_Inputs &amp; Assumptions'!$B$8/4,'I_Budget Input Data'!$D$160*0.2/('I_Inputs &amp; Assumptions'!$B$8/4),IF(11&lt;='I_Inputs &amp; Assumptions'!$B$8*0.75,'I_Budget Input Data'!$D$160*0.6/('I_Inputs &amp; Assumptions'!$B$8/2),'I_Budget Input Data'!$D$160*0.2/('I_Inputs &amp; Assumptions'!$B$8/4))),IF('I_Budget Input Data'!$E$160="At Completion",IF(11='I_Inputs &amp; Assumptions'!$B$8,'I_Budget Input Data'!$D$160,0),'I_Budget Input Data'!$D$160/'I_Inputs &amp; Assumptions'!$B$8)))))),0)</f>
        <v>8637.6923076923085</v>
      </c>
      <c r="N160" s="91">
        <f>IF(12&lt;='I_Inputs &amp; Assumptions'!$B$8,IF('I_Budget Input Data'!$E$160="Upfront",IF(12=1,'I_Budget Input Data'!$D$160,0),IF('I_Budget Input Data'!$E$160="Equal",'I_Budget Input Data'!$D$160/'I_Inputs &amp; Assumptions'!$B$8,IF('I_Budget Input Data'!$E$160="Front-loaded",IF(12&lt;='I_Inputs &amp; Assumptions'!$B$8/2,'I_Budget Input Data'!$D$160*0.6/('I_Inputs &amp; Assumptions'!$B$8/2),'I_Budget Input Data'!$D$160*0.4/('I_Inputs &amp; Assumptions'!$B$8/2)),IF('I_Budget Input Data'!$E$160="Back-loaded",IF(12&lt;='I_Inputs &amp; Assumptions'!$B$8/2,'I_Budget Input Data'!$D$160*0.4/('I_Inputs &amp; Assumptions'!$B$8/2),'I_Budget Input Data'!$D$160*0.6/('I_Inputs &amp; Assumptions'!$B$8/2)),IF('I_Budget Input Data'!$E$160="Mid-weighted",IF(12&lt;='I_Inputs &amp; Assumptions'!$B$8/4,'I_Budget Input Data'!$D$160*0.2/('I_Inputs &amp; Assumptions'!$B$8/4),IF(12&lt;='I_Inputs &amp; Assumptions'!$B$8*0.75,'I_Budget Input Data'!$D$160*0.6/('I_Inputs &amp; Assumptions'!$B$8/2),'I_Budget Input Data'!$D$160*0.2/('I_Inputs &amp; Assumptions'!$B$8/4))),IF('I_Budget Input Data'!$E$160="At Completion",IF(12='I_Inputs &amp; Assumptions'!$B$8,'I_Budget Input Data'!$D$160,0),'I_Budget Input Data'!$D$160/'I_Inputs &amp; Assumptions'!$B$8)))))),0)</f>
        <v>8637.6923076923085</v>
      </c>
      <c r="O160" s="91">
        <f>IF(13&lt;='I_Inputs &amp; Assumptions'!$B$8,IF('I_Budget Input Data'!$E$160="Upfront",IF(13=1,'I_Budget Input Data'!$D$160,0),IF('I_Budget Input Data'!$E$160="Equal",'I_Budget Input Data'!$D$160/'I_Inputs &amp; Assumptions'!$B$8,IF('I_Budget Input Data'!$E$160="Front-loaded",IF(13&lt;='I_Inputs &amp; Assumptions'!$B$8/2,'I_Budget Input Data'!$D$160*0.6/('I_Inputs &amp; Assumptions'!$B$8/2),'I_Budget Input Data'!$D$160*0.4/('I_Inputs &amp; Assumptions'!$B$8/2)),IF('I_Budget Input Data'!$E$160="Back-loaded",IF(13&lt;='I_Inputs &amp; Assumptions'!$B$8/2,'I_Budget Input Data'!$D$160*0.4/('I_Inputs &amp; Assumptions'!$B$8/2),'I_Budget Input Data'!$D$160*0.6/('I_Inputs &amp; Assumptions'!$B$8/2)),IF('I_Budget Input Data'!$E$160="Mid-weighted",IF(13&lt;='I_Inputs &amp; Assumptions'!$B$8/4,'I_Budget Input Data'!$D$160*0.2/('I_Inputs &amp; Assumptions'!$B$8/4),IF(13&lt;='I_Inputs &amp; Assumptions'!$B$8*0.75,'I_Budget Input Data'!$D$160*0.6/('I_Inputs &amp; Assumptions'!$B$8/2),'I_Budget Input Data'!$D$160*0.2/('I_Inputs &amp; Assumptions'!$B$8/4))),IF('I_Budget Input Data'!$E$160="At Completion",IF(13='I_Inputs &amp; Assumptions'!$B$8,'I_Budget Input Data'!$D$160,0),'I_Budget Input Data'!$D$160/'I_Inputs &amp; Assumptions'!$B$8)))))),0)</f>
        <v>8637.6923076923085</v>
      </c>
      <c r="P160" s="91">
        <f>IF(14&lt;='I_Inputs &amp; Assumptions'!$B$8,IF('I_Budget Input Data'!$E$160="Upfront",IF(14=1,'I_Budget Input Data'!$D$160,0),IF('I_Budget Input Data'!$E$160="Equal",'I_Budget Input Data'!$D$160/'I_Inputs &amp; Assumptions'!$B$8,IF('I_Budget Input Data'!$E$160="Front-loaded",IF(14&lt;='I_Inputs &amp; Assumptions'!$B$8/2,'I_Budget Input Data'!$D$160*0.6/('I_Inputs &amp; Assumptions'!$B$8/2),'I_Budget Input Data'!$D$160*0.4/('I_Inputs &amp; Assumptions'!$B$8/2)),IF('I_Budget Input Data'!$E$160="Back-loaded",IF(14&lt;='I_Inputs &amp; Assumptions'!$B$8/2,'I_Budget Input Data'!$D$160*0.4/('I_Inputs &amp; Assumptions'!$B$8/2),'I_Budget Input Data'!$D$160*0.6/('I_Inputs &amp; Assumptions'!$B$8/2)),IF('I_Budget Input Data'!$E$160="Mid-weighted",IF(14&lt;='I_Inputs &amp; Assumptions'!$B$8/4,'I_Budget Input Data'!$D$160*0.2/('I_Inputs &amp; Assumptions'!$B$8/4),IF(14&lt;='I_Inputs &amp; Assumptions'!$B$8*0.75,'I_Budget Input Data'!$D$160*0.6/('I_Inputs &amp; Assumptions'!$B$8/2),'I_Budget Input Data'!$D$160*0.2/('I_Inputs &amp; Assumptions'!$B$8/4))),IF('I_Budget Input Data'!$E$160="At Completion",IF(14='I_Inputs &amp; Assumptions'!$B$8,'I_Budget Input Data'!$D$160,0),'I_Budget Input Data'!$D$160/'I_Inputs &amp; Assumptions'!$B$8)))))),0)</f>
        <v>0</v>
      </c>
      <c r="Q160" s="91">
        <f>IF(15&lt;='I_Inputs &amp; Assumptions'!$B$8,IF('I_Budget Input Data'!$E$160="Upfront",IF(15=1,'I_Budget Input Data'!$D$160,0),IF('I_Budget Input Data'!$E$160="Equal",'I_Budget Input Data'!$D$160/'I_Inputs &amp; Assumptions'!$B$8,IF('I_Budget Input Data'!$E$160="Front-loaded",IF(15&lt;='I_Inputs &amp; Assumptions'!$B$8/2,'I_Budget Input Data'!$D$160*0.6/('I_Inputs &amp; Assumptions'!$B$8/2),'I_Budget Input Data'!$D$160*0.4/('I_Inputs &amp; Assumptions'!$B$8/2)),IF('I_Budget Input Data'!$E$160="Back-loaded",IF(15&lt;='I_Inputs &amp; Assumptions'!$B$8/2,'I_Budget Input Data'!$D$160*0.4/('I_Inputs &amp; Assumptions'!$B$8/2),'I_Budget Input Data'!$D$160*0.6/('I_Inputs &amp; Assumptions'!$B$8/2)),IF('I_Budget Input Data'!$E$160="Mid-weighted",IF(15&lt;='I_Inputs &amp; Assumptions'!$B$8/4,'I_Budget Input Data'!$D$160*0.2/('I_Inputs &amp; Assumptions'!$B$8/4),IF(15&lt;='I_Inputs &amp; Assumptions'!$B$8*0.75,'I_Budget Input Data'!$D$160*0.6/('I_Inputs &amp; Assumptions'!$B$8/2),'I_Budget Input Data'!$D$160*0.2/('I_Inputs &amp; Assumptions'!$B$8/4))),IF('I_Budget Input Data'!$E$160="At Completion",IF(15='I_Inputs &amp; Assumptions'!$B$8,'I_Budget Input Data'!$D$160,0),'I_Budget Input Data'!$D$160/'I_Inputs &amp; Assumptions'!$B$8)))))),0)</f>
        <v>0</v>
      </c>
      <c r="R160" s="91">
        <f>IF(16&lt;='I_Inputs &amp; Assumptions'!$B$8,IF('I_Budget Input Data'!$E$160="Upfront",IF(16=1,'I_Budget Input Data'!$D$160,0),IF('I_Budget Input Data'!$E$160="Equal",'I_Budget Input Data'!$D$160/'I_Inputs &amp; Assumptions'!$B$8,IF('I_Budget Input Data'!$E$160="Front-loaded",IF(16&lt;='I_Inputs &amp; Assumptions'!$B$8/2,'I_Budget Input Data'!$D$160*0.6/('I_Inputs &amp; Assumptions'!$B$8/2),'I_Budget Input Data'!$D$160*0.4/('I_Inputs &amp; Assumptions'!$B$8/2)),IF('I_Budget Input Data'!$E$160="Back-loaded",IF(16&lt;='I_Inputs &amp; Assumptions'!$B$8/2,'I_Budget Input Data'!$D$160*0.4/('I_Inputs &amp; Assumptions'!$B$8/2),'I_Budget Input Data'!$D$160*0.6/('I_Inputs &amp; Assumptions'!$B$8/2)),IF('I_Budget Input Data'!$E$160="Mid-weighted",IF(16&lt;='I_Inputs &amp; Assumptions'!$B$8/4,'I_Budget Input Data'!$D$160*0.2/('I_Inputs &amp; Assumptions'!$B$8/4),IF(16&lt;='I_Inputs &amp; Assumptions'!$B$8*0.75,'I_Budget Input Data'!$D$160*0.6/('I_Inputs &amp; Assumptions'!$B$8/2),'I_Budget Input Data'!$D$160*0.2/('I_Inputs &amp; Assumptions'!$B$8/4))),IF('I_Budget Input Data'!$E$160="At Completion",IF(16='I_Inputs &amp; Assumptions'!$B$8,'I_Budget Input Data'!$D$160,0),'I_Budget Input Data'!$D$160/'I_Inputs &amp; Assumptions'!$B$8)))))),0)</f>
        <v>0</v>
      </c>
      <c r="S160" s="91">
        <f>IF(17&lt;='I_Inputs &amp; Assumptions'!$B$8,IF('I_Budget Input Data'!$E$160="Upfront",IF(17=1,'I_Budget Input Data'!$D$160,0),IF('I_Budget Input Data'!$E$160="Equal",'I_Budget Input Data'!$D$160/'I_Inputs &amp; Assumptions'!$B$8,IF('I_Budget Input Data'!$E$160="Front-loaded",IF(17&lt;='I_Inputs &amp; Assumptions'!$B$8/2,'I_Budget Input Data'!$D$160*0.6/('I_Inputs &amp; Assumptions'!$B$8/2),'I_Budget Input Data'!$D$160*0.4/('I_Inputs &amp; Assumptions'!$B$8/2)),IF('I_Budget Input Data'!$E$160="Back-loaded",IF(17&lt;='I_Inputs &amp; Assumptions'!$B$8/2,'I_Budget Input Data'!$D$160*0.4/('I_Inputs &amp; Assumptions'!$B$8/2),'I_Budget Input Data'!$D$160*0.6/('I_Inputs &amp; Assumptions'!$B$8/2)),IF('I_Budget Input Data'!$E$160="Mid-weighted",IF(17&lt;='I_Inputs &amp; Assumptions'!$B$8/4,'I_Budget Input Data'!$D$160*0.2/('I_Inputs &amp; Assumptions'!$B$8/4),IF(17&lt;='I_Inputs &amp; Assumptions'!$B$8*0.75,'I_Budget Input Data'!$D$160*0.6/('I_Inputs &amp; Assumptions'!$B$8/2),'I_Budget Input Data'!$D$160*0.2/('I_Inputs &amp; Assumptions'!$B$8/4))),IF('I_Budget Input Data'!$E$160="At Completion",IF(17='I_Inputs &amp; Assumptions'!$B$8,'I_Budget Input Data'!$D$160,0),'I_Budget Input Data'!$D$160/'I_Inputs &amp; Assumptions'!$B$8)))))),0)</f>
        <v>0</v>
      </c>
      <c r="T160" s="91">
        <f>IF(18&lt;='I_Inputs &amp; Assumptions'!$B$8,IF('I_Budget Input Data'!$E$160="Upfront",IF(18=1,'I_Budget Input Data'!$D$160,0),IF('I_Budget Input Data'!$E$160="Equal",'I_Budget Input Data'!$D$160/'I_Inputs &amp; Assumptions'!$B$8,IF('I_Budget Input Data'!$E$160="Front-loaded",IF(18&lt;='I_Inputs &amp; Assumptions'!$B$8/2,'I_Budget Input Data'!$D$160*0.6/('I_Inputs &amp; Assumptions'!$B$8/2),'I_Budget Input Data'!$D$160*0.4/('I_Inputs &amp; Assumptions'!$B$8/2)),IF('I_Budget Input Data'!$E$160="Back-loaded",IF(18&lt;='I_Inputs &amp; Assumptions'!$B$8/2,'I_Budget Input Data'!$D$160*0.4/('I_Inputs &amp; Assumptions'!$B$8/2),'I_Budget Input Data'!$D$160*0.6/('I_Inputs &amp; Assumptions'!$B$8/2)),IF('I_Budget Input Data'!$E$160="Mid-weighted",IF(18&lt;='I_Inputs &amp; Assumptions'!$B$8/4,'I_Budget Input Data'!$D$160*0.2/('I_Inputs &amp; Assumptions'!$B$8/4),IF(18&lt;='I_Inputs &amp; Assumptions'!$B$8*0.75,'I_Budget Input Data'!$D$160*0.6/('I_Inputs &amp; Assumptions'!$B$8/2),'I_Budget Input Data'!$D$160*0.2/('I_Inputs &amp; Assumptions'!$B$8/4))),IF('I_Budget Input Data'!$E$160="At Completion",IF(18='I_Inputs &amp; Assumptions'!$B$8,'I_Budget Input Data'!$D$160,0),'I_Budget Input Data'!$D$160/'I_Inputs &amp; Assumptions'!$B$8)))))),0)</f>
        <v>0</v>
      </c>
      <c r="U160" s="91">
        <f>IF(19&lt;='I_Inputs &amp; Assumptions'!$B$8,IF('I_Budget Input Data'!$E$160="Upfront",IF(19=1,'I_Budget Input Data'!$D$160,0),IF('I_Budget Input Data'!$E$160="Equal",'I_Budget Input Data'!$D$160/'I_Inputs &amp; Assumptions'!$B$8,IF('I_Budget Input Data'!$E$160="Front-loaded",IF(19&lt;='I_Inputs &amp; Assumptions'!$B$8/2,'I_Budget Input Data'!$D$160*0.6/('I_Inputs &amp; Assumptions'!$B$8/2),'I_Budget Input Data'!$D$160*0.4/('I_Inputs &amp; Assumptions'!$B$8/2)),IF('I_Budget Input Data'!$E$160="Back-loaded",IF(19&lt;='I_Inputs &amp; Assumptions'!$B$8/2,'I_Budget Input Data'!$D$160*0.4/('I_Inputs &amp; Assumptions'!$B$8/2),'I_Budget Input Data'!$D$160*0.6/('I_Inputs &amp; Assumptions'!$B$8/2)),IF('I_Budget Input Data'!$E$160="Mid-weighted",IF(19&lt;='I_Inputs &amp; Assumptions'!$B$8/4,'I_Budget Input Data'!$D$160*0.2/('I_Inputs &amp; Assumptions'!$B$8/4),IF(19&lt;='I_Inputs &amp; Assumptions'!$B$8*0.75,'I_Budget Input Data'!$D$160*0.6/('I_Inputs &amp; Assumptions'!$B$8/2),'I_Budget Input Data'!$D$160*0.2/('I_Inputs &amp; Assumptions'!$B$8/4))),IF('I_Budget Input Data'!$E$160="At Completion",IF(19='I_Inputs &amp; Assumptions'!$B$8,'I_Budget Input Data'!$D$160,0),'I_Budget Input Data'!$D$160/'I_Inputs &amp; Assumptions'!$B$8)))))),0)</f>
        <v>0</v>
      </c>
      <c r="V160" s="91">
        <f>IF(20&lt;='I_Inputs &amp; Assumptions'!$B$8,IF('I_Budget Input Data'!$E$160="Upfront",IF(20=1,'I_Budget Input Data'!$D$160,0),IF('I_Budget Input Data'!$E$160="Equal",'I_Budget Input Data'!$D$160/'I_Inputs &amp; Assumptions'!$B$8,IF('I_Budget Input Data'!$E$160="Front-loaded",IF(20&lt;='I_Inputs &amp; Assumptions'!$B$8/2,'I_Budget Input Data'!$D$160*0.6/('I_Inputs &amp; Assumptions'!$B$8/2),'I_Budget Input Data'!$D$160*0.4/('I_Inputs &amp; Assumptions'!$B$8/2)),IF('I_Budget Input Data'!$E$160="Back-loaded",IF(20&lt;='I_Inputs &amp; Assumptions'!$B$8/2,'I_Budget Input Data'!$D$160*0.4/('I_Inputs &amp; Assumptions'!$B$8/2),'I_Budget Input Data'!$D$160*0.6/('I_Inputs &amp; Assumptions'!$B$8/2)),IF('I_Budget Input Data'!$E$160="Mid-weighted",IF(20&lt;='I_Inputs &amp; Assumptions'!$B$8/4,'I_Budget Input Data'!$D$160*0.2/('I_Inputs &amp; Assumptions'!$B$8/4),IF(20&lt;='I_Inputs &amp; Assumptions'!$B$8*0.75,'I_Budget Input Data'!$D$160*0.6/('I_Inputs &amp; Assumptions'!$B$8/2),'I_Budget Input Data'!$D$160*0.2/('I_Inputs &amp; Assumptions'!$B$8/4))),IF('I_Budget Input Data'!$E$160="At Completion",IF(20='I_Inputs &amp; Assumptions'!$B$8,'I_Budget Input Data'!$D$160,0),'I_Budget Input Data'!$D$160/'I_Inputs &amp; Assumptions'!$B$8)))))),0)</f>
        <v>0</v>
      </c>
      <c r="W160" s="91">
        <f>IF(21&lt;='I_Inputs &amp; Assumptions'!$B$8,IF('I_Budget Input Data'!$E$160="Upfront",IF(21=1,'I_Budget Input Data'!$D$160,0),IF('I_Budget Input Data'!$E$160="Equal",'I_Budget Input Data'!$D$160/'I_Inputs &amp; Assumptions'!$B$8,IF('I_Budget Input Data'!$E$160="Front-loaded",IF(21&lt;='I_Inputs &amp; Assumptions'!$B$8/2,'I_Budget Input Data'!$D$160*0.6/('I_Inputs &amp; Assumptions'!$B$8/2),'I_Budget Input Data'!$D$160*0.4/('I_Inputs &amp; Assumptions'!$B$8/2)),IF('I_Budget Input Data'!$E$160="Back-loaded",IF(21&lt;='I_Inputs &amp; Assumptions'!$B$8/2,'I_Budget Input Data'!$D$160*0.4/('I_Inputs &amp; Assumptions'!$B$8/2),'I_Budget Input Data'!$D$160*0.6/('I_Inputs &amp; Assumptions'!$B$8/2)),IF('I_Budget Input Data'!$E$160="Mid-weighted",IF(21&lt;='I_Inputs &amp; Assumptions'!$B$8/4,'I_Budget Input Data'!$D$160*0.2/('I_Inputs &amp; Assumptions'!$B$8/4),IF(21&lt;='I_Inputs &amp; Assumptions'!$B$8*0.75,'I_Budget Input Data'!$D$160*0.6/('I_Inputs &amp; Assumptions'!$B$8/2),'I_Budget Input Data'!$D$160*0.2/('I_Inputs &amp; Assumptions'!$B$8/4))),IF('I_Budget Input Data'!$E$160="At Completion",IF(21='I_Inputs &amp; Assumptions'!$B$8,'I_Budget Input Data'!$D$160,0),'I_Budget Input Data'!$D$160/'I_Inputs &amp; Assumptions'!$B$8)))))),0)</f>
        <v>0</v>
      </c>
      <c r="X160" s="91">
        <f>IF(22&lt;='I_Inputs &amp; Assumptions'!$B$8,IF('I_Budget Input Data'!$E$160="Upfront",IF(22=1,'I_Budget Input Data'!$D$160,0),IF('I_Budget Input Data'!$E$160="Equal",'I_Budget Input Data'!$D$160/'I_Inputs &amp; Assumptions'!$B$8,IF('I_Budget Input Data'!$E$160="Front-loaded",IF(22&lt;='I_Inputs &amp; Assumptions'!$B$8/2,'I_Budget Input Data'!$D$160*0.6/('I_Inputs &amp; Assumptions'!$B$8/2),'I_Budget Input Data'!$D$160*0.4/('I_Inputs &amp; Assumptions'!$B$8/2)),IF('I_Budget Input Data'!$E$160="Back-loaded",IF(22&lt;='I_Inputs &amp; Assumptions'!$B$8/2,'I_Budget Input Data'!$D$160*0.4/('I_Inputs &amp; Assumptions'!$B$8/2),'I_Budget Input Data'!$D$160*0.6/('I_Inputs &amp; Assumptions'!$B$8/2)),IF('I_Budget Input Data'!$E$160="Mid-weighted",IF(22&lt;='I_Inputs &amp; Assumptions'!$B$8/4,'I_Budget Input Data'!$D$160*0.2/('I_Inputs &amp; Assumptions'!$B$8/4),IF(22&lt;='I_Inputs &amp; Assumptions'!$B$8*0.75,'I_Budget Input Data'!$D$160*0.6/('I_Inputs &amp; Assumptions'!$B$8/2),'I_Budget Input Data'!$D$160*0.2/('I_Inputs &amp; Assumptions'!$B$8/4))),IF('I_Budget Input Data'!$E$160="At Completion",IF(22='I_Inputs &amp; Assumptions'!$B$8,'I_Budget Input Data'!$D$160,0),'I_Budget Input Data'!$D$160/'I_Inputs &amp; Assumptions'!$B$8)))))),0)</f>
        <v>0</v>
      </c>
      <c r="Y160" s="91">
        <f>IF(23&lt;='I_Inputs &amp; Assumptions'!$B$8,IF('I_Budget Input Data'!$E$160="Upfront",IF(23=1,'I_Budget Input Data'!$D$160,0),IF('I_Budget Input Data'!$E$160="Equal",'I_Budget Input Data'!$D$160/'I_Inputs &amp; Assumptions'!$B$8,IF('I_Budget Input Data'!$E$160="Front-loaded",IF(23&lt;='I_Inputs &amp; Assumptions'!$B$8/2,'I_Budget Input Data'!$D$160*0.6/('I_Inputs &amp; Assumptions'!$B$8/2),'I_Budget Input Data'!$D$160*0.4/('I_Inputs &amp; Assumptions'!$B$8/2)),IF('I_Budget Input Data'!$E$160="Back-loaded",IF(23&lt;='I_Inputs &amp; Assumptions'!$B$8/2,'I_Budget Input Data'!$D$160*0.4/('I_Inputs &amp; Assumptions'!$B$8/2),'I_Budget Input Data'!$D$160*0.6/('I_Inputs &amp; Assumptions'!$B$8/2)),IF('I_Budget Input Data'!$E$160="Mid-weighted",IF(23&lt;='I_Inputs &amp; Assumptions'!$B$8/4,'I_Budget Input Data'!$D$160*0.2/('I_Inputs &amp; Assumptions'!$B$8/4),IF(23&lt;='I_Inputs &amp; Assumptions'!$B$8*0.75,'I_Budget Input Data'!$D$160*0.6/('I_Inputs &amp; Assumptions'!$B$8/2),'I_Budget Input Data'!$D$160*0.2/('I_Inputs &amp; Assumptions'!$B$8/4))),IF('I_Budget Input Data'!$E$160="At Completion",IF(23='I_Inputs &amp; Assumptions'!$B$8,'I_Budget Input Data'!$D$160,0),'I_Budget Input Data'!$D$160/'I_Inputs &amp; Assumptions'!$B$8)))))),0)</f>
        <v>0</v>
      </c>
      <c r="Z160" s="91">
        <f>IF(24&lt;='I_Inputs &amp; Assumptions'!$B$8,IF('I_Budget Input Data'!$E$160="Upfront",IF(24=1,'I_Budget Input Data'!$D$160,0),IF('I_Budget Input Data'!$E$160="Equal",'I_Budget Input Data'!$D$160/'I_Inputs &amp; Assumptions'!$B$8,IF('I_Budget Input Data'!$E$160="Front-loaded",IF(24&lt;='I_Inputs &amp; Assumptions'!$B$8/2,'I_Budget Input Data'!$D$160*0.6/('I_Inputs &amp; Assumptions'!$B$8/2),'I_Budget Input Data'!$D$160*0.4/('I_Inputs &amp; Assumptions'!$B$8/2)),IF('I_Budget Input Data'!$E$160="Back-loaded",IF(24&lt;='I_Inputs &amp; Assumptions'!$B$8/2,'I_Budget Input Data'!$D$160*0.4/('I_Inputs &amp; Assumptions'!$B$8/2),'I_Budget Input Data'!$D$160*0.6/('I_Inputs &amp; Assumptions'!$B$8/2)),IF('I_Budget Input Data'!$E$160="Mid-weighted",IF(24&lt;='I_Inputs &amp; Assumptions'!$B$8/4,'I_Budget Input Data'!$D$160*0.2/('I_Inputs &amp; Assumptions'!$B$8/4),IF(24&lt;='I_Inputs &amp; Assumptions'!$B$8*0.75,'I_Budget Input Data'!$D$160*0.6/('I_Inputs &amp; Assumptions'!$B$8/2),'I_Budget Input Data'!$D$160*0.2/('I_Inputs &amp; Assumptions'!$B$8/4))),IF('I_Budget Input Data'!$E$160="At Completion",IF(24='I_Inputs &amp; Assumptions'!$B$8,'I_Budget Input Data'!$D$160,0),'I_Budget Input Data'!$D$160/'I_Inputs &amp; Assumptions'!$B$8)))))),0)</f>
        <v>0</v>
      </c>
      <c r="AA160" s="91">
        <f>IF(25&lt;='I_Inputs &amp; Assumptions'!$B$8,IF('I_Budget Input Data'!$E$160="Upfront",IF(25=1,'I_Budget Input Data'!$D$160,0),IF('I_Budget Input Data'!$E$160="Equal",'I_Budget Input Data'!$D$160/'I_Inputs &amp; Assumptions'!$B$8,IF('I_Budget Input Data'!$E$160="Front-loaded",IF(25&lt;='I_Inputs &amp; Assumptions'!$B$8/2,'I_Budget Input Data'!$D$160*0.6/('I_Inputs &amp; Assumptions'!$B$8/2),'I_Budget Input Data'!$D$160*0.4/('I_Inputs &amp; Assumptions'!$B$8/2)),IF('I_Budget Input Data'!$E$160="Back-loaded",IF(25&lt;='I_Inputs &amp; Assumptions'!$B$8/2,'I_Budget Input Data'!$D$160*0.4/('I_Inputs &amp; Assumptions'!$B$8/2),'I_Budget Input Data'!$D$160*0.6/('I_Inputs &amp; Assumptions'!$B$8/2)),IF('I_Budget Input Data'!$E$160="Mid-weighted",IF(25&lt;='I_Inputs &amp; Assumptions'!$B$8/4,'I_Budget Input Data'!$D$160*0.2/('I_Inputs &amp; Assumptions'!$B$8/4),IF(25&lt;='I_Inputs &amp; Assumptions'!$B$8*0.75,'I_Budget Input Data'!$D$160*0.6/('I_Inputs &amp; Assumptions'!$B$8/2),'I_Budget Input Data'!$D$160*0.2/('I_Inputs &amp; Assumptions'!$B$8/4))),IF('I_Budget Input Data'!$E$160="At Completion",IF(25='I_Inputs &amp; Assumptions'!$B$8,'I_Budget Input Data'!$D$160,0),'I_Budget Input Data'!$D$160/'I_Inputs &amp; Assumptions'!$B$8)))))),0)</f>
        <v>0</v>
      </c>
      <c r="AB160" s="91">
        <f>IF(26&lt;='I_Inputs &amp; Assumptions'!$B$8,IF('I_Budget Input Data'!$E$160="Upfront",IF(26=1,'I_Budget Input Data'!$D$160,0),IF('I_Budget Input Data'!$E$160="Equal",'I_Budget Input Data'!$D$160/'I_Inputs &amp; Assumptions'!$B$8,IF('I_Budget Input Data'!$E$160="Front-loaded",IF(26&lt;='I_Inputs &amp; Assumptions'!$B$8/2,'I_Budget Input Data'!$D$160*0.6/('I_Inputs &amp; Assumptions'!$B$8/2),'I_Budget Input Data'!$D$160*0.4/('I_Inputs &amp; Assumptions'!$B$8/2)),IF('I_Budget Input Data'!$E$160="Back-loaded",IF(26&lt;='I_Inputs &amp; Assumptions'!$B$8/2,'I_Budget Input Data'!$D$160*0.4/('I_Inputs &amp; Assumptions'!$B$8/2),'I_Budget Input Data'!$D$160*0.6/('I_Inputs &amp; Assumptions'!$B$8/2)),IF('I_Budget Input Data'!$E$160="Mid-weighted",IF(26&lt;='I_Inputs &amp; Assumptions'!$B$8/4,'I_Budget Input Data'!$D$160*0.2/('I_Inputs &amp; Assumptions'!$B$8/4),IF(26&lt;='I_Inputs &amp; Assumptions'!$B$8*0.75,'I_Budget Input Data'!$D$160*0.6/('I_Inputs &amp; Assumptions'!$B$8/2),'I_Budget Input Data'!$D$160*0.2/('I_Inputs &amp; Assumptions'!$B$8/4))),IF('I_Budget Input Data'!$E$160="At Completion",IF(26='I_Inputs &amp; Assumptions'!$B$8,'I_Budget Input Data'!$D$160,0),'I_Budget Input Data'!$D$160/'I_Inputs &amp; Assumptions'!$B$8)))))),0)</f>
        <v>0</v>
      </c>
      <c r="AC160" s="91">
        <f>IF(27&lt;='I_Inputs &amp; Assumptions'!$B$8,IF('I_Budget Input Data'!$E$160="Upfront",IF(27=1,'I_Budget Input Data'!$D$160,0),IF('I_Budget Input Data'!$E$160="Equal",'I_Budget Input Data'!$D$160/'I_Inputs &amp; Assumptions'!$B$8,IF('I_Budget Input Data'!$E$160="Front-loaded",IF(27&lt;='I_Inputs &amp; Assumptions'!$B$8/2,'I_Budget Input Data'!$D$160*0.6/('I_Inputs &amp; Assumptions'!$B$8/2),'I_Budget Input Data'!$D$160*0.4/('I_Inputs &amp; Assumptions'!$B$8/2)),IF('I_Budget Input Data'!$E$160="Back-loaded",IF(27&lt;='I_Inputs &amp; Assumptions'!$B$8/2,'I_Budget Input Data'!$D$160*0.4/('I_Inputs &amp; Assumptions'!$B$8/2),'I_Budget Input Data'!$D$160*0.6/('I_Inputs &amp; Assumptions'!$B$8/2)),IF('I_Budget Input Data'!$E$160="Mid-weighted",IF(27&lt;='I_Inputs &amp; Assumptions'!$B$8/4,'I_Budget Input Data'!$D$160*0.2/('I_Inputs &amp; Assumptions'!$B$8/4),IF(27&lt;='I_Inputs &amp; Assumptions'!$B$8*0.75,'I_Budget Input Data'!$D$160*0.6/('I_Inputs &amp; Assumptions'!$B$8/2),'I_Budget Input Data'!$D$160*0.2/('I_Inputs &amp; Assumptions'!$B$8/4))),IF('I_Budget Input Data'!$E$160="At Completion",IF(27='I_Inputs &amp; Assumptions'!$B$8,'I_Budget Input Data'!$D$160,0),'I_Budget Input Data'!$D$160/'I_Inputs &amp; Assumptions'!$B$8)))))),0)</f>
        <v>0</v>
      </c>
      <c r="AD160" s="91">
        <f>IF(28&lt;='I_Inputs &amp; Assumptions'!$B$8,IF('I_Budget Input Data'!$E$160="Upfront",IF(28=1,'I_Budget Input Data'!$D$160,0),IF('I_Budget Input Data'!$E$160="Equal",'I_Budget Input Data'!$D$160/'I_Inputs &amp; Assumptions'!$B$8,IF('I_Budget Input Data'!$E$160="Front-loaded",IF(28&lt;='I_Inputs &amp; Assumptions'!$B$8/2,'I_Budget Input Data'!$D$160*0.6/('I_Inputs &amp; Assumptions'!$B$8/2),'I_Budget Input Data'!$D$160*0.4/('I_Inputs &amp; Assumptions'!$B$8/2)),IF('I_Budget Input Data'!$E$160="Back-loaded",IF(28&lt;='I_Inputs &amp; Assumptions'!$B$8/2,'I_Budget Input Data'!$D$160*0.4/('I_Inputs &amp; Assumptions'!$B$8/2),'I_Budget Input Data'!$D$160*0.6/('I_Inputs &amp; Assumptions'!$B$8/2)),IF('I_Budget Input Data'!$E$160="Mid-weighted",IF(28&lt;='I_Inputs &amp; Assumptions'!$B$8/4,'I_Budget Input Data'!$D$160*0.2/('I_Inputs &amp; Assumptions'!$B$8/4),IF(28&lt;='I_Inputs &amp; Assumptions'!$B$8*0.75,'I_Budget Input Data'!$D$160*0.6/('I_Inputs &amp; Assumptions'!$B$8/2),'I_Budget Input Data'!$D$160*0.2/('I_Inputs &amp; Assumptions'!$B$8/4))),IF('I_Budget Input Data'!$E$160="At Completion",IF(28='I_Inputs &amp; Assumptions'!$B$8,'I_Budget Input Data'!$D$160,0),'I_Budget Input Data'!$D$160/'I_Inputs &amp; Assumptions'!$B$8)))))),0)</f>
        <v>0</v>
      </c>
      <c r="AE160" s="91">
        <f>IF(29&lt;='I_Inputs &amp; Assumptions'!$B$8,IF('I_Budget Input Data'!$E$160="Upfront",IF(29=1,'I_Budget Input Data'!$D$160,0),IF('I_Budget Input Data'!$E$160="Equal",'I_Budget Input Data'!$D$160/'I_Inputs &amp; Assumptions'!$B$8,IF('I_Budget Input Data'!$E$160="Front-loaded",IF(29&lt;='I_Inputs &amp; Assumptions'!$B$8/2,'I_Budget Input Data'!$D$160*0.6/('I_Inputs &amp; Assumptions'!$B$8/2),'I_Budget Input Data'!$D$160*0.4/('I_Inputs &amp; Assumptions'!$B$8/2)),IF('I_Budget Input Data'!$E$160="Back-loaded",IF(29&lt;='I_Inputs &amp; Assumptions'!$B$8/2,'I_Budget Input Data'!$D$160*0.4/('I_Inputs &amp; Assumptions'!$B$8/2),'I_Budget Input Data'!$D$160*0.6/('I_Inputs &amp; Assumptions'!$B$8/2)),IF('I_Budget Input Data'!$E$160="Mid-weighted",IF(29&lt;='I_Inputs &amp; Assumptions'!$B$8/4,'I_Budget Input Data'!$D$160*0.2/('I_Inputs &amp; Assumptions'!$B$8/4),IF(29&lt;='I_Inputs &amp; Assumptions'!$B$8*0.75,'I_Budget Input Data'!$D$160*0.6/('I_Inputs &amp; Assumptions'!$B$8/2),'I_Budget Input Data'!$D$160*0.2/('I_Inputs &amp; Assumptions'!$B$8/4))),IF('I_Budget Input Data'!$E$160="At Completion",IF(29='I_Inputs &amp; Assumptions'!$B$8,'I_Budget Input Data'!$D$160,0),'I_Budget Input Data'!$D$160/'I_Inputs &amp; Assumptions'!$B$8)))))),0)</f>
        <v>0</v>
      </c>
      <c r="AF160" s="91">
        <f>IF(30&lt;='I_Inputs &amp; Assumptions'!$B$8,IF('I_Budget Input Data'!$E$160="Upfront",IF(30=1,'I_Budget Input Data'!$D$160,0),IF('I_Budget Input Data'!$E$160="Equal",'I_Budget Input Data'!$D$160/'I_Inputs &amp; Assumptions'!$B$8,IF('I_Budget Input Data'!$E$160="Front-loaded",IF(30&lt;='I_Inputs &amp; Assumptions'!$B$8/2,'I_Budget Input Data'!$D$160*0.6/('I_Inputs &amp; Assumptions'!$B$8/2),'I_Budget Input Data'!$D$160*0.4/('I_Inputs &amp; Assumptions'!$B$8/2)),IF('I_Budget Input Data'!$E$160="Back-loaded",IF(30&lt;='I_Inputs &amp; Assumptions'!$B$8/2,'I_Budget Input Data'!$D$160*0.4/('I_Inputs &amp; Assumptions'!$B$8/2),'I_Budget Input Data'!$D$160*0.6/('I_Inputs &amp; Assumptions'!$B$8/2)),IF('I_Budget Input Data'!$E$160="Mid-weighted",IF(30&lt;='I_Inputs &amp; Assumptions'!$B$8/4,'I_Budget Input Data'!$D$160*0.2/('I_Inputs &amp; Assumptions'!$B$8/4),IF(30&lt;='I_Inputs &amp; Assumptions'!$B$8*0.75,'I_Budget Input Data'!$D$160*0.6/('I_Inputs &amp; Assumptions'!$B$8/2),'I_Budget Input Data'!$D$160*0.2/('I_Inputs &amp; Assumptions'!$B$8/4))),IF('I_Budget Input Data'!$E$160="At Completion",IF(30='I_Inputs &amp; Assumptions'!$B$8,'I_Budget Input Data'!$D$160,0),'I_Budget Input Data'!$D$160/'I_Inputs &amp; Assumptions'!$B$8)))))),0)</f>
        <v>0</v>
      </c>
      <c r="AG160" s="91">
        <f>IF(31&lt;='I_Inputs &amp; Assumptions'!$B$8,IF('I_Budget Input Data'!$E$160="Upfront",IF(31=1,'I_Budget Input Data'!$D$160,0),IF('I_Budget Input Data'!$E$160="Equal",'I_Budget Input Data'!$D$160/'I_Inputs &amp; Assumptions'!$B$8,IF('I_Budget Input Data'!$E$160="Front-loaded",IF(31&lt;='I_Inputs &amp; Assumptions'!$B$8/2,'I_Budget Input Data'!$D$160*0.6/('I_Inputs &amp; Assumptions'!$B$8/2),'I_Budget Input Data'!$D$160*0.4/('I_Inputs &amp; Assumptions'!$B$8/2)),IF('I_Budget Input Data'!$E$160="Back-loaded",IF(31&lt;='I_Inputs &amp; Assumptions'!$B$8/2,'I_Budget Input Data'!$D$160*0.4/('I_Inputs &amp; Assumptions'!$B$8/2),'I_Budget Input Data'!$D$160*0.6/('I_Inputs &amp; Assumptions'!$B$8/2)),IF('I_Budget Input Data'!$E$160="Mid-weighted",IF(31&lt;='I_Inputs &amp; Assumptions'!$B$8/4,'I_Budget Input Data'!$D$160*0.2/('I_Inputs &amp; Assumptions'!$B$8/4),IF(31&lt;='I_Inputs &amp; Assumptions'!$B$8*0.75,'I_Budget Input Data'!$D$160*0.6/('I_Inputs &amp; Assumptions'!$B$8/2),'I_Budget Input Data'!$D$160*0.2/('I_Inputs &amp; Assumptions'!$B$8/4))),IF('I_Budget Input Data'!$E$160="At Completion",IF(31='I_Inputs &amp; Assumptions'!$B$8,'I_Budget Input Data'!$D$160,0),'I_Budget Input Data'!$D$160/'I_Inputs &amp; Assumptions'!$B$8)))))),0)</f>
        <v>0</v>
      </c>
      <c r="AH160" s="91">
        <f>IF(32&lt;='I_Inputs &amp; Assumptions'!$B$8,IF('I_Budget Input Data'!$E$160="Upfront",IF(32=1,'I_Budget Input Data'!$D$160,0),IF('I_Budget Input Data'!$E$160="Equal",'I_Budget Input Data'!$D$160/'I_Inputs &amp; Assumptions'!$B$8,IF('I_Budget Input Data'!$E$160="Front-loaded",IF(32&lt;='I_Inputs &amp; Assumptions'!$B$8/2,'I_Budget Input Data'!$D$160*0.6/('I_Inputs &amp; Assumptions'!$B$8/2),'I_Budget Input Data'!$D$160*0.4/('I_Inputs &amp; Assumptions'!$B$8/2)),IF('I_Budget Input Data'!$E$160="Back-loaded",IF(32&lt;='I_Inputs &amp; Assumptions'!$B$8/2,'I_Budget Input Data'!$D$160*0.4/('I_Inputs &amp; Assumptions'!$B$8/2),'I_Budget Input Data'!$D$160*0.6/('I_Inputs &amp; Assumptions'!$B$8/2)),IF('I_Budget Input Data'!$E$160="Mid-weighted",IF(32&lt;='I_Inputs &amp; Assumptions'!$B$8/4,'I_Budget Input Data'!$D$160*0.2/('I_Inputs &amp; Assumptions'!$B$8/4),IF(32&lt;='I_Inputs &amp; Assumptions'!$B$8*0.75,'I_Budget Input Data'!$D$160*0.6/('I_Inputs &amp; Assumptions'!$B$8/2),'I_Budget Input Data'!$D$160*0.2/('I_Inputs &amp; Assumptions'!$B$8/4))),IF('I_Budget Input Data'!$E$160="At Completion",IF(32='I_Inputs &amp; Assumptions'!$B$8,'I_Budget Input Data'!$D$160,0),'I_Budget Input Data'!$D$160/'I_Inputs &amp; Assumptions'!$B$8)))))),0)</f>
        <v>0</v>
      </c>
      <c r="AI160" s="91">
        <f>IF(33&lt;='I_Inputs &amp; Assumptions'!$B$8,IF('I_Budget Input Data'!$E$160="Upfront",IF(33=1,'I_Budget Input Data'!$D$160,0),IF('I_Budget Input Data'!$E$160="Equal",'I_Budget Input Data'!$D$160/'I_Inputs &amp; Assumptions'!$B$8,IF('I_Budget Input Data'!$E$160="Front-loaded",IF(33&lt;='I_Inputs &amp; Assumptions'!$B$8/2,'I_Budget Input Data'!$D$160*0.6/('I_Inputs &amp; Assumptions'!$B$8/2),'I_Budget Input Data'!$D$160*0.4/('I_Inputs &amp; Assumptions'!$B$8/2)),IF('I_Budget Input Data'!$E$160="Back-loaded",IF(33&lt;='I_Inputs &amp; Assumptions'!$B$8/2,'I_Budget Input Data'!$D$160*0.4/('I_Inputs &amp; Assumptions'!$B$8/2),'I_Budget Input Data'!$D$160*0.6/('I_Inputs &amp; Assumptions'!$B$8/2)),IF('I_Budget Input Data'!$E$160="Mid-weighted",IF(33&lt;='I_Inputs &amp; Assumptions'!$B$8/4,'I_Budget Input Data'!$D$160*0.2/('I_Inputs &amp; Assumptions'!$B$8/4),IF(33&lt;='I_Inputs &amp; Assumptions'!$B$8*0.75,'I_Budget Input Data'!$D$160*0.6/('I_Inputs &amp; Assumptions'!$B$8/2),'I_Budget Input Data'!$D$160*0.2/('I_Inputs &amp; Assumptions'!$B$8/4))),IF('I_Budget Input Data'!$E$160="At Completion",IF(33='I_Inputs &amp; Assumptions'!$B$8,'I_Budget Input Data'!$D$160,0),'I_Budget Input Data'!$D$160/'I_Inputs &amp; Assumptions'!$B$8)))))),0)</f>
        <v>0</v>
      </c>
      <c r="AJ160" s="91">
        <f>IF(34&lt;='I_Inputs &amp; Assumptions'!$B$8,IF('I_Budget Input Data'!$E$160="Upfront",IF(34=1,'I_Budget Input Data'!$D$160,0),IF('I_Budget Input Data'!$E$160="Equal",'I_Budget Input Data'!$D$160/'I_Inputs &amp; Assumptions'!$B$8,IF('I_Budget Input Data'!$E$160="Front-loaded",IF(34&lt;='I_Inputs &amp; Assumptions'!$B$8/2,'I_Budget Input Data'!$D$160*0.6/('I_Inputs &amp; Assumptions'!$B$8/2),'I_Budget Input Data'!$D$160*0.4/('I_Inputs &amp; Assumptions'!$B$8/2)),IF('I_Budget Input Data'!$E$160="Back-loaded",IF(34&lt;='I_Inputs &amp; Assumptions'!$B$8/2,'I_Budget Input Data'!$D$160*0.4/('I_Inputs &amp; Assumptions'!$B$8/2),'I_Budget Input Data'!$D$160*0.6/('I_Inputs &amp; Assumptions'!$B$8/2)),IF('I_Budget Input Data'!$E$160="Mid-weighted",IF(34&lt;='I_Inputs &amp; Assumptions'!$B$8/4,'I_Budget Input Data'!$D$160*0.2/('I_Inputs &amp; Assumptions'!$B$8/4),IF(34&lt;='I_Inputs &amp; Assumptions'!$B$8*0.75,'I_Budget Input Data'!$D$160*0.6/('I_Inputs &amp; Assumptions'!$B$8/2),'I_Budget Input Data'!$D$160*0.2/('I_Inputs &amp; Assumptions'!$B$8/4))),IF('I_Budget Input Data'!$E$160="At Completion",IF(34='I_Inputs &amp; Assumptions'!$B$8,'I_Budget Input Data'!$D$160,0),'I_Budget Input Data'!$D$160/'I_Inputs &amp; Assumptions'!$B$8)))))),0)</f>
        <v>0</v>
      </c>
      <c r="AK160" s="91">
        <f>IF(35&lt;='I_Inputs &amp; Assumptions'!$B$8,IF('I_Budget Input Data'!$E$160="Upfront",IF(35=1,'I_Budget Input Data'!$D$160,0),IF('I_Budget Input Data'!$E$160="Equal",'I_Budget Input Data'!$D$160/'I_Inputs &amp; Assumptions'!$B$8,IF('I_Budget Input Data'!$E$160="Front-loaded",IF(35&lt;='I_Inputs &amp; Assumptions'!$B$8/2,'I_Budget Input Data'!$D$160*0.6/('I_Inputs &amp; Assumptions'!$B$8/2),'I_Budget Input Data'!$D$160*0.4/('I_Inputs &amp; Assumptions'!$B$8/2)),IF('I_Budget Input Data'!$E$160="Back-loaded",IF(35&lt;='I_Inputs &amp; Assumptions'!$B$8/2,'I_Budget Input Data'!$D$160*0.4/('I_Inputs &amp; Assumptions'!$B$8/2),'I_Budget Input Data'!$D$160*0.6/('I_Inputs &amp; Assumptions'!$B$8/2)),IF('I_Budget Input Data'!$E$160="Mid-weighted",IF(35&lt;='I_Inputs &amp; Assumptions'!$B$8/4,'I_Budget Input Data'!$D$160*0.2/('I_Inputs &amp; Assumptions'!$B$8/4),IF(35&lt;='I_Inputs &amp; Assumptions'!$B$8*0.75,'I_Budget Input Data'!$D$160*0.6/('I_Inputs &amp; Assumptions'!$B$8/2),'I_Budget Input Data'!$D$160*0.2/('I_Inputs &amp; Assumptions'!$B$8/4))),IF('I_Budget Input Data'!$E$160="At Completion",IF(35='I_Inputs &amp; Assumptions'!$B$8,'I_Budget Input Data'!$D$160,0),'I_Budget Input Data'!$D$160/'I_Inputs &amp; Assumptions'!$B$8)))))),0)</f>
        <v>0</v>
      </c>
      <c r="AL160" s="91">
        <f>IF(36&lt;='I_Inputs &amp; Assumptions'!$B$8,IF('I_Budget Input Data'!$E$160="Upfront",IF(36=1,'I_Budget Input Data'!$D$160,0),IF('I_Budget Input Data'!$E$160="Equal",'I_Budget Input Data'!$D$160/'I_Inputs &amp; Assumptions'!$B$8,IF('I_Budget Input Data'!$E$160="Front-loaded",IF(36&lt;='I_Inputs &amp; Assumptions'!$B$8/2,'I_Budget Input Data'!$D$160*0.6/('I_Inputs &amp; Assumptions'!$B$8/2),'I_Budget Input Data'!$D$160*0.4/('I_Inputs &amp; Assumptions'!$B$8/2)),IF('I_Budget Input Data'!$E$160="Back-loaded",IF(36&lt;='I_Inputs &amp; Assumptions'!$B$8/2,'I_Budget Input Data'!$D$160*0.4/('I_Inputs &amp; Assumptions'!$B$8/2),'I_Budget Input Data'!$D$160*0.6/('I_Inputs &amp; Assumptions'!$B$8/2)),IF('I_Budget Input Data'!$E$160="Mid-weighted",IF(36&lt;='I_Inputs &amp; Assumptions'!$B$8/4,'I_Budget Input Data'!$D$160*0.2/('I_Inputs &amp; Assumptions'!$B$8/4),IF(36&lt;='I_Inputs &amp; Assumptions'!$B$8*0.75,'I_Budget Input Data'!$D$160*0.6/('I_Inputs &amp; Assumptions'!$B$8/2),'I_Budget Input Data'!$D$160*0.2/('I_Inputs &amp; Assumptions'!$B$8/4))),IF('I_Budget Input Data'!$E$160="At Completion",IF(36='I_Inputs &amp; Assumptions'!$B$8,'I_Budget Input Data'!$D$160,0),'I_Budget Input Data'!$D$160/'I_Inputs &amp; Assumptions'!$B$8)))))),0)</f>
        <v>0</v>
      </c>
    </row>
    <row r="161" spans="1:38" ht="15" customHeight="1" x14ac:dyDescent="0.2">
      <c r="A161" t="s">
        <v>270</v>
      </c>
      <c r="B161" t="s">
        <v>276</v>
      </c>
      <c r="C161" s="91">
        <f>IF(1&lt;='I_Inputs &amp; Assumptions'!$B$8,IF('I_Budget Input Data'!$E$161="Upfront",IF(1=1,'I_Budget Input Data'!$D$161,0),IF('I_Budget Input Data'!$E$161="Equal",'I_Budget Input Data'!$D$161/'I_Inputs &amp; Assumptions'!$B$8,IF('I_Budget Input Data'!$E$161="Front-loaded",IF(1&lt;='I_Inputs &amp; Assumptions'!$B$8/2,'I_Budget Input Data'!$D$161*0.6/('I_Inputs &amp; Assumptions'!$B$8/2),'I_Budget Input Data'!$D$161*0.4/('I_Inputs &amp; Assumptions'!$B$8/2)),IF('I_Budget Input Data'!$E$161="Back-loaded",IF(1&lt;='I_Inputs &amp; Assumptions'!$B$8/2,'I_Budget Input Data'!$D$161*0.4/('I_Inputs &amp; Assumptions'!$B$8/2),'I_Budget Input Data'!$D$161*0.6/('I_Inputs &amp; Assumptions'!$B$8/2)),IF('I_Budget Input Data'!$E$161="Mid-weighted",IF(1&lt;='I_Inputs &amp; Assumptions'!$B$8/4,'I_Budget Input Data'!$D$161*0.2/('I_Inputs &amp; Assumptions'!$B$8/4),IF(1&lt;='I_Inputs &amp; Assumptions'!$B$8*0.75,'I_Budget Input Data'!$D$161*0.6/('I_Inputs &amp; Assumptions'!$B$8/2),'I_Budget Input Data'!$D$161*0.2/('I_Inputs &amp; Assumptions'!$B$8/4))),IF('I_Budget Input Data'!$E$161="At Completion",IF(1='I_Inputs &amp; Assumptions'!$B$8,'I_Budget Input Data'!$D$161,0),'I_Budget Input Data'!$D$161/'I_Inputs &amp; Assumptions'!$B$8)))))),0)</f>
        <v>34787.769230769234</v>
      </c>
      <c r="D161" s="91">
        <f>IF(2&lt;='I_Inputs &amp; Assumptions'!$B$8,IF('I_Budget Input Data'!$E$161="Upfront",IF(2=1,'I_Budget Input Data'!$D$161,0),IF('I_Budget Input Data'!$E$161="Equal",'I_Budget Input Data'!$D$161/'I_Inputs &amp; Assumptions'!$B$8,IF('I_Budget Input Data'!$E$161="Front-loaded",IF(2&lt;='I_Inputs &amp; Assumptions'!$B$8/2,'I_Budget Input Data'!$D$161*0.6/('I_Inputs &amp; Assumptions'!$B$8/2),'I_Budget Input Data'!$D$161*0.4/('I_Inputs &amp; Assumptions'!$B$8/2)),IF('I_Budget Input Data'!$E$161="Back-loaded",IF(2&lt;='I_Inputs &amp; Assumptions'!$B$8/2,'I_Budget Input Data'!$D$161*0.4/('I_Inputs &amp; Assumptions'!$B$8/2),'I_Budget Input Data'!$D$161*0.6/('I_Inputs &amp; Assumptions'!$B$8/2)),IF('I_Budget Input Data'!$E$161="Mid-weighted",IF(2&lt;='I_Inputs &amp; Assumptions'!$B$8/4,'I_Budget Input Data'!$D$161*0.2/('I_Inputs &amp; Assumptions'!$B$8/4),IF(2&lt;='I_Inputs &amp; Assumptions'!$B$8*0.75,'I_Budget Input Data'!$D$161*0.6/('I_Inputs &amp; Assumptions'!$B$8/2),'I_Budget Input Data'!$D$161*0.2/('I_Inputs &amp; Assumptions'!$B$8/4))),IF('I_Budget Input Data'!$E$161="At Completion",IF(2='I_Inputs &amp; Assumptions'!$B$8,'I_Budget Input Data'!$D$161,0),'I_Budget Input Data'!$D$161/'I_Inputs &amp; Assumptions'!$B$8)))))),0)</f>
        <v>34787.769230769234</v>
      </c>
      <c r="E161" s="91">
        <f>IF(3&lt;='I_Inputs &amp; Assumptions'!$B$8,IF('I_Budget Input Data'!$E$161="Upfront",IF(3=1,'I_Budget Input Data'!$D$161,0),IF('I_Budget Input Data'!$E$161="Equal",'I_Budget Input Data'!$D$161/'I_Inputs &amp; Assumptions'!$B$8,IF('I_Budget Input Data'!$E$161="Front-loaded",IF(3&lt;='I_Inputs &amp; Assumptions'!$B$8/2,'I_Budget Input Data'!$D$161*0.6/('I_Inputs &amp; Assumptions'!$B$8/2),'I_Budget Input Data'!$D$161*0.4/('I_Inputs &amp; Assumptions'!$B$8/2)),IF('I_Budget Input Data'!$E$161="Back-loaded",IF(3&lt;='I_Inputs &amp; Assumptions'!$B$8/2,'I_Budget Input Data'!$D$161*0.4/('I_Inputs &amp; Assumptions'!$B$8/2),'I_Budget Input Data'!$D$161*0.6/('I_Inputs &amp; Assumptions'!$B$8/2)),IF('I_Budget Input Data'!$E$161="Mid-weighted",IF(3&lt;='I_Inputs &amp; Assumptions'!$B$8/4,'I_Budget Input Data'!$D$161*0.2/('I_Inputs &amp; Assumptions'!$B$8/4),IF(3&lt;='I_Inputs &amp; Assumptions'!$B$8*0.75,'I_Budget Input Data'!$D$161*0.6/('I_Inputs &amp; Assumptions'!$B$8/2),'I_Budget Input Data'!$D$161*0.2/('I_Inputs &amp; Assumptions'!$B$8/4))),IF('I_Budget Input Data'!$E$161="At Completion",IF(3='I_Inputs &amp; Assumptions'!$B$8,'I_Budget Input Data'!$D$161,0),'I_Budget Input Data'!$D$161/'I_Inputs &amp; Assumptions'!$B$8)))))),0)</f>
        <v>34787.769230769234</v>
      </c>
      <c r="F161" s="91">
        <f>IF(4&lt;='I_Inputs &amp; Assumptions'!$B$8,IF('I_Budget Input Data'!$E$161="Upfront",IF(4=1,'I_Budget Input Data'!$D$161,0),IF('I_Budget Input Data'!$E$161="Equal",'I_Budget Input Data'!$D$161/'I_Inputs &amp; Assumptions'!$B$8,IF('I_Budget Input Data'!$E$161="Front-loaded",IF(4&lt;='I_Inputs &amp; Assumptions'!$B$8/2,'I_Budget Input Data'!$D$161*0.6/('I_Inputs &amp; Assumptions'!$B$8/2),'I_Budget Input Data'!$D$161*0.4/('I_Inputs &amp; Assumptions'!$B$8/2)),IF('I_Budget Input Data'!$E$161="Back-loaded",IF(4&lt;='I_Inputs &amp; Assumptions'!$B$8/2,'I_Budget Input Data'!$D$161*0.4/('I_Inputs &amp; Assumptions'!$B$8/2),'I_Budget Input Data'!$D$161*0.6/('I_Inputs &amp; Assumptions'!$B$8/2)),IF('I_Budget Input Data'!$E$161="Mid-weighted",IF(4&lt;='I_Inputs &amp; Assumptions'!$B$8/4,'I_Budget Input Data'!$D$161*0.2/('I_Inputs &amp; Assumptions'!$B$8/4),IF(4&lt;='I_Inputs &amp; Assumptions'!$B$8*0.75,'I_Budget Input Data'!$D$161*0.6/('I_Inputs &amp; Assumptions'!$B$8/2),'I_Budget Input Data'!$D$161*0.2/('I_Inputs &amp; Assumptions'!$B$8/4))),IF('I_Budget Input Data'!$E$161="At Completion",IF(4='I_Inputs &amp; Assumptions'!$B$8,'I_Budget Input Data'!$D$161,0),'I_Budget Input Data'!$D$161/'I_Inputs &amp; Assumptions'!$B$8)))))),0)</f>
        <v>34787.769230769234</v>
      </c>
      <c r="G161" s="91">
        <f>IF(5&lt;='I_Inputs &amp; Assumptions'!$B$8,IF('I_Budget Input Data'!$E$161="Upfront",IF(5=1,'I_Budget Input Data'!$D$161,0),IF('I_Budget Input Data'!$E$161="Equal",'I_Budget Input Data'!$D$161/'I_Inputs &amp; Assumptions'!$B$8,IF('I_Budget Input Data'!$E$161="Front-loaded",IF(5&lt;='I_Inputs &amp; Assumptions'!$B$8/2,'I_Budget Input Data'!$D$161*0.6/('I_Inputs &amp; Assumptions'!$B$8/2),'I_Budget Input Data'!$D$161*0.4/('I_Inputs &amp; Assumptions'!$B$8/2)),IF('I_Budget Input Data'!$E$161="Back-loaded",IF(5&lt;='I_Inputs &amp; Assumptions'!$B$8/2,'I_Budget Input Data'!$D$161*0.4/('I_Inputs &amp; Assumptions'!$B$8/2),'I_Budget Input Data'!$D$161*0.6/('I_Inputs &amp; Assumptions'!$B$8/2)),IF('I_Budget Input Data'!$E$161="Mid-weighted",IF(5&lt;='I_Inputs &amp; Assumptions'!$B$8/4,'I_Budget Input Data'!$D$161*0.2/('I_Inputs &amp; Assumptions'!$B$8/4),IF(5&lt;='I_Inputs &amp; Assumptions'!$B$8*0.75,'I_Budget Input Data'!$D$161*0.6/('I_Inputs &amp; Assumptions'!$B$8/2),'I_Budget Input Data'!$D$161*0.2/('I_Inputs &amp; Assumptions'!$B$8/4))),IF('I_Budget Input Data'!$E$161="At Completion",IF(5='I_Inputs &amp; Assumptions'!$B$8,'I_Budget Input Data'!$D$161,0),'I_Budget Input Data'!$D$161/'I_Inputs &amp; Assumptions'!$B$8)))))),0)</f>
        <v>34787.769230769234</v>
      </c>
      <c r="H161" s="91">
        <f>IF(6&lt;='I_Inputs &amp; Assumptions'!$B$8,IF('I_Budget Input Data'!$E$161="Upfront",IF(6=1,'I_Budget Input Data'!$D$161,0),IF('I_Budget Input Data'!$E$161="Equal",'I_Budget Input Data'!$D$161/'I_Inputs &amp; Assumptions'!$B$8,IF('I_Budget Input Data'!$E$161="Front-loaded",IF(6&lt;='I_Inputs &amp; Assumptions'!$B$8/2,'I_Budget Input Data'!$D$161*0.6/('I_Inputs &amp; Assumptions'!$B$8/2),'I_Budget Input Data'!$D$161*0.4/('I_Inputs &amp; Assumptions'!$B$8/2)),IF('I_Budget Input Data'!$E$161="Back-loaded",IF(6&lt;='I_Inputs &amp; Assumptions'!$B$8/2,'I_Budget Input Data'!$D$161*0.4/('I_Inputs &amp; Assumptions'!$B$8/2),'I_Budget Input Data'!$D$161*0.6/('I_Inputs &amp; Assumptions'!$B$8/2)),IF('I_Budget Input Data'!$E$161="Mid-weighted",IF(6&lt;='I_Inputs &amp; Assumptions'!$B$8/4,'I_Budget Input Data'!$D$161*0.2/('I_Inputs &amp; Assumptions'!$B$8/4),IF(6&lt;='I_Inputs &amp; Assumptions'!$B$8*0.75,'I_Budget Input Data'!$D$161*0.6/('I_Inputs &amp; Assumptions'!$B$8/2),'I_Budget Input Data'!$D$161*0.2/('I_Inputs &amp; Assumptions'!$B$8/4))),IF('I_Budget Input Data'!$E$161="At Completion",IF(6='I_Inputs &amp; Assumptions'!$B$8,'I_Budget Input Data'!$D$161,0),'I_Budget Input Data'!$D$161/'I_Inputs &amp; Assumptions'!$B$8)))))),0)</f>
        <v>34787.769230769234</v>
      </c>
      <c r="I161" s="91">
        <f>IF(7&lt;='I_Inputs &amp; Assumptions'!$B$8,IF('I_Budget Input Data'!$E$161="Upfront",IF(7=1,'I_Budget Input Data'!$D$161,0),IF('I_Budget Input Data'!$E$161="Equal",'I_Budget Input Data'!$D$161/'I_Inputs &amp; Assumptions'!$B$8,IF('I_Budget Input Data'!$E$161="Front-loaded",IF(7&lt;='I_Inputs &amp; Assumptions'!$B$8/2,'I_Budget Input Data'!$D$161*0.6/('I_Inputs &amp; Assumptions'!$B$8/2),'I_Budget Input Data'!$D$161*0.4/('I_Inputs &amp; Assumptions'!$B$8/2)),IF('I_Budget Input Data'!$E$161="Back-loaded",IF(7&lt;='I_Inputs &amp; Assumptions'!$B$8/2,'I_Budget Input Data'!$D$161*0.4/('I_Inputs &amp; Assumptions'!$B$8/2),'I_Budget Input Data'!$D$161*0.6/('I_Inputs &amp; Assumptions'!$B$8/2)),IF('I_Budget Input Data'!$E$161="Mid-weighted",IF(7&lt;='I_Inputs &amp; Assumptions'!$B$8/4,'I_Budget Input Data'!$D$161*0.2/('I_Inputs &amp; Assumptions'!$B$8/4),IF(7&lt;='I_Inputs &amp; Assumptions'!$B$8*0.75,'I_Budget Input Data'!$D$161*0.6/('I_Inputs &amp; Assumptions'!$B$8/2),'I_Budget Input Data'!$D$161*0.2/('I_Inputs &amp; Assumptions'!$B$8/4))),IF('I_Budget Input Data'!$E$161="At Completion",IF(7='I_Inputs &amp; Assumptions'!$B$8,'I_Budget Input Data'!$D$161,0),'I_Budget Input Data'!$D$161/'I_Inputs &amp; Assumptions'!$B$8)))))),0)</f>
        <v>34787.769230769234</v>
      </c>
      <c r="J161" s="91">
        <f>IF(8&lt;='I_Inputs &amp; Assumptions'!$B$8,IF('I_Budget Input Data'!$E$161="Upfront",IF(8=1,'I_Budget Input Data'!$D$161,0),IF('I_Budget Input Data'!$E$161="Equal",'I_Budget Input Data'!$D$161/'I_Inputs &amp; Assumptions'!$B$8,IF('I_Budget Input Data'!$E$161="Front-loaded",IF(8&lt;='I_Inputs &amp; Assumptions'!$B$8/2,'I_Budget Input Data'!$D$161*0.6/('I_Inputs &amp; Assumptions'!$B$8/2),'I_Budget Input Data'!$D$161*0.4/('I_Inputs &amp; Assumptions'!$B$8/2)),IF('I_Budget Input Data'!$E$161="Back-loaded",IF(8&lt;='I_Inputs &amp; Assumptions'!$B$8/2,'I_Budget Input Data'!$D$161*0.4/('I_Inputs &amp; Assumptions'!$B$8/2),'I_Budget Input Data'!$D$161*0.6/('I_Inputs &amp; Assumptions'!$B$8/2)),IF('I_Budget Input Data'!$E$161="Mid-weighted",IF(8&lt;='I_Inputs &amp; Assumptions'!$B$8/4,'I_Budget Input Data'!$D$161*0.2/('I_Inputs &amp; Assumptions'!$B$8/4),IF(8&lt;='I_Inputs &amp; Assumptions'!$B$8*0.75,'I_Budget Input Data'!$D$161*0.6/('I_Inputs &amp; Assumptions'!$B$8/2),'I_Budget Input Data'!$D$161*0.2/('I_Inputs &amp; Assumptions'!$B$8/4))),IF('I_Budget Input Data'!$E$161="At Completion",IF(8='I_Inputs &amp; Assumptions'!$B$8,'I_Budget Input Data'!$D$161,0),'I_Budget Input Data'!$D$161/'I_Inputs &amp; Assumptions'!$B$8)))))),0)</f>
        <v>34787.769230769234</v>
      </c>
      <c r="K161" s="91">
        <f>IF(9&lt;='I_Inputs &amp; Assumptions'!$B$8,IF('I_Budget Input Data'!$E$161="Upfront",IF(9=1,'I_Budget Input Data'!$D$161,0),IF('I_Budget Input Data'!$E$161="Equal",'I_Budget Input Data'!$D$161/'I_Inputs &amp; Assumptions'!$B$8,IF('I_Budget Input Data'!$E$161="Front-loaded",IF(9&lt;='I_Inputs &amp; Assumptions'!$B$8/2,'I_Budget Input Data'!$D$161*0.6/('I_Inputs &amp; Assumptions'!$B$8/2),'I_Budget Input Data'!$D$161*0.4/('I_Inputs &amp; Assumptions'!$B$8/2)),IF('I_Budget Input Data'!$E$161="Back-loaded",IF(9&lt;='I_Inputs &amp; Assumptions'!$B$8/2,'I_Budget Input Data'!$D$161*0.4/('I_Inputs &amp; Assumptions'!$B$8/2),'I_Budget Input Data'!$D$161*0.6/('I_Inputs &amp; Assumptions'!$B$8/2)),IF('I_Budget Input Data'!$E$161="Mid-weighted",IF(9&lt;='I_Inputs &amp; Assumptions'!$B$8/4,'I_Budget Input Data'!$D$161*0.2/('I_Inputs &amp; Assumptions'!$B$8/4),IF(9&lt;='I_Inputs &amp; Assumptions'!$B$8*0.75,'I_Budget Input Data'!$D$161*0.6/('I_Inputs &amp; Assumptions'!$B$8/2),'I_Budget Input Data'!$D$161*0.2/('I_Inputs &amp; Assumptions'!$B$8/4))),IF('I_Budget Input Data'!$E$161="At Completion",IF(9='I_Inputs &amp; Assumptions'!$B$8,'I_Budget Input Data'!$D$161,0),'I_Budget Input Data'!$D$161/'I_Inputs &amp; Assumptions'!$B$8)))))),0)</f>
        <v>34787.769230769234</v>
      </c>
      <c r="L161" s="91">
        <f>IF(10&lt;='I_Inputs &amp; Assumptions'!$B$8,IF('I_Budget Input Data'!$E$161="Upfront",IF(10=1,'I_Budget Input Data'!$D$161,0),IF('I_Budget Input Data'!$E$161="Equal",'I_Budget Input Data'!$D$161/'I_Inputs &amp; Assumptions'!$B$8,IF('I_Budget Input Data'!$E$161="Front-loaded",IF(10&lt;='I_Inputs &amp; Assumptions'!$B$8/2,'I_Budget Input Data'!$D$161*0.6/('I_Inputs &amp; Assumptions'!$B$8/2),'I_Budget Input Data'!$D$161*0.4/('I_Inputs &amp; Assumptions'!$B$8/2)),IF('I_Budget Input Data'!$E$161="Back-loaded",IF(10&lt;='I_Inputs &amp; Assumptions'!$B$8/2,'I_Budget Input Data'!$D$161*0.4/('I_Inputs &amp; Assumptions'!$B$8/2),'I_Budget Input Data'!$D$161*0.6/('I_Inputs &amp; Assumptions'!$B$8/2)),IF('I_Budget Input Data'!$E$161="Mid-weighted",IF(10&lt;='I_Inputs &amp; Assumptions'!$B$8/4,'I_Budget Input Data'!$D$161*0.2/('I_Inputs &amp; Assumptions'!$B$8/4),IF(10&lt;='I_Inputs &amp; Assumptions'!$B$8*0.75,'I_Budget Input Data'!$D$161*0.6/('I_Inputs &amp; Assumptions'!$B$8/2),'I_Budget Input Data'!$D$161*0.2/('I_Inputs &amp; Assumptions'!$B$8/4))),IF('I_Budget Input Data'!$E$161="At Completion",IF(10='I_Inputs &amp; Assumptions'!$B$8,'I_Budget Input Data'!$D$161,0),'I_Budget Input Data'!$D$161/'I_Inputs &amp; Assumptions'!$B$8)))))),0)</f>
        <v>34787.769230769234</v>
      </c>
      <c r="M161" s="91">
        <f>IF(11&lt;='I_Inputs &amp; Assumptions'!$B$8,IF('I_Budget Input Data'!$E$161="Upfront",IF(11=1,'I_Budget Input Data'!$D$161,0),IF('I_Budget Input Data'!$E$161="Equal",'I_Budget Input Data'!$D$161/'I_Inputs &amp; Assumptions'!$B$8,IF('I_Budget Input Data'!$E$161="Front-loaded",IF(11&lt;='I_Inputs &amp; Assumptions'!$B$8/2,'I_Budget Input Data'!$D$161*0.6/('I_Inputs &amp; Assumptions'!$B$8/2),'I_Budget Input Data'!$D$161*0.4/('I_Inputs &amp; Assumptions'!$B$8/2)),IF('I_Budget Input Data'!$E$161="Back-loaded",IF(11&lt;='I_Inputs &amp; Assumptions'!$B$8/2,'I_Budget Input Data'!$D$161*0.4/('I_Inputs &amp; Assumptions'!$B$8/2),'I_Budget Input Data'!$D$161*0.6/('I_Inputs &amp; Assumptions'!$B$8/2)),IF('I_Budget Input Data'!$E$161="Mid-weighted",IF(11&lt;='I_Inputs &amp; Assumptions'!$B$8/4,'I_Budget Input Data'!$D$161*0.2/('I_Inputs &amp; Assumptions'!$B$8/4),IF(11&lt;='I_Inputs &amp; Assumptions'!$B$8*0.75,'I_Budget Input Data'!$D$161*0.6/('I_Inputs &amp; Assumptions'!$B$8/2),'I_Budget Input Data'!$D$161*0.2/('I_Inputs &amp; Assumptions'!$B$8/4))),IF('I_Budget Input Data'!$E$161="At Completion",IF(11='I_Inputs &amp; Assumptions'!$B$8,'I_Budget Input Data'!$D$161,0),'I_Budget Input Data'!$D$161/'I_Inputs &amp; Assumptions'!$B$8)))))),0)</f>
        <v>34787.769230769234</v>
      </c>
      <c r="N161" s="91">
        <f>IF(12&lt;='I_Inputs &amp; Assumptions'!$B$8,IF('I_Budget Input Data'!$E$161="Upfront",IF(12=1,'I_Budget Input Data'!$D$161,0),IF('I_Budget Input Data'!$E$161="Equal",'I_Budget Input Data'!$D$161/'I_Inputs &amp; Assumptions'!$B$8,IF('I_Budget Input Data'!$E$161="Front-loaded",IF(12&lt;='I_Inputs &amp; Assumptions'!$B$8/2,'I_Budget Input Data'!$D$161*0.6/('I_Inputs &amp; Assumptions'!$B$8/2),'I_Budget Input Data'!$D$161*0.4/('I_Inputs &amp; Assumptions'!$B$8/2)),IF('I_Budget Input Data'!$E$161="Back-loaded",IF(12&lt;='I_Inputs &amp; Assumptions'!$B$8/2,'I_Budget Input Data'!$D$161*0.4/('I_Inputs &amp; Assumptions'!$B$8/2),'I_Budget Input Data'!$D$161*0.6/('I_Inputs &amp; Assumptions'!$B$8/2)),IF('I_Budget Input Data'!$E$161="Mid-weighted",IF(12&lt;='I_Inputs &amp; Assumptions'!$B$8/4,'I_Budget Input Data'!$D$161*0.2/('I_Inputs &amp; Assumptions'!$B$8/4),IF(12&lt;='I_Inputs &amp; Assumptions'!$B$8*0.75,'I_Budget Input Data'!$D$161*0.6/('I_Inputs &amp; Assumptions'!$B$8/2),'I_Budget Input Data'!$D$161*0.2/('I_Inputs &amp; Assumptions'!$B$8/4))),IF('I_Budget Input Data'!$E$161="At Completion",IF(12='I_Inputs &amp; Assumptions'!$B$8,'I_Budget Input Data'!$D$161,0),'I_Budget Input Data'!$D$161/'I_Inputs &amp; Assumptions'!$B$8)))))),0)</f>
        <v>34787.769230769234</v>
      </c>
      <c r="O161" s="91">
        <f>IF(13&lt;='I_Inputs &amp; Assumptions'!$B$8,IF('I_Budget Input Data'!$E$161="Upfront",IF(13=1,'I_Budget Input Data'!$D$161,0),IF('I_Budget Input Data'!$E$161="Equal",'I_Budget Input Data'!$D$161/'I_Inputs &amp; Assumptions'!$B$8,IF('I_Budget Input Data'!$E$161="Front-loaded",IF(13&lt;='I_Inputs &amp; Assumptions'!$B$8/2,'I_Budget Input Data'!$D$161*0.6/('I_Inputs &amp; Assumptions'!$B$8/2),'I_Budget Input Data'!$D$161*0.4/('I_Inputs &amp; Assumptions'!$B$8/2)),IF('I_Budget Input Data'!$E$161="Back-loaded",IF(13&lt;='I_Inputs &amp; Assumptions'!$B$8/2,'I_Budget Input Data'!$D$161*0.4/('I_Inputs &amp; Assumptions'!$B$8/2),'I_Budget Input Data'!$D$161*0.6/('I_Inputs &amp; Assumptions'!$B$8/2)),IF('I_Budget Input Data'!$E$161="Mid-weighted",IF(13&lt;='I_Inputs &amp; Assumptions'!$B$8/4,'I_Budget Input Data'!$D$161*0.2/('I_Inputs &amp; Assumptions'!$B$8/4),IF(13&lt;='I_Inputs &amp; Assumptions'!$B$8*0.75,'I_Budget Input Data'!$D$161*0.6/('I_Inputs &amp; Assumptions'!$B$8/2),'I_Budget Input Data'!$D$161*0.2/('I_Inputs &amp; Assumptions'!$B$8/4))),IF('I_Budget Input Data'!$E$161="At Completion",IF(13='I_Inputs &amp; Assumptions'!$B$8,'I_Budget Input Data'!$D$161,0),'I_Budget Input Data'!$D$161/'I_Inputs &amp; Assumptions'!$B$8)))))),0)</f>
        <v>34787.769230769234</v>
      </c>
      <c r="P161" s="91">
        <f>IF(14&lt;='I_Inputs &amp; Assumptions'!$B$8,IF('I_Budget Input Data'!$E$161="Upfront",IF(14=1,'I_Budget Input Data'!$D$161,0),IF('I_Budget Input Data'!$E$161="Equal",'I_Budget Input Data'!$D$161/'I_Inputs &amp; Assumptions'!$B$8,IF('I_Budget Input Data'!$E$161="Front-loaded",IF(14&lt;='I_Inputs &amp; Assumptions'!$B$8/2,'I_Budget Input Data'!$D$161*0.6/('I_Inputs &amp; Assumptions'!$B$8/2),'I_Budget Input Data'!$D$161*0.4/('I_Inputs &amp; Assumptions'!$B$8/2)),IF('I_Budget Input Data'!$E$161="Back-loaded",IF(14&lt;='I_Inputs &amp; Assumptions'!$B$8/2,'I_Budget Input Data'!$D$161*0.4/('I_Inputs &amp; Assumptions'!$B$8/2),'I_Budget Input Data'!$D$161*0.6/('I_Inputs &amp; Assumptions'!$B$8/2)),IF('I_Budget Input Data'!$E$161="Mid-weighted",IF(14&lt;='I_Inputs &amp; Assumptions'!$B$8/4,'I_Budget Input Data'!$D$161*0.2/('I_Inputs &amp; Assumptions'!$B$8/4),IF(14&lt;='I_Inputs &amp; Assumptions'!$B$8*0.75,'I_Budget Input Data'!$D$161*0.6/('I_Inputs &amp; Assumptions'!$B$8/2),'I_Budget Input Data'!$D$161*0.2/('I_Inputs &amp; Assumptions'!$B$8/4))),IF('I_Budget Input Data'!$E$161="At Completion",IF(14='I_Inputs &amp; Assumptions'!$B$8,'I_Budget Input Data'!$D$161,0),'I_Budget Input Data'!$D$161/'I_Inputs &amp; Assumptions'!$B$8)))))),0)</f>
        <v>0</v>
      </c>
      <c r="Q161" s="91">
        <f>IF(15&lt;='I_Inputs &amp; Assumptions'!$B$8,IF('I_Budget Input Data'!$E$161="Upfront",IF(15=1,'I_Budget Input Data'!$D$161,0),IF('I_Budget Input Data'!$E$161="Equal",'I_Budget Input Data'!$D$161/'I_Inputs &amp; Assumptions'!$B$8,IF('I_Budget Input Data'!$E$161="Front-loaded",IF(15&lt;='I_Inputs &amp; Assumptions'!$B$8/2,'I_Budget Input Data'!$D$161*0.6/('I_Inputs &amp; Assumptions'!$B$8/2),'I_Budget Input Data'!$D$161*0.4/('I_Inputs &amp; Assumptions'!$B$8/2)),IF('I_Budget Input Data'!$E$161="Back-loaded",IF(15&lt;='I_Inputs &amp; Assumptions'!$B$8/2,'I_Budget Input Data'!$D$161*0.4/('I_Inputs &amp; Assumptions'!$B$8/2),'I_Budget Input Data'!$D$161*0.6/('I_Inputs &amp; Assumptions'!$B$8/2)),IF('I_Budget Input Data'!$E$161="Mid-weighted",IF(15&lt;='I_Inputs &amp; Assumptions'!$B$8/4,'I_Budget Input Data'!$D$161*0.2/('I_Inputs &amp; Assumptions'!$B$8/4),IF(15&lt;='I_Inputs &amp; Assumptions'!$B$8*0.75,'I_Budget Input Data'!$D$161*0.6/('I_Inputs &amp; Assumptions'!$B$8/2),'I_Budget Input Data'!$D$161*0.2/('I_Inputs &amp; Assumptions'!$B$8/4))),IF('I_Budget Input Data'!$E$161="At Completion",IF(15='I_Inputs &amp; Assumptions'!$B$8,'I_Budget Input Data'!$D$161,0),'I_Budget Input Data'!$D$161/'I_Inputs &amp; Assumptions'!$B$8)))))),0)</f>
        <v>0</v>
      </c>
      <c r="R161" s="91">
        <f>IF(16&lt;='I_Inputs &amp; Assumptions'!$B$8,IF('I_Budget Input Data'!$E$161="Upfront",IF(16=1,'I_Budget Input Data'!$D$161,0),IF('I_Budget Input Data'!$E$161="Equal",'I_Budget Input Data'!$D$161/'I_Inputs &amp; Assumptions'!$B$8,IF('I_Budget Input Data'!$E$161="Front-loaded",IF(16&lt;='I_Inputs &amp; Assumptions'!$B$8/2,'I_Budget Input Data'!$D$161*0.6/('I_Inputs &amp; Assumptions'!$B$8/2),'I_Budget Input Data'!$D$161*0.4/('I_Inputs &amp; Assumptions'!$B$8/2)),IF('I_Budget Input Data'!$E$161="Back-loaded",IF(16&lt;='I_Inputs &amp; Assumptions'!$B$8/2,'I_Budget Input Data'!$D$161*0.4/('I_Inputs &amp; Assumptions'!$B$8/2),'I_Budget Input Data'!$D$161*0.6/('I_Inputs &amp; Assumptions'!$B$8/2)),IF('I_Budget Input Data'!$E$161="Mid-weighted",IF(16&lt;='I_Inputs &amp; Assumptions'!$B$8/4,'I_Budget Input Data'!$D$161*0.2/('I_Inputs &amp; Assumptions'!$B$8/4),IF(16&lt;='I_Inputs &amp; Assumptions'!$B$8*0.75,'I_Budget Input Data'!$D$161*0.6/('I_Inputs &amp; Assumptions'!$B$8/2),'I_Budget Input Data'!$D$161*0.2/('I_Inputs &amp; Assumptions'!$B$8/4))),IF('I_Budget Input Data'!$E$161="At Completion",IF(16='I_Inputs &amp; Assumptions'!$B$8,'I_Budget Input Data'!$D$161,0),'I_Budget Input Data'!$D$161/'I_Inputs &amp; Assumptions'!$B$8)))))),0)</f>
        <v>0</v>
      </c>
      <c r="S161" s="91">
        <f>IF(17&lt;='I_Inputs &amp; Assumptions'!$B$8,IF('I_Budget Input Data'!$E$161="Upfront",IF(17=1,'I_Budget Input Data'!$D$161,0),IF('I_Budget Input Data'!$E$161="Equal",'I_Budget Input Data'!$D$161/'I_Inputs &amp; Assumptions'!$B$8,IF('I_Budget Input Data'!$E$161="Front-loaded",IF(17&lt;='I_Inputs &amp; Assumptions'!$B$8/2,'I_Budget Input Data'!$D$161*0.6/('I_Inputs &amp; Assumptions'!$B$8/2),'I_Budget Input Data'!$D$161*0.4/('I_Inputs &amp; Assumptions'!$B$8/2)),IF('I_Budget Input Data'!$E$161="Back-loaded",IF(17&lt;='I_Inputs &amp; Assumptions'!$B$8/2,'I_Budget Input Data'!$D$161*0.4/('I_Inputs &amp; Assumptions'!$B$8/2),'I_Budget Input Data'!$D$161*0.6/('I_Inputs &amp; Assumptions'!$B$8/2)),IF('I_Budget Input Data'!$E$161="Mid-weighted",IF(17&lt;='I_Inputs &amp; Assumptions'!$B$8/4,'I_Budget Input Data'!$D$161*0.2/('I_Inputs &amp; Assumptions'!$B$8/4),IF(17&lt;='I_Inputs &amp; Assumptions'!$B$8*0.75,'I_Budget Input Data'!$D$161*0.6/('I_Inputs &amp; Assumptions'!$B$8/2),'I_Budget Input Data'!$D$161*0.2/('I_Inputs &amp; Assumptions'!$B$8/4))),IF('I_Budget Input Data'!$E$161="At Completion",IF(17='I_Inputs &amp; Assumptions'!$B$8,'I_Budget Input Data'!$D$161,0),'I_Budget Input Data'!$D$161/'I_Inputs &amp; Assumptions'!$B$8)))))),0)</f>
        <v>0</v>
      </c>
      <c r="T161" s="91">
        <f>IF(18&lt;='I_Inputs &amp; Assumptions'!$B$8,IF('I_Budget Input Data'!$E$161="Upfront",IF(18=1,'I_Budget Input Data'!$D$161,0),IF('I_Budget Input Data'!$E$161="Equal",'I_Budget Input Data'!$D$161/'I_Inputs &amp; Assumptions'!$B$8,IF('I_Budget Input Data'!$E$161="Front-loaded",IF(18&lt;='I_Inputs &amp; Assumptions'!$B$8/2,'I_Budget Input Data'!$D$161*0.6/('I_Inputs &amp; Assumptions'!$B$8/2),'I_Budget Input Data'!$D$161*0.4/('I_Inputs &amp; Assumptions'!$B$8/2)),IF('I_Budget Input Data'!$E$161="Back-loaded",IF(18&lt;='I_Inputs &amp; Assumptions'!$B$8/2,'I_Budget Input Data'!$D$161*0.4/('I_Inputs &amp; Assumptions'!$B$8/2),'I_Budget Input Data'!$D$161*0.6/('I_Inputs &amp; Assumptions'!$B$8/2)),IF('I_Budget Input Data'!$E$161="Mid-weighted",IF(18&lt;='I_Inputs &amp; Assumptions'!$B$8/4,'I_Budget Input Data'!$D$161*0.2/('I_Inputs &amp; Assumptions'!$B$8/4),IF(18&lt;='I_Inputs &amp; Assumptions'!$B$8*0.75,'I_Budget Input Data'!$D$161*0.6/('I_Inputs &amp; Assumptions'!$B$8/2),'I_Budget Input Data'!$D$161*0.2/('I_Inputs &amp; Assumptions'!$B$8/4))),IF('I_Budget Input Data'!$E$161="At Completion",IF(18='I_Inputs &amp; Assumptions'!$B$8,'I_Budget Input Data'!$D$161,0),'I_Budget Input Data'!$D$161/'I_Inputs &amp; Assumptions'!$B$8)))))),0)</f>
        <v>0</v>
      </c>
      <c r="U161" s="91">
        <f>IF(19&lt;='I_Inputs &amp; Assumptions'!$B$8,IF('I_Budget Input Data'!$E$161="Upfront",IF(19=1,'I_Budget Input Data'!$D$161,0),IF('I_Budget Input Data'!$E$161="Equal",'I_Budget Input Data'!$D$161/'I_Inputs &amp; Assumptions'!$B$8,IF('I_Budget Input Data'!$E$161="Front-loaded",IF(19&lt;='I_Inputs &amp; Assumptions'!$B$8/2,'I_Budget Input Data'!$D$161*0.6/('I_Inputs &amp; Assumptions'!$B$8/2),'I_Budget Input Data'!$D$161*0.4/('I_Inputs &amp; Assumptions'!$B$8/2)),IF('I_Budget Input Data'!$E$161="Back-loaded",IF(19&lt;='I_Inputs &amp; Assumptions'!$B$8/2,'I_Budget Input Data'!$D$161*0.4/('I_Inputs &amp; Assumptions'!$B$8/2),'I_Budget Input Data'!$D$161*0.6/('I_Inputs &amp; Assumptions'!$B$8/2)),IF('I_Budget Input Data'!$E$161="Mid-weighted",IF(19&lt;='I_Inputs &amp; Assumptions'!$B$8/4,'I_Budget Input Data'!$D$161*0.2/('I_Inputs &amp; Assumptions'!$B$8/4),IF(19&lt;='I_Inputs &amp; Assumptions'!$B$8*0.75,'I_Budget Input Data'!$D$161*0.6/('I_Inputs &amp; Assumptions'!$B$8/2),'I_Budget Input Data'!$D$161*0.2/('I_Inputs &amp; Assumptions'!$B$8/4))),IF('I_Budget Input Data'!$E$161="At Completion",IF(19='I_Inputs &amp; Assumptions'!$B$8,'I_Budget Input Data'!$D$161,0),'I_Budget Input Data'!$D$161/'I_Inputs &amp; Assumptions'!$B$8)))))),0)</f>
        <v>0</v>
      </c>
      <c r="V161" s="91">
        <f>IF(20&lt;='I_Inputs &amp; Assumptions'!$B$8,IF('I_Budget Input Data'!$E$161="Upfront",IF(20=1,'I_Budget Input Data'!$D$161,0),IF('I_Budget Input Data'!$E$161="Equal",'I_Budget Input Data'!$D$161/'I_Inputs &amp; Assumptions'!$B$8,IF('I_Budget Input Data'!$E$161="Front-loaded",IF(20&lt;='I_Inputs &amp; Assumptions'!$B$8/2,'I_Budget Input Data'!$D$161*0.6/('I_Inputs &amp; Assumptions'!$B$8/2),'I_Budget Input Data'!$D$161*0.4/('I_Inputs &amp; Assumptions'!$B$8/2)),IF('I_Budget Input Data'!$E$161="Back-loaded",IF(20&lt;='I_Inputs &amp; Assumptions'!$B$8/2,'I_Budget Input Data'!$D$161*0.4/('I_Inputs &amp; Assumptions'!$B$8/2),'I_Budget Input Data'!$D$161*0.6/('I_Inputs &amp; Assumptions'!$B$8/2)),IF('I_Budget Input Data'!$E$161="Mid-weighted",IF(20&lt;='I_Inputs &amp; Assumptions'!$B$8/4,'I_Budget Input Data'!$D$161*0.2/('I_Inputs &amp; Assumptions'!$B$8/4),IF(20&lt;='I_Inputs &amp; Assumptions'!$B$8*0.75,'I_Budget Input Data'!$D$161*0.6/('I_Inputs &amp; Assumptions'!$B$8/2),'I_Budget Input Data'!$D$161*0.2/('I_Inputs &amp; Assumptions'!$B$8/4))),IF('I_Budget Input Data'!$E$161="At Completion",IF(20='I_Inputs &amp; Assumptions'!$B$8,'I_Budget Input Data'!$D$161,0),'I_Budget Input Data'!$D$161/'I_Inputs &amp; Assumptions'!$B$8)))))),0)</f>
        <v>0</v>
      </c>
      <c r="W161" s="91">
        <f>IF(21&lt;='I_Inputs &amp; Assumptions'!$B$8,IF('I_Budget Input Data'!$E$161="Upfront",IF(21=1,'I_Budget Input Data'!$D$161,0),IF('I_Budget Input Data'!$E$161="Equal",'I_Budget Input Data'!$D$161/'I_Inputs &amp; Assumptions'!$B$8,IF('I_Budget Input Data'!$E$161="Front-loaded",IF(21&lt;='I_Inputs &amp; Assumptions'!$B$8/2,'I_Budget Input Data'!$D$161*0.6/('I_Inputs &amp; Assumptions'!$B$8/2),'I_Budget Input Data'!$D$161*0.4/('I_Inputs &amp; Assumptions'!$B$8/2)),IF('I_Budget Input Data'!$E$161="Back-loaded",IF(21&lt;='I_Inputs &amp; Assumptions'!$B$8/2,'I_Budget Input Data'!$D$161*0.4/('I_Inputs &amp; Assumptions'!$B$8/2),'I_Budget Input Data'!$D$161*0.6/('I_Inputs &amp; Assumptions'!$B$8/2)),IF('I_Budget Input Data'!$E$161="Mid-weighted",IF(21&lt;='I_Inputs &amp; Assumptions'!$B$8/4,'I_Budget Input Data'!$D$161*0.2/('I_Inputs &amp; Assumptions'!$B$8/4),IF(21&lt;='I_Inputs &amp; Assumptions'!$B$8*0.75,'I_Budget Input Data'!$D$161*0.6/('I_Inputs &amp; Assumptions'!$B$8/2),'I_Budget Input Data'!$D$161*0.2/('I_Inputs &amp; Assumptions'!$B$8/4))),IF('I_Budget Input Data'!$E$161="At Completion",IF(21='I_Inputs &amp; Assumptions'!$B$8,'I_Budget Input Data'!$D$161,0),'I_Budget Input Data'!$D$161/'I_Inputs &amp; Assumptions'!$B$8)))))),0)</f>
        <v>0</v>
      </c>
      <c r="X161" s="91">
        <f>IF(22&lt;='I_Inputs &amp; Assumptions'!$B$8,IF('I_Budget Input Data'!$E$161="Upfront",IF(22=1,'I_Budget Input Data'!$D$161,0),IF('I_Budget Input Data'!$E$161="Equal",'I_Budget Input Data'!$D$161/'I_Inputs &amp; Assumptions'!$B$8,IF('I_Budget Input Data'!$E$161="Front-loaded",IF(22&lt;='I_Inputs &amp; Assumptions'!$B$8/2,'I_Budget Input Data'!$D$161*0.6/('I_Inputs &amp; Assumptions'!$B$8/2),'I_Budget Input Data'!$D$161*0.4/('I_Inputs &amp; Assumptions'!$B$8/2)),IF('I_Budget Input Data'!$E$161="Back-loaded",IF(22&lt;='I_Inputs &amp; Assumptions'!$B$8/2,'I_Budget Input Data'!$D$161*0.4/('I_Inputs &amp; Assumptions'!$B$8/2),'I_Budget Input Data'!$D$161*0.6/('I_Inputs &amp; Assumptions'!$B$8/2)),IF('I_Budget Input Data'!$E$161="Mid-weighted",IF(22&lt;='I_Inputs &amp; Assumptions'!$B$8/4,'I_Budget Input Data'!$D$161*0.2/('I_Inputs &amp; Assumptions'!$B$8/4),IF(22&lt;='I_Inputs &amp; Assumptions'!$B$8*0.75,'I_Budget Input Data'!$D$161*0.6/('I_Inputs &amp; Assumptions'!$B$8/2),'I_Budget Input Data'!$D$161*0.2/('I_Inputs &amp; Assumptions'!$B$8/4))),IF('I_Budget Input Data'!$E$161="At Completion",IF(22='I_Inputs &amp; Assumptions'!$B$8,'I_Budget Input Data'!$D$161,0),'I_Budget Input Data'!$D$161/'I_Inputs &amp; Assumptions'!$B$8)))))),0)</f>
        <v>0</v>
      </c>
      <c r="Y161" s="91">
        <f>IF(23&lt;='I_Inputs &amp; Assumptions'!$B$8,IF('I_Budget Input Data'!$E$161="Upfront",IF(23=1,'I_Budget Input Data'!$D$161,0),IF('I_Budget Input Data'!$E$161="Equal",'I_Budget Input Data'!$D$161/'I_Inputs &amp; Assumptions'!$B$8,IF('I_Budget Input Data'!$E$161="Front-loaded",IF(23&lt;='I_Inputs &amp; Assumptions'!$B$8/2,'I_Budget Input Data'!$D$161*0.6/('I_Inputs &amp; Assumptions'!$B$8/2),'I_Budget Input Data'!$D$161*0.4/('I_Inputs &amp; Assumptions'!$B$8/2)),IF('I_Budget Input Data'!$E$161="Back-loaded",IF(23&lt;='I_Inputs &amp; Assumptions'!$B$8/2,'I_Budget Input Data'!$D$161*0.4/('I_Inputs &amp; Assumptions'!$B$8/2),'I_Budget Input Data'!$D$161*0.6/('I_Inputs &amp; Assumptions'!$B$8/2)),IF('I_Budget Input Data'!$E$161="Mid-weighted",IF(23&lt;='I_Inputs &amp; Assumptions'!$B$8/4,'I_Budget Input Data'!$D$161*0.2/('I_Inputs &amp; Assumptions'!$B$8/4),IF(23&lt;='I_Inputs &amp; Assumptions'!$B$8*0.75,'I_Budget Input Data'!$D$161*0.6/('I_Inputs &amp; Assumptions'!$B$8/2),'I_Budget Input Data'!$D$161*0.2/('I_Inputs &amp; Assumptions'!$B$8/4))),IF('I_Budget Input Data'!$E$161="At Completion",IF(23='I_Inputs &amp; Assumptions'!$B$8,'I_Budget Input Data'!$D$161,0),'I_Budget Input Data'!$D$161/'I_Inputs &amp; Assumptions'!$B$8)))))),0)</f>
        <v>0</v>
      </c>
      <c r="Z161" s="91">
        <f>IF(24&lt;='I_Inputs &amp; Assumptions'!$B$8,IF('I_Budget Input Data'!$E$161="Upfront",IF(24=1,'I_Budget Input Data'!$D$161,0),IF('I_Budget Input Data'!$E$161="Equal",'I_Budget Input Data'!$D$161/'I_Inputs &amp; Assumptions'!$B$8,IF('I_Budget Input Data'!$E$161="Front-loaded",IF(24&lt;='I_Inputs &amp; Assumptions'!$B$8/2,'I_Budget Input Data'!$D$161*0.6/('I_Inputs &amp; Assumptions'!$B$8/2),'I_Budget Input Data'!$D$161*0.4/('I_Inputs &amp; Assumptions'!$B$8/2)),IF('I_Budget Input Data'!$E$161="Back-loaded",IF(24&lt;='I_Inputs &amp; Assumptions'!$B$8/2,'I_Budget Input Data'!$D$161*0.4/('I_Inputs &amp; Assumptions'!$B$8/2),'I_Budget Input Data'!$D$161*0.6/('I_Inputs &amp; Assumptions'!$B$8/2)),IF('I_Budget Input Data'!$E$161="Mid-weighted",IF(24&lt;='I_Inputs &amp; Assumptions'!$B$8/4,'I_Budget Input Data'!$D$161*0.2/('I_Inputs &amp; Assumptions'!$B$8/4),IF(24&lt;='I_Inputs &amp; Assumptions'!$B$8*0.75,'I_Budget Input Data'!$D$161*0.6/('I_Inputs &amp; Assumptions'!$B$8/2),'I_Budget Input Data'!$D$161*0.2/('I_Inputs &amp; Assumptions'!$B$8/4))),IF('I_Budget Input Data'!$E$161="At Completion",IF(24='I_Inputs &amp; Assumptions'!$B$8,'I_Budget Input Data'!$D$161,0),'I_Budget Input Data'!$D$161/'I_Inputs &amp; Assumptions'!$B$8)))))),0)</f>
        <v>0</v>
      </c>
      <c r="AA161" s="91">
        <f>IF(25&lt;='I_Inputs &amp; Assumptions'!$B$8,IF('I_Budget Input Data'!$E$161="Upfront",IF(25=1,'I_Budget Input Data'!$D$161,0),IF('I_Budget Input Data'!$E$161="Equal",'I_Budget Input Data'!$D$161/'I_Inputs &amp; Assumptions'!$B$8,IF('I_Budget Input Data'!$E$161="Front-loaded",IF(25&lt;='I_Inputs &amp; Assumptions'!$B$8/2,'I_Budget Input Data'!$D$161*0.6/('I_Inputs &amp; Assumptions'!$B$8/2),'I_Budget Input Data'!$D$161*0.4/('I_Inputs &amp; Assumptions'!$B$8/2)),IF('I_Budget Input Data'!$E$161="Back-loaded",IF(25&lt;='I_Inputs &amp; Assumptions'!$B$8/2,'I_Budget Input Data'!$D$161*0.4/('I_Inputs &amp; Assumptions'!$B$8/2),'I_Budget Input Data'!$D$161*0.6/('I_Inputs &amp; Assumptions'!$B$8/2)),IF('I_Budget Input Data'!$E$161="Mid-weighted",IF(25&lt;='I_Inputs &amp; Assumptions'!$B$8/4,'I_Budget Input Data'!$D$161*0.2/('I_Inputs &amp; Assumptions'!$B$8/4),IF(25&lt;='I_Inputs &amp; Assumptions'!$B$8*0.75,'I_Budget Input Data'!$D$161*0.6/('I_Inputs &amp; Assumptions'!$B$8/2),'I_Budget Input Data'!$D$161*0.2/('I_Inputs &amp; Assumptions'!$B$8/4))),IF('I_Budget Input Data'!$E$161="At Completion",IF(25='I_Inputs &amp; Assumptions'!$B$8,'I_Budget Input Data'!$D$161,0),'I_Budget Input Data'!$D$161/'I_Inputs &amp; Assumptions'!$B$8)))))),0)</f>
        <v>0</v>
      </c>
      <c r="AB161" s="91">
        <f>IF(26&lt;='I_Inputs &amp; Assumptions'!$B$8,IF('I_Budget Input Data'!$E$161="Upfront",IF(26=1,'I_Budget Input Data'!$D$161,0),IF('I_Budget Input Data'!$E$161="Equal",'I_Budget Input Data'!$D$161/'I_Inputs &amp; Assumptions'!$B$8,IF('I_Budget Input Data'!$E$161="Front-loaded",IF(26&lt;='I_Inputs &amp; Assumptions'!$B$8/2,'I_Budget Input Data'!$D$161*0.6/('I_Inputs &amp; Assumptions'!$B$8/2),'I_Budget Input Data'!$D$161*0.4/('I_Inputs &amp; Assumptions'!$B$8/2)),IF('I_Budget Input Data'!$E$161="Back-loaded",IF(26&lt;='I_Inputs &amp; Assumptions'!$B$8/2,'I_Budget Input Data'!$D$161*0.4/('I_Inputs &amp; Assumptions'!$B$8/2),'I_Budget Input Data'!$D$161*0.6/('I_Inputs &amp; Assumptions'!$B$8/2)),IF('I_Budget Input Data'!$E$161="Mid-weighted",IF(26&lt;='I_Inputs &amp; Assumptions'!$B$8/4,'I_Budget Input Data'!$D$161*0.2/('I_Inputs &amp; Assumptions'!$B$8/4),IF(26&lt;='I_Inputs &amp; Assumptions'!$B$8*0.75,'I_Budget Input Data'!$D$161*0.6/('I_Inputs &amp; Assumptions'!$B$8/2),'I_Budget Input Data'!$D$161*0.2/('I_Inputs &amp; Assumptions'!$B$8/4))),IF('I_Budget Input Data'!$E$161="At Completion",IF(26='I_Inputs &amp; Assumptions'!$B$8,'I_Budget Input Data'!$D$161,0),'I_Budget Input Data'!$D$161/'I_Inputs &amp; Assumptions'!$B$8)))))),0)</f>
        <v>0</v>
      </c>
      <c r="AC161" s="91">
        <f>IF(27&lt;='I_Inputs &amp; Assumptions'!$B$8,IF('I_Budget Input Data'!$E$161="Upfront",IF(27=1,'I_Budget Input Data'!$D$161,0),IF('I_Budget Input Data'!$E$161="Equal",'I_Budget Input Data'!$D$161/'I_Inputs &amp; Assumptions'!$B$8,IF('I_Budget Input Data'!$E$161="Front-loaded",IF(27&lt;='I_Inputs &amp; Assumptions'!$B$8/2,'I_Budget Input Data'!$D$161*0.6/('I_Inputs &amp; Assumptions'!$B$8/2),'I_Budget Input Data'!$D$161*0.4/('I_Inputs &amp; Assumptions'!$B$8/2)),IF('I_Budget Input Data'!$E$161="Back-loaded",IF(27&lt;='I_Inputs &amp; Assumptions'!$B$8/2,'I_Budget Input Data'!$D$161*0.4/('I_Inputs &amp; Assumptions'!$B$8/2),'I_Budget Input Data'!$D$161*0.6/('I_Inputs &amp; Assumptions'!$B$8/2)),IF('I_Budget Input Data'!$E$161="Mid-weighted",IF(27&lt;='I_Inputs &amp; Assumptions'!$B$8/4,'I_Budget Input Data'!$D$161*0.2/('I_Inputs &amp; Assumptions'!$B$8/4),IF(27&lt;='I_Inputs &amp; Assumptions'!$B$8*0.75,'I_Budget Input Data'!$D$161*0.6/('I_Inputs &amp; Assumptions'!$B$8/2),'I_Budget Input Data'!$D$161*0.2/('I_Inputs &amp; Assumptions'!$B$8/4))),IF('I_Budget Input Data'!$E$161="At Completion",IF(27='I_Inputs &amp; Assumptions'!$B$8,'I_Budget Input Data'!$D$161,0),'I_Budget Input Data'!$D$161/'I_Inputs &amp; Assumptions'!$B$8)))))),0)</f>
        <v>0</v>
      </c>
      <c r="AD161" s="91">
        <f>IF(28&lt;='I_Inputs &amp; Assumptions'!$B$8,IF('I_Budget Input Data'!$E$161="Upfront",IF(28=1,'I_Budget Input Data'!$D$161,0),IF('I_Budget Input Data'!$E$161="Equal",'I_Budget Input Data'!$D$161/'I_Inputs &amp; Assumptions'!$B$8,IF('I_Budget Input Data'!$E$161="Front-loaded",IF(28&lt;='I_Inputs &amp; Assumptions'!$B$8/2,'I_Budget Input Data'!$D$161*0.6/('I_Inputs &amp; Assumptions'!$B$8/2),'I_Budget Input Data'!$D$161*0.4/('I_Inputs &amp; Assumptions'!$B$8/2)),IF('I_Budget Input Data'!$E$161="Back-loaded",IF(28&lt;='I_Inputs &amp; Assumptions'!$B$8/2,'I_Budget Input Data'!$D$161*0.4/('I_Inputs &amp; Assumptions'!$B$8/2),'I_Budget Input Data'!$D$161*0.6/('I_Inputs &amp; Assumptions'!$B$8/2)),IF('I_Budget Input Data'!$E$161="Mid-weighted",IF(28&lt;='I_Inputs &amp; Assumptions'!$B$8/4,'I_Budget Input Data'!$D$161*0.2/('I_Inputs &amp; Assumptions'!$B$8/4),IF(28&lt;='I_Inputs &amp; Assumptions'!$B$8*0.75,'I_Budget Input Data'!$D$161*0.6/('I_Inputs &amp; Assumptions'!$B$8/2),'I_Budget Input Data'!$D$161*0.2/('I_Inputs &amp; Assumptions'!$B$8/4))),IF('I_Budget Input Data'!$E$161="At Completion",IF(28='I_Inputs &amp; Assumptions'!$B$8,'I_Budget Input Data'!$D$161,0),'I_Budget Input Data'!$D$161/'I_Inputs &amp; Assumptions'!$B$8)))))),0)</f>
        <v>0</v>
      </c>
      <c r="AE161" s="91">
        <f>IF(29&lt;='I_Inputs &amp; Assumptions'!$B$8,IF('I_Budget Input Data'!$E$161="Upfront",IF(29=1,'I_Budget Input Data'!$D$161,0),IF('I_Budget Input Data'!$E$161="Equal",'I_Budget Input Data'!$D$161/'I_Inputs &amp; Assumptions'!$B$8,IF('I_Budget Input Data'!$E$161="Front-loaded",IF(29&lt;='I_Inputs &amp; Assumptions'!$B$8/2,'I_Budget Input Data'!$D$161*0.6/('I_Inputs &amp; Assumptions'!$B$8/2),'I_Budget Input Data'!$D$161*0.4/('I_Inputs &amp; Assumptions'!$B$8/2)),IF('I_Budget Input Data'!$E$161="Back-loaded",IF(29&lt;='I_Inputs &amp; Assumptions'!$B$8/2,'I_Budget Input Data'!$D$161*0.4/('I_Inputs &amp; Assumptions'!$B$8/2),'I_Budget Input Data'!$D$161*0.6/('I_Inputs &amp; Assumptions'!$B$8/2)),IF('I_Budget Input Data'!$E$161="Mid-weighted",IF(29&lt;='I_Inputs &amp; Assumptions'!$B$8/4,'I_Budget Input Data'!$D$161*0.2/('I_Inputs &amp; Assumptions'!$B$8/4),IF(29&lt;='I_Inputs &amp; Assumptions'!$B$8*0.75,'I_Budget Input Data'!$D$161*0.6/('I_Inputs &amp; Assumptions'!$B$8/2),'I_Budget Input Data'!$D$161*0.2/('I_Inputs &amp; Assumptions'!$B$8/4))),IF('I_Budget Input Data'!$E$161="At Completion",IF(29='I_Inputs &amp; Assumptions'!$B$8,'I_Budget Input Data'!$D$161,0),'I_Budget Input Data'!$D$161/'I_Inputs &amp; Assumptions'!$B$8)))))),0)</f>
        <v>0</v>
      </c>
      <c r="AF161" s="91">
        <f>IF(30&lt;='I_Inputs &amp; Assumptions'!$B$8,IF('I_Budget Input Data'!$E$161="Upfront",IF(30=1,'I_Budget Input Data'!$D$161,0),IF('I_Budget Input Data'!$E$161="Equal",'I_Budget Input Data'!$D$161/'I_Inputs &amp; Assumptions'!$B$8,IF('I_Budget Input Data'!$E$161="Front-loaded",IF(30&lt;='I_Inputs &amp; Assumptions'!$B$8/2,'I_Budget Input Data'!$D$161*0.6/('I_Inputs &amp; Assumptions'!$B$8/2),'I_Budget Input Data'!$D$161*0.4/('I_Inputs &amp; Assumptions'!$B$8/2)),IF('I_Budget Input Data'!$E$161="Back-loaded",IF(30&lt;='I_Inputs &amp; Assumptions'!$B$8/2,'I_Budget Input Data'!$D$161*0.4/('I_Inputs &amp; Assumptions'!$B$8/2),'I_Budget Input Data'!$D$161*0.6/('I_Inputs &amp; Assumptions'!$B$8/2)),IF('I_Budget Input Data'!$E$161="Mid-weighted",IF(30&lt;='I_Inputs &amp; Assumptions'!$B$8/4,'I_Budget Input Data'!$D$161*0.2/('I_Inputs &amp; Assumptions'!$B$8/4),IF(30&lt;='I_Inputs &amp; Assumptions'!$B$8*0.75,'I_Budget Input Data'!$D$161*0.6/('I_Inputs &amp; Assumptions'!$B$8/2),'I_Budget Input Data'!$D$161*0.2/('I_Inputs &amp; Assumptions'!$B$8/4))),IF('I_Budget Input Data'!$E$161="At Completion",IF(30='I_Inputs &amp; Assumptions'!$B$8,'I_Budget Input Data'!$D$161,0),'I_Budget Input Data'!$D$161/'I_Inputs &amp; Assumptions'!$B$8)))))),0)</f>
        <v>0</v>
      </c>
      <c r="AG161" s="91">
        <f>IF(31&lt;='I_Inputs &amp; Assumptions'!$B$8,IF('I_Budget Input Data'!$E$161="Upfront",IF(31=1,'I_Budget Input Data'!$D$161,0),IF('I_Budget Input Data'!$E$161="Equal",'I_Budget Input Data'!$D$161/'I_Inputs &amp; Assumptions'!$B$8,IF('I_Budget Input Data'!$E$161="Front-loaded",IF(31&lt;='I_Inputs &amp; Assumptions'!$B$8/2,'I_Budget Input Data'!$D$161*0.6/('I_Inputs &amp; Assumptions'!$B$8/2),'I_Budget Input Data'!$D$161*0.4/('I_Inputs &amp; Assumptions'!$B$8/2)),IF('I_Budget Input Data'!$E$161="Back-loaded",IF(31&lt;='I_Inputs &amp; Assumptions'!$B$8/2,'I_Budget Input Data'!$D$161*0.4/('I_Inputs &amp; Assumptions'!$B$8/2),'I_Budget Input Data'!$D$161*0.6/('I_Inputs &amp; Assumptions'!$B$8/2)),IF('I_Budget Input Data'!$E$161="Mid-weighted",IF(31&lt;='I_Inputs &amp; Assumptions'!$B$8/4,'I_Budget Input Data'!$D$161*0.2/('I_Inputs &amp; Assumptions'!$B$8/4),IF(31&lt;='I_Inputs &amp; Assumptions'!$B$8*0.75,'I_Budget Input Data'!$D$161*0.6/('I_Inputs &amp; Assumptions'!$B$8/2),'I_Budget Input Data'!$D$161*0.2/('I_Inputs &amp; Assumptions'!$B$8/4))),IF('I_Budget Input Data'!$E$161="At Completion",IF(31='I_Inputs &amp; Assumptions'!$B$8,'I_Budget Input Data'!$D$161,0),'I_Budget Input Data'!$D$161/'I_Inputs &amp; Assumptions'!$B$8)))))),0)</f>
        <v>0</v>
      </c>
      <c r="AH161" s="91">
        <f>IF(32&lt;='I_Inputs &amp; Assumptions'!$B$8,IF('I_Budget Input Data'!$E$161="Upfront",IF(32=1,'I_Budget Input Data'!$D$161,0),IF('I_Budget Input Data'!$E$161="Equal",'I_Budget Input Data'!$D$161/'I_Inputs &amp; Assumptions'!$B$8,IF('I_Budget Input Data'!$E$161="Front-loaded",IF(32&lt;='I_Inputs &amp; Assumptions'!$B$8/2,'I_Budget Input Data'!$D$161*0.6/('I_Inputs &amp; Assumptions'!$B$8/2),'I_Budget Input Data'!$D$161*0.4/('I_Inputs &amp; Assumptions'!$B$8/2)),IF('I_Budget Input Data'!$E$161="Back-loaded",IF(32&lt;='I_Inputs &amp; Assumptions'!$B$8/2,'I_Budget Input Data'!$D$161*0.4/('I_Inputs &amp; Assumptions'!$B$8/2),'I_Budget Input Data'!$D$161*0.6/('I_Inputs &amp; Assumptions'!$B$8/2)),IF('I_Budget Input Data'!$E$161="Mid-weighted",IF(32&lt;='I_Inputs &amp; Assumptions'!$B$8/4,'I_Budget Input Data'!$D$161*0.2/('I_Inputs &amp; Assumptions'!$B$8/4),IF(32&lt;='I_Inputs &amp; Assumptions'!$B$8*0.75,'I_Budget Input Data'!$D$161*0.6/('I_Inputs &amp; Assumptions'!$B$8/2),'I_Budget Input Data'!$D$161*0.2/('I_Inputs &amp; Assumptions'!$B$8/4))),IF('I_Budget Input Data'!$E$161="At Completion",IF(32='I_Inputs &amp; Assumptions'!$B$8,'I_Budget Input Data'!$D$161,0),'I_Budget Input Data'!$D$161/'I_Inputs &amp; Assumptions'!$B$8)))))),0)</f>
        <v>0</v>
      </c>
      <c r="AI161" s="91">
        <f>IF(33&lt;='I_Inputs &amp; Assumptions'!$B$8,IF('I_Budget Input Data'!$E$161="Upfront",IF(33=1,'I_Budget Input Data'!$D$161,0),IF('I_Budget Input Data'!$E$161="Equal",'I_Budget Input Data'!$D$161/'I_Inputs &amp; Assumptions'!$B$8,IF('I_Budget Input Data'!$E$161="Front-loaded",IF(33&lt;='I_Inputs &amp; Assumptions'!$B$8/2,'I_Budget Input Data'!$D$161*0.6/('I_Inputs &amp; Assumptions'!$B$8/2),'I_Budget Input Data'!$D$161*0.4/('I_Inputs &amp; Assumptions'!$B$8/2)),IF('I_Budget Input Data'!$E$161="Back-loaded",IF(33&lt;='I_Inputs &amp; Assumptions'!$B$8/2,'I_Budget Input Data'!$D$161*0.4/('I_Inputs &amp; Assumptions'!$B$8/2),'I_Budget Input Data'!$D$161*0.6/('I_Inputs &amp; Assumptions'!$B$8/2)),IF('I_Budget Input Data'!$E$161="Mid-weighted",IF(33&lt;='I_Inputs &amp; Assumptions'!$B$8/4,'I_Budget Input Data'!$D$161*0.2/('I_Inputs &amp; Assumptions'!$B$8/4),IF(33&lt;='I_Inputs &amp; Assumptions'!$B$8*0.75,'I_Budget Input Data'!$D$161*0.6/('I_Inputs &amp; Assumptions'!$B$8/2),'I_Budget Input Data'!$D$161*0.2/('I_Inputs &amp; Assumptions'!$B$8/4))),IF('I_Budget Input Data'!$E$161="At Completion",IF(33='I_Inputs &amp; Assumptions'!$B$8,'I_Budget Input Data'!$D$161,0),'I_Budget Input Data'!$D$161/'I_Inputs &amp; Assumptions'!$B$8)))))),0)</f>
        <v>0</v>
      </c>
      <c r="AJ161" s="91">
        <f>IF(34&lt;='I_Inputs &amp; Assumptions'!$B$8,IF('I_Budget Input Data'!$E$161="Upfront",IF(34=1,'I_Budget Input Data'!$D$161,0),IF('I_Budget Input Data'!$E$161="Equal",'I_Budget Input Data'!$D$161/'I_Inputs &amp; Assumptions'!$B$8,IF('I_Budget Input Data'!$E$161="Front-loaded",IF(34&lt;='I_Inputs &amp; Assumptions'!$B$8/2,'I_Budget Input Data'!$D$161*0.6/('I_Inputs &amp; Assumptions'!$B$8/2),'I_Budget Input Data'!$D$161*0.4/('I_Inputs &amp; Assumptions'!$B$8/2)),IF('I_Budget Input Data'!$E$161="Back-loaded",IF(34&lt;='I_Inputs &amp; Assumptions'!$B$8/2,'I_Budget Input Data'!$D$161*0.4/('I_Inputs &amp; Assumptions'!$B$8/2),'I_Budget Input Data'!$D$161*0.6/('I_Inputs &amp; Assumptions'!$B$8/2)),IF('I_Budget Input Data'!$E$161="Mid-weighted",IF(34&lt;='I_Inputs &amp; Assumptions'!$B$8/4,'I_Budget Input Data'!$D$161*0.2/('I_Inputs &amp; Assumptions'!$B$8/4),IF(34&lt;='I_Inputs &amp; Assumptions'!$B$8*0.75,'I_Budget Input Data'!$D$161*0.6/('I_Inputs &amp; Assumptions'!$B$8/2),'I_Budget Input Data'!$D$161*0.2/('I_Inputs &amp; Assumptions'!$B$8/4))),IF('I_Budget Input Data'!$E$161="At Completion",IF(34='I_Inputs &amp; Assumptions'!$B$8,'I_Budget Input Data'!$D$161,0),'I_Budget Input Data'!$D$161/'I_Inputs &amp; Assumptions'!$B$8)))))),0)</f>
        <v>0</v>
      </c>
      <c r="AK161" s="91">
        <f>IF(35&lt;='I_Inputs &amp; Assumptions'!$B$8,IF('I_Budget Input Data'!$E$161="Upfront",IF(35=1,'I_Budget Input Data'!$D$161,0),IF('I_Budget Input Data'!$E$161="Equal",'I_Budget Input Data'!$D$161/'I_Inputs &amp; Assumptions'!$B$8,IF('I_Budget Input Data'!$E$161="Front-loaded",IF(35&lt;='I_Inputs &amp; Assumptions'!$B$8/2,'I_Budget Input Data'!$D$161*0.6/('I_Inputs &amp; Assumptions'!$B$8/2),'I_Budget Input Data'!$D$161*0.4/('I_Inputs &amp; Assumptions'!$B$8/2)),IF('I_Budget Input Data'!$E$161="Back-loaded",IF(35&lt;='I_Inputs &amp; Assumptions'!$B$8/2,'I_Budget Input Data'!$D$161*0.4/('I_Inputs &amp; Assumptions'!$B$8/2),'I_Budget Input Data'!$D$161*0.6/('I_Inputs &amp; Assumptions'!$B$8/2)),IF('I_Budget Input Data'!$E$161="Mid-weighted",IF(35&lt;='I_Inputs &amp; Assumptions'!$B$8/4,'I_Budget Input Data'!$D$161*0.2/('I_Inputs &amp; Assumptions'!$B$8/4),IF(35&lt;='I_Inputs &amp; Assumptions'!$B$8*0.75,'I_Budget Input Data'!$D$161*0.6/('I_Inputs &amp; Assumptions'!$B$8/2),'I_Budget Input Data'!$D$161*0.2/('I_Inputs &amp; Assumptions'!$B$8/4))),IF('I_Budget Input Data'!$E$161="At Completion",IF(35='I_Inputs &amp; Assumptions'!$B$8,'I_Budget Input Data'!$D$161,0),'I_Budget Input Data'!$D$161/'I_Inputs &amp; Assumptions'!$B$8)))))),0)</f>
        <v>0</v>
      </c>
      <c r="AL161" s="91">
        <f>IF(36&lt;='I_Inputs &amp; Assumptions'!$B$8,IF('I_Budget Input Data'!$E$161="Upfront",IF(36=1,'I_Budget Input Data'!$D$161,0),IF('I_Budget Input Data'!$E$161="Equal",'I_Budget Input Data'!$D$161/'I_Inputs &amp; Assumptions'!$B$8,IF('I_Budget Input Data'!$E$161="Front-loaded",IF(36&lt;='I_Inputs &amp; Assumptions'!$B$8/2,'I_Budget Input Data'!$D$161*0.6/('I_Inputs &amp; Assumptions'!$B$8/2),'I_Budget Input Data'!$D$161*0.4/('I_Inputs &amp; Assumptions'!$B$8/2)),IF('I_Budget Input Data'!$E$161="Back-loaded",IF(36&lt;='I_Inputs &amp; Assumptions'!$B$8/2,'I_Budget Input Data'!$D$161*0.4/('I_Inputs &amp; Assumptions'!$B$8/2),'I_Budget Input Data'!$D$161*0.6/('I_Inputs &amp; Assumptions'!$B$8/2)),IF('I_Budget Input Data'!$E$161="Mid-weighted",IF(36&lt;='I_Inputs &amp; Assumptions'!$B$8/4,'I_Budget Input Data'!$D$161*0.2/('I_Inputs &amp; Assumptions'!$B$8/4),IF(36&lt;='I_Inputs &amp; Assumptions'!$B$8*0.75,'I_Budget Input Data'!$D$161*0.6/('I_Inputs &amp; Assumptions'!$B$8/2),'I_Budget Input Data'!$D$161*0.2/('I_Inputs &amp; Assumptions'!$B$8/4))),IF('I_Budget Input Data'!$E$161="At Completion",IF(36='I_Inputs &amp; Assumptions'!$B$8,'I_Budget Input Data'!$D$161,0),'I_Budget Input Data'!$D$161/'I_Inputs &amp; Assumptions'!$B$8)))))),0)</f>
        <v>0</v>
      </c>
    </row>
    <row r="162" spans="1:38" ht="15" customHeight="1" x14ac:dyDescent="0.2">
      <c r="A162" t="s">
        <v>270</v>
      </c>
      <c r="B162" t="s">
        <v>277</v>
      </c>
      <c r="C162" s="91">
        <f>IF(1&lt;='I_Inputs &amp; Assumptions'!$B$8,IF('I_Budget Input Data'!$E$162="Upfront",IF(1=1,'I_Budget Input Data'!$D$162,0),IF('I_Budget Input Data'!$E$162="Equal",'I_Budget Input Data'!$D$162/'I_Inputs &amp; Assumptions'!$B$8,IF('I_Budget Input Data'!$E$162="Front-loaded",IF(1&lt;='I_Inputs &amp; Assumptions'!$B$8/2,'I_Budget Input Data'!$D$162*0.6/('I_Inputs &amp; Assumptions'!$B$8/2),'I_Budget Input Data'!$D$162*0.4/('I_Inputs &amp; Assumptions'!$B$8/2)),IF('I_Budget Input Data'!$E$162="Back-loaded",IF(1&lt;='I_Inputs &amp; Assumptions'!$B$8/2,'I_Budget Input Data'!$D$162*0.4/('I_Inputs &amp; Assumptions'!$B$8/2),'I_Budget Input Data'!$D$162*0.6/('I_Inputs &amp; Assumptions'!$B$8/2)),IF('I_Budget Input Data'!$E$162="Mid-weighted",IF(1&lt;='I_Inputs &amp; Assumptions'!$B$8/4,'I_Budget Input Data'!$D$162*0.2/('I_Inputs &amp; Assumptions'!$B$8/4),IF(1&lt;='I_Inputs &amp; Assumptions'!$B$8*0.75,'I_Budget Input Data'!$D$162*0.6/('I_Inputs &amp; Assumptions'!$B$8/2),'I_Budget Input Data'!$D$162*0.2/('I_Inputs &amp; Assumptions'!$B$8/4))),IF('I_Budget Input Data'!$E$162="At Completion",IF(1='I_Inputs &amp; Assumptions'!$B$8,'I_Budget Input Data'!$D$162,0),'I_Budget Input Data'!$D$162/'I_Inputs &amp; Assumptions'!$B$8)))))),0)</f>
        <v>19026.461538461539</v>
      </c>
      <c r="D162" s="91">
        <f>IF(2&lt;='I_Inputs &amp; Assumptions'!$B$8,IF('I_Budget Input Data'!$E$162="Upfront",IF(2=1,'I_Budget Input Data'!$D$162,0),IF('I_Budget Input Data'!$E$162="Equal",'I_Budget Input Data'!$D$162/'I_Inputs &amp; Assumptions'!$B$8,IF('I_Budget Input Data'!$E$162="Front-loaded",IF(2&lt;='I_Inputs &amp; Assumptions'!$B$8/2,'I_Budget Input Data'!$D$162*0.6/('I_Inputs &amp; Assumptions'!$B$8/2),'I_Budget Input Data'!$D$162*0.4/('I_Inputs &amp; Assumptions'!$B$8/2)),IF('I_Budget Input Data'!$E$162="Back-loaded",IF(2&lt;='I_Inputs &amp; Assumptions'!$B$8/2,'I_Budget Input Data'!$D$162*0.4/('I_Inputs &amp; Assumptions'!$B$8/2),'I_Budget Input Data'!$D$162*0.6/('I_Inputs &amp; Assumptions'!$B$8/2)),IF('I_Budget Input Data'!$E$162="Mid-weighted",IF(2&lt;='I_Inputs &amp; Assumptions'!$B$8/4,'I_Budget Input Data'!$D$162*0.2/('I_Inputs &amp; Assumptions'!$B$8/4),IF(2&lt;='I_Inputs &amp; Assumptions'!$B$8*0.75,'I_Budget Input Data'!$D$162*0.6/('I_Inputs &amp; Assumptions'!$B$8/2),'I_Budget Input Data'!$D$162*0.2/('I_Inputs &amp; Assumptions'!$B$8/4))),IF('I_Budget Input Data'!$E$162="At Completion",IF(2='I_Inputs &amp; Assumptions'!$B$8,'I_Budget Input Data'!$D$162,0),'I_Budget Input Data'!$D$162/'I_Inputs &amp; Assumptions'!$B$8)))))),0)</f>
        <v>19026.461538461539</v>
      </c>
      <c r="E162" s="91">
        <f>IF(3&lt;='I_Inputs &amp; Assumptions'!$B$8,IF('I_Budget Input Data'!$E$162="Upfront",IF(3=1,'I_Budget Input Data'!$D$162,0),IF('I_Budget Input Data'!$E$162="Equal",'I_Budget Input Data'!$D$162/'I_Inputs &amp; Assumptions'!$B$8,IF('I_Budget Input Data'!$E$162="Front-loaded",IF(3&lt;='I_Inputs &amp; Assumptions'!$B$8/2,'I_Budget Input Data'!$D$162*0.6/('I_Inputs &amp; Assumptions'!$B$8/2),'I_Budget Input Data'!$D$162*0.4/('I_Inputs &amp; Assumptions'!$B$8/2)),IF('I_Budget Input Data'!$E$162="Back-loaded",IF(3&lt;='I_Inputs &amp; Assumptions'!$B$8/2,'I_Budget Input Data'!$D$162*0.4/('I_Inputs &amp; Assumptions'!$B$8/2),'I_Budget Input Data'!$D$162*0.6/('I_Inputs &amp; Assumptions'!$B$8/2)),IF('I_Budget Input Data'!$E$162="Mid-weighted",IF(3&lt;='I_Inputs &amp; Assumptions'!$B$8/4,'I_Budget Input Data'!$D$162*0.2/('I_Inputs &amp; Assumptions'!$B$8/4),IF(3&lt;='I_Inputs &amp; Assumptions'!$B$8*0.75,'I_Budget Input Data'!$D$162*0.6/('I_Inputs &amp; Assumptions'!$B$8/2),'I_Budget Input Data'!$D$162*0.2/('I_Inputs &amp; Assumptions'!$B$8/4))),IF('I_Budget Input Data'!$E$162="At Completion",IF(3='I_Inputs &amp; Assumptions'!$B$8,'I_Budget Input Data'!$D$162,0),'I_Budget Input Data'!$D$162/'I_Inputs &amp; Assumptions'!$B$8)))))),0)</f>
        <v>19026.461538461539</v>
      </c>
      <c r="F162" s="91">
        <f>IF(4&lt;='I_Inputs &amp; Assumptions'!$B$8,IF('I_Budget Input Data'!$E$162="Upfront",IF(4=1,'I_Budget Input Data'!$D$162,0),IF('I_Budget Input Data'!$E$162="Equal",'I_Budget Input Data'!$D$162/'I_Inputs &amp; Assumptions'!$B$8,IF('I_Budget Input Data'!$E$162="Front-loaded",IF(4&lt;='I_Inputs &amp; Assumptions'!$B$8/2,'I_Budget Input Data'!$D$162*0.6/('I_Inputs &amp; Assumptions'!$B$8/2),'I_Budget Input Data'!$D$162*0.4/('I_Inputs &amp; Assumptions'!$B$8/2)),IF('I_Budget Input Data'!$E$162="Back-loaded",IF(4&lt;='I_Inputs &amp; Assumptions'!$B$8/2,'I_Budget Input Data'!$D$162*0.4/('I_Inputs &amp; Assumptions'!$B$8/2),'I_Budget Input Data'!$D$162*0.6/('I_Inputs &amp; Assumptions'!$B$8/2)),IF('I_Budget Input Data'!$E$162="Mid-weighted",IF(4&lt;='I_Inputs &amp; Assumptions'!$B$8/4,'I_Budget Input Data'!$D$162*0.2/('I_Inputs &amp; Assumptions'!$B$8/4),IF(4&lt;='I_Inputs &amp; Assumptions'!$B$8*0.75,'I_Budget Input Data'!$D$162*0.6/('I_Inputs &amp; Assumptions'!$B$8/2),'I_Budget Input Data'!$D$162*0.2/('I_Inputs &amp; Assumptions'!$B$8/4))),IF('I_Budget Input Data'!$E$162="At Completion",IF(4='I_Inputs &amp; Assumptions'!$B$8,'I_Budget Input Data'!$D$162,0),'I_Budget Input Data'!$D$162/'I_Inputs &amp; Assumptions'!$B$8)))))),0)</f>
        <v>19026.461538461539</v>
      </c>
      <c r="G162" s="91">
        <f>IF(5&lt;='I_Inputs &amp; Assumptions'!$B$8,IF('I_Budget Input Data'!$E$162="Upfront",IF(5=1,'I_Budget Input Data'!$D$162,0),IF('I_Budget Input Data'!$E$162="Equal",'I_Budget Input Data'!$D$162/'I_Inputs &amp; Assumptions'!$B$8,IF('I_Budget Input Data'!$E$162="Front-loaded",IF(5&lt;='I_Inputs &amp; Assumptions'!$B$8/2,'I_Budget Input Data'!$D$162*0.6/('I_Inputs &amp; Assumptions'!$B$8/2),'I_Budget Input Data'!$D$162*0.4/('I_Inputs &amp; Assumptions'!$B$8/2)),IF('I_Budget Input Data'!$E$162="Back-loaded",IF(5&lt;='I_Inputs &amp; Assumptions'!$B$8/2,'I_Budget Input Data'!$D$162*0.4/('I_Inputs &amp; Assumptions'!$B$8/2),'I_Budget Input Data'!$D$162*0.6/('I_Inputs &amp; Assumptions'!$B$8/2)),IF('I_Budget Input Data'!$E$162="Mid-weighted",IF(5&lt;='I_Inputs &amp; Assumptions'!$B$8/4,'I_Budget Input Data'!$D$162*0.2/('I_Inputs &amp; Assumptions'!$B$8/4),IF(5&lt;='I_Inputs &amp; Assumptions'!$B$8*0.75,'I_Budget Input Data'!$D$162*0.6/('I_Inputs &amp; Assumptions'!$B$8/2),'I_Budget Input Data'!$D$162*0.2/('I_Inputs &amp; Assumptions'!$B$8/4))),IF('I_Budget Input Data'!$E$162="At Completion",IF(5='I_Inputs &amp; Assumptions'!$B$8,'I_Budget Input Data'!$D$162,0),'I_Budget Input Data'!$D$162/'I_Inputs &amp; Assumptions'!$B$8)))))),0)</f>
        <v>19026.461538461539</v>
      </c>
      <c r="H162" s="91">
        <f>IF(6&lt;='I_Inputs &amp; Assumptions'!$B$8,IF('I_Budget Input Data'!$E$162="Upfront",IF(6=1,'I_Budget Input Data'!$D$162,0),IF('I_Budget Input Data'!$E$162="Equal",'I_Budget Input Data'!$D$162/'I_Inputs &amp; Assumptions'!$B$8,IF('I_Budget Input Data'!$E$162="Front-loaded",IF(6&lt;='I_Inputs &amp; Assumptions'!$B$8/2,'I_Budget Input Data'!$D$162*0.6/('I_Inputs &amp; Assumptions'!$B$8/2),'I_Budget Input Data'!$D$162*0.4/('I_Inputs &amp; Assumptions'!$B$8/2)),IF('I_Budget Input Data'!$E$162="Back-loaded",IF(6&lt;='I_Inputs &amp; Assumptions'!$B$8/2,'I_Budget Input Data'!$D$162*0.4/('I_Inputs &amp; Assumptions'!$B$8/2),'I_Budget Input Data'!$D$162*0.6/('I_Inputs &amp; Assumptions'!$B$8/2)),IF('I_Budget Input Data'!$E$162="Mid-weighted",IF(6&lt;='I_Inputs &amp; Assumptions'!$B$8/4,'I_Budget Input Data'!$D$162*0.2/('I_Inputs &amp; Assumptions'!$B$8/4),IF(6&lt;='I_Inputs &amp; Assumptions'!$B$8*0.75,'I_Budget Input Data'!$D$162*0.6/('I_Inputs &amp; Assumptions'!$B$8/2),'I_Budget Input Data'!$D$162*0.2/('I_Inputs &amp; Assumptions'!$B$8/4))),IF('I_Budget Input Data'!$E$162="At Completion",IF(6='I_Inputs &amp; Assumptions'!$B$8,'I_Budget Input Data'!$D$162,0),'I_Budget Input Data'!$D$162/'I_Inputs &amp; Assumptions'!$B$8)))))),0)</f>
        <v>19026.461538461539</v>
      </c>
      <c r="I162" s="91">
        <f>IF(7&lt;='I_Inputs &amp; Assumptions'!$B$8,IF('I_Budget Input Data'!$E$162="Upfront",IF(7=1,'I_Budget Input Data'!$D$162,0),IF('I_Budget Input Data'!$E$162="Equal",'I_Budget Input Data'!$D$162/'I_Inputs &amp; Assumptions'!$B$8,IF('I_Budget Input Data'!$E$162="Front-loaded",IF(7&lt;='I_Inputs &amp; Assumptions'!$B$8/2,'I_Budget Input Data'!$D$162*0.6/('I_Inputs &amp; Assumptions'!$B$8/2),'I_Budget Input Data'!$D$162*0.4/('I_Inputs &amp; Assumptions'!$B$8/2)),IF('I_Budget Input Data'!$E$162="Back-loaded",IF(7&lt;='I_Inputs &amp; Assumptions'!$B$8/2,'I_Budget Input Data'!$D$162*0.4/('I_Inputs &amp; Assumptions'!$B$8/2),'I_Budget Input Data'!$D$162*0.6/('I_Inputs &amp; Assumptions'!$B$8/2)),IF('I_Budget Input Data'!$E$162="Mid-weighted",IF(7&lt;='I_Inputs &amp; Assumptions'!$B$8/4,'I_Budget Input Data'!$D$162*0.2/('I_Inputs &amp; Assumptions'!$B$8/4),IF(7&lt;='I_Inputs &amp; Assumptions'!$B$8*0.75,'I_Budget Input Data'!$D$162*0.6/('I_Inputs &amp; Assumptions'!$B$8/2),'I_Budget Input Data'!$D$162*0.2/('I_Inputs &amp; Assumptions'!$B$8/4))),IF('I_Budget Input Data'!$E$162="At Completion",IF(7='I_Inputs &amp; Assumptions'!$B$8,'I_Budget Input Data'!$D$162,0),'I_Budget Input Data'!$D$162/'I_Inputs &amp; Assumptions'!$B$8)))))),0)</f>
        <v>19026.461538461539</v>
      </c>
      <c r="J162" s="91">
        <f>IF(8&lt;='I_Inputs &amp; Assumptions'!$B$8,IF('I_Budget Input Data'!$E$162="Upfront",IF(8=1,'I_Budget Input Data'!$D$162,0),IF('I_Budget Input Data'!$E$162="Equal",'I_Budget Input Data'!$D$162/'I_Inputs &amp; Assumptions'!$B$8,IF('I_Budget Input Data'!$E$162="Front-loaded",IF(8&lt;='I_Inputs &amp; Assumptions'!$B$8/2,'I_Budget Input Data'!$D$162*0.6/('I_Inputs &amp; Assumptions'!$B$8/2),'I_Budget Input Data'!$D$162*0.4/('I_Inputs &amp; Assumptions'!$B$8/2)),IF('I_Budget Input Data'!$E$162="Back-loaded",IF(8&lt;='I_Inputs &amp; Assumptions'!$B$8/2,'I_Budget Input Data'!$D$162*0.4/('I_Inputs &amp; Assumptions'!$B$8/2),'I_Budget Input Data'!$D$162*0.6/('I_Inputs &amp; Assumptions'!$B$8/2)),IF('I_Budget Input Data'!$E$162="Mid-weighted",IF(8&lt;='I_Inputs &amp; Assumptions'!$B$8/4,'I_Budget Input Data'!$D$162*0.2/('I_Inputs &amp; Assumptions'!$B$8/4),IF(8&lt;='I_Inputs &amp; Assumptions'!$B$8*0.75,'I_Budget Input Data'!$D$162*0.6/('I_Inputs &amp; Assumptions'!$B$8/2),'I_Budget Input Data'!$D$162*0.2/('I_Inputs &amp; Assumptions'!$B$8/4))),IF('I_Budget Input Data'!$E$162="At Completion",IF(8='I_Inputs &amp; Assumptions'!$B$8,'I_Budget Input Data'!$D$162,0),'I_Budget Input Data'!$D$162/'I_Inputs &amp; Assumptions'!$B$8)))))),0)</f>
        <v>19026.461538461539</v>
      </c>
      <c r="K162" s="91">
        <f>IF(9&lt;='I_Inputs &amp; Assumptions'!$B$8,IF('I_Budget Input Data'!$E$162="Upfront",IF(9=1,'I_Budget Input Data'!$D$162,0),IF('I_Budget Input Data'!$E$162="Equal",'I_Budget Input Data'!$D$162/'I_Inputs &amp; Assumptions'!$B$8,IF('I_Budget Input Data'!$E$162="Front-loaded",IF(9&lt;='I_Inputs &amp; Assumptions'!$B$8/2,'I_Budget Input Data'!$D$162*0.6/('I_Inputs &amp; Assumptions'!$B$8/2),'I_Budget Input Data'!$D$162*0.4/('I_Inputs &amp; Assumptions'!$B$8/2)),IF('I_Budget Input Data'!$E$162="Back-loaded",IF(9&lt;='I_Inputs &amp; Assumptions'!$B$8/2,'I_Budget Input Data'!$D$162*0.4/('I_Inputs &amp; Assumptions'!$B$8/2),'I_Budget Input Data'!$D$162*0.6/('I_Inputs &amp; Assumptions'!$B$8/2)),IF('I_Budget Input Data'!$E$162="Mid-weighted",IF(9&lt;='I_Inputs &amp; Assumptions'!$B$8/4,'I_Budget Input Data'!$D$162*0.2/('I_Inputs &amp; Assumptions'!$B$8/4),IF(9&lt;='I_Inputs &amp; Assumptions'!$B$8*0.75,'I_Budget Input Data'!$D$162*0.6/('I_Inputs &amp; Assumptions'!$B$8/2),'I_Budget Input Data'!$D$162*0.2/('I_Inputs &amp; Assumptions'!$B$8/4))),IF('I_Budget Input Data'!$E$162="At Completion",IF(9='I_Inputs &amp; Assumptions'!$B$8,'I_Budget Input Data'!$D$162,0),'I_Budget Input Data'!$D$162/'I_Inputs &amp; Assumptions'!$B$8)))))),0)</f>
        <v>19026.461538461539</v>
      </c>
      <c r="L162" s="91">
        <f>IF(10&lt;='I_Inputs &amp; Assumptions'!$B$8,IF('I_Budget Input Data'!$E$162="Upfront",IF(10=1,'I_Budget Input Data'!$D$162,0),IF('I_Budget Input Data'!$E$162="Equal",'I_Budget Input Data'!$D$162/'I_Inputs &amp; Assumptions'!$B$8,IF('I_Budget Input Data'!$E$162="Front-loaded",IF(10&lt;='I_Inputs &amp; Assumptions'!$B$8/2,'I_Budget Input Data'!$D$162*0.6/('I_Inputs &amp; Assumptions'!$B$8/2),'I_Budget Input Data'!$D$162*0.4/('I_Inputs &amp; Assumptions'!$B$8/2)),IF('I_Budget Input Data'!$E$162="Back-loaded",IF(10&lt;='I_Inputs &amp; Assumptions'!$B$8/2,'I_Budget Input Data'!$D$162*0.4/('I_Inputs &amp; Assumptions'!$B$8/2),'I_Budget Input Data'!$D$162*0.6/('I_Inputs &amp; Assumptions'!$B$8/2)),IF('I_Budget Input Data'!$E$162="Mid-weighted",IF(10&lt;='I_Inputs &amp; Assumptions'!$B$8/4,'I_Budget Input Data'!$D$162*0.2/('I_Inputs &amp; Assumptions'!$B$8/4),IF(10&lt;='I_Inputs &amp; Assumptions'!$B$8*0.75,'I_Budget Input Data'!$D$162*0.6/('I_Inputs &amp; Assumptions'!$B$8/2),'I_Budget Input Data'!$D$162*0.2/('I_Inputs &amp; Assumptions'!$B$8/4))),IF('I_Budget Input Data'!$E$162="At Completion",IF(10='I_Inputs &amp; Assumptions'!$B$8,'I_Budget Input Data'!$D$162,0),'I_Budget Input Data'!$D$162/'I_Inputs &amp; Assumptions'!$B$8)))))),0)</f>
        <v>19026.461538461539</v>
      </c>
      <c r="M162" s="91">
        <f>IF(11&lt;='I_Inputs &amp; Assumptions'!$B$8,IF('I_Budget Input Data'!$E$162="Upfront",IF(11=1,'I_Budget Input Data'!$D$162,0),IF('I_Budget Input Data'!$E$162="Equal",'I_Budget Input Data'!$D$162/'I_Inputs &amp; Assumptions'!$B$8,IF('I_Budget Input Data'!$E$162="Front-loaded",IF(11&lt;='I_Inputs &amp; Assumptions'!$B$8/2,'I_Budget Input Data'!$D$162*0.6/('I_Inputs &amp; Assumptions'!$B$8/2),'I_Budget Input Data'!$D$162*0.4/('I_Inputs &amp; Assumptions'!$B$8/2)),IF('I_Budget Input Data'!$E$162="Back-loaded",IF(11&lt;='I_Inputs &amp; Assumptions'!$B$8/2,'I_Budget Input Data'!$D$162*0.4/('I_Inputs &amp; Assumptions'!$B$8/2),'I_Budget Input Data'!$D$162*0.6/('I_Inputs &amp; Assumptions'!$B$8/2)),IF('I_Budget Input Data'!$E$162="Mid-weighted",IF(11&lt;='I_Inputs &amp; Assumptions'!$B$8/4,'I_Budget Input Data'!$D$162*0.2/('I_Inputs &amp; Assumptions'!$B$8/4),IF(11&lt;='I_Inputs &amp; Assumptions'!$B$8*0.75,'I_Budget Input Data'!$D$162*0.6/('I_Inputs &amp; Assumptions'!$B$8/2),'I_Budget Input Data'!$D$162*0.2/('I_Inputs &amp; Assumptions'!$B$8/4))),IF('I_Budget Input Data'!$E$162="At Completion",IF(11='I_Inputs &amp; Assumptions'!$B$8,'I_Budget Input Data'!$D$162,0),'I_Budget Input Data'!$D$162/'I_Inputs &amp; Assumptions'!$B$8)))))),0)</f>
        <v>19026.461538461539</v>
      </c>
      <c r="N162" s="91">
        <f>IF(12&lt;='I_Inputs &amp; Assumptions'!$B$8,IF('I_Budget Input Data'!$E$162="Upfront",IF(12=1,'I_Budget Input Data'!$D$162,0),IF('I_Budget Input Data'!$E$162="Equal",'I_Budget Input Data'!$D$162/'I_Inputs &amp; Assumptions'!$B$8,IF('I_Budget Input Data'!$E$162="Front-loaded",IF(12&lt;='I_Inputs &amp; Assumptions'!$B$8/2,'I_Budget Input Data'!$D$162*0.6/('I_Inputs &amp; Assumptions'!$B$8/2),'I_Budget Input Data'!$D$162*0.4/('I_Inputs &amp; Assumptions'!$B$8/2)),IF('I_Budget Input Data'!$E$162="Back-loaded",IF(12&lt;='I_Inputs &amp; Assumptions'!$B$8/2,'I_Budget Input Data'!$D$162*0.4/('I_Inputs &amp; Assumptions'!$B$8/2),'I_Budget Input Data'!$D$162*0.6/('I_Inputs &amp; Assumptions'!$B$8/2)),IF('I_Budget Input Data'!$E$162="Mid-weighted",IF(12&lt;='I_Inputs &amp; Assumptions'!$B$8/4,'I_Budget Input Data'!$D$162*0.2/('I_Inputs &amp; Assumptions'!$B$8/4),IF(12&lt;='I_Inputs &amp; Assumptions'!$B$8*0.75,'I_Budget Input Data'!$D$162*0.6/('I_Inputs &amp; Assumptions'!$B$8/2),'I_Budget Input Data'!$D$162*0.2/('I_Inputs &amp; Assumptions'!$B$8/4))),IF('I_Budget Input Data'!$E$162="At Completion",IF(12='I_Inputs &amp; Assumptions'!$B$8,'I_Budget Input Data'!$D$162,0),'I_Budget Input Data'!$D$162/'I_Inputs &amp; Assumptions'!$B$8)))))),0)</f>
        <v>19026.461538461539</v>
      </c>
      <c r="O162" s="91">
        <f>IF(13&lt;='I_Inputs &amp; Assumptions'!$B$8,IF('I_Budget Input Data'!$E$162="Upfront",IF(13=1,'I_Budget Input Data'!$D$162,0),IF('I_Budget Input Data'!$E$162="Equal",'I_Budget Input Data'!$D$162/'I_Inputs &amp; Assumptions'!$B$8,IF('I_Budget Input Data'!$E$162="Front-loaded",IF(13&lt;='I_Inputs &amp; Assumptions'!$B$8/2,'I_Budget Input Data'!$D$162*0.6/('I_Inputs &amp; Assumptions'!$B$8/2),'I_Budget Input Data'!$D$162*0.4/('I_Inputs &amp; Assumptions'!$B$8/2)),IF('I_Budget Input Data'!$E$162="Back-loaded",IF(13&lt;='I_Inputs &amp; Assumptions'!$B$8/2,'I_Budget Input Data'!$D$162*0.4/('I_Inputs &amp; Assumptions'!$B$8/2),'I_Budget Input Data'!$D$162*0.6/('I_Inputs &amp; Assumptions'!$B$8/2)),IF('I_Budget Input Data'!$E$162="Mid-weighted",IF(13&lt;='I_Inputs &amp; Assumptions'!$B$8/4,'I_Budget Input Data'!$D$162*0.2/('I_Inputs &amp; Assumptions'!$B$8/4),IF(13&lt;='I_Inputs &amp; Assumptions'!$B$8*0.75,'I_Budget Input Data'!$D$162*0.6/('I_Inputs &amp; Assumptions'!$B$8/2),'I_Budget Input Data'!$D$162*0.2/('I_Inputs &amp; Assumptions'!$B$8/4))),IF('I_Budget Input Data'!$E$162="At Completion",IF(13='I_Inputs &amp; Assumptions'!$B$8,'I_Budget Input Data'!$D$162,0),'I_Budget Input Data'!$D$162/'I_Inputs &amp; Assumptions'!$B$8)))))),0)</f>
        <v>19026.461538461539</v>
      </c>
      <c r="P162" s="91">
        <f>IF(14&lt;='I_Inputs &amp; Assumptions'!$B$8,IF('I_Budget Input Data'!$E$162="Upfront",IF(14=1,'I_Budget Input Data'!$D$162,0),IF('I_Budget Input Data'!$E$162="Equal",'I_Budget Input Data'!$D$162/'I_Inputs &amp; Assumptions'!$B$8,IF('I_Budget Input Data'!$E$162="Front-loaded",IF(14&lt;='I_Inputs &amp; Assumptions'!$B$8/2,'I_Budget Input Data'!$D$162*0.6/('I_Inputs &amp; Assumptions'!$B$8/2),'I_Budget Input Data'!$D$162*0.4/('I_Inputs &amp; Assumptions'!$B$8/2)),IF('I_Budget Input Data'!$E$162="Back-loaded",IF(14&lt;='I_Inputs &amp; Assumptions'!$B$8/2,'I_Budget Input Data'!$D$162*0.4/('I_Inputs &amp; Assumptions'!$B$8/2),'I_Budget Input Data'!$D$162*0.6/('I_Inputs &amp; Assumptions'!$B$8/2)),IF('I_Budget Input Data'!$E$162="Mid-weighted",IF(14&lt;='I_Inputs &amp; Assumptions'!$B$8/4,'I_Budget Input Data'!$D$162*0.2/('I_Inputs &amp; Assumptions'!$B$8/4),IF(14&lt;='I_Inputs &amp; Assumptions'!$B$8*0.75,'I_Budget Input Data'!$D$162*0.6/('I_Inputs &amp; Assumptions'!$B$8/2),'I_Budget Input Data'!$D$162*0.2/('I_Inputs &amp; Assumptions'!$B$8/4))),IF('I_Budget Input Data'!$E$162="At Completion",IF(14='I_Inputs &amp; Assumptions'!$B$8,'I_Budget Input Data'!$D$162,0),'I_Budget Input Data'!$D$162/'I_Inputs &amp; Assumptions'!$B$8)))))),0)</f>
        <v>0</v>
      </c>
      <c r="Q162" s="91">
        <f>IF(15&lt;='I_Inputs &amp; Assumptions'!$B$8,IF('I_Budget Input Data'!$E$162="Upfront",IF(15=1,'I_Budget Input Data'!$D$162,0),IF('I_Budget Input Data'!$E$162="Equal",'I_Budget Input Data'!$D$162/'I_Inputs &amp; Assumptions'!$B$8,IF('I_Budget Input Data'!$E$162="Front-loaded",IF(15&lt;='I_Inputs &amp; Assumptions'!$B$8/2,'I_Budget Input Data'!$D$162*0.6/('I_Inputs &amp; Assumptions'!$B$8/2),'I_Budget Input Data'!$D$162*0.4/('I_Inputs &amp; Assumptions'!$B$8/2)),IF('I_Budget Input Data'!$E$162="Back-loaded",IF(15&lt;='I_Inputs &amp; Assumptions'!$B$8/2,'I_Budget Input Data'!$D$162*0.4/('I_Inputs &amp; Assumptions'!$B$8/2),'I_Budget Input Data'!$D$162*0.6/('I_Inputs &amp; Assumptions'!$B$8/2)),IF('I_Budget Input Data'!$E$162="Mid-weighted",IF(15&lt;='I_Inputs &amp; Assumptions'!$B$8/4,'I_Budget Input Data'!$D$162*0.2/('I_Inputs &amp; Assumptions'!$B$8/4),IF(15&lt;='I_Inputs &amp; Assumptions'!$B$8*0.75,'I_Budget Input Data'!$D$162*0.6/('I_Inputs &amp; Assumptions'!$B$8/2),'I_Budget Input Data'!$D$162*0.2/('I_Inputs &amp; Assumptions'!$B$8/4))),IF('I_Budget Input Data'!$E$162="At Completion",IF(15='I_Inputs &amp; Assumptions'!$B$8,'I_Budget Input Data'!$D$162,0),'I_Budget Input Data'!$D$162/'I_Inputs &amp; Assumptions'!$B$8)))))),0)</f>
        <v>0</v>
      </c>
      <c r="R162" s="91">
        <f>IF(16&lt;='I_Inputs &amp; Assumptions'!$B$8,IF('I_Budget Input Data'!$E$162="Upfront",IF(16=1,'I_Budget Input Data'!$D$162,0),IF('I_Budget Input Data'!$E$162="Equal",'I_Budget Input Data'!$D$162/'I_Inputs &amp; Assumptions'!$B$8,IF('I_Budget Input Data'!$E$162="Front-loaded",IF(16&lt;='I_Inputs &amp; Assumptions'!$B$8/2,'I_Budget Input Data'!$D$162*0.6/('I_Inputs &amp; Assumptions'!$B$8/2),'I_Budget Input Data'!$D$162*0.4/('I_Inputs &amp; Assumptions'!$B$8/2)),IF('I_Budget Input Data'!$E$162="Back-loaded",IF(16&lt;='I_Inputs &amp; Assumptions'!$B$8/2,'I_Budget Input Data'!$D$162*0.4/('I_Inputs &amp; Assumptions'!$B$8/2),'I_Budget Input Data'!$D$162*0.6/('I_Inputs &amp; Assumptions'!$B$8/2)),IF('I_Budget Input Data'!$E$162="Mid-weighted",IF(16&lt;='I_Inputs &amp; Assumptions'!$B$8/4,'I_Budget Input Data'!$D$162*0.2/('I_Inputs &amp; Assumptions'!$B$8/4),IF(16&lt;='I_Inputs &amp; Assumptions'!$B$8*0.75,'I_Budget Input Data'!$D$162*0.6/('I_Inputs &amp; Assumptions'!$B$8/2),'I_Budget Input Data'!$D$162*0.2/('I_Inputs &amp; Assumptions'!$B$8/4))),IF('I_Budget Input Data'!$E$162="At Completion",IF(16='I_Inputs &amp; Assumptions'!$B$8,'I_Budget Input Data'!$D$162,0),'I_Budget Input Data'!$D$162/'I_Inputs &amp; Assumptions'!$B$8)))))),0)</f>
        <v>0</v>
      </c>
      <c r="S162" s="91">
        <f>IF(17&lt;='I_Inputs &amp; Assumptions'!$B$8,IF('I_Budget Input Data'!$E$162="Upfront",IF(17=1,'I_Budget Input Data'!$D$162,0),IF('I_Budget Input Data'!$E$162="Equal",'I_Budget Input Data'!$D$162/'I_Inputs &amp; Assumptions'!$B$8,IF('I_Budget Input Data'!$E$162="Front-loaded",IF(17&lt;='I_Inputs &amp; Assumptions'!$B$8/2,'I_Budget Input Data'!$D$162*0.6/('I_Inputs &amp; Assumptions'!$B$8/2),'I_Budget Input Data'!$D$162*0.4/('I_Inputs &amp; Assumptions'!$B$8/2)),IF('I_Budget Input Data'!$E$162="Back-loaded",IF(17&lt;='I_Inputs &amp; Assumptions'!$B$8/2,'I_Budget Input Data'!$D$162*0.4/('I_Inputs &amp; Assumptions'!$B$8/2),'I_Budget Input Data'!$D$162*0.6/('I_Inputs &amp; Assumptions'!$B$8/2)),IF('I_Budget Input Data'!$E$162="Mid-weighted",IF(17&lt;='I_Inputs &amp; Assumptions'!$B$8/4,'I_Budget Input Data'!$D$162*0.2/('I_Inputs &amp; Assumptions'!$B$8/4),IF(17&lt;='I_Inputs &amp; Assumptions'!$B$8*0.75,'I_Budget Input Data'!$D$162*0.6/('I_Inputs &amp; Assumptions'!$B$8/2),'I_Budget Input Data'!$D$162*0.2/('I_Inputs &amp; Assumptions'!$B$8/4))),IF('I_Budget Input Data'!$E$162="At Completion",IF(17='I_Inputs &amp; Assumptions'!$B$8,'I_Budget Input Data'!$D$162,0),'I_Budget Input Data'!$D$162/'I_Inputs &amp; Assumptions'!$B$8)))))),0)</f>
        <v>0</v>
      </c>
      <c r="T162" s="91">
        <f>IF(18&lt;='I_Inputs &amp; Assumptions'!$B$8,IF('I_Budget Input Data'!$E$162="Upfront",IF(18=1,'I_Budget Input Data'!$D$162,0),IF('I_Budget Input Data'!$E$162="Equal",'I_Budget Input Data'!$D$162/'I_Inputs &amp; Assumptions'!$B$8,IF('I_Budget Input Data'!$E$162="Front-loaded",IF(18&lt;='I_Inputs &amp; Assumptions'!$B$8/2,'I_Budget Input Data'!$D$162*0.6/('I_Inputs &amp; Assumptions'!$B$8/2),'I_Budget Input Data'!$D$162*0.4/('I_Inputs &amp; Assumptions'!$B$8/2)),IF('I_Budget Input Data'!$E$162="Back-loaded",IF(18&lt;='I_Inputs &amp; Assumptions'!$B$8/2,'I_Budget Input Data'!$D$162*0.4/('I_Inputs &amp; Assumptions'!$B$8/2),'I_Budget Input Data'!$D$162*0.6/('I_Inputs &amp; Assumptions'!$B$8/2)),IF('I_Budget Input Data'!$E$162="Mid-weighted",IF(18&lt;='I_Inputs &amp; Assumptions'!$B$8/4,'I_Budget Input Data'!$D$162*0.2/('I_Inputs &amp; Assumptions'!$B$8/4),IF(18&lt;='I_Inputs &amp; Assumptions'!$B$8*0.75,'I_Budget Input Data'!$D$162*0.6/('I_Inputs &amp; Assumptions'!$B$8/2),'I_Budget Input Data'!$D$162*0.2/('I_Inputs &amp; Assumptions'!$B$8/4))),IF('I_Budget Input Data'!$E$162="At Completion",IF(18='I_Inputs &amp; Assumptions'!$B$8,'I_Budget Input Data'!$D$162,0),'I_Budget Input Data'!$D$162/'I_Inputs &amp; Assumptions'!$B$8)))))),0)</f>
        <v>0</v>
      </c>
      <c r="U162" s="91">
        <f>IF(19&lt;='I_Inputs &amp; Assumptions'!$B$8,IF('I_Budget Input Data'!$E$162="Upfront",IF(19=1,'I_Budget Input Data'!$D$162,0),IF('I_Budget Input Data'!$E$162="Equal",'I_Budget Input Data'!$D$162/'I_Inputs &amp; Assumptions'!$B$8,IF('I_Budget Input Data'!$E$162="Front-loaded",IF(19&lt;='I_Inputs &amp; Assumptions'!$B$8/2,'I_Budget Input Data'!$D$162*0.6/('I_Inputs &amp; Assumptions'!$B$8/2),'I_Budget Input Data'!$D$162*0.4/('I_Inputs &amp; Assumptions'!$B$8/2)),IF('I_Budget Input Data'!$E$162="Back-loaded",IF(19&lt;='I_Inputs &amp; Assumptions'!$B$8/2,'I_Budget Input Data'!$D$162*0.4/('I_Inputs &amp; Assumptions'!$B$8/2),'I_Budget Input Data'!$D$162*0.6/('I_Inputs &amp; Assumptions'!$B$8/2)),IF('I_Budget Input Data'!$E$162="Mid-weighted",IF(19&lt;='I_Inputs &amp; Assumptions'!$B$8/4,'I_Budget Input Data'!$D$162*0.2/('I_Inputs &amp; Assumptions'!$B$8/4),IF(19&lt;='I_Inputs &amp; Assumptions'!$B$8*0.75,'I_Budget Input Data'!$D$162*0.6/('I_Inputs &amp; Assumptions'!$B$8/2),'I_Budget Input Data'!$D$162*0.2/('I_Inputs &amp; Assumptions'!$B$8/4))),IF('I_Budget Input Data'!$E$162="At Completion",IF(19='I_Inputs &amp; Assumptions'!$B$8,'I_Budget Input Data'!$D$162,0),'I_Budget Input Data'!$D$162/'I_Inputs &amp; Assumptions'!$B$8)))))),0)</f>
        <v>0</v>
      </c>
      <c r="V162" s="91">
        <f>IF(20&lt;='I_Inputs &amp; Assumptions'!$B$8,IF('I_Budget Input Data'!$E$162="Upfront",IF(20=1,'I_Budget Input Data'!$D$162,0),IF('I_Budget Input Data'!$E$162="Equal",'I_Budget Input Data'!$D$162/'I_Inputs &amp; Assumptions'!$B$8,IF('I_Budget Input Data'!$E$162="Front-loaded",IF(20&lt;='I_Inputs &amp; Assumptions'!$B$8/2,'I_Budget Input Data'!$D$162*0.6/('I_Inputs &amp; Assumptions'!$B$8/2),'I_Budget Input Data'!$D$162*0.4/('I_Inputs &amp; Assumptions'!$B$8/2)),IF('I_Budget Input Data'!$E$162="Back-loaded",IF(20&lt;='I_Inputs &amp; Assumptions'!$B$8/2,'I_Budget Input Data'!$D$162*0.4/('I_Inputs &amp; Assumptions'!$B$8/2),'I_Budget Input Data'!$D$162*0.6/('I_Inputs &amp; Assumptions'!$B$8/2)),IF('I_Budget Input Data'!$E$162="Mid-weighted",IF(20&lt;='I_Inputs &amp; Assumptions'!$B$8/4,'I_Budget Input Data'!$D$162*0.2/('I_Inputs &amp; Assumptions'!$B$8/4),IF(20&lt;='I_Inputs &amp; Assumptions'!$B$8*0.75,'I_Budget Input Data'!$D$162*0.6/('I_Inputs &amp; Assumptions'!$B$8/2),'I_Budget Input Data'!$D$162*0.2/('I_Inputs &amp; Assumptions'!$B$8/4))),IF('I_Budget Input Data'!$E$162="At Completion",IF(20='I_Inputs &amp; Assumptions'!$B$8,'I_Budget Input Data'!$D$162,0),'I_Budget Input Data'!$D$162/'I_Inputs &amp; Assumptions'!$B$8)))))),0)</f>
        <v>0</v>
      </c>
      <c r="W162" s="91">
        <f>IF(21&lt;='I_Inputs &amp; Assumptions'!$B$8,IF('I_Budget Input Data'!$E$162="Upfront",IF(21=1,'I_Budget Input Data'!$D$162,0),IF('I_Budget Input Data'!$E$162="Equal",'I_Budget Input Data'!$D$162/'I_Inputs &amp; Assumptions'!$B$8,IF('I_Budget Input Data'!$E$162="Front-loaded",IF(21&lt;='I_Inputs &amp; Assumptions'!$B$8/2,'I_Budget Input Data'!$D$162*0.6/('I_Inputs &amp; Assumptions'!$B$8/2),'I_Budget Input Data'!$D$162*0.4/('I_Inputs &amp; Assumptions'!$B$8/2)),IF('I_Budget Input Data'!$E$162="Back-loaded",IF(21&lt;='I_Inputs &amp; Assumptions'!$B$8/2,'I_Budget Input Data'!$D$162*0.4/('I_Inputs &amp; Assumptions'!$B$8/2),'I_Budget Input Data'!$D$162*0.6/('I_Inputs &amp; Assumptions'!$B$8/2)),IF('I_Budget Input Data'!$E$162="Mid-weighted",IF(21&lt;='I_Inputs &amp; Assumptions'!$B$8/4,'I_Budget Input Data'!$D$162*0.2/('I_Inputs &amp; Assumptions'!$B$8/4),IF(21&lt;='I_Inputs &amp; Assumptions'!$B$8*0.75,'I_Budget Input Data'!$D$162*0.6/('I_Inputs &amp; Assumptions'!$B$8/2),'I_Budget Input Data'!$D$162*0.2/('I_Inputs &amp; Assumptions'!$B$8/4))),IF('I_Budget Input Data'!$E$162="At Completion",IF(21='I_Inputs &amp; Assumptions'!$B$8,'I_Budget Input Data'!$D$162,0),'I_Budget Input Data'!$D$162/'I_Inputs &amp; Assumptions'!$B$8)))))),0)</f>
        <v>0</v>
      </c>
      <c r="X162" s="91">
        <f>IF(22&lt;='I_Inputs &amp; Assumptions'!$B$8,IF('I_Budget Input Data'!$E$162="Upfront",IF(22=1,'I_Budget Input Data'!$D$162,0),IF('I_Budget Input Data'!$E$162="Equal",'I_Budget Input Data'!$D$162/'I_Inputs &amp; Assumptions'!$B$8,IF('I_Budget Input Data'!$E$162="Front-loaded",IF(22&lt;='I_Inputs &amp; Assumptions'!$B$8/2,'I_Budget Input Data'!$D$162*0.6/('I_Inputs &amp; Assumptions'!$B$8/2),'I_Budget Input Data'!$D$162*0.4/('I_Inputs &amp; Assumptions'!$B$8/2)),IF('I_Budget Input Data'!$E$162="Back-loaded",IF(22&lt;='I_Inputs &amp; Assumptions'!$B$8/2,'I_Budget Input Data'!$D$162*0.4/('I_Inputs &amp; Assumptions'!$B$8/2),'I_Budget Input Data'!$D$162*0.6/('I_Inputs &amp; Assumptions'!$B$8/2)),IF('I_Budget Input Data'!$E$162="Mid-weighted",IF(22&lt;='I_Inputs &amp; Assumptions'!$B$8/4,'I_Budget Input Data'!$D$162*0.2/('I_Inputs &amp; Assumptions'!$B$8/4),IF(22&lt;='I_Inputs &amp; Assumptions'!$B$8*0.75,'I_Budget Input Data'!$D$162*0.6/('I_Inputs &amp; Assumptions'!$B$8/2),'I_Budget Input Data'!$D$162*0.2/('I_Inputs &amp; Assumptions'!$B$8/4))),IF('I_Budget Input Data'!$E$162="At Completion",IF(22='I_Inputs &amp; Assumptions'!$B$8,'I_Budget Input Data'!$D$162,0),'I_Budget Input Data'!$D$162/'I_Inputs &amp; Assumptions'!$B$8)))))),0)</f>
        <v>0</v>
      </c>
      <c r="Y162" s="91">
        <f>IF(23&lt;='I_Inputs &amp; Assumptions'!$B$8,IF('I_Budget Input Data'!$E$162="Upfront",IF(23=1,'I_Budget Input Data'!$D$162,0),IF('I_Budget Input Data'!$E$162="Equal",'I_Budget Input Data'!$D$162/'I_Inputs &amp; Assumptions'!$B$8,IF('I_Budget Input Data'!$E$162="Front-loaded",IF(23&lt;='I_Inputs &amp; Assumptions'!$B$8/2,'I_Budget Input Data'!$D$162*0.6/('I_Inputs &amp; Assumptions'!$B$8/2),'I_Budget Input Data'!$D$162*0.4/('I_Inputs &amp; Assumptions'!$B$8/2)),IF('I_Budget Input Data'!$E$162="Back-loaded",IF(23&lt;='I_Inputs &amp; Assumptions'!$B$8/2,'I_Budget Input Data'!$D$162*0.4/('I_Inputs &amp; Assumptions'!$B$8/2),'I_Budget Input Data'!$D$162*0.6/('I_Inputs &amp; Assumptions'!$B$8/2)),IF('I_Budget Input Data'!$E$162="Mid-weighted",IF(23&lt;='I_Inputs &amp; Assumptions'!$B$8/4,'I_Budget Input Data'!$D$162*0.2/('I_Inputs &amp; Assumptions'!$B$8/4),IF(23&lt;='I_Inputs &amp; Assumptions'!$B$8*0.75,'I_Budget Input Data'!$D$162*0.6/('I_Inputs &amp; Assumptions'!$B$8/2),'I_Budget Input Data'!$D$162*0.2/('I_Inputs &amp; Assumptions'!$B$8/4))),IF('I_Budget Input Data'!$E$162="At Completion",IF(23='I_Inputs &amp; Assumptions'!$B$8,'I_Budget Input Data'!$D$162,0),'I_Budget Input Data'!$D$162/'I_Inputs &amp; Assumptions'!$B$8)))))),0)</f>
        <v>0</v>
      </c>
      <c r="Z162" s="91">
        <f>IF(24&lt;='I_Inputs &amp; Assumptions'!$B$8,IF('I_Budget Input Data'!$E$162="Upfront",IF(24=1,'I_Budget Input Data'!$D$162,0),IF('I_Budget Input Data'!$E$162="Equal",'I_Budget Input Data'!$D$162/'I_Inputs &amp; Assumptions'!$B$8,IF('I_Budget Input Data'!$E$162="Front-loaded",IF(24&lt;='I_Inputs &amp; Assumptions'!$B$8/2,'I_Budget Input Data'!$D$162*0.6/('I_Inputs &amp; Assumptions'!$B$8/2),'I_Budget Input Data'!$D$162*0.4/('I_Inputs &amp; Assumptions'!$B$8/2)),IF('I_Budget Input Data'!$E$162="Back-loaded",IF(24&lt;='I_Inputs &amp; Assumptions'!$B$8/2,'I_Budget Input Data'!$D$162*0.4/('I_Inputs &amp; Assumptions'!$B$8/2),'I_Budget Input Data'!$D$162*0.6/('I_Inputs &amp; Assumptions'!$B$8/2)),IF('I_Budget Input Data'!$E$162="Mid-weighted",IF(24&lt;='I_Inputs &amp; Assumptions'!$B$8/4,'I_Budget Input Data'!$D$162*0.2/('I_Inputs &amp; Assumptions'!$B$8/4),IF(24&lt;='I_Inputs &amp; Assumptions'!$B$8*0.75,'I_Budget Input Data'!$D$162*0.6/('I_Inputs &amp; Assumptions'!$B$8/2),'I_Budget Input Data'!$D$162*0.2/('I_Inputs &amp; Assumptions'!$B$8/4))),IF('I_Budget Input Data'!$E$162="At Completion",IF(24='I_Inputs &amp; Assumptions'!$B$8,'I_Budget Input Data'!$D$162,0),'I_Budget Input Data'!$D$162/'I_Inputs &amp; Assumptions'!$B$8)))))),0)</f>
        <v>0</v>
      </c>
      <c r="AA162" s="91">
        <f>IF(25&lt;='I_Inputs &amp; Assumptions'!$B$8,IF('I_Budget Input Data'!$E$162="Upfront",IF(25=1,'I_Budget Input Data'!$D$162,0),IF('I_Budget Input Data'!$E$162="Equal",'I_Budget Input Data'!$D$162/'I_Inputs &amp; Assumptions'!$B$8,IF('I_Budget Input Data'!$E$162="Front-loaded",IF(25&lt;='I_Inputs &amp; Assumptions'!$B$8/2,'I_Budget Input Data'!$D$162*0.6/('I_Inputs &amp; Assumptions'!$B$8/2),'I_Budget Input Data'!$D$162*0.4/('I_Inputs &amp; Assumptions'!$B$8/2)),IF('I_Budget Input Data'!$E$162="Back-loaded",IF(25&lt;='I_Inputs &amp; Assumptions'!$B$8/2,'I_Budget Input Data'!$D$162*0.4/('I_Inputs &amp; Assumptions'!$B$8/2),'I_Budget Input Data'!$D$162*0.6/('I_Inputs &amp; Assumptions'!$B$8/2)),IF('I_Budget Input Data'!$E$162="Mid-weighted",IF(25&lt;='I_Inputs &amp; Assumptions'!$B$8/4,'I_Budget Input Data'!$D$162*0.2/('I_Inputs &amp; Assumptions'!$B$8/4),IF(25&lt;='I_Inputs &amp; Assumptions'!$B$8*0.75,'I_Budget Input Data'!$D$162*0.6/('I_Inputs &amp; Assumptions'!$B$8/2),'I_Budget Input Data'!$D$162*0.2/('I_Inputs &amp; Assumptions'!$B$8/4))),IF('I_Budget Input Data'!$E$162="At Completion",IF(25='I_Inputs &amp; Assumptions'!$B$8,'I_Budget Input Data'!$D$162,0),'I_Budget Input Data'!$D$162/'I_Inputs &amp; Assumptions'!$B$8)))))),0)</f>
        <v>0</v>
      </c>
      <c r="AB162" s="91">
        <f>IF(26&lt;='I_Inputs &amp; Assumptions'!$B$8,IF('I_Budget Input Data'!$E$162="Upfront",IF(26=1,'I_Budget Input Data'!$D$162,0),IF('I_Budget Input Data'!$E$162="Equal",'I_Budget Input Data'!$D$162/'I_Inputs &amp; Assumptions'!$B$8,IF('I_Budget Input Data'!$E$162="Front-loaded",IF(26&lt;='I_Inputs &amp; Assumptions'!$B$8/2,'I_Budget Input Data'!$D$162*0.6/('I_Inputs &amp; Assumptions'!$B$8/2),'I_Budget Input Data'!$D$162*0.4/('I_Inputs &amp; Assumptions'!$B$8/2)),IF('I_Budget Input Data'!$E$162="Back-loaded",IF(26&lt;='I_Inputs &amp; Assumptions'!$B$8/2,'I_Budget Input Data'!$D$162*0.4/('I_Inputs &amp; Assumptions'!$B$8/2),'I_Budget Input Data'!$D$162*0.6/('I_Inputs &amp; Assumptions'!$B$8/2)),IF('I_Budget Input Data'!$E$162="Mid-weighted",IF(26&lt;='I_Inputs &amp; Assumptions'!$B$8/4,'I_Budget Input Data'!$D$162*0.2/('I_Inputs &amp; Assumptions'!$B$8/4),IF(26&lt;='I_Inputs &amp; Assumptions'!$B$8*0.75,'I_Budget Input Data'!$D$162*0.6/('I_Inputs &amp; Assumptions'!$B$8/2),'I_Budget Input Data'!$D$162*0.2/('I_Inputs &amp; Assumptions'!$B$8/4))),IF('I_Budget Input Data'!$E$162="At Completion",IF(26='I_Inputs &amp; Assumptions'!$B$8,'I_Budget Input Data'!$D$162,0),'I_Budget Input Data'!$D$162/'I_Inputs &amp; Assumptions'!$B$8)))))),0)</f>
        <v>0</v>
      </c>
      <c r="AC162" s="91">
        <f>IF(27&lt;='I_Inputs &amp; Assumptions'!$B$8,IF('I_Budget Input Data'!$E$162="Upfront",IF(27=1,'I_Budget Input Data'!$D$162,0),IF('I_Budget Input Data'!$E$162="Equal",'I_Budget Input Data'!$D$162/'I_Inputs &amp; Assumptions'!$B$8,IF('I_Budget Input Data'!$E$162="Front-loaded",IF(27&lt;='I_Inputs &amp; Assumptions'!$B$8/2,'I_Budget Input Data'!$D$162*0.6/('I_Inputs &amp; Assumptions'!$B$8/2),'I_Budget Input Data'!$D$162*0.4/('I_Inputs &amp; Assumptions'!$B$8/2)),IF('I_Budget Input Data'!$E$162="Back-loaded",IF(27&lt;='I_Inputs &amp; Assumptions'!$B$8/2,'I_Budget Input Data'!$D$162*0.4/('I_Inputs &amp; Assumptions'!$B$8/2),'I_Budget Input Data'!$D$162*0.6/('I_Inputs &amp; Assumptions'!$B$8/2)),IF('I_Budget Input Data'!$E$162="Mid-weighted",IF(27&lt;='I_Inputs &amp; Assumptions'!$B$8/4,'I_Budget Input Data'!$D$162*0.2/('I_Inputs &amp; Assumptions'!$B$8/4),IF(27&lt;='I_Inputs &amp; Assumptions'!$B$8*0.75,'I_Budget Input Data'!$D$162*0.6/('I_Inputs &amp; Assumptions'!$B$8/2),'I_Budget Input Data'!$D$162*0.2/('I_Inputs &amp; Assumptions'!$B$8/4))),IF('I_Budget Input Data'!$E$162="At Completion",IF(27='I_Inputs &amp; Assumptions'!$B$8,'I_Budget Input Data'!$D$162,0),'I_Budget Input Data'!$D$162/'I_Inputs &amp; Assumptions'!$B$8)))))),0)</f>
        <v>0</v>
      </c>
      <c r="AD162" s="91">
        <f>IF(28&lt;='I_Inputs &amp; Assumptions'!$B$8,IF('I_Budget Input Data'!$E$162="Upfront",IF(28=1,'I_Budget Input Data'!$D$162,0),IF('I_Budget Input Data'!$E$162="Equal",'I_Budget Input Data'!$D$162/'I_Inputs &amp; Assumptions'!$B$8,IF('I_Budget Input Data'!$E$162="Front-loaded",IF(28&lt;='I_Inputs &amp; Assumptions'!$B$8/2,'I_Budget Input Data'!$D$162*0.6/('I_Inputs &amp; Assumptions'!$B$8/2),'I_Budget Input Data'!$D$162*0.4/('I_Inputs &amp; Assumptions'!$B$8/2)),IF('I_Budget Input Data'!$E$162="Back-loaded",IF(28&lt;='I_Inputs &amp; Assumptions'!$B$8/2,'I_Budget Input Data'!$D$162*0.4/('I_Inputs &amp; Assumptions'!$B$8/2),'I_Budget Input Data'!$D$162*0.6/('I_Inputs &amp; Assumptions'!$B$8/2)),IF('I_Budget Input Data'!$E$162="Mid-weighted",IF(28&lt;='I_Inputs &amp; Assumptions'!$B$8/4,'I_Budget Input Data'!$D$162*0.2/('I_Inputs &amp; Assumptions'!$B$8/4),IF(28&lt;='I_Inputs &amp; Assumptions'!$B$8*0.75,'I_Budget Input Data'!$D$162*0.6/('I_Inputs &amp; Assumptions'!$B$8/2),'I_Budget Input Data'!$D$162*0.2/('I_Inputs &amp; Assumptions'!$B$8/4))),IF('I_Budget Input Data'!$E$162="At Completion",IF(28='I_Inputs &amp; Assumptions'!$B$8,'I_Budget Input Data'!$D$162,0),'I_Budget Input Data'!$D$162/'I_Inputs &amp; Assumptions'!$B$8)))))),0)</f>
        <v>0</v>
      </c>
      <c r="AE162" s="91">
        <f>IF(29&lt;='I_Inputs &amp; Assumptions'!$B$8,IF('I_Budget Input Data'!$E$162="Upfront",IF(29=1,'I_Budget Input Data'!$D$162,0),IF('I_Budget Input Data'!$E$162="Equal",'I_Budget Input Data'!$D$162/'I_Inputs &amp; Assumptions'!$B$8,IF('I_Budget Input Data'!$E$162="Front-loaded",IF(29&lt;='I_Inputs &amp; Assumptions'!$B$8/2,'I_Budget Input Data'!$D$162*0.6/('I_Inputs &amp; Assumptions'!$B$8/2),'I_Budget Input Data'!$D$162*0.4/('I_Inputs &amp; Assumptions'!$B$8/2)),IF('I_Budget Input Data'!$E$162="Back-loaded",IF(29&lt;='I_Inputs &amp; Assumptions'!$B$8/2,'I_Budget Input Data'!$D$162*0.4/('I_Inputs &amp; Assumptions'!$B$8/2),'I_Budget Input Data'!$D$162*0.6/('I_Inputs &amp; Assumptions'!$B$8/2)),IF('I_Budget Input Data'!$E$162="Mid-weighted",IF(29&lt;='I_Inputs &amp; Assumptions'!$B$8/4,'I_Budget Input Data'!$D$162*0.2/('I_Inputs &amp; Assumptions'!$B$8/4),IF(29&lt;='I_Inputs &amp; Assumptions'!$B$8*0.75,'I_Budget Input Data'!$D$162*0.6/('I_Inputs &amp; Assumptions'!$B$8/2),'I_Budget Input Data'!$D$162*0.2/('I_Inputs &amp; Assumptions'!$B$8/4))),IF('I_Budget Input Data'!$E$162="At Completion",IF(29='I_Inputs &amp; Assumptions'!$B$8,'I_Budget Input Data'!$D$162,0),'I_Budget Input Data'!$D$162/'I_Inputs &amp; Assumptions'!$B$8)))))),0)</f>
        <v>0</v>
      </c>
      <c r="AF162" s="91">
        <f>IF(30&lt;='I_Inputs &amp; Assumptions'!$B$8,IF('I_Budget Input Data'!$E$162="Upfront",IF(30=1,'I_Budget Input Data'!$D$162,0),IF('I_Budget Input Data'!$E$162="Equal",'I_Budget Input Data'!$D$162/'I_Inputs &amp; Assumptions'!$B$8,IF('I_Budget Input Data'!$E$162="Front-loaded",IF(30&lt;='I_Inputs &amp; Assumptions'!$B$8/2,'I_Budget Input Data'!$D$162*0.6/('I_Inputs &amp; Assumptions'!$B$8/2),'I_Budget Input Data'!$D$162*0.4/('I_Inputs &amp; Assumptions'!$B$8/2)),IF('I_Budget Input Data'!$E$162="Back-loaded",IF(30&lt;='I_Inputs &amp; Assumptions'!$B$8/2,'I_Budget Input Data'!$D$162*0.4/('I_Inputs &amp; Assumptions'!$B$8/2),'I_Budget Input Data'!$D$162*0.6/('I_Inputs &amp; Assumptions'!$B$8/2)),IF('I_Budget Input Data'!$E$162="Mid-weighted",IF(30&lt;='I_Inputs &amp; Assumptions'!$B$8/4,'I_Budget Input Data'!$D$162*0.2/('I_Inputs &amp; Assumptions'!$B$8/4),IF(30&lt;='I_Inputs &amp; Assumptions'!$B$8*0.75,'I_Budget Input Data'!$D$162*0.6/('I_Inputs &amp; Assumptions'!$B$8/2),'I_Budget Input Data'!$D$162*0.2/('I_Inputs &amp; Assumptions'!$B$8/4))),IF('I_Budget Input Data'!$E$162="At Completion",IF(30='I_Inputs &amp; Assumptions'!$B$8,'I_Budget Input Data'!$D$162,0),'I_Budget Input Data'!$D$162/'I_Inputs &amp; Assumptions'!$B$8)))))),0)</f>
        <v>0</v>
      </c>
      <c r="AG162" s="91">
        <f>IF(31&lt;='I_Inputs &amp; Assumptions'!$B$8,IF('I_Budget Input Data'!$E$162="Upfront",IF(31=1,'I_Budget Input Data'!$D$162,0),IF('I_Budget Input Data'!$E$162="Equal",'I_Budget Input Data'!$D$162/'I_Inputs &amp; Assumptions'!$B$8,IF('I_Budget Input Data'!$E$162="Front-loaded",IF(31&lt;='I_Inputs &amp; Assumptions'!$B$8/2,'I_Budget Input Data'!$D$162*0.6/('I_Inputs &amp; Assumptions'!$B$8/2),'I_Budget Input Data'!$D$162*0.4/('I_Inputs &amp; Assumptions'!$B$8/2)),IF('I_Budget Input Data'!$E$162="Back-loaded",IF(31&lt;='I_Inputs &amp; Assumptions'!$B$8/2,'I_Budget Input Data'!$D$162*0.4/('I_Inputs &amp; Assumptions'!$B$8/2),'I_Budget Input Data'!$D$162*0.6/('I_Inputs &amp; Assumptions'!$B$8/2)),IF('I_Budget Input Data'!$E$162="Mid-weighted",IF(31&lt;='I_Inputs &amp; Assumptions'!$B$8/4,'I_Budget Input Data'!$D$162*0.2/('I_Inputs &amp; Assumptions'!$B$8/4),IF(31&lt;='I_Inputs &amp; Assumptions'!$B$8*0.75,'I_Budget Input Data'!$D$162*0.6/('I_Inputs &amp; Assumptions'!$B$8/2),'I_Budget Input Data'!$D$162*0.2/('I_Inputs &amp; Assumptions'!$B$8/4))),IF('I_Budget Input Data'!$E$162="At Completion",IF(31='I_Inputs &amp; Assumptions'!$B$8,'I_Budget Input Data'!$D$162,0),'I_Budget Input Data'!$D$162/'I_Inputs &amp; Assumptions'!$B$8)))))),0)</f>
        <v>0</v>
      </c>
      <c r="AH162" s="91">
        <f>IF(32&lt;='I_Inputs &amp; Assumptions'!$B$8,IF('I_Budget Input Data'!$E$162="Upfront",IF(32=1,'I_Budget Input Data'!$D$162,0),IF('I_Budget Input Data'!$E$162="Equal",'I_Budget Input Data'!$D$162/'I_Inputs &amp; Assumptions'!$B$8,IF('I_Budget Input Data'!$E$162="Front-loaded",IF(32&lt;='I_Inputs &amp; Assumptions'!$B$8/2,'I_Budget Input Data'!$D$162*0.6/('I_Inputs &amp; Assumptions'!$B$8/2),'I_Budget Input Data'!$D$162*0.4/('I_Inputs &amp; Assumptions'!$B$8/2)),IF('I_Budget Input Data'!$E$162="Back-loaded",IF(32&lt;='I_Inputs &amp; Assumptions'!$B$8/2,'I_Budget Input Data'!$D$162*0.4/('I_Inputs &amp; Assumptions'!$B$8/2),'I_Budget Input Data'!$D$162*0.6/('I_Inputs &amp; Assumptions'!$B$8/2)),IF('I_Budget Input Data'!$E$162="Mid-weighted",IF(32&lt;='I_Inputs &amp; Assumptions'!$B$8/4,'I_Budget Input Data'!$D$162*0.2/('I_Inputs &amp; Assumptions'!$B$8/4),IF(32&lt;='I_Inputs &amp; Assumptions'!$B$8*0.75,'I_Budget Input Data'!$D$162*0.6/('I_Inputs &amp; Assumptions'!$B$8/2),'I_Budget Input Data'!$D$162*0.2/('I_Inputs &amp; Assumptions'!$B$8/4))),IF('I_Budget Input Data'!$E$162="At Completion",IF(32='I_Inputs &amp; Assumptions'!$B$8,'I_Budget Input Data'!$D$162,0),'I_Budget Input Data'!$D$162/'I_Inputs &amp; Assumptions'!$B$8)))))),0)</f>
        <v>0</v>
      </c>
      <c r="AI162" s="91">
        <f>IF(33&lt;='I_Inputs &amp; Assumptions'!$B$8,IF('I_Budget Input Data'!$E$162="Upfront",IF(33=1,'I_Budget Input Data'!$D$162,0),IF('I_Budget Input Data'!$E$162="Equal",'I_Budget Input Data'!$D$162/'I_Inputs &amp; Assumptions'!$B$8,IF('I_Budget Input Data'!$E$162="Front-loaded",IF(33&lt;='I_Inputs &amp; Assumptions'!$B$8/2,'I_Budget Input Data'!$D$162*0.6/('I_Inputs &amp; Assumptions'!$B$8/2),'I_Budget Input Data'!$D$162*0.4/('I_Inputs &amp; Assumptions'!$B$8/2)),IF('I_Budget Input Data'!$E$162="Back-loaded",IF(33&lt;='I_Inputs &amp; Assumptions'!$B$8/2,'I_Budget Input Data'!$D$162*0.4/('I_Inputs &amp; Assumptions'!$B$8/2),'I_Budget Input Data'!$D$162*0.6/('I_Inputs &amp; Assumptions'!$B$8/2)),IF('I_Budget Input Data'!$E$162="Mid-weighted",IF(33&lt;='I_Inputs &amp; Assumptions'!$B$8/4,'I_Budget Input Data'!$D$162*0.2/('I_Inputs &amp; Assumptions'!$B$8/4),IF(33&lt;='I_Inputs &amp; Assumptions'!$B$8*0.75,'I_Budget Input Data'!$D$162*0.6/('I_Inputs &amp; Assumptions'!$B$8/2),'I_Budget Input Data'!$D$162*0.2/('I_Inputs &amp; Assumptions'!$B$8/4))),IF('I_Budget Input Data'!$E$162="At Completion",IF(33='I_Inputs &amp; Assumptions'!$B$8,'I_Budget Input Data'!$D$162,0),'I_Budget Input Data'!$D$162/'I_Inputs &amp; Assumptions'!$B$8)))))),0)</f>
        <v>0</v>
      </c>
      <c r="AJ162" s="91">
        <f>IF(34&lt;='I_Inputs &amp; Assumptions'!$B$8,IF('I_Budget Input Data'!$E$162="Upfront",IF(34=1,'I_Budget Input Data'!$D$162,0),IF('I_Budget Input Data'!$E$162="Equal",'I_Budget Input Data'!$D$162/'I_Inputs &amp; Assumptions'!$B$8,IF('I_Budget Input Data'!$E$162="Front-loaded",IF(34&lt;='I_Inputs &amp; Assumptions'!$B$8/2,'I_Budget Input Data'!$D$162*0.6/('I_Inputs &amp; Assumptions'!$B$8/2),'I_Budget Input Data'!$D$162*0.4/('I_Inputs &amp; Assumptions'!$B$8/2)),IF('I_Budget Input Data'!$E$162="Back-loaded",IF(34&lt;='I_Inputs &amp; Assumptions'!$B$8/2,'I_Budget Input Data'!$D$162*0.4/('I_Inputs &amp; Assumptions'!$B$8/2),'I_Budget Input Data'!$D$162*0.6/('I_Inputs &amp; Assumptions'!$B$8/2)),IF('I_Budget Input Data'!$E$162="Mid-weighted",IF(34&lt;='I_Inputs &amp; Assumptions'!$B$8/4,'I_Budget Input Data'!$D$162*0.2/('I_Inputs &amp; Assumptions'!$B$8/4),IF(34&lt;='I_Inputs &amp; Assumptions'!$B$8*0.75,'I_Budget Input Data'!$D$162*0.6/('I_Inputs &amp; Assumptions'!$B$8/2),'I_Budget Input Data'!$D$162*0.2/('I_Inputs &amp; Assumptions'!$B$8/4))),IF('I_Budget Input Data'!$E$162="At Completion",IF(34='I_Inputs &amp; Assumptions'!$B$8,'I_Budget Input Data'!$D$162,0),'I_Budget Input Data'!$D$162/'I_Inputs &amp; Assumptions'!$B$8)))))),0)</f>
        <v>0</v>
      </c>
      <c r="AK162" s="91">
        <f>IF(35&lt;='I_Inputs &amp; Assumptions'!$B$8,IF('I_Budget Input Data'!$E$162="Upfront",IF(35=1,'I_Budget Input Data'!$D$162,0),IF('I_Budget Input Data'!$E$162="Equal",'I_Budget Input Data'!$D$162/'I_Inputs &amp; Assumptions'!$B$8,IF('I_Budget Input Data'!$E$162="Front-loaded",IF(35&lt;='I_Inputs &amp; Assumptions'!$B$8/2,'I_Budget Input Data'!$D$162*0.6/('I_Inputs &amp; Assumptions'!$B$8/2),'I_Budget Input Data'!$D$162*0.4/('I_Inputs &amp; Assumptions'!$B$8/2)),IF('I_Budget Input Data'!$E$162="Back-loaded",IF(35&lt;='I_Inputs &amp; Assumptions'!$B$8/2,'I_Budget Input Data'!$D$162*0.4/('I_Inputs &amp; Assumptions'!$B$8/2),'I_Budget Input Data'!$D$162*0.6/('I_Inputs &amp; Assumptions'!$B$8/2)),IF('I_Budget Input Data'!$E$162="Mid-weighted",IF(35&lt;='I_Inputs &amp; Assumptions'!$B$8/4,'I_Budget Input Data'!$D$162*0.2/('I_Inputs &amp; Assumptions'!$B$8/4),IF(35&lt;='I_Inputs &amp; Assumptions'!$B$8*0.75,'I_Budget Input Data'!$D$162*0.6/('I_Inputs &amp; Assumptions'!$B$8/2),'I_Budget Input Data'!$D$162*0.2/('I_Inputs &amp; Assumptions'!$B$8/4))),IF('I_Budget Input Data'!$E$162="At Completion",IF(35='I_Inputs &amp; Assumptions'!$B$8,'I_Budget Input Data'!$D$162,0),'I_Budget Input Data'!$D$162/'I_Inputs &amp; Assumptions'!$B$8)))))),0)</f>
        <v>0</v>
      </c>
      <c r="AL162" s="91">
        <f>IF(36&lt;='I_Inputs &amp; Assumptions'!$B$8,IF('I_Budget Input Data'!$E$162="Upfront",IF(36=1,'I_Budget Input Data'!$D$162,0),IF('I_Budget Input Data'!$E$162="Equal",'I_Budget Input Data'!$D$162/'I_Inputs &amp; Assumptions'!$B$8,IF('I_Budget Input Data'!$E$162="Front-loaded",IF(36&lt;='I_Inputs &amp; Assumptions'!$B$8/2,'I_Budget Input Data'!$D$162*0.6/('I_Inputs &amp; Assumptions'!$B$8/2),'I_Budget Input Data'!$D$162*0.4/('I_Inputs &amp; Assumptions'!$B$8/2)),IF('I_Budget Input Data'!$E$162="Back-loaded",IF(36&lt;='I_Inputs &amp; Assumptions'!$B$8/2,'I_Budget Input Data'!$D$162*0.4/('I_Inputs &amp; Assumptions'!$B$8/2),'I_Budget Input Data'!$D$162*0.6/('I_Inputs &amp; Assumptions'!$B$8/2)),IF('I_Budget Input Data'!$E$162="Mid-weighted",IF(36&lt;='I_Inputs &amp; Assumptions'!$B$8/4,'I_Budget Input Data'!$D$162*0.2/('I_Inputs &amp; Assumptions'!$B$8/4),IF(36&lt;='I_Inputs &amp; Assumptions'!$B$8*0.75,'I_Budget Input Data'!$D$162*0.6/('I_Inputs &amp; Assumptions'!$B$8/2),'I_Budget Input Data'!$D$162*0.2/('I_Inputs &amp; Assumptions'!$B$8/4))),IF('I_Budget Input Data'!$E$162="At Completion",IF(36='I_Inputs &amp; Assumptions'!$B$8,'I_Budget Input Data'!$D$162,0),'I_Budget Input Data'!$D$162/'I_Inputs &amp; Assumptions'!$B$8)))))),0)</f>
        <v>0</v>
      </c>
    </row>
    <row r="163" spans="1:38" ht="15" customHeight="1" x14ac:dyDescent="0.2">
      <c r="A163" t="s">
        <v>270</v>
      </c>
      <c r="B163" t="s">
        <v>278</v>
      </c>
      <c r="C163" s="91">
        <f>IF(1&lt;='I_Inputs &amp; Assumptions'!$B$8,IF('I_Budget Input Data'!$E$163="Upfront",IF(1=1,'I_Budget Input Data'!$D$163,0),IF('I_Budget Input Data'!$E$163="Equal",'I_Budget Input Data'!$D$163/'I_Inputs &amp; Assumptions'!$B$8,IF('I_Budget Input Data'!$E$163="Front-loaded",IF(1&lt;='I_Inputs &amp; Assumptions'!$B$8/2,'I_Budget Input Data'!$D$163*0.6/('I_Inputs &amp; Assumptions'!$B$8/2),'I_Budget Input Data'!$D$163*0.4/('I_Inputs &amp; Assumptions'!$B$8/2)),IF('I_Budget Input Data'!$E$163="Back-loaded",IF(1&lt;='I_Inputs &amp; Assumptions'!$B$8/2,'I_Budget Input Data'!$D$163*0.4/('I_Inputs &amp; Assumptions'!$B$8/2),'I_Budget Input Data'!$D$163*0.6/('I_Inputs &amp; Assumptions'!$B$8/2)),IF('I_Budget Input Data'!$E$163="Mid-weighted",IF(1&lt;='I_Inputs &amp; Assumptions'!$B$8/4,'I_Budget Input Data'!$D$163*0.2/('I_Inputs &amp; Assumptions'!$B$8/4),IF(1&lt;='I_Inputs &amp; Assumptions'!$B$8*0.75,'I_Budget Input Data'!$D$163*0.6/('I_Inputs &amp; Assumptions'!$B$8/2),'I_Budget Input Data'!$D$163*0.2/('I_Inputs &amp; Assumptions'!$B$8/4))),IF('I_Budget Input Data'!$E$163="At Completion",IF(1='I_Inputs &amp; Assumptions'!$B$8,'I_Budget Input Data'!$D$163,0),'I_Budget Input Data'!$D$163/'I_Inputs &amp; Assumptions'!$B$8)))))),0)</f>
        <v>12965.076923076924</v>
      </c>
      <c r="D163" s="91">
        <f>IF(2&lt;='I_Inputs &amp; Assumptions'!$B$8,IF('I_Budget Input Data'!$E$163="Upfront",IF(2=1,'I_Budget Input Data'!$D$163,0),IF('I_Budget Input Data'!$E$163="Equal",'I_Budget Input Data'!$D$163/'I_Inputs &amp; Assumptions'!$B$8,IF('I_Budget Input Data'!$E$163="Front-loaded",IF(2&lt;='I_Inputs &amp; Assumptions'!$B$8/2,'I_Budget Input Data'!$D$163*0.6/('I_Inputs &amp; Assumptions'!$B$8/2),'I_Budget Input Data'!$D$163*0.4/('I_Inputs &amp; Assumptions'!$B$8/2)),IF('I_Budget Input Data'!$E$163="Back-loaded",IF(2&lt;='I_Inputs &amp; Assumptions'!$B$8/2,'I_Budget Input Data'!$D$163*0.4/('I_Inputs &amp; Assumptions'!$B$8/2),'I_Budget Input Data'!$D$163*0.6/('I_Inputs &amp; Assumptions'!$B$8/2)),IF('I_Budget Input Data'!$E$163="Mid-weighted",IF(2&lt;='I_Inputs &amp; Assumptions'!$B$8/4,'I_Budget Input Data'!$D$163*0.2/('I_Inputs &amp; Assumptions'!$B$8/4),IF(2&lt;='I_Inputs &amp; Assumptions'!$B$8*0.75,'I_Budget Input Data'!$D$163*0.6/('I_Inputs &amp; Assumptions'!$B$8/2),'I_Budget Input Data'!$D$163*0.2/('I_Inputs &amp; Assumptions'!$B$8/4))),IF('I_Budget Input Data'!$E$163="At Completion",IF(2='I_Inputs &amp; Assumptions'!$B$8,'I_Budget Input Data'!$D$163,0),'I_Budget Input Data'!$D$163/'I_Inputs &amp; Assumptions'!$B$8)))))),0)</f>
        <v>12965.076923076924</v>
      </c>
      <c r="E163" s="91">
        <f>IF(3&lt;='I_Inputs &amp; Assumptions'!$B$8,IF('I_Budget Input Data'!$E$163="Upfront",IF(3=1,'I_Budget Input Data'!$D$163,0),IF('I_Budget Input Data'!$E$163="Equal",'I_Budget Input Data'!$D$163/'I_Inputs &amp; Assumptions'!$B$8,IF('I_Budget Input Data'!$E$163="Front-loaded",IF(3&lt;='I_Inputs &amp; Assumptions'!$B$8/2,'I_Budget Input Data'!$D$163*0.6/('I_Inputs &amp; Assumptions'!$B$8/2),'I_Budget Input Data'!$D$163*0.4/('I_Inputs &amp; Assumptions'!$B$8/2)),IF('I_Budget Input Data'!$E$163="Back-loaded",IF(3&lt;='I_Inputs &amp; Assumptions'!$B$8/2,'I_Budget Input Data'!$D$163*0.4/('I_Inputs &amp; Assumptions'!$B$8/2),'I_Budget Input Data'!$D$163*0.6/('I_Inputs &amp; Assumptions'!$B$8/2)),IF('I_Budget Input Data'!$E$163="Mid-weighted",IF(3&lt;='I_Inputs &amp; Assumptions'!$B$8/4,'I_Budget Input Data'!$D$163*0.2/('I_Inputs &amp; Assumptions'!$B$8/4),IF(3&lt;='I_Inputs &amp; Assumptions'!$B$8*0.75,'I_Budget Input Data'!$D$163*0.6/('I_Inputs &amp; Assumptions'!$B$8/2),'I_Budget Input Data'!$D$163*0.2/('I_Inputs &amp; Assumptions'!$B$8/4))),IF('I_Budget Input Data'!$E$163="At Completion",IF(3='I_Inputs &amp; Assumptions'!$B$8,'I_Budget Input Data'!$D$163,0),'I_Budget Input Data'!$D$163/'I_Inputs &amp; Assumptions'!$B$8)))))),0)</f>
        <v>12965.076923076924</v>
      </c>
      <c r="F163" s="91">
        <f>IF(4&lt;='I_Inputs &amp; Assumptions'!$B$8,IF('I_Budget Input Data'!$E$163="Upfront",IF(4=1,'I_Budget Input Data'!$D$163,0),IF('I_Budget Input Data'!$E$163="Equal",'I_Budget Input Data'!$D$163/'I_Inputs &amp; Assumptions'!$B$8,IF('I_Budget Input Data'!$E$163="Front-loaded",IF(4&lt;='I_Inputs &amp; Assumptions'!$B$8/2,'I_Budget Input Data'!$D$163*0.6/('I_Inputs &amp; Assumptions'!$B$8/2),'I_Budget Input Data'!$D$163*0.4/('I_Inputs &amp; Assumptions'!$B$8/2)),IF('I_Budget Input Data'!$E$163="Back-loaded",IF(4&lt;='I_Inputs &amp; Assumptions'!$B$8/2,'I_Budget Input Data'!$D$163*0.4/('I_Inputs &amp; Assumptions'!$B$8/2),'I_Budget Input Data'!$D$163*0.6/('I_Inputs &amp; Assumptions'!$B$8/2)),IF('I_Budget Input Data'!$E$163="Mid-weighted",IF(4&lt;='I_Inputs &amp; Assumptions'!$B$8/4,'I_Budget Input Data'!$D$163*0.2/('I_Inputs &amp; Assumptions'!$B$8/4),IF(4&lt;='I_Inputs &amp; Assumptions'!$B$8*0.75,'I_Budget Input Data'!$D$163*0.6/('I_Inputs &amp; Assumptions'!$B$8/2),'I_Budget Input Data'!$D$163*0.2/('I_Inputs &amp; Assumptions'!$B$8/4))),IF('I_Budget Input Data'!$E$163="At Completion",IF(4='I_Inputs &amp; Assumptions'!$B$8,'I_Budget Input Data'!$D$163,0),'I_Budget Input Data'!$D$163/'I_Inputs &amp; Assumptions'!$B$8)))))),0)</f>
        <v>12965.076923076924</v>
      </c>
      <c r="G163" s="91">
        <f>IF(5&lt;='I_Inputs &amp; Assumptions'!$B$8,IF('I_Budget Input Data'!$E$163="Upfront",IF(5=1,'I_Budget Input Data'!$D$163,0),IF('I_Budget Input Data'!$E$163="Equal",'I_Budget Input Data'!$D$163/'I_Inputs &amp; Assumptions'!$B$8,IF('I_Budget Input Data'!$E$163="Front-loaded",IF(5&lt;='I_Inputs &amp; Assumptions'!$B$8/2,'I_Budget Input Data'!$D$163*0.6/('I_Inputs &amp; Assumptions'!$B$8/2),'I_Budget Input Data'!$D$163*0.4/('I_Inputs &amp; Assumptions'!$B$8/2)),IF('I_Budget Input Data'!$E$163="Back-loaded",IF(5&lt;='I_Inputs &amp; Assumptions'!$B$8/2,'I_Budget Input Data'!$D$163*0.4/('I_Inputs &amp; Assumptions'!$B$8/2),'I_Budget Input Data'!$D$163*0.6/('I_Inputs &amp; Assumptions'!$B$8/2)),IF('I_Budget Input Data'!$E$163="Mid-weighted",IF(5&lt;='I_Inputs &amp; Assumptions'!$B$8/4,'I_Budget Input Data'!$D$163*0.2/('I_Inputs &amp; Assumptions'!$B$8/4),IF(5&lt;='I_Inputs &amp; Assumptions'!$B$8*0.75,'I_Budget Input Data'!$D$163*0.6/('I_Inputs &amp; Assumptions'!$B$8/2),'I_Budget Input Data'!$D$163*0.2/('I_Inputs &amp; Assumptions'!$B$8/4))),IF('I_Budget Input Data'!$E$163="At Completion",IF(5='I_Inputs &amp; Assumptions'!$B$8,'I_Budget Input Data'!$D$163,0),'I_Budget Input Data'!$D$163/'I_Inputs &amp; Assumptions'!$B$8)))))),0)</f>
        <v>12965.076923076924</v>
      </c>
      <c r="H163" s="91">
        <f>IF(6&lt;='I_Inputs &amp; Assumptions'!$B$8,IF('I_Budget Input Data'!$E$163="Upfront",IF(6=1,'I_Budget Input Data'!$D$163,0),IF('I_Budget Input Data'!$E$163="Equal",'I_Budget Input Data'!$D$163/'I_Inputs &amp; Assumptions'!$B$8,IF('I_Budget Input Data'!$E$163="Front-loaded",IF(6&lt;='I_Inputs &amp; Assumptions'!$B$8/2,'I_Budget Input Data'!$D$163*0.6/('I_Inputs &amp; Assumptions'!$B$8/2),'I_Budget Input Data'!$D$163*0.4/('I_Inputs &amp; Assumptions'!$B$8/2)),IF('I_Budget Input Data'!$E$163="Back-loaded",IF(6&lt;='I_Inputs &amp; Assumptions'!$B$8/2,'I_Budget Input Data'!$D$163*0.4/('I_Inputs &amp; Assumptions'!$B$8/2),'I_Budget Input Data'!$D$163*0.6/('I_Inputs &amp; Assumptions'!$B$8/2)),IF('I_Budget Input Data'!$E$163="Mid-weighted",IF(6&lt;='I_Inputs &amp; Assumptions'!$B$8/4,'I_Budget Input Data'!$D$163*0.2/('I_Inputs &amp; Assumptions'!$B$8/4),IF(6&lt;='I_Inputs &amp; Assumptions'!$B$8*0.75,'I_Budget Input Data'!$D$163*0.6/('I_Inputs &amp; Assumptions'!$B$8/2),'I_Budget Input Data'!$D$163*0.2/('I_Inputs &amp; Assumptions'!$B$8/4))),IF('I_Budget Input Data'!$E$163="At Completion",IF(6='I_Inputs &amp; Assumptions'!$B$8,'I_Budget Input Data'!$D$163,0),'I_Budget Input Data'!$D$163/'I_Inputs &amp; Assumptions'!$B$8)))))),0)</f>
        <v>12965.076923076924</v>
      </c>
      <c r="I163" s="91">
        <f>IF(7&lt;='I_Inputs &amp; Assumptions'!$B$8,IF('I_Budget Input Data'!$E$163="Upfront",IF(7=1,'I_Budget Input Data'!$D$163,0),IF('I_Budget Input Data'!$E$163="Equal",'I_Budget Input Data'!$D$163/'I_Inputs &amp; Assumptions'!$B$8,IF('I_Budget Input Data'!$E$163="Front-loaded",IF(7&lt;='I_Inputs &amp; Assumptions'!$B$8/2,'I_Budget Input Data'!$D$163*0.6/('I_Inputs &amp; Assumptions'!$B$8/2),'I_Budget Input Data'!$D$163*0.4/('I_Inputs &amp; Assumptions'!$B$8/2)),IF('I_Budget Input Data'!$E$163="Back-loaded",IF(7&lt;='I_Inputs &amp; Assumptions'!$B$8/2,'I_Budget Input Data'!$D$163*0.4/('I_Inputs &amp; Assumptions'!$B$8/2),'I_Budget Input Data'!$D$163*0.6/('I_Inputs &amp; Assumptions'!$B$8/2)),IF('I_Budget Input Data'!$E$163="Mid-weighted",IF(7&lt;='I_Inputs &amp; Assumptions'!$B$8/4,'I_Budget Input Data'!$D$163*0.2/('I_Inputs &amp; Assumptions'!$B$8/4),IF(7&lt;='I_Inputs &amp; Assumptions'!$B$8*0.75,'I_Budget Input Data'!$D$163*0.6/('I_Inputs &amp; Assumptions'!$B$8/2),'I_Budget Input Data'!$D$163*0.2/('I_Inputs &amp; Assumptions'!$B$8/4))),IF('I_Budget Input Data'!$E$163="At Completion",IF(7='I_Inputs &amp; Assumptions'!$B$8,'I_Budget Input Data'!$D$163,0),'I_Budget Input Data'!$D$163/'I_Inputs &amp; Assumptions'!$B$8)))))),0)</f>
        <v>12965.076923076924</v>
      </c>
      <c r="J163" s="91">
        <f>IF(8&lt;='I_Inputs &amp; Assumptions'!$B$8,IF('I_Budget Input Data'!$E$163="Upfront",IF(8=1,'I_Budget Input Data'!$D$163,0),IF('I_Budget Input Data'!$E$163="Equal",'I_Budget Input Data'!$D$163/'I_Inputs &amp; Assumptions'!$B$8,IF('I_Budget Input Data'!$E$163="Front-loaded",IF(8&lt;='I_Inputs &amp; Assumptions'!$B$8/2,'I_Budget Input Data'!$D$163*0.6/('I_Inputs &amp; Assumptions'!$B$8/2),'I_Budget Input Data'!$D$163*0.4/('I_Inputs &amp; Assumptions'!$B$8/2)),IF('I_Budget Input Data'!$E$163="Back-loaded",IF(8&lt;='I_Inputs &amp; Assumptions'!$B$8/2,'I_Budget Input Data'!$D$163*0.4/('I_Inputs &amp; Assumptions'!$B$8/2),'I_Budget Input Data'!$D$163*0.6/('I_Inputs &amp; Assumptions'!$B$8/2)),IF('I_Budget Input Data'!$E$163="Mid-weighted",IF(8&lt;='I_Inputs &amp; Assumptions'!$B$8/4,'I_Budget Input Data'!$D$163*0.2/('I_Inputs &amp; Assumptions'!$B$8/4),IF(8&lt;='I_Inputs &amp; Assumptions'!$B$8*0.75,'I_Budget Input Data'!$D$163*0.6/('I_Inputs &amp; Assumptions'!$B$8/2),'I_Budget Input Data'!$D$163*0.2/('I_Inputs &amp; Assumptions'!$B$8/4))),IF('I_Budget Input Data'!$E$163="At Completion",IF(8='I_Inputs &amp; Assumptions'!$B$8,'I_Budget Input Data'!$D$163,0),'I_Budget Input Data'!$D$163/'I_Inputs &amp; Assumptions'!$B$8)))))),0)</f>
        <v>12965.076923076924</v>
      </c>
      <c r="K163" s="91">
        <f>IF(9&lt;='I_Inputs &amp; Assumptions'!$B$8,IF('I_Budget Input Data'!$E$163="Upfront",IF(9=1,'I_Budget Input Data'!$D$163,0),IF('I_Budget Input Data'!$E$163="Equal",'I_Budget Input Data'!$D$163/'I_Inputs &amp; Assumptions'!$B$8,IF('I_Budget Input Data'!$E$163="Front-loaded",IF(9&lt;='I_Inputs &amp; Assumptions'!$B$8/2,'I_Budget Input Data'!$D$163*0.6/('I_Inputs &amp; Assumptions'!$B$8/2),'I_Budget Input Data'!$D$163*0.4/('I_Inputs &amp; Assumptions'!$B$8/2)),IF('I_Budget Input Data'!$E$163="Back-loaded",IF(9&lt;='I_Inputs &amp; Assumptions'!$B$8/2,'I_Budget Input Data'!$D$163*0.4/('I_Inputs &amp; Assumptions'!$B$8/2),'I_Budget Input Data'!$D$163*0.6/('I_Inputs &amp; Assumptions'!$B$8/2)),IF('I_Budget Input Data'!$E$163="Mid-weighted",IF(9&lt;='I_Inputs &amp; Assumptions'!$B$8/4,'I_Budget Input Data'!$D$163*0.2/('I_Inputs &amp; Assumptions'!$B$8/4),IF(9&lt;='I_Inputs &amp; Assumptions'!$B$8*0.75,'I_Budget Input Data'!$D$163*0.6/('I_Inputs &amp; Assumptions'!$B$8/2),'I_Budget Input Data'!$D$163*0.2/('I_Inputs &amp; Assumptions'!$B$8/4))),IF('I_Budget Input Data'!$E$163="At Completion",IF(9='I_Inputs &amp; Assumptions'!$B$8,'I_Budget Input Data'!$D$163,0),'I_Budget Input Data'!$D$163/'I_Inputs &amp; Assumptions'!$B$8)))))),0)</f>
        <v>12965.076923076924</v>
      </c>
      <c r="L163" s="91">
        <f>IF(10&lt;='I_Inputs &amp; Assumptions'!$B$8,IF('I_Budget Input Data'!$E$163="Upfront",IF(10=1,'I_Budget Input Data'!$D$163,0),IF('I_Budget Input Data'!$E$163="Equal",'I_Budget Input Data'!$D$163/'I_Inputs &amp; Assumptions'!$B$8,IF('I_Budget Input Data'!$E$163="Front-loaded",IF(10&lt;='I_Inputs &amp; Assumptions'!$B$8/2,'I_Budget Input Data'!$D$163*0.6/('I_Inputs &amp; Assumptions'!$B$8/2),'I_Budget Input Data'!$D$163*0.4/('I_Inputs &amp; Assumptions'!$B$8/2)),IF('I_Budget Input Data'!$E$163="Back-loaded",IF(10&lt;='I_Inputs &amp; Assumptions'!$B$8/2,'I_Budget Input Data'!$D$163*0.4/('I_Inputs &amp; Assumptions'!$B$8/2),'I_Budget Input Data'!$D$163*0.6/('I_Inputs &amp; Assumptions'!$B$8/2)),IF('I_Budget Input Data'!$E$163="Mid-weighted",IF(10&lt;='I_Inputs &amp; Assumptions'!$B$8/4,'I_Budget Input Data'!$D$163*0.2/('I_Inputs &amp; Assumptions'!$B$8/4),IF(10&lt;='I_Inputs &amp; Assumptions'!$B$8*0.75,'I_Budget Input Data'!$D$163*0.6/('I_Inputs &amp; Assumptions'!$B$8/2),'I_Budget Input Data'!$D$163*0.2/('I_Inputs &amp; Assumptions'!$B$8/4))),IF('I_Budget Input Data'!$E$163="At Completion",IF(10='I_Inputs &amp; Assumptions'!$B$8,'I_Budget Input Data'!$D$163,0),'I_Budget Input Data'!$D$163/'I_Inputs &amp; Assumptions'!$B$8)))))),0)</f>
        <v>12965.076923076924</v>
      </c>
      <c r="M163" s="91">
        <f>IF(11&lt;='I_Inputs &amp; Assumptions'!$B$8,IF('I_Budget Input Data'!$E$163="Upfront",IF(11=1,'I_Budget Input Data'!$D$163,0),IF('I_Budget Input Data'!$E$163="Equal",'I_Budget Input Data'!$D$163/'I_Inputs &amp; Assumptions'!$B$8,IF('I_Budget Input Data'!$E$163="Front-loaded",IF(11&lt;='I_Inputs &amp; Assumptions'!$B$8/2,'I_Budget Input Data'!$D$163*0.6/('I_Inputs &amp; Assumptions'!$B$8/2),'I_Budget Input Data'!$D$163*0.4/('I_Inputs &amp; Assumptions'!$B$8/2)),IF('I_Budget Input Data'!$E$163="Back-loaded",IF(11&lt;='I_Inputs &amp; Assumptions'!$B$8/2,'I_Budget Input Data'!$D$163*0.4/('I_Inputs &amp; Assumptions'!$B$8/2),'I_Budget Input Data'!$D$163*0.6/('I_Inputs &amp; Assumptions'!$B$8/2)),IF('I_Budget Input Data'!$E$163="Mid-weighted",IF(11&lt;='I_Inputs &amp; Assumptions'!$B$8/4,'I_Budget Input Data'!$D$163*0.2/('I_Inputs &amp; Assumptions'!$B$8/4),IF(11&lt;='I_Inputs &amp; Assumptions'!$B$8*0.75,'I_Budget Input Data'!$D$163*0.6/('I_Inputs &amp; Assumptions'!$B$8/2),'I_Budget Input Data'!$D$163*0.2/('I_Inputs &amp; Assumptions'!$B$8/4))),IF('I_Budget Input Data'!$E$163="At Completion",IF(11='I_Inputs &amp; Assumptions'!$B$8,'I_Budget Input Data'!$D$163,0),'I_Budget Input Data'!$D$163/'I_Inputs &amp; Assumptions'!$B$8)))))),0)</f>
        <v>12965.076923076924</v>
      </c>
      <c r="N163" s="91">
        <f>IF(12&lt;='I_Inputs &amp; Assumptions'!$B$8,IF('I_Budget Input Data'!$E$163="Upfront",IF(12=1,'I_Budget Input Data'!$D$163,0),IF('I_Budget Input Data'!$E$163="Equal",'I_Budget Input Data'!$D$163/'I_Inputs &amp; Assumptions'!$B$8,IF('I_Budget Input Data'!$E$163="Front-loaded",IF(12&lt;='I_Inputs &amp; Assumptions'!$B$8/2,'I_Budget Input Data'!$D$163*0.6/('I_Inputs &amp; Assumptions'!$B$8/2),'I_Budget Input Data'!$D$163*0.4/('I_Inputs &amp; Assumptions'!$B$8/2)),IF('I_Budget Input Data'!$E$163="Back-loaded",IF(12&lt;='I_Inputs &amp; Assumptions'!$B$8/2,'I_Budget Input Data'!$D$163*0.4/('I_Inputs &amp; Assumptions'!$B$8/2),'I_Budget Input Data'!$D$163*0.6/('I_Inputs &amp; Assumptions'!$B$8/2)),IF('I_Budget Input Data'!$E$163="Mid-weighted",IF(12&lt;='I_Inputs &amp; Assumptions'!$B$8/4,'I_Budget Input Data'!$D$163*0.2/('I_Inputs &amp; Assumptions'!$B$8/4),IF(12&lt;='I_Inputs &amp; Assumptions'!$B$8*0.75,'I_Budget Input Data'!$D$163*0.6/('I_Inputs &amp; Assumptions'!$B$8/2),'I_Budget Input Data'!$D$163*0.2/('I_Inputs &amp; Assumptions'!$B$8/4))),IF('I_Budget Input Data'!$E$163="At Completion",IF(12='I_Inputs &amp; Assumptions'!$B$8,'I_Budget Input Data'!$D$163,0),'I_Budget Input Data'!$D$163/'I_Inputs &amp; Assumptions'!$B$8)))))),0)</f>
        <v>12965.076923076924</v>
      </c>
      <c r="O163" s="91">
        <f>IF(13&lt;='I_Inputs &amp; Assumptions'!$B$8,IF('I_Budget Input Data'!$E$163="Upfront",IF(13=1,'I_Budget Input Data'!$D$163,0),IF('I_Budget Input Data'!$E$163="Equal",'I_Budget Input Data'!$D$163/'I_Inputs &amp; Assumptions'!$B$8,IF('I_Budget Input Data'!$E$163="Front-loaded",IF(13&lt;='I_Inputs &amp; Assumptions'!$B$8/2,'I_Budget Input Data'!$D$163*0.6/('I_Inputs &amp; Assumptions'!$B$8/2),'I_Budget Input Data'!$D$163*0.4/('I_Inputs &amp; Assumptions'!$B$8/2)),IF('I_Budget Input Data'!$E$163="Back-loaded",IF(13&lt;='I_Inputs &amp; Assumptions'!$B$8/2,'I_Budget Input Data'!$D$163*0.4/('I_Inputs &amp; Assumptions'!$B$8/2),'I_Budget Input Data'!$D$163*0.6/('I_Inputs &amp; Assumptions'!$B$8/2)),IF('I_Budget Input Data'!$E$163="Mid-weighted",IF(13&lt;='I_Inputs &amp; Assumptions'!$B$8/4,'I_Budget Input Data'!$D$163*0.2/('I_Inputs &amp; Assumptions'!$B$8/4),IF(13&lt;='I_Inputs &amp; Assumptions'!$B$8*0.75,'I_Budget Input Data'!$D$163*0.6/('I_Inputs &amp; Assumptions'!$B$8/2),'I_Budget Input Data'!$D$163*0.2/('I_Inputs &amp; Assumptions'!$B$8/4))),IF('I_Budget Input Data'!$E$163="At Completion",IF(13='I_Inputs &amp; Assumptions'!$B$8,'I_Budget Input Data'!$D$163,0),'I_Budget Input Data'!$D$163/'I_Inputs &amp; Assumptions'!$B$8)))))),0)</f>
        <v>12965.076923076924</v>
      </c>
      <c r="P163" s="91">
        <f>IF(14&lt;='I_Inputs &amp; Assumptions'!$B$8,IF('I_Budget Input Data'!$E$163="Upfront",IF(14=1,'I_Budget Input Data'!$D$163,0),IF('I_Budget Input Data'!$E$163="Equal",'I_Budget Input Data'!$D$163/'I_Inputs &amp; Assumptions'!$B$8,IF('I_Budget Input Data'!$E$163="Front-loaded",IF(14&lt;='I_Inputs &amp; Assumptions'!$B$8/2,'I_Budget Input Data'!$D$163*0.6/('I_Inputs &amp; Assumptions'!$B$8/2),'I_Budget Input Data'!$D$163*0.4/('I_Inputs &amp; Assumptions'!$B$8/2)),IF('I_Budget Input Data'!$E$163="Back-loaded",IF(14&lt;='I_Inputs &amp; Assumptions'!$B$8/2,'I_Budget Input Data'!$D$163*0.4/('I_Inputs &amp; Assumptions'!$B$8/2),'I_Budget Input Data'!$D$163*0.6/('I_Inputs &amp; Assumptions'!$B$8/2)),IF('I_Budget Input Data'!$E$163="Mid-weighted",IF(14&lt;='I_Inputs &amp; Assumptions'!$B$8/4,'I_Budget Input Data'!$D$163*0.2/('I_Inputs &amp; Assumptions'!$B$8/4),IF(14&lt;='I_Inputs &amp; Assumptions'!$B$8*0.75,'I_Budget Input Data'!$D$163*0.6/('I_Inputs &amp; Assumptions'!$B$8/2),'I_Budget Input Data'!$D$163*0.2/('I_Inputs &amp; Assumptions'!$B$8/4))),IF('I_Budget Input Data'!$E$163="At Completion",IF(14='I_Inputs &amp; Assumptions'!$B$8,'I_Budget Input Data'!$D$163,0),'I_Budget Input Data'!$D$163/'I_Inputs &amp; Assumptions'!$B$8)))))),0)</f>
        <v>0</v>
      </c>
      <c r="Q163" s="91">
        <f>IF(15&lt;='I_Inputs &amp; Assumptions'!$B$8,IF('I_Budget Input Data'!$E$163="Upfront",IF(15=1,'I_Budget Input Data'!$D$163,0),IF('I_Budget Input Data'!$E$163="Equal",'I_Budget Input Data'!$D$163/'I_Inputs &amp; Assumptions'!$B$8,IF('I_Budget Input Data'!$E$163="Front-loaded",IF(15&lt;='I_Inputs &amp; Assumptions'!$B$8/2,'I_Budget Input Data'!$D$163*0.6/('I_Inputs &amp; Assumptions'!$B$8/2),'I_Budget Input Data'!$D$163*0.4/('I_Inputs &amp; Assumptions'!$B$8/2)),IF('I_Budget Input Data'!$E$163="Back-loaded",IF(15&lt;='I_Inputs &amp; Assumptions'!$B$8/2,'I_Budget Input Data'!$D$163*0.4/('I_Inputs &amp; Assumptions'!$B$8/2),'I_Budget Input Data'!$D$163*0.6/('I_Inputs &amp; Assumptions'!$B$8/2)),IF('I_Budget Input Data'!$E$163="Mid-weighted",IF(15&lt;='I_Inputs &amp; Assumptions'!$B$8/4,'I_Budget Input Data'!$D$163*0.2/('I_Inputs &amp; Assumptions'!$B$8/4),IF(15&lt;='I_Inputs &amp; Assumptions'!$B$8*0.75,'I_Budget Input Data'!$D$163*0.6/('I_Inputs &amp; Assumptions'!$B$8/2),'I_Budget Input Data'!$D$163*0.2/('I_Inputs &amp; Assumptions'!$B$8/4))),IF('I_Budget Input Data'!$E$163="At Completion",IF(15='I_Inputs &amp; Assumptions'!$B$8,'I_Budget Input Data'!$D$163,0),'I_Budget Input Data'!$D$163/'I_Inputs &amp; Assumptions'!$B$8)))))),0)</f>
        <v>0</v>
      </c>
      <c r="R163" s="91">
        <f>IF(16&lt;='I_Inputs &amp; Assumptions'!$B$8,IF('I_Budget Input Data'!$E$163="Upfront",IF(16=1,'I_Budget Input Data'!$D$163,0),IF('I_Budget Input Data'!$E$163="Equal",'I_Budget Input Data'!$D$163/'I_Inputs &amp; Assumptions'!$B$8,IF('I_Budget Input Data'!$E$163="Front-loaded",IF(16&lt;='I_Inputs &amp; Assumptions'!$B$8/2,'I_Budget Input Data'!$D$163*0.6/('I_Inputs &amp; Assumptions'!$B$8/2),'I_Budget Input Data'!$D$163*0.4/('I_Inputs &amp; Assumptions'!$B$8/2)),IF('I_Budget Input Data'!$E$163="Back-loaded",IF(16&lt;='I_Inputs &amp; Assumptions'!$B$8/2,'I_Budget Input Data'!$D$163*0.4/('I_Inputs &amp; Assumptions'!$B$8/2),'I_Budget Input Data'!$D$163*0.6/('I_Inputs &amp; Assumptions'!$B$8/2)),IF('I_Budget Input Data'!$E$163="Mid-weighted",IF(16&lt;='I_Inputs &amp; Assumptions'!$B$8/4,'I_Budget Input Data'!$D$163*0.2/('I_Inputs &amp; Assumptions'!$B$8/4),IF(16&lt;='I_Inputs &amp; Assumptions'!$B$8*0.75,'I_Budget Input Data'!$D$163*0.6/('I_Inputs &amp; Assumptions'!$B$8/2),'I_Budget Input Data'!$D$163*0.2/('I_Inputs &amp; Assumptions'!$B$8/4))),IF('I_Budget Input Data'!$E$163="At Completion",IF(16='I_Inputs &amp; Assumptions'!$B$8,'I_Budget Input Data'!$D$163,0),'I_Budget Input Data'!$D$163/'I_Inputs &amp; Assumptions'!$B$8)))))),0)</f>
        <v>0</v>
      </c>
      <c r="S163" s="91">
        <f>IF(17&lt;='I_Inputs &amp; Assumptions'!$B$8,IF('I_Budget Input Data'!$E$163="Upfront",IF(17=1,'I_Budget Input Data'!$D$163,0),IF('I_Budget Input Data'!$E$163="Equal",'I_Budget Input Data'!$D$163/'I_Inputs &amp; Assumptions'!$B$8,IF('I_Budget Input Data'!$E$163="Front-loaded",IF(17&lt;='I_Inputs &amp; Assumptions'!$B$8/2,'I_Budget Input Data'!$D$163*0.6/('I_Inputs &amp; Assumptions'!$B$8/2),'I_Budget Input Data'!$D$163*0.4/('I_Inputs &amp; Assumptions'!$B$8/2)),IF('I_Budget Input Data'!$E$163="Back-loaded",IF(17&lt;='I_Inputs &amp; Assumptions'!$B$8/2,'I_Budget Input Data'!$D$163*0.4/('I_Inputs &amp; Assumptions'!$B$8/2),'I_Budget Input Data'!$D$163*0.6/('I_Inputs &amp; Assumptions'!$B$8/2)),IF('I_Budget Input Data'!$E$163="Mid-weighted",IF(17&lt;='I_Inputs &amp; Assumptions'!$B$8/4,'I_Budget Input Data'!$D$163*0.2/('I_Inputs &amp; Assumptions'!$B$8/4),IF(17&lt;='I_Inputs &amp; Assumptions'!$B$8*0.75,'I_Budget Input Data'!$D$163*0.6/('I_Inputs &amp; Assumptions'!$B$8/2),'I_Budget Input Data'!$D$163*0.2/('I_Inputs &amp; Assumptions'!$B$8/4))),IF('I_Budget Input Data'!$E$163="At Completion",IF(17='I_Inputs &amp; Assumptions'!$B$8,'I_Budget Input Data'!$D$163,0),'I_Budget Input Data'!$D$163/'I_Inputs &amp; Assumptions'!$B$8)))))),0)</f>
        <v>0</v>
      </c>
      <c r="T163" s="91">
        <f>IF(18&lt;='I_Inputs &amp; Assumptions'!$B$8,IF('I_Budget Input Data'!$E$163="Upfront",IF(18=1,'I_Budget Input Data'!$D$163,0),IF('I_Budget Input Data'!$E$163="Equal",'I_Budget Input Data'!$D$163/'I_Inputs &amp; Assumptions'!$B$8,IF('I_Budget Input Data'!$E$163="Front-loaded",IF(18&lt;='I_Inputs &amp; Assumptions'!$B$8/2,'I_Budget Input Data'!$D$163*0.6/('I_Inputs &amp; Assumptions'!$B$8/2),'I_Budget Input Data'!$D$163*0.4/('I_Inputs &amp; Assumptions'!$B$8/2)),IF('I_Budget Input Data'!$E$163="Back-loaded",IF(18&lt;='I_Inputs &amp; Assumptions'!$B$8/2,'I_Budget Input Data'!$D$163*0.4/('I_Inputs &amp; Assumptions'!$B$8/2),'I_Budget Input Data'!$D$163*0.6/('I_Inputs &amp; Assumptions'!$B$8/2)),IF('I_Budget Input Data'!$E$163="Mid-weighted",IF(18&lt;='I_Inputs &amp; Assumptions'!$B$8/4,'I_Budget Input Data'!$D$163*0.2/('I_Inputs &amp; Assumptions'!$B$8/4),IF(18&lt;='I_Inputs &amp; Assumptions'!$B$8*0.75,'I_Budget Input Data'!$D$163*0.6/('I_Inputs &amp; Assumptions'!$B$8/2),'I_Budget Input Data'!$D$163*0.2/('I_Inputs &amp; Assumptions'!$B$8/4))),IF('I_Budget Input Data'!$E$163="At Completion",IF(18='I_Inputs &amp; Assumptions'!$B$8,'I_Budget Input Data'!$D$163,0),'I_Budget Input Data'!$D$163/'I_Inputs &amp; Assumptions'!$B$8)))))),0)</f>
        <v>0</v>
      </c>
      <c r="U163" s="91">
        <f>IF(19&lt;='I_Inputs &amp; Assumptions'!$B$8,IF('I_Budget Input Data'!$E$163="Upfront",IF(19=1,'I_Budget Input Data'!$D$163,0),IF('I_Budget Input Data'!$E$163="Equal",'I_Budget Input Data'!$D$163/'I_Inputs &amp; Assumptions'!$B$8,IF('I_Budget Input Data'!$E$163="Front-loaded",IF(19&lt;='I_Inputs &amp; Assumptions'!$B$8/2,'I_Budget Input Data'!$D$163*0.6/('I_Inputs &amp; Assumptions'!$B$8/2),'I_Budget Input Data'!$D$163*0.4/('I_Inputs &amp; Assumptions'!$B$8/2)),IF('I_Budget Input Data'!$E$163="Back-loaded",IF(19&lt;='I_Inputs &amp; Assumptions'!$B$8/2,'I_Budget Input Data'!$D$163*0.4/('I_Inputs &amp; Assumptions'!$B$8/2),'I_Budget Input Data'!$D$163*0.6/('I_Inputs &amp; Assumptions'!$B$8/2)),IF('I_Budget Input Data'!$E$163="Mid-weighted",IF(19&lt;='I_Inputs &amp; Assumptions'!$B$8/4,'I_Budget Input Data'!$D$163*0.2/('I_Inputs &amp; Assumptions'!$B$8/4),IF(19&lt;='I_Inputs &amp; Assumptions'!$B$8*0.75,'I_Budget Input Data'!$D$163*0.6/('I_Inputs &amp; Assumptions'!$B$8/2),'I_Budget Input Data'!$D$163*0.2/('I_Inputs &amp; Assumptions'!$B$8/4))),IF('I_Budget Input Data'!$E$163="At Completion",IF(19='I_Inputs &amp; Assumptions'!$B$8,'I_Budget Input Data'!$D$163,0),'I_Budget Input Data'!$D$163/'I_Inputs &amp; Assumptions'!$B$8)))))),0)</f>
        <v>0</v>
      </c>
      <c r="V163" s="91">
        <f>IF(20&lt;='I_Inputs &amp; Assumptions'!$B$8,IF('I_Budget Input Data'!$E$163="Upfront",IF(20=1,'I_Budget Input Data'!$D$163,0),IF('I_Budget Input Data'!$E$163="Equal",'I_Budget Input Data'!$D$163/'I_Inputs &amp; Assumptions'!$B$8,IF('I_Budget Input Data'!$E$163="Front-loaded",IF(20&lt;='I_Inputs &amp; Assumptions'!$B$8/2,'I_Budget Input Data'!$D$163*0.6/('I_Inputs &amp; Assumptions'!$B$8/2),'I_Budget Input Data'!$D$163*0.4/('I_Inputs &amp; Assumptions'!$B$8/2)),IF('I_Budget Input Data'!$E$163="Back-loaded",IF(20&lt;='I_Inputs &amp; Assumptions'!$B$8/2,'I_Budget Input Data'!$D$163*0.4/('I_Inputs &amp; Assumptions'!$B$8/2),'I_Budget Input Data'!$D$163*0.6/('I_Inputs &amp; Assumptions'!$B$8/2)),IF('I_Budget Input Data'!$E$163="Mid-weighted",IF(20&lt;='I_Inputs &amp; Assumptions'!$B$8/4,'I_Budget Input Data'!$D$163*0.2/('I_Inputs &amp; Assumptions'!$B$8/4),IF(20&lt;='I_Inputs &amp; Assumptions'!$B$8*0.75,'I_Budget Input Data'!$D$163*0.6/('I_Inputs &amp; Assumptions'!$B$8/2),'I_Budget Input Data'!$D$163*0.2/('I_Inputs &amp; Assumptions'!$B$8/4))),IF('I_Budget Input Data'!$E$163="At Completion",IF(20='I_Inputs &amp; Assumptions'!$B$8,'I_Budget Input Data'!$D$163,0),'I_Budget Input Data'!$D$163/'I_Inputs &amp; Assumptions'!$B$8)))))),0)</f>
        <v>0</v>
      </c>
      <c r="W163" s="91">
        <f>IF(21&lt;='I_Inputs &amp; Assumptions'!$B$8,IF('I_Budget Input Data'!$E$163="Upfront",IF(21=1,'I_Budget Input Data'!$D$163,0),IF('I_Budget Input Data'!$E$163="Equal",'I_Budget Input Data'!$D$163/'I_Inputs &amp; Assumptions'!$B$8,IF('I_Budget Input Data'!$E$163="Front-loaded",IF(21&lt;='I_Inputs &amp; Assumptions'!$B$8/2,'I_Budget Input Data'!$D$163*0.6/('I_Inputs &amp; Assumptions'!$B$8/2),'I_Budget Input Data'!$D$163*0.4/('I_Inputs &amp; Assumptions'!$B$8/2)),IF('I_Budget Input Data'!$E$163="Back-loaded",IF(21&lt;='I_Inputs &amp; Assumptions'!$B$8/2,'I_Budget Input Data'!$D$163*0.4/('I_Inputs &amp; Assumptions'!$B$8/2),'I_Budget Input Data'!$D$163*0.6/('I_Inputs &amp; Assumptions'!$B$8/2)),IF('I_Budget Input Data'!$E$163="Mid-weighted",IF(21&lt;='I_Inputs &amp; Assumptions'!$B$8/4,'I_Budget Input Data'!$D$163*0.2/('I_Inputs &amp; Assumptions'!$B$8/4),IF(21&lt;='I_Inputs &amp; Assumptions'!$B$8*0.75,'I_Budget Input Data'!$D$163*0.6/('I_Inputs &amp; Assumptions'!$B$8/2),'I_Budget Input Data'!$D$163*0.2/('I_Inputs &amp; Assumptions'!$B$8/4))),IF('I_Budget Input Data'!$E$163="At Completion",IF(21='I_Inputs &amp; Assumptions'!$B$8,'I_Budget Input Data'!$D$163,0),'I_Budget Input Data'!$D$163/'I_Inputs &amp; Assumptions'!$B$8)))))),0)</f>
        <v>0</v>
      </c>
      <c r="X163" s="91">
        <f>IF(22&lt;='I_Inputs &amp; Assumptions'!$B$8,IF('I_Budget Input Data'!$E$163="Upfront",IF(22=1,'I_Budget Input Data'!$D$163,0),IF('I_Budget Input Data'!$E$163="Equal",'I_Budget Input Data'!$D$163/'I_Inputs &amp; Assumptions'!$B$8,IF('I_Budget Input Data'!$E$163="Front-loaded",IF(22&lt;='I_Inputs &amp; Assumptions'!$B$8/2,'I_Budget Input Data'!$D$163*0.6/('I_Inputs &amp; Assumptions'!$B$8/2),'I_Budget Input Data'!$D$163*0.4/('I_Inputs &amp; Assumptions'!$B$8/2)),IF('I_Budget Input Data'!$E$163="Back-loaded",IF(22&lt;='I_Inputs &amp; Assumptions'!$B$8/2,'I_Budget Input Data'!$D$163*0.4/('I_Inputs &amp; Assumptions'!$B$8/2),'I_Budget Input Data'!$D$163*0.6/('I_Inputs &amp; Assumptions'!$B$8/2)),IF('I_Budget Input Data'!$E$163="Mid-weighted",IF(22&lt;='I_Inputs &amp; Assumptions'!$B$8/4,'I_Budget Input Data'!$D$163*0.2/('I_Inputs &amp; Assumptions'!$B$8/4),IF(22&lt;='I_Inputs &amp; Assumptions'!$B$8*0.75,'I_Budget Input Data'!$D$163*0.6/('I_Inputs &amp; Assumptions'!$B$8/2),'I_Budget Input Data'!$D$163*0.2/('I_Inputs &amp; Assumptions'!$B$8/4))),IF('I_Budget Input Data'!$E$163="At Completion",IF(22='I_Inputs &amp; Assumptions'!$B$8,'I_Budget Input Data'!$D$163,0),'I_Budget Input Data'!$D$163/'I_Inputs &amp; Assumptions'!$B$8)))))),0)</f>
        <v>0</v>
      </c>
      <c r="Y163" s="91">
        <f>IF(23&lt;='I_Inputs &amp; Assumptions'!$B$8,IF('I_Budget Input Data'!$E$163="Upfront",IF(23=1,'I_Budget Input Data'!$D$163,0),IF('I_Budget Input Data'!$E$163="Equal",'I_Budget Input Data'!$D$163/'I_Inputs &amp; Assumptions'!$B$8,IF('I_Budget Input Data'!$E$163="Front-loaded",IF(23&lt;='I_Inputs &amp; Assumptions'!$B$8/2,'I_Budget Input Data'!$D$163*0.6/('I_Inputs &amp; Assumptions'!$B$8/2),'I_Budget Input Data'!$D$163*0.4/('I_Inputs &amp; Assumptions'!$B$8/2)),IF('I_Budget Input Data'!$E$163="Back-loaded",IF(23&lt;='I_Inputs &amp; Assumptions'!$B$8/2,'I_Budget Input Data'!$D$163*0.4/('I_Inputs &amp; Assumptions'!$B$8/2),'I_Budget Input Data'!$D$163*0.6/('I_Inputs &amp; Assumptions'!$B$8/2)),IF('I_Budget Input Data'!$E$163="Mid-weighted",IF(23&lt;='I_Inputs &amp; Assumptions'!$B$8/4,'I_Budget Input Data'!$D$163*0.2/('I_Inputs &amp; Assumptions'!$B$8/4),IF(23&lt;='I_Inputs &amp; Assumptions'!$B$8*0.75,'I_Budget Input Data'!$D$163*0.6/('I_Inputs &amp; Assumptions'!$B$8/2),'I_Budget Input Data'!$D$163*0.2/('I_Inputs &amp; Assumptions'!$B$8/4))),IF('I_Budget Input Data'!$E$163="At Completion",IF(23='I_Inputs &amp; Assumptions'!$B$8,'I_Budget Input Data'!$D$163,0),'I_Budget Input Data'!$D$163/'I_Inputs &amp; Assumptions'!$B$8)))))),0)</f>
        <v>0</v>
      </c>
      <c r="Z163" s="91">
        <f>IF(24&lt;='I_Inputs &amp; Assumptions'!$B$8,IF('I_Budget Input Data'!$E$163="Upfront",IF(24=1,'I_Budget Input Data'!$D$163,0),IF('I_Budget Input Data'!$E$163="Equal",'I_Budget Input Data'!$D$163/'I_Inputs &amp; Assumptions'!$B$8,IF('I_Budget Input Data'!$E$163="Front-loaded",IF(24&lt;='I_Inputs &amp; Assumptions'!$B$8/2,'I_Budget Input Data'!$D$163*0.6/('I_Inputs &amp; Assumptions'!$B$8/2),'I_Budget Input Data'!$D$163*0.4/('I_Inputs &amp; Assumptions'!$B$8/2)),IF('I_Budget Input Data'!$E$163="Back-loaded",IF(24&lt;='I_Inputs &amp; Assumptions'!$B$8/2,'I_Budget Input Data'!$D$163*0.4/('I_Inputs &amp; Assumptions'!$B$8/2),'I_Budget Input Data'!$D$163*0.6/('I_Inputs &amp; Assumptions'!$B$8/2)),IF('I_Budget Input Data'!$E$163="Mid-weighted",IF(24&lt;='I_Inputs &amp; Assumptions'!$B$8/4,'I_Budget Input Data'!$D$163*0.2/('I_Inputs &amp; Assumptions'!$B$8/4),IF(24&lt;='I_Inputs &amp; Assumptions'!$B$8*0.75,'I_Budget Input Data'!$D$163*0.6/('I_Inputs &amp; Assumptions'!$B$8/2),'I_Budget Input Data'!$D$163*0.2/('I_Inputs &amp; Assumptions'!$B$8/4))),IF('I_Budget Input Data'!$E$163="At Completion",IF(24='I_Inputs &amp; Assumptions'!$B$8,'I_Budget Input Data'!$D$163,0),'I_Budget Input Data'!$D$163/'I_Inputs &amp; Assumptions'!$B$8)))))),0)</f>
        <v>0</v>
      </c>
      <c r="AA163" s="91">
        <f>IF(25&lt;='I_Inputs &amp; Assumptions'!$B$8,IF('I_Budget Input Data'!$E$163="Upfront",IF(25=1,'I_Budget Input Data'!$D$163,0),IF('I_Budget Input Data'!$E$163="Equal",'I_Budget Input Data'!$D$163/'I_Inputs &amp; Assumptions'!$B$8,IF('I_Budget Input Data'!$E$163="Front-loaded",IF(25&lt;='I_Inputs &amp; Assumptions'!$B$8/2,'I_Budget Input Data'!$D$163*0.6/('I_Inputs &amp; Assumptions'!$B$8/2),'I_Budget Input Data'!$D$163*0.4/('I_Inputs &amp; Assumptions'!$B$8/2)),IF('I_Budget Input Data'!$E$163="Back-loaded",IF(25&lt;='I_Inputs &amp; Assumptions'!$B$8/2,'I_Budget Input Data'!$D$163*0.4/('I_Inputs &amp; Assumptions'!$B$8/2),'I_Budget Input Data'!$D$163*0.6/('I_Inputs &amp; Assumptions'!$B$8/2)),IF('I_Budget Input Data'!$E$163="Mid-weighted",IF(25&lt;='I_Inputs &amp; Assumptions'!$B$8/4,'I_Budget Input Data'!$D$163*0.2/('I_Inputs &amp; Assumptions'!$B$8/4),IF(25&lt;='I_Inputs &amp; Assumptions'!$B$8*0.75,'I_Budget Input Data'!$D$163*0.6/('I_Inputs &amp; Assumptions'!$B$8/2),'I_Budget Input Data'!$D$163*0.2/('I_Inputs &amp; Assumptions'!$B$8/4))),IF('I_Budget Input Data'!$E$163="At Completion",IF(25='I_Inputs &amp; Assumptions'!$B$8,'I_Budget Input Data'!$D$163,0),'I_Budget Input Data'!$D$163/'I_Inputs &amp; Assumptions'!$B$8)))))),0)</f>
        <v>0</v>
      </c>
      <c r="AB163" s="91">
        <f>IF(26&lt;='I_Inputs &amp; Assumptions'!$B$8,IF('I_Budget Input Data'!$E$163="Upfront",IF(26=1,'I_Budget Input Data'!$D$163,0),IF('I_Budget Input Data'!$E$163="Equal",'I_Budget Input Data'!$D$163/'I_Inputs &amp; Assumptions'!$B$8,IF('I_Budget Input Data'!$E$163="Front-loaded",IF(26&lt;='I_Inputs &amp; Assumptions'!$B$8/2,'I_Budget Input Data'!$D$163*0.6/('I_Inputs &amp; Assumptions'!$B$8/2),'I_Budget Input Data'!$D$163*0.4/('I_Inputs &amp; Assumptions'!$B$8/2)),IF('I_Budget Input Data'!$E$163="Back-loaded",IF(26&lt;='I_Inputs &amp; Assumptions'!$B$8/2,'I_Budget Input Data'!$D$163*0.4/('I_Inputs &amp; Assumptions'!$B$8/2),'I_Budget Input Data'!$D$163*0.6/('I_Inputs &amp; Assumptions'!$B$8/2)),IF('I_Budget Input Data'!$E$163="Mid-weighted",IF(26&lt;='I_Inputs &amp; Assumptions'!$B$8/4,'I_Budget Input Data'!$D$163*0.2/('I_Inputs &amp; Assumptions'!$B$8/4),IF(26&lt;='I_Inputs &amp; Assumptions'!$B$8*0.75,'I_Budget Input Data'!$D$163*0.6/('I_Inputs &amp; Assumptions'!$B$8/2),'I_Budget Input Data'!$D$163*0.2/('I_Inputs &amp; Assumptions'!$B$8/4))),IF('I_Budget Input Data'!$E$163="At Completion",IF(26='I_Inputs &amp; Assumptions'!$B$8,'I_Budget Input Data'!$D$163,0),'I_Budget Input Data'!$D$163/'I_Inputs &amp; Assumptions'!$B$8)))))),0)</f>
        <v>0</v>
      </c>
      <c r="AC163" s="91">
        <f>IF(27&lt;='I_Inputs &amp; Assumptions'!$B$8,IF('I_Budget Input Data'!$E$163="Upfront",IF(27=1,'I_Budget Input Data'!$D$163,0),IF('I_Budget Input Data'!$E$163="Equal",'I_Budget Input Data'!$D$163/'I_Inputs &amp; Assumptions'!$B$8,IF('I_Budget Input Data'!$E$163="Front-loaded",IF(27&lt;='I_Inputs &amp; Assumptions'!$B$8/2,'I_Budget Input Data'!$D$163*0.6/('I_Inputs &amp; Assumptions'!$B$8/2),'I_Budget Input Data'!$D$163*0.4/('I_Inputs &amp; Assumptions'!$B$8/2)),IF('I_Budget Input Data'!$E$163="Back-loaded",IF(27&lt;='I_Inputs &amp; Assumptions'!$B$8/2,'I_Budget Input Data'!$D$163*0.4/('I_Inputs &amp; Assumptions'!$B$8/2),'I_Budget Input Data'!$D$163*0.6/('I_Inputs &amp; Assumptions'!$B$8/2)),IF('I_Budget Input Data'!$E$163="Mid-weighted",IF(27&lt;='I_Inputs &amp; Assumptions'!$B$8/4,'I_Budget Input Data'!$D$163*0.2/('I_Inputs &amp; Assumptions'!$B$8/4),IF(27&lt;='I_Inputs &amp; Assumptions'!$B$8*0.75,'I_Budget Input Data'!$D$163*0.6/('I_Inputs &amp; Assumptions'!$B$8/2),'I_Budget Input Data'!$D$163*0.2/('I_Inputs &amp; Assumptions'!$B$8/4))),IF('I_Budget Input Data'!$E$163="At Completion",IF(27='I_Inputs &amp; Assumptions'!$B$8,'I_Budget Input Data'!$D$163,0),'I_Budget Input Data'!$D$163/'I_Inputs &amp; Assumptions'!$B$8)))))),0)</f>
        <v>0</v>
      </c>
      <c r="AD163" s="91">
        <f>IF(28&lt;='I_Inputs &amp; Assumptions'!$B$8,IF('I_Budget Input Data'!$E$163="Upfront",IF(28=1,'I_Budget Input Data'!$D$163,0),IF('I_Budget Input Data'!$E$163="Equal",'I_Budget Input Data'!$D$163/'I_Inputs &amp; Assumptions'!$B$8,IF('I_Budget Input Data'!$E$163="Front-loaded",IF(28&lt;='I_Inputs &amp; Assumptions'!$B$8/2,'I_Budget Input Data'!$D$163*0.6/('I_Inputs &amp; Assumptions'!$B$8/2),'I_Budget Input Data'!$D$163*0.4/('I_Inputs &amp; Assumptions'!$B$8/2)),IF('I_Budget Input Data'!$E$163="Back-loaded",IF(28&lt;='I_Inputs &amp; Assumptions'!$B$8/2,'I_Budget Input Data'!$D$163*0.4/('I_Inputs &amp; Assumptions'!$B$8/2),'I_Budget Input Data'!$D$163*0.6/('I_Inputs &amp; Assumptions'!$B$8/2)),IF('I_Budget Input Data'!$E$163="Mid-weighted",IF(28&lt;='I_Inputs &amp; Assumptions'!$B$8/4,'I_Budget Input Data'!$D$163*0.2/('I_Inputs &amp; Assumptions'!$B$8/4),IF(28&lt;='I_Inputs &amp; Assumptions'!$B$8*0.75,'I_Budget Input Data'!$D$163*0.6/('I_Inputs &amp; Assumptions'!$B$8/2),'I_Budget Input Data'!$D$163*0.2/('I_Inputs &amp; Assumptions'!$B$8/4))),IF('I_Budget Input Data'!$E$163="At Completion",IF(28='I_Inputs &amp; Assumptions'!$B$8,'I_Budget Input Data'!$D$163,0),'I_Budget Input Data'!$D$163/'I_Inputs &amp; Assumptions'!$B$8)))))),0)</f>
        <v>0</v>
      </c>
      <c r="AE163" s="91">
        <f>IF(29&lt;='I_Inputs &amp; Assumptions'!$B$8,IF('I_Budget Input Data'!$E$163="Upfront",IF(29=1,'I_Budget Input Data'!$D$163,0),IF('I_Budget Input Data'!$E$163="Equal",'I_Budget Input Data'!$D$163/'I_Inputs &amp; Assumptions'!$B$8,IF('I_Budget Input Data'!$E$163="Front-loaded",IF(29&lt;='I_Inputs &amp; Assumptions'!$B$8/2,'I_Budget Input Data'!$D$163*0.6/('I_Inputs &amp; Assumptions'!$B$8/2),'I_Budget Input Data'!$D$163*0.4/('I_Inputs &amp; Assumptions'!$B$8/2)),IF('I_Budget Input Data'!$E$163="Back-loaded",IF(29&lt;='I_Inputs &amp; Assumptions'!$B$8/2,'I_Budget Input Data'!$D$163*0.4/('I_Inputs &amp; Assumptions'!$B$8/2),'I_Budget Input Data'!$D$163*0.6/('I_Inputs &amp; Assumptions'!$B$8/2)),IF('I_Budget Input Data'!$E$163="Mid-weighted",IF(29&lt;='I_Inputs &amp; Assumptions'!$B$8/4,'I_Budget Input Data'!$D$163*0.2/('I_Inputs &amp; Assumptions'!$B$8/4),IF(29&lt;='I_Inputs &amp; Assumptions'!$B$8*0.75,'I_Budget Input Data'!$D$163*0.6/('I_Inputs &amp; Assumptions'!$B$8/2),'I_Budget Input Data'!$D$163*0.2/('I_Inputs &amp; Assumptions'!$B$8/4))),IF('I_Budget Input Data'!$E$163="At Completion",IF(29='I_Inputs &amp; Assumptions'!$B$8,'I_Budget Input Data'!$D$163,0),'I_Budget Input Data'!$D$163/'I_Inputs &amp; Assumptions'!$B$8)))))),0)</f>
        <v>0</v>
      </c>
      <c r="AF163" s="91">
        <f>IF(30&lt;='I_Inputs &amp; Assumptions'!$B$8,IF('I_Budget Input Data'!$E$163="Upfront",IF(30=1,'I_Budget Input Data'!$D$163,0),IF('I_Budget Input Data'!$E$163="Equal",'I_Budget Input Data'!$D$163/'I_Inputs &amp; Assumptions'!$B$8,IF('I_Budget Input Data'!$E$163="Front-loaded",IF(30&lt;='I_Inputs &amp; Assumptions'!$B$8/2,'I_Budget Input Data'!$D$163*0.6/('I_Inputs &amp; Assumptions'!$B$8/2),'I_Budget Input Data'!$D$163*0.4/('I_Inputs &amp; Assumptions'!$B$8/2)),IF('I_Budget Input Data'!$E$163="Back-loaded",IF(30&lt;='I_Inputs &amp; Assumptions'!$B$8/2,'I_Budget Input Data'!$D$163*0.4/('I_Inputs &amp; Assumptions'!$B$8/2),'I_Budget Input Data'!$D$163*0.6/('I_Inputs &amp; Assumptions'!$B$8/2)),IF('I_Budget Input Data'!$E$163="Mid-weighted",IF(30&lt;='I_Inputs &amp; Assumptions'!$B$8/4,'I_Budget Input Data'!$D$163*0.2/('I_Inputs &amp; Assumptions'!$B$8/4),IF(30&lt;='I_Inputs &amp; Assumptions'!$B$8*0.75,'I_Budget Input Data'!$D$163*0.6/('I_Inputs &amp; Assumptions'!$B$8/2),'I_Budget Input Data'!$D$163*0.2/('I_Inputs &amp; Assumptions'!$B$8/4))),IF('I_Budget Input Data'!$E$163="At Completion",IF(30='I_Inputs &amp; Assumptions'!$B$8,'I_Budget Input Data'!$D$163,0),'I_Budget Input Data'!$D$163/'I_Inputs &amp; Assumptions'!$B$8)))))),0)</f>
        <v>0</v>
      </c>
      <c r="AG163" s="91">
        <f>IF(31&lt;='I_Inputs &amp; Assumptions'!$B$8,IF('I_Budget Input Data'!$E$163="Upfront",IF(31=1,'I_Budget Input Data'!$D$163,0),IF('I_Budget Input Data'!$E$163="Equal",'I_Budget Input Data'!$D$163/'I_Inputs &amp; Assumptions'!$B$8,IF('I_Budget Input Data'!$E$163="Front-loaded",IF(31&lt;='I_Inputs &amp; Assumptions'!$B$8/2,'I_Budget Input Data'!$D$163*0.6/('I_Inputs &amp; Assumptions'!$B$8/2),'I_Budget Input Data'!$D$163*0.4/('I_Inputs &amp; Assumptions'!$B$8/2)),IF('I_Budget Input Data'!$E$163="Back-loaded",IF(31&lt;='I_Inputs &amp; Assumptions'!$B$8/2,'I_Budget Input Data'!$D$163*0.4/('I_Inputs &amp; Assumptions'!$B$8/2),'I_Budget Input Data'!$D$163*0.6/('I_Inputs &amp; Assumptions'!$B$8/2)),IF('I_Budget Input Data'!$E$163="Mid-weighted",IF(31&lt;='I_Inputs &amp; Assumptions'!$B$8/4,'I_Budget Input Data'!$D$163*0.2/('I_Inputs &amp; Assumptions'!$B$8/4),IF(31&lt;='I_Inputs &amp; Assumptions'!$B$8*0.75,'I_Budget Input Data'!$D$163*0.6/('I_Inputs &amp; Assumptions'!$B$8/2),'I_Budget Input Data'!$D$163*0.2/('I_Inputs &amp; Assumptions'!$B$8/4))),IF('I_Budget Input Data'!$E$163="At Completion",IF(31='I_Inputs &amp; Assumptions'!$B$8,'I_Budget Input Data'!$D$163,0),'I_Budget Input Data'!$D$163/'I_Inputs &amp; Assumptions'!$B$8)))))),0)</f>
        <v>0</v>
      </c>
      <c r="AH163" s="91">
        <f>IF(32&lt;='I_Inputs &amp; Assumptions'!$B$8,IF('I_Budget Input Data'!$E$163="Upfront",IF(32=1,'I_Budget Input Data'!$D$163,0),IF('I_Budget Input Data'!$E$163="Equal",'I_Budget Input Data'!$D$163/'I_Inputs &amp; Assumptions'!$B$8,IF('I_Budget Input Data'!$E$163="Front-loaded",IF(32&lt;='I_Inputs &amp; Assumptions'!$B$8/2,'I_Budget Input Data'!$D$163*0.6/('I_Inputs &amp; Assumptions'!$B$8/2),'I_Budget Input Data'!$D$163*0.4/('I_Inputs &amp; Assumptions'!$B$8/2)),IF('I_Budget Input Data'!$E$163="Back-loaded",IF(32&lt;='I_Inputs &amp; Assumptions'!$B$8/2,'I_Budget Input Data'!$D$163*0.4/('I_Inputs &amp; Assumptions'!$B$8/2),'I_Budget Input Data'!$D$163*0.6/('I_Inputs &amp; Assumptions'!$B$8/2)),IF('I_Budget Input Data'!$E$163="Mid-weighted",IF(32&lt;='I_Inputs &amp; Assumptions'!$B$8/4,'I_Budget Input Data'!$D$163*0.2/('I_Inputs &amp; Assumptions'!$B$8/4),IF(32&lt;='I_Inputs &amp; Assumptions'!$B$8*0.75,'I_Budget Input Data'!$D$163*0.6/('I_Inputs &amp; Assumptions'!$B$8/2),'I_Budget Input Data'!$D$163*0.2/('I_Inputs &amp; Assumptions'!$B$8/4))),IF('I_Budget Input Data'!$E$163="At Completion",IF(32='I_Inputs &amp; Assumptions'!$B$8,'I_Budget Input Data'!$D$163,0),'I_Budget Input Data'!$D$163/'I_Inputs &amp; Assumptions'!$B$8)))))),0)</f>
        <v>0</v>
      </c>
      <c r="AI163" s="91">
        <f>IF(33&lt;='I_Inputs &amp; Assumptions'!$B$8,IF('I_Budget Input Data'!$E$163="Upfront",IF(33=1,'I_Budget Input Data'!$D$163,0),IF('I_Budget Input Data'!$E$163="Equal",'I_Budget Input Data'!$D$163/'I_Inputs &amp; Assumptions'!$B$8,IF('I_Budget Input Data'!$E$163="Front-loaded",IF(33&lt;='I_Inputs &amp; Assumptions'!$B$8/2,'I_Budget Input Data'!$D$163*0.6/('I_Inputs &amp; Assumptions'!$B$8/2),'I_Budget Input Data'!$D$163*0.4/('I_Inputs &amp; Assumptions'!$B$8/2)),IF('I_Budget Input Data'!$E$163="Back-loaded",IF(33&lt;='I_Inputs &amp; Assumptions'!$B$8/2,'I_Budget Input Data'!$D$163*0.4/('I_Inputs &amp; Assumptions'!$B$8/2),'I_Budget Input Data'!$D$163*0.6/('I_Inputs &amp; Assumptions'!$B$8/2)),IF('I_Budget Input Data'!$E$163="Mid-weighted",IF(33&lt;='I_Inputs &amp; Assumptions'!$B$8/4,'I_Budget Input Data'!$D$163*0.2/('I_Inputs &amp; Assumptions'!$B$8/4),IF(33&lt;='I_Inputs &amp; Assumptions'!$B$8*0.75,'I_Budget Input Data'!$D$163*0.6/('I_Inputs &amp; Assumptions'!$B$8/2),'I_Budget Input Data'!$D$163*0.2/('I_Inputs &amp; Assumptions'!$B$8/4))),IF('I_Budget Input Data'!$E$163="At Completion",IF(33='I_Inputs &amp; Assumptions'!$B$8,'I_Budget Input Data'!$D$163,0),'I_Budget Input Data'!$D$163/'I_Inputs &amp; Assumptions'!$B$8)))))),0)</f>
        <v>0</v>
      </c>
      <c r="AJ163" s="91">
        <f>IF(34&lt;='I_Inputs &amp; Assumptions'!$B$8,IF('I_Budget Input Data'!$E$163="Upfront",IF(34=1,'I_Budget Input Data'!$D$163,0),IF('I_Budget Input Data'!$E$163="Equal",'I_Budget Input Data'!$D$163/'I_Inputs &amp; Assumptions'!$B$8,IF('I_Budget Input Data'!$E$163="Front-loaded",IF(34&lt;='I_Inputs &amp; Assumptions'!$B$8/2,'I_Budget Input Data'!$D$163*0.6/('I_Inputs &amp; Assumptions'!$B$8/2),'I_Budget Input Data'!$D$163*0.4/('I_Inputs &amp; Assumptions'!$B$8/2)),IF('I_Budget Input Data'!$E$163="Back-loaded",IF(34&lt;='I_Inputs &amp; Assumptions'!$B$8/2,'I_Budget Input Data'!$D$163*0.4/('I_Inputs &amp; Assumptions'!$B$8/2),'I_Budget Input Data'!$D$163*0.6/('I_Inputs &amp; Assumptions'!$B$8/2)),IF('I_Budget Input Data'!$E$163="Mid-weighted",IF(34&lt;='I_Inputs &amp; Assumptions'!$B$8/4,'I_Budget Input Data'!$D$163*0.2/('I_Inputs &amp; Assumptions'!$B$8/4),IF(34&lt;='I_Inputs &amp; Assumptions'!$B$8*0.75,'I_Budget Input Data'!$D$163*0.6/('I_Inputs &amp; Assumptions'!$B$8/2),'I_Budget Input Data'!$D$163*0.2/('I_Inputs &amp; Assumptions'!$B$8/4))),IF('I_Budget Input Data'!$E$163="At Completion",IF(34='I_Inputs &amp; Assumptions'!$B$8,'I_Budget Input Data'!$D$163,0),'I_Budget Input Data'!$D$163/'I_Inputs &amp; Assumptions'!$B$8)))))),0)</f>
        <v>0</v>
      </c>
      <c r="AK163" s="91">
        <f>IF(35&lt;='I_Inputs &amp; Assumptions'!$B$8,IF('I_Budget Input Data'!$E$163="Upfront",IF(35=1,'I_Budget Input Data'!$D$163,0),IF('I_Budget Input Data'!$E$163="Equal",'I_Budget Input Data'!$D$163/'I_Inputs &amp; Assumptions'!$B$8,IF('I_Budget Input Data'!$E$163="Front-loaded",IF(35&lt;='I_Inputs &amp; Assumptions'!$B$8/2,'I_Budget Input Data'!$D$163*0.6/('I_Inputs &amp; Assumptions'!$B$8/2),'I_Budget Input Data'!$D$163*0.4/('I_Inputs &amp; Assumptions'!$B$8/2)),IF('I_Budget Input Data'!$E$163="Back-loaded",IF(35&lt;='I_Inputs &amp; Assumptions'!$B$8/2,'I_Budget Input Data'!$D$163*0.4/('I_Inputs &amp; Assumptions'!$B$8/2),'I_Budget Input Data'!$D$163*0.6/('I_Inputs &amp; Assumptions'!$B$8/2)),IF('I_Budget Input Data'!$E$163="Mid-weighted",IF(35&lt;='I_Inputs &amp; Assumptions'!$B$8/4,'I_Budget Input Data'!$D$163*0.2/('I_Inputs &amp; Assumptions'!$B$8/4),IF(35&lt;='I_Inputs &amp; Assumptions'!$B$8*0.75,'I_Budget Input Data'!$D$163*0.6/('I_Inputs &amp; Assumptions'!$B$8/2),'I_Budget Input Data'!$D$163*0.2/('I_Inputs &amp; Assumptions'!$B$8/4))),IF('I_Budget Input Data'!$E$163="At Completion",IF(35='I_Inputs &amp; Assumptions'!$B$8,'I_Budget Input Data'!$D$163,0),'I_Budget Input Data'!$D$163/'I_Inputs &amp; Assumptions'!$B$8)))))),0)</f>
        <v>0</v>
      </c>
      <c r="AL163" s="91">
        <f>IF(36&lt;='I_Inputs &amp; Assumptions'!$B$8,IF('I_Budget Input Data'!$E$163="Upfront",IF(36=1,'I_Budget Input Data'!$D$163,0),IF('I_Budget Input Data'!$E$163="Equal",'I_Budget Input Data'!$D$163/'I_Inputs &amp; Assumptions'!$B$8,IF('I_Budget Input Data'!$E$163="Front-loaded",IF(36&lt;='I_Inputs &amp; Assumptions'!$B$8/2,'I_Budget Input Data'!$D$163*0.6/('I_Inputs &amp; Assumptions'!$B$8/2),'I_Budget Input Data'!$D$163*0.4/('I_Inputs &amp; Assumptions'!$B$8/2)),IF('I_Budget Input Data'!$E$163="Back-loaded",IF(36&lt;='I_Inputs &amp; Assumptions'!$B$8/2,'I_Budget Input Data'!$D$163*0.4/('I_Inputs &amp; Assumptions'!$B$8/2),'I_Budget Input Data'!$D$163*0.6/('I_Inputs &amp; Assumptions'!$B$8/2)),IF('I_Budget Input Data'!$E$163="Mid-weighted",IF(36&lt;='I_Inputs &amp; Assumptions'!$B$8/4,'I_Budget Input Data'!$D$163*0.2/('I_Inputs &amp; Assumptions'!$B$8/4),IF(36&lt;='I_Inputs &amp; Assumptions'!$B$8*0.75,'I_Budget Input Data'!$D$163*0.6/('I_Inputs &amp; Assumptions'!$B$8/2),'I_Budget Input Data'!$D$163*0.2/('I_Inputs &amp; Assumptions'!$B$8/4))),IF('I_Budget Input Data'!$E$163="At Completion",IF(36='I_Inputs &amp; Assumptions'!$B$8,'I_Budget Input Data'!$D$163,0),'I_Budget Input Data'!$D$163/'I_Inputs &amp; Assumptions'!$B$8)))))),0)</f>
        <v>0</v>
      </c>
    </row>
    <row r="164" spans="1:38" ht="15" customHeight="1" x14ac:dyDescent="0.2">
      <c r="A164" t="s">
        <v>270</v>
      </c>
      <c r="B164" t="s">
        <v>279</v>
      </c>
      <c r="C164" s="91">
        <f>IF(1&lt;='I_Inputs &amp; Assumptions'!$B$8,IF('I_Budget Input Data'!$E$164="Upfront",IF(1=1,'I_Budget Input Data'!$D$164,0),IF('I_Budget Input Data'!$E$164="Equal",'I_Budget Input Data'!$D$164/'I_Inputs &amp; Assumptions'!$B$8,IF('I_Budget Input Data'!$E$164="Front-loaded",IF(1&lt;='I_Inputs &amp; Assumptions'!$B$8/2,'I_Budget Input Data'!$D$164*0.6/('I_Inputs &amp; Assumptions'!$B$8/2),'I_Budget Input Data'!$D$164*0.4/('I_Inputs &amp; Assumptions'!$B$8/2)),IF('I_Budget Input Data'!$E$164="Back-loaded",IF(1&lt;='I_Inputs &amp; Assumptions'!$B$8/2,'I_Budget Input Data'!$D$164*0.4/('I_Inputs &amp; Assumptions'!$B$8/2),'I_Budget Input Data'!$D$164*0.6/('I_Inputs &amp; Assumptions'!$B$8/2)),IF('I_Budget Input Data'!$E$164="Mid-weighted",IF(1&lt;='I_Inputs &amp; Assumptions'!$B$8/4,'I_Budget Input Data'!$D$164*0.2/('I_Inputs &amp; Assumptions'!$B$8/4),IF(1&lt;='I_Inputs &amp; Assumptions'!$B$8*0.75,'I_Budget Input Data'!$D$164*0.6/('I_Inputs &amp; Assumptions'!$B$8/2),'I_Budget Input Data'!$D$164*0.2/('I_Inputs &amp; Assumptions'!$B$8/4))),IF('I_Budget Input Data'!$E$164="At Completion",IF(1='I_Inputs &amp; Assumptions'!$B$8,'I_Budget Input Data'!$D$164,0),'I_Budget Input Data'!$D$164/'I_Inputs &amp; Assumptions'!$B$8)))))),0)</f>
        <v>21010.307692307691</v>
      </c>
      <c r="D164" s="91">
        <f>IF(2&lt;='I_Inputs &amp; Assumptions'!$B$8,IF('I_Budget Input Data'!$E$164="Upfront",IF(2=1,'I_Budget Input Data'!$D$164,0),IF('I_Budget Input Data'!$E$164="Equal",'I_Budget Input Data'!$D$164/'I_Inputs &amp; Assumptions'!$B$8,IF('I_Budget Input Data'!$E$164="Front-loaded",IF(2&lt;='I_Inputs &amp; Assumptions'!$B$8/2,'I_Budget Input Data'!$D$164*0.6/('I_Inputs &amp; Assumptions'!$B$8/2),'I_Budget Input Data'!$D$164*0.4/('I_Inputs &amp; Assumptions'!$B$8/2)),IF('I_Budget Input Data'!$E$164="Back-loaded",IF(2&lt;='I_Inputs &amp; Assumptions'!$B$8/2,'I_Budget Input Data'!$D$164*0.4/('I_Inputs &amp; Assumptions'!$B$8/2),'I_Budget Input Data'!$D$164*0.6/('I_Inputs &amp; Assumptions'!$B$8/2)),IF('I_Budget Input Data'!$E$164="Mid-weighted",IF(2&lt;='I_Inputs &amp; Assumptions'!$B$8/4,'I_Budget Input Data'!$D$164*0.2/('I_Inputs &amp; Assumptions'!$B$8/4),IF(2&lt;='I_Inputs &amp; Assumptions'!$B$8*0.75,'I_Budget Input Data'!$D$164*0.6/('I_Inputs &amp; Assumptions'!$B$8/2),'I_Budget Input Data'!$D$164*0.2/('I_Inputs &amp; Assumptions'!$B$8/4))),IF('I_Budget Input Data'!$E$164="At Completion",IF(2='I_Inputs &amp; Assumptions'!$B$8,'I_Budget Input Data'!$D$164,0),'I_Budget Input Data'!$D$164/'I_Inputs &amp; Assumptions'!$B$8)))))),0)</f>
        <v>21010.307692307691</v>
      </c>
      <c r="E164" s="91">
        <f>IF(3&lt;='I_Inputs &amp; Assumptions'!$B$8,IF('I_Budget Input Data'!$E$164="Upfront",IF(3=1,'I_Budget Input Data'!$D$164,0),IF('I_Budget Input Data'!$E$164="Equal",'I_Budget Input Data'!$D$164/'I_Inputs &amp; Assumptions'!$B$8,IF('I_Budget Input Data'!$E$164="Front-loaded",IF(3&lt;='I_Inputs &amp; Assumptions'!$B$8/2,'I_Budget Input Data'!$D$164*0.6/('I_Inputs &amp; Assumptions'!$B$8/2),'I_Budget Input Data'!$D$164*0.4/('I_Inputs &amp; Assumptions'!$B$8/2)),IF('I_Budget Input Data'!$E$164="Back-loaded",IF(3&lt;='I_Inputs &amp; Assumptions'!$B$8/2,'I_Budget Input Data'!$D$164*0.4/('I_Inputs &amp; Assumptions'!$B$8/2),'I_Budget Input Data'!$D$164*0.6/('I_Inputs &amp; Assumptions'!$B$8/2)),IF('I_Budget Input Data'!$E$164="Mid-weighted",IF(3&lt;='I_Inputs &amp; Assumptions'!$B$8/4,'I_Budget Input Data'!$D$164*0.2/('I_Inputs &amp; Assumptions'!$B$8/4),IF(3&lt;='I_Inputs &amp; Assumptions'!$B$8*0.75,'I_Budget Input Data'!$D$164*0.6/('I_Inputs &amp; Assumptions'!$B$8/2),'I_Budget Input Data'!$D$164*0.2/('I_Inputs &amp; Assumptions'!$B$8/4))),IF('I_Budget Input Data'!$E$164="At Completion",IF(3='I_Inputs &amp; Assumptions'!$B$8,'I_Budget Input Data'!$D$164,0),'I_Budget Input Data'!$D$164/'I_Inputs &amp; Assumptions'!$B$8)))))),0)</f>
        <v>21010.307692307691</v>
      </c>
      <c r="F164" s="91">
        <f>IF(4&lt;='I_Inputs &amp; Assumptions'!$B$8,IF('I_Budget Input Data'!$E$164="Upfront",IF(4=1,'I_Budget Input Data'!$D$164,0),IF('I_Budget Input Data'!$E$164="Equal",'I_Budget Input Data'!$D$164/'I_Inputs &amp; Assumptions'!$B$8,IF('I_Budget Input Data'!$E$164="Front-loaded",IF(4&lt;='I_Inputs &amp; Assumptions'!$B$8/2,'I_Budget Input Data'!$D$164*0.6/('I_Inputs &amp; Assumptions'!$B$8/2),'I_Budget Input Data'!$D$164*0.4/('I_Inputs &amp; Assumptions'!$B$8/2)),IF('I_Budget Input Data'!$E$164="Back-loaded",IF(4&lt;='I_Inputs &amp; Assumptions'!$B$8/2,'I_Budget Input Data'!$D$164*0.4/('I_Inputs &amp; Assumptions'!$B$8/2),'I_Budget Input Data'!$D$164*0.6/('I_Inputs &amp; Assumptions'!$B$8/2)),IF('I_Budget Input Data'!$E$164="Mid-weighted",IF(4&lt;='I_Inputs &amp; Assumptions'!$B$8/4,'I_Budget Input Data'!$D$164*0.2/('I_Inputs &amp; Assumptions'!$B$8/4),IF(4&lt;='I_Inputs &amp; Assumptions'!$B$8*0.75,'I_Budget Input Data'!$D$164*0.6/('I_Inputs &amp; Assumptions'!$B$8/2),'I_Budget Input Data'!$D$164*0.2/('I_Inputs &amp; Assumptions'!$B$8/4))),IF('I_Budget Input Data'!$E$164="At Completion",IF(4='I_Inputs &amp; Assumptions'!$B$8,'I_Budget Input Data'!$D$164,0),'I_Budget Input Data'!$D$164/'I_Inputs &amp; Assumptions'!$B$8)))))),0)</f>
        <v>21010.307692307691</v>
      </c>
      <c r="G164" s="91">
        <f>IF(5&lt;='I_Inputs &amp; Assumptions'!$B$8,IF('I_Budget Input Data'!$E$164="Upfront",IF(5=1,'I_Budget Input Data'!$D$164,0),IF('I_Budget Input Data'!$E$164="Equal",'I_Budget Input Data'!$D$164/'I_Inputs &amp; Assumptions'!$B$8,IF('I_Budget Input Data'!$E$164="Front-loaded",IF(5&lt;='I_Inputs &amp; Assumptions'!$B$8/2,'I_Budget Input Data'!$D$164*0.6/('I_Inputs &amp; Assumptions'!$B$8/2),'I_Budget Input Data'!$D$164*0.4/('I_Inputs &amp; Assumptions'!$B$8/2)),IF('I_Budget Input Data'!$E$164="Back-loaded",IF(5&lt;='I_Inputs &amp; Assumptions'!$B$8/2,'I_Budget Input Data'!$D$164*0.4/('I_Inputs &amp; Assumptions'!$B$8/2),'I_Budget Input Data'!$D$164*0.6/('I_Inputs &amp; Assumptions'!$B$8/2)),IF('I_Budget Input Data'!$E$164="Mid-weighted",IF(5&lt;='I_Inputs &amp; Assumptions'!$B$8/4,'I_Budget Input Data'!$D$164*0.2/('I_Inputs &amp; Assumptions'!$B$8/4),IF(5&lt;='I_Inputs &amp; Assumptions'!$B$8*0.75,'I_Budget Input Data'!$D$164*0.6/('I_Inputs &amp; Assumptions'!$B$8/2),'I_Budget Input Data'!$D$164*0.2/('I_Inputs &amp; Assumptions'!$B$8/4))),IF('I_Budget Input Data'!$E$164="At Completion",IF(5='I_Inputs &amp; Assumptions'!$B$8,'I_Budget Input Data'!$D$164,0),'I_Budget Input Data'!$D$164/'I_Inputs &amp; Assumptions'!$B$8)))))),0)</f>
        <v>21010.307692307691</v>
      </c>
      <c r="H164" s="91">
        <f>IF(6&lt;='I_Inputs &amp; Assumptions'!$B$8,IF('I_Budget Input Data'!$E$164="Upfront",IF(6=1,'I_Budget Input Data'!$D$164,0),IF('I_Budget Input Data'!$E$164="Equal",'I_Budget Input Data'!$D$164/'I_Inputs &amp; Assumptions'!$B$8,IF('I_Budget Input Data'!$E$164="Front-loaded",IF(6&lt;='I_Inputs &amp; Assumptions'!$B$8/2,'I_Budget Input Data'!$D$164*0.6/('I_Inputs &amp; Assumptions'!$B$8/2),'I_Budget Input Data'!$D$164*0.4/('I_Inputs &amp; Assumptions'!$B$8/2)),IF('I_Budget Input Data'!$E$164="Back-loaded",IF(6&lt;='I_Inputs &amp; Assumptions'!$B$8/2,'I_Budget Input Data'!$D$164*0.4/('I_Inputs &amp; Assumptions'!$B$8/2),'I_Budget Input Data'!$D$164*0.6/('I_Inputs &amp; Assumptions'!$B$8/2)),IF('I_Budget Input Data'!$E$164="Mid-weighted",IF(6&lt;='I_Inputs &amp; Assumptions'!$B$8/4,'I_Budget Input Data'!$D$164*0.2/('I_Inputs &amp; Assumptions'!$B$8/4),IF(6&lt;='I_Inputs &amp; Assumptions'!$B$8*0.75,'I_Budget Input Data'!$D$164*0.6/('I_Inputs &amp; Assumptions'!$B$8/2),'I_Budget Input Data'!$D$164*0.2/('I_Inputs &amp; Assumptions'!$B$8/4))),IF('I_Budget Input Data'!$E$164="At Completion",IF(6='I_Inputs &amp; Assumptions'!$B$8,'I_Budget Input Data'!$D$164,0),'I_Budget Input Data'!$D$164/'I_Inputs &amp; Assumptions'!$B$8)))))),0)</f>
        <v>21010.307692307691</v>
      </c>
      <c r="I164" s="91">
        <f>IF(7&lt;='I_Inputs &amp; Assumptions'!$B$8,IF('I_Budget Input Data'!$E$164="Upfront",IF(7=1,'I_Budget Input Data'!$D$164,0),IF('I_Budget Input Data'!$E$164="Equal",'I_Budget Input Data'!$D$164/'I_Inputs &amp; Assumptions'!$B$8,IF('I_Budget Input Data'!$E$164="Front-loaded",IF(7&lt;='I_Inputs &amp; Assumptions'!$B$8/2,'I_Budget Input Data'!$D$164*0.6/('I_Inputs &amp; Assumptions'!$B$8/2),'I_Budget Input Data'!$D$164*0.4/('I_Inputs &amp; Assumptions'!$B$8/2)),IF('I_Budget Input Data'!$E$164="Back-loaded",IF(7&lt;='I_Inputs &amp; Assumptions'!$B$8/2,'I_Budget Input Data'!$D$164*0.4/('I_Inputs &amp; Assumptions'!$B$8/2),'I_Budget Input Data'!$D$164*0.6/('I_Inputs &amp; Assumptions'!$B$8/2)),IF('I_Budget Input Data'!$E$164="Mid-weighted",IF(7&lt;='I_Inputs &amp; Assumptions'!$B$8/4,'I_Budget Input Data'!$D$164*0.2/('I_Inputs &amp; Assumptions'!$B$8/4),IF(7&lt;='I_Inputs &amp; Assumptions'!$B$8*0.75,'I_Budget Input Data'!$D$164*0.6/('I_Inputs &amp; Assumptions'!$B$8/2),'I_Budget Input Data'!$D$164*0.2/('I_Inputs &amp; Assumptions'!$B$8/4))),IF('I_Budget Input Data'!$E$164="At Completion",IF(7='I_Inputs &amp; Assumptions'!$B$8,'I_Budget Input Data'!$D$164,0),'I_Budget Input Data'!$D$164/'I_Inputs &amp; Assumptions'!$B$8)))))),0)</f>
        <v>21010.307692307691</v>
      </c>
      <c r="J164" s="91">
        <f>IF(8&lt;='I_Inputs &amp; Assumptions'!$B$8,IF('I_Budget Input Data'!$E$164="Upfront",IF(8=1,'I_Budget Input Data'!$D$164,0),IF('I_Budget Input Data'!$E$164="Equal",'I_Budget Input Data'!$D$164/'I_Inputs &amp; Assumptions'!$B$8,IF('I_Budget Input Data'!$E$164="Front-loaded",IF(8&lt;='I_Inputs &amp; Assumptions'!$B$8/2,'I_Budget Input Data'!$D$164*0.6/('I_Inputs &amp; Assumptions'!$B$8/2),'I_Budget Input Data'!$D$164*0.4/('I_Inputs &amp; Assumptions'!$B$8/2)),IF('I_Budget Input Data'!$E$164="Back-loaded",IF(8&lt;='I_Inputs &amp; Assumptions'!$B$8/2,'I_Budget Input Data'!$D$164*0.4/('I_Inputs &amp; Assumptions'!$B$8/2),'I_Budget Input Data'!$D$164*0.6/('I_Inputs &amp; Assumptions'!$B$8/2)),IF('I_Budget Input Data'!$E$164="Mid-weighted",IF(8&lt;='I_Inputs &amp; Assumptions'!$B$8/4,'I_Budget Input Data'!$D$164*0.2/('I_Inputs &amp; Assumptions'!$B$8/4),IF(8&lt;='I_Inputs &amp; Assumptions'!$B$8*0.75,'I_Budget Input Data'!$D$164*0.6/('I_Inputs &amp; Assumptions'!$B$8/2),'I_Budget Input Data'!$D$164*0.2/('I_Inputs &amp; Assumptions'!$B$8/4))),IF('I_Budget Input Data'!$E$164="At Completion",IF(8='I_Inputs &amp; Assumptions'!$B$8,'I_Budget Input Data'!$D$164,0),'I_Budget Input Data'!$D$164/'I_Inputs &amp; Assumptions'!$B$8)))))),0)</f>
        <v>21010.307692307691</v>
      </c>
      <c r="K164" s="91">
        <f>IF(9&lt;='I_Inputs &amp; Assumptions'!$B$8,IF('I_Budget Input Data'!$E$164="Upfront",IF(9=1,'I_Budget Input Data'!$D$164,0),IF('I_Budget Input Data'!$E$164="Equal",'I_Budget Input Data'!$D$164/'I_Inputs &amp; Assumptions'!$B$8,IF('I_Budget Input Data'!$E$164="Front-loaded",IF(9&lt;='I_Inputs &amp; Assumptions'!$B$8/2,'I_Budget Input Data'!$D$164*0.6/('I_Inputs &amp; Assumptions'!$B$8/2),'I_Budget Input Data'!$D$164*0.4/('I_Inputs &amp; Assumptions'!$B$8/2)),IF('I_Budget Input Data'!$E$164="Back-loaded",IF(9&lt;='I_Inputs &amp; Assumptions'!$B$8/2,'I_Budget Input Data'!$D$164*0.4/('I_Inputs &amp; Assumptions'!$B$8/2),'I_Budget Input Data'!$D$164*0.6/('I_Inputs &amp; Assumptions'!$B$8/2)),IF('I_Budget Input Data'!$E$164="Mid-weighted",IF(9&lt;='I_Inputs &amp; Assumptions'!$B$8/4,'I_Budget Input Data'!$D$164*0.2/('I_Inputs &amp; Assumptions'!$B$8/4),IF(9&lt;='I_Inputs &amp; Assumptions'!$B$8*0.75,'I_Budget Input Data'!$D$164*0.6/('I_Inputs &amp; Assumptions'!$B$8/2),'I_Budget Input Data'!$D$164*0.2/('I_Inputs &amp; Assumptions'!$B$8/4))),IF('I_Budget Input Data'!$E$164="At Completion",IF(9='I_Inputs &amp; Assumptions'!$B$8,'I_Budget Input Data'!$D$164,0),'I_Budget Input Data'!$D$164/'I_Inputs &amp; Assumptions'!$B$8)))))),0)</f>
        <v>21010.307692307691</v>
      </c>
      <c r="L164" s="91">
        <f>IF(10&lt;='I_Inputs &amp; Assumptions'!$B$8,IF('I_Budget Input Data'!$E$164="Upfront",IF(10=1,'I_Budget Input Data'!$D$164,0),IF('I_Budget Input Data'!$E$164="Equal",'I_Budget Input Data'!$D$164/'I_Inputs &amp; Assumptions'!$B$8,IF('I_Budget Input Data'!$E$164="Front-loaded",IF(10&lt;='I_Inputs &amp; Assumptions'!$B$8/2,'I_Budget Input Data'!$D$164*0.6/('I_Inputs &amp; Assumptions'!$B$8/2),'I_Budget Input Data'!$D$164*0.4/('I_Inputs &amp; Assumptions'!$B$8/2)),IF('I_Budget Input Data'!$E$164="Back-loaded",IF(10&lt;='I_Inputs &amp; Assumptions'!$B$8/2,'I_Budget Input Data'!$D$164*0.4/('I_Inputs &amp; Assumptions'!$B$8/2),'I_Budget Input Data'!$D$164*0.6/('I_Inputs &amp; Assumptions'!$B$8/2)),IF('I_Budget Input Data'!$E$164="Mid-weighted",IF(10&lt;='I_Inputs &amp; Assumptions'!$B$8/4,'I_Budget Input Data'!$D$164*0.2/('I_Inputs &amp; Assumptions'!$B$8/4),IF(10&lt;='I_Inputs &amp; Assumptions'!$B$8*0.75,'I_Budget Input Data'!$D$164*0.6/('I_Inputs &amp; Assumptions'!$B$8/2),'I_Budget Input Data'!$D$164*0.2/('I_Inputs &amp; Assumptions'!$B$8/4))),IF('I_Budget Input Data'!$E$164="At Completion",IF(10='I_Inputs &amp; Assumptions'!$B$8,'I_Budget Input Data'!$D$164,0),'I_Budget Input Data'!$D$164/'I_Inputs &amp; Assumptions'!$B$8)))))),0)</f>
        <v>21010.307692307691</v>
      </c>
      <c r="M164" s="91">
        <f>IF(11&lt;='I_Inputs &amp; Assumptions'!$B$8,IF('I_Budget Input Data'!$E$164="Upfront",IF(11=1,'I_Budget Input Data'!$D$164,0),IF('I_Budget Input Data'!$E$164="Equal",'I_Budget Input Data'!$D$164/'I_Inputs &amp; Assumptions'!$B$8,IF('I_Budget Input Data'!$E$164="Front-loaded",IF(11&lt;='I_Inputs &amp; Assumptions'!$B$8/2,'I_Budget Input Data'!$D$164*0.6/('I_Inputs &amp; Assumptions'!$B$8/2),'I_Budget Input Data'!$D$164*0.4/('I_Inputs &amp; Assumptions'!$B$8/2)),IF('I_Budget Input Data'!$E$164="Back-loaded",IF(11&lt;='I_Inputs &amp; Assumptions'!$B$8/2,'I_Budget Input Data'!$D$164*0.4/('I_Inputs &amp; Assumptions'!$B$8/2),'I_Budget Input Data'!$D$164*0.6/('I_Inputs &amp; Assumptions'!$B$8/2)),IF('I_Budget Input Data'!$E$164="Mid-weighted",IF(11&lt;='I_Inputs &amp; Assumptions'!$B$8/4,'I_Budget Input Data'!$D$164*0.2/('I_Inputs &amp; Assumptions'!$B$8/4),IF(11&lt;='I_Inputs &amp; Assumptions'!$B$8*0.75,'I_Budget Input Data'!$D$164*0.6/('I_Inputs &amp; Assumptions'!$B$8/2),'I_Budget Input Data'!$D$164*0.2/('I_Inputs &amp; Assumptions'!$B$8/4))),IF('I_Budget Input Data'!$E$164="At Completion",IF(11='I_Inputs &amp; Assumptions'!$B$8,'I_Budget Input Data'!$D$164,0),'I_Budget Input Data'!$D$164/'I_Inputs &amp; Assumptions'!$B$8)))))),0)</f>
        <v>21010.307692307691</v>
      </c>
      <c r="N164" s="91">
        <f>IF(12&lt;='I_Inputs &amp; Assumptions'!$B$8,IF('I_Budget Input Data'!$E$164="Upfront",IF(12=1,'I_Budget Input Data'!$D$164,0),IF('I_Budget Input Data'!$E$164="Equal",'I_Budget Input Data'!$D$164/'I_Inputs &amp; Assumptions'!$B$8,IF('I_Budget Input Data'!$E$164="Front-loaded",IF(12&lt;='I_Inputs &amp; Assumptions'!$B$8/2,'I_Budget Input Data'!$D$164*0.6/('I_Inputs &amp; Assumptions'!$B$8/2),'I_Budget Input Data'!$D$164*0.4/('I_Inputs &amp; Assumptions'!$B$8/2)),IF('I_Budget Input Data'!$E$164="Back-loaded",IF(12&lt;='I_Inputs &amp; Assumptions'!$B$8/2,'I_Budget Input Data'!$D$164*0.4/('I_Inputs &amp; Assumptions'!$B$8/2),'I_Budget Input Data'!$D$164*0.6/('I_Inputs &amp; Assumptions'!$B$8/2)),IF('I_Budget Input Data'!$E$164="Mid-weighted",IF(12&lt;='I_Inputs &amp; Assumptions'!$B$8/4,'I_Budget Input Data'!$D$164*0.2/('I_Inputs &amp; Assumptions'!$B$8/4),IF(12&lt;='I_Inputs &amp; Assumptions'!$B$8*0.75,'I_Budget Input Data'!$D$164*0.6/('I_Inputs &amp; Assumptions'!$B$8/2),'I_Budget Input Data'!$D$164*0.2/('I_Inputs &amp; Assumptions'!$B$8/4))),IF('I_Budget Input Data'!$E$164="At Completion",IF(12='I_Inputs &amp; Assumptions'!$B$8,'I_Budget Input Data'!$D$164,0),'I_Budget Input Data'!$D$164/'I_Inputs &amp; Assumptions'!$B$8)))))),0)</f>
        <v>21010.307692307691</v>
      </c>
      <c r="O164" s="91">
        <f>IF(13&lt;='I_Inputs &amp; Assumptions'!$B$8,IF('I_Budget Input Data'!$E$164="Upfront",IF(13=1,'I_Budget Input Data'!$D$164,0),IF('I_Budget Input Data'!$E$164="Equal",'I_Budget Input Data'!$D$164/'I_Inputs &amp; Assumptions'!$B$8,IF('I_Budget Input Data'!$E$164="Front-loaded",IF(13&lt;='I_Inputs &amp; Assumptions'!$B$8/2,'I_Budget Input Data'!$D$164*0.6/('I_Inputs &amp; Assumptions'!$B$8/2),'I_Budget Input Data'!$D$164*0.4/('I_Inputs &amp; Assumptions'!$B$8/2)),IF('I_Budget Input Data'!$E$164="Back-loaded",IF(13&lt;='I_Inputs &amp; Assumptions'!$B$8/2,'I_Budget Input Data'!$D$164*0.4/('I_Inputs &amp; Assumptions'!$B$8/2),'I_Budget Input Data'!$D$164*0.6/('I_Inputs &amp; Assumptions'!$B$8/2)),IF('I_Budget Input Data'!$E$164="Mid-weighted",IF(13&lt;='I_Inputs &amp; Assumptions'!$B$8/4,'I_Budget Input Data'!$D$164*0.2/('I_Inputs &amp; Assumptions'!$B$8/4),IF(13&lt;='I_Inputs &amp; Assumptions'!$B$8*0.75,'I_Budget Input Data'!$D$164*0.6/('I_Inputs &amp; Assumptions'!$B$8/2),'I_Budget Input Data'!$D$164*0.2/('I_Inputs &amp; Assumptions'!$B$8/4))),IF('I_Budget Input Data'!$E$164="At Completion",IF(13='I_Inputs &amp; Assumptions'!$B$8,'I_Budget Input Data'!$D$164,0),'I_Budget Input Data'!$D$164/'I_Inputs &amp; Assumptions'!$B$8)))))),0)</f>
        <v>21010.307692307691</v>
      </c>
      <c r="P164" s="91">
        <f>IF(14&lt;='I_Inputs &amp; Assumptions'!$B$8,IF('I_Budget Input Data'!$E$164="Upfront",IF(14=1,'I_Budget Input Data'!$D$164,0),IF('I_Budget Input Data'!$E$164="Equal",'I_Budget Input Data'!$D$164/'I_Inputs &amp; Assumptions'!$B$8,IF('I_Budget Input Data'!$E$164="Front-loaded",IF(14&lt;='I_Inputs &amp; Assumptions'!$B$8/2,'I_Budget Input Data'!$D$164*0.6/('I_Inputs &amp; Assumptions'!$B$8/2),'I_Budget Input Data'!$D$164*0.4/('I_Inputs &amp; Assumptions'!$B$8/2)),IF('I_Budget Input Data'!$E$164="Back-loaded",IF(14&lt;='I_Inputs &amp; Assumptions'!$B$8/2,'I_Budget Input Data'!$D$164*0.4/('I_Inputs &amp; Assumptions'!$B$8/2),'I_Budget Input Data'!$D$164*0.6/('I_Inputs &amp; Assumptions'!$B$8/2)),IF('I_Budget Input Data'!$E$164="Mid-weighted",IF(14&lt;='I_Inputs &amp; Assumptions'!$B$8/4,'I_Budget Input Data'!$D$164*0.2/('I_Inputs &amp; Assumptions'!$B$8/4),IF(14&lt;='I_Inputs &amp; Assumptions'!$B$8*0.75,'I_Budget Input Data'!$D$164*0.6/('I_Inputs &amp; Assumptions'!$B$8/2),'I_Budget Input Data'!$D$164*0.2/('I_Inputs &amp; Assumptions'!$B$8/4))),IF('I_Budget Input Data'!$E$164="At Completion",IF(14='I_Inputs &amp; Assumptions'!$B$8,'I_Budget Input Data'!$D$164,0),'I_Budget Input Data'!$D$164/'I_Inputs &amp; Assumptions'!$B$8)))))),0)</f>
        <v>0</v>
      </c>
      <c r="Q164" s="91">
        <f>IF(15&lt;='I_Inputs &amp; Assumptions'!$B$8,IF('I_Budget Input Data'!$E$164="Upfront",IF(15=1,'I_Budget Input Data'!$D$164,0),IF('I_Budget Input Data'!$E$164="Equal",'I_Budget Input Data'!$D$164/'I_Inputs &amp; Assumptions'!$B$8,IF('I_Budget Input Data'!$E$164="Front-loaded",IF(15&lt;='I_Inputs &amp; Assumptions'!$B$8/2,'I_Budget Input Data'!$D$164*0.6/('I_Inputs &amp; Assumptions'!$B$8/2),'I_Budget Input Data'!$D$164*0.4/('I_Inputs &amp; Assumptions'!$B$8/2)),IF('I_Budget Input Data'!$E$164="Back-loaded",IF(15&lt;='I_Inputs &amp; Assumptions'!$B$8/2,'I_Budget Input Data'!$D$164*0.4/('I_Inputs &amp; Assumptions'!$B$8/2),'I_Budget Input Data'!$D$164*0.6/('I_Inputs &amp; Assumptions'!$B$8/2)),IF('I_Budget Input Data'!$E$164="Mid-weighted",IF(15&lt;='I_Inputs &amp; Assumptions'!$B$8/4,'I_Budget Input Data'!$D$164*0.2/('I_Inputs &amp; Assumptions'!$B$8/4),IF(15&lt;='I_Inputs &amp; Assumptions'!$B$8*0.75,'I_Budget Input Data'!$D$164*0.6/('I_Inputs &amp; Assumptions'!$B$8/2),'I_Budget Input Data'!$D$164*0.2/('I_Inputs &amp; Assumptions'!$B$8/4))),IF('I_Budget Input Data'!$E$164="At Completion",IF(15='I_Inputs &amp; Assumptions'!$B$8,'I_Budget Input Data'!$D$164,0),'I_Budget Input Data'!$D$164/'I_Inputs &amp; Assumptions'!$B$8)))))),0)</f>
        <v>0</v>
      </c>
      <c r="R164" s="91">
        <f>IF(16&lt;='I_Inputs &amp; Assumptions'!$B$8,IF('I_Budget Input Data'!$E$164="Upfront",IF(16=1,'I_Budget Input Data'!$D$164,0),IF('I_Budget Input Data'!$E$164="Equal",'I_Budget Input Data'!$D$164/'I_Inputs &amp; Assumptions'!$B$8,IF('I_Budget Input Data'!$E$164="Front-loaded",IF(16&lt;='I_Inputs &amp; Assumptions'!$B$8/2,'I_Budget Input Data'!$D$164*0.6/('I_Inputs &amp; Assumptions'!$B$8/2),'I_Budget Input Data'!$D$164*0.4/('I_Inputs &amp; Assumptions'!$B$8/2)),IF('I_Budget Input Data'!$E$164="Back-loaded",IF(16&lt;='I_Inputs &amp; Assumptions'!$B$8/2,'I_Budget Input Data'!$D$164*0.4/('I_Inputs &amp; Assumptions'!$B$8/2),'I_Budget Input Data'!$D$164*0.6/('I_Inputs &amp; Assumptions'!$B$8/2)),IF('I_Budget Input Data'!$E$164="Mid-weighted",IF(16&lt;='I_Inputs &amp; Assumptions'!$B$8/4,'I_Budget Input Data'!$D$164*0.2/('I_Inputs &amp; Assumptions'!$B$8/4),IF(16&lt;='I_Inputs &amp; Assumptions'!$B$8*0.75,'I_Budget Input Data'!$D$164*0.6/('I_Inputs &amp; Assumptions'!$B$8/2),'I_Budget Input Data'!$D$164*0.2/('I_Inputs &amp; Assumptions'!$B$8/4))),IF('I_Budget Input Data'!$E$164="At Completion",IF(16='I_Inputs &amp; Assumptions'!$B$8,'I_Budget Input Data'!$D$164,0),'I_Budget Input Data'!$D$164/'I_Inputs &amp; Assumptions'!$B$8)))))),0)</f>
        <v>0</v>
      </c>
      <c r="S164" s="91">
        <f>IF(17&lt;='I_Inputs &amp; Assumptions'!$B$8,IF('I_Budget Input Data'!$E$164="Upfront",IF(17=1,'I_Budget Input Data'!$D$164,0),IF('I_Budget Input Data'!$E$164="Equal",'I_Budget Input Data'!$D$164/'I_Inputs &amp; Assumptions'!$B$8,IF('I_Budget Input Data'!$E$164="Front-loaded",IF(17&lt;='I_Inputs &amp; Assumptions'!$B$8/2,'I_Budget Input Data'!$D$164*0.6/('I_Inputs &amp; Assumptions'!$B$8/2),'I_Budget Input Data'!$D$164*0.4/('I_Inputs &amp; Assumptions'!$B$8/2)),IF('I_Budget Input Data'!$E$164="Back-loaded",IF(17&lt;='I_Inputs &amp; Assumptions'!$B$8/2,'I_Budget Input Data'!$D$164*0.4/('I_Inputs &amp; Assumptions'!$B$8/2),'I_Budget Input Data'!$D$164*0.6/('I_Inputs &amp; Assumptions'!$B$8/2)),IF('I_Budget Input Data'!$E$164="Mid-weighted",IF(17&lt;='I_Inputs &amp; Assumptions'!$B$8/4,'I_Budget Input Data'!$D$164*0.2/('I_Inputs &amp; Assumptions'!$B$8/4),IF(17&lt;='I_Inputs &amp; Assumptions'!$B$8*0.75,'I_Budget Input Data'!$D$164*0.6/('I_Inputs &amp; Assumptions'!$B$8/2),'I_Budget Input Data'!$D$164*0.2/('I_Inputs &amp; Assumptions'!$B$8/4))),IF('I_Budget Input Data'!$E$164="At Completion",IF(17='I_Inputs &amp; Assumptions'!$B$8,'I_Budget Input Data'!$D$164,0),'I_Budget Input Data'!$D$164/'I_Inputs &amp; Assumptions'!$B$8)))))),0)</f>
        <v>0</v>
      </c>
      <c r="T164" s="91">
        <f>IF(18&lt;='I_Inputs &amp; Assumptions'!$B$8,IF('I_Budget Input Data'!$E$164="Upfront",IF(18=1,'I_Budget Input Data'!$D$164,0),IF('I_Budget Input Data'!$E$164="Equal",'I_Budget Input Data'!$D$164/'I_Inputs &amp; Assumptions'!$B$8,IF('I_Budget Input Data'!$E$164="Front-loaded",IF(18&lt;='I_Inputs &amp; Assumptions'!$B$8/2,'I_Budget Input Data'!$D$164*0.6/('I_Inputs &amp; Assumptions'!$B$8/2),'I_Budget Input Data'!$D$164*0.4/('I_Inputs &amp; Assumptions'!$B$8/2)),IF('I_Budget Input Data'!$E$164="Back-loaded",IF(18&lt;='I_Inputs &amp; Assumptions'!$B$8/2,'I_Budget Input Data'!$D$164*0.4/('I_Inputs &amp; Assumptions'!$B$8/2),'I_Budget Input Data'!$D$164*0.6/('I_Inputs &amp; Assumptions'!$B$8/2)),IF('I_Budget Input Data'!$E$164="Mid-weighted",IF(18&lt;='I_Inputs &amp; Assumptions'!$B$8/4,'I_Budget Input Data'!$D$164*0.2/('I_Inputs &amp; Assumptions'!$B$8/4),IF(18&lt;='I_Inputs &amp; Assumptions'!$B$8*0.75,'I_Budget Input Data'!$D$164*0.6/('I_Inputs &amp; Assumptions'!$B$8/2),'I_Budget Input Data'!$D$164*0.2/('I_Inputs &amp; Assumptions'!$B$8/4))),IF('I_Budget Input Data'!$E$164="At Completion",IF(18='I_Inputs &amp; Assumptions'!$B$8,'I_Budget Input Data'!$D$164,0),'I_Budget Input Data'!$D$164/'I_Inputs &amp; Assumptions'!$B$8)))))),0)</f>
        <v>0</v>
      </c>
      <c r="U164" s="91">
        <f>IF(19&lt;='I_Inputs &amp; Assumptions'!$B$8,IF('I_Budget Input Data'!$E$164="Upfront",IF(19=1,'I_Budget Input Data'!$D$164,0),IF('I_Budget Input Data'!$E$164="Equal",'I_Budget Input Data'!$D$164/'I_Inputs &amp; Assumptions'!$B$8,IF('I_Budget Input Data'!$E$164="Front-loaded",IF(19&lt;='I_Inputs &amp; Assumptions'!$B$8/2,'I_Budget Input Data'!$D$164*0.6/('I_Inputs &amp; Assumptions'!$B$8/2),'I_Budget Input Data'!$D$164*0.4/('I_Inputs &amp; Assumptions'!$B$8/2)),IF('I_Budget Input Data'!$E$164="Back-loaded",IF(19&lt;='I_Inputs &amp; Assumptions'!$B$8/2,'I_Budget Input Data'!$D$164*0.4/('I_Inputs &amp; Assumptions'!$B$8/2),'I_Budget Input Data'!$D$164*0.6/('I_Inputs &amp; Assumptions'!$B$8/2)),IF('I_Budget Input Data'!$E$164="Mid-weighted",IF(19&lt;='I_Inputs &amp; Assumptions'!$B$8/4,'I_Budget Input Data'!$D$164*0.2/('I_Inputs &amp; Assumptions'!$B$8/4),IF(19&lt;='I_Inputs &amp; Assumptions'!$B$8*0.75,'I_Budget Input Data'!$D$164*0.6/('I_Inputs &amp; Assumptions'!$B$8/2),'I_Budget Input Data'!$D$164*0.2/('I_Inputs &amp; Assumptions'!$B$8/4))),IF('I_Budget Input Data'!$E$164="At Completion",IF(19='I_Inputs &amp; Assumptions'!$B$8,'I_Budget Input Data'!$D$164,0),'I_Budget Input Data'!$D$164/'I_Inputs &amp; Assumptions'!$B$8)))))),0)</f>
        <v>0</v>
      </c>
      <c r="V164" s="91">
        <f>IF(20&lt;='I_Inputs &amp; Assumptions'!$B$8,IF('I_Budget Input Data'!$E$164="Upfront",IF(20=1,'I_Budget Input Data'!$D$164,0),IF('I_Budget Input Data'!$E$164="Equal",'I_Budget Input Data'!$D$164/'I_Inputs &amp; Assumptions'!$B$8,IF('I_Budget Input Data'!$E$164="Front-loaded",IF(20&lt;='I_Inputs &amp; Assumptions'!$B$8/2,'I_Budget Input Data'!$D$164*0.6/('I_Inputs &amp; Assumptions'!$B$8/2),'I_Budget Input Data'!$D$164*0.4/('I_Inputs &amp; Assumptions'!$B$8/2)),IF('I_Budget Input Data'!$E$164="Back-loaded",IF(20&lt;='I_Inputs &amp; Assumptions'!$B$8/2,'I_Budget Input Data'!$D$164*0.4/('I_Inputs &amp; Assumptions'!$B$8/2),'I_Budget Input Data'!$D$164*0.6/('I_Inputs &amp; Assumptions'!$B$8/2)),IF('I_Budget Input Data'!$E$164="Mid-weighted",IF(20&lt;='I_Inputs &amp; Assumptions'!$B$8/4,'I_Budget Input Data'!$D$164*0.2/('I_Inputs &amp; Assumptions'!$B$8/4),IF(20&lt;='I_Inputs &amp; Assumptions'!$B$8*0.75,'I_Budget Input Data'!$D$164*0.6/('I_Inputs &amp; Assumptions'!$B$8/2),'I_Budget Input Data'!$D$164*0.2/('I_Inputs &amp; Assumptions'!$B$8/4))),IF('I_Budget Input Data'!$E$164="At Completion",IF(20='I_Inputs &amp; Assumptions'!$B$8,'I_Budget Input Data'!$D$164,0),'I_Budget Input Data'!$D$164/'I_Inputs &amp; Assumptions'!$B$8)))))),0)</f>
        <v>0</v>
      </c>
      <c r="W164" s="91">
        <f>IF(21&lt;='I_Inputs &amp; Assumptions'!$B$8,IF('I_Budget Input Data'!$E$164="Upfront",IF(21=1,'I_Budget Input Data'!$D$164,0),IF('I_Budget Input Data'!$E$164="Equal",'I_Budget Input Data'!$D$164/'I_Inputs &amp; Assumptions'!$B$8,IF('I_Budget Input Data'!$E$164="Front-loaded",IF(21&lt;='I_Inputs &amp; Assumptions'!$B$8/2,'I_Budget Input Data'!$D$164*0.6/('I_Inputs &amp; Assumptions'!$B$8/2),'I_Budget Input Data'!$D$164*0.4/('I_Inputs &amp; Assumptions'!$B$8/2)),IF('I_Budget Input Data'!$E$164="Back-loaded",IF(21&lt;='I_Inputs &amp; Assumptions'!$B$8/2,'I_Budget Input Data'!$D$164*0.4/('I_Inputs &amp; Assumptions'!$B$8/2),'I_Budget Input Data'!$D$164*0.6/('I_Inputs &amp; Assumptions'!$B$8/2)),IF('I_Budget Input Data'!$E$164="Mid-weighted",IF(21&lt;='I_Inputs &amp; Assumptions'!$B$8/4,'I_Budget Input Data'!$D$164*0.2/('I_Inputs &amp; Assumptions'!$B$8/4),IF(21&lt;='I_Inputs &amp; Assumptions'!$B$8*0.75,'I_Budget Input Data'!$D$164*0.6/('I_Inputs &amp; Assumptions'!$B$8/2),'I_Budget Input Data'!$D$164*0.2/('I_Inputs &amp; Assumptions'!$B$8/4))),IF('I_Budget Input Data'!$E$164="At Completion",IF(21='I_Inputs &amp; Assumptions'!$B$8,'I_Budget Input Data'!$D$164,0),'I_Budget Input Data'!$D$164/'I_Inputs &amp; Assumptions'!$B$8)))))),0)</f>
        <v>0</v>
      </c>
      <c r="X164" s="91">
        <f>IF(22&lt;='I_Inputs &amp; Assumptions'!$B$8,IF('I_Budget Input Data'!$E$164="Upfront",IF(22=1,'I_Budget Input Data'!$D$164,0),IF('I_Budget Input Data'!$E$164="Equal",'I_Budget Input Data'!$D$164/'I_Inputs &amp; Assumptions'!$B$8,IF('I_Budget Input Data'!$E$164="Front-loaded",IF(22&lt;='I_Inputs &amp; Assumptions'!$B$8/2,'I_Budget Input Data'!$D$164*0.6/('I_Inputs &amp; Assumptions'!$B$8/2),'I_Budget Input Data'!$D$164*0.4/('I_Inputs &amp; Assumptions'!$B$8/2)),IF('I_Budget Input Data'!$E$164="Back-loaded",IF(22&lt;='I_Inputs &amp; Assumptions'!$B$8/2,'I_Budget Input Data'!$D$164*0.4/('I_Inputs &amp; Assumptions'!$B$8/2),'I_Budget Input Data'!$D$164*0.6/('I_Inputs &amp; Assumptions'!$B$8/2)),IF('I_Budget Input Data'!$E$164="Mid-weighted",IF(22&lt;='I_Inputs &amp; Assumptions'!$B$8/4,'I_Budget Input Data'!$D$164*0.2/('I_Inputs &amp; Assumptions'!$B$8/4),IF(22&lt;='I_Inputs &amp; Assumptions'!$B$8*0.75,'I_Budget Input Data'!$D$164*0.6/('I_Inputs &amp; Assumptions'!$B$8/2),'I_Budget Input Data'!$D$164*0.2/('I_Inputs &amp; Assumptions'!$B$8/4))),IF('I_Budget Input Data'!$E$164="At Completion",IF(22='I_Inputs &amp; Assumptions'!$B$8,'I_Budget Input Data'!$D$164,0),'I_Budget Input Data'!$D$164/'I_Inputs &amp; Assumptions'!$B$8)))))),0)</f>
        <v>0</v>
      </c>
      <c r="Y164" s="91">
        <f>IF(23&lt;='I_Inputs &amp; Assumptions'!$B$8,IF('I_Budget Input Data'!$E$164="Upfront",IF(23=1,'I_Budget Input Data'!$D$164,0),IF('I_Budget Input Data'!$E$164="Equal",'I_Budget Input Data'!$D$164/'I_Inputs &amp; Assumptions'!$B$8,IF('I_Budget Input Data'!$E$164="Front-loaded",IF(23&lt;='I_Inputs &amp; Assumptions'!$B$8/2,'I_Budget Input Data'!$D$164*0.6/('I_Inputs &amp; Assumptions'!$B$8/2),'I_Budget Input Data'!$D$164*0.4/('I_Inputs &amp; Assumptions'!$B$8/2)),IF('I_Budget Input Data'!$E$164="Back-loaded",IF(23&lt;='I_Inputs &amp; Assumptions'!$B$8/2,'I_Budget Input Data'!$D$164*0.4/('I_Inputs &amp; Assumptions'!$B$8/2),'I_Budget Input Data'!$D$164*0.6/('I_Inputs &amp; Assumptions'!$B$8/2)),IF('I_Budget Input Data'!$E$164="Mid-weighted",IF(23&lt;='I_Inputs &amp; Assumptions'!$B$8/4,'I_Budget Input Data'!$D$164*0.2/('I_Inputs &amp; Assumptions'!$B$8/4),IF(23&lt;='I_Inputs &amp; Assumptions'!$B$8*0.75,'I_Budget Input Data'!$D$164*0.6/('I_Inputs &amp; Assumptions'!$B$8/2),'I_Budget Input Data'!$D$164*0.2/('I_Inputs &amp; Assumptions'!$B$8/4))),IF('I_Budget Input Data'!$E$164="At Completion",IF(23='I_Inputs &amp; Assumptions'!$B$8,'I_Budget Input Data'!$D$164,0),'I_Budget Input Data'!$D$164/'I_Inputs &amp; Assumptions'!$B$8)))))),0)</f>
        <v>0</v>
      </c>
      <c r="Z164" s="91">
        <f>IF(24&lt;='I_Inputs &amp; Assumptions'!$B$8,IF('I_Budget Input Data'!$E$164="Upfront",IF(24=1,'I_Budget Input Data'!$D$164,0),IF('I_Budget Input Data'!$E$164="Equal",'I_Budget Input Data'!$D$164/'I_Inputs &amp; Assumptions'!$B$8,IF('I_Budget Input Data'!$E$164="Front-loaded",IF(24&lt;='I_Inputs &amp; Assumptions'!$B$8/2,'I_Budget Input Data'!$D$164*0.6/('I_Inputs &amp; Assumptions'!$B$8/2),'I_Budget Input Data'!$D$164*0.4/('I_Inputs &amp; Assumptions'!$B$8/2)),IF('I_Budget Input Data'!$E$164="Back-loaded",IF(24&lt;='I_Inputs &amp; Assumptions'!$B$8/2,'I_Budget Input Data'!$D$164*0.4/('I_Inputs &amp; Assumptions'!$B$8/2),'I_Budget Input Data'!$D$164*0.6/('I_Inputs &amp; Assumptions'!$B$8/2)),IF('I_Budget Input Data'!$E$164="Mid-weighted",IF(24&lt;='I_Inputs &amp; Assumptions'!$B$8/4,'I_Budget Input Data'!$D$164*0.2/('I_Inputs &amp; Assumptions'!$B$8/4),IF(24&lt;='I_Inputs &amp; Assumptions'!$B$8*0.75,'I_Budget Input Data'!$D$164*0.6/('I_Inputs &amp; Assumptions'!$B$8/2),'I_Budget Input Data'!$D$164*0.2/('I_Inputs &amp; Assumptions'!$B$8/4))),IF('I_Budget Input Data'!$E$164="At Completion",IF(24='I_Inputs &amp; Assumptions'!$B$8,'I_Budget Input Data'!$D$164,0),'I_Budget Input Data'!$D$164/'I_Inputs &amp; Assumptions'!$B$8)))))),0)</f>
        <v>0</v>
      </c>
      <c r="AA164" s="91">
        <f>IF(25&lt;='I_Inputs &amp; Assumptions'!$B$8,IF('I_Budget Input Data'!$E$164="Upfront",IF(25=1,'I_Budget Input Data'!$D$164,0),IF('I_Budget Input Data'!$E$164="Equal",'I_Budget Input Data'!$D$164/'I_Inputs &amp; Assumptions'!$B$8,IF('I_Budget Input Data'!$E$164="Front-loaded",IF(25&lt;='I_Inputs &amp; Assumptions'!$B$8/2,'I_Budget Input Data'!$D$164*0.6/('I_Inputs &amp; Assumptions'!$B$8/2),'I_Budget Input Data'!$D$164*0.4/('I_Inputs &amp; Assumptions'!$B$8/2)),IF('I_Budget Input Data'!$E$164="Back-loaded",IF(25&lt;='I_Inputs &amp; Assumptions'!$B$8/2,'I_Budget Input Data'!$D$164*0.4/('I_Inputs &amp; Assumptions'!$B$8/2),'I_Budget Input Data'!$D$164*0.6/('I_Inputs &amp; Assumptions'!$B$8/2)),IF('I_Budget Input Data'!$E$164="Mid-weighted",IF(25&lt;='I_Inputs &amp; Assumptions'!$B$8/4,'I_Budget Input Data'!$D$164*0.2/('I_Inputs &amp; Assumptions'!$B$8/4),IF(25&lt;='I_Inputs &amp; Assumptions'!$B$8*0.75,'I_Budget Input Data'!$D$164*0.6/('I_Inputs &amp; Assumptions'!$B$8/2),'I_Budget Input Data'!$D$164*0.2/('I_Inputs &amp; Assumptions'!$B$8/4))),IF('I_Budget Input Data'!$E$164="At Completion",IF(25='I_Inputs &amp; Assumptions'!$B$8,'I_Budget Input Data'!$D$164,0),'I_Budget Input Data'!$D$164/'I_Inputs &amp; Assumptions'!$B$8)))))),0)</f>
        <v>0</v>
      </c>
      <c r="AB164" s="91">
        <f>IF(26&lt;='I_Inputs &amp; Assumptions'!$B$8,IF('I_Budget Input Data'!$E$164="Upfront",IF(26=1,'I_Budget Input Data'!$D$164,0),IF('I_Budget Input Data'!$E$164="Equal",'I_Budget Input Data'!$D$164/'I_Inputs &amp; Assumptions'!$B$8,IF('I_Budget Input Data'!$E$164="Front-loaded",IF(26&lt;='I_Inputs &amp; Assumptions'!$B$8/2,'I_Budget Input Data'!$D$164*0.6/('I_Inputs &amp; Assumptions'!$B$8/2),'I_Budget Input Data'!$D$164*0.4/('I_Inputs &amp; Assumptions'!$B$8/2)),IF('I_Budget Input Data'!$E$164="Back-loaded",IF(26&lt;='I_Inputs &amp; Assumptions'!$B$8/2,'I_Budget Input Data'!$D$164*0.4/('I_Inputs &amp; Assumptions'!$B$8/2),'I_Budget Input Data'!$D$164*0.6/('I_Inputs &amp; Assumptions'!$B$8/2)),IF('I_Budget Input Data'!$E$164="Mid-weighted",IF(26&lt;='I_Inputs &amp; Assumptions'!$B$8/4,'I_Budget Input Data'!$D$164*0.2/('I_Inputs &amp; Assumptions'!$B$8/4),IF(26&lt;='I_Inputs &amp; Assumptions'!$B$8*0.75,'I_Budget Input Data'!$D$164*0.6/('I_Inputs &amp; Assumptions'!$B$8/2),'I_Budget Input Data'!$D$164*0.2/('I_Inputs &amp; Assumptions'!$B$8/4))),IF('I_Budget Input Data'!$E$164="At Completion",IF(26='I_Inputs &amp; Assumptions'!$B$8,'I_Budget Input Data'!$D$164,0),'I_Budget Input Data'!$D$164/'I_Inputs &amp; Assumptions'!$B$8)))))),0)</f>
        <v>0</v>
      </c>
      <c r="AC164" s="91">
        <f>IF(27&lt;='I_Inputs &amp; Assumptions'!$B$8,IF('I_Budget Input Data'!$E$164="Upfront",IF(27=1,'I_Budget Input Data'!$D$164,0),IF('I_Budget Input Data'!$E$164="Equal",'I_Budget Input Data'!$D$164/'I_Inputs &amp; Assumptions'!$B$8,IF('I_Budget Input Data'!$E$164="Front-loaded",IF(27&lt;='I_Inputs &amp; Assumptions'!$B$8/2,'I_Budget Input Data'!$D$164*0.6/('I_Inputs &amp; Assumptions'!$B$8/2),'I_Budget Input Data'!$D$164*0.4/('I_Inputs &amp; Assumptions'!$B$8/2)),IF('I_Budget Input Data'!$E$164="Back-loaded",IF(27&lt;='I_Inputs &amp; Assumptions'!$B$8/2,'I_Budget Input Data'!$D$164*0.4/('I_Inputs &amp; Assumptions'!$B$8/2),'I_Budget Input Data'!$D$164*0.6/('I_Inputs &amp; Assumptions'!$B$8/2)),IF('I_Budget Input Data'!$E$164="Mid-weighted",IF(27&lt;='I_Inputs &amp; Assumptions'!$B$8/4,'I_Budget Input Data'!$D$164*0.2/('I_Inputs &amp; Assumptions'!$B$8/4),IF(27&lt;='I_Inputs &amp; Assumptions'!$B$8*0.75,'I_Budget Input Data'!$D$164*0.6/('I_Inputs &amp; Assumptions'!$B$8/2),'I_Budget Input Data'!$D$164*0.2/('I_Inputs &amp; Assumptions'!$B$8/4))),IF('I_Budget Input Data'!$E$164="At Completion",IF(27='I_Inputs &amp; Assumptions'!$B$8,'I_Budget Input Data'!$D$164,0),'I_Budget Input Data'!$D$164/'I_Inputs &amp; Assumptions'!$B$8)))))),0)</f>
        <v>0</v>
      </c>
      <c r="AD164" s="91">
        <f>IF(28&lt;='I_Inputs &amp; Assumptions'!$B$8,IF('I_Budget Input Data'!$E$164="Upfront",IF(28=1,'I_Budget Input Data'!$D$164,0),IF('I_Budget Input Data'!$E$164="Equal",'I_Budget Input Data'!$D$164/'I_Inputs &amp; Assumptions'!$B$8,IF('I_Budget Input Data'!$E$164="Front-loaded",IF(28&lt;='I_Inputs &amp; Assumptions'!$B$8/2,'I_Budget Input Data'!$D$164*0.6/('I_Inputs &amp; Assumptions'!$B$8/2),'I_Budget Input Data'!$D$164*0.4/('I_Inputs &amp; Assumptions'!$B$8/2)),IF('I_Budget Input Data'!$E$164="Back-loaded",IF(28&lt;='I_Inputs &amp; Assumptions'!$B$8/2,'I_Budget Input Data'!$D$164*0.4/('I_Inputs &amp; Assumptions'!$B$8/2),'I_Budget Input Data'!$D$164*0.6/('I_Inputs &amp; Assumptions'!$B$8/2)),IF('I_Budget Input Data'!$E$164="Mid-weighted",IF(28&lt;='I_Inputs &amp; Assumptions'!$B$8/4,'I_Budget Input Data'!$D$164*0.2/('I_Inputs &amp; Assumptions'!$B$8/4),IF(28&lt;='I_Inputs &amp; Assumptions'!$B$8*0.75,'I_Budget Input Data'!$D$164*0.6/('I_Inputs &amp; Assumptions'!$B$8/2),'I_Budget Input Data'!$D$164*0.2/('I_Inputs &amp; Assumptions'!$B$8/4))),IF('I_Budget Input Data'!$E$164="At Completion",IF(28='I_Inputs &amp; Assumptions'!$B$8,'I_Budget Input Data'!$D$164,0),'I_Budget Input Data'!$D$164/'I_Inputs &amp; Assumptions'!$B$8)))))),0)</f>
        <v>0</v>
      </c>
      <c r="AE164" s="91">
        <f>IF(29&lt;='I_Inputs &amp; Assumptions'!$B$8,IF('I_Budget Input Data'!$E$164="Upfront",IF(29=1,'I_Budget Input Data'!$D$164,0),IF('I_Budget Input Data'!$E$164="Equal",'I_Budget Input Data'!$D$164/'I_Inputs &amp; Assumptions'!$B$8,IF('I_Budget Input Data'!$E$164="Front-loaded",IF(29&lt;='I_Inputs &amp; Assumptions'!$B$8/2,'I_Budget Input Data'!$D$164*0.6/('I_Inputs &amp; Assumptions'!$B$8/2),'I_Budget Input Data'!$D$164*0.4/('I_Inputs &amp; Assumptions'!$B$8/2)),IF('I_Budget Input Data'!$E$164="Back-loaded",IF(29&lt;='I_Inputs &amp; Assumptions'!$B$8/2,'I_Budget Input Data'!$D$164*0.4/('I_Inputs &amp; Assumptions'!$B$8/2),'I_Budget Input Data'!$D$164*0.6/('I_Inputs &amp; Assumptions'!$B$8/2)),IF('I_Budget Input Data'!$E$164="Mid-weighted",IF(29&lt;='I_Inputs &amp; Assumptions'!$B$8/4,'I_Budget Input Data'!$D$164*0.2/('I_Inputs &amp; Assumptions'!$B$8/4),IF(29&lt;='I_Inputs &amp; Assumptions'!$B$8*0.75,'I_Budget Input Data'!$D$164*0.6/('I_Inputs &amp; Assumptions'!$B$8/2),'I_Budget Input Data'!$D$164*0.2/('I_Inputs &amp; Assumptions'!$B$8/4))),IF('I_Budget Input Data'!$E$164="At Completion",IF(29='I_Inputs &amp; Assumptions'!$B$8,'I_Budget Input Data'!$D$164,0),'I_Budget Input Data'!$D$164/'I_Inputs &amp; Assumptions'!$B$8)))))),0)</f>
        <v>0</v>
      </c>
      <c r="AF164" s="91">
        <f>IF(30&lt;='I_Inputs &amp; Assumptions'!$B$8,IF('I_Budget Input Data'!$E$164="Upfront",IF(30=1,'I_Budget Input Data'!$D$164,0),IF('I_Budget Input Data'!$E$164="Equal",'I_Budget Input Data'!$D$164/'I_Inputs &amp; Assumptions'!$B$8,IF('I_Budget Input Data'!$E$164="Front-loaded",IF(30&lt;='I_Inputs &amp; Assumptions'!$B$8/2,'I_Budget Input Data'!$D$164*0.6/('I_Inputs &amp; Assumptions'!$B$8/2),'I_Budget Input Data'!$D$164*0.4/('I_Inputs &amp; Assumptions'!$B$8/2)),IF('I_Budget Input Data'!$E$164="Back-loaded",IF(30&lt;='I_Inputs &amp; Assumptions'!$B$8/2,'I_Budget Input Data'!$D$164*0.4/('I_Inputs &amp; Assumptions'!$B$8/2),'I_Budget Input Data'!$D$164*0.6/('I_Inputs &amp; Assumptions'!$B$8/2)),IF('I_Budget Input Data'!$E$164="Mid-weighted",IF(30&lt;='I_Inputs &amp; Assumptions'!$B$8/4,'I_Budget Input Data'!$D$164*0.2/('I_Inputs &amp; Assumptions'!$B$8/4),IF(30&lt;='I_Inputs &amp; Assumptions'!$B$8*0.75,'I_Budget Input Data'!$D$164*0.6/('I_Inputs &amp; Assumptions'!$B$8/2),'I_Budget Input Data'!$D$164*0.2/('I_Inputs &amp; Assumptions'!$B$8/4))),IF('I_Budget Input Data'!$E$164="At Completion",IF(30='I_Inputs &amp; Assumptions'!$B$8,'I_Budget Input Data'!$D$164,0),'I_Budget Input Data'!$D$164/'I_Inputs &amp; Assumptions'!$B$8)))))),0)</f>
        <v>0</v>
      </c>
      <c r="AG164" s="91">
        <f>IF(31&lt;='I_Inputs &amp; Assumptions'!$B$8,IF('I_Budget Input Data'!$E$164="Upfront",IF(31=1,'I_Budget Input Data'!$D$164,0),IF('I_Budget Input Data'!$E$164="Equal",'I_Budget Input Data'!$D$164/'I_Inputs &amp; Assumptions'!$B$8,IF('I_Budget Input Data'!$E$164="Front-loaded",IF(31&lt;='I_Inputs &amp; Assumptions'!$B$8/2,'I_Budget Input Data'!$D$164*0.6/('I_Inputs &amp; Assumptions'!$B$8/2),'I_Budget Input Data'!$D$164*0.4/('I_Inputs &amp; Assumptions'!$B$8/2)),IF('I_Budget Input Data'!$E$164="Back-loaded",IF(31&lt;='I_Inputs &amp; Assumptions'!$B$8/2,'I_Budget Input Data'!$D$164*0.4/('I_Inputs &amp; Assumptions'!$B$8/2),'I_Budget Input Data'!$D$164*0.6/('I_Inputs &amp; Assumptions'!$B$8/2)),IF('I_Budget Input Data'!$E$164="Mid-weighted",IF(31&lt;='I_Inputs &amp; Assumptions'!$B$8/4,'I_Budget Input Data'!$D$164*0.2/('I_Inputs &amp; Assumptions'!$B$8/4),IF(31&lt;='I_Inputs &amp; Assumptions'!$B$8*0.75,'I_Budget Input Data'!$D$164*0.6/('I_Inputs &amp; Assumptions'!$B$8/2),'I_Budget Input Data'!$D$164*0.2/('I_Inputs &amp; Assumptions'!$B$8/4))),IF('I_Budget Input Data'!$E$164="At Completion",IF(31='I_Inputs &amp; Assumptions'!$B$8,'I_Budget Input Data'!$D$164,0),'I_Budget Input Data'!$D$164/'I_Inputs &amp; Assumptions'!$B$8)))))),0)</f>
        <v>0</v>
      </c>
      <c r="AH164" s="91">
        <f>IF(32&lt;='I_Inputs &amp; Assumptions'!$B$8,IF('I_Budget Input Data'!$E$164="Upfront",IF(32=1,'I_Budget Input Data'!$D$164,0),IF('I_Budget Input Data'!$E$164="Equal",'I_Budget Input Data'!$D$164/'I_Inputs &amp; Assumptions'!$B$8,IF('I_Budget Input Data'!$E$164="Front-loaded",IF(32&lt;='I_Inputs &amp; Assumptions'!$B$8/2,'I_Budget Input Data'!$D$164*0.6/('I_Inputs &amp; Assumptions'!$B$8/2),'I_Budget Input Data'!$D$164*0.4/('I_Inputs &amp; Assumptions'!$B$8/2)),IF('I_Budget Input Data'!$E$164="Back-loaded",IF(32&lt;='I_Inputs &amp; Assumptions'!$B$8/2,'I_Budget Input Data'!$D$164*0.4/('I_Inputs &amp; Assumptions'!$B$8/2),'I_Budget Input Data'!$D$164*0.6/('I_Inputs &amp; Assumptions'!$B$8/2)),IF('I_Budget Input Data'!$E$164="Mid-weighted",IF(32&lt;='I_Inputs &amp; Assumptions'!$B$8/4,'I_Budget Input Data'!$D$164*0.2/('I_Inputs &amp; Assumptions'!$B$8/4),IF(32&lt;='I_Inputs &amp; Assumptions'!$B$8*0.75,'I_Budget Input Data'!$D$164*0.6/('I_Inputs &amp; Assumptions'!$B$8/2),'I_Budget Input Data'!$D$164*0.2/('I_Inputs &amp; Assumptions'!$B$8/4))),IF('I_Budget Input Data'!$E$164="At Completion",IF(32='I_Inputs &amp; Assumptions'!$B$8,'I_Budget Input Data'!$D$164,0),'I_Budget Input Data'!$D$164/'I_Inputs &amp; Assumptions'!$B$8)))))),0)</f>
        <v>0</v>
      </c>
      <c r="AI164" s="91">
        <f>IF(33&lt;='I_Inputs &amp; Assumptions'!$B$8,IF('I_Budget Input Data'!$E$164="Upfront",IF(33=1,'I_Budget Input Data'!$D$164,0),IF('I_Budget Input Data'!$E$164="Equal",'I_Budget Input Data'!$D$164/'I_Inputs &amp; Assumptions'!$B$8,IF('I_Budget Input Data'!$E$164="Front-loaded",IF(33&lt;='I_Inputs &amp; Assumptions'!$B$8/2,'I_Budget Input Data'!$D$164*0.6/('I_Inputs &amp; Assumptions'!$B$8/2),'I_Budget Input Data'!$D$164*0.4/('I_Inputs &amp; Assumptions'!$B$8/2)),IF('I_Budget Input Data'!$E$164="Back-loaded",IF(33&lt;='I_Inputs &amp; Assumptions'!$B$8/2,'I_Budget Input Data'!$D$164*0.4/('I_Inputs &amp; Assumptions'!$B$8/2),'I_Budget Input Data'!$D$164*0.6/('I_Inputs &amp; Assumptions'!$B$8/2)),IF('I_Budget Input Data'!$E$164="Mid-weighted",IF(33&lt;='I_Inputs &amp; Assumptions'!$B$8/4,'I_Budget Input Data'!$D$164*0.2/('I_Inputs &amp; Assumptions'!$B$8/4),IF(33&lt;='I_Inputs &amp; Assumptions'!$B$8*0.75,'I_Budget Input Data'!$D$164*0.6/('I_Inputs &amp; Assumptions'!$B$8/2),'I_Budget Input Data'!$D$164*0.2/('I_Inputs &amp; Assumptions'!$B$8/4))),IF('I_Budget Input Data'!$E$164="At Completion",IF(33='I_Inputs &amp; Assumptions'!$B$8,'I_Budget Input Data'!$D$164,0),'I_Budget Input Data'!$D$164/'I_Inputs &amp; Assumptions'!$B$8)))))),0)</f>
        <v>0</v>
      </c>
      <c r="AJ164" s="91">
        <f>IF(34&lt;='I_Inputs &amp; Assumptions'!$B$8,IF('I_Budget Input Data'!$E$164="Upfront",IF(34=1,'I_Budget Input Data'!$D$164,0),IF('I_Budget Input Data'!$E$164="Equal",'I_Budget Input Data'!$D$164/'I_Inputs &amp; Assumptions'!$B$8,IF('I_Budget Input Data'!$E$164="Front-loaded",IF(34&lt;='I_Inputs &amp; Assumptions'!$B$8/2,'I_Budget Input Data'!$D$164*0.6/('I_Inputs &amp; Assumptions'!$B$8/2),'I_Budget Input Data'!$D$164*0.4/('I_Inputs &amp; Assumptions'!$B$8/2)),IF('I_Budget Input Data'!$E$164="Back-loaded",IF(34&lt;='I_Inputs &amp; Assumptions'!$B$8/2,'I_Budget Input Data'!$D$164*0.4/('I_Inputs &amp; Assumptions'!$B$8/2),'I_Budget Input Data'!$D$164*0.6/('I_Inputs &amp; Assumptions'!$B$8/2)),IF('I_Budget Input Data'!$E$164="Mid-weighted",IF(34&lt;='I_Inputs &amp; Assumptions'!$B$8/4,'I_Budget Input Data'!$D$164*0.2/('I_Inputs &amp; Assumptions'!$B$8/4),IF(34&lt;='I_Inputs &amp; Assumptions'!$B$8*0.75,'I_Budget Input Data'!$D$164*0.6/('I_Inputs &amp; Assumptions'!$B$8/2),'I_Budget Input Data'!$D$164*0.2/('I_Inputs &amp; Assumptions'!$B$8/4))),IF('I_Budget Input Data'!$E$164="At Completion",IF(34='I_Inputs &amp; Assumptions'!$B$8,'I_Budget Input Data'!$D$164,0),'I_Budget Input Data'!$D$164/'I_Inputs &amp; Assumptions'!$B$8)))))),0)</f>
        <v>0</v>
      </c>
      <c r="AK164" s="91">
        <f>IF(35&lt;='I_Inputs &amp; Assumptions'!$B$8,IF('I_Budget Input Data'!$E$164="Upfront",IF(35=1,'I_Budget Input Data'!$D$164,0),IF('I_Budget Input Data'!$E$164="Equal",'I_Budget Input Data'!$D$164/'I_Inputs &amp; Assumptions'!$B$8,IF('I_Budget Input Data'!$E$164="Front-loaded",IF(35&lt;='I_Inputs &amp; Assumptions'!$B$8/2,'I_Budget Input Data'!$D$164*0.6/('I_Inputs &amp; Assumptions'!$B$8/2),'I_Budget Input Data'!$D$164*0.4/('I_Inputs &amp; Assumptions'!$B$8/2)),IF('I_Budget Input Data'!$E$164="Back-loaded",IF(35&lt;='I_Inputs &amp; Assumptions'!$B$8/2,'I_Budget Input Data'!$D$164*0.4/('I_Inputs &amp; Assumptions'!$B$8/2),'I_Budget Input Data'!$D$164*0.6/('I_Inputs &amp; Assumptions'!$B$8/2)),IF('I_Budget Input Data'!$E$164="Mid-weighted",IF(35&lt;='I_Inputs &amp; Assumptions'!$B$8/4,'I_Budget Input Data'!$D$164*0.2/('I_Inputs &amp; Assumptions'!$B$8/4),IF(35&lt;='I_Inputs &amp; Assumptions'!$B$8*0.75,'I_Budget Input Data'!$D$164*0.6/('I_Inputs &amp; Assumptions'!$B$8/2),'I_Budget Input Data'!$D$164*0.2/('I_Inputs &amp; Assumptions'!$B$8/4))),IF('I_Budget Input Data'!$E$164="At Completion",IF(35='I_Inputs &amp; Assumptions'!$B$8,'I_Budget Input Data'!$D$164,0),'I_Budget Input Data'!$D$164/'I_Inputs &amp; Assumptions'!$B$8)))))),0)</f>
        <v>0</v>
      </c>
      <c r="AL164" s="91">
        <f>IF(36&lt;='I_Inputs &amp; Assumptions'!$B$8,IF('I_Budget Input Data'!$E$164="Upfront",IF(36=1,'I_Budget Input Data'!$D$164,0),IF('I_Budget Input Data'!$E$164="Equal",'I_Budget Input Data'!$D$164/'I_Inputs &amp; Assumptions'!$B$8,IF('I_Budget Input Data'!$E$164="Front-loaded",IF(36&lt;='I_Inputs &amp; Assumptions'!$B$8/2,'I_Budget Input Data'!$D$164*0.6/('I_Inputs &amp; Assumptions'!$B$8/2),'I_Budget Input Data'!$D$164*0.4/('I_Inputs &amp; Assumptions'!$B$8/2)),IF('I_Budget Input Data'!$E$164="Back-loaded",IF(36&lt;='I_Inputs &amp; Assumptions'!$B$8/2,'I_Budget Input Data'!$D$164*0.4/('I_Inputs &amp; Assumptions'!$B$8/2),'I_Budget Input Data'!$D$164*0.6/('I_Inputs &amp; Assumptions'!$B$8/2)),IF('I_Budget Input Data'!$E$164="Mid-weighted",IF(36&lt;='I_Inputs &amp; Assumptions'!$B$8/4,'I_Budget Input Data'!$D$164*0.2/('I_Inputs &amp; Assumptions'!$B$8/4),IF(36&lt;='I_Inputs &amp; Assumptions'!$B$8*0.75,'I_Budget Input Data'!$D$164*0.6/('I_Inputs &amp; Assumptions'!$B$8/2),'I_Budget Input Data'!$D$164*0.2/('I_Inputs &amp; Assumptions'!$B$8/4))),IF('I_Budget Input Data'!$E$164="At Completion",IF(36='I_Inputs &amp; Assumptions'!$B$8,'I_Budget Input Data'!$D$164,0),'I_Budget Input Data'!$D$164/'I_Inputs &amp; Assumptions'!$B$8)))))),0)</f>
        <v>0</v>
      </c>
    </row>
    <row r="165" spans="1:38" ht="15" customHeight="1" x14ac:dyDescent="0.2">
      <c r="A165" t="s">
        <v>270</v>
      </c>
      <c r="B165" t="s">
        <v>280</v>
      </c>
      <c r="C165" s="91">
        <f>IF(1&lt;='I_Inputs &amp; Assumptions'!$B$8,IF('I_Budget Input Data'!$E$165="Upfront",IF(1=1,'I_Budget Input Data'!$D$165,0),IF('I_Budget Input Data'!$E$165="Equal",'I_Budget Input Data'!$D$165/'I_Inputs &amp; Assumptions'!$B$8,IF('I_Budget Input Data'!$E$165="Front-loaded",IF(1&lt;='I_Inputs &amp; Assumptions'!$B$8/2,'I_Budget Input Data'!$D$165*0.6/('I_Inputs &amp; Assumptions'!$B$8/2),'I_Budget Input Data'!$D$165*0.4/('I_Inputs &amp; Assumptions'!$B$8/2)),IF('I_Budget Input Data'!$E$165="Back-loaded",IF(1&lt;='I_Inputs &amp; Assumptions'!$B$8/2,'I_Budget Input Data'!$D$165*0.4/('I_Inputs &amp; Assumptions'!$B$8/2),'I_Budget Input Data'!$D$165*0.6/('I_Inputs &amp; Assumptions'!$B$8/2)),IF('I_Budget Input Data'!$E$165="Mid-weighted",IF(1&lt;='I_Inputs &amp; Assumptions'!$B$8/4,'I_Budget Input Data'!$D$165*0.2/('I_Inputs &amp; Assumptions'!$B$8/4),IF(1&lt;='I_Inputs &amp; Assumptions'!$B$8*0.75,'I_Budget Input Data'!$D$165*0.6/('I_Inputs &amp; Assumptions'!$B$8/2),'I_Budget Input Data'!$D$165*0.2/('I_Inputs &amp; Assumptions'!$B$8/4))),IF('I_Budget Input Data'!$E$165="At Completion",IF(1='I_Inputs &amp; Assumptions'!$B$8,'I_Budget Input Data'!$D$165,0),'I_Budget Input Data'!$D$165/'I_Inputs &amp; Assumptions'!$B$8)))))),0)</f>
        <v>769.23076923076928</v>
      </c>
      <c r="D165" s="91">
        <f>IF(2&lt;='I_Inputs &amp; Assumptions'!$B$8,IF('I_Budget Input Data'!$E$165="Upfront",IF(2=1,'I_Budget Input Data'!$D$165,0),IF('I_Budget Input Data'!$E$165="Equal",'I_Budget Input Data'!$D$165/'I_Inputs &amp; Assumptions'!$B$8,IF('I_Budget Input Data'!$E$165="Front-loaded",IF(2&lt;='I_Inputs &amp; Assumptions'!$B$8/2,'I_Budget Input Data'!$D$165*0.6/('I_Inputs &amp; Assumptions'!$B$8/2),'I_Budget Input Data'!$D$165*0.4/('I_Inputs &amp; Assumptions'!$B$8/2)),IF('I_Budget Input Data'!$E$165="Back-loaded",IF(2&lt;='I_Inputs &amp; Assumptions'!$B$8/2,'I_Budget Input Data'!$D$165*0.4/('I_Inputs &amp; Assumptions'!$B$8/2),'I_Budget Input Data'!$D$165*0.6/('I_Inputs &amp; Assumptions'!$B$8/2)),IF('I_Budget Input Data'!$E$165="Mid-weighted",IF(2&lt;='I_Inputs &amp; Assumptions'!$B$8/4,'I_Budget Input Data'!$D$165*0.2/('I_Inputs &amp; Assumptions'!$B$8/4),IF(2&lt;='I_Inputs &amp; Assumptions'!$B$8*0.75,'I_Budget Input Data'!$D$165*0.6/('I_Inputs &amp; Assumptions'!$B$8/2),'I_Budget Input Data'!$D$165*0.2/('I_Inputs &amp; Assumptions'!$B$8/4))),IF('I_Budget Input Data'!$E$165="At Completion",IF(2='I_Inputs &amp; Assumptions'!$B$8,'I_Budget Input Data'!$D$165,0),'I_Budget Input Data'!$D$165/'I_Inputs &amp; Assumptions'!$B$8)))))),0)</f>
        <v>769.23076923076928</v>
      </c>
      <c r="E165" s="91">
        <f>IF(3&lt;='I_Inputs &amp; Assumptions'!$B$8,IF('I_Budget Input Data'!$E$165="Upfront",IF(3=1,'I_Budget Input Data'!$D$165,0),IF('I_Budget Input Data'!$E$165="Equal",'I_Budget Input Data'!$D$165/'I_Inputs &amp; Assumptions'!$B$8,IF('I_Budget Input Data'!$E$165="Front-loaded",IF(3&lt;='I_Inputs &amp; Assumptions'!$B$8/2,'I_Budget Input Data'!$D$165*0.6/('I_Inputs &amp; Assumptions'!$B$8/2),'I_Budget Input Data'!$D$165*0.4/('I_Inputs &amp; Assumptions'!$B$8/2)),IF('I_Budget Input Data'!$E$165="Back-loaded",IF(3&lt;='I_Inputs &amp; Assumptions'!$B$8/2,'I_Budget Input Data'!$D$165*0.4/('I_Inputs &amp; Assumptions'!$B$8/2),'I_Budget Input Data'!$D$165*0.6/('I_Inputs &amp; Assumptions'!$B$8/2)),IF('I_Budget Input Data'!$E$165="Mid-weighted",IF(3&lt;='I_Inputs &amp; Assumptions'!$B$8/4,'I_Budget Input Data'!$D$165*0.2/('I_Inputs &amp; Assumptions'!$B$8/4),IF(3&lt;='I_Inputs &amp; Assumptions'!$B$8*0.75,'I_Budget Input Data'!$D$165*0.6/('I_Inputs &amp; Assumptions'!$B$8/2),'I_Budget Input Data'!$D$165*0.2/('I_Inputs &amp; Assumptions'!$B$8/4))),IF('I_Budget Input Data'!$E$165="At Completion",IF(3='I_Inputs &amp; Assumptions'!$B$8,'I_Budget Input Data'!$D$165,0),'I_Budget Input Data'!$D$165/'I_Inputs &amp; Assumptions'!$B$8)))))),0)</f>
        <v>769.23076923076928</v>
      </c>
      <c r="F165" s="91">
        <f>IF(4&lt;='I_Inputs &amp; Assumptions'!$B$8,IF('I_Budget Input Data'!$E$165="Upfront",IF(4=1,'I_Budget Input Data'!$D$165,0),IF('I_Budget Input Data'!$E$165="Equal",'I_Budget Input Data'!$D$165/'I_Inputs &amp; Assumptions'!$B$8,IF('I_Budget Input Data'!$E$165="Front-loaded",IF(4&lt;='I_Inputs &amp; Assumptions'!$B$8/2,'I_Budget Input Data'!$D$165*0.6/('I_Inputs &amp; Assumptions'!$B$8/2),'I_Budget Input Data'!$D$165*0.4/('I_Inputs &amp; Assumptions'!$B$8/2)),IF('I_Budget Input Data'!$E$165="Back-loaded",IF(4&lt;='I_Inputs &amp; Assumptions'!$B$8/2,'I_Budget Input Data'!$D$165*0.4/('I_Inputs &amp; Assumptions'!$B$8/2),'I_Budget Input Data'!$D$165*0.6/('I_Inputs &amp; Assumptions'!$B$8/2)),IF('I_Budget Input Data'!$E$165="Mid-weighted",IF(4&lt;='I_Inputs &amp; Assumptions'!$B$8/4,'I_Budget Input Data'!$D$165*0.2/('I_Inputs &amp; Assumptions'!$B$8/4),IF(4&lt;='I_Inputs &amp; Assumptions'!$B$8*0.75,'I_Budget Input Data'!$D$165*0.6/('I_Inputs &amp; Assumptions'!$B$8/2),'I_Budget Input Data'!$D$165*0.2/('I_Inputs &amp; Assumptions'!$B$8/4))),IF('I_Budget Input Data'!$E$165="At Completion",IF(4='I_Inputs &amp; Assumptions'!$B$8,'I_Budget Input Data'!$D$165,0),'I_Budget Input Data'!$D$165/'I_Inputs &amp; Assumptions'!$B$8)))))),0)</f>
        <v>769.23076923076928</v>
      </c>
      <c r="G165" s="91">
        <f>IF(5&lt;='I_Inputs &amp; Assumptions'!$B$8,IF('I_Budget Input Data'!$E$165="Upfront",IF(5=1,'I_Budget Input Data'!$D$165,0),IF('I_Budget Input Data'!$E$165="Equal",'I_Budget Input Data'!$D$165/'I_Inputs &amp; Assumptions'!$B$8,IF('I_Budget Input Data'!$E$165="Front-loaded",IF(5&lt;='I_Inputs &amp; Assumptions'!$B$8/2,'I_Budget Input Data'!$D$165*0.6/('I_Inputs &amp; Assumptions'!$B$8/2),'I_Budget Input Data'!$D$165*0.4/('I_Inputs &amp; Assumptions'!$B$8/2)),IF('I_Budget Input Data'!$E$165="Back-loaded",IF(5&lt;='I_Inputs &amp; Assumptions'!$B$8/2,'I_Budget Input Data'!$D$165*0.4/('I_Inputs &amp; Assumptions'!$B$8/2),'I_Budget Input Data'!$D$165*0.6/('I_Inputs &amp; Assumptions'!$B$8/2)),IF('I_Budget Input Data'!$E$165="Mid-weighted",IF(5&lt;='I_Inputs &amp; Assumptions'!$B$8/4,'I_Budget Input Data'!$D$165*0.2/('I_Inputs &amp; Assumptions'!$B$8/4),IF(5&lt;='I_Inputs &amp; Assumptions'!$B$8*0.75,'I_Budget Input Data'!$D$165*0.6/('I_Inputs &amp; Assumptions'!$B$8/2),'I_Budget Input Data'!$D$165*0.2/('I_Inputs &amp; Assumptions'!$B$8/4))),IF('I_Budget Input Data'!$E$165="At Completion",IF(5='I_Inputs &amp; Assumptions'!$B$8,'I_Budget Input Data'!$D$165,0),'I_Budget Input Data'!$D$165/'I_Inputs &amp; Assumptions'!$B$8)))))),0)</f>
        <v>769.23076923076928</v>
      </c>
      <c r="H165" s="91">
        <f>IF(6&lt;='I_Inputs &amp; Assumptions'!$B$8,IF('I_Budget Input Data'!$E$165="Upfront",IF(6=1,'I_Budget Input Data'!$D$165,0),IF('I_Budget Input Data'!$E$165="Equal",'I_Budget Input Data'!$D$165/'I_Inputs &amp; Assumptions'!$B$8,IF('I_Budget Input Data'!$E$165="Front-loaded",IF(6&lt;='I_Inputs &amp; Assumptions'!$B$8/2,'I_Budget Input Data'!$D$165*0.6/('I_Inputs &amp; Assumptions'!$B$8/2),'I_Budget Input Data'!$D$165*0.4/('I_Inputs &amp; Assumptions'!$B$8/2)),IF('I_Budget Input Data'!$E$165="Back-loaded",IF(6&lt;='I_Inputs &amp; Assumptions'!$B$8/2,'I_Budget Input Data'!$D$165*0.4/('I_Inputs &amp; Assumptions'!$B$8/2),'I_Budget Input Data'!$D$165*0.6/('I_Inputs &amp; Assumptions'!$B$8/2)),IF('I_Budget Input Data'!$E$165="Mid-weighted",IF(6&lt;='I_Inputs &amp; Assumptions'!$B$8/4,'I_Budget Input Data'!$D$165*0.2/('I_Inputs &amp; Assumptions'!$B$8/4),IF(6&lt;='I_Inputs &amp; Assumptions'!$B$8*0.75,'I_Budget Input Data'!$D$165*0.6/('I_Inputs &amp; Assumptions'!$B$8/2),'I_Budget Input Data'!$D$165*0.2/('I_Inputs &amp; Assumptions'!$B$8/4))),IF('I_Budget Input Data'!$E$165="At Completion",IF(6='I_Inputs &amp; Assumptions'!$B$8,'I_Budget Input Data'!$D$165,0),'I_Budget Input Data'!$D$165/'I_Inputs &amp; Assumptions'!$B$8)))))),0)</f>
        <v>769.23076923076928</v>
      </c>
      <c r="I165" s="91">
        <f>IF(7&lt;='I_Inputs &amp; Assumptions'!$B$8,IF('I_Budget Input Data'!$E$165="Upfront",IF(7=1,'I_Budget Input Data'!$D$165,0),IF('I_Budget Input Data'!$E$165="Equal",'I_Budget Input Data'!$D$165/'I_Inputs &amp; Assumptions'!$B$8,IF('I_Budget Input Data'!$E$165="Front-loaded",IF(7&lt;='I_Inputs &amp; Assumptions'!$B$8/2,'I_Budget Input Data'!$D$165*0.6/('I_Inputs &amp; Assumptions'!$B$8/2),'I_Budget Input Data'!$D$165*0.4/('I_Inputs &amp; Assumptions'!$B$8/2)),IF('I_Budget Input Data'!$E$165="Back-loaded",IF(7&lt;='I_Inputs &amp; Assumptions'!$B$8/2,'I_Budget Input Data'!$D$165*0.4/('I_Inputs &amp; Assumptions'!$B$8/2),'I_Budget Input Data'!$D$165*0.6/('I_Inputs &amp; Assumptions'!$B$8/2)),IF('I_Budget Input Data'!$E$165="Mid-weighted",IF(7&lt;='I_Inputs &amp; Assumptions'!$B$8/4,'I_Budget Input Data'!$D$165*0.2/('I_Inputs &amp; Assumptions'!$B$8/4),IF(7&lt;='I_Inputs &amp; Assumptions'!$B$8*0.75,'I_Budget Input Data'!$D$165*0.6/('I_Inputs &amp; Assumptions'!$B$8/2),'I_Budget Input Data'!$D$165*0.2/('I_Inputs &amp; Assumptions'!$B$8/4))),IF('I_Budget Input Data'!$E$165="At Completion",IF(7='I_Inputs &amp; Assumptions'!$B$8,'I_Budget Input Data'!$D$165,0),'I_Budget Input Data'!$D$165/'I_Inputs &amp; Assumptions'!$B$8)))))),0)</f>
        <v>769.23076923076928</v>
      </c>
      <c r="J165" s="91">
        <f>IF(8&lt;='I_Inputs &amp; Assumptions'!$B$8,IF('I_Budget Input Data'!$E$165="Upfront",IF(8=1,'I_Budget Input Data'!$D$165,0),IF('I_Budget Input Data'!$E$165="Equal",'I_Budget Input Data'!$D$165/'I_Inputs &amp; Assumptions'!$B$8,IF('I_Budget Input Data'!$E$165="Front-loaded",IF(8&lt;='I_Inputs &amp; Assumptions'!$B$8/2,'I_Budget Input Data'!$D$165*0.6/('I_Inputs &amp; Assumptions'!$B$8/2),'I_Budget Input Data'!$D$165*0.4/('I_Inputs &amp; Assumptions'!$B$8/2)),IF('I_Budget Input Data'!$E$165="Back-loaded",IF(8&lt;='I_Inputs &amp; Assumptions'!$B$8/2,'I_Budget Input Data'!$D$165*0.4/('I_Inputs &amp; Assumptions'!$B$8/2),'I_Budget Input Data'!$D$165*0.6/('I_Inputs &amp; Assumptions'!$B$8/2)),IF('I_Budget Input Data'!$E$165="Mid-weighted",IF(8&lt;='I_Inputs &amp; Assumptions'!$B$8/4,'I_Budget Input Data'!$D$165*0.2/('I_Inputs &amp; Assumptions'!$B$8/4),IF(8&lt;='I_Inputs &amp; Assumptions'!$B$8*0.75,'I_Budget Input Data'!$D$165*0.6/('I_Inputs &amp; Assumptions'!$B$8/2),'I_Budget Input Data'!$D$165*0.2/('I_Inputs &amp; Assumptions'!$B$8/4))),IF('I_Budget Input Data'!$E$165="At Completion",IF(8='I_Inputs &amp; Assumptions'!$B$8,'I_Budget Input Data'!$D$165,0),'I_Budget Input Data'!$D$165/'I_Inputs &amp; Assumptions'!$B$8)))))),0)</f>
        <v>769.23076923076928</v>
      </c>
      <c r="K165" s="91">
        <f>IF(9&lt;='I_Inputs &amp; Assumptions'!$B$8,IF('I_Budget Input Data'!$E$165="Upfront",IF(9=1,'I_Budget Input Data'!$D$165,0),IF('I_Budget Input Data'!$E$165="Equal",'I_Budget Input Data'!$D$165/'I_Inputs &amp; Assumptions'!$B$8,IF('I_Budget Input Data'!$E$165="Front-loaded",IF(9&lt;='I_Inputs &amp; Assumptions'!$B$8/2,'I_Budget Input Data'!$D$165*0.6/('I_Inputs &amp; Assumptions'!$B$8/2),'I_Budget Input Data'!$D$165*0.4/('I_Inputs &amp; Assumptions'!$B$8/2)),IF('I_Budget Input Data'!$E$165="Back-loaded",IF(9&lt;='I_Inputs &amp; Assumptions'!$B$8/2,'I_Budget Input Data'!$D$165*0.4/('I_Inputs &amp; Assumptions'!$B$8/2),'I_Budget Input Data'!$D$165*0.6/('I_Inputs &amp; Assumptions'!$B$8/2)),IF('I_Budget Input Data'!$E$165="Mid-weighted",IF(9&lt;='I_Inputs &amp; Assumptions'!$B$8/4,'I_Budget Input Data'!$D$165*0.2/('I_Inputs &amp; Assumptions'!$B$8/4),IF(9&lt;='I_Inputs &amp; Assumptions'!$B$8*0.75,'I_Budget Input Data'!$D$165*0.6/('I_Inputs &amp; Assumptions'!$B$8/2),'I_Budget Input Data'!$D$165*0.2/('I_Inputs &amp; Assumptions'!$B$8/4))),IF('I_Budget Input Data'!$E$165="At Completion",IF(9='I_Inputs &amp; Assumptions'!$B$8,'I_Budget Input Data'!$D$165,0),'I_Budget Input Data'!$D$165/'I_Inputs &amp; Assumptions'!$B$8)))))),0)</f>
        <v>769.23076923076928</v>
      </c>
      <c r="L165" s="91">
        <f>IF(10&lt;='I_Inputs &amp; Assumptions'!$B$8,IF('I_Budget Input Data'!$E$165="Upfront",IF(10=1,'I_Budget Input Data'!$D$165,0),IF('I_Budget Input Data'!$E$165="Equal",'I_Budget Input Data'!$D$165/'I_Inputs &amp; Assumptions'!$B$8,IF('I_Budget Input Data'!$E$165="Front-loaded",IF(10&lt;='I_Inputs &amp; Assumptions'!$B$8/2,'I_Budget Input Data'!$D$165*0.6/('I_Inputs &amp; Assumptions'!$B$8/2),'I_Budget Input Data'!$D$165*0.4/('I_Inputs &amp; Assumptions'!$B$8/2)),IF('I_Budget Input Data'!$E$165="Back-loaded",IF(10&lt;='I_Inputs &amp; Assumptions'!$B$8/2,'I_Budget Input Data'!$D$165*0.4/('I_Inputs &amp; Assumptions'!$B$8/2),'I_Budget Input Data'!$D$165*0.6/('I_Inputs &amp; Assumptions'!$B$8/2)),IF('I_Budget Input Data'!$E$165="Mid-weighted",IF(10&lt;='I_Inputs &amp; Assumptions'!$B$8/4,'I_Budget Input Data'!$D$165*0.2/('I_Inputs &amp; Assumptions'!$B$8/4),IF(10&lt;='I_Inputs &amp; Assumptions'!$B$8*0.75,'I_Budget Input Data'!$D$165*0.6/('I_Inputs &amp; Assumptions'!$B$8/2),'I_Budget Input Data'!$D$165*0.2/('I_Inputs &amp; Assumptions'!$B$8/4))),IF('I_Budget Input Data'!$E$165="At Completion",IF(10='I_Inputs &amp; Assumptions'!$B$8,'I_Budget Input Data'!$D$165,0),'I_Budget Input Data'!$D$165/'I_Inputs &amp; Assumptions'!$B$8)))))),0)</f>
        <v>769.23076923076928</v>
      </c>
      <c r="M165" s="91">
        <f>IF(11&lt;='I_Inputs &amp; Assumptions'!$B$8,IF('I_Budget Input Data'!$E$165="Upfront",IF(11=1,'I_Budget Input Data'!$D$165,0),IF('I_Budget Input Data'!$E$165="Equal",'I_Budget Input Data'!$D$165/'I_Inputs &amp; Assumptions'!$B$8,IF('I_Budget Input Data'!$E$165="Front-loaded",IF(11&lt;='I_Inputs &amp; Assumptions'!$B$8/2,'I_Budget Input Data'!$D$165*0.6/('I_Inputs &amp; Assumptions'!$B$8/2),'I_Budget Input Data'!$D$165*0.4/('I_Inputs &amp; Assumptions'!$B$8/2)),IF('I_Budget Input Data'!$E$165="Back-loaded",IF(11&lt;='I_Inputs &amp; Assumptions'!$B$8/2,'I_Budget Input Data'!$D$165*0.4/('I_Inputs &amp; Assumptions'!$B$8/2),'I_Budget Input Data'!$D$165*0.6/('I_Inputs &amp; Assumptions'!$B$8/2)),IF('I_Budget Input Data'!$E$165="Mid-weighted",IF(11&lt;='I_Inputs &amp; Assumptions'!$B$8/4,'I_Budget Input Data'!$D$165*0.2/('I_Inputs &amp; Assumptions'!$B$8/4),IF(11&lt;='I_Inputs &amp; Assumptions'!$B$8*0.75,'I_Budget Input Data'!$D$165*0.6/('I_Inputs &amp; Assumptions'!$B$8/2),'I_Budget Input Data'!$D$165*0.2/('I_Inputs &amp; Assumptions'!$B$8/4))),IF('I_Budget Input Data'!$E$165="At Completion",IF(11='I_Inputs &amp; Assumptions'!$B$8,'I_Budget Input Data'!$D$165,0),'I_Budget Input Data'!$D$165/'I_Inputs &amp; Assumptions'!$B$8)))))),0)</f>
        <v>769.23076923076928</v>
      </c>
      <c r="N165" s="91">
        <f>IF(12&lt;='I_Inputs &amp; Assumptions'!$B$8,IF('I_Budget Input Data'!$E$165="Upfront",IF(12=1,'I_Budget Input Data'!$D$165,0),IF('I_Budget Input Data'!$E$165="Equal",'I_Budget Input Data'!$D$165/'I_Inputs &amp; Assumptions'!$B$8,IF('I_Budget Input Data'!$E$165="Front-loaded",IF(12&lt;='I_Inputs &amp; Assumptions'!$B$8/2,'I_Budget Input Data'!$D$165*0.6/('I_Inputs &amp; Assumptions'!$B$8/2),'I_Budget Input Data'!$D$165*0.4/('I_Inputs &amp; Assumptions'!$B$8/2)),IF('I_Budget Input Data'!$E$165="Back-loaded",IF(12&lt;='I_Inputs &amp; Assumptions'!$B$8/2,'I_Budget Input Data'!$D$165*0.4/('I_Inputs &amp; Assumptions'!$B$8/2),'I_Budget Input Data'!$D$165*0.6/('I_Inputs &amp; Assumptions'!$B$8/2)),IF('I_Budget Input Data'!$E$165="Mid-weighted",IF(12&lt;='I_Inputs &amp; Assumptions'!$B$8/4,'I_Budget Input Data'!$D$165*0.2/('I_Inputs &amp; Assumptions'!$B$8/4),IF(12&lt;='I_Inputs &amp; Assumptions'!$B$8*0.75,'I_Budget Input Data'!$D$165*0.6/('I_Inputs &amp; Assumptions'!$B$8/2),'I_Budget Input Data'!$D$165*0.2/('I_Inputs &amp; Assumptions'!$B$8/4))),IF('I_Budget Input Data'!$E$165="At Completion",IF(12='I_Inputs &amp; Assumptions'!$B$8,'I_Budget Input Data'!$D$165,0),'I_Budget Input Data'!$D$165/'I_Inputs &amp; Assumptions'!$B$8)))))),0)</f>
        <v>769.23076923076928</v>
      </c>
      <c r="O165" s="91">
        <f>IF(13&lt;='I_Inputs &amp; Assumptions'!$B$8,IF('I_Budget Input Data'!$E$165="Upfront",IF(13=1,'I_Budget Input Data'!$D$165,0),IF('I_Budget Input Data'!$E$165="Equal",'I_Budget Input Data'!$D$165/'I_Inputs &amp; Assumptions'!$B$8,IF('I_Budget Input Data'!$E$165="Front-loaded",IF(13&lt;='I_Inputs &amp; Assumptions'!$B$8/2,'I_Budget Input Data'!$D$165*0.6/('I_Inputs &amp; Assumptions'!$B$8/2),'I_Budget Input Data'!$D$165*0.4/('I_Inputs &amp; Assumptions'!$B$8/2)),IF('I_Budget Input Data'!$E$165="Back-loaded",IF(13&lt;='I_Inputs &amp; Assumptions'!$B$8/2,'I_Budget Input Data'!$D$165*0.4/('I_Inputs &amp; Assumptions'!$B$8/2),'I_Budget Input Data'!$D$165*0.6/('I_Inputs &amp; Assumptions'!$B$8/2)),IF('I_Budget Input Data'!$E$165="Mid-weighted",IF(13&lt;='I_Inputs &amp; Assumptions'!$B$8/4,'I_Budget Input Data'!$D$165*0.2/('I_Inputs &amp; Assumptions'!$B$8/4),IF(13&lt;='I_Inputs &amp; Assumptions'!$B$8*0.75,'I_Budget Input Data'!$D$165*0.6/('I_Inputs &amp; Assumptions'!$B$8/2),'I_Budget Input Data'!$D$165*0.2/('I_Inputs &amp; Assumptions'!$B$8/4))),IF('I_Budget Input Data'!$E$165="At Completion",IF(13='I_Inputs &amp; Assumptions'!$B$8,'I_Budget Input Data'!$D$165,0),'I_Budget Input Data'!$D$165/'I_Inputs &amp; Assumptions'!$B$8)))))),0)</f>
        <v>769.23076923076928</v>
      </c>
      <c r="P165" s="91">
        <f>IF(14&lt;='I_Inputs &amp; Assumptions'!$B$8,IF('I_Budget Input Data'!$E$165="Upfront",IF(14=1,'I_Budget Input Data'!$D$165,0),IF('I_Budget Input Data'!$E$165="Equal",'I_Budget Input Data'!$D$165/'I_Inputs &amp; Assumptions'!$B$8,IF('I_Budget Input Data'!$E$165="Front-loaded",IF(14&lt;='I_Inputs &amp; Assumptions'!$B$8/2,'I_Budget Input Data'!$D$165*0.6/('I_Inputs &amp; Assumptions'!$B$8/2),'I_Budget Input Data'!$D$165*0.4/('I_Inputs &amp; Assumptions'!$B$8/2)),IF('I_Budget Input Data'!$E$165="Back-loaded",IF(14&lt;='I_Inputs &amp; Assumptions'!$B$8/2,'I_Budget Input Data'!$D$165*0.4/('I_Inputs &amp; Assumptions'!$B$8/2),'I_Budget Input Data'!$D$165*0.6/('I_Inputs &amp; Assumptions'!$B$8/2)),IF('I_Budget Input Data'!$E$165="Mid-weighted",IF(14&lt;='I_Inputs &amp; Assumptions'!$B$8/4,'I_Budget Input Data'!$D$165*0.2/('I_Inputs &amp; Assumptions'!$B$8/4),IF(14&lt;='I_Inputs &amp; Assumptions'!$B$8*0.75,'I_Budget Input Data'!$D$165*0.6/('I_Inputs &amp; Assumptions'!$B$8/2),'I_Budget Input Data'!$D$165*0.2/('I_Inputs &amp; Assumptions'!$B$8/4))),IF('I_Budget Input Data'!$E$165="At Completion",IF(14='I_Inputs &amp; Assumptions'!$B$8,'I_Budget Input Data'!$D$165,0),'I_Budget Input Data'!$D$165/'I_Inputs &amp; Assumptions'!$B$8)))))),0)</f>
        <v>0</v>
      </c>
      <c r="Q165" s="91">
        <f>IF(15&lt;='I_Inputs &amp; Assumptions'!$B$8,IF('I_Budget Input Data'!$E$165="Upfront",IF(15=1,'I_Budget Input Data'!$D$165,0),IF('I_Budget Input Data'!$E$165="Equal",'I_Budget Input Data'!$D$165/'I_Inputs &amp; Assumptions'!$B$8,IF('I_Budget Input Data'!$E$165="Front-loaded",IF(15&lt;='I_Inputs &amp; Assumptions'!$B$8/2,'I_Budget Input Data'!$D$165*0.6/('I_Inputs &amp; Assumptions'!$B$8/2),'I_Budget Input Data'!$D$165*0.4/('I_Inputs &amp; Assumptions'!$B$8/2)),IF('I_Budget Input Data'!$E$165="Back-loaded",IF(15&lt;='I_Inputs &amp; Assumptions'!$B$8/2,'I_Budget Input Data'!$D$165*0.4/('I_Inputs &amp; Assumptions'!$B$8/2),'I_Budget Input Data'!$D$165*0.6/('I_Inputs &amp; Assumptions'!$B$8/2)),IF('I_Budget Input Data'!$E$165="Mid-weighted",IF(15&lt;='I_Inputs &amp; Assumptions'!$B$8/4,'I_Budget Input Data'!$D$165*0.2/('I_Inputs &amp; Assumptions'!$B$8/4),IF(15&lt;='I_Inputs &amp; Assumptions'!$B$8*0.75,'I_Budget Input Data'!$D$165*0.6/('I_Inputs &amp; Assumptions'!$B$8/2),'I_Budget Input Data'!$D$165*0.2/('I_Inputs &amp; Assumptions'!$B$8/4))),IF('I_Budget Input Data'!$E$165="At Completion",IF(15='I_Inputs &amp; Assumptions'!$B$8,'I_Budget Input Data'!$D$165,0),'I_Budget Input Data'!$D$165/'I_Inputs &amp; Assumptions'!$B$8)))))),0)</f>
        <v>0</v>
      </c>
      <c r="R165" s="91">
        <f>IF(16&lt;='I_Inputs &amp; Assumptions'!$B$8,IF('I_Budget Input Data'!$E$165="Upfront",IF(16=1,'I_Budget Input Data'!$D$165,0),IF('I_Budget Input Data'!$E$165="Equal",'I_Budget Input Data'!$D$165/'I_Inputs &amp; Assumptions'!$B$8,IF('I_Budget Input Data'!$E$165="Front-loaded",IF(16&lt;='I_Inputs &amp; Assumptions'!$B$8/2,'I_Budget Input Data'!$D$165*0.6/('I_Inputs &amp; Assumptions'!$B$8/2),'I_Budget Input Data'!$D$165*0.4/('I_Inputs &amp; Assumptions'!$B$8/2)),IF('I_Budget Input Data'!$E$165="Back-loaded",IF(16&lt;='I_Inputs &amp; Assumptions'!$B$8/2,'I_Budget Input Data'!$D$165*0.4/('I_Inputs &amp; Assumptions'!$B$8/2),'I_Budget Input Data'!$D$165*0.6/('I_Inputs &amp; Assumptions'!$B$8/2)),IF('I_Budget Input Data'!$E$165="Mid-weighted",IF(16&lt;='I_Inputs &amp; Assumptions'!$B$8/4,'I_Budget Input Data'!$D$165*0.2/('I_Inputs &amp; Assumptions'!$B$8/4),IF(16&lt;='I_Inputs &amp; Assumptions'!$B$8*0.75,'I_Budget Input Data'!$D$165*0.6/('I_Inputs &amp; Assumptions'!$B$8/2),'I_Budget Input Data'!$D$165*0.2/('I_Inputs &amp; Assumptions'!$B$8/4))),IF('I_Budget Input Data'!$E$165="At Completion",IF(16='I_Inputs &amp; Assumptions'!$B$8,'I_Budget Input Data'!$D$165,0),'I_Budget Input Data'!$D$165/'I_Inputs &amp; Assumptions'!$B$8)))))),0)</f>
        <v>0</v>
      </c>
      <c r="S165" s="91">
        <f>IF(17&lt;='I_Inputs &amp; Assumptions'!$B$8,IF('I_Budget Input Data'!$E$165="Upfront",IF(17=1,'I_Budget Input Data'!$D$165,0),IF('I_Budget Input Data'!$E$165="Equal",'I_Budget Input Data'!$D$165/'I_Inputs &amp; Assumptions'!$B$8,IF('I_Budget Input Data'!$E$165="Front-loaded",IF(17&lt;='I_Inputs &amp; Assumptions'!$B$8/2,'I_Budget Input Data'!$D$165*0.6/('I_Inputs &amp; Assumptions'!$B$8/2),'I_Budget Input Data'!$D$165*0.4/('I_Inputs &amp; Assumptions'!$B$8/2)),IF('I_Budget Input Data'!$E$165="Back-loaded",IF(17&lt;='I_Inputs &amp; Assumptions'!$B$8/2,'I_Budget Input Data'!$D$165*0.4/('I_Inputs &amp; Assumptions'!$B$8/2),'I_Budget Input Data'!$D$165*0.6/('I_Inputs &amp; Assumptions'!$B$8/2)),IF('I_Budget Input Data'!$E$165="Mid-weighted",IF(17&lt;='I_Inputs &amp; Assumptions'!$B$8/4,'I_Budget Input Data'!$D$165*0.2/('I_Inputs &amp; Assumptions'!$B$8/4),IF(17&lt;='I_Inputs &amp; Assumptions'!$B$8*0.75,'I_Budget Input Data'!$D$165*0.6/('I_Inputs &amp; Assumptions'!$B$8/2),'I_Budget Input Data'!$D$165*0.2/('I_Inputs &amp; Assumptions'!$B$8/4))),IF('I_Budget Input Data'!$E$165="At Completion",IF(17='I_Inputs &amp; Assumptions'!$B$8,'I_Budget Input Data'!$D$165,0),'I_Budget Input Data'!$D$165/'I_Inputs &amp; Assumptions'!$B$8)))))),0)</f>
        <v>0</v>
      </c>
      <c r="T165" s="91">
        <f>IF(18&lt;='I_Inputs &amp; Assumptions'!$B$8,IF('I_Budget Input Data'!$E$165="Upfront",IF(18=1,'I_Budget Input Data'!$D$165,0),IF('I_Budget Input Data'!$E$165="Equal",'I_Budget Input Data'!$D$165/'I_Inputs &amp; Assumptions'!$B$8,IF('I_Budget Input Data'!$E$165="Front-loaded",IF(18&lt;='I_Inputs &amp; Assumptions'!$B$8/2,'I_Budget Input Data'!$D$165*0.6/('I_Inputs &amp; Assumptions'!$B$8/2),'I_Budget Input Data'!$D$165*0.4/('I_Inputs &amp; Assumptions'!$B$8/2)),IF('I_Budget Input Data'!$E$165="Back-loaded",IF(18&lt;='I_Inputs &amp; Assumptions'!$B$8/2,'I_Budget Input Data'!$D$165*0.4/('I_Inputs &amp; Assumptions'!$B$8/2),'I_Budget Input Data'!$D$165*0.6/('I_Inputs &amp; Assumptions'!$B$8/2)),IF('I_Budget Input Data'!$E$165="Mid-weighted",IF(18&lt;='I_Inputs &amp; Assumptions'!$B$8/4,'I_Budget Input Data'!$D$165*0.2/('I_Inputs &amp; Assumptions'!$B$8/4),IF(18&lt;='I_Inputs &amp; Assumptions'!$B$8*0.75,'I_Budget Input Data'!$D$165*0.6/('I_Inputs &amp; Assumptions'!$B$8/2),'I_Budget Input Data'!$D$165*0.2/('I_Inputs &amp; Assumptions'!$B$8/4))),IF('I_Budget Input Data'!$E$165="At Completion",IF(18='I_Inputs &amp; Assumptions'!$B$8,'I_Budget Input Data'!$D$165,0),'I_Budget Input Data'!$D$165/'I_Inputs &amp; Assumptions'!$B$8)))))),0)</f>
        <v>0</v>
      </c>
      <c r="U165" s="91">
        <f>IF(19&lt;='I_Inputs &amp; Assumptions'!$B$8,IF('I_Budget Input Data'!$E$165="Upfront",IF(19=1,'I_Budget Input Data'!$D$165,0),IF('I_Budget Input Data'!$E$165="Equal",'I_Budget Input Data'!$D$165/'I_Inputs &amp; Assumptions'!$B$8,IF('I_Budget Input Data'!$E$165="Front-loaded",IF(19&lt;='I_Inputs &amp; Assumptions'!$B$8/2,'I_Budget Input Data'!$D$165*0.6/('I_Inputs &amp; Assumptions'!$B$8/2),'I_Budget Input Data'!$D$165*0.4/('I_Inputs &amp; Assumptions'!$B$8/2)),IF('I_Budget Input Data'!$E$165="Back-loaded",IF(19&lt;='I_Inputs &amp; Assumptions'!$B$8/2,'I_Budget Input Data'!$D$165*0.4/('I_Inputs &amp; Assumptions'!$B$8/2),'I_Budget Input Data'!$D$165*0.6/('I_Inputs &amp; Assumptions'!$B$8/2)),IF('I_Budget Input Data'!$E$165="Mid-weighted",IF(19&lt;='I_Inputs &amp; Assumptions'!$B$8/4,'I_Budget Input Data'!$D$165*0.2/('I_Inputs &amp; Assumptions'!$B$8/4),IF(19&lt;='I_Inputs &amp; Assumptions'!$B$8*0.75,'I_Budget Input Data'!$D$165*0.6/('I_Inputs &amp; Assumptions'!$B$8/2),'I_Budget Input Data'!$D$165*0.2/('I_Inputs &amp; Assumptions'!$B$8/4))),IF('I_Budget Input Data'!$E$165="At Completion",IF(19='I_Inputs &amp; Assumptions'!$B$8,'I_Budget Input Data'!$D$165,0),'I_Budget Input Data'!$D$165/'I_Inputs &amp; Assumptions'!$B$8)))))),0)</f>
        <v>0</v>
      </c>
      <c r="V165" s="91">
        <f>IF(20&lt;='I_Inputs &amp; Assumptions'!$B$8,IF('I_Budget Input Data'!$E$165="Upfront",IF(20=1,'I_Budget Input Data'!$D$165,0),IF('I_Budget Input Data'!$E$165="Equal",'I_Budget Input Data'!$D$165/'I_Inputs &amp; Assumptions'!$B$8,IF('I_Budget Input Data'!$E$165="Front-loaded",IF(20&lt;='I_Inputs &amp; Assumptions'!$B$8/2,'I_Budget Input Data'!$D$165*0.6/('I_Inputs &amp; Assumptions'!$B$8/2),'I_Budget Input Data'!$D$165*0.4/('I_Inputs &amp; Assumptions'!$B$8/2)),IF('I_Budget Input Data'!$E$165="Back-loaded",IF(20&lt;='I_Inputs &amp; Assumptions'!$B$8/2,'I_Budget Input Data'!$D$165*0.4/('I_Inputs &amp; Assumptions'!$B$8/2),'I_Budget Input Data'!$D$165*0.6/('I_Inputs &amp; Assumptions'!$B$8/2)),IF('I_Budget Input Data'!$E$165="Mid-weighted",IF(20&lt;='I_Inputs &amp; Assumptions'!$B$8/4,'I_Budget Input Data'!$D$165*0.2/('I_Inputs &amp; Assumptions'!$B$8/4),IF(20&lt;='I_Inputs &amp; Assumptions'!$B$8*0.75,'I_Budget Input Data'!$D$165*0.6/('I_Inputs &amp; Assumptions'!$B$8/2),'I_Budget Input Data'!$D$165*0.2/('I_Inputs &amp; Assumptions'!$B$8/4))),IF('I_Budget Input Data'!$E$165="At Completion",IF(20='I_Inputs &amp; Assumptions'!$B$8,'I_Budget Input Data'!$D$165,0),'I_Budget Input Data'!$D$165/'I_Inputs &amp; Assumptions'!$B$8)))))),0)</f>
        <v>0</v>
      </c>
      <c r="W165" s="91">
        <f>IF(21&lt;='I_Inputs &amp; Assumptions'!$B$8,IF('I_Budget Input Data'!$E$165="Upfront",IF(21=1,'I_Budget Input Data'!$D$165,0),IF('I_Budget Input Data'!$E$165="Equal",'I_Budget Input Data'!$D$165/'I_Inputs &amp; Assumptions'!$B$8,IF('I_Budget Input Data'!$E$165="Front-loaded",IF(21&lt;='I_Inputs &amp; Assumptions'!$B$8/2,'I_Budget Input Data'!$D$165*0.6/('I_Inputs &amp; Assumptions'!$B$8/2),'I_Budget Input Data'!$D$165*0.4/('I_Inputs &amp; Assumptions'!$B$8/2)),IF('I_Budget Input Data'!$E$165="Back-loaded",IF(21&lt;='I_Inputs &amp; Assumptions'!$B$8/2,'I_Budget Input Data'!$D$165*0.4/('I_Inputs &amp; Assumptions'!$B$8/2),'I_Budget Input Data'!$D$165*0.6/('I_Inputs &amp; Assumptions'!$B$8/2)),IF('I_Budget Input Data'!$E$165="Mid-weighted",IF(21&lt;='I_Inputs &amp; Assumptions'!$B$8/4,'I_Budget Input Data'!$D$165*0.2/('I_Inputs &amp; Assumptions'!$B$8/4),IF(21&lt;='I_Inputs &amp; Assumptions'!$B$8*0.75,'I_Budget Input Data'!$D$165*0.6/('I_Inputs &amp; Assumptions'!$B$8/2),'I_Budget Input Data'!$D$165*0.2/('I_Inputs &amp; Assumptions'!$B$8/4))),IF('I_Budget Input Data'!$E$165="At Completion",IF(21='I_Inputs &amp; Assumptions'!$B$8,'I_Budget Input Data'!$D$165,0),'I_Budget Input Data'!$D$165/'I_Inputs &amp; Assumptions'!$B$8)))))),0)</f>
        <v>0</v>
      </c>
      <c r="X165" s="91">
        <f>IF(22&lt;='I_Inputs &amp; Assumptions'!$B$8,IF('I_Budget Input Data'!$E$165="Upfront",IF(22=1,'I_Budget Input Data'!$D$165,0),IF('I_Budget Input Data'!$E$165="Equal",'I_Budget Input Data'!$D$165/'I_Inputs &amp; Assumptions'!$B$8,IF('I_Budget Input Data'!$E$165="Front-loaded",IF(22&lt;='I_Inputs &amp; Assumptions'!$B$8/2,'I_Budget Input Data'!$D$165*0.6/('I_Inputs &amp; Assumptions'!$B$8/2),'I_Budget Input Data'!$D$165*0.4/('I_Inputs &amp; Assumptions'!$B$8/2)),IF('I_Budget Input Data'!$E$165="Back-loaded",IF(22&lt;='I_Inputs &amp; Assumptions'!$B$8/2,'I_Budget Input Data'!$D$165*0.4/('I_Inputs &amp; Assumptions'!$B$8/2),'I_Budget Input Data'!$D$165*0.6/('I_Inputs &amp; Assumptions'!$B$8/2)),IF('I_Budget Input Data'!$E$165="Mid-weighted",IF(22&lt;='I_Inputs &amp; Assumptions'!$B$8/4,'I_Budget Input Data'!$D$165*0.2/('I_Inputs &amp; Assumptions'!$B$8/4),IF(22&lt;='I_Inputs &amp; Assumptions'!$B$8*0.75,'I_Budget Input Data'!$D$165*0.6/('I_Inputs &amp; Assumptions'!$B$8/2),'I_Budget Input Data'!$D$165*0.2/('I_Inputs &amp; Assumptions'!$B$8/4))),IF('I_Budget Input Data'!$E$165="At Completion",IF(22='I_Inputs &amp; Assumptions'!$B$8,'I_Budget Input Data'!$D$165,0),'I_Budget Input Data'!$D$165/'I_Inputs &amp; Assumptions'!$B$8)))))),0)</f>
        <v>0</v>
      </c>
      <c r="Y165" s="91">
        <f>IF(23&lt;='I_Inputs &amp; Assumptions'!$B$8,IF('I_Budget Input Data'!$E$165="Upfront",IF(23=1,'I_Budget Input Data'!$D$165,0),IF('I_Budget Input Data'!$E$165="Equal",'I_Budget Input Data'!$D$165/'I_Inputs &amp; Assumptions'!$B$8,IF('I_Budget Input Data'!$E$165="Front-loaded",IF(23&lt;='I_Inputs &amp; Assumptions'!$B$8/2,'I_Budget Input Data'!$D$165*0.6/('I_Inputs &amp; Assumptions'!$B$8/2),'I_Budget Input Data'!$D$165*0.4/('I_Inputs &amp; Assumptions'!$B$8/2)),IF('I_Budget Input Data'!$E$165="Back-loaded",IF(23&lt;='I_Inputs &amp; Assumptions'!$B$8/2,'I_Budget Input Data'!$D$165*0.4/('I_Inputs &amp; Assumptions'!$B$8/2),'I_Budget Input Data'!$D$165*0.6/('I_Inputs &amp; Assumptions'!$B$8/2)),IF('I_Budget Input Data'!$E$165="Mid-weighted",IF(23&lt;='I_Inputs &amp; Assumptions'!$B$8/4,'I_Budget Input Data'!$D$165*0.2/('I_Inputs &amp; Assumptions'!$B$8/4),IF(23&lt;='I_Inputs &amp; Assumptions'!$B$8*0.75,'I_Budget Input Data'!$D$165*0.6/('I_Inputs &amp; Assumptions'!$B$8/2),'I_Budget Input Data'!$D$165*0.2/('I_Inputs &amp; Assumptions'!$B$8/4))),IF('I_Budget Input Data'!$E$165="At Completion",IF(23='I_Inputs &amp; Assumptions'!$B$8,'I_Budget Input Data'!$D$165,0),'I_Budget Input Data'!$D$165/'I_Inputs &amp; Assumptions'!$B$8)))))),0)</f>
        <v>0</v>
      </c>
      <c r="Z165" s="91">
        <f>IF(24&lt;='I_Inputs &amp; Assumptions'!$B$8,IF('I_Budget Input Data'!$E$165="Upfront",IF(24=1,'I_Budget Input Data'!$D$165,0),IF('I_Budget Input Data'!$E$165="Equal",'I_Budget Input Data'!$D$165/'I_Inputs &amp; Assumptions'!$B$8,IF('I_Budget Input Data'!$E$165="Front-loaded",IF(24&lt;='I_Inputs &amp; Assumptions'!$B$8/2,'I_Budget Input Data'!$D$165*0.6/('I_Inputs &amp; Assumptions'!$B$8/2),'I_Budget Input Data'!$D$165*0.4/('I_Inputs &amp; Assumptions'!$B$8/2)),IF('I_Budget Input Data'!$E$165="Back-loaded",IF(24&lt;='I_Inputs &amp; Assumptions'!$B$8/2,'I_Budget Input Data'!$D$165*0.4/('I_Inputs &amp; Assumptions'!$B$8/2),'I_Budget Input Data'!$D$165*0.6/('I_Inputs &amp; Assumptions'!$B$8/2)),IF('I_Budget Input Data'!$E$165="Mid-weighted",IF(24&lt;='I_Inputs &amp; Assumptions'!$B$8/4,'I_Budget Input Data'!$D$165*0.2/('I_Inputs &amp; Assumptions'!$B$8/4),IF(24&lt;='I_Inputs &amp; Assumptions'!$B$8*0.75,'I_Budget Input Data'!$D$165*0.6/('I_Inputs &amp; Assumptions'!$B$8/2),'I_Budget Input Data'!$D$165*0.2/('I_Inputs &amp; Assumptions'!$B$8/4))),IF('I_Budget Input Data'!$E$165="At Completion",IF(24='I_Inputs &amp; Assumptions'!$B$8,'I_Budget Input Data'!$D$165,0),'I_Budget Input Data'!$D$165/'I_Inputs &amp; Assumptions'!$B$8)))))),0)</f>
        <v>0</v>
      </c>
      <c r="AA165" s="91">
        <f>IF(25&lt;='I_Inputs &amp; Assumptions'!$B$8,IF('I_Budget Input Data'!$E$165="Upfront",IF(25=1,'I_Budget Input Data'!$D$165,0),IF('I_Budget Input Data'!$E$165="Equal",'I_Budget Input Data'!$D$165/'I_Inputs &amp; Assumptions'!$B$8,IF('I_Budget Input Data'!$E$165="Front-loaded",IF(25&lt;='I_Inputs &amp; Assumptions'!$B$8/2,'I_Budget Input Data'!$D$165*0.6/('I_Inputs &amp; Assumptions'!$B$8/2),'I_Budget Input Data'!$D$165*0.4/('I_Inputs &amp; Assumptions'!$B$8/2)),IF('I_Budget Input Data'!$E$165="Back-loaded",IF(25&lt;='I_Inputs &amp; Assumptions'!$B$8/2,'I_Budget Input Data'!$D$165*0.4/('I_Inputs &amp; Assumptions'!$B$8/2),'I_Budget Input Data'!$D$165*0.6/('I_Inputs &amp; Assumptions'!$B$8/2)),IF('I_Budget Input Data'!$E$165="Mid-weighted",IF(25&lt;='I_Inputs &amp; Assumptions'!$B$8/4,'I_Budget Input Data'!$D$165*0.2/('I_Inputs &amp; Assumptions'!$B$8/4),IF(25&lt;='I_Inputs &amp; Assumptions'!$B$8*0.75,'I_Budget Input Data'!$D$165*0.6/('I_Inputs &amp; Assumptions'!$B$8/2),'I_Budget Input Data'!$D$165*0.2/('I_Inputs &amp; Assumptions'!$B$8/4))),IF('I_Budget Input Data'!$E$165="At Completion",IF(25='I_Inputs &amp; Assumptions'!$B$8,'I_Budget Input Data'!$D$165,0),'I_Budget Input Data'!$D$165/'I_Inputs &amp; Assumptions'!$B$8)))))),0)</f>
        <v>0</v>
      </c>
      <c r="AB165" s="91">
        <f>IF(26&lt;='I_Inputs &amp; Assumptions'!$B$8,IF('I_Budget Input Data'!$E$165="Upfront",IF(26=1,'I_Budget Input Data'!$D$165,0),IF('I_Budget Input Data'!$E$165="Equal",'I_Budget Input Data'!$D$165/'I_Inputs &amp; Assumptions'!$B$8,IF('I_Budget Input Data'!$E$165="Front-loaded",IF(26&lt;='I_Inputs &amp; Assumptions'!$B$8/2,'I_Budget Input Data'!$D$165*0.6/('I_Inputs &amp; Assumptions'!$B$8/2),'I_Budget Input Data'!$D$165*0.4/('I_Inputs &amp; Assumptions'!$B$8/2)),IF('I_Budget Input Data'!$E$165="Back-loaded",IF(26&lt;='I_Inputs &amp; Assumptions'!$B$8/2,'I_Budget Input Data'!$D$165*0.4/('I_Inputs &amp; Assumptions'!$B$8/2),'I_Budget Input Data'!$D$165*0.6/('I_Inputs &amp; Assumptions'!$B$8/2)),IF('I_Budget Input Data'!$E$165="Mid-weighted",IF(26&lt;='I_Inputs &amp; Assumptions'!$B$8/4,'I_Budget Input Data'!$D$165*0.2/('I_Inputs &amp; Assumptions'!$B$8/4),IF(26&lt;='I_Inputs &amp; Assumptions'!$B$8*0.75,'I_Budget Input Data'!$D$165*0.6/('I_Inputs &amp; Assumptions'!$B$8/2),'I_Budget Input Data'!$D$165*0.2/('I_Inputs &amp; Assumptions'!$B$8/4))),IF('I_Budget Input Data'!$E$165="At Completion",IF(26='I_Inputs &amp; Assumptions'!$B$8,'I_Budget Input Data'!$D$165,0),'I_Budget Input Data'!$D$165/'I_Inputs &amp; Assumptions'!$B$8)))))),0)</f>
        <v>0</v>
      </c>
      <c r="AC165" s="91">
        <f>IF(27&lt;='I_Inputs &amp; Assumptions'!$B$8,IF('I_Budget Input Data'!$E$165="Upfront",IF(27=1,'I_Budget Input Data'!$D$165,0),IF('I_Budget Input Data'!$E$165="Equal",'I_Budget Input Data'!$D$165/'I_Inputs &amp; Assumptions'!$B$8,IF('I_Budget Input Data'!$E$165="Front-loaded",IF(27&lt;='I_Inputs &amp; Assumptions'!$B$8/2,'I_Budget Input Data'!$D$165*0.6/('I_Inputs &amp; Assumptions'!$B$8/2),'I_Budget Input Data'!$D$165*0.4/('I_Inputs &amp; Assumptions'!$B$8/2)),IF('I_Budget Input Data'!$E$165="Back-loaded",IF(27&lt;='I_Inputs &amp; Assumptions'!$B$8/2,'I_Budget Input Data'!$D$165*0.4/('I_Inputs &amp; Assumptions'!$B$8/2),'I_Budget Input Data'!$D$165*0.6/('I_Inputs &amp; Assumptions'!$B$8/2)),IF('I_Budget Input Data'!$E$165="Mid-weighted",IF(27&lt;='I_Inputs &amp; Assumptions'!$B$8/4,'I_Budget Input Data'!$D$165*0.2/('I_Inputs &amp; Assumptions'!$B$8/4),IF(27&lt;='I_Inputs &amp; Assumptions'!$B$8*0.75,'I_Budget Input Data'!$D$165*0.6/('I_Inputs &amp; Assumptions'!$B$8/2),'I_Budget Input Data'!$D$165*0.2/('I_Inputs &amp; Assumptions'!$B$8/4))),IF('I_Budget Input Data'!$E$165="At Completion",IF(27='I_Inputs &amp; Assumptions'!$B$8,'I_Budget Input Data'!$D$165,0),'I_Budget Input Data'!$D$165/'I_Inputs &amp; Assumptions'!$B$8)))))),0)</f>
        <v>0</v>
      </c>
      <c r="AD165" s="91">
        <f>IF(28&lt;='I_Inputs &amp; Assumptions'!$B$8,IF('I_Budget Input Data'!$E$165="Upfront",IF(28=1,'I_Budget Input Data'!$D$165,0),IF('I_Budget Input Data'!$E$165="Equal",'I_Budget Input Data'!$D$165/'I_Inputs &amp; Assumptions'!$B$8,IF('I_Budget Input Data'!$E$165="Front-loaded",IF(28&lt;='I_Inputs &amp; Assumptions'!$B$8/2,'I_Budget Input Data'!$D$165*0.6/('I_Inputs &amp; Assumptions'!$B$8/2),'I_Budget Input Data'!$D$165*0.4/('I_Inputs &amp; Assumptions'!$B$8/2)),IF('I_Budget Input Data'!$E$165="Back-loaded",IF(28&lt;='I_Inputs &amp; Assumptions'!$B$8/2,'I_Budget Input Data'!$D$165*0.4/('I_Inputs &amp; Assumptions'!$B$8/2),'I_Budget Input Data'!$D$165*0.6/('I_Inputs &amp; Assumptions'!$B$8/2)),IF('I_Budget Input Data'!$E$165="Mid-weighted",IF(28&lt;='I_Inputs &amp; Assumptions'!$B$8/4,'I_Budget Input Data'!$D$165*0.2/('I_Inputs &amp; Assumptions'!$B$8/4),IF(28&lt;='I_Inputs &amp; Assumptions'!$B$8*0.75,'I_Budget Input Data'!$D$165*0.6/('I_Inputs &amp; Assumptions'!$B$8/2),'I_Budget Input Data'!$D$165*0.2/('I_Inputs &amp; Assumptions'!$B$8/4))),IF('I_Budget Input Data'!$E$165="At Completion",IF(28='I_Inputs &amp; Assumptions'!$B$8,'I_Budget Input Data'!$D$165,0),'I_Budget Input Data'!$D$165/'I_Inputs &amp; Assumptions'!$B$8)))))),0)</f>
        <v>0</v>
      </c>
      <c r="AE165" s="91">
        <f>IF(29&lt;='I_Inputs &amp; Assumptions'!$B$8,IF('I_Budget Input Data'!$E$165="Upfront",IF(29=1,'I_Budget Input Data'!$D$165,0),IF('I_Budget Input Data'!$E$165="Equal",'I_Budget Input Data'!$D$165/'I_Inputs &amp; Assumptions'!$B$8,IF('I_Budget Input Data'!$E$165="Front-loaded",IF(29&lt;='I_Inputs &amp; Assumptions'!$B$8/2,'I_Budget Input Data'!$D$165*0.6/('I_Inputs &amp; Assumptions'!$B$8/2),'I_Budget Input Data'!$D$165*0.4/('I_Inputs &amp; Assumptions'!$B$8/2)),IF('I_Budget Input Data'!$E$165="Back-loaded",IF(29&lt;='I_Inputs &amp; Assumptions'!$B$8/2,'I_Budget Input Data'!$D$165*0.4/('I_Inputs &amp; Assumptions'!$B$8/2),'I_Budget Input Data'!$D$165*0.6/('I_Inputs &amp; Assumptions'!$B$8/2)),IF('I_Budget Input Data'!$E$165="Mid-weighted",IF(29&lt;='I_Inputs &amp; Assumptions'!$B$8/4,'I_Budget Input Data'!$D$165*0.2/('I_Inputs &amp; Assumptions'!$B$8/4),IF(29&lt;='I_Inputs &amp; Assumptions'!$B$8*0.75,'I_Budget Input Data'!$D$165*0.6/('I_Inputs &amp; Assumptions'!$B$8/2),'I_Budget Input Data'!$D$165*0.2/('I_Inputs &amp; Assumptions'!$B$8/4))),IF('I_Budget Input Data'!$E$165="At Completion",IF(29='I_Inputs &amp; Assumptions'!$B$8,'I_Budget Input Data'!$D$165,0),'I_Budget Input Data'!$D$165/'I_Inputs &amp; Assumptions'!$B$8)))))),0)</f>
        <v>0</v>
      </c>
      <c r="AF165" s="91">
        <f>IF(30&lt;='I_Inputs &amp; Assumptions'!$B$8,IF('I_Budget Input Data'!$E$165="Upfront",IF(30=1,'I_Budget Input Data'!$D$165,0),IF('I_Budget Input Data'!$E$165="Equal",'I_Budget Input Data'!$D$165/'I_Inputs &amp; Assumptions'!$B$8,IF('I_Budget Input Data'!$E$165="Front-loaded",IF(30&lt;='I_Inputs &amp; Assumptions'!$B$8/2,'I_Budget Input Data'!$D$165*0.6/('I_Inputs &amp; Assumptions'!$B$8/2),'I_Budget Input Data'!$D$165*0.4/('I_Inputs &amp; Assumptions'!$B$8/2)),IF('I_Budget Input Data'!$E$165="Back-loaded",IF(30&lt;='I_Inputs &amp; Assumptions'!$B$8/2,'I_Budget Input Data'!$D$165*0.4/('I_Inputs &amp; Assumptions'!$B$8/2),'I_Budget Input Data'!$D$165*0.6/('I_Inputs &amp; Assumptions'!$B$8/2)),IF('I_Budget Input Data'!$E$165="Mid-weighted",IF(30&lt;='I_Inputs &amp; Assumptions'!$B$8/4,'I_Budget Input Data'!$D$165*0.2/('I_Inputs &amp; Assumptions'!$B$8/4),IF(30&lt;='I_Inputs &amp; Assumptions'!$B$8*0.75,'I_Budget Input Data'!$D$165*0.6/('I_Inputs &amp; Assumptions'!$B$8/2),'I_Budget Input Data'!$D$165*0.2/('I_Inputs &amp; Assumptions'!$B$8/4))),IF('I_Budget Input Data'!$E$165="At Completion",IF(30='I_Inputs &amp; Assumptions'!$B$8,'I_Budget Input Data'!$D$165,0),'I_Budget Input Data'!$D$165/'I_Inputs &amp; Assumptions'!$B$8)))))),0)</f>
        <v>0</v>
      </c>
      <c r="AG165" s="91">
        <f>IF(31&lt;='I_Inputs &amp; Assumptions'!$B$8,IF('I_Budget Input Data'!$E$165="Upfront",IF(31=1,'I_Budget Input Data'!$D$165,0),IF('I_Budget Input Data'!$E$165="Equal",'I_Budget Input Data'!$D$165/'I_Inputs &amp; Assumptions'!$B$8,IF('I_Budget Input Data'!$E$165="Front-loaded",IF(31&lt;='I_Inputs &amp; Assumptions'!$B$8/2,'I_Budget Input Data'!$D$165*0.6/('I_Inputs &amp; Assumptions'!$B$8/2),'I_Budget Input Data'!$D$165*0.4/('I_Inputs &amp; Assumptions'!$B$8/2)),IF('I_Budget Input Data'!$E$165="Back-loaded",IF(31&lt;='I_Inputs &amp; Assumptions'!$B$8/2,'I_Budget Input Data'!$D$165*0.4/('I_Inputs &amp; Assumptions'!$B$8/2),'I_Budget Input Data'!$D$165*0.6/('I_Inputs &amp; Assumptions'!$B$8/2)),IF('I_Budget Input Data'!$E$165="Mid-weighted",IF(31&lt;='I_Inputs &amp; Assumptions'!$B$8/4,'I_Budget Input Data'!$D$165*0.2/('I_Inputs &amp; Assumptions'!$B$8/4),IF(31&lt;='I_Inputs &amp; Assumptions'!$B$8*0.75,'I_Budget Input Data'!$D$165*0.6/('I_Inputs &amp; Assumptions'!$B$8/2),'I_Budget Input Data'!$D$165*0.2/('I_Inputs &amp; Assumptions'!$B$8/4))),IF('I_Budget Input Data'!$E$165="At Completion",IF(31='I_Inputs &amp; Assumptions'!$B$8,'I_Budget Input Data'!$D$165,0),'I_Budget Input Data'!$D$165/'I_Inputs &amp; Assumptions'!$B$8)))))),0)</f>
        <v>0</v>
      </c>
      <c r="AH165" s="91">
        <f>IF(32&lt;='I_Inputs &amp; Assumptions'!$B$8,IF('I_Budget Input Data'!$E$165="Upfront",IF(32=1,'I_Budget Input Data'!$D$165,0),IF('I_Budget Input Data'!$E$165="Equal",'I_Budget Input Data'!$D$165/'I_Inputs &amp; Assumptions'!$B$8,IF('I_Budget Input Data'!$E$165="Front-loaded",IF(32&lt;='I_Inputs &amp; Assumptions'!$B$8/2,'I_Budget Input Data'!$D$165*0.6/('I_Inputs &amp; Assumptions'!$B$8/2),'I_Budget Input Data'!$D$165*0.4/('I_Inputs &amp; Assumptions'!$B$8/2)),IF('I_Budget Input Data'!$E$165="Back-loaded",IF(32&lt;='I_Inputs &amp; Assumptions'!$B$8/2,'I_Budget Input Data'!$D$165*0.4/('I_Inputs &amp; Assumptions'!$B$8/2),'I_Budget Input Data'!$D$165*0.6/('I_Inputs &amp; Assumptions'!$B$8/2)),IF('I_Budget Input Data'!$E$165="Mid-weighted",IF(32&lt;='I_Inputs &amp; Assumptions'!$B$8/4,'I_Budget Input Data'!$D$165*0.2/('I_Inputs &amp; Assumptions'!$B$8/4),IF(32&lt;='I_Inputs &amp; Assumptions'!$B$8*0.75,'I_Budget Input Data'!$D$165*0.6/('I_Inputs &amp; Assumptions'!$B$8/2),'I_Budget Input Data'!$D$165*0.2/('I_Inputs &amp; Assumptions'!$B$8/4))),IF('I_Budget Input Data'!$E$165="At Completion",IF(32='I_Inputs &amp; Assumptions'!$B$8,'I_Budget Input Data'!$D$165,0),'I_Budget Input Data'!$D$165/'I_Inputs &amp; Assumptions'!$B$8)))))),0)</f>
        <v>0</v>
      </c>
      <c r="AI165" s="91">
        <f>IF(33&lt;='I_Inputs &amp; Assumptions'!$B$8,IF('I_Budget Input Data'!$E$165="Upfront",IF(33=1,'I_Budget Input Data'!$D$165,0),IF('I_Budget Input Data'!$E$165="Equal",'I_Budget Input Data'!$D$165/'I_Inputs &amp; Assumptions'!$B$8,IF('I_Budget Input Data'!$E$165="Front-loaded",IF(33&lt;='I_Inputs &amp; Assumptions'!$B$8/2,'I_Budget Input Data'!$D$165*0.6/('I_Inputs &amp; Assumptions'!$B$8/2),'I_Budget Input Data'!$D$165*0.4/('I_Inputs &amp; Assumptions'!$B$8/2)),IF('I_Budget Input Data'!$E$165="Back-loaded",IF(33&lt;='I_Inputs &amp; Assumptions'!$B$8/2,'I_Budget Input Data'!$D$165*0.4/('I_Inputs &amp; Assumptions'!$B$8/2),'I_Budget Input Data'!$D$165*0.6/('I_Inputs &amp; Assumptions'!$B$8/2)),IF('I_Budget Input Data'!$E$165="Mid-weighted",IF(33&lt;='I_Inputs &amp; Assumptions'!$B$8/4,'I_Budget Input Data'!$D$165*0.2/('I_Inputs &amp; Assumptions'!$B$8/4),IF(33&lt;='I_Inputs &amp; Assumptions'!$B$8*0.75,'I_Budget Input Data'!$D$165*0.6/('I_Inputs &amp; Assumptions'!$B$8/2),'I_Budget Input Data'!$D$165*0.2/('I_Inputs &amp; Assumptions'!$B$8/4))),IF('I_Budget Input Data'!$E$165="At Completion",IF(33='I_Inputs &amp; Assumptions'!$B$8,'I_Budget Input Data'!$D$165,0),'I_Budget Input Data'!$D$165/'I_Inputs &amp; Assumptions'!$B$8)))))),0)</f>
        <v>0</v>
      </c>
      <c r="AJ165" s="91">
        <f>IF(34&lt;='I_Inputs &amp; Assumptions'!$B$8,IF('I_Budget Input Data'!$E$165="Upfront",IF(34=1,'I_Budget Input Data'!$D$165,0),IF('I_Budget Input Data'!$E$165="Equal",'I_Budget Input Data'!$D$165/'I_Inputs &amp; Assumptions'!$B$8,IF('I_Budget Input Data'!$E$165="Front-loaded",IF(34&lt;='I_Inputs &amp; Assumptions'!$B$8/2,'I_Budget Input Data'!$D$165*0.6/('I_Inputs &amp; Assumptions'!$B$8/2),'I_Budget Input Data'!$D$165*0.4/('I_Inputs &amp; Assumptions'!$B$8/2)),IF('I_Budget Input Data'!$E$165="Back-loaded",IF(34&lt;='I_Inputs &amp; Assumptions'!$B$8/2,'I_Budget Input Data'!$D$165*0.4/('I_Inputs &amp; Assumptions'!$B$8/2),'I_Budget Input Data'!$D$165*0.6/('I_Inputs &amp; Assumptions'!$B$8/2)),IF('I_Budget Input Data'!$E$165="Mid-weighted",IF(34&lt;='I_Inputs &amp; Assumptions'!$B$8/4,'I_Budget Input Data'!$D$165*0.2/('I_Inputs &amp; Assumptions'!$B$8/4),IF(34&lt;='I_Inputs &amp; Assumptions'!$B$8*0.75,'I_Budget Input Data'!$D$165*0.6/('I_Inputs &amp; Assumptions'!$B$8/2),'I_Budget Input Data'!$D$165*0.2/('I_Inputs &amp; Assumptions'!$B$8/4))),IF('I_Budget Input Data'!$E$165="At Completion",IF(34='I_Inputs &amp; Assumptions'!$B$8,'I_Budget Input Data'!$D$165,0),'I_Budget Input Data'!$D$165/'I_Inputs &amp; Assumptions'!$B$8)))))),0)</f>
        <v>0</v>
      </c>
      <c r="AK165" s="91">
        <f>IF(35&lt;='I_Inputs &amp; Assumptions'!$B$8,IF('I_Budget Input Data'!$E$165="Upfront",IF(35=1,'I_Budget Input Data'!$D$165,0),IF('I_Budget Input Data'!$E$165="Equal",'I_Budget Input Data'!$D$165/'I_Inputs &amp; Assumptions'!$B$8,IF('I_Budget Input Data'!$E$165="Front-loaded",IF(35&lt;='I_Inputs &amp; Assumptions'!$B$8/2,'I_Budget Input Data'!$D$165*0.6/('I_Inputs &amp; Assumptions'!$B$8/2),'I_Budget Input Data'!$D$165*0.4/('I_Inputs &amp; Assumptions'!$B$8/2)),IF('I_Budget Input Data'!$E$165="Back-loaded",IF(35&lt;='I_Inputs &amp; Assumptions'!$B$8/2,'I_Budget Input Data'!$D$165*0.4/('I_Inputs &amp; Assumptions'!$B$8/2),'I_Budget Input Data'!$D$165*0.6/('I_Inputs &amp; Assumptions'!$B$8/2)),IF('I_Budget Input Data'!$E$165="Mid-weighted",IF(35&lt;='I_Inputs &amp; Assumptions'!$B$8/4,'I_Budget Input Data'!$D$165*0.2/('I_Inputs &amp; Assumptions'!$B$8/4),IF(35&lt;='I_Inputs &amp; Assumptions'!$B$8*0.75,'I_Budget Input Data'!$D$165*0.6/('I_Inputs &amp; Assumptions'!$B$8/2),'I_Budget Input Data'!$D$165*0.2/('I_Inputs &amp; Assumptions'!$B$8/4))),IF('I_Budget Input Data'!$E$165="At Completion",IF(35='I_Inputs &amp; Assumptions'!$B$8,'I_Budget Input Data'!$D$165,0),'I_Budget Input Data'!$D$165/'I_Inputs &amp; Assumptions'!$B$8)))))),0)</f>
        <v>0</v>
      </c>
      <c r="AL165" s="91">
        <f>IF(36&lt;='I_Inputs &amp; Assumptions'!$B$8,IF('I_Budget Input Data'!$E$165="Upfront",IF(36=1,'I_Budget Input Data'!$D$165,0),IF('I_Budget Input Data'!$E$165="Equal",'I_Budget Input Data'!$D$165/'I_Inputs &amp; Assumptions'!$B$8,IF('I_Budget Input Data'!$E$165="Front-loaded",IF(36&lt;='I_Inputs &amp; Assumptions'!$B$8/2,'I_Budget Input Data'!$D$165*0.6/('I_Inputs &amp; Assumptions'!$B$8/2),'I_Budget Input Data'!$D$165*0.4/('I_Inputs &amp; Assumptions'!$B$8/2)),IF('I_Budget Input Data'!$E$165="Back-loaded",IF(36&lt;='I_Inputs &amp; Assumptions'!$B$8/2,'I_Budget Input Data'!$D$165*0.4/('I_Inputs &amp; Assumptions'!$B$8/2),'I_Budget Input Data'!$D$165*0.6/('I_Inputs &amp; Assumptions'!$B$8/2)),IF('I_Budget Input Data'!$E$165="Mid-weighted",IF(36&lt;='I_Inputs &amp; Assumptions'!$B$8/4,'I_Budget Input Data'!$D$165*0.2/('I_Inputs &amp; Assumptions'!$B$8/4),IF(36&lt;='I_Inputs &amp; Assumptions'!$B$8*0.75,'I_Budget Input Data'!$D$165*0.6/('I_Inputs &amp; Assumptions'!$B$8/2),'I_Budget Input Data'!$D$165*0.2/('I_Inputs &amp; Assumptions'!$B$8/4))),IF('I_Budget Input Data'!$E$165="At Completion",IF(36='I_Inputs &amp; Assumptions'!$B$8,'I_Budget Input Data'!$D$165,0),'I_Budget Input Data'!$D$165/'I_Inputs &amp; Assumptions'!$B$8)))))),0)</f>
        <v>0</v>
      </c>
    </row>
    <row r="166" spans="1:38" ht="15" customHeight="1" x14ac:dyDescent="0.2">
      <c r="A166" t="s">
        <v>281</v>
      </c>
      <c r="B166" t="s">
        <v>282</v>
      </c>
      <c r="C166" s="91">
        <f>IF(1&lt;='I_Inputs &amp; Assumptions'!$B$8,IF('I_Budget Input Data'!$E$166="Upfront",IF(1=1,'I_Budget Input Data'!$D$166,0),IF('I_Budget Input Data'!$E$166="Equal",'I_Budget Input Data'!$D$166/'I_Inputs &amp; Assumptions'!$B$8,IF('I_Budget Input Data'!$E$166="Front-loaded",IF(1&lt;='I_Inputs &amp; Assumptions'!$B$8/2,'I_Budget Input Data'!$D$166*0.6/('I_Inputs &amp; Assumptions'!$B$8/2),'I_Budget Input Data'!$D$166*0.4/('I_Inputs &amp; Assumptions'!$B$8/2)),IF('I_Budget Input Data'!$E$166="Back-loaded",IF(1&lt;='I_Inputs &amp; Assumptions'!$B$8/2,'I_Budget Input Data'!$D$166*0.4/('I_Inputs &amp; Assumptions'!$B$8/2),'I_Budget Input Data'!$D$166*0.6/('I_Inputs &amp; Assumptions'!$B$8/2)),IF('I_Budget Input Data'!$E$166="Mid-weighted",IF(1&lt;='I_Inputs &amp; Assumptions'!$B$8/4,'I_Budget Input Data'!$D$166*0.2/('I_Inputs &amp; Assumptions'!$B$8/4),IF(1&lt;='I_Inputs &amp; Assumptions'!$B$8*0.75,'I_Budget Input Data'!$D$166*0.6/('I_Inputs &amp; Assumptions'!$B$8/2),'I_Budget Input Data'!$D$166*0.2/('I_Inputs &amp; Assumptions'!$B$8/4))),IF('I_Budget Input Data'!$E$166="At Completion",IF(1='I_Inputs &amp; Assumptions'!$B$8,'I_Budget Input Data'!$D$166,0),'I_Budget Input Data'!$D$166/'I_Inputs &amp; Assumptions'!$B$8)))))),0)</f>
        <v>0</v>
      </c>
      <c r="D166" s="91">
        <f>IF(2&lt;='I_Inputs &amp; Assumptions'!$B$8,IF('I_Budget Input Data'!$E$166="Upfront",IF(2=1,'I_Budget Input Data'!$D$166,0),IF('I_Budget Input Data'!$E$166="Equal",'I_Budget Input Data'!$D$166/'I_Inputs &amp; Assumptions'!$B$8,IF('I_Budget Input Data'!$E$166="Front-loaded",IF(2&lt;='I_Inputs &amp; Assumptions'!$B$8/2,'I_Budget Input Data'!$D$166*0.6/('I_Inputs &amp; Assumptions'!$B$8/2),'I_Budget Input Data'!$D$166*0.4/('I_Inputs &amp; Assumptions'!$B$8/2)),IF('I_Budget Input Data'!$E$166="Back-loaded",IF(2&lt;='I_Inputs &amp; Assumptions'!$B$8/2,'I_Budget Input Data'!$D$166*0.4/('I_Inputs &amp; Assumptions'!$B$8/2),'I_Budget Input Data'!$D$166*0.6/('I_Inputs &amp; Assumptions'!$B$8/2)),IF('I_Budget Input Data'!$E$166="Mid-weighted",IF(2&lt;='I_Inputs &amp; Assumptions'!$B$8/4,'I_Budget Input Data'!$D$166*0.2/('I_Inputs &amp; Assumptions'!$B$8/4),IF(2&lt;='I_Inputs &amp; Assumptions'!$B$8*0.75,'I_Budget Input Data'!$D$166*0.6/('I_Inputs &amp; Assumptions'!$B$8/2),'I_Budget Input Data'!$D$166*0.2/('I_Inputs &amp; Assumptions'!$B$8/4))),IF('I_Budget Input Data'!$E$166="At Completion",IF(2='I_Inputs &amp; Assumptions'!$B$8,'I_Budget Input Data'!$D$166,0),'I_Budget Input Data'!$D$166/'I_Inputs &amp; Assumptions'!$B$8)))))),0)</f>
        <v>0</v>
      </c>
      <c r="E166" s="91">
        <f>IF(3&lt;='I_Inputs &amp; Assumptions'!$B$8,IF('I_Budget Input Data'!$E$166="Upfront",IF(3=1,'I_Budget Input Data'!$D$166,0),IF('I_Budget Input Data'!$E$166="Equal",'I_Budget Input Data'!$D$166/'I_Inputs &amp; Assumptions'!$B$8,IF('I_Budget Input Data'!$E$166="Front-loaded",IF(3&lt;='I_Inputs &amp; Assumptions'!$B$8/2,'I_Budget Input Data'!$D$166*0.6/('I_Inputs &amp; Assumptions'!$B$8/2),'I_Budget Input Data'!$D$166*0.4/('I_Inputs &amp; Assumptions'!$B$8/2)),IF('I_Budget Input Data'!$E$166="Back-loaded",IF(3&lt;='I_Inputs &amp; Assumptions'!$B$8/2,'I_Budget Input Data'!$D$166*0.4/('I_Inputs &amp; Assumptions'!$B$8/2),'I_Budget Input Data'!$D$166*0.6/('I_Inputs &amp; Assumptions'!$B$8/2)),IF('I_Budget Input Data'!$E$166="Mid-weighted",IF(3&lt;='I_Inputs &amp; Assumptions'!$B$8/4,'I_Budget Input Data'!$D$166*0.2/('I_Inputs &amp; Assumptions'!$B$8/4),IF(3&lt;='I_Inputs &amp; Assumptions'!$B$8*0.75,'I_Budget Input Data'!$D$166*0.6/('I_Inputs &amp; Assumptions'!$B$8/2),'I_Budget Input Data'!$D$166*0.2/('I_Inputs &amp; Assumptions'!$B$8/4))),IF('I_Budget Input Data'!$E$166="At Completion",IF(3='I_Inputs &amp; Assumptions'!$B$8,'I_Budget Input Data'!$D$166,0),'I_Budget Input Data'!$D$166/'I_Inputs &amp; Assumptions'!$B$8)))))),0)</f>
        <v>0</v>
      </c>
      <c r="F166" s="91">
        <f>IF(4&lt;='I_Inputs &amp; Assumptions'!$B$8,IF('I_Budget Input Data'!$E$166="Upfront",IF(4=1,'I_Budget Input Data'!$D$166,0),IF('I_Budget Input Data'!$E$166="Equal",'I_Budget Input Data'!$D$166/'I_Inputs &amp; Assumptions'!$B$8,IF('I_Budget Input Data'!$E$166="Front-loaded",IF(4&lt;='I_Inputs &amp; Assumptions'!$B$8/2,'I_Budget Input Data'!$D$166*0.6/('I_Inputs &amp; Assumptions'!$B$8/2),'I_Budget Input Data'!$D$166*0.4/('I_Inputs &amp; Assumptions'!$B$8/2)),IF('I_Budget Input Data'!$E$166="Back-loaded",IF(4&lt;='I_Inputs &amp; Assumptions'!$B$8/2,'I_Budget Input Data'!$D$166*0.4/('I_Inputs &amp; Assumptions'!$B$8/2),'I_Budget Input Data'!$D$166*0.6/('I_Inputs &amp; Assumptions'!$B$8/2)),IF('I_Budget Input Data'!$E$166="Mid-weighted",IF(4&lt;='I_Inputs &amp; Assumptions'!$B$8/4,'I_Budget Input Data'!$D$166*0.2/('I_Inputs &amp; Assumptions'!$B$8/4),IF(4&lt;='I_Inputs &amp; Assumptions'!$B$8*0.75,'I_Budget Input Data'!$D$166*0.6/('I_Inputs &amp; Assumptions'!$B$8/2),'I_Budget Input Data'!$D$166*0.2/('I_Inputs &amp; Assumptions'!$B$8/4))),IF('I_Budget Input Data'!$E$166="At Completion",IF(4='I_Inputs &amp; Assumptions'!$B$8,'I_Budget Input Data'!$D$166,0),'I_Budget Input Data'!$D$166/'I_Inputs &amp; Assumptions'!$B$8)))))),0)</f>
        <v>0</v>
      </c>
      <c r="G166" s="91">
        <f>IF(5&lt;='I_Inputs &amp; Assumptions'!$B$8,IF('I_Budget Input Data'!$E$166="Upfront",IF(5=1,'I_Budget Input Data'!$D$166,0),IF('I_Budget Input Data'!$E$166="Equal",'I_Budget Input Data'!$D$166/'I_Inputs &amp; Assumptions'!$B$8,IF('I_Budget Input Data'!$E$166="Front-loaded",IF(5&lt;='I_Inputs &amp; Assumptions'!$B$8/2,'I_Budget Input Data'!$D$166*0.6/('I_Inputs &amp; Assumptions'!$B$8/2),'I_Budget Input Data'!$D$166*0.4/('I_Inputs &amp; Assumptions'!$B$8/2)),IF('I_Budget Input Data'!$E$166="Back-loaded",IF(5&lt;='I_Inputs &amp; Assumptions'!$B$8/2,'I_Budget Input Data'!$D$166*0.4/('I_Inputs &amp; Assumptions'!$B$8/2),'I_Budget Input Data'!$D$166*0.6/('I_Inputs &amp; Assumptions'!$B$8/2)),IF('I_Budget Input Data'!$E$166="Mid-weighted",IF(5&lt;='I_Inputs &amp; Assumptions'!$B$8/4,'I_Budget Input Data'!$D$166*0.2/('I_Inputs &amp; Assumptions'!$B$8/4),IF(5&lt;='I_Inputs &amp; Assumptions'!$B$8*0.75,'I_Budget Input Data'!$D$166*0.6/('I_Inputs &amp; Assumptions'!$B$8/2),'I_Budget Input Data'!$D$166*0.2/('I_Inputs &amp; Assumptions'!$B$8/4))),IF('I_Budget Input Data'!$E$166="At Completion",IF(5='I_Inputs &amp; Assumptions'!$B$8,'I_Budget Input Data'!$D$166,0),'I_Budget Input Data'!$D$166/'I_Inputs &amp; Assumptions'!$B$8)))))),0)</f>
        <v>0</v>
      </c>
      <c r="H166" s="91">
        <f>IF(6&lt;='I_Inputs &amp; Assumptions'!$B$8,IF('I_Budget Input Data'!$E$166="Upfront",IF(6=1,'I_Budget Input Data'!$D$166,0),IF('I_Budget Input Data'!$E$166="Equal",'I_Budget Input Data'!$D$166/'I_Inputs &amp; Assumptions'!$B$8,IF('I_Budget Input Data'!$E$166="Front-loaded",IF(6&lt;='I_Inputs &amp; Assumptions'!$B$8/2,'I_Budget Input Data'!$D$166*0.6/('I_Inputs &amp; Assumptions'!$B$8/2),'I_Budget Input Data'!$D$166*0.4/('I_Inputs &amp; Assumptions'!$B$8/2)),IF('I_Budget Input Data'!$E$166="Back-loaded",IF(6&lt;='I_Inputs &amp; Assumptions'!$B$8/2,'I_Budget Input Data'!$D$166*0.4/('I_Inputs &amp; Assumptions'!$B$8/2),'I_Budget Input Data'!$D$166*0.6/('I_Inputs &amp; Assumptions'!$B$8/2)),IF('I_Budget Input Data'!$E$166="Mid-weighted",IF(6&lt;='I_Inputs &amp; Assumptions'!$B$8/4,'I_Budget Input Data'!$D$166*0.2/('I_Inputs &amp; Assumptions'!$B$8/4),IF(6&lt;='I_Inputs &amp; Assumptions'!$B$8*0.75,'I_Budget Input Data'!$D$166*0.6/('I_Inputs &amp; Assumptions'!$B$8/2),'I_Budget Input Data'!$D$166*0.2/('I_Inputs &amp; Assumptions'!$B$8/4))),IF('I_Budget Input Data'!$E$166="At Completion",IF(6='I_Inputs &amp; Assumptions'!$B$8,'I_Budget Input Data'!$D$166,0),'I_Budget Input Data'!$D$166/'I_Inputs &amp; Assumptions'!$B$8)))))),0)</f>
        <v>0</v>
      </c>
      <c r="I166" s="91">
        <f>IF(7&lt;='I_Inputs &amp; Assumptions'!$B$8,IF('I_Budget Input Data'!$E$166="Upfront",IF(7=1,'I_Budget Input Data'!$D$166,0),IF('I_Budget Input Data'!$E$166="Equal",'I_Budget Input Data'!$D$166/'I_Inputs &amp; Assumptions'!$B$8,IF('I_Budget Input Data'!$E$166="Front-loaded",IF(7&lt;='I_Inputs &amp; Assumptions'!$B$8/2,'I_Budget Input Data'!$D$166*0.6/('I_Inputs &amp; Assumptions'!$B$8/2),'I_Budget Input Data'!$D$166*0.4/('I_Inputs &amp; Assumptions'!$B$8/2)),IF('I_Budget Input Data'!$E$166="Back-loaded",IF(7&lt;='I_Inputs &amp; Assumptions'!$B$8/2,'I_Budget Input Data'!$D$166*0.4/('I_Inputs &amp; Assumptions'!$B$8/2),'I_Budget Input Data'!$D$166*0.6/('I_Inputs &amp; Assumptions'!$B$8/2)),IF('I_Budget Input Data'!$E$166="Mid-weighted",IF(7&lt;='I_Inputs &amp; Assumptions'!$B$8/4,'I_Budget Input Data'!$D$166*0.2/('I_Inputs &amp; Assumptions'!$B$8/4),IF(7&lt;='I_Inputs &amp; Assumptions'!$B$8*0.75,'I_Budget Input Data'!$D$166*0.6/('I_Inputs &amp; Assumptions'!$B$8/2),'I_Budget Input Data'!$D$166*0.2/('I_Inputs &amp; Assumptions'!$B$8/4))),IF('I_Budget Input Data'!$E$166="At Completion",IF(7='I_Inputs &amp; Assumptions'!$B$8,'I_Budget Input Data'!$D$166,0),'I_Budget Input Data'!$D$166/'I_Inputs &amp; Assumptions'!$B$8)))))),0)</f>
        <v>0</v>
      </c>
      <c r="J166" s="91">
        <f>IF(8&lt;='I_Inputs &amp; Assumptions'!$B$8,IF('I_Budget Input Data'!$E$166="Upfront",IF(8=1,'I_Budget Input Data'!$D$166,0),IF('I_Budget Input Data'!$E$166="Equal",'I_Budget Input Data'!$D$166/'I_Inputs &amp; Assumptions'!$B$8,IF('I_Budget Input Data'!$E$166="Front-loaded",IF(8&lt;='I_Inputs &amp; Assumptions'!$B$8/2,'I_Budget Input Data'!$D$166*0.6/('I_Inputs &amp; Assumptions'!$B$8/2),'I_Budget Input Data'!$D$166*0.4/('I_Inputs &amp; Assumptions'!$B$8/2)),IF('I_Budget Input Data'!$E$166="Back-loaded",IF(8&lt;='I_Inputs &amp; Assumptions'!$B$8/2,'I_Budget Input Data'!$D$166*0.4/('I_Inputs &amp; Assumptions'!$B$8/2),'I_Budget Input Data'!$D$166*0.6/('I_Inputs &amp; Assumptions'!$B$8/2)),IF('I_Budget Input Data'!$E$166="Mid-weighted",IF(8&lt;='I_Inputs &amp; Assumptions'!$B$8/4,'I_Budget Input Data'!$D$166*0.2/('I_Inputs &amp; Assumptions'!$B$8/4),IF(8&lt;='I_Inputs &amp; Assumptions'!$B$8*0.75,'I_Budget Input Data'!$D$166*0.6/('I_Inputs &amp; Assumptions'!$B$8/2),'I_Budget Input Data'!$D$166*0.2/('I_Inputs &amp; Assumptions'!$B$8/4))),IF('I_Budget Input Data'!$E$166="At Completion",IF(8='I_Inputs &amp; Assumptions'!$B$8,'I_Budget Input Data'!$D$166,0),'I_Budget Input Data'!$D$166/'I_Inputs &amp; Assumptions'!$B$8)))))),0)</f>
        <v>0</v>
      </c>
      <c r="K166" s="91">
        <f>IF(9&lt;='I_Inputs &amp; Assumptions'!$B$8,IF('I_Budget Input Data'!$E$166="Upfront",IF(9=1,'I_Budget Input Data'!$D$166,0),IF('I_Budget Input Data'!$E$166="Equal",'I_Budget Input Data'!$D$166/'I_Inputs &amp; Assumptions'!$B$8,IF('I_Budget Input Data'!$E$166="Front-loaded",IF(9&lt;='I_Inputs &amp; Assumptions'!$B$8/2,'I_Budget Input Data'!$D$166*0.6/('I_Inputs &amp; Assumptions'!$B$8/2),'I_Budget Input Data'!$D$166*0.4/('I_Inputs &amp; Assumptions'!$B$8/2)),IF('I_Budget Input Data'!$E$166="Back-loaded",IF(9&lt;='I_Inputs &amp; Assumptions'!$B$8/2,'I_Budget Input Data'!$D$166*0.4/('I_Inputs &amp; Assumptions'!$B$8/2),'I_Budget Input Data'!$D$166*0.6/('I_Inputs &amp; Assumptions'!$B$8/2)),IF('I_Budget Input Data'!$E$166="Mid-weighted",IF(9&lt;='I_Inputs &amp; Assumptions'!$B$8/4,'I_Budget Input Data'!$D$166*0.2/('I_Inputs &amp; Assumptions'!$B$8/4),IF(9&lt;='I_Inputs &amp; Assumptions'!$B$8*0.75,'I_Budget Input Data'!$D$166*0.6/('I_Inputs &amp; Assumptions'!$B$8/2),'I_Budget Input Data'!$D$166*0.2/('I_Inputs &amp; Assumptions'!$B$8/4))),IF('I_Budget Input Data'!$E$166="At Completion",IF(9='I_Inputs &amp; Assumptions'!$B$8,'I_Budget Input Data'!$D$166,0),'I_Budget Input Data'!$D$166/'I_Inputs &amp; Assumptions'!$B$8)))))),0)</f>
        <v>0</v>
      </c>
      <c r="L166" s="91">
        <f>IF(10&lt;='I_Inputs &amp; Assumptions'!$B$8,IF('I_Budget Input Data'!$E$166="Upfront",IF(10=1,'I_Budget Input Data'!$D$166,0),IF('I_Budget Input Data'!$E$166="Equal",'I_Budget Input Data'!$D$166/'I_Inputs &amp; Assumptions'!$B$8,IF('I_Budget Input Data'!$E$166="Front-loaded",IF(10&lt;='I_Inputs &amp; Assumptions'!$B$8/2,'I_Budget Input Data'!$D$166*0.6/('I_Inputs &amp; Assumptions'!$B$8/2),'I_Budget Input Data'!$D$166*0.4/('I_Inputs &amp; Assumptions'!$B$8/2)),IF('I_Budget Input Data'!$E$166="Back-loaded",IF(10&lt;='I_Inputs &amp; Assumptions'!$B$8/2,'I_Budget Input Data'!$D$166*0.4/('I_Inputs &amp; Assumptions'!$B$8/2),'I_Budget Input Data'!$D$166*0.6/('I_Inputs &amp; Assumptions'!$B$8/2)),IF('I_Budget Input Data'!$E$166="Mid-weighted",IF(10&lt;='I_Inputs &amp; Assumptions'!$B$8/4,'I_Budget Input Data'!$D$166*0.2/('I_Inputs &amp; Assumptions'!$B$8/4),IF(10&lt;='I_Inputs &amp; Assumptions'!$B$8*0.75,'I_Budget Input Data'!$D$166*0.6/('I_Inputs &amp; Assumptions'!$B$8/2),'I_Budget Input Data'!$D$166*0.2/('I_Inputs &amp; Assumptions'!$B$8/4))),IF('I_Budget Input Data'!$E$166="At Completion",IF(10='I_Inputs &amp; Assumptions'!$B$8,'I_Budget Input Data'!$D$166,0),'I_Budget Input Data'!$D$166/'I_Inputs &amp; Assumptions'!$B$8)))))),0)</f>
        <v>0</v>
      </c>
      <c r="M166" s="91">
        <f>IF(11&lt;='I_Inputs &amp; Assumptions'!$B$8,IF('I_Budget Input Data'!$E$166="Upfront",IF(11=1,'I_Budget Input Data'!$D$166,0),IF('I_Budget Input Data'!$E$166="Equal",'I_Budget Input Data'!$D$166/'I_Inputs &amp; Assumptions'!$B$8,IF('I_Budget Input Data'!$E$166="Front-loaded",IF(11&lt;='I_Inputs &amp; Assumptions'!$B$8/2,'I_Budget Input Data'!$D$166*0.6/('I_Inputs &amp; Assumptions'!$B$8/2),'I_Budget Input Data'!$D$166*0.4/('I_Inputs &amp; Assumptions'!$B$8/2)),IF('I_Budget Input Data'!$E$166="Back-loaded",IF(11&lt;='I_Inputs &amp; Assumptions'!$B$8/2,'I_Budget Input Data'!$D$166*0.4/('I_Inputs &amp; Assumptions'!$B$8/2),'I_Budget Input Data'!$D$166*0.6/('I_Inputs &amp; Assumptions'!$B$8/2)),IF('I_Budget Input Data'!$E$166="Mid-weighted",IF(11&lt;='I_Inputs &amp; Assumptions'!$B$8/4,'I_Budget Input Data'!$D$166*0.2/('I_Inputs &amp; Assumptions'!$B$8/4),IF(11&lt;='I_Inputs &amp; Assumptions'!$B$8*0.75,'I_Budget Input Data'!$D$166*0.6/('I_Inputs &amp; Assumptions'!$B$8/2),'I_Budget Input Data'!$D$166*0.2/('I_Inputs &amp; Assumptions'!$B$8/4))),IF('I_Budget Input Data'!$E$166="At Completion",IF(11='I_Inputs &amp; Assumptions'!$B$8,'I_Budget Input Data'!$D$166,0),'I_Budget Input Data'!$D$166/'I_Inputs &amp; Assumptions'!$B$8)))))),0)</f>
        <v>0</v>
      </c>
      <c r="N166" s="91">
        <f>IF(12&lt;='I_Inputs &amp; Assumptions'!$B$8,IF('I_Budget Input Data'!$E$166="Upfront",IF(12=1,'I_Budget Input Data'!$D$166,0),IF('I_Budget Input Data'!$E$166="Equal",'I_Budget Input Data'!$D$166/'I_Inputs &amp; Assumptions'!$B$8,IF('I_Budget Input Data'!$E$166="Front-loaded",IF(12&lt;='I_Inputs &amp; Assumptions'!$B$8/2,'I_Budget Input Data'!$D$166*0.6/('I_Inputs &amp; Assumptions'!$B$8/2),'I_Budget Input Data'!$D$166*0.4/('I_Inputs &amp; Assumptions'!$B$8/2)),IF('I_Budget Input Data'!$E$166="Back-loaded",IF(12&lt;='I_Inputs &amp; Assumptions'!$B$8/2,'I_Budget Input Data'!$D$166*0.4/('I_Inputs &amp; Assumptions'!$B$8/2),'I_Budget Input Data'!$D$166*0.6/('I_Inputs &amp; Assumptions'!$B$8/2)),IF('I_Budget Input Data'!$E$166="Mid-weighted",IF(12&lt;='I_Inputs &amp; Assumptions'!$B$8/4,'I_Budget Input Data'!$D$166*0.2/('I_Inputs &amp; Assumptions'!$B$8/4),IF(12&lt;='I_Inputs &amp; Assumptions'!$B$8*0.75,'I_Budget Input Data'!$D$166*0.6/('I_Inputs &amp; Assumptions'!$B$8/2),'I_Budget Input Data'!$D$166*0.2/('I_Inputs &amp; Assumptions'!$B$8/4))),IF('I_Budget Input Data'!$E$166="At Completion",IF(12='I_Inputs &amp; Assumptions'!$B$8,'I_Budget Input Data'!$D$166,0),'I_Budget Input Data'!$D$166/'I_Inputs &amp; Assumptions'!$B$8)))))),0)</f>
        <v>0</v>
      </c>
      <c r="O166" s="91">
        <f>IF(13&lt;='I_Inputs &amp; Assumptions'!$B$8,IF('I_Budget Input Data'!$E$166="Upfront",IF(13=1,'I_Budget Input Data'!$D$166,0),IF('I_Budget Input Data'!$E$166="Equal",'I_Budget Input Data'!$D$166/'I_Inputs &amp; Assumptions'!$B$8,IF('I_Budget Input Data'!$E$166="Front-loaded",IF(13&lt;='I_Inputs &amp; Assumptions'!$B$8/2,'I_Budget Input Data'!$D$166*0.6/('I_Inputs &amp; Assumptions'!$B$8/2),'I_Budget Input Data'!$D$166*0.4/('I_Inputs &amp; Assumptions'!$B$8/2)),IF('I_Budget Input Data'!$E$166="Back-loaded",IF(13&lt;='I_Inputs &amp; Assumptions'!$B$8/2,'I_Budget Input Data'!$D$166*0.4/('I_Inputs &amp; Assumptions'!$B$8/2),'I_Budget Input Data'!$D$166*0.6/('I_Inputs &amp; Assumptions'!$B$8/2)),IF('I_Budget Input Data'!$E$166="Mid-weighted",IF(13&lt;='I_Inputs &amp; Assumptions'!$B$8/4,'I_Budget Input Data'!$D$166*0.2/('I_Inputs &amp; Assumptions'!$B$8/4),IF(13&lt;='I_Inputs &amp; Assumptions'!$B$8*0.75,'I_Budget Input Data'!$D$166*0.6/('I_Inputs &amp; Assumptions'!$B$8/2),'I_Budget Input Data'!$D$166*0.2/('I_Inputs &amp; Assumptions'!$B$8/4))),IF('I_Budget Input Data'!$E$166="At Completion",IF(13='I_Inputs &amp; Assumptions'!$B$8,'I_Budget Input Data'!$D$166,0),'I_Budget Input Data'!$D$166/'I_Inputs &amp; Assumptions'!$B$8)))))),0)</f>
        <v>2087617</v>
      </c>
      <c r="P166" s="91">
        <f>IF(14&lt;='I_Inputs &amp; Assumptions'!$B$8,IF('I_Budget Input Data'!$E$166="Upfront",IF(14=1,'I_Budget Input Data'!$D$166,0),IF('I_Budget Input Data'!$E$166="Equal",'I_Budget Input Data'!$D$166/'I_Inputs &amp; Assumptions'!$B$8,IF('I_Budget Input Data'!$E$166="Front-loaded",IF(14&lt;='I_Inputs &amp; Assumptions'!$B$8/2,'I_Budget Input Data'!$D$166*0.6/('I_Inputs &amp; Assumptions'!$B$8/2),'I_Budget Input Data'!$D$166*0.4/('I_Inputs &amp; Assumptions'!$B$8/2)),IF('I_Budget Input Data'!$E$166="Back-loaded",IF(14&lt;='I_Inputs &amp; Assumptions'!$B$8/2,'I_Budget Input Data'!$D$166*0.4/('I_Inputs &amp; Assumptions'!$B$8/2),'I_Budget Input Data'!$D$166*0.6/('I_Inputs &amp; Assumptions'!$B$8/2)),IF('I_Budget Input Data'!$E$166="Mid-weighted",IF(14&lt;='I_Inputs &amp; Assumptions'!$B$8/4,'I_Budget Input Data'!$D$166*0.2/('I_Inputs &amp; Assumptions'!$B$8/4),IF(14&lt;='I_Inputs &amp; Assumptions'!$B$8*0.75,'I_Budget Input Data'!$D$166*0.6/('I_Inputs &amp; Assumptions'!$B$8/2),'I_Budget Input Data'!$D$166*0.2/('I_Inputs &amp; Assumptions'!$B$8/4))),IF('I_Budget Input Data'!$E$166="At Completion",IF(14='I_Inputs &amp; Assumptions'!$B$8,'I_Budget Input Data'!$D$166,0),'I_Budget Input Data'!$D$166/'I_Inputs &amp; Assumptions'!$B$8)))))),0)</f>
        <v>0</v>
      </c>
      <c r="Q166" s="91">
        <f>IF(15&lt;='I_Inputs &amp; Assumptions'!$B$8,IF('I_Budget Input Data'!$E$166="Upfront",IF(15=1,'I_Budget Input Data'!$D$166,0),IF('I_Budget Input Data'!$E$166="Equal",'I_Budget Input Data'!$D$166/'I_Inputs &amp; Assumptions'!$B$8,IF('I_Budget Input Data'!$E$166="Front-loaded",IF(15&lt;='I_Inputs &amp; Assumptions'!$B$8/2,'I_Budget Input Data'!$D$166*0.6/('I_Inputs &amp; Assumptions'!$B$8/2),'I_Budget Input Data'!$D$166*0.4/('I_Inputs &amp; Assumptions'!$B$8/2)),IF('I_Budget Input Data'!$E$166="Back-loaded",IF(15&lt;='I_Inputs &amp; Assumptions'!$B$8/2,'I_Budget Input Data'!$D$166*0.4/('I_Inputs &amp; Assumptions'!$B$8/2),'I_Budget Input Data'!$D$166*0.6/('I_Inputs &amp; Assumptions'!$B$8/2)),IF('I_Budget Input Data'!$E$166="Mid-weighted",IF(15&lt;='I_Inputs &amp; Assumptions'!$B$8/4,'I_Budget Input Data'!$D$166*0.2/('I_Inputs &amp; Assumptions'!$B$8/4),IF(15&lt;='I_Inputs &amp; Assumptions'!$B$8*0.75,'I_Budget Input Data'!$D$166*0.6/('I_Inputs &amp; Assumptions'!$B$8/2),'I_Budget Input Data'!$D$166*0.2/('I_Inputs &amp; Assumptions'!$B$8/4))),IF('I_Budget Input Data'!$E$166="At Completion",IF(15='I_Inputs &amp; Assumptions'!$B$8,'I_Budget Input Data'!$D$166,0),'I_Budget Input Data'!$D$166/'I_Inputs &amp; Assumptions'!$B$8)))))),0)</f>
        <v>0</v>
      </c>
      <c r="R166" s="91">
        <f>IF(16&lt;='I_Inputs &amp; Assumptions'!$B$8,IF('I_Budget Input Data'!$E$166="Upfront",IF(16=1,'I_Budget Input Data'!$D$166,0),IF('I_Budget Input Data'!$E$166="Equal",'I_Budget Input Data'!$D$166/'I_Inputs &amp; Assumptions'!$B$8,IF('I_Budget Input Data'!$E$166="Front-loaded",IF(16&lt;='I_Inputs &amp; Assumptions'!$B$8/2,'I_Budget Input Data'!$D$166*0.6/('I_Inputs &amp; Assumptions'!$B$8/2),'I_Budget Input Data'!$D$166*0.4/('I_Inputs &amp; Assumptions'!$B$8/2)),IF('I_Budget Input Data'!$E$166="Back-loaded",IF(16&lt;='I_Inputs &amp; Assumptions'!$B$8/2,'I_Budget Input Data'!$D$166*0.4/('I_Inputs &amp; Assumptions'!$B$8/2),'I_Budget Input Data'!$D$166*0.6/('I_Inputs &amp; Assumptions'!$B$8/2)),IF('I_Budget Input Data'!$E$166="Mid-weighted",IF(16&lt;='I_Inputs &amp; Assumptions'!$B$8/4,'I_Budget Input Data'!$D$166*0.2/('I_Inputs &amp; Assumptions'!$B$8/4),IF(16&lt;='I_Inputs &amp; Assumptions'!$B$8*0.75,'I_Budget Input Data'!$D$166*0.6/('I_Inputs &amp; Assumptions'!$B$8/2),'I_Budget Input Data'!$D$166*0.2/('I_Inputs &amp; Assumptions'!$B$8/4))),IF('I_Budget Input Data'!$E$166="At Completion",IF(16='I_Inputs &amp; Assumptions'!$B$8,'I_Budget Input Data'!$D$166,0),'I_Budget Input Data'!$D$166/'I_Inputs &amp; Assumptions'!$B$8)))))),0)</f>
        <v>0</v>
      </c>
      <c r="S166" s="91">
        <f>IF(17&lt;='I_Inputs &amp; Assumptions'!$B$8,IF('I_Budget Input Data'!$E$166="Upfront",IF(17=1,'I_Budget Input Data'!$D$166,0),IF('I_Budget Input Data'!$E$166="Equal",'I_Budget Input Data'!$D$166/'I_Inputs &amp; Assumptions'!$B$8,IF('I_Budget Input Data'!$E$166="Front-loaded",IF(17&lt;='I_Inputs &amp; Assumptions'!$B$8/2,'I_Budget Input Data'!$D$166*0.6/('I_Inputs &amp; Assumptions'!$B$8/2),'I_Budget Input Data'!$D$166*0.4/('I_Inputs &amp; Assumptions'!$B$8/2)),IF('I_Budget Input Data'!$E$166="Back-loaded",IF(17&lt;='I_Inputs &amp; Assumptions'!$B$8/2,'I_Budget Input Data'!$D$166*0.4/('I_Inputs &amp; Assumptions'!$B$8/2),'I_Budget Input Data'!$D$166*0.6/('I_Inputs &amp; Assumptions'!$B$8/2)),IF('I_Budget Input Data'!$E$166="Mid-weighted",IF(17&lt;='I_Inputs &amp; Assumptions'!$B$8/4,'I_Budget Input Data'!$D$166*0.2/('I_Inputs &amp; Assumptions'!$B$8/4),IF(17&lt;='I_Inputs &amp; Assumptions'!$B$8*0.75,'I_Budget Input Data'!$D$166*0.6/('I_Inputs &amp; Assumptions'!$B$8/2),'I_Budget Input Data'!$D$166*0.2/('I_Inputs &amp; Assumptions'!$B$8/4))),IF('I_Budget Input Data'!$E$166="At Completion",IF(17='I_Inputs &amp; Assumptions'!$B$8,'I_Budget Input Data'!$D$166,0),'I_Budget Input Data'!$D$166/'I_Inputs &amp; Assumptions'!$B$8)))))),0)</f>
        <v>0</v>
      </c>
      <c r="T166" s="91">
        <f>IF(18&lt;='I_Inputs &amp; Assumptions'!$B$8,IF('I_Budget Input Data'!$E$166="Upfront",IF(18=1,'I_Budget Input Data'!$D$166,0),IF('I_Budget Input Data'!$E$166="Equal",'I_Budget Input Data'!$D$166/'I_Inputs &amp; Assumptions'!$B$8,IF('I_Budget Input Data'!$E$166="Front-loaded",IF(18&lt;='I_Inputs &amp; Assumptions'!$B$8/2,'I_Budget Input Data'!$D$166*0.6/('I_Inputs &amp; Assumptions'!$B$8/2),'I_Budget Input Data'!$D$166*0.4/('I_Inputs &amp; Assumptions'!$B$8/2)),IF('I_Budget Input Data'!$E$166="Back-loaded",IF(18&lt;='I_Inputs &amp; Assumptions'!$B$8/2,'I_Budget Input Data'!$D$166*0.4/('I_Inputs &amp; Assumptions'!$B$8/2),'I_Budget Input Data'!$D$166*0.6/('I_Inputs &amp; Assumptions'!$B$8/2)),IF('I_Budget Input Data'!$E$166="Mid-weighted",IF(18&lt;='I_Inputs &amp; Assumptions'!$B$8/4,'I_Budget Input Data'!$D$166*0.2/('I_Inputs &amp; Assumptions'!$B$8/4),IF(18&lt;='I_Inputs &amp; Assumptions'!$B$8*0.75,'I_Budget Input Data'!$D$166*0.6/('I_Inputs &amp; Assumptions'!$B$8/2),'I_Budget Input Data'!$D$166*0.2/('I_Inputs &amp; Assumptions'!$B$8/4))),IF('I_Budget Input Data'!$E$166="At Completion",IF(18='I_Inputs &amp; Assumptions'!$B$8,'I_Budget Input Data'!$D$166,0),'I_Budget Input Data'!$D$166/'I_Inputs &amp; Assumptions'!$B$8)))))),0)</f>
        <v>0</v>
      </c>
      <c r="U166" s="91">
        <f>IF(19&lt;='I_Inputs &amp; Assumptions'!$B$8,IF('I_Budget Input Data'!$E$166="Upfront",IF(19=1,'I_Budget Input Data'!$D$166,0),IF('I_Budget Input Data'!$E$166="Equal",'I_Budget Input Data'!$D$166/'I_Inputs &amp; Assumptions'!$B$8,IF('I_Budget Input Data'!$E$166="Front-loaded",IF(19&lt;='I_Inputs &amp; Assumptions'!$B$8/2,'I_Budget Input Data'!$D$166*0.6/('I_Inputs &amp; Assumptions'!$B$8/2),'I_Budget Input Data'!$D$166*0.4/('I_Inputs &amp; Assumptions'!$B$8/2)),IF('I_Budget Input Data'!$E$166="Back-loaded",IF(19&lt;='I_Inputs &amp; Assumptions'!$B$8/2,'I_Budget Input Data'!$D$166*0.4/('I_Inputs &amp; Assumptions'!$B$8/2),'I_Budget Input Data'!$D$166*0.6/('I_Inputs &amp; Assumptions'!$B$8/2)),IF('I_Budget Input Data'!$E$166="Mid-weighted",IF(19&lt;='I_Inputs &amp; Assumptions'!$B$8/4,'I_Budget Input Data'!$D$166*0.2/('I_Inputs &amp; Assumptions'!$B$8/4),IF(19&lt;='I_Inputs &amp; Assumptions'!$B$8*0.75,'I_Budget Input Data'!$D$166*0.6/('I_Inputs &amp; Assumptions'!$B$8/2),'I_Budget Input Data'!$D$166*0.2/('I_Inputs &amp; Assumptions'!$B$8/4))),IF('I_Budget Input Data'!$E$166="At Completion",IF(19='I_Inputs &amp; Assumptions'!$B$8,'I_Budget Input Data'!$D$166,0),'I_Budget Input Data'!$D$166/'I_Inputs &amp; Assumptions'!$B$8)))))),0)</f>
        <v>0</v>
      </c>
      <c r="V166" s="91">
        <f>IF(20&lt;='I_Inputs &amp; Assumptions'!$B$8,IF('I_Budget Input Data'!$E$166="Upfront",IF(20=1,'I_Budget Input Data'!$D$166,0),IF('I_Budget Input Data'!$E$166="Equal",'I_Budget Input Data'!$D$166/'I_Inputs &amp; Assumptions'!$B$8,IF('I_Budget Input Data'!$E$166="Front-loaded",IF(20&lt;='I_Inputs &amp; Assumptions'!$B$8/2,'I_Budget Input Data'!$D$166*0.6/('I_Inputs &amp; Assumptions'!$B$8/2),'I_Budget Input Data'!$D$166*0.4/('I_Inputs &amp; Assumptions'!$B$8/2)),IF('I_Budget Input Data'!$E$166="Back-loaded",IF(20&lt;='I_Inputs &amp; Assumptions'!$B$8/2,'I_Budget Input Data'!$D$166*0.4/('I_Inputs &amp; Assumptions'!$B$8/2),'I_Budget Input Data'!$D$166*0.6/('I_Inputs &amp; Assumptions'!$B$8/2)),IF('I_Budget Input Data'!$E$166="Mid-weighted",IF(20&lt;='I_Inputs &amp; Assumptions'!$B$8/4,'I_Budget Input Data'!$D$166*0.2/('I_Inputs &amp; Assumptions'!$B$8/4),IF(20&lt;='I_Inputs &amp; Assumptions'!$B$8*0.75,'I_Budget Input Data'!$D$166*0.6/('I_Inputs &amp; Assumptions'!$B$8/2),'I_Budget Input Data'!$D$166*0.2/('I_Inputs &amp; Assumptions'!$B$8/4))),IF('I_Budget Input Data'!$E$166="At Completion",IF(20='I_Inputs &amp; Assumptions'!$B$8,'I_Budget Input Data'!$D$166,0),'I_Budget Input Data'!$D$166/'I_Inputs &amp; Assumptions'!$B$8)))))),0)</f>
        <v>0</v>
      </c>
      <c r="W166" s="91">
        <f>IF(21&lt;='I_Inputs &amp; Assumptions'!$B$8,IF('I_Budget Input Data'!$E$166="Upfront",IF(21=1,'I_Budget Input Data'!$D$166,0),IF('I_Budget Input Data'!$E$166="Equal",'I_Budget Input Data'!$D$166/'I_Inputs &amp; Assumptions'!$B$8,IF('I_Budget Input Data'!$E$166="Front-loaded",IF(21&lt;='I_Inputs &amp; Assumptions'!$B$8/2,'I_Budget Input Data'!$D$166*0.6/('I_Inputs &amp; Assumptions'!$B$8/2),'I_Budget Input Data'!$D$166*0.4/('I_Inputs &amp; Assumptions'!$B$8/2)),IF('I_Budget Input Data'!$E$166="Back-loaded",IF(21&lt;='I_Inputs &amp; Assumptions'!$B$8/2,'I_Budget Input Data'!$D$166*0.4/('I_Inputs &amp; Assumptions'!$B$8/2),'I_Budget Input Data'!$D$166*0.6/('I_Inputs &amp; Assumptions'!$B$8/2)),IF('I_Budget Input Data'!$E$166="Mid-weighted",IF(21&lt;='I_Inputs &amp; Assumptions'!$B$8/4,'I_Budget Input Data'!$D$166*0.2/('I_Inputs &amp; Assumptions'!$B$8/4),IF(21&lt;='I_Inputs &amp; Assumptions'!$B$8*0.75,'I_Budget Input Data'!$D$166*0.6/('I_Inputs &amp; Assumptions'!$B$8/2),'I_Budget Input Data'!$D$166*0.2/('I_Inputs &amp; Assumptions'!$B$8/4))),IF('I_Budget Input Data'!$E$166="At Completion",IF(21='I_Inputs &amp; Assumptions'!$B$8,'I_Budget Input Data'!$D$166,0),'I_Budget Input Data'!$D$166/'I_Inputs &amp; Assumptions'!$B$8)))))),0)</f>
        <v>0</v>
      </c>
      <c r="X166" s="91">
        <f>IF(22&lt;='I_Inputs &amp; Assumptions'!$B$8,IF('I_Budget Input Data'!$E$166="Upfront",IF(22=1,'I_Budget Input Data'!$D$166,0),IF('I_Budget Input Data'!$E$166="Equal",'I_Budget Input Data'!$D$166/'I_Inputs &amp; Assumptions'!$B$8,IF('I_Budget Input Data'!$E$166="Front-loaded",IF(22&lt;='I_Inputs &amp; Assumptions'!$B$8/2,'I_Budget Input Data'!$D$166*0.6/('I_Inputs &amp; Assumptions'!$B$8/2),'I_Budget Input Data'!$D$166*0.4/('I_Inputs &amp; Assumptions'!$B$8/2)),IF('I_Budget Input Data'!$E$166="Back-loaded",IF(22&lt;='I_Inputs &amp; Assumptions'!$B$8/2,'I_Budget Input Data'!$D$166*0.4/('I_Inputs &amp; Assumptions'!$B$8/2),'I_Budget Input Data'!$D$166*0.6/('I_Inputs &amp; Assumptions'!$B$8/2)),IF('I_Budget Input Data'!$E$166="Mid-weighted",IF(22&lt;='I_Inputs &amp; Assumptions'!$B$8/4,'I_Budget Input Data'!$D$166*0.2/('I_Inputs &amp; Assumptions'!$B$8/4),IF(22&lt;='I_Inputs &amp; Assumptions'!$B$8*0.75,'I_Budget Input Data'!$D$166*0.6/('I_Inputs &amp; Assumptions'!$B$8/2),'I_Budget Input Data'!$D$166*0.2/('I_Inputs &amp; Assumptions'!$B$8/4))),IF('I_Budget Input Data'!$E$166="At Completion",IF(22='I_Inputs &amp; Assumptions'!$B$8,'I_Budget Input Data'!$D$166,0),'I_Budget Input Data'!$D$166/'I_Inputs &amp; Assumptions'!$B$8)))))),0)</f>
        <v>0</v>
      </c>
      <c r="Y166" s="91">
        <f>IF(23&lt;='I_Inputs &amp; Assumptions'!$B$8,IF('I_Budget Input Data'!$E$166="Upfront",IF(23=1,'I_Budget Input Data'!$D$166,0),IF('I_Budget Input Data'!$E$166="Equal",'I_Budget Input Data'!$D$166/'I_Inputs &amp; Assumptions'!$B$8,IF('I_Budget Input Data'!$E$166="Front-loaded",IF(23&lt;='I_Inputs &amp; Assumptions'!$B$8/2,'I_Budget Input Data'!$D$166*0.6/('I_Inputs &amp; Assumptions'!$B$8/2),'I_Budget Input Data'!$D$166*0.4/('I_Inputs &amp; Assumptions'!$B$8/2)),IF('I_Budget Input Data'!$E$166="Back-loaded",IF(23&lt;='I_Inputs &amp; Assumptions'!$B$8/2,'I_Budget Input Data'!$D$166*0.4/('I_Inputs &amp; Assumptions'!$B$8/2),'I_Budget Input Data'!$D$166*0.6/('I_Inputs &amp; Assumptions'!$B$8/2)),IF('I_Budget Input Data'!$E$166="Mid-weighted",IF(23&lt;='I_Inputs &amp; Assumptions'!$B$8/4,'I_Budget Input Data'!$D$166*0.2/('I_Inputs &amp; Assumptions'!$B$8/4),IF(23&lt;='I_Inputs &amp; Assumptions'!$B$8*0.75,'I_Budget Input Data'!$D$166*0.6/('I_Inputs &amp; Assumptions'!$B$8/2),'I_Budget Input Data'!$D$166*0.2/('I_Inputs &amp; Assumptions'!$B$8/4))),IF('I_Budget Input Data'!$E$166="At Completion",IF(23='I_Inputs &amp; Assumptions'!$B$8,'I_Budget Input Data'!$D$166,0),'I_Budget Input Data'!$D$166/'I_Inputs &amp; Assumptions'!$B$8)))))),0)</f>
        <v>0</v>
      </c>
      <c r="Z166" s="91">
        <f>IF(24&lt;='I_Inputs &amp; Assumptions'!$B$8,IF('I_Budget Input Data'!$E$166="Upfront",IF(24=1,'I_Budget Input Data'!$D$166,0),IF('I_Budget Input Data'!$E$166="Equal",'I_Budget Input Data'!$D$166/'I_Inputs &amp; Assumptions'!$B$8,IF('I_Budget Input Data'!$E$166="Front-loaded",IF(24&lt;='I_Inputs &amp; Assumptions'!$B$8/2,'I_Budget Input Data'!$D$166*0.6/('I_Inputs &amp; Assumptions'!$B$8/2),'I_Budget Input Data'!$D$166*0.4/('I_Inputs &amp; Assumptions'!$B$8/2)),IF('I_Budget Input Data'!$E$166="Back-loaded",IF(24&lt;='I_Inputs &amp; Assumptions'!$B$8/2,'I_Budget Input Data'!$D$166*0.4/('I_Inputs &amp; Assumptions'!$B$8/2),'I_Budget Input Data'!$D$166*0.6/('I_Inputs &amp; Assumptions'!$B$8/2)),IF('I_Budget Input Data'!$E$166="Mid-weighted",IF(24&lt;='I_Inputs &amp; Assumptions'!$B$8/4,'I_Budget Input Data'!$D$166*0.2/('I_Inputs &amp; Assumptions'!$B$8/4),IF(24&lt;='I_Inputs &amp; Assumptions'!$B$8*0.75,'I_Budget Input Data'!$D$166*0.6/('I_Inputs &amp; Assumptions'!$B$8/2),'I_Budget Input Data'!$D$166*0.2/('I_Inputs &amp; Assumptions'!$B$8/4))),IF('I_Budget Input Data'!$E$166="At Completion",IF(24='I_Inputs &amp; Assumptions'!$B$8,'I_Budget Input Data'!$D$166,0),'I_Budget Input Data'!$D$166/'I_Inputs &amp; Assumptions'!$B$8)))))),0)</f>
        <v>0</v>
      </c>
      <c r="AA166" s="91">
        <f>IF(25&lt;='I_Inputs &amp; Assumptions'!$B$8,IF('I_Budget Input Data'!$E$166="Upfront",IF(25=1,'I_Budget Input Data'!$D$166,0),IF('I_Budget Input Data'!$E$166="Equal",'I_Budget Input Data'!$D$166/'I_Inputs &amp; Assumptions'!$B$8,IF('I_Budget Input Data'!$E$166="Front-loaded",IF(25&lt;='I_Inputs &amp; Assumptions'!$B$8/2,'I_Budget Input Data'!$D$166*0.6/('I_Inputs &amp; Assumptions'!$B$8/2),'I_Budget Input Data'!$D$166*0.4/('I_Inputs &amp; Assumptions'!$B$8/2)),IF('I_Budget Input Data'!$E$166="Back-loaded",IF(25&lt;='I_Inputs &amp; Assumptions'!$B$8/2,'I_Budget Input Data'!$D$166*0.4/('I_Inputs &amp; Assumptions'!$B$8/2),'I_Budget Input Data'!$D$166*0.6/('I_Inputs &amp; Assumptions'!$B$8/2)),IF('I_Budget Input Data'!$E$166="Mid-weighted",IF(25&lt;='I_Inputs &amp; Assumptions'!$B$8/4,'I_Budget Input Data'!$D$166*0.2/('I_Inputs &amp; Assumptions'!$B$8/4),IF(25&lt;='I_Inputs &amp; Assumptions'!$B$8*0.75,'I_Budget Input Data'!$D$166*0.6/('I_Inputs &amp; Assumptions'!$B$8/2),'I_Budget Input Data'!$D$166*0.2/('I_Inputs &amp; Assumptions'!$B$8/4))),IF('I_Budget Input Data'!$E$166="At Completion",IF(25='I_Inputs &amp; Assumptions'!$B$8,'I_Budget Input Data'!$D$166,0),'I_Budget Input Data'!$D$166/'I_Inputs &amp; Assumptions'!$B$8)))))),0)</f>
        <v>0</v>
      </c>
      <c r="AB166" s="91">
        <f>IF(26&lt;='I_Inputs &amp; Assumptions'!$B$8,IF('I_Budget Input Data'!$E$166="Upfront",IF(26=1,'I_Budget Input Data'!$D$166,0),IF('I_Budget Input Data'!$E$166="Equal",'I_Budget Input Data'!$D$166/'I_Inputs &amp; Assumptions'!$B$8,IF('I_Budget Input Data'!$E$166="Front-loaded",IF(26&lt;='I_Inputs &amp; Assumptions'!$B$8/2,'I_Budget Input Data'!$D$166*0.6/('I_Inputs &amp; Assumptions'!$B$8/2),'I_Budget Input Data'!$D$166*0.4/('I_Inputs &amp; Assumptions'!$B$8/2)),IF('I_Budget Input Data'!$E$166="Back-loaded",IF(26&lt;='I_Inputs &amp; Assumptions'!$B$8/2,'I_Budget Input Data'!$D$166*0.4/('I_Inputs &amp; Assumptions'!$B$8/2),'I_Budget Input Data'!$D$166*0.6/('I_Inputs &amp; Assumptions'!$B$8/2)),IF('I_Budget Input Data'!$E$166="Mid-weighted",IF(26&lt;='I_Inputs &amp; Assumptions'!$B$8/4,'I_Budget Input Data'!$D$166*0.2/('I_Inputs &amp; Assumptions'!$B$8/4),IF(26&lt;='I_Inputs &amp; Assumptions'!$B$8*0.75,'I_Budget Input Data'!$D$166*0.6/('I_Inputs &amp; Assumptions'!$B$8/2),'I_Budget Input Data'!$D$166*0.2/('I_Inputs &amp; Assumptions'!$B$8/4))),IF('I_Budget Input Data'!$E$166="At Completion",IF(26='I_Inputs &amp; Assumptions'!$B$8,'I_Budget Input Data'!$D$166,0),'I_Budget Input Data'!$D$166/'I_Inputs &amp; Assumptions'!$B$8)))))),0)</f>
        <v>0</v>
      </c>
      <c r="AC166" s="91">
        <f>IF(27&lt;='I_Inputs &amp; Assumptions'!$B$8,IF('I_Budget Input Data'!$E$166="Upfront",IF(27=1,'I_Budget Input Data'!$D$166,0),IF('I_Budget Input Data'!$E$166="Equal",'I_Budget Input Data'!$D$166/'I_Inputs &amp; Assumptions'!$B$8,IF('I_Budget Input Data'!$E$166="Front-loaded",IF(27&lt;='I_Inputs &amp; Assumptions'!$B$8/2,'I_Budget Input Data'!$D$166*0.6/('I_Inputs &amp; Assumptions'!$B$8/2),'I_Budget Input Data'!$D$166*0.4/('I_Inputs &amp; Assumptions'!$B$8/2)),IF('I_Budget Input Data'!$E$166="Back-loaded",IF(27&lt;='I_Inputs &amp; Assumptions'!$B$8/2,'I_Budget Input Data'!$D$166*0.4/('I_Inputs &amp; Assumptions'!$B$8/2),'I_Budget Input Data'!$D$166*0.6/('I_Inputs &amp; Assumptions'!$B$8/2)),IF('I_Budget Input Data'!$E$166="Mid-weighted",IF(27&lt;='I_Inputs &amp; Assumptions'!$B$8/4,'I_Budget Input Data'!$D$166*0.2/('I_Inputs &amp; Assumptions'!$B$8/4),IF(27&lt;='I_Inputs &amp; Assumptions'!$B$8*0.75,'I_Budget Input Data'!$D$166*0.6/('I_Inputs &amp; Assumptions'!$B$8/2),'I_Budget Input Data'!$D$166*0.2/('I_Inputs &amp; Assumptions'!$B$8/4))),IF('I_Budget Input Data'!$E$166="At Completion",IF(27='I_Inputs &amp; Assumptions'!$B$8,'I_Budget Input Data'!$D$166,0),'I_Budget Input Data'!$D$166/'I_Inputs &amp; Assumptions'!$B$8)))))),0)</f>
        <v>0</v>
      </c>
      <c r="AD166" s="91">
        <f>IF(28&lt;='I_Inputs &amp; Assumptions'!$B$8,IF('I_Budget Input Data'!$E$166="Upfront",IF(28=1,'I_Budget Input Data'!$D$166,0),IF('I_Budget Input Data'!$E$166="Equal",'I_Budget Input Data'!$D$166/'I_Inputs &amp; Assumptions'!$B$8,IF('I_Budget Input Data'!$E$166="Front-loaded",IF(28&lt;='I_Inputs &amp; Assumptions'!$B$8/2,'I_Budget Input Data'!$D$166*0.6/('I_Inputs &amp; Assumptions'!$B$8/2),'I_Budget Input Data'!$D$166*0.4/('I_Inputs &amp; Assumptions'!$B$8/2)),IF('I_Budget Input Data'!$E$166="Back-loaded",IF(28&lt;='I_Inputs &amp; Assumptions'!$B$8/2,'I_Budget Input Data'!$D$166*0.4/('I_Inputs &amp; Assumptions'!$B$8/2),'I_Budget Input Data'!$D$166*0.6/('I_Inputs &amp; Assumptions'!$B$8/2)),IF('I_Budget Input Data'!$E$166="Mid-weighted",IF(28&lt;='I_Inputs &amp; Assumptions'!$B$8/4,'I_Budget Input Data'!$D$166*0.2/('I_Inputs &amp; Assumptions'!$B$8/4),IF(28&lt;='I_Inputs &amp; Assumptions'!$B$8*0.75,'I_Budget Input Data'!$D$166*0.6/('I_Inputs &amp; Assumptions'!$B$8/2),'I_Budget Input Data'!$D$166*0.2/('I_Inputs &amp; Assumptions'!$B$8/4))),IF('I_Budget Input Data'!$E$166="At Completion",IF(28='I_Inputs &amp; Assumptions'!$B$8,'I_Budget Input Data'!$D$166,0),'I_Budget Input Data'!$D$166/'I_Inputs &amp; Assumptions'!$B$8)))))),0)</f>
        <v>0</v>
      </c>
      <c r="AE166" s="91">
        <f>IF(29&lt;='I_Inputs &amp; Assumptions'!$B$8,IF('I_Budget Input Data'!$E$166="Upfront",IF(29=1,'I_Budget Input Data'!$D$166,0),IF('I_Budget Input Data'!$E$166="Equal",'I_Budget Input Data'!$D$166/'I_Inputs &amp; Assumptions'!$B$8,IF('I_Budget Input Data'!$E$166="Front-loaded",IF(29&lt;='I_Inputs &amp; Assumptions'!$B$8/2,'I_Budget Input Data'!$D$166*0.6/('I_Inputs &amp; Assumptions'!$B$8/2),'I_Budget Input Data'!$D$166*0.4/('I_Inputs &amp; Assumptions'!$B$8/2)),IF('I_Budget Input Data'!$E$166="Back-loaded",IF(29&lt;='I_Inputs &amp; Assumptions'!$B$8/2,'I_Budget Input Data'!$D$166*0.4/('I_Inputs &amp; Assumptions'!$B$8/2),'I_Budget Input Data'!$D$166*0.6/('I_Inputs &amp; Assumptions'!$B$8/2)),IF('I_Budget Input Data'!$E$166="Mid-weighted",IF(29&lt;='I_Inputs &amp; Assumptions'!$B$8/4,'I_Budget Input Data'!$D$166*0.2/('I_Inputs &amp; Assumptions'!$B$8/4),IF(29&lt;='I_Inputs &amp; Assumptions'!$B$8*0.75,'I_Budget Input Data'!$D$166*0.6/('I_Inputs &amp; Assumptions'!$B$8/2),'I_Budget Input Data'!$D$166*0.2/('I_Inputs &amp; Assumptions'!$B$8/4))),IF('I_Budget Input Data'!$E$166="At Completion",IF(29='I_Inputs &amp; Assumptions'!$B$8,'I_Budget Input Data'!$D$166,0),'I_Budget Input Data'!$D$166/'I_Inputs &amp; Assumptions'!$B$8)))))),0)</f>
        <v>0</v>
      </c>
      <c r="AF166" s="91">
        <f>IF(30&lt;='I_Inputs &amp; Assumptions'!$B$8,IF('I_Budget Input Data'!$E$166="Upfront",IF(30=1,'I_Budget Input Data'!$D$166,0),IF('I_Budget Input Data'!$E$166="Equal",'I_Budget Input Data'!$D$166/'I_Inputs &amp; Assumptions'!$B$8,IF('I_Budget Input Data'!$E$166="Front-loaded",IF(30&lt;='I_Inputs &amp; Assumptions'!$B$8/2,'I_Budget Input Data'!$D$166*0.6/('I_Inputs &amp; Assumptions'!$B$8/2),'I_Budget Input Data'!$D$166*0.4/('I_Inputs &amp; Assumptions'!$B$8/2)),IF('I_Budget Input Data'!$E$166="Back-loaded",IF(30&lt;='I_Inputs &amp; Assumptions'!$B$8/2,'I_Budget Input Data'!$D$166*0.4/('I_Inputs &amp; Assumptions'!$B$8/2),'I_Budget Input Data'!$D$166*0.6/('I_Inputs &amp; Assumptions'!$B$8/2)),IF('I_Budget Input Data'!$E$166="Mid-weighted",IF(30&lt;='I_Inputs &amp; Assumptions'!$B$8/4,'I_Budget Input Data'!$D$166*0.2/('I_Inputs &amp; Assumptions'!$B$8/4),IF(30&lt;='I_Inputs &amp; Assumptions'!$B$8*0.75,'I_Budget Input Data'!$D$166*0.6/('I_Inputs &amp; Assumptions'!$B$8/2),'I_Budget Input Data'!$D$166*0.2/('I_Inputs &amp; Assumptions'!$B$8/4))),IF('I_Budget Input Data'!$E$166="At Completion",IF(30='I_Inputs &amp; Assumptions'!$B$8,'I_Budget Input Data'!$D$166,0),'I_Budget Input Data'!$D$166/'I_Inputs &amp; Assumptions'!$B$8)))))),0)</f>
        <v>0</v>
      </c>
      <c r="AG166" s="91">
        <f>IF(31&lt;='I_Inputs &amp; Assumptions'!$B$8,IF('I_Budget Input Data'!$E$166="Upfront",IF(31=1,'I_Budget Input Data'!$D$166,0),IF('I_Budget Input Data'!$E$166="Equal",'I_Budget Input Data'!$D$166/'I_Inputs &amp; Assumptions'!$B$8,IF('I_Budget Input Data'!$E$166="Front-loaded",IF(31&lt;='I_Inputs &amp; Assumptions'!$B$8/2,'I_Budget Input Data'!$D$166*0.6/('I_Inputs &amp; Assumptions'!$B$8/2),'I_Budget Input Data'!$D$166*0.4/('I_Inputs &amp; Assumptions'!$B$8/2)),IF('I_Budget Input Data'!$E$166="Back-loaded",IF(31&lt;='I_Inputs &amp; Assumptions'!$B$8/2,'I_Budget Input Data'!$D$166*0.4/('I_Inputs &amp; Assumptions'!$B$8/2),'I_Budget Input Data'!$D$166*0.6/('I_Inputs &amp; Assumptions'!$B$8/2)),IF('I_Budget Input Data'!$E$166="Mid-weighted",IF(31&lt;='I_Inputs &amp; Assumptions'!$B$8/4,'I_Budget Input Data'!$D$166*0.2/('I_Inputs &amp; Assumptions'!$B$8/4),IF(31&lt;='I_Inputs &amp; Assumptions'!$B$8*0.75,'I_Budget Input Data'!$D$166*0.6/('I_Inputs &amp; Assumptions'!$B$8/2),'I_Budget Input Data'!$D$166*0.2/('I_Inputs &amp; Assumptions'!$B$8/4))),IF('I_Budget Input Data'!$E$166="At Completion",IF(31='I_Inputs &amp; Assumptions'!$B$8,'I_Budget Input Data'!$D$166,0),'I_Budget Input Data'!$D$166/'I_Inputs &amp; Assumptions'!$B$8)))))),0)</f>
        <v>0</v>
      </c>
      <c r="AH166" s="91">
        <f>IF(32&lt;='I_Inputs &amp; Assumptions'!$B$8,IF('I_Budget Input Data'!$E$166="Upfront",IF(32=1,'I_Budget Input Data'!$D$166,0),IF('I_Budget Input Data'!$E$166="Equal",'I_Budget Input Data'!$D$166/'I_Inputs &amp; Assumptions'!$B$8,IF('I_Budget Input Data'!$E$166="Front-loaded",IF(32&lt;='I_Inputs &amp; Assumptions'!$B$8/2,'I_Budget Input Data'!$D$166*0.6/('I_Inputs &amp; Assumptions'!$B$8/2),'I_Budget Input Data'!$D$166*0.4/('I_Inputs &amp; Assumptions'!$B$8/2)),IF('I_Budget Input Data'!$E$166="Back-loaded",IF(32&lt;='I_Inputs &amp; Assumptions'!$B$8/2,'I_Budget Input Data'!$D$166*0.4/('I_Inputs &amp; Assumptions'!$B$8/2),'I_Budget Input Data'!$D$166*0.6/('I_Inputs &amp; Assumptions'!$B$8/2)),IF('I_Budget Input Data'!$E$166="Mid-weighted",IF(32&lt;='I_Inputs &amp; Assumptions'!$B$8/4,'I_Budget Input Data'!$D$166*0.2/('I_Inputs &amp; Assumptions'!$B$8/4),IF(32&lt;='I_Inputs &amp; Assumptions'!$B$8*0.75,'I_Budget Input Data'!$D$166*0.6/('I_Inputs &amp; Assumptions'!$B$8/2),'I_Budget Input Data'!$D$166*0.2/('I_Inputs &amp; Assumptions'!$B$8/4))),IF('I_Budget Input Data'!$E$166="At Completion",IF(32='I_Inputs &amp; Assumptions'!$B$8,'I_Budget Input Data'!$D$166,0),'I_Budget Input Data'!$D$166/'I_Inputs &amp; Assumptions'!$B$8)))))),0)</f>
        <v>0</v>
      </c>
      <c r="AI166" s="91">
        <f>IF(33&lt;='I_Inputs &amp; Assumptions'!$B$8,IF('I_Budget Input Data'!$E$166="Upfront",IF(33=1,'I_Budget Input Data'!$D$166,0),IF('I_Budget Input Data'!$E$166="Equal",'I_Budget Input Data'!$D$166/'I_Inputs &amp; Assumptions'!$B$8,IF('I_Budget Input Data'!$E$166="Front-loaded",IF(33&lt;='I_Inputs &amp; Assumptions'!$B$8/2,'I_Budget Input Data'!$D$166*0.6/('I_Inputs &amp; Assumptions'!$B$8/2),'I_Budget Input Data'!$D$166*0.4/('I_Inputs &amp; Assumptions'!$B$8/2)),IF('I_Budget Input Data'!$E$166="Back-loaded",IF(33&lt;='I_Inputs &amp; Assumptions'!$B$8/2,'I_Budget Input Data'!$D$166*0.4/('I_Inputs &amp; Assumptions'!$B$8/2),'I_Budget Input Data'!$D$166*0.6/('I_Inputs &amp; Assumptions'!$B$8/2)),IF('I_Budget Input Data'!$E$166="Mid-weighted",IF(33&lt;='I_Inputs &amp; Assumptions'!$B$8/4,'I_Budget Input Data'!$D$166*0.2/('I_Inputs &amp; Assumptions'!$B$8/4),IF(33&lt;='I_Inputs &amp; Assumptions'!$B$8*0.75,'I_Budget Input Data'!$D$166*0.6/('I_Inputs &amp; Assumptions'!$B$8/2),'I_Budget Input Data'!$D$166*0.2/('I_Inputs &amp; Assumptions'!$B$8/4))),IF('I_Budget Input Data'!$E$166="At Completion",IF(33='I_Inputs &amp; Assumptions'!$B$8,'I_Budget Input Data'!$D$166,0),'I_Budget Input Data'!$D$166/'I_Inputs &amp; Assumptions'!$B$8)))))),0)</f>
        <v>0</v>
      </c>
      <c r="AJ166" s="91">
        <f>IF(34&lt;='I_Inputs &amp; Assumptions'!$B$8,IF('I_Budget Input Data'!$E$166="Upfront",IF(34=1,'I_Budget Input Data'!$D$166,0),IF('I_Budget Input Data'!$E$166="Equal",'I_Budget Input Data'!$D$166/'I_Inputs &amp; Assumptions'!$B$8,IF('I_Budget Input Data'!$E$166="Front-loaded",IF(34&lt;='I_Inputs &amp; Assumptions'!$B$8/2,'I_Budget Input Data'!$D$166*0.6/('I_Inputs &amp; Assumptions'!$B$8/2),'I_Budget Input Data'!$D$166*0.4/('I_Inputs &amp; Assumptions'!$B$8/2)),IF('I_Budget Input Data'!$E$166="Back-loaded",IF(34&lt;='I_Inputs &amp; Assumptions'!$B$8/2,'I_Budget Input Data'!$D$166*0.4/('I_Inputs &amp; Assumptions'!$B$8/2),'I_Budget Input Data'!$D$166*0.6/('I_Inputs &amp; Assumptions'!$B$8/2)),IF('I_Budget Input Data'!$E$166="Mid-weighted",IF(34&lt;='I_Inputs &amp; Assumptions'!$B$8/4,'I_Budget Input Data'!$D$166*0.2/('I_Inputs &amp; Assumptions'!$B$8/4),IF(34&lt;='I_Inputs &amp; Assumptions'!$B$8*0.75,'I_Budget Input Data'!$D$166*0.6/('I_Inputs &amp; Assumptions'!$B$8/2),'I_Budget Input Data'!$D$166*0.2/('I_Inputs &amp; Assumptions'!$B$8/4))),IF('I_Budget Input Data'!$E$166="At Completion",IF(34='I_Inputs &amp; Assumptions'!$B$8,'I_Budget Input Data'!$D$166,0),'I_Budget Input Data'!$D$166/'I_Inputs &amp; Assumptions'!$B$8)))))),0)</f>
        <v>0</v>
      </c>
      <c r="AK166" s="91">
        <f>IF(35&lt;='I_Inputs &amp; Assumptions'!$B$8,IF('I_Budget Input Data'!$E$166="Upfront",IF(35=1,'I_Budget Input Data'!$D$166,0),IF('I_Budget Input Data'!$E$166="Equal",'I_Budget Input Data'!$D$166/'I_Inputs &amp; Assumptions'!$B$8,IF('I_Budget Input Data'!$E$166="Front-loaded",IF(35&lt;='I_Inputs &amp; Assumptions'!$B$8/2,'I_Budget Input Data'!$D$166*0.6/('I_Inputs &amp; Assumptions'!$B$8/2),'I_Budget Input Data'!$D$166*0.4/('I_Inputs &amp; Assumptions'!$B$8/2)),IF('I_Budget Input Data'!$E$166="Back-loaded",IF(35&lt;='I_Inputs &amp; Assumptions'!$B$8/2,'I_Budget Input Data'!$D$166*0.4/('I_Inputs &amp; Assumptions'!$B$8/2),'I_Budget Input Data'!$D$166*0.6/('I_Inputs &amp; Assumptions'!$B$8/2)),IF('I_Budget Input Data'!$E$166="Mid-weighted",IF(35&lt;='I_Inputs &amp; Assumptions'!$B$8/4,'I_Budget Input Data'!$D$166*0.2/('I_Inputs &amp; Assumptions'!$B$8/4),IF(35&lt;='I_Inputs &amp; Assumptions'!$B$8*0.75,'I_Budget Input Data'!$D$166*0.6/('I_Inputs &amp; Assumptions'!$B$8/2),'I_Budget Input Data'!$D$166*0.2/('I_Inputs &amp; Assumptions'!$B$8/4))),IF('I_Budget Input Data'!$E$166="At Completion",IF(35='I_Inputs &amp; Assumptions'!$B$8,'I_Budget Input Data'!$D$166,0),'I_Budget Input Data'!$D$166/'I_Inputs &amp; Assumptions'!$B$8)))))),0)</f>
        <v>0</v>
      </c>
      <c r="AL166" s="91">
        <f>IF(36&lt;='I_Inputs &amp; Assumptions'!$B$8,IF('I_Budget Input Data'!$E$166="Upfront",IF(36=1,'I_Budget Input Data'!$D$166,0),IF('I_Budget Input Data'!$E$166="Equal",'I_Budget Input Data'!$D$166/'I_Inputs &amp; Assumptions'!$B$8,IF('I_Budget Input Data'!$E$166="Front-loaded",IF(36&lt;='I_Inputs &amp; Assumptions'!$B$8/2,'I_Budget Input Data'!$D$166*0.6/('I_Inputs &amp; Assumptions'!$B$8/2),'I_Budget Input Data'!$D$166*0.4/('I_Inputs &amp; Assumptions'!$B$8/2)),IF('I_Budget Input Data'!$E$166="Back-loaded",IF(36&lt;='I_Inputs &amp; Assumptions'!$B$8/2,'I_Budget Input Data'!$D$166*0.4/('I_Inputs &amp; Assumptions'!$B$8/2),'I_Budget Input Data'!$D$166*0.6/('I_Inputs &amp; Assumptions'!$B$8/2)),IF('I_Budget Input Data'!$E$166="Mid-weighted",IF(36&lt;='I_Inputs &amp; Assumptions'!$B$8/4,'I_Budget Input Data'!$D$166*0.2/('I_Inputs &amp; Assumptions'!$B$8/4),IF(36&lt;='I_Inputs &amp; Assumptions'!$B$8*0.75,'I_Budget Input Data'!$D$166*0.6/('I_Inputs &amp; Assumptions'!$B$8/2),'I_Budget Input Data'!$D$166*0.2/('I_Inputs &amp; Assumptions'!$B$8/4))),IF('I_Budget Input Data'!$E$166="At Completion",IF(36='I_Inputs &amp; Assumptions'!$B$8,'I_Budget Input Data'!$D$166,0),'I_Budget Input Data'!$D$166/'I_Inputs &amp; Assumptions'!$B$8)))))),0)</f>
        <v>0</v>
      </c>
    </row>
    <row r="167" spans="1:38" ht="15" customHeight="1" x14ac:dyDescent="0.2">
      <c r="A167" t="s">
        <v>284</v>
      </c>
      <c r="B167" t="s">
        <v>39</v>
      </c>
      <c r="C167" s="91">
        <f>IF(1&lt;='I_Inputs &amp; Assumptions'!$B$8,IF('I_Budget Input Data'!$E$167="Upfront",IF(1=1,'I_Budget Input Data'!$D$167,0),IF('I_Budget Input Data'!$E$167="Equal",'I_Budget Input Data'!$D$167/'I_Inputs &amp; Assumptions'!$B$8,IF('I_Budget Input Data'!$E$167="Front-loaded",IF(1&lt;='I_Inputs &amp; Assumptions'!$B$8/2,'I_Budget Input Data'!$D$167*0.6/('I_Inputs &amp; Assumptions'!$B$8/2),'I_Budget Input Data'!$D$167*0.4/('I_Inputs &amp; Assumptions'!$B$8/2)),IF('I_Budget Input Data'!$E$167="Back-loaded",IF(1&lt;='I_Inputs &amp; Assumptions'!$B$8/2,'I_Budget Input Data'!$D$167*0.4/('I_Inputs &amp; Assumptions'!$B$8/2),'I_Budget Input Data'!$D$167*0.6/('I_Inputs &amp; Assumptions'!$B$8/2)),IF('I_Budget Input Data'!$E$167="Mid-weighted",IF(1&lt;='I_Inputs &amp; Assumptions'!$B$8/4,'I_Budget Input Data'!$D$167*0.2/('I_Inputs &amp; Assumptions'!$B$8/4),IF(1&lt;='I_Inputs &amp; Assumptions'!$B$8*0.75,'I_Budget Input Data'!$D$167*0.6/('I_Inputs &amp; Assumptions'!$B$8/2),'I_Budget Input Data'!$D$167*0.2/('I_Inputs &amp; Assumptions'!$B$8/4))),IF('I_Budget Input Data'!$E$167="At Completion",IF(1='I_Inputs &amp; Assumptions'!$B$8,'I_Budget Input Data'!$D$167,0),'I_Budget Input Data'!$D$167/'I_Inputs &amp; Assumptions'!$B$8)))))),0)</f>
        <v>38461.538461538461</v>
      </c>
      <c r="D167" s="91">
        <f>IF(2&lt;='I_Inputs &amp; Assumptions'!$B$8,IF('I_Budget Input Data'!$E$167="Upfront",IF(2=1,'I_Budget Input Data'!$D$167,0),IF('I_Budget Input Data'!$E$167="Equal",'I_Budget Input Data'!$D$167/'I_Inputs &amp; Assumptions'!$B$8,IF('I_Budget Input Data'!$E$167="Front-loaded",IF(2&lt;='I_Inputs &amp; Assumptions'!$B$8/2,'I_Budget Input Data'!$D$167*0.6/('I_Inputs &amp; Assumptions'!$B$8/2),'I_Budget Input Data'!$D$167*0.4/('I_Inputs &amp; Assumptions'!$B$8/2)),IF('I_Budget Input Data'!$E$167="Back-loaded",IF(2&lt;='I_Inputs &amp; Assumptions'!$B$8/2,'I_Budget Input Data'!$D$167*0.4/('I_Inputs &amp; Assumptions'!$B$8/2),'I_Budget Input Data'!$D$167*0.6/('I_Inputs &amp; Assumptions'!$B$8/2)),IF('I_Budget Input Data'!$E$167="Mid-weighted",IF(2&lt;='I_Inputs &amp; Assumptions'!$B$8/4,'I_Budget Input Data'!$D$167*0.2/('I_Inputs &amp; Assumptions'!$B$8/4),IF(2&lt;='I_Inputs &amp; Assumptions'!$B$8*0.75,'I_Budget Input Data'!$D$167*0.6/('I_Inputs &amp; Assumptions'!$B$8/2),'I_Budget Input Data'!$D$167*0.2/('I_Inputs &amp; Assumptions'!$B$8/4))),IF('I_Budget Input Data'!$E$167="At Completion",IF(2='I_Inputs &amp; Assumptions'!$B$8,'I_Budget Input Data'!$D$167,0),'I_Budget Input Data'!$D$167/'I_Inputs &amp; Assumptions'!$B$8)))))),0)</f>
        <v>38461.538461538461</v>
      </c>
      <c r="E167" s="91">
        <f>IF(3&lt;='I_Inputs &amp; Assumptions'!$B$8,IF('I_Budget Input Data'!$E$167="Upfront",IF(3=1,'I_Budget Input Data'!$D$167,0),IF('I_Budget Input Data'!$E$167="Equal",'I_Budget Input Data'!$D$167/'I_Inputs &amp; Assumptions'!$B$8,IF('I_Budget Input Data'!$E$167="Front-loaded",IF(3&lt;='I_Inputs &amp; Assumptions'!$B$8/2,'I_Budget Input Data'!$D$167*0.6/('I_Inputs &amp; Assumptions'!$B$8/2),'I_Budget Input Data'!$D$167*0.4/('I_Inputs &amp; Assumptions'!$B$8/2)),IF('I_Budget Input Data'!$E$167="Back-loaded",IF(3&lt;='I_Inputs &amp; Assumptions'!$B$8/2,'I_Budget Input Data'!$D$167*0.4/('I_Inputs &amp; Assumptions'!$B$8/2),'I_Budget Input Data'!$D$167*0.6/('I_Inputs &amp; Assumptions'!$B$8/2)),IF('I_Budget Input Data'!$E$167="Mid-weighted",IF(3&lt;='I_Inputs &amp; Assumptions'!$B$8/4,'I_Budget Input Data'!$D$167*0.2/('I_Inputs &amp; Assumptions'!$B$8/4),IF(3&lt;='I_Inputs &amp; Assumptions'!$B$8*0.75,'I_Budget Input Data'!$D$167*0.6/('I_Inputs &amp; Assumptions'!$B$8/2),'I_Budget Input Data'!$D$167*0.2/('I_Inputs &amp; Assumptions'!$B$8/4))),IF('I_Budget Input Data'!$E$167="At Completion",IF(3='I_Inputs &amp; Assumptions'!$B$8,'I_Budget Input Data'!$D$167,0),'I_Budget Input Data'!$D$167/'I_Inputs &amp; Assumptions'!$B$8)))))),0)</f>
        <v>38461.538461538461</v>
      </c>
      <c r="F167" s="91">
        <f>IF(4&lt;='I_Inputs &amp; Assumptions'!$B$8,IF('I_Budget Input Data'!$E$167="Upfront",IF(4=1,'I_Budget Input Data'!$D$167,0),IF('I_Budget Input Data'!$E$167="Equal",'I_Budget Input Data'!$D$167/'I_Inputs &amp; Assumptions'!$B$8,IF('I_Budget Input Data'!$E$167="Front-loaded",IF(4&lt;='I_Inputs &amp; Assumptions'!$B$8/2,'I_Budget Input Data'!$D$167*0.6/('I_Inputs &amp; Assumptions'!$B$8/2),'I_Budget Input Data'!$D$167*0.4/('I_Inputs &amp; Assumptions'!$B$8/2)),IF('I_Budget Input Data'!$E$167="Back-loaded",IF(4&lt;='I_Inputs &amp; Assumptions'!$B$8/2,'I_Budget Input Data'!$D$167*0.4/('I_Inputs &amp; Assumptions'!$B$8/2),'I_Budget Input Data'!$D$167*0.6/('I_Inputs &amp; Assumptions'!$B$8/2)),IF('I_Budget Input Data'!$E$167="Mid-weighted",IF(4&lt;='I_Inputs &amp; Assumptions'!$B$8/4,'I_Budget Input Data'!$D$167*0.2/('I_Inputs &amp; Assumptions'!$B$8/4),IF(4&lt;='I_Inputs &amp; Assumptions'!$B$8*0.75,'I_Budget Input Data'!$D$167*0.6/('I_Inputs &amp; Assumptions'!$B$8/2),'I_Budget Input Data'!$D$167*0.2/('I_Inputs &amp; Assumptions'!$B$8/4))),IF('I_Budget Input Data'!$E$167="At Completion",IF(4='I_Inputs &amp; Assumptions'!$B$8,'I_Budget Input Data'!$D$167,0),'I_Budget Input Data'!$D$167/'I_Inputs &amp; Assumptions'!$B$8)))))),0)</f>
        <v>38461.538461538461</v>
      </c>
      <c r="G167" s="91">
        <f>IF(5&lt;='I_Inputs &amp; Assumptions'!$B$8,IF('I_Budget Input Data'!$E$167="Upfront",IF(5=1,'I_Budget Input Data'!$D$167,0),IF('I_Budget Input Data'!$E$167="Equal",'I_Budget Input Data'!$D$167/'I_Inputs &amp; Assumptions'!$B$8,IF('I_Budget Input Data'!$E$167="Front-loaded",IF(5&lt;='I_Inputs &amp; Assumptions'!$B$8/2,'I_Budget Input Data'!$D$167*0.6/('I_Inputs &amp; Assumptions'!$B$8/2),'I_Budget Input Data'!$D$167*0.4/('I_Inputs &amp; Assumptions'!$B$8/2)),IF('I_Budget Input Data'!$E$167="Back-loaded",IF(5&lt;='I_Inputs &amp; Assumptions'!$B$8/2,'I_Budget Input Data'!$D$167*0.4/('I_Inputs &amp; Assumptions'!$B$8/2),'I_Budget Input Data'!$D$167*0.6/('I_Inputs &amp; Assumptions'!$B$8/2)),IF('I_Budget Input Data'!$E$167="Mid-weighted",IF(5&lt;='I_Inputs &amp; Assumptions'!$B$8/4,'I_Budget Input Data'!$D$167*0.2/('I_Inputs &amp; Assumptions'!$B$8/4),IF(5&lt;='I_Inputs &amp; Assumptions'!$B$8*0.75,'I_Budget Input Data'!$D$167*0.6/('I_Inputs &amp; Assumptions'!$B$8/2),'I_Budget Input Data'!$D$167*0.2/('I_Inputs &amp; Assumptions'!$B$8/4))),IF('I_Budget Input Data'!$E$167="At Completion",IF(5='I_Inputs &amp; Assumptions'!$B$8,'I_Budget Input Data'!$D$167,0),'I_Budget Input Data'!$D$167/'I_Inputs &amp; Assumptions'!$B$8)))))),0)</f>
        <v>38461.538461538461</v>
      </c>
      <c r="H167" s="91">
        <f>IF(6&lt;='I_Inputs &amp; Assumptions'!$B$8,IF('I_Budget Input Data'!$E$167="Upfront",IF(6=1,'I_Budget Input Data'!$D$167,0),IF('I_Budget Input Data'!$E$167="Equal",'I_Budget Input Data'!$D$167/'I_Inputs &amp; Assumptions'!$B$8,IF('I_Budget Input Data'!$E$167="Front-loaded",IF(6&lt;='I_Inputs &amp; Assumptions'!$B$8/2,'I_Budget Input Data'!$D$167*0.6/('I_Inputs &amp; Assumptions'!$B$8/2),'I_Budget Input Data'!$D$167*0.4/('I_Inputs &amp; Assumptions'!$B$8/2)),IF('I_Budget Input Data'!$E$167="Back-loaded",IF(6&lt;='I_Inputs &amp; Assumptions'!$B$8/2,'I_Budget Input Data'!$D$167*0.4/('I_Inputs &amp; Assumptions'!$B$8/2),'I_Budget Input Data'!$D$167*0.6/('I_Inputs &amp; Assumptions'!$B$8/2)),IF('I_Budget Input Data'!$E$167="Mid-weighted",IF(6&lt;='I_Inputs &amp; Assumptions'!$B$8/4,'I_Budget Input Data'!$D$167*0.2/('I_Inputs &amp; Assumptions'!$B$8/4),IF(6&lt;='I_Inputs &amp; Assumptions'!$B$8*0.75,'I_Budget Input Data'!$D$167*0.6/('I_Inputs &amp; Assumptions'!$B$8/2),'I_Budget Input Data'!$D$167*0.2/('I_Inputs &amp; Assumptions'!$B$8/4))),IF('I_Budget Input Data'!$E$167="At Completion",IF(6='I_Inputs &amp; Assumptions'!$B$8,'I_Budget Input Data'!$D$167,0),'I_Budget Input Data'!$D$167/'I_Inputs &amp; Assumptions'!$B$8)))))),0)</f>
        <v>38461.538461538461</v>
      </c>
      <c r="I167" s="91">
        <f>IF(7&lt;='I_Inputs &amp; Assumptions'!$B$8,IF('I_Budget Input Data'!$E$167="Upfront",IF(7=1,'I_Budget Input Data'!$D$167,0),IF('I_Budget Input Data'!$E$167="Equal",'I_Budget Input Data'!$D$167/'I_Inputs &amp; Assumptions'!$B$8,IF('I_Budget Input Data'!$E$167="Front-loaded",IF(7&lt;='I_Inputs &amp; Assumptions'!$B$8/2,'I_Budget Input Data'!$D$167*0.6/('I_Inputs &amp; Assumptions'!$B$8/2),'I_Budget Input Data'!$D$167*0.4/('I_Inputs &amp; Assumptions'!$B$8/2)),IF('I_Budget Input Data'!$E$167="Back-loaded",IF(7&lt;='I_Inputs &amp; Assumptions'!$B$8/2,'I_Budget Input Data'!$D$167*0.4/('I_Inputs &amp; Assumptions'!$B$8/2),'I_Budget Input Data'!$D$167*0.6/('I_Inputs &amp; Assumptions'!$B$8/2)),IF('I_Budget Input Data'!$E$167="Mid-weighted",IF(7&lt;='I_Inputs &amp; Assumptions'!$B$8/4,'I_Budget Input Data'!$D$167*0.2/('I_Inputs &amp; Assumptions'!$B$8/4),IF(7&lt;='I_Inputs &amp; Assumptions'!$B$8*0.75,'I_Budget Input Data'!$D$167*0.6/('I_Inputs &amp; Assumptions'!$B$8/2),'I_Budget Input Data'!$D$167*0.2/('I_Inputs &amp; Assumptions'!$B$8/4))),IF('I_Budget Input Data'!$E$167="At Completion",IF(7='I_Inputs &amp; Assumptions'!$B$8,'I_Budget Input Data'!$D$167,0),'I_Budget Input Data'!$D$167/'I_Inputs &amp; Assumptions'!$B$8)))))),0)</f>
        <v>38461.538461538461</v>
      </c>
      <c r="J167" s="91">
        <f>IF(8&lt;='I_Inputs &amp; Assumptions'!$B$8,IF('I_Budget Input Data'!$E$167="Upfront",IF(8=1,'I_Budget Input Data'!$D$167,0),IF('I_Budget Input Data'!$E$167="Equal",'I_Budget Input Data'!$D$167/'I_Inputs &amp; Assumptions'!$B$8,IF('I_Budget Input Data'!$E$167="Front-loaded",IF(8&lt;='I_Inputs &amp; Assumptions'!$B$8/2,'I_Budget Input Data'!$D$167*0.6/('I_Inputs &amp; Assumptions'!$B$8/2),'I_Budget Input Data'!$D$167*0.4/('I_Inputs &amp; Assumptions'!$B$8/2)),IF('I_Budget Input Data'!$E$167="Back-loaded",IF(8&lt;='I_Inputs &amp; Assumptions'!$B$8/2,'I_Budget Input Data'!$D$167*0.4/('I_Inputs &amp; Assumptions'!$B$8/2),'I_Budget Input Data'!$D$167*0.6/('I_Inputs &amp; Assumptions'!$B$8/2)),IF('I_Budget Input Data'!$E$167="Mid-weighted",IF(8&lt;='I_Inputs &amp; Assumptions'!$B$8/4,'I_Budget Input Data'!$D$167*0.2/('I_Inputs &amp; Assumptions'!$B$8/4),IF(8&lt;='I_Inputs &amp; Assumptions'!$B$8*0.75,'I_Budget Input Data'!$D$167*0.6/('I_Inputs &amp; Assumptions'!$B$8/2),'I_Budget Input Data'!$D$167*0.2/('I_Inputs &amp; Assumptions'!$B$8/4))),IF('I_Budget Input Data'!$E$167="At Completion",IF(8='I_Inputs &amp; Assumptions'!$B$8,'I_Budget Input Data'!$D$167,0),'I_Budget Input Data'!$D$167/'I_Inputs &amp; Assumptions'!$B$8)))))),0)</f>
        <v>38461.538461538461</v>
      </c>
      <c r="K167" s="91">
        <f>IF(9&lt;='I_Inputs &amp; Assumptions'!$B$8,IF('I_Budget Input Data'!$E$167="Upfront",IF(9=1,'I_Budget Input Data'!$D$167,0),IF('I_Budget Input Data'!$E$167="Equal",'I_Budget Input Data'!$D$167/'I_Inputs &amp; Assumptions'!$B$8,IF('I_Budget Input Data'!$E$167="Front-loaded",IF(9&lt;='I_Inputs &amp; Assumptions'!$B$8/2,'I_Budget Input Data'!$D$167*0.6/('I_Inputs &amp; Assumptions'!$B$8/2),'I_Budget Input Data'!$D$167*0.4/('I_Inputs &amp; Assumptions'!$B$8/2)),IF('I_Budget Input Data'!$E$167="Back-loaded",IF(9&lt;='I_Inputs &amp; Assumptions'!$B$8/2,'I_Budget Input Data'!$D$167*0.4/('I_Inputs &amp; Assumptions'!$B$8/2),'I_Budget Input Data'!$D$167*0.6/('I_Inputs &amp; Assumptions'!$B$8/2)),IF('I_Budget Input Data'!$E$167="Mid-weighted",IF(9&lt;='I_Inputs &amp; Assumptions'!$B$8/4,'I_Budget Input Data'!$D$167*0.2/('I_Inputs &amp; Assumptions'!$B$8/4),IF(9&lt;='I_Inputs &amp; Assumptions'!$B$8*0.75,'I_Budget Input Data'!$D$167*0.6/('I_Inputs &amp; Assumptions'!$B$8/2),'I_Budget Input Data'!$D$167*0.2/('I_Inputs &amp; Assumptions'!$B$8/4))),IF('I_Budget Input Data'!$E$167="At Completion",IF(9='I_Inputs &amp; Assumptions'!$B$8,'I_Budget Input Data'!$D$167,0),'I_Budget Input Data'!$D$167/'I_Inputs &amp; Assumptions'!$B$8)))))),0)</f>
        <v>38461.538461538461</v>
      </c>
      <c r="L167" s="91">
        <f>IF(10&lt;='I_Inputs &amp; Assumptions'!$B$8,IF('I_Budget Input Data'!$E$167="Upfront",IF(10=1,'I_Budget Input Data'!$D$167,0),IF('I_Budget Input Data'!$E$167="Equal",'I_Budget Input Data'!$D$167/'I_Inputs &amp; Assumptions'!$B$8,IF('I_Budget Input Data'!$E$167="Front-loaded",IF(10&lt;='I_Inputs &amp; Assumptions'!$B$8/2,'I_Budget Input Data'!$D$167*0.6/('I_Inputs &amp; Assumptions'!$B$8/2),'I_Budget Input Data'!$D$167*0.4/('I_Inputs &amp; Assumptions'!$B$8/2)),IF('I_Budget Input Data'!$E$167="Back-loaded",IF(10&lt;='I_Inputs &amp; Assumptions'!$B$8/2,'I_Budget Input Data'!$D$167*0.4/('I_Inputs &amp; Assumptions'!$B$8/2),'I_Budget Input Data'!$D$167*0.6/('I_Inputs &amp; Assumptions'!$B$8/2)),IF('I_Budget Input Data'!$E$167="Mid-weighted",IF(10&lt;='I_Inputs &amp; Assumptions'!$B$8/4,'I_Budget Input Data'!$D$167*0.2/('I_Inputs &amp; Assumptions'!$B$8/4),IF(10&lt;='I_Inputs &amp; Assumptions'!$B$8*0.75,'I_Budget Input Data'!$D$167*0.6/('I_Inputs &amp; Assumptions'!$B$8/2),'I_Budget Input Data'!$D$167*0.2/('I_Inputs &amp; Assumptions'!$B$8/4))),IF('I_Budget Input Data'!$E$167="At Completion",IF(10='I_Inputs &amp; Assumptions'!$B$8,'I_Budget Input Data'!$D$167,0),'I_Budget Input Data'!$D$167/'I_Inputs &amp; Assumptions'!$B$8)))))),0)</f>
        <v>38461.538461538461</v>
      </c>
      <c r="M167" s="91">
        <f>IF(11&lt;='I_Inputs &amp; Assumptions'!$B$8,IF('I_Budget Input Data'!$E$167="Upfront",IF(11=1,'I_Budget Input Data'!$D$167,0),IF('I_Budget Input Data'!$E$167="Equal",'I_Budget Input Data'!$D$167/'I_Inputs &amp; Assumptions'!$B$8,IF('I_Budget Input Data'!$E$167="Front-loaded",IF(11&lt;='I_Inputs &amp; Assumptions'!$B$8/2,'I_Budget Input Data'!$D$167*0.6/('I_Inputs &amp; Assumptions'!$B$8/2),'I_Budget Input Data'!$D$167*0.4/('I_Inputs &amp; Assumptions'!$B$8/2)),IF('I_Budget Input Data'!$E$167="Back-loaded",IF(11&lt;='I_Inputs &amp; Assumptions'!$B$8/2,'I_Budget Input Data'!$D$167*0.4/('I_Inputs &amp; Assumptions'!$B$8/2),'I_Budget Input Data'!$D$167*0.6/('I_Inputs &amp; Assumptions'!$B$8/2)),IF('I_Budget Input Data'!$E$167="Mid-weighted",IF(11&lt;='I_Inputs &amp; Assumptions'!$B$8/4,'I_Budget Input Data'!$D$167*0.2/('I_Inputs &amp; Assumptions'!$B$8/4),IF(11&lt;='I_Inputs &amp; Assumptions'!$B$8*0.75,'I_Budget Input Data'!$D$167*0.6/('I_Inputs &amp; Assumptions'!$B$8/2),'I_Budget Input Data'!$D$167*0.2/('I_Inputs &amp; Assumptions'!$B$8/4))),IF('I_Budget Input Data'!$E$167="At Completion",IF(11='I_Inputs &amp; Assumptions'!$B$8,'I_Budget Input Data'!$D$167,0),'I_Budget Input Data'!$D$167/'I_Inputs &amp; Assumptions'!$B$8)))))),0)</f>
        <v>38461.538461538461</v>
      </c>
      <c r="N167" s="91">
        <f>IF(12&lt;='I_Inputs &amp; Assumptions'!$B$8,IF('I_Budget Input Data'!$E$167="Upfront",IF(12=1,'I_Budget Input Data'!$D$167,0),IF('I_Budget Input Data'!$E$167="Equal",'I_Budget Input Data'!$D$167/'I_Inputs &amp; Assumptions'!$B$8,IF('I_Budget Input Data'!$E$167="Front-loaded",IF(12&lt;='I_Inputs &amp; Assumptions'!$B$8/2,'I_Budget Input Data'!$D$167*0.6/('I_Inputs &amp; Assumptions'!$B$8/2),'I_Budget Input Data'!$D$167*0.4/('I_Inputs &amp; Assumptions'!$B$8/2)),IF('I_Budget Input Data'!$E$167="Back-loaded",IF(12&lt;='I_Inputs &amp; Assumptions'!$B$8/2,'I_Budget Input Data'!$D$167*0.4/('I_Inputs &amp; Assumptions'!$B$8/2),'I_Budget Input Data'!$D$167*0.6/('I_Inputs &amp; Assumptions'!$B$8/2)),IF('I_Budget Input Data'!$E$167="Mid-weighted",IF(12&lt;='I_Inputs &amp; Assumptions'!$B$8/4,'I_Budget Input Data'!$D$167*0.2/('I_Inputs &amp; Assumptions'!$B$8/4),IF(12&lt;='I_Inputs &amp; Assumptions'!$B$8*0.75,'I_Budget Input Data'!$D$167*0.6/('I_Inputs &amp; Assumptions'!$B$8/2),'I_Budget Input Data'!$D$167*0.2/('I_Inputs &amp; Assumptions'!$B$8/4))),IF('I_Budget Input Data'!$E$167="At Completion",IF(12='I_Inputs &amp; Assumptions'!$B$8,'I_Budget Input Data'!$D$167,0),'I_Budget Input Data'!$D$167/'I_Inputs &amp; Assumptions'!$B$8)))))),0)</f>
        <v>38461.538461538461</v>
      </c>
      <c r="O167" s="91">
        <f>IF(13&lt;='I_Inputs &amp; Assumptions'!$B$8,IF('I_Budget Input Data'!$E$167="Upfront",IF(13=1,'I_Budget Input Data'!$D$167,0),IF('I_Budget Input Data'!$E$167="Equal",'I_Budget Input Data'!$D$167/'I_Inputs &amp; Assumptions'!$B$8,IF('I_Budget Input Data'!$E$167="Front-loaded",IF(13&lt;='I_Inputs &amp; Assumptions'!$B$8/2,'I_Budget Input Data'!$D$167*0.6/('I_Inputs &amp; Assumptions'!$B$8/2),'I_Budget Input Data'!$D$167*0.4/('I_Inputs &amp; Assumptions'!$B$8/2)),IF('I_Budget Input Data'!$E$167="Back-loaded",IF(13&lt;='I_Inputs &amp; Assumptions'!$B$8/2,'I_Budget Input Data'!$D$167*0.4/('I_Inputs &amp; Assumptions'!$B$8/2),'I_Budget Input Data'!$D$167*0.6/('I_Inputs &amp; Assumptions'!$B$8/2)),IF('I_Budget Input Data'!$E$167="Mid-weighted",IF(13&lt;='I_Inputs &amp; Assumptions'!$B$8/4,'I_Budget Input Data'!$D$167*0.2/('I_Inputs &amp; Assumptions'!$B$8/4),IF(13&lt;='I_Inputs &amp; Assumptions'!$B$8*0.75,'I_Budget Input Data'!$D$167*0.6/('I_Inputs &amp; Assumptions'!$B$8/2),'I_Budget Input Data'!$D$167*0.2/('I_Inputs &amp; Assumptions'!$B$8/4))),IF('I_Budget Input Data'!$E$167="At Completion",IF(13='I_Inputs &amp; Assumptions'!$B$8,'I_Budget Input Data'!$D$167,0),'I_Budget Input Data'!$D$167/'I_Inputs &amp; Assumptions'!$B$8)))))),0)</f>
        <v>38461.538461538461</v>
      </c>
      <c r="P167" s="91">
        <f>IF(14&lt;='I_Inputs &amp; Assumptions'!$B$8,IF('I_Budget Input Data'!$E$167="Upfront",IF(14=1,'I_Budget Input Data'!$D$167,0),IF('I_Budget Input Data'!$E$167="Equal",'I_Budget Input Data'!$D$167/'I_Inputs &amp; Assumptions'!$B$8,IF('I_Budget Input Data'!$E$167="Front-loaded",IF(14&lt;='I_Inputs &amp; Assumptions'!$B$8/2,'I_Budget Input Data'!$D$167*0.6/('I_Inputs &amp; Assumptions'!$B$8/2),'I_Budget Input Data'!$D$167*0.4/('I_Inputs &amp; Assumptions'!$B$8/2)),IF('I_Budget Input Data'!$E$167="Back-loaded",IF(14&lt;='I_Inputs &amp; Assumptions'!$B$8/2,'I_Budget Input Data'!$D$167*0.4/('I_Inputs &amp; Assumptions'!$B$8/2),'I_Budget Input Data'!$D$167*0.6/('I_Inputs &amp; Assumptions'!$B$8/2)),IF('I_Budget Input Data'!$E$167="Mid-weighted",IF(14&lt;='I_Inputs &amp; Assumptions'!$B$8/4,'I_Budget Input Data'!$D$167*0.2/('I_Inputs &amp; Assumptions'!$B$8/4),IF(14&lt;='I_Inputs &amp; Assumptions'!$B$8*0.75,'I_Budget Input Data'!$D$167*0.6/('I_Inputs &amp; Assumptions'!$B$8/2),'I_Budget Input Data'!$D$167*0.2/('I_Inputs &amp; Assumptions'!$B$8/4))),IF('I_Budget Input Data'!$E$167="At Completion",IF(14='I_Inputs &amp; Assumptions'!$B$8,'I_Budget Input Data'!$D$167,0),'I_Budget Input Data'!$D$167/'I_Inputs &amp; Assumptions'!$B$8)))))),0)</f>
        <v>0</v>
      </c>
      <c r="Q167" s="91">
        <f>IF(15&lt;='I_Inputs &amp; Assumptions'!$B$8,IF('I_Budget Input Data'!$E$167="Upfront",IF(15=1,'I_Budget Input Data'!$D$167,0),IF('I_Budget Input Data'!$E$167="Equal",'I_Budget Input Data'!$D$167/'I_Inputs &amp; Assumptions'!$B$8,IF('I_Budget Input Data'!$E$167="Front-loaded",IF(15&lt;='I_Inputs &amp; Assumptions'!$B$8/2,'I_Budget Input Data'!$D$167*0.6/('I_Inputs &amp; Assumptions'!$B$8/2),'I_Budget Input Data'!$D$167*0.4/('I_Inputs &amp; Assumptions'!$B$8/2)),IF('I_Budget Input Data'!$E$167="Back-loaded",IF(15&lt;='I_Inputs &amp; Assumptions'!$B$8/2,'I_Budget Input Data'!$D$167*0.4/('I_Inputs &amp; Assumptions'!$B$8/2),'I_Budget Input Data'!$D$167*0.6/('I_Inputs &amp; Assumptions'!$B$8/2)),IF('I_Budget Input Data'!$E$167="Mid-weighted",IF(15&lt;='I_Inputs &amp; Assumptions'!$B$8/4,'I_Budget Input Data'!$D$167*0.2/('I_Inputs &amp; Assumptions'!$B$8/4),IF(15&lt;='I_Inputs &amp; Assumptions'!$B$8*0.75,'I_Budget Input Data'!$D$167*0.6/('I_Inputs &amp; Assumptions'!$B$8/2),'I_Budget Input Data'!$D$167*0.2/('I_Inputs &amp; Assumptions'!$B$8/4))),IF('I_Budget Input Data'!$E$167="At Completion",IF(15='I_Inputs &amp; Assumptions'!$B$8,'I_Budget Input Data'!$D$167,0),'I_Budget Input Data'!$D$167/'I_Inputs &amp; Assumptions'!$B$8)))))),0)</f>
        <v>0</v>
      </c>
      <c r="R167" s="91">
        <f>IF(16&lt;='I_Inputs &amp; Assumptions'!$B$8,IF('I_Budget Input Data'!$E$167="Upfront",IF(16=1,'I_Budget Input Data'!$D$167,0),IF('I_Budget Input Data'!$E$167="Equal",'I_Budget Input Data'!$D$167/'I_Inputs &amp; Assumptions'!$B$8,IF('I_Budget Input Data'!$E$167="Front-loaded",IF(16&lt;='I_Inputs &amp; Assumptions'!$B$8/2,'I_Budget Input Data'!$D$167*0.6/('I_Inputs &amp; Assumptions'!$B$8/2),'I_Budget Input Data'!$D$167*0.4/('I_Inputs &amp; Assumptions'!$B$8/2)),IF('I_Budget Input Data'!$E$167="Back-loaded",IF(16&lt;='I_Inputs &amp; Assumptions'!$B$8/2,'I_Budget Input Data'!$D$167*0.4/('I_Inputs &amp; Assumptions'!$B$8/2),'I_Budget Input Data'!$D$167*0.6/('I_Inputs &amp; Assumptions'!$B$8/2)),IF('I_Budget Input Data'!$E$167="Mid-weighted",IF(16&lt;='I_Inputs &amp; Assumptions'!$B$8/4,'I_Budget Input Data'!$D$167*0.2/('I_Inputs &amp; Assumptions'!$B$8/4),IF(16&lt;='I_Inputs &amp; Assumptions'!$B$8*0.75,'I_Budget Input Data'!$D$167*0.6/('I_Inputs &amp; Assumptions'!$B$8/2),'I_Budget Input Data'!$D$167*0.2/('I_Inputs &amp; Assumptions'!$B$8/4))),IF('I_Budget Input Data'!$E$167="At Completion",IF(16='I_Inputs &amp; Assumptions'!$B$8,'I_Budget Input Data'!$D$167,0),'I_Budget Input Data'!$D$167/'I_Inputs &amp; Assumptions'!$B$8)))))),0)</f>
        <v>0</v>
      </c>
      <c r="S167" s="91">
        <f>IF(17&lt;='I_Inputs &amp; Assumptions'!$B$8,IF('I_Budget Input Data'!$E$167="Upfront",IF(17=1,'I_Budget Input Data'!$D$167,0),IF('I_Budget Input Data'!$E$167="Equal",'I_Budget Input Data'!$D$167/'I_Inputs &amp; Assumptions'!$B$8,IF('I_Budget Input Data'!$E$167="Front-loaded",IF(17&lt;='I_Inputs &amp; Assumptions'!$B$8/2,'I_Budget Input Data'!$D$167*0.6/('I_Inputs &amp; Assumptions'!$B$8/2),'I_Budget Input Data'!$D$167*0.4/('I_Inputs &amp; Assumptions'!$B$8/2)),IF('I_Budget Input Data'!$E$167="Back-loaded",IF(17&lt;='I_Inputs &amp; Assumptions'!$B$8/2,'I_Budget Input Data'!$D$167*0.4/('I_Inputs &amp; Assumptions'!$B$8/2),'I_Budget Input Data'!$D$167*0.6/('I_Inputs &amp; Assumptions'!$B$8/2)),IF('I_Budget Input Data'!$E$167="Mid-weighted",IF(17&lt;='I_Inputs &amp; Assumptions'!$B$8/4,'I_Budget Input Data'!$D$167*0.2/('I_Inputs &amp; Assumptions'!$B$8/4),IF(17&lt;='I_Inputs &amp; Assumptions'!$B$8*0.75,'I_Budget Input Data'!$D$167*0.6/('I_Inputs &amp; Assumptions'!$B$8/2),'I_Budget Input Data'!$D$167*0.2/('I_Inputs &amp; Assumptions'!$B$8/4))),IF('I_Budget Input Data'!$E$167="At Completion",IF(17='I_Inputs &amp; Assumptions'!$B$8,'I_Budget Input Data'!$D$167,0),'I_Budget Input Data'!$D$167/'I_Inputs &amp; Assumptions'!$B$8)))))),0)</f>
        <v>0</v>
      </c>
      <c r="T167" s="91">
        <f>IF(18&lt;='I_Inputs &amp; Assumptions'!$B$8,IF('I_Budget Input Data'!$E$167="Upfront",IF(18=1,'I_Budget Input Data'!$D$167,0),IF('I_Budget Input Data'!$E$167="Equal",'I_Budget Input Data'!$D$167/'I_Inputs &amp; Assumptions'!$B$8,IF('I_Budget Input Data'!$E$167="Front-loaded",IF(18&lt;='I_Inputs &amp; Assumptions'!$B$8/2,'I_Budget Input Data'!$D$167*0.6/('I_Inputs &amp; Assumptions'!$B$8/2),'I_Budget Input Data'!$D$167*0.4/('I_Inputs &amp; Assumptions'!$B$8/2)),IF('I_Budget Input Data'!$E$167="Back-loaded",IF(18&lt;='I_Inputs &amp; Assumptions'!$B$8/2,'I_Budget Input Data'!$D$167*0.4/('I_Inputs &amp; Assumptions'!$B$8/2),'I_Budget Input Data'!$D$167*0.6/('I_Inputs &amp; Assumptions'!$B$8/2)),IF('I_Budget Input Data'!$E$167="Mid-weighted",IF(18&lt;='I_Inputs &amp; Assumptions'!$B$8/4,'I_Budget Input Data'!$D$167*0.2/('I_Inputs &amp; Assumptions'!$B$8/4),IF(18&lt;='I_Inputs &amp; Assumptions'!$B$8*0.75,'I_Budget Input Data'!$D$167*0.6/('I_Inputs &amp; Assumptions'!$B$8/2),'I_Budget Input Data'!$D$167*0.2/('I_Inputs &amp; Assumptions'!$B$8/4))),IF('I_Budget Input Data'!$E$167="At Completion",IF(18='I_Inputs &amp; Assumptions'!$B$8,'I_Budget Input Data'!$D$167,0),'I_Budget Input Data'!$D$167/'I_Inputs &amp; Assumptions'!$B$8)))))),0)</f>
        <v>0</v>
      </c>
      <c r="U167" s="91">
        <f>IF(19&lt;='I_Inputs &amp; Assumptions'!$B$8,IF('I_Budget Input Data'!$E$167="Upfront",IF(19=1,'I_Budget Input Data'!$D$167,0),IF('I_Budget Input Data'!$E$167="Equal",'I_Budget Input Data'!$D$167/'I_Inputs &amp; Assumptions'!$B$8,IF('I_Budget Input Data'!$E$167="Front-loaded",IF(19&lt;='I_Inputs &amp; Assumptions'!$B$8/2,'I_Budget Input Data'!$D$167*0.6/('I_Inputs &amp; Assumptions'!$B$8/2),'I_Budget Input Data'!$D$167*0.4/('I_Inputs &amp; Assumptions'!$B$8/2)),IF('I_Budget Input Data'!$E$167="Back-loaded",IF(19&lt;='I_Inputs &amp; Assumptions'!$B$8/2,'I_Budget Input Data'!$D$167*0.4/('I_Inputs &amp; Assumptions'!$B$8/2),'I_Budget Input Data'!$D$167*0.6/('I_Inputs &amp; Assumptions'!$B$8/2)),IF('I_Budget Input Data'!$E$167="Mid-weighted",IF(19&lt;='I_Inputs &amp; Assumptions'!$B$8/4,'I_Budget Input Data'!$D$167*0.2/('I_Inputs &amp; Assumptions'!$B$8/4),IF(19&lt;='I_Inputs &amp; Assumptions'!$B$8*0.75,'I_Budget Input Data'!$D$167*0.6/('I_Inputs &amp; Assumptions'!$B$8/2),'I_Budget Input Data'!$D$167*0.2/('I_Inputs &amp; Assumptions'!$B$8/4))),IF('I_Budget Input Data'!$E$167="At Completion",IF(19='I_Inputs &amp; Assumptions'!$B$8,'I_Budget Input Data'!$D$167,0),'I_Budget Input Data'!$D$167/'I_Inputs &amp; Assumptions'!$B$8)))))),0)</f>
        <v>0</v>
      </c>
      <c r="V167" s="91">
        <f>IF(20&lt;='I_Inputs &amp; Assumptions'!$B$8,IF('I_Budget Input Data'!$E$167="Upfront",IF(20=1,'I_Budget Input Data'!$D$167,0),IF('I_Budget Input Data'!$E$167="Equal",'I_Budget Input Data'!$D$167/'I_Inputs &amp; Assumptions'!$B$8,IF('I_Budget Input Data'!$E$167="Front-loaded",IF(20&lt;='I_Inputs &amp; Assumptions'!$B$8/2,'I_Budget Input Data'!$D$167*0.6/('I_Inputs &amp; Assumptions'!$B$8/2),'I_Budget Input Data'!$D$167*0.4/('I_Inputs &amp; Assumptions'!$B$8/2)),IF('I_Budget Input Data'!$E$167="Back-loaded",IF(20&lt;='I_Inputs &amp; Assumptions'!$B$8/2,'I_Budget Input Data'!$D$167*0.4/('I_Inputs &amp; Assumptions'!$B$8/2),'I_Budget Input Data'!$D$167*0.6/('I_Inputs &amp; Assumptions'!$B$8/2)),IF('I_Budget Input Data'!$E$167="Mid-weighted",IF(20&lt;='I_Inputs &amp; Assumptions'!$B$8/4,'I_Budget Input Data'!$D$167*0.2/('I_Inputs &amp; Assumptions'!$B$8/4),IF(20&lt;='I_Inputs &amp; Assumptions'!$B$8*0.75,'I_Budget Input Data'!$D$167*0.6/('I_Inputs &amp; Assumptions'!$B$8/2),'I_Budget Input Data'!$D$167*0.2/('I_Inputs &amp; Assumptions'!$B$8/4))),IF('I_Budget Input Data'!$E$167="At Completion",IF(20='I_Inputs &amp; Assumptions'!$B$8,'I_Budget Input Data'!$D$167,0),'I_Budget Input Data'!$D$167/'I_Inputs &amp; Assumptions'!$B$8)))))),0)</f>
        <v>0</v>
      </c>
      <c r="W167" s="91">
        <f>IF(21&lt;='I_Inputs &amp; Assumptions'!$B$8,IF('I_Budget Input Data'!$E$167="Upfront",IF(21=1,'I_Budget Input Data'!$D$167,0),IF('I_Budget Input Data'!$E$167="Equal",'I_Budget Input Data'!$D$167/'I_Inputs &amp; Assumptions'!$B$8,IF('I_Budget Input Data'!$E$167="Front-loaded",IF(21&lt;='I_Inputs &amp; Assumptions'!$B$8/2,'I_Budget Input Data'!$D$167*0.6/('I_Inputs &amp; Assumptions'!$B$8/2),'I_Budget Input Data'!$D$167*0.4/('I_Inputs &amp; Assumptions'!$B$8/2)),IF('I_Budget Input Data'!$E$167="Back-loaded",IF(21&lt;='I_Inputs &amp; Assumptions'!$B$8/2,'I_Budget Input Data'!$D$167*0.4/('I_Inputs &amp; Assumptions'!$B$8/2),'I_Budget Input Data'!$D$167*0.6/('I_Inputs &amp; Assumptions'!$B$8/2)),IF('I_Budget Input Data'!$E$167="Mid-weighted",IF(21&lt;='I_Inputs &amp; Assumptions'!$B$8/4,'I_Budget Input Data'!$D$167*0.2/('I_Inputs &amp; Assumptions'!$B$8/4),IF(21&lt;='I_Inputs &amp; Assumptions'!$B$8*0.75,'I_Budget Input Data'!$D$167*0.6/('I_Inputs &amp; Assumptions'!$B$8/2),'I_Budget Input Data'!$D$167*0.2/('I_Inputs &amp; Assumptions'!$B$8/4))),IF('I_Budget Input Data'!$E$167="At Completion",IF(21='I_Inputs &amp; Assumptions'!$B$8,'I_Budget Input Data'!$D$167,0),'I_Budget Input Data'!$D$167/'I_Inputs &amp; Assumptions'!$B$8)))))),0)</f>
        <v>0</v>
      </c>
      <c r="X167" s="91">
        <f>IF(22&lt;='I_Inputs &amp; Assumptions'!$B$8,IF('I_Budget Input Data'!$E$167="Upfront",IF(22=1,'I_Budget Input Data'!$D$167,0),IF('I_Budget Input Data'!$E$167="Equal",'I_Budget Input Data'!$D$167/'I_Inputs &amp; Assumptions'!$B$8,IF('I_Budget Input Data'!$E$167="Front-loaded",IF(22&lt;='I_Inputs &amp; Assumptions'!$B$8/2,'I_Budget Input Data'!$D$167*0.6/('I_Inputs &amp; Assumptions'!$B$8/2),'I_Budget Input Data'!$D$167*0.4/('I_Inputs &amp; Assumptions'!$B$8/2)),IF('I_Budget Input Data'!$E$167="Back-loaded",IF(22&lt;='I_Inputs &amp; Assumptions'!$B$8/2,'I_Budget Input Data'!$D$167*0.4/('I_Inputs &amp; Assumptions'!$B$8/2),'I_Budget Input Data'!$D$167*0.6/('I_Inputs &amp; Assumptions'!$B$8/2)),IF('I_Budget Input Data'!$E$167="Mid-weighted",IF(22&lt;='I_Inputs &amp; Assumptions'!$B$8/4,'I_Budget Input Data'!$D$167*0.2/('I_Inputs &amp; Assumptions'!$B$8/4),IF(22&lt;='I_Inputs &amp; Assumptions'!$B$8*0.75,'I_Budget Input Data'!$D$167*0.6/('I_Inputs &amp; Assumptions'!$B$8/2),'I_Budget Input Data'!$D$167*0.2/('I_Inputs &amp; Assumptions'!$B$8/4))),IF('I_Budget Input Data'!$E$167="At Completion",IF(22='I_Inputs &amp; Assumptions'!$B$8,'I_Budget Input Data'!$D$167,0),'I_Budget Input Data'!$D$167/'I_Inputs &amp; Assumptions'!$B$8)))))),0)</f>
        <v>0</v>
      </c>
      <c r="Y167" s="91">
        <f>IF(23&lt;='I_Inputs &amp; Assumptions'!$B$8,IF('I_Budget Input Data'!$E$167="Upfront",IF(23=1,'I_Budget Input Data'!$D$167,0),IF('I_Budget Input Data'!$E$167="Equal",'I_Budget Input Data'!$D$167/'I_Inputs &amp; Assumptions'!$B$8,IF('I_Budget Input Data'!$E$167="Front-loaded",IF(23&lt;='I_Inputs &amp; Assumptions'!$B$8/2,'I_Budget Input Data'!$D$167*0.6/('I_Inputs &amp; Assumptions'!$B$8/2),'I_Budget Input Data'!$D$167*0.4/('I_Inputs &amp; Assumptions'!$B$8/2)),IF('I_Budget Input Data'!$E$167="Back-loaded",IF(23&lt;='I_Inputs &amp; Assumptions'!$B$8/2,'I_Budget Input Data'!$D$167*0.4/('I_Inputs &amp; Assumptions'!$B$8/2),'I_Budget Input Data'!$D$167*0.6/('I_Inputs &amp; Assumptions'!$B$8/2)),IF('I_Budget Input Data'!$E$167="Mid-weighted",IF(23&lt;='I_Inputs &amp; Assumptions'!$B$8/4,'I_Budget Input Data'!$D$167*0.2/('I_Inputs &amp; Assumptions'!$B$8/4),IF(23&lt;='I_Inputs &amp; Assumptions'!$B$8*0.75,'I_Budget Input Data'!$D$167*0.6/('I_Inputs &amp; Assumptions'!$B$8/2),'I_Budget Input Data'!$D$167*0.2/('I_Inputs &amp; Assumptions'!$B$8/4))),IF('I_Budget Input Data'!$E$167="At Completion",IF(23='I_Inputs &amp; Assumptions'!$B$8,'I_Budget Input Data'!$D$167,0),'I_Budget Input Data'!$D$167/'I_Inputs &amp; Assumptions'!$B$8)))))),0)</f>
        <v>0</v>
      </c>
      <c r="Z167" s="91">
        <f>IF(24&lt;='I_Inputs &amp; Assumptions'!$B$8,IF('I_Budget Input Data'!$E$167="Upfront",IF(24=1,'I_Budget Input Data'!$D$167,0),IF('I_Budget Input Data'!$E$167="Equal",'I_Budget Input Data'!$D$167/'I_Inputs &amp; Assumptions'!$B$8,IF('I_Budget Input Data'!$E$167="Front-loaded",IF(24&lt;='I_Inputs &amp; Assumptions'!$B$8/2,'I_Budget Input Data'!$D$167*0.6/('I_Inputs &amp; Assumptions'!$B$8/2),'I_Budget Input Data'!$D$167*0.4/('I_Inputs &amp; Assumptions'!$B$8/2)),IF('I_Budget Input Data'!$E$167="Back-loaded",IF(24&lt;='I_Inputs &amp; Assumptions'!$B$8/2,'I_Budget Input Data'!$D$167*0.4/('I_Inputs &amp; Assumptions'!$B$8/2),'I_Budget Input Data'!$D$167*0.6/('I_Inputs &amp; Assumptions'!$B$8/2)),IF('I_Budget Input Data'!$E$167="Mid-weighted",IF(24&lt;='I_Inputs &amp; Assumptions'!$B$8/4,'I_Budget Input Data'!$D$167*0.2/('I_Inputs &amp; Assumptions'!$B$8/4),IF(24&lt;='I_Inputs &amp; Assumptions'!$B$8*0.75,'I_Budget Input Data'!$D$167*0.6/('I_Inputs &amp; Assumptions'!$B$8/2),'I_Budget Input Data'!$D$167*0.2/('I_Inputs &amp; Assumptions'!$B$8/4))),IF('I_Budget Input Data'!$E$167="At Completion",IF(24='I_Inputs &amp; Assumptions'!$B$8,'I_Budget Input Data'!$D$167,0),'I_Budget Input Data'!$D$167/'I_Inputs &amp; Assumptions'!$B$8)))))),0)</f>
        <v>0</v>
      </c>
      <c r="AA167" s="91">
        <f>IF(25&lt;='I_Inputs &amp; Assumptions'!$B$8,IF('I_Budget Input Data'!$E$167="Upfront",IF(25=1,'I_Budget Input Data'!$D$167,0),IF('I_Budget Input Data'!$E$167="Equal",'I_Budget Input Data'!$D$167/'I_Inputs &amp; Assumptions'!$B$8,IF('I_Budget Input Data'!$E$167="Front-loaded",IF(25&lt;='I_Inputs &amp; Assumptions'!$B$8/2,'I_Budget Input Data'!$D$167*0.6/('I_Inputs &amp; Assumptions'!$B$8/2),'I_Budget Input Data'!$D$167*0.4/('I_Inputs &amp; Assumptions'!$B$8/2)),IF('I_Budget Input Data'!$E$167="Back-loaded",IF(25&lt;='I_Inputs &amp; Assumptions'!$B$8/2,'I_Budget Input Data'!$D$167*0.4/('I_Inputs &amp; Assumptions'!$B$8/2),'I_Budget Input Data'!$D$167*0.6/('I_Inputs &amp; Assumptions'!$B$8/2)),IF('I_Budget Input Data'!$E$167="Mid-weighted",IF(25&lt;='I_Inputs &amp; Assumptions'!$B$8/4,'I_Budget Input Data'!$D$167*0.2/('I_Inputs &amp; Assumptions'!$B$8/4),IF(25&lt;='I_Inputs &amp; Assumptions'!$B$8*0.75,'I_Budget Input Data'!$D$167*0.6/('I_Inputs &amp; Assumptions'!$B$8/2),'I_Budget Input Data'!$D$167*0.2/('I_Inputs &amp; Assumptions'!$B$8/4))),IF('I_Budget Input Data'!$E$167="At Completion",IF(25='I_Inputs &amp; Assumptions'!$B$8,'I_Budget Input Data'!$D$167,0),'I_Budget Input Data'!$D$167/'I_Inputs &amp; Assumptions'!$B$8)))))),0)</f>
        <v>0</v>
      </c>
      <c r="AB167" s="91">
        <f>IF(26&lt;='I_Inputs &amp; Assumptions'!$B$8,IF('I_Budget Input Data'!$E$167="Upfront",IF(26=1,'I_Budget Input Data'!$D$167,0),IF('I_Budget Input Data'!$E$167="Equal",'I_Budget Input Data'!$D$167/'I_Inputs &amp; Assumptions'!$B$8,IF('I_Budget Input Data'!$E$167="Front-loaded",IF(26&lt;='I_Inputs &amp; Assumptions'!$B$8/2,'I_Budget Input Data'!$D$167*0.6/('I_Inputs &amp; Assumptions'!$B$8/2),'I_Budget Input Data'!$D$167*0.4/('I_Inputs &amp; Assumptions'!$B$8/2)),IF('I_Budget Input Data'!$E$167="Back-loaded",IF(26&lt;='I_Inputs &amp; Assumptions'!$B$8/2,'I_Budget Input Data'!$D$167*0.4/('I_Inputs &amp; Assumptions'!$B$8/2),'I_Budget Input Data'!$D$167*0.6/('I_Inputs &amp; Assumptions'!$B$8/2)),IF('I_Budget Input Data'!$E$167="Mid-weighted",IF(26&lt;='I_Inputs &amp; Assumptions'!$B$8/4,'I_Budget Input Data'!$D$167*0.2/('I_Inputs &amp; Assumptions'!$B$8/4),IF(26&lt;='I_Inputs &amp; Assumptions'!$B$8*0.75,'I_Budget Input Data'!$D$167*0.6/('I_Inputs &amp; Assumptions'!$B$8/2),'I_Budget Input Data'!$D$167*0.2/('I_Inputs &amp; Assumptions'!$B$8/4))),IF('I_Budget Input Data'!$E$167="At Completion",IF(26='I_Inputs &amp; Assumptions'!$B$8,'I_Budget Input Data'!$D$167,0),'I_Budget Input Data'!$D$167/'I_Inputs &amp; Assumptions'!$B$8)))))),0)</f>
        <v>0</v>
      </c>
      <c r="AC167" s="91">
        <f>IF(27&lt;='I_Inputs &amp; Assumptions'!$B$8,IF('I_Budget Input Data'!$E$167="Upfront",IF(27=1,'I_Budget Input Data'!$D$167,0),IF('I_Budget Input Data'!$E$167="Equal",'I_Budget Input Data'!$D$167/'I_Inputs &amp; Assumptions'!$B$8,IF('I_Budget Input Data'!$E$167="Front-loaded",IF(27&lt;='I_Inputs &amp; Assumptions'!$B$8/2,'I_Budget Input Data'!$D$167*0.6/('I_Inputs &amp; Assumptions'!$B$8/2),'I_Budget Input Data'!$D$167*0.4/('I_Inputs &amp; Assumptions'!$B$8/2)),IF('I_Budget Input Data'!$E$167="Back-loaded",IF(27&lt;='I_Inputs &amp; Assumptions'!$B$8/2,'I_Budget Input Data'!$D$167*0.4/('I_Inputs &amp; Assumptions'!$B$8/2),'I_Budget Input Data'!$D$167*0.6/('I_Inputs &amp; Assumptions'!$B$8/2)),IF('I_Budget Input Data'!$E$167="Mid-weighted",IF(27&lt;='I_Inputs &amp; Assumptions'!$B$8/4,'I_Budget Input Data'!$D$167*0.2/('I_Inputs &amp; Assumptions'!$B$8/4),IF(27&lt;='I_Inputs &amp; Assumptions'!$B$8*0.75,'I_Budget Input Data'!$D$167*0.6/('I_Inputs &amp; Assumptions'!$B$8/2),'I_Budget Input Data'!$D$167*0.2/('I_Inputs &amp; Assumptions'!$B$8/4))),IF('I_Budget Input Data'!$E$167="At Completion",IF(27='I_Inputs &amp; Assumptions'!$B$8,'I_Budget Input Data'!$D$167,0),'I_Budget Input Data'!$D$167/'I_Inputs &amp; Assumptions'!$B$8)))))),0)</f>
        <v>0</v>
      </c>
      <c r="AD167" s="91">
        <f>IF(28&lt;='I_Inputs &amp; Assumptions'!$B$8,IF('I_Budget Input Data'!$E$167="Upfront",IF(28=1,'I_Budget Input Data'!$D$167,0),IF('I_Budget Input Data'!$E$167="Equal",'I_Budget Input Data'!$D$167/'I_Inputs &amp; Assumptions'!$B$8,IF('I_Budget Input Data'!$E$167="Front-loaded",IF(28&lt;='I_Inputs &amp; Assumptions'!$B$8/2,'I_Budget Input Data'!$D$167*0.6/('I_Inputs &amp; Assumptions'!$B$8/2),'I_Budget Input Data'!$D$167*0.4/('I_Inputs &amp; Assumptions'!$B$8/2)),IF('I_Budget Input Data'!$E$167="Back-loaded",IF(28&lt;='I_Inputs &amp; Assumptions'!$B$8/2,'I_Budget Input Data'!$D$167*0.4/('I_Inputs &amp; Assumptions'!$B$8/2),'I_Budget Input Data'!$D$167*0.6/('I_Inputs &amp; Assumptions'!$B$8/2)),IF('I_Budget Input Data'!$E$167="Mid-weighted",IF(28&lt;='I_Inputs &amp; Assumptions'!$B$8/4,'I_Budget Input Data'!$D$167*0.2/('I_Inputs &amp; Assumptions'!$B$8/4),IF(28&lt;='I_Inputs &amp; Assumptions'!$B$8*0.75,'I_Budget Input Data'!$D$167*0.6/('I_Inputs &amp; Assumptions'!$B$8/2),'I_Budget Input Data'!$D$167*0.2/('I_Inputs &amp; Assumptions'!$B$8/4))),IF('I_Budget Input Data'!$E$167="At Completion",IF(28='I_Inputs &amp; Assumptions'!$B$8,'I_Budget Input Data'!$D$167,0),'I_Budget Input Data'!$D$167/'I_Inputs &amp; Assumptions'!$B$8)))))),0)</f>
        <v>0</v>
      </c>
      <c r="AE167" s="91">
        <f>IF(29&lt;='I_Inputs &amp; Assumptions'!$B$8,IF('I_Budget Input Data'!$E$167="Upfront",IF(29=1,'I_Budget Input Data'!$D$167,0),IF('I_Budget Input Data'!$E$167="Equal",'I_Budget Input Data'!$D$167/'I_Inputs &amp; Assumptions'!$B$8,IF('I_Budget Input Data'!$E$167="Front-loaded",IF(29&lt;='I_Inputs &amp; Assumptions'!$B$8/2,'I_Budget Input Data'!$D$167*0.6/('I_Inputs &amp; Assumptions'!$B$8/2),'I_Budget Input Data'!$D$167*0.4/('I_Inputs &amp; Assumptions'!$B$8/2)),IF('I_Budget Input Data'!$E$167="Back-loaded",IF(29&lt;='I_Inputs &amp; Assumptions'!$B$8/2,'I_Budget Input Data'!$D$167*0.4/('I_Inputs &amp; Assumptions'!$B$8/2),'I_Budget Input Data'!$D$167*0.6/('I_Inputs &amp; Assumptions'!$B$8/2)),IF('I_Budget Input Data'!$E$167="Mid-weighted",IF(29&lt;='I_Inputs &amp; Assumptions'!$B$8/4,'I_Budget Input Data'!$D$167*0.2/('I_Inputs &amp; Assumptions'!$B$8/4),IF(29&lt;='I_Inputs &amp; Assumptions'!$B$8*0.75,'I_Budget Input Data'!$D$167*0.6/('I_Inputs &amp; Assumptions'!$B$8/2),'I_Budget Input Data'!$D$167*0.2/('I_Inputs &amp; Assumptions'!$B$8/4))),IF('I_Budget Input Data'!$E$167="At Completion",IF(29='I_Inputs &amp; Assumptions'!$B$8,'I_Budget Input Data'!$D$167,0),'I_Budget Input Data'!$D$167/'I_Inputs &amp; Assumptions'!$B$8)))))),0)</f>
        <v>0</v>
      </c>
      <c r="AF167" s="91">
        <f>IF(30&lt;='I_Inputs &amp; Assumptions'!$B$8,IF('I_Budget Input Data'!$E$167="Upfront",IF(30=1,'I_Budget Input Data'!$D$167,0),IF('I_Budget Input Data'!$E$167="Equal",'I_Budget Input Data'!$D$167/'I_Inputs &amp; Assumptions'!$B$8,IF('I_Budget Input Data'!$E$167="Front-loaded",IF(30&lt;='I_Inputs &amp; Assumptions'!$B$8/2,'I_Budget Input Data'!$D$167*0.6/('I_Inputs &amp; Assumptions'!$B$8/2),'I_Budget Input Data'!$D$167*0.4/('I_Inputs &amp; Assumptions'!$B$8/2)),IF('I_Budget Input Data'!$E$167="Back-loaded",IF(30&lt;='I_Inputs &amp; Assumptions'!$B$8/2,'I_Budget Input Data'!$D$167*0.4/('I_Inputs &amp; Assumptions'!$B$8/2),'I_Budget Input Data'!$D$167*0.6/('I_Inputs &amp; Assumptions'!$B$8/2)),IF('I_Budget Input Data'!$E$167="Mid-weighted",IF(30&lt;='I_Inputs &amp; Assumptions'!$B$8/4,'I_Budget Input Data'!$D$167*0.2/('I_Inputs &amp; Assumptions'!$B$8/4),IF(30&lt;='I_Inputs &amp; Assumptions'!$B$8*0.75,'I_Budget Input Data'!$D$167*0.6/('I_Inputs &amp; Assumptions'!$B$8/2),'I_Budget Input Data'!$D$167*0.2/('I_Inputs &amp; Assumptions'!$B$8/4))),IF('I_Budget Input Data'!$E$167="At Completion",IF(30='I_Inputs &amp; Assumptions'!$B$8,'I_Budget Input Data'!$D$167,0),'I_Budget Input Data'!$D$167/'I_Inputs &amp; Assumptions'!$B$8)))))),0)</f>
        <v>0</v>
      </c>
      <c r="AG167" s="91">
        <f>IF(31&lt;='I_Inputs &amp; Assumptions'!$B$8,IF('I_Budget Input Data'!$E$167="Upfront",IF(31=1,'I_Budget Input Data'!$D$167,0),IF('I_Budget Input Data'!$E$167="Equal",'I_Budget Input Data'!$D$167/'I_Inputs &amp; Assumptions'!$B$8,IF('I_Budget Input Data'!$E$167="Front-loaded",IF(31&lt;='I_Inputs &amp; Assumptions'!$B$8/2,'I_Budget Input Data'!$D$167*0.6/('I_Inputs &amp; Assumptions'!$B$8/2),'I_Budget Input Data'!$D$167*0.4/('I_Inputs &amp; Assumptions'!$B$8/2)),IF('I_Budget Input Data'!$E$167="Back-loaded",IF(31&lt;='I_Inputs &amp; Assumptions'!$B$8/2,'I_Budget Input Data'!$D$167*0.4/('I_Inputs &amp; Assumptions'!$B$8/2),'I_Budget Input Data'!$D$167*0.6/('I_Inputs &amp; Assumptions'!$B$8/2)),IF('I_Budget Input Data'!$E$167="Mid-weighted",IF(31&lt;='I_Inputs &amp; Assumptions'!$B$8/4,'I_Budget Input Data'!$D$167*0.2/('I_Inputs &amp; Assumptions'!$B$8/4),IF(31&lt;='I_Inputs &amp; Assumptions'!$B$8*0.75,'I_Budget Input Data'!$D$167*0.6/('I_Inputs &amp; Assumptions'!$B$8/2),'I_Budget Input Data'!$D$167*0.2/('I_Inputs &amp; Assumptions'!$B$8/4))),IF('I_Budget Input Data'!$E$167="At Completion",IF(31='I_Inputs &amp; Assumptions'!$B$8,'I_Budget Input Data'!$D$167,0),'I_Budget Input Data'!$D$167/'I_Inputs &amp; Assumptions'!$B$8)))))),0)</f>
        <v>0</v>
      </c>
      <c r="AH167" s="91">
        <f>IF(32&lt;='I_Inputs &amp; Assumptions'!$B$8,IF('I_Budget Input Data'!$E$167="Upfront",IF(32=1,'I_Budget Input Data'!$D$167,0),IF('I_Budget Input Data'!$E$167="Equal",'I_Budget Input Data'!$D$167/'I_Inputs &amp; Assumptions'!$B$8,IF('I_Budget Input Data'!$E$167="Front-loaded",IF(32&lt;='I_Inputs &amp; Assumptions'!$B$8/2,'I_Budget Input Data'!$D$167*0.6/('I_Inputs &amp; Assumptions'!$B$8/2),'I_Budget Input Data'!$D$167*0.4/('I_Inputs &amp; Assumptions'!$B$8/2)),IF('I_Budget Input Data'!$E$167="Back-loaded",IF(32&lt;='I_Inputs &amp; Assumptions'!$B$8/2,'I_Budget Input Data'!$D$167*0.4/('I_Inputs &amp; Assumptions'!$B$8/2),'I_Budget Input Data'!$D$167*0.6/('I_Inputs &amp; Assumptions'!$B$8/2)),IF('I_Budget Input Data'!$E$167="Mid-weighted",IF(32&lt;='I_Inputs &amp; Assumptions'!$B$8/4,'I_Budget Input Data'!$D$167*0.2/('I_Inputs &amp; Assumptions'!$B$8/4),IF(32&lt;='I_Inputs &amp; Assumptions'!$B$8*0.75,'I_Budget Input Data'!$D$167*0.6/('I_Inputs &amp; Assumptions'!$B$8/2),'I_Budget Input Data'!$D$167*0.2/('I_Inputs &amp; Assumptions'!$B$8/4))),IF('I_Budget Input Data'!$E$167="At Completion",IF(32='I_Inputs &amp; Assumptions'!$B$8,'I_Budget Input Data'!$D$167,0),'I_Budget Input Data'!$D$167/'I_Inputs &amp; Assumptions'!$B$8)))))),0)</f>
        <v>0</v>
      </c>
      <c r="AI167" s="91">
        <f>IF(33&lt;='I_Inputs &amp; Assumptions'!$B$8,IF('I_Budget Input Data'!$E$167="Upfront",IF(33=1,'I_Budget Input Data'!$D$167,0),IF('I_Budget Input Data'!$E$167="Equal",'I_Budget Input Data'!$D$167/'I_Inputs &amp; Assumptions'!$B$8,IF('I_Budget Input Data'!$E$167="Front-loaded",IF(33&lt;='I_Inputs &amp; Assumptions'!$B$8/2,'I_Budget Input Data'!$D$167*0.6/('I_Inputs &amp; Assumptions'!$B$8/2),'I_Budget Input Data'!$D$167*0.4/('I_Inputs &amp; Assumptions'!$B$8/2)),IF('I_Budget Input Data'!$E$167="Back-loaded",IF(33&lt;='I_Inputs &amp; Assumptions'!$B$8/2,'I_Budget Input Data'!$D$167*0.4/('I_Inputs &amp; Assumptions'!$B$8/2),'I_Budget Input Data'!$D$167*0.6/('I_Inputs &amp; Assumptions'!$B$8/2)),IF('I_Budget Input Data'!$E$167="Mid-weighted",IF(33&lt;='I_Inputs &amp; Assumptions'!$B$8/4,'I_Budget Input Data'!$D$167*0.2/('I_Inputs &amp; Assumptions'!$B$8/4),IF(33&lt;='I_Inputs &amp; Assumptions'!$B$8*0.75,'I_Budget Input Data'!$D$167*0.6/('I_Inputs &amp; Assumptions'!$B$8/2),'I_Budget Input Data'!$D$167*0.2/('I_Inputs &amp; Assumptions'!$B$8/4))),IF('I_Budget Input Data'!$E$167="At Completion",IF(33='I_Inputs &amp; Assumptions'!$B$8,'I_Budget Input Data'!$D$167,0),'I_Budget Input Data'!$D$167/'I_Inputs &amp; Assumptions'!$B$8)))))),0)</f>
        <v>0</v>
      </c>
      <c r="AJ167" s="91">
        <f>IF(34&lt;='I_Inputs &amp; Assumptions'!$B$8,IF('I_Budget Input Data'!$E$167="Upfront",IF(34=1,'I_Budget Input Data'!$D$167,0),IF('I_Budget Input Data'!$E$167="Equal",'I_Budget Input Data'!$D$167/'I_Inputs &amp; Assumptions'!$B$8,IF('I_Budget Input Data'!$E$167="Front-loaded",IF(34&lt;='I_Inputs &amp; Assumptions'!$B$8/2,'I_Budget Input Data'!$D$167*0.6/('I_Inputs &amp; Assumptions'!$B$8/2),'I_Budget Input Data'!$D$167*0.4/('I_Inputs &amp; Assumptions'!$B$8/2)),IF('I_Budget Input Data'!$E$167="Back-loaded",IF(34&lt;='I_Inputs &amp; Assumptions'!$B$8/2,'I_Budget Input Data'!$D$167*0.4/('I_Inputs &amp; Assumptions'!$B$8/2),'I_Budget Input Data'!$D$167*0.6/('I_Inputs &amp; Assumptions'!$B$8/2)),IF('I_Budget Input Data'!$E$167="Mid-weighted",IF(34&lt;='I_Inputs &amp; Assumptions'!$B$8/4,'I_Budget Input Data'!$D$167*0.2/('I_Inputs &amp; Assumptions'!$B$8/4),IF(34&lt;='I_Inputs &amp; Assumptions'!$B$8*0.75,'I_Budget Input Data'!$D$167*0.6/('I_Inputs &amp; Assumptions'!$B$8/2),'I_Budget Input Data'!$D$167*0.2/('I_Inputs &amp; Assumptions'!$B$8/4))),IF('I_Budget Input Data'!$E$167="At Completion",IF(34='I_Inputs &amp; Assumptions'!$B$8,'I_Budget Input Data'!$D$167,0),'I_Budget Input Data'!$D$167/'I_Inputs &amp; Assumptions'!$B$8)))))),0)</f>
        <v>0</v>
      </c>
      <c r="AK167" s="91">
        <f>IF(35&lt;='I_Inputs &amp; Assumptions'!$B$8,IF('I_Budget Input Data'!$E$167="Upfront",IF(35=1,'I_Budget Input Data'!$D$167,0),IF('I_Budget Input Data'!$E$167="Equal",'I_Budget Input Data'!$D$167/'I_Inputs &amp; Assumptions'!$B$8,IF('I_Budget Input Data'!$E$167="Front-loaded",IF(35&lt;='I_Inputs &amp; Assumptions'!$B$8/2,'I_Budget Input Data'!$D$167*0.6/('I_Inputs &amp; Assumptions'!$B$8/2),'I_Budget Input Data'!$D$167*0.4/('I_Inputs &amp; Assumptions'!$B$8/2)),IF('I_Budget Input Data'!$E$167="Back-loaded",IF(35&lt;='I_Inputs &amp; Assumptions'!$B$8/2,'I_Budget Input Data'!$D$167*0.4/('I_Inputs &amp; Assumptions'!$B$8/2),'I_Budget Input Data'!$D$167*0.6/('I_Inputs &amp; Assumptions'!$B$8/2)),IF('I_Budget Input Data'!$E$167="Mid-weighted",IF(35&lt;='I_Inputs &amp; Assumptions'!$B$8/4,'I_Budget Input Data'!$D$167*0.2/('I_Inputs &amp; Assumptions'!$B$8/4),IF(35&lt;='I_Inputs &amp; Assumptions'!$B$8*0.75,'I_Budget Input Data'!$D$167*0.6/('I_Inputs &amp; Assumptions'!$B$8/2),'I_Budget Input Data'!$D$167*0.2/('I_Inputs &amp; Assumptions'!$B$8/4))),IF('I_Budget Input Data'!$E$167="At Completion",IF(35='I_Inputs &amp; Assumptions'!$B$8,'I_Budget Input Data'!$D$167,0),'I_Budget Input Data'!$D$167/'I_Inputs &amp; Assumptions'!$B$8)))))),0)</f>
        <v>0</v>
      </c>
      <c r="AL167" s="91">
        <f>IF(36&lt;='I_Inputs &amp; Assumptions'!$B$8,IF('I_Budget Input Data'!$E$167="Upfront",IF(36=1,'I_Budget Input Data'!$D$167,0),IF('I_Budget Input Data'!$E$167="Equal",'I_Budget Input Data'!$D$167/'I_Inputs &amp; Assumptions'!$B$8,IF('I_Budget Input Data'!$E$167="Front-loaded",IF(36&lt;='I_Inputs &amp; Assumptions'!$B$8/2,'I_Budget Input Data'!$D$167*0.6/('I_Inputs &amp; Assumptions'!$B$8/2),'I_Budget Input Data'!$D$167*0.4/('I_Inputs &amp; Assumptions'!$B$8/2)),IF('I_Budget Input Data'!$E$167="Back-loaded",IF(36&lt;='I_Inputs &amp; Assumptions'!$B$8/2,'I_Budget Input Data'!$D$167*0.4/('I_Inputs &amp; Assumptions'!$B$8/2),'I_Budget Input Data'!$D$167*0.6/('I_Inputs &amp; Assumptions'!$B$8/2)),IF('I_Budget Input Data'!$E$167="Mid-weighted",IF(36&lt;='I_Inputs &amp; Assumptions'!$B$8/4,'I_Budget Input Data'!$D$167*0.2/('I_Inputs &amp; Assumptions'!$B$8/4),IF(36&lt;='I_Inputs &amp; Assumptions'!$B$8*0.75,'I_Budget Input Data'!$D$167*0.6/('I_Inputs &amp; Assumptions'!$B$8/2),'I_Budget Input Data'!$D$167*0.2/('I_Inputs &amp; Assumptions'!$B$8/4))),IF('I_Budget Input Data'!$E$167="At Completion",IF(36='I_Inputs &amp; Assumptions'!$B$8,'I_Budget Input Data'!$D$167,0),'I_Budget Input Data'!$D$167/'I_Inputs &amp; Assumptions'!$B$8)))))),0)</f>
        <v>0</v>
      </c>
    </row>
    <row r="168" spans="1:38" ht="15" customHeight="1" x14ac:dyDescent="0.2">
      <c r="A168" t="s">
        <v>284</v>
      </c>
      <c r="B168" t="s">
        <v>286</v>
      </c>
      <c r="C168" s="91">
        <v>0</v>
      </c>
      <c r="D168" s="91">
        <v>0</v>
      </c>
      <c r="E168" s="91">
        <v>0</v>
      </c>
      <c r="F168" s="91">
        <v>0</v>
      </c>
      <c r="G168" s="91">
        <v>0</v>
      </c>
      <c r="H168" s="91">
        <v>0</v>
      </c>
      <c r="I168" s="91">
        <v>0</v>
      </c>
      <c r="J168" s="91">
        <v>0</v>
      </c>
      <c r="K168" s="91">
        <v>0</v>
      </c>
      <c r="L168" s="91">
        <v>0</v>
      </c>
      <c r="M168" s="91">
        <v>0</v>
      </c>
      <c r="N168" s="91">
        <v>0</v>
      </c>
      <c r="O168" s="91">
        <v>0</v>
      </c>
      <c r="P168" s="91">
        <v>0</v>
      </c>
      <c r="Q168" s="91">
        <v>0</v>
      </c>
      <c r="R168" s="91">
        <v>0</v>
      </c>
      <c r="S168" s="91">
        <v>0</v>
      </c>
      <c r="T168" s="91">
        <v>0</v>
      </c>
      <c r="U168" s="91">
        <v>0</v>
      </c>
      <c r="V168" s="91">
        <v>0</v>
      </c>
      <c r="W168" s="91">
        <v>0</v>
      </c>
      <c r="X168" s="91">
        <v>0</v>
      </c>
      <c r="Y168" s="91">
        <v>0</v>
      </c>
      <c r="Z168" s="91">
        <v>0</v>
      </c>
      <c r="AA168" s="91">
        <v>0</v>
      </c>
      <c r="AB168" s="91">
        <v>0</v>
      </c>
      <c r="AC168" s="91">
        <v>0</v>
      </c>
      <c r="AD168" s="91">
        <v>0</v>
      </c>
      <c r="AE168" s="91">
        <v>0</v>
      </c>
      <c r="AF168" s="91">
        <v>0</v>
      </c>
      <c r="AG168" s="91">
        <v>0</v>
      </c>
      <c r="AH168" s="91">
        <v>0</v>
      </c>
      <c r="AI168" s="91">
        <v>0</v>
      </c>
      <c r="AJ168" s="91">
        <v>0</v>
      </c>
      <c r="AK168" s="91">
        <v>0</v>
      </c>
      <c r="AL168" s="91">
        <v>0</v>
      </c>
    </row>
    <row r="169" spans="1:38" ht="15" customHeight="1" x14ac:dyDescent="0.2">
      <c r="A169" t="s">
        <v>284</v>
      </c>
      <c r="B169" t="s">
        <v>287</v>
      </c>
      <c r="C169" s="91">
        <v>0</v>
      </c>
      <c r="D169" s="91">
        <v>0</v>
      </c>
      <c r="E169" s="91">
        <v>0</v>
      </c>
      <c r="F169" s="91">
        <v>0</v>
      </c>
      <c r="G169" s="91">
        <v>0</v>
      </c>
      <c r="H169" s="91">
        <v>0</v>
      </c>
      <c r="I169" s="91">
        <v>0</v>
      </c>
      <c r="J169" s="91">
        <v>0</v>
      </c>
      <c r="K169" s="91">
        <v>0</v>
      </c>
      <c r="L169" s="91">
        <v>0</v>
      </c>
      <c r="M169" s="91">
        <v>0</v>
      </c>
      <c r="N169" s="91">
        <v>0</v>
      </c>
      <c r="O169" s="91">
        <v>0</v>
      </c>
      <c r="P169" s="91">
        <v>0</v>
      </c>
      <c r="Q169" s="91">
        <v>0</v>
      </c>
      <c r="R169" s="91">
        <v>0</v>
      </c>
      <c r="S169" s="91">
        <v>0</v>
      </c>
      <c r="T169" s="91">
        <v>0</v>
      </c>
      <c r="U169" s="91">
        <v>0</v>
      </c>
      <c r="V169" s="91">
        <v>0</v>
      </c>
      <c r="W169" s="91">
        <v>0</v>
      </c>
      <c r="X169" s="91">
        <v>0</v>
      </c>
      <c r="Y169" s="91">
        <v>0</v>
      </c>
      <c r="Z169" s="91">
        <v>0</v>
      </c>
      <c r="AA169" s="91">
        <v>0</v>
      </c>
      <c r="AB169" s="91">
        <v>0</v>
      </c>
      <c r="AC169" s="91">
        <v>0</v>
      </c>
      <c r="AD169" s="91">
        <v>0</v>
      </c>
      <c r="AE169" s="91">
        <v>0</v>
      </c>
      <c r="AF169" s="91">
        <v>0</v>
      </c>
      <c r="AG169" s="91">
        <v>0</v>
      </c>
      <c r="AH169" s="91">
        <v>0</v>
      </c>
      <c r="AI169" s="91">
        <v>0</v>
      </c>
      <c r="AJ169" s="91">
        <v>0</v>
      </c>
      <c r="AK169" s="91">
        <v>0</v>
      </c>
      <c r="AL169" s="91">
        <v>0</v>
      </c>
    </row>
    <row r="170" spans="1:38" ht="15" customHeight="1" x14ac:dyDescent="0.2">
      <c r="A170" t="s">
        <v>288</v>
      </c>
      <c r="C170" s="91">
        <v>0</v>
      </c>
      <c r="D170" s="91">
        <v>0</v>
      </c>
      <c r="E170" s="91">
        <v>0</v>
      </c>
      <c r="F170" s="91">
        <v>0</v>
      </c>
      <c r="G170" s="91">
        <v>0</v>
      </c>
      <c r="H170" s="91">
        <v>0</v>
      </c>
      <c r="I170" s="91">
        <v>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  <c r="Q170" s="91">
        <v>0</v>
      </c>
      <c r="R170" s="91">
        <v>0</v>
      </c>
      <c r="S170" s="91">
        <v>0</v>
      </c>
      <c r="T170" s="91">
        <v>0</v>
      </c>
      <c r="U170" s="91">
        <v>0</v>
      </c>
      <c r="V170" s="91">
        <v>0</v>
      </c>
      <c r="W170" s="91">
        <v>0</v>
      </c>
      <c r="X170" s="91">
        <v>0</v>
      </c>
      <c r="Y170" s="91">
        <v>0</v>
      </c>
      <c r="Z170" s="91">
        <v>0</v>
      </c>
      <c r="AA170" s="91">
        <v>0</v>
      </c>
      <c r="AB170" s="91">
        <v>0</v>
      </c>
      <c r="AC170" s="91">
        <v>0</v>
      </c>
      <c r="AD170" s="91">
        <v>0</v>
      </c>
      <c r="AE170" s="91">
        <v>0</v>
      </c>
      <c r="AF170" s="91">
        <v>0</v>
      </c>
      <c r="AG170" s="91">
        <v>0</v>
      </c>
      <c r="AH170" s="91">
        <v>0</v>
      </c>
      <c r="AI170" s="91">
        <v>0</v>
      </c>
      <c r="AJ170" s="91">
        <v>0</v>
      </c>
      <c r="AK170" s="91">
        <v>0</v>
      </c>
      <c r="AL170" s="91">
        <v>0</v>
      </c>
    </row>
    <row r="171" spans="1:38" ht="15" customHeight="1" x14ac:dyDescent="0.2">
      <c r="C171" s="91">
        <v>0</v>
      </c>
      <c r="D171" s="91">
        <v>0</v>
      </c>
      <c r="E171" s="91">
        <v>0</v>
      </c>
      <c r="F171" s="91">
        <v>0</v>
      </c>
      <c r="G171" s="91">
        <v>0</v>
      </c>
      <c r="H171" s="91">
        <v>0</v>
      </c>
      <c r="I171" s="91">
        <v>0</v>
      </c>
      <c r="J171" s="91">
        <v>0</v>
      </c>
      <c r="K171" s="91">
        <v>0</v>
      </c>
      <c r="L171" s="91">
        <v>0</v>
      </c>
      <c r="M171" s="91">
        <v>0</v>
      </c>
      <c r="N171" s="91">
        <v>0</v>
      </c>
      <c r="O171" s="91">
        <v>0</v>
      </c>
      <c r="P171" s="91">
        <v>0</v>
      </c>
      <c r="Q171" s="91">
        <v>0</v>
      </c>
      <c r="R171" s="91">
        <v>0</v>
      </c>
      <c r="S171" s="91">
        <v>0</v>
      </c>
      <c r="T171" s="91">
        <v>0</v>
      </c>
      <c r="U171" s="91">
        <v>0</v>
      </c>
      <c r="V171" s="91">
        <v>0</v>
      </c>
      <c r="W171" s="91">
        <v>0</v>
      </c>
      <c r="X171" s="91">
        <v>0</v>
      </c>
      <c r="Y171" s="91">
        <v>0</v>
      </c>
      <c r="Z171" s="91">
        <v>0</v>
      </c>
      <c r="AA171" s="91">
        <v>0</v>
      </c>
      <c r="AB171" s="91">
        <v>0</v>
      </c>
      <c r="AC171" s="91">
        <v>0</v>
      </c>
      <c r="AD171" s="91">
        <v>0</v>
      </c>
      <c r="AE171" s="91">
        <v>0</v>
      </c>
      <c r="AF171" s="91">
        <v>0</v>
      </c>
      <c r="AG171" s="91">
        <v>0</v>
      </c>
      <c r="AH171" s="91">
        <v>0</v>
      </c>
      <c r="AI171" s="91">
        <v>0</v>
      </c>
      <c r="AJ171" s="91">
        <v>0</v>
      </c>
      <c r="AK171" s="91">
        <v>0</v>
      </c>
      <c r="AL171" s="91">
        <v>0</v>
      </c>
    </row>
    <row r="172" spans="1:38" ht="15.75" customHeight="1" x14ac:dyDescent="0.2"/>
    <row r="173" spans="1:38" ht="15.75" customHeight="1" x14ac:dyDescent="0.2"/>
    <row r="174" spans="1:38" ht="15.75" customHeight="1" x14ac:dyDescent="0.2"/>
    <row r="175" spans="1:38" ht="15.75" customHeight="1" x14ac:dyDescent="0.2"/>
    <row r="176" spans="1:38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zoomScaleNormal="100" zoomScalePageLayoutView="60" workbookViewId="0">
      <selection activeCell="G4" sqref="G4"/>
    </sheetView>
  </sheetViews>
  <sheetFormatPr baseColWidth="10" defaultColWidth="14.5" defaultRowHeight="15" customHeight="1" x14ac:dyDescent="0.2"/>
  <cols>
    <col min="1" max="1" width="10" customWidth="1"/>
    <col min="2" max="2" width="12" customWidth="1"/>
    <col min="3" max="3" width="15" customWidth="1"/>
    <col min="4" max="4" width="12" customWidth="1"/>
    <col min="5" max="6" width="15" customWidth="1"/>
    <col min="7" max="7" width="10" customWidth="1"/>
    <col min="8" max="26" width="8.83203125" customWidth="1"/>
  </cols>
  <sheetData>
    <row r="1" spans="1:7" ht="18.75" customHeight="1" x14ac:dyDescent="0.25">
      <c r="A1" s="5" t="s">
        <v>664</v>
      </c>
    </row>
    <row r="2" spans="1:7" ht="15" customHeight="1" x14ac:dyDescent="0.2">
      <c r="A2" s="36" t="s">
        <v>665</v>
      </c>
    </row>
    <row r="3" spans="1:7" ht="15" customHeight="1" x14ac:dyDescent="0.2">
      <c r="A3" s="166" t="s">
        <v>666</v>
      </c>
      <c r="B3" s="166" t="s">
        <v>607</v>
      </c>
      <c r="C3" s="166" t="s">
        <v>608</v>
      </c>
      <c r="D3" s="166" t="s">
        <v>667</v>
      </c>
      <c r="E3" s="166" t="s">
        <v>668</v>
      </c>
      <c r="F3" s="166" t="s">
        <v>669</v>
      </c>
      <c r="G3" s="166" t="s">
        <v>670</v>
      </c>
    </row>
    <row r="4" spans="1:7" ht="15" customHeight="1" x14ac:dyDescent="0.2">
      <c r="A4" s="167">
        <v>1</v>
      </c>
      <c r="B4" s="168">
        <f>EOMONTH('I_Inputs &amp; Assumptions'!$B$7,0)</f>
        <v>45747</v>
      </c>
      <c r="C4" s="167" t="str">
        <f>IF(A4&lt;='I_Inputs &amp; Assumptions'!$B$8,"Construction",IF(A4&lt;='I_Inputs &amp; Assumptions'!$B$8+'I_Inputs &amp; Assumptions'!$B$10,"Lease-Up",IF(A4&lt;='I_Inputs &amp; Assumptions'!$B$8+'I_Inputs &amp; Assumptions'!$B$10+'I_Inputs &amp; Assumptions'!$B$11,"Stabilized","Exit")))</f>
        <v>Construction</v>
      </c>
      <c r="D4" s="167">
        <f t="shared" ref="D4:D35" si="0">DAY(B4)</f>
        <v>31</v>
      </c>
      <c r="E4" s="167">
        <f t="shared" ref="E4:E35" si="1">IF(C4="Construction",A4,"")</f>
        <v>1</v>
      </c>
      <c r="F4" s="167" t="str">
        <f>IF(C4="Stabilized",A4-'I_Inputs &amp; Assumptions'!$B$8-'I_Inputs &amp; Assumptions'!$B$10,"")</f>
        <v/>
      </c>
      <c r="G4" s="167">
        <f t="shared" ref="G4:G35" si="2">YEAR(B4)</f>
        <v>2025</v>
      </c>
    </row>
    <row r="5" spans="1:7" ht="15" customHeight="1" x14ac:dyDescent="0.2">
      <c r="A5" s="167">
        <v>2</v>
      </c>
      <c r="B5" s="168">
        <f>EOMONTH('I_Inputs &amp; Assumptions'!$B$7,1)</f>
        <v>45777</v>
      </c>
      <c r="C5" s="167" t="str">
        <f>IF(A5&lt;='I_Inputs &amp; Assumptions'!$B$8,"Construction",IF(A5&lt;='I_Inputs &amp; Assumptions'!$B$8+'I_Inputs &amp; Assumptions'!$B$10,"Lease-Up",IF(A5&lt;='I_Inputs &amp; Assumptions'!$B$8+'I_Inputs &amp; Assumptions'!$B$10+'I_Inputs &amp; Assumptions'!$B$11,"Stabilized","Exit")))</f>
        <v>Construction</v>
      </c>
      <c r="D5" s="167">
        <f t="shared" si="0"/>
        <v>30</v>
      </c>
      <c r="E5" s="167">
        <f t="shared" si="1"/>
        <v>2</v>
      </c>
      <c r="F5" s="167" t="str">
        <f>IF(C5="Stabilized",A5-'I_Inputs &amp; Assumptions'!$B$8-'I_Inputs &amp; Assumptions'!$B$10,"")</f>
        <v/>
      </c>
      <c r="G5" s="167">
        <f t="shared" si="2"/>
        <v>2025</v>
      </c>
    </row>
    <row r="6" spans="1:7" ht="15" customHeight="1" x14ac:dyDescent="0.2">
      <c r="A6" s="167">
        <v>3</v>
      </c>
      <c r="B6" s="168">
        <f>EOMONTH('I_Inputs &amp; Assumptions'!$B$7,2)</f>
        <v>45808</v>
      </c>
      <c r="C6" s="167" t="str">
        <f>IF(A6&lt;='I_Inputs &amp; Assumptions'!$B$8,"Construction",IF(A6&lt;='I_Inputs &amp; Assumptions'!$B$8+'I_Inputs &amp; Assumptions'!$B$10,"Lease-Up",IF(A6&lt;='I_Inputs &amp; Assumptions'!$B$8+'I_Inputs &amp; Assumptions'!$B$10+'I_Inputs &amp; Assumptions'!$B$11,"Stabilized","Exit")))</f>
        <v>Construction</v>
      </c>
      <c r="D6" s="167">
        <f t="shared" si="0"/>
        <v>31</v>
      </c>
      <c r="E6" s="167">
        <f t="shared" si="1"/>
        <v>3</v>
      </c>
      <c r="F6" s="167" t="str">
        <f>IF(C6="Stabilized",A6-'I_Inputs &amp; Assumptions'!$B$8-'I_Inputs &amp; Assumptions'!$B$10,"")</f>
        <v/>
      </c>
      <c r="G6" s="167">
        <f t="shared" si="2"/>
        <v>2025</v>
      </c>
    </row>
    <row r="7" spans="1:7" ht="15" customHeight="1" x14ac:dyDescent="0.2">
      <c r="A7" s="167">
        <v>4</v>
      </c>
      <c r="B7" s="168">
        <f>EOMONTH('I_Inputs &amp; Assumptions'!$B$7,3)</f>
        <v>45838</v>
      </c>
      <c r="C7" s="167" t="str">
        <f>IF(A7&lt;='I_Inputs &amp; Assumptions'!$B$8,"Construction",IF(A7&lt;='I_Inputs &amp; Assumptions'!$B$8+'I_Inputs &amp; Assumptions'!$B$10,"Lease-Up",IF(A7&lt;='I_Inputs &amp; Assumptions'!$B$8+'I_Inputs &amp; Assumptions'!$B$10+'I_Inputs &amp; Assumptions'!$B$11,"Stabilized","Exit")))</f>
        <v>Construction</v>
      </c>
      <c r="D7" s="167">
        <f t="shared" si="0"/>
        <v>30</v>
      </c>
      <c r="E7" s="167">
        <f t="shared" si="1"/>
        <v>4</v>
      </c>
      <c r="F7" s="167" t="str">
        <f>IF(C7="Stabilized",A7-'I_Inputs &amp; Assumptions'!$B$8-'I_Inputs &amp; Assumptions'!$B$10,"")</f>
        <v/>
      </c>
      <c r="G7" s="167">
        <f t="shared" si="2"/>
        <v>2025</v>
      </c>
    </row>
    <row r="8" spans="1:7" ht="15" customHeight="1" x14ac:dyDescent="0.2">
      <c r="A8" s="167">
        <v>5</v>
      </c>
      <c r="B8" s="168">
        <f>EOMONTH('I_Inputs &amp; Assumptions'!$B$7,4)</f>
        <v>45869</v>
      </c>
      <c r="C8" s="167" t="str">
        <f>IF(A8&lt;='I_Inputs &amp; Assumptions'!$B$8,"Construction",IF(A8&lt;='I_Inputs &amp; Assumptions'!$B$8+'I_Inputs &amp; Assumptions'!$B$10,"Lease-Up",IF(A8&lt;='I_Inputs &amp; Assumptions'!$B$8+'I_Inputs &amp; Assumptions'!$B$10+'I_Inputs &amp; Assumptions'!$B$11,"Stabilized","Exit")))</f>
        <v>Construction</v>
      </c>
      <c r="D8" s="167">
        <f t="shared" si="0"/>
        <v>31</v>
      </c>
      <c r="E8" s="167">
        <f t="shared" si="1"/>
        <v>5</v>
      </c>
      <c r="F8" s="167" t="str">
        <f>IF(C8="Stabilized",A8-'I_Inputs &amp; Assumptions'!$B$8-'I_Inputs &amp; Assumptions'!$B$10,"")</f>
        <v/>
      </c>
      <c r="G8" s="167">
        <f t="shared" si="2"/>
        <v>2025</v>
      </c>
    </row>
    <row r="9" spans="1:7" ht="15" customHeight="1" x14ac:dyDescent="0.2">
      <c r="A9" s="167">
        <v>6</v>
      </c>
      <c r="B9" s="168">
        <f>EOMONTH('I_Inputs &amp; Assumptions'!$B$7,5)</f>
        <v>45900</v>
      </c>
      <c r="C9" s="167" t="str">
        <f>IF(A9&lt;='I_Inputs &amp; Assumptions'!$B$8,"Construction",IF(A9&lt;='I_Inputs &amp; Assumptions'!$B$8+'I_Inputs &amp; Assumptions'!$B$10,"Lease-Up",IF(A9&lt;='I_Inputs &amp; Assumptions'!$B$8+'I_Inputs &amp; Assumptions'!$B$10+'I_Inputs &amp; Assumptions'!$B$11,"Stabilized","Exit")))</f>
        <v>Construction</v>
      </c>
      <c r="D9" s="167">
        <f t="shared" si="0"/>
        <v>31</v>
      </c>
      <c r="E9" s="167">
        <f t="shared" si="1"/>
        <v>6</v>
      </c>
      <c r="F9" s="167" t="str">
        <f>IF(C9="Stabilized",A9-'I_Inputs &amp; Assumptions'!$B$8-'I_Inputs &amp; Assumptions'!$B$10,"")</f>
        <v/>
      </c>
      <c r="G9" s="167">
        <f t="shared" si="2"/>
        <v>2025</v>
      </c>
    </row>
    <row r="10" spans="1:7" ht="15" customHeight="1" x14ac:dyDescent="0.2">
      <c r="A10" s="167">
        <v>7</v>
      </c>
      <c r="B10" s="168">
        <f>EOMONTH('I_Inputs &amp; Assumptions'!$B$7,6)</f>
        <v>45930</v>
      </c>
      <c r="C10" s="167" t="str">
        <f>IF(A10&lt;='I_Inputs &amp; Assumptions'!$B$8,"Construction",IF(A10&lt;='I_Inputs &amp; Assumptions'!$B$8+'I_Inputs &amp; Assumptions'!$B$10,"Lease-Up",IF(A10&lt;='I_Inputs &amp; Assumptions'!$B$8+'I_Inputs &amp; Assumptions'!$B$10+'I_Inputs &amp; Assumptions'!$B$11,"Stabilized","Exit")))</f>
        <v>Construction</v>
      </c>
      <c r="D10" s="167">
        <f t="shared" si="0"/>
        <v>30</v>
      </c>
      <c r="E10" s="167">
        <f t="shared" si="1"/>
        <v>7</v>
      </c>
      <c r="F10" s="167" t="str">
        <f>IF(C10="Stabilized",A10-'I_Inputs &amp; Assumptions'!$B$8-'I_Inputs &amp; Assumptions'!$B$10,"")</f>
        <v/>
      </c>
      <c r="G10" s="167">
        <f t="shared" si="2"/>
        <v>2025</v>
      </c>
    </row>
    <row r="11" spans="1:7" ht="15" customHeight="1" x14ac:dyDescent="0.2">
      <c r="A11" s="167">
        <v>8</v>
      </c>
      <c r="B11" s="168">
        <f>EOMONTH('I_Inputs &amp; Assumptions'!$B$7,7)</f>
        <v>45961</v>
      </c>
      <c r="C11" s="167" t="str">
        <f>IF(A11&lt;='I_Inputs &amp; Assumptions'!$B$8,"Construction",IF(A11&lt;='I_Inputs &amp; Assumptions'!$B$8+'I_Inputs &amp; Assumptions'!$B$10,"Lease-Up",IF(A11&lt;='I_Inputs &amp; Assumptions'!$B$8+'I_Inputs &amp; Assumptions'!$B$10+'I_Inputs &amp; Assumptions'!$B$11,"Stabilized","Exit")))</f>
        <v>Construction</v>
      </c>
      <c r="D11" s="167">
        <f t="shared" si="0"/>
        <v>31</v>
      </c>
      <c r="E11" s="167">
        <f t="shared" si="1"/>
        <v>8</v>
      </c>
      <c r="F11" s="167" t="str">
        <f>IF(C11="Stabilized",A11-'I_Inputs &amp; Assumptions'!$B$8-'I_Inputs &amp; Assumptions'!$B$10,"")</f>
        <v/>
      </c>
      <c r="G11" s="167">
        <f t="shared" si="2"/>
        <v>2025</v>
      </c>
    </row>
    <row r="12" spans="1:7" ht="15" customHeight="1" x14ac:dyDescent="0.2">
      <c r="A12" s="167">
        <v>9</v>
      </c>
      <c r="B12" s="168">
        <f>EOMONTH('I_Inputs &amp; Assumptions'!$B$7,8)</f>
        <v>45991</v>
      </c>
      <c r="C12" s="167" t="str">
        <f>IF(A12&lt;='I_Inputs &amp; Assumptions'!$B$8,"Construction",IF(A12&lt;='I_Inputs &amp; Assumptions'!$B$8+'I_Inputs &amp; Assumptions'!$B$10,"Lease-Up",IF(A12&lt;='I_Inputs &amp; Assumptions'!$B$8+'I_Inputs &amp; Assumptions'!$B$10+'I_Inputs &amp; Assumptions'!$B$11,"Stabilized","Exit")))</f>
        <v>Construction</v>
      </c>
      <c r="D12" s="167">
        <f t="shared" si="0"/>
        <v>30</v>
      </c>
      <c r="E12" s="167">
        <f t="shared" si="1"/>
        <v>9</v>
      </c>
      <c r="F12" s="167" t="str">
        <f>IF(C12="Stabilized",A12-'I_Inputs &amp; Assumptions'!$B$8-'I_Inputs &amp; Assumptions'!$B$10,"")</f>
        <v/>
      </c>
      <c r="G12" s="167">
        <f t="shared" si="2"/>
        <v>2025</v>
      </c>
    </row>
    <row r="13" spans="1:7" ht="15" customHeight="1" x14ac:dyDescent="0.2">
      <c r="A13" s="167">
        <v>10</v>
      </c>
      <c r="B13" s="168">
        <f>EOMONTH('I_Inputs &amp; Assumptions'!$B$7,9)</f>
        <v>46022</v>
      </c>
      <c r="C13" s="167" t="str">
        <f>IF(A13&lt;='I_Inputs &amp; Assumptions'!$B$8,"Construction",IF(A13&lt;='I_Inputs &amp; Assumptions'!$B$8+'I_Inputs &amp; Assumptions'!$B$10,"Lease-Up",IF(A13&lt;='I_Inputs &amp; Assumptions'!$B$8+'I_Inputs &amp; Assumptions'!$B$10+'I_Inputs &amp; Assumptions'!$B$11,"Stabilized","Exit")))</f>
        <v>Construction</v>
      </c>
      <c r="D13" s="167">
        <f t="shared" si="0"/>
        <v>31</v>
      </c>
      <c r="E13" s="167">
        <f t="shared" si="1"/>
        <v>10</v>
      </c>
      <c r="F13" s="167" t="str">
        <f>IF(C13="Stabilized",A13-'I_Inputs &amp; Assumptions'!$B$8-'I_Inputs &amp; Assumptions'!$B$10,"")</f>
        <v/>
      </c>
      <c r="G13" s="167">
        <f t="shared" si="2"/>
        <v>2025</v>
      </c>
    </row>
    <row r="14" spans="1:7" ht="15" customHeight="1" x14ac:dyDescent="0.2">
      <c r="A14" s="167">
        <v>11</v>
      </c>
      <c r="B14" s="168">
        <f>EOMONTH('I_Inputs &amp; Assumptions'!$B$7,10)</f>
        <v>46053</v>
      </c>
      <c r="C14" s="167" t="str">
        <f>IF(A14&lt;='I_Inputs &amp; Assumptions'!$B$8,"Construction",IF(A14&lt;='I_Inputs &amp; Assumptions'!$B$8+'I_Inputs &amp; Assumptions'!$B$10,"Lease-Up",IF(A14&lt;='I_Inputs &amp; Assumptions'!$B$8+'I_Inputs &amp; Assumptions'!$B$10+'I_Inputs &amp; Assumptions'!$B$11,"Stabilized","Exit")))</f>
        <v>Construction</v>
      </c>
      <c r="D14" s="167">
        <f t="shared" si="0"/>
        <v>31</v>
      </c>
      <c r="E14" s="167">
        <f t="shared" si="1"/>
        <v>11</v>
      </c>
      <c r="F14" s="167" t="str">
        <f>IF(C14="Stabilized",A14-'I_Inputs &amp; Assumptions'!$B$8-'I_Inputs &amp; Assumptions'!$B$10,"")</f>
        <v/>
      </c>
      <c r="G14" s="167">
        <f t="shared" si="2"/>
        <v>2026</v>
      </c>
    </row>
    <row r="15" spans="1:7" ht="15" customHeight="1" x14ac:dyDescent="0.2">
      <c r="A15" s="167">
        <v>12</v>
      </c>
      <c r="B15" s="168">
        <f>EOMONTH('I_Inputs &amp; Assumptions'!$B$7,11)</f>
        <v>46081</v>
      </c>
      <c r="C15" s="167" t="str">
        <f>IF(A15&lt;='I_Inputs &amp; Assumptions'!$B$8,"Construction",IF(A15&lt;='I_Inputs &amp; Assumptions'!$B$8+'I_Inputs &amp; Assumptions'!$B$10,"Lease-Up",IF(A15&lt;='I_Inputs &amp; Assumptions'!$B$8+'I_Inputs &amp; Assumptions'!$B$10+'I_Inputs &amp; Assumptions'!$B$11,"Stabilized","Exit")))</f>
        <v>Construction</v>
      </c>
      <c r="D15" s="167">
        <f t="shared" si="0"/>
        <v>28</v>
      </c>
      <c r="E15" s="167">
        <f t="shared" si="1"/>
        <v>12</v>
      </c>
      <c r="F15" s="167" t="str">
        <f>IF(C15="Stabilized",A15-'I_Inputs &amp; Assumptions'!$B$8-'I_Inputs &amp; Assumptions'!$B$10,"")</f>
        <v/>
      </c>
      <c r="G15" s="167">
        <f t="shared" si="2"/>
        <v>2026</v>
      </c>
    </row>
    <row r="16" spans="1:7" ht="15" customHeight="1" x14ac:dyDescent="0.2">
      <c r="A16" s="167">
        <v>13</v>
      </c>
      <c r="B16" s="168">
        <f>EOMONTH('I_Inputs &amp; Assumptions'!$B$7,12)</f>
        <v>46112</v>
      </c>
      <c r="C16" s="167" t="str">
        <f>IF(A16&lt;='I_Inputs &amp; Assumptions'!$B$8,"Construction",IF(A16&lt;='I_Inputs &amp; Assumptions'!$B$8+'I_Inputs &amp; Assumptions'!$B$10,"Lease-Up",IF(A16&lt;='I_Inputs &amp; Assumptions'!$B$8+'I_Inputs &amp; Assumptions'!$B$10+'I_Inputs &amp; Assumptions'!$B$11,"Stabilized","Exit")))</f>
        <v>Construction</v>
      </c>
      <c r="D16" s="167">
        <f t="shared" si="0"/>
        <v>31</v>
      </c>
      <c r="E16" s="167">
        <f t="shared" si="1"/>
        <v>13</v>
      </c>
      <c r="F16" s="167" t="str">
        <f>IF(C16="Stabilized",A16-'I_Inputs &amp; Assumptions'!$B$8-'I_Inputs &amp; Assumptions'!$B$10,"")</f>
        <v/>
      </c>
      <c r="G16" s="167">
        <f t="shared" si="2"/>
        <v>2026</v>
      </c>
    </row>
    <row r="17" spans="1:7" ht="15" customHeight="1" x14ac:dyDescent="0.2">
      <c r="A17" s="167">
        <v>14</v>
      </c>
      <c r="B17" s="168">
        <f>EOMONTH('I_Inputs &amp; Assumptions'!$B$7,13)</f>
        <v>46142</v>
      </c>
      <c r="C17" s="167" t="str">
        <f>IF(A17&lt;='I_Inputs &amp; Assumptions'!$B$8,"Construction",IF(A17&lt;='I_Inputs &amp; Assumptions'!$B$8+'I_Inputs &amp; Assumptions'!$B$10,"Lease-Up",IF(A17&lt;='I_Inputs &amp; Assumptions'!$B$8+'I_Inputs &amp; Assumptions'!$B$10+'I_Inputs &amp; Assumptions'!$B$11,"Stabilized","Exit")))</f>
        <v>Lease-Up</v>
      </c>
      <c r="D17" s="167">
        <f t="shared" si="0"/>
        <v>30</v>
      </c>
      <c r="E17" s="167" t="str">
        <f t="shared" si="1"/>
        <v/>
      </c>
      <c r="F17" s="167" t="str">
        <f>IF(C17="Stabilized",A17-'I_Inputs &amp; Assumptions'!$B$8-'I_Inputs &amp; Assumptions'!$B$10,"")</f>
        <v/>
      </c>
      <c r="G17" s="167">
        <f t="shared" si="2"/>
        <v>2026</v>
      </c>
    </row>
    <row r="18" spans="1:7" ht="15" customHeight="1" x14ac:dyDescent="0.2">
      <c r="A18" s="167">
        <v>15</v>
      </c>
      <c r="B18" s="168">
        <f>EOMONTH('I_Inputs &amp; Assumptions'!$B$7,14)</f>
        <v>46173</v>
      </c>
      <c r="C18" s="167" t="str">
        <f>IF(A18&lt;='I_Inputs &amp; Assumptions'!$B$8,"Construction",IF(A18&lt;='I_Inputs &amp; Assumptions'!$B$8+'I_Inputs &amp; Assumptions'!$B$10,"Lease-Up",IF(A18&lt;='I_Inputs &amp; Assumptions'!$B$8+'I_Inputs &amp; Assumptions'!$B$10+'I_Inputs &amp; Assumptions'!$B$11,"Stabilized","Exit")))</f>
        <v>Stabilized</v>
      </c>
      <c r="D18" s="167">
        <f t="shared" si="0"/>
        <v>31</v>
      </c>
      <c r="E18" s="167" t="str">
        <f t="shared" si="1"/>
        <v/>
      </c>
      <c r="F18" s="167">
        <f>IF(C18="Stabilized",A18-'I_Inputs &amp; Assumptions'!$B$8-'I_Inputs &amp; Assumptions'!$B$10,"")</f>
        <v>1</v>
      </c>
      <c r="G18" s="167">
        <f t="shared" si="2"/>
        <v>2026</v>
      </c>
    </row>
    <row r="19" spans="1:7" ht="15" customHeight="1" x14ac:dyDescent="0.2">
      <c r="A19" s="167">
        <v>16</v>
      </c>
      <c r="B19" s="168">
        <f>EOMONTH('I_Inputs &amp; Assumptions'!$B$7,15)</f>
        <v>46203</v>
      </c>
      <c r="C19" s="167" t="str">
        <f>IF(A19&lt;='I_Inputs &amp; Assumptions'!$B$8,"Construction",IF(A19&lt;='I_Inputs &amp; Assumptions'!$B$8+'I_Inputs &amp; Assumptions'!$B$10,"Lease-Up",IF(A19&lt;='I_Inputs &amp; Assumptions'!$B$8+'I_Inputs &amp; Assumptions'!$B$10+'I_Inputs &amp; Assumptions'!$B$11,"Stabilized","Exit")))</f>
        <v>Stabilized</v>
      </c>
      <c r="D19" s="167">
        <f t="shared" si="0"/>
        <v>30</v>
      </c>
      <c r="E19" s="167" t="str">
        <f t="shared" si="1"/>
        <v/>
      </c>
      <c r="F19" s="167">
        <f>IF(C19="Stabilized",A19-'I_Inputs &amp; Assumptions'!$B$8-'I_Inputs &amp; Assumptions'!$B$10,"")</f>
        <v>2</v>
      </c>
      <c r="G19" s="167">
        <f t="shared" si="2"/>
        <v>2026</v>
      </c>
    </row>
    <row r="20" spans="1:7" ht="15" customHeight="1" x14ac:dyDescent="0.2">
      <c r="A20" s="167">
        <v>17</v>
      </c>
      <c r="B20" s="168">
        <f>EOMONTH('I_Inputs &amp; Assumptions'!$B$7,16)</f>
        <v>46234</v>
      </c>
      <c r="C20" s="167" t="str">
        <f>IF(A20&lt;='I_Inputs &amp; Assumptions'!$B$8,"Construction",IF(A20&lt;='I_Inputs &amp; Assumptions'!$B$8+'I_Inputs &amp; Assumptions'!$B$10,"Lease-Up",IF(A20&lt;='I_Inputs &amp; Assumptions'!$B$8+'I_Inputs &amp; Assumptions'!$B$10+'I_Inputs &amp; Assumptions'!$B$11,"Stabilized","Exit")))</f>
        <v>Stabilized</v>
      </c>
      <c r="D20" s="167">
        <f t="shared" si="0"/>
        <v>31</v>
      </c>
      <c r="E20" s="167" t="str">
        <f t="shared" si="1"/>
        <v/>
      </c>
      <c r="F20" s="167">
        <f>IF(C20="Stabilized",A20-'I_Inputs &amp; Assumptions'!$B$8-'I_Inputs &amp; Assumptions'!$B$10,"")</f>
        <v>3</v>
      </c>
      <c r="G20" s="167">
        <f t="shared" si="2"/>
        <v>2026</v>
      </c>
    </row>
    <row r="21" spans="1:7" ht="15" customHeight="1" x14ac:dyDescent="0.2">
      <c r="A21" s="167">
        <v>18</v>
      </c>
      <c r="B21" s="168">
        <f>EOMONTH('I_Inputs &amp; Assumptions'!$B$7,17)</f>
        <v>46265</v>
      </c>
      <c r="C21" s="167" t="str">
        <f>IF(A21&lt;='I_Inputs &amp; Assumptions'!$B$8,"Construction",IF(A21&lt;='I_Inputs &amp; Assumptions'!$B$8+'I_Inputs &amp; Assumptions'!$B$10,"Lease-Up",IF(A21&lt;='I_Inputs &amp; Assumptions'!$B$8+'I_Inputs &amp; Assumptions'!$B$10+'I_Inputs &amp; Assumptions'!$B$11,"Stabilized","Exit")))</f>
        <v>Stabilized</v>
      </c>
      <c r="D21" s="167">
        <f t="shared" si="0"/>
        <v>31</v>
      </c>
      <c r="E21" s="167" t="str">
        <f t="shared" si="1"/>
        <v/>
      </c>
      <c r="F21" s="167">
        <f>IF(C21="Stabilized",A21-'I_Inputs &amp; Assumptions'!$B$8-'I_Inputs &amp; Assumptions'!$B$10,"")</f>
        <v>4</v>
      </c>
      <c r="G21" s="167">
        <f t="shared" si="2"/>
        <v>2026</v>
      </c>
    </row>
    <row r="22" spans="1:7" ht="15" customHeight="1" x14ac:dyDescent="0.2">
      <c r="A22" s="167">
        <v>19</v>
      </c>
      <c r="B22" s="168">
        <f>EOMONTH('I_Inputs &amp; Assumptions'!$B$7,18)</f>
        <v>46295</v>
      </c>
      <c r="C22" s="167" t="str">
        <f>IF(A22&lt;='I_Inputs &amp; Assumptions'!$B$8,"Construction",IF(A22&lt;='I_Inputs &amp; Assumptions'!$B$8+'I_Inputs &amp; Assumptions'!$B$10,"Lease-Up",IF(A22&lt;='I_Inputs &amp; Assumptions'!$B$8+'I_Inputs &amp; Assumptions'!$B$10+'I_Inputs &amp; Assumptions'!$B$11,"Stabilized","Exit")))</f>
        <v>Stabilized</v>
      </c>
      <c r="D22" s="167">
        <f t="shared" si="0"/>
        <v>30</v>
      </c>
      <c r="E22" s="167" t="str">
        <f t="shared" si="1"/>
        <v/>
      </c>
      <c r="F22" s="167">
        <f>IF(C22="Stabilized",A22-'I_Inputs &amp; Assumptions'!$B$8-'I_Inputs &amp; Assumptions'!$B$10,"")</f>
        <v>5</v>
      </c>
      <c r="G22" s="167">
        <f t="shared" si="2"/>
        <v>2026</v>
      </c>
    </row>
    <row r="23" spans="1:7" ht="15" customHeight="1" x14ac:dyDescent="0.2">
      <c r="A23" s="167">
        <v>20</v>
      </c>
      <c r="B23" s="168">
        <f>EOMONTH('I_Inputs &amp; Assumptions'!$B$7,19)</f>
        <v>46326</v>
      </c>
      <c r="C23" s="167" t="str">
        <f>IF(A23&lt;='I_Inputs &amp; Assumptions'!$B$8,"Construction",IF(A23&lt;='I_Inputs &amp; Assumptions'!$B$8+'I_Inputs &amp; Assumptions'!$B$10,"Lease-Up",IF(A23&lt;='I_Inputs &amp; Assumptions'!$B$8+'I_Inputs &amp; Assumptions'!$B$10+'I_Inputs &amp; Assumptions'!$B$11,"Stabilized","Exit")))</f>
        <v>Stabilized</v>
      </c>
      <c r="D23" s="167">
        <f t="shared" si="0"/>
        <v>31</v>
      </c>
      <c r="E23" s="167" t="str">
        <f t="shared" si="1"/>
        <v/>
      </c>
      <c r="F23" s="167">
        <f>IF(C23="Stabilized",A23-'I_Inputs &amp; Assumptions'!$B$8-'I_Inputs &amp; Assumptions'!$B$10,"")</f>
        <v>6</v>
      </c>
      <c r="G23" s="167">
        <f t="shared" si="2"/>
        <v>2026</v>
      </c>
    </row>
    <row r="24" spans="1:7" ht="15" customHeight="1" x14ac:dyDescent="0.2">
      <c r="A24" s="167">
        <v>21</v>
      </c>
      <c r="B24" s="168">
        <f>EOMONTH('I_Inputs &amp; Assumptions'!$B$7,20)</f>
        <v>46356</v>
      </c>
      <c r="C24" s="167" t="str">
        <f>IF(A24&lt;='I_Inputs &amp; Assumptions'!$B$8,"Construction",IF(A24&lt;='I_Inputs &amp; Assumptions'!$B$8+'I_Inputs &amp; Assumptions'!$B$10,"Lease-Up",IF(A24&lt;='I_Inputs &amp; Assumptions'!$B$8+'I_Inputs &amp; Assumptions'!$B$10+'I_Inputs &amp; Assumptions'!$B$11,"Stabilized","Exit")))</f>
        <v>Stabilized</v>
      </c>
      <c r="D24" s="167">
        <f t="shared" si="0"/>
        <v>30</v>
      </c>
      <c r="E24" s="167" t="str">
        <f t="shared" si="1"/>
        <v/>
      </c>
      <c r="F24" s="167">
        <f>IF(C24="Stabilized",A24-'I_Inputs &amp; Assumptions'!$B$8-'I_Inputs &amp; Assumptions'!$B$10,"")</f>
        <v>7</v>
      </c>
      <c r="G24" s="167">
        <f t="shared" si="2"/>
        <v>2026</v>
      </c>
    </row>
    <row r="25" spans="1:7" ht="15" customHeight="1" x14ac:dyDescent="0.2">
      <c r="A25" s="167">
        <v>22</v>
      </c>
      <c r="B25" s="168">
        <f>EOMONTH('I_Inputs &amp; Assumptions'!$B$7,21)</f>
        <v>46387</v>
      </c>
      <c r="C25" s="167" t="str">
        <f>IF(A25&lt;='I_Inputs &amp; Assumptions'!$B$8,"Construction",IF(A25&lt;='I_Inputs &amp; Assumptions'!$B$8+'I_Inputs &amp; Assumptions'!$B$10,"Lease-Up",IF(A25&lt;='I_Inputs &amp; Assumptions'!$B$8+'I_Inputs &amp; Assumptions'!$B$10+'I_Inputs &amp; Assumptions'!$B$11,"Stabilized","Exit")))</f>
        <v>Stabilized</v>
      </c>
      <c r="D25" s="167">
        <f t="shared" si="0"/>
        <v>31</v>
      </c>
      <c r="E25" s="167" t="str">
        <f t="shared" si="1"/>
        <v/>
      </c>
      <c r="F25" s="167">
        <f>IF(C25="Stabilized",A25-'I_Inputs &amp; Assumptions'!$B$8-'I_Inputs &amp; Assumptions'!$B$10,"")</f>
        <v>8</v>
      </c>
      <c r="G25" s="167">
        <f t="shared" si="2"/>
        <v>2026</v>
      </c>
    </row>
    <row r="26" spans="1:7" ht="15" customHeight="1" x14ac:dyDescent="0.2">
      <c r="A26" s="167">
        <v>23</v>
      </c>
      <c r="B26" s="168">
        <f>EOMONTH('I_Inputs &amp; Assumptions'!$B$7,22)</f>
        <v>46418</v>
      </c>
      <c r="C26" s="167" t="str">
        <f>IF(A26&lt;='I_Inputs &amp; Assumptions'!$B$8,"Construction",IF(A26&lt;='I_Inputs &amp; Assumptions'!$B$8+'I_Inputs &amp; Assumptions'!$B$10,"Lease-Up",IF(A26&lt;='I_Inputs &amp; Assumptions'!$B$8+'I_Inputs &amp; Assumptions'!$B$10+'I_Inputs &amp; Assumptions'!$B$11,"Stabilized","Exit")))</f>
        <v>Stabilized</v>
      </c>
      <c r="D26" s="167">
        <f t="shared" si="0"/>
        <v>31</v>
      </c>
      <c r="E26" s="167" t="str">
        <f t="shared" si="1"/>
        <v/>
      </c>
      <c r="F26" s="167">
        <f>IF(C26="Stabilized",A26-'I_Inputs &amp; Assumptions'!$B$8-'I_Inputs &amp; Assumptions'!$B$10,"")</f>
        <v>9</v>
      </c>
      <c r="G26" s="167">
        <f t="shared" si="2"/>
        <v>2027</v>
      </c>
    </row>
    <row r="27" spans="1:7" ht="15" customHeight="1" x14ac:dyDescent="0.2">
      <c r="A27" s="167">
        <v>24</v>
      </c>
      <c r="B27" s="168">
        <f>EOMONTH('I_Inputs &amp; Assumptions'!$B$7,23)</f>
        <v>46446</v>
      </c>
      <c r="C27" s="167" t="str">
        <f>IF(A27&lt;='I_Inputs &amp; Assumptions'!$B$8,"Construction",IF(A27&lt;='I_Inputs &amp; Assumptions'!$B$8+'I_Inputs &amp; Assumptions'!$B$10,"Lease-Up",IF(A27&lt;='I_Inputs &amp; Assumptions'!$B$8+'I_Inputs &amp; Assumptions'!$B$10+'I_Inputs &amp; Assumptions'!$B$11,"Stabilized","Exit")))</f>
        <v>Stabilized</v>
      </c>
      <c r="D27" s="167">
        <f t="shared" si="0"/>
        <v>28</v>
      </c>
      <c r="E27" s="167" t="str">
        <f t="shared" si="1"/>
        <v/>
      </c>
      <c r="F27" s="167">
        <f>IF(C27="Stabilized",A27-'I_Inputs &amp; Assumptions'!$B$8-'I_Inputs &amp; Assumptions'!$B$10,"")</f>
        <v>10</v>
      </c>
      <c r="G27" s="167">
        <f t="shared" si="2"/>
        <v>2027</v>
      </c>
    </row>
    <row r="28" spans="1:7" ht="15" customHeight="1" x14ac:dyDescent="0.2">
      <c r="A28" s="167">
        <v>25</v>
      </c>
      <c r="B28" s="168">
        <f>EOMONTH('I_Inputs &amp; Assumptions'!$B$7,24)</f>
        <v>46477</v>
      </c>
      <c r="C28" s="167" t="str">
        <f>IF(A28&lt;='I_Inputs &amp; Assumptions'!$B$8,"Construction",IF(A28&lt;='I_Inputs &amp; Assumptions'!$B$8+'I_Inputs &amp; Assumptions'!$B$10,"Lease-Up",IF(A28&lt;='I_Inputs &amp; Assumptions'!$B$8+'I_Inputs &amp; Assumptions'!$B$10+'I_Inputs &amp; Assumptions'!$B$11,"Stabilized","Exit")))</f>
        <v>Stabilized</v>
      </c>
      <c r="D28" s="167">
        <f t="shared" si="0"/>
        <v>31</v>
      </c>
      <c r="E28" s="167" t="str">
        <f t="shared" si="1"/>
        <v/>
      </c>
      <c r="F28" s="167">
        <f>IF(C28="Stabilized",A28-'I_Inputs &amp; Assumptions'!$B$8-'I_Inputs &amp; Assumptions'!$B$10,"")</f>
        <v>11</v>
      </c>
      <c r="G28" s="167">
        <f t="shared" si="2"/>
        <v>2027</v>
      </c>
    </row>
    <row r="29" spans="1:7" ht="15" customHeight="1" x14ac:dyDescent="0.2">
      <c r="A29" s="167">
        <v>26</v>
      </c>
      <c r="B29" s="168">
        <f>EOMONTH('I_Inputs &amp; Assumptions'!$B$7,25)</f>
        <v>46507</v>
      </c>
      <c r="C29" s="167" t="str">
        <f>IF(A29&lt;='I_Inputs &amp; Assumptions'!$B$8,"Construction",IF(A29&lt;='I_Inputs &amp; Assumptions'!$B$8+'I_Inputs &amp; Assumptions'!$B$10,"Lease-Up",IF(A29&lt;='I_Inputs &amp; Assumptions'!$B$8+'I_Inputs &amp; Assumptions'!$B$10+'I_Inputs &amp; Assumptions'!$B$11,"Stabilized","Exit")))</f>
        <v>Stabilized</v>
      </c>
      <c r="D29" s="167">
        <f t="shared" si="0"/>
        <v>30</v>
      </c>
      <c r="E29" s="167" t="str">
        <f t="shared" si="1"/>
        <v/>
      </c>
      <c r="F29" s="167">
        <f>IF(C29="Stabilized",A29-'I_Inputs &amp; Assumptions'!$B$8-'I_Inputs &amp; Assumptions'!$B$10,"")</f>
        <v>12</v>
      </c>
      <c r="G29" s="167">
        <f t="shared" si="2"/>
        <v>2027</v>
      </c>
    </row>
    <row r="30" spans="1:7" ht="15" customHeight="1" x14ac:dyDescent="0.2">
      <c r="A30" s="167">
        <v>27</v>
      </c>
      <c r="B30" s="168">
        <f>EOMONTH('I_Inputs &amp; Assumptions'!$B$7,26)</f>
        <v>46538</v>
      </c>
      <c r="C30" s="167" t="str">
        <f>IF(A30&lt;='I_Inputs &amp; Assumptions'!$B$8,"Construction",IF(A30&lt;='I_Inputs &amp; Assumptions'!$B$8+'I_Inputs &amp; Assumptions'!$B$10,"Lease-Up",IF(A30&lt;='I_Inputs &amp; Assumptions'!$B$8+'I_Inputs &amp; Assumptions'!$B$10+'I_Inputs &amp; Assumptions'!$B$11,"Stabilized","Exit")))</f>
        <v>Stabilized</v>
      </c>
      <c r="D30" s="167">
        <f t="shared" si="0"/>
        <v>31</v>
      </c>
      <c r="E30" s="167" t="str">
        <f t="shared" si="1"/>
        <v/>
      </c>
      <c r="F30" s="167">
        <f>IF(C30="Stabilized",A30-'I_Inputs &amp; Assumptions'!$B$8-'I_Inputs &amp; Assumptions'!$B$10,"")</f>
        <v>13</v>
      </c>
      <c r="G30" s="167">
        <f t="shared" si="2"/>
        <v>2027</v>
      </c>
    </row>
    <row r="31" spans="1:7" ht="15" customHeight="1" x14ac:dyDescent="0.2">
      <c r="A31" s="167">
        <v>28</v>
      </c>
      <c r="B31" s="168">
        <f>EOMONTH('I_Inputs &amp; Assumptions'!$B$7,27)</f>
        <v>46568</v>
      </c>
      <c r="C31" s="167" t="str">
        <f>IF(A31&lt;='I_Inputs &amp; Assumptions'!$B$8,"Construction",IF(A31&lt;='I_Inputs &amp; Assumptions'!$B$8+'I_Inputs &amp; Assumptions'!$B$10,"Lease-Up",IF(A31&lt;='I_Inputs &amp; Assumptions'!$B$8+'I_Inputs &amp; Assumptions'!$B$10+'I_Inputs &amp; Assumptions'!$B$11,"Stabilized","Exit")))</f>
        <v>Stabilized</v>
      </c>
      <c r="D31" s="167">
        <f t="shared" si="0"/>
        <v>30</v>
      </c>
      <c r="E31" s="167" t="str">
        <f t="shared" si="1"/>
        <v/>
      </c>
      <c r="F31" s="167">
        <f>IF(C31="Stabilized",A31-'I_Inputs &amp; Assumptions'!$B$8-'I_Inputs &amp; Assumptions'!$B$10,"")</f>
        <v>14</v>
      </c>
      <c r="G31" s="167">
        <f t="shared" si="2"/>
        <v>2027</v>
      </c>
    </row>
    <row r="32" spans="1:7" ht="15" customHeight="1" x14ac:dyDescent="0.2">
      <c r="A32" s="167">
        <v>29</v>
      </c>
      <c r="B32" s="168">
        <f>EOMONTH('I_Inputs &amp; Assumptions'!$B$7,28)</f>
        <v>46599</v>
      </c>
      <c r="C32" s="167" t="str">
        <f>IF(A32&lt;='I_Inputs &amp; Assumptions'!$B$8,"Construction",IF(A32&lt;='I_Inputs &amp; Assumptions'!$B$8+'I_Inputs &amp; Assumptions'!$B$10,"Lease-Up",IF(A32&lt;='I_Inputs &amp; Assumptions'!$B$8+'I_Inputs &amp; Assumptions'!$B$10+'I_Inputs &amp; Assumptions'!$B$11,"Stabilized","Exit")))</f>
        <v>Stabilized</v>
      </c>
      <c r="D32" s="167">
        <f t="shared" si="0"/>
        <v>31</v>
      </c>
      <c r="E32" s="167" t="str">
        <f t="shared" si="1"/>
        <v/>
      </c>
      <c r="F32" s="167">
        <f>IF(C32="Stabilized",A32-'I_Inputs &amp; Assumptions'!$B$8-'I_Inputs &amp; Assumptions'!$B$10,"")</f>
        <v>15</v>
      </c>
      <c r="G32" s="167">
        <f t="shared" si="2"/>
        <v>2027</v>
      </c>
    </row>
    <row r="33" spans="1:7" ht="15" customHeight="1" x14ac:dyDescent="0.2">
      <c r="A33" s="167">
        <v>30</v>
      </c>
      <c r="B33" s="168">
        <f>EOMONTH('I_Inputs &amp; Assumptions'!$B$7,29)</f>
        <v>46630</v>
      </c>
      <c r="C33" s="167" t="str">
        <f>IF(A33&lt;='I_Inputs &amp; Assumptions'!$B$8,"Construction",IF(A33&lt;='I_Inputs &amp; Assumptions'!$B$8+'I_Inputs &amp; Assumptions'!$B$10,"Lease-Up",IF(A33&lt;='I_Inputs &amp; Assumptions'!$B$8+'I_Inputs &amp; Assumptions'!$B$10+'I_Inputs &amp; Assumptions'!$B$11,"Stabilized","Exit")))</f>
        <v>Stabilized</v>
      </c>
      <c r="D33" s="167">
        <f t="shared" si="0"/>
        <v>31</v>
      </c>
      <c r="E33" s="167" t="str">
        <f t="shared" si="1"/>
        <v/>
      </c>
      <c r="F33" s="167">
        <f>IF(C33="Stabilized",A33-'I_Inputs &amp; Assumptions'!$B$8-'I_Inputs &amp; Assumptions'!$B$10,"")</f>
        <v>16</v>
      </c>
      <c r="G33" s="167">
        <f t="shared" si="2"/>
        <v>2027</v>
      </c>
    </row>
    <row r="34" spans="1:7" ht="15" customHeight="1" x14ac:dyDescent="0.2">
      <c r="A34" s="167">
        <v>31</v>
      </c>
      <c r="B34" s="168">
        <f>EOMONTH('I_Inputs &amp; Assumptions'!$B$7,30)</f>
        <v>46660</v>
      </c>
      <c r="C34" s="167" t="str">
        <f>IF(A34&lt;='I_Inputs &amp; Assumptions'!$B$8,"Construction",IF(A34&lt;='I_Inputs &amp; Assumptions'!$B$8+'I_Inputs &amp; Assumptions'!$B$10,"Lease-Up",IF(A34&lt;='I_Inputs &amp; Assumptions'!$B$8+'I_Inputs &amp; Assumptions'!$B$10+'I_Inputs &amp; Assumptions'!$B$11,"Stabilized","Exit")))</f>
        <v>Stabilized</v>
      </c>
      <c r="D34" s="167">
        <f t="shared" si="0"/>
        <v>30</v>
      </c>
      <c r="E34" s="167" t="str">
        <f t="shared" si="1"/>
        <v/>
      </c>
      <c r="F34" s="167">
        <f>IF(C34="Stabilized",A34-'I_Inputs &amp; Assumptions'!$B$8-'I_Inputs &amp; Assumptions'!$B$10,"")</f>
        <v>17</v>
      </c>
      <c r="G34" s="167">
        <f t="shared" si="2"/>
        <v>2027</v>
      </c>
    </row>
    <row r="35" spans="1:7" ht="15" customHeight="1" x14ac:dyDescent="0.2">
      <c r="A35" s="167">
        <v>32</v>
      </c>
      <c r="B35" s="168">
        <f>EOMONTH('I_Inputs &amp; Assumptions'!$B$7,31)</f>
        <v>46691</v>
      </c>
      <c r="C35" s="167" t="str">
        <f>IF(A35&lt;='I_Inputs &amp; Assumptions'!$B$8,"Construction",IF(A35&lt;='I_Inputs &amp; Assumptions'!$B$8+'I_Inputs &amp; Assumptions'!$B$10,"Lease-Up",IF(A35&lt;='I_Inputs &amp; Assumptions'!$B$8+'I_Inputs &amp; Assumptions'!$B$10+'I_Inputs &amp; Assumptions'!$B$11,"Stabilized","Exit")))</f>
        <v>Stabilized</v>
      </c>
      <c r="D35" s="167">
        <f t="shared" si="0"/>
        <v>31</v>
      </c>
      <c r="E35" s="167" t="str">
        <f t="shared" si="1"/>
        <v/>
      </c>
      <c r="F35" s="167">
        <f>IF(C35="Stabilized",A35-'I_Inputs &amp; Assumptions'!$B$8-'I_Inputs &amp; Assumptions'!$B$10,"")</f>
        <v>18</v>
      </c>
      <c r="G35" s="167">
        <f t="shared" si="2"/>
        <v>2027</v>
      </c>
    </row>
    <row r="36" spans="1:7" ht="15" customHeight="1" x14ac:dyDescent="0.2">
      <c r="A36" s="167">
        <v>33</v>
      </c>
      <c r="B36" s="168">
        <f>EOMONTH('I_Inputs &amp; Assumptions'!$B$7,32)</f>
        <v>46721</v>
      </c>
      <c r="C36" s="167" t="str">
        <f>IF(A36&lt;='I_Inputs &amp; Assumptions'!$B$8,"Construction",IF(A36&lt;='I_Inputs &amp; Assumptions'!$B$8+'I_Inputs &amp; Assumptions'!$B$10,"Lease-Up",IF(A36&lt;='I_Inputs &amp; Assumptions'!$B$8+'I_Inputs &amp; Assumptions'!$B$10+'I_Inputs &amp; Assumptions'!$B$11,"Stabilized","Exit")))</f>
        <v>Stabilized</v>
      </c>
      <c r="D36" s="167">
        <f t="shared" ref="D36:D67" si="3">DAY(B36)</f>
        <v>30</v>
      </c>
      <c r="E36" s="167" t="str">
        <f t="shared" ref="E36:E67" si="4">IF(C36="Construction",A36,"")</f>
        <v/>
      </c>
      <c r="F36" s="167">
        <f>IF(C36="Stabilized",A36-'I_Inputs &amp; Assumptions'!$B$8-'I_Inputs &amp; Assumptions'!$B$10,"")</f>
        <v>19</v>
      </c>
      <c r="G36" s="167">
        <f t="shared" ref="G36:G67" si="5">YEAR(B36)</f>
        <v>2027</v>
      </c>
    </row>
    <row r="37" spans="1:7" ht="15" customHeight="1" x14ac:dyDescent="0.2">
      <c r="A37" s="167">
        <v>34</v>
      </c>
      <c r="B37" s="168">
        <f>EOMONTH('I_Inputs &amp; Assumptions'!$B$7,33)</f>
        <v>46752</v>
      </c>
      <c r="C37" s="167" t="str">
        <f>IF(A37&lt;='I_Inputs &amp; Assumptions'!$B$8,"Construction",IF(A37&lt;='I_Inputs &amp; Assumptions'!$B$8+'I_Inputs &amp; Assumptions'!$B$10,"Lease-Up",IF(A37&lt;='I_Inputs &amp; Assumptions'!$B$8+'I_Inputs &amp; Assumptions'!$B$10+'I_Inputs &amp; Assumptions'!$B$11,"Stabilized","Exit")))</f>
        <v>Stabilized</v>
      </c>
      <c r="D37" s="167">
        <f t="shared" si="3"/>
        <v>31</v>
      </c>
      <c r="E37" s="167" t="str">
        <f t="shared" si="4"/>
        <v/>
      </c>
      <c r="F37" s="167">
        <f>IF(C37="Stabilized",A37-'I_Inputs &amp; Assumptions'!$B$8-'I_Inputs &amp; Assumptions'!$B$10,"")</f>
        <v>20</v>
      </c>
      <c r="G37" s="167">
        <f t="shared" si="5"/>
        <v>2027</v>
      </c>
    </row>
    <row r="38" spans="1:7" ht="15" customHeight="1" x14ac:dyDescent="0.2">
      <c r="A38" s="167">
        <v>35</v>
      </c>
      <c r="B38" s="168">
        <f>EOMONTH('I_Inputs &amp; Assumptions'!$B$7,34)</f>
        <v>46783</v>
      </c>
      <c r="C38" s="167" t="str">
        <f>IF(A38&lt;='I_Inputs &amp; Assumptions'!$B$8,"Construction",IF(A38&lt;='I_Inputs &amp; Assumptions'!$B$8+'I_Inputs &amp; Assumptions'!$B$10,"Lease-Up",IF(A38&lt;='I_Inputs &amp; Assumptions'!$B$8+'I_Inputs &amp; Assumptions'!$B$10+'I_Inputs &amp; Assumptions'!$B$11,"Stabilized","Exit")))</f>
        <v>Stabilized</v>
      </c>
      <c r="D38" s="167">
        <f t="shared" si="3"/>
        <v>31</v>
      </c>
      <c r="E38" s="167" t="str">
        <f t="shared" si="4"/>
        <v/>
      </c>
      <c r="F38" s="167">
        <f>IF(C38="Stabilized",A38-'I_Inputs &amp; Assumptions'!$B$8-'I_Inputs &amp; Assumptions'!$B$10,"")</f>
        <v>21</v>
      </c>
      <c r="G38" s="167">
        <f t="shared" si="5"/>
        <v>2028</v>
      </c>
    </row>
    <row r="39" spans="1:7" ht="15" customHeight="1" x14ac:dyDescent="0.2">
      <c r="A39" s="167">
        <v>36</v>
      </c>
      <c r="B39" s="168">
        <f>EOMONTH('I_Inputs &amp; Assumptions'!$B$7,35)</f>
        <v>46812</v>
      </c>
      <c r="C39" s="167" t="str">
        <f>IF(A39&lt;='I_Inputs &amp; Assumptions'!$B$8,"Construction",IF(A39&lt;='I_Inputs &amp; Assumptions'!$B$8+'I_Inputs &amp; Assumptions'!$B$10,"Lease-Up",IF(A39&lt;='I_Inputs &amp; Assumptions'!$B$8+'I_Inputs &amp; Assumptions'!$B$10+'I_Inputs &amp; Assumptions'!$B$11,"Stabilized","Exit")))</f>
        <v>Stabilized</v>
      </c>
      <c r="D39" s="167">
        <f t="shared" si="3"/>
        <v>29</v>
      </c>
      <c r="E39" s="167" t="str">
        <f t="shared" si="4"/>
        <v/>
      </c>
      <c r="F39" s="167">
        <f>IF(C39="Stabilized",A39-'I_Inputs &amp; Assumptions'!$B$8-'I_Inputs &amp; Assumptions'!$B$10,"")</f>
        <v>22</v>
      </c>
      <c r="G39" s="167">
        <f t="shared" si="5"/>
        <v>2028</v>
      </c>
    </row>
    <row r="40" spans="1:7" ht="15" customHeight="1" x14ac:dyDescent="0.2">
      <c r="A40" s="167">
        <v>37</v>
      </c>
      <c r="B40" s="168">
        <f>EOMONTH('I_Inputs &amp; Assumptions'!$B$7,36)</f>
        <v>46843</v>
      </c>
      <c r="C40" s="167" t="str">
        <f>IF(A40&lt;='I_Inputs &amp; Assumptions'!$B$8,"Construction",IF(A40&lt;='I_Inputs &amp; Assumptions'!$B$8+'I_Inputs &amp; Assumptions'!$B$10,"Lease-Up",IF(A40&lt;='I_Inputs &amp; Assumptions'!$B$8+'I_Inputs &amp; Assumptions'!$B$10+'I_Inputs &amp; Assumptions'!$B$11,"Stabilized","Exit")))</f>
        <v>Stabilized</v>
      </c>
      <c r="D40" s="167">
        <f t="shared" si="3"/>
        <v>31</v>
      </c>
      <c r="E40" s="167" t="str">
        <f t="shared" si="4"/>
        <v/>
      </c>
      <c r="F40" s="167">
        <f>IF(C40="Stabilized",A40-'I_Inputs &amp; Assumptions'!$B$8-'I_Inputs &amp; Assumptions'!$B$10,"")</f>
        <v>23</v>
      </c>
      <c r="G40" s="167">
        <f t="shared" si="5"/>
        <v>2028</v>
      </c>
    </row>
    <row r="41" spans="1:7" ht="15" customHeight="1" x14ac:dyDescent="0.2">
      <c r="A41" s="167">
        <v>38</v>
      </c>
      <c r="B41" s="168">
        <f>EOMONTH('I_Inputs &amp; Assumptions'!$B$7,37)</f>
        <v>46873</v>
      </c>
      <c r="C41" s="167" t="str">
        <f>IF(A41&lt;='I_Inputs &amp; Assumptions'!$B$8,"Construction",IF(A41&lt;='I_Inputs &amp; Assumptions'!$B$8+'I_Inputs &amp; Assumptions'!$B$10,"Lease-Up",IF(A41&lt;='I_Inputs &amp; Assumptions'!$B$8+'I_Inputs &amp; Assumptions'!$B$10+'I_Inputs &amp; Assumptions'!$B$11,"Stabilized","Exit")))</f>
        <v>Stabilized</v>
      </c>
      <c r="D41" s="167">
        <f t="shared" si="3"/>
        <v>30</v>
      </c>
      <c r="E41" s="167" t="str">
        <f t="shared" si="4"/>
        <v/>
      </c>
      <c r="F41" s="167">
        <f>IF(C41="Stabilized",A41-'I_Inputs &amp; Assumptions'!$B$8-'I_Inputs &amp; Assumptions'!$B$10,"")</f>
        <v>24</v>
      </c>
      <c r="G41" s="167">
        <f t="shared" si="5"/>
        <v>2028</v>
      </c>
    </row>
    <row r="42" spans="1:7" ht="15" customHeight="1" x14ac:dyDescent="0.2">
      <c r="A42" s="167">
        <v>39</v>
      </c>
      <c r="B42" s="168">
        <f>EOMONTH('I_Inputs &amp; Assumptions'!$B$7,38)</f>
        <v>46904</v>
      </c>
      <c r="C42" s="167" t="str">
        <f>IF(A42&lt;='I_Inputs &amp; Assumptions'!$B$8,"Construction",IF(A42&lt;='I_Inputs &amp; Assumptions'!$B$8+'I_Inputs &amp; Assumptions'!$B$10,"Lease-Up",IF(A42&lt;='I_Inputs &amp; Assumptions'!$B$8+'I_Inputs &amp; Assumptions'!$B$10+'I_Inputs &amp; Assumptions'!$B$11,"Stabilized","Exit")))</f>
        <v>Stabilized</v>
      </c>
      <c r="D42" s="167">
        <f t="shared" si="3"/>
        <v>31</v>
      </c>
      <c r="E42" s="167" t="str">
        <f t="shared" si="4"/>
        <v/>
      </c>
      <c r="F42" s="167">
        <f>IF(C42="Stabilized",A42-'I_Inputs &amp; Assumptions'!$B$8-'I_Inputs &amp; Assumptions'!$B$10,"")</f>
        <v>25</v>
      </c>
      <c r="G42" s="167">
        <f t="shared" si="5"/>
        <v>2028</v>
      </c>
    </row>
    <row r="43" spans="1:7" ht="15" customHeight="1" x14ac:dyDescent="0.2">
      <c r="A43" s="167">
        <v>40</v>
      </c>
      <c r="B43" s="168">
        <f>EOMONTH('I_Inputs &amp; Assumptions'!$B$7,39)</f>
        <v>46934</v>
      </c>
      <c r="C43" s="167" t="str">
        <f>IF(A43&lt;='I_Inputs &amp; Assumptions'!$B$8,"Construction",IF(A43&lt;='I_Inputs &amp; Assumptions'!$B$8+'I_Inputs &amp; Assumptions'!$B$10,"Lease-Up",IF(A43&lt;='I_Inputs &amp; Assumptions'!$B$8+'I_Inputs &amp; Assumptions'!$B$10+'I_Inputs &amp; Assumptions'!$B$11,"Stabilized","Exit")))</f>
        <v>Stabilized</v>
      </c>
      <c r="D43" s="167">
        <f t="shared" si="3"/>
        <v>30</v>
      </c>
      <c r="E43" s="167" t="str">
        <f t="shared" si="4"/>
        <v/>
      </c>
      <c r="F43" s="167">
        <f>IF(C43="Stabilized",A43-'I_Inputs &amp; Assumptions'!$B$8-'I_Inputs &amp; Assumptions'!$B$10,"")</f>
        <v>26</v>
      </c>
      <c r="G43" s="167">
        <f t="shared" si="5"/>
        <v>2028</v>
      </c>
    </row>
    <row r="44" spans="1:7" ht="15" customHeight="1" x14ac:dyDescent="0.2">
      <c r="A44" s="167">
        <v>41</v>
      </c>
      <c r="B44" s="168">
        <f>EOMONTH('I_Inputs &amp; Assumptions'!$B$7,40)</f>
        <v>46965</v>
      </c>
      <c r="C44" s="167" t="str">
        <f>IF(A44&lt;='I_Inputs &amp; Assumptions'!$B$8,"Construction",IF(A44&lt;='I_Inputs &amp; Assumptions'!$B$8+'I_Inputs &amp; Assumptions'!$B$10,"Lease-Up",IF(A44&lt;='I_Inputs &amp; Assumptions'!$B$8+'I_Inputs &amp; Assumptions'!$B$10+'I_Inputs &amp; Assumptions'!$B$11,"Stabilized","Exit")))</f>
        <v>Stabilized</v>
      </c>
      <c r="D44" s="167">
        <f t="shared" si="3"/>
        <v>31</v>
      </c>
      <c r="E44" s="167" t="str">
        <f t="shared" si="4"/>
        <v/>
      </c>
      <c r="F44" s="167">
        <f>IF(C44="Stabilized",A44-'I_Inputs &amp; Assumptions'!$B$8-'I_Inputs &amp; Assumptions'!$B$10,"")</f>
        <v>27</v>
      </c>
      <c r="G44" s="167">
        <f t="shared" si="5"/>
        <v>2028</v>
      </c>
    </row>
    <row r="45" spans="1:7" ht="15" customHeight="1" x14ac:dyDescent="0.2">
      <c r="A45" s="167">
        <v>42</v>
      </c>
      <c r="B45" s="168">
        <f>EOMONTH('I_Inputs &amp; Assumptions'!$B$7,41)</f>
        <v>46996</v>
      </c>
      <c r="C45" s="167" t="str">
        <f>IF(A45&lt;='I_Inputs &amp; Assumptions'!$B$8,"Construction",IF(A45&lt;='I_Inputs &amp; Assumptions'!$B$8+'I_Inputs &amp; Assumptions'!$B$10,"Lease-Up",IF(A45&lt;='I_Inputs &amp; Assumptions'!$B$8+'I_Inputs &amp; Assumptions'!$B$10+'I_Inputs &amp; Assumptions'!$B$11,"Stabilized","Exit")))</f>
        <v>Stabilized</v>
      </c>
      <c r="D45" s="167">
        <f t="shared" si="3"/>
        <v>31</v>
      </c>
      <c r="E45" s="167" t="str">
        <f t="shared" si="4"/>
        <v/>
      </c>
      <c r="F45" s="167">
        <f>IF(C45="Stabilized",A45-'I_Inputs &amp; Assumptions'!$B$8-'I_Inputs &amp; Assumptions'!$B$10,"")</f>
        <v>28</v>
      </c>
      <c r="G45" s="167">
        <f t="shared" si="5"/>
        <v>2028</v>
      </c>
    </row>
    <row r="46" spans="1:7" ht="15" customHeight="1" x14ac:dyDescent="0.2">
      <c r="A46" s="167">
        <v>43</v>
      </c>
      <c r="B46" s="168">
        <f>EOMONTH('I_Inputs &amp; Assumptions'!$B$7,42)</f>
        <v>47026</v>
      </c>
      <c r="C46" s="167" t="str">
        <f>IF(A46&lt;='I_Inputs &amp; Assumptions'!$B$8,"Construction",IF(A46&lt;='I_Inputs &amp; Assumptions'!$B$8+'I_Inputs &amp; Assumptions'!$B$10,"Lease-Up",IF(A46&lt;='I_Inputs &amp; Assumptions'!$B$8+'I_Inputs &amp; Assumptions'!$B$10+'I_Inputs &amp; Assumptions'!$B$11,"Stabilized","Exit")))</f>
        <v>Stabilized</v>
      </c>
      <c r="D46" s="167">
        <f t="shared" si="3"/>
        <v>30</v>
      </c>
      <c r="E46" s="167" t="str">
        <f t="shared" si="4"/>
        <v/>
      </c>
      <c r="F46" s="167">
        <f>IF(C46="Stabilized",A46-'I_Inputs &amp; Assumptions'!$B$8-'I_Inputs &amp; Assumptions'!$B$10,"")</f>
        <v>29</v>
      </c>
      <c r="G46" s="167">
        <f t="shared" si="5"/>
        <v>2028</v>
      </c>
    </row>
    <row r="47" spans="1:7" ht="15" customHeight="1" x14ac:dyDescent="0.2">
      <c r="A47" s="167">
        <v>44</v>
      </c>
      <c r="B47" s="168">
        <f>EOMONTH('I_Inputs &amp; Assumptions'!$B$7,43)</f>
        <v>47057</v>
      </c>
      <c r="C47" s="167" t="str">
        <f>IF(A47&lt;='I_Inputs &amp; Assumptions'!$B$8,"Construction",IF(A47&lt;='I_Inputs &amp; Assumptions'!$B$8+'I_Inputs &amp; Assumptions'!$B$10,"Lease-Up",IF(A47&lt;='I_Inputs &amp; Assumptions'!$B$8+'I_Inputs &amp; Assumptions'!$B$10+'I_Inputs &amp; Assumptions'!$B$11,"Stabilized","Exit")))</f>
        <v>Stabilized</v>
      </c>
      <c r="D47" s="167">
        <f t="shared" si="3"/>
        <v>31</v>
      </c>
      <c r="E47" s="167" t="str">
        <f t="shared" si="4"/>
        <v/>
      </c>
      <c r="F47" s="167">
        <f>IF(C47="Stabilized",A47-'I_Inputs &amp; Assumptions'!$B$8-'I_Inputs &amp; Assumptions'!$B$10,"")</f>
        <v>30</v>
      </c>
      <c r="G47" s="167">
        <f t="shared" si="5"/>
        <v>2028</v>
      </c>
    </row>
    <row r="48" spans="1:7" ht="15" customHeight="1" x14ac:dyDescent="0.2">
      <c r="A48" s="167">
        <v>45</v>
      </c>
      <c r="B48" s="168">
        <f>EOMONTH('I_Inputs &amp; Assumptions'!$B$7,44)</f>
        <v>47087</v>
      </c>
      <c r="C48" s="167" t="str">
        <f>IF(A48&lt;='I_Inputs &amp; Assumptions'!$B$8,"Construction",IF(A48&lt;='I_Inputs &amp; Assumptions'!$B$8+'I_Inputs &amp; Assumptions'!$B$10,"Lease-Up",IF(A48&lt;='I_Inputs &amp; Assumptions'!$B$8+'I_Inputs &amp; Assumptions'!$B$10+'I_Inputs &amp; Assumptions'!$B$11,"Stabilized","Exit")))</f>
        <v>Stabilized</v>
      </c>
      <c r="D48" s="167">
        <f t="shared" si="3"/>
        <v>30</v>
      </c>
      <c r="E48" s="167" t="str">
        <f t="shared" si="4"/>
        <v/>
      </c>
      <c r="F48" s="167">
        <f>IF(C48="Stabilized",A48-'I_Inputs &amp; Assumptions'!$B$8-'I_Inputs &amp; Assumptions'!$B$10,"")</f>
        <v>31</v>
      </c>
      <c r="G48" s="167">
        <f t="shared" si="5"/>
        <v>2028</v>
      </c>
    </row>
    <row r="49" spans="1:7" ht="15" customHeight="1" x14ac:dyDescent="0.2">
      <c r="A49" s="167">
        <v>46</v>
      </c>
      <c r="B49" s="168">
        <f>EOMONTH('I_Inputs &amp; Assumptions'!$B$7,45)</f>
        <v>47118</v>
      </c>
      <c r="C49" s="167" t="str">
        <f>IF(A49&lt;='I_Inputs &amp; Assumptions'!$B$8,"Construction",IF(A49&lt;='I_Inputs &amp; Assumptions'!$B$8+'I_Inputs &amp; Assumptions'!$B$10,"Lease-Up",IF(A49&lt;='I_Inputs &amp; Assumptions'!$B$8+'I_Inputs &amp; Assumptions'!$B$10+'I_Inputs &amp; Assumptions'!$B$11,"Stabilized","Exit")))</f>
        <v>Stabilized</v>
      </c>
      <c r="D49" s="167">
        <f t="shared" si="3"/>
        <v>31</v>
      </c>
      <c r="E49" s="167" t="str">
        <f t="shared" si="4"/>
        <v/>
      </c>
      <c r="F49" s="167">
        <f>IF(C49="Stabilized",A49-'I_Inputs &amp; Assumptions'!$B$8-'I_Inputs &amp; Assumptions'!$B$10,"")</f>
        <v>32</v>
      </c>
      <c r="G49" s="167">
        <f t="shared" si="5"/>
        <v>2028</v>
      </c>
    </row>
    <row r="50" spans="1:7" ht="15" customHeight="1" x14ac:dyDescent="0.2">
      <c r="A50" s="167">
        <v>47</v>
      </c>
      <c r="B50" s="168">
        <f>EOMONTH('I_Inputs &amp; Assumptions'!$B$7,46)</f>
        <v>47149</v>
      </c>
      <c r="C50" s="167" t="str">
        <f>IF(A50&lt;='I_Inputs &amp; Assumptions'!$B$8,"Construction",IF(A50&lt;='I_Inputs &amp; Assumptions'!$B$8+'I_Inputs &amp; Assumptions'!$B$10,"Lease-Up",IF(A50&lt;='I_Inputs &amp; Assumptions'!$B$8+'I_Inputs &amp; Assumptions'!$B$10+'I_Inputs &amp; Assumptions'!$B$11,"Stabilized","Exit")))</f>
        <v>Stabilized</v>
      </c>
      <c r="D50" s="167">
        <f t="shared" si="3"/>
        <v>31</v>
      </c>
      <c r="E50" s="167" t="str">
        <f t="shared" si="4"/>
        <v/>
      </c>
      <c r="F50" s="167">
        <f>IF(C50="Stabilized",A50-'I_Inputs &amp; Assumptions'!$B$8-'I_Inputs &amp; Assumptions'!$B$10,"")</f>
        <v>33</v>
      </c>
      <c r="G50" s="167">
        <f t="shared" si="5"/>
        <v>2029</v>
      </c>
    </row>
    <row r="51" spans="1:7" ht="15" customHeight="1" x14ac:dyDescent="0.2">
      <c r="A51" s="167">
        <v>48</v>
      </c>
      <c r="B51" s="168">
        <f>EOMONTH('I_Inputs &amp; Assumptions'!$B$7,47)</f>
        <v>47177</v>
      </c>
      <c r="C51" s="167" t="str">
        <f>IF(A51&lt;='I_Inputs &amp; Assumptions'!$B$8,"Construction",IF(A51&lt;='I_Inputs &amp; Assumptions'!$B$8+'I_Inputs &amp; Assumptions'!$B$10,"Lease-Up",IF(A51&lt;='I_Inputs &amp; Assumptions'!$B$8+'I_Inputs &amp; Assumptions'!$B$10+'I_Inputs &amp; Assumptions'!$B$11,"Stabilized","Exit")))</f>
        <v>Stabilized</v>
      </c>
      <c r="D51" s="167">
        <f t="shared" si="3"/>
        <v>28</v>
      </c>
      <c r="E51" s="167" t="str">
        <f t="shared" si="4"/>
        <v/>
      </c>
      <c r="F51" s="167">
        <f>IF(C51="Stabilized",A51-'I_Inputs &amp; Assumptions'!$B$8-'I_Inputs &amp; Assumptions'!$B$10,"")</f>
        <v>34</v>
      </c>
      <c r="G51" s="167">
        <f t="shared" si="5"/>
        <v>2029</v>
      </c>
    </row>
    <row r="52" spans="1:7" ht="15" customHeight="1" x14ac:dyDescent="0.2">
      <c r="A52" s="167">
        <v>49</v>
      </c>
      <c r="B52" s="168">
        <f>EOMONTH('I_Inputs &amp; Assumptions'!$B$7,48)</f>
        <v>47208</v>
      </c>
      <c r="C52" s="167" t="str">
        <f>IF(A52&lt;='I_Inputs &amp; Assumptions'!$B$8,"Construction",IF(A52&lt;='I_Inputs &amp; Assumptions'!$B$8+'I_Inputs &amp; Assumptions'!$B$10,"Lease-Up",IF(A52&lt;='I_Inputs &amp; Assumptions'!$B$8+'I_Inputs &amp; Assumptions'!$B$10+'I_Inputs &amp; Assumptions'!$B$11,"Stabilized","Exit")))</f>
        <v>Stabilized</v>
      </c>
      <c r="D52" s="167">
        <f t="shared" si="3"/>
        <v>31</v>
      </c>
      <c r="E52" s="167" t="str">
        <f t="shared" si="4"/>
        <v/>
      </c>
      <c r="F52" s="167">
        <f>IF(C52="Stabilized",A52-'I_Inputs &amp; Assumptions'!$B$8-'I_Inputs &amp; Assumptions'!$B$10,"")</f>
        <v>35</v>
      </c>
      <c r="G52" s="167">
        <f t="shared" si="5"/>
        <v>2029</v>
      </c>
    </row>
    <row r="53" spans="1:7" ht="15" customHeight="1" x14ac:dyDescent="0.2">
      <c r="A53" s="167">
        <v>50</v>
      </c>
      <c r="B53" s="168">
        <f>EOMONTH('I_Inputs &amp; Assumptions'!$B$7,49)</f>
        <v>47238</v>
      </c>
      <c r="C53" s="167" t="str">
        <f>IF(A53&lt;='I_Inputs &amp; Assumptions'!$B$8,"Construction",IF(A53&lt;='I_Inputs &amp; Assumptions'!$B$8+'I_Inputs &amp; Assumptions'!$B$10,"Lease-Up",IF(A53&lt;='I_Inputs &amp; Assumptions'!$B$8+'I_Inputs &amp; Assumptions'!$B$10+'I_Inputs &amp; Assumptions'!$B$11,"Stabilized","Exit")))</f>
        <v>Stabilized</v>
      </c>
      <c r="D53" s="167">
        <f t="shared" si="3"/>
        <v>30</v>
      </c>
      <c r="E53" s="167" t="str">
        <f t="shared" si="4"/>
        <v/>
      </c>
      <c r="F53" s="167">
        <f>IF(C53="Stabilized",A53-'I_Inputs &amp; Assumptions'!$B$8-'I_Inputs &amp; Assumptions'!$B$10,"")</f>
        <v>36</v>
      </c>
      <c r="G53" s="167">
        <f t="shared" si="5"/>
        <v>2029</v>
      </c>
    </row>
    <row r="54" spans="1:7" ht="15" customHeight="1" x14ac:dyDescent="0.2">
      <c r="A54" s="167">
        <v>51</v>
      </c>
      <c r="B54" s="168">
        <f>EOMONTH('I_Inputs &amp; Assumptions'!$B$7,50)</f>
        <v>47269</v>
      </c>
      <c r="C54" s="167" t="str">
        <f>IF(A54&lt;='I_Inputs &amp; Assumptions'!$B$8,"Construction",IF(A54&lt;='I_Inputs &amp; Assumptions'!$B$8+'I_Inputs &amp; Assumptions'!$B$10,"Lease-Up",IF(A54&lt;='I_Inputs &amp; Assumptions'!$B$8+'I_Inputs &amp; Assumptions'!$B$10+'I_Inputs &amp; Assumptions'!$B$11,"Stabilized","Exit")))</f>
        <v>Stabilized</v>
      </c>
      <c r="D54" s="167">
        <f t="shared" si="3"/>
        <v>31</v>
      </c>
      <c r="E54" s="167" t="str">
        <f t="shared" si="4"/>
        <v/>
      </c>
      <c r="F54" s="167">
        <f>IF(C54="Stabilized",A54-'I_Inputs &amp; Assumptions'!$B$8-'I_Inputs &amp; Assumptions'!$B$10,"")</f>
        <v>37</v>
      </c>
      <c r="G54" s="167">
        <f t="shared" si="5"/>
        <v>2029</v>
      </c>
    </row>
    <row r="55" spans="1:7" ht="15" customHeight="1" x14ac:dyDescent="0.2">
      <c r="A55" s="167">
        <v>52</v>
      </c>
      <c r="B55" s="168">
        <f>EOMONTH('I_Inputs &amp; Assumptions'!$B$7,51)</f>
        <v>47299</v>
      </c>
      <c r="C55" s="167" t="str">
        <f>IF(A55&lt;='I_Inputs &amp; Assumptions'!$B$8,"Construction",IF(A55&lt;='I_Inputs &amp; Assumptions'!$B$8+'I_Inputs &amp; Assumptions'!$B$10,"Lease-Up",IF(A55&lt;='I_Inputs &amp; Assumptions'!$B$8+'I_Inputs &amp; Assumptions'!$B$10+'I_Inputs &amp; Assumptions'!$B$11,"Stabilized","Exit")))</f>
        <v>Stabilized</v>
      </c>
      <c r="D55" s="167">
        <f t="shared" si="3"/>
        <v>30</v>
      </c>
      <c r="E55" s="167" t="str">
        <f t="shared" si="4"/>
        <v/>
      </c>
      <c r="F55" s="167">
        <f>IF(C55="Stabilized",A55-'I_Inputs &amp; Assumptions'!$B$8-'I_Inputs &amp; Assumptions'!$B$10,"")</f>
        <v>38</v>
      </c>
      <c r="G55" s="167">
        <f t="shared" si="5"/>
        <v>2029</v>
      </c>
    </row>
    <row r="56" spans="1:7" ht="15" customHeight="1" x14ac:dyDescent="0.2">
      <c r="A56" s="167">
        <v>53</v>
      </c>
      <c r="B56" s="168">
        <f>EOMONTH('I_Inputs &amp; Assumptions'!$B$7,52)</f>
        <v>47330</v>
      </c>
      <c r="C56" s="167" t="str">
        <f>IF(A56&lt;='I_Inputs &amp; Assumptions'!$B$8,"Construction",IF(A56&lt;='I_Inputs &amp; Assumptions'!$B$8+'I_Inputs &amp; Assumptions'!$B$10,"Lease-Up",IF(A56&lt;='I_Inputs &amp; Assumptions'!$B$8+'I_Inputs &amp; Assumptions'!$B$10+'I_Inputs &amp; Assumptions'!$B$11,"Stabilized","Exit")))</f>
        <v>Stabilized</v>
      </c>
      <c r="D56" s="167">
        <f t="shared" si="3"/>
        <v>31</v>
      </c>
      <c r="E56" s="167" t="str">
        <f t="shared" si="4"/>
        <v/>
      </c>
      <c r="F56" s="167">
        <f>IF(C56="Stabilized",A56-'I_Inputs &amp; Assumptions'!$B$8-'I_Inputs &amp; Assumptions'!$B$10,"")</f>
        <v>39</v>
      </c>
      <c r="G56" s="167">
        <f t="shared" si="5"/>
        <v>2029</v>
      </c>
    </row>
    <row r="57" spans="1:7" ht="15" customHeight="1" x14ac:dyDescent="0.2">
      <c r="A57" s="167">
        <v>54</v>
      </c>
      <c r="B57" s="168">
        <f>EOMONTH('I_Inputs &amp; Assumptions'!$B$7,53)</f>
        <v>47361</v>
      </c>
      <c r="C57" s="167" t="str">
        <f>IF(A57&lt;='I_Inputs &amp; Assumptions'!$B$8,"Construction",IF(A57&lt;='I_Inputs &amp; Assumptions'!$B$8+'I_Inputs &amp; Assumptions'!$B$10,"Lease-Up",IF(A57&lt;='I_Inputs &amp; Assumptions'!$B$8+'I_Inputs &amp; Assumptions'!$B$10+'I_Inputs &amp; Assumptions'!$B$11,"Stabilized","Exit")))</f>
        <v>Stabilized</v>
      </c>
      <c r="D57" s="167">
        <f t="shared" si="3"/>
        <v>31</v>
      </c>
      <c r="E57" s="167" t="str">
        <f t="shared" si="4"/>
        <v/>
      </c>
      <c r="F57" s="167">
        <f>IF(C57="Stabilized",A57-'I_Inputs &amp; Assumptions'!$B$8-'I_Inputs &amp; Assumptions'!$B$10,"")</f>
        <v>40</v>
      </c>
      <c r="G57" s="167">
        <f t="shared" si="5"/>
        <v>2029</v>
      </c>
    </row>
    <row r="58" spans="1:7" ht="15" customHeight="1" x14ac:dyDescent="0.2">
      <c r="A58" s="167">
        <v>55</v>
      </c>
      <c r="B58" s="168">
        <f>EOMONTH('I_Inputs &amp; Assumptions'!$B$7,54)</f>
        <v>47391</v>
      </c>
      <c r="C58" s="167" t="str">
        <f>IF(A58&lt;='I_Inputs &amp; Assumptions'!$B$8,"Construction",IF(A58&lt;='I_Inputs &amp; Assumptions'!$B$8+'I_Inputs &amp; Assumptions'!$B$10,"Lease-Up",IF(A58&lt;='I_Inputs &amp; Assumptions'!$B$8+'I_Inputs &amp; Assumptions'!$B$10+'I_Inputs &amp; Assumptions'!$B$11,"Stabilized","Exit")))</f>
        <v>Stabilized</v>
      </c>
      <c r="D58" s="167">
        <f t="shared" si="3"/>
        <v>30</v>
      </c>
      <c r="E58" s="167" t="str">
        <f t="shared" si="4"/>
        <v/>
      </c>
      <c r="F58" s="167">
        <f>IF(C58="Stabilized",A58-'I_Inputs &amp; Assumptions'!$B$8-'I_Inputs &amp; Assumptions'!$B$10,"")</f>
        <v>41</v>
      </c>
      <c r="G58" s="167">
        <f t="shared" si="5"/>
        <v>2029</v>
      </c>
    </row>
    <row r="59" spans="1:7" ht="15" customHeight="1" x14ac:dyDescent="0.2">
      <c r="A59" s="167">
        <v>56</v>
      </c>
      <c r="B59" s="168">
        <f>EOMONTH('I_Inputs &amp; Assumptions'!$B$7,55)</f>
        <v>47422</v>
      </c>
      <c r="C59" s="167" t="str">
        <f>IF(A59&lt;='I_Inputs &amp; Assumptions'!$B$8,"Construction",IF(A59&lt;='I_Inputs &amp; Assumptions'!$B$8+'I_Inputs &amp; Assumptions'!$B$10,"Lease-Up",IF(A59&lt;='I_Inputs &amp; Assumptions'!$B$8+'I_Inputs &amp; Assumptions'!$B$10+'I_Inputs &amp; Assumptions'!$B$11,"Stabilized","Exit")))</f>
        <v>Stabilized</v>
      </c>
      <c r="D59" s="167">
        <f t="shared" si="3"/>
        <v>31</v>
      </c>
      <c r="E59" s="167" t="str">
        <f t="shared" si="4"/>
        <v/>
      </c>
      <c r="F59" s="167">
        <f>IF(C59="Stabilized",A59-'I_Inputs &amp; Assumptions'!$B$8-'I_Inputs &amp; Assumptions'!$B$10,"")</f>
        <v>42</v>
      </c>
      <c r="G59" s="167">
        <f t="shared" si="5"/>
        <v>2029</v>
      </c>
    </row>
    <row r="60" spans="1:7" ht="15" customHeight="1" x14ac:dyDescent="0.2">
      <c r="A60" s="167">
        <v>57</v>
      </c>
      <c r="B60" s="168">
        <f>EOMONTH('I_Inputs &amp; Assumptions'!$B$7,56)</f>
        <v>47452</v>
      </c>
      <c r="C60" s="167" t="str">
        <f>IF(A60&lt;='I_Inputs &amp; Assumptions'!$B$8,"Construction",IF(A60&lt;='I_Inputs &amp; Assumptions'!$B$8+'I_Inputs &amp; Assumptions'!$B$10,"Lease-Up",IF(A60&lt;='I_Inputs &amp; Assumptions'!$B$8+'I_Inputs &amp; Assumptions'!$B$10+'I_Inputs &amp; Assumptions'!$B$11,"Stabilized","Exit")))</f>
        <v>Stabilized</v>
      </c>
      <c r="D60" s="167">
        <f t="shared" si="3"/>
        <v>30</v>
      </c>
      <c r="E60" s="167" t="str">
        <f t="shared" si="4"/>
        <v/>
      </c>
      <c r="F60" s="167">
        <f>IF(C60="Stabilized",A60-'I_Inputs &amp; Assumptions'!$B$8-'I_Inputs &amp; Assumptions'!$B$10,"")</f>
        <v>43</v>
      </c>
      <c r="G60" s="167">
        <f t="shared" si="5"/>
        <v>2029</v>
      </c>
    </row>
    <row r="61" spans="1:7" ht="15" customHeight="1" x14ac:dyDescent="0.2">
      <c r="A61" s="167">
        <v>58</v>
      </c>
      <c r="B61" s="168">
        <f>EOMONTH('I_Inputs &amp; Assumptions'!$B$7,57)</f>
        <v>47483</v>
      </c>
      <c r="C61" s="167" t="str">
        <f>IF(A61&lt;='I_Inputs &amp; Assumptions'!$B$8,"Construction",IF(A61&lt;='I_Inputs &amp; Assumptions'!$B$8+'I_Inputs &amp; Assumptions'!$B$10,"Lease-Up",IF(A61&lt;='I_Inputs &amp; Assumptions'!$B$8+'I_Inputs &amp; Assumptions'!$B$10+'I_Inputs &amp; Assumptions'!$B$11,"Stabilized","Exit")))</f>
        <v>Stabilized</v>
      </c>
      <c r="D61" s="167">
        <f t="shared" si="3"/>
        <v>31</v>
      </c>
      <c r="E61" s="167" t="str">
        <f t="shared" si="4"/>
        <v/>
      </c>
      <c r="F61" s="167">
        <f>IF(C61="Stabilized",A61-'I_Inputs &amp; Assumptions'!$B$8-'I_Inputs &amp; Assumptions'!$B$10,"")</f>
        <v>44</v>
      </c>
      <c r="G61" s="167">
        <f t="shared" si="5"/>
        <v>2029</v>
      </c>
    </row>
    <row r="62" spans="1:7" ht="15" customHeight="1" x14ac:dyDescent="0.2">
      <c r="A62" s="167">
        <v>59</v>
      </c>
      <c r="B62" s="168">
        <f>EOMONTH('I_Inputs &amp; Assumptions'!$B$7,58)</f>
        <v>47514</v>
      </c>
      <c r="C62" s="167" t="str">
        <f>IF(A62&lt;='I_Inputs &amp; Assumptions'!$B$8,"Construction",IF(A62&lt;='I_Inputs &amp; Assumptions'!$B$8+'I_Inputs &amp; Assumptions'!$B$10,"Lease-Up",IF(A62&lt;='I_Inputs &amp; Assumptions'!$B$8+'I_Inputs &amp; Assumptions'!$B$10+'I_Inputs &amp; Assumptions'!$B$11,"Stabilized","Exit")))</f>
        <v>Stabilized</v>
      </c>
      <c r="D62" s="167">
        <f t="shared" si="3"/>
        <v>31</v>
      </c>
      <c r="E62" s="167" t="str">
        <f t="shared" si="4"/>
        <v/>
      </c>
      <c r="F62" s="167">
        <f>IF(C62="Stabilized",A62-'I_Inputs &amp; Assumptions'!$B$8-'I_Inputs &amp; Assumptions'!$B$10,"")</f>
        <v>45</v>
      </c>
      <c r="G62" s="167">
        <f t="shared" si="5"/>
        <v>2030</v>
      </c>
    </row>
    <row r="63" spans="1:7" ht="15" customHeight="1" x14ac:dyDescent="0.2">
      <c r="A63" s="167">
        <v>60</v>
      </c>
      <c r="B63" s="168">
        <f>EOMONTH('I_Inputs &amp; Assumptions'!$B$7,59)</f>
        <v>47542</v>
      </c>
      <c r="C63" s="167" t="str">
        <f>IF(A63&lt;='I_Inputs &amp; Assumptions'!$B$8,"Construction",IF(A63&lt;='I_Inputs &amp; Assumptions'!$B$8+'I_Inputs &amp; Assumptions'!$B$10,"Lease-Up",IF(A63&lt;='I_Inputs &amp; Assumptions'!$B$8+'I_Inputs &amp; Assumptions'!$B$10+'I_Inputs &amp; Assumptions'!$B$11,"Stabilized","Exit")))</f>
        <v>Stabilized</v>
      </c>
      <c r="D63" s="167">
        <f t="shared" si="3"/>
        <v>28</v>
      </c>
      <c r="E63" s="167" t="str">
        <f t="shared" si="4"/>
        <v/>
      </c>
      <c r="F63" s="167">
        <f>IF(C63="Stabilized",A63-'I_Inputs &amp; Assumptions'!$B$8-'I_Inputs &amp; Assumptions'!$B$10,"")</f>
        <v>46</v>
      </c>
      <c r="G63" s="167">
        <f t="shared" si="5"/>
        <v>2030</v>
      </c>
    </row>
    <row r="64" spans="1:7" ht="15" customHeight="1" x14ac:dyDescent="0.2">
      <c r="A64" s="167">
        <v>61</v>
      </c>
      <c r="B64" s="168">
        <f>EOMONTH('I_Inputs &amp; Assumptions'!$B$7,60)</f>
        <v>47573</v>
      </c>
      <c r="C64" s="167" t="str">
        <f>IF(A64&lt;='I_Inputs &amp; Assumptions'!$B$8,"Construction",IF(A64&lt;='I_Inputs &amp; Assumptions'!$B$8+'I_Inputs &amp; Assumptions'!$B$10,"Lease-Up",IF(A64&lt;='I_Inputs &amp; Assumptions'!$B$8+'I_Inputs &amp; Assumptions'!$B$10+'I_Inputs &amp; Assumptions'!$B$11,"Stabilized","Exit")))</f>
        <v>Stabilized</v>
      </c>
      <c r="D64" s="167">
        <f t="shared" si="3"/>
        <v>31</v>
      </c>
      <c r="E64" s="167" t="str">
        <f t="shared" si="4"/>
        <v/>
      </c>
      <c r="F64" s="167">
        <f>IF(C64="Stabilized",A64-'I_Inputs &amp; Assumptions'!$B$8-'I_Inputs &amp; Assumptions'!$B$10,"")</f>
        <v>47</v>
      </c>
      <c r="G64" s="167">
        <f t="shared" si="5"/>
        <v>2030</v>
      </c>
    </row>
    <row r="65" spans="1:7" ht="15" customHeight="1" x14ac:dyDescent="0.2">
      <c r="A65" s="167">
        <v>62</v>
      </c>
      <c r="B65" s="168">
        <f>EOMONTH('I_Inputs &amp; Assumptions'!$B$7,61)</f>
        <v>47603</v>
      </c>
      <c r="C65" s="167" t="str">
        <f>IF(A65&lt;='I_Inputs &amp; Assumptions'!$B$8,"Construction",IF(A65&lt;='I_Inputs &amp; Assumptions'!$B$8+'I_Inputs &amp; Assumptions'!$B$10,"Lease-Up",IF(A65&lt;='I_Inputs &amp; Assumptions'!$B$8+'I_Inputs &amp; Assumptions'!$B$10+'I_Inputs &amp; Assumptions'!$B$11,"Stabilized","Exit")))</f>
        <v>Stabilized</v>
      </c>
      <c r="D65" s="167">
        <f t="shared" si="3"/>
        <v>30</v>
      </c>
      <c r="E65" s="167" t="str">
        <f t="shared" si="4"/>
        <v/>
      </c>
      <c r="F65" s="167">
        <f>IF(C65="Stabilized",A65-'I_Inputs &amp; Assumptions'!$B$8-'I_Inputs &amp; Assumptions'!$B$10,"")</f>
        <v>48</v>
      </c>
      <c r="G65" s="167">
        <f t="shared" si="5"/>
        <v>2030</v>
      </c>
    </row>
    <row r="66" spans="1:7" ht="15" customHeight="1" x14ac:dyDescent="0.2">
      <c r="A66" s="167">
        <v>63</v>
      </c>
      <c r="B66" s="168">
        <f>EOMONTH('I_Inputs &amp; Assumptions'!$B$7,62)</f>
        <v>47634</v>
      </c>
      <c r="C66" s="167" t="str">
        <f>IF(A66&lt;='I_Inputs &amp; Assumptions'!$B$8,"Construction",IF(A66&lt;='I_Inputs &amp; Assumptions'!$B$8+'I_Inputs &amp; Assumptions'!$B$10,"Lease-Up",IF(A66&lt;='I_Inputs &amp; Assumptions'!$B$8+'I_Inputs &amp; Assumptions'!$B$10+'I_Inputs &amp; Assumptions'!$B$11,"Stabilized","Exit")))</f>
        <v>Stabilized</v>
      </c>
      <c r="D66" s="167">
        <f t="shared" si="3"/>
        <v>31</v>
      </c>
      <c r="E66" s="167" t="str">
        <f t="shared" si="4"/>
        <v/>
      </c>
      <c r="F66" s="167">
        <f>IF(C66="Stabilized",A66-'I_Inputs &amp; Assumptions'!$B$8-'I_Inputs &amp; Assumptions'!$B$10,"")</f>
        <v>49</v>
      </c>
      <c r="G66" s="167">
        <f t="shared" si="5"/>
        <v>2030</v>
      </c>
    </row>
    <row r="67" spans="1:7" ht="15" customHeight="1" x14ac:dyDescent="0.2">
      <c r="A67" s="167">
        <v>64</v>
      </c>
      <c r="B67" s="168">
        <f>EOMONTH('I_Inputs &amp; Assumptions'!$B$7,63)</f>
        <v>47664</v>
      </c>
      <c r="C67" s="167" t="str">
        <f>IF(A67&lt;='I_Inputs &amp; Assumptions'!$B$8,"Construction",IF(A67&lt;='I_Inputs &amp; Assumptions'!$B$8+'I_Inputs &amp; Assumptions'!$B$10,"Lease-Up",IF(A67&lt;='I_Inputs &amp; Assumptions'!$B$8+'I_Inputs &amp; Assumptions'!$B$10+'I_Inputs &amp; Assumptions'!$B$11,"Stabilized","Exit")))</f>
        <v>Stabilized</v>
      </c>
      <c r="D67" s="167">
        <f t="shared" si="3"/>
        <v>30</v>
      </c>
      <c r="E67" s="167" t="str">
        <f t="shared" si="4"/>
        <v/>
      </c>
      <c r="F67" s="167">
        <f>IF(C67="Stabilized",A67-'I_Inputs &amp; Assumptions'!$B$8-'I_Inputs &amp; Assumptions'!$B$10,"")</f>
        <v>50</v>
      </c>
      <c r="G67" s="167">
        <f t="shared" si="5"/>
        <v>2030</v>
      </c>
    </row>
    <row r="68" spans="1:7" ht="15" customHeight="1" x14ac:dyDescent="0.2">
      <c r="A68" s="167">
        <v>65</v>
      </c>
      <c r="B68" s="168">
        <f>EOMONTH('I_Inputs &amp; Assumptions'!$B$7,64)</f>
        <v>47695</v>
      </c>
      <c r="C68" s="167" t="str">
        <f>IF(A68&lt;='I_Inputs &amp; Assumptions'!$B$8,"Construction",IF(A68&lt;='I_Inputs &amp; Assumptions'!$B$8+'I_Inputs &amp; Assumptions'!$B$10,"Lease-Up",IF(A68&lt;='I_Inputs &amp; Assumptions'!$B$8+'I_Inputs &amp; Assumptions'!$B$10+'I_Inputs &amp; Assumptions'!$B$11,"Stabilized","Exit")))</f>
        <v>Stabilized</v>
      </c>
      <c r="D68" s="167">
        <f t="shared" ref="D68:D99" si="6">DAY(B68)</f>
        <v>31</v>
      </c>
      <c r="E68" s="167" t="str">
        <f t="shared" ref="E68:E99" si="7">IF(C68="Construction",A68,"")</f>
        <v/>
      </c>
      <c r="F68" s="167">
        <f>IF(C68="Stabilized",A68-'I_Inputs &amp; Assumptions'!$B$8-'I_Inputs &amp; Assumptions'!$B$10,"")</f>
        <v>51</v>
      </c>
      <c r="G68" s="167">
        <f t="shared" ref="G68:G99" si="8">YEAR(B68)</f>
        <v>2030</v>
      </c>
    </row>
    <row r="69" spans="1:7" ht="15" customHeight="1" x14ac:dyDescent="0.2">
      <c r="A69" s="167">
        <v>66</v>
      </c>
      <c r="B69" s="168">
        <f>EOMONTH('I_Inputs &amp; Assumptions'!$B$7,65)</f>
        <v>47726</v>
      </c>
      <c r="C69" s="167" t="str">
        <f>IF(A69&lt;='I_Inputs &amp; Assumptions'!$B$8,"Construction",IF(A69&lt;='I_Inputs &amp; Assumptions'!$B$8+'I_Inputs &amp; Assumptions'!$B$10,"Lease-Up",IF(A69&lt;='I_Inputs &amp; Assumptions'!$B$8+'I_Inputs &amp; Assumptions'!$B$10+'I_Inputs &amp; Assumptions'!$B$11,"Stabilized","Exit")))</f>
        <v>Stabilized</v>
      </c>
      <c r="D69" s="167">
        <f t="shared" si="6"/>
        <v>31</v>
      </c>
      <c r="E69" s="167" t="str">
        <f t="shared" si="7"/>
        <v/>
      </c>
      <c r="F69" s="167">
        <f>IF(C69="Stabilized",A69-'I_Inputs &amp; Assumptions'!$B$8-'I_Inputs &amp; Assumptions'!$B$10,"")</f>
        <v>52</v>
      </c>
      <c r="G69" s="167">
        <f t="shared" si="8"/>
        <v>2030</v>
      </c>
    </row>
    <row r="70" spans="1:7" ht="15" customHeight="1" x14ac:dyDescent="0.2">
      <c r="A70" s="167">
        <v>67</v>
      </c>
      <c r="B70" s="168">
        <f>EOMONTH('I_Inputs &amp; Assumptions'!$B$7,66)</f>
        <v>47756</v>
      </c>
      <c r="C70" s="167" t="str">
        <f>IF(A70&lt;='I_Inputs &amp; Assumptions'!$B$8,"Construction",IF(A70&lt;='I_Inputs &amp; Assumptions'!$B$8+'I_Inputs &amp; Assumptions'!$B$10,"Lease-Up",IF(A70&lt;='I_Inputs &amp; Assumptions'!$B$8+'I_Inputs &amp; Assumptions'!$B$10+'I_Inputs &amp; Assumptions'!$B$11,"Stabilized","Exit")))</f>
        <v>Stabilized</v>
      </c>
      <c r="D70" s="167">
        <f t="shared" si="6"/>
        <v>30</v>
      </c>
      <c r="E70" s="167" t="str">
        <f t="shared" si="7"/>
        <v/>
      </c>
      <c r="F70" s="167">
        <f>IF(C70="Stabilized",A70-'I_Inputs &amp; Assumptions'!$B$8-'I_Inputs &amp; Assumptions'!$B$10,"")</f>
        <v>53</v>
      </c>
      <c r="G70" s="167">
        <f t="shared" si="8"/>
        <v>2030</v>
      </c>
    </row>
    <row r="71" spans="1:7" ht="15" customHeight="1" x14ac:dyDescent="0.2">
      <c r="A71" s="167">
        <v>68</v>
      </c>
      <c r="B71" s="168">
        <f>EOMONTH('I_Inputs &amp; Assumptions'!$B$7,67)</f>
        <v>47787</v>
      </c>
      <c r="C71" s="167" t="str">
        <f>IF(A71&lt;='I_Inputs &amp; Assumptions'!$B$8,"Construction",IF(A71&lt;='I_Inputs &amp; Assumptions'!$B$8+'I_Inputs &amp; Assumptions'!$B$10,"Lease-Up",IF(A71&lt;='I_Inputs &amp; Assumptions'!$B$8+'I_Inputs &amp; Assumptions'!$B$10+'I_Inputs &amp; Assumptions'!$B$11,"Stabilized","Exit")))</f>
        <v>Stabilized</v>
      </c>
      <c r="D71" s="167">
        <f t="shared" si="6"/>
        <v>31</v>
      </c>
      <c r="E71" s="167" t="str">
        <f t="shared" si="7"/>
        <v/>
      </c>
      <c r="F71" s="167">
        <f>IF(C71="Stabilized",A71-'I_Inputs &amp; Assumptions'!$B$8-'I_Inputs &amp; Assumptions'!$B$10,"")</f>
        <v>54</v>
      </c>
      <c r="G71" s="167">
        <f t="shared" si="8"/>
        <v>2030</v>
      </c>
    </row>
    <row r="72" spans="1:7" ht="15" customHeight="1" x14ac:dyDescent="0.2">
      <c r="A72" s="167">
        <v>69</v>
      </c>
      <c r="B72" s="168">
        <f>EOMONTH('I_Inputs &amp; Assumptions'!$B$7,68)</f>
        <v>47817</v>
      </c>
      <c r="C72" s="167" t="str">
        <f>IF(A72&lt;='I_Inputs &amp; Assumptions'!$B$8,"Construction",IF(A72&lt;='I_Inputs &amp; Assumptions'!$B$8+'I_Inputs &amp; Assumptions'!$B$10,"Lease-Up",IF(A72&lt;='I_Inputs &amp; Assumptions'!$B$8+'I_Inputs &amp; Assumptions'!$B$10+'I_Inputs &amp; Assumptions'!$B$11,"Stabilized","Exit")))</f>
        <v>Stabilized</v>
      </c>
      <c r="D72" s="167">
        <f t="shared" si="6"/>
        <v>30</v>
      </c>
      <c r="E72" s="167" t="str">
        <f t="shared" si="7"/>
        <v/>
      </c>
      <c r="F72" s="167">
        <f>IF(C72="Stabilized",A72-'I_Inputs &amp; Assumptions'!$B$8-'I_Inputs &amp; Assumptions'!$B$10,"")</f>
        <v>55</v>
      </c>
      <c r="G72" s="167">
        <f t="shared" si="8"/>
        <v>2030</v>
      </c>
    </row>
    <row r="73" spans="1:7" ht="15" customHeight="1" x14ac:dyDescent="0.2">
      <c r="A73" s="167">
        <v>70</v>
      </c>
      <c r="B73" s="168">
        <f>EOMONTH('I_Inputs &amp; Assumptions'!$B$7,69)</f>
        <v>47848</v>
      </c>
      <c r="C73" s="167" t="str">
        <f>IF(A73&lt;='I_Inputs &amp; Assumptions'!$B$8,"Construction",IF(A73&lt;='I_Inputs &amp; Assumptions'!$B$8+'I_Inputs &amp; Assumptions'!$B$10,"Lease-Up",IF(A73&lt;='I_Inputs &amp; Assumptions'!$B$8+'I_Inputs &amp; Assumptions'!$B$10+'I_Inputs &amp; Assumptions'!$B$11,"Stabilized","Exit")))</f>
        <v>Stabilized</v>
      </c>
      <c r="D73" s="167">
        <f t="shared" si="6"/>
        <v>31</v>
      </c>
      <c r="E73" s="167" t="str">
        <f t="shared" si="7"/>
        <v/>
      </c>
      <c r="F73" s="167">
        <f>IF(C73="Stabilized",A73-'I_Inputs &amp; Assumptions'!$B$8-'I_Inputs &amp; Assumptions'!$B$10,"")</f>
        <v>56</v>
      </c>
      <c r="G73" s="167">
        <f t="shared" si="8"/>
        <v>2030</v>
      </c>
    </row>
    <row r="74" spans="1:7" ht="15" customHeight="1" x14ac:dyDescent="0.2">
      <c r="A74" s="167">
        <v>71</v>
      </c>
      <c r="B74" s="168">
        <f>EOMONTH('I_Inputs &amp; Assumptions'!$B$7,70)</f>
        <v>47879</v>
      </c>
      <c r="C74" s="167" t="str">
        <f>IF(A74&lt;='I_Inputs &amp; Assumptions'!$B$8,"Construction",IF(A74&lt;='I_Inputs &amp; Assumptions'!$B$8+'I_Inputs &amp; Assumptions'!$B$10,"Lease-Up",IF(A74&lt;='I_Inputs &amp; Assumptions'!$B$8+'I_Inputs &amp; Assumptions'!$B$10+'I_Inputs &amp; Assumptions'!$B$11,"Stabilized","Exit")))</f>
        <v>Stabilized</v>
      </c>
      <c r="D74" s="167">
        <f t="shared" si="6"/>
        <v>31</v>
      </c>
      <c r="E74" s="167" t="str">
        <f t="shared" si="7"/>
        <v/>
      </c>
      <c r="F74" s="167">
        <f>IF(C74="Stabilized",A74-'I_Inputs &amp; Assumptions'!$B$8-'I_Inputs &amp; Assumptions'!$B$10,"")</f>
        <v>57</v>
      </c>
      <c r="G74" s="167">
        <f t="shared" si="8"/>
        <v>2031</v>
      </c>
    </row>
    <row r="75" spans="1:7" ht="15" customHeight="1" x14ac:dyDescent="0.2">
      <c r="A75" s="167">
        <v>72</v>
      </c>
      <c r="B75" s="168">
        <f>EOMONTH('I_Inputs &amp; Assumptions'!$B$7,71)</f>
        <v>47907</v>
      </c>
      <c r="C75" s="167" t="str">
        <f>IF(A75&lt;='I_Inputs &amp; Assumptions'!$B$8,"Construction",IF(A75&lt;='I_Inputs &amp; Assumptions'!$B$8+'I_Inputs &amp; Assumptions'!$B$10,"Lease-Up",IF(A75&lt;='I_Inputs &amp; Assumptions'!$B$8+'I_Inputs &amp; Assumptions'!$B$10+'I_Inputs &amp; Assumptions'!$B$11,"Stabilized","Exit")))</f>
        <v>Stabilized</v>
      </c>
      <c r="D75" s="167">
        <f t="shared" si="6"/>
        <v>28</v>
      </c>
      <c r="E75" s="167" t="str">
        <f t="shared" si="7"/>
        <v/>
      </c>
      <c r="F75" s="167">
        <f>IF(C75="Stabilized",A75-'I_Inputs &amp; Assumptions'!$B$8-'I_Inputs &amp; Assumptions'!$B$10,"")</f>
        <v>58</v>
      </c>
      <c r="G75" s="167">
        <f t="shared" si="8"/>
        <v>2031</v>
      </c>
    </row>
    <row r="76" spans="1:7" ht="15" customHeight="1" x14ac:dyDescent="0.2">
      <c r="A76" s="167">
        <v>73</v>
      </c>
      <c r="B76" s="168">
        <f>EOMONTH('I_Inputs &amp; Assumptions'!$B$7,72)</f>
        <v>47938</v>
      </c>
      <c r="C76" s="167" t="str">
        <f>IF(A76&lt;='I_Inputs &amp; Assumptions'!$B$8,"Construction",IF(A76&lt;='I_Inputs &amp; Assumptions'!$B$8+'I_Inputs &amp; Assumptions'!$B$10,"Lease-Up",IF(A76&lt;='I_Inputs &amp; Assumptions'!$B$8+'I_Inputs &amp; Assumptions'!$B$10+'I_Inputs &amp; Assumptions'!$B$11,"Stabilized","Exit")))</f>
        <v>Stabilized</v>
      </c>
      <c r="D76" s="167">
        <f t="shared" si="6"/>
        <v>31</v>
      </c>
      <c r="E76" s="167" t="str">
        <f t="shared" si="7"/>
        <v/>
      </c>
      <c r="F76" s="167">
        <f>IF(C76="Stabilized",A76-'I_Inputs &amp; Assumptions'!$B$8-'I_Inputs &amp; Assumptions'!$B$10,"")</f>
        <v>59</v>
      </c>
      <c r="G76" s="167">
        <f t="shared" si="8"/>
        <v>2031</v>
      </c>
    </row>
    <row r="77" spans="1:7" ht="15" customHeight="1" x14ac:dyDescent="0.2">
      <c r="A77" s="167">
        <v>74</v>
      </c>
      <c r="B77" s="168">
        <f>EOMONTH('I_Inputs &amp; Assumptions'!$B$7,73)</f>
        <v>47968</v>
      </c>
      <c r="C77" s="167" t="str">
        <f>IF(A77&lt;='I_Inputs &amp; Assumptions'!$B$8,"Construction",IF(A77&lt;='I_Inputs &amp; Assumptions'!$B$8+'I_Inputs &amp; Assumptions'!$B$10,"Lease-Up",IF(A77&lt;='I_Inputs &amp; Assumptions'!$B$8+'I_Inputs &amp; Assumptions'!$B$10+'I_Inputs &amp; Assumptions'!$B$11,"Stabilized","Exit")))</f>
        <v>Stabilized</v>
      </c>
      <c r="D77" s="167">
        <f t="shared" si="6"/>
        <v>30</v>
      </c>
      <c r="E77" s="167" t="str">
        <f t="shared" si="7"/>
        <v/>
      </c>
      <c r="F77" s="167">
        <f>IF(C77="Stabilized",A77-'I_Inputs &amp; Assumptions'!$B$8-'I_Inputs &amp; Assumptions'!$B$10,"")</f>
        <v>60</v>
      </c>
      <c r="G77" s="167">
        <f t="shared" si="8"/>
        <v>2031</v>
      </c>
    </row>
    <row r="78" spans="1:7" ht="15" customHeight="1" x14ac:dyDescent="0.2">
      <c r="A78" s="167">
        <v>75</v>
      </c>
      <c r="B78" s="168">
        <f>EOMONTH('I_Inputs &amp; Assumptions'!$B$7,74)</f>
        <v>47999</v>
      </c>
      <c r="C78" s="167" t="str">
        <f>IF(A78&lt;='I_Inputs &amp; Assumptions'!$B$8,"Construction",IF(A78&lt;='I_Inputs &amp; Assumptions'!$B$8+'I_Inputs &amp; Assumptions'!$B$10,"Lease-Up",IF(A78&lt;='I_Inputs &amp; Assumptions'!$B$8+'I_Inputs &amp; Assumptions'!$B$10+'I_Inputs &amp; Assumptions'!$B$11,"Stabilized","Exit")))</f>
        <v>Exit</v>
      </c>
      <c r="D78" s="167">
        <f t="shared" si="6"/>
        <v>31</v>
      </c>
      <c r="E78" s="167" t="str">
        <f t="shared" si="7"/>
        <v/>
      </c>
      <c r="F78" s="167" t="str">
        <f>IF(C78="Stabilized",A78-'I_Inputs &amp; Assumptions'!$B$8-'I_Inputs &amp; Assumptions'!$B$10,"")</f>
        <v/>
      </c>
      <c r="G78" s="167">
        <f t="shared" si="8"/>
        <v>2031</v>
      </c>
    </row>
    <row r="79" spans="1:7" ht="15" customHeight="1" x14ac:dyDescent="0.2">
      <c r="A79" s="167">
        <v>76</v>
      </c>
      <c r="B79" s="168">
        <f>EOMONTH('I_Inputs &amp; Assumptions'!$B$7,75)</f>
        <v>48029</v>
      </c>
      <c r="C79" s="167" t="str">
        <f>IF(A79&lt;='I_Inputs &amp; Assumptions'!$B$8,"Construction",IF(A79&lt;='I_Inputs &amp; Assumptions'!$B$8+'I_Inputs &amp; Assumptions'!$B$10,"Lease-Up",IF(A79&lt;='I_Inputs &amp; Assumptions'!$B$8+'I_Inputs &amp; Assumptions'!$B$10+'I_Inputs &amp; Assumptions'!$B$11,"Stabilized","Exit")))</f>
        <v>Exit</v>
      </c>
      <c r="D79" s="167">
        <f t="shared" si="6"/>
        <v>30</v>
      </c>
      <c r="E79" s="167" t="str">
        <f t="shared" si="7"/>
        <v/>
      </c>
      <c r="F79" s="167" t="str">
        <f>IF(C79="Stabilized",A79-'I_Inputs &amp; Assumptions'!$B$8-'I_Inputs &amp; Assumptions'!$B$10,"")</f>
        <v/>
      </c>
      <c r="G79" s="167">
        <f t="shared" si="8"/>
        <v>2031</v>
      </c>
    </row>
    <row r="80" spans="1:7" ht="15" customHeight="1" x14ac:dyDescent="0.2">
      <c r="A80" s="167">
        <v>77</v>
      </c>
      <c r="B80" s="168">
        <f>EOMONTH('I_Inputs &amp; Assumptions'!$B$7,76)</f>
        <v>48060</v>
      </c>
      <c r="C80" s="167" t="str">
        <f>IF(A80&lt;='I_Inputs &amp; Assumptions'!$B$8,"Construction",IF(A80&lt;='I_Inputs &amp; Assumptions'!$B$8+'I_Inputs &amp; Assumptions'!$B$10,"Lease-Up",IF(A80&lt;='I_Inputs &amp; Assumptions'!$B$8+'I_Inputs &amp; Assumptions'!$B$10+'I_Inputs &amp; Assumptions'!$B$11,"Stabilized","Exit")))</f>
        <v>Exit</v>
      </c>
      <c r="D80" s="167">
        <f t="shared" si="6"/>
        <v>31</v>
      </c>
      <c r="E80" s="167" t="str">
        <f t="shared" si="7"/>
        <v/>
      </c>
      <c r="F80" s="167" t="str">
        <f>IF(C80="Stabilized",A80-'I_Inputs &amp; Assumptions'!$B$8-'I_Inputs &amp; Assumptions'!$B$10,"")</f>
        <v/>
      </c>
      <c r="G80" s="167">
        <f t="shared" si="8"/>
        <v>2031</v>
      </c>
    </row>
    <row r="81" spans="1:7" ht="15" customHeight="1" x14ac:dyDescent="0.2">
      <c r="A81" s="167">
        <v>78</v>
      </c>
      <c r="B81" s="168">
        <f>EOMONTH('I_Inputs &amp; Assumptions'!$B$7,77)</f>
        <v>48091</v>
      </c>
      <c r="C81" s="167" t="str">
        <f>IF(A81&lt;='I_Inputs &amp; Assumptions'!$B$8,"Construction",IF(A81&lt;='I_Inputs &amp; Assumptions'!$B$8+'I_Inputs &amp; Assumptions'!$B$10,"Lease-Up",IF(A81&lt;='I_Inputs &amp; Assumptions'!$B$8+'I_Inputs &amp; Assumptions'!$B$10+'I_Inputs &amp; Assumptions'!$B$11,"Stabilized","Exit")))</f>
        <v>Exit</v>
      </c>
      <c r="D81" s="167">
        <f t="shared" si="6"/>
        <v>31</v>
      </c>
      <c r="E81" s="167" t="str">
        <f t="shared" si="7"/>
        <v/>
      </c>
      <c r="F81" s="167" t="str">
        <f>IF(C81="Stabilized",A81-'I_Inputs &amp; Assumptions'!$B$8-'I_Inputs &amp; Assumptions'!$B$10,"")</f>
        <v/>
      </c>
      <c r="G81" s="167">
        <f t="shared" si="8"/>
        <v>2031</v>
      </c>
    </row>
    <row r="82" spans="1:7" ht="15" customHeight="1" x14ac:dyDescent="0.2">
      <c r="A82" s="167">
        <v>79</v>
      </c>
      <c r="B82" s="168">
        <f>EOMONTH('I_Inputs &amp; Assumptions'!$B$7,78)</f>
        <v>48121</v>
      </c>
      <c r="C82" s="167" t="str">
        <f>IF(A82&lt;='I_Inputs &amp; Assumptions'!$B$8,"Construction",IF(A82&lt;='I_Inputs &amp; Assumptions'!$B$8+'I_Inputs &amp; Assumptions'!$B$10,"Lease-Up",IF(A82&lt;='I_Inputs &amp; Assumptions'!$B$8+'I_Inputs &amp; Assumptions'!$B$10+'I_Inputs &amp; Assumptions'!$B$11,"Stabilized","Exit")))</f>
        <v>Exit</v>
      </c>
      <c r="D82" s="167">
        <f t="shared" si="6"/>
        <v>30</v>
      </c>
      <c r="E82" s="167" t="str">
        <f t="shared" si="7"/>
        <v/>
      </c>
      <c r="F82" s="167" t="str">
        <f>IF(C82="Stabilized",A82-'I_Inputs &amp; Assumptions'!$B$8-'I_Inputs &amp; Assumptions'!$B$10,"")</f>
        <v/>
      </c>
      <c r="G82" s="167">
        <f t="shared" si="8"/>
        <v>2031</v>
      </c>
    </row>
    <row r="83" spans="1:7" ht="15" customHeight="1" x14ac:dyDescent="0.2">
      <c r="A83" s="167">
        <v>80</v>
      </c>
      <c r="B83" s="168">
        <f>EOMONTH('I_Inputs &amp; Assumptions'!$B$7,79)</f>
        <v>48152</v>
      </c>
      <c r="C83" s="167" t="str">
        <f>IF(A83&lt;='I_Inputs &amp; Assumptions'!$B$8,"Construction",IF(A83&lt;='I_Inputs &amp; Assumptions'!$B$8+'I_Inputs &amp; Assumptions'!$B$10,"Lease-Up",IF(A83&lt;='I_Inputs &amp; Assumptions'!$B$8+'I_Inputs &amp; Assumptions'!$B$10+'I_Inputs &amp; Assumptions'!$B$11,"Stabilized","Exit")))</f>
        <v>Exit</v>
      </c>
      <c r="D83" s="167">
        <f t="shared" si="6"/>
        <v>31</v>
      </c>
      <c r="E83" s="167" t="str">
        <f t="shared" si="7"/>
        <v/>
      </c>
      <c r="F83" s="167" t="str">
        <f>IF(C83="Stabilized",A83-'I_Inputs &amp; Assumptions'!$B$8-'I_Inputs &amp; Assumptions'!$B$10,"")</f>
        <v/>
      </c>
      <c r="G83" s="167">
        <f t="shared" si="8"/>
        <v>2031</v>
      </c>
    </row>
    <row r="84" spans="1:7" ht="15" customHeight="1" x14ac:dyDescent="0.2">
      <c r="A84" s="167">
        <v>81</v>
      </c>
      <c r="B84" s="168">
        <f>EOMONTH('I_Inputs &amp; Assumptions'!$B$7,80)</f>
        <v>48182</v>
      </c>
      <c r="C84" s="167" t="str">
        <f>IF(A84&lt;='I_Inputs &amp; Assumptions'!$B$8,"Construction",IF(A84&lt;='I_Inputs &amp; Assumptions'!$B$8+'I_Inputs &amp; Assumptions'!$B$10,"Lease-Up",IF(A84&lt;='I_Inputs &amp; Assumptions'!$B$8+'I_Inputs &amp; Assumptions'!$B$10+'I_Inputs &amp; Assumptions'!$B$11,"Stabilized","Exit")))</f>
        <v>Exit</v>
      </c>
      <c r="D84" s="167">
        <f t="shared" si="6"/>
        <v>30</v>
      </c>
      <c r="E84" s="167" t="str">
        <f t="shared" si="7"/>
        <v/>
      </c>
      <c r="F84" s="167" t="str">
        <f>IF(C84="Stabilized",A84-'I_Inputs &amp; Assumptions'!$B$8-'I_Inputs &amp; Assumptions'!$B$10,"")</f>
        <v/>
      </c>
      <c r="G84" s="167">
        <f t="shared" si="8"/>
        <v>2031</v>
      </c>
    </row>
    <row r="85" spans="1:7" ht="15" customHeight="1" x14ac:dyDescent="0.2">
      <c r="A85" s="167">
        <v>82</v>
      </c>
      <c r="B85" s="168">
        <f>EOMONTH('I_Inputs &amp; Assumptions'!$B$7,81)</f>
        <v>48213</v>
      </c>
      <c r="C85" s="167" t="str">
        <f>IF(A85&lt;='I_Inputs &amp; Assumptions'!$B$8,"Construction",IF(A85&lt;='I_Inputs &amp; Assumptions'!$B$8+'I_Inputs &amp; Assumptions'!$B$10,"Lease-Up",IF(A85&lt;='I_Inputs &amp; Assumptions'!$B$8+'I_Inputs &amp; Assumptions'!$B$10+'I_Inputs &amp; Assumptions'!$B$11,"Stabilized","Exit")))</f>
        <v>Exit</v>
      </c>
      <c r="D85" s="167">
        <f t="shared" si="6"/>
        <v>31</v>
      </c>
      <c r="E85" s="167" t="str">
        <f t="shared" si="7"/>
        <v/>
      </c>
      <c r="F85" s="167" t="str">
        <f>IF(C85="Stabilized",A85-'I_Inputs &amp; Assumptions'!$B$8-'I_Inputs &amp; Assumptions'!$B$10,"")</f>
        <v/>
      </c>
      <c r="G85" s="167">
        <f t="shared" si="8"/>
        <v>2031</v>
      </c>
    </row>
    <row r="86" spans="1:7" ht="15" customHeight="1" x14ac:dyDescent="0.2">
      <c r="A86" s="167">
        <v>83</v>
      </c>
      <c r="B86" s="168">
        <f>EOMONTH('I_Inputs &amp; Assumptions'!$B$7,82)</f>
        <v>48244</v>
      </c>
      <c r="C86" s="167" t="str">
        <f>IF(A86&lt;='I_Inputs &amp; Assumptions'!$B$8,"Construction",IF(A86&lt;='I_Inputs &amp; Assumptions'!$B$8+'I_Inputs &amp; Assumptions'!$B$10,"Lease-Up",IF(A86&lt;='I_Inputs &amp; Assumptions'!$B$8+'I_Inputs &amp; Assumptions'!$B$10+'I_Inputs &amp; Assumptions'!$B$11,"Stabilized","Exit")))</f>
        <v>Exit</v>
      </c>
      <c r="D86" s="167">
        <f t="shared" si="6"/>
        <v>31</v>
      </c>
      <c r="E86" s="167" t="str">
        <f t="shared" si="7"/>
        <v/>
      </c>
      <c r="F86" s="167" t="str">
        <f>IF(C86="Stabilized",A86-'I_Inputs &amp; Assumptions'!$B$8-'I_Inputs &amp; Assumptions'!$B$10,"")</f>
        <v/>
      </c>
      <c r="G86" s="167">
        <f t="shared" si="8"/>
        <v>2032</v>
      </c>
    </row>
    <row r="87" spans="1:7" ht="15" customHeight="1" x14ac:dyDescent="0.2">
      <c r="A87" s="167">
        <v>84</v>
      </c>
      <c r="B87" s="168">
        <f>EOMONTH('I_Inputs &amp; Assumptions'!$B$7,83)</f>
        <v>48273</v>
      </c>
      <c r="C87" s="167" t="str">
        <f>IF(A87&lt;='I_Inputs &amp; Assumptions'!$B$8,"Construction",IF(A87&lt;='I_Inputs &amp; Assumptions'!$B$8+'I_Inputs &amp; Assumptions'!$B$10,"Lease-Up",IF(A87&lt;='I_Inputs &amp; Assumptions'!$B$8+'I_Inputs &amp; Assumptions'!$B$10+'I_Inputs &amp; Assumptions'!$B$11,"Stabilized","Exit")))</f>
        <v>Exit</v>
      </c>
      <c r="D87" s="167">
        <f t="shared" si="6"/>
        <v>29</v>
      </c>
      <c r="E87" s="167" t="str">
        <f t="shared" si="7"/>
        <v/>
      </c>
      <c r="F87" s="167" t="str">
        <f>IF(C87="Stabilized",A87-'I_Inputs &amp; Assumptions'!$B$8-'I_Inputs &amp; Assumptions'!$B$10,"")</f>
        <v/>
      </c>
      <c r="G87" s="167">
        <f t="shared" si="8"/>
        <v>2032</v>
      </c>
    </row>
    <row r="88" spans="1:7" ht="15" customHeight="1" x14ac:dyDescent="0.2">
      <c r="A88" s="167">
        <v>85</v>
      </c>
      <c r="B88" s="168">
        <f>EOMONTH('I_Inputs &amp; Assumptions'!$B$7,84)</f>
        <v>48304</v>
      </c>
      <c r="C88" s="167" t="str">
        <f>IF(A88&lt;='I_Inputs &amp; Assumptions'!$B$8,"Construction",IF(A88&lt;='I_Inputs &amp; Assumptions'!$B$8+'I_Inputs &amp; Assumptions'!$B$10,"Lease-Up",IF(A88&lt;='I_Inputs &amp; Assumptions'!$B$8+'I_Inputs &amp; Assumptions'!$B$10+'I_Inputs &amp; Assumptions'!$B$11,"Stabilized","Exit")))</f>
        <v>Exit</v>
      </c>
      <c r="D88" s="167">
        <f t="shared" si="6"/>
        <v>31</v>
      </c>
      <c r="E88" s="167" t="str">
        <f t="shared" si="7"/>
        <v/>
      </c>
      <c r="F88" s="167" t="str">
        <f>IF(C88="Stabilized",A88-'I_Inputs &amp; Assumptions'!$B$8-'I_Inputs &amp; Assumptions'!$B$10,"")</f>
        <v/>
      </c>
      <c r="G88" s="167">
        <f t="shared" si="8"/>
        <v>2032</v>
      </c>
    </row>
    <row r="89" spans="1:7" ht="15" customHeight="1" x14ac:dyDescent="0.2">
      <c r="A89" s="167">
        <v>86</v>
      </c>
      <c r="B89" s="168">
        <f>EOMONTH('I_Inputs &amp; Assumptions'!$B$7,85)</f>
        <v>48334</v>
      </c>
      <c r="C89" s="167" t="str">
        <f>IF(A89&lt;='I_Inputs &amp; Assumptions'!$B$8,"Construction",IF(A89&lt;='I_Inputs &amp; Assumptions'!$B$8+'I_Inputs &amp; Assumptions'!$B$10,"Lease-Up",IF(A89&lt;='I_Inputs &amp; Assumptions'!$B$8+'I_Inputs &amp; Assumptions'!$B$10+'I_Inputs &amp; Assumptions'!$B$11,"Stabilized","Exit")))</f>
        <v>Exit</v>
      </c>
      <c r="D89" s="167">
        <f t="shared" si="6"/>
        <v>30</v>
      </c>
      <c r="E89" s="167" t="str">
        <f t="shared" si="7"/>
        <v/>
      </c>
      <c r="F89" s="167" t="str">
        <f>IF(C89="Stabilized",A89-'I_Inputs &amp; Assumptions'!$B$8-'I_Inputs &amp; Assumptions'!$B$10,"")</f>
        <v/>
      </c>
      <c r="G89" s="167">
        <f t="shared" si="8"/>
        <v>2032</v>
      </c>
    </row>
    <row r="90" spans="1:7" ht="15" customHeight="1" x14ac:dyDescent="0.2">
      <c r="A90" s="167">
        <v>87</v>
      </c>
      <c r="B90" s="168">
        <f>EOMONTH('I_Inputs &amp; Assumptions'!$B$7,86)</f>
        <v>48365</v>
      </c>
      <c r="C90" s="167" t="str">
        <f>IF(A90&lt;='I_Inputs &amp; Assumptions'!$B$8,"Construction",IF(A90&lt;='I_Inputs &amp; Assumptions'!$B$8+'I_Inputs &amp; Assumptions'!$B$10,"Lease-Up",IF(A90&lt;='I_Inputs &amp; Assumptions'!$B$8+'I_Inputs &amp; Assumptions'!$B$10+'I_Inputs &amp; Assumptions'!$B$11,"Stabilized","Exit")))</f>
        <v>Exit</v>
      </c>
      <c r="D90" s="167">
        <f t="shared" si="6"/>
        <v>31</v>
      </c>
      <c r="E90" s="167" t="str">
        <f t="shared" si="7"/>
        <v/>
      </c>
      <c r="F90" s="167" t="str">
        <f>IF(C90="Stabilized",A90-'I_Inputs &amp; Assumptions'!$B$8-'I_Inputs &amp; Assumptions'!$B$10,"")</f>
        <v/>
      </c>
      <c r="G90" s="167">
        <f t="shared" si="8"/>
        <v>2032</v>
      </c>
    </row>
    <row r="91" spans="1:7" ht="15" customHeight="1" x14ac:dyDescent="0.2">
      <c r="A91" s="167">
        <v>88</v>
      </c>
      <c r="B91" s="168">
        <f>EOMONTH('I_Inputs &amp; Assumptions'!$B$7,87)</f>
        <v>48395</v>
      </c>
      <c r="C91" s="167" t="str">
        <f>IF(A91&lt;='I_Inputs &amp; Assumptions'!$B$8,"Construction",IF(A91&lt;='I_Inputs &amp; Assumptions'!$B$8+'I_Inputs &amp; Assumptions'!$B$10,"Lease-Up",IF(A91&lt;='I_Inputs &amp; Assumptions'!$B$8+'I_Inputs &amp; Assumptions'!$B$10+'I_Inputs &amp; Assumptions'!$B$11,"Stabilized","Exit")))</f>
        <v>Exit</v>
      </c>
      <c r="D91" s="167">
        <f t="shared" si="6"/>
        <v>30</v>
      </c>
      <c r="E91" s="167" t="str">
        <f t="shared" si="7"/>
        <v/>
      </c>
      <c r="F91" s="167" t="str">
        <f>IF(C91="Stabilized",A91-'I_Inputs &amp; Assumptions'!$B$8-'I_Inputs &amp; Assumptions'!$B$10,"")</f>
        <v/>
      </c>
      <c r="G91" s="167">
        <f t="shared" si="8"/>
        <v>2032</v>
      </c>
    </row>
    <row r="92" spans="1:7" ht="15" customHeight="1" x14ac:dyDescent="0.2">
      <c r="A92" s="167">
        <v>89</v>
      </c>
      <c r="B92" s="168">
        <f>EOMONTH('I_Inputs &amp; Assumptions'!$B$7,88)</f>
        <v>48426</v>
      </c>
      <c r="C92" s="167" t="str">
        <f>IF(A92&lt;='I_Inputs &amp; Assumptions'!$B$8,"Construction",IF(A92&lt;='I_Inputs &amp; Assumptions'!$B$8+'I_Inputs &amp; Assumptions'!$B$10,"Lease-Up",IF(A92&lt;='I_Inputs &amp; Assumptions'!$B$8+'I_Inputs &amp; Assumptions'!$B$10+'I_Inputs &amp; Assumptions'!$B$11,"Stabilized","Exit")))</f>
        <v>Exit</v>
      </c>
      <c r="D92" s="167">
        <f t="shared" si="6"/>
        <v>31</v>
      </c>
      <c r="E92" s="167" t="str">
        <f t="shared" si="7"/>
        <v/>
      </c>
      <c r="F92" s="167" t="str">
        <f>IF(C92="Stabilized",A92-'I_Inputs &amp; Assumptions'!$B$8-'I_Inputs &amp; Assumptions'!$B$10,"")</f>
        <v/>
      </c>
      <c r="G92" s="167">
        <f t="shared" si="8"/>
        <v>2032</v>
      </c>
    </row>
    <row r="93" spans="1:7" ht="15" customHeight="1" x14ac:dyDescent="0.2">
      <c r="A93" s="167">
        <v>90</v>
      </c>
      <c r="B93" s="168">
        <f>EOMONTH('I_Inputs &amp; Assumptions'!$B$7,89)</f>
        <v>48457</v>
      </c>
      <c r="C93" s="167" t="str">
        <f>IF(A93&lt;='I_Inputs &amp; Assumptions'!$B$8,"Construction",IF(A93&lt;='I_Inputs &amp; Assumptions'!$B$8+'I_Inputs &amp; Assumptions'!$B$10,"Lease-Up",IF(A93&lt;='I_Inputs &amp; Assumptions'!$B$8+'I_Inputs &amp; Assumptions'!$B$10+'I_Inputs &amp; Assumptions'!$B$11,"Stabilized","Exit")))</f>
        <v>Exit</v>
      </c>
      <c r="D93" s="167">
        <f t="shared" si="6"/>
        <v>31</v>
      </c>
      <c r="E93" s="167" t="str">
        <f t="shared" si="7"/>
        <v/>
      </c>
      <c r="F93" s="167" t="str">
        <f>IF(C93="Stabilized",A93-'I_Inputs &amp; Assumptions'!$B$8-'I_Inputs &amp; Assumptions'!$B$10,"")</f>
        <v/>
      </c>
      <c r="G93" s="167">
        <f t="shared" si="8"/>
        <v>2032</v>
      </c>
    </row>
    <row r="94" spans="1:7" ht="15" customHeight="1" x14ac:dyDescent="0.2">
      <c r="A94" s="167">
        <v>91</v>
      </c>
      <c r="B94" s="168">
        <f>EOMONTH('I_Inputs &amp; Assumptions'!$B$7,90)</f>
        <v>48487</v>
      </c>
      <c r="C94" s="167" t="str">
        <f>IF(A94&lt;='I_Inputs &amp; Assumptions'!$B$8,"Construction",IF(A94&lt;='I_Inputs &amp; Assumptions'!$B$8+'I_Inputs &amp; Assumptions'!$B$10,"Lease-Up",IF(A94&lt;='I_Inputs &amp; Assumptions'!$B$8+'I_Inputs &amp; Assumptions'!$B$10+'I_Inputs &amp; Assumptions'!$B$11,"Stabilized","Exit")))</f>
        <v>Exit</v>
      </c>
      <c r="D94" s="167">
        <f t="shared" si="6"/>
        <v>30</v>
      </c>
      <c r="E94" s="167" t="str">
        <f t="shared" si="7"/>
        <v/>
      </c>
      <c r="F94" s="167" t="str">
        <f>IF(C94="Stabilized",A94-'I_Inputs &amp; Assumptions'!$B$8-'I_Inputs &amp; Assumptions'!$B$10,"")</f>
        <v/>
      </c>
      <c r="G94" s="167">
        <f t="shared" si="8"/>
        <v>2032</v>
      </c>
    </row>
    <row r="95" spans="1:7" ht="15" customHeight="1" x14ac:dyDescent="0.2">
      <c r="A95" s="167">
        <v>92</v>
      </c>
      <c r="B95" s="168">
        <f>EOMONTH('I_Inputs &amp; Assumptions'!$B$7,91)</f>
        <v>48518</v>
      </c>
      <c r="C95" s="167" t="str">
        <f>IF(A95&lt;='I_Inputs &amp; Assumptions'!$B$8,"Construction",IF(A95&lt;='I_Inputs &amp; Assumptions'!$B$8+'I_Inputs &amp; Assumptions'!$B$10,"Lease-Up",IF(A95&lt;='I_Inputs &amp; Assumptions'!$B$8+'I_Inputs &amp; Assumptions'!$B$10+'I_Inputs &amp; Assumptions'!$B$11,"Stabilized","Exit")))</f>
        <v>Exit</v>
      </c>
      <c r="D95" s="167">
        <f t="shared" si="6"/>
        <v>31</v>
      </c>
      <c r="E95" s="167" t="str">
        <f t="shared" si="7"/>
        <v/>
      </c>
      <c r="F95" s="167" t="str">
        <f>IF(C95="Stabilized",A95-'I_Inputs &amp; Assumptions'!$B$8-'I_Inputs &amp; Assumptions'!$B$10,"")</f>
        <v/>
      </c>
      <c r="G95" s="167">
        <f t="shared" si="8"/>
        <v>2032</v>
      </c>
    </row>
    <row r="96" spans="1:7" ht="15" customHeight="1" x14ac:dyDescent="0.2">
      <c r="A96" s="167">
        <v>93</v>
      </c>
      <c r="B96" s="168">
        <f>EOMONTH('I_Inputs &amp; Assumptions'!$B$7,92)</f>
        <v>48548</v>
      </c>
      <c r="C96" s="167" t="str">
        <f>IF(A96&lt;='I_Inputs &amp; Assumptions'!$B$8,"Construction",IF(A96&lt;='I_Inputs &amp; Assumptions'!$B$8+'I_Inputs &amp; Assumptions'!$B$10,"Lease-Up",IF(A96&lt;='I_Inputs &amp; Assumptions'!$B$8+'I_Inputs &amp; Assumptions'!$B$10+'I_Inputs &amp; Assumptions'!$B$11,"Stabilized","Exit")))</f>
        <v>Exit</v>
      </c>
      <c r="D96" s="167">
        <f t="shared" si="6"/>
        <v>30</v>
      </c>
      <c r="E96" s="167" t="str">
        <f t="shared" si="7"/>
        <v/>
      </c>
      <c r="F96" s="167" t="str">
        <f>IF(C96="Stabilized",A96-'I_Inputs &amp; Assumptions'!$B$8-'I_Inputs &amp; Assumptions'!$B$10,"")</f>
        <v/>
      </c>
      <c r="G96" s="167">
        <f t="shared" si="8"/>
        <v>2032</v>
      </c>
    </row>
    <row r="97" spans="1:7" ht="15" customHeight="1" x14ac:dyDescent="0.2">
      <c r="A97" s="167">
        <v>94</v>
      </c>
      <c r="B97" s="168">
        <f>EOMONTH('I_Inputs &amp; Assumptions'!$B$7,93)</f>
        <v>48579</v>
      </c>
      <c r="C97" s="167" t="str">
        <f>IF(A97&lt;='I_Inputs &amp; Assumptions'!$B$8,"Construction",IF(A97&lt;='I_Inputs &amp; Assumptions'!$B$8+'I_Inputs &amp; Assumptions'!$B$10,"Lease-Up",IF(A97&lt;='I_Inputs &amp; Assumptions'!$B$8+'I_Inputs &amp; Assumptions'!$B$10+'I_Inputs &amp; Assumptions'!$B$11,"Stabilized","Exit")))</f>
        <v>Exit</v>
      </c>
      <c r="D97" s="167">
        <f t="shared" si="6"/>
        <v>31</v>
      </c>
      <c r="E97" s="167" t="str">
        <f t="shared" si="7"/>
        <v/>
      </c>
      <c r="F97" s="167" t="str">
        <f>IF(C97="Stabilized",A97-'I_Inputs &amp; Assumptions'!$B$8-'I_Inputs &amp; Assumptions'!$B$10,"")</f>
        <v/>
      </c>
      <c r="G97" s="167">
        <f t="shared" si="8"/>
        <v>2032</v>
      </c>
    </row>
    <row r="98" spans="1:7" ht="15" customHeight="1" x14ac:dyDescent="0.2">
      <c r="A98" s="167">
        <v>95</v>
      </c>
      <c r="B98" s="168">
        <f>EOMONTH('I_Inputs &amp; Assumptions'!$B$7,94)</f>
        <v>48610</v>
      </c>
      <c r="C98" s="167" t="str">
        <f>IF(A98&lt;='I_Inputs &amp; Assumptions'!$B$8,"Construction",IF(A98&lt;='I_Inputs &amp; Assumptions'!$B$8+'I_Inputs &amp; Assumptions'!$B$10,"Lease-Up",IF(A98&lt;='I_Inputs &amp; Assumptions'!$B$8+'I_Inputs &amp; Assumptions'!$B$10+'I_Inputs &amp; Assumptions'!$B$11,"Stabilized","Exit")))</f>
        <v>Exit</v>
      </c>
      <c r="D98" s="167">
        <f t="shared" si="6"/>
        <v>31</v>
      </c>
      <c r="E98" s="167" t="str">
        <f t="shared" si="7"/>
        <v/>
      </c>
      <c r="F98" s="167" t="str">
        <f>IF(C98="Stabilized",A98-'I_Inputs &amp; Assumptions'!$B$8-'I_Inputs &amp; Assumptions'!$B$10,"")</f>
        <v/>
      </c>
      <c r="G98" s="167">
        <f t="shared" si="8"/>
        <v>2033</v>
      </c>
    </row>
    <row r="99" spans="1:7" ht="15" customHeight="1" x14ac:dyDescent="0.2">
      <c r="A99" s="167">
        <v>96</v>
      </c>
      <c r="B99" s="168">
        <f>EOMONTH('I_Inputs &amp; Assumptions'!$B$7,95)</f>
        <v>48638</v>
      </c>
      <c r="C99" s="167" t="str">
        <f>IF(A99&lt;='I_Inputs &amp; Assumptions'!$B$8,"Construction",IF(A99&lt;='I_Inputs &amp; Assumptions'!$B$8+'I_Inputs &amp; Assumptions'!$B$10,"Lease-Up",IF(A99&lt;='I_Inputs &amp; Assumptions'!$B$8+'I_Inputs &amp; Assumptions'!$B$10+'I_Inputs &amp; Assumptions'!$B$11,"Stabilized","Exit")))</f>
        <v>Exit</v>
      </c>
      <c r="D99" s="167">
        <f t="shared" si="6"/>
        <v>28</v>
      </c>
      <c r="E99" s="167" t="str">
        <f t="shared" si="7"/>
        <v/>
      </c>
      <c r="F99" s="167" t="str">
        <f>IF(C99="Stabilized",A99-'I_Inputs &amp; Assumptions'!$B$8-'I_Inputs &amp; Assumptions'!$B$10,"")</f>
        <v/>
      </c>
      <c r="G99" s="167">
        <f t="shared" si="8"/>
        <v>2033</v>
      </c>
    </row>
    <row r="100" spans="1:7" ht="15" customHeight="1" x14ac:dyDescent="0.2">
      <c r="A100" s="167">
        <v>97</v>
      </c>
      <c r="B100" s="168">
        <f>EOMONTH('I_Inputs &amp; Assumptions'!$B$7,96)</f>
        <v>48669</v>
      </c>
      <c r="C100" s="167" t="str">
        <f>IF(A100&lt;='I_Inputs &amp; Assumptions'!$B$8,"Construction",IF(A100&lt;='I_Inputs &amp; Assumptions'!$B$8+'I_Inputs &amp; Assumptions'!$B$10,"Lease-Up",IF(A100&lt;='I_Inputs &amp; Assumptions'!$B$8+'I_Inputs &amp; Assumptions'!$B$10+'I_Inputs &amp; Assumptions'!$B$11,"Stabilized","Exit")))</f>
        <v>Exit</v>
      </c>
      <c r="D100" s="167">
        <f t="shared" ref="D100:D123" si="9">DAY(B100)</f>
        <v>31</v>
      </c>
      <c r="E100" s="167" t="str">
        <f t="shared" ref="E100:E123" si="10">IF(C100="Construction",A100,"")</f>
        <v/>
      </c>
      <c r="F100" s="167" t="str">
        <f>IF(C100="Stabilized",A100-'I_Inputs &amp; Assumptions'!$B$8-'I_Inputs &amp; Assumptions'!$B$10,"")</f>
        <v/>
      </c>
      <c r="G100" s="167">
        <f t="shared" ref="G100:G123" si="11">YEAR(B100)</f>
        <v>2033</v>
      </c>
    </row>
    <row r="101" spans="1:7" ht="15" customHeight="1" x14ac:dyDescent="0.2">
      <c r="A101" s="167">
        <v>98</v>
      </c>
      <c r="B101" s="168">
        <f>EOMONTH('I_Inputs &amp; Assumptions'!$B$7,97)</f>
        <v>48699</v>
      </c>
      <c r="C101" s="167" t="str">
        <f>IF(A101&lt;='I_Inputs &amp; Assumptions'!$B$8,"Construction",IF(A101&lt;='I_Inputs &amp; Assumptions'!$B$8+'I_Inputs &amp; Assumptions'!$B$10,"Lease-Up",IF(A101&lt;='I_Inputs &amp; Assumptions'!$B$8+'I_Inputs &amp; Assumptions'!$B$10+'I_Inputs &amp; Assumptions'!$B$11,"Stabilized","Exit")))</f>
        <v>Exit</v>
      </c>
      <c r="D101" s="167">
        <f t="shared" si="9"/>
        <v>30</v>
      </c>
      <c r="E101" s="167" t="str">
        <f t="shared" si="10"/>
        <v/>
      </c>
      <c r="F101" s="167" t="str">
        <f>IF(C101="Stabilized",A101-'I_Inputs &amp; Assumptions'!$B$8-'I_Inputs &amp; Assumptions'!$B$10,"")</f>
        <v/>
      </c>
      <c r="G101" s="167">
        <f t="shared" si="11"/>
        <v>2033</v>
      </c>
    </row>
    <row r="102" spans="1:7" ht="15" customHeight="1" x14ac:dyDescent="0.2">
      <c r="A102" s="167">
        <v>99</v>
      </c>
      <c r="B102" s="168">
        <f>EOMONTH('I_Inputs &amp; Assumptions'!$B$7,98)</f>
        <v>48730</v>
      </c>
      <c r="C102" s="167" t="str">
        <f>IF(A102&lt;='I_Inputs &amp; Assumptions'!$B$8,"Construction",IF(A102&lt;='I_Inputs &amp; Assumptions'!$B$8+'I_Inputs &amp; Assumptions'!$B$10,"Lease-Up",IF(A102&lt;='I_Inputs &amp; Assumptions'!$B$8+'I_Inputs &amp; Assumptions'!$B$10+'I_Inputs &amp; Assumptions'!$B$11,"Stabilized","Exit")))</f>
        <v>Exit</v>
      </c>
      <c r="D102" s="167">
        <f t="shared" si="9"/>
        <v>31</v>
      </c>
      <c r="E102" s="167" t="str">
        <f t="shared" si="10"/>
        <v/>
      </c>
      <c r="F102" s="167" t="str">
        <f>IF(C102="Stabilized",A102-'I_Inputs &amp; Assumptions'!$B$8-'I_Inputs &amp; Assumptions'!$B$10,"")</f>
        <v/>
      </c>
      <c r="G102" s="167">
        <f t="shared" si="11"/>
        <v>2033</v>
      </c>
    </row>
    <row r="103" spans="1:7" ht="15" customHeight="1" x14ac:dyDescent="0.2">
      <c r="A103" s="167">
        <v>100</v>
      </c>
      <c r="B103" s="168">
        <f>EOMONTH('I_Inputs &amp; Assumptions'!$B$7,99)</f>
        <v>48760</v>
      </c>
      <c r="C103" s="167" t="str">
        <f>IF(A103&lt;='I_Inputs &amp; Assumptions'!$B$8,"Construction",IF(A103&lt;='I_Inputs &amp; Assumptions'!$B$8+'I_Inputs &amp; Assumptions'!$B$10,"Lease-Up",IF(A103&lt;='I_Inputs &amp; Assumptions'!$B$8+'I_Inputs &amp; Assumptions'!$B$10+'I_Inputs &amp; Assumptions'!$B$11,"Stabilized","Exit")))</f>
        <v>Exit</v>
      </c>
      <c r="D103" s="167">
        <f t="shared" si="9"/>
        <v>30</v>
      </c>
      <c r="E103" s="167" t="str">
        <f t="shared" si="10"/>
        <v/>
      </c>
      <c r="F103" s="167" t="str">
        <f>IF(C103="Stabilized",A103-'I_Inputs &amp; Assumptions'!$B$8-'I_Inputs &amp; Assumptions'!$B$10,"")</f>
        <v/>
      </c>
      <c r="G103" s="167">
        <f t="shared" si="11"/>
        <v>2033</v>
      </c>
    </row>
    <row r="104" spans="1:7" ht="15" customHeight="1" x14ac:dyDescent="0.2">
      <c r="A104" s="167">
        <v>101</v>
      </c>
      <c r="B104" s="168">
        <f>EOMONTH('I_Inputs &amp; Assumptions'!$B$7,100)</f>
        <v>48791</v>
      </c>
      <c r="C104" s="167" t="str">
        <f>IF(A104&lt;='I_Inputs &amp; Assumptions'!$B$8,"Construction",IF(A104&lt;='I_Inputs &amp; Assumptions'!$B$8+'I_Inputs &amp; Assumptions'!$B$10,"Lease-Up",IF(A104&lt;='I_Inputs &amp; Assumptions'!$B$8+'I_Inputs &amp; Assumptions'!$B$10+'I_Inputs &amp; Assumptions'!$B$11,"Stabilized","Exit")))</f>
        <v>Exit</v>
      </c>
      <c r="D104" s="167">
        <f t="shared" si="9"/>
        <v>31</v>
      </c>
      <c r="E104" s="167" t="str">
        <f t="shared" si="10"/>
        <v/>
      </c>
      <c r="F104" s="167" t="str">
        <f>IF(C104="Stabilized",A104-'I_Inputs &amp; Assumptions'!$B$8-'I_Inputs &amp; Assumptions'!$B$10,"")</f>
        <v/>
      </c>
      <c r="G104" s="167">
        <f t="shared" si="11"/>
        <v>2033</v>
      </c>
    </row>
    <row r="105" spans="1:7" ht="15" customHeight="1" x14ac:dyDescent="0.2">
      <c r="A105" s="167">
        <v>102</v>
      </c>
      <c r="B105" s="168">
        <f>EOMONTH('I_Inputs &amp; Assumptions'!$B$7,101)</f>
        <v>48822</v>
      </c>
      <c r="C105" s="167" t="str">
        <f>IF(A105&lt;='I_Inputs &amp; Assumptions'!$B$8,"Construction",IF(A105&lt;='I_Inputs &amp; Assumptions'!$B$8+'I_Inputs &amp; Assumptions'!$B$10,"Lease-Up",IF(A105&lt;='I_Inputs &amp; Assumptions'!$B$8+'I_Inputs &amp; Assumptions'!$B$10+'I_Inputs &amp; Assumptions'!$B$11,"Stabilized","Exit")))</f>
        <v>Exit</v>
      </c>
      <c r="D105" s="167">
        <f t="shared" si="9"/>
        <v>31</v>
      </c>
      <c r="E105" s="167" t="str">
        <f t="shared" si="10"/>
        <v/>
      </c>
      <c r="F105" s="167" t="str">
        <f>IF(C105="Stabilized",A105-'I_Inputs &amp; Assumptions'!$B$8-'I_Inputs &amp; Assumptions'!$B$10,"")</f>
        <v/>
      </c>
      <c r="G105" s="167">
        <f t="shared" si="11"/>
        <v>2033</v>
      </c>
    </row>
    <row r="106" spans="1:7" ht="15" customHeight="1" x14ac:dyDescent="0.2">
      <c r="A106" s="167">
        <v>103</v>
      </c>
      <c r="B106" s="168">
        <f>EOMONTH('I_Inputs &amp; Assumptions'!$B$7,102)</f>
        <v>48852</v>
      </c>
      <c r="C106" s="167" t="str">
        <f>IF(A106&lt;='I_Inputs &amp; Assumptions'!$B$8,"Construction",IF(A106&lt;='I_Inputs &amp; Assumptions'!$B$8+'I_Inputs &amp; Assumptions'!$B$10,"Lease-Up",IF(A106&lt;='I_Inputs &amp; Assumptions'!$B$8+'I_Inputs &amp; Assumptions'!$B$10+'I_Inputs &amp; Assumptions'!$B$11,"Stabilized","Exit")))</f>
        <v>Exit</v>
      </c>
      <c r="D106" s="167">
        <f t="shared" si="9"/>
        <v>30</v>
      </c>
      <c r="E106" s="167" t="str">
        <f t="shared" si="10"/>
        <v/>
      </c>
      <c r="F106" s="167" t="str">
        <f>IF(C106="Stabilized",A106-'I_Inputs &amp; Assumptions'!$B$8-'I_Inputs &amp; Assumptions'!$B$10,"")</f>
        <v/>
      </c>
      <c r="G106" s="167">
        <f t="shared" si="11"/>
        <v>2033</v>
      </c>
    </row>
    <row r="107" spans="1:7" ht="15" customHeight="1" x14ac:dyDescent="0.2">
      <c r="A107" s="167">
        <v>104</v>
      </c>
      <c r="B107" s="168">
        <f>EOMONTH('I_Inputs &amp; Assumptions'!$B$7,103)</f>
        <v>48883</v>
      </c>
      <c r="C107" s="167" t="str">
        <f>IF(A107&lt;='I_Inputs &amp; Assumptions'!$B$8,"Construction",IF(A107&lt;='I_Inputs &amp; Assumptions'!$B$8+'I_Inputs &amp; Assumptions'!$B$10,"Lease-Up",IF(A107&lt;='I_Inputs &amp; Assumptions'!$B$8+'I_Inputs &amp; Assumptions'!$B$10+'I_Inputs &amp; Assumptions'!$B$11,"Stabilized","Exit")))</f>
        <v>Exit</v>
      </c>
      <c r="D107" s="167">
        <f t="shared" si="9"/>
        <v>31</v>
      </c>
      <c r="E107" s="167" t="str">
        <f t="shared" si="10"/>
        <v/>
      </c>
      <c r="F107" s="167" t="str">
        <f>IF(C107="Stabilized",A107-'I_Inputs &amp; Assumptions'!$B$8-'I_Inputs &amp; Assumptions'!$B$10,"")</f>
        <v/>
      </c>
      <c r="G107" s="167">
        <f t="shared" si="11"/>
        <v>2033</v>
      </c>
    </row>
    <row r="108" spans="1:7" ht="15" customHeight="1" x14ac:dyDescent="0.2">
      <c r="A108" s="167">
        <v>105</v>
      </c>
      <c r="B108" s="168">
        <f>EOMONTH('I_Inputs &amp; Assumptions'!$B$7,104)</f>
        <v>48913</v>
      </c>
      <c r="C108" s="167" t="str">
        <f>IF(A108&lt;='I_Inputs &amp; Assumptions'!$B$8,"Construction",IF(A108&lt;='I_Inputs &amp; Assumptions'!$B$8+'I_Inputs &amp; Assumptions'!$B$10,"Lease-Up",IF(A108&lt;='I_Inputs &amp; Assumptions'!$B$8+'I_Inputs &amp; Assumptions'!$B$10+'I_Inputs &amp; Assumptions'!$B$11,"Stabilized","Exit")))</f>
        <v>Exit</v>
      </c>
      <c r="D108" s="167">
        <f t="shared" si="9"/>
        <v>30</v>
      </c>
      <c r="E108" s="167" t="str">
        <f t="shared" si="10"/>
        <v/>
      </c>
      <c r="F108" s="167" t="str">
        <f>IF(C108="Stabilized",A108-'I_Inputs &amp; Assumptions'!$B$8-'I_Inputs &amp; Assumptions'!$B$10,"")</f>
        <v/>
      </c>
      <c r="G108" s="167">
        <f t="shared" si="11"/>
        <v>2033</v>
      </c>
    </row>
    <row r="109" spans="1:7" ht="15" customHeight="1" x14ac:dyDescent="0.2">
      <c r="A109" s="167">
        <v>106</v>
      </c>
      <c r="B109" s="168">
        <f>EOMONTH('I_Inputs &amp; Assumptions'!$B$7,105)</f>
        <v>48944</v>
      </c>
      <c r="C109" s="167" t="str">
        <f>IF(A109&lt;='I_Inputs &amp; Assumptions'!$B$8,"Construction",IF(A109&lt;='I_Inputs &amp; Assumptions'!$B$8+'I_Inputs &amp; Assumptions'!$B$10,"Lease-Up",IF(A109&lt;='I_Inputs &amp; Assumptions'!$B$8+'I_Inputs &amp; Assumptions'!$B$10+'I_Inputs &amp; Assumptions'!$B$11,"Stabilized","Exit")))</f>
        <v>Exit</v>
      </c>
      <c r="D109" s="167">
        <f t="shared" si="9"/>
        <v>31</v>
      </c>
      <c r="E109" s="167" t="str">
        <f t="shared" si="10"/>
        <v/>
      </c>
      <c r="F109" s="167" t="str">
        <f>IF(C109="Stabilized",A109-'I_Inputs &amp; Assumptions'!$B$8-'I_Inputs &amp; Assumptions'!$B$10,"")</f>
        <v/>
      </c>
      <c r="G109" s="167">
        <f t="shared" si="11"/>
        <v>2033</v>
      </c>
    </row>
    <row r="110" spans="1:7" ht="15" customHeight="1" x14ac:dyDescent="0.2">
      <c r="A110" s="167">
        <v>107</v>
      </c>
      <c r="B110" s="168">
        <f>EOMONTH('I_Inputs &amp; Assumptions'!$B$7,106)</f>
        <v>48975</v>
      </c>
      <c r="C110" s="167" t="str">
        <f>IF(A110&lt;='I_Inputs &amp; Assumptions'!$B$8,"Construction",IF(A110&lt;='I_Inputs &amp; Assumptions'!$B$8+'I_Inputs &amp; Assumptions'!$B$10,"Lease-Up",IF(A110&lt;='I_Inputs &amp; Assumptions'!$B$8+'I_Inputs &amp; Assumptions'!$B$10+'I_Inputs &amp; Assumptions'!$B$11,"Stabilized","Exit")))</f>
        <v>Exit</v>
      </c>
      <c r="D110" s="167">
        <f t="shared" si="9"/>
        <v>31</v>
      </c>
      <c r="E110" s="167" t="str">
        <f t="shared" si="10"/>
        <v/>
      </c>
      <c r="F110" s="167" t="str">
        <f>IF(C110="Stabilized",A110-'I_Inputs &amp; Assumptions'!$B$8-'I_Inputs &amp; Assumptions'!$B$10,"")</f>
        <v/>
      </c>
      <c r="G110" s="167">
        <f t="shared" si="11"/>
        <v>2034</v>
      </c>
    </row>
    <row r="111" spans="1:7" ht="15" customHeight="1" x14ac:dyDescent="0.2">
      <c r="A111" s="167">
        <v>108</v>
      </c>
      <c r="B111" s="168">
        <f>EOMONTH('I_Inputs &amp; Assumptions'!$B$7,107)</f>
        <v>49003</v>
      </c>
      <c r="C111" s="167" t="str">
        <f>IF(A111&lt;='I_Inputs &amp; Assumptions'!$B$8,"Construction",IF(A111&lt;='I_Inputs &amp; Assumptions'!$B$8+'I_Inputs &amp; Assumptions'!$B$10,"Lease-Up",IF(A111&lt;='I_Inputs &amp; Assumptions'!$B$8+'I_Inputs &amp; Assumptions'!$B$10+'I_Inputs &amp; Assumptions'!$B$11,"Stabilized","Exit")))</f>
        <v>Exit</v>
      </c>
      <c r="D111" s="167">
        <f t="shared" si="9"/>
        <v>28</v>
      </c>
      <c r="E111" s="167" t="str">
        <f t="shared" si="10"/>
        <v/>
      </c>
      <c r="F111" s="167" t="str">
        <f>IF(C111="Stabilized",A111-'I_Inputs &amp; Assumptions'!$B$8-'I_Inputs &amp; Assumptions'!$B$10,"")</f>
        <v/>
      </c>
      <c r="G111" s="167">
        <f t="shared" si="11"/>
        <v>2034</v>
      </c>
    </row>
    <row r="112" spans="1:7" ht="15" customHeight="1" x14ac:dyDescent="0.2">
      <c r="A112" s="167">
        <v>109</v>
      </c>
      <c r="B112" s="168">
        <f>EOMONTH('I_Inputs &amp; Assumptions'!$B$7,108)</f>
        <v>49034</v>
      </c>
      <c r="C112" s="167" t="str">
        <f>IF(A112&lt;='I_Inputs &amp; Assumptions'!$B$8,"Construction",IF(A112&lt;='I_Inputs &amp; Assumptions'!$B$8+'I_Inputs &amp; Assumptions'!$B$10,"Lease-Up",IF(A112&lt;='I_Inputs &amp; Assumptions'!$B$8+'I_Inputs &amp; Assumptions'!$B$10+'I_Inputs &amp; Assumptions'!$B$11,"Stabilized","Exit")))</f>
        <v>Exit</v>
      </c>
      <c r="D112" s="167">
        <f t="shared" si="9"/>
        <v>31</v>
      </c>
      <c r="E112" s="167" t="str">
        <f t="shared" si="10"/>
        <v/>
      </c>
      <c r="F112" s="167" t="str">
        <f>IF(C112="Stabilized",A112-'I_Inputs &amp; Assumptions'!$B$8-'I_Inputs &amp; Assumptions'!$B$10,"")</f>
        <v/>
      </c>
      <c r="G112" s="167">
        <f t="shared" si="11"/>
        <v>2034</v>
      </c>
    </row>
    <row r="113" spans="1:7" ht="15" customHeight="1" x14ac:dyDescent="0.2">
      <c r="A113" s="167">
        <v>110</v>
      </c>
      <c r="B113" s="168">
        <f>EOMONTH('I_Inputs &amp; Assumptions'!$B$7,109)</f>
        <v>49064</v>
      </c>
      <c r="C113" s="167" t="str">
        <f>IF(A113&lt;='I_Inputs &amp; Assumptions'!$B$8,"Construction",IF(A113&lt;='I_Inputs &amp; Assumptions'!$B$8+'I_Inputs &amp; Assumptions'!$B$10,"Lease-Up",IF(A113&lt;='I_Inputs &amp; Assumptions'!$B$8+'I_Inputs &amp; Assumptions'!$B$10+'I_Inputs &amp; Assumptions'!$B$11,"Stabilized","Exit")))</f>
        <v>Exit</v>
      </c>
      <c r="D113" s="167">
        <f t="shared" si="9"/>
        <v>30</v>
      </c>
      <c r="E113" s="167" t="str">
        <f t="shared" si="10"/>
        <v/>
      </c>
      <c r="F113" s="167" t="str">
        <f>IF(C113="Stabilized",A113-'I_Inputs &amp; Assumptions'!$B$8-'I_Inputs &amp; Assumptions'!$B$10,"")</f>
        <v/>
      </c>
      <c r="G113" s="167">
        <f t="shared" si="11"/>
        <v>2034</v>
      </c>
    </row>
    <row r="114" spans="1:7" ht="15" customHeight="1" x14ac:dyDescent="0.2">
      <c r="A114" s="167">
        <v>111</v>
      </c>
      <c r="B114" s="168">
        <f>EOMONTH('I_Inputs &amp; Assumptions'!$B$7,110)</f>
        <v>49095</v>
      </c>
      <c r="C114" s="167" t="str">
        <f>IF(A114&lt;='I_Inputs &amp; Assumptions'!$B$8,"Construction",IF(A114&lt;='I_Inputs &amp; Assumptions'!$B$8+'I_Inputs &amp; Assumptions'!$B$10,"Lease-Up",IF(A114&lt;='I_Inputs &amp; Assumptions'!$B$8+'I_Inputs &amp; Assumptions'!$B$10+'I_Inputs &amp; Assumptions'!$B$11,"Stabilized","Exit")))</f>
        <v>Exit</v>
      </c>
      <c r="D114" s="167">
        <f t="shared" si="9"/>
        <v>31</v>
      </c>
      <c r="E114" s="167" t="str">
        <f t="shared" si="10"/>
        <v/>
      </c>
      <c r="F114" s="167" t="str">
        <f>IF(C114="Stabilized",A114-'I_Inputs &amp; Assumptions'!$B$8-'I_Inputs &amp; Assumptions'!$B$10,"")</f>
        <v/>
      </c>
      <c r="G114" s="167">
        <f t="shared" si="11"/>
        <v>2034</v>
      </c>
    </row>
    <row r="115" spans="1:7" ht="15" customHeight="1" x14ac:dyDescent="0.2">
      <c r="A115" s="167">
        <v>112</v>
      </c>
      <c r="B115" s="168">
        <f>EOMONTH('I_Inputs &amp; Assumptions'!$B$7,111)</f>
        <v>49125</v>
      </c>
      <c r="C115" s="167" t="str">
        <f>IF(A115&lt;='I_Inputs &amp; Assumptions'!$B$8,"Construction",IF(A115&lt;='I_Inputs &amp; Assumptions'!$B$8+'I_Inputs &amp; Assumptions'!$B$10,"Lease-Up",IF(A115&lt;='I_Inputs &amp; Assumptions'!$B$8+'I_Inputs &amp; Assumptions'!$B$10+'I_Inputs &amp; Assumptions'!$B$11,"Stabilized","Exit")))</f>
        <v>Exit</v>
      </c>
      <c r="D115" s="167">
        <f t="shared" si="9"/>
        <v>30</v>
      </c>
      <c r="E115" s="167" t="str">
        <f t="shared" si="10"/>
        <v/>
      </c>
      <c r="F115" s="167" t="str">
        <f>IF(C115="Stabilized",A115-'I_Inputs &amp; Assumptions'!$B$8-'I_Inputs &amp; Assumptions'!$B$10,"")</f>
        <v/>
      </c>
      <c r="G115" s="167">
        <f t="shared" si="11"/>
        <v>2034</v>
      </c>
    </row>
    <row r="116" spans="1:7" ht="15" customHeight="1" x14ac:dyDescent="0.2">
      <c r="A116" s="167">
        <v>113</v>
      </c>
      <c r="B116" s="168">
        <f>EOMONTH('I_Inputs &amp; Assumptions'!$B$7,112)</f>
        <v>49156</v>
      </c>
      <c r="C116" s="167" t="str">
        <f>IF(A116&lt;='I_Inputs &amp; Assumptions'!$B$8,"Construction",IF(A116&lt;='I_Inputs &amp; Assumptions'!$B$8+'I_Inputs &amp; Assumptions'!$B$10,"Lease-Up",IF(A116&lt;='I_Inputs &amp; Assumptions'!$B$8+'I_Inputs &amp; Assumptions'!$B$10+'I_Inputs &amp; Assumptions'!$B$11,"Stabilized","Exit")))</f>
        <v>Exit</v>
      </c>
      <c r="D116" s="167">
        <f t="shared" si="9"/>
        <v>31</v>
      </c>
      <c r="E116" s="167" t="str">
        <f t="shared" si="10"/>
        <v/>
      </c>
      <c r="F116" s="167" t="str">
        <f>IF(C116="Stabilized",A116-'I_Inputs &amp; Assumptions'!$B$8-'I_Inputs &amp; Assumptions'!$B$10,"")</f>
        <v/>
      </c>
      <c r="G116" s="167">
        <f t="shared" si="11"/>
        <v>2034</v>
      </c>
    </row>
    <row r="117" spans="1:7" ht="15" customHeight="1" x14ac:dyDescent="0.2">
      <c r="A117" s="167">
        <v>114</v>
      </c>
      <c r="B117" s="168">
        <f>EOMONTH('I_Inputs &amp; Assumptions'!$B$7,113)</f>
        <v>49187</v>
      </c>
      <c r="C117" s="167" t="str">
        <f>IF(A117&lt;='I_Inputs &amp; Assumptions'!$B$8,"Construction",IF(A117&lt;='I_Inputs &amp; Assumptions'!$B$8+'I_Inputs &amp; Assumptions'!$B$10,"Lease-Up",IF(A117&lt;='I_Inputs &amp; Assumptions'!$B$8+'I_Inputs &amp; Assumptions'!$B$10+'I_Inputs &amp; Assumptions'!$B$11,"Stabilized","Exit")))</f>
        <v>Exit</v>
      </c>
      <c r="D117" s="167">
        <f t="shared" si="9"/>
        <v>31</v>
      </c>
      <c r="E117" s="167" t="str">
        <f t="shared" si="10"/>
        <v/>
      </c>
      <c r="F117" s="167" t="str">
        <f>IF(C117="Stabilized",A117-'I_Inputs &amp; Assumptions'!$B$8-'I_Inputs &amp; Assumptions'!$B$10,"")</f>
        <v/>
      </c>
      <c r="G117" s="167">
        <f t="shared" si="11"/>
        <v>2034</v>
      </c>
    </row>
    <row r="118" spans="1:7" ht="15" customHeight="1" x14ac:dyDescent="0.2">
      <c r="A118" s="167">
        <v>115</v>
      </c>
      <c r="B118" s="168">
        <f>EOMONTH('I_Inputs &amp; Assumptions'!$B$7,114)</f>
        <v>49217</v>
      </c>
      <c r="C118" s="167" t="str">
        <f>IF(A118&lt;='I_Inputs &amp; Assumptions'!$B$8,"Construction",IF(A118&lt;='I_Inputs &amp; Assumptions'!$B$8+'I_Inputs &amp; Assumptions'!$B$10,"Lease-Up",IF(A118&lt;='I_Inputs &amp; Assumptions'!$B$8+'I_Inputs &amp; Assumptions'!$B$10+'I_Inputs &amp; Assumptions'!$B$11,"Stabilized","Exit")))</f>
        <v>Exit</v>
      </c>
      <c r="D118" s="167">
        <f t="shared" si="9"/>
        <v>30</v>
      </c>
      <c r="E118" s="167" t="str">
        <f t="shared" si="10"/>
        <v/>
      </c>
      <c r="F118" s="167" t="str">
        <f>IF(C118="Stabilized",A118-'I_Inputs &amp; Assumptions'!$B$8-'I_Inputs &amp; Assumptions'!$B$10,"")</f>
        <v/>
      </c>
      <c r="G118" s="167">
        <f t="shared" si="11"/>
        <v>2034</v>
      </c>
    </row>
    <row r="119" spans="1:7" ht="15" customHeight="1" x14ac:dyDescent="0.2">
      <c r="A119" s="167">
        <v>116</v>
      </c>
      <c r="B119" s="168">
        <f>EOMONTH('I_Inputs &amp; Assumptions'!$B$7,115)</f>
        <v>49248</v>
      </c>
      <c r="C119" s="167" t="str">
        <f>IF(A119&lt;='I_Inputs &amp; Assumptions'!$B$8,"Construction",IF(A119&lt;='I_Inputs &amp; Assumptions'!$B$8+'I_Inputs &amp; Assumptions'!$B$10,"Lease-Up",IF(A119&lt;='I_Inputs &amp; Assumptions'!$B$8+'I_Inputs &amp; Assumptions'!$B$10+'I_Inputs &amp; Assumptions'!$B$11,"Stabilized","Exit")))</f>
        <v>Exit</v>
      </c>
      <c r="D119" s="167">
        <f t="shared" si="9"/>
        <v>31</v>
      </c>
      <c r="E119" s="167" t="str">
        <f t="shared" si="10"/>
        <v/>
      </c>
      <c r="F119" s="167" t="str">
        <f>IF(C119="Stabilized",A119-'I_Inputs &amp; Assumptions'!$B$8-'I_Inputs &amp; Assumptions'!$B$10,"")</f>
        <v/>
      </c>
      <c r="G119" s="167">
        <f t="shared" si="11"/>
        <v>2034</v>
      </c>
    </row>
    <row r="120" spans="1:7" ht="15" customHeight="1" x14ac:dyDescent="0.2">
      <c r="A120" s="167">
        <v>117</v>
      </c>
      <c r="B120" s="168">
        <f>EOMONTH('I_Inputs &amp; Assumptions'!$B$7,116)</f>
        <v>49278</v>
      </c>
      <c r="C120" s="167" t="str">
        <f>IF(A120&lt;='I_Inputs &amp; Assumptions'!$B$8,"Construction",IF(A120&lt;='I_Inputs &amp; Assumptions'!$B$8+'I_Inputs &amp; Assumptions'!$B$10,"Lease-Up",IF(A120&lt;='I_Inputs &amp; Assumptions'!$B$8+'I_Inputs &amp; Assumptions'!$B$10+'I_Inputs &amp; Assumptions'!$B$11,"Stabilized","Exit")))</f>
        <v>Exit</v>
      </c>
      <c r="D120" s="167">
        <f t="shared" si="9"/>
        <v>30</v>
      </c>
      <c r="E120" s="167" t="str">
        <f t="shared" si="10"/>
        <v/>
      </c>
      <c r="F120" s="167" t="str">
        <f>IF(C120="Stabilized",A120-'I_Inputs &amp; Assumptions'!$B$8-'I_Inputs &amp; Assumptions'!$B$10,"")</f>
        <v/>
      </c>
      <c r="G120" s="167">
        <f t="shared" si="11"/>
        <v>2034</v>
      </c>
    </row>
    <row r="121" spans="1:7" ht="15" customHeight="1" x14ac:dyDescent="0.2">
      <c r="A121" s="167">
        <v>118</v>
      </c>
      <c r="B121" s="168">
        <f>EOMONTH('I_Inputs &amp; Assumptions'!$B$7,117)</f>
        <v>49309</v>
      </c>
      <c r="C121" s="167" t="str">
        <f>IF(A121&lt;='I_Inputs &amp; Assumptions'!$B$8,"Construction",IF(A121&lt;='I_Inputs &amp; Assumptions'!$B$8+'I_Inputs &amp; Assumptions'!$B$10,"Lease-Up",IF(A121&lt;='I_Inputs &amp; Assumptions'!$B$8+'I_Inputs &amp; Assumptions'!$B$10+'I_Inputs &amp; Assumptions'!$B$11,"Stabilized","Exit")))</f>
        <v>Exit</v>
      </c>
      <c r="D121" s="167">
        <f t="shared" si="9"/>
        <v>31</v>
      </c>
      <c r="E121" s="167" t="str">
        <f t="shared" si="10"/>
        <v/>
      </c>
      <c r="F121" s="167" t="str">
        <f>IF(C121="Stabilized",A121-'I_Inputs &amp; Assumptions'!$B$8-'I_Inputs &amp; Assumptions'!$B$10,"")</f>
        <v/>
      </c>
      <c r="G121" s="167">
        <f t="shared" si="11"/>
        <v>2034</v>
      </c>
    </row>
    <row r="122" spans="1:7" ht="15" customHeight="1" x14ac:dyDescent="0.2">
      <c r="A122" s="167">
        <v>119</v>
      </c>
      <c r="B122" s="168">
        <f>EOMONTH('I_Inputs &amp; Assumptions'!$B$7,118)</f>
        <v>49340</v>
      </c>
      <c r="C122" s="167" t="str">
        <f>IF(A122&lt;='I_Inputs &amp; Assumptions'!$B$8,"Construction",IF(A122&lt;='I_Inputs &amp; Assumptions'!$B$8+'I_Inputs &amp; Assumptions'!$B$10,"Lease-Up",IF(A122&lt;='I_Inputs &amp; Assumptions'!$B$8+'I_Inputs &amp; Assumptions'!$B$10+'I_Inputs &amp; Assumptions'!$B$11,"Stabilized","Exit")))</f>
        <v>Exit</v>
      </c>
      <c r="D122" s="167">
        <f t="shared" si="9"/>
        <v>31</v>
      </c>
      <c r="E122" s="167" t="str">
        <f t="shared" si="10"/>
        <v/>
      </c>
      <c r="F122" s="167" t="str">
        <f>IF(C122="Stabilized",A122-'I_Inputs &amp; Assumptions'!$B$8-'I_Inputs &amp; Assumptions'!$B$10,"")</f>
        <v/>
      </c>
      <c r="G122" s="167">
        <f t="shared" si="11"/>
        <v>2035</v>
      </c>
    </row>
    <row r="123" spans="1:7" ht="15" customHeight="1" x14ac:dyDescent="0.2">
      <c r="A123" s="167">
        <v>120</v>
      </c>
      <c r="B123" s="168">
        <f>EOMONTH('I_Inputs &amp; Assumptions'!$B$7,119)</f>
        <v>49368</v>
      </c>
      <c r="C123" s="167" t="str">
        <f>IF(A123&lt;='I_Inputs &amp; Assumptions'!$B$8,"Construction",IF(A123&lt;='I_Inputs &amp; Assumptions'!$B$8+'I_Inputs &amp; Assumptions'!$B$10,"Lease-Up",IF(A123&lt;='I_Inputs &amp; Assumptions'!$B$8+'I_Inputs &amp; Assumptions'!$B$10+'I_Inputs &amp; Assumptions'!$B$11,"Stabilized","Exit")))</f>
        <v>Exit</v>
      </c>
      <c r="D123" s="167">
        <f t="shared" si="9"/>
        <v>28</v>
      </c>
      <c r="E123" s="167" t="str">
        <f t="shared" si="10"/>
        <v/>
      </c>
      <c r="F123" s="167" t="str">
        <f>IF(C123="Stabilized",A123-'I_Inputs &amp; Assumptions'!$B$8-'I_Inputs &amp; Assumptions'!$B$10,"")</f>
        <v/>
      </c>
      <c r="G123" s="167">
        <f t="shared" si="11"/>
        <v>2035</v>
      </c>
    </row>
    <row r="124" spans="1:7" ht="15.75" customHeight="1" x14ac:dyDescent="0.2"/>
    <row r="125" spans="1:7" ht="15.75" customHeight="1" x14ac:dyDescent="0.2"/>
    <row r="126" spans="1:7" ht="15.75" customHeight="1" x14ac:dyDescent="0.2"/>
    <row r="127" spans="1:7" ht="15.75" customHeight="1" x14ac:dyDescent="0.2"/>
    <row r="128" spans="1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tabSelected="1" topLeftCell="A2" zoomScaleNormal="100" zoomScalePageLayoutView="60" workbookViewId="0">
      <selection activeCell="B20" sqref="B20"/>
    </sheetView>
  </sheetViews>
  <sheetFormatPr baseColWidth="10" defaultColWidth="14.5" defaultRowHeight="15" customHeight="1" x14ac:dyDescent="0.2"/>
  <cols>
    <col min="1" max="1" width="38" customWidth="1"/>
    <col min="2" max="2" width="18" customWidth="1"/>
    <col min="3" max="3" width="16" customWidth="1"/>
    <col min="4" max="4" width="22" customWidth="1"/>
    <col min="5" max="5" width="8.6640625" customWidth="1"/>
    <col min="6" max="6" width="9.1640625" customWidth="1"/>
    <col min="7" max="26" width="8.6640625" customWidth="1"/>
  </cols>
  <sheetData>
    <row r="1" spans="1:4" ht="18" customHeight="1" x14ac:dyDescent="0.2">
      <c r="A1" s="169" t="s">
        <v>671</v>
      </c>
    </row>
    <row r="2" spans="1:4" ht="15" customHeight="1" x14ac:dyDescent="0.2">
      <c r="A2" s="170" t="str">
        <f>'I_Inputs &amp; Assumptions'!B5</f>
        <v>Campus Adele</v>
      </c>
    </row>
    <row r="4" spans="1:4" ht="15" customHeight="1" x14ac:dyDescent="0.2">
      <c r="A4" s="171" t="s">
        <v>672</v>
      </c>
      <c r="B4" s="172" t="s">
        <v>89</v>
      </c>
      <c r="C4" s="172" t="s">
        <v>90</v>
      </c>
      <c r="D4" s="172" t="s">
        <v>406</v>
      </c>
    </row>
    <row r="5" spans="1:4" ht="15" customHeight="1" x14ac:dyDescent="0.2">
      <c r="A5" s="26" t="s">
        <v>673</v>
      </c>
      <c r="B5" s="173">
        <f>COUNTA('I_Unit Rent Roll Data'!A5:A94)</f>
        <v>64</v>
      </c>
      <c r="D5" s="174" t="s">
        <v>674</v>
      </c>
    </row>
    <row r="6" spans="1:4" ht="15" customHeight="1" x14ac:dyDescent="0.2">
      <c r="A6" s="26" t="s">
        <v>675</v>
      </c>
      <c r="B6" s="57">
        <f>SUM('I_Unit Rent Roll Data'!F5:F5000)</f>
        <v>121408</v>
      </c>
      <c r="D6" s="174" t="s">
        <v>676</v>
      </c>
    </row>
    <row r="7" spans="1:4" ht="15" customHeight="1" x14ac:dyDescent="0.2">
      <c r="A7" s="34" t="s">
        <v>677</v>
      </c>
      <c r="B7" s="175">
        <f>B6*12</f>
        <v>1456896</v>
      </c>
      <c r="C7" s="176">
        <f>'I_Inputs &amp; Assumptions'!B79</f>
        <v>0.02</v>
      </c>
      <c r="D7" s="174" t="s">
        <v>678</v>
      </c>
    </row>
    <row r="9" spans="1:4" ht="15" customHeight="1" x14ac:dyDescent="0.2">
      <c r="A9" s="171" t="s">
        <v>679</v>
      </c>
      <c r="B9" s="177"/>
      <c r="C9" s="177"/>
      <c r="D9" s="177"/>
    </row>
    <row r="10" spans="1:4" ht="15" customHeight="1" x14ac:dyDescent="0.2">
      <c r="A10" s="26" t="s">
        <v>98</v>
      </c>
      <c r="B10" s="57">
        <f>B5*'I_Inputs &amp; Assumptions'!B76*12</f>
        <v>38400</v>
      </c>
      <c r="C10" s="176">
        <f>'I_Inputs &amp; Assumptions'!B82</f>
        <v>1.4999999999999999E-2</v>
      </c>
      <c r="D10" s="170" t="str">
        <f>'I_Inputs &amp; Assumptions'!B76&amp;" $/unit/mo"</f>
        <v>50 $/unit/mo</v>
      </c>
    </row>
    <row r="11" spans="1:4" ht="15" customHeight="1" x14ac:dyDescent="0.2">
      <c r="A11" s="26" t="s">
        <v>680</v>
      </c>
      <c r="B11" s="57">
        <f>'I_Inputs &amp; Assumptions'!B74*'I_Inputs &amp; Assumptions'!B75*12</f>
        <v>42300</v>
      </c>
      <c r="C11" s="176">
        <f>'I_Inputs &amp; Assumptions'!B82</f>
        <v>1.4999999999999999E-2</v>
      </c>
      <c r="D11" s="170" t="str">
        <f>'I_Inputs &amp; Assumptions'!B74&amp;" spaces @ $"&amp;'I_Inputs &amp; Assumptions'!B75&amp;"/mo"</f>
        <v>47 spaces @ $75/mo</v>
      </c>
    </row>
    <row r="12" spans="1:4" ht="15" customHeight="1" x14ac:dyDescent="0.2">
      <c r="A12" s="26" t="s">
        <v>77</v>
      </c>
      <c r="B12" s="57">
        <f>'I_Inputs &amp; Assumptions'!B77*'I_Inputs &amp; Assumptions'!B78*12</f>
        <v>22800</v>
      </c>
      <c r="C12" s="176">
        <f>'I_Inputs &amp; Assumptions'!B82</f>
        <v>1.4999999999999999E-2</v>
      </c>
      <c r="D12" s="170" t="str">
        <f>'I_Inputs &amp; Assumptions'!B77&amp;" stations @ $"&amp;'I_Inputs &amp; Assumptions'!B78&amp;"/mo"</f>
        <v>50 stations @ $38/mo</v>
      </c>
    </row>
    <row r="13" spans="1:4" ht="15" customHeight="1" x14ac:dyDescent="0.2">
      <c r="A13" s="34" t="s">
        <v>681</v>
      </c>
      <c r="B13" s="175">
        <f>SUM(B10:B12)</f>
        <v>103500</v>
      </c>
    </row>
    <row r="15" spans="1:4" ht="15" customHeight="1" x14ac:dyDescent="0.2">
      <c r="A15" s="171" t="s">
        <v>682</v>
      </c>
      <c r="B15" s="178">
        <f>B7+B13</f>
        <v>1560396</v>
      </c>
      <c r="C15" s="177"/>
      <c r="D15" s="177"/>
    </row>
    <row r="16" spans="1:4" ht="15" customHeight="1" x14ac:dyDescent="0.2">
      <c r="A16" s="26" t="s">
        <v>683</v>
      </c>
      <c r="B16" s="57">
        <f>-B15*'I_Inputs &amp; Assumptions'!B81</f>
        <v>-93623.76</v>
      </c>
      <c r="C16" s="176">
        <f>'I_Inputs &amp; Assumptions'!B81</f>
        <v>0.06</v>
      </c>
    </row>
    <row r="17" spans="1:4" ht="15" customHeight="1" x14ac:dyDescent="0.2">
      <c r="A17" s="34" t="s">
        <v>684</v>
      </c>
      <c r="B17" s="179">
        <f>B15+B16</f>
        <v>1466772.24</v>
      </c>
    </row>
    <row r="19" spans="1:4" ht="15" customHeight="1" x14ac:dyDescent="0.2">
      <c r="A19" s="171" t="s">
        <v>83</v>
      </c>
      <c r="B19" s="172" t="s">
        <v>89</v>
      </c>
      <c r="C19" s="172" t="s">
        <v>90</v>
      </c>
      <c r="D19" s="172" t="s">
        <v>685</v>
      </c>
    </row>
    <row r="20" spans="1:4" ht="15" customHeight="1" x14ac:dyDescent="0.2">
      <c r="A20" s="34" t="s">
        <v>686</v>
      </c>
      <c r="B20" s="57">
        <f>'I_Inputs &amp; Assumptions'!B17</f>
        <v>15000000</v>
      </c>
      <c r="D20" s="174" t="s">
        <v>687</v>
      </c>
    </row>
    <row r="21" spans="1:4" ht="15" customHeight="1" x14ac:dyDescent="0.2">
      <c r="A21" s="26" t="s">
        <v>688</v>
      </c>
      <c r="B21" s="57">
        <f>B20*'I_Inputs &amp; Assumptions'!B84</f>
        <v>112500</v>
      </c>
      <c r="C21" s="176">
        <f>'I_Inputs &amp; Assumptions'!B87</f>
        <v>0</v>
      </c>
      <c r="D21" s="170" t="str">
        <f>TEXT('I_Inputs &amp; Assumptions'!B84,"0.000%")&amp;" mill rate"</f>
        <v>0.750% mill rate</v>
      </c>
    </row>
    <row r="22" spans="1:4" ht="15" customHeight="1" x14ac:dyDescent="0.2">
      <c r="A22" s="26" t="s">
        <v>689</v>
      </c>
      <c r="B22" s="57">
        <f>B20*'I_Inputs &amp; Assumptions'!B85</f>
        <v>23400</v>
      </c>
      <c r="C22" s="176">
        <f>'I_Inputs &amp; Assumptions'!B87</f>
        <v>0</v>
      </c>
      <c r="D22" s="170" t="str">
        <f>TEXT('I_Inputs &amp; Assumptions'!B85,"0.0000%")&amp;" mill rate"</f>
        <v>0.1560% mill rate</v>
      </c>
    </row>
    <row r="23" spans="1:4" ht="15" customHeight="1" x14ac:dyDescent="0.2">
      <c r="A23" s="26" t="s">
        <v>91</v>
      </c>
      <c r="B23" s="57">
        <f>'I_Inputs &amp; Assumptions'!B89</f>
        <v>16989</v>
      </c>
      <c r="C23" s="176">
        <f>'I_Inputs &amp; Assumptions'!C89</f>
        <v>0.01</v>
      </c>
      <c r="D23" s="174" t="s">
        <v>690</v>
      </c>
    </row>
    <row r="24" spans="1:4" ht="15" customHeight="1" x14ac:dyDescent="0.2">
      <c r="A24" s="26" t="s">
        <v>92</v>
      </c>
      <c r="B24" s="57">
        <f>'I_Inputs &amp; Assumptions'!B90</f>
        <v>38400</v>
      </c>
      <c r="C24" s="176">
        <f>'I_Inputs &amp; Assumptions'!C90</f>
        <v>0.01</v>
      </c>
      <c r="D24" s="174" t="s">
        <v>690</v>
      </c>
    </row>
    <row r="25" spans="1:4" ht="15" customHeight="1" x14ac:dyDescent="0.2">
      <c r="A25" s="26" t="s">
        <v>93</v>
      </c>
      <c r="B25" s="57">
        <f>'I_Inputs &amp; Assumptions'!B91</f>
        <v>2000</v>
      </c>
      <c r="C25" s="176">
        <f>'I_Inputs &amp; Assumptions'!C91</f>
        <v>0.01</v>
      </c>
      <c r="D25" s="174" t="s">
        <v>690</v>
      </c>
    </row>
    <row r="26" spans="1:4" ht="15" customHeight="1" x14ac:dyDescent="0.2">
      <c r="A26" s="26" t="s">
        <v>94</v>
      </c>
      <c r="B26" s="57">
        <f>'I_Inputs &amp; Assumptions'!B92</f>
        <v>23000</v>
      </c>
      <c r="C26" s="176">
        <f>'I_Inputs &amp; Assumptions'!C92</f>
        <v>0.01</v>
      </c>
      <c r="D26" s="174" t="s">
        <v>690</v>
      </c>
    </row>
    <row r="27" spans="1:4" ht="15" customHeight="1" x14ac:dyDescent="0.2">
      <c r="A27" s="26" t="s">
        <v>95</v>
      </c>
      <c r="B27" s="57">
        <f>'I_Inputs &amp; Assumptions'!B93</f>
        <v>23000</v>
      </c>
      <c r="C27" s="176">
        <f>'I_Inputs &amp; Assumptions'!C93</f>
        <v>0.01</v>
      </c>
      <c r="D27" s="174" t="s">
        <v>690</v>
      </c>
    </row>
    <row r="28" spans="1:4" ht="15" customHeight="1" x14ac:dyDescent="0.2">
      <c r="A28" s="26" t="s">
        <v>96</v>
      </c>
      <c r="B28" s="57">
        <f>'I_Inputs &amp; Assumptions'!B94</f>
        <v>7650</v>
      </c>
      <c r="C28" s="176">
        <f>'I_Inputs &amp; Assumptions'!C94</f>
        <v>0.01</v>
      </c>
      <c r="D28" s="174" t="s">
        <v>690</v>
      </c>
    </row>
    <row r="29" spans="1:4" ht="15" customHeight="1" x14ac:dyDescent="0.2">
      <c r="A29" s="26" t="s">
        <v>97</v>
      </c>
      <c r="B29" s="57">
        <f>'I_Inputs &amp; Assumptions'!B95</f>
        <v>9000</v>
      </c>
      <c r="C29" s="176">
        <f>'I_Inputs &amp; Assumptions'!C95</f>
        <v>0.01</v>
      </c>
      <c r="D29" s="174" t="s">
        <v>690</v>
      </c>
    </row>
    <row r="30" spans="1:4" ht="15" customHeight="1" x14ac:dyDescent="0.2">
      <c r="A30" s="26" t="s">
        <v>691</v>
      </c>
      <c r="B30" s="57">
        <f>'I_Inputs &amp; Assumptions'!B96</f>
        <v>20000</v>
      </c>
      <c r="C30" s="176">
        <f>'I_Inputs &amp; Assumptions'!C96</f>
        <v>0.01</v>
      </c>
      <c r="D30" s="174" t="s">
        <v>690</v>
      </c>
    </row>
    <row r="31" spans="1:4" ht="15" customHeight="1" x14ac:dyDescent="0.2">
      <c r="A31" s="26" t="s">
        <v>692</v>
      </c>
      <c r="B31" s="57">
        <f>'I_Inputs &amp; Assumptions'!B97</f>
        <v>5000</v>
      </c>
      <c r="C31" s="176">
        <f>'I_Inputs &amp; Assumptions'!C97</f>
        <v>0.01</v>
      </c>
      <c r="D31" s="174" t="s">
        <v>690</v>
      </c>
    </row>
    <row r="32" spans="1:4" ht="15" customHeight="1" x14ac:dyDescent="0.2">
      <c r="A32" s="26" t="s">
        <v>99</v>
      </c>
      <c r="B32" s="57">
        <f>'I_Inputs &amp; Assumptions'!B98</f>
        <v>12200</v>
      </c>
      <c r="C32" s="176">
        <f>'I_Inputs &amp; Assumptions'!C98</f>
        <v>0.01</v>
      </c>
      <c r="D32" s="174" t="s">
        <v>690</v>
      </c>
    </row>
    <row r="33" spans="1:4" ht="15" customHeight="1" x14ac:dyDescent="0.2">
      <c r="A33" s="26" t="s">
        <v>100</v>
      </c>
      <c r="B33" s="57">
        <f>B17*'I_Inputs &amp; Assumptions'!B99</f>
        <v>44003.167199999996</v>
      </c>
      <c r="C33" s="176">
        <f>'I_Inputs &amp; Assumptions'!C99</f>
        <v>0</v>
      </c>
      <c r="D33" s="170" t="str">
        <f>TEXT('I_Inputs &amp; Assumptions'!B99,"0.0%")&amp;" of EGI"</f>
        <v>3.0% of EGI</v>
      </c>
    </row>
    <row r="34" spans="1:4" ht="15" customHeight="1" x14ac:dyDescent="0.2">
      <c r="A34" s="26" t="s">
        <v>693</v>
      </c>
      <c r="B34" s="57">
        <f>B5*'I_Inputs &amp; Assumptions'!B102</f>
        <v>44800</v>
      </c>
      <c r="C34" s="176">
        <f>'I_Inputs &amp; Assumptions'!D102</f>
        <v>0.01</v>
      </c>
      <c r="D34" s="170" t="str">
        <f>'I_Inputs &amp; Assumptions'!B102&amp;" $/unit/year"</f>
        <v>700 $/unit/year</v>
      </c>
    </row>
    <row r="35" spans="1:4" ht="15" customHeight="1" x14ac:dyDescent="0.2">
      <c r="A35" s="26" t="s">
        <v>694</v>
      </c>
      <c r="B35" s="57">
        <f>B17*'I_Inputs &amp; Assumptions'!B103</f>
        <v>11000.791799999999</v>
      </c>
      <c r="C35" s="176">
        <f>'I_Inputs &amp; Assumptions'!D103</f>
        <v>0.01</v>
      </c>
      <c r="D35" s="170" t="str">
        <f>TEXT('I_Inputs &amp; Assumptions'!B103,"0.0%")&amp;" of EGI"</f>
        <v>0.8% of EGI</v>
      </c>
    </row>
    <row r="36" spans="1:4" ht="15.75" customHeight="1" x14ac:dyDescent="0.2"/>
    <row r="37" spans="1:4" ht="15" customHeight="1" x14ac:dyDescent="0.2">
      <c r="A37" s="34" t="s">
        <v>695</v>
      </c>
      <c r="B37" s="175">
        <f>SUM(B21:B35)</f>
        <v>392942.95900000003</v>
      </c>
    </row>
    <row r="38" spans="1:4" ht="15.75" customHeight="1" x14ac:dyDescent="0.2"/>
    <row r="39" spans="1:4" ht="15" customHeight="1" x14ac:dyDescent="0.2">
      <c r="A39" s="171" t="s">
        <v>696</v>
      </c>
      <c r="B39" s="181">
        <f>B17-B37</f>
        <v>1073829.281</v>
      </c>
      <c r="C39" s="177"/>
      <c r="D39" s="177"/>
    </row>
    <row r="40" spans="1:4" ht="15.75" customHeight="1" x14ac:dyDescent="0.2"/>
    <row r="41" spans="1:4" ht="15" customHeight="1" x14ac:dyDescent="0.2">
      <c r="A41" s="171" t="s">
        <v>697</v>
      </c>
      <c r="B41" s="177"/>
      <c r="C41" s="177"/>
      <c r="D41" s="177"/>
    </row>
    <row r="42" spans="1:4" ht="15" customHeight="1" x14ac:dyDescent="0.2">
      <c r="A42" s="26" t="s">
        <v>117</v>
      </c>
      <c r="B42" s="176">
        <f>'I_Inputs &amp; Assumptions'!B116</f>
        <v>4.4999999999999998E-2</v>
      </c>
    </row>
    <row r="43" spans="1:4" ht="15" customHeight="1" x14ac:dyDescent="0.2">
      <c r="A43" s="26" t="s">
        <v>698</v>
      </c>
      <c r="B43" s="73">
        <f>B39/B42</f>
        <v>23862872.911111113</v>
      </c>
    </row>
    <row r="44" spans="1:4" ht="15" customHeight="1" x14ac:dyDescent="0.2">
      <c r="A44" s="26" t="s">
        <v>699</v>
      </c>
      <c r="B44" s="176">
        <f>B45/B43</f>
        <v>0.7962159489670313</v>
      </c>
      <c r="D44" s="174" t="s">
        <v>700</v>
      </c>
    </row>
    <row r="45" spans="1:4" ht="15" customHeight="1" x14ac:dyDescent="0.2">
      <c r="A45" s="34" t="s">
        <v>57</v>
      </c>
      <c r="B45" s="182">
        <f>'I_Inputs &amp; Assumptions'!B59</f>
        <v>19000000</v>
      </c>
      <c r="D45" s="174" t="s">
        <v>701</v>
      </c>
    </row>
    <row r="46" spans="1:4" ht="15" customHeight="1" x14ac:dyDescent="0.2">
      <c r="A46" s="26" t="s">
        <v>61</v>
      </c>
      <c r="B46" s="176">
        <f>'I_Inputs &amp; Assumptions'!B60+'I_Inputs &amp; Assumptions'!B61+'I_Inputs &amp; Assumptions'!B62</f>
        <v>3.7399999999999996E-2</v>
      </c>
    </row>
    <row r="47" spans="1:4" ht="15" customHeight="1" x14ac:dyDescent="0.2">
      <c r="A47" s="26" t="s">
        <v>702</v>
      </c>
      <c r="B47" s="183">
        <f>'I_Inputs &amp; Assumptions'!B64</f>
        <v>50</v>
      </c>
    </row>
    <row r="48" spans="1:4" ht="15" customHeight="1" x14ac:dyDescent="0.2">
      <c r="A48" s="26" t="s">
        <v>703</v>
      </c>
      <c r="B48" s="73">
        <f>-PMT(B46/12,B47*12,B45)</f>
        <v>70043.460295947298</v>
      </c>
    </row>
    <row r="49" spans="1:2" ht="15" customHeight="1" x14ac:dyDescent="0.2">
      <c r="A49" s="26" t="s">
        <v>704</v>
      </c>
      <c r="B49" s="73">
        <f>B48*12</f>
        <v>840521.52355136757</v>
      </c>
    </row>
    <row r="50" spans="1:2" ht="15" customHeight="1" x14ac:dyDescent="0.2">
      <c r="A50" s="34" t="s">
        <v>705</v>
      </c>
      <c r="B50" s="184">
        <f>B39/B49</f>
        <v>1.2775749947043136</v>
      </c>
    </row>
    <row r="51" spans="1:2" ht="15" customHeight="1" x14ac:dyDescent="0.2">
      <c r="A51" s="26" t="s">
        <v>64</v>
      </c>
      <c r="B51" s="185">
        <f>'I_Inputs &amp; Assumptions'!B65</f>
        <v>1.1000000000000001</v>
      </c>
    </row>
    <row r="52" spans="1:2" ht="15" customHeight="1" x14ac:dyDescent="0.2">
      <c r="A52" s="34" t="s">
        <v>706</v>
      </c>
      <c r="B52" s="26" t="str">
        <f>IF(B50&gt;=B51,"PASS","FAIL - Reduce Loan")</f>
        <v>PASS</v>
      </c>
    </row>
    <row r="53" spans="1:2" ht="15.75" customHeight="1" x14ac:dyDescent="0.2"/>
    <row r="54" spans="1:2" ht="15.75" customHeight="1" x14ac:dyDescent="0.2"/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zoomScaleNormal="100" zoomScalePageLayoutView="60" workbookViewId="0">
      <selection activeCell="C13" sqref="C13"/>
    </sheetView>
  </sheetViews>
  <sheetFormatPr baseColWidth="10" defaultColWidth="14.5" defaultRowHeight="15" customHeight="1" x14ac:dyDescent="0.2"/>
  <cols>
    <col min="1" max="1" width="8" customWidth="1"/>
    <col min="2" max="2" width="15" customWidth="1"/>
    <col min="3" max="3" width="18" customWidth="1"/>
    <col min="4" max="6" width="16" customWidth="1"/>
    <col min="7" max="7" width="18" customWidth="1"/>
    <col min="8" max="26" width="8.6640625" customWidth="1"/>
  </cols>
  <sheetData>
    <row r="1" spans="1:7" ht="18" customHeight="1" x14ac:dyDescent="0.2">
      <c r="A1" s="169" t="s">
        <v>707</v>
      </c>
    </row>
    <row r="3" spans="1:7" ht="15" customHeight="1" x14ac:dyDescent="0.2">
      <c r="A3" s="171" t="s">
        <v>708</v>
      </c>
      <c r="B3" s="177"/>
      <c r="C3" s="177"/>
    </row>
    <row r="4" spans="1:7" ht="15" customHeight="1" x14ac:dyDescent="0.2">
      <c r="A4" s="26" t="s">
        <v>45</v>
      </c>
      <c r="B4" s="57">
        <f>OPEX!B45</f>
        <v>19000000</v>
      </c>
    </row>
    <row r="5" spans="1:7" ht="15" customHeight="1" x14ac:dyDescent="0.2">
      <c r="A5" s="26" t="s">
        <v>405</v>
      </c>
      <c r="B5" s="176">
        <f>OPEX!B46</f>
        <v>3.7399999999999996E-2</v>
      </c>
    </row>
    <row r="6" spans="1:7" ht="15" customHeight="1" x14ac:dyDescent="0.2">
      <c r="A6" s="26" t="s">
        <v>709</v>
      </c>
      <c r="B6" s="186">
        <f>B5/12</f>
        <v>3.1166666666666665E-3</v>
      </c>
    </row>
    <row r="7" spans="1:7" ht="15" customHeight="1" x14ac:dyDescent="0.2">
      <c r="A7" s="26" t="s">
        <v>710</v>
      </c>
      <c r="B7" s="183">
        <f>OPEX!B47</f>
        <v>50</v>
      </c>
      <c r="C7" s="26" t="s">
        <v>63</v>
      </c>
    </row>
    <row r="8" spans="1:7" ht="15" customHeight="1" x14ac:dyDescent="0.2">
      <c r="A8" s="26" t="s">
        <v>711</v>
      </c>
      <c r="B8" s="187">
        <f>B7*12</f>
        <v>600</v>
      </c>
    </row>
    <row r="9" spans="1:7" ht="15" customHeight="1" x14ac:dyDescent="0.2">
      <c r="A9" s="26" t="s">
        <v>712</v>
      </c>
      <c r="B9" s="183">
        <f>'I_Inputs &amp; Assumptions'!B11</f>
        <v>60</v>
      </c>
      <c r="C9" s="26" t="s">
        <v>10</v>
      </c>
    </row>
    <row r="10" spans="1:7" ht="15" customHeight="1" x14ac:dyDescent="0.2">
      <c r="A10" s="34" t="s">
        <v>713</v>
      </c>
      <c r="B10" s="73">
        <f>-PMT(B6,B8,B4)</f>
        <v>70043.460295947298</v>
      </c>
    </row>
    <row r="12" spans="1:7" ht="15" customHeight="1" x14ac:dyDescent="0.2">
      <c r="A12" s="172" t="s">
        <v>606</v>
      </c>
      <c r="B12" s="172" t="s">
        <v>607</v>
      </c>
      <c r="C12" s="172" t="s">
        <v>714</v>
      </c>
      <c r="D12" s="172" t="s">
        <v>715</v>
      </c>
      <c r="E12" s="172" t="s">
        <v>716</v>
      </c>
      <c r="F12" s="172" t="s">
        <v>717</v>
      </c>
      <c r="G12" s="172" t="s">
        <v>718</v>
      </c>
    </row>
    <row r="13" spans="1:7" ht="15" customHeight="1" x14ac:dyDescent="0.2">
      <c r="A13" s="183">
        <f>'Time Axis'!A29</f>
        <v>26</v>
      </c>
      <c r="B13" s="188">
        <f>'Time Axis'!B29</f>
        <v>46507</v>
      </c>
      <c r="C13" s="73">
        <f>B4</f>
        <v>19000000</v>
      </c>
      <c r="D13" s="73">
        <f t="shared" ref="D13:D44" si="0">$B$10</f>
        <v>70043.460295947298</v>
      </c>
      <c r="E13" s="73">
        <f t="shared" ref="E13:E44" si="1">C13*$B$6</f>
        <v>59216.666666666664</v>
      </c>
      <c r="F13" s="73">
        <f t="shared" ref="F13:F44" si="2">D13-E13</f>
        <v>10826.793629280633</v>
      </c>
      <c r="G13" s="73">
        <f t="shared" ref="G13:G44" si="3">C13-F13</f>
        <v>18989173.206370719</v>
      </c>
    </row>
    <row r="14" spans="1:7" ht="15" customHeight="1" x14ac:dyDescent="0.2">
      <c r="A14" s="183">
        <f>'Time Axis'!A30</f>
        <v>27</v>
      </c>
      <c r="B14" s="188">
        <f>'Time Axis'!B30</f>
        <v>46538</v>
      </c>
      <c r="C14" s="73">
        <f t="shared" ref="C14:C45" si="4">G13</f>
        <v>18989173.206370719</v>
      </c>
      <c r="D14" s="73">
        <f t="shared" si="0"/>
        <v>70043.460295947298</v>
      </c>
      <c r="E14" s="73">
        <f t="shared" si="1"/>
        <v>59182.923159855403</v>
      </c>
      <c r="F14" s="73">
        <f t="shared" si="2"/>
        <v>10860.537136091894</v>
      </c>
      <c r="G14" s="73">
        <f t="shared" si="3"/>
        <v>18978312.669234626</v>
      </c>
    </row>
    <row r="15" spans="1:7" ht="15" customHeight="1" x14ac:dyDescent="0.2">
      <c r="A15" s="183">
        <f>'Time Axis'!A31</f>
        <v>28</v>
      </c>
      <c r="B15" s="188">
        <f>'Time Axis'!B31</f>
        <v>46568</v>
      </c>
      <c r="C15" s="73">
        <f t="shared" si="4"/>
        <v>18978312.669234626</v>
      </c>
      <c r="D15" s="73">
        <f t="shared" si="0"/>
        <v>70043.460295947298</v>
      </c>
      <c r="E15" s="73">
        <f t="shared" si="1"/>
        <v>59149.074485781246</v>
      </c>
      <c r="F15" s="73">
        <f t="shared" si="2"/>
        <v>10894.385810166052</v>
      </c>
      <c r="G15" s="73">
        <f t="shared" si="3"/>
        <v>18967418.283424459</v>
      </c>
    </row>
    <row r="16" spans="1:7" ht="15" customHeight="1" x14ac:dyDescent="0.2">
      <c r="A16" s="183">
        <f>'Time Axis'!A32</f>
        <v>29</v>
      </c>
      <c r="B16" s="188">
        <f>'Time Axis'!B32</f>
        <v>46599</v>
      </c>
      <c r="C16" s="73">
        <f t="shared" si="4"/>
        <v>18967418.283424459</v>
      </c>
      <c r="D16" s="73">
        <f t="shared" si="0"/>
        <v>70043.460295947298</v>
      </c>
      <c r="E16" s="73">
        <f t="shared" si="1"/>
        <v>59115.120316672896</v>
      </c>
      <c r="F16" s="73">
        <f t="shared" si="2"/>
        <v>10928.339979274402</v>
      </c>
      <c r="G16" s="73">
        <f t="shared" si="3"/>
        <v>18956489.943445183</v>
      </c>
    </row>
    <row r="17" spans="1:7" ht="15" customHeight="1" x14ac:dyDescent="0.2">
      <c r="A17" s="183">
        <f>'Time Axis'!A33</f>
        <v>30</v>
      </c>
      <c r="B17" s="188">
        <f>'Time Axis'!B33</f>
        <v>46630</v>
      </c>
      <c r="C17" s="73">
        <f t="shared" si="4"/>
        <v>18956489.943445183</v>
      </c>
      <c r="D17" s="73">
        <f t="shared" si="0"/>
        <v>70043.460295947298</v>
      </c>
      <c r="E17" s="73">
        <f t="shared" si="1"/>
        <v>59081.060323737482</v>
      </c>
      <c r="F17" s="73">
        <f t="shared" si="2"/>
        <v>10962.399972209816</v>
      </c>
      <c r="G17" s="73">
        <f t="shared" si="3"/>
        <v>18945527.543472972</v>
      </c>
    </row>
    <row r="18" spans="1:7" ht="15" customHeight="1" x14ac:dyDescent="0.2">
      <c r="A18" s="183">
        <f>'Time Axis'!A34</f>
        <v>31</v>
      </c>
      <c r="B18" s="188">
        <f>'Time Axis'!B34</f>
        <v>46660</v>
      </c>
      <c r="C18" s="73">
        <f t="shared" si="4"/>
        <v>18945527.543472972</v>
      </c>
      <c r="D18" s="73">
        <f t="shared" si="0"/>
        <v>70043.460295947298</v>
      </c>
      <c r="E18" s="73">
        <f t="shared" si="1"/>
        <v>59046.894177157425</v>
      </c>
      <c r="F18" s="73">
        <f t="shared" si="2"/>
        <v>10996.566118789873</v>
      </c>
      <c r="G18" s="73">
        <f t="shared" si="3"/>
        <v>18934530.97735418</v>
      </c>
    </row>
    <row r="19" spans="1:7" ht="15" customHeight="1" x14ac:dyDescent="0.2">
      <c r="A19" s="183">
        <f>'Time Axis'!A35</f>
        <v>32</v>
      </c>
      <c r="B19" s="188">
        <f>'Time Axis'!B35</f>
        <v>46691</v>
      </c>
      <c r="C19" s="73">
        <f t="shared" si="4"/>
        <v>18934530.97735418</v>
      </c>
      <c r="D19" s="73">
        <f t="shared" si="0"/>
        <v>70043.460295947298</v>
      </c>
      <c r="E19" s="73">
        <f t="shared" si="1"/>
        <v>59012.62154608719</v>
      </c>
      <c r="F19" s="73">
        <f t="shared" si="2"/>
        <v>11030.838749860108</v>
      </c>
      <c r="G19" s="73">
        <f t="shared" si="3"/>
        <v>18923500.138604321</v>
      </c>
    </row>
    <row r="20" spans="1:7" ht="15" customHeight="1" x14ac:dyDescent="0.2">
      <c r="A20" s="183">
        <f>'Time Axis'!A36</f>
        <v>33</v>
      </c>
      <c r="B20" s="188">
        <f>'Time Axis'!B36</f>
        <v>46721</v>
      </c>
      <c r="C20" s="73">
        <f t="shared" si="4"/>
        <v>18923500.138604321</v>
      </c>
      <c r="D20" s="73">
        <f t="shared" si="0"/>
        <v>70043.460295947298</v>
      </c>
      <c r="E20" s="73">
        <f t="shared" si="1"/>
        <v>58978.242098650131</v>
      </c>
      <c r="F20" s="73">
        <f t="shared" si="2"/>
        <v>11065.218197297167</v>
      </c>
      <c r="G20" s="73">
        <f t="shared" si="3"/>
        <v>18912434.920407023</v>
      </c>
    </row>
    <row r="21" spans="1:7" ht="15" customHeight="1" x14ac:dyDescent="0.2">
      <c r="A21" s="183">
        <f>'Time Axis'!A37</f>
        <v>34</v>
      </c>
      <c r="B21" s="188">
        <f>'Time Axis'!B37</f>
        <v>46752</v>
      </c>
      <c r="C21" s="73">
        <f t="shared" si="4"/>
        <v>18912434.920407023</v>
      </c>
      <c r="D21" s="73">
        <f t="shared" si="0"/>
        <v>70043.460295947298</v>
      </c>
      <c r="E21" s="73">
        <f t="shared" si="1"/>
        <v>58943.755501935222</v>
      </c>
      <c r="F21" s="73">
        <f t="shared" si="2"/>
        <v>11099.704794012076</v>
      </c>
      <c r="G21" s="73">
        <f t="shared" si="3"/>
        <v>18901335.215613011</v>
      </c>
    </row>
    <row r="22" spans="1:7" ht="15" customHeight="1" x14ac:dyDescent="0.2">
      <c r="A22" s="183">
        <f>'Time Axis'!A38</f>
        <v>35</v>
      </c>
      <c r="B22" s="188">
        <f>'Time Axis'!B38</f>
        <v>46783</v>
      </c>
      <c r="C22" s="73">
        <f t="shared" si="4"/>
        <v>18901335.215613011</v>
      </c>
      <c r="D22" s="73">
        <f t="shared" si="0"/>
        <v>70043.460295947298</v>
      </c>
      <c r="E22" s="73">
        <f t="shared" si="1"/>
        <v>58909.161421993878</v>
      </c>
      <c r="F22" s="73">
        <f t="shared" si="2"/>
        <v>11134.298873953419</v>
      </c>
      <c r="G22" s="73">
        <f t="shared" si="3"/>
        <v>18890200.916739058</v>
      </c>
    </row>
    <row r="23" spans="1:7" ht="15" customHeight="1" x14ac:dyDescent="0.2">
      <c r="A23" s="183">
        <f>'Time Axis'!A39</f>
        <v>36</v>
      </c>
      <c r="B23" s="188">
        <f>'Time Axis'!B39</f>
        <v>46812</v>
      </c>
      <c r="C23" s="73">
        <f t="shared" si="4"/>
        <v>18890200.916739058</v>
      </c>
      <c r="D23" s="73">
        <f t="shared" si="0"/>
        <v>70043.460295947298</v>
      </c>
      <c r="E23" s="73">
        <f t="shared" si="1"/>
        <v>58874.459523836726</v>
      </c>
      <c r="F23" s="73">
        <f t="shared" si="2"/>
        <v>11169.000772110572</v>
      </c>
      <c r="G23" s="73">
        <f t="shared" si="3"/>
        <v>18879031.915966947</v>
      </c>
    </row>
    <row r="24" spans="1:7" ht="15" customHeight="1" x14ac:dyDescent="0.2">
      <c r="A24" s="183">
        <f>'Time Axis'!A40</f>
        <v>37</v>
      </c>
      <c r="B24" s="188">
        <f>'Time Axis'!B40</f>
        <v>46843</v>
      </c>
      <c r="C24" s="73">
        <f t="shared" si="4"/>
        <v>18879031.915966947</v>
      </c>
      <c r="D24" s="73">
        <f t="shared" si="0"/>
        <v>70043.460295947298</v>
      </c>
      <c r="E24" s="73">
        <f t="shared" si="1"/>
        <v>58839.649471430312</v>
      </c>
      <c r="F24" s="73">
        <f t="shared" si="2"/>
        <v>11203.810824516986</v>
      </c>
      <c r="G24" s="73">
        <f t="shared" si="3"/>
        <v>18867828.105142429</v>
      </c>
    </row>
    <row r="25" spans="1:7" ht="15" customHeight="1" x14ac:dyDescent="0.2">
      <c r="A25" s="183">
        <f>'Time Axis'!A41</f>
        <v>38</v>
      </c>
      <c r="B25" s="188">
        <f>'Time Axis'!B41</f>
        <v>46873</v>
      </c>
      <c r="C25" s="73">
        <f t="shared" si="4"/>
        <v>18867828.105142429</v>
      </c>
      <c r="D25" s="73">
        <f t="shared" si="0"/>
        <v>70043.460295947298</v>
      </c>
      <c r="E25" s="73">
        <f t="shared" si="1"/>
        <v>58804.730927693898</v>
      </c>
      <c r="F25" s="73">
        <f t="shared" si="2"/>
        <v>11238.7293682534</v>
      </c>
      <c r="G25" s="73">
        <f t="shared" si="3"/>
        <v>18856589.375774175</v>
      </c>
    </row>
    <row r="26" spans="1:7" ht="15" customHeight="1" x14ac:dyDescent="0.2">
      <c r="A26" s="183">
        <f>'Time Axis'!A42</f>
        <v>39</v>
      </c>
      <c r="B26" s="188">
        <f>'Time Axis'!B42</f>
        <v>46904</v>
      </c>
      <c r="C26" s="73">
        <f t="shared" si="4"/>
        <v>18856589.375774175</v>
      </c>
      <c r="D26" s="73">
        <f t="shared" si="0"/>
        <v>70043.460295947298</v>
      </c>
      <c r="E26" s="73">
        <f t="shared" si="1"/>
        <v>58769.703554496176</v>
      </c>
      <c r="F26" s="73">
        <f t="shared" si="2"/>
        <v>11273.756741451121</v>
      </c>
      <c r="G26" s="73">
        <f t="shared" si="3"/>
        <v>18845315.619032722</v>
      </c>
    </row>
    <row r="27" spans="1:7" ht="15" customHeight="1" x14ac:dyDescent="0.2">
      <c r="A27" s="183">
        <f>'Time Axis'!A43</f>
        <v>40</v>
      </c>
      <c r="B27" s="188">
        <f>'Time Axis'!B43</f>
        <v>46934</v>
      </c>
      <c r="C27" s="73">
        <f t="shared" si="4"/>
        <v>18845315.619032722</v>
      </c>
      <c r="D27" s="73">
        <f t="shared" si="0"/>
        <v>70043.460295947298</v>
      </c>
      <c r="E27" s="73">
        <f t="shared" si="1"/>
        <v>58734.567012651976</v>
      </c>
      <c r="F27" s="73">
        <f t="shared" si="2"/>
        <v>11308.893283295321</v>
      </c>
      <c r="G27" s="73">
        <f t="shared" si="3"/>
        <v>18834006.725749426</v>
      </c>
    </row>
    <row r="28" spans="1:7" ht="15" customHeight="1" x14ac:dyDescent="0.2">
      <c r="A28" s="183">
        <f>'Time Axis'!A44</f>
        <v>41</v>
      </c>
      <c r="B28" s="188">
        <f>'Time Axis'!B44</f>
        <v>46965</v>
      </c>
      <c r="C28" s="73">
        <f t="shared" si="4"/>
        <v>18834006.725749426</v>
      </c>
      <c r="D28" s="73">
        <f t="shared" si="0"/>
        <v>70043.460295947298</v>
      </c>
      <c r="E28" s="73">
        <f t="shared" si="1"/>
        <v>58699.320961919038</v>
      </c>
      <c r="F28" s="73">
        <f t="shared" si="2"/>
        <v>11344.139334028259</v>
      </c>
      <c r="G28" s="73">
        <f t="shared" si="3"/>
        <v>18822662.586415399</v>
      </c>
    </row>
    <row r="29" spans="1:7" ht="15" customHeight="1" x14ac:dyDescent="0.2">
      <c r="A29" s="183">
        <f>'Time Axis'!A45</f>
        <v>42</v>
      </c>
      <c r="B29" s="188">
        <f>'Time Axis'!B45</f>
        <v>46996</v>
      </c>
      <c r="C29" s="73">
        <f t="shared" si="4"/>
        <v>18822662.586415399</v>
      </c>
      <c r="D29" s="73">
        <f t="shared" si="0"/>
        <v>70043.460295947298</v>
      </c>
      <c r="E29" s="73">
        <f t="shared" si="1"/>
        <v>58663.965060994655</v>
      </c>
      <c r="F29" s="73">
        <f t="shared" si="2"/>
        <v>11379.495234952643</v>
      </c>
      <c r="G29" s="73">
        <f t="shared" si="3"/>
        <v>18811283.091180447</v>
      </c>
    </row>
    <row r="30" spans="1:7" ht="15" customHeight="1" x14ac:dyDescent="0.2">
      <c r="A30" s="183">
        <f>'Time Axis'!A46</f>
        <v>43</v>
      </c>
      <c r="B30" s="188">
        <f>'Time Axis'!B46</f>
        <v>47026</v>
      </c>
      <c r="C30" s="73">
        <f t="shared" si="4"/>
        <v>18811283.091180447</v>
      </c>
      <c r="D30" s="73">
        <f t="shared" si="0"/>
        <v>70043.460295947298</v>
      </c>
      <c r="E30" s="73">
        <f t="shared" si="1"/>
        <v>58628.498967512394</v>
      </c>
      <c r="F30" s="73">
        <f t="shared" si="2"/>
        <v>11414.961328434903</v>
      </c>
      <c r="G30" s="73">
        <f t="shared" si="3"/>
        <v>18799868.129852012</v>
      </c>
    </row>
    <row r="31" spans="1:7" ht="15" customHeight="1" x14ac:dyDescent="0.2">
      <c r="A31" s="183">
        <f>'Time Axis'!A47</f>
        <v>44</v>
      </c>
      <c r="B31" s="188">
        <f>'Time Axis'!B47</f>
        <v>47057</v>
      </c>
      <c r="C31" s="73">
        <f t="shared" si="4"/>
        <v>18799868.129852012</v>
      </c>
      <c r="D31" s="73">
        <f t="shared" si="0"/>
        <v>70043.460295947298</v>
      </c>
      <c r="E31" s="73">
        <f t="shared" si="1"/>
        <v>58592.922338038763</v>
      </c>
      <c r="F31" s="73">
        <f t="shared" si="2"/>
        <v>11450.537957908535</v>
      </c>
      <c r="G31" s="73">
        <f t="shared" si="3"/>
        <v>18788417.591894105</v>
      </c>
    </row>
    <row r="32" spans="1:7" ht="15" customHeight="1" x14ac:dyDescent="0.2">
      <c r="A32" s="183">
        <f>'Time Axis'!A48</f>
        <v>45</v>
      </c>
      <c r="B32" s="188">
        <f>'Time Axis'!B48</f>
        <v>47087</v>
      </c>
      <c r="C32" s="73">
        <f t="shared" si="4"/>
        <v>18788417.591894105</v>
      </c>
      <c r="D32" s="73">
        <f t="shared" si="0"/>
        <v>70043.460295947298</v>
      </c>
      <c r="E32" s="73">
        <f t="shared" si="1"/>
        <v>58557.234828069959</v>
      </c>
      <c r="F32" s="73">
        <f t="shared" si="2"/>
        <v>11486.225467877339</v>
      </c>
      <c r="G32" s="73">
        <f t="shared" si="3"/>
        <v>18776931.366426229</v>
      </c>
    </row>
    <row r="33" spans="1:7" ht="15" customHeight="1" x14ac:dyDescent="0.2">
      <c r="A33" s="183">
        <f>'Time Axis'!A49</f>
        <v>46</v>
      </c>
      <c r="B33" s="188">
        <f>'Time Axis'!B49</f>
        <v>47118</v>
      </c>
      <c r="C33" s="73">
        <f t="shared" si="4"/>
        <v>18776931.366426229</v>
      </c>
      <c r="D33" s="73">
        <f t="shared" si="0"/>
        <v>70043.460295947298</v>
      </c>
      <c r="E33" s="73">
        <f t="shared" si="1"/>
        <v>58521.436092028409</v>
      </c>
      <c r="F33" s="73">
        <f t="shared" si="2"/>
        <v>11522.024203918889</v>
      </c>
      <c r="G33" s="73">
        <f t="shared" si="3"/>
        <v>18765409.342222311</v>
      </c>
    </row>
    <row r="34" spans="1:7" ht="15" customHeight="1" x14ac:dyDescent="0.2">
      <c r="A34" s="183">
        <f>'Time Axis'!A50</f>
        <v>47</v>
      </c>
      <c r="B34" s="188">
        <f>'Time Axis'!B50</f>
        <v>47149</v>
      </c>
      <c r="C34" s="73">
        <f t="shared" si="4"/>
        <v>18765409.342222311</v>
      </c>
      <c r="D34" s="73">
        <f t="shared" si="0"/>
        <v>70043.460295947298</v>
      </c>
      <c r="E34" s="73">
        <f t="shared" si="1"/>
        <v>58485.525783259531</v>
      </c>
      <c r="F34" s="73">
        <f t="shared" si="2"/>
        <v>11557.934512687767</v>
      </c>
      <c r="G34" s="73">
        <f t="shared" si="3"/>
        <v>18753851.407709625</v>
      </c>
    </row>
    <row r="35" spans="1:7" ht="15" customHeight="1" x14ac:dyDescent="0.2">
      <c r="A35" s="183">
        <f>'Time Axis'!A51</f>
        <v>48</v>
      </c>
      <c r="B35" s="188">
        <f>'Time Axis'!B51</f>
        <v>47177</v>
      </c>
      <c r="C35" s="73">
        <f t="shared" si="4"/>
        <v>18753851.407709625</v>
      </c>
      <c r="D35" s="73">
        <f t="shared" si="0"/>
        <v>70043.460295947298</v>
      </c>
      <c r="E35" s="73">
        <f t="shared" si="1"/>
        <v>58449.503554028328</v>
      </c>
      <c r="F35" s="73">
        <f t="shared" si="2"/>
        <v>11593.95674191897</v>
      </c>
      <c r="G35" s="73">
        <f t="shared" si="3"/>
        <v>18742257.450967707</v>
      </c>
    </row>
    <row r="36" spans="1:7" ht="15" customHeight="1" x14ac:dyDescent="0.2">
      <c r="A36" s="183">
        <f>'Time Axis'!A52</f>
        <v>49</v>
      </c>
      <c r="B36" s="188">
        <f>'Time Axis'!B52</f>
        <v>47208</v>
      </c>
      <c r="C36" s="73">
        <f t="shared" si="4"/>
        <v>18742257.450967707</v>
      </c>
      <c r="D36" s="73">
        <f t="shared" si="0"/>
        <v>70043.460295947298</v>
      </c>
      <c r="E36" s="73">
        <f t="shared" si="1"/>
        <v>58413.369055516014</v>
      </c>
      <c r="F36" s="73">
        <f t="shared" si="2"/>
        <v>11630.091240431284</v>
      </c>
      <c r="G36" s="73">
        <f t="shared" si="3"/>
        <v>18730627.359727275</v>
      </c>
    </row>
    <row r="37" spans="1:7" ht="15" customHeight="1" x14ac:dyDescent="0.2">
      <c r="A37" s="183">
        <f>'Time Axis'!A53</f>
        <v>50</v>
      </c>
      <c r="B37" s="188">
        <f>'Time Axis'!B53</f>
        <v>47238</v>
      </c>
      <c r="C37" s="73">
        <f t="shared" si="4"/>
        <v>18730627.359727275</v>
      </c>
      <c r="D37" s="73">
        <f t="shared" si="0"/>
        <v>70043.460295947298</v>
      </c>
      <c r="E37" s="73">
        <f t="shared" si="1"/>
        <v>58377.121937816672</v>
      </c>
      <c r="F37" s="73">
        <f t="shared" si="2"/>
        <v>11666.338358130626</v>
      </c>
      <c r="G37" s="73">
        <f t="shared" si="3"/>
        <v>18718961.021369144</v>
      </c>
    </row>
    <row r="38" spans="1:7" ht="15" customHeight="1" x14ac:dyDescent="0.2">
      <c r="A38" s="183">
        <f>'Time Axis'!A54</f>
        <v>51</v>
      </c>
      <c r="B38" s="188">
        <f>'Time Axis'!B54</f>
        <v>47269</v>
      </c>
      <c r="C38" s="73">
        <f t="shared" si="4"/>
        <v>18718961.021369144</v>
      </c>
      <c r="D38" s="73">
        <f t="shared" si="0"/>
        <v>70043.460295947298</v>
      </c>
      <c r="E38" s="73">
        <f t="shared" si="1"/>
        <v>58340.761849933828</v>
      </c>
      <c r="F38" s="73">
        <f t="shared" si="2"/>
        <v>11702.69844601347</v>
      </c>
      <c r="G38" s="73">
        <f t="shared" si="3"/>
        <v>18707258.322923131</v>
      </c>
    </row>
    <row r="39" spans="1:7" ht="15" customHeight="1" x14ac:dyDescent="0.2">
      <c r="A39" s="183">
        <f>'Time Axis'!A55</f>
        <v>52</v>
      </c>
      <c r="B39" s="188">
        <f>'Time Axis'!B55</f>
        <v>47299</v>
      </c>
      <c r="C39" s="73">
        <f t="shared" si="4"/>
        <v>18707258.322923131</v>
      </c>
      <c r="D39" s="73">
        <f t="shared" si="0"/>
        <v>70043.460295947298</v>
      </c>
      <c r="E39" s="73">
        <f t="shared" si="1"/>
        <v>58304.28843977709</v>
      </c>
      <c r="F39" s="73">
        <f t="shared" si="2"/>
        <v>11739.171856170207</v>
      </c>
      <c r="G39" s="73">
        <f t="shared" si="3"/>
        <v>18695519.151066963</v>
      </c>
    </row>
    <row r="40" spans="1:7" ht="15" customHeight="1" x14ac:dyDescent="0.2">
      <c r="A40" s="183">
        <f>'Time Axis'!A56</f>
        <v>53</v>
      </c>
      <c r="B40" s="188">
        <f>'Time Axis'!B56</f>
        <v>47330</v>
      </c>
      <c r="C40" s="73">
        <f t="shared" si="4"/>
        <v>18695519.151066963</v>
      </c>
      <c r="D40" s="73">
        <f t="shared" si="0"/>
        <v>70043.460295947298</v>
      </c>
      <c r="E40" s="73">
        <f t="shared" si="1"/>
        <v>58267.701354158693</v>
      </c>
      <c r="F40" s="73">
        <f t="shared" si="2"/>
        <v>11775.758941788605</v>
      </c>
      <c r="G40" s="73">
        <f t="shared" si="3"/>
        <v>18683743.392125174</v>
      </c>
    </row>
    <row r="41" spans="1:7" ht="15" customHeight="1" x14ac:dyDescent="0.2">
      <c r="A41" s="183">
        <f>'Time Axis'!A57</f>
        <v>54</v>
      </c>
      <c r="B41" s="188">
        <f>'Time Axis'!B57</f>
        <v>47361</v>
      </c>
      <c r="C41" s="73">
        <f t="shared" si="4"/>
        <v>18683743.392125174</v>
      </c>
      <c r="D41" s="73">
        <f t="shared" si="0"/>
        <v>70043.460295947298</v>
      </c>
      <c r="E41" s="73">
        <f t="shared" si="1"/>
        <v>58231.000238790126</v>
      </c>
      <c r="F41" s="73">
        <f t="shared" si="2"/>
        <v>11812.460057157172</v>
      </c>
      <c r="G41" s="73">
        <f t="shared" si="3"/>
        <v>18671930.932068016</v>
      </c>
    </row>
    <row r="42" spans="1:7" ht="15" customHeight="1" x14ac:dyDescent="0.2">
      <c r="A42" s="183">
        <f>'Time Axis'!A58</f>
        <v>55</v>
      </c>
      <c r="B42" s="188">
        <f>'Time Axis'!B58</f>
        <v>47391</v>
      </c>
      <c r="C42" s="73">
        <f t="shared" si="4"/>
        <v>18671930.932068016</v>
      </c>
      <c r="D42" s="73">
        <f t="shared" si="0"/>
        <v>70043.460295947298</v>
      </c>
      <c r="E42" s="73">
        <f t="shared" si="1"/>
        <v>58194.184738278644</v>
      </c>
      <c r="F42" s="73">
        <f t="shared" si="2"/>
        <v>11849.275557668654</v>
      </c>
      <c r="G42" s="73">
        <f t="shared" si="3"/>
        <v>18660081.656510349</v>
      </c>
    </row>
    <row r="43" spans="1:7" ht="15" customHeight="1" x14ac:dyDescent="0.2">
      <c r="A43" s="183">
        <f>'Time Axis'!A59</f>
        <v>56</v>
      </c>
      <c r="B43" s="188">
        <f>'Time Axis'!B59</f>
        <v>47422</v>
      </c>
      <c r="C43" s="73">
        <f t="shared" si="4"/>
        <v>18660081.656510349</v>
      </c>
      <c r="D43" s="73">
        <f t="shared" si="0"/>
        <v>70043.460295947298</v>
      </c>
      <c r="E43" s="73">
        <f t="shared" si="1"/>
        <v>58157.254496123918</v>
      </c>
      <c r="F43" s="73">
        <f t="shared" si="2"/>
        <v>11886.205799823379</v>
      </c>
      <c r="G43" s="73">
        <f t="shared" si="3"/>
        <v>18648195.450710528</v>
      </c>
    </row>
    <row r="44" spans="1:7" ht="15" customHeight="1" x14ac:dyDescent="0.2">
      <c r="A44" s="183">
        <f>'Time Axis'!A60</f>
        <v>57</v>
      </c>
      <c r="B44" s="188">
        <f>'Time Axis'!B60</f>
        <v>47452</v>
      </c>
      <c r="C44" s="73">
        <f t="shared" si="4"/>
        <v>18648195.450710528</v>
      </c>
      <c r="D44" s="73">
        <f t="shared" si="0"/>
        <v>70043.460295947298</v>
      </c>
      <c r="E44" s="73">
        <f t="shared" si="1"/>
        <v>58120.209154714474</v>
      </c>
      <c r="F44" s="73">
        <f t="shared" si="2"/>
        <v>11923.251141232824</v>
      </c>
      <c r="G44" s="73">
        <f t="shared" si="3"/>
        <v>18636272.199569296</v>
      </c>
    </row>
    <row r="45" spans="1:7" ht="15" customHeight="1" x14ac:dyDescent="0.2">
      <c r="A45" s="183">
        <f>'Time Axis'!A61</f>
        <v>58</v>
      </c>
      <c r="B45" s="188">
        <f>'Time Axis'!B61</f>
        <v>47483</v>
      </c>
      <c r="C45" s="73">
        <f t="shared" si="4"/>
        <v>18636272.199569296</v>
      </c>
      <c r="D45" s="73">
        <f t="shared" ref="D45:D72" si="5">$B$10</f>
        <v>70043.460295947298</v>
      </c>
      <c r="E45" s="73">
        <f t="shared" ref="E45:E72" si="6">C45*$B$6</f>
        <v>58083.048355324303</v>
      </c>
      <c r="F45" s="73">
        <f t="shared" ref="F45:F76" si="7">D45-E45</f>
        <v>11960.411940622995</v>
      </c>
      <c r="G45" s="73">
        <f t="shared" ref="G45:G76" si="8">C45-F45</f>
        <v>18624311.787628673</v>
      </c>
    </row>
    <row r="46" spans="1:7" ht="15" customHeight="1" x14ac:dyDescent="0.2">
      <c r="A46" s="183">
        <f>'Time Axis'!A62</f>
        <v>59</v>
      </c>
      <c r="B46" s="188">
        <f>'Time Axis'!B62</f>
        <v>47514</v>
      </c>
      <c r="C46" s="73">
        <f t="shared" ref="C46:C72" si="9">G45</f>
        <v>18624311.787628673</v>
      </c>
      <c r="D46" s="73">
        <f t="shared" si="5"/>
        <v>70043.460295947298</v>
      </c>
      <c r="E46" s="73">
        <f t="shared" si="6"/>
        <v>58045.771738109361</v>
      </c>
      <c r="F46" s="73">
        <f t="shared" si="7"/>
        <v>11997.688557837937</v>
      </c>
      <c r="G46" s="73">
        <f t="shared" si="8"/>
        <v>18612314.099070836</v>
      </c>
    </row>
    <row r="47" spans="1:7" ht="15" customHeight="1" x14ac:dyDescent="0.2">
      <c r="A47" s="183">
        <f>'Time Axis'!A63</f>
        <v>60</v>
      </c>
      <c r="B47" s="188">
        <f>'Time Axis'!B63</f>
        <v>47542</v>
      </c>
      <c r="C47" s="73">
        <f t="shared" si="9"/>
        <v>18612314.099070836</v>
      </c>
      <c r="D47" s="73">
        <f t="shared" si="5"/>
        <v>70043.460295947298</v>
      </c>
      <c r="E47" s="73">
        <f t="shared" si="6"/>
        <v>58008.3789421041</v>
      </c>
      <c r="F47" s="73">
        <f t="shared" si="7"/>
        <v>12035.081353843198</v>
      </c>
      <c r="G47" s="73">
        <f t="shared" si="8"/>
        <v>18600279.017716993</v>
      </c>
    </row>
    <row r="48" spans="1:7" ht="15" customHeight="1" x14ac:dyDescent="0.2">
      <c r="A48" s="183">
        <f>'Time Axis'!A64</f>
        <v>61</v>
      </c>
      <c r="B48" s="188">
        <f>'Time Axis'!B64</f>
        <v>47573</v>
      </c>
      <c r="C48" s="73">
        <f t="shared" si="9"/>
        <v>18600279.017716993</v>
      </c>
      <c r="D48" s="73">
        <f t="shared" si="5"/>
        <v>70043.460295947298</v>
      </c>
      <c r="E48" s="73">
        <f t="shared" si="6"/>
        <v>57970.869605217958</v>
      </c>
      <c r="F48" s="73">
        <f t="shared" si="7"/>
        <v>12072.590690729339</v>
      </c>
      <c r="G48" s="73">
        <f t="shared" si="8"/>
        <v>18588206.427026264</v>
      </c>
    </row>
    <row r="49" spans="1:7" ht="15" customHeight="1" x14ac:dyDescent="0.2">
      <c r="A49" s="183">
        <f>'Time Axis'!A65</f>
        <v>62</v>
      </c>
      <c r="B49" s="188">
        <f>'Time Axis'!B65</f>
        <v>47603</v>
      </c>
      <c r="C49" s="73">
        <f t="shared" si="9"/>
        <v>18588206.427026264</v>
      </c>
      <c r="D49" s="73">
        <f t="shared" si="5"/>
        <v>70043.460295947298</v>
      </c>
      <c r="E49" s="73">
        <f t="shared" si="6"/>
        <v>57933.24336423185</v>
      </c>
      <c r="F49" s="73">
        <f t="shared" si="7"/>
        <v>12110.216931715448</v>
      </c>
      <c r="G49" s="73">
        <f t="shared" si="8"/>
        <v>18576096.210094549</v>
      </c>
    </row>
    <row r="50" spans="1:7" ht="15" customHeight="1" x14ac:dyDescent="0.2">
      <c r="A50" s="183">
        <f>'Time Axis'!A66</f>
        <v>63</v>
      </c>
      <c r="B50" s="188">
        <f>'Time Axis'!B66</f>
        <v>47634</v>
      </c>
      <c r="C50" s="73">
        <f t="shared" si="9"/>
        <v>18576096.210094549</v>
      </c>
      <c r="D50" s="73">
        <f t="shared" si="5"/>
        <v>70043.460295947298</v>
      </c>
      <c r="E50" s="73">
        <f t="shared" si="6"/>
        <v>57895.499854794674</v>
      </c>
      <c r="F50" s="73">
        <f t="shared" si="7"/>
        <v>12147.960441152623</v>
      </c>
      <c r="G50" s="73">
        <f t="shared" si="8"/>
        <v>18563948.249653395</v>
      </c>
    </row>
    <row r="51" spans="1:7" ht="15" customHeight="1" x14ac:dyDescent="0.2">
      <c r="A51" s="183">
        <f>'Time Axis'!A67</f>
        <v>64</v>
      </c>
      <c r="B51" s="188">
        <f>'Time Axis'!B67</f>
        <v>47664</v>
      </c>
      <c r="C51" s="73">
        <f t="shared" si="9"/>
        <v>18563948.249653395</v>
      </c>
      <c r="D51" s="73">
        <f t="shared" si="5"/>
        <v>70043.460295947298</v>
      </c>
      <c r="E51" s="73">
        <f t="shared" si="6"/>
        <v>57857.638711419742</v>
      </c>
      <c r="F51" s="73">
        <f t="shared" si="7"/>
        <v>12185.821584527555</v>
      </c>
      <c r="G51" s="73">
        <f t="shared" si="8"/>
        <v>18551762.428068869</v>
      </c>
    </row>
    <row r="52" spans="1:7" ht="15" customHeight="1" x14ac:dyDescent="0.2">
      <c r="A52" s="183">
        <f>'Time Axis'!A68</f>
        <v>65</v>
      </c>
      <c r="B52" s="188">
        <f>'Time Axis'!B68</f>
        <v>47695</v>
      </c>
      <c r="C52" s="73">
        <f t="shared" si="9"/>
        <v>18551762.428068869</v>
      </c>
      <c r="D52" s="73">
        <f t="shared" si="5"/>
        <v>70043.460295947298</v>
      </c>
      <c r="E52" s="73">
        <f t="shared" si="6"/>
        <v>57819.659567481307</v>
      </c>
      <c r="F52" s="73">
        <f t="shared" si="7"/>
        <v>12223.800728465991</v>
      </c>
      <c r="G52" s="73">
        <f t="shared" si="8"/>
        <v>18539538.627340402</v>
      </c>
    </row>
    <row r="53" spans="1:7" ht="15" customHeight="1" x14ac:dyDescent="0.2">
      <c r="A53" s="183">
        <f>'Time Axis'!A69</f>
        <v>66</v>
      </c>
      <c r="B53" s="188">
        <f>'Time Axis'!B69</f>
        <v>47726</v>
      </c>
      <c r="C53" s="73">
        <f t="shared" si="9"/>
        <v>18539538.627340402</v>
      </c>
      <c r="D53" s="73">
        <f t="shared" si="5"/>
        <v>70043.460295947298</v>
      </c>
      <c r="E53" s="73">
        <f t="shared" si="6"/>
        <v>57781.562055210918</v>
      </c>
      <c r="F53" s="73">
        <f t="shared" si="7"/>
        <v>12261.89824073638</v>
      </c>
      <c r="G53" s="73">
        <f t="shared" si="8"/>
        <v>18527276.729099665</v>
      </c>
    </row>
    <row r="54" spans="1:7" ht="15" customHeight="1" x14ac:dyDescent="0.2">
      <c r="A54" s="183">
        <f>'Time Axis'!A70</f>
        <v>67</v>
      </c>
      <c r="B54" s="188">
        <f>'Time Axis'!B70</f>
        <v>47756</v>
      </c>
      <c r="C54" s="73">
        <f t="shared" si="9"/>
        <v>18527276.729099665</v>
      </c>
      <c r="D54" s="73">
        <f t="shared" si="5"/>
        <v>70043.460295947298</v>
      </c>
      <c r="E54" s="73">
        <f t="shared" si="6"/>
        <v>57743.345805693949</v>
      </c>
      <c r="F54" s="73">
        <f t="shared" si="7"/>
        <v>12300.114490253349</v>
      </c>
      <c r="G54" s="73">
        <f t="shared" si="8"/>
        <v>18514976.614609413</v>
      </c>
    </row>
    <row r="55" spans="1:7" ht="15" customHeight="1" x14ac:dyDescent="0.2">
      <c r="A55" s="183">
        <f>'Time Axis'!A71</f>
        <v>68</v>
      </c>
      <c r="B55" s="188">
        <f>'Time Axis'!B71</f>
        <v>47787</v>
      </c>
      <c r="C55" s="73">
        <f t="shared" si="9"/>
        <v>18514976.614609413</v>
      </c>
      <c r="D55" s="73">
        <f t="shared" si="5"/>
        <v>70043.460295947298</v>
      </c>
      <c r="E55" s="73">
        <f t="shared" si="6"/>
        <v>57705.010448866</v>
      </c>
      <c r="F55" s="73">
        <f t="shared" si="7"/>
        <v>12338.449847081298</v>
      </c>
      <c r="G55" s="73">
        <f t="shared" si="8"/>
        <v>18502638.164762333</v>
      </c>
    </row>
    <row r="56" spans="1:7" ht="15" customHeight="1" x14ac:dyDescent="0.2">
      <c r="A56" s="183">
        <f>'Time Axis'!A72</f>
        <v>69</v>
      </c>
      <c r="B56" s="188">
        <f>'Time Axis'!B72</f>
        <v>47817</v>
      </c>
      <c r="C56" s="73">
        <f t="shared" si="9"/>
        <v>18502638.164762333</v>
      </c>
      <c r="D56" s="73">
        <f t="shared" si="5"/>
        <v>70043.460295947298</v>
      </c>
      <c r="E56" s="73">
        <f t="shared" si="6"/>
        <v>57666.55561350927</v>
      </c>
      <c r="F56" s="73">
        <f t="shared" si="7"/>
        <v>12376.904682438028</v>
      </c>
      <c r="G56" s="73">
        <f t="shared" si="8"/>
        <v>18490261.260079894</v>
      </c>
    </row>
    <row r="57" spans="1:7" ht="15" customHeight="1" x14ac:dyDescent="0.2">
      <c r="A57" s="183">
        <f>'Time Axis'!A73</f>
        <v>70</v>
      </c>
      <c r="B57" s="188">
        <f>'Time Axis'!B73</f>
        <v>47848</v>
      </c>
      <c r="C57" s="73">
        <f t="shared" si="9"/>
        <v>18490261.260079894</v>
      </c>
      <c r="D57" s="73">
        <f t="shared" si="5"/>
        <v>70043.460295947298</v>
      </c>
      <c r="E57" s="73">
        <f t="shared" si="6"/>
        <v>57627.980927249002</v>
      </c>
      <c r="F57" s="73">
        <f t="shared" si="7"/>
        <v>12415.479368698296</v>
      </c>
      <c r="G57" s="73">
        <f t="shared" si="8"/>
        <v>18477845.780711196</v>
      </c>
    </row>
    <row r="58" spans="1:7" ht="15" customHeight="1" x14ac:dyDescent="0.2">
      <c r="A58" s="183">
        <f>'Time Axis'!A74</f>
        <v>71</v>
      </c>
      <c r="B58" s="188">
        <f>'Time Axis'!B74</f>
        <v>47879</v>
      </c>
      <c r="C58" s="73">
        <f t="shared" si="9"/>
        <v>18477845.780711196</v>
      </c>
      <c r="D58" s="73">
        <f t="shared" si="5"/>
        <v>70043.460295947298</v>
      </c>
      <c r="E58" s="73">
        <f t="shared" si="6"/>
        <v>57589.286016549893</v>
      </c>
      <c r="F58" s="73">
        <f t="shared" si="7"/>
        <v>12454.174279397404</v>
      </c>
      <c r="G58" s="73">
        <f t="shared" si="8"/>
        <v>18465391.606431797</v>
      </c>
    </row>
    <row r="59" spans="1:7" ht="15" customHeight="1" x14ac:dyDescent="0.2">
      <c r="A59" s="183">
        <f>'Time Axis'!A75</f>
        <v>72</v>
      </c>
      <c r="B59" s="188">
        <f>'Time Axis'!B75</f>
        <v>47907</v>
      </c>
      <c r="C59" s="73">
        <f t="shared" si="9"/>
        <v>18465391.606431797</v>
      </c>
      <c r="D59" s="73">
        <f t="shared" si="5"/>
        <v>70043.460295947298</v>
      </c>
      <c r="E59" s="73">
        <f t="shared" si="6"/>
        <v>57550.470506712431</v>
      </c>
      <c r="F59" s="73">
        <f t="shared" si="7"/>
        <v>12492.989789234867</v>
      </c>
      <c r="G59" s="73">
        <f t="shared" si="8"/>
        <v>18452898.616642561</v>
      </c>
    </row>
    <row r="60" spans="1:7" ht="15" customHeight="1" x14ac:dyDescent="0.2">
      <c r="A60" s="183">
        <f>'Time Axis'!A76</f>
        <v>73</v>
      </c>
      <c r="B60" s="188">
        <f>'Time Axis'!B76</f>
        <v>47938</v>
      </c>
      <c r="C60" s="73">
        <f t="shared" si="9"/>
        <v>18452898.616642561</v>
      </c>
      <c r="D60" s="73">
        <f t="shared" si="5"/>
        <v>70043.460295947298</v>
      </c>
      <c r="E60" s="73">
        <f t="shared" si="6"/>
        <v>57511.534021869309</v>
      </c>
      <c r="F60" s="73">
        <f t="shared" si="7"/>
        <v>12531.926274077989</v>
      </c>
      <c r="G60" s="73">
        <f t="shared" si="8"/>
        <v>18440366.690368481</v>
      </c>
    </row>
    <row r="61" spans="1:7" ht="15" customHeight="1" x14ac:dyDescent="0.2">
      <c r="A61" s="183">
        <f>'Time Axis'!A77</f>
        <v>74</v>
      </c>
      <c r="B61" s="188">
        <f>'Time Axis'!B77</f>
        <v>47968</v>
      </c>
      <c r="C61" s="73">
        <f t="shared" si="9"/>
        <v>18440366.690368481</v>
      </c>
      <c r="D61" s="73">
        <f t="shared" si="5"/>
        <v>70043.460295947298</v>
      </c>
      <c r="E61" s="73">
        <f t="shared" si="6"/>
        <v>57472.476184981759</v>
      </c>
      <c r="F61" s="73">
        <f t="shared" si="7"/>
        <v>12570.984110965539</v>
      </c>
      <c r="G61" s="73">
        <f t="shared" si="8"/>
        <v>18427795.706257515</v>
      </c>
    </row>
    <row r="62" spans="1:7" ht="15" customHeight="1" x14ac:dyDescent="0.2">
      <c r="A62" s="183">
        <f>'Time Axis'!A78</f>
        <v>75</v>
      </c>
      <c r="B62" s="188">
        <f>'Time Axis'!B78</f>
        <v>47999</v>
      </c>
      <c r="C62" s="73">
        <f t="shared" si="9"/>
        <v>18427795.706257515</v>
      </c>
      <c r="D62" s="73">
        <f t="shared" si="5"/>
        <v>70043.460295947298</v>
      </c>
      <c r="E62" s="73">
        <f t="shared" si="6"/>
        <v>57433.29661783592</v>
      </c>
      <c r="F62" s="73">
        <f t="shared" si="7"/>
        <v>12610.163678111378</v>
      </c>
      <c r="G62" s="73">
        <f t="shared" si="8"/>
        <v>18415185.542579405</v>
      </c>
    </row>
    <row r="63" spans="1:7" ht="15" customHeight="1" x14ac:dyDescent="0.2">
      <c r="A63" s="183">
        <f>'Time Axis'!A79</f>
        <v>76</v>
      </c>
      <c r="B63" s="188">
        <f>'Time Axis'!B79</f>
        <v>48029</v>
      </c>
      <c r="C63" s="73">
        <f t="shared" si="9"/>
        <v>18415185.542579405</v>
      </c>
      <c r="D63" s="73">
        <f t="shared" si="5"/>
        <v>70043.460295947298</v>
      </c>
      <c r="E63" s="73">
        <f t="shared" si="6"/>
        <v>57393.994941039142</v>
      </c>
      <c r="F63" s="73">
        <f t="shared" si="7"/>
        <v>12649.465354908156</v>
      </c>
      <c r="G63" s="73">
        <f t="shared" si="8"/>
        <v>18402536.077224497</v>
      </c>
    </row>
    <row r="64" spans="1:7" ht="15" customHeight="1" x14ac:dyDescent="0.2">
      <c r="A64" s="183">
        <f>'Time Axis'!A80</f>
        <v>77</v>
      </c>
      <c r="B64" s="188">
        <f>'Time Axis'!B80</f>
        <v>48060</v>
      </c>
      <c r="C64" s="73">
        <f t="shared" si="9"/>
        <v>18402536.077224497</v>
      </c>
      <c r="D64" s="73">
        <f t="shared" si="5"/>
        <v>70043.460295947298</v>
      </c>
      <c r="E64" s="73">
        <f t="shared" si="6"/>
        <v>57354.570774016342</v>
      </c>
      <c r="F64" s="73">
        <f t="shared" si="7"/>
        <v>12688.889521930956</v>
      </c>
      <c r="G64" s="73">
        <f t="shared" si="8"/>
        <v>18389847.187702566</v>
      </c>
    </row>
    <row r="65" spans="1:7" ht="15" customHeight="1" x14ac:dyDescent="0.2">
      <c r="A65" s="183">
        <f>'Time Axis'!A81</f>
        <v>78</v>
      </c>
      <c r="B65" s="188">
        <f>'Time Axis'!B81</f>
        <v>48091</v>
      </c>
      <c r="C65" s="73">
        <f t="shared" si="9"/>
        <v>18389847.187702566</v>
      </c>
      <c r="D65" s="73">
        <f t="shared" si="5"/>
        <v>70043.460295947298</v>
      </c>
      <c r="E65" s="73">
        <f t="shared" si="6"/>
        <v>57315.023735006325</v>
      </c>
      <c r="F65" s="73">
        <f t="shared" si="7"/>
        <v>12728.436560940972</v>
      </c>
      <c r="G65" s="73">
        <f t="shared" si="8"/>
        <v>18377118.751141626</v>
      </c>
    </row>
    <row r="66" spans="1:7" ht="15" customHeight="1" x14ac:dyDescent="0.2">
      <c r="A66" s="183">
        <f>'Time Axis'!A82</f>
        <v>79</v>
      </c>
      <c r="B66" s="188">
        <f>'Time Axis'!B82</f>
        <v>48121</v>
      </c>
      <c r="C66" s="73">
        <f t="shared" si="9"/>
        <v>18377118.751141626</v>
      </c>
      <c r="D66" s="73">
        <f t="shared" si="5"/>
        <v>70043.460295947298</v>
      </c>
      <c r="E66" s="73">
        <f t="shared" si="6"/>
        <v>57275.353441058061</v>
      </c>
      <c r="F66" s="73">
        <f t="shared" si="7"/>
        <v>12768.106854889236</v>
      </c>
      <c r="G66" s="73">
        <f t="shared" si="8"/>
        <v>18364350.644286737</v>
      </c>
    </row>
    <row r="67" spans="1:7" ht="15" customHeight="1" x14ac:dyDescent="0.2">
      <c r="A67" s="183">
        <f>'Time Axis'!A83</f>
        <v>80</v>
      </c>
      <c r="B67" s="188">
        <f>'Time Axis'!B83</f>
        <v>48152</v>
      </c>
      <c r="C67" s="73">
        <f t="shared" si="9"/>
        <v>18364350.644286737</v>
      </c>
      <c r="D67" s="73">
        <f t="shared" si="5"/>
        <v>70043.460295947298</v>
      </c>
      <c r="E67" s="73">
        <f t="shared" si="6"/>
        <v>57235.559508026992</v>
      </c>
      <c r="F67" s="73">
        <f t="shared" si="7"/>
        <v>12807.900787920305</v>
      </c>
      <c r="G67" s="73">
        <f t="shared" si="8"/>
        <v>18351542.743498817</v>
      </c>
    </row>
    <row r="68" spans="1:7" ht="15" customHeight="1" x14ac:dyDescent="0.2">
      <c r="A68" s="183">
        <f>'Time Axis'!A84</f>
        <v>81</v>
      </c>
      <c r="B68" s="188">
        <f>'Time Axis'!B84</f>
        <v>48182</v>
      </c>
      <c r="C68" s="73">
        <f t="shared" si="9"/>
        <v>18351542.743498817</v>
      </c>
      <c r="D68" s="73">
        <f t="shared" si="5"/>
        <v>70043.460295947298</v>
      </c>
      <c r="E68" s="73">
        <f t="shared" si="6"/>
        <v>57195.641550571308</v>
      </c>
      <c r="F68" s="73">
        <f t="shared" si="7"/>
        <v>12847.818745375989</v>
      </c>
      <c r="G68" s="73">
        <f t="shared" si="8"/>
        <v>18338694.924753442</v>
      </c>
    </row>
    <row r="69" spans="1:7" ht="15" customHeight="1" x14ac:dyDescent="0.2">
      <c r="A69" s="183">
        <f>'Time Axis'!A85</f>
        <v>82</v>
      </c>
      <c r="B69" s="188">
        <f>'Time Axis'!B85</f>
        <v>48213</v>
      </c>
      <c r="C69" s="73">
        <f t="shared" si="9"/>
        <v>18338694.924753442</v>
      </c>
      <c r="D69" s="73">
        <f t="shared" si="5"/>
        <v>70043.460295947298</v>
      </c>
      <c r="E69" s="73">
        <f t="shared" si="6"/>
        <v>57155.599182148224</v>
      </c>
      <c r="F69" s="73">
        <f t="shared" si="7"/>
        <v>12887.861113799074</v>
      </c>
      <c r="G69" s="73">
        <f t="shared" si="8"/>
        <v>18325807.063639645</v>
      </c>
    </row>
    <row r="70" spans="1:7" ht="15" customHeight="1" x14ac:dyDescent="0.2">
      <c r="A70" s="183">
        <f>'Time Axis'!A86</f>
        <v>83</v>
      </c>
      <c r="B70" s="188">
        <f>'Time Axis'!B86</f>
        <v>48244</v>
      </c>
      <c r="C70" s="73">
        <f t="shared" si="9"/>
        <v>18325807.063639645</v>
      </c>
      <c r="D70" s="73">
        <f t="shared" si="5"/>
        <v>70043.460295947298</v>
      </c>
      <c r="E70" s="73">
        <f t="shared" si="6"/>
        <v>57115.432015010221</v>
      </c>
      <c r="F70" s="73">
        <f t="shared" si="7"/>
        <v>12928.028280937076</v>
      </c>
      <c r="G70" s="73">
        <f t="shared" si="8"/>
        <v>18312879.035358708</v>
      </c>
    </row>
    <row r="71" spans="1:7" ht="15" customHeight="1" x14ac:dyDescent="0.2">
      <c r="A71" s="183">
        <f>'Time Axis'!A87</f>
        <v>84</v>
      </c>
      <c r="B71" s="188">
        <f>'Time Axis'!B87</f>
        <v>48273</v>
      </c>
      <c r="C71" s="73">
        <f t="shared" si="9"/>
        <v>18312879.035358708</v>
      </c>
      <c r="D71" s="73">
        <f t="shared" si="5"/>
        <v>70043.460295947298</v>
      </c>
      <c r="E71" s="73">
        <f t="shared" si="6"/>
        <v>57075.139660201305</v>
      </c>
      <c r="F71" s="73">
        <f t="shared" si="7"/>
        <v>12968.320635745993</v>
      </c>
      <c r="G71" s="73">
        <f t="shared" si="8"/>
        <v>18299910.714722961</v>
      </c>
    </row>
    <row r="72" spans="1:7" ht="15" customHeight="1" x14ac:dyDescent="0.2">
      <c r="A72" s="183">
        <f>'Time Axis'!A88</f>
        <v>85</v>
      </c>
      <c r="B72" s="188">
        <f>'Time Axis'!B88</f>
        <v>48304</v>
      </c>
      <c r="C72" s="73">
        <f t="shared" si="9"/>
        <v>18299910.714722961</v>
      </c>
      <c r="D72" s="73">
        <f t="shared" si="5"/>
        <v>70043.460295947298</v>
      </c>
      <c r="E72" s="73">
        <f t="shared" si="6"/>
        <v>57034.721727553224</v>
      </c>
      <c r="F72" s="73">
        <f t="shared" si="7"/>
        <v>13008.738568394074</v>
      </c>
      <c r="G72" s="73">
        <f t="shared" si="8"/>
        <v>18286901.976154566</v>
      </c>
    </row>
    <row r="73" spans="1:7" ht="15" customHeight="1" x14ac:dyDescent="0.2">
      <c r="A73" s="189" t="s">
        <v>417</v>
      </c>
      <c r="B73" s="190"/>
      <c r="C73" s="190"/>
      <c r="D73" s="191">
        <f>SUM(D13:D72)</f>
        <v>4202607.617756837</v>
      </c>
      <c r="E73" s="191">
        <f>SUM(E13:E72)</f>
        <v>3489509.5939113996</v>
      </c>
      <c r="F73" s="191">
        <f>SUM(F13:F72)</f>
        <v>713098.02384543768</v>
      </c>
      <c r="G73" s="190"/>
    </row>
    <row r="74" spans="1:7" ht="15" customHeight="1" x14ac:dyDescent="0.2">
      <c r="A74" s="34" t="s">
        <v>719</v>
      </c>
      <c r="G74" s="192">
        <f>G72</f>
        <v>18286901.976154566</v>
      </c>
    </row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K1001"/>
  <sheetViews>
    <sheetView topLeftCell="A7" zoomScaleNormal="100" zoomScalePageLayoutView="60" workbookViewId="0">
      <selection activeCell="F62" sqref="F62"/>
    </sheetView>
  </sheetViews>
  <sheetFormatPr baseColWidth="10" defaultColWidth="14.5" defaultRowHeight="15" customHeight="1" x14ac:dyDescent="0.2"/>
  <cols>
    <col min="1" max="1" width="38" customWidth="1"/>
    <col min="2" max="63" width="14" customWidth="1"/>
  </cols>
  <sheetData>
    <row r="1" spans="1:63" ht="18" customHeight="1" x14ac:dyDescent="0.2">
      <c r="A1" s="169" t="s">
        <v>720</v>
      </c>
    </row>
    <row r="2" spans="1:63" ht="18" customHeight="1" x14ac:dyDescent="0.2">
      <c r="A2" s="169" t="s">
        <v>721</v>
      </c>
    </row>
    <row r="4" spans="1:63" ht="15" customHeight="1" x14ac:dyDescent="0.2">
      <c r="A4" s="26" t="s">
        <v>666</v>
      </c>
      <c r="B4" s="183">
        <f>'Time Axis'!A28</f>
        <v>25</v>
      </c>
      <c r="C4" s="183">
        <f>'Time Axis'!A29</f>
        <v>26</v>
      </c>
      <c r="D4" s="183">
        <f>'Time Axis'!A30</f>
        <v>27</v>
      </c>
      <c r="E4" s="183">
        <f>'Time Axis'!A31</f>
        <v>28</v>
      </c>
      <c r="F4" s="183">
        <f>'Time Axis'!A32</f>
        <v>29</v>
      </c>
      <c r="G4" s="183">
        <f>'Time Axis'!A33</f>
        <v>30</v>
      </c>
      <c r="H4" s="183">
        <f>'Time Axis'!A34</f>
        <v>31</v>
      </c>
      <c r="I4" s="183">
        <f>'Time Axis'!A35</f>
        <v>32</v>
      </c>
      <c r="J4" s="183">
        <f>'Time Axis'!A36</f>
        <v>33</v>
      </c>
      <c r="K4" s="183">
        <f>'Time Axis'!A37</f>
        <v>34</v>
      </c>
      <c r="L4" s="183">
        <f>'Time Axis'!A38</f>
        <v>35</v>
      </c>
      <c r="M4" s="183">
        <f>'Time Axis'!A39</f>
        <v>36</v>
      </c>
      <c r="N4" s="183">
        <f>'Time Axis'!A40</f>
        <v>37</v>
      </c>
      <c r="O4" s="183">
        <f>'Time Axis'!A41</f>
        <v>38</v>
      </c>
      <c r="P4" s="183">
        <f>'Time Axis'!A42</f>
        <v>39</v>
      </c>
      <c r="Q4" s="183">
        <f>'Time Axis'!A43</f>
        <v>40</v>
      </c>
      <c r="R4" s="183">
        <f>'Time Axis'!A44</f>
        <v>41</v>
      </c>
      <c r="S4" s="183">
        <f>'Time Axis'!A45</f>
        <v>42</v>
      </c>
      <c r="T4" s="183">
        <f>'Time Axis'!A46</f>
        <v>43</v>
      </c>
      <c r="U4" s="183">
        <f>'Time Axis'!A47</f>
        <v>44</v>
      </c>
      <c r="V4" s="183">
        <f>'Time Axis'!A48</f>
        <v>45</v>
      </c>
      <c r="W4" s="183">
        <f>'Time Axis'!A49</f>
        <v>46</v>
      </c>
      <c r="X4" s="183">
        <f>'Time Axis'!A50</f>
        <v>47</v>
      </c>
      <c r="Y4" s="183">
        <f>'Time Axis'!A51</f>
        <v>48</v>
      </c>
      <c r="Z4" s="183">
        <f>'Time Axis'!A52</f>
        <v>49</v>
      </c>
      <c r="AA4" s="183">
        <f>'Time Axis'!A53</f>
        <v>50</v>
      </c>
      <c r="AB4" s="183">
        <f>'Time Axis'!A54</f>
        <v>51</v>
      </c>
      <c r="AC4" s="183">
        <f>'Time Axis'!A55</f>
        <v>52</v>
      </c>
      <c r="AD4" s="183">
        <f>'Time Axis'!A56</f>
        <v>53</v>
      </c>
      <c r="AE4" s="183">
        <f>'Time Axis'!A57</f>
        <v>54</v>
      </c>
      <c r="AF4" s="183">
        <f>'Time Axis'!A58</f>
        <v>55</v>
      </c>
      <c r="AG4" s="183">
        <f>'Time Axis'!A59</f>
        <v>56</v>
      </c>
      <c r="AH4" s="183">
        <f>'Time Axis'!A60</f>
        <v>57</v>
      </c>
      <c r="AI4" s="183">
        <f>'Time Axis'!A61</f>
        <v>58</v>
      </c>
      <c r="AJ4" s="183">
        <f>'Time Axis'!A62</f>
        <v>59</v>
      </c>
      <c r="AK4" s="183">
        <f>'Time Axis'!A63</f>
        <v>60</v>
      </c>
      <c r="AL4" s="183">
        <f>'Time Axis'!A64</f>
        <v>61</v>
      </c>
      <c r="AM4" s="183">
        <f>'Time Axis'!A65</f>
        <v>62</v>
      </c>
      <c r="AN4" s="183">
        <f>'Time Axis'!A66</f>
        <v>63</v>
      </c>
      <c r="AO4" s="183">
        <f>'Time Axis'!A67</f>
        <v>64</v>
      </c>
      <c r="AP4" s="183">
        <f>'Time Axis'!A68</f>
        <v>65</v>
      </c>
      <c r="AQ4" s="183">
        <f>'Time Axis'!A69</f>
        <v>66</v>
      </c>
      <c r="AR4" s="183">
        <f>'Time Axis'!A70</f>
        <v>67</v>
      </c>
      <c r="AS4" s="183">
        <f>'Time Axis'!A71</f>
        <v>68</v>
      </c>
      <c r="AT4" s="183">
        <f>'Time Axis'!A72</f>
        <v>69</v>
      </c>
      <c r="AU4" s="183">
        <f>'Time Axis'!A73</f>
        <v>70</v>
      </c>
      <c r="AV4" s="183">
        <f>'Time Axis'!A74</f>
        <v>71</v>
      </c>
      <c r="AW4" s="183">
        <f>'Time Axis'!A75</f>
        <v>72</v>
      </c>
      <c r="AX4" s="183">
        <f>'Time Axis'!A76</f>
        <v>73</v>
      </c>
      <c r="AY4" s="183">
        <f>'Time Axis'!A77</f>
        <v>74</v>
      </c>
      <c r="AZ4" s="183">
        <f>'Time Axis'!A78</f>
        <v>75</v>
      </c>
      <c r="BA4" s="183">
        <f>'Time Axis'!A79</f>
        <v>76</v>
      </c>
      <c r="BB4" s="183">
        <f>'Time Axis'!A80</f>
        <v>77</v>
      </c>
      <c r="BC4" s="183">
        <f>'Time Axis'!A81</f>
        <v>78</v>
      </c>
      <c r="BD4" s="183">
        <f>'Time Axis'!A82</f>
        <v>79</v>
      </c>
      <c r="BE4" s="183">
        <f>'Time Axis'!A83</f>
        <v>80</v>
      </c>
      <c r="BF4" s="183">
        <f>'Time Axis'!A84</f>
        <v>81</v>
      </c>
      <c r="BG4" s="183">
        <f>'Time Axis'!A85</f>
        <v>82</v>
      </c>
      <c r="BH4" s="183">
        <f>'Time Axis'!A86</f>
        <v>83</v>
      </c>
      <c r="BI4" s="183">
        <f>'Time Axis'!A87</f>
        <v>84</v>
      </c>
      <c r="BJ4" s="183">
        <f>'Time Axis'!A88</f>
        <v>85</v>
      </c>
      <c r="BK4" s="183">
        <f>'Time Axis'!A89</f>
        <v>86</v>
      </c>
    </row>
    <row r="5" spans="1:63" ht="15" customHeight="1" x14ac:dyDescent="0.2">
      <c r="A5" s="26" t="s">
        <v>607</v>
      </c>
      <c r="B5" s="188">
        <f>'Time Axis'!B28</f>
        <v>46477</v>
      </c>
      <c r="C5" s="188">
        <f>'Time Axis'!B29</f>
        <v>46507</v>
      </c>
      <c r="D5" s="188">
        <f>'Time Axis'!B30</f>
        <v>46538</v>
      </c>
      <c r="E5" s="188">
        <f>'Time Axis'!B31</f>
        <v>46568</v>
      </c>
      <c r="F5" s="188">
        <f>'Time Axis'!B32</f>
        <v>46599</v>
      </c>
      <c r="G5" s="188">
        <f>'Time Axis'!B33</f>
        <v>46630</v>
      </c>
      <c r="H5" s="188">
        <f>'Time Axis'!B34</f>
        <v>46660</v>
      </c>
      <c r="I5" s="188">
        <f>'Time Axis'!B35</f>
        <v>46691</v>
      </c>
      <c r="J5" s="188">
        <f>'Time Axis'!B36</f>
        <v>46721</v>
      </c>
      <c r="K5" s="188">
        <f>'Time Axis'!B37</f>
        <v>46752</v>
      </c>
      <c r="L5" s="188">
        <f>'Time Axis'!B38</f>
        <v>46783</v>
      </c>
      <c r="M5" s="188">
        <f>'Time Axis'!B39</f>
        <v>46812</v>
      </c>
      <c r="N5" s="188">
        <f>'Time Axis'!B40</f>
        <v>46843</v>
      </c>
      <c r="O5" s="188">
        <f>'Time Axis'!B41</f>
        <v>46873</v>
      </c>
      <c r="P5" s="188">
        <f>'Time Axis'!B42</f>
        <v>46904</v>
      </c>
      <c r="Q5" s="188">
        <f>'Time Axis'!B43</f>
        <v>46934</v>
      </c>
      <c r="R5" s="188">
        <f>'Time Axis'!B44</f>
        <v>46965</v>
      </c>
      <c r="S5" s="188">
        <f>'Time Axis'!B45</f>
        <v>46996</v>
      </c>
      <c r="T5" s="188">
        <f>'Time Axis'!B46</f>
        <v>47026</v>
      </c>
      <c r="U5" s="188">
        <f>'Time Axis'!B47</f>
        <v>47057</v>
      </c>
      <c r="V5" s="188">
        <f>'Time Axis'!B48</f>
        <v>47087</v>
      </c>
      <c r="W5" s="188">
        <f>'Time Axis'!B49</f>
        <v>47118</v>
      </c>
      <c r="X5" s="188">
        <f>'Time Axis'!B50</f>
        <v>47149</v>
      </c>
      <c r="Y5" s="188">
        <f>'Time Axis'!B51</f>
        <v>47177</v>
      </c>
      <c r="Z5" s="188">
        <f>'Time Axis'!B52</f>
        <v>47208</v>
      </c>
      <c r="AA5" s="188">
        <f>'Time Axis'!B53</f>
        <v>47238</v>
      </c>
      <c r="AB5" s="188">
        <f>'Time Axis'!B54</f>
        <v>47269</v>
      </c>
      <c r="AC5" s="188">
        <f>'Time Axis'!B55</f>
        <v>47299</v>
      </c>
      <c r="AD5" s="188">
        <f>'Time Axis'!B56</f>
        <v>47330</v>
      </c>
      <c r="AE5" s="188">
        <f>'Time Axis'!B57</f>
        <v>47361</v>
      </c>
      <c r="AF5" s="188">
        <f>'Time Axis'!B58</f>
        <v>47391</v>
      </c>
      <c r="AG5" s="188">
        <f>'Time Axis'!B59</f>
        <v>47422</v>
      </c>
      <c r="AH5" s="188">
        <f>'Time Axis'!B60</f>
        <v>47452</v>
      </c>
      <c r="AI5" s="188">
        <f>'Time Axis'!B61</f>
        <v>47483</v>
      </c>
      <c r="AJ5" s="188">
        <f>'Time Axis'!B62</f>
        <v>47514</v>
      </c>
      <c r="AK5" s="188">
        <f>'Time Axis'!B63</f>
        <v>47542</v>
      </c>
      <c r="AL5" s="188">
        <f>'Time Axis'!B64</f>
        <v>47573</v>
      </c>
      <c r="AM5" s="188">
        <f>'Time Axis'!B65</f>
        <v>47603</v>
      </c>
      <c r="AN5" s="188">
        <f>'Time Axis'!B66</f>
        <v>47634</v>
      </c>
      <c r="AO5" s="188">
        <f>'Time Axis'!B67</f>
        <v>47664</v>
      </c>
      <c r="AP5" s="188">
        <f>'Time Axis'!B68</f>
        <v>47695</v>
      </c>
      <c r="AQ5" s="188">
        <f>'Time Axis'!B69</f>
        <v>47726</v>
      </c>
      <c r="AR5" s="188">
        <f>'Time Axis'!B70</f>
        <v>47756</v>
      </c>
      <c r="AS5" s="188">
        <f>'Time Axis'!B71</f>
        <v>47787</v>
      </c>
      <c r="AT5" s="188">
        <f>'Time Axis'!B72</f>
        <v>47817</v>
      </c>
      <c r="AU5" s="188">
        <f>'Time Axis'!B73</f>
        <v>47848</v>
      </c>
      <c r="AV5" s="188">
        <f>'Time Axis'!B74</f>
        <v>47879</v>
      </c>
      <c r="AW5" s="188">
        <f>'Time Axis'!B75</f>
        <v>47907</v>
      </c>
      <c r="AX5" s="188">
        <f>'Time Axis'!B76</f>
        <v>47938</v>
      </c>
      <c r="AY5" s="188">
        <f>'Time Axis'!B77</f>
        <v>47968</v>
      </c>
      <c r="AZ5" s="188">
        <f>'Time Axis'!B78</f>
        <v>47999</v>
      </c>
      <c r="BA5" s="188">
        <f>'Time Axis'!B79</f>
        <v>48029</v>
      </c>
      <c r="BB5" s="188">
        <f>'Time Axis'!B80</f>
        <v>48060</v>
      </c>
      <c r="BC5" s="188">
        <f>'Time Axis'!B81</f>
        <v>48091</v>
      </c>
      <c r="BD5" s="188">
        <f>'Time Axis'!B82</f>
        <v>48121</v>
      </c>
      <c r="BE5" s="188">
        <f>'Time Axis'!B83</f>
        <v>48152</v>
      </c>
      <c r="BF5" s="188">
        <f>'Time Axis'!B84</f>
        <v>48182</v>
      </c>
      <c r="BG5" s="188">
        <f>'Time Axis'!B85</f>
        <v>48213</v>
      </c>
      <c r="BH5" s="188">
        <f>'Time Axis'!B86</f>
        <v>48244</v>
      </c>
      <c r="BI5" s="188">
        <f>'Time Axis'!B87</f>
        <v>48273</v>
      </c>
      <c r="BJ5" s="188">
        <f>'Time Axis'!B88</f>
        <v>48304</v>
      </c>
      <c r="BK5" s="188">
        <f>'Time Axis'!B89</f>
        <v>48334</v>
      </c>
    </row>
    <row r="6" spans="1:63" ht="15" customHeight="1" x14ac:dyDescent="0.2">
      <c r="A6" s="26" t="s">
        <v>608</v>
      </c>
      <c r="B6" s="193" t="str">
        <f>'Time Axis'!C28</f>
        <v>Stabilized</v>
      </c>
      <c r="C6" s="193" t="str">
        <f>'Time Axis'!C29</f>
        <v>Stabilized</v>
      </c>
      <c r="D6" s="193" t="str">
        <f>'Time Axis'!C30</f>
        <v>Stabilized</v>
      </c>
      <c r="E6" s="193" t="str">
        <f>'Time Axis'!C31</f>
        <v>Stabilized</v>
      </c>
      <c r="F6" s="193" t="str">
        <f>'Time Axis'!C32</f>
        <v>Stabilized</v>
      </c>
      <c r="G6" s="193" t="str">
        <f>'Time Axis'!C33</f>
        <v>Stabilized</v>
      </c>
      <c r="H6" s="193" t="str">
        <f>'Time Axis'!C34</f>
        <v>Stabilized</v>
      </c>
      <c r="I6" s="193" t="str">
        <f>'Time Axis'!C35</f>
        <v>Stabilized</v>
      </c>
      <c r="J6" s="193" t="str">
        <f>'Time Axis'!C36</f>
        <v>Stabilized</v>
      </c>
      <c r="K6" s="193" t="str">
        <f>'Time Axis'!C37</f>
        <v>Stabilized</v>
      </c>
      <c r="L6" s="193" t="str">
        <f>'Time Axis'!C38</f>
        <v>Stabilized</v>
      </c>
      <c r="M6" s="193" t="str">
        <f>'Time Axis'!C39</f>
        <v>Stabilized</v>
      </c>
      <c r="N6" s="193" t="str">
        <f>'Time Axis'!C40</f>
        <v>Stabilized</v>
      </c>
      <c r="O6" s="193" t="str">
        <f>'Time Axis'!C41</f>
        <v>Stabilized</v>
      </c>
      <c r="P6" s="193" t="str">
        <f>'Time Axis'!C42</f>
        <v>Stabilized</v>
      </c>
      <c r="Q6" s="193" t="str">
        <f>'Time Axis'!C43</f>
        <v>Stabilized</v>
      </c>
      <c r="R6" s="193" t="str">
        <f>'Time Axis'!C44</f>
        <v>Stabilized</v>
      </c>
      <c r="S6" s="193" t="str">
        <f>'Time Axis'!C45</f>
        <v>Stabilized</v>
      </c>
      <c r="T6" s="193" t="str">
        <f>'Time Axis'!C46</f>
        <v>Stabilized</v>
      </c>
      <c r="U6" s="193" t="str">
        <f>'Time Axis'!C47</f>
        <v>Stabilized</v>
      </c>
      <c r="V6" s="193" t="str">
        <f>'Time Axis'!C48</f>
        <v>Stabilized</v>
      </c>
      <c r="W6" s="193" t="str">
        <f>'Time Axis'!C49</f>
        <v>Stabilized</v>
      </c>
      <c r="X6" s="193" t="str">
        <f>'Time Axis'!C50</f>
        <v>Stabilized</v>
      </c>
      <c r="Y6" s="193" t="str">
        <f>'Time Axis'!C51</f>
        <v>Stabilized</v>
      </c>
      <c r="Z6" s="193" t="str">
        <f>'Time Axis'!C52</f>
        <v>Stabilized</v>
      </c>
      <c r="AA6" s="193" t="str">
        <f>'Time Axis'!C53</f>
        <v>Stabilized</v>
      </c>
      <c r="AB6" s="193" t="str">
        <f>'Time Axis'!C54</f>
        <v>Stabilized</v>
      </c>
      <c r="AC6" s="193" t="str">
        <f>'Time Axis'!C55</f>
        <v>Stabilized</v>
      </c>
      <c r="AD6" s="193" t="str">
        <f>'Time Axis'!C56</f>
        <v>Stabilized</v>
      </c>
      <c r="AE6" s="193" t="str">
        <f>'Time Axis'!C57</f>
        <v>Stabilized</v>
      </c>
      <c r="AF6" s="193" t="str">
        <f>'Time Axis'!C58</f>
        <v>Stabilized</v>
      </c>
      <c r="AG6" s="193" t="str">
        <f>'Time Axis'!C59</f>
        <v>Stabilized</v>
      </c>
      <c r="AH6" s="193" t="str">
        <f>'Time Axis'!C60</f>
        <v>Stabilized</v>
      </c>
      <c r="AI6" s="193" t="str">
        <f>'Time Axis'!C61</f>
        <v>Stabilized</v>
      </c>
      <c r="AJ6" s="193" t="str">
        <f>'Time Axis'!C62</f>
        <v>Stabilized</v>
      </c>
      <c r="AK6" s="193" t="str">
        <f>'Time Axis'!C63</f>
        <v>Stabilized</v>
      </c>
      <c r="AL6" s="193" t="str">
        <f>'Time Axis'!C64</f>
        <v>Stabilized</v>
      </c>
      <c r="AM6" s="193" t="str">
        <f>'Time Axis'!C65</f>
        <v>Stabilized</v>
      </c>
      <c r="AN6" s="193" t="str">
        <f>'Time Axis'!C66</f>
        <v>Stabilized</v>
      </c>
      <c r="AO6" s="193" t="str">
        <f>'Time Axis'!C67</f>
        <v>Stabilized</v>
      </c>
      <c r="AP6" s="193" t="str">
        <f>'Time Axis'!C68</f>
        <v>Stabilized</v>
      </c>
      <c r="AQ6" s="193" t="str">
        <f>'Time Axis'!C69</f>
        <v>Stabilized</v>
      </c>
      <c r="AR6" s="193" t="str">
        <f>'Time Axis'!C70</f>
        <v>Stabilized</v>
      </c>
      <c r="AS6" s="193" t="str">
        <f>'Time Axis'!C71</f>
        <v>Stabilized</v>
      </c>
      <c r="AT6" s="193" t="str">
        <f>'Time Axis'!C72</f>
        <v>Stabilized</v>
      </c>
      <c r="AU6" s="193" t="str">
        <f>'Time Axis'!C73</f>
        <v>Stabilized</v>
      </c>
      <c r="AV6" s="193" t="str">
        <f>'Time Axis'!C74</f>
        <v>Stabilized</v>
      </c>
      <c r="AW6" s="193" t="str">
        <f>'Time Axis'!C75</f>
        <v>Stabilized</v>
      </c>
      <c r="AX6" s="193" t="str">
        <f>'Time Axis'!C76</f>
        <v>Stabilized</v>
      </c>
      <c r="AY6" s="193" t="str">
        <f>'Time Axis'!C77</f>
        <v>Stabilized</v>
      </c>
      <c r="AZ6" s="193" t="str">
        <f>'Time Axis'!C78</f>
        <v>Exit</v>
      </c>
      <c r="BA6" s="193" t="str">
        <f>'Time Axis'!C79</f>
        <v>Exit</v>
      </c>
      <c r="BB6" s="193" t="str">
        <f>'Time Axis'!C80</f>
        <v>Exit</v>
      </c>
      <c r="BC6" s="193" t="str">
        <f>'Time Axis'!C81</f>
        <v>Exit</v>
      </c>
      <c r="BD6" s="193" t="str">
        <f>'Time Axis'!C82</f>
        <v>Exit</v>
      </c>
      <c r="BE6" s="193" t="str">
        <f>'Time Axis'!C83</f>
        <v>Exit</v>
      </c>
      <c r="BF6" s="193" t="str">
        <f>'Time Axis'!C84</f>
        <v>Exit</v>
      </c>
      <c r="BG6" s="193" t="str">
        <f>'Time Axis'!C85</f>
        <v>Exit</v>
      </c>
      <c r="BH6" s="193" t="str">
        <f>'Time Axis'!C86</f>
        <v>Exit</v>
      </c>
      <c r="BI6" s="193" t="str">
        <f>'Time Axis'!C87</f>
        <v>Exit</v>
      </c>
      <c r="BJ6" s="193" t="str">
        <f>'Time Axis'!C88</f>
        <v>Exit</v>
      </c>
      <c r="BK6" s="193" t="str">
        <f>'Time Axis'!C89</f>
        <v>Exit</v>
      </c>
    </row>
    <row r="7" spans="1:63" ht="15" customHeight="1" x14ac:dyDescent="0.2">
      <c r="A7" s="26" t="s">
        <v>722</v>
      </c>
      <c r="B7" s="183">
        <f>CEILING(('Time Axis'!A28-'I_Inputs &amp; Assumptions'!B8)/12,1)</f>
        <v>1</v>
      </c>
      <c r="C7" s="183">
        <f>CEILING(('Time Axis'!A29-'I_Inputs &amp; Assumptions'!B8)/12,1)</f>
        <v>2</v>
      </c>
      <c r="D7" s="183">
        <f>CEILING(('Time Axis'!A30-'I_Inputs &amp; Assumptions'!B8)/12,1)</f>
        <v>2</v>
      </c>
      <c r="E7" s="183">
        <f>CEILING(('Time Axis'!A31-'I_Inputs &amp; Assumptions'!B8)/12,1)</f>
        <v>2</v>
      </c>
      <c r="F7" s="183">
        <f>CEILING(('Time Axis'!A32-'I_Inputs &amp; Assumptions'!B8)/12,1)</f>
        <v>2</v>
      </c>
      <c r="G7" s="183">
        <f>CEILING(('Time Axis'!A33-'I_Inputs &amp; Assumptions'!B8)/12,1)</f>
        <v>2</v>
      </c>
      <c r="H7" s="183">
        <f>CEILING(('Time Axis'!A34-'I_Inputs &amp; Assumptions'!B8)/12,1)</f>
        <v>2</v>
      </c>
      <c r="I7" s="183">
        <f>CEILING(('Time Axis'!A35-'I_Inputs &amp; Assumptions'!B8)/12,1)</f>
        <v>2</v>
      </c>
      <c r="J7" s="183">
        <f>CEILING(('Time Axis'!A36-'I_Inputs &amp; Assumptions'!B8)/12,1)</f>
        <v>2</v>
      </c>
      <c r="K7" s="183">
        <f>CEILING(('Time Axis'!A37-'I_Inputs &amp; Assumptions'!B8)/12,1)</f>
        <v>2</v>
      </c>
      <c r="L7" s="183">
        <f>CEILING(('Time Axis'!A38-'I_Inputs &amp; Assumptions'!B8)/12,1)</f>
        <v>2</v>
      </c>
      <c r="M7" s="183">
        <f>CEILING(('Time Axis'!A39-'I_Inputs &amp; Assumptions'!B8)/12,1)</f>
        <v>2</v>
      </c>
      <c r="N7" s="183">
        <f>CEILING(('Time Axis'!A40-'I_Inputs &amp; Assumptions'!B8)/12,1)</f>
        <v>2</v>
      </c>
      <c r="O7" s="183">
        <f>CEILING(('Time Axis'!A41-'I_Inputs &amp; Assumptions'!B8)/12,1)</f>
        <v>3</v>
      </c>
      <c r="P7" s="183">
        <f>CEILING(('Time Axis'!A42-'I_Inputs &amp; Assumptions'!B8)/12,1)</f>
        <v>3</v>
      </c>
      <c r="Q7" s="183">
        <f>CEILING(('Time Axis'!A43-'I_Inputs &amp; Assumptions'!B8)/12,1)</f>
        <v>3</v>
      </c>
      <c r="R7" s="183">
        <f>CEILING(('Time Axis'!A44-'I_Inputs &amp; Assumptions'!B8)/12,1)</f>
        <v>3</v>
      </c>
      <c r="S7" s="183">
        <f>CEILING(('Time Axis'!A45-'I_Inputs &amp; Assumptions'!B8)/12,1)</f>
        <v>3</v>
      </c>
      <c r="T7" s="183">
        <f>CEILING(('Time Axis'!A46-'I_Inputs &amp; Assumptions'!B8)/12,1)</f>
        <v>3</v>
      </c>
      <c r="U7" s="183">
        <f>CEILING(('Time Axis'!A47-'I_Inputs &amp; Assumptions'!B8)/12,1)</f>
        <v>3</v>
      </c>
      <c r="V7" s="183">
        <f>CEILING(('Time Axis'!A48-'I_Inputs &amp; Assumptions'!B8)/12,1)</f>
        <v>3</v>
      </c>
      <c r="W7" s="183">
        <f>CEILING(('Time Axis'!A49-'I_Inputs &amp; Assumptions'!B8)/12,1)</f>
        <v>3</v>
      </c>
      <c r="X7" s="183">
        <f>CEILING(('Time Axis'!A50-'I_Inputs &amp; Assumptions'!B8)/12,1)</f>
        <v>3</v>
      </c>
      <c r="Y7" s="183">
        <f>CEILING(('Time Axis'!A51-'I_Inputs &amp; Assumptions'!B8)/12,1)</f>
        <v>3</v>
      </c>
      <c r="Z7" s="183">
        <f>CEILING(('Time Axis'!A52-'I_Inputs &amp; Assumptions'!B8)/12,1)</f>
        <v>3</v>
      </c>
      <c r="AA7" s="183">
        <f>CEILING(('Time Axis'!A53-'I_Inputs &amp; Assumptions'!B8)/12,1)</f>
        <v>4</v>
      </c>
      <c r="AB7" s="183">
        <f>CEILING(('Time Axis'!A54-'I_Inputs &amp; Assumptions'!B8)/12,1)</f>
        <v>4</v>
      </c>
      <c r="AC7" s="183">
        <f>CEILING(('Time Axis'!A55-'I_Inputs &amp; Assumptions'!B8)/12,1)</f>
        <v>4</v>
      </c>
      <c r="AD7" s="183">
        <f>CEILING(('Time Axis'!A56-'I_Inputs &amp; Assumptions'!B8)/12,1)</f>
        <v>4</v>
      </c>
      <c r="AE7" s="183">
        <f>CEILING(('Time Axis'!A57-'I_Inputs &amp; Assumptions'!B8)/12,1)</f>
        <v>4</v>
      </c>
      <c r="AF7" s="183">
        <f>CEILING(('Time Axis'!A58-'I_Inputs &amp; Assumptions'!B8)/12,1)</f>
        <v>4</v>
      </c>
      <c r="AG7" s="183">
        <f>CEILING(('Time Axis'!A59-'I_Inputs &amp; Assumptions'!B8)/12,1)</f>
        <v>4</v>
      </c>
      <c r="AH7" s="183">
        <f>CEILING(('Time Axis'!A60-'I_Inputs &amp; Assumptions'!B8)/12,1)</f>
        <v>4</v>
      </c>
      <c r="AI7" s="183">
        <f>CEILING(('Time Axis'!A61-'I_Inputs &amp; Assumptions'!B8)/12,1)</f>
        <v>4</v>
      </c>
      <c r="AJ7" s="183">
        <f>CEILING(('Time Axis'!A62-'I_Inputs &amp; Assumptions'!B8)/12,1)</f>
        <v>4</v>
      </c>
      <c r="AK7" s="183">
        <f>CEILING(('Time Axis'!A63-'I_Inputs &amp; Assumptions'!B8)/12,1)</f>
        <v>4</v>
      </c>
      <c r="AL7" s="183">
        <f>CEILING(('Time Axis'!A64-'I_Inputs &amp; Assumptions'!B8)/12,1)</f>
        <v>4</v>
      </c>
      <c r="AM7" s="183">
        <f>CEILING(('Time Axis'!A65-'I_Inputs &amp; Assumptions'!B8)/12,1)</f>
        <v>5</v>
      </c>
      <c r="AN7" s="183">
        <f>CEILING(('Time Axis'!A66-'I_Inputs &amp; Assumptions'!B8)/12,1)</f>
        <v>5</v>
      </c>
      <c r="AO7" s="183">
        <f>CEILING(('Time Axis'!A67-'I_Inputs &amp; Assumptions'!B8)/12,1)</f>
        <v>5</v>
      </c>
      <c r="AP7" s="183">
        <f>CEILING(('Time Axis'!A68-'I_Inputs &amp; Assumptions'!B8)/12,1)</f>
        <v>5</v>
      </c>
      <c r="AQ7" s="183">
        <f>CEILING(('Time Axis'!A69-'I_Inputs &amp; Assumptions'!B8)/12,1)</f>
        <v>5</v>
      </c>
      <c r="AR7" s="183">
        <f>CEILING(('Time Axis'!A70-'I_Inputs &amp; Assumptions'!B8)/12,1)</f>
        <v>5</v>
      </c>
      <c r="AS7" s="183">
        <f>CEILING(('Time Axis'!A71-'I_Inputs &amp; Assumptions'!B8)/12,1)</f>
        <v>5</v>
      </c>
      <c r="AT7" s="183">
        <f>CEILING(('Time Axis'!A72-'I_Inputs &amp; Assumptions'!B8)/12,1)</f>
        <v>5</v>
      </c>
      <c r="AU7" s="183">
        <f>CEILING(('Time Axis'!A73-'I_Inputs &amp; Assumptions'!B8)/12,1)</f>
        <v>5</v>
      </c>
      <c r="AV7" s="183">
        <f>CEILING(('Time Axis'!A74-'I_Inputs &amp; Assumptions'!B8)/12,1)</f>
        <v>5</v>
      </c>
      <c r="AW7" s="183">
        <f>CEILING(('Time Axis'!A75-'I_Inputs &amp; Assumptions'!B8)/12,1)</f>
        <v>5</v>
      </c>
      <c r="AX7" s="183">
        <f>CEILING(('Time Axis'!A76-'I_Inputs &amp; Assumptions'!B8)/12,1)</f>
        <v>5</v>
      </c>
      <c r="AY7" s="183">
        <f>CEILING(('Time Axis'!A77-'I_Inputs &amp; Assumptions'!B8)/12,1)</f>
        <v>6</v>
      </c>
      <c r="AZ7" s="183">
        <f>CEILING(('Time Axis'!A78-'I_Inputs &amp; Assumptions'!B8)/12,1)</f>
        <v>6</v>
      </c>
      <c r="BA7" s="183">
        <f>CEILING(('Time Axis'!A79-'I_Inputs &amp; Assumptions'!B8)/12,1)</f>
        <v>6</v>
      </c>
      <c r="BB7" s="183">
        <f>CEILING(('Time Axis'!A80-'I_Inputs &amp; Assumptions'!B8)/12,1)</f>
        <v>6</v>
      </c>
      <c r="BC7" s="183">
        <f>CEILING(('Time Axis'!A81-'I_Inputs &amp; Assumptions'!B8)/12,1)</f>
        <v>6</v>
      </c>
      <c r="BD7" s="183">
        <f>CEILING(('Time Axis'!A82-'I_Inputs &amp; Assumptions'!B8)/12,1)</f>
        <v>6</v>
      </c>
      <c r="BE7" s="183">
        <f>CEILING(('Time Axis'!A83-'I_Inputs &amp; Assumptions'!B8)/12,1)</f>
        <v>6</v>
      </c>
      <c r="BF7" s="183">
        <f>CEILING(('Time Axis'!A84-'I_Inputs &amp; Assumptions'!B8)/12,1)</f>
        <v>6</v>
      </c>
      <c r="BG7" s="183">
        <f>CEILING(('Time Axis'!A85-'I_Inputs &amp; Assumptions'!B8)/12,1)</f>
        <v>6</v>
      </c>
      <c r="BH7" s="183">
        <f>CEILING(('Time Axis'!A86-'I_Inputs &amp; Assumptions'!B8)/12,1)</f>
        <v>6</v>
      </c>
      <c r="BI7" s="183">
        <f>CEILING(('Time Axis'!A87-'I_Inputs &amp; Assumptions'!B8)/12,1)</f>
        <v>6</v>
      </c>
      <c r="BJ7" s="183">
        <f>CEILING(('Time Axis'!A88-'I_Inputs &amp; Assumptions'!B8)/12,1)</f>
        <v>6</v>
      </c>
      <c r="BK7" s="183">
        <f>CEILING(('Time Axis'!A89-'I_Inputs &amp; Assumptions'!B8)/12,1)</f>
        <v>7</v>
      </c>
    </row>
    <row r="9" spans="1:63" ht="15" customHeight="1" x14ac:dyDescent="0.2">
      <c r="A9" s="171" t="s">
        <v>723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</row>
    <row r="10" spans="1:63" ht="15" customHeight="1" x14ac:dyDescent="0.2">
      <c r="A10" s="26" t="s">
        <v>724</v>
      </c>
      <c r="B10" s="57">
        <f>OPEX!B7/12*(1+OPEX!C7)^(B7-1)</f>
        <v>121408</v>
      </c>
      <c r="C10" s="57">
        <f>OPEX!B7/12*(1+OPEX!C7)^(C7-1)</f>
        <v>123836.16</v>
      </c>
      <c r="D10" s="57">
        <f>OPEX!B7/12*(1+OPEX!C7)^(D7-1)</f>
        <v>123836.16</v>
      </c>
      <c r="E10" s="57">
        <f>OPEX!B7/12*(1+OPEX!C7)^(E7-1)</f>
        <v>123836.16</v>
      </c>
      <c r="F10" s="57">
        <f>OPEX!B7/12*(1+OPEX!C7)^(F7-1)</f>
        <v>123836.16</v>
      </c>
      <c r="G10" s="57">
        <f>OPEX!B7/12*(1+OPEX!C7)^(G7-1)</f>
        <v>123836.16</v>
      </c>
      <c r="H10" s="57">
        <f>OPEX!B7/12*(1+OPEX!C7)^(H7-1)</f>
        <v>123836.16</v>
      </c>
      <c r="I10" s="57">
        <f>OPEX!B7/12*(1+OPEX!C7)^(I7-1)</f>
        <v>123836.16</v>
      </c>
      <c r="J10" s="57">
        <f>OPEX!B7/12*(1+OPEX!C7)^(J7-1)</f>
        <v>123836.16</v>
      </c>
      <c r="K10" s="57">
        <f>OPEX!B7/12*(1+OPEX!C7)^(K7-1)</f>
        <v>123836.16</v>
      </c>
      <c r="L10" s="57">
        <f>OPEX!B7/12*(1+OPEX!C7)^(L7-1)</f>
        <v>123836.16</v>
      </c>
      <c r="M10" s="57">
        <f>OPEX!B7/12*(1+OPEX!C7)^(M7-1)</f>
        <v>123836.16</v>
      </c>
      <c r="N10" s="57">
        <f>OPEX!B7/12*(1+OPEX!C7)^(N7-1)</f>
        <v>123836.16</v>
      </c>
      <c r="O10" s="57">
        <f>OPEX!B7/12*(1+OPEX!C7)^(O7-1)</f>
        <v>126312.8832</v>
      </c>
      <c r="P10" s="57">
        <f>OPEX!B7/12*(1+OPEX!C7)^(P7-1)</f>
        <v>126312.8832</v>
      </c>
      <c r="Q10" s="57">
        <f>OPEX!B7/12*(1+OPEX!C7)^(Q7-1)</f>
        <v>126312.8832</v>
      </c>
      <c r="R10" s="57">
        <f>OPEX!B7/12*(1+OPEX!C7)^(R7-1)</f>
        <v>126312.8832</v>
      </c>
      <c r="S10" s="57">
        <f>OPEX!B7/12*(1+OPEX!C7)^(S7-1)</f>
        <v>126312.8832</v>
      </c>
      <c r="T10" s="57">
        <f>OPEX!B7/12*(1+OPEX!C7)^(T7-1)</f>
        <v>126312.8832</v>
      </c>
      <c r="U10" s="57">
        <f>OPEX!B7/12*(1+OPEX!C7)^(U7-1)</f>
        <v>126312.8832</v>
      </c>
      <c r="V10" s="57">
        <f>OPEX!B7/12*(1+OPEX!C7)^(V7-1)</f>
        <v>126312.8832</v>
      </c>
      <c r="W10" s="57">
        <f>OPEX!B7/12*(1+OPEX!C7)^(W7-1)</f>
        <v>126312.8832</v>
      </c>
      <c r="X10" s="57">
        <f>OPEX!B7/12*(1+OPEX!C7)^(X7-1)</f>
        <v>126312.8832</v>
      </c>
      <c r="Y10" s="57">
        <f>OPEX!B7/12*(1+OPEX!C7)^(Y7-1)</f>
        <v>126312.8832</v>
      </c>
      <c r="Z10" s="57">
        <f>OPEX!B7/12*(1+OPEX!C7)^(Z7-1)</f>
        <v>126312.8832</v>
      </c>
      <c r="AA10" s="57">
        <f>OPEX!B7/12*(1+OPEX!C7)^(AA7-1)</f>
        <v>128839.14086399999</v>
      </c>
      <c r="AB10" s="57">
        <f>OPEX!B7/12*(1+OPEX!C7)^(AB7-1)</f>
        <v>128839.14086399999</v>
      </c>
      <c r="AC10" s="57">
        <f>OPEX!B7/12*(1+OPEX!C7)^(AC7-1)</f>
        <v>128839.14086399999</v>
      </c>
      <c r="AD10" s="57">
        <f>OPEX!B7/12*(1+OPEX!C7)^(AD7-1)</f>
        <v>128839.14086399999</v>
      </c>
      <c r="AE10" s="57">
        <f>OPEX!B7/12*(1+OPEX!C7)^(AE7-1)</f>
        <v>128839.14086399999</v>
      </c>
      <c r="AF10" s="57">
        <f>OPEX!B7/12*(1+OPEX!C7)^(AF7-1)</f>
        <v>128839.14086399999</v>
      </c>
      <c r="AG10" s="57">
        <f>OPEX!B7/12*(1+OPEX!C7)^(AG7-1)</f>
        <v>128839.14086399999</v>
      </c>
      <c r="AH10" s="57">
        <f>OPEX!B7/12*(1+OPEX!C7)^(AH7-1)</f>
        <v>128839.14086399999</v>
      </c>
      <c r="AI10" s="57">
        <f>OPEX!B7/12*(1+OPEX!C7)^(AI7-1)</f>
        <v>128839.14086399999</v>
      </c>
      <c r="AJ10" s="57">
        <f>OPEX!B7/12*(1+OPEX!C7)^(AJ7-1)</f>
        <v>128839.14086399999</v>
      </c>
      <c r="AK10" s="57">
        <f>OPEX!B7/12*(1+OPEX!C7)^(AK7-1)</f>
        <v>128839.14086399999</v>
      </c>
      <c r="AL10" s="57">
        <f>OPEX!B7/12*(1+OPEX!C7)^(AL7-1)</f>
        <v>128839.14086399999</v>
      </c>
      <c r="AM10" s="57">
        <f>OPEX!B7/12*(1+OPEX!C7)^(AM7-1)</f>
        <v>131415.92368127999</v>
      </c>
      <c r="AN10" s="57">
        <f>OPEX!B7/12*(1+OPEX!C7)^(AN7-1)</f>
        <v>131415.92368127999</v>
      </c>
      <c r="AO10" s="57">
        <f>OPEX!B7/12*(1+OPEX!C7)^(AO7-1)</f>
        <v>131415.92368127999</v>
      </c>
      <c r="AP10" s="57">
        <f>OPEX!B7/12*(1+OPEX!C7)^(AP7-1)</f>
        <v>131415.92368127999</v>
      </c>
      <c r="AQ10" s="57">
        <f>OPEX!B7/12*(1+OPEX!C7)^(AQ7-1)</f>
        <v>131415.92368127999</v>
      </c>
      <c r="AR10" s="57">
        <f>OPEX!B7/12*(1+OPEX!C7)^(AR7-1)</f>
        <v>131415.92368127999</v>
      </c>
      <c r="AS10" s="57">
        <f>OPEX!B7/12*(1+OPEX!C7)^(AS7-1)</f>
        <v>131415.92368127999</v>
      </c>
      <c r="AT10" s="57">
        <f>OPEX!B7/12*(1+OPEX!C7)^(AT7-1)</f>
        <v>131415.92368127999</v>
      </c>
      <c r="AU10" s="57">
        <f>OPEX!B7/12*(1+OPEX!C7)^(AU7-1)</f>
        <v>131415.92368127999</v>
      </c>
      <c r="AV10" s="57">
        <f>OPEX!B7/12*(1+OPEX!C7)^(AV7-1)</f>
        <v>131415.92368127999</v>
      </c>
      <c r="AW10" s="57">
        <f>OPEX!B7/12*(1+OPEX!C7)^(AW7-1)</f>
        <v>131415.92368127999</v>
      </c>
      <c r="AX10" s="57">
        <f>OPEX!B7/12*(1+OPEX!C7)^(AX7-1)</f>
        <v>131415.92368127999</v>
      </c>
      <c r="AY10" s="57">
        <f>OPEX!B7/12*(1+OPEX!C7)^(AY7-1)</f>
        <v>134044.2421549056</v>
      </c>
      <c r="AZ10" s="57">
        <f>OPEX!B7/12*(1+OPEX!C7)^(AZ7-1)</f>
        <v>134044.2421549056</v>
      </c>
      <c r="BA10" s="57">
        <f>OPEX!B7/12*(1+OPEX!C7)^(BA7-1)</f>
        <v>134044.2421549056</v>
      </c>
      <c r="BB10" s="57">
        <f>OPEX!B7/12*(1+OPEX!C7)^(BB7-1)</f>
        <v>134044.2421549056</v>
      </c>
      <c r="BC10" s="57">
        <f>OPEX!B7/12*(1+OPEX!C7)^(BC7-1)</f>
        <v>134044.2421549056</v>
      </c>
      <c r="BD10" s="57">
        <f>OPEX!B7/12*(1+OPEX!C7)^(BD7-1)</f>
        <v>134044.2421549056</v>
      </c>
      <c r="BE10" s="57">
        <f>OPEX!B7/12*(1+OPEX!C7)^(BE7-1)</f>
        <v>134044.2421549056</v>
      </c>
      <c r="BF10" s="57">
        <f>OPEX!B7/12*(1+OPEX!C7)^(BF7-1)</f>
        <v>134044.2421549056</v>
      </c>
      <c r="BG10" s="57">
        <f>OPEX!B7/12*(1+OPEX!C7)^(BG7-1)</f>
        <v>134044.2421549056</v>
      </c>
      <c r="BH10" s="57">
        <f>OPEX!B7/12*(1+OPEX!C7)^(BH7-1)</f>
        <v>134044.2421549056</v>
      </c>
      <c r="BI10" s="57">
        <f>OPEX!B7/12*(1+OPEX!C7)^(BI7-1)</f>
        <v>134044.2421549056</v>
      </c>
      <c r="BJ10" s="57">
        <f>OPEX!B7/12*(1+OPEX!C7)^(BJ7-1)</f>
        <v>134044.2421549056</v>
      </c>
      <c r="BK10" s="57">
        <f>OPEX!B7/12*(1+OPEX!C7)^(BK7-1)</f>
        <v>136725.12699800372</v>
      </c>
    </row>
    <row r="11" spans="1:63" ht="15" customHeight="1" x14ac:dyDescent="0.2">
      <c r="A11" s="26" t="s">
        <v>725</v>
      </c>
      <c r="B11" s="57">
        <f>OPEX!B10/12*(1+OPEX!C10)^(B7-1)</f>
        <v>3200</v>
      </c>
      <c r="C11" s="57">
        <f>OPEX!B10/12*(1+OPEX!C10)^(C7-1)</f>
        <v>3247.9999999999995</v>
      </c>
      <c r="D11" s="57">
        <f>OPEX!B10/12*(1+OPEX!C10)^(D7-1)</f>
        <v>3247.9999999999995</v>
      </c>
      <c r="E11" s="57">
        <f>OPEX!B10/12*(1+OPEX!C10)^(E7-1)</f>
        <v>3247.9999999999995</v>
      </c>
      <c r="F11" s="57">
        <f>OPEX!B10/12*(1+OPEX!C10)^(F7-1)</f>
        <v>3247.9999999999995</v>
      </c>
      <c r="G11" s="57">
        <f>OPEX!B10/12*(1+OPEX!C10)^(G7-1)</f>
        <v>3247.9999999999995</v>
      </c>
      <c r="H11" s="57">
        <f>OPEX!B10/12*(1+OPEX!C10)^(H7-1)</f>
        <v>3247.9999999999995</v>
      </c>
      <c r="I11" s="57">
        <f>OPEX!B10/12*(1+OPEX!C10)^(I7-1)</f>
        <v>3247.9999999999995</v>
      </c>
      <c r="J11" s="57">
        <f>OPEX!B10/12*(1+OPEX!C10)^(J7-1)</f>
        <v>3247.9999999999995</v>
      </c>
      <c r="K11" s="57">
        <f>OPEX!B10/12*(1+OPEX!C10)^(K7-1)</f>
        <v>3247.9999999999995</v>
      </c>
      <c r="L11" s="57">
        <f>OPEX!B10/12*(1+OPEX!C10)^(L7-1)</f>
        <v>3247.9999999999995</v>
      </c>
      <c r="M11" s="57">
        <f>OPEX!B10/12*(1+OPEX!C10)^(M7-1)</f>
        <v>3247.9999999999995</v>
      </c>
      <c r="N11" s="57">
        <f>OPEX!B10/12*(1+OPEX!C10)^(N7-1)</f>
        <v>3247.9999999999995</v>
      </c>
      <c r="O11" s="57">
        <f>OPEX!B10/12*(1+OPEX!C10)^(O7-1)</f>
        <v>3296.7199999999993</v>
      </c>
      <c r="P11" s="57">
        <f>OPEX!B10/12*(1+OPEX!C10)^(P7-1)</f>
        <v>3296.7199999999993</v>
      </c>
      <c r="Q11" s="57">
        <f>OPEX!B10/12*(1+OPEX!C10)^(Q7-1)</f>
        <v>3296.7199999999993</v>
      </c>
      <c r="R11" s="57">
        <f>OPEX!B10/12*(1+OPEX!C10)^(R7-1)</f>
        <v>3296.7199999999993</v>
      </c>
      <c r="S11" s="57">
        <f>OPEX!B10/12*(1+OPEX!C10)^(S7-1)</f>
        <v>3296.7199999999993</v>
      </c>
      <c r="T11" s="57">
        <f>OPEX!B10/12*(1+OPEX!C10)^(T7-1)</f>
        <v>3296.7199999999993</v>
      </c>
      <c r="U11" s="57">
        <f>OPEX!B10/12*(1+OPEX!C10)^(U7-1)</f>
        <v>3296.7199999999993</v>
      </c>
      <c r="V11" s="57">
        <f>OPEX!B10/12*(1+OPEX!C10)^(V7-1)</f>
        <v>3296.7199999999993</v>
      </c>
      <c r="W11" s="57">
        <f>OPEX!B10/12*(1+OPEX!C10)^(W7-1)</f>
        <v>3296.7199999999993</v>
      </c>
      <c r="X11" s="57">
        <f>OPEX!B10/12*(1+OPEX!C10)^(X7-1)</f>
        <v>3296.7199999999993</v>
      </c>
      <c r="Y11" s="57">
        <f>OPEX!B10/12*(1+OPEX!C10)^(Y7-1)</f>
        <v>3296.7199999999993</v>
      </c>
      <c r="Z11" s="57">
        <f>OPEX!B10/12*(1+OPEX!C10)^(Z7-1)</f>
        <v>3296.7199999999993</v>
      </c>
      <c r="AA11" s="57">
        <f>OPEX!B10/12*(1+OPEX!C10)^(AA7-1)</f>
        <v>3346.170799999999</v>
      </c>
      <c r="AB11" s="57">
        <f>OPEX!B10/12*(1+OPEX!C10)^(AB7-1)</f>
        <v>3346.170799999999</v>
      </c>
      <c r="AC11" s="57">
        <f>OPEX!B10/12*(1+OPEX!C10)^(AC7-1)</f>
        <v>3346.170799999999</v>
      </c>
      <c r="AD11" s="57">
        <f>OPEX!B10/12*(1+OPEX!C10)^(AD7-1)</f>
        <v>3346.170799999999</v>
      </c>
      <c r="AE11" s="57">
        <f>OPEX!B10/12*(1+OPEX!C10)^(AE7-1)</f>
        <v>3346.170799999999</v>
      </c>
      <c r="AF11" s="57">
        <f>OPEX!B10/12*(1+OPEX!C10)^(AF7-1)</f>
        <v>3346.170799999999</v>
      </c>
      <c r="AG11" s="57">
        <f>OPEX!B10/12*(1+OPEX!C10)^(AG7-1)</f>
        <v>3346.170799999999</v>
      </c>
      <c r="AH11" s="57">
        <f>OPEX!B10/12*(1+OPEX!C10)^(AH7-1)</f>
        <v>3346.170799999999</v>
      </c>
      <c r="AI11" s="57">
        <f>OPEX!B10/12*(1+OPEX!C10)^(AI7-1)</f>
        <v>3346.170799999999</v>
      </c>
      <c r="AJ11" s="57">
        <f>OPEX!B10/12*(1+OPEX!C10)^(AJ7-1)</f>
        <v>3346.170799999999</v>
      </c>
      <c r="AK11" s="57">
        <f>OPEX!B10/12*(1+OPEX!C10)^(AK7-1)</f>
        <v>3346.170799999999</v>
      </c>
      <c r="AL11" s="57">
        <f>OPEX!B10/12*(1+OPEX!C10)^(AL7-1)</f>
        <v>3346.170799999999</v>
      </c>
      <c r="AM11" s="57">
        <f>OPEX!B10/12*(1+OPEX!C10)^(AM7-1)</f>
        <v>3396.3633619999982</v>
      </c>
      <c r="AN11" s="57">
        <f>OPEX!B10/12*(1+OPEX!C10)^(AN7-1)</f>
        <v>3396.3633619999982</v>
      </c>
      <c r="AO11" s="57">
        <f>OPEX!B10/12*(1+OPEX!C10)^(AO7-1)</f>
        <v>3396.3633619999982</v>
      </c>
      <c r="AP11" s="57">
        <f>OPEX!B10/12*(1+OPEX!C10)^(AP7-1)</f>
        <v>3396.3633619999982</v>
      </c>
      <c r="AQ11" s="57">
        <f>OPEX!B10/12*(1+OPEX!C10)^(AQ7-1)</f>
        <v>3396.3633619999982</v>
      </c>
      <c r="AR11" s="57">
        <f>OPEX!B10/12*(1+OPEX!C10)^(AR7-1)</f>
        <v>3396.3633619999982</v>
      </c>
      <c r="AS11" s="57">
        <f>OPEX!B10/12*(1+OPEX!C10)^(AS7-1)</f>
        <v>3396.3633619999982</v>
      </c>
      <c r="AT11" s="57">
        <f>OPEX!B10/12*(1+OPEX!C10)^(AT7-1)</f>
        <v>3396.3633619999982</v>
      </c>
      <c r="AU11" s="57">
        <f>OPEX!B10/12*(1+OPEX!C10)^(AU7-1)</f>
        <v>3396.3633619999982</v>
      </c>
      <c r="AV11" s="57">
        <f>OPEX!B10/12*(1+OPEX!C10)^(AV7-1)</f>
        <v>3396.3633619999982</v>
      </c>
      <c r="AW11" s="57">
        <f>OPEX!B10/12*(1+OPEX!C10)^(AW7-1)</f>
        <v>3396.3633619999982</v>
      </c>
      <c r="AX11" s="57">
        <f>OPEX!B10/12*(1+OPEX!C10)^(AX7-1)</f>
        <v>3396.3633619999982</v>
      </c>
      <c r="AY11" s="57">
        <f>OPEX!B10/12*(1+OPEX!C10)^(AY7-1)</f>
        <v>3447.3088124299975</v>
      </c>
      <c r="AZ11" s="57">
        <f>OPEX!B10/12*(1+OPEX!C10)^(AZ7-1)</f>
        <v>3447.3088124299975</v>
      </c>
      <c r="BA11" s="57">
        <f>OPEX!B10/12*(1+OPEX!C10)^(BA7-1)</f>
        <v>3447.3088124299975</v>
      </c>
      <c r="BB11" s="57">
        <f>OPEX!B10/12*(1+OPEX!C10)^(BB7-1)</f>
        <v>3447.3088124299975</v>
      </c>
      <c r="BC11" s="57">
        <f>OPEX!B10/12*(1+OPEX!C10)^(BC7-1)</f>
        <v>3447.3088124299975</v>
      </c>
      <c r="BD11" s="57">
        <f>OPEX!B10/12*(1+OPEX!C10)^(BD7-1)</f>
        <v>3447.3088124299975</v>
      </c>
      <c r="BE11" s="57">
        <f>OPEX!B10/12*(1+OPEX!C10)^(BE7-1)</f>
        <v>3447.3088124299975</v>
      </c>
      <c r="BF11" s="57">
        <f>OPEX!B10/12*(1+OPEX!C10)^(BF7-1)</f>
        <v>3447.3088124299975</v>
      </c>
      <c r="BG11" s="57">
        <f>OPEX!B10/12*(1+OPEX!C10)^(BG7-1)</f>
        <v>3447.3088124299975</v>
      </c>
      <c r="BH11" s="57">
        <f>OPEX!B10/12*(1+OPEX!C10)^(BH7-1)</f>
        <v>3447.3088124299975</v>
      </c>
      <c r="BI11" s="57">
        <f>OPEX!B10/12*(1+OPEX!C10)^(BI7-1)</f>
        <v>3447.3088124299975</v>
      </c>
      <c r="BJ11" s="57">
        <f>OPEX!B10/12*(1+OPEX!C10)^(BJ7-1)</f>
        <v>3447.3088124299975</v>
      </c>
      <c r="BK11" s="57">
        <f>OPEX!B10/12*(1+OPEX!C10)^(BK7-1)</f>
        <v>3499.0184446164471</v>
      </c>
    </row>
    <row r="12" spans="1:63" ht="15" customHeight="1" x14ac:dyDescent="0.2">
      <c r="A12" s="26" t="s">
        <v>726</v>
      </c>
      <c r="B12" s="57">
        <f>OPEX!B11/12*(1+OPEX!C11)^(B7-1)</f>
        <v>3525</v>
      </c>
      <c r="C12" s="57">
        <f>OPEX!B11/12*(1+OPEX!C11)^(C7-1)</f>
        <v>3577.8749999999995</v>
      </c>
      <c r="D12" s="57">
        <f>OPEX!B11/12*(1+OPEX!C11)^(D7-1)</f>
        <v>3577.8749999999995</v>
      </c>
      <c r="E12" s="57">
        <f>OPEX!B11/12*(1+OPEX!C11)^(E7-1)</f>
        <v>3577.8749999999995</v>
      </c>
      <c r="F12" s="57">
        <f>OPEX!B11/12*(1+OPEX!C11)^(F7-1)</f>
        <v>3577.8749999999995</v>
      </c>
      <c r="G12" s="57">
        <f>OPEX!B11/12*(1+OPEX!C11)^(G7-1)</f>
        <v>3577.8749999999995</v>
      </c>
      <c r="H12" s="57">
        <f>OPEX!B11/12*(1+OPEX!C11)^(H7-1)</f>
        <v>3577.8749999999995</v>
      </c>
      <c r="I12" s="57">
        <f>OPEX!B11/12*(1+OPEX!C11)^(I7-1)</f>
        <v>3577.8749999999995</v>
      </c>
      <c r="J12" s="57">
        <f>OPEX!B11/12*(1+OPEX!C11)^(J7-1)</f>
        <v>3577.8749999999995</v>
      </c>
      <c r="K12" s="57">
        <f>OPEX!B11/12*(1+OPEX!C11)^(K7-1)</f>
        <v>3577.8749999999995</v>
      </c>
      <c r="L12" s="57">
        <f>OPEX!B11/12*(1+OPEX!C11)^(L7-1)</f>
        <v>3577.8749999999995</v>
      </c>
      <c r="M12" s="57">
        <f>OPEX!B11/12*(1+OPEX!C11)^(M7-1)</f>
        <v>3577.8749999999995</v>
      </c>
      <c r="N12" s="57">
        <f>OPEX!B11/12*(1+OPEX!C11)^(N7-1)</f>
        <v>3577.8749999999995</v>
      </c>
      <c r="O12" s="57">
        <f>OPEX!B11/12*(1+OPEX!C11)^(O7-1)</f>
        <v>3631.5431249999992</v>
      </c>
      <c r="P12" s="57">
        <f>OPEX!B11/12*(1+OPEX!C11)^(P7-1)</f>
        <v>3631.5431249999992</v>
      </c>
      <c r="Q12" s="57">
        <f>OPEX!B11/12*(1+OPEX!C11)^(Q7-1)</f>
        <v>3631.5431249999992</v>
      </c>
      <c r="R12" s="57">
        <f>OPEX!B11/12*(1+OPEX!C11)^(R7-1)</f>
        <v>3631.5431249999992</v>
      </c>
      <c r="S12" s="57">
        <f>OPEX!B11/12*(1+OPEX!C11)^(S7-1)</f>
        <v>3631.5431249999992</v>
      </c>
      <c r="T12" s="57">
        <f>OPEX!B11/12*(1+OPEX!C11)^(T7-1)</f>
        <v>3631.5431249999992</v>
      </c>
      <c r="U12" s="57">
        <f>OPEX!B11/12*(1+OPEX!C11)^(U7-1)</f>
        <v>3631.5431249999992</v>
      </c>
      <c r="V12" s="57">
        <f>OPEX!B11/12*(1+OPEX!C11)^(V7-1)</f>
        <v>3631.5431249999992</v>
      </c>
      <c r="W12" s="57">
        <f>OPEX!B11/12*(1+OPEX!C11)^(W7-1)</f>
        <v>3631.5431249999992</v>
      </c>
      <c r="X12" s="57">
        <f>OPEX!B11/12*(1+OPEX!C11)^(X7-1)</f>
        <v>3631.5431249999992</v>
      </c>
      <c r="Y12" s="57">
        <f>OPEX!B11/12*(1+OPEX!C11)^(Y7-1)</f>
        <v>3631.5431249999992</v>
      </c>
      <c r="Z12" s="57">
        <f>OPEX!B11/12*(1+OPEX!C11)^(Z7-1)</f>
        <v>3631.5431249999992</v>
      </c>
      <c r="AA12" s="57">
        <f>OPEX!B11/12*(1+OPEX!C11)^(AA7-1)</f>
        <v>3686.0162718749984</v>
      </c>
      <c r="AB12" s="57">
        <f>OPEX!B11/12*(1+OPEX!C11)^(AB7-1)</f>
        <v>3686.0162718749984</v>
      </c>
      <c r="AC12" s="57">
        <f>OPEX!B11/12*(1+OPEX!C11)^(AC7-1)</f>
        <v>3686.0162718749984</v>
      </c>
      <c r="AD12" s="57">
        <f>OPEX!B11/12*(1+OPEX!C11)^(AD7-1)</f>
        <v>3686.0162718749984</v>
      </c>
      <c r="AE12" s="57">
        <f>OPEX!B11/12*(1+OPEX!C11)^(AE7-1)</f>
        <v>3686.0162718749984</v>
      </c>
      <c r="AF12" s="57">
        <f>OPEX!B11/12*(1+OPEX!C11)^(AF7-1)</f>
        <v>3686.0162718749984</v>
      </c>
      <c r="AG12" s="57">
        <f>OPEX!B11/12*(1+OPEX!C11)^(AG7-1)</f>
        <v>3686.0162718749984</v>
      </c>
      <c r="AH12" s="57">
        <f>OPEX!B11/12*(1+OPEX!C11)^(AH7-1)</f>
        <v>3686.0162718749984</v>
      </c>
      <c r="AI12" s="57">
        <f>OPEX!B11/12*(1+OPEX!C11)^(AI7-1)</f>
        <v>3686.0162718749984</v>
      </c>
      <c r="AJ12" s="57">
        <f>OPEX!B11/12*(1+OPEX!C11)^(AJ7-1)</f>
        <v>3686.0162718749984</v>
      </c>
      <c r="AK12" s="57">
        <f>OPEX!B11/12*(1+OPEX!C11)^(AK7-1)</f>
        <v>3686.0162718749984</v>
      </c>
      <c r="AL12" s="57">
        <f>OPEX!B11/12*(1+OPEX!C11)^(AL7-1)</f>
        <v>3686.0162718749984</v>
      </c>
      <c r="AM12" s="57">
        <f>OPEX!B11/12*(1+OPEX!C11)^(AM7-1)</f>
        <v>3741.3065159531229</v>
      </c>
      <c r="AN12" s="57">
        <f>OPEX!B11/12*(1+OPEX!C11)^(AN7-1)</f>
        <v>3741.3065159531229</v>
      </c>
      <c r="AO12" s="57">
        <f>OPEX!B11/12*(1+OPEX!C11)^(AO7-1)</f>
        <v>3741.3065159531229</v>
      </c>
      <c r="AP12" s="57">
        <f>OPEX!B11/12*(1+OPEX!C11)^(AP7-1)</f>
        <v>3741.3065159531229</v>
      </c>
      <c r="AQ12" s="57">
        <f>OPEX!B11/12*(1+OPEX!C11)^(AQ7-1)</f>
        <v>3741.3065159531229</v>
      </c>
      <c r="AR12" s="57">
        <f>OPEX!B11/12*(1+OPEX!C11)^(AR7-1)</f>
        <v>3741.3065159531229</v>
      </c>
      <c r="AS12" s="57">
        <f>OPEX!B11/12*(1+OPEX!C11)^(AS7-1)</f>
        <v>3741.3065159531229</v>
      </c>
      <c r="AT12" s="57">
        <f>OPEX!B11/12*(1+OPEX!C11)^(AT7-1)</f>
        <v>3741.3065159531229</v>
      </c>
      <c r="AU12" s="57">
        <f>OPEX!B11/12*(1+OPEX!C11)^(AU7-1)</f>
        <v>3741.3065159531229</v>
      </c>
      <c r="AV12" s="57">
        <f>OPEX!B11/12*(1+OPEX!C11)^(AV7-1)</f>
        <v>3741.3065159531229</v>
      </c>
      <c r="AW12" s="57">
        <f>OPEX!B11/12*(1+OPEX!C11)^(AW7-1)</f>
        <v>3741.3065159531229</v>
      </c>
      <c r="AX12" s="57">
        <f>OPEX!B11/12*(1+OPEX!C11)^(AX7-1)</f>
        <v>3741.3065159531229</v>
      </c>
      <c r="AY12" s="57">
        <f>OPEX!B11/12*(1+OPEX!C11)^(AY7-1)</f>
        <v>3797.4261136924192</v>
      </c>
      <c r="AZ12" s="57">
        <f>OPEX!B11/12*(1+OPEX!C11)^(AZ7-1)</f>
        <v>3797.4261136924192</v>
      </c>
      <c r="BA12" s="57">
        <f>OPEX!B11/12*(1+OPEX!C11)^(BA7-1)</f>
        <v>3797.4261136924192</v>
      </c>
      <c r="BB12" s="57">
        <f>OPEX!B11/12*(1+OPEX!C11)^(BB7-1)</f>
        <v>3797.4261136924192</v>
      </c>
      <c r="BC12" s="57">
        <f>OPEX!B11/12*(1+OPEX!C11)^(BC7-1)</f>
        <v>3797.4261136924192</v>
      </c>
      <c r="BD12" s="57">
        <f>OPEX!B11/12*(1+OPEX!C11)^(BD7-1)</f>
        <v>3797.4261136924192</v>
      </c>
      <c r="BE12" s="57">
        <f>OPEX!B11/12*(1+OPEX!C11)^(BE7-1)</f>
        <v>3797.4261136924192</v>
      </c>
      <c r="BF12" s="57">
        <f>OPEX!B11/12*(1+OPEX!C11)^(BF7-1)</f>
        <v>3797.4261136924192</v>
      </c>
      <c r="BG12" s="57">
        <f>OPEX!B11/12*(1+OPEX!C11)^(BG7-1)</f>
        <v>3797.4261136924192</v>
      </c>
      <c r="BH12" s="57">
        <f>OPEX!B11/12*(1+OPEX!C11)^(BH7-1)</f>
        <v>3797.4261136924192</v>
      </c>
      <c r="BI12" s="57">
        <f>OPEX!B11/12*(1+OPEX!C11)^(BI7-1)</f>
        <v>3797.4261136924192</v>
      </c>
      <c r="BJ12" s="57">
        <f>OPEX!B11/12*(1+OPEX!C11)^(BJ7-1)</f>
        <v>3797.4261136924192</v>
      </c>
      <c r="BK12" s="57">
        <f>OPEX!B11/12*(1+OPEX!C11)^(BK7-1)</f>
        <v>3854.3875053978049</v>
      </c>
    </row>
    <row r="13" spans="1:63" ht="15" customHeight="1" x14ac:dyDescent="0.2">
      <c r="A13" s="26" t="s">
        <v>727</v>
      </c>
      <c r="B13" s="57">
        <f>OPEX!B12/12*(1+OPEX!C12)^(B7-1)</f>
        <v>1900</v>
      </c>
      <c r="C13" s="57">
        <f>OPEX!B12/12*(1+OPEX!C12)^(C7-1)</f>
        <v>1928.4999999999998</v>
      </c>
      <c r="D13" s="57">
        <f>OPEX!B12/12*(1+OPEX!C12)^(D7-1)</f>
        <v>1928.4999999999998</v>
      </c>
      <c r="E13" s="57">
        <f>OPEX!B12/12*(1+OPEX!C12)^(E7-1)</f>
        <v>1928.4999999999998</v>
      </c>
      <c r="F13" s="57">
        <f>OPEX!B12/12*(1+OPEX!C12)^(F7-1)</f>
        <v>1928.4999999999998</v>
      </c>
      <c r="G13" s="57">
        <f>OPEX!B12/12*(1+OPEX!C12)^(G7-1)</f>
        <v>1928.4999999999998</v>
      </c>
      <c r="H13" s="57">
        <f>OPEX!B12/12*(1+OPEX!C12)^(H7-1)</f>
        <v>1928.4999999999998</v>
      </c>
      <c r="I13" s="57">
        <f>OPEX!B12/12*(1+OPEX!C12)^(I7-1)</f>
        <v>1928.4999999999998</v>
      </c>
      <c r="J13" s="57">
        <f>OPEX!B12/12*(1+OPEX!C12)^(J7-1)</f>
        <v>1928.4999999999998</v>
      </c>
      <c r="K13" s="57">
        <f>OPEX!B12/12*(1+OPEX!C12)^(K7-1)</f>
        <v>1928.4999999999998</v>
      </c>
      <c r="L13" s="57">
        <f>OPEX!B12/12*(1+OPEX!C12)^(L7-1)</f>
        <v>1928.4999999999998</v>
      </c>
      <c r="M13" s="57">
        <f>OPEX!B12/12*(1+OPEX!C12)^(M7-1)</f>
        <v>1928.4999999999998</v>
      </c>
      <c r="N13" s="57">
        <f>OPEX!B12/12*(1+OPEX!C12)^(N7-1)</f>
        <v>1928.4999999999998</v>
      </c>
      <c r="O13" s="57">
        <f>OPEX!B12/12*(1+OPEX!C12)^(O7-1)</f>
        <v>1957.4274999999996</v>
      </c>
      <c r="P13" s="57">
        <f>OPEX!B12/12*(1+OPEX!C12)^(P7-1)</f>
        <v>1957.4274999999996</v>
      </c>
      <c r="Q13" s="57">
        <f>OPEX!B12/12*(1+OPEX!C12)^(Q7-1)</f>
        <v>1957.4274999999996</v>
      </c>
      <c r="R13" s="57">
        <f>OPEX!B12/12*(1+OPEX!C12)^(R7-1)</f>
        <v>1957.4274999999996</v>
      </c>
      <c r="S13" s="57">
        <f>OPEX!B12/12*(1+OPEX!C12)^(S7-1)</f>
        <v>1957.4274999999996</v>
      </c>
      <c r="T13" s="57">
        <f>OPEX!B12/12*(1+OPEX!C12)^(T7-1)</f>
        <v>1957.4274999999996</v>
      </c>
      <c r="U13" s="57">
        <f>OPEX!B12/12*(1+OPEX!C12)^(U7-1)</f>
        <v>1957.4274999999996</v>
      </c>
      <c r="V13" s="57">
        <f>OPEX!B12/12*(1+OPEX!C12)^(V7-1)</f>
        <v>1957.4274999999996</v>
      </c>
      <c r="W13" s="57">
        <f>OPEX!B12/12*(1+OPEX!C12)^(W7-1)</f>
        <v>1957.4274999999996</v>
      </c>
      <c r="X13" s="57">
        <f>OPEX!B12/12*(1+OPEX!C12)^(X7-1)</f>
        <v>1957.4274999999996</v>
      </c>
      <c r="Y13" s="57">
        <f>OPEX!B12/12*(1+OPEX!C12)^(Y7-1)</f>
        <v>1957.4274999999996</v>
      </c>
      <c r="Z13" s="57">
        <f>OPEX!B12/12*(1+OPEX!C12)^(Z7-1)</f>
        <v>1957.4274999999996</v>
      </c>
      <c r="AA13" s="57">
        <f>OPEX!B12/12*(1+OPEX!C12)^(AA7-1)</f>
        <v>1986.7889124999992</v>
      </c>
      <c r="AB13" s="57">
        <f>OPEX!B12/12*(1+OPEX!C12)^(AB7-1)</f>
        <v>1986.7889124999992</v>
      </c>
      <c r="AC13" s="57">
        <f>OPEX!B12/12*(1+OPEX!C12)^(AC7-1)</f>
        <v>1986.7889124999992</v>
      </c>
      <c r="AD13" s="57">
        <f>OPEX!B12/12*(1+OPEX!C12)^(AD7-1)</f>
        <v>1986.7889124999992</v>
      </c>
      <c r="AE13" s="57">
        <f>OPEX!B12/12*(1+OPEX!C12)^(AE7-1)</f>
        <v>1986.7889124999992</v>
      </c>
      <c r="AF13" s="57">
        <f>OPEX!B12/12*(1+OPEX!C12)^(AF7-1)</f>
        <v>1986.7889124999992</v>
      </c>
      <c r="AG13" s="57">
        <f>OPEX!B12/12*(1+OPEX!C12)^(AG7-1)</f>
        <v>1986.7889124999992</v>
      </c>
      <c r="AH13" s="57">
        <f>OPEX!B12/12*(1+OPEX!C12)^(AH7-1)</f>
        <v>1986.7889124999992</v>
      </c>
      <c r="AI13" s="57">
        <f>OPEX!B12/12*(1+OPEX!C12)^(AI7-1)</f>
        <v>1986.7889124999992</v>
      </c>
      <c r="AJ13" s="57">
        <f>OPEX!B12/12*(1+OPEX!C12)^(AJ7-1)</f>
        <v>1986.7889124999992</v>
      </c>
      <c r="AK13" s="57">
        <f>OPEX!B12/12*(1+OPEX!C12)^(AK7-1)</f>
        <v>1986.7889124999992</v>
      </c>
      <c r="AL13" s="57">
        <f>OPEX!B12/12*(1+OPEX!C12)^(AL7-1)</f>
        <v>1986.7889124999992</v>
      </c>
      <c r="AM13" s="57">
        <f>OPEX!B12/12*(1+OPEX!C12)^(AM7-1)</f>
        <v>2016.590746187499</v>
      </c>
      <c r="AN13" s="57">
        <f>OPEX!B12/12*(1+OPEX!C12)^(AN7-1)</f>
        <v>2016.590746187499</v>
      </c>
      <c r="AO13" s="57">
        <f>OPEX!B12/12*(1+OPEX!C12)^(AO7-1)</f>
        <v>2016.590746187499</v>
      </c>
      <c r="AP13" s="57">
        <f>OPEX!B12/12*(1+OPEX!C12)^(AP7-1)</f>
        <v>2016.590746187499</v>
      </c>
      <c r="AQ13" s="57">
        <f>OPEX!B12/12*(1+OPEX!C12)^(AQ7-1)</f>
        <v>2016.590746187499</v>
      </c>
      <c r="AR13" s="57">
        <f>OPEX!B12/12*(1+OPEX!C12)^(AR7-1)</f>
        <v>2016.590746187499</v>
      </c>
      <c r="AS13" s="57">
        <f>OPEX!B12/12*(1+OPEX!C12)^(AS7-1)</f>
        <v>2016.590746187499</v>
      </c>
      <c r="AT13" s="57">
        <f>OPEX!B12/12*(1+OPEX!C12)^(AT7-1)</f>
        <v>2016.590746187499</v>
      </c>
      <c r="AU13" s="57">
        <f>OPEX!B12/12*(1+OPEX!C12)^(AU7-1)</f>
        <v>2016.590746187499</v>
      </c>
      <c r="AV13" s="57">
        <f>OPEX!B12/12*(1+OPEX!C12)^(AV7-1)</f>
        <v>2016.590746187499</v>
      </c>
      <c r="AW13" s="57">
        <f>OPEX!B12/12*(1+OPEX!C12)^(AW7-1)</f>
        <v>2016.590746187499</v>
      </c>
      <c r="AX13" s="57">
        <f>OPEX!B12/12*(1+OPEX!C12)^(AX7-1)</f>
        <v>2016.590746187499</v>
      </c>
      <c r="AY13" s="57">
        <f>OPEX!B12/12*(1+OPEX!C12)^(AY7-1)</f>
        <v>2046.8396073803112</v>
      </c>
      <c r="AZ13" s="57">
        <f>OPEX!B12/12*(1+OPEX!C12)^(AZ7-1)</f>
        <v>2046.8396073803112</v>
      </c>
      <c r="BA13" s="57">
        <f>OPEX!B12/12*(1+OPEX!C12)^(BA7-1)</f>
        <v>2046.8396073803112</v>
      </c>
      <c r="BB13" s="57">
        <f>OPEX!B12/12*(1+OPEX!C12)^(BB7-1)</f>
        <v>2046.8396073803112</v>
      </c>
      <c r="BC13" s="57">
        <f>OPEX!B12/12*(1+OPEX!C12)^(BC7-1)</f>
        <v>2046.8396073803112</v>
      </c>
      <c r="BD13" s="57">
        <f>OPEX!B12/12*(1+OPEX!C12)^(BD7-1)</f>
        <v>2046.8396073803112</v>
      </c>
      <c r="BE13" s="57">
        <f>OPEX!B12/12*(1+OPEX!C12)^(BE7-1)</f>
        <v>2046.8396073803112</v>
      </c>
      <c r="BF13" s="57">
        <f>OPEX!B12/12*(1+OPEX!C12)^(BF7-1)</f>
        <v>2046.8396073803112</v>
      </c>
      <c r="BG13" s="57">
        <f>OPEX!B12/12*(1+OPEX!C12)^(BG7-1)</f>
        <v>2046.8396073803112</v>
      </c>
      <c r="BH13" s="57">
        <f>OPEX!B12/12*(1+OPEX!C12)^(BH7-1)</f>
        <v>2046.8396073803112</v>
      </c>
      <c r="BI13" s="57">
        <f>OPEX!B12/12*(1+OPEX!C12)^(BI7-1)</f>
        <v>2046.8396073803112</v>
      </c>
      <c r="BJ13" s="57">
        <f>OPEX!B12/12*(1+OPEX!C12)^(BJ7-1)</f>
        <v>2046.8396073803112</v>
      </c>
      <c r="BK13" s="57">
        <f>OPEX!B12/12*(1+OPEX!C12)^(BK7-1)</f>
        <v>2077.5422014910155</v>
      </c>
    </row>
    <row r="14" spans="1:63" ht="15" customHeight="1" x14ac:dyDescent="0.2">
      <c r="A14" s="26" t="s">
        <v>681</v>
      </c>
      <c r="B14" s="175">
        <f t="shared" ref="B14:AG14" si="0">SUM(B11:B13)</f>
        <v>8625</v>
      </c>
      <c r="C14" s="175">
        <f t="shared" si="0"/>
        <v>8754.3749999999982</v>
      </c>
      <c r="D14" s="175">
        <f t="shared" si="0"/>
        <v>8754.3749999999982</v>
      </c>
      <c r="E14" s="175">
        <f t="shared" si="0"/>
        <v>8754.3749999999982</v>
      </c>
      <c r="F14" s="175">
        <f t="shared" si="0"/>
        <v>8754.3749999999982</v>
      </c>
      <c r="G14" s="175">
        <f t="shared" si="0"/>
        <v>8754.3749999999982</v>
      </c>
      <c r="H14" s="175">
        <f t="shared" si="0"/>
        <v>8754.3749999999982</v>
      </c>
      <c r="I14" s="175">
        <f t="shared" si="0"/>
        <v>8754.3749999999982</v>
      </c>
      <c r="J14" s="175">
        <f t="shared" si="0"/>
        <v>8754.3749999999982</v>
      </c>
      <c r="K14" s="175">
        <f t="shared" si="0"/>
        <v>8754.3749999999982</v>
      </c>
      <c r="L14" s="175">
        <f t="shared" si="0"/>
        <v>8754.3749999999982</v>
      </c>
      <c r="M14" s="175">
        <f t="shared" si="0"/>
        <v>8754.3749999999982</v>
      </c>
      <c r="N14" s="175">
        <f t="shared" si="0"/>
        <v>8754.3749999999982</v>
      </c>
      <c r="O14" s="175">
        <f t="shared" si="0"/>
        <v>8885.6906249999975</v>
      </c>
      <c r="P14" s="175">
        <f t="shared" si="0"/>
        <v>8885.6906249999975</v>
      </c>
      <c r="Q14" s="175">
        <f t="shared" si="0"/>
        <v>8885.6906249999975</v>
      </c>
      <c r="R14" s="175">
        <f t="shared" si="0"/>
        <v>8885.6906249999975</v>
      </c>
      <c r="S14" s="175">
        <f t="shared" si="0"/>
        <v>8885.6906249999975</v>
      </c>
      <c r="T14" s="175">
        <f t="shared" si="0"/>
        <v>8885.6906249999975</v>
      </c>
      <c r="U14" s="175">
        <f t="shared" si="0"/>
        <v>8885.6906249999975</v>
      </c>
      <c r="V14" s="175">
        <f t="shared" si="0"/>
        <v>8885.6906249999975</v>
      </c>
      <c r="W14" s="175">
        <f t="shared" si="0"/>
        <v>8885.6906249999975</v>
      </c>
      <c r="X14" s="175">
        <f t="shared" si="0"/>
        <v>8885.6906249999975</v>
      </c>
      <c r="Y14" s="175">
        <f t="shared" si="0"/>
        <v>8885.6906249999975</v>
      </c>
      <c r="Z14" s="175">
        <f t="shared" si="0"/>
        <v>8885.6906249999975</v>
      </c>
      <c r="AA14" s="175">
        <f t="shared" si="0"/>
        <v>9018.9759843749962</v>
      </c>
      <c r="AB14" s="175">
        <f t="shared" si="0"/>
        <v>9018.9759843749962</v>
      </c>
      <c r="AC14" s="175">
        <f t="shared" si="0"/>
        <v>9018.9759843749962</v>
      </c>
      <c r="AD14" s="175">
        <f t="shared" si="0"/>
        <v>9018.9759843749962</v>
      </c>
      <c r="AE14" s="175">
        <f t="shared" si="0"/>
        <v>9018.9759843749962</v>
      </c>
      <c r="AF14" s="175">
        <f t="shared" si="0"/>
        <v>9018.9759843749962</v>
      </c>
      <c r="AG14" s="175">
        <f t="shared" si="0"/>
        <v>9018.9759843749962</v>
      </c>
      <c r="AH14" s="175">
        <f t="shared" ref="AH14:BM14" si="1">SUM(AH11:AH13)</f>
        <v>9018.9759843749962</v>
      </c>
      <c r="AI14" s="175">
        <f t="shared" si="1"/>
        <v>9018.9759843749962</v>
      </c>
      <c r="AJ14" s="175">
        <f t="shared" si="1"/>
        <v>9018.9759843749962</v>
      </c>
      <c r="AK14" s="175">
        <f t="shared" si="1"/>
        <v>9018.9759843749962</v>
      </c>
      <c r="AL14" s="175">
        <f t="shared" si="1"/>
        <v>9018.9759843749962</v>
      </c>
      <c r="AM14" s="175">
        <f t="shared" si="1"/>
        <v>9154.2606241406211</v>
      </c>
      <c r="AN14" s="175">
        <f t="shared" si="1"/>
        <v>9154.2606241406211</v>
      </c>
      <c r="AO14" s="175">
        <f t="shared" si="1"/>
        <v>9154.2606241406211</v>
      </c>
      <c r="AP14" s="175">
        <f t="shared" si="1"/>
        <v>9154.2606241406211</v>
      </c>
      <c r="AQ14" s="175">
        <f t="shared" si="1"/>
        <v>9154.2606241406211</v>
      </c>
      <c r="AR14" s="175">
        <f t="shared" si="1"/>
        <v>9154.2606241406211</v>
      </c>
      <c r="AS14" s="175">
        <f t="shared" si="1"/>
        <v>9154.2606241406211</v>
      </c>
      <c r="AT14" s="175">
        <f t="shared" si="1"/>
        <v>9154.2606241406211</v>
      </c>
      <c r="AU14" s="175">
        <f t="shared" si="1"/>
        <v>9154.2606241406211</v>
      </c>
      <c r="AV14" s="175">
        <f t="shared" si="1"/>
        <v>9154.2606241406211</v>
      </c>
      <c r="AW14" s="175">
        <f t="shared" si="1"/>
        <v>9154.2606241406211</v>
      </c>
      <c r="AX14" s="175">
        <f t="shared" si="1"/>
        <v>9154.2606241406211</v>
      </c>
      <c r="AY14" s="175">
        <f t="shared" si="1"/>
        <v>9291.5745335027277</v>
      </c>
      <c r="AZ14" s="175">
        <f t="shared" si="1"/>
        <v>9291.5745335027277</v>
      </c>
      <c r="BA14" s="175">
        <f t="shared" si="1"/>
        <v>9291.5745335027277</v>
      </c>
      <c r="BB14" s="175">
        <f t="shared" si="1"/>
        <v>9291.5745335027277</v>
      </c>
      <c r="BC14" s="175">
        <f t="shared" si="1"/>
        <v>9291.5745335027277</v>
      </c>
      <c r="BD14" s="175">
        <f t="shared" si="1"/>
        <v>9291.5745335027277</v>
      </c>
      <c r="BE14" s="175">
        <f t="shared" si="1"/>
        <v>9291.5745335027277</v>
      </c>
      <c r="BF14" s="175">
        <f t="shared" si="1"/>
        <v>9291.5745335027277</v>
      </c>
      <c r="BG14" s="175">
        <f t="shared" si="1"/>
        <v>9291.5745335027277</v>
      </c>
      <c r="BH14" s="175">
        <f t="shared" si="1"/>
        <v>9291.5745335027277</v>
      </c>
      <c r="BI14" s="175">
        <f t="shared" si="1"/>
        <v>9291.5745335027277</v>
      </c>
      <c r="BJ14" s="175">
        <f t="shared" si="1"/>
        <v>9291.5745335027277</v>
      </c>
      <c r="BK14" s="175">
        <f t="shared" si="1"/>
        <v>9430.9481515052685</v>
      </c>
    </row>
    <row r="15" spans="1:63" ht="15" customHeight="1" x14ac:dyDescent="0.2">
      <c r="A15" s="34" t="s">
        <v>682</v>
      </c>
      <c r="B15" s="192">
        <f t="shared" ref="B15:AG15" si="2">B10+B14</f>
        <v>130033</v>
      </c>
      <c r="C15" s="192">
        <f t="shared" si="2"/>
        <v>132590.535</v>
      </c>
      <c r="D15" s="192">
        <f t="shared" si="2"/>
        <v>132590.535</v>
      </c>
      <c r="E15" s="192">
        <f t="shared" si="2"/>
        <v>132590.535</v>
      </c>
      <c r="F15" s="192">
        <f t="shared" si="2"/>
        <v>132590.535</v>
      </c>
      <c r="G15" s="192">
        <f t="shared" si="2"/>
        <v>132590.535</v>
      </c>
      <c r="H15" s="192">
        <f t="shared" si="2"/>
        <v>132590.535</v>
      </c>
      <c r="I15" s="192">
        <f t="shared" si="2"/>
        <v>132590.535</v>
      </c>
      <c r="J15" s="192">
        <f t="shared" si="2"/>
        <v>132590.535</v>
      </c>
      <c r="K15" s="192">
        <f t="shared" si="2"/>
        <v>132590.535</v>
      </c>
      <c r="L15" s="192">
        <f t="shared" si="2"/>
        <v>132590.535</v>
      </c>
      <c r="M15" s="192">
        <f t="shared" si="2"/>
        <v>132590.535</v>
      </c>
      <c r="N15" s="192">
        <f t="shared" si="2"/>
        <v>132590.535</v>
      </c>
      <c r="O15" s="192">
        <f t="shared" si="2"/>
        <v>135198.573825</v>
      </c>
      <c r="P15" s="192">
        <f t="shared" si="2"/>
        <v>135198.573825</v>
      </c>
      <c r="Q15" s="192">
        <f t="shared" si="2"/>
        <v>135198.573825</v>
      </c>
      <c r="R15" s="192">
        <f t="shared" si="2"/>
        <v>135198.573825</v>
      </c>
      <c r="S15" s="192">
        <f t="shared" si="2"/>
        <v>135198.573825</v>
      </c>
      <c r="T15" s="192">
        <f t="shared" si="2"/>
        <v>135198.573825</v>
      </c>
      <c r="U15" s="192">
        <f t="shared" si="2"/>
        <v>135198.573825</v>
      </c>
      <c r="V15" s="192">
        <f t="shared" si="2"/>
        <v>135198.573825</v>
      </c>
      <c r="W15" s="192">
        <f t="shared" si="2"/>
        <v>135198.573825</v>
      </c>
      <c r="X15" s="192">
        <f t="shared" si="2"/>
        <v>135198.573825</v>
      </c>
      <c r="Y15" s="192">
        <f t="shared" si="2"/>
        <v>135198.573825</v>
      </c>
      <c r="Z15" s="192">
        <f t="shared" si="2"/>
        <v>135198.573825</v>
      </c>
      <c r="AA15" s="192">
        <f t="shared" si="2"/>
        <v>137858.11684837498</v>
      </c>
      <c r="AB15" s="192">
        <f t="shared" si="2"/>
        <v>137858.11684837498</v>
      </c>
      <c r="AC15" s="192">
        <f t="shared" si="2"/>
        <v>137858.11684837498</v>
      </c>
      <c r="AD15" s="192">
        <f t="shared" si="2"/>
        <v>137858.11684837498</v>
      </c>
      <c r="AE15" s="192">
        <f t="shared" si="2"/>
        <v>137858.11684837498</v>
      </c>
      <c r="AF15" s="192">
        <f t="shared" si="2"/>
        <v>137858.11684837498</v>
      </c>
      <c r="AG15" s="192">
        <f t="shared" si="2"/>
        <v>137858.11684837498</v>
      </c>
      <c r="AH15" s="192">
        <f t="shared" ref="AH15:BM15" si="3">AH10+AH14</f>
        <v>137858.11684837498</v>
      </c>
      <c r="AI15" s="192">
        <f t="shared" si="3"/>
        <v>137858.11684837498</v>
      </c>
      <c r="AJ15" s="192">
        <f t="shared" si="3"/>
        <v>137858.11684837498</v>
      </c>
      <c r="AK15" s="192">
        <f t="shared" si="3"/>
        <v>137858.11684837498</v>
      </c>
      <c r="AL15" s="192">
        <f t="shared" si="3"/>
        <v>137858.11684837498</v>
      </c>
      <c r="AM15" s="192">
        <f t="shared" si="3"/>
        <v>140570.18430542061</v>
      </c>
      <c r="AN15" s="192">
        <f t="shared" si="3"/>
        <v>140570.18430542061</v>
      </c>
      <c r="AO15" s="192">
        <f t="shared" si="3"/>
        <v>140570.18430542061</v>
      </c>
      <c r="AP15" s="192">
        <f t="shared" si="3"/>
        <v>140570.18430542061</v>
      </c>
      <c r="AQ15" s="192">
        <f t="shared" si="3"/>
        <v>140570.18430542061</v>
      </c>
      <c r="AR15" s="192">
        <f t="shared" si="3"/>
        <v>140570.18430542061</v>
      </c>
      <c r="AS15" s="192">
        <f t="shared" si="3"/>
        <v>140570.18430542061</v>
      </c>
      <c r="AT15" s="192">
        <f t="shared" si="3"/>
        <v>140570.18430542061</v>
      </c>
      <c r="AU15" s="192">
        <f t="shared" si="3"/>
        <v>140570.18430542061</v>
      </c>
      <c r="AV15" s="192">
        <f t="shared" si="3"/>
        <v>140570.18430542061</v>
      </c>
      <c r="AW15" s="192">
        <f t="shared" si="3"/>
        <v>140570.18430542061</v>
      </c>
      <c r="AX15" s="192">
        <f t="shared" si="3"/>
        <v>140570.18430542061</v>
      </c>
      <c r="AY15" s="192">
        <f t="shared" si="3"/>
        <v>143335.81668840832</v>
      </c>
      <c r="AZ15" s="192">
        <f t="shared" si="3"/>
        <v>143335.81668840832</v>
      </c>
      <c r="BA15" s="192">
        <f t="shared" si="3"/>
        <v>143335.81668840832</v>
      </c>
      <c r="BB15" s="192">
        <f t="shared" si="3"/>
        <v>143335.81668840832</v>
      </c>
      <c r="BC15" s="192">
        <f t="shared" si="3"/>
        <v>143335.81668840832</v>
      </c>
      <c r="BD15" s="192">
        <f t="shared" si="3"/>
        <v>143335.81668840832</v>
      </c>
      <c r="BE15" s="192">
        <f t="shared" si="3"/>
        <v>143335.81668840832</v>
      </c>
      <c r="BF15" s="192">
        <f t="shared" si="3"/>
        <v>143335.81668840832</v>
      </c>
      <c r="BG15" s="192">
        <f t="shared" si="3"/>
        <v>143335.81668840832</v>
      </c>
      <c r="BH15" s="192">
        <f t="shared" si="3"/>
        <v>143335.81668840832</v>
      </c>
      <c r="BI15" s="192">
        <f t="shared" si="3"/>
        <v>143335.81668840832</v>
      </c>
      <c r="BJ15" s="192">
        <f t="shared" si="3"/>
        <v>143335.81668840832</v>
      </c>
      <c r="BK15" s="192">
        <f t="shared" si="3"/>
        <v>146156.07514950898</v>
      </c>
    </row>
    <row r="16" spans="1:63" ht="15" customHeight="1" x14ac:dyDescent="0.2">
      <c r="A16" s="26" t="s">
        <v>728</v>
      </c>
      <c r="B16" s="57">
        <f>-B15*'I_Inputs &amp; Assumptions'!$B$81</f>
        <v>-7801.98</v>
      </c>
      <c r="C16" s="57">
        <f>-C15*'I_Inputs &amp; Assumptions'!$B$81</f>
        <v>-7955.4321</v>
      </c>
      <c r="D16" s="57">
        <f>-D15*'I_Inputs &amp; Assumptions'!$B$81</f>
        <v>-7955.4321</v>
      </c>
      <c r="E16" s="57">
        <f>-E15*'I_Inputs &amp; Assumptions'!$B$81</f>
        <v>-7955.4321</v>
      </c>
      <c r="F16" s="57">
        <f>-F15*'I_Inputs &amp; Assumptions'!$B$81</f>
        <v>-7955.4321</v>
      </c>
      <c r="G16" s="57">
        <f>-G15*'I_Inputs &amp; Assumptions'!$B$81</f>
        <v>-7955.4321</v>
      </c>
      <c r="H16" s="57">
        <f>-H15*'I_Inputs &amp; Assumptions'!$B$81</f>
        <v>-7955.4321</v>
      </c>
      <c r="I16" s="57">
        <f>-I15*'I_Inputs &amp; Assumptions'!$B$81</f>
        <v>-7955.4321</v>
      </c>
      <c r="J16" s="57">
        <f>-J15*'I_Inputs &amp; Assumptions'!$B$81</f>
        <v>-7955.4321</v>
      </c>
      <c r="K16" s="57">
        <f>-K15*'I_Inputs &amp; Assumptions'!$B$81</f>
        <v>-7955.4321</v>
      </c>
      <c r="L16" s="57">
        <f>-L15*'I_Inputs &amp; Assumptions'!$B$81</f>
        <v>-7955.4321</v>
      </c>
      <c r="M16" s="57">
        <f>-M15*'I_Inputs &amp; Assumptions'!$B$81</f>
        <v>-7955.4321</v>
      </c>
      <c r="N16" s="57">
        <f>-N15*'I_Inputs &amp; Assumptions'!$B$81</f>
        <v>-7955.4321</v>
      </c>
      <c r="O16" s="57">
        <f>-O15*'I_Inputs &amp; Assumptions'!$B$81</f>
        <v>-8111.9144294999996</v>
      </c>
      <c r="P16" s="57">
        <f>-P15*'I_Inputs &amp; Assumptions'!$B$81</f>
        <v>-8111.9144294999996</v>
      </c>
      <c r="Q16" s="57">
        <f>-Q15*'I_Inputs &amp; Assumptions'!$B$81</f>
        <v>-8111.9144294999996</v>
      </c>
      <c r="R16" s="57">
        <f>-R15*'I_Inputs &amp; Assumptions'!$B$81</f>
        <v>-8111.9144294999996</v>
      </c>
      <c r="S16" s="57">
        <f>-S15*'I_Inputs &amp; Assumptions'!$B$81</f>
        <v>-8111.9144294999996</v>
      </c>
      <c r="T16" s="57">
        <f>-T15*'I_Inputs &amp; Assumptions'!$B$81</f>
        <v>-8111.9144294999996</v>
      </c>
      <c r="U16" s="57">
        <f>-U15*'I_Inputs &amp; Assumptions'!$B$81</f>
        <v>-8111.9144294999996</v>
      </c>
      <c r="V16" s="57">
        <f>-V15*'I_Inputs &amp; Assumptions'!$B$81</f>
        <v>-8111.9144294999996</v>
      </c>
      <c r="W16" s="57">
        <f>-W15*'I_Inputs &amp; Assumptions'!$B$81</f>
        <v>-8111.9144294999996</v>
      </c>
      <c r="X16" s="57">
        <f>-X15*'I_Inputs &amp; Assumptions'!$B$81</f>
        <v>-8111.9144294999996</v>
      </c>
      <c r="Y16" s="57">
        <f>-Y15*'I_Inputs &amp; Assumptions'!$B$81</f>
        <v>-8111.9144294999996</v>
      </c>
      <c r="Z16" s="57">
        <f>-Z15*'I_Inputs &amp; Assumptions'!$B$81</f>
        <v>-8111.9144294999996</v>
      </c>
      <c r="AA16" s="57">
        <f>-AA15*'I_Inputs &amp; Assumptions'!$B$81</f>
        <v>-8271.4870109024978</v>
      </c>
      <c r="AB16" s="57">
        <f>-AB15*'I_Inputs &amp; Assumptions'!$B$81</f>
        <v>-8271.4870109024978</v>
      </c>
      <c r="AC16" s="57">
        <f>-AC15*'I_Inputs &amp; Assumptions'!$B$81</f>
        <v>-8271.4870109024978</v>
      </c>
      <c r="AD16" s="57">
        <f>-AD15*'I_Inputs &amp; Assumptions'!$B$81</f>
        <v>-8271.4870109024978</v>
      </c>
      <c r="AE16" s="57">
        <f>-AE15*'I_Inputs &amp; Assumptions'!$B$81</f>
        <v>-8271.4870109024978</v>
      </c>
      <c r="AF16" s="57">
        <f>-AF15*'I_Inputs &amp; Assumptions'!$B$81</f>
        <v>-8271.4870109024978</v>
      </c>
      <c r="AG16" s="57">
        <f>-AG15*'I_Inputs &amp; Assumptions'!$B$81</f>
        <v>-8271.4870109024978</v>
      </c>
      <c r="AH16" s="57">
        <f>-AH15*'I_Inputs &amp; Assumptions'!$B$81</f>
        <v>-8271.4870109024978</v>
      </c>
      <c r="AI16" s="57">
        <f>-AI15*'I_Inputs &amp; Assumptions'!$B$81</f>
        <v>-8271.4870109024978</v>
      </c>
      <c r="AJ16" s="57">
        <f>-AJ15*'I_Inputs &amp; Assumptions'!$B$81</f>
        <v>-8271.4870109024978</v>
      </c>
      <c r="AK16" s="57">
        <f>-AK15*'I_Inputs &amp; Assumptions'!$B$81</f>
        <v>-8271.4870109024978</v>
      </c>
      <c r="AL16" s="57">
        <f>-AL15*'I_Inputs &amp; Assumptions'!$B$81</f>
        <v>-8271.4870109024978</v>
      </c>
      <c r="AM16" s="57">
        <f>-AM15*'I_Inputs &amp; Assumptions'!$B$81</f>
        <v>-8434.2110583252361</v>
      </c>
      <c r="AN16" s="57">
        <f>-AN15*'I_Inputs &amp; Assumptions'!$B$81</f>
        <v>-8434.2110583252361</v>
      </c>
      <c r="AO16" s="57">
        <f>-AO15*'I_Inputs &amp; Assumptions'!$B$81</f>
        <v>-8434.2110583252361</v>
      </c>
      <c r="AP16" s="57">
        <f>-AP15*'I_Inputs &amp; Assumptions'!$B$81</f>
        <v>-8434.2110583252361</v>
      </c>
      <c r="AQ16" s="57">
        <f>-AQ15*'I_Inputs &amp; Assumptions'!$B$81</f>
        <v>-8434.2110583252361</v>
      </c>
      <c r="AR16" s="57">
        <f>-AR15*'I_Inputs &amp; Assumptions'!$B$81</f>
        <v>-8434.2110583252361</v>
      </c>
      <c r="AS16" s="57">
        <f>-AS15*'I_Inputs &amp; Assumptions'!$B$81</f>
        <v>-8434.2110583252361</v>
      </c>
      <c r="AT16" s="57">
        <f>-AT15*'I_Inputs &amp; Assumptions'!$B$81</f>
        <v>-8434.2110583252361</v>
      </c>
      <c r="AU16" s="57">
        <f>-AU15*'I_Inputs &amp; Assumptions'!$B$81</f>
        <v>-8434.2110583252361</v>
      </c>
      <c r="AV16" s="57">
        <f>-AV15*'I_Inputs &amp; Assumptions'!$B$81</f>
        <v>-8434.2110583252361</v>
      </c>
      <c r="AW16" s="57">
        <f>-AW15*'I_Inputs &amp; Assumptions'!$B$81</f>
        <v>-8434.2110583252361</v>
      </c>
      <c r="AX16" s="57">
        <f>-AX15*'I_Inputs &amp; Assumptions'!$B$81</f>
        <v>-8434.2110583252361</v>
      </c>
      <c r="AY16" s="57">
        <f>-AY15*'I_Inputs &amp; Assumptions'!$B$81</f>
        <v>-8600.1490013044986</v>
      </c>
      <c r="AZ16" s="57">
        <f>-AZ15*'I_Inputs &amp; Assumptions'!$B$81</f>
        <v>-8600.1490013044986</v>
      </c>
      <c r="BA16" s="57">
        <f>-BA15*'I_Inputs &amp; Assumptions'!$B$81</f>
        <v>-8600.1490013044986</v>
      </c>
      <c r="BB16" s="57">
        <f>-BB15*'I_Inputs &amp; Assumptions'!$B$81</f>
        <v>-8600.1490013044986</v>
      </c>
      <c r="BC16" s="57">
        <f>-BC15*'I_Inputs &amp; Assumptions'!$B$81</f>
        <v>-8600.1490013044986</v>
      </c>
      <c r="BD16" s="57">
        <f>-BD15*'I_Inputs &amp; Assumptions'!$B$81</f>
        <v>-8600.1490013044986</v>
      </c>
      <c r="BE16" s="57">
        <f>-BE15*'I_Inputs &amp; Assumptions'!$B$81</f>
        <v>-8600.1490013044986</v>
      </c>
      <c r="BF16" s="57">
        <f>-BF15*'I_Inputs &amp; Assumptions'!$B$81</f>
        <v>-8600.1490013044986</v>
      </c>
      <c r="BG16" s="57">
        <f>-BG15*'I_Inputs &amp; Assumptions'!$B$81</f>
        <v>-8600.1490013044986</v>
      </c>
      <c r="BH16" s="57">
        <f>-BH15*'I_Inputs &amp; Assumptions'!$B$81</f>
        <v>-8600.1490013044986</v>
      </c>
      <c r="BI16" s="57">
        <f>-BI15*'I_Inputs &amp; Assumptions'!$B$81</f>
        <v>-8600.1490013044986</v>
      </c>
      <c r="BJ16" s="57">
        <f>-BJ15*'I_Inputs &amp; Assumptions'!$B$81</f>
        <v>-8600.1490013044986</v>
      </c>
      <c r="BK16" s="57">
        <f>-BK15*'I_Inputs &amp; Assumptions'!$B$81</f>
        <v>-8769.3645089705387</v>
      </c>
    </row>
    <row r="17" spans="1:63" ht="15" customHeight="1" x14ac:dyDescent="0.2">
      <c r="A17" s="34" t="s">
        <v>729</v>
      </c>
      <c r="B17" s="191">
        <f t="shared" ref="B17:AG17" si="4">B15+B16</f>
        <v>122231.02</v>
      </c>
      <c r="C17" s="191">
        <f t="shared" si="4"/>
        <v>124635.1029</v>
      </c>
      <c r="D17" s="191">
        <f t="shared" si="4"/>
        <v>124635.1029</v>
      </c>
      <c r="E17" s="191">
        <f t="shared" si="4"/>
        <v>124635.1029</v>
      </c>
      <c r="F17" s="191">
        <f t="shared" si="4"/>
        <v>124635.1029</v>
      </c>
      <c r="G17" s="191">
        <f t="shared" si="4"/>
        <v>124635.1029</v>
      </c>
      <c r="H17" s="191">
        <f t="shared" si="4"/>
        <v>124635.1029</v>
      </c>
      <c r="I17" s="191">
        <f t="shared" si="4"/>
        <v>124635.1029</v>
      </c>
      <c r="J17" s="191">
        <f t="shared" si="4"/>
        <v>124635.1029</v>
      </c>
      <c r="K17" s="191">
        <f t="shared" si="4"/>
        <v>124635.1029</v>
      </c>
      <c r="L17" s="191">
        <f t="shared" si="4"/>
        <v>124635.1029</v>
      </c>
      <c r="M17" s="191">
        <f t="shared" si="4"/>
        <v>124635.1029</v>
      </c>
      <c r="N17" s="191">
        <f t="shared" si="4"/>
        <v>124635.1029</v>
      </c>
      <c r="O17" s="191">
        <f t="shared" si="4"/>
        <v>127086.6593955</v>
      </c>
      <c r="P17" s="191">
        <f t="shared" si="4"/>
        <v>127086.6593955</v>
      </c>
      <c r="Q17" s="191">
        <f t="shared" si="4"/>
        <v>127086.6593955</v>
      </c>
      <c r="R17" s="191">
        <f t="shared" si="4"/>
        <v>127086.6593955</v>
      </c>
      <c r="S17" s="191">
        <f t="shared" si="4"/>
        <v>127086.6593955</v>
      </c>
      <c r="T17" s="191">
        <f t="shared" si="4"/>
        <v>127086.6593955</v>
      </c>
      <c r="U17" s="191">
        <f t="shared" si="4"/>
        <v>127086.6593955</v>
      </c>
      <c r="V17" s="191">
        <f t="shared" si="4"/>
        <v>127086.6593955</v>
      </c>
      <c r="W17" s="191">
        <f t="shared" si="4"/>
        <v>127086.6593955</v>
      </c>
      <c r="X17" s="191">
        <f t="shared" si="4"/>
        <v>127086.6593955</v>
      </c>
      <c r="Y17" s="191">
        <f t="shared" si="4"/>
        <v>127086.6593955</v>
      </c>
      <c r="Z17" s="191">
        <f t="shared" si="4"/>
        <v>127086.6593955</v>
      </c>
      <c r="AA17" s="191">
        <f t="shared" si="4"/>
        <v>129586.62983747249</v>
      </c>
      <c r="AB17" s="191">
        <f t="shared" si="4"/>
        <v>129586.62983747249</v>
      </c>
      <c r="AC17" s="191">
        <f t="shared" si="4"/>
        <v>129586.62983747249</v>
      </c>
      <c r="AD17" s="191">
        <f t="shared" si="4"/>
        <v>129586.62983747249</v>
      </c>
      <c r="AE17" s="191">
        <f t="shared" si="4"/>
        <v>129586.62983747249</v>
      </c>
      <c r="AF17" s="191">
        <f t="shared" si="4"/>
        <v>129586.62983747249</v>
      </c>
      <c r="AG17" s="191">
        <f t="shared" si="4"/>
        <v>129586.62983747249</v>
      </c>
      <c r="AH17" s="191">
        <f t="shared" ref="AH17:BM17" si="5">AH15+AH16</f>
        <v>129586.62983747249</v>
      </c>
      <c r="AI17" s="191">
        <f t="shared" si="5"/>
        <v>129586.62983747249</v>
      </c>
      <c r="AJ17" s="191">
        <f t="shared" si="5"/>
        <v>129586.62983747249</v>
      </c>
      <c r="AK17" s="191">
        <f t="shared" si="5"/>
        <v>129586.62983747249</v>
      </c>
      <c r="AL17" s="191">
        <f t="shared" si="5"/>
        <v>129586.62983747249</v>
      </c>
      <c r="AM17" s="191">
        <f t="shared" si="5"/>
        <v>132135.97324709536</v>
      </c>
      <c r="AN17" s="191">
        <f t="shared" si="5"/>
        <v>132135.97324709536</v>
      </c>
      <c r="AO17" s="191">
        <f t="shared" si="5"/>
        <v>132135.97324709536</v>
      </c>
      <c r="AP17" s="191">
        <f t="shared" si="5"/>
        <v>132135.97324709536</v>
      </c>
      <c r="AQ17" s="191">
        <f t="shared" si="5"/>
        <v>132135.97324709536</v>
      </c>
      <c r="AR17" s="191">
        <f t="shared" si="5"/>
        <v>132135.97324709536</v>
      </c>
      <c r="AS17" s="191">
        <f t="shared" si="5"/>
        <v>132135.97324709536</v>
      </c>
      <c r="AT17" s="191">
        <f t="shared" si="5"/>
        <v>132135.97324709536</v>
      </c>
      <c r="AU17" s="191">
        <f t="shared" si="5"/>
        <v>132135.97324709536</v>
      </c>
      <c r="AV17" s="191">
        <f t="shared" si="5"/>
        <v>132135.97324709536</v>
      </c>
      <c r="AW17" s="191">
        <f t="shared" si="5"/>
        <v>132135.97324709536</v>
      </c>
      <c r="AX17" s="191">
        <f t="shared" si="5"/>
        <v>132135.97324709536</v>
      </c>
      <c r="AY17" s="191">
        <f t="shared" si="5"/>
        <v>134735.66768710382</v>
      </c>
      <c r="AZ17" s="191">
        <f t="shared" si="5"/>
        <v>134735.66768710382</v>
      </c>
      <c r="BA17" s="191">
        <f t="shared" si="5"/>
        <v>134735.66768710382</v>
      </c>
      <c r="BB17" s="191">
        <f t="shared" si="5"/>
        <v>134735.66768710382</v>
      </c>
      <c r="BC17" s="191">
        <f t="shared" si="5"/>
        <v>134735.66768710382</v>
      </c>
      <c r="BD17" s="191">
        <f t="shared" si="5"/>
        <v>134735.66768710382</v>
      </c>
      <c r="BE17" s="191">
        <f t="shared" si="5"/>
        <v>134735.66768710382</v>
      </c>
      <c r="BF17" s="191">
        <f t="shared" si="5"/>
        <v>134735.66768710382</v>
      </c>
      <c r="BG17" s="191">
        <f t="shared" si="5"/>
        <v>134735.66768710382</v>
      </c>
      <c r="BH17" s="191">
        <f t="shared" si="5"/>
        <v>134735.66768710382</v>
      </c>
      <c r="BI17" s="191">
        <f t="shared" si="5"/>
        <v>134735.66768710382</v>
      </c>
      <c r="BJ17" s="191">
        <f t="shared" si="5"/>
        <v>134735.66768710382</v>
      </c>
      <c r="BK17" s="191">
        <f t="shared" si="5"/>
        <v>137386.71064053843</v>
      </c>
    </row>
    <row r="19" spans="1:63" ht="15" customHeight="1" x14ac:dyDescent="0.2">
      <c r="A19" s="171" t="s">
        <v>83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</row>
    <row r="20" spans="1:63" ht="15" customHeight="1" x14ac:dyDescent="0.2">
      <c r="A20" s="26" t="s">
        <v>688</v>
      </c>
      <c r="B20" s="57">
        <f>OPEX!B21/12*(1+OPEX!C21)^(B7-1)</f>
        <v>9375</v>
      </c>
      <c r="C20" s="57">
        <f>OPEX!B21/12*(1+OPEX!C21)^(C7-1)</f>
        <v>9375</v>
      </c>
      <c r="D20" s="57">
        <f>OPEX!B21/12*(1+OPEX!C21)^(D7-1)</f>
        <v>9375</v>
      </c>
      <c r="E20" s="57">
        <f>OPEX!B21/12*(1+OPEX!C21)^(E7-1)</f>
        <v>9375</v>
      </c>
      <c r="F20" s="57">
        <f>OPEX!B21/12*(1+OPEX!C21)^(F7-1)</f>
        <v>9375</v>
      </c>
      <c r="G20" s="57">
        <f>OPEX!B21/12*(1+OPEX!C21)^(G7-1)</f>
        <v>9375</v>
      </c>
      <c r="H20" s="57">
        <f>OPEX!B21/12*(1+OPEX!C21)^(H7-1)</f>
        <v>9375</v>
      </c>
      <c r="I20" s="57">
        <f>OPEX!B21/12*(1+OPEX!C21)^(I7-1)</f>
        <v>9375</v>
      </c>
      <c r="J20" s="57">
        <f>OPEX!B21/12*(1+OPEX!C21)^(J7-1)</f>
        <v>9375</v>
      </c>
      <c r="K20" s="57">
        <f>OPEX!B21/12*(1+OPEX!C21)^(K7-1)</f>
        <v>9375</v>
      </c>
      <c r="L20" s="57">
        <f>OPEX!B21/12*(1+OPEX!C21)^(L7-1)</f>
        <v>9375</v>
      </c>
      <c r="M20" s="57">
        <f>OPEX!B21/12*(1+OPEX!C21)^(M7-1)</f>
        <v>9375</v>
      </c>
      <c r="N20" s="57">
        <f>OPEX!B21/12*(1+OPEX!C21)^(N7-1)</f>
        <v>9375</v>
      </c>
      <c r="O20" s="57">
        <f>OPEX!B21/12*(1+OPEX!C21)^(O7-1)</f>
        <v>9375</v>
      </c>
      <c r="P20" s="57">
        <f>OPEX!B21/12*(1+OPEX!C21)^(P7-1)</f>
        <v>9375</v>
      </c>
      <c r="Q20" s="57">
        <f>OPEX!B21/12*(1+OPEX!C21)^(Q7-1)</f>
        <v>9375</v>
      </c>
      <c r="R20" s="57">
        <f>OPEX!B21/12*(1+OPEX!C21)^(R7-1)</f>
        <v>9375</v>
      </c>
      <c r="S20" s="57">
        <f>OPEX!B21/12*(1+OPEX!C21)^(S7-1)</f>
        <v>9375</v>
      </c>
      <c r="T20" s="57">
        <f>OPEX!B21/12*(1+OPEX!C21)^(T7-1)</f>
        <v>9375</v>
      </c>
      <c r="U20" s="57">
        <f>OPEX!B21/12*(1+OPEX!C21)^(U7-1)</f>
        <v>9375</v>
      </c>
      <c r="V20" s="57">
        <f>OPEX!B21/12*(1+OPEX!C21)^(V7-1)</f>
        <v>9375</v>
      </c>
      <c r="W20" s="57">
        <f>OPEX!B21/12*(1+OPEX!C21)^(W7-1)</f>
        <v>9375</v>
      </c>
      <c r="X20" s="57">
        <f>OPEX!B21/12*(1+OPEX!C21)^(X7-1)</f>
        <v>9375</v>
      </c>
      <c r="Y20" s="57">
        <f>OPEX!B21/12*(1+OPEX!C21)^(Y7-1)</f>
        <v>9375</v>
      </c>
      <c r="Z20" s="57">
        <f>OPEX!B21/12*(1+OPEX!C21)^(Z7-1)</f>
        <v>9375</v>
      </c>
      <c r="AA20" s="57">
        <f>OPEX!B21/12*(1+OPEX!C21)^(AA7-1)</f>
        <v>9375</v>
      </c>
      <c r="AB20" s="57">
        <f>OPEX!B21/12*(1+OPEX!C21)^(AB7-1)</f>
        <v>9375</v>
      </c>
      <c r="AC20" s="57">
        <f>OPEX!B21/12*(1+OPEX!C21)^(AC7-1)</f>
        <v>9375</v>
      </c>
      <c r="AD20" s="57">
        <f>OPEX!B21/12*(1+OPEX!C21)^(AD7-1)</f>
        <v>9375</v>
      </c>
      <c r="AE20" s="57">
        <f>OPEX!B21/12*(1+OPEX!C21)^(AE7-1)</f>
        <v>9375</v>
      </c>
      <c r="AF20" s="57">
        <f>OPEX!B21/12*(1+OPEX!C21)^(AF7-1)</f>
        <v>9375</v>
      </c>
      <c r="AG20" s="57">
        <f>OPEX!B21/12*(1+OPEX!C21)^(AG7-1)</f>
        <v>9375</v>
      </c>
      <c r="AH20" s="57">
        <f>OPEX!B21/12*(1+OPEX!C21)^(AH7-1)</f>
        <v>9375</v>
      </c>
      <c r="AI20" s="57">
        <f>OPEX!B21/12*(1+OPEX!C21)^(AI7-1)</f>
        <v>9375</v>
      </c>
      <c r="AJ20" s="57">
        <f>OPEX!B21/12*(1+OPEX!C21)^(AJ7-1)</f>
        <v>9375</v>
      </c>
      <c r="AK20" s="57">
        <f>OPEX!B21/12*(1+OPEX!C21)^(AK7-1)</f>
        <v>9375</v>
      </c>
      <c r="AL20" s="57">
        <f>OPEX!B21/12*(1+OPEX!C21)^(AL7-1)</f>
        <v>9375</v>
      </c>
      <c r="AM20" s="57">
        <f>OPEX!B21/12*(1+OPEX!C21)^(AM7-1)</f>
        <v>9375</v>
      </c>
      <c r="AN20" s="57">
        <f>OPEX!B21/12*(1+OPEX!C21)^(AN7-1)</f>
        <v>9375</v>
      </c>
      <c r="AO20" s="57">
        <f>OPEX!B21/12*(1+OPEX!C21)^(AO7-1)</f>
        <v>9375</v>
      </c>
      <c r="AP20" s="57">
        <f>OPEX!B21/12*(1+OPEX!C21)^(AP7-1)</f>
        <v>9375</v>
      </c>
      <c r="AQ20" s="57">
        <f>OPEX!B21/12*(1+OPEX!C21)^(AQ7-1)</f>
        <v>9375</v>
      </c>
      <c r="AR20" s="57">
        <f>OPEX!B21/12*(1+OPEX!C21)^(AR7-1)</f>
        <v>9375</v>
      </c>
      <c r="AS20" s="57">
        <f>OPEX!B21/12*(1+OPEX!C21)^(AS7-1)</f>
        <v>9375</v>
      </c>
      <c r="AT20" s="57">
        <f>OPEX!B21/12*(1+OPEX!C21)^(AT7-1)</f>
        <v>9375</v>
      </c>
      <c r="AU20" s="57">
        <f>OPEX!B21/12*(1+OPEX!C21)^(AU7-1)</f>
        <v>9375</v>
      </c>
      <c r="AV20" s="57">
        <f>OPEX!B21/12*(1+OPEX!C21)^(AV7-1)</f>
        <v>9375</v>
      </c>
      <c r="AW20" s="57">
        <f>OPEX!B21/12*(1+OPEX!C21)^(AW7-1)</f>
        <v>9375</v>
      </c>
      <c r="AX20" s="57">
        <f>OPEX!B21/12*(1+OPEX!C21)^(AX7-1)</f>
        <v>9375</v>
      </c>
      <c r="AY20" s="57">
        <f>OPEX!B21/12*(1+OPEX!C21)^(AY7-1)</f>
        <v>9375</v>
      </c>
      <c r="AZ20" s="57">
        <f>OPEX!B21/12*(1+OPEX!C21)^(AZ7-1)</f>
        <v>9375</v>
      </c>
      <c r="BA20" s="57">
        <f>OPEX!B21/12*(1+OPEX!C21)^(BA7-1)</f>
        <v>9375</v>
      </c>
      <c r="BB20" s="57">
        <f>OPEX!B21/12*(1+OPEX!C21)^(BB7-1)</f>
        <v>9375</v>
      </c>
      <c r="BC20" s="57">
        <f>OPEX!B21/12*(1+OPEX!C21)^(BC7-1)</f>
        <v>9375</v>
      </c>
      <c r="BD20" s="57">
        <f>OPEX!B21/12*(1+OPEX!C21)^(BD7-1)</f>
        <v>9375</v>
      </c>
      <c r="BE20" s="57">
        <f>OPEX!B21/12*(1+OPEX!C21)^(BE7-1)</f>
        <v>9375</v>
      </c>
      <c r="BF20" s="57">
        <f>OPEX!B21/12*(1+OPEX!C21)^(BF7-1)</f>
        <v>9375</v>
      </c>
      <c r="BG20" s="57">
        <f>OPEX!B21/12*(1+OPEX!C21)^(BG7-1)</f>
        <v>9375</v>
      </c>
      <c r="BH20" s="57">
        <f>OPEX!B21/12*(1+OPEX!C21)^(BH7-1)</f>
        <v>9375</v>
      </c>
      <c r="BI20" s="57">
        <f>OPEX!B21/12*(1+OPEX!C21)^(BI7-1)</f>
        <v>9375</v>
      </c>
      <c r="BJ20" s="57">
        <f>OPEX!B21/12*(1+OPEX!C21)^(BJ7-1)</f>
        <v>9375</v>
      </c>
      <c r="BK20" s="57">
        <f>OPEX!B21/12*(1+OPEX!C21)^(BK7-1)</f>
        <v>9375</v>
      </c>
    </row>
    <row r="21" spans="1:63" ht="15" customHeight="1" x14ac:dyDescent="0.2">
      <c r="A21" s="26" t="s">
        <v>689</v>
      </c>
      <c r="B21" s="57">
        <f>OPEX!B22/12*(1+OPEX!C22)^(B7-1)</f>
        <v>1950</v>
      </c>
      <c r="C21" s="57">
        <f>OPEX!B22/12*(1+OPEX!C22)^(C7-1)</f>
        <v>1950</v>
      </c>
      <c r="D21" s="57">
        <f>OPEX!B22/12*(1+OPEX!C22)^(D7-1)</f>
        <v>1950</v>
      </c>
      <c r="E21" s="57">
        <f>OPEX!B22/12*(1+OPEX!C22)^(E7-1)</f>
        <v>1950</v>
      </c>
      <c r="F21" s="57">
        <f>OPEX!B22/12*(1+OPEX!C22)^(F7-1)</f>
        <v>1950</v>
      </c>
      <c r="G21" s="57">
        <f>OPEX!B22/12*(1+OPEX!C22)^(G7-1)</f>
        <v>1950</v>
      </c>
      <c r="H21" s="57">
        <f>OPEX!B22/12*(1+OPEX!C22)^(H7-1)</f>
        <v>1950</v>
      </c>
      <c r="I21" s="57">
        <f>OPEX!B22/12*(1+OPEX!C22)^(I7-1)</f>
        <v>1950</v>
      </c>
      <c r="J21" s="57">
        <f>OPEX!B22/12*(1+OPEX!C22)^(J7-1)</f>
        <v>1950</v>
      </c>
      <c r="K21" s="57">
        <f>OPEX!B22/12*(1+OPEX!C22)^(K7-1)</f>
        <v>1950</v>
      </c>
      <c r="L21" s="57">
        <f>OPEX!B22/12*(1+OPEX!C22)^(L7-1)</f>
        <v>1950</v>
      </c>
      <c r="M21" s="57">
        <f>OPEX!B22/12*(1+OPEX!C22)^(M7-1)</f>
        <v>1950</v>
      </c>
      <c r="N21" s="57">
        <f>OPEX!B22/12*(1+OPEX!C22)^(N7-1)</f>
        <v>1950</v>
      </c>
      <c r="O21" s="57">
        <f>OPEX!B22/12*(1+OPEX!C22)^(O7-1)</f>
        <v>1950</v>
      </c>
      <c r="P21" s="57">
        <f>OPEX!B22/12*(1+OPEX!C22)^(P7-1)</f>
        <v>1950</v>
      </c>
      <c r="Q21" s="57">
        <f>OPEX!B22/12*(1+OPEX!C22)^(Q7-1)</f>
        <v>1950</v>
      </c>
      <c r="R21" s="57">
        <f>OPEX!B22/12*(1+OPEX!C22)^(R7-1)</f>
        <v>1950</v>
      </c>
      <c r="S21" s="57">
        <f>OPEX!B22/12*(1+OPEX!C22)^(S7-1)</f>
        <v>1950</v>
      </c>
      <c r="T21" s="57">
        <f>OPEX!B22/12*(1+OPEX!C22)^(T7-1)</f>
        <v>1950</v>
      </c>
      <c r="U21" s="57">
        <f>OPEX!B22/12*(1+OPEX!C22)^(U7-1)</f>
        <v>1950</v>
      </c>
      <c r="V21" s="57">
        <f>OPEX!B22/12*(1+OPEX!C22)^(V7-1)</f>
        <v>1950</v>
      </c>
      <c r="W21" s="57">
        <f>OPEX!B22/12*(1+OPEX!C22)^(W7-1)</f>
        <v>1950</v>
      </c>
      <c r="X21" s="57">
        <f>OPEX!B22/12*(1+OPEX!C22)^(X7-1)</f>
        <v>1950</v>
      </c>
      <c r="Y21" s="57">
        <f>OPEX!B22/12*(1+OPEX!C22)^(Y7-1)</f>
        <v>1950</v>
      </c>
      <c r="Z21" s="57">
        <f>OPEX!B22/12*(1+OPEX!C22)^(Z7-1)</f>
        <v>1950</v>
      </c>
      <c r="AA21" s="57">
        <f>OPEX!B22/12*(1+OPEX!C22)^(AA7-1)</f>
        <v>1950</v>
      </c>
      <c r="AB21" s="57">
        <f>OPEX!B22/12*(1+OPEX!C22)^(AB7-1)</f>
        <v>1950</v>
      </c>
      <c r="AC21" s="57">
        <f>OPEX!B22/12*(1+OPEX!C22)^(AC7-1)</f>
        <v>1950</v>
      </c>
      <c r="AD21" s="57">
        <f>OPEX!B22/12*(1+OPEX!C22)^(AD7-1)</f>
        <v>1950</v>
      </c>
      <c r="AE21" s="57">
        <f>OPEX!B22/12*(1+OPEX!C22)^(AE7-1)</f>
        <v>1950</v>
      </c>
      <c r="AF21" s="57">
        <f>OPEX!B22/12*(1+OPEX!C22)^(AF7-1)</f>
        <v>1950</v>
      </c>
      <c r="AG21" s="57">
        <f>OPEX!B22/12*(1+OPEX!C22)^(AG7-1)</f>
        <v>1950</v>
      </c>
      <c r="AH21" s="57">
        <f>OPEX!B22/12*(1+OPEX!C22)^(AH7-1)</f>
        <v>1950</v>
      </c>
      <c r="AI21" s="57">
        <f>OPEX!B22/12*(1+OPEX!C22)^(AI7-1)</f>
        <v>1950</v>
      </c>
      <c r="AJ21" s="57">
        <f>OPEX!B22/12*(1+OPEX!C22)^(AJ7-1)</f>
        <v>1950</v>
      </c>
      <c r="AK21" s="57">
        <f>OPEX!B22/12*(1+OPEX!C22)^(AK7-1)</f>
        <v>1950</v>
      </c>
      <c r="AL21" s="57">
        <f>OPEX!B22/12*(1+OPEX!C22)^(AL7-1)</f>
        <v>1950</v>
      </c>
      <c r="AM21" s="57">
        <f>OPEX!B22/12*(1+OPEX!C22)^(AM7-1)</f>
        <v>1950</v>
      </c>
      <c r="AN21" s="57">
        <f>OPEX!B22/12*(1+OPEX!C22)^(AN7-1)</f>
        <v>1950</v>
      </c>
      <c r="AO21" s="57">
        <f>OPEX!B22/12*(1+OPEX!C22)^(AO7-1)</f>
        <v>1950</v>
      </c>
      <c r="AP21" s="57">
        <f>OPEX!B22/12*(1+OPEX!C22)^(AP7-1)</f>
        <v>1950</v>
      </c>
      <c r="AQ21" s="57">
        <f>OPEX!B22/12*(1+OPEX!C22)^(AQ7-1)</f>
        <v>1950</v>
      </c>
      <c r="AR21" s="57">
        <f>OPEX!B22/12*(1+OPEX!C22)^(AR7-1)</f>
        <v>1950</v>
      </c>
      <c r="AS21" s="57">
        <f>OPEX!B22/12*(1+OPEX!C22)^(AS7-1)</f>
        <v>1950</v>
      </c>
      <c r="AT21" s="57">
        <f>OPEX!B22/12*(1+OPEX!C22)^(AT7-1)</f>
        <v>1950</v>
      </c>
      <c r="AU21" s="57">
        <f>OPEX!B22/12*(1+OPEX!C22)^(AU7-1)</f>
        <v>1950</v>
      </c>
      <c r="AV21" s="57">
        <f>OPEX!B22/12*(1+OPEX!C22)^(AV7-1)</f>
        <v>1950</v>
      </c>
      <c r="AW21" s="57">
        <f>OPEX!B22/12*(1+OPEX!C22)^(AW7-1)</f>
        <v>1950</v>
      </c>
      <c r="AX21" s="57">
        <f>OPEX!B22/12*(1+OPEX!C22)^(AX7-1)</f>
        <v>1950</v>
      </c>
      <c r="AY21" s="57">
        <f>OPEX!B22/12*(1+OPEX!C22)^(AY7-1)</f>
        <v>1950</v>
      </c>
      <c r="AZ21" s="57">
        <f>OPEX!B22/12*(1+OPEX!C22)^(AZ7-1)</f>
        <v>1950</v>
      </c>
      <c r="BA21" s="57">
        <f>OPEX!B22/12*(1+OPEX!C22)^(BA7-1)</f>
        <v>1950</v>
      </c>
      <c r="BB21" s="57">
        <f>OPEX!B22/12*(1+OPEX!C22)^(BB7-1)</f>
        <v>1950</v>
      </c>
      <c r="BC21" s="57">
        <f>OPEX!B22/12*(1+OPEX!C22)^(BC7-1)</f>
        <v>1950</v>
      </c>
      <c r="BD21" s="57">
        <f>OPEX!B22/12*(1+OPEX!C22)^(BD7-1)</f>
        <v>1950</v>
      </c>
      <c r="BE21" s="57">
        <f>OPEX!B22/12*(1+OPEX!C22)^(BE7-1)</f>
        <v>1950</v>
      </c>
      <c r="BF21" s="57">
        <f>OPEX!B22/12*(1+OPEX!C22)^(BF7-1)</f>
        <v>1950</v>
      </c>
      <c r="BG21" s="57">
        <f>OPEX!B22/12*(1+OPEX!C22)^(BG7-1)</f>
        <v>1950</v>
      </c>
      <c r="BH21" s="57">
        <f>OPEX!B22/12*(1+OPEX!C22)^(BH7-1)</f>
        <v>1950</v>
      </c>
      <c r="BI21" s="57">
        <f>OPEX!B22/12*(1+OPEX!C22)^(BI7-1)</f>
        <v>1950</v>
      </c>
      <c r="BJ21" s="57">
        <f>OPEX!B22/12*(1+OPEX!C22)^(BJ7-1)</f>
        <v>1950</v>
      </c>
      <c r="BK21" s="57">
        <f>OPEX!B22/12*(1+OPEX!C22)^(BK7-1)</f>
        <v>1950</v>
      </c>
    </row>
    <row r="22" spans="1:63" ht="15" customHeight="1" x14ac:dyDescent="0.2">
      <c r="A22" s="26" t="s">
        <v>91</v>
      </c>
      <c r="B22" s="57">
        <f>OPEX!B23/12*(1+OPEX!C23)^(B7-1)</f>
        <v>1415.75</v>
      </c>
      <c r="C22" s="57">
        <f>OPEX!B23/12*(1+OPEX!C23)^(C7-1)</f>
        <v>1429.9075</v>
      </c>
      <c r="D22" s="57">
        <f>OPEX!B23/12*(1+OPEX!C23)^(D7-1)</f>
        <v>1429.9075</v>
      </c>
      <c r="E22" s="57">
        <f>OPEX!B23/12*(1+OPEX!C23)^(E7-1)</f>
        <v>1429.9075</v>
      </c>
      <c r="F22" s="57">
        <f>OPEX!B23/12*(1+OPEX!C23)^(F7-1)</f>
        <v>1429.9075</v>
      </c>
      <c r="G22" s="57">
        <f>OPEX!B23/12*(1+OPEX!C23)^(G7-1)</f>
        <v>1429.9075</v>
      </c>
      <c r="H22" s="57">
        <f>OPEX!B23/12*(1+OPEX!C23)^(H7-1)</f>
        <v>1429.9075</v>
      </c>
      <c r="I22" s="57">
        <f>OPEX!B23/12*(1+OPEX!C23)^(I7-1)</f>
        <v>1429.9075</v>
      </c>
      <c r="J22" s="57">
        <f>OPEX!B23/12*(1+OPEX!C23)^(J7-1)</f>
        <v>1429.9075</v>
      </c>
      <c r="K22" s="57">
        <f>OPEX!B23/12*(1+OPEX!C23)^(K7-1)</f>
        <v>1429.9075</v>
      </c>
      <c r="L22" s="57">
        <f>OPEX!B23/12*(1+OPEX!C23)^(L7-1)</f>
        <v>1429.9075</v>
      </c>
      <c r="M22" s="57">
        <f>OPEX!B23/12*(1+OPEX!C23)^(M7-1)</f>
        <v>1429.9075</v>
      </c>
      <c r="N22" s="57">
        <f>OPEX!B23/12*(1+OPEX!C23)^(N7-1)</f>
        <v>1429.9075</v>
      </c>
      <c r="O22" s="57">
        <f>OPEX!B23/12*(1+OPEX!C23)^(O7-1)</f>
        <v>1444.2065749999999</v>
      </c>
      <c r="P22" s="57">
        <f>OPEX!B23/12*(1+OPEX!C23)^(P7-1)</f>
        <v>1444.2065749999999</v>
      </c>
      <c r="Q22" s="57">
        <f>OPEX!B23/12*(1+OPEX!C23)^(Q7-1)</f>
        <v>1444.2065749999999</v>
      </c>
      <c r="R22" s="57">
        <f>OPEX!B23/12*(1+OPEX!C23)^(R7-1)</f>
        <v>1444.2065749999999</v>
      </c>
      <c r="S22" s="57">
        <f>OPEX!B23/12*(1+OPEX!C23)^(S7-1)</f>
        <v>1444.2065749999999</v>
      </c>
      <c r="T22" s="57">
        <f>OPEX!B23/12*(1+OPEX!C23)^(T7-1)</f>
        <v>1444.2065749999999</v>
      </c>
      <c r="U22" s="57">
        <f>OPEX!B23/12*(1+OPEX!C23)^(U7-1)</f>
        <v>1444.2065749999999</v>
      </c>
      <c r="V22" s="57">
        <f>OPEX!B23/12*(1+OPEX!C23)^(V7-1)</f>
        <v>1444.2065749999999</v>
      </c>
      <c r="W22" s="57">
        <f>OPEX!B23/12*(1+OPEX!C23)^(W7-1)</f>
        <v>1444.2065749999999</v>
      </c>
      <c r="X22" s="57">
        <f>OPEX!B23/12*(1+OPEX!C23)^(X7-1)</f>
        <v>1444.2065749999999</v>
      </c>
      <c r="Y22" s="57">
        <f>OPEX!B23/12*(1+OPEX!C23)^(Y7-1)</f>
        <v>1444.2065749999999</v>
      </c>
      <c r="Z22" s="57">
        <f>OPEX!B23/12*(1+OPEX!C23)^(Z7-1)</f>
        <v>1444.2065749999999</v>
      </c>
      <c r="AA22" s="57">
        <f>OPEX!B23/12*(1+OPEX!C23)^(AA7-1)</f>
        <v>1458.6486407499999</v>
      </c>
      <c r="AB22" s="57">
        <f>OPEX!B23/12*(1+OPEX!C23)^(AB7-1)</f>
        <v>1458.6486407499999</v>
      </c>
      <c r="AC22" s="57">
        <f>OPEX!B23/12*(1+OPEX!C23)^(AC7-1)</f>
        <v>1458.6486407499999</v>
      </c>
      <c r="AD22" s="57">
        <f>OPEX!B23/12*(1+OPEX!C23)^(AD7-1)</f>
        <v>1458.6486407499999</v>
      </c>
      <c r="AE22" s="57">
        <f>OPEX!B23/12*(1+OPEX!C23)^(AE7-1)</f>
        <v>1458.6486407499999</v>
      </c>
      <c r="AF22" s="57">
        <f>OPEX!B23/12*(1+OPEX!C23)^(AF7-1)</f>
        <v>1458.6486407499999</v>
      </c>
      <c r="AG22" s="57">
        <f>OPEX!B23/12*(1+OPEX!C23)^(AG7-1)</f>
        <v>1458.6486407499999</v>
      </c>
      <c r="AH22" s="57">
        <f>OPEX!B23/12*(1+OPEX!C23)^(AH7-1)</f>
        <v>1458.6486407499999</v>
      </c>
      <c r="AI22" s="57">
        <f>OPEX!B23/12*(1+OPEX!C23)^(AI7-1)</f>
        <v>1458.6486407499999</v>
      </c>
      <c r="AJ22" s="57">
        <f>OPEX!B23/12*(1+OPEX!C23)^(AJ7-1)</f>
        <v>1458.6486407499999</v>
      </c>
      <c r="AK22" s="57">
        <f>OPEX!B23/12*(1+OPEX!C23)^(AK7-1)</f>
        <v>1458.6486407499999</v>
      </c>
      <c r="AL22" s="57">
        <f>OPEX!B23/12*(1+OPEX!C23)^(AL7-1)</f>
        <v>1458.6486407499999</v>
      </c>
      <c r="AM22" s="57">
        <f>OPEX!B23/12*(1+OPEX!C23)^(AM7-1)</f>
        <v>1473.2351271575001</v>
      </c>
      <c r="AN22" s="57">
        <f>OPEX!B23/12*(1+OPEX!C23)^(AN7-1)</f>
        <v>1473.2351271575001</v>
      </c>
      <c r="AO22" s="57">
        <f>OPEX!B23/12*(1+OPEX!C23)^(AO7-1)</f>
        <v>1473.2351271575001</v>
      </c>
      <c r="AP22" s="57">
        <f>OPEX!B23/12*(1+OPEX!C23)^(AP7-1)</f>
        <v>1473.2351271575001</v>
      </c>
      <c r="AQ22" s="57">
        <f>OPEX!B23/12*(1+OPEX!C23)^(AQ7-1)</f>
        <v>1473.2351271575001</v>
      </c>
      <c r="AR22" s="57">
        <f>OPEX!B23/12*(1+OPEX!C23)^(AR7-1)</f>
        <v>1473.2351271575001</v>
      </c>
      <c r="AS22" s="57">
        <f>OPEX!B23/12*(1+OPEX!C23)^(AS7-1)</f>
        <v>1473.2351271575001</v>
      </c>
      <c r="AT22" s="57">
        <f>OPEX!B23/12*(1+OPEX!C23)^(AT7-1)</f>
        <v>1473.2351271575001</v>
      </c>
      <c r="AU22" s="57">
        <f>OPEX!B23/12*(1+OPEX!C23)^(AU7-1)</f>
        <v>1473.2351271575001</v>
      </c>
      <c r="AV22" s="57">
        <f>OPEX!B23/12*(1+OPEX!C23)^(AV7-1)</f>
        <v>1473.2351271575001</v>
      </c>
      <c r="AW22" s="57">
        <f>OPEX!B23/12*(1+OPEX!C23)^(AW7-1)</f>
        <v>1473.2351271575001</v>
      </c>
      <c r="AX22" s="57">
        <f>OPEX!B23/12*(1+OPEX!C23)^(AX7-1)</f>
        <v>1473.2351271575001</v>
      </c>
      <c r="AY22" s="57">
        <f>OPEX!B23/12*(1+OPEX!C23)^(AY7-1)</f>
        <v>1487.9674784290748</v>
      </c>
      <c r="AZ22" s="57">
        <f>OPEX!B23/12*(1+OPEX!C23)^(AZ7-1)</f>
        <v>1487.9674784290748</v>
      </c>
      <c r="BA22" s="57">
        <f>OPEX!B23/12*(1+OPEX!C23)^(BA7-1)</f>
        <v>1487.9674784290748</v>
      </c>
      <c r="BB22" s="57">
        <f>OPEX!B23/12*(1+OPEX!C23)^(BB7-1)</f>
        <v>1487.9674784290748</v>
      </c>
      <c r="BC22" s="57">
        <f>OPEX!B23/12*(1+OPEX!C23)^(BC7-1)</f>
        <v>1487.9674784290748</v>
      </c>
      <c r="BD22" s="57">
        <f>OPEX!B23/12*(1+OPEX!C23)^(BD7-1)</f>
        <v>1487.9674784290748</v>
      </c>
      <c r="BE22" s="57">
        <f>OPEX!B23/12*(1+OPEX!C23)^(BE7-1)</f>
        <v>1487.9674784290748</v>
      </c>
      <c r="BF22" s="57">
        <f>OPEX!B23/12*(1+OPEX!C23)^(BF7-1)</f>
        <v>1487.9674784290748</v>
      </c>
      <c r="BG22" s="57">
        <f>OPEX!B23/12*(1+OPEX!C23)^(BG7-1)</f>
        <v>1487.9674784290748</v>
      </c>
      <c r="BH22" s="57">
        <f>OPEX!B23/12*(1+OPEX!C23)^(BH7-1)</f>
        <v>1487.9674784290748</v>
      </c>
      <c r="BI22" s="57">
        <f>OPEX!B23/12*(1+OPEX!C23)^(BI7-1)</f>
        <v>1487.9674784290748</v>
      </c>
      <c r="BJ22" s="57">
        <f>OPEX!B23/12*(1+OPEX!C23)^(BJ7-1)</f>
        <v>1487.9674784290748</v>
      </c>
      <c r="BK22" s="57">
        <f>OPEX!B23/12*(1+OPEX!C23)^(BK7-1)</f>
        <v>1502.847153213366</v>
      </c>
    </row>
    <row r="23" spans="1:63" ht="15" customHeight="1" x14ac:dyDescent="0.2">
      <c r="A23" s="26" t="s">
        <v>92</v>
      </c>
      <c r="B23" s="57">
        <f>OPEX!B24/12*(1+OPEX!C24)^(B7-1)</f>
        <v>3200</v>
      </c>
      <c r="C23" s="57">
        <f>OPEX!B24/12*(1+OPEX!C24)^(C7-1)</f>
        <v>3232</v>
      </c>
      <c r="D23" s="57">
        <f>OPEX!B24/12*(1+OPEX!C24)^(D7-1)</f>
        <v>3232</v>
      </c>
      <c r="E23" s="57">
        <f>OPEX!B24/12*(1+OPEX!C24)^(E7-1)</f>
        <v>3232</v>
      </c>
      <c r="F23" s="57">
        <f>OPEX!B24/12*(1+OPEX!C24)^(F7-1)</f>
        <v>3232</v>
      </c>
      <c r="G23" s="57">
        <f>OPEX!B24/12*(1+OPEX!C24)^(G7-1)</f>
        <v>3232</v>
      </c>
      <c r="H23" s="57">
        <f>OPEX!B24/12*(1+OPEX!C24)^(H7-1)</f>
        <v>3232</v>
      </c>
      <c r="I23" s="57">
        <f>OPEX!B24/12*(1+OPEX!C24)^(I7-1)</f>
        <v>3232</v>
      </c>
      <c r="J23" s="57">
        <f>OPEX!B24/12*(1+OPEX!C24)^(J7-1)</f>
        <v>3232</v>
      </c>
      <c r="K23" s="57">
        <f>OPEX!B24/12*(1+OPEX!C24)^(K7-1)</f>
        <v>3232</v>
      </c>
      <c r="L23" s="57">
        <f>OPEX!B24/12*(1+OPEX!C24)^(L7-1)</f>
        <v>3232</v>
      </c>
      <c r="M23" s="57">
        <f>OPEX!B24/12*(1+OPEX!C24)^(M7-1)</f>
        <v>3232</v>
      </c>
      <c r="N23" s="57">
        <f>OPEX!B24/12*(1+OPEX!C24)^(N7-1)</f>
        <v>3232</v>
      </c>
      <c r="O23" s="57">
        <f>OPEX!B24/12*(1+OPEX!C24)^(O7-1)</f>
        <v>3264.32</v>
      </c>
      <c r="P23" s="57">
        <f>OPEX!B24/12*(1+OPEX!C24)^(P7-1)</f>
        <v>3264.32</v>
      </c>
      <c r="Q23" s="57">
        <f>OPEX!B24/12*(1+OPEX!C24)^(Q7-1)</f>
        <v>3264.32</v>
      </c>
      <c r="R23" s="57">
        <f>OPEX!B24/12*(1+OPEX!C24)^(R7-1)</f>
        <v>3264.32</v>
      </c>
      <c r="S23" s="57">
        <f>OPEX!B24/12*(1+OPEX!C24)^(S7-1)</f>
        <v>3264.32</v>
      </c>
      <c r="T23" s="57">
        <f>OPEX!B24/12*(1+OPEX!C24)^(T7-1)</f>
        <v>3264.32</v>
      </c>
      <c r="U23" s="57">
        <f>OPEX!B24/12*(1+OPEX!C24)^(U7-1)</f>
        <v>3264.32</v>
      </c>
      <c r="V23" s="57">
        <f>OPEX!B24/12*(1+OPEX!C24)^(V7-1)</f>
        <v>3264.32</v>
      </c>
      <c r="W23" s="57">
        <f>OPEX!B24/12*(1+OPEX!C24)^(W7-1)</f>
        <v>3264.32</v>
      </c>
      <c r="X23" s="57">
        <f>OPEX!B24/12*(1+OPEX!C24)^(X7-1)</f>
        <v>3264.32</v>
      </c>
      <c r="Y23" s="57">
        <f>OPEX!B24/12*(1+OPEX!C24)^(Y7-1)</f>
        <v>3264.32</v>
      </c>
      <c r="Z23" s="57">
        <f>OPEX!B24/12*(1+OPEX!C24)^(Z7-1)</f>
        <v>3264.32</v>
      </c>
      <c r="AA23" s="57">
        <f>OPEX!B24/12*(1+OPEX!C24)^(AA7-1)</f>
        <v>3296.9631999999997</v>
      </c>
      <c r="AB23" s="57">
        <f>OPEX!B24/12*(1+OPEX!C24)^(AB7-1)</f>
        <v>3296.9631999999997</v>
      </c>
      <c r="AC23" s="57">
        <f>OPEX!B24/12*(1+OPEX!C24)^(AC7-1)</f>
        <v>3296.9631999999997</v>
      </c>
      <c r="AD23" s="57">
        <f>OPEX!B24/12*(1+OPEX!C24)^(AD7-1)</f>
        <v>3296.9631999999997</v>
      </c>
      <c r="AE23" s="57">
        <f>OPEX!B24/12*(1+OPEX!C24)^(AE7-1)</f>
        <v>3296.9631999999997</v>
      </c>
      <c r="AF23" s="57">
        <f>OPEX!B24/12*(1+OPEX!C24)^(AF7-1)</f>
        <v>3296.9631999999997</v>
      </c>
      <c r="AG23" s="57">
        <f>OPEX!B24/12*(1+OPEX!C24)^(AG7-1)</f>
        <v>3296.9631999999997</v>
      </c>
      <c r="AH23" s="57">
        <f>OPEX!B24/12*(1+OPEX!C24)^(AH7-1)</f>
        <v>3296.9631999999997</v>
      </c>
      <c r="AI23" s="57">
        <f>OPEX!B24/12*(1+OPEX!C24)^(AI7-1)</f>
        <v>3296.9631999999997</v>
      </c>
      <c r="AJ23" s="57">
        <f>OPEX!B24/12*(1+OPEX!C24)^(AJ7-1)</f>
        <v>3296.9631999999997</v>
      </c>
      <c r="AK23" s="57">
        <f>OPEX!B24/12*(1+OPEX!C24)^(AK7-1)</f>
        <v>3296.9631999999997</v>
      </c>
      <c r="AL23" s="57">
        <f>OPEX!B24/12*(1+OPEX!C24)^(AL7-1)</f>
        <v>3296.9631999999997</v>
      </c>
      <c r="AM23" s="57">
        <f>OPEX!B24/12*(1+OPEX!C24)^(AM7-1)</f>
        <v>3329.932832</v>
      </c>
      <c r="AN23" s="57">
        <f>OPEX!B24/12*(1+OPEX!C24)^(AN7-1)</f>
        <v>3329.932832</v>
      </c>
      <c r="AO23" s="57">
        <f>OPEX!B24/12*(1+OPEX!C24)^(AO7-1)</f>
        <v>3329.932832</v>
      </c>
      <c r="AP23" s="57">
        <f>OPEX!B24/12*(1+OPEX!C24)^(AP7-1)</f>
        <v>3329.932832</v>
      </c>
      <c r="AQ23" s="57">
        <f>OPEX!B24/12*(1+OPEX!C24)^(AQ7-1)</f>
        <v>3329.932832</v>
      </c>
      <c r="AR23" s="57">
        <f>OPEX!B24/12*(1+OPEX!C24)^(AR7-1)</f>
        <v>3329.932832</v>
      </c>
      <c r="AS23" s="57">
        <f>OPEX!B24/12*(1+OPEX!C24)^(AS7-1)</f>
        <v>3329.932832</v>
      </c>
      <c r="AT23" s="57">
        <f>OPEX!B24/12*(1+OPEX!C24)^(AT7-1)</f>
        <v>3329.932832</v>
      </c>
      <c r="AU23" s="57">
        <f>OPEX!B24/12*(1+OPEX!C24)^(AU7-1)</f>
        <v>3329.932832</v>
      </c>
      <c r="AV23" s="57">
        <f>OPEX!B24/12*(1+OPEX!C24)^(AV7-1)</f>
        <v>3329.932832</v>
      </c>
      <c r="AW23" s="57">
        <f>OPEX!B24/12*(1+OPEX!C24)^(AW7-1)</f>
        <v>3329.932832</v>
      </c>
      <c r="AX23" s="57">
        <f>OPEX!B24/12*(1+OPEX!C24)^(AX7-1)</f>
        <v>3329.932832</v>
      </c>
      <c r="AY23" s="57">
        <f>OPEX!B24/12*(1+OPEX!C24)^(AY7-1)</f>
        <v>3363.2321603199998</v>
      </c>
      <c r="AZ23" s="57">
        <f>OPEX!B24/12*(1+OPEX!C24)^(AZ7-1)</f>
        <v>3363.2321603199998</v>
      </c>
      <c r="BA23" s="57">
        <f>OPEX!B24/12*(1+OPEX!C24)^(BA7-1)</f>
        <v>3363.2321603199998</v>
      </c>
      <c r="BB23" s="57">
        <f>OPEX!B24/12*(1+OPEX!C24)^(BB7-1)</f>
        <v>3363.2321603199998</v>
      </c>
      <c r="BC23" s="57">
        <f>OPEX!B24/12*(1+OPEX!C24)^(BC7-1)</f>
        <v>3363.2321603199998</v>
      </c>
      <c r="BD23" s="57">
        <f>OPEX!B24/12*(1+OPEX!C24)^(BD7-1)</f>
        <v>3363.2321603199998</v>
      </c>
      <c r="BE23" s="57">
        <f>OPEX!B24/12*(1+OPEX!C24)^(BE7-1)</f>
        <v>3363.2321603199998</v>
      </c>
      <c r="BF23" s="57">
        <f>OPEX!B24/12*(1+OPEX!C24)^(BF7-1)</f>
        <v>3363.2321603199998</v>
      </c>
      <c r="BG23" s="57">
        <f>OPEX!B24/12*(1+OPEX!C24)^(BG7-1)</f>
        <v>3363.2321603199998</v>
      </c>
      <c r="BH23" s="57">
        <f>OPEX!B24/12*(1+OPEX!C24)^(BH7-1)</f>
        <v>3363.2321603199998</v>
      </c>
      <c r="BI23" s="57">
        <f>OPEX!B24/12*(1+OPEX!C24)^(BI7-1)</f>
        <v>3363.2321603199998</v>
      </c>
      <c r="BJ23" s="57">
        <f>OPEX!B24/12*(1+OPEX!C24)^(BJ7-1)</f>
        <v>3363.2321603199998</v>
      </c>
      <c r="BK23" s="57">
        <f>OPEX!B24/12*(1+OPEX!C24)^(BK7-1)</f>
        <v>3396.8644819232004</v>
      </c>
    </row>
    <row r="24" spans="1:63" ht="15" customHeight="1" x14ac:dyDescent="0.2">
      <c r="A24" s="26" t="s">
        <v>93</v>
      </c>
      <c r="B24" s="57">
        <f>OPEX!B25/12*(1+OPEX!C25)^(B7-1)</f>
        <v>166.66666666666666</v>
      </c>
      <c r="C24" s="57">
        <f>OPEX!B25/12*(1+OPEX!C25)^(C7-1)</f>
        <v>168.33333333333331</v>
      </c>
      <c r="D24" s="57">
        <f>OPEX!B25/12*(1+OPEX!C25)^(D7-1)</f>
        <v>168.33333333333331</v>
      </c>
      <c r="E24" s="57">
        <f>OPEX!B25/12*(1+OPEX!C25)^(E7-1)</f>
        <v>168.33333333333331</v>
      </c>
      <c r="F24" s="57">
        <f>OPEX!B25/12*(1+OPEX!C25)^(F7-1)</f>
        <v>168.33333333333331</v>
      </c>
      <c r="G24" s="57">
        <f>OPEX!B25/12*(1+OPEX!C25)^(G7-1)</f>
        <v>168.33333333333331</v>
      </c>
      <c r="H24" s="57">
        <f>OPEX!B25/12*(1+OPEX!C25)^(H7-1)</f>
        <v>168.33333333333331</v>
      </c>
      <c r="I24" s="57">
        <f>OPEX!B25/12*(1+OPEX!C25)^(I7-1)</f>
        <v>168.33333333333331</v>
      </c>
      <c r="J24" s="57">
        <f>OPEX!B25/12*(1+OPEX!C25)^(J7-1)</f>
        <v>168.33333333333331</v>
      </c>
      <c r="K24" s="57">
        <f>OPEX!B25/12*(1+OPEX!C25)^(K7-1)</f>
        <v>168.33333333333331</v>
      </c>
      <c r="L24" s="57">
        <f>OPEX!B25/12*(1+OPEX!C25)^(L7-1)</f>
        <v>168.33333333333331</v>
      </c>
      <c r="M24" s="57">
        <f>OPEX!B25/12*(1+OPEX!C25)^(M7-1)</f>
        <v>168.33333333333331</v>
      </c>
      <c r="N24" s="57">
        <f>OPEX!B25/12*(1+OPEX!C25)^(N7-1)</f>
        <v>168.33333333333331</v>
      </c>
      <c r="O24" s="57">
        <f>OPEX!B25/12*(1+OPEX!C25)^(O7-1)</f>
        <v>170.01666666666665</v>
      </c>
      <c r="P24" s="57">
        <f>OPEX!B25/12*(1+OPEX!C25)^(P7-1)</f>
        <v>170.01666666666665</v>
      </c>
      <c r="Q24" s="57">
        <f>OPEX!B25/12*(1+OPEX!C25)^(Q7-1)</f>
        <v>170.01666666666665</v>
      </c>
      <c r="R24" s="57">
        <f>OPEX!B25/12*(1+OPEX!C25)^(R7-1)</f>
        <v>170.01666666666665</v>
      </c>
      <c r="S24" s="57">
        <f>OPEX!B25/12*(1+OPEX!C25)^(S7-1)</f>
        <v>170.01666666666665</v>
      </c>
      <c r="T24" s="57">
        <f>OPEX!B25/12*(1+OPEX!C25)^(T7-1)</f>
        <v>170.01666666666665</v>
      </c>
      <c r="U24" s="57">
        <f>OPEX!B25/12*(1+OPEX!C25)^(U7-1)</f>
        <v>170.01666666666665</v>
      </c>
      <c r="V24" s="57">
        <f>OPEX!B25/12*(1+OPEX!C25)^(V7-1)</f>
        <v>170.01666666666665</v>
      </c>
      <c r="W24" s="57">
        <f>OPEX!B25/12*(1+OPEX!C25)^(W7-1)</f>
        <v>170.01666666666665</v>
      </c>
      <c r="X24" s="57">
        <f>OPEX!B25/12*(1+OPEX!C25)^(X7-1)</f>
        <v>170.01666666666665</v>
      </c>
      <c r="Y24" s="57">
        <f>OPEX!B25/12*(1+OPEX!C25)^(Y7-1)</f>
        <v>170.01666666666665</v>
      </c>
      <c r="Z24" s="57">
        <f>OPEX!B25/12*(1+OPEX!C25)^(Z7-1)</f>
        <v>170.01666666666665</v>
      </c>
      <c r="AA24" s="57">
        <f>OPEX!B25/12*(1+OPEX!C25)^(AA7-1)</f>
        <v>171.71683333333331</v>
      </c>
      <c r="AB24" s="57">
        <f>OPEX!B25/12*(1+OPEX!C25)^(AB7-1)</f>
        <v>171.71683333333331</v>
      </c>
      <c r="AC24" s="57">
        <f>OPEX!B25/12*(1+OPEX!C25)^(AC7-1)</f>
        <v>171.71683333333331</v>
      </c>
      <c r="AD24" s="57">
        <f>OPEX!B25/12*(1+OPEX!C25)^(AD7-1)</f>
        <v>171.71683333333331</v>
      </c>
      <c r="AE24" s="57">
        <f>OPEX!B25/12*(1+OPEX!C25)^(AE7-1)</f>
        <v>171.71683333333331</v>
      </c>
      <c r="AF24" s="57">
        <f>OPEX!B25/12*(1+OPEX!C25)^(AF7-1)</f>
        <v>171.71683333333331</v>
      </c>
      <c r="AG24" s="57">
        <f>OPEX!B25/12*(1+OPEX!C25)^(AG7-1)</f>
        <v>171.71683333333331</v>
      </c>
      <c r="AH24" s="57">
        <f>OPEX!B25/12*(1+OPEX!C25)^(AH7-1)</f>
        <v>171.71683333333331</v>
      </c>
      <c r="AI24" s="57">
        <f>OPEX!B25/12*(1+OPEX!C25)^(AI7-1)</f>
        <v>171.71683333333331</v>
      </c>
      <c r="AJ24" s="57">
        <f>OPEX!B25/12*(1+OPEX!C25)^(AJ7-1)</f>
        <v>171.71683333333331</v>
      </c>
      <c r="AK24" s="57">
        <f>OPEX!B25/12*(1+OPEX!C25)^(AK7-1)</f>
        <v>171.71683333333331</v>
      </c>
      <c r="AL24" s="57">
        <f>OPEX!B25/12*(1+OPEX!C25)^(AL7-1)</f>
        <v>171.71683333333331</v>
      </c>
      <c r="AM24" s="57">
        <f>OPEX!B25/12*(1+OPEX!C25)^(AM7-1)</f>
        <v>173.43400166666666</v>
      </c>
      <c r="AN24" s="57">
        <f>OPEX!B25/12*(1+OPEX!C25)^(AN7-1)</f>
        <v>173.43400166666666</v>
      </c>
      <c r="AO24" s="57">
        <f>OPEX!B25/12*(1+OPEX!C25)^(AO7-1)</f>
        <v>173.43400166666666</v>
      </c>
      <c r="AP24" s="57">
        <f>OPEX!B25/12*(1+OPEX!C25)^(AP7-1)</f>
        <v>173.43400166666666</v>
      </c>
      <c r="AQ24" s="57">
        <f>OPEX!B25/12*(1+OPEX!C25)^(AQ7-1)</f>
        <v>173.43400166666666</v>
      </c>
      <c r="AR24" s="57">
        <f>OPEX!B25/12*(1+OPEX!C25)^(AR7-1)</f>
        <v>173.43400166666666</v>
      </c>
      <c r="AS24" s="57">
        <f>OPEX!B25/12*(1+OPEX!C25)^(AS7-1)</f>
        <v>173.43400166666666</v>
      </c>
      <c r="AT24" s="57">
        <f>OPEX!B25/12*(1+OPEX!C25)^(AT7-1)</f>
        <v>173.43400166666666</v>
      </c>
      <c r="AU24" s="57">
        <f>OPEX!B25/12*(1+OPEX!C25)^(AU7-1)</f>
        <v>173.43400166666666</v>
      </c>
      <c r="AV24" s="57">
        <f>OPEX!B25/12*(1+OPEX!C25)^(AV7-1)</f>
        <v>173.43400166666666</v>
      </c>
      <c r="AW24" s="57">
        <f>OPEX!B25/12*(1+OPEX!C25)^(AW7-1)</f>
        <v>173.43400166666666</v>
      </c>
      <c r="AX24" s="57">
        <f>OPEX!B25/12*(1+OPEX!C25)^(AX7-1)</f>
        <v>173.43400166666666</v>
      </c>
      <c r="AY24" s="57">
        <f>OPEX!B25/12*(1+OPEX!C25)^(AY7-1)</f>
        <v>175.16834168333332</v>
      </c>
      <c r="AZ24" s="57">
        <f>OPEX!B25/12*(1+OPEX!C25)^(AZ7-1)</f>
        <v>175.16834168333332</v>
      </c>
      <c r="BA24" s="57">
        <f>OPEX!B25/12*(1+OPEX!C25)^(BA7-1)</f>
        <v>175.16834168333332</v>
      </c>
      <c r="BB24" s="57">
        <f>OPEX!B25/12*(1+OPEX!C25)^(BB7-1)</f>
        <v>175.16834168333332</v>
      </c>
      <c r="BC24" s="57">
        <f>OPEX!B25/12*(1+OPEX!C25)^(BC7-1)</f>
        <v>175.16834168333332</v>
      </c>
      <c r="BD24" s="57">
        <f>OPEX!B25/12*(1+OPEX!C25)^(BD7-1)</f>
        <v>175.16834168333332</v>
      </c>
      <c r="BE24" s="57">
        <f>OPEX!B25/12*(1+OPEX!C25)^(BE7-1)</f>
        <v>175.16834168333332</v>
      </c>
      <c r="BF24" s="57">
        <f>OPEX!B25/12*(1+OPEX!C25)^(BF7-1)</f>
        <v>175.16834168333332</v>
      </c>
      <c r="BG24" s="57">
        <f>OPEX!B25/12*(1+OPEX!C25)^(BG7-1)</f>
        <v>175.16834168333332</v>
      </c>
      <c r="BH24" s="57">
        <f>OPEX!B25/12*(1+OPEX!C25)^(BH7-1)</f>
        <v>175.16834168333332</v>
      </c>
      <c r="BI24" s="57">
        <f>OPEX!B25/12*(1+OPEX!C25)^(BI7-1)</f>
        <v>175.16834168333332</v>
      </c>
      <c r="BJ24" s="57">
        <f>OPEX!B25/12*(1+OPEX!C25)^(BJ7-1)</f>
        <v>175.16834168333332</v>
      </c>
      <c r="BK24" s="57">
        <f>OPEX!B25/12*(1+OPEX!C25)^(BK7-1)</f>
        <v>176.92002510016667</v>
      </c>
    </row>
    <row r="25" spans="1:63" ht="15" customHeight="1" x14ac:dyDescent="0.2">
      <c r="A25" s="26" t="s">
        <v>94</v>
      </c>
      <c r="B25" s="57">
        <f>OPEX!B26/12*(1+OPEX!C26)^(B7-1)</f>
        <v>1916.6666666666667</v>
      </c>
      <c r="C25" s="57">
        <f>OPEX!B26/12*(1+OPEX!C26)^(C7-1)</f>
        <v>1935.8333333333335</v>
      </c>
      <c r="D25" s="57">
        <f>OPEX!B26/12*(1+OPEX!C26)^(D7-1)</f>
        <v>1935.8333333333335</v>
      </c>
      <c r="E25" s="57">
        <f>OPEX!B26/12*(1+OPEX!C26)^(E7-1)</f>
        <v>1935.8333333333335</v>
      </c>
      <c r="F25" s="57">
        <f>OPEX!B26/12*(1+OPEX!C26)^(F7-1)</f>
        <v>1935.8333333333335</v>
      </c>
      <c r="G25" s="57">
        <f>OPEX!B26/12*(1+OPEX!C26)^(G7-1)</f>
        <v>1935.8333333333335</v>
      </c>
      <c r="H25" s="57">
        <f>OPEX!B26/12*(1+OPEX!C26)^(H7-1)</f>
        <v>1935.8333333333335</v>
      </c>
      <c r="I25" s="57">
        <f>OPEX!B26/12*(1+OPEX!C26)^(I7-1)</f>
        <v>1935.8333333333335</v>
      </c>
      <c r="J25" s="57">
        <f>OPEX!B26/12*(1+OPEX!C26)^(J7-1)</f>
        <v>1935.8333333333335</v>
      </c>
      <c r="K25" s="57">
        <f>OPEX!B26/12*(1+OPEX!C26)^(K7-1)</f>
        <v>1935.8333333333335</v>
      </c>
      <c r="L25" s="57">
        <f>OPEX!B26/12*(1+OPEX!C26)^(L7-1)</f>
        <v>1935.8333333333335</v>
      </c>
      <c r="M25" s="57">
        <f>OPEX!B26/12*(1+OPEX!C26)^(M7-1)</f>
        <v>1935.8333333333335</v>
      </c>
      <c r="N25" s="57">
        <f>OPEX!B26/12*(1+OPEX!C26)^(N7-1)</f>
        <v>1935.8333333333335</v>
      </c>
      <c r="O25" s="57">
        <f>OPEX!B26/12*(1+OPEX!C26)^(O7-1)</f>
        <v>1955.1916666666668</v>
      </c>
      <c r="P25" s="57">
        <f>OPEX!B26/12*(1+OPEX!C26)^(P7-1)</f>
        <v>1955.1916666666668</v>
      </c>
      <c r="Q25" s="57">
        <f>OPEX!B26/12*(1+OPEX!C26)^(Q7-1)</f>
        <v>1955.1916666666668</v>
      </c>
      <c r="R25" s="57">
        <f>OPEX!B26/12*(1+OPEX!C26)^(R7-1)</f>
        <v>1955.1916666666668</v>
      </c>
      <c r="S25" s="57">
        <f>OPEX!B26/12*(1+OPEX!C26)^(S7-1)</f>
        <v>1955.1916666666668</v>
      </c>
      <c r="T25" s="57">
        <f>OPEX!B26/12*(1+OPEX!C26)^(T7-1)</f>
        <v>1955.1916666666668</v>
      </c>
      <c r="U25" s="57">
        <f>OPEX!B26/12*(1+OPEX!C26)^(U7-1)</f>
        <v>1955.1916666666668</v>
      </c>
      <c r="V25" s="57">
        <f>OPEX!B26/12*(1+OPEX!C26)^(V7-1)</f>
        <v>1955.1916666666668</v>
      </c>
      <c r="W25" s="57">
        <f>OPEX!B26/12*(1+OPEX!C26)^(W7-1)</f>
        <v>1955.1916666666668</v>
      </c>
      <c r="X25" s="57">
        <f>OPEX!B26/12*(1+OPEX!C26)^(X7-1)</f>
        <v>1955.1916666666668</v>
      </c>
      <c r="Y25" s="57">
        <f>OPEX!B26/12*(1+OPEX!C26)^(Y7-1)</f>
        <v>1955.1916666666668</v>
      </c>
      <c r="Z25" s="57">
        <f>OPEX!B26/12*(1+OPEX!C26)^(Z7-1)</f>
        <v>1955.1916666666668</v>
      </c>
      <c r="AA25" s="57">
        <f>OPEX!B26/12*(1+OPEX!C26)^(AA7-1)</f>
        <v>1974.7435833333332</v>
      </c>
      <c r="AB25" s="57">
        <f>OPEX!B26/12*(1+OPEX!C26)^(AB7-1)</f>
        <v>1974.7435833333332</v>
      </c>
      <c r="AC25" s="57">
        <f>OPEX!B26/12*(1+OPEX!C26)^(AC7-1)</f>
        <v>1974.7435833333332</v>
      </c>
      <c r="AD25" s="57">
        <f>OPEX!B26/12*(1+OPEX!C26)^(AD7-1)</f>
        <v>1974.7435833333332</v>
      </c>
      <c r="AE25" s="57">
        <f>OPEX!B26/12*(1+OPEX!C26)^(AE7-1)</f>
        <v>1974.7435833333332</v>
      </c>
      <c r="AF25" s="57">
        <f>OPEX!B26/12*(1+OPEX!C26)^(AF7-1)</f>
        <v>1974.7435833333332</v>
      </c>
      <c r="AG25" s="57">
        <f>OPEX!B26/12*(1+OPEX!C26)^(AG7-1)</f>
        <v>1974.7435833333332</v>
      </c>
      <c r="AH25" s="57">
        <f>OPEX!B26/12*(1+OPEX!C26)^(AH7-1)</f>
        <v>1974.7435833333332</v>
      </c>
      <c r="AI25" s="57">
        <f>OPEX!B26/12*(1+OPEX!C26)^(AI7-1)</f>
        <v>1974.7435833333332</v>
      </c>
      <c r="AJ25" s="57">
        <f>OPEX!B26/12*(1+OPEX!C26)^(AJ7-1)</f>
        <v>1974.7435833333332</v>
      </c>
      <c r="AK25" s="57">
        <f>OPEX!B26/12*(1+OPEX!C26)^(AK7-1)</f>
        <v>1974.7435833333332</v>
      </c>
      <c r="AL25" s="57">
        <f>OPEX!B26/12*(1+OPEX!C26)^(AL7-1)</f>
        <v>1974.7435833333332</v>
      </c>
      <c r="AM25" s="57">
        <f>OPEX!B26/12*(1+OPEX!C26)^(AM7-1)</f>
        <v>1994.4910191666668</v>
      </c>
      <c r="AN25" s="57">
        <f>OPEX!B26/12*(1+OPEX!C26)^(AN7-1)</f>
        <v>1994.4910191666668</v>
      </c>
      <c r="AO25" s="57">
        <f>OPEX!B26/12*(1+OPEX!C26)^(AO7-1)</f>
        <v>1994.4910191666668</v>
      </c>
      <c r="AP25" s="57">
        <f>OPEX!B26/12*(1+OPEX!C26)^(AP7-1)</f>
        <v>1994.4910191666668</v>
      </c>
      <c r="AQ25" s="57">
        <f>OPEX!B26/12*(1+OPEX!C26)^(AQ7-1)</f>
        <v>1994.4910191666668</v>
      </c>
      <c r="AR25" s="57">
        <f>OPEX!B26/12*(1+OPEX!C26)^(AR7-1)</f>
        <v>1994.4910191666668</v>
      </c>
      <c r="AS25" s="57">
        <f>OPEX!B26/12*(1+OPEX!C26)^(AS7-1)</f>
        <v>1994.4910191666668</v>
      </c>
      <c r="AT25" s="57">
        <f>OPEX!B26/12*(1+OPEX!C26)^(AT7-1)</f>
        <v>1994.4910191666668</v>
      </c>
      <c r="AU25" s="57">
        <f>OPEX!B26/12*(1+OPEX!C26)^(AU7-1)</f>
        <v>1994.4910191666668</v>
      </c>
      <c r="AV25" s="57">
        <f>OPEX!B26/12*(1+OPEX!C26)^(AV7-1)</f>
        <v>1994.4910191666668</v>
      </c>
      <c r="AW25" s="57">
        <f>OPEX!B26/12*(1+OPEX!C26)^(AW7-1)</f>
        <v>1994.4910191666668</v>
      </c>
      <c r="AX25" s="57">
        <f>OPEX!B26/12*(1+OPEX!C26)^(AX7-1)</f>
        <v>1994.4910191666668</v>
      </c>
      <c r="AY25" s="57">
        <f>OPEX!B26/12*(1+OPEX!C26)^(AY7-1)</f>
        <v>2014.4359293583332</v>
      </c>
      <c r="AZ25" s="57">
        <f>OPEX!B26/12*(1+OPEX!C26)^(AZ7-1)</f>
        <v>2014.4359293583332</v>
      </c>
      <c r="BA25" s="57">
        <f>OPEX!B26/12*(1+OPEX!C26)^(BA7-1)</f>
        <v>2014.4359293583332</v>
      </c>
      <c r="BB25" s="57">
        <f>OPEX!B26/12*(1+OPEX!C26)^(BB7-1)</f>
        <v>2014.4359293583332</v>
      </c>
      <c r="BC25" s="57">
        <f>OPEX!B26/12*(1+OPEX!C26)^(BC7-1)</f>
        <v>2014.4359293583332</v>
      </c>
      <c r="BD25" s="57">
        <f>OPEX!B26/12*(1+OPEX!C26)^(BD7-1)</f>
        <v>2014.4359293583332</v>
      </c>
      <c r="BE25" s="57">
        <f>OPEX!B26/12*(1+OPEX!C26)^(BE7-1)</f>
        <v>2014.4359293583332</v>
      </c>
      <c r="BF25" s="57">
        <f>OPEX!B26/12*(1+OPEX!C26)^(BF7-1)</f>
        <v>2014.4359293583332</v>
      </c>
      <c r="BG25" s="57">
        <f>OPEX!B26/12*(1+OPEX!C26)^(BG7-1)</f>
        <v>2014.4359293583332</v>
      </c>
      <c r="BH25" s="57">
        <f>OPEX!B26/12*(1+OPEX!C26)^(BH7-1)</f>
        <v>2014.4359293583332</v>
      </c>
      <c r="BI25" s="57">
        <f>OPEX!B26/12*(1+OPEX!C26)^(BI7-1)</f>
        <v>2014.4359293583332</v>
      </c>
      <c r="BJ25" s="57">
        <f>OPEX!B26/12*(1+OPEX!C26)^(BJ7-1)</f>
        <v>2014.4359293583332</v>
      </c>
      <c r="BK25" s="57">
        <f>OPEX!B26/12*(1+OPEX!C26)^(BK7-1)</f>
        <v>2034.580288651917</v>
      </c>
    </row>
    <row r="26" spans="1:63" ht="15" customHeight="1" x14ac:dyDescent="0.2">
      <c r="A26" s="26" t="s">
        <v>95</v>
      </c>
      <c r="B26" s="57">
        <f>OPEX!B27/12*(1+OPEX!C27)^(B7-1)</f>
        <v>1916.6666666666667</v>
      </c>
      <c r="C26" s="57">
        <f>OPEX!B27/12*(1+OPEX!C27)^(C7-1)</f>
        <v>1935.8333333333335</v>
      </c>
      <c r="D26" s="57">
        <f>OPEX!B27/12*(1+OPEX!C27)^(D7-1)</f>
        <v>1935.8333333333335</v>
      </c>
      <c r="E26" s="57">
        <f>OPEX!B27/12*(1+OPEX!C27)^(E7-1)</f>
        <v>1935.8333333333335</v>
      </c>
      <c r="F26" s="57">
        <f>OPEX!B27/12*(1+OPEX!C27)^(F7-1)</f>
        <v>1935.8333333333335</v>
      </c>
      <c r="G26" s="57">
        <f>OPEX!B27/12*(1+OPEX!C27)^(G7-1)</f>
        <v>1935.8333333333335</v>
      </c>
      <c r="H26" s="57">
        <f>OPEX!B27/12*(1+OPEX!C27)^(H7-1)</f>
        <v>1935.8333333333335</v>
      </c>
      <c r="I26" s="57">
        <f>OPEX!B27/12*(1+OPEX!C27)^(I7-1)</f>
        <v>1935.8333333333335</v>
      </c>
      <c r="J26" s="57">
        <f>OPEX!B27/12*(1+OPEX!C27)^(J7-1)</f>
        <v>1935.8333333333335</v>
      </c>
      <c r="K26" s="57">
        <f>OPEX!B27/12*(1+OPEX!C27)^(K7-1)</f>
        <v>1935.8333333333335</v>
      </c>
      <c r="L26" s="57">
        <f>OPEX!B27/12*(1+OPEX!C27)^(L7-1)</f>
        <v>1935.8333333333335</v>
      </c>
      <c r="M26" s="57">
        <f>OPEX!B27/12*(1+OPEX!C27)^(M7-1)</f>
        <v>1935.8333333333335</v>
      </c>
      <c r="N26" s="57">
        <f>OPEX!B27/12*(1+OPEX!C27)^(N7-1)</f>
        <v>1935.8333333333335</v>
      </c>
      <c r="O26" s="57">
        <f>OPEX!B27/12*(1+OPEX!C27)^(O7-1)</f>
        <v>1955.1916666666668</v>
      </c>
      <c r="P26" s="57">
        <f>OPEX!B27/12*(1+OPEX!C27)^(P7-1)</f>
        <v>1955.1916666666668</v>
      </c>
      <c r="Q26" s="57">
        <f>OPEX!B27/12*(1+OPEX!C27)^(Q7-1)</f>
        <v>1955.1916666666668</v>
      </c>
      <c r="R26" s="57">
        <f>OPEX!B27/12*(1+OPEX!C27)^(R7-1)</f>
        <v>1955.1916666666668</v>
      </c>
      <c r="S26" s="57">
        <f>OPEX!B27/12*(1+OPEX!C27)^(S7-1)</f>
        <v>1955.1916666666668</v>
      </c>
      <c r="T26" s="57">
        <f>OPEX!B27/12*(1+OPEX!C27)^(T7-1)</f>
        <v>1955.1916666666668</v>
      </c>
      <c r="U26" s="57">
        <f>OPEX!B27/12*(1+OPEX!C27)^(U7-1)</f>
        <v>1955.1916666666668</v>
      </c>
      <c r="V26" s="57">
        <f>OPEX!B27/12*(1+OPEX!C27)^(V7-1)</f>
        <v>1955.1916666666668</v>
      </c>
      <c r="W26" s="57">
        <f>OPEX!B27/12*(1+OPEX!C27)^(W7-1)</f>
        <v>1955.1916666666668</v>
      </c>
      <c r="X26" s="57">
        <f>OPEX!B27/12*(1+OPEX!C27)^(X7-1)</f>
        <v>1955.1916666666668</v>
      </c>
      <c r="Y26" s="57">
        <f>OPEX!B27/12*(1+OPEX!C27)^(Y7-1)</f>
        <v>1955.1916666666668</v>
      </c>
      <c r="Z26" s="57">
        <f>OPEX!B27/12*(1+OPEX!C27)^(Z7-1)</f>
        <v>1955.1916666666668</v>
      </c>
      <c r="AA26" s="57">
        <f>OPEX!B27/12*(1+OPEX!C27)^(AA7-1)</f>
        <v>1974.7435833333332</v>
      </c>
      <c r="AB26" s="57">
        <f>OPEX!B27/12*(1+OPEX!C27)^(AB7-1)</f>
        <v>1974.7435833333332</v>
      </c>
      <c r="AC26" s="57">
        <f>OPEX!B27/12*(1+OPEX!C27)^(AC7-1)</f>
        <v>1974.7435833333332</v>
      </c>
      <c r="AD26" s="57">
        <f>OPEX!B27/12*(1+OPEX!C27)^(AD7-1)</f>
        <v>1974.7435833333332</v>
      </c>
      <c r="AE26" s="57">
        <f>OPEX!B27/12*(1+OPEX!C27)^(AE7-1)</f>
        <v>1974.7435833333332</v>
      </c>
      <c r="AF26" s="57">
        <f>OPEX!B27/12*(1+OPEX!C27)^(AF7-1)</f>
        <v>1974.7435833333332</v>
      </c>
      <c r="AG26" s="57">
        <f>OPEX!B27/12*(1+OPEX!C27)^(AG7-1)</f>
        <v>1974.7435833333332</v>
      </c>
      <c r="AH26" s="57">
        <f>OPEX!B27/12*(1+OPEX!C27)^(AH7-1)</f>
        <v>1974.7435833333332</v>
      </c>
      <c r="AI26" s="57">
        <f>OPEX!B27/12*(1+OPEX!C27)^(AI7-1)</f>
        <v>1974.7435833333332</v>
      </c>
      <c r="AJ26" s="57">
        <f>OPEX!B27/12*(1+OPEX!C27)^(AJ7-1)</f>
        <v>1974.7435833333332</v>
      </c>
      <c r="AK26" s="57">
        <f>OPEX!B27/12*(1+OPEX!C27)^(AK7-1)</f>
        <v>1974.7435833333332</v>
      </c>
      <c r="AL26" s="57">
        <f>OPEX!B27/12*(1+OPEX!C27)^(AL7-1)</f>
        <v>1974.7435833333332</v>
      </c>
      <c r="AM26" s="57">
        <f>OPEX!B27/12*(1+OPEX!C27)^(AM7-1)</f>
        <v>1994.4910191666668</v>
      </c>
      <c r="AN26" s="57">
        <f>OPEX!B27/12*(1+OPEX!C27)^(AN7-1)</f>
        <v>1994.4910191666668</v>
      </c>
      <c r="AO26" s="57">
        <f>OPEX!B27/12*(1+OPEX!C27)^(AO7-1)</f>
        <v>1994.4910191666668</v>
      </c>
      <c r="AP26" s="57">
        <f>OPEX!B27/12*(1+OPEX!C27)^(AP7-1)</f>
        <v>1994.4910191666668</v>
      </c>
      <c r="AQ26" s="57">
        <f>OPEX!B27/12*(1+OPEX!C27)^(AQ7-1)</f>
        <v>1994.4910191666668</v>
      </c>
      <c r="AR26" s="57">
        <f>OPEX!B27/12*(1+OPEX!C27)^(AR7-1)</f>
        <v>1994.4910191666668</v>
      </c>
      <c r="AS26" s="57">
        <f>OPEX!B27/12*(1+OPEX!C27)^(AS7-1)</f>
        <v>1994.4910191666668</v>
      </c>
      <c r="AT26" s="57">
        <f>OPEX!B27/12*(1+OPEX!C27)^(AT7-1)</f>
        <v>1994.4910191666668</v>
      </c>
      <c r="AU26" s="57">
        <f>OPEX!B27/12*(1+OPEX!C27)^(AU7-1)</f>
        <v>1994.4910191666668</v>
      </c>
      <c r="AV26" s="57">
        <f>OPEX!B27/12*(1+OPEX!C27)^(AV7-1)</f>
        <v>1994.4910191666668</v>
      </c>
      <c r="AW26" s="57">
        <f>OPEX!B27/12*(1+OPEX!C27)^(AW7-1)</f>
        <v>1994.4910191666668</v>
      </c>
      <c r="AX26" s="57">
        <f>OPEX!B27/12*(1+OPEX!C27)^(AX7-1)</f>
        <v>1994.4910191666668</v>
      </c>
      <c r="AY26" s="57">
        <f>OPEX!B27/12*(1+OPEX!C27)^(AY7-1)</f>
        <v>2014.4359293583332</v>
      </c>
      <c r="AZ26" s="57">
        <f>OPEX!B27/12*(1+OPEX!C27)^(AZ7-1)</f>
        <v>2014.4359293583332</v>
      </c>
      <c r="BA26" s="57">
        <f>OPEX!B27/12*(1+OPEX!C27)^(BA7-1)</f>
        <v>2014.4359293583332</v>
      </c>
      <c r="BB26" s="57">
        <f>OPEX!B27/12*(1+OPEX!C27)^(BB7-1)</f>
        <v>2014.4359293583332</v>
      </c>
      <c r="BC26" s="57">
        <f>OPEX!B27/12*(1+OPEX!C27)^(BC7-1)</f>
        <v>2014.4359293583332</v>
      </c>
      <c r="BD26" s="57">
        <f>OPEX!B27/12*(1+OPEX!C27)^(BD7-1)</f>
        <v>2014.4359293583332</v>
      </c>
      <c r="BE26" s="57">
        <f>OPEX!B27/12*(1+OPEX!C27)^(BE7-1)</f>
        <v>2014.4359293583332</v>
      </c>
      <c r="BF26" s="57">
        <f>OPEX!B27/12*(1+OPEX!C27)^(BF7-1)</f>
        <v>2014.4359293583332</v>
      </c>
      <c r="BG26" s="57">
        <f>OPEX!B27/12*(1+OPEX!C27)^(BG7-1)</f>
        <v>2014.4359293583332</v>
      </c>
      <c r="BH26" s="57">
        <f>OPEX!B27/12*(1+OPEX!C27)^(BH7-1)</f>
        <v>2014.4359293583332</v>
      </c>
      <c r="BI26" s="57">
        <f>OPEX!B27/12*(1+OPEX!C27)^(BI7-1)</f>
        <v>2014.4359293583332</v>
      </c>
      <c r="BJ26" s="57">
        <f>OPEX!B27/12*(1+OPEX!C27)^(BJ7-1)</f>
        <v>2014.4359293583332</v>
      </c>
      <c r="BK26" s="57">
        <f>OPEX!B27/12*(1+OPEX!C27)^(BK7-1)</f>
        <v>2034.580288651917</v>
      </c>
    </row>
    <row r="27" spans="1:63" ht="15" customHeight="1" x14ac:dyDescent="0.2">
      <c r="A27" s="26" t="s">
        <v>96</v>
      </c>
      <c r="B27" s="57">
        <f>OPEX!B28/12*(1+OPEX!C28)^(B7-1)</f>
        <v>637.5</v>
      </c>
      <c r="C27" s="57">
        <f>OPEX!B28/12*(1+OPEX!C28)^(C7-1)</f>
        <v>643.875</v>
      </c>
      <c r="D27" s="57">
        <f>OPEX!B28/12*(1+OPEX!C28)^(D7-1)</f>
        <v>643.875</v>
      </c>
      <c r="E27" s="57">
        <f>OPEX!B28/12*(1+OPEX!C28)^(E7-1)</f>
        <v>643.875</v>
      </c>
      <c r="F27" s="57">
        <f>OPEX!B28/12*(1+OPEX!C28)^(F7-1)</f>
        <v>643.875</v>
      </c>
      <c r="G27" s="57">
        <f>OPEX!B28/12*(1+OPEX!C28)^(G7-1)</f>
        <v>643.875</v>
      </c>
      <c r="H27" s="57">
        <f>OPEX!B28/12*(1+OPEX!C28)^(H7-1)</f>
        <v>643.875</v>
      </c>
      <c r="I27" s="57">
        <f>OPEX!B28/12*(1+OPEX!C28)^(I7-1)</f>
        <v>643.875</v>
      </c>
      <c r="J27" s="57">
        <f>OPEX!B28/12*(1+OPEX!C28)^(J7-1)</f>
        <v>643.875</v>
      </c>
      <c r="K27" s="57">
        <f>OPEX!B28/12*(1+OPEX!C28)^(K7-1)</f>
        <v>643.875</v>
      </c>
      <c r="L27" s="57">
        <f>OPEX!B28/12*(1+OPEX!C28)^(L7-1)</f>
        <v>643.875</v>
      </c>
      <c r="M27" s="57">
        <f>OPEX!B28/12*(1+OPEX!C28)^(M7-1)</f>
        <v>643.875</v>
      </c>
      <c r="N27" s="57">
        <f>OPEX!B28/12*(1+OPEX!C28)^(N7-1)</f>
        <v>643.875</v>
      </c>
      <c r="O27" s="57">
        <f>OPEX!B28/12*(1+OPEX!C28)^(O7-1)</f>
        <v>650.31375000000003</v>
      </c>
      <c r="P27" s="57">
        <f>OPEX!B28/12*(1+OPEX!C28)^(P7-1)</f>
        <v>650.31375000000003</v>
      </c>
      <c r="Q27" s="57">
        <f>OPEX!B28/12*(1+OPEX!C28)^(Q7-1)</f>
        <v>650.31375000000003</v>
      </c>
      <c r="R27" s="57">
        <f>OPEX!B28/12*(1+OPEX!C28)^(R7-1)</f>
        <v>650.31375000000003</v>
      </c>
      <c r="S27" s="57">
        <f>OPEX!B28/12*(1+OPEX!C28)^(S7-1)</f>
        <v>650.31375000000003</v>
      </c>
      <c r="T27" s="57">
        <f>OPEX!B28/12*(1+OPEX!C28)^(T7-1)</f>
        <v>650.31375000000003</v>
      </c>
      <c r="U27" s="57">
        <f>OPEX!B28/12*(1+OPEX!C28)^(U7-1)</f>
        <v>650.31375000000003</v>
      </c>
      <c r="V27" s="57">
        <f>OPEX!B28/12*(1+OPEX!C28)^(V7-1)</f>
        <v>650.31375000000003</v>
      </c>
      <c r="W27" s="57">
        <f>OPEX!B28/12*(1+OPEX!C28)^(W7-1)</f>
        <v>650.31375000000003</v>
      </c>
      <c r="X27" s="57">
        <f>OPEX!B28/12*(1+OPEX!C28)^(X7-1)</f>
        <v>650.31375000000003</v>
      </c>
      <c r="Y27" s="57">
        <f>OPEX!B28/12*(1+OPEX!C28)^(Y7-1)</f>
        <v>650.31375000000003</v>
      </c>
      <c r="Z27" s="57">
        <f>OPEX!B28/12*(1+OPEX!C28)^(Z7-1)</f>
        <v>650.31375000000003</v>
      </c>
      <c r="AA27" s="57">
        <f>OPEX!B28/12*(1+OPEX!C28)^(AA7-1)</f>
        <v>656.81688749999989</v>
      </c>
      <c r="AB27" s="57">
        <f>OPEX!B28/12*(1+OPEX!C28)^(AB7-1)</f>
        <v>656.81688749999989</v>
      </c>
      <c r="AC27" s="57">
        <f>OPEX!B28/12*(1+OPEX!C28)^(AC7-1)</f>
        <v>656.81688749999989</v>
      </c>
      <c r="AD27" s="57">
        <f>OPEX!B28/12*(1+OPEX!C28)^(AD7-1)</f>
        <v>656.81688749999989</v>
      </c>
      <c r="AE27" s="57">
        <f>OPEX!B28/12*(1+OPEX!C28)^(AE7-1)</f>
        <v>656.81688749999989</v>
      </c>
      <c r="AF27" s="57">
        <f>OPEX!B28/12*(1+OPEX!C28)^(AF7-1)</f>
        <v>656.81688749999989</v>
      </c>
      <c r="AG27" s="57">
        <f>OPEX!B28/12*(1+OPEX!C28)^(AG7-1)</f>
        <v>656.81688749999989</v>
      </c>
      <c r="AH27" s="57">
        <f>OPEX!B28/12*(1+OPEX!C28)^(AH7-1)</f>
        <v>656.81688749999989</v>
      </c>
      <c r="AI27" s="57">
        <f>OPEX!B28/12*(1+OPEX!C28)^(AI7-1)</f>
        <v>656.81688749999989</v>
      </c>
      <c r="AJ27" s="57">
        <f>OPEX!B28/12*(1+OPEX!C28)^(AJ7-1)</f>
        <v>656.81688749999989</v>
      </c>
      <c r="AK27" s="57">
        <f>OPEX!B28/12*(1+OPEX!C28)^(AK7-1)</f>
        <v>656.81688749999989</v>
      </c>
      <c r="AL27" s="57">
        <f>OPEX!B28/12*(1+OPEX!C28)^(AL7-1)</f>
        <v>656.81688749999989</v>
      </c>
      <c r="AM27" s="57">
        <f>OPEX!B28/12*(1+OPEX!C28)^(AM7-1)</f>
        <v>663.38505637499998</v>
      </c>
      <c r="AN27" s="57">
        <f>OPEX!B28/12*(1+OPEX!C28)^(AN7-1)</f>
        <v>663.38505637499998</v>
      </c>
      <c r="AO27" s="57">
        <f>OPEX!B28/12*(1+OPEX!C28)^(AO7-1)</f>
        <v>663.38505637499998</v>
      </c>
      <c r="AP27" s="57">
        <f>OPEX!B28/12*(1+OPEX!C28)^(AP7-1)</f>
        <v>663.38505637499998</v>
      </c>
      <c r="AQ27" s="57">
        <f>OPEX!B28/12*(1+OPEX!C28)^(AQ7-1)</f>
        <v>663.38505637499998</v>
      </c>
      <c r="AR27" s="57">
        <f>OPEX!B28/12*(1+OPEX!C28)^(AR7-1)</f>
        <v>663.38505637499998</v>
      </c>
      <c r="AS27" s="57">
        <f>OPEX!B28/12*(1+OPEX!C28)^(AS7-1)</f>
        <v>663.38505637499998</v>
      </c>
      <c r="AT27" s="57">
        <f>OPEX!B28/12*(1+OPEX!C28)^(AT7-1)</f>
        <v>663.38505637499998</v>
      </c>
      <c r="AU27" s="57">
        <f>OPEX!B28/12*(1+OPEX!C28)^(AU7-1)</f>
        <v>663.38505637499998</v>
      </c>
      <c r="AV27" s="57">
        <f>OPEX!B28/12*(1+OPEX!C28)^(AV7-1)</f>
        <v>663.38505637499998</v>
      </c>
      <c r="AW27" s="57">
        <f>OPEX!B28/12*(1+OPEX!C28)^(AW7-1)</f>
        <v>663.38505637499998</v>
      </c>
      <c r="AX27" s="57">
        <f>OPEX!B28/12*(1+OPEX!C28)^(AX7-1)</f>
        <v>663.38505637499998</v>
      </c>
      <c r="AY27" s="57">
        <f>OPEX!B28/12*(1+OPEX!C28)^(AY7-1)</f>
        <v>670.01890693874998</v>
      </c>
      <c r="AZ27" s="57">
        <f>OPEX!B28/12*(1+OPEX!C28)^(AZ7-1)</f>
        <v>670.01890693874998</v>
      </c>
      <c r="BA27" s="57">
        <f>OPEX!B28/12*(1+OPEX!C28)^(BA7-1)</f>
        <v>670.01890693874998</v>
      </c>
      <c r="BB27" s="57">
        <f>OPEX!B28/12*(1+OPEX!C28)^(BB7-1)</f>
        <v>670.01890693874998</v>
      </c>
      <c r="BC27" s="57">
        <f>OPEX!B28/12*(1+OPEX!C28)^(BC7-1)</f>
        <v>670.01890693874998</v>
      </c>
      <c r="BD27" s="57">
        <f>OPEX!B28/12*(1+OPEX!C28)^(BD7-1)</f>
        <v>670.01890693874998</v>
      </c>
      <c r="BE27" s="57">
        <f>OPEX!B28/12*(1+OPEX!C28)^(BE7-1)</f>
        <v>670.01890693874998</v>
      </c>
      <c r="BF27" s="57">
        <f>OPEX!B28/12*(1+OPEX!C28)^(BF7-1)</f>
        <v>670.01890693874998</v>
      </c>
      <c r="BG27" s="57">
        <f>OPEX!B28/12*(1+OPEX!C28)^(BG7-1)</f>
        <v>670.01890693874998</v>
      </c>
      <c r="BH27" s="57">
        <f>OPEX!B28/12*(1+OPEX!C28)^(BH7-1)</f>
        <v>670.01890693874998</v>
      </c>
      <c r="BI27" s="57">
        <f>OPEX!B28/12*(1+OPEX!C28)^(BI7-1)</f>
        <v>670.01890693874998</v>
      </c>
      <c r="BJ27" s="57">
        <f>OPEX!B28/12*(1+OPEX!C28)^(BJ7-1)</f>
        <v>670.01890693874998</v>
      </c>
      <c r="BK27" s="57">
        <f>OPEX!B28/12*(1+OPEX!C28)^(BK7-1)</f>
        <v>676.71909600813763</v>
      </c>
    </row>
    <row r="28" spans="1:63" ht="15" customHeight="1" x14ac:dyDescent="0.2">
      <c r="A28" s="26" t="s">
        <v>97</v>
      </c>
      <c r="B28" s="57">
        <f>OPEX!B29/12*(1+OPEX!C29)^(B7-1)</f>
        <v>750</v>
      </c>
      <c r="C28" s="57">
        <f>OPEX!B29/12*(1+OPEX!C29)^(C7-1)</f>
        <v>757.5</v>
      </c>
      <c r="D28" s="57">
        <f>OPEX!B29/12*(1+OPEX!C29)^(D7-1)</f>
        <v>757.5</v>
      </c>
      <c r="E28" s="57">
        <f>OPEX!B29/12*(1+OPEX!C29)^(E7-1)</f>
        <v>757.5</v>
      </c>
      <c r="F28" s="57">
        <f>OPEX!B29/12*(1+OPEX!C29)^(F7-1)</f>
        <v>757.5</v>
      </c>
      <c r="G28" s="57">
        <f>OPEX!B29/12*(1+OPEX!C29)^(G7-1)</f>
        <v>757.5</v>
      </c>
      <c r="H28" s="57">
        <f>OPEX!B29/12*(1+OPEX!C29)^(H7-1)</f>
        <v>757.5</v>
      </c>
      <c r="I28" s="57">
        <f>OPEX!B29/12*(1+OPEX!C29)^(I7-1)</f>
        <v>757.5</v>
      </c>
      <c r="J28" s="57">
        <f>OPEX!B29/12*(1+OPEX!C29)^(J7-1)</f>
        <v>757.5</v>
      </c>
      <c r="K28" s="57">
        <f>OPEX!B29/12*(1+OPEX!C29)^(K7-1)</f>
        <v>757.5</v>
      </c>
      <c r="L28" s="57">
        <f>OPEX!B29/12*(1+OPEX!C29)^(L7-1)</f>
        <v>757.5</v>
      </c>
      <c r="M28" s="57">
        <f>OPEX!B29/12*(1+OPEX!C29)^(M7-1)</f>
        <v>757.5</v>
      </c>
      <c r="N28" s="57">
        <f>OPEX!B29/12*(1+OPEX!C29)^(N7-1)</f>
        <v>757.5</v>
      </c>
      <c r="O28" s="57">
        <f>OPEX!B29/12*(1+OPEX!C29)^(O7-1)</f>
        <v>765.07500000000005</v>
      </c>
      <c r="P28" s="57">
        <f>OPEX!B29/12*(1+OPEX!C29)^(P7-1)</f>
        <v>765.07500000000005</v>
      </c>
      <c r="Q28" s="57">
        <f>OPEX!B29/12*(1+OPEX!C29)^(Q7-1)</f>
        <v>765.07500000000005</v>
      </c>
      <c r="R28" s="57">
        <f>OPEX!B29/12*(1+OPEX!C29)^(R7-1)</f>
        <v>765.07500000000005</v>
      </c>
      <c r="S28" s="57">
        <f>OPEX!B29/12*(1+OPEX!C29)^(S7-1)</f>
        <v>765.07500000000005</v>
      </c>
      <c r="T28" s="57">
        <f>OPEX!B29/12*(1+OPEX!C29)^(T7-1)</f>
        <v>765.07500000000005</v>
      </c>
      <c r="U28" s="57">
        <f>OPEX!B29/12*(1+OPEX!C29)^(U7-1)</f>
        <v>765.07500000000005</v>
      </c>
      <c r="V28" s="57">
        <f>OPEX!B29/12*(1+OPEX!C29)^(V7-1)</f>
        <v>765.07500000000005</v>
      </c>
      <c r="W28" s="57">
        <f>OPEX!B29/12*(1+OPEX!C29)^(W7-1)</f>
        <v>765.07500000000005</v>
      </c>
      <c r="X28" s="57">
        <f>OPEX!B29/12*(1+OPEX!C29)^(X7-1)</f>
        <v>765.07500000000005</v>
      </c>
      <c r="Y28" s="57">
        <f>OPEX!B29/12*(1+OPEX!C29)^(Y7-1)</f>
        <v>765.07500000000005</v>
      </c>
      <c r="Z28" s="57">
        <f>OPEX!B29/12*(1+OPEX!C29)^(Z7-1)</f>
        <v>765.07500000000005</v>
      </c>
      <c r="AA28" s="57">
        <f>OPEX!B29/12*(1+OPEX!C29)^(AA7-1)</f>
        <v>772.72574999999995</v>
      </c>
      <c r="AB28" s="57">
        <f>OPEX!B29/12*(1+OPEX!C29)^(AB7-1)</f>
        <v>772.72574999999995</v>
      </c>
      <c r="AC28" s="57">
        <f>OPEX!B29/12*(1+OPEX!C29)^(AC7-1)</f>
        <v>772.72574999999995</v>
      </c>
      <c r="AD28" s="57">
        <f>OPEX!B29/12*(1+OPEX!C29)^(AD7-1)</f>
        <v>772.72574999999995</v>
      </c>
      <c r="AE28" s="57">
        <f>OPEX!B29/12*(1+OPEX!C29)^(AE7-1)</f>
        <v>772.72574999999995</v>
      </c>
      <c r="AF28" s="57">
        <f>OPEX!B29/12*(1+OPEX!C29)^(AF7-1)</f>
        <v>772.72574999999995</v>
      </c>
      <c r="AG28" s="57">
        <f>OPEX!B29/12*(1+OPEX!C29)^(AG7-1)</f>
        <v>772.72574999999995</v>
      </c>
      <c r="AH28" s="57">
        <f>OPEX!B29/12*(1+OPEX!C29)^(AH7-1)</f>
        <v>772.72574999999995</v>
      </c>
      <c r="AI28" s="57">
        <f>OPEX!B29/12*(1+OPEX!C29)^(AI7-1)</f>
        <v>772.72574999999995</v>
      </c>
      <c r="AJ28" s="57">
        <f>OPEX!B29/12*(1+OPEX!C29)^(AJ7-1)</f>
        <v>772.72574999999995</v>
      </c>
      <c r="AK28" s="57">
        <f>OPEX!B29/12*(1+OPEX!C29)^(AK7-1)</f>
        <v>772.72574999999995</v>
      </c>
      <c r="AL28" s="57">
        <f>OPEX!B29/12*(1+OPEX!C29)^(AL7-1)</f>
        <v>772.72574999999995</v>
      </c>
      <c r="AM28" s="57">
        <f>OPEX!B29/12*(1+OPEX!C29)^(AM7-1)</f>
        <v>780.45300750000001</v>
      </c>
      <c r="AN28" s="57">
        <f>OPEX!B29/12*(1+OPEX!C29)^(AN7-1)</f>
        <v>780.45300750000001</v>
      </c>
      <c r="AO28" s="57">
        <f>OPEX!B29/12*(1+OPEX!C29)^(AO7-1)</f>
        <v>780.45300750000001</v>
      </c>
      <c r="AP28" s="57">
        <f>OPEX!B29/12*(1+OPEX!C29)^(AP7-1)</f>
        <v>780.45300750000001</v>
      </c>
      <c r="AQ28" s="57">
        <f>OPEX!B29/12*(1+OPEX!C29)^(AQ7-1)</f>
        <v>780.45300750000001</v>
      </c>
      <c r="AR28" s="57">
        <f>OPEX!B29/12*(1+OPEX!C29)^(AR7-1)</f>
        <v>780.45300750000001</v>
      </c>
      <c r="AS28" s="57">
        <f>OPEX!B29/12*(1+OPEX!C29)^(AS7-1)</f>
        <v>780.45300750000001</v>
      </c>
      <c r="AT28" s="57">
        <f>OPEX!B29/12*(1+OPEX!C29)^(AT7-1)</f>
        <v>780.45300750000001</v>
      </c>
      <c r="AU28" s="57">
        <f>OPEX!B29/12*(1+OPEX!C29)^(AU7-1)</f>
        <v>780.45300750000001</v>
      </c>
      <c r="AV28" s="57">
        <f>OPEX!B29/12*(1+OPEX!C29)^(AV7-1)</f>
        <v>780.45300750000001</v>
      </c>
      <c r="AW28" s="57">
        <f>OPEX!B29/12*(1+OPEX!C29)^(AW7-1)</f>
        <v>780.45300750000001</v>
      </c>
      <c r="AX28" s="57">
        <f>OPEX!B29/12*(1+OPEX!C29)^(AX7-1)</f>
        <v>780.45300750000001</v>
      </c>
      <c r="AY28" s="57">
        <f>OPEX!B29/12*(1+OPEX!C29)^(AY7-1)</f>
        <v>788.2575375749999</v>
      </c>
      <c r="AZ28" s="57">
        <f>OPEX!B29/12*(1+OPEX!C29)^(AZ7-1)</f>
        <v>788.2575375749999</v>
      </c>
      <c r="BA28" s="57">
        <f>OPEX!B29/12*(1+OPEX!C29)^(BA7-1)</f>
        <v>788.2575375749999</v>
      </c>
      <c r="BB28" s="57">
        <f>OPEX!B29/12*(1+OPEX!C29)^(BB7-1)</f>
        <v>788.2575375749999</v>
      </c>
      <c r="BC28" s="57">
        <f>OPEX!B29/12*(1+OPEX!C29)^(BC7-1)</f>
        <v>788.2575375749999</v>
      </c>
      <c r="BD28" s="57">
        <f>OPEX!B29/12*(1+OPEX!C29)^(BD7-1)</f>
        <v>788.2575375749999</v>
      </c>
      <c r="BE28" s="57">
        <f>OPEX!B29/12*(1+OPEX!C29)^(BE7-1)</f>
        <v>788.2575375749999</v>
      </c>
      <c r="BF28" s="57">
        <f>OPEX!B29/12*(1+OPEX!C29)^(BF7-1)</f>
        <v>788.2575375749999</v>
      </c>
      <c r="BG28" s="57">
        <f>OPEX!B29/12*(1+OPEX!C29)^(BG7-1)</f>
        <v>788.2575375749999</v>
      </c>
      <c r="BH28" s="57">
        <f>OPEX!B29/12*(1+OPEX!C29)^(BH7-1)</f>
        <v>788.2575375749999</v>
      </c>
      <c r="BI28" s="57">
        <f>OPEX!B29/12*(1+OPEX!C29)^(BI7-1)</f>
        <v>788.2575375749999</v>
      </c>
      <c r="BJ28" s="57">
        <f>OPEX!B29/12*(1+OPEX!C29)^(BJ7-1)</f>
        <v>788.2575375749999</v>
      </c>
      <c r="BK28" s="57">
        <f>OPEX!B29/12*(1+OPEX!C29)^(BK7-1)</f>
        <v>796.14011295075011</v>
      </c>
    </row>
    <row r="29" spans="1:63" ht="15" customHeight="1" x14ac:dyDescent="0.2">
      <c r="A29" s="26" t="s">
        <v>691</v>
      </c>
      <c r="B29" s="57">
        <f>OPEX!B30/12*(1+OPEX!C30)^(B7-1)</f>
        <v>1666.6666666666667</v>
      </c>
      <c r="C29" s="57">
        <f>OPEX!B30/12*(1+OPEX!C30)^(C7-1)</f>
        <v>1683.3333333333335</v>
      </c>
      <c r="D29" s="57">
        <f>OPEX!B30/12*(1+OPEX!C30)^(D7-1)</f>
        <v>1683.3333333333335</v>
      </c>
      <c r="E29" s="57">
        <f>OPEX!B30/12*(1+OPEX!C30)^(E7-1)</f>
        <v>1683.3333333333335</v>
      </c>
      <c r="F29" s="57">
        <f>OPEX!B30/12*(1+OPEX!C30)^(F7-1)</f>
        <v>1683.3333333333335</v>
      </c>
      <c r="G29" s="57">
        <f>OPEX!B30/12*(1+OPEX!C30)^(G7-1)</f>
        <v>1683.3333333333335</v>
      </c>
      <c r="H29" s="57">
        <f>OPEX!B30/12*(1+OPEX!C30)^(H7-1)</f>
        <v>1683.3333333333335</v>
      </c>
      <c r="I29" s="57">
        <f>OPEX!B30/12*(1+OPEX!C30)^(I7-1)</f>
        <v>1683.3333333333335</v>
      </c>
      <c r="J29" s="57">
        <f>OPEX!B30/12*(1+OPEX!C30)^(J7-1)</f>
        <v>1683.3333333333335</v>
      </c>
      <c r="K29" s="57">
        <f>OPEX!B30/12*(1+OPEX!C30)^(K7-1)</f>
        <v>1683.3333333333335</v>
      </c>
      <c r="L29" s="57">
        <f>OPEX!B30/12*(1+OPEX!C30)^(L7-1)</f>
        <v>1683.3333333333335</v>
      </c>
      <c r="M29" s="57">
        <f>OPEX!B30/12*(1+OPEX!C30)^(M7-1)</f>
        <v>1683.3333333333335</v>
      </c>
      <c r="N29" s="57">
        <f>OPEX!B30/12*(1+OPEX!C30)^(N7-1)</f>
        <v>1683.3333333333335</v>
      </c>
      <c r="O29" s="57">
        <f>OPEX!B30/12*(1+OPEX!C30)^(O7-1)</f>
        <v>1700.1666666666667</v>
      </c>
      <c r="P29" s="57">
        <f>OPEX!B30/12*(1+OPEX!C30)^(P7-1)</f>
        <v>1700.1666666666667</v>
      </c>
      <c r="Q29" s="57">
        <f>OPEX!B30/12*(1+OPEX!C30)^(Q7-1)</f>
        <v>1700.1666666666667</v>
      </c>
      <c r="R29" s="57">
        <f>OPEX!B30/12*(1+OPEX!C30)^(R7-1)</f>
        <v>1700.1666666666667</v>
      </c>
      <c r="S29" s="57">
        <f>OPEX!B30/12*(1+OPEX!C30)^(S7-1)</f>
        <v>1700.1666666666667</v>
      </c>
      <c r="T29" s="57">
        <f>OPEX!B30/12*(1+OPEX!C30)^(T7-1)</f>
        <v>1700.1666666666667</v>
      </c>
      <c r="U29" s="57">
        <f>OPEX!B30/12*(1+OPEX!C30)^(U7-1)</f>
        <v>1700.1666666666667</v>
      </c>
      <c r="V29" s="57">
        <f>OPEX!B30/12*(1+OPEX!C30)^(V7-1)</f>
        <v>1700.1666666666667</v>
      </c>
      <c r="W29" s="57">
        <f>OPEX!B30/12*(1+OPEX!C30)^(W7-1)</f>
        <v>1700.1666666666667</v>
      </c>
      <c r="X29" s="57">
        <f>OPEX!B30/12*(1+OPEX!C30)^(X7-1)</f>
        <v>1700.1666666666667</v>
      </c>
      <c r="Y29" s="57">
        <f>OPEX!B30/12*(1+OPEX!C30)^(Y7-1)</f>
        <v>1700.1666666666667</v>
      </c>
      <c r="Z29" s="57">
        <f>OPEX!B30/12*(1+OPEX!C30)^(Z7-1)</f>
        <v>1700.1666666666667</v>
      </c>
      <c r="AA29" s="57">
        <f>OPEX!B30/12*(1+OPEX!C30)^(AA7-1)</f>
        <v>1717.1683333333333</v>
      </c>
      <c r="AB29" s="57">
        <f>OPEX!B30/12*(1+OPEX!C30)^(AB7-1)</f>
        <v>1717.1683333333333</v>
      </c>
      <c r="AC29" s="57">
        <f>OPEX!B30/12*(1+OPEX!C30)^(AC7-1)</f>
        <v>1717.1683333333333</v>
      </c>
      <c r="AD29" s="57">
        <f>OPEX!B30/12*(1+OPEX!C30)^(AD7-1)</f>
        <v>1717.1683333333333</v>
      </c>
      <c r="AE29" s="57">
        <f>OPEX!B30/12*(1+OPEX!C30)^(AE7-1)</f>
        <v>1717.1683333333333</v>
      </c>
      <c r="AF29" s="57">
        <f>OPEX!B30/12*(1+OPEX!C30)^(AF7-1)</f>
        <v>1717.1683333333333</v>
      </c>
      <c r="AG29" s="57">
        <f>OPEX!B30/12*(1+OPEX!C30)^(AG7-1)</f>
        <v>1717.1683333333333</v>
      </c>
      <c r="AH29" s="57">
        <f>OPEX!B30/12*(1+OPEX!C30)^(AH7-1)</f>
        <v>1717.1683333333333</v>
      </c>
      <c r="AI29" s="57">
        <f>OPEX!B30/12*(1+OPEX!C30)^(AI7-1)</f>
        <v>1717.1683333333333</v>
      </c>
      <c r="AJ29" s="57">
        <f>OPEX!B30/12*(1+OPEX!C30)^(AJ7-1)</f>
        <v>1717.1683333333333</v>
      </c>
      <c r="AK29" s="57">
        <f>OPEX!B30/12*(1+OPEX!C30)^(AK7-1)</f>
        <v>1717.1683333333333</v>
      </c>
      <c r="AL29" s="57">
        <f>OPEX!B30/12*(1+OPEX!C30)^(AL7-1)</f>
        <v>1717.1683333333333</v>
      </c>
      <c r="AM29" s="57">
        <f>OPEX!B30/12*(1+OPEX!C30)^(AM7-1)</f>
        <v>1734.3400166666668</v>
      </c>
      <c r="AN29" s="57">
        <f>OPEX!B30/12*(1+OPEX!C30)^(AN7-1)</f>
        <v>1734.3400166666668</v>
      </c>
      <c r="AO29" s="57">
        <f>OPEX!B30/12*(1+OPEX!C30)^(AO7-1)</f>
        <v>1734.3400166666668</v>
      </c>
      <c r="AP29" s="57">
        <f>OPEX!B30/12*(1+OPEX!C30)^(AP7-1)</f>
        <v>1734.3400166666668</v>
      </c>
      <c r="AQ29" s="57">
        <f>OPEX!B30/12*(1+OPEX!C30)^(AQ7-1)</f>
        <v>1734.3400166666668</v>
      </c>
      <c r="AR29" s="57">
        <f>OPEX!B30/12*(1+OPEX!C30)^(AR7-1)</f>
        <v>1734.3400166666668</v>
      </c>
      <c r="AS29" s="57">
        <f>OPEX!B30/12*(1+OPEX!C30)^(AS7-1)</f>
        <v>1734.3400166666668</v>
      </c>
      <c r="AT29" s="57">
        <f>OPEX!B30/12*(1+OPEX!C30)^(AT7-1)</f>
        <v>1734.3400166666668</v>
      </c>
      <c r="AU29" s="57">
        <f>OPEX!B30/12*(1+OPEX!C30)^(AU7-1)</f>
        <v>1734.3400166666668</v>
      </c>
      <c r="AV29" s="57">
        <f>OPEX!B30/12*(1+OPEX!C30)^(AV7-1)</f>
        <v>1734.3400166666668</v>
      </c>
      <c r="AW29" s="57">
        <f>OPEX!B30/12*(1+OPEX!C30)^(AW7-1)</f>
        <v>1734.3400166666668</v>
      </c>
      <c r="AX29" s="57">
        <f>OPEX!B30/12*(1+OPEX!C30)^(AX7-1)</f>
        <v>1734.3400166666668</v>
      </c>
      <c r="AY29" s="57">
        <f>OPEX!B30/12*(1+OPEX!C30)^(AY7-1)</f>
        <v>1751.6834168333332</v>
      </c>
      <c r="AZ29" s="57">
        <f>OPEX!B30/12*(1+OPEX!C30)^(AZ7-1)</f>
        <v>1751.6834168333332</v>
      </c>
      <c r="BA29" s="57">
        <f>OPEX!B30/12*(1+OPEX!C30)^(BA7-1)</f>
        <v>1751.6834168333332</v>
      </c>
      <c r="BB29" s="57">
        <f>OPEX!B30/12*(1+OPEX!C30)^(BB7-1)</f>
        <v>1751.6834168333332</v>
      </c>
      <c r="BC29" s="57">
        <f>OPEX!B30/12*(1+OPEX!C30)^(BC7-1)</f>
        <v>1751.6834168333332</v>
      </c>
      <c r="BD29" s="57">
        <f>OPEX!B30/12*(1+OPEX!C30)^(BD7-1)</f>
        <v>1751.6834168333332</v>
      </c>
      <c r="BE29" s="57">
        <f>OPEX!B30/12*(1+OPEX!C30)^(BE7-1)</f>
        <v>1751.6834168333332</v>
      </c>
      <c r="BF29" s="57">
        <f>OPEX!B30/12*(1+OPEX!C30)^(BF7-1)</f>
        <v>1751.6834168333332</v>
      </c>
      <c r="BG29" s="57">
        <f>OPEX!B30/12*(1+OPEX!C30)^(BG7-1)</f>
        <v>1751.6834168333332</v>
      </c>
      <c r="BH29" s="57">
        <f>OPEX!B30/12*(1+OPEX!C30)^(BH7-1)</f>
        <v>1751.6834168333332</v>
      </c>
      <c r="BI29" s="57">
        <f>OPEX!B30/12*(1+OPEX!C30)^(BI7-1)</f>
        <v>1751.6834168333332</v>
      </c>
      <c r="BJ29" s="57">
        <f>OPEX!B30/12*(1+OPEX!C30)^(BJ7-1)</f>
        <v>1751.6834168333332</v>
      </c>
      <c r="BK29" s="57">
        <f>OPEX!B30/12*(1+OPEX!C30)^(BK7-1)</f>
        <v>1769.2002510016671</v>
      </c>
    </row>
    <row r="30" spans="1:63" ht="15" customHeight="1" x14ac:dyDescent="0.2">
      <c r="A30" s="26" t="s">
        <v>692</v>
      </c>
      <c r="B30" s="57">
        <f>OPEX!B31/12*(1+OPEX!C31)^(B7-1)</f>
        <v>416.66666666666669</v>
      </c>
      <c r="C30" s="57">
        <f>OPEX!B31/12*(1+OPEX!C31)^(C7-1)</f>
        <v>420.83333333333337</v>
      </c>
      <c r="D30" s="57">
        <f>OPEX!B31/12*(1+OPEX!C31)^(D7-1)</f>
        <v>420.83333333333337</v>
      </c>
      <c r="E30" s="57">
        <f>OPEX!B31/12*(1+OPEX!C31)^(E7-1)</f>
        <v>420.83333333333337</v>
      </c>
      <c r="F30" s="57">
        <f>OPEX!B31/12*(1+OPEX!C31)^(F7-1)</f>
        <v>420.83333333333337</v>
      </c>
      <c r="G30" s="57">
        <f>OPEX!B31/12*(1+OPEX!C31)^(G7-1)</f>
        <v>420.83333333333337</v>
      </c>
      <c r="H30" s="57">
        <f>OPEX!B31/12*(1+OPEX!C31)^(H7-1)</f>
        <v>420.83333333333337</v>
      </c>
      <c r="I30" s="57">
        <f>OPEX!B31/12*(1+OPEX!C31)^(I7-1)</f>
        <v>420.83333333333337</v>
      </c>
      <c r="J30" s="57">
        <f>OPEX!B31/12*(1+OPEX!C31)^(J7-1)</f>
        <v>420.83333333333337</v>
      </c>
      <c r="K30" s="57">
        <f>OPEX!B31/12*(1+OPEX!C31)^(K7-1)</f>
        <v>420.83333333333337</v>
      </c>
      <c r="L30" s="57">
        <f>OPEX!B31/12*(1+OPEX!C31)^(L7-1)</f>
        <v>420.83333333333337</v>
      </c>
      <c r="M30" s="57">
        <f>OPEX!B31/12*(1+OPEX!C31)^(M7-1)</f>
        <v>420.83333333333337</v>
      </c>
      <c r="N30" s="57">
        <f>OPEX!B31/12*(1+OPEX!C31)^(N7-1)</f>
        <v>420.83333333333337</v>
      </c>
      <c r="O30" s="57">
        <f>OPEX!B31/12*(1+OPEX!C31)^(O7-1)</f>
        <v>425.04166666666669</v>
      </c>
      <c r="P30" s="57">
        <f>OPEX!B31/12*(1+OPEX!C31)^(P7-1)</f>
        <v>425.04166666666669</v>
      </c>
      <c r="Q30" s="57">
        <f>OPEX!B31/12*(1+OPEX!C31)^(Q7-1)</f>
        <v>425.04166666666669</v>
      </c>
      <c r="R30" s="57">
        <f>OPEX!B31/12*(1+OPEX!C31)^(R7-1)</f>
        <v>425.04166666666669</v>
      </c>
      <c r="S30" s="57">
        <f>OPEX!B31/12*(1+OPEX!C31)^(S7-1)</f>
        <v>425.04166666666669</v>
      </c>
      <c r="T30" s="57">
        <f>OPEX!B31/12*(1+OPEX!C31)^(T7-1)</f>
        <v>425.04166666666669</v>
      </c>
      <c r="U30" s="57">
        <f>OPEX!B31/12*(1+OPEX!C31)^(U7-1)</f>
        <v>425.04166666666669</v>
      </c>
      <c r="V30" s="57">
        <f>OPEX!B31/12*(1+OPEX!C31)^(V7-1)</f>
        <v>425.04166666666669</v>
      </c>
      <c r="W30" s="57">
        <f>OPEX!B31/12*(1+OPEX!C31)^(W7-1)</f>
        <v>425.04166666666669</v>
      </c>
      <c r="X30" s="57">
        <f>OPEX!B31/12*(1+OPEX!C31)^(X7-1)</f>
        <v>425.04166666666669</v>
      </c>
      <c r="Y30" s="57">
        <f>OPEX!B31/12*(1+OPEX!C31)^(Y7-1)</f>
        <v>425.04166666666669</v>
      </c>
      <c r="Z30" s="57">
        <f>OPEX!B31/12*(1+OPEX!C31)^(Z7-1)</f>
        <v>425.04166666666669</v>
      </c>
      <c r="AA30" s="57">
        <f>OPEX!B31/12*(1+OPEX!C31)^(AA7-1)</f>
        <v>429.29208333333332</v>
      </c>
      <c r="AB30" s="57">
        <f>OPEX!B31/12*(1+OPEX!C31)^(AB7-1)</f>
        <v>429.29208333333332</v>
      </c>
      <c r="AC30" s="57">
        <f>OPEX!B31/12*(1+OPEX!C31)^(AC7-1)</f>
        <v>429.29208333333332</v>
      </c>
      <c r="AD30" s="57">
        <f>OPEX!B31/12*(1+OPEX!C31)^(AD7-1)</f>
        <v>429.29208333333332</v>
      </c>
      <c r="AE30" s="57">
        <f>OPEX!B31/12*(1+OPEX!C31)^(AE7-1)</f>
        <v>429.29208333333332</v>
      </c>
      <c r="AF30" s="57">
        <f>OPEX!B31/12*(1+OPEX!C31)^(AF7-1)</f>
        <v>429.29208333333332</v>
      </c>
      <c r="AG30" s="57">
        <f>OPEX!B31/12*(1+OPEX!C31)^(AG7-1)</f>
        <v>429.29208333333332</v>
      </c>
      <c r="AH30" s="57">
        <f>OPEX!B31/12*(1+OPEX!C31)^(AH7-1)</f>
        <v>429.29208333333332</v>
      </c>
      <c r="AI30" s="57">
        <f>OPEX!B31/12*(1+OPEX!C31)^(AI7-1)</f>
        <v>429.29208333333332</v>
      </c>
      <c r="AJ30" s="57">
        <f>OPEX!B31/12*(1+OPEX!C31)^(AJ7-1)</f>
        <v>429.29208333333332</v>
      </c>
      <c r="AK30" s="57">
        <f>OPEX!B31/12*(1+OPEX!C31)^(AK7-1)</f>
        <v>429.29208333333332</v>
      </c>
      <c r="AL30" s="57">
        <f>OPEX!B31/12*(1+OPEX!C31)^(AL7-1)</f>
        <v>429.29208333333332</v>
      </c>
      <c r="AM30" s="57">
        <f>OPEX!B31/12*(1+OPEX!C31)^(AM7-1)</f>
        <v>433.58500416666669</v>
      </c>
      <c r="AN30" s="57">
        <f>OPEX!B31/12*(1+OPEX!C31)^(AN7-1)</f>
        <v>433.58500416666669</v>
      </c>
      <c r="AO30" s="57">
        <f>OPEX!B31/12*(1+OPEX!C31)^(AO7-1)</f>
        <v>433.58500416666669</v>
      </c>
      <c r="AP30" s="57">
        <f>OPEX!B31/12*(1+OPEX!C31)^(AP7-1)</f>
        <v>433.58500416666669</v>
      </c>
      <c r="AQ30" s="57">
        <f>OPEX!B31/12*(1+OPEX!C31)^(AQ7-1)</f>
        <v>433.58500416666669</v>
      </c>
      <c r="AR30" s="57">
        <f>OPEX!B31/12*(1+OPEX!C31)^(AR7-1)</f>
        <v>433.58500416666669</v>
      </c>
      <c r="AS30" s="57">
        <f>OPEX!B31/12*(1+OPEX!C31)^(AS7-1)</f>
        <v>433.58500416666669</v>
      </c>
      <c r="AT30" s="57">
        <f>OPEX!B31/12*(1+OPEX!C31)^(AT7-1)</f>
        <v>433.58500416666669</v>
      </c>
      <c r="AU30" s="57">
        <f>OPEX!B31/12*(1+OPEX!C31)^(AU7-1)</f>
        <v>433.58500416666669</v>
      </c>
      <c r="AV30" s="57">
        <f>OPEX!B31/12*(1+OPEX!C31)^(AV7-1)</f>
        <v>433.58500416666669</v>
      </c>
      <c r="AW30" s="57">
        <f>OPEX!B31/12*(1+OPEX!C31)^(AW7-1)</f>
        <v>433.58500416666669</v>
      </c>
      <c r="AX30" s="57">
        <f>OPEX!B31/12*(1+OPEX!C31)^(AX7-1)</f>
        <v>433.58500416666669</v>
      </c>
      <c r="AY30" s="57">
        <f>OPEX!B31/12*(1+OPEX!C31)^(AY7-1)</f>
        <v>437.92085420833331</v>
      </c>
      <c r="AZ30" s="57">
        <f>OPEX!B31/12*(1+OPEX!C31)^(AZ7-1)</f>
        <v>437.92085420833331</v>
      </c>
      <c r="BA30" s="57">
        <f>OPEX!B31/12*(1+OPEX!C31)^(BA7-1)</f>
        <v>437.92085420833331</v>
      </c>
      <c r="BB30" s="57">
        <f>OPEX!B31/12*(1+OPEX!C31)^(BB7-1)</f>
        <v>437.92085420833331</v>
      </c>
      <c r="BC30" s="57">
        <f>OPEX!B31/12*(1+OPEX!C31)^(BC7-1)</f>
        <v>437.92085420833331</v>
      </c>
      <c r="BD30" s="57">
        <f>OPEX!B31/12*(1+OPEX!C31)^(BD7-1)</f>
        <v>437.92085420833331</v>
      </c>
      <c r="BE30" s="57">
        <f>OPEX!B31/12*(1+OPEX!C31)^(BE7-1)</f>
        <v>437.92085420833331</v>
      </c>
      <c r="BF30" s="57">
        <f>OPEX!B31/12*(1+OPEX!C31)^(BF7-1)</f>
        <v>437.92085420833331</v>
      </c>
      <c r="BG30" s="57">
        <f>OPEX!B31/12*(1+OPEX!C31)^(BG7-1)</f>
        <v>437.92085420833331</v>
      </c>
      <c r="BH30" s="57">
        <f>OPEX!B31/12*(1+OPEX!C31)^(BH7-1)</f>
        <v>437.92085420833331</v>
      </c>
      <c r="BI30" s="57">
        <f>OPEX!B31/12*(1+OPEX!C31)^(BI7-1)</f>
        <v>437.92085420833331</v>
      </c>
      <c r="BJ30" s="57">
        <f>OPEX!B31/12*(1+OPEX!C31)^(BJ7-1)</f>
        <v>437.92085420833331</v>
      </c>
      <c r="BK30" s="57">
        <f>OPEX!B31/12*(1+OPEX!C31)^(BK7-1)</f>
        <v>442.30006275041677</v>
      </c>
    </row>
    <row r="31" spans="1:63" ht="15" customHeight="1" x14ac:dyDescent="0.2">
      <c r="A31" s="26" t="s">
        <v>99</v>
      </c>
      <c r="B31" s="57">
        <f>OPEX!B32/12*(1+OPEX!C32)^(B7-1)</f>
        <v>1016.6666666666666</v>
      </c>
      <c r="C31" s="57">
        <f>OPEX!B32/12*(1+OPEX!C32)^(C7-1)</f>
        <v>1026.8333333333333</v>
      </c>
      <c r="D31" s="57">
        <f>OPEX!B32/12*(1+OPEX!C32)^(D7-1)</f>
        <v>1026.8333333333333</v>
      </c>
      <c r="E31" s="57">
        <f>OPEX!B32/12*(1+OPEX!C32)^(E7-1)</f>
        <v>1026.8333333333333</v>
      </c>
      <c r="F31" s="57">
        <f>OPEX!B32/12*(1+OPEX!C32)^(F7-1)</f>
        <v>1026.8333333333333</v>
      </c>
      <c r="G31" s="57">
        <f>OPEX!B32/12*(1+OPEX!C32)^(G7-1)</f>
        <v>1026.8333333333333</v>
      </c>
      <c r="H31" s="57">
        <f>OPEX!B32/12*(1+OPEX!C32)^(H7-1)</f>
        <v>1026.8333333333333</v>
      </c>
      <c r="I31" s="57">
        <f>OPEX!B32/12*(1+OPEX!C32)^(I7-1)</f>
        <v>1026.8333333333333</v>
      </c>
      <c r="J31" s="57">
        <f>OPEX!B32/12*(1+OPEX!C32)^(J7-1)</f>
        <v>1026.8333333333333</v>
      </c>
      <c r="K31" s="57">
        <f>OPEX!B32/12*(1+OPEX!C32)^(K7-1)</f>
        <v>1026.8333333333333</v>
      </c>
      <c r="L31" s="57">
        <f>OPEX!B32/12*(1+OPEX!C32)^(L7-1)</f>
        <v>1026.8333333333333</v>
      </c>
      <c r="M31" s="57">
        <f>OPEX!B32/12*(1+OPEX!C32)^(M7-1)</f>
        <v>1026.8333333333333</v>
      </c>
      <c r="N31" s="57">
        <f>OPEX!B32/12*(1+OPEX!C32)^(N7-1)</f>
        <v>1026.8333333333333</v>
      </c>
      <c r="O31" s="57">
        <f>OPEX!B32/12*(1+OPEX!C32)^(O7-1)</f>
        <v>1037.1016666666667</v>
      </c>
      <c r="P31" s="57">
        <f>OPEX!B32/12*(1+OPEX!C32)^(P7-1)</f>
        <v>1037.1016666666667</v>
      </c>
      <c r="Q31" s="57">
        <f>OPEX!B32/12*(1+OPEX!C32)^(Q7-1)</f>
        <v>1037.1016666666667</v>
      </c>
      <c r="R31" s="57">
        <f>OPEX!B32/12*(1+OPEX!C32)^(R7-1)</f>
        <v>1037.1016666666667</v>
      </c>
      <c r="S31" s="57">
        <f>OPEX!B32/12*(1+OPEX!C32)^(S7-1)</f>
        <v>1037.1016666666667</v>
      </c>
      <c r="T31" s="57">
        <f>OPEX!B32/12*(1+OPEX!C32)^(T7-1)</f>
        <v>1037.1016666666667</v>
      </c>
      <c r="U31" s="57">
        <f>OPEX!B32/12*(1+OPEX!C32)^(U7-1)</f>
        <v>1037.1016666666667</v>
      </c>
      <c r="V31" s="57">
        <f>OPEX!B32/12*(1+OPEX!C32)^(V7-1)</f>
        <v>1037.1016666666667</v>
      </c>
      <c r="W31" s="57">
        <f>OPEX!B32/12*(1+OPEX!C32)^(W7-1)</f>
        <v>1037.1016666666667</v>
      </c>
      <c r="X31" s="57">
        <f>OPEX!B32/12*(1+OPEX!C32)^(X7-1)</f>
        <v>1037.1016666666667</v>
      </c>
      <c r="Y31" s="57">
        <f>OPEX!B32/12*(1+OPEX!C32)^(Y7-1)</f>
        <v>1037.1016666666667</v>
      </c>
      <c r="Z31" s="57">
        <f>OPEX!B32/12*(1+OPEX!C32)^(Z7-1)</f>
        <v>1037.1016666666667</v>
      </c>
      <c r="AA31" s="57">
        <f>OPEX!B32/12*(1+OPEX!C32)^(AA7-1)</f>
        <v>1047.4726833333332</v>
      </c>
      <c r="AB31" s="57">
        <f>OPEX!B32/12*(1+OPEX!C32)^(AB7-1)</f>
        <v>1047.4726833333332</v>
      </c>
      <c r="AC31" s="57">
        <f>OPEX!B32/12*(1+OPEX!C32)^(AC7-1)</f>
        <v>1047.4726833333332</v>
      </c>
      <c r="AD31" s="57">
        <f>OPEX!B32/12*(1+OPEX!C32)^(AD7-1)</f>
        <v>1047.4726833333332</v>
      </c>
      <c r="AE31" s="57">
        <f>OPEX!B32/12*(1+OPEX!C32)^(AE7-1)</f>
        <v>1047.4726833333332</v>
      </c>
      <c r="AF31" s="57">
        <f>OPEX!B32/12*(1+OPEX!C32)^(AF7-1)</f>
        <v>1047.4726833333332</v>
      </c>
      <c r="AG31" s="57">
        <f>OPEX!B32/12*(1+OPEX!C32)^(AG7-1)</f>
        <v>1047.4726833333332</v>
      </c>
      <c r="AH31" s="57">
        <f>OPEX!B32/12*(1+OPEX!C32)^(AH7-1)</f>
        <v>1047.4726833333332</v>
      </c>
      <c r="AI31" s="57">
        <f>OPEX!B32/12*(1+OPEX!C32)^(AI7-1)</f>
        <v>1047.4726833333332</v>
      </c>
      <c r="AJ31" s="57">
        <f>OPEX!B32/12*(1+OPEX!C32)^(AJ7-1)</f>
        <v>1047.4726833333332</v>
      </c>
      <c r="AK31" s="57">
        <f>OPEX!B32/12*(1+OPEX!C32)^(AK7-1)</f>
        <v>1047.4726833333332</v>
      </c>
      <c r="AL31" s="57">
        <f>OPEX!B32/12*(1+OPEX!C32)^(AL7-1)</f>
        <v>1047.4726833333332</v>
      </c>
      <c r="AM31" s="57">
        <f>OPEX!B32/12*(1+OPEX!C32)^(AM7-1)</f>
        <v>1057.9474101666667</v>
      </c>
      <c r="AN31" s="57">
        <f>OPEX!B32/12*(1+OPEX!C32)^(AN7-1)</f>
        <v>1057.9474101666667</v>
      </c>
      <c r="AO31" s="57">
        <f>OPEX!B32/12*(1+OPEX!C32)^(AO7-1)</f>
        <v>1057.9474101666667</v>
      </c>
      <c r="AP31" s="57">
        <f>OPEX!B32/12*(1+OPEX!C32)^(AP7-1)</f>
        <v>1057.9474101666667</v>
      </c>
      <c r="AQ31" s="57">
        <f>OPEX!B32/12*(1+OPEX!C32)^(AQ7-1)</f>
        <v>1057.9474101666667</v>
      </c>
      <c r="AR31" s="57">
        <f>OPEX!B32/12*(1+OPEX!C32)^(AR7-1)</f>
        <v>1057.9474101666667</v>
      </c>
      <c r="AS31" s="57">
        <f>OPEX!B32/12*(1+OPEX!C32)^(AS7-1)</f>
        <v>1057.9474101666667</v>
      </c>
      <c r="AT31" s="57">
        <f>OPEX!B32/12*(1+OPEX!C32)^(AT7-1)</f>
        <v>1057.9474101666667</v>
      </c>
      <c r="AU31" s="57">
        <f>OPEX!B32/12*(1+OPEX!C32)^(AU7-1)</f>
        <v>1057.9474101666667</v>
      </c>
      <c r="AV31" s="57">
        <f>OPEX!B32/12*(1+OPEX!C32)^(AV7-1)</f>
        <v>1057.9474101666667</v>
      </c>
      <c r="AW31" s="57">
        <f>OPEX!B32/12*(1+OPEX!C32)^(AW7-1)</f>
        <v>1057.9474101666667</v>
      </c>
      <c r="AX31" s="57">
        <f>OPEX!B32/12*(1+OPEX!C32)^(AX7-1)</f>
        <v>1057.9474101666667</v>
      </c>
      <c r="AY31" s="57">
        <f>OPEX!B32/12*(1+OPEX!C32)^(AY7-1)</f>
        <v>1068.5268842683331</v>
      </c>
      <c r="AZ31" s="57">
        <f>OPEX!B32/12*(1+OPEX!C32)^(AZ7-1)</f>
        <v>1068.5268842683331</v>
      </c>
      <c r="BA31" s="57">
        <f>OPEX!B32/12*(1+OPEX!C32)^(BA7-1)</f>
        <v>1068.5268842683331</v>
      </c>
      <c r="BB31" s="57">
        <f>OPEX!B32/12*(1+OPEX!C32)^(BB7-1)</f>
        <v>1068.5268842683331</v>
      </c>
      <c r="BC31" s="57">
        <f>OPEX!B32/12*(1+OPEX!C32)^(BC7-1)</f>
        <v>1068.5268842683331</v>
      </c>
      <c r="BD31" s="57">
        <f>OPEX!B32/12*(1+OPEX!C32)^(BD7-1)</f>
        <v>1068.5268842683331</v>
      </c>
      <c r="BE31" s="57">
        <f>OPEX!B32/12*(1+OPEX!C32)^(BE7-1)</f>
        <v>1068.5268842683331</v>
      </c>
      <c r="BF31" s="57">
        <f>OPEX!B32/12*(1+OPEX!C32)^(BF7-1)</f>
        <v>1068.5268842683331</v>
      </c>
      <c r="BG31" s="57">
        <f>OPEX!B32/12*(1+OPEX!C32)^(BG7-1)</f>
        <v>1068.5268842683331</v>
      </c>
      <c r="BH31" s="57">
        <f>OPEX!B32/12*(1+OPEX!C32)^(BH7-1)</f>
        <v>1068.5268842683331</v>
      </c>
      <c r="BI31" s="57">
        <f>OPEX!B32/12*(1+OPEX!C32)^(BI7-1)</f>
        <v>1068.5268842683331</v>
      </c>
      <c r="BJ31" s="57">
        <f>OPEX!B32/12*(1+OPEX!C32)^(BJ7-1)</f>
        <v>1068.5268842683331</v>
      </c>
      <c r="BK31" s="57">
        <f>OPEX!B32/12*(1+OPEX!C32)^(BK7-1)</f>
        <v>1079.2121531110167</v>
      </c>
    </row>
    <row r="32" spans="1:63" ht="15" customHeight="1" x14ac:dyDescent="0.2">
      <c r="A32" s="26" t="s">
        <v>100</v>
      </c>
      <c r="B32" s="57">
        <f>B17*'I_Inputs &amp; Assumptions'!$B$99*(1+OPEX!C33)^(B7-1)</f>
        <v>3666.9306000000001</v>
      </c>
      <c r="C32" s="57">
        <f>C17*'I_Inputs &amp; Assumptions'!$B$99*(1+OPEX!C33)^(C7-1)</f>
        <v>3739.0530869999998</v>
      </c>
      <c r="D32" s="57">
        <f>D17*'I_Inputs &amp; Assumptions'!$B$99*(1+OPEX!C33)^(D7-1)</f>
        <v>3739.0530869999998</v>
      </c>
      <c r="E32" s="57">
        <f>E17*'I_Inputs &amp; Assumptions'!$B$99*(1+OPEX!C33)^(E7-1)</f>
        <v>3739.0530869999998</v>
      </c>
      <c r="F32" s="57">
        <f>F17*'I_Inputs &amp; Assumptions'!$B$99*(1+OPEX!C33)^(F7-1)</f>
        <v>3739.0530869999998</v>
      </c>
      <c r="G32" s="57">
        <f>G17*'I_Inputs &amp; Assumptions'!$B$99*(1+OPEX!C33)^(G7-1)</f>
        <v>3739.0530869999998</v>
      </c>
      <c r="H32" s="57">
        <f>H17*'I_Inputs &amp; Assumptions'!$B$99*(1+OPEX!C33)^(H7-1)</f>
        <v>3739.0530869999998</v>
      </c>
      <c r="I32" s="57">
        <f>I17*'I_Inputs &amp; Assumptions'!$B$99*(1+OPEX!C33)^(I7-1)</f>
        <v>3739.0530869999998</v>
      </c>
      <c r="J32" s="57">
        <f>J17*'I_Inputs &amp; Assumptions'!$B$99*(1+OPEX!C33)^(J7-1)</f>
        <v>3739.0530869999998</v>
      </c>
      <c r="K32" s="57">
        <f>K17*'I_Inputs &amp; Assumptions'!$B$99*(1+OPEX!C33)^(K7-1)</f>
        <v>3739.0530869999998</v>
      </c>
      <c r="L32" s="57">
        <f>L17*'I_Inputs &amp; Assumptions'!$B$99*(1+OPEX!C33)^(L7-1)</f>
        <v>3739.0530869999998</v>
      </c>
      <c r="M32" s="57">
        <f>M17*'I_Inputs &amp; Assumptions'!$B$99*(1+OPEX!C33)^(M7-1)</f>
        <v>3739.0530869999998</v>
      </c>
      <c r="N32" s="57">
        <f>N17*'I_Inputs &amp; Assumptions'!$B$99*(1+OPEX!C33)^(N7-1)</f>
        <v>3739.0530869999998</v>
      </c>
      <c r="O32" s="57">
        <f>O17*'I_Inputs &amp; Assumptions'!$B$99*(1+OPEX!C33)^(O7-1)</f>
        <v>3812.5997818649998</v>
      </c>
      <c r="P32" s="57">
        <f>P17*'I_Inputs &amp; Assumptions'!$B$99*(1+OPEX!C33)^(P7-1)</f>
        <v>3812.5997818649998</v>
      </c>
      <c r="Q32" s="57">
        <f>Q17*'I_Inputs &amp; Assumptions'!$B$99*(1+OPEX!C33)^(Q7-1)</f>
        <v>3812.5997818649998</v>
      </c>
      <c r="R32" s="57">
        <f>R17*'I_Inputs &amp; Assumptions'!$B$99*(1+OPEX!C33)^(R7-1)</f>
        <v>3812.5997818649998</v>
      </c>
      <c r="S32" s="57">
        <f>S17*'I_Inputs &amp; Assumptions'!$B$99*(1+OPEX!C33)^(S7-1)</f>
        <v>3812.5997818649998</v>
      </c>
      <c r="T32" s="57">
        <f>T17*'I_Inputs &amp; Assumptions'!$B$99*(1+OPEX!C33)^(T7-1)</f>
        <v>3812.5997818649998</v>
      </c>
      <c r="U32" s="57">
        <f>U17*'I_Inputs &amp; Assumptions'!$B$99*(1+OPEX!C33)^(U7-1)</f>
        <v>3812.5997818649998</v>
      </c>
      <c r="V32" s="57">
        <f>V17*'I_Inputs &amp; Assumptions'!$B$99*(1+OPEX!C33)^(V7-1)</f>
        <v>3812.5997818649998</v>
      </c>
      <c r="W32" s="57">
        <f>W17*'I_Inputs &amp; Assumptions'!$B$99*(1+OPEX!C33)^(W7-1)</f>
        <v>3812.5997818649998</v>
      </c>
      <c r="X32" s="57">
        <f>X17*'I_Inputs &amp; Assumptions'!$B$99*(1+OPEX!C33)^(X7-1)</f>
        <v>3812.5997818649998</v>
      </c>
      <c r="Y32" s="57">
        <f>Y17*'I_Inputs &amp; Assumptions'!$B$99*(1+OPEX!C33)^(Y7-1)</f>
        <v>3812.5997818649998</v>
      </c>
      <c r="Z32" s="57">
        <f>Z17*'I_Inputs &amp; Assumptions'!$B$99*(1+OPEX!C33)^(Z7-1)</f>
        <v>3812.5997818649998</v>
      </c>
      <c r="AA32" s="57">
        <f>AA17*'I_Inputs &amp; Assumptions'!$B$99*(1+OPEX!C33)^(AA7-1)</f>
        <v>3887.5988951241743</v>
      </c>
      <c r="AB32" s="57">
        <f>AB17*'I_Inputs &amp; Assumptions'!$B$99*(1+OPEX!C33)^(AB7-1)</f>
        <v>3887.5988951241743</v>
      </c>
      <c r="AC32" s="57">
        <f>AC17*'I_Inputs &amp; Assumptions'!$B$99*(1+OPEX!C33)^(AC7-1)</f>
        <v>3887.5988951241743</v>
      </c>
      <c r="AD32" s="57">
        <f>AD17*'I_Inputs &amp; Assumptions'!$B$99*(1+OPEX!C33)^(AD7-1)</f>
        <v>3887.5988951241743</v>
      </c>
      <c r="AE32" s="57">
        <f>AE17*'I_Inputs &amp; Assumptions'!$B$99*(1+OPEX!C33)^(AE7-1)</f>
        <v>3887.5988951241743</v>
      </c>
      <c r="AF32" s="57">
        <f>AF17*'I_Inputs &amp; Assumptions'!$B$99*(1+OPEX!C33)^(AF7-1)</f>
        <v>3887.5988951241743</v>
      </c>
      <c r="AG32" s="57">
        <f>AG17*'I_Inputs &amp; Assumptions'!$B$99*(1+OPEX!C33)^(AG7-1)</f>
        <v>3887.5988951241743</v>
      </c>
      <c r="AH32" s="57">
        <f>AH17*'I_Inputs &amp; Assumptions'!$B$99*(1+OPEX!C33)^(AH7-1)</f>
        <v>3887.5988951241743</v>
      </c>
      <c r="AI32" s="57">
        <f>AI17*'I_Inputs &amp; Assumptions'!$B$99*(1+OPEX!C33)^(AI7-1)</f>
        <v>3887.5988951241743</v>
      </c>
      <c r="AJ32" s="57">
        <f>AJ17*'I_Inputs &amp; Assumptions'!$B$99*(1+OPEX!C33)^(AJ7-1)</f>
        <v>3887.5988951241743</v>
      </c>
      <c r="AK32" s="57">
        <f>AK17*'I_Inputs &amp; Assumptions'!$B$99*(1+OPEX!C33)^(AK7-1)</f>
        <v>3887.5988951241743</v>
      </c>
      <c r="AL32" s="57">
        <f>AL17*'I_Inputs &amp; Assumptions'!$B$99*(1+OPEX!C33)^(AL7-1)</f>
        <v>3887.5988951241743</v>
      </c>
      <c r="AM32" s="57">
        <f>AM17*'I_Inputs &amp; Assumptions'!$B$99*(1+OPEX!C33)^(AM7-1)</f>
        <v>3964.0791974128606</v>
      </c>
      <c r="AN32" s="57">
        <f>AN17*'I_Inputs &amp; Assumptions'!$B$99*(1+OPEX!C33)^(AN7-1)</f>
        <v>3964.0791974128606</v>
      </c>
      <c r="AO32" s="57">
        <f>AO17*'I_Inputs &amp; Assumptions'!$B$99*(1+OPEX!C33)^(AO7-1)</f>
        <v>3964.0791974128606</v>
      </c>
      <c r="AP32" s="57">
        <f>AP17*'I_Inputs &amp; Assumptions'!$B$99*(1+OPEX!C33)^(AP7-1)</f>
        <v>3964.0791974128606</v>
      </c>
      <c r="AQ32" s="57">
        <f>AQ17*'I_Inputs &amp; Assumptions'!$B$99*(1+OPEX!C33)^(AQ7-1)</f>
        <v>3964.0791974128606</v>
      </c>
      <c r="AR32" s="57">
        <f>AR17*'I_Inputs &amp; Assumptions'!$B$99*(1+OPEX!C33)^(AR7-1)</f>
        <v>3964.0791974128606</v>
      </c>
      <c r="AS32" s="57">
        <f>AS17*'I_Inputs &amp; Assumptions'!$B$99*(1+OPEX!C33)^(AS7-1)</f>
        <v>3964.0791974128606</v>
      </c>
      <c r="AT32" s="57">
        <f>AT17*'I_Inputs &amp; Assumptions'!$B$99*(1+OPEX!C33)^(AT7-1)</f>
        <v>3964.0791974128606</v>
      </c>
      <c r="AU32" s="57">
        <f>AU17*'I_Inputs &amp; Assumptions'!$B$99*(1+OPEX!C33)^(AU7-1)</f>
        <v>3964.0791974128606</v>
      </c>
      <c r="AV32" s="57">
        <f>AV17*'I_Inputs &amp; Assumptions'!$B$99*(1+OPEX!C33)^(AV7-1)</f>
        <v>3964.0791974128606</v>
      </c>
      <c r="AW32" s="57">
        <f>AW17*'I_Inputs &amp; Assumptions'!$B$99*(1+OPEX!C33)^(AW7-1)</f>
        <v>3964.0791974128606</v>
      </c>
      <c r="AX32" s="57">
        <f>AX17*'I_Inputs &amp; Assumptions'!$B$99*(1+OPEX!C33)^(AX7-1)</f>
        <v>3964.0791974128606</v>
      </c>
      <c r="AY32" s="57">
        <f>AY17*'I_Inputs &amp; Assumptions'!$B$99*(1+OPEX!C33)^(AY7-1)</f>
        <v>4042.0700306131143</v>
      </c>
      <c r="AZ32" s="57">
        <f>AZ17*'I_Inputs &amp; Assumptions'!$B$99*(1+OPEX!C33)^(AZ7-1)</f>
        <v>4042.0700306131143</v>
      </c>
      <c r="BA32" s="57">
        <f>BA17*'I_Inputs &amp; Assumptions'!$B$99*(1+OPEX!C33)^(BA7-1)</f>
        <v>4042.0700306131143</v>
      </c>
      <c r="BB32" s="57">
        <f>BB17*'I_Inputs &amp; Assumptions'!$B$99*(1+OPEX!C33)^(BB7-1)</f>
        <v>4042.0700306131143</v>
      </c>
      <c r="BC32" s="57">
        <f>BC17*'I_Inputs &amp; Assumptions'!$B$99*(1+OPEX!C33)^(BC7-1)</f>
        <v>4042.0700306131143</v>
      </c>
      <c r="BD32" s="57">
        <f>BD17*'I_Inputs &amp; Assumptions'!$B$99*(1+OPEX!C33)^(BD7-1)</f>
        <v>4042.0700306131143</v>
      </c>
      <c r="BE32" s="57">
        <f>BE17*'I_Inputs &amp; Assumptions'!$B$99*(1+OPEX!C33)^(BE7-1)</f>
        <v>4042.0700306131143</v>
      </c>
      <c r="BF32" s="57">
        <f>BF17*'I_Inputs &amp; Assumptions'!$B$99*(1+OPEX!C33)^(BF7-1)</f>
        <v>4042.0700306131143</v>
      </c>
      <c r="BG32" s="57">
        <f>BG17*'I_Inputs &amp; Assumptions'!$B$99*(1+OPEX!C33)^(BG7-1)</f>
        <v>4042.0700306131143</v>
      </c>
      <c r="BH32" s="57">
        <f>BH17*'I_Inputs &amp; Assumptions'!$B$99*(1+OPEX!C33)^(BH7-1)</f>
        <v>4042.0700306131143</v>
      </c>
      <c r="BI32" s="57">
        <f>BI17*'I_Inputs &amp; Assumptions'!$B$99*(1+OPEX!C33)^(BI7-1)</f>
        <v>4042.0700306131143</v>
      </c>
      <c r="BJ32" s="57">
        <f>BJ17*'I_Inputs &amp; Assumptions'!$B$99*(1+OPEX!C33)^(BJ7-1)</f>
        <v>4042.0700306131143</v>
      </c>
      <c r="BK32" s="57">
        <f>BK17*'I_Inputs &amp; Assumptions'!$B$99*(1+OPEX!C33)^(BK7-1)</f>
        <v>4121.6013192161527</v>
      </c>
    </row>
    <row r="33" spans="1:63" ht="15" customHeight="1" x14ac:dyDescent="0.2">
      <c r="A33" s="26" t="s">
        <v>693</v>
      </c>
      <c r="B33" s="57">
        <f>OPEX!B34/12*(1+OPEX!C34)^(B7-1)</f>
        <v>3733.3333333333335</v>
      </c>
      <c r="C33" s="57">
        <f>OPEX!B34/12*(1+OPEX!C34)^(C7-1)</f>
        <v>3770.666666666667</v>
      </c>
      <c r="D33" s="57">
        <f>OPEX!B34/12*(1+OPEX!C34)^(D7-1)</f>
        <v>3770.666666666667</v>
      </c>
      <c r="E33" s="57">
        <f>OPEX!B34/12*(1+OPEX!C34)^(E7-1)</f>
        <v>3770.666666666667</v>
      </c>
      <c r="F33" s="57">
        <f>OPEX!B34/12*(1+OPEX!C34)^(F7-1)</f>
        <v>3770.666666666667</v>
      </c>
      <c r="G33" s="57">
        <f>OPEX!B34/12*(1+OPEX!C34)^(G7-1)</f>
        <v>3770.666666666667</v>
      </c>
      <c r="H33" s="57">
        <f>OPEX!B34/12*(1+OPEX!C34)^(H7-1)</f>
        <v>3770.666666666667</v>
      </c>
      <c r="I33" s="57">
        <f>OPEX!B34/12*(1+OPEX!C34)^(I7-1)</f>
        <v>3770.666666666667</v>
      </c>
      <c r="J33" s="57">
        <f>OPEX!B34/12*(1+OPEX!C34)^(J7-1)</f>
        <v>3770.666666666667</v>
      </c>
      <c r="K33" s="57">
        <f>OPEX!B34/12*(1+OPEX!C34)^(K7-1)</f>
        <v>3770.666666666667</v>
      </c>
      <c r="L33" s="57">
        <f>OPEX!B34/12*(1+OPEX!C34)^(L7-1)</f>
        <v>3770.666666666667</v>
      </c>
      <c r="M33" s="57">
        <f>OPEX!B34/12*(1+OPEX!C34)^(M7-1)</f>
        <v>3770.666666666667</v>
      </c>
      <c r="N33" s="57">
        <f>OPEX!B34/12*(1+OPEX!C34)^(N7-1)</f>
        <v>3770.666666666667</v>
      </c>
      <c r="O33" s="57">
        <f>OPEX!B34/12*(1+OPEX!C34)^(O7-1)</f>
        <v>3808.3733333333334</v>
      </c>
      <c r="P33" s="57">
        <f>OPEX!B34/12*(1+OPEX!C34)^(P7-1)</f>
        <v>3808.3733333333334</v>
      </c>
      <c r="Q33" s="57">
        <f>OPEX!B34/12*(1+OPEX!C34)^(Q7-1)</f>
        <v>3808.3733333333334</v>
      </c>
      <c r="R33" s="57">
        <f>OPEX!B34/12*(1+OPEX!C34)^(R7-1)</f>
        <v>3808.3733333333334</v>
      </c>
      <c r="S33" s="57">
        <f>OPEX!B34/12*(1+OPEX!C34)^(S7-1)</f>
        <v>3808.3733333333334</v>
      </c>
      <c r="T33" s="57">
        <f>OPEX!B34/12*(1+OPEX!C34)^(T7-1)</f>
        <v>3808.3733333333334</v>
      </c>
      <c r="U33" s="57">
        <f>OPEX!B34/12*(1+OPEX!C34)^(U7-1)</f>
        <v>3808.3733333333334</v>
      </c>
      <c r="V33" s="57">
        <f>OPEX!B34/12*(1+OPEX!C34)^(V7-1)</f>
        <v>3808.3733333333334</v>
      </c>
      <c r="W33" s="57">
        <f>OPEX!B34/12*(1+OPEX!C34)^(W7-1)</f>
        <v>3808.3733333333334</v>
      </c>
      <c r="X33" s="57">
        <f>OPEX!B34/12*(1+OPEX!C34)^(X7-1)</f>
        <v>3808.3733333333334</v>
      </c>
      <c r="Y33" s="57">
        <f>OPEX!B34/12*(1+OPEX!C34)^(Y7-1)</f>
        <v>3808.3733333333334</v>
      </c>
      <c r="Z33" s="57">
        <f>OPEX!B34/12*(1+OPEX!C34)^(Z7-1)</f>
        <v>3808.3733333333334</v>
      </c>
      <c r="AA33" s="57">
        <f>OPEX!B34/12*(1+OPEX!C34)^(AA7-1)</f>
        <v>3846.4570666666664</v>
      </c>
      <c r="AB33" s="57">
        <f>OPEX!B34/12*(1+OPEX!C34)^(AB7-1)</f>
        <v>3846.4570666666664</v>
      </c>
      <c r="AC33" s="57">
        <f>OPEX!B34/12*(1+OPEX!C34)^(AC7-1)</f>
        <v>3846.4570666666664</v>
      </c>
      <c r="AD33" s="57">
        <f>OPEX!B34/12*(1+OPEX!C34)^(AD7-1)</f>
        <v>3846.4570666666664</v>
      </c>
      <c r="AE33" s="57">
        <f>OPEX!B34/12*(1+OPEX!C34)^(AE7-1)</f>
        <v>3846.4570666666664</v>
      </c>
      <c r="AF33" s="57">
        <f>OPEX!B34/12*(1+OPEX!C34)^(AF7-1)</f>
        <v>3846.4570666666664</v>
      </c>
      <c r="AG33" s="57">
        <f>OPEX!B34/12*(1+OPEX!C34)^(AG7-1)</f>
        <v>3846.4570666666664</v>
      </c>
      <c r="AH33" s="57">
        <f>OPEX!B34/12*(1+OPEX!C34)^(AH7-1)</f>
        <v>3846.4570666666664</v>
      </c>
      <c r="AI33" s="57">
        <f>OPEX!B34/12*(1+OPEX!C34)^(AI7-1)</f>
        <v>3846.4570666666664</v>
      </c>
      <c r="AJ33" s="57">
        <f>OPEX!B34/12*(1+OPEX!C34)^(AJ7-1)</f>
        <v>3846.4570666666664</v>
      </c>
      <c r="AK33" s="57">
        <f>OPEX!B34/12*(1+OPEX!C34)^(AK7-1)</f>
        <v>3846.4570666666664</v>
      </c>
      <c r="AL33" s="57">
        <f>OPEX!B34/12*(1+OPEX!C34)^(AL7-1)</f>
        <v>3846.4570666666664</v>
      </c>
      <c r="AM33" s="57">
        <f>OPEX!B34/12*(1+OPEX!C34)^(AM7-1)</f>
        <v>3884.9216373333334</v>
      </c>
      <c r="AN33" s="57">
        <f>OPEX!B34/12*(1+OPEX!C34)^(AN7-1)</f>
        <v>3884.9216373333334</v>
      </c>
      <c r="AO33" s="57">
        <f>OPEX!B34/12*(1+OPEX!C34)^(AO7-1)</f>
        <v>3884.9216373333334</v>
      </c>
      <c r="AP33" s="57">
        <f>OPEX!B34/12*(1+OPEX!C34)^(AP7-1)</f>
        <v>3884.9216373333334</v>
      </c>
      <c r="AQ33" s="57">
        <f>OPEX!B34/12*(1+OPEX!C34)^(AQ7-1)</f>
        <v>3884.9216373333334</v>
      </c>
      <c r="AR33" s="57">
        <f>OPEX!B34/12*(1+OPEX!C34)^(AR7-1)</f>
        <v>3884.9216373333334</v>
      </c>
      <c r="AS33" s="57">
        <f>OPEX!B34/12*(1+OPEX!C34)^(AS7-1)</f>
        <v>3884.9216373333334</v>
      </c>
      <c r="AT33" s="57">
        <f>OPEX!B34/12*(1+OPEX!C34)^(AT7-1)</f>
        <v>3884.9216373333334</v>
      </c>
      <c r="AU33" s="57">
        <f>OPEX!B34/12*(1+OPEX!C34)^(AU7-1)</f>
        <v>3884.9216373333334</v>
      </c>
      <c r="AV33" s="57">
        <f>OPEX!B34/12*(1+OPEX!C34)^(AV7-1)</f>
        <v>3884.9216373333334</v>
      </c>
      <c r="AW33" s="57">
        <f>OPEX!B34/12*(1+OPEX!C34)^(AW7-1)</f>
        <v>3884.9216373333334</v>
      </c>
      <c r="AX33" s="57">
        <f>OPEX!B34/12*(1+OPEX!C34)^(AX7-1)</f>
        <v>3884.9216373333334</v>
      </c>
      <c r="AY33" s="57">
        <f>OPEX!B34/12*(1+OPEX!C34)^(AY7-1)</f>
        <v>3923.7708537066665</v>
      </c>
      <c r="AZ33" s="57">
        <f>OPEX!B34/12*(1+OPEX!C34)^(AZ7-1)</f>
        <v>3923.7708537066665</v>
      </c>
      <c r="BA33" s="57">
        <f>OPEX!B34/12*(1+OPEX!C34)^(BA7-1)</f>
        <v>3923.7708537066665</v>
      </c>
      <c r="BB33" s="57">
        <f>OPEX!B34/12*(1+OPEX!C34)^(BB7-1)</f>
        <v>3923.7708537066665</v>
      </c>
      <c r="BC33" s="57">
        <f>OPEX!B34/12*(1+OPEX!C34)^(BC7-1)</f>
        <v>3923.7708537066665</v>
      </c>
      <c r="BD33" s="57">
        <f>OPEX!B34/12*(1+OPEX!C34)^(BD7-1)</f>
        <v>3923.7708537066665</v>
      </c>
      <c r="BE33" s="57">
        <f>OPEX!B34/12*(1+OPEX!C34)^(BE7-1)</f>
        <v>3923.7708537066665</v>
      </c>
      <c r="BF33" s="57">
        <f>OPEX!B34/12*(1+OPEX!C34)^(BF7-1)</f>
        <v>3923.7708537066665</v>
      </c>
      <c r="BG33" s="57">
        <f>OPEX!B34/12*(1+OPEX!C34)^(BG7-1)</f>
        <v>3923.7708537066665</v>
      </c>
      <c r="BH33" s="57">
        <f>OPEX!B34/12*(1+OPEX!C34)^(BH7-1)</f>
        <v>3923.7708537066665</v>
      </c>
      <c r="BI33" s="57">
        <f>OPEX!B34/12*(1+OPEX!C34)^(BI7-1)</f>
        <v>3923.7708537066665</v>
      </c>
      <c r="BJ33" s="57">
        <f>OPEX!B34/12*(1+OPEX!C34)^(BJ7-1)</f>
        <v>3923.7708537066665</v>
      </c>
      <c r="BK33" s="57">
        <f>OPEX!B34/12*(1+OPEX!C34)^(BK7-1)</f>
        <v>3963.0085622437341</v>
      </c>
    </row>
    <row r="34" spans="1:63" ht="15" customHeight="1" x14ac:dyDescent="0.2">
      <c r="A34" s="26" t="s">
        <v>104</v>
      </c>
      <c r="B34" s="57">
        <f>B17*'I_Inputs &amp; Assumptions'!$B$103*(1+OPEX!C35)^(B7-1)</f>
        <v>916.73265000000004</v>
      </c>
      <c r="C34" s="57">
        <f>C17*'I_Inputs &amp; Assumptions'!$B$103*(1+OPEX!C35)^(C7-1)</f>
        <v>944.11090446749995</v>
      </c>
      <c r="D34" s="57">
        <f>D17*'I_Inputs &amp; Assumptions'!$B$103*(1+OPEX!C35)^(D7-1)</f>
        <v>944.11090446749995</v>
      </c>
      <c r="E34" s="57">
        <f>E17*'I_Inputs &amp; Assumptions'!$B$103*(1+OPEX!C35)^(E7-1)</f>
        <v>944.11090446749995</v>
      </c>
      <c r="F34" s="57">
        <f>F17*'I_Inputs &amp; Assumptions'!$B$103*(1+OPEX!C35)^(F7-1)</f>
        <v>944.11090446749995</v>
      </c>
      <c r="G34" s="57">
        <f>G17*'I_Inputs &amp; Assumptions'!$B$103*(1+OPEX!C35)^(G7-1)</f>
        <v>944.11090446749995</v>
      </c>
      <c r="H34" s="57">
        <f>H17*'I_Inputs &amp; Assumptions'!$B$103*(1+OPEX!C35)^(H7-1)</f>
        <v>944.11090446749995</v>
      </c>
      <c r="I34" s="57">
        <f>I17*'I_Inputs &amp; Assumptions'!$B$103*(1+OPEX!C35)^(I7-1)</f>
        <v>944.11090446749995</v>
      </c>
      <c r="J34" s="57">
        <f>J17*'I_Inputs &amp; Assumptions'!$B$103*(1+OPEX!C35)^(J7-1)</f>
        <v>944.11090446749995</v>
      </c>
      <c r="K34" s="57">
        <f>K17*'I_Inputs &amp; Assumptions'!$B$103*(1+OPEX!C35)^(K7-1)</f>
        <v>944.11090446749995</v>
      </c>
      <c r="L34" s="57">
        <f>L17*'I_Inputs &amp; Assumptions'!$B$103*(1+OPEX!C35)^(L7-1)</f>
        <v>944.11090446749995</v>
      </c>
      <c r="M34" s="57">
        <f>M17*'I_Inputs &amp; Assumptions'!$B$103*(1+OPEX!C35)^(M7-1)</f>
        <v>944.11090446749995</v>
      </c>
      <c r="N34" s="57">
        <f>N17*'I_Inputs &amp; Assumptions'!$B$103*(1+OPEX!C35)^(N7-1)</f>
        <v>944.11090446749995</v>
      </c>
      <c r="O34" s="57">
        <f>O17*'I_Inputs &amp; Assumptions'!$B$103*(1+OPEX!C35)^(O7-1)</f>
        <v>972.30825937012162</v>
      </c>
      <c r="P34" s="57">
        <f>P17*'I_Inputs &amp; Assumptions'!$B$103*(1+OPEX!C35)^(P7-1)</f>
        <v>972.30825937012162</v>
      </c>
      <c r="Q34" s="57">
        <f>Q17*'I_Inputs &amp; Assumptions'!$B$103*(1+OPEX!C35)^(Q7-1)</f>
        <v>972.30825937012162</v>
      </c>
      <c r="R34" s="57">
        <f>R17*'I_Inputs &amp; Assumptions'!$B$103*(1+OPEX!C35)^(R7-1)</f>
        <v>972.30825937012162</v>
      </c>
      <c r="S34" s="57">
        <f>S17*'I_Inputs &amp; Assumptions'!$B$103*(1+OPEX!C35)^(S7-1)</f>
        <v>972.30825937012162</v>
      </c>
      <c r="T34" s="57">
        <f>T17*'I_Inputs &amp; Assumptions'!$B$103*(1+OPEX!C35)^(T7-1)</f>
        <v>972.30825937012162</v>
      </c>
      <c r="U34" s="57">
        <f>U17*'I_Inputs &amp; Assumptions'!$B$103*(1+OPEX!C35)^(U7-1)</f>
        <v>972.30825937012162</v>
      </c>
      <c r="V34" s="57">
        <f>V17*'I_Inputs &amp; Assumptions'!$B$103*(1+OPEX!C35)^(V7-1)</f>
        <v>972.30825937012162</v>
      </c>
      <c r="W34" s="57">
        <f>W17*'I_Inputs &amp; Assumptions'!$B$103*(1+OPEX!C35)^(W7-1)</f>
        <v>972.30825937012162</v>
      </c>
      <c r="X34" s="57">
        <f>X17*'I_Inputs &amp; Assumptions'!$B$103*(1+OPEX!C35)^(X7-1)</f>
        <v>972.30825937012162</v>
      </c>
      <c r="Y34" s="57">
        <f>Y17*'I_Inputs &amp; Assumptions'!$B$103*(1+OPEX!C35)^(Y7-1)</f>
        <v>972.30825937012162</v>
      </c>
      <c r="Z34" s="57">
        <f>Z17*'I_Inputs &amp; Assumptions'!$B$103*(1+OPEX!C35)^(Z7-1)</f>
        <v>972.30825937012162</v>
      </c>
      <c r="AA34" s="57">
        <f>AA17*'I_Inputs &amp; Assumptions'!$B$103*(1+OPEX!C35)^(AA7-1)</f>
        <v>1001.3492573113328</v>
      </c>
      <c r="AB34" s="57">
        <f>AB17*'I_Inputs &amp; Assumptions'!$B$103*(1+OPEX!C35)^(AB7-1)</f>
        <v>1001.3492573113328</v>
      </c>
      <c r="AC34" s="57">
        <f>AC17*'I_Inputs &amp; Assumptions'!$B$103*(1+OPEX!C35)^(AC7-1)</f>
        <v>1001.3492573113328</v>
      </c>
      <c r="AD34" s="57">
        <f>AD17*'I_Inputs &amp; Assumptions'!$B$103*(1+OPEX!C35)^(AD7-1)</f>
        <v>1001.3492573113328</v>
      </c>
      <c r="AE34" s="57">
        <f>AE17*'I_Inputs &amp; Assumptions'!$B$103*(1+OPEX!C35)^(AE7-1)</f>
        <v>1001.3492573113328</v>
      </c>
      <c r="AF34" s="57">
        <f>AF17*'I_Inputs &amp; Assumptions'!$B$103*(1+OPEX!C35)^(AF7-1)</f>
        <v>1001.3492573113328</v>
      </c>
      <c r="AG34" s="57">
        <f>AG17*'I_Inputs &amp; Assumptions'!$B$103*(1+OPEX!C35)^(AG7-1)</f>
        <v>1001.3492573113328</v>
      </c>
      <c r="AH34" s="57">
        <f>AH17*'I_Inputs &amp; Assumptions'!$B$103*(1+OPEX!C35)^(AH7-1)</f>
        <v>1001.3492573113328</v>
      </c>
      <c r="AI34" s="57">
        <f>AI17*'I_Inputs &amp; Assumptions'!$B$103*(1+OPEX!C35)^(AI7-1)</f>
        <v>1001.3492573113328</v>
      </c>
      <c r="AJ34" s="57">
        <f>AJ17*'I_Inputs &amp; Assumptions'!$B$103*(1+OPEX!C35)^(AJ7-1)</f>
        <v>1001.3492573113328</v>
      </c>
      <c r="AK34" s="57">
        <f>AK17*'I_Inputs &amp; Assumptions'!$B$103*(1+OPEX!C35)^(AK7-1)</f>
        <v>1001.3492573113328</v>
      </c>
      <c r="AL34" s="57">
        <f>AL17*'I_Inputs &amp; Assumptions'!$B$103*(1+OPEX!C35)^(AL7-1)</f>
        <v>1001.3492573113328</v>
      </c>
      <c r="AM34" s="57">
        <f>AM17*'I_Inputs &amp; Assumptions'!$B$103*(1+OPEX!C35)^(AM7-1)</f>
        <v>1031.2591771963512</v>
      </c>
      <c r="AN34" s="57">
        <f>AN17*'I_Inputs &amp; Assumptions'!$B$103*(1+OPEX!C35)^(AN7-1)</f>
        <v>1031.2591771963512</v>
      </c>
      <c r="AO34" s="57">
        <f>AO17*'I_Inputs &amp; Assumptions'!$B$103*(1+OPEX!C35)^(AO7-1)</f>
        <v>1031.2591771963512</v>
      </c>
      <c r="AP34" s="57">
        <f>AP17*'I_Inputs &amp; Assumptions'!$B$103*(1+OPEX!C35)^(AP7-1)</f>
        <v>1031.2591771963512</v>
      </c>
      <c r="AQ34" s="57">
        <f>AQ17*'I_Inputs &amp; Assumptions'!$B$103*(1+OPEX!C35)^(AQ7-1)</f>
        <v>1031.2591771963512</v>
      </c>
      <c r="AR34" s="57">
        <f>AR17*'I_Inputs &amp; Assumptions'!$B$103*(1+OPEX!C35)^(AR7-1)</f>
        <v>1031.2591771963512</v>
      </c>
      <c r="AS34" s="57">
        <f>AS17*'I_Inputs &amp; Assumptions'!$B$103*(1+OPEX!C35)^(AS7-1)</f>
        <v>1031.2591771963512</v>
      </c>
      <c r="AT34" s="57">
        <f>AT17*'I_Inputs &amp; Assumptions'!$B$103*(1+OPEX!C35)^(AT7-1)</f>
        <v>1031.2591771963512</v>
      </c>
      <c r="AU34" s="57">
        <f>AU17*'I_Inputs &amp; Assumptions'!$B$103*(1+OPEX!C35)^(AU7-1)</f>
        <v>1031.2591771963512</v>
      </c>
      <c r="AV34" s="57">
        <f>AV17*'I_Inputs &amp; Assumptions'!$B$103*(1+OPEX!C35)^(AV7-1)</f>
        <v>1031.2591771963512</v>
      </c>
      <c r="AW34" s="57">
        <f>AW17*'I_Inputs &amp; Assumptions'!$B$103*(1+OPEX!C35)^(AW7-1)</f>
        <v>1031.2591771963512</v>
      </c>
      <c r="AX34" s="57">
        <f>AX17*'I_Inputs &amp; Assumptions'!$B$103*(1+OPEX!C35)^(AX7-1)</f>
        <v>1031.2591771963512</v>
      </c>
      <c r="AY34" s="57">
        <f>AY17*'I_Inputs &amp; Assumptions'!$B$103*(1+OPEX!C35)^(AY7-1)</f>
        <v>1062.0640563455993</v>
      </c>
      <c r="AZ34" s="57">
        <f>AZ17*'I_Inputs &amp; Assumptions'!$B$103*(1+OPEX!C35)^(AZ7-1)</f>
        <v>1062.0640563455993</v>
      </c>
      <c r="BA34" s="57">
        <f>BA17*'I_Inputs &amp; Assumptions'!$B$103*(1+OPEX!C35)^(BA7-1)</f>
        <v>1062.0640563455993</v>
      </c>
      <c r="BB34" s="57">
        <f>BB17*'I_Inputs &amp; Assumptions'!$B$103*(1+OPEX!C35)^(BB7-1)</f>
        <v>1062.0640563455993</v>
      </c>
      <c r="BC34" s="57">
        <f>BC17*'I_Inputs &amp; Assumptions'!$B$103*(1+OPEX!C35)^(BC7-1)</f>
        <v>1062.0640563455993</v>
      </c>
      <c r="BD34" s="57">
        <f>BD17*'I_Inputs &amp; Assumptions'!$B$103*(1+OPEX!C35)^(BD7-1)</f>
        <v>1062.0640563455993</v>
      </c>
      <c r="BE34" s="57">
        <f>BE17*'I_Inputs &amp; Assumptions'!$B$103*(1+OPEX!C35)^(BE7-1)</f>
        <v>1062.0640563455993</v>
      </c>
      <c r="BF34" s="57">
        <f>BF17*'I_Inputs &amp; Assumptions'!$B$103*(1+OPEX!C35)^(BF7-1)</f>
        <v>1062.0640563455993</v>
      </c>
      <c r="BG34" s="57">
        <f>BG17*'I_Inputs &amp; Assumptions'!$B$103*(1+OPEX!C35)^(BG7-1)</f>
        <v>1062.0640563455993</v>
      </c>
      <c r="BH34" s="57">
        <f>BH17*'I_Inputs &amp; Assumptions'!$B$103*(1+OPEX!C35)^(BH7-1)</f>
        <v>1062.0640563455993</v>
      </c>
      <c r="BI34" s="57">
        <f>BI17*'I_Inputs &amp; Assumptions'!$B$103*(1+OPEX!C35)^(BI7-1)</f>
        <v>1062.0640563455993</v>
      </c>
      <c r="BJ34" s="57">
        <f>BJ17*'I_Inputs &amp; Assumptions'!$B$103*(1+OPEX!C35)^(BJ7-1)</f>
        <v>1062.0640563455993</v>
      </c>
      <c r="BK34" s="57">
        <f>BK17*'I_Inputs &amp; Assumptions'!$B$103*(1+OPEX!C35)^(BK7-1)</f>
        <v>1093.7907132729028</v>
      </c>
    </row>
    <row r="35" spans="1:63" ht="15" customHeight="1" x14ac:dyDescent="0.2">
      <c r="A35" s="34" t="s">
        <v>695</v>
      </c>
      <c r="B35" s="194">
        <f t="shared" ref="B35:AG35" si="6">SUM(B20:B34)</f>
        <v>32745.246583333337</v>
      </c>
      <c r="C35" s="194">
        <f t="shared" si="6"/>
        <v>33013.113158134161</v>
      </c>
      <c r="D35" s="194">
        <f t="shared" si="6"/>
        <v>33013.113158134161</v>
      </c>
      <c r="E35" s="194">
        <f t="shared" si="6"/>
        <v>33013.113158134161</v>
      </c>
      <c r="F35" s="194">
        <f t="shared" si="6"/>
        <v>33013.113158134161</v>
      </c>
      <c r="G35" s="194">
        <f t="shared" si="6"/>
        <v>33013.113158134161</v>
      </c>
      <c r="H35" s="194">
        <f t="shared" si="6"/>
        <v>33013.113158134161</v>
      </c>
      <c r="I35" s="194">
        <f t="shared" si="6"/>
        <v>33013.113158134161</v>
      </c>
      <c r="J35" s="194">
        <f t="shared" si="6"/>
        <v>33013.113158134161</v>
      </c>
      <c r="K35" s="194">
        <f t="shared" si="6"/>
        <v>33013.113158134161</v>
      </c>
      <c r="L35" s="194">
        <f t="shared" si="6"/>
        <v>33013.113158134161</v>
      </c>
      <c r="M35" s="194">
        <f t="shared" si="6"/>
        <v>33013.113158134161</v>
      </c>
      <c r="N35" s="194">
        <f t="shared" si="6"/>
        <v>33013.113158134161</v>
      </c>
      <c r="O35" s="194">
        <f t="shared" si="6"/>
        <v>33284.906699568455</v>
      </c>
      <c r="P35" s="194">
        <f t="shared" si="6"/>
        <v>33284.906699568455</v>
      </c>
      <c r="Q35" s="194">
        <f t="shared" si="6"/>
        <v>33284.906699568455</v>
      </c>
      <c r="R35" s="194">
        <f t="shared" si="6"/>
        <v>33284.906699568455</v>
      </c>
      <c r="S35" s="194">
        <f t="shared" si="6"/>
        <v>33284.906699568455</v>
      </c>
      <c r="T35" s="194">
        <f t="shared" si="6"/>
        <v>33284.906699568455</v>
      </c>
      <c r="U35" s="194">
        <f t="shared" si="6"/>
        <v>33284.906699568455</v>
      </c>
      <c r="V35" s="194">
        <f t="shared" si="6"/>
        <v>33284.906699568455</v>
      </c>
      <c r="W35" s="194">
        <f t="shared" si="6"/>
        <v>33284.906699568455</v>
      </c>
      <c r="X35" s="194">
        <f t="shared" si="6"/>
        <v>33284.906699568455</v>
      </c>
      <c r="Y35" s="194">
        <f t="shared" si="6"/>
        <v>33284.906699568455</v>
      </c>
      <c r="Z35" s="194">
        <f t="shared" si="6"/>
        <v>33284.906699568455</v>
      </c>
      <c r="AA35" s="194">
        <f t="shared" si="6"/>
        <v>33560.696797352182</v>
      </c>
      <c r="AB35" s="194">
        <f t="shared" si="6"/>
        <v>33560.696797352182</v>
      </c>
      <c r="AC35" s="194">
        <f t="shared" si="6"/>
        <v>33560.696797352182</v>
      </c>
      <c r="AD35" s="194">
        <f t="shared" si="6"/>
        <v>33560.696797352182</v>
      </c>
      <c r="AE35" s="194">
        <f t="shared" si="6"/>
        <v>33560.696797352182</v>
      </c>
      <c r="AF35" s="194">
        <f t="shared" si="6"/>
        <v>33560.696797352182</v>
      </c>
      <c r="AG35" s="194">
        <f t="shared" si="6"/>
        <v>33560.696797352182</v>
      </c>
      <c r="AH35" s="194">
        <f t="shared" ref="AH35:BM35" si="7">SUM(AH20:AH34)</f>
        <v>33560.696797352182</v>
      </c>
      <c r="AI35" s="194">
        <f t="shared" si="7"/>
        <v>33560.696797352182</v>
      </c>
      <c r="AJ35" s="194">
        <f t="shared" si="7"/>
        <v>33560.696797352182</v>
      </c>
      <c r="AK35" s="194">
        <f t="shared" si="7"/>
        <v>33560.696797352182</v>
      </c>
      <c r="AL35" s="194">
        <f t="shared" si="7"/>
        <v>33560.696797352182</v>
      </c>
      <c r="AM35" s="194">
        <f t="shared" si="7"/>
        <v>33840.554505975044</v>
      </c>
      <c r="AN35" s="194">
        <f t="shared" si="7"/>
        <v>33840.554505975044</v>
      </c>
      <c r="AO35" s="194">
        <f t="shared" si="7"/>
        <v>33840.554505975044</v>
      </c>
      <c r="AP35" s="194">
        <f t="shared" si="7"/>
        <v>33840.554505975044</v>
      </c>
      <c r="AQ35" s="194">
        <f t="shared" si="7"/>
        <v>33840.554505975044</v>
      </c>
      <c r="AR35" s="194">
        <f t="shared" si="7"/>
        <v>33840.554505975044</v>
      </c>
      <c r="AS35" s="194">
        <f t="shared" si="7"/>
        <v>33840.554505975044</v>
      </c>
      <c r="AT35" s="194">
        <f t="shared" si="7"/>
        <v>33840.554505975044</v>
      </c>
      <c r="AU35" s="194">
        <f t="shared" si="7"/>
        <v>33840.554505975044</v>
      </c>
      <c r="AV35" s="194">
        <f t="shared" si="7"/>
        <v>33840.554505975044</v>
      </c>
      <c r="AW35" s="194">
        <f t="shared" si="7"/>
        <v>33840.554505975044</v>
      </c>
      <c r="AX35" s="194">
        <f t="shared" si="7"/>
        <v>33840.554505975044</v>
      </c>
      <c r="AY35" s="194">
        <f t="shared" si="7"/>
        <v>34124.552379638197</v>
      </c>
      <c r="AZ35" s="194">
        <f t="shared" si="7"/>
        <v>34124.552379638197</v>
      </c>
      <c r="BA35" s="194">
        <f t="shared" si="7"/>
        <v>34124.552379638197</v>
      </c>
      <c r="BB35" s="194">
        <f t="shared" si="7"/>
        <v>34124.552379638197</v>
      </c>
      <c r="BC35" s="194">
        <f t="shared" si="7"/>
        <v>34124.552379638197</v>
      </c>
      <c r="BD35" s="194">
        <f t="shared" si="7"/>
        <v>34124.552379638197</v>
      </c>
      <c r="BE35" s="194">
        <f t="shared" si="7"/>
        <v>34124.552379638197</v>
      </c>
      <c r="BF35" s="194">
        <f t="shared" si="7"/>
        <v>34124.552379638197</v>
      </c>
      <c r="BG35" s="194">
        <f t="shared" si="7"/>
        <v>34124.552379638197</v>
      </c>
      <c r="BH35" s="194">
        <f t="shared" si="7"/>
        <v>34124.552379638197</v>
      </c>
      <c r="BI35" s="194">
        <f t="shared" si="7"/>
        <v>34124.552379638197</v>
      </c>
      <c r="BJ35" s="194">
        <f t="shared" si="7"/>
        <v>34124.552379638197</v>
      </c>
      <c r="BK35" s="194">
        <f t="shared" si="7"/>
        <v>34412.764508095344</v>
      </c>
    </row>
    <row r="36" spans="1:63" ht="15.75" customHeight="1" x14ac:dyDescent="0.2"/>
    <row r="37" spans="1:63" ht="15" customHeight="1" x14ac:dyDescent="0.2">
      <c r="A37" s="171" t="s">
        <v>730</v>
      </c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</row>
    <row r="38" spans="1:63" ht="15" customHeight="1" x14ac:dyDescent="0.2">
      <c r="A38" s="34" t="s">
        <v>731</v>
      </c>
      <c r="B38" s="191">
        <f t="shared" ref="B38:AG38" si="8">B17-B35</f>
        <v>89485.773416666663</v>
      </c>
      <c r="C38" s="191">
        <f t="shared" si="8"/>
        <v>91621.989741865837</v>
      </c>
      <c r="D38" s="191">
        <f t="shared" si="8"/>
        <v>91621.989741865837</v>
      </c>
      <c r="E38" s="191">
        <f t="shared" si="8"/>
        <v>91621.989741865837</v>
      </c>
      <c r="F38" s="191">
        <f t="shared" si="8"/>
        <v>91621.989741865837</v>
      </c>
      <c r="G38" s="191">
        <f t="shared" si="8"/>
        <v>91621.989741865837</v>
      </c>
      <c r="H38" s="191">
        <f t="shared" si="8"/>
        <v>91621.989741865837</v>
      </c>
      <c r="I38" s="191">
        <f t="shared" si="8"/>
        <v>91621.989741865837</v>
      </c>
      <c r="J38" s="191">
        <f t="shared" si="8"/>
        <v>91621.989741865837</v>
      </c>
      <c r="K38" s="191">
        <f t="shared" si="8"/>
        <v>91621.989741865837</v>
      </c>
      <c r="L38" s="191">
        <f t="shared" si="8"/>
        <v>91621.989741865837</v>
      </c>
      <c r="M38" s="191">
        <f t="shared" si="8"/>
        <v>91621.989741865837</v>
      </c>
      <c r="N38" s="191">
        <f t="shared" si="8"/>
        <v>91621.989741865837</v>
      </c>
      <c r="O38" s="191">
        <f t="shared" si="8"/>
        <v>93801.752695931544</v>
      </c>
      <c r="P38" s="191">
        <f t="shared" si="8"/>
        <v>93801.752695931544</v>
      </c>
      <c r="Q38" s="191">
        <f t="shared" si="8"/>
        <v>93801.752695931544</v>
      </c>
      <c r="R38" s="191">
        <f t="shared" si="8"/>
        <v>93801.752695931544</v>
      </c>
      <c r="S38" s="191">
        <f t="shared" si="8"/>
        <v>93801.752695931544</v>
      </c>
      <c r="T38" s="191">
        <f t="shared" si="8"/>
        <v>93801.752695931544</v>
      </c>
      <c r="U38" s="191">
        <f t="shared" si="8"/>
        <v>93801.752695931544</v>
      </c>
      <c r="V38" s="191">
        <f t="shared" si="8"/>
        <v>93801.752695931544</v>
      </c>
      <c r="W38" s="191">
        <f t="shared" si="8"/>
        <v>93801.752695931544</v>
      </c>
      <c r="X38" s="191">
        <f t="shared" si="8"/>
        <v>93801.752695931544</v>
      </c>
      <c r="Y38" s="191">
        <f t="shared" si="8"/>
        <v>93801.752695931544</v>
      </c>
      <c r="Z38" s="191">
        <f t="shared" si="8"/>
        <v>93801.752695931544</v>
      </c>
      <c r="AA38" s="191">
        <f t="shared" si="8"/>
        <v>96025.933040120304</v>
      </c>
      <c r="AB38" s="191">
        <f t="shared" si="8"/>
        <v>96025.933040120304</v>
      </c>
      <c r="AC38" s="191">
        <f t="shared" si="8"/>
        <v>96025.933040120304</v>
      </c>
      <c r="AD38" s="191">
        <f t="shared" si="8"/>
        <v>96025.933040120304</v>
      </c>
      <c r="AE38" s="191">
        <f t="shared" si="8"/>
        <v>96025.933040120304</v>
      </c>
      <c r="AF38" s="191">
        <f t="shared" si="8"/>
        <v>96025.933040120304</v>
      </c>
      <c r="AG38" s="191">
        <f t="shared" si="8"/>
        <v>96025.933040120304</v>
      </c>
      <c r="AH38" s="191">
        <f t="shared" ref="AH38:BK38" si="9">AH17-AH35</f>
        <v>96025.933040120304</v>
      </c>
      <c r="AI38" s="191">
        <f t="shared" si="9"/>
        <v>96025.933040120304</v>
      </c>
      <c r="AJ38" s="191">
        <f t="shared" si="9"/>
        <v>96025.933040120304</v>
      </c>
      <c r="AK38" s="191">
        <f t="shared" si="9"/>
        <v>96025.933040120304</v>
      </c>
      <c r="AL38" s="191">
        <f t="shared" si="9"/>
        <v>96025.933040120304</v>
      </c>
      <c r="AM38" s="191">
        <f t="shared" si="9"/>
        <v>98295.418741120317</v>
      </c>
      <c r="AN38" s="191">
        <f t="shared" si="9"/>
        <v>98295.418741120317</v>
      </c>
      <c r="AO38" s="191">
        <f t="shared" si="9"/>
        <v>98295.418741120317</v>
      </c>
      <c r="AP38" s="191">
        <f t="shared" si="9"/>
        <v>98295.418741120317</v>
      </c>
      <c r="AQ38" s="191">
        <f t="shared" si="9"/>
        <v>98295.418741120317</v>
      </c>
      <c r="AR38" s="191">
        <f t="shared" si="9"/>
        <v>98295.418741120317</v>
      </c>
      <c r="AS38" s="191">
        <f t="shared" si="9"/>
        <v>98295.418741120317</v>
      </c>
      <c r="AT38" s="191">
        <f t="shared" si="9"/>
        <v>98295.418741120317</v>
      </c>
      <c r="AU38" s="191">
        <f t="shared" si="9"/>
        <v>98295.418741120317</v>
      </c>
      <c r="AV38" s="191">
        <f t="shared" si="9"/>
        <v>98295.418741120317</v>
      </c>
      <c r="AW38" s="191">
        <f t="shared" si="9"/>
        <v>98295.418741120317</v>
      </c>
      <c r="AX38" s="191">
        <f t="shared" si="9"/>
        <v>98295.418741120317</v>
      </c>
      <c r="AY38" s="191">
        <f t="shared" si="9"/>
        <v>100611.11530746563</v>
      </c>
      <c r="AZ38" s="191">
        <f t="shared" si="9"/>
        <v>100611.11530746563</v>
      </c>
      <c r="BA38" s="191">
        <f t="shared" si="9"/>
        <v>100611.11530746563</v>
      </c>
      <c r="BB38" s="191">
        <f t="shared" si="9"/>
        <v>100611.11530746563</v>
      </c>
      <c r="BC38" s="191">
        <f t="shared" si="9"/>
        <v>100611.11530746563</v>
      </c>
      <c r="BD38" s="191">
        <f t="shared" si="9"/>
        <v>100611.11530746563</v>
      </c>
      <c r="BE38" s="191">
        <f t="shared" si="9"/>
        <v>100611.11530746563</v>
      </c>
      <c r="BF38" s="191">
        <f t="shared" si="9"/>
        <v>100611.11530746563</v>
      </c>
      <c r="BG38" s="191">
        <f t="shared" si="9"/>
        <v>100611.11530746563</v>
      </c>
      <c r="BH38" s="191">
        <f t="shared" si="9"/>
        <v>100611.11530746563</v>
      </c>
      <c r="BI38" s="191">
        <f t="shared" si="9"/>
        <v>100611.11530746563</v>
      </c>
      <c r="BJ38" s="191">
        <f t="shared" si="9"/>
        <v>100611.11530746563</v>
      </c>
      <c r="BK38" s="191">
        <f t="shared" si="9"/>
        <v>102973.94613244309</v>
      </c>
    </row>
    <row r="39" spans="1:63" ht="15.75" customHeight="1" x14ac:dyDescent="0.2"/>
    <row r="40" spans="1:63" ht="15" customHeight="1" x14ac:dyDescent="0.2">
      <c r="A40" s="171" t="s">
        <v>732</v>
      </c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</row>
    <row r="41" spans="1:63" ht="15" customHeight="1" x14ac:dyDescent="0.2">
      <c r="A41" s="26" t="s">
        <v>716</v>
      </c>
      <c r="B41" s="73">
        <v>0</v>
      </c>
      <c r="C41" s="57">
        <f>'Permanent Financing'!E13</f>
        <v>59216.666666666664</v>
      </c>
      <c r="D41" s="57">
        <f>'Permanent Financing'!E14</f>
        <v>59182.923159855403</v>
      </c>
      <c r="E41" s="57">
        <f>'Permanent Financing'!E15</f>
        <v>59149.074485781246</v>
      </c>
      <c r="F41" s="57">
        <f>'Permanent Financing'!E16</f>
        <v>59115.120316672896</v>
      </c>
      <c r="G41" s="57">
        <f>'Permanent Financing'!E17</f>
        <v>59081.060323737482</v>
      </c>
      <c r="H41" s="57">
        <f>'Permanent Financing'!E18</f>
        <v>59046.894177157425</v>
      </c>
      <c r="I41" s="57">
        <f>'Permanent Financing'!E19</f>
        <v>59012.62154608719</v>
      </c>
      <c r="J41" s="57">
        <f>'Permanent Financing'!E20</f>
        <v>58978.242098650131</v>
      </c>
      <c r="K41" s="57">
        <f>'Permanent Financing'!E21</f>
        <v>58943.755501935222</v>
      </c>
      <c r="L41" s="57">
        <f>'Permanent Financing'!E22</f>
        <v>58909.161421993878</v>
      </c>
      <c r="M41" s="57">
        <f>'Permanent Financing'!E23</f>
        <v>58874.459523836726</v>
      </c>
      <c r="N41" s="57">
        <f>'Permanent Financing'!E24</f>
        <v>58839.649471430312</v>
      </c>
      <c r="O41" s="57">
        <f>'Permanent Financing'!E25</f>
        <v>58804.730927693898</v>
      </c>
      <c r="P41" s="57">
        <f>'Permanent Financing'!E26</f>
        <v>58769.703554496176</v>
      </c>
      <c r="Q41" s="57">
        <f>'Permanent Financing'!E27</f>
        <v>58734.567012651976</v>
      </c>
      <c r="R41" s="57">
        <f>'Permanent Financing'!E28</f>
        <v>58699.320961919038</v>
      </c>
      <c r="S41" s="57">
        <f>'Permanent Financing'!E29</f>
        <v>58663.965060994655</v>
      </c>
      <c r="T41" s="57">
        <f>'Permanent Financing'!E30</f>
        <v>58628.498967512394</v>
      </c>
      <c r="U41" s="57">
        <f>'Permanent Financing'!E31</f>
        <v>58592.922338038763</v>
      </c>
      <c r="V41" s="57">
        <f>'Permanent Financing'!E32</f>
        <v>58557.234828069959</v>
      </c>
      <c r="W41" s="57">
        <f>'Permanent Financing'!E33</f>
        <v>58521.436092028409</v>
      </c>
      <c r="X41" s="57">
        <f>'Permanent Financing'!E34</f>
        <v>58485.525783259531</v>
      </c>
      <c r="Y41" s="57">
        <f>'Permanent Financing'!E35</f>
        <v>58449.503554028328</v>
      </c>
      <c r="Z41" s="57">
        <f>'Permanent Financing'!E36</f>
        <v>58413.369055516014</v>
      </c>
      <c r="AA41" s="57">
        <f>'Permanent Financing'!E37</f>
        <v>58377.121937816672</v>
      </c>
      <c r="AB41" s="57">
        <f>'Permanent Financing'!E38</f>
        <v>58340.761849933828</v>
      </c>
      <c r="AC41" s="57">
        <f>'Permanent Financing'!E39</f>
        <v>58304.28843977709</v>
      </c>
      <c r="AD41" s="57">
        <f>'Permanent Financing'!E40</f>
        <v>58267.701354158693</v>
      </c>
      <c r="AE41" s="57">
        <f>'Permanent Financing'!E41</f>
        <v>58231.000238790126</v>
      </c>
      <c r="AF41" s="57">
        <f>'Permanent Financing'!E42</f>
        <v>58194.184738278644</v>
      </c>
      <c r="AG41" s="57">
        <f>'Permanent Financing'!E43</f>
        <v>58157.254496123918</v>
      </c>
      <c r="AH41" s="57">
        <f>'Permanent Financing'!E44</f>
        <v>58120.209154714474</v>
      </c>
      <c r="AI41" s="57">
        <f>'Permanent Financing'!E45</f>
        <v>58083.048355324303</v>
      </c>
      <c r="AJ41" s="57">
        <f>'Permanent Financing'!E46</f>
        <v>58045.771738109361</v>
      </c>
      <c r="AK41" s="57">
        <f>'Permanent Financing'!E47</f>
        <v>58008.3789421041</v>
      </c>
      <c r="AL41" s="57">
        <f>'Permanent Financing'!E48</f>
        <v>57970.869605217958</v>
      </c>
      <c r="AM41" s="57">
        <f>'Permanent Financing'!E49</f>
        <v>57933.24336423185</v>
      </c>
      <c r="AN41" s="57">
        <f>'Permanent Financing'!E50</f>
        <v>57895.499854794674</v>
      </c>
      <c r="AO41" s="57">
        <f>'Permanent Financing'!E51</f>
        <v>57857.638711419742</v>
      </c>
      <c r="AP41" s="57">
        <f>'Permanent Financing'!E52</f>
        <v>57819.659567481307</v>
      </c>
      <c r="AQ41" s="57">
        <f>'Permanent Financing'!E53</f>
        <v>57781.562055210918</v>
      </c>
      <c r="AR41" s="57">
        <f>'Permanent Financing'!E54</f>
        <v>57743.345805693949</v>
      </c>
      <c r="AS41" s="57">
        <f>'Permanent Financing'!E55</f>
        <v>57705.010448866</v>
      </c>
      <c r="AT41" s="57">
        <f>'Permanent Financing'!E56</f>
        <v>57666.55561350927</v>
      </c>
      <c r="AU41" s="57">
        <f>'Permanent Financing'!E57</f>
        <v>57627.980927249002</v>
      </c>
      <c r="AV41" s="57">
        <f>'Permanent Financing'!E58</f>
        <v>57589.286016549893</v>
      </c>
      <c r="AW41" s="57">
        <f>'Permanent Financing'!E59</f>
        <v>57550.470506712431</v>
      </c>
      <c r="AX41" s="57">
        <f>'Permanent Financing'!E60</f>
        <v>57511.534021869309</v>
      </c>
      <c r="AY41" s="57">
        <f>'Permanent Financing'!E61</f>
        <v>57472.476184981759</v>
      </c>
      <c r="AZ41" s="57">
        <f>'Permanent Financing'!E62</f>
        <v>57433.29661783592</v>
      </c>
      <c r="BA41" s="57">
        <f>'Permanent Financing'!E63</f>
        <v>57393.994941039142</v>
      </c>
      <c r="BB41" s="57">
        <f>'Permanent Financing'!E64</f>
        <v>57354.570774016342</v>
      </c>
      <c r="BC41" s="57">
        <f>'Permanent Financing'!E65</f>
        <v>57315.023735006325</v>
      </c>
      <c r="BD41" s="57">
        <f>'Permanent Financing'!E66</f>
        <v>57275.353441058061</v>
      </c>
      <c r="BE41" s="57">
        <f>'Permanent Financing'!E67</f>
        <v>57235.559508026992</v>
      </c>
      <c r="BF41" s="57">
        <f>'Permanent Financing'!E68</f>
        <v>57195.641550571308</v>
      </c>
      <c r="BG41" s="57">
        <f>'Permanent Financing'!E69</f>
        <v>57155.599182148224</v>
      </c>
      <c r="BH41" s="57">
        <f>'Permanent Financing'!E70</f>
        <v>57115.432015010221</v>
      </c>
      <c r="BI41" s="57">
        <f>'Permanent Financing'!E71</f>
        <v>57075.139660201305</v>
      </c>
      <c r="BJ41" s="57">
        <f>'Permanent Financing'!E72</f>
        <v>57034.721727553224</v>
      </c>
      <c r="BK41" s="73">
        <v>0</v>
      </c>
    </row>
    <row r="42" spans="1:63" ht="15" customHeight="1" x14ac:dyDescent="0.2">
      <c r="A42" s="26" t="s">
        <v>733</v>
      </c>
      <c r="B42" s="73">
        <v>0</v>
      </c>
      <c r="C42" s="57">
        <f>'Permanent Financing'!F13</f>
        <v>10826.793629280633</v>
      </c>
      <c r="D42" s="57">
        <f>'Permanent Financing'!F14</f>
        <v>10860.537136091894</v>
      </c>
      <c r="E42" s="57">
        <f>'Permanent Financing'!F15</f>
        <v>10894.385810166052</v>
      </c>
      <c r="F42" s="57">
        <f>'Permanent Financing'!F16</f>
        <v>10928.339979274402</v>
      </c>
      <c r="G42" s="57">
        <f>'Permanent Financing'!F17</f>
        <v>10962.399972209816</v>
      </c>
      <c r="H42" s="57">
        <f>'Permanent Financing'!F18</f>
        <v>10996.566118789873</v>
      </c>
      <c r="I42" s="57">
        <f>'Permanent Financing'!F19</f>
        <v>11030.838749860108</v>
      </c>
      <c r="J42" s="57">
        <f>'Permanent Financing'!F20</f>
        <v>11065.218197297167</v>
      </c>
      <c r="K42" s="57">
        <f>'Permanent Financing'!F21</f>
        <v>11099.704794012076</v>
      </c>
      <c r="L42" s="57">
        <f>'Permanent Financing'!F22</f>
        <v>11134.298873953419</v>
      </c>
      <c r="M42" s="57">
        <f>'Permanent Financing'!F23</f>
        <v>11169.000772110572</v>
      </c>
      <c r="N42" s="57">
        <f>'Permanent Financing'!F24</f>
        <v>11203.810824516986</v>
      </c>
      <c r="O42" s="57">
        <f>'Permanent Financing'!F25</f>
        <v>11238.7293682534</v>
      </c>
      <c r="P42" s="57">
        <f>'Permanent Financing'!F26</f>
        <v>11273.756741451121</v>
      </c>
      <c r="Q42" s="57">
        <f>'Permanent Financing'!F27</f>
        <v>11308.893283295321</v>
      </c>
      <c r="R42" s="57">
        <f>'Permanent Financing'!F28</f>
        <v>11344.139334028259</v>
      </c>
      <c r="S42" s="57">
        <f>'Permanent Financing'!F29</f>
        <v>11379.495234952643</v>
      </c>
      <c r="T42" s="57">
        <f>'Permanent Financing'!F30</f>
        <v>11414.961328434903</v>
      </c>
      <c r="U42" s="57">
        <f>'Permanent Financing'!F31</f>
        <v>11450.537957908535</v>
      </c>
      <c r="V42" s="57">
        <f>'Permanent Financing'!F32</f>
        <v>11486.225467877339</v>
      </c>
      <c r="W42" s="57">
        <f>'Permanent Financing'!F33</f>
        <v>11522.024203918889</v>
      </c>
      <c r="X42" s="57">
        <f>'Permanent Financing'!F34</f>
        <v>11557.934512687767</v>
      </c>
      <c r="Y42" s="57">
        <f>'Permanent Financing'!F35</f>
        <v>11593.95674191897</v>
      </c>
      <c r="Z42" s="57">
        <f>'Permanent Financing'!F36</f>
        <v>11630.091240431284</v>
      </c>
      <c r="AA42" s="57">
        <f>'Permanent Financing'!F37</f>
        <v>11666.338358130626</v>
      </c>
      <c r="AB42" s="57">
        <f>'Permanent Financing'!F38</f>
        <v>11702.69844601347</v>
      </c>
      <c r="AC42" s="57">
        <f>'Permanent Financing'!F39</f>
        <v>11739.171856170207</v>
      </c>
      <c r="AD42" s="57">
        <f>'Permanent Financing'!F40</f>
        <v>11775.758941788605</v>
      </c>
      <c r="AE42" s="57">
        <f>'Permanent Financing'!F41</f>
        <v>11812.460057157172</v>
      </c>
      <c r="AF42" s="57">
        <f>'Permanent Financing'!F42</f>
        <v>11849.275557668654</v>
      </c>
      <c r="AG42" s="57">
        <f>'Permanent Financing'!F43</f>
        <v>11886.205799823379</v>
      </c>
      <c r="AH42" s="57">
        <f>'Permanent Financing'!F44</f>
        <v>11923.251141232824</v>
      </c>
      <c r="AI42" s="57">
        <f>'Permanent Financing'!F45</f>
        <v>11960.411940622995</v>
      </c>
      <c r="AJ42" s="57">
        <f>'Permanent Financing'!F46</f>
        <v>11997.688557837937</v>
      </c>
      <c r="AK42" s="57">
        <f>'Permanent Financing'!F47</f>
        <v>12035.081353843198</v>
      </c>
      <c r="AL42" s="57">
        <f>'Permanent Financing'!F48</f>
        <v>12072.590690729339</v>
      </c>
      <c r="AM42" s="57">
        <f>'Permanent Financing'!F49</f>
        <v>12110.216931715448</v>
      </c>
      <c r="AN42" s="57">
        <f>'Permanent Financing'!F50</f>
        <v>12147.960441152623</v>
      </c>
      <c r="AO42" s="57">
        <f>'Permanent Financing'!F51</f>
        <v>12185.821584527555</v>
      </c>
      <c r="AP42" s="57">
        <f>'Permanent Financing'!F52</f>
        <v>12223.800728465991</v>
      </c>
      <c r="AQ42" s="57">
        <f>'Permanent Financing'!F53</f>
        <v>12261.89824073638</v>
      </c>
      <c r="AR42" s="57">
        <f>'Permanent Financing'!F54</f>
        <v>12300.114490253349</v>
      </c>
      <c r="AS42" s="57">
        <f>'Permanent Financing'!F55</f>
        <v>12338.449847081298</v>
      </c>
      <c r="AT42" s="57">
        <f>'Permanent Financing'!F56</f>
        <v>12376.904682438028</v>
      </c>
      <c r="AU42" s="57">
        <f>'Permanent Financing'!F57</f>
        <v>12415.479368698296</v>
      </c>
      <c r="AV42" s="57">
        <f>'Permanent Financing'!F58</f>
        <v>12454.174279397404</v>
      </c>
      <c r="AW42" s="57">
        <f>'Permanent Financing'!F59</f>
        <v>12492.989789234867</v>
      </c>
      <c r="AX42" s="57">
        <f>'Permanent Financing'!F60</f>
        <v>12531.926274077989</v>
      </c>
      <c r="AY42" s="57">
        <f>'Permanent Financing'!F61</f>
        <v>12570.984110965539</v>
      </c>
      <c r="AZ42" s="57">
        <f>'Permanent Financing'!F62</f>
        <v>12610.163678111378</v>
      </c>
      <c r="BA42" s="57">
        <f>'Permanent Financing'!F63</f>
        <v>12649.465354908156</v>
      </c>
      <c r="BB42" s="57">
        <f>'Permanent Financing'!F64</f>
        <v>12688.889521930956</v>
      </c>
      <c r="BC42" s="57">
        <f>'Permanent Financing'!F65</f>
        <v>12728.436560940972</v>
      </c>
      <c r="BD42" s="57">
        <f>'Permanent Financing'!F66</f>
        <v>12768.106854889236</v>
      </c>
      <c r="BE42" s="57">
        <f>'Permanent Financing'!F67</f>
        <v>12807.900787920305</v>
      </c>
      <c r="BF42" s="57">
        <f>'Permanent Financing'!F68</f>
        <v>12847.818745375989</v>
      </c>
      <c r="BG42" s="57">
        <f>'Permanent Financing'!F69</f>
        <v>12887.861113799074</v>
      </c>
      <c r="BH42" s="57">
        <f>'Permanent Financing'!F70</f>
        <v>12928.028280937076</v>
      </c>
      <c r="BI42" s="57">
        <f>'Permanent Financing'!F71</f>
        <v>12968.320635745993</v>
      </c>
      <c r="BJ42" s="57">
        <f>'Permanent Financing'!F72</f>
        <v>13008.738568394074</v>
      </c>
      <c r="BK42" s="73">
        <v>0</v>
      </c>
    </row>
    <row r="43" spans="1:63" ht="15" customHeight="1" x14ac:dyDescent="0.2">
      <c r="A43" s="34" t="s">
        <v>734</v>
      </c>
      <c r="B43" s="194">
        <f t="shared" ref="B43:AG43" si="10">B41+B42</f>
        <v>0</v>
      </c>
      <c r="C43" s="194">
        <f t="shared" si="10"/>
        <v>70043.460295947298</v>
      </c>
      <c r="D43" s="194">
        <f t="shared" si="10"/>
        <v>70043.460295947298</v>
      </c>
      <c r="E43" s="194">
        <f t="shared" si="10"/>
        <v>70043.460295947298</v>
      </c>
      <c r="F43" s="194">
        <f t="shared" si="10"/>
        <v>70043.460295947298</v>
      </c>
      <c r="G43" s="194">
        <f t="shared" si="10"/>
        <v>70043.460295947298</v>
      </c>
      <c r="H43" s="194">
        <f t="shared" si="10"/>
        <v>70043.460295947298</v>
      </c>
      <c r="I43" s="194">
        <f t="shared" si="10"/>
        <v>70043.460295947298</v>
      </c>
      <c r="J43" s="194">
        <f t="shared" si="10"/>
        <v>70043.460295947298</v>
      </c>
      <c r="K43" s="194">
        <f t="shared" si="10"/>
        <v>70043.460295947298</v>
      </c>
      <c r="L43" s="194">
        <f t="shared" si="10"/>
        <v>70043.460295947298</v>
      </c>
      <c r="M43" s="194">
        <f t="shared" si="10"/>
        <v>70043.460295947298</v>
      </c>
      <c r="N43" s="194">
        <f t="shared" si="10"/>
        <v>70043.460295947298</v>
      </c>
      <c r="O43" s="194">
        <f t="shared" si="10"/>
        <v>70043.460295947298</v>
      </c>
      <c r="P43" s="194">
        <f t="shared" si="10"/>
        <v>70043.460295947298</v>
      </c>
      <c r="Q43" s="194">
        <f t="shared" si="10"/>
        <v>70043.460295947298</v>
      </c>
      <c r="R43" s="194">
        <f t="shared" si="10"/>
        <v>70043.460295947298</v>
      </c>
      <c r="S43" s="194">
        <f t="shared" si="10"/>
        <v>70043.460295947298</v>
      </c>
      <c r="T43" s="194">
        <f t="shared" si="10"/>
        <v>70043.460295947298</v>
      </c>
      <c r="U43" s="194">
        <f t="shared" si="10"/>
        <v>70043.460295947298</v>
      </c>
      <c r="V43" s="194">
        <f t="shared" si="10"/>
        <v>70043.460295947298</v>
      </c>
      <c r="W43" s="194">
        <f t="shared" si="10"/>
        <v>70043.460295947298</v>
      </c>
      <c r="X43" s="194">
        <f t="shared" si="10"/>
        <v>70043.460295947298</v>
      </c>
      <c r="Y43" s="194">
        <f t="shared" si="10"/>
        <v>70043.460295947298</v>
      </c>
      <c r="Z43" s="194">
        <f t="shared" si="10"/>
        <v>70043.460295947298</v>
      </c>
      <c r="AA43" s="194">
        <f t="shared" si="10"/>
        <v>70043.460295947298</v>
      </c>
      <c r="AB43" s="194">
        <f t="shared" si="10"/>
        <v>70043.460295947298</v>
      </c>
      <c r="AC43" s="194">
        <f t="shared" si="10"/>
        <v>70043.460295947298</v>
      </c>
      <c r="AD43" s="194">
        <f t="shared" si="10"/>
        <v>70043.460295947298</v>
      </c>
      <c r="AE43" s="194">
        <f t="shared" si="10"/>
        <v>70043.460295947298</v>
      </c>
      <c r="AF43" s="194">
        <f t="shared" si="10"/>
        <v>70043.460295947298</v>
      </c>
      <c r="AG43" s="194">
        <f t="shared" si="10"/>
        <v>70043.460295947298</v>
      </c>
      <c r="AH43" s="194">
        <f t="shared" ref="AH43:BM43" si="11">AH41+AH42</f>
        <v>70043.460295947298</v>
      </c>
      <c r="AI43" s="194">
        <f t="shared" si="11"/>
        <v>70043.460295947298</v>
      </c>
      <c r="AJ43" s="194">
        <f t="shared" si="11"/>
        <v>70043.460295947298</v>
      </c>
      <c r="AK43" s="194">
        <f t="shared" si="11"/>
        <v>70043.460295947298</v>
      </c>
      <c r="AL43" s="194">
        <f t="shared" si="11"/>
        <v>70043.460295947298</v>
      </c>
      <c r="AM43" s="194">
        <f t="shared" si="11"/>
        <v>70043.460295947298</v>
      </c>
      <c r="AN43" s="194">
        <f t="shared" si="11"/>
        <v>70043.460295947298</v>
      </c>
      <c r="AO43" s="194">
        <f t="shared" si="11"/>
        <v>70043.460295947298</v>
      </c>
      <c r="AP43" s="194">
        <f t="shared" si="11"/>
        <v>70043.460295947298</v>
      </c>
      <c r="AQ43" s="194">
        <f t="shared" si="11"/>
        <v>70043.460295947298</v>
      </c>
      <c r="AR43" s="194">
        <f t="shared" si="11"/>
        <v>70043.460295947298</v>
      </c>
      <c r="AS43" s="194">
        <f t="shared" si="11"/>
        <v>70043.460295947298</v>
      </c>
      <c r="AT43" s="194">
        <f t="shared" si="11"/>
        <v>70043.460295947298</v>
      </c>
      <c r="AU43" s="194">
        <f t="shared" si="11"/>
        <v>70043.460295947298</v>
      </c>
      <c r="AV43" s="194">
        <f t="shared" si="11"/>
        <v>70043.460295947298</v>
      </c>
      <c r="AW43" s="194">
        <f t="shared" si="11"/>
        <v>70043.460295947298</v>
      </c>
      <c r="AX43" s="194">
        <f t="shared" si="11"/>
        <v>70043.460295947298</v>
      </c>
      <c r="AY43" s="194">
        <f t="shared" si="11"/>
        <v>70043.460295947298</v>
      </c>
      <c r="AZ43" s="194">
        <f t="shared" si="11"/>
        <v>70043.460295947298</v>
      </c>
      <c r="BA43" s="194">
        <f t="shared" si="11"/>
        <v>70043.460295947298</v>
      </c>
      <c r="BB43" s="194">
        <f t="shared" si="11"/>
        <v>70043.460295947298</v>
      </c>
      <c r="BC43" s="194">
        <f t="shared" si="11"/>
        <v>70043.460295947298</v>
      </c>
      <c r="BD43" s="194">
        <f t="shared" si="11"/>
        <v>70043.460295947298</v>
      </c>
      <c r="BE43" s="194">
        <f t="shared" si="11"/>
        <v>70043.460295947298</v>
      </c>
      <c r="BF43" s="194">
        <f t="shared" si="11"/>
        <v>70043.460295947298</v>
      </c>
      <c r="BG43" s="194">
        <f t="shared" si="11"/>
        <v>70043.460295947298</v>
      </c>
      <c r="BH43" s="194">
        <f t="shared" si="11"/>
        <v>70043.460295947298</v>
      </c>
      <c r="BI43" s="194">
        <f t="shared" si="11"/>
        <v>70043.460295947298</v>
      </c>
      <c r="BJ43" s="194">
        <f t="shared" si="11"/>
        <v>70043.460295947298</v>
      </c>
      <c r="BK43" s="194">
        <f t="shared" si="11"/>
        <v>0</v>
      </c>
    </row>
    <row r="44" spans="1:63" ht="15.75" customHeight="1" x14ac:dyDescent="0.2"/>
    <row r="45" spans="1:63" ht="15" customHeight="1" x14ac:dyDescent="0.2">
      <c r="A45" s="34" t="s">
        <v>735</v>
      </c>
      <c r="B45" s="191">
        <f t="shared" ref="B45:AG45" si="12">B38-B43</f>
        <v>89485.773416666663</v>
      </c>
      <c r="C45" s="191">
        <f t="shared" si="12"/>
        <v>21578.529445918539</v>
      </c>
      <c r="D45" s="191">
        <f t="shared" si="12"/>
        <v>21578.529445918539</v>
      </c>
      <c r="E45" s="191">
        <f t="shared" si="12"/>
        <v>21578.529445918539</v>
      </c>
      <c r="F45" s="191">
        <f t="shared" si="12"/>
        <v>21578.529445918539</v>
      </c>
      <c r="G45" s="191">
        <f t="shared" si="12"/>
        <v>21578.529445918539</v>
      </c>
      <c r="H45" s="191">
        <f t="shared" si="12"/>
        <v>21578.529445918539</v>
      </c>
      <c r="I45" s="191">
        <f t="shared" si="12"/>
        <v>21578.529445918539</v>
      </c>
      <c r="J45" s="191">
        <f t="shared" si="12"/>
        <v>21578.529445918539</v>
      </c>
      <c r="K45" s="191">
        <f t="shared" si="12"/>
        <v>21578.529445918539</v>
      </c>
      <c r="L45" s="191">
        <f t="shared" si="12"/>
        <v>21578.529445918539</v>
      </c>
      <c r="M45" s="191">
        <f t="shared" si="12"/>
        <v>21578.529445918539</v>
      </c>
      <c r="N45" s="191">
        <f t="shared" si="12"/>
        <v>21578.529445918539</v>
      </c>
      <c r="O45" s="191">
        <f t="shared" si="12"/>
        <v>23758.292399984246</v>
      </c>
      <c r="P45" s="191">
        <f t="shared" si="12"/>
        <v>23758.292399984246</v>
      </c>
      <c r="Q45" s="191">
        <f t="shared" si="12"/>
        <v>23758.292399984246</v>
      </c>
      <c r="R45" s="191">
        <f t="shared" si="12"/>
        <v>23758.292399984246</v>
      </c>
      <c r="S45" s="191">
        <f t="shared" si="12"/>
        <v>23758.292399984246</v>
      </c>
      <c r="T45" s="191">
        <f t="shared" si="12"/>
        <v>23758.292399984246</v>
      </c>
      <c r="U45" s="191">
        <f t="shared" si="12"/>
        <v>23758.292399984246</v>
      </c>
      <c r="V45" s="191">
        <f t="shared" si="12"/>
        <v>23758.292399984246</v>
      </c>
      <c r="W45" s="191">
        <f t="shared" si="12"/>
        <v>23758.292399984246</v>
      </c>
      <c r="X45" s="191">
        <f t="shared" si="12"/>
        <v>23758.292399984246</v>
      </c>
      <c r="Y45" s="191">
        <f t="shared" si="12"/>
        <v>23758.292399984246</v>
      </c>
      <c r="Z45" s="191">
        <f t="shared" si="12"/>
        <v>23758.292399984246</v>
      </c>
      <c r="AA45" s="191">
        <f t="shared" si="12"/>
        <v>25982.472744173007</v>
      </c>
      <c r="AB45" s="191">
        <f t="shared" si="12"/>
        <v>25982.472744173007</v>
      </c>
      <c r="AC45" s="191">
        <f t="shared" si="12"/>
        <v>25982.472744173007</v>
      </c>
      <c r="AD45" s="191">
        <f t="shared" si="12"/>
        <v>25982.472744173007</v>
      </c>
      <c r="AE45" s="191">
        <f t="shared" si="12"/>
        <v>25982.472744173007</v>
      </c>
      <c r="AF45" s="191">
        <f t="shared" si="12"/>
        <v>25982.472744173007</v>
      </c>
      <c r="AG45" s="191">
        <f t="shared" si="12"/>
        <v>25982.472744173007</v>
      </c>
      <c r="AH45" s="191">
        <f t="shared" ref="AH45:BK45" si="13">AH38-AH43</f>
        <v>25982.472744173007</v>
      </c>
      <c r="AI45" s="191">
        <f t="shared" si="13"/>
        <v>25982.472744173007</v>
      </c>
      <c r="AJ45" s="191">
        <f t="shared" si="13"/>
        <v>25982.472744173007</v>
      </c>
      <c r="AK45" s="191">
        <f t="shared" si="13"/>
        <v>25982.472744173007</v>
      </c>
      <c r="AL45" s="191">
        <f t="shared" si="13"/>
        <v>25982.472744173007</v>
      </c>
      <c r="AM45" s="191">
        <f t="shared" si="13"/>
        <v>28251.958445173019</v>
      </c>
      <c r="AN45" s="191">
        <f t="shared" si="13"/>
        <v>28251.958445173019</v>
      </c>
      <c r="AO45" s="191">
        <f t="shared" si="13"/>
        <v>28251.958445173019</v>
      </c>
      <c r="AP45" s="191">
        <f t="shared" si="13"/>
        <v>28251.958445173019</v>
      </c>
      <c r="AQ45" s="191">
        <f t="shared" si="13"/>
        <v>28251.958445173019</v>
      </c>
      <c r="AR45" s="191">
        <f t="shared" si="13"/>
        <v>28251.958445173019</v>
      </c>
      <c r="AS45" s="191">
        <f t="shared" si="13"/>
        <v>28251.958445173019</v>
      </c>
      <c r="AT45" s="191">
        <f t="shared" si="13"/>
        <v>28251.958445173019</v>
      </c>
      <c r="AU45" s="191">
        <f t="shared" si="13"/>
        <v>28251.958445173019</v>
      </c>
      <c r="AV45" s="191">
        <f t="shared" si="13"/>
        <v>28251.958445173019</v>
      </c>
      <c r="AW45" s="191">
        <f t="shared" si="13"/>
        <v>28251.958445173019</v>
      </c>
      <c r="AX45" s="191">
        <f t="shared" si="13"/>
        <v>28251.958445173019</v>
      </c>
      <c r="AY45" s="191">
        <f t="shared" si="13"/>
        <v>30567.655011518335</v>
      </c>
      <c r="AZ45" s="191">
        <f t="shared" si="13"/>
        <v>30567.655011518335</v>
      </c>
      <c r="BA45" s="191">
        <f t="shared" si="13"/>
        <v>30567.655011518335</v>
      </c>
      <c r="BB45" s="191">
        <f t="shared" si="13"/>
        <v>30567.655011518335</v>
      </c>
      <c r="BC45" s="191">
        <f t="shared" si="13"/>
        <v>30567.655011518335</v>
      </c>
      <c r="BD45" s="191">
        <f t="shared" si="13"/>
        <v>30567.655011518335</v>
      </c>
      <c r="BE45" s="191">
        <f t="shared" si="13"/>
        <v>30567.655011518335</v>
      </c>
      <c r="BF45" s="191">
        <f t="shared" si="13"/>
        <v>30567.655011518335</v>
      </c>
      <c r="BG45" s="191">
        <f t="shared" si="13"/>
        <v>30567.655011518335</v>
      </c>
      <c r="BH45" s="191">
        <f t="shared" si="13"/>
        <v>30567.655011518335</v>
      </c>
      <c r="BI45" s="191">
        <f t="shared" si="13"/>
        <v>30567.655011518335</v>
      </c>
      <c r="BJ45" s="191">
        <f t="shared" si="13"/>
        <v>30567.655011518335</v>
      </c>
      <c r="BK45" s="191">
        <f t="shared" si="13"/>
        <v>102973.94613244309</v>
      </c>
    </row>
    <row r="46" spans="1:63" ht="15.75" customHeight="1" x14ac:dyDescent="0.2"/>
    <row r="47" spans="1:63" ht="15" customHeight="1" x14ac:dyDescent="0.2">
      <c r="A47" s="171" t="s">
        <v>50</v>
      </c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</row>
    <row r="48" spans="1:63" ht="15" customHeight="1" x14ac:dyDescent="0.2">
      <c r="A48" s="26" t="s">
        <v>736</v>
      </c>
      <c r="B48" s="195">
        <v>0</v>
      </c>
      <c r="C48" s="73">
        <f t="shared" ref="C48:AH48" si="14">B52</f>
        <v>89485.773416666663</v>
      </c>
      <c r="D48" s="73">
        <f t="shared" si="14"/>
        <v>111064.3028625852</v>
      </c>
      <c r="E48" s="73">
        <f t="shared" si="14"/>
        <v>132642.83230850374</v>
      </c>
      <c r="F48" s="73">
        <f t="shared" si="14"/>
        <v>100000</v>
      </c>
      <c r="G48" s="73">
        <f t="shared" si="14"/>
        <v>121578.52944591854</v>
      </c>
      <c r="H48" s="73">
        <f t="shared" si="14"/>
        <v>143157.05889183708</v>
      </c>
      <c r="I48" s="73">
        <f t="shared" si="14"/>
        <v>100000</v>
      </c>
      <c r="J48" s="73">
        <f t="shared" si="14"/>
        <v>121578.52944591854</v>
      </c>
      <c r="K48" s="73">
        <f t="shared" si="14"/>
        <v>143157.05889183708</v>
      </c>
      <c r="L48" s="73">
        <f t="shared" si="14"/>
        <v>100000</v>
      </c>
      <c r="M48" s="73">
        <f t="shared" si="14"/>
        <v>121578.52944591854</v>
      </c>
      <c r="N48" s="73">
        <f t="shared" si="14"/>
        <v>143157.05889183708</v>
      </c>
      <c r="O48" s="73">
        <f t="shared" si="14"/>
        <v>100000</v>
      </c>
      <c r="P48" s="73">
        <f t="shared" si="14"/>
        <v>123758.29239998425</v>
      </c>
      <c r="Q48" s="73">
        <f t="shared" si="14"/>
        <v>147516.58479996849</v>
      </c>
      <c r="R48" s="73">
        <f t="shared" si="14"/>
        <v>100000</v>
      </c>
      <c r="S48" s="73">
        <f t="shared" si="14"/>
        <v>123758.29239998425</v>
      </c>
      <c r="T48" s="73">
        <f t="shared" si="14"/>
        <v>147516.58479996849</v>
      </c>
      <c r="U48" s="73">
        <f t="shared" si="14"/>
        <v>100000</v>
      </c>
      <c r="V48" s="73">
        <f t="shared" si="14"/>
        <v>123758.29239998425</v>
      </c>
      <c r="W48" s="73">
        <f t="shared" si="14"/>
        <v>147516.58479996849</v>
      </c>
      <c r="X48" s="73">
        <f t="shared" si="14"/>
        <v>100000</v>
      </c>
      <c r="Y48" s="73">
        <f t="shared" si="14"/>
        <v>123758.29239998425</v>
      </c>
      <c r="Z48" s="73">
        <f t="shared" si="14"/>
        <v>147516.58479996849</v>
      </c>
      <c r="AA48" s="73">
        <f t="shared" si="14"/>
        <v>100000</v>
      </c>
      <c r="AB48" s="73">
        <f t="shared" si="14"/>
        <v>125982.47274417301</v>
      </c>
      <c r="AC48" s="73">
        <f t="shared" si="14"/>
        <v>151964.94548834601</v>
      </c>
      <c r="AD48" s="73">
        <f t="shared" si="14"/>
        <v>100000</v>
      </c>
      <c r="AE48" s="73">
        <f t="shared" si="14"/>
        <v>125982.47274417301</v>
      </c>
      <c r="AF48" s="73">
        <f t="shared" si="14"/>
        <v>151964.94548834601</v>
      </c>
      <c r="AG48" s="73">
        <f t="shared" si="14"/>
        <v>100000</v>
      </c>
      <c r="AH48" s="73">
        <f t="shared" si="14"/>
        <v>125982.47274417301</v>
      </c>
      <c r="AI48" s="73">
        <f t="shared" ref="AI48:BK48" si="15">AH52</f>
        <v>151964.94548834601</v>
      </c>
      <c r="AJ48" s="73">
        <f t="shared" si="15"/>
        <v>100000</v>
      </c>
      <c r="AK48" s="73">
        <f t="shared" si="15"/>
        <v>125982.47274417301</v>
      </c>
      <c r="AL48" s="73">
        <f t="shared" si="15"/>
        <v>151964.94548834601</v>
      </c>
      <c r="AM48" s="73">
        <f t="shared" si="15"/>
        <v>100000</v>
      </c>
      <c r="AN48" s="73">
        <f t="shared" si="15"/>
        <v>128251.95844517302</v>
      </c>
      <c r="AO48" s="73">
        <f t="shared" si="15"/>
        <v>156503.91689034604</v>
      </c>
      <c r="AP48" s="73">
        <f t="shared" si="15"/>
        <v>100000</v>
      </c>
      <c r="AQ48" s="73">
        <f t="shared" si="15"/>
        <v>128251.95844517302</v>
      </c>
      <c r="AR48" s="73">
        <f t="shared" si="15"/>
        <v>156503.91689034604</v>
      </c>
      <c r="AS48" s="73">
        <f t="shared" si="15"/>
        <v>100000</v>
      </c>
      <c r="AT48" s="73">
        <f t="shared" si="15"/>
        <v>128251.95844517302</v>
      </c>
      <c r="AU48" s="73">
        <f t="shared" si="15"/>
        <v>156503.91689034604</v>
      </c>
      <c r="AV48" s="73">
        <f t="shared" si="15"/>
        <v>100000</v>
      </c>
      <c r="AW48" s="73">
        <f t="shared" si="15"/>
        <v>128251.95844517302</v>
      </c>
      <c r="AX48" s="73">
        <f t="shared" si="15"/>
        <v>156503.91689034604</v>
      </c>
      <c r="AY48" s="73">
        <f t="shared" si="15"/>
        <v>100000</v>
      </c>
      <c r="AZ48" s="73">
        <f t="shared" si="15"/>
        <v>130567.65501151833</v>
      </c>
      <c r="BA48" s="73">
        <f t="shared" si="15"/>
        <v>161135.31002303667</v>
      </c>
      <c r="BB48" s="73">
        <f t="shared" si="15"/>
        <v>100000</v>
      </c>
      <c r="BC48" s="73">
        <f t="shared" si="15"/>
        <v>130567.65501151833</v>
      </c>
      <c r="BD48" s="73">
        <f t="shared" si="15"/>
        <v>161135.31002303667</v>
      </c>
      <c r="BE48" s="73">
        <f t="shared" si="15"/>
        <v>100000</v>
      </c>
      <c r="BF48" s="73">
        <f t="shared" si="15"/>
        <v>130567.65501151833</v>
      </c>
      <c r="BG48" s="73">
        <f t="shared" si="15"/>
        <v>161135.31002303667</v>
      </c>
      <c r="BH48" s="73">
        <f t="shared" si="15"/>
        <v>100000</v>
      </c>
      <c r="BI48" s="73">
        <f t="shared" si="15"/>
        <v>130567.65501151833</v>
      </c>
      <c r="BJ48" s="73">
        <f t="shared" si="15"/>
        <v>161135.31002303667</v>
      </c>
      <c r="BK48" s="73">
        <f t="shared" si="15"/>
        <v>100000</v>
      </c>
    </row>
    <row r="49" spans="1:63" ht="15" customHeight="1" x14ac:dyDescent="0.2">
      <c r="A49" s="26" t="s">
        <v>737</v>
      </c>
      <c r="B49" s="73">
        <f t="shared" ref="B49:AG49" si="16">B45</f>
        <v>89485.773416666663</v>
      </c>
      <c r="C49" s="73">
        <f t="shared" si="16"/>
        <v>21578.529445918539</v>
      </c>
      <c r="D49" s="73">
        <f t="shared" si="16"/>
        <v>21578.529445918539</v>
      </c>
      <c r="E49" s="73">
        <f t="shared" si="16"/>
        <v>21578.529445918539</v>
      </c>
      <c r="F49" s="73">
        <f t="shared" si="16"/>
        <v>21578.529445918539</v>
      </c>
      <c r="G49" s="73">
        <f t="shared" si="16"/>
        <v>21578.529445918539</v>
      </c>
      <c r="H49" s="73">
        <f t="shared" si="16"/>
        <v>21578.529445918539</v>
      </c>
      <c r="I49" s="73">
        <f t="shared" si="16"/>
        <v>21578.529445918539</v>
      </c>
      <c r="J49" s="73">
        <f t="shared" si="16"/>
        <v>21578.529445918539</v>
      </c>
      <c r="K49" s="73">
        <f t="shared" si="16"/>
        <v>21578.529445918539</v>
      </c>
      <c r="L49" s="73">
        <f t="shared" si="16"/>
        <v>21578.529445918539</v>
      </c>
      <c r="M49" s="73">
        <f t="shared" si="16"/>
        <v>21578.529445918539</v>
      </c>
      <c r="N49" s="73">
        <f t="shared" si="16"/>
        <v>21578.529445918539</v>
      </c>
      <c r="O49" s="73">
        <f t="shared" si="16"/>
        <v>23758.292399984246</v>
      </c>
      <c r="P49" s="73">
        <f t="shared" si="16"/>
        <v>23758.292399984246</v>
      </c>
      <c r="Q49" s="73">
        <f t="shared" si="16"/>
        <v>23758.292399984246</v>
      </c>
      <c r="R49" s="73">
        <f t="shared" si="16"/>
        <v>23758.292399984246</v>
      </c>
      <c r="S49" s="73">
        <f t="shared" si="16"/>
        <v>23758.292399984246</v>
      </c>
      <c r="T49" s="73">
        <f t="shared" si="16"/>
        <v>23758.292399984246</v>
      </c>
      <c r="U49" s="73">
        <f t="shared" si="16"/>
        <v>23758.292399984246</v>
      </c>
      <c r="V49" s="73">
        <f t="shared" si="16"/>
        <v>23758.292399984246</v>
      </c>
      <c r="W49" s="73">
        <f t="shared" si="16"/>
        <v>23758.292399984246</v>
      </c>
      <c r="X49" s="73">
        <f t="shared" si="16"/>
        <v>23758.292399984246</v>
      </c>
      <c r="Y49" s="73">
        <f t="shared" si="16"/>
        <v>23758.292399984246</v>
      </c>
      <c r="Z49" s="73">
        <f t="shared" si="16"/>
        <v>23758.292399984246</v>
      </c>
      <c r="AA49" s="73">
        <f t="shared" si="16"/>
        <v>25982.472744173007</v>
      </c>
      <c r="AB49" s="73">
        <f t="shared" si="16"/>
        <v>25982.472744173007</v>
      </c>
      <c r="AC49" s="73">
        <f t="shared" si="16"/>
        <v>25982.472744173007</v>
      </c>
      <c r="AD49" s="73">
        <f t="shared" si="16"/>
        <v>25982.472744173007</v>
      </c>
      <c r="AE49" s="73">
        <f t="shared" si="16"/>
        <v>25982.472744173007</v>
      </c>
      <c r="AF49" s="73">
        <f t="shared" si="16"/>
        <v>25982.472744173007</v>
      </c>
      <c r="AG49" s="73">
        <f t="shared" si="16"/>
        <v>25982.472744173007</v>
      </c>
      <c r="AH49" s="73">
        <f t="shared" ref="AH49:BK49" si="17">AH45</f>
        <v>25982.472744173007</v>
      </c>
      <c r="AI49" s="73">
        <f t="shared" si="17"/>
        <v>25982.472744173007</v>
      </c>
      <c r="AJ49" s="73">
        <f t="shared" si="17"/>
        <v>25982.472744173007</v>
      </c>
      <c r="AK49" s="73">
        <f t="shared" si="17"/>
        <v>25982.472744173007</v>
      </c>
      <c r="AL49" s="73">
        <f t="shared" si="17"/>
        <v>25982.472744173007</v>
      </c>
      <c r="AM49" s="73">
        <f t="shared" si="17"/>
        <v>28251.958445173019</v>
      </c>
      <c r="AN49" s="73">
        <f t="shared" si="17"/>
        <v>28251.958445173019</v>
      </c>
      <c r="AO49" s="73">
        <f t="shared" si="17"/>
        <v>28251.958445173019</v>
      </c>
      <c r="AP49" s="73">
        <f t="shared" si="17"/>
        <v>28251.958445173019</v>
      </c>
      <c r="AQ49" s="73">
        <f t="shared" si="17"/>
        <v>28251.958445173019</v>
      </c>
      <c r="AR49" s="73">
        <f t="shared" si="17"/>
        <v>28251.958445173019</v>
      </c>
      <c r="AS49" s="73">
        <f t="shared" si="17"/>
        <v>28251.958445173019</v>
      </c>
      <c r="AT49" s="73">
        <f t="shared" si="17"/>
        <v>28251.958445173019</v>
      </c>
      <c r="AU49" s="73">
        <f t="shared" si="17"/>
        <v>28251.958445173019</v>
      </c>
      <c r="AV49" s="73">
        <f t="shared" si="17"/>
        <v>28251.958445173019</v>
      </c>
      <c r="AW49" s="73">
        <f t="shared" si="17"/>
        <v>28251.958445173019</v>
      </c>
      <c r="AX49" s="73">
        <f t="shared" si="17"/>
        <v>28251.958445173019</v>
      </c>
      <c r="AY49" s="73">
        <f t="shared" si="17"/>
        <v>30567.655011518335</v>
      </c>
      <c r="AZ49" s="73">
        <f t="shared" si="17"/>
        <v>30567.655011518335</v>
      </c>
      <c r="BA49" s="73">
        <f t="shared" si="17"/>
        <v>30567.655011518335</v>
      </c>
      <c r="BB49" s="73">
        <f t="shared" si="17"/>
        <v>30567.655011518335</v>
      </c>
      <c r="BC49" s="73">
        <f t="shared" si="17"/>
        <v>30567.655011518335</v>
      </c>
      <c r="BD49" s="73">
        <f t="shared" si="17"/>
        <v>30567.655011518335</v>
      </c>
      <c r="BE49" s="73">
        <f t="shared" si="17"/>
        <v>30567.655011518335</v>
      </c>
      <c r="BF49" s="73">
        <f t="shared" si="17"/>
        <v>30567.655011518335</v>
      </c>
      <c r="BG49" s="73">
        <f t="shared" si="17"/>
        <v>30567.655011518335</v>
      </c>
      <c r="BH49" s="73">
        <f t="shared" si="17"/>
        <v>30567.655011518335</v>
      </c>
      <c r="BI49" s="73">
        <f t="shared" si="17"/>
        <v>30567.655011518335</v>
      </c>
      <c r="BJ49" s="73">
        <f t="shared" si="17"/>
        <v>30567.655011518335</v>
      </c>
      <c r="BK49" s="73">
        <f t="shared" si="17"/>
        <v>102973.94613244309</v>
      </c>
    </row>
    <row r="50" spans="1:63" ht="15" customHeight="1" x14ac:dyDescent="0.2">
      <c r="A50" s="26" t="s">
        <v>738</v>
      </c>
      <c r="B50" s="57">
        <f>MAX(0,B48+B49-'I_Inputs &amp; Assumptions'!$B$106)</f>
        <v>0</v>
      </c>
      <c r="C50" s="57">
        <f>MAX(0,C48+C49-'I_Inputs &amp; Assumptions'!$B$106)</f>
        <v>11064.302862585202</v>
      </c>
      <c r="D50" s="57">
        <f>MAX(0,D48+D49-'I_Inputs &amp; Assumptions'!$B$106)</f>
        <v>32642.832308503741</v>
      </c>
      <c r="E50" s="57">
        <f>MAX(0,E48+E49-'I_Inputs &amp; Assumptions'!$B$106)</f>
        <v>54221.36175442228</v>
      </c>
      <c r="F50" s="57">
        <f>MAX(0,F48+F49-'I_Inputs &amp; Assumptions'!$B$106)</f>
        <v>21578.529445918539</v>
      </c>
      <c r="G50" s="57">
        <f>MAX(0,G48+G49-'I_Inputs &amp; Assumptions'!$B$106)</f>
        <v>43157.058891837078</v>
      </c>
      <c r="H50" s="57">
        <f>MAX(0,H48+H49-'I_Inputs &amp; Assumptions'!$B$106)</f>
        <v>64735.588337755617</v>
      </c>
      <c r="I50" s="57">
        <f>MAX(0,I48+I49-'I_Inputs &amp; Assumptions'!$B$106)</f>
        <v>21578.529445918539</v>
      </c>
      <c r="J50" s="57">
        <f>MAX(0,J48+J49-'I_Inputs &amp; Assumptions'!$B$106)</f>
        <v>43157.058891837078</v>
      </c>
      <c r="K50" s="57">
        <f>MAX(0,K48+K49-'I_Inputs &amp; Assumptions'!$B$106)</f>
        <v>64735.588337755617</v>
      </c>
      <c r="L50" s="57">
        <f>MAX(0,L48+L49-'I_Inputs &amp; Assumptions'!$B$106)</f>
        <v>21578.529445918539</v>
      </c>
      <c r="M50" s="57">
        <f>MAX(0,M48+M49-'I_Inputs &amp; Assumptions'!$B$106)</f>
        <v>43157.058891837078</v>
      </c>
      <c r="N50" s="57">
        <f>MAX(0,N48+N49-'I_Inputs &amp; Assumptions'!$B$106)</f>
        <v>64735.588337755617</v>
      </c>
      <c r="O50" s="57">
        <f>MAX(0,O48+O49-'I_Inputs &amp; Assumptions'!$B$106)</f>
        <v>23758.292399984246</v>
      </c>
      <c r="P50" s="57">
        <f>MAX(0,P48+P49-'I_Inputs &amp; Assumptions'!$B$106)</f>
        <v>47516.584799968492</v>
      </c>
      <c r="Q50" s="57">
        <f>MAX(0,Q48+Q49-'I_Inputs &amp; Assumptions'!$B$106)</f>
        <v>71274.877199952723</v>
      </c>
      <c r="R50" s="57">
        <f>MAX(0,R48+R49-'I_Inputs &amp; Assumptions'!$B$106)</f>
        <v>23758.292399984246</v>
      </c>
      <c r="S50" s="57">
        <f>MAX(0,S48+S49-'I_Inputs &amp; Assumptions'!$B$106)</f>
        <v>47516.584799968492</v>
      </c>
      <c r="T50" s="57">
        <f>MAX(0,T48+T49-'I_Inputs &amp; Assumptions'!$B$106)</f>
        <v>71274.877199952723</v>
      </c>
      <c r="U50" s="57">
        <f>MAX(0,U48+U49-'I_Inputs &amp; Assumptions'!$B$106)</f>
        <v>23758.292399984246</v>
      </c>
      <c r="V50" s="57">
        <f>MAX(0,V48+V49-'I_Inputs &amp; Assumptions'!$B$106)</f>
        <v>47516.584799968492</v>
      </c>
      <c r="W50" s="57">
        <f>MAX(0,W48+W49-'I_Inputs &amp; Assumptions'!$B$106)</f>
        <v>71274.877199952723</v>
      </c>
      <c r="X50" s="57">
        <f>MAX(0,X48+X49-'I_Inputs &amp; Assumptions'!$B$106)</f>
        <v>23758.292399984246</v>
      </c>
      <c r="Y50" s="57">
        <f>MAX(0,Y48+Y49-'I_Inputs &amp; Assumptions'!$B$106)</f>
        <v>47516.584799968492</v>
      </c>
      <c r="Z50" s="57">
        <f>MAX(0,Z48+Z49-'I_Inputs &amp; Assumptions'!$B$106)</f>
        <v>71274.877199952723</v>
      </c>
      <c r="AA50" s="57">
        <f>MAX(0,AA48+AA49-'I_Inputs &amp; Assumptions'!$B$106)</f>
        <v>25982.472744173007</v>
      </c>
      <c r="AB50" s="57">
        <f>MAX(0,AB48+AB49-'I_Inputs &amp; Assumptions'!$B$106)</f>
        <v>51964.945488346013</v>
      </c>
      <c r="AC50" s="57">
        <f>MAX(0,AC48+AC49-'I_Inputs &amp; Assumptions'!$B$106)</f>
        <v>77947.418232519005</v>
      </c>
      <c r="AD50" s="57">
        <f>MAX(0,AD48+AD49-'I_Inputs &amp; Assumptions'!$B$106)</f>
        <v>25982.472744173007</v>
      </c>
      <c r="AE50" s="57">
        <f>MAX(0,AE48+AE49-'I_Inputs &amp; Assumptions'!$B$106)</f>
        <v>51964.945488346013</v>
      </c>
      <c r="AF50" s="57">
        <f>MAX(0,AF48+AF49-'I_Inputs &amp; Assumptions'!$B$106)</f>
        <v>77947.418232519005</v>
      </c>
      <c r="AG50" s="57">
        <f>MAX(0,AG48+AG49-'I_Inputs &amp; Assumptions'!$B$106)</f>
        <v>25982.472744173007</v>
      </c>
      <c r="AH50" s="57">
        <f>MAX(0,AH48+AH49-'I_Inputs &amp; Assumptions'!$B$106)</f>
        <v>51964.945488346013</v>
      </c>
      <c r="AI50" s="57">
        <f>MAX(0,AI48+AI49-'I_Inputs &amp; Assumptions'!$B$106)</f>
        <v>77947.418232519005</v>
      </c>
      <c r="AJ50" s="57">
        <f>MAX(0,AJ48+AJ49-'I_Inputs &amp; Assumptions'!$B$106)</f>
        <v>25982.472744173007</v>
      </c>
      <c r="AK50" s="57">
        <f>MAX(0,AK48+AK49-'I_Inputs &amp; Assumptions'!$B$106)</f>
        <v>51964.945488346013</v>
      </c>
      <c r="AL50" s="57">
        <f>MAX(0,AL48+AL49-'I_Inputs &amp; Assumptions'!$B$106)</f>
        <v>77947.418232519005</v>
      </c>
      <c r="AM50" s="57">
        <f>MAX(0,AM48+AM49-'I_Inputs &amp; Assumptions'!$B$106)</f>
        <v>28251.958445173019</v>
      </c>
      <c r="AN50" s="57">
        <f>MAX(0,AN48+AN49-'I_Inputs &amp; Assumptions'!$B$106)</f>
        <v>56503.916890346038</v>
      </c>
      <c r="AO50" s="57">
        <f>MAX(0,AO48+AO49-'I_Inputs &amp; Assumptions'!$B$106)</f>
        <v>84755.875335519057</v>
      </c>
      <c r="AP50" s="57">
        <f>MAX(0,AP48+AP49-'I_Inputs &amp; Assumptions'!$B$106)</f>
        <v>28251.958445173019</v>
      </c>
      <c r="AQ50" s="57">
        <f>MAX(0,AQ48+AQ49-'I_Inputs &amp; Assumptions'!$B$106)</f>
        <v>56503.916890346038</v>
      </c>
      <c r="AR50" s="57">
        <f>MAX(0,AR48+AR49-'I_Inputs &amp; Assumptions'!$B$106)</f>
        <v>84755.875335519057</v>
      </c>
      <c r="AS50" s="57">
        <f>MAX(0,AS48+AS49-'I_Inputs &amp; Assumptions'!$B$106)</f>
        <v>28251.958445173019</v>
      </c>
      <c r="AT50" s="57">
        <f>MAX(0,AT48+AT49-'I_Inputs &amp; Assumptions'!$B$106)</f>
        <v>56503.916890346038</v>
      </c>
      <c r="AU50" s="57">
        <f>MAX(0,AU48+AU49-'I_Inputs &amp; Assumptions'!$B$106)</f>
        <v>84755.875335519057</v>
      </c>
      <c r="AV50" s="57">
        <f>MAX(0,AV48+AV49-'I_Inputs &amp; Assumptions'!$B$106)</f>
        <v>28251.958445173019</v>
      </c>
      <c r="AW50" s="57">
        <f>MAX(0,AW48+AW49-'I_Inputs &amp; Assumptions'!$B$106)</f>
        <v>56503.916890346038</v>
      </c>
      <c r="AX50" s="57">
        <f>MAX(0,AX48+AX49-'I_Inputs &amp; Assumptions'!$B$106)</f>
        <v>84755.875335519057</v>
      </c>
      <c r="AY50" s="57">
        <f>MAX(0,AY48+AY49-'I_Inputs &amp; Assumptions'!$B$106)</f>
        <v>30567.655011518335</v>
      </c>
      <c r="AZ50" s="57">
        <f>MAX(0,AZ48+AZ49-'I_Inputs &amp; Assumptions'!$B$106)</f>
        <v>61135.310023036669</v>
      </c>
      <c r="BA50" s="57">
        <f>MAX(0,BA48+BA49-'I_Inputs &amp; Assumptions'!$B$106)</f>
        <v>91702.965034555004</v>
      </c>
      <c r="BB50" s="57">
        <f>MAX(0,BB48+BB49-'I_Inputs &amp; Assumptions'!$B$106)</f>
        <v>30567.655011518335</v>
      </c>
      <c r="BC50" s="57">
        <f>MAX(0,BC48+BC49-'I_Inputs &amp; Assumptions'!$B$106)</f>
        <v>61135.310023036669</v>
      </c>
      <c r="BD50" s="57">
        <f>MAX(0,BD48+BD49-'I_Inputs &amp; Assumptions'!$B$106)</f>
        <v>91702.965034555004</v>
      </c>
      <c r="BE50" s="57">
        <f>MAX(0,BE48+BE49-'I_Inputs &amp; Assumptions'!$B$106)</f>
        <v>30567.655011518335</v>
      </c>
      <c r="BF50" s="57">
        <f>MAX(0,BF48+BF49-'I_Inputs &amp; Assumptions'!$B$106)</f>
        <v>61135.310023036669</v>
      </c>
      <c r="BG50" s="57">
        <f>MAX(0,BG48+BG49-'I_Inputs &amp; Assumptions'!$B$106)</f>
        <v>91702.965034555004</v>
      </c>
      <c r="BH50" s="57">
        <f>MAX(0,BH48+BH49-'I_Inputs &amp; Assumptions'!$B$106)</f>
        <v>30567.655011518335</v>
      </c>
      <c r="BI50" s="57">
        <f>MAX(0,BI48+BI49-'I_Inputs &amp; Assumptions'!$B$106)</f>
        <v>61135.310023036669</v>
      </c>
      <c r="BJ50" s="57">
        <f>MAX(0,BJ48+BJ49-'I_Inputs &amp; Assumptions'!$B$106)</f>
        <v>91702.965034555004</v>
      </c>
      <c r="BK50" s="57">
        <f>MAX(0,BK48+BK49-'I_Inputs &amp; Assumptions'!$B$106)</f>
        <v>102973.94613244309</v>
      </c>
    </row>
    <row r="51" spans="1:63" ht="15" customHeight="1" x14ac:dyDescent="0.2">
      <c r="A51" s="26" t="s">
        <v>739</v>
      </c>
      <c r="B51" s="73">
        <f>IF(MOD(B4-'I_Inputs &amp; Assumptions'!$B$8,3)=0,B50,0)</f>
        <v>0</v>
      </c>
      <c r="C51" s="73">
        <f>IF(MOD(C4-'I_Inputs &amp; Assumptions'!$B$8,3)=0,C50,0)</f>
        <v>0</v>
      </c>
      <c r="D51" s="73">
        <f>IF(MOD(D4-'I_Inputs &amp; Assumptions'!$B$8,3)=0,D50,0)</f>
        <v>0</v>
      </c>
      <c r="E51" s="73">
        <f>IF(MOD(E4-'I_Inputs &amp; Assumptions'!$B$8,3)=0,E50,0)</f>
        <v>54221.36175442228</v>
      </c>
      <c r="F51" s="73">
        <f>IF(MOD(F4-'I_Inputs &amp; Assumptions'!$B$8,3)=0,F50,0)</f>
        <v>0</v>
      </c>
      <c r="G51" s="73">
        <f>IF(MOD(G4-'I_Inputs &amp; Assumptions'!$B$8,3)=0,G50,0)</f>
        <v>0</v>
      </c>
      <c r="H51" s="73">
        <f>IF(MOD(H4-'I_Inputs &amp; Assumptions'!$B$8,3)=0,H50,0)</f>
        <v>64735.588337755617</v>
      </c>
      <c r="I51" s="73">
        <f>IF(MOD(I4-'I_Inputs &amp; Assumptions'!$B$8,3)=0,I50,0)</f>
        <v>0</v>
      </c>
      <c r="J51" s="73">
        <f>IF(MOD(J4-'I_Inputs &amp; Assumptions'!$B$8,3)=0,J50,0)</f>
        <v>0</v>
      </c>
      <c r="K51" s="73">
        <f>IF(MOD(K4-'I_Inputs &amp; Assumptions'!$B$8,3)=0,K50,0)</f>
        <v>64735.588337755617</v>
      </c>
      <c r="L51" s="73">
        <f>IF(MOD(L4-'I_Inputs &amp; Assumptions'!$B$8,3)=0,L50,0)</f>
        <v>0</v>
      </c>
      <c r="M51" s="73">
        <f>IF(MOD(M4-'I_Inputs &amp; Assumptions'!$B$8,3)=0,M50,0)</f>
        <v>0</v>
      </c>
      <c r="N51" s="73">
        <f>IF(MOD(N4-'I_Inputs &amp; Assumptions'!$B$8,3)=0,N50,0)</f>
        <v>64735.588337755617</v>
      </c>
      <c r="O51" s="73">
        <f>IF(MOD(O4-'I_Inputs &amp; Assumptions'!$B$8,3)=0,O50,0)</f>
        <v>0</v>
      </c>
      <c r="P51" s="73">
        <f>IF(MOD(P4-'I_Inputs &amp; Assumptions'!$B$8,3)=0,P50,0)</f>
        <v>0</v>
      </c>
      <c r="Q51" s="73">
        <f>IF(MOD(Q4-'I_Inputs &amp; Assumptions'!$B$8,3)=0,Q50,0)</f>
        <v>71274.877199952723</v>
      </c>
      <c r="R51" s="73">
        <f>IF(MOD(R4-'I_Inputs &amp; Assumptions'!$B$8,3)=0,R50,0)</f>
        <v>0</v>
      </c>
      <c r="S51" s="73">
        <f>IF(MOD(S4-'I_Inputs &amp; Assumptions'!$B$8,3)=0,S50,0)</f>
        <v>0</v>
      </c>
      <c r="T51" s="73">
        <f>IF(MOD(T4-'I_Inputs &amp; Assumptions'!$B$8,3)=0,T50,0)</f>
        <v>71274.877199952723</v>
      </c>
      <c r="U51" s="73">
        <f>IF(MOD(U4-'I_Inputs &amp; Assumptions'!$B$8,3)=0,U50,0)</f>
        <v>0</v>
      </c>
      <c r="V51" s="73">
        <f>IF(MOD(V4-'I_Inputs &amp; Assumptions'!$B$8,3)=0,V50,0)</f>
        <v>0</v>
      </c>
      <c r="W51" s="73">
        <f>IF(MOD(W4-'I_Inputs &amp; Assumptions'!$B$8,3)=0,W50,0)</f>
        <v>71274.877199952723</v>
      </c>
      <c r="X51" s="73">
        <f>IF(MOD(X4-'I_Inputs &amp; Assumptions'!$B$8,3)=0,X50,0)</f>
        <v>0</v>
      </c>
      <c r="Y51" s="73">
        <f>IF(MOD(Y4-'I_Inputs &amp; Assumptions'!$B$8,3)=0,Y50,0)</f>
        <v>0</v>
      </c>
      <c r="Z51" s="73">
        <f>IF(MOD(Z4-'I_Inputs &amp; Assumptions'!$B$8,3)=0,Z50,0)</f>
        <v>71274.877199952723</v>
      </c>
      <c r="AA51" s="73">
        <f>IF(MOD(AA4-'I_Inputs &amp; Assumptions'!$B$8,3)=0,AA50,0)</f>
        <v>0</v>
      </c>
      <c r="AB51" s="73">
        <f>IF(MOD(AB4-'I_Inputs &amp; Assumptions'!$B$8,3)=0,AB50,0)</f>
        <v>0</v>
      </c>
      <c r="AC51" s="73">
        <f>IF(MOD(AC4-'I_Inputs &amp; Assumptions'!$B$8,3)=0,AC50,0)</f>
        <v>77947.418232519005</v>
      </c>
      <c r="AD51" s="73">
        <f>IF(MOD(AD4-'I_Inputs &amp; Assumptions'!$B$8,3)=0,AD50,0)</f>
        <v>0</v>
      </c>
      <c r="AE51" s="73">
        <f>IF(MOD(AE4-'I_Inputs &amp; Assumptions'!$B$8,3)=0,AE50,0)</f>
        <v>0</v>
      </c>
      <c r="AF51" s="73">
        <f>IF(MOD(AF4-'I_Inputs &amp; Assumptions'!$B$8,3)=0,AF50,0)</f>
        <v>77947.418232519005</v>
      </c>
      <c r="AG51" s="73">
        <f>IF(MOD(AG4-'I_Inputs &amp; Assumptions'!$B$8,3)=0,AG50,0)</f>
        <v>0</v>
      </c>
      <c r="AH51" s="73">
        <f>IF(MOD(AH4-'I_Inputs &amp; Assumptions'!$B$8,3)=0,AH50,0)</f>
        <v>0</v>
      </c>
      <c r="AI51" s="73">
        <f>IF(MOD(AI4-'I_Inputs &amp; Assumptions'!$B$8,3)=0,AI50,0)</f>
        <v>77947.418232519005</v>
      </c>
      <c r="AJ51" s="73">
        <f>IF(MOD(AJ4-'I_Inputs &amp; Assumptions'!$B$8,3)=0,AJ50,0)</f>
        <v>0</v>
      </c>
      <c r="AK51" s="73">
        <f>IF(MOD(AK4-'I_Inputs &amp; Assumptions'!$B$8,3)=0,AK50,0)</f>
        <v>0</v>
      </c>
      <c r="AL51" s="73">
        <f>IF(MOD(AL4-'I_Inputs &amp; Assumptions'!$B$8,3)=0,AL50,0)</f>
        <v>77947.418232519005</v>
      </c>
      <c r="AM51" s="73">
        <f>IF(MOD(AM4-'I_Inputs &amp; Assumptions'!$B$8,3)=0,AM50,0)</f>
        <v>0</v>
      </c>
      <c r="AN51" s="73">
        <f>IF(MOD(AN4-'I_Inputs &amp; Assumptions'!$B$8,3)=0,AN50,0)</f>
        <v>0</v>
      </c>
      <c r="AO51" s="73">
        <f>IF(MOD(AO4-'I_Inputs &amp; Assumptions'!$B$8,3)=0,AO50,0)</f>
        <v>84755.875335519057</v>
      </c>
      <c r="AP51" s="73">
        <f>IF(MOD(AP4-'I_Inputs &amp; Assumptions'!$B$8,3)=0,AP50,0)</f>
        <v>0</v>
      </c>
      <c r="AQ51" s="73">
        <f>IF(MOD(AQ4-'I_Inputs &amp; Assumptions'!$B$8,3)=0,AQ50,0)</f>
        <v>0</v>
      </c>
      <c r="AR51" s="73">
        <f>IF(MOD(AR4-'I_Inputs &amp; Assumptions'!$B$8,3)=0,AR50,0)</f>
        <v>84755.875335519057</v>
      </c>
      <c r="AS51" s="73">
        <f>IF(MOD(AS4-'I_Inputs &amp; Assumptions'!$B$8,3)=0,AS50,0)</f>
        <v>0</v>
      </c>
      <c r="AT51" s="73">
        <f>IF(MOD(AT4-'I_Inputs &amp; Assumptions'!$B$8,3)=0,AT50,0)</f>
        <v>0</v>
      </c>
      <c r="AU51" s="73">
        <f>IF(MOD(AU4-'I_Inputs &amp; Assumptions'!$B$8,3)=0,AU50,0)</f>
        <v>84755.875335519057</v>
      </c>
      <c r="AV51" s="73">
        <f>IF(MOD(AV4-'I_Inputs &amp; Assumptions'!$B$8,3)=0,AV50,0)</f>
        <v>0</v>
      </c>
      <c r="AW51" s="73">
        <f>IF(MOD(AW4-'I_Inputs &amp; Assumptions'!$B$8,3)=0,AW50,0)</f>
        <v>0</v>
      </c>
      <c r="AX51" s="73">
        <f>IF(MOD(AX4-'I_Inputs &amp; Assumptions'!$B$8,3)=0,AX50,0)</f>
        <v>84755.875335519057</v>
      </c>
      <c r="AY51" s="73">
        <f>IF(MOD(AY4-'I_Inputs &amp; Assumptions'!$B$8,3)=0,AY50,0)</f>
        <v>0</v>
      </c>
      <c r="AZ51" s="73">
        <f>IF(MOD(AZ4-'I_Inputs &amp; Assumptions'!$B$8,3)=0,AZ50,0)</f>
        <v>0</v>
      </c>
      <c r="BA51" s="73">
        <f>IF(MOD(BA4-'I_Inputs &amp; Assumptions'!$B$8,3)=0,BA50,0)</f>
        <v>91702.965034555004</v>
      </c>
      <c r="BB51" s="73">
        <f>IF(MOD(BB4-'I_Inputs &amp; Assumptions'!$B$8,3)=0,BB50,0)</f>
        <v>0</v>
      </c>
      <c r="BC51" s="73">
        <f>IF(MOD(BC4-'I_Inputs &amp; Assumptions'!$B$8,3)=0,BC50,0)</f>
        <v>0</v>
      </c>
      <c r="BD51" s="73">
        <f>IF(MOD(BD4-'I_Inputs &amp; Assumptions'!$B$8,3)=0,BD50,0)</f>
        <v>91702.965034555004</v>
      </c>
      <c r="BE51" s="73">
        <f>IF(MOD(BE4-'I_Inputs &amp; Assumptions'!$B$8,3)=0,BE50,0)</f>
        <v>0</v>
      </c>
      <c r="BF51" s="73">
        <f>IF(MOD(BF4-'I_Inputs &amp; Assumptions'!$B$8,3)=0,BF50,0)</f>
        <v>0</v>
      </c>
      <c r="BG51" s="73">
        <f>IF(MOD(BG4-'I_Inputs &amp; Assumptions'!$B$8,3)=0,BG50,0)</f>
        <v>91702.965034555004</v>
      </c>
      <c r="BH51" s="73">
        <f>IF(MOD(BH4-'I_Inputs &amp; Assumptions'!$B$8,3)=0,BH50,0)</f>
        <v>0</v>
      </c>
      <c r="BI51" s="73">
        <f>IF(MOD(BI4-'I_Inputs &amp; Assumptions'!$B$8,3)=0,BI50,0)</f>
        <v>0</v>
      </c>
      <c r="BJ51" s="73">
        <f>IF(MOD(BJ4-'I_Inputs &amp; Assumptions'!$B$8,3)=0,BJ50,0)</f>
        <v>91702.965034555004</v>
      </c>
      <c r="BK51" s="73">
        <f>IF(MOD(BK4-'I_Inputs &amp; Assumptions'!$B$8,3)=0,BK50,0)</f>
        <v>0</v>
      </c>
    </row>
    <row r="52" spans="1:63" ht="15" customHeight="1" x14ac:dyDescent="0.2">
      <c r="A52" s="34" t="s">
        <v>740</v>
      </c>
      <c r="B52" s="191">
        <f t="shared" ref="B52:AG52" si="18">B48+B49-B51</f>
        <v>89485.773416666663</v>
      </c>
      <c r="C52" s="191">
        <f t="shared" si="18"/>
        <v>111064.3028625852</v>
      </c>
      <c r="D52" s="191">
        <f t="shared" si="18"/>
        <v>132642.83230850374</v>
      </c>
      <c r="E52" s="191">
        <f t="shared" si="18"/>
        <v>100000</v>
      </c>
      <c r="F52" s="191">
        <f t="shared" si="18"/>
        <v>121578.52944591854</v>
      </c>
      <c r="G52" s="191">
        <f t="shared" si="18"/>
        <v>143157.05889183708</v>
      </c>
      <c r="H52" s="191">
        <f t="shared" si="18"/>
        <v>100000</v>
      </c>
      <c r="I52" s="191">
        <f t="shared" si="18"/>
        <v>121578.52944591854</v>
      </c>
      <c r="J52" s="191">
        <f t="shared" si="18"/>
        <v>143157.05889183708</v>
      </c>
      <c r="K52" s="191">
        <f t="shared" si="18"/>
        <v>100000</v>
      </c>
      <c r="L52" s="191">
        <f t="shared" si="18"/>
        <v>121578.52944591854</v>
      </c>
      <c r="M52" s="191">
        <f t="shared" si="18"/>
        <v>143157.05889183708</v>
      </c>
      <c r="N52" s="191">
        <f t="shared" si="18"/>
        <v>100000</v>
      </c>
      <c r="O52" s="191">
        <f t="shared" si="18"/>
        <v>123758.29239998425</v>
      </c>
      <c r="P52" s="191">
        <f t="shared" si="18"/>
        <v>147516.58479996849</v>
      </c>
      <c r="Q52" s="191">
        <f t="shared" si="18"/>
        <v>100000</v>
      </c>
      <c r="R52" s="191">
        <f t="shared" si="18"/>
        <v>123758.29239998425</v>
      </c>
      <c r="S52" s="191">
        <f t="shared" si="18"/>
        <v>147516.58479996849</v>
      </c>
      <c r="T52" s="191">
        <f t="shared" si="18"/>
        <v>100000</v>
      </c>
      <c r="U52" s="191">
        <f t="shared" si="18"/>
        <v>123758.29239998425</v>
      </c>
      <c r="V52" s="191">
        <f t="shared" si="18"/>
        <v>147516.58479996849</v>
      </c>
      <c r="W52" s="191">
        <f t="shared" si="18"/>
        <v>100000</v>
      </c>
      <c r="X52" s="191">
        <f t="shared" si="18"/>
        <v>123758.29239998425</v>
      </c>
      <c r="Y52" s="191">
        <f t="shared" si="18"/>
        <v>147516.58479996849</v>
      </c>
      <c r="Z52" s="191">
        <f t="shared" si="18"/>
        <v>100000</v>
      </c>
      <c r="AA52" s="191">
        <f t="shared" si="18"/>
        <v>125982.47274417301</v>
      </c>
      <c r="AB52" s="191">
        <f t="shared" si="18"/>
        <v>151964.94548834601</v>
      </c>
      <c r="AC52" s="191">
        <f t="shared" si="18"/>
        <v>100000</v>
      </c>
      <c r="AD52" s="191">
        <f t="shared" si="18"/>
        <v>125982.47274417301</v>
      </c>
      <c r="AE52" s="191">
        <f t="shared" si="18"/>
        <v>151964.94548834601</v>
      </c>
      <c r="AF52" s="191">
        <f t="shared" si="18"/>
        <v>100000</v>
      </c>
      <c r="AG52" s="191">
        <f t="shared" si="18"/>
        <v>125982.47274417301</v>
      </c>
      <c r="AH52" s="191">
        <f t="shared" ref="AH52:BM52" si="19">AH48+AH49-AH51</f>
        <v>151964.94548834601</v>
      </c>
      <c r="AI52" s="191">
        <f t="shared" si="19"/>
        <v>100000</v>
      </c>
      <c r="AJ52" s="191">
        <f t="shared" si="19"/>
        <v>125982.47274417301</v>
      </c>
      <c r="AK52" s="191">
        <f t="shared" si="19"/>
        <v>151964.94548834601</v>
      </c>
      <c r="AL52" s="191">
        <f t="shared" si="19"/>
        <v>100000</v>
      </c>
      <c r="AM52" s="191">
        <f t="shared" si="19"/>
        <v>128251.95844517302</v>
      </c>
      <c r="AN52" s="191">
        <f t="shared" si="19"/>
        <v>156503.91689034604</v>
      </c>
      <c r="AO52" s="191">
        <f t="shared" si="19"/>
        <v>100000</v>
      </c>
      <c r="AP52" s="191">
        <f t="shared" si="19"/>
        <v>128251.95844517302</v>
      </c>
      <c r="AQ52" s="191">
        <f t="shared" si="19"/>
        <v>156503.91689034604</v>
      </c>
      <c r="AR52" s="191">
        <f t="shared" si="19"/>
        <v>100000</v>
      </c>
      <c r="AS52" s="191">
        <f t="shared" si="19"/>
        <v>128251.95844517302</v>
      </c>
      <c r="AT52" s="191">
        <f t="shared" si="19"/>
        <v>156503.91689034604</v>
      </c>
      <c r="AU52" s="191">
        <f t="shared" si="19"/>
        <v>100000</v>
      </c>
      <c r="AV52" s="191">
        <f t="shared" si="19"/>
        <v>128251.95844517302</v>
      </c>
      <c r="AW52" s="191">
        <f t="shared" si="19"/>
        <v>156503.91689034604</v>
      </c>
      <c r="AX52" s="191">
        <f t="shared" si="19"/>
        <v>100000</v>
      </c>
      <c r="AY52" s="191">
        <f t="shared" si="19"/>
        <v>130567.65501151833</v>
      </c>
      <c r="AZ52" s="191">
        <f t="shared" si="19"/>
        <v>161135.31002303667</v>
      </c>
      <c r="BA52" s="191">
        <f t="shared" si="19"/>
        <v>100000</v>
      </c>
      <c r="BB52" s="191">
        <f t="shared" si="19"/>
        <v>130567.65501151833</v>
      </c>
      <c r="BC52" s="191">
        <f t="shared" si="19"/>
        <v>161135.31002303667</v>
      </c>
      <c r="BD52" s="191">
        <f t="shared" si="19"/>
        <v>100000</v>
      </c>
      <c r="BE52" s="191">
        <f t="shared" si="19"/>
        <v>130567.65501151833</v>
      </c>
      <c r="BF52" s="191">
        <f t="shared" si="19"/>
        <v>161135.31002303667</v>
      </c>
      <c r="BG52" s="191">
        <f t="shared" si="19"/>
        <v>100000</v>
      </c>
      <c r="BH52" s="191">
        <f t="shared" si="19"/>
        <v>130567.65501151833</v>
      </c>
      <c r="BI52" s="191">
        <f t="shared" si="19"/>
        <v>161135.31002303667</v>
      </c>
      <c r="BJ52" s="191">
        <f t="shared" si="19"/>
        <v>100000</v>
      </c>
      <c r="BK52" s="191">
        <f t="shared" si="19"/>
        <v>202973.94613244309</v>
      </c>
    </row>
    <row r="53" spans="1:63" ht="15.75" customHeight="1" x14ac:dyDescent="0.2"/>
    <row r="54" spans="1:63" ht="15" customHeight="1" x14ac:dyDescent="0.2">
      <c r="A54" s="171" t="s">
        <v>741</v>
      </c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</row>
    <row r="55" spans="1:63" ht="15" customHeight="1" x14ac:dyDescent="0.2">
      <c r="A55" s="26" t="s">
        <v>742</v>
      </c>
      <c r="B55" s="73">
        <f t="shared" ref="B55:AG55" si="20">B51</f>
        <v>0</v>
      </c>
      <c r="C55" s="73">
        <f t="shared" si="20"/>
        <v>0</v>
      </c>
      <c r="D55" s="73">
        <f t="shared" si="20"/>
        <v>0</v>
      </c>
      <c r="E55" s="73">
        <f t="shared" si="20"/>
        <v>54221.36175442228</v>
      </c>
      <c r="F55" s="73">
        <f t="shared" si="20"/>
        <v>0</v>
      </c>
      <c r="G55" s="73">
        <f t="shared" si="20"/>
        <v>0</v>
      </c>
      <c r="H55" s="73">
        <f t="shared" si="20"/>
        <v>64735.588337755617</v>
      </c>
      <c r="I55" s="73">
        <f t="shared" si="20"/>
        <v>0</v>
      </c>
      <c r="J55" s="73">
        <f t="shared" si="20"/>
        <v>0</v>
      </c>
      <c r="K55" s="73">
        <f t="shared" si="20"/>
        <v>64735.588337755617</v>
      </c>
      <c r="L55" s="73">
        <f t="shared" si="20"/>
        <v>0</v>
      </c>
      <c r="M55" s="73">
        <f t="shared" si="20"/>
        <v>0</v>
      </c>
      <c r="N55" s="73">
        <f t="shared" si="20"/>
        <v>64735.588337755617</v>
      </c>
      <c r="O55" s="73">
        <f t="shared" si="20"/>
        <v>0</v>
      </c>
      <c r="P55" s="73">
        <f t="shared" si="20"/>
        <v>0</v>
      </c>
      <c r="Q55" s="73">
        <f t="shared" si="20"/>
        <v>71274.877199952723</v>
      </c>
      <c r="R55" s="73">
        <f t="shared" si="20"/>
        <v>0</v>
      </c>
      <c r="S55" s="73">
        <f t="shared" si="20"/>
        <v>0</v>
      </c>
      <c r="T55" s="73">
        <f t="shared" si="20"/>
        <v>71274.877199952723</v>
      </c>
      <c r="U55" s="73">
        <f t="shared" si="20"/>
        <v>0</v>
      </c>
      <c r="V55" s="73">
        <f t="shared" si="20"/>
        <v>0</v>
      </c>
      <c r="W55" s="73">
        <f t="shared" si="20"/>
        <v>71274.877199952723</v>
      </c>
      <c r="X55" s="73">
        <f t="shared" si="20"/>
        <v>0</v>
      </c>
      <c r="Y55" s="73">
        <f t="shared" si="20"/>
        <v>0</v>
      </c>
      <c r="Z55" s="73">
        <f t="shared" si="20"/>
        <v>71274.877199952723</v>
      </c>
      <c r="AA55" s="73">
        <f t="shared" si="20"/>
        <v>0</v>
      </c>
      <c r="AB55" s="73">
        <f t="shared" si="20"/>
        <v>0</v>
      </c>
      <c r="AC55" s="73">
        <f t="shared" si="20"/>
        <v>77947.418232519005</v>
      </c>
      <c r="AD55" s="73">
        <f t="shared" si="20"/>
        <v>0</v>
      </c>
      <c r="AE55" s="73">
        <f t="shared" si="20"/>
        <v>0</v>
      </c>
      <c r="AF55" s="73">
        <f t="shared" si="20"/>
        <v>77947.418232519005</v>
      </c>
      <c r="AG55" s="73">
        <f t="shared" si="20"/>
        <v>0</v>
      </c>
      <c r="AH55" s="73">
        <f t="shared" ref="AH55:BK55" si="21">AH51</f>
        <v>0</v>
      </c>
      <c r="AI55" s="73">
        <f t="shared" si="21"/>
        <v>77947.418232519005</v>
      </c>
      <c r="AJ55" s="73">
        <f t="shared" si="21"/>
        <v>0</v>
      </c>
      <c r="AK55" s="73">
        <f t="shared" si="21"/>
        <v>0</v>
      </c>
      <c r="AL55" s="73">
        <f t="shared" si="21"/>
        <v>77947.418232519005</v>
      </c>
      <c r="AM55" s="73">
        <f t="shared" si="21"/>
        <v>0</v>
      </c>
      <c r="AN55" s="73">
        <f t="shared" si="21"/>
        <v>0</v>
      </c>
      <c r="AO55" s="73">
        <f t="shared" si="21"/>
        <v>84755.875335519057</v>
      </c>
      <c r="AP55" s="73">
        <f t="shared" si="21"/>
        <v>0</v>
      </c>
      <c r="AQ55" s="73">
        <f t="shared" si="21"/>
        <v>0</v>
      </c>
      <c r="AR55" s="73">
        <f t="shared" si="21"/>
        <v>84755.875335519057</v>
      </c>
      <c r="AS55" s="73">
        <f t="shared" si="21"/>
        <v>0</v>
      </c>
      <c r="AT55" s="73">
        <f t="shared" si="21"/>
        <v>0</v>
      </c>
      <c r="AU55" s="73">
        <f t="shared" si="21"/>
        <v>84755.875335519057</v>
      </c>
      <c r="AV55" s="73">
        <f t="shared" si="21"/>
        <v>0</v>
      </c>
      <c r="AW55" s="73">
        <f t="shared" si="21"/>
        <v>0</v>
      </c>
      <c r="AX55" s="73">
        <f t="shared" si="21"/>
        <v>84755.875335519057</v>
      </c>
      <c r="AY55" s="73">
        <f t="shared" si="21"/>
        <v>0</v>
      </c>
      <c r="AZ55" s="73">
        <f t="shared" si="21"/>
        <v>0</v>
      </c>
      <c r="BA55" s="73">
        <f t="shared" si="21"/>
        <v>91702.965034555004</v>
      </c>
      <c r="BB55" s="73">
        <f t="shared" si="21"/>
        <v>0</v>
      </c>
      <c r="BC55" s="73">
        <f t="shared" si="21"/>
        <v>0</v>
      </c>
      <c r="BD55" s="73">
        <f t="shared" si="21"/>
        <v>91702.965034555004</v>
      </c>
      <c r="BE55" s="73">
        <f t="shared" si="21"/>
        <v>0</v>
      </c>
      <c r="BF55" s="73">
        <f t="shared" si="21"/>
        <v>0</v>
      </c>
      <c r="BG55" s="73">
        <f t="shared" si="21"/>
        <v>91702.965034555004</v>
      </c>
      <c r="BH55" s="73">
        <f t="shared" si="21"/>
        <v>0</v>
      </c>
      <c r="BI55" s="73">
        <f t="shared" si="21"/>
        <v>0</v>
      </c>
      <c r="BJ55" s="73">
        <f t="shared" si="21"/>
        <v>91702.965034555004</v>
      </c>
      <c r="BK55" s="73">
        <f t="shared" si="21"/>
        <v>0</v>
      </c>
    </row>
    <row r="56" spans="1:63" ht="15" customHeight="1" x14ac:dyDescent="0.2">
      <c r="A56" s="26" t="s">
        <v>743</v>
      </c>
      <c r="B56" s="73">
        <f>IF(B55&gt;0,MIN(B55,'I_Inputs &amp; Assumptions'!$B$68*'I_Inputs &amp; Assumptions'!$B$70/4),0)</f>
        <v>0</v>
      </c>
      <c r="C56" s="73">
        <f>IF(C55&gt;0,MIN(C55,B63*'I_Inputs &amp; Assumptions'!$B$70/4),0)</f>
        <v>0</v>
      </c>
      <c r="D56" s="73">
        <f>IF(D55&gt;0,MIN(D55,C63*'I_Inputs &amp; Assumptions'!$B$70/4),0)</f>
        <v>0</v>
      </c>
      <c r="E56" s="73">
        <f>IF(E55&gt;0,MIN(E55,D63*'I_Inputs &amp; Assumptions'!$B$70/4),0)</f>
        <v>0</v>
      </c>
      <c r="F56" s="73">
        <f>IF(F55&gt;0,MIN(F55,E63*'I_Inputs &amp; Assumptions'!$B$70/4),0)</f>
        <v>0</v>
      </c>
      <c r="G56" s="73">
        <f>IF(G55&gt;0,MIN(G55,F63*'I_Inputs &amp; Assumptions'!$B$70/4),0)</f>
        <v>0</v>
      </c>
      <c r="H56" s="73">
        <f>IF(H55&gt;0,MIN(H55,G63*'I_Inputs &amp; Assumptions'!$B$70/4),0)</f>
        <v>0</v>
      </c>
      <c r="I56" s="73">
        <f>IF(I55&gt;0,MIN(I55,H63*'I_Inputs &amp; Assumptions'!$B$70/4),0)</f>
        <v>0</v>
      </c>
      <c r="J56" s="73">
        <f>IF(J55&gt;0,MIN(J55,I63*'I_Inputs &amp; Assumptions'!$B$70/4),0)</f>
        <v>0</v>
      </c>
      <c r="K56" s="73">
        <f>IF(K55&gt;0,MIN(K55,J63*'I_Inputs &amp; Assumptions'!$B$70/4),0)</f>
        <v>0</v>
      </c>
      <c r="L56" s="73">
        <f>IF(L55&gt;0,MIN(L55,K63*'I_Inputs &amp; Assumptions'!$B$70/4),0)</f>
        <v>0</v>
      </c>
      <c r="M56" s="73">
        <f>IF(M55&gt;0,MIN(M55,L63*'I_Inputs &amp; Assumptions'!$B$70/4),0)</f>
        <v>0</v>
      </c>
      <c r="N56" s="73">
        <f>IF(N55&gt;0,MIN(N55,M63*'I_Inputs &amp; Assumptions'!$B$70/4),0)</f>
        <v>0</v>
      </c>
      <c r="O56" s="73">
        <f>IF(O55&gt;0,MIN(O55,N63*'I_Inputs &amp; Assumptions'!$B$70/4),0)</f>
        <v>0</v>
      </c>
      <c r="P56" s="73">
        <f>IF(P55&gt;0,MIN(P55,O63*'I_Inputs &amp; Assumptions'!$B$70/4),0)</f>
        <v>0</v>
      </c>
      <c r="Q56" s="73">
        <f>IF(Q55&gt;0,MIN(Q55,P63*'I_Inputs &amp; Assumptions'!$B$70/4),0)</f>
        <v>0</v>
      </c>
      <c r="R56" s="73">
        <f>IF(R55&gt;0,MIN(R55,Q63*'I_Inputs &amp; Assumptions'!$B$70/4),0)</f>
        <v>0</v>
      </c>
      <c r="S56" s="73">
        <f>IF(S55&gt;0,MIN(S55,R63*'I_Inputs &amp; Assumptions'!$B$70/4),0)</f>
        <v>0</v>
      </c>
      <c r="T56" s="73">
        <f>IF(T55&gt;0,MIN(T55,S63*'I_Inputs &amp; Assumptions'!$B$70/4),0)</f>
        <v>0</v>
      </c>
      <c r="U56" s="73">
        <f>IF(U55&gt;0,MIN(U55,T63*'I_Inputs &amp; Assumptions'!$B$70/4),0)</f>
        <v>0</v>
      </c>
      <c r="V56" s="73">
        <f>IF(V55&gt;0,MIN(V55,U63*'I_Inputs &amp; Assumptions'!$B$70/4),0)</f>
        <v>0</v>
      </c>
      <c r="W56" s="73">
        <f>IF(W55&gt;0,MIN(W55,V63*'I_Inputs &amp; Assumptions'!$B$70/4),0)</f>
        <v>0</v>
      </c>
      <c r="X56" s="73">
        <f>IF(X55&gt;0,MIN(X55,W63*'I_Inputs &amp; Assumptions'!$B$70/4),0)</f>
        <v>0</v>
      </c>
      <c r="Y56" s="73">
        <f>IF(Y55&gt;0,MIN(Y55,X63*'I_Inputs &amp; Assumptions'!$B$70/4),0)</f>
        <v>0</v>
      </c>
      <c r="Z56" s="73">
        <f>IF(Z55&gt;0,MIN(Z55,Y63*'I_Inputs &amp; Assumptions'!$B$70/4),0)</f>
        <v>0</v>
      </c>
      <c r="AA56" s="73">
        <f>IF(AA55&gt;0,MIN(AA55,Z63*'I_Inputs &amp; Assumptions'!$B$70/4),0)</f>
        <v>0</v>
      </c>
      <c r="AB56" s="73">
        <f>IF(AB55&gt;0,MIN(AB55,AA63*'I_Inputs &amp; Assumptions'!$B$70/4),0)</f>
        <v>0</v>
      </c>
      <c r="AC56" s="73">
        <f>IF(AC55&gt;0,MIN(AC55,AB63*'I_Inputs &amp; Assumptions'!$B$70/4),0)</f>
        <v>0</v>
      </c>
      <c r="AD56" s="73">
        <f>IF(AD55&gt;0,MIN(AD55,AC63*'I_Inputs &amp; Assumptions'!$B$70/4),0)</f>
        <v>0</v>
      </c>
      <c r="AE56" s="73">
        <f>IF(AE55&gt;0,MIN(AE55,AD63*'I_Inputs &amp; Assumptions'!$B$70/4),0)</f>
        <v>0</v>
      </c>
      <c r="AF56" s="73">
        <f>IF(AF55&gt;0,MIN(AF55,AE63*'I_Inputs &amp; Assumptions'!$B$70/4),0)</f>
        <v>0</v>
      </c>
      <c r="AG56" s="73">
        <f>IF(AG55&gt;0,MIN(AG55,AF63*'I_Inputs &amp; Assumptions'!$B$70/4),0)</f>
        <v>0</v>
      </c>
      <c r="AH56" s="73">
        <f>IF(AH55&gt;0,MIN(AH55,AG63*'I_Inputs &amp; Assumptions'!$B$70/4),0)</f>
        <v>0</v>
      </c>
      <c r="AI56" s="73">
        <f>IF(AI55&gt;0,MIN(AI55,AH63*'I_Inputs &amp; Assumptions'!$B$70/4),0)</f>
        <v>0</v>
      </c>
      <c r="AJ56" s="73">
        <f>IF(AJ55&gt;0,MIN(AJ55,AI63*'I_Inputs &amp; Assumptions'!$B$70/4),0)</f>
        <v>0</v>
      </c>
      <c r="AK56" s="73">
        <f>IF(AK55&gt;0,MIN(AK55,AJ63*'I_Inputs &amp; Assumptions'!$B$70/4),0)</f>
        <v>0</v>
      </c>
      <c r="AL56" s="73">
        <f>IF(AL55&gt;0,MIN(AL55,AK63*'I_Inputs &amp; Assumptions'!$B$70/4),0)</f>
        <v>0</v>
      </c>
      <c r="AM56" s="73">
        <f>IF(AM55&gt;0,MIN(AM55,AL63*'I_Inputs &amp; Assumptions'!$B$70/4),0)</f>
        <v>0</v>
      </c>
      <c r="AN56" s="73">
        <f>IF(AN55&gt;0,MIN(AN55,AM63*'I_Inputs &amp; Assumptions'!$B$70/4),0)</f>
        <v>0</v>
      </c>
      <c r="AO56" s="73">
        <f>IF(AO55&gt;0,MIN(AO55,AN63*'I_Inputs &amp; Assumptions'!$B$70/4),0)</f>
        <v>0</v>
      </c>
      <c r="AP56" s="73">
        <f>IF(AP55&gt;0,MIN(AP55,AO63*'I_Inputs &amp; Assumptions'!$B$70/4),0)</f>
        <v>0</v>
      </c>
      <c r="AQ56" s="73">
        <f>IF(AQ55&gt;0,MIN(AQ55,AP63*'I_Inputs &amp; Assumptions'!$B$70/4),0)</f>
        <v>0</v>
      </c>
      <c r="AR56" s="73">
        <f>IF(AR55&gt;0,MIN(AR55,AQ63*'I_Inputs &amp; Assumptions'!$B$70/4),0)</f>
        <v>0</v>
      </c>
      <c r="AS56" s="73">
        <f>IF(AS55&gt;0,MIN(AS55,AR63*'I_Inputs &amp; Assumptions'!$B$70/4),0)</f>
        <v>0</v>
      </c>
      <c r="AT56" s="73">
        <f>IF(AT55&gt;0,MIN(AT55,AS63*'I_Inputs &amp; Assumptions'!$B$70/4),0)</f>
        <v>0</v>
      </c>
      <c r="AU56" s="73">
        <f>IF(AU55&gt;0,MIN(AU55,AT63*'I_Inputs &amp; Assumptions'!$B$70/4),0)</f>
        <v>0</v>
      </c>
      <c r="AV56" s="73">
        <f>IF(AV55&gt;0,MIN(AV55,AU63*'I_Inputs &amp; Assumptions'!$B$70/4),0)</f>
        <v>0</v>
      </c>
      <c r="AW56" s="73">
        <f>IF(AW55&gt;0,MIN(AW55,AV63*'I_Inputs &amp; Assumptions'!$B$70/4),0)</f>
        <v>0</v>
      </c>
      <c r="AX56" s="73">
        <f>IF(AX55&gt;0,MIN(AX55,AW63*'I_Inputs &amp; Assumptions'!$B$70/4),0)</f>
        <v>0</v>
      </c>
      <c r="AY56" s="73">
        <f>IF(AY55&gt;0,MIN(AY55,AX63*'I_Inputs &amp; Assumptions'!$B$70/4),0)</f>
        <v>0</v>
      </c>
      <c r="AZ56" s="73">
        <f>IF(AZ55&gt;0,MIN(AZ55,AY63*'I_Inputs &amp; Assumptions'!$B$70/4),0)</f>
        <v>0</v>
      </c>
      <c r="BA56" s="73">
        <f>IF(BA55&gt;0,MIN(BA55,AZ63*'I_Inputs &amp; Assumptions'!$B$70/4),0)</f>
        <v>0</v>
      </c>
      <c r="BB56" s="73">
        <f>IF(BB55&gt;0,MIN(BB55,BA63*'I_Inputs &amp; Assumptions'!$B$70/4),0)</f>
        <v>0</v>
      </c>
      <c r="BC56" s="73">
        <f>IF(BC55&gt;0,MIN(BC55,BB63*'I_Inputs &amp; Assumptions'!$B$70/4),0)</f>
        <v>0</v>
      </c>
      <c r="BD56" s="73">
        <f>IF(BD55&gt;0,MIN(BD55,BC63*'I_Inputs &amp; Assumptions'!$B$70/4),0)</f>
        <v>0</v>
      </c>
      <c r="BE56" s="73">
        <f>IF(BE55&gt;0,MIN(BE55,BD63*'I_Inputs &amp; Assumptions'!$B$70/4),0)</f>
        <v>0</v>
      </c>
      <c r="BF56" s="73">
        <f>IF(BF55&gt;0,MIN(BF55,BE63*'I_Inputs &amp; Assumptions'!$B$70/4),0)</f>
        <v>0</v>
      </c>
      <c r="BG56" s="73">
        <f>IF(BG55&gt;0,MIN(BG55,BF63*'I_Inputs &amp; Assumptions'!$B$70/4),0)</f>
        <v>0</v>
      </c>
      <c r="BH56" s="73">
        <f>IF(BH55&gt;0,MIN(BH55,BG63*'I_Inputs &amp; Assumptions'!$B$70/4),0)</f>
        <v>0</v>
      </c>
      <c r="BI56" s="73">
        <f>IF(BI55&gt;0,MIN(BI55,BH63*'I_Inputs &amp; Assumptions'!$B$70/4),0)</f>
        <v>0</v>
      </c>
      <c r="BJ56" s="73">
        <f>IF(BJ55&gt;0,MIN(BJ55,BI63*'I_Inputs &amp; Assumptions'!$B$70/4),0)</f>
        <v>0</v>
      </c>
      <c r="BK56" s="73">
        <f>IF(BK55&gt;0,MIN(BK55,BJ63*'I_Inputs &amp; Assumptions'!$B$70/4),0)</f>
        <v>0</v>
      </c>
    </row>
    <row r="57" spans="1:63" ht="15" customHeight="1" x14ac:dyDescent="0.2">
      <c r="A57" s="26" t="s">
        <v>744</v>
      </c>
      <c r="B57" s="73">
        <f>IF(B55&gt;0,MIN(B55-B56,MAX(0,'I_Inputs &amp; Assumptions'!$B$68)),0)</f>
        <v>0</v>
      </c>
      <c r="C57" s="73">
        <f t="shared" ref="C57:AH57" si="22">IF(C55&gt;0,MIN(C55-C56,MAX(0,B63)),0)</f>
        <v>0</v>
      </c>
      <c r="D57" s="73">
        <f t="shared" si="22"/>
        <v>0</v>
      </c>
      <c r="E57" s="73">
        <f t="shared" si="22"/>
        <v>54221.36175442228</v>
      </c>
      <c r="F57" s="73">
        <f t="shared" si="22"/>
        <v>0</v>
      </c>
      <c r="G57" s="73">
        <f t="shared" si="22"/>
        <v>0</v>
      </c>
      <c r="H57" s="73">
        <f t="shared" si="22"/>
        <v>64735.588337755617</v>
      </c>
      <c r="I57" s="73">
        <f t="shared" si="22"/>
        <v>0</v>
      </c>
      <c r="J57" s="73">
        <f t="shared" si="22"/>
        <v>0</v>
      </c>
      <c r="K57" s="73">
        <f t="shared" si="22"/>
        <v>64735.588337755617</v>
      </c>
      <c r="L57" s="73">
        <f t="shared" si="22"/>
        <v>0</v>
      </c>
      <c r="M57" s="73">
        <f t="shared" si="22"/>
        <v>0</v>
      </c>
      <c r="N57" s="73">
        <f t="shared" si="22"/>
        <v>64735.588337755617</v>
      </c>
      <c r="O57" s="73">
        <f t="shared" si="22"/>
        <v>0</v>
      </c>
      <c r="P57" s="73">
        <f t="shared" si="22"/>
        <v>0</v>
      </c>
      <c r="Q57" s="73">
        <f t="shared" si="22"/>
        <v>71274.877199952723</v>
      </c>
      <c r="R57" s="73">
        <f t="shared" si="22"/>
        <v>0</v>
      </c>
      <c r="S57" s="73">
        <f t="shared" si="22"/>
        <v>0</v>
      </c>
      <c r="T57" s="73">
        <f t="shared" si="22"/>
        <v>71274.877199952723</v>
      </c>
      <c r="U57" s="73">
        <f t="shared" si="22"/>
        <v>0</v>
      </c>
      <c r="V57" s="73">
        <f t="shared" si="22"/>
        <v>0</v>
      </c>
      <c r="W57" s="73">
        <f t="shared" si="22"/>
        <v>71274.877199952723</v>
      </c>
      <c r="X57" s="73">
        <f t="shared" si="22"/>
        <v>0</v>
      </c>
      <c r="Y57" s="73">
        <f t="shared" si="22"/>
        <v>0</v>
      </c>
      <c r="Z57" s="73">
        <f t="shared" si="22"/>
        <v>71274.877199952723</v>
      </c>
      <c r="AA57" s="73">
        <f t="shared" si="22"/>
        <v>0</v>
      </c>
      <c r="AB57" s="73">
        <f t="shared" si="22"/>
        <v>0</v>
      </c>
      <c r="AC57" s="73">
        <f t="shared" si="22"/>
        <v>77947.418232519005</v>
      </c>
      <c r="AD57" s="73">
        <f t="shared" si="22"/>
        <v>0</v>
      </c>
      <c r="AE57" s="73">
        <f t="shared" si="22"/>
        <v>0</v>
      </c>
      <c r="AF57" s="73">
        <f t="shared" si="22"/>
        <v>77947.418232519005</v>
      </c>
      <c r="AG57" s="73">
        <f t="shared" si="22"/>
        <v>0</v>
      </c>
      <c r="AH57" s="73">
        <f t="shared" si="22"/>
        <v>0</v>
      </c>
      <c r="AI57" s="73">
        <f t="shared" ref="AI57:BN57" si="23">IF(AI55&gt;0,MIN(AI55-AI56,MAX(0,AH63)),0)</f>
        <v>77947.418232519005</v>
      </c>
      <c r="AJ57" s="73">
        <f t="shared" si="23"/>
        <v>0</v>
      </c>
      <c r="AK57" s="73">
        <f t="shared" si="23"/>
        <v>0</v>
      </c>
      <c r="AL57" s="73">
        <f t="shared" si="23"/>
        <v>77947.418232519005</v>
      </c>
      <c r="AM57" s="73">
        <f t="shared" si="23"/>
        <v>0</v>
      </c>
      <c r="AN57" s="73">
        <f t="shared" si="23"/>
        <v>0</v>
      </c>
      <c r="AO57" s="73">
        <f t="shared" si="23"/>
        <v>84755.875335519057</v>
      </c>
      <c r="AP57" s="73">
        <f t="shared" si="23"/>
        <v>0</v>
      </c>
      <c r="AQ57" s="73">
        <f t="shared" si="23"/>
        <v>0</v>
      </c>
      <c r="AR57" s="73">
        <f t="shared" si="23"/>
        <v>84755.875335519057</v>
      </c>
      <c r="AS57" s="73">
        <f t="shared" si="23"/>
        <v>0</v>
      </c>
      <c r="AT57" s="73">
        <f t="shared" si="23"/>
        <v>0</v>
      </c>
      <c r="AU57" s="73">
        <f t="shared" si="23"/>
        <v>84755.875335519057</v>
      </c>
      <c r="AV57" s="73">
        <f t="shared" si="23"/>
        <v>0</v>
      </c>
      <c r="AW57" s="73">
        <f t="shared" si="23"/>
        <v>0</v>
      </c>
      <c r="AX57" s="73">
        <f t="shared" si="23"/>
        <v>84755.875335519057</v>
      </c>
      <c r="AY57" s="73">
        <f t="shared" si="23"/>
        <v>0</v>
      </c>
      <c r="AZ57" s="73">
        <f t="shared" si="23"/>
        <v>0</v>
      </c>
      <c r="BA57" s="73">
        <f t="shared" si="23"/>
        <v>91702.965034555004</v>
      </c>
      <c r="BB57" s="73">
        <f t="shared" si="23"/>
        <v>0</v>
      </c>
      <c r="BC57" s="73">
        <f t="shared" si="23"/>
        <v>0</v>
      </c>
      <c r="BD57" s="73">
        <f t="shared" si="23"/>
        <v>91702.965034555004</v>
      </c>
      <c r="BE57" s="73">
        <f t="shared" si="23"/>
        <v>0</v>
      </c>
      <c r="BF57" s="73">
        <f t="shared" si="23"/>
        <v>0</v>
      </c>
      <c r="BG57" s="73">
        <f t="shared" si="23"/>
        <v>91702.965034555004</v>
      </c>
      <c r="BH57" s="73">
        <f t="shared" si="23"/>
        <v>0</v>
      </c>
      <c r="BI57" s="73">
        <f t="shared" si="23"/>
        <v>0</v>
      </c>
      <c r="BJ57" s="73">
        <f t="shared" si="23"/>
        <v>91702.965034555004</v>
      </c>
      <c r="BK57" s="73">
        <f t="shared" si="23"/>
        <v>0</v>
      </c>
    </row>
    <row r="58" spans="1:63" ht="15" customHeight="1" x14ac:dyDescent="0.2">
      <c r="A58" s="26" t="s">
        <v>745</v>
      </c>
      <c r="B58" s="73">
        <f t="shared" ref="B58:AG58" si="24">MAX(0,B55-B56-B57)</f>
        <v>0</v>
      </c>
      <c r="C58" s="73">
        <f t="shared" si="24"/>
        <v>0</v>
      </c>
      <c r="D58" s="73">
        <f t="shared" si="24"/>
        <v>0</v>
      </c>
      <c r="E58" s="73">
        <f t="shared" si="24"/>
        <v>0</v>
      </c>
      <c r="F58" s="73">
        <f t="shared" si="24"/>
        <v>0</v>
      </c>
      <c r="G58" s="73">
        <f t="shared" si="24"/>
        <v>0</v>
      </c>
      <c r="H58" s="73">
        <f t="shared" si="24"/>
        <v>0</v>
      </c>
      <c r="I58" s="73">
        <f t="shared" si="24"/>
        <v>0</v>
      </c>
      <c r="J58" s="73">
        <f t="shared" si="24"/>
        <v>0</v>
      </c>
      <c r="K58" s="73">
        <f t="shared" si="24"/>
        <v>0</v>
      </c>
      <c r="L58" s="73">
        <f t="shared" si="24"/>
        <v>0</v>
      </c>
      <c r="M58" s="73">
        <f t="shared" si="24"/>
        <v>0</v>
      </c>
      <c r="N58" s="73">
        <f t="shared" si="24"/>
        <v>0</v>
      </c>
      <c r="O58" s="73">
        <f t="shared" si="24"/>
        <v>0</v>
      </c>
      <c r="P58" s="73">
        <f t="shared" si="24"/>
        <v>0</v>
      </c>
      <c r="Q58" s="73">
        <f t="shared" si="24"/>
        <v>0</v>
      </c>
      <c r="R58" s="73">
        <f t="shared" si="24"/>
        <v>0</v>
      </c>
      <c r="S58" s="73">
        <f t="shared" si="24"/>
        <v>0</v>
      </c>
      <c r="T58" s="73">
        <f t="shared" si="24"/>
        <v>0</v>
      </c>
      <c r="U58" s="73">
        <f t="shared" si="24"/>
        <v>0</v>
      </c>
      <c r="V58" s="73">
        <f t="shared" si="24"/>
        <v>0</v>
      </c>
      <c r="W58" s="73">
        <f t="shared" si="24"/>
        <v>0</v>
      </c>
      <c r="X58" s="73">
        <f t="shared" si="24"/>
        <v>0</v>
      </c>
      <c r="Y58" s="73">
        <f t="shared" si="24"/>
        <v>0</v>
      </c>
      <c r="Z58" s="73">
        <f t="shared" si="24"/>
        <v>0</v>
      </c>
      <c r="AA58" s="73">
        <f t="shared" si="24"/>
        <v>0</v>
      </c>
      <c r="AB58" s="73">
        <f t="shared" si="24"/>
        <v>0</v>
      </c>
      <c r="AC58" s="73">
        <f t="shared" si="24"/>
        <v>0</v>
      </c>
      <c r="AD58" s="73">
        <f t="shared" si="24"/>
        <v>0</v>
      </c>
      <c r="AE58" s="73">
        <f t="shared" si="24"/>
        <v>0</v>
      </c>
      <c r="AF58" s="73">
        <f t="shared" si="24"/>
        <v>0</v>
      </c>
      <c r="AG58" s="73">
        <f t="shared" si="24"/>
        <v>0</v>
      </c>
      <c r="AH58" s="73">
        <f t="shared" ref="AH58:BM58" si="25">MAX(0,AH55-AH56-AH57)</f>
        <v>0</v>
      </c>
      <c r="AI58" s="73">
        <f t="shared" si="25"/>
        <v>0</v>
      </c>
      <c r="AJ58" s="73">
        <f t="shared" si="25"/>
        <v>0</v>
      </c>
      <c r="AK58" s="73">
        <f t="shared" si="25"/>
        <v>0</v>
      </c>
      <c r="AL58" s="73">
        <f t="shared" si="25"/>
        <v>0</v>
      </c>
      <c r="AM58" s="73">
        <f t="shared" si="25"/>
        <v>0</v>
      </c>
      <c r="AN58" s="73">
        <f t="shared" si="25"/>
        <v>0</v>
      </c>
      <c r="AO58" s="73">
        <f t="shared" si="25"/>
        <v>0</v>
      </c>
      <c r="AP58" s="73">
        <f t="shared" si="25"/>
        <v>0</v>
      </c>
      <c r="AQ58" s="73">
        <f t="shared" si="25"/>
        <v>0</v>
      </c>
      <c r="AR58" s="73">
        <f t="shared" si="25"/>
        <v>0</v>
      </c>
      <c r="AS58" s="73">
        <f t="shared" si="25"/>
        <v>0</v>
      </c>
      <c r="AT58" s="73">
        <f t="shared" si="25"/>
        <v>0</v>
      </c>
      <c r="AU58" s="73">
        <f t="shared" si="25"/>
        <v>0</v>
      </c>
      <c r="AV58" s="73">
        <f t="shared" si="25"/>
        <v>0</v>
      </c>
      <c r="AW58" s="73">
        <f t="shared" si="25"/>
        <v>0</v>
      </c>
      <c r="AX58" s="73">
        <f t="shared" si="25"/>
        <v>0</v>
      </c>
      <c r="AY58" s="73">
        <f t="shared" si="25"/>
        <v>0</v>
      </c>
      <c r="AZ58" s="73">
        <f t="shared" si="25"/>
        <v>0</v>
      </c>
      <c r="BA58" s="73">
        <f t="shared" si="25"/>
        <v>0</v>
      </c>
      <c r="BB58" s="73">
        <f t="shared" si="25"/>
        <v>0</v>
      </c>
      <c r="BC58" s="73">
        <f t="shared" si="25"/>
        <v>0</v>
      </c>
      <c r="BD58" s="73">
        <f t="shared" si="25"/>
        <v>0</v>
      </c>
      <c r="BE58" s="73">
        <f t="shared" si="25"/>
        <v>0</v>
      </c>
      <c r="BF58" s="73">
        <f t="shared" si="25"/>
        <v>0</v>
      </c>
      <c r="BG58" s="73">
        <f t="shared" si="25"/>
        <v>0</v>
      </c>
      <c r="BH58" s="73">
        <f t="shared" si="25"/>
        <v>0</v>
      </c>
      <c r="BI58" s="73">
        <f t="shared" si="25"/>
        <v>0</v>
      </c>
      <c r="BJ58" s="73">
        <f t="shared" si="25"/>
        <v>0</v>
      </c>
      <c r="BK58" s="73">
        <f t="shared" si="25"/>
        <v>0</v>
      </c>
    </row>
    <row r="59" spans="1:63" ht="15" customHeight="1" x14ac:dyDescent="0.2">
      <c r="A59" s="26" t="s">
        <v>746</v>
      </c>
      <c r="B59" s="57">
        <f>B56+B57+B58*'I_Inputs &amp; Assumptions'!$B$112</f>
        <v>0</v>
      </c>
      <c r="C59" s="57">
        <f>C56+C57+C58*'I_Inputs &amp; Assumptions'!$B$112</f>
        <v>0</v>
      </c>
      <c r="D59" s="57">
        <f>D56+D57+D58*'I_Inputs &amp; Assumptions'!$B$112</f>
        <v>0</v>
      </c>
      <c r="E59" s="57">
        <f>E56+E57+E58*'I_Inputs &amp; Assumptions'!$B$112</f>
        <v>54221.36175442228</v>
      </c>
      <c r="F59" s="57">
        <f>F56+F57+F58*'I_Inputs &amp; Assumptions'!$B$112</f>
        <v>0</v>
      </c>
      <c r="G59" s="57">
        <f>G56+G57+G58*'I_Inputs &amp; Assumptions'!$B$112</f>
        <v>0</v>
      </c>
      <c r="H59" s="57">
        <f>H56+H57+H58*'I_Inputs &amp; Assumptions'!$B$112</f>
        <v>64735.588337755617</v>
      </c>
      <c r="I59" s="57">
        <f>I56+I57+I58*'I_Inputs &amp; Assumptions'!$B$112</f>
        <v>0</v>
      </c>
      <c r="J59" s="57">
        <f>J56+J57+J58*'I_Inputs &amp; Assumptions'!$B$112</f>
        <v>0</v>
      </c>
      <c r="K59" s="57">
        <f>K56+K57+K58*'I_Inputs &amp; Assumptions'!$B$112</f>
        <v>64735.588337755617</v>
      </c>
      <c r="L59" s="57">
        <f>L56+L57+L58*'I_Inputs &amp; Assumptions'!$B$112</f>
        <v>0</v>
      </c>
      <c r="M59" s="57">
        <f>M56+M57+M58*'I_Inputs &amp; Assumptions'!$B$112</f>
        <v>0</v>
      </c>
      <c r="N59" s="57">
        <f>N56+N57+N58*'I_Inputs &amp; Assumptions'!$B$112</f>
        <v>64735.588337755617</v>
      </c>
      <c r="O59" s="57">
        <f>O56+O57+O58*'I_Inputs &amp; Assumptions'!$B$112</f>
        <v>0</v>
      </c>
      <c r="P59" s="57">
        <f>P56+P57+P58*'I_Inputs &amp; Assumptions'!$B$112</f>
        <v>0</v>
      </c>
      <c r="Q59" s="57">
        <f>Q56+Q57+Q58*'I_Inputs &amp; Assumptions'!$B$112</f>
        <v>71274.877199952723</v>
      </c>
      <c r="R59" s="57">
        <f>R56+R57+R58*'I_Inputs &amp; Assumptions'!$B$112</f>
        <v>0</v>
      </c>
      <c r="S59" s="57">
        <f>S56+S57+S58*'I_Inputs &amp; Assumptions'!$B$112</f>
        <v>0</v>
      </c>
      <c r="T59" s="57">
        <f>T56+T57+T58*'I_Inputs &amp; Assumptions'!$B$112</f>
        <v>71274.877199952723</v>
      </c>
      <c r="U59" s="57">
        <f>U56+U57+U58*'I_Inputs &amp; Assumptions'!$B$112</f>
        <v>0</v>
      </c>
      <c r="V59" s="57">
        <f>V56+V57+V58*'I_Inputs &amp; Assumptions'!$B$112</f>
        <v>0</v>
      </c>
      <c r="W59" s="57">
        <f>W56+W57+W58*'I_Inputs &amp; Assumptions'!$B$112</f>
        <v>71274.877199952723</v>
      </c>
      <c r="X59" s="57">
        <f>X56+X57+X58*'I_Inputs &amp; Assumptions'!$B$112</f>
        <v>0</v>
      </c>
      <c r="Y59" s="57">
        <f>Y56+Y57+Y58*'I_Inputs &amp; Assumptions'!$B$112</f>
        <v>0</v>
      </c>
      <c r="Z59" s="57">
        <f>Z56+Z57+Z58*'I_Inputs &amp; Assumptions'!$B$112</f>
        <v>71274.877199952723</v>
      </c>
      <c r="AA59" s="57">
        <f>AA56+AA57+AA58*'I_Inputs &amp; Assumptions'!$B$112</f>
        <v>0</v>
      </c>
      <c r="AB59" s="57">
        <f>AB56+AB57+AB58*'I_Inputs &amp; Assumptions'!$B$112</f>
        <v>0</v>
      </c>
      <c r="AC59" s="57">
        <f>AC56+AC57+AC58*'I_Inputs &amp; Assumptions'!$B$112</f>
        <v>77947.418232519005</v>
      </c>
      <c r="AD59" s="57">
        <f>AD56+AD57+AD58*'I_Inputs &amp; Assumptions'!$B$112</f>
        <v>0</v>
      </c>
      <c r="AE59" s="57">
        <f>AE56+AE57+AE58*'I_Inputs &amp; Assumptions'!$B$112</f>
        <v>0</v>
      </c>
      <c r="AF59" s="57">
        <f>AF56+AF57+AF58*'I_Inputs &amp; Assumptions'!$B$112</f>
        <v>77947.418232519005</v>
      </c>
      <c r="AG59" s="57">
        <f>AG56+AG57+AG58*'I_Inputs &amp; Assumptions'!$B$112</f>
        <v>0</v>
      </c>
      <c r="AH59" s="57">
        <f>AH56+AH57+AH58*'I_Inputs &amp; Assumptions'!$B$112</f>
        <v>0</v>
      </c>
      <c r="AI59" s="57">
        <f>AI56+AI57+AI58*'I_Inputs &amp; Assumptions'!$B$112</f>
        <v>77947.418232519005</v>
      </c>
      <c r="AJ59" s="57">
        <f>AJ56+AJ57+AJ58*'I_Inputs &amp; Assumptions'!$B$112</f>
        <v>0</v>
      </c>
      <c r="AK59" s="57">
        <f>AK56+AK57+AK58*'I_Inputs &amp; Assumptions'!$B$112</f>
        <v>0</v>
      </c>
      <c r="AL59" s="57">
        <f>AL56+AL57+AL58*'I_Inputs &amp; Assumptions'!$B$112</f>
        <v>77947.418232519005</v>
      </c>
      <c r="AM59" s="57">
        <f>AM56+AM57+AM58*'I_Inputs &amp; Assumptions'!$B$112</f>
        <v>0</v>
      </c>
      <c r="AN59" s="57">
        <f>AN56+AN57+AN58*'I_Inputs &amp; Assumptions'!$B$112</f>
        <v>0</v>
      </c>
      <c r="AO59" s="57">
        <f>AO56+AO57+AO58*'I_Inputs &amp; Assumptions'!$B$112</f>
        <v>84755.875335519057</v>
      </c>
      <c r="AP59" s="57">
        <f>AP56+AP57+AP58*'I_Inputs &amp; Assumptions'!$B$112</f>
        <v>0</v>
      </c>
      <c r="AQ59" s="57">
        <f>AQ56+AQ57+AQ58*'I_Inputs &amp; Assumptions'!$B$112</f>
        <v>0</v>
      </c>
      <c r="AR59" s="57">
        <f>AR56+AR57+AR58*'I_Inputs &amp; Assumptions'!$B$112</f>
        <v>84755.875335519057</v>
      </c>
      <c r="AS59" s="57">
        <f>AS56+AS57+AS58*'I_Inputs &amp; Assumptions'!$B$112</f>
        <v>0</v>
      </c>
      <c r="AT59" s="57">
        <f>AT56+AT57+AT58*'I_Inputs &amp; Assumptions'!$B$112</f>
        <v>0</v>
      </c>
      <c r="AU59" s="57">
        <f>AU56+AU57+AU58*'I_Inputs &amp; Assumptions'!$B$112</f>
        <v>84755.875335519057</v>
      </c>
      <c r="AV59" s="57">
        <f>AV56+AV57+AV58*'I_Inputs &amp; Assumptions'!$B$112</f>
        <v>0</v>
      </c>
      <c r="AW59" s="57">
        <f>AW56+AW57+AW58*'I_Inputs &amp; Assumptions'!$B$112</f>
        <v>0</v>
      </c>
      <c r="AX59" s="57">
        <f>AX56+AX57+AX58*'I_Inputs &amp; Assumptions'!$B$112</f>
        <v>84755.875335519057</v>
      </c>
      <c r="AY59" s="57">
        <f>AY56+AY57+AY58*'I_Inputs &amp; Assumptions'!$B$112</f>
        <v>0</v>
      </c>
      <c r="AZ59" s="57">
        <f>AZ56+AZ57+AZ58*'I_Inputs &amp; Assumptions'!$B$112</f>
        <v>0</v>
      </c>
      <c r="BA59" s="57">
        <f>BA56+BA57+BA58*'I_Inputs &amp; Assumptions'!$B$112</f>
        <v>91702.965034555004</v>
      </c>
      <c r="BB59" s="57">
        <f>BB56+BB57+BB58*'I_Inputs &amp; Assumptions'!$B$112</f>
        <v>0</v>
      </c>
      <c r="BC59" s="57">
        <f>BC56+BC57+BC58*'I_Inputs &amp; Assumptions'!$B$112</f>
        <v>0</v>
      </c>
      <c r="BD59" s="57">
        <f>BD56+BD57+BD58*'I_Inputs &amp; Assumptions'!$B$112</f>
        <v>91702.965034555004</v>
      </c>
      <c r="BE59" s="57">
        <f>BE56+BE57+BE58*'I_Inputs &amp; Assumptions'!$B$112</f>
        <v>0</v>
      </c>
      <c r="BF59" s="57">
        <f>BF56+BF57+BF58*'I_Inputs &amp; Assumptions'!$B$112</f>
        <v>0</v>
      </c>
      <c r="BG59" s="57">
        <f>BG56+BG57+BG58*'I_Inputs &amp; Assumptions'!$B$112</f>
        <v>91702.965034555004</v>
      </c>
      <c r="BH59" s="57">
        <f>BH56+BH57+BH58*'I_Inputs &amp; Assumptions'!$B$112</f>
        <v>0</v>
      </c>
      <c r="BI59" s="57">
        <f>BI56+BI57+BI58*'I_Inputs &amp; Assumptions'!$B$112</f>
        <v>0</v>
      </c>
      <c r="BJ59" s="57">
        <f>BJ56+BJ57+BJ58*'I_Inputs &amp; Assumptions'!$B$112</f>
        <v>91702.965034555004</v>
      </c>
      <c r="BK59" s="57">
        <f>BK56+BK57+BK58*'I_Inputs &amp; Assumptions'!$B$112</f>
        <v>0</v>
      </c>
    </row>
    <row r="60" spans="1:63" ht="15" customHeight="1" x14ac:dyDescent="0.2">
      <c r="A60" s="26" t="s">
        <v>747</v>
      </c>
      <c r="B60" s="57">
        <f>B58*'I_Inputs &amp; Assumptions'!$B$113</f>
        <v>0</v>
      </c>
      <c r="C60" s="57">
        <f>C58*'I_Inputs &amp; Assumptions'!$B$113</f>
        <v>0</v>
      </c>
      <c r="D60" s="57">
        <f>D58*'I_Inputs &amp; Assumptions'!$B$113</f>
        <v>0</v>
      </c>
      <c r="E60" s="57">
        <f>E58*'I_Inputs &amp; Assumptions'!$B$113</f>
        <v>0</v>
      </c>
      <c r="F60" s="57">
        <f>F58*'I_Inputs &amp; Assumptions'!$B$113</f>
        <v>0</v>
      </c>
      <c r="G60" s="57">
        <f>G58*'I_Inputs &amp; Assumptions'!$B$113</f>
        <v>0</v>
      </c>
      <c r="H60" s="57">
        <f>H58*'I_Inputs &amp; Assumptions'!$B$113</f>
        <v>0</v>
      </c>
      <c r="I60" s="57">
        <f>I58*'I_Inputs &amp; Assumptions'!$B$113</f>
        <v>0</v>
      </c>
      <c r="J60" s="57">
        <f>J58*'I_Inputs &amp; Assumptions'!$B$113</f>
        <v>0</v>
      </c>
      <c r="K60" s="57">
        <f>K58*'I_Inputs &amp; Assumptions'!$B$113</f>
        <v>0</v>
      </c>
      <c r="L60" s="57">
        <f>L58*'I_Inputs &amp; Assumptions'!$B$113</f>
        <v>0</v>
      </c>
      <c r="M60" s="57">
        <f>M58*'I_Inputs &amp; Assumptions'!$B$113</f>
        <v>0</v>
      </c>
      <c r="N60" s="57">
        <f>N58*'I_Inputs &amp; Assumptions'!$B$113</f>
        <v>0</v>
      </c>
      <c r="O60" s="57">
        <f>O58*'I_Inputs &amp; Assumptions'!$B$113</f>
        <v>0</v>
      </c>
      <c r="P60" s="57">
        <f>P58*'I_Inputs &amp; Assumptions'!$B$113</f>
        <v>0</v>
      </c>
      <c r="Q60" s="57">
        <f>Q58*'I_Inputs &amp; Assumptions'!$B$113</f>
        <v>0</v>
      </c>
      <c r="R60" s="57">
        <f>R58*'I_Inputs &amp; Assumptions'!$B$113</f>
        <v>0</v>
      </c>
      <c r="S60" s="57">
        <f>S58*'I_Inputs &amp; Assumptions'!$B$113</f>
        <v>0</v>
      </c>
      <c r="T60" s="57">
        <f>T58*'I_Inputs &amp; Assumptions'!$B$113</f>
        <v>0</v>
      </c>
      <c r="U60" s="57">
        <f>U58*'I_Inputs &amp; Assumptions'!$B$113</f>
        <v>0</v>
      </c>
      <c r="V60" s="57">
        <f>V58*'I_Inputs &amp; Assumptions'!$B$113</f>
        <v>0</v>
      </c>
      <c r="W60" s="57">
        <f>W58*'I_Inputs &amp; Assumptions'!$B$113</f>
        <v>0</v>
      </c>
      <c r="X60" s="57">
        <f>X58*'I_Inputs &amp; Assumptions'!$B$113</f>
        <v>0</v>
      </c>
      <c r="Y60" s="57">
        <f>Y58*'I_Inputs &amp; Assumptions'!$B$113</f>
        <v>0</v>
      </c>
      <c r="Z60" s="57">
        <f>Z58*'I_Inputs &amp; Assumptions'!$B$113</f>
        <v>0</v>
      </c>
      <c r="AA60" s="57">
        <f>AA58*'I_Inputs &amp; Assumptions'!$B$113</f>
        <v>0</v>
      </c>
      <c r="AB60" s="57">
        <f>AB58*'I_Inputs &amp; Assumptions'!$B$113</f>
        <v>0</v>
      </c>
      <c r="AC60" s="57">
        <f>AC58*'I_Inputs &amp; Assumptions'!$B$113</f>
        <v>0</v>
      </c>
      <c r="AD60" s="57">
        <f>AD58*'I_Inputs &amp; Assumptions'!$B$113</f>
        <v>0</v>
      </c>
      <c r="AE60" s="57">
        <f>AE58*'I_Inputs &amp; Assumptions'!$B$113</f>
        <v>0</v>
      </c>
      <c r="AF60" s="57">
        <f>AF58*'I_Inputs &amp; Assumptions'!$B$113</f>
        <v>0</v>
      </c>
      <c r="AG60" s="57">
        <f>AG58*'I_Inputs &amp; Assumptions'!$B$113</f>
        <v>0</v>
      </c>
      <c r="AH60" s="57">
        <f>AH58*'I_Inputs &amp; Assumptions'!$B$113</f>
        <v>0</v>
      </c>
      <c r="AI60" s="57">
        <f>AI58*'I_Inputs &amp; Assumptions'!$B$113</f>
        <v>0</v>
      </c>
      <c r="AJ60" s="57">
        <f>AJ58*'I_Inputs &amp; Assumptions'!$B$113</f>
        <v>0</v>
      </c>
      <c r="AK60" s="57">
        <f>AK58*'I_Inputs &amp; Assumptions'!$B$113</f>
        <v>0</v>
      </c>
      <c r="AL60" s="57">
        <f>AL58*'I_Inputs &amp; Assumptions'!$B$113</f>
        <v>0</v>
      </c>
      <c r="AM60" s="57">
        <f>AM58*'I_Inputs &amp; Assumptions'!$B$113</f>
        <v>0</v>
      </c>
      <c r="AN60" s="57">
        <f>AN58*'I_Inputs &amp; Assumptions'!$B$113</f>
        <v>0</v>
      </c>
      <c r="AO60" s="57">
        <f>AO58*'I_Inputs &amp; Assumptions'!$B$113</f>
        <v>0</v>
      </c>
      <c r="AP60" s="57">
        <f>AP58*'I_Inputs &amp; Assumptions'!$B$113</f>
        <v>0</v>
      </c>
      <c r="AQ60" s="57">
        <f>AQ58*'I_Inputs &amp; Assumptions'!$B$113</f>
        <v>0</v>
      </c>
      <c r="AR60" s="57">
        <f>AR58*'I_Inputs &amp; Assumptions'!$B$113</f>
        <v>0</v>
      </c>
      <c r="AS60" s="57">
        <f>AS58*'I_Inputs &amp; Assumptions'!$B$113</f>
        <v>0</v>
      </c>
      <c r="AT60" s="57">
        <f>AT58*'I_Inputs &amp; Assumptions'!$B$113</f>
        <v>0</v>
      </c>
      <c r="AU60" s="57">
        <f>AU58*'I_Inputs &amp; Assumptions'!$B$113</f>
        <v>0</v>
      </c>
      <c r="AV60" s="57">
        <f>AV58*'I_Inputs &amp; Assumptions'!$B$113</f>
        <v>0</v>
      </c>
      <c r="AW60" s="57">
        <f>AW58*'I_Inputs &amp; Assumptions'!$B$113</f>
        <v>0</v>
      </c>
      <c r="AX60" s="57">
        <f>AX58*'I_Inputs &amp; Assumptions'!$B$113</f>
        <v>0</v>
      </c>
      <c r="AY60" s="57">
        <f>AY58*'I_Inputs &amp; Assumptions'!$B$113</f>
        <v>0</v>
      </c>
      <c r="AZ60" s="57">
        <f>AZ58*'I_Inputs &amp; Assumptions'!$B$113</f>
        <v>0</v>
      </c>
      <c r="BA60" s="57">
        <f>BA58*'I_Inputs &amp; Assumptions'!$B$113</f>
        <v>0</v>
      </c>
      <c r="BB60" s="57">
        <f>BB58*'I_Inputs &amp; Assumptions'!$B$113</f>
        <v>0</v>
      </c>
      <c r="BC60" s="57">
        <f>BC58*'I_Inputs &amp; Assumptions'!$B$113</f>
        <v>0</v>
      </c>
      <c r="BD60" s="57">
        <f>BD58*'I_Inputs &amp; Assumptions'!$B$113</f>
        <v>0</v>
      </c>
      <c r="BE60" s="57">
        <f>BE58*'I_Inputs &amp; Assumptions'!$B$113</f>
        <v>0</v>
      </c>
      <c r="BF60" s="57">
        <f>BF58*'I_Inputs &amp; Assumptions'!$B$113</f>
        <v>0</v>
      </c>
      <c r="BG60" s="57">
        <f>BG58*'I_Inputs &amp; Assumptions'!$B$113</f>
        <v>0</v>
      </c>
      <c r="BH60" s="57">
        <f>BH58*'I_Inputs &amp; Assumptions'!$B$113</f>
        <v>0</v>
      </c>
      <c r="BI60" s="57">
        <f>BI58*'I_Inputs &amp; Assumptions'!$B$113</f>
        <v>0</v>
      </c>
      <c r="BJ60" s="57">
        <f>BJ58*'I_Inputs &amp; Assumptions'!$B$113</f>
        <v>0</v>
      </c>
      <c r="BK60" s="57">
        <f>BK58*'I_Inputs &amp; Assumptions'!$B$113</f>
        <v>0</v>
      </c>
    </row>
    <row r="61" spans="1:63" ht="15.75" customHeight="1" x14ac:dyDescent="0.2"/>
    <row r="62" spans="1:63" ht="15" customHeight="1" x14ac:dyDescent="0.2">
      <c r="A62" s="26" t="s">
        <v>748</v>
      </c>
      <c r="B62" s="73">
        <f>B57</f>
        <v>0</v>
      </c>
      <c r="C62" s="73">
        <f t="shared" ref="C62:AH62" si="26">B62+C57</f>
        <v>0</v>
      </c>
      <c r="D62" s="73">
        <f t="shared" si="26"/>
        <v>0</v>
      </c>
      <c r="E62" s="73">
        <f t="shared" si="26"/>
        <v>54221.36175442228</v>
      </c>
      <c r="F62" s="73">
        <f t="shared" si="26"/>
        <v>54221.36175442228</v>
      </c>
      <c r="G62" s="73">
        <f t="shared" si="26"/>
        <v>54221.36175442228</v>
      </c>
      <c r="H62" s="73">
        <f t="shared" si="26"/>
        <v>118956.9500921779</v>
      </c>
      <c r="I62" s="73">
        <f t="shared" si="26"/>
        <v>118956.9500921779</v>
      </c>
      <c r="J62" s="73">
        <f t="shared" si="26"/>
        <v>118956.9500921779</v>
      </c>
      <c r="K62" s="73">
        <f t="shared" si="26"/>
        <v>183692.53842993351</v>
      </c>
      <c r="L62" s="73">
        <f t="shared" si="26"/>
        <v>183692.53842993351</v>
      </c>
      <c r="M62" s="73">
        <f t="shared" si="26"/>
        <v>183692.53842993351</v>
      </c>
      <c r="N62" s="73">
        <f t="shared" si="26"/>
        <v>248428.12676768913</v>
      </c>
      <c r="O62" s="73">
        <f t="shared" si="26"/>
        <v>248428.12676768913</v>
      </c>
      <c r="P62" s="73">
        <f t="shared" si="26"/>
        <v>248428.12676768913</v>
      </c>
      <c r="Q62" s="73">
        <f t="shared" si="26"/>
        <v>319703.00396764185</v>
      </c>
      <c r="R62" s="73">
        <f t="shared" si="26"/>
        <v>319703.00396764185</v>
      </c>
      <c r="S62" s="73">
        <f t="shared" si="26"/>
        <v>319703.00396764185</v>
      </c>
      <c r="T62" s="73">
        <f t="shared" si="26"/>
        <v>390977.88116759458</v>
      </c>
      <c r="U62" s="73">
        <f t="shared" si="26"/>
        <v>390977.88116759458</v>
      </c>
      <c r="V62" s="73">
        <f t="shared" si="26"/>
        <v>390977.88116759458</v>
      </c>
      <c r="W62" s="73">
        <f t="shared" si="26"/>
        <v>462252.7583675473</v>
      </c>
      <c r="X62" s="73">
        <f t="shared" si="26"/>
        <v>462252.7583675473</v>
      </c>
      <c r="Y62" s="73">
        <f t="shared" si="26"/>
        <v>462252.7583675473</v>
      </c>
      <c r="Z62" s="73">
        <f t="shared" si="26"/>
        <v>533527.63556750002</v>
      </c>
      <c r="AA62" s="73">
        <f t="shared" si="26"/>
        <v>533527.63556750002</v>
      </c>
      <c r="AB62" s="73">
        <f t="shared" si="26"/>
        <v>533527.63556750002</v>
      </c>
      <c r="AC62" s="73">
        <f t="shared" si="26"/>
        <v>611475.05380001897</v>
      </c>
      <c r="AD62" s="73">
        <f t="shared" si="26"/>
        <v>611475.05380001897</v>
      </c>
      <c r="AE62" s="73">
        <f t="shared" si="26"/>
        <v>611475.05380001897</v>
      </c>
      <c r="AF62" s="73">
        <f t="shared" si="26"/>
        <v>689422.47203253792</v>
      </c>
      <c r="AG62" s="73">
        <f t="shared" si="26"/>
        <v>689422.47203253792</v>
      </c>
      <c r="AH62" s="73">
        <f t="shared" si="26"/>
        <v>689422.47203253792</v>
      </c>
      <c r="AI62" s="73">
        <f t="shared" ref="AI62:BK62" si="27">AH62+AI57</f>
        <v>767369.89026505686</v>
      </c>
      <c r="AJ62" s="73">
        <f t="shared" si="27"/>
        <v>767369.89026505686</v>
      </c>
      <c r="AK62" s="73">
        <f t="shared" si="27"/>
        <v>767369.89026505686</v>
      </c>
      <c r="AL62" s="73">
        <f t="shared" si="27"/>
        <v>845317.30849757581</v>
      </c>
      <c r="AM62" s="73">
        <f t="shared" si="27"/>
        <v>845317.30849757581</v>
      </c>
      <c r="AN62" s="73">
        <f t="shared" si="27"/>
        <v>845317.30849757581</v>
      </c>
      <c r="AO62" s="73">
        <f t="shared" si="27"/>
        <v>930073.1838330949</v>
      </c>
      <c r="AP62" s="73">
        <f t="shared" si="27"/>
        <v>930073.1838330949</v>
      </c>
      <c r="AQ62" s="73">
        <f t="shared" si="27"/>
        <v>930073.1838330949</v>
      </c>
      <c r="AR62" s="73">
        <f t="shared" si="27"/>
        <v>1014829.059168614</v>
      </c>
      <c r="AS62" s="73">
        <f t="shared" si="27"/>
        <v>1014829.059168614</v>
      </c>
      <c r="AT62" s="73">
        <f t="shared" si="27"/>
        <v>1014829.059168614</v>
      </c>
      <c r="AU62" s="73">
        <f t="shared" si="27"/>
        <v>1099584.934504133</v>
      </c>
      <c r="AV62" s="73">
        <f t="shared" si="27"/>
        <v>1099584.934504133</v>
      </c>
      <c r="AW62" s="73">
        <f t="shared" si="27"/>
        <v>1099584.934504133</v>
      </c>
      <c r="AX62" s="73">
        <f t="shared" si="27"/>
        <v>1184340.8098396519</v>
      </c>
      <c r="AY62" s="73">
        <f t="shared" si="27"/>
        <v>1184340.8098396519</v>
      </c>
      <c r="AZ62" s="73">
        <f t="shared" si="27"/>
        <v>1184340.8098396519</v>
      </c>
      <c r="BA62" s="73">
        <f t="shared" si="27"/>
        <v>1276043.7748742069</v>
      </c>
      <c r="BB62" s="73">
        <f t="shared" si="27"/>
        <v>1276043.7748742069</v>
      </c>
      <c r="BC62" s="73">
        <f t="shared" si="27"/>
        <v>1276043.7748742069</v>
      </c>
      <c r="BD62" s="73">
        <f t="shared" si="27"/>
        <v>1367746.7399087618</v>
      </c>
      <c r="BE62" s="73">
        <f t="shared" si="27"/>
        <v>1367746.7399087618</v>
      </c>
      <c r="BF62" s="73">
        <f t="shared" si="27"/>
        <v>1367746.7399087618</v>
      </c>
      <c r="BG62" s="73">
        <f t="shared" si="27"/>
        <v>1459449.7049433168</v>
      </c>
      <c r="BH62" s="73">
        <f t="shared" si="27"/>
        <v>1459449.7049433168</v>
      </c>
      <c r="BI62" s="73">
        <f t="shared" si="27"/>
        <v>1459449.7049433168</v>
      </c>
      <c r="BJ62" s="73">
        <f t="shared" si="27"/>
        <v>1551152.6699778717</v>
      </c>
      <c r="BK62" s="73">
        <f t="shared" si="27"/>
        <v>1551152.6699778717</v>
      </c>
    </row>
    <row r="63" spans="1:63" ht="15" customHeight="1" x14ac:dyDescent="0.2">
      <c r="A63" s="26" t="s">
        <v>749</v>
      </c>
      <c r="B63" s="57">
        <f>'I_Inputs &amp; Assumptions'!$B$68-B57</f>
        <v>2800000</v>
      </c>
      <c r="C63" s="73">
        <f t="shared" ref="C63:AH63" si="28">MAX(0,B63-C57)</f>
        <v>2800000</v>
      </c>
      <c r="D63" s="73">
        <f t="shared" si="28"/>
        <v>2800000</v>
      </c>
      <c r="E63" s="73">
        <f t="shared" si="28"/>
        <v>2745778.6382455779</v>
      </c>
      <c r="F63" s="73">
        <f t="shared" si="28"/>
        <v>2745778.6382455779</v>
      </c>
      <c r="G63" s="73">
        <f t="shared" si="28"/>
        <v>2745778.6382455779</v>
      </c>
      <c r="H63" s="73">
        <f t="shared" si="28"/>
        <v>2681043.0499078222</v>
      </c>
      <c r="I63" s="73">
        <f t="shared" si="28"/>
        <v>2681043.0499078222</v>
      </c>
      <c r="J63" s="73">
        <f t="shared" si="28"/>
        <v>2681043.0499078222</v>
      </c>
      <c r="K63" s="73">
        <f t="shared" si="28"/>
        <v>2616307.4615700664</v>
      </c>
      <c r="L63" s="73">
        <f t="shared" si="28"/>
        <v>2616307.4615700664</v>
      </c>
      <c r="M63" s="73">
        <f t="shared" si="28"/>
        <v>2616307.4615700664</v>
      </c>
      <c r="N63" s="73">
        <f t="shared" si="28"/>
        <v>2551571.8732323106</v>
      </c>
      <c r="O63" s="73">
        <f t="shared" si="28"/>
        <v>2551571.8732323106</v>
      </c>
      <c r="P63" s="73">
        <f t="shared" si="28"/>
        <v>2551571.8732323106</v>
      </c>
      <c r="Q63" s="73">
        <f t="shared" si="28"/>
        <v>2480296.9960323581</v>
      </c>
      <c r="R63" s="73">
        <f t="shared" si="28"/>
        <v>2480296.9960323581</v>
      </c>
      <c r="S63" s="73">
        <f t="shared" si="28"/>
        <v>2480296.9960323581</v>
      </c>
      <c r="T63" s="73">
        <f t="shared" si="28"/>
        <v>2409022.1188324057</v>
      </c>
      <c r="U63" s="73">
        <f t="shared" si="28"/>
        <v>2409022.1188324057</v>
      </c>
      <c r="V63" s="73">
        <f t="shared" si="28"/>
        <v>2409022.1188324057</v>
      </c>
      <c r="W63" s="73">
        <f t="shared" si="28"/>
        <v>2337747.2416324532</v>
      </c>
      <c r="X63" s="73">
        <f t="shared" si="28"/>
        <v>2337747.2416324532</v>
      </c>
      <c r="Y63" s="73">
        <f t="shared" si="28"/>
        <v>2337747.2416324532</v>
      </c>
      <c r="Z63" s="73">
        <f t="shared" si="28"/>
        <v>2266472.3644325007</v>
      </c>
      <c r="AA63" s="73">
        <f t="shared" si="28"/>
        <v>2266472.3644325007</v>
      </c>
      <c r="AB63" s="73">
        <f t="shared" si="28"/>
        <v>2266472.3644325007</v>
      </c>
      <c r="AC63" s="73">
        <f t="shared" si="28"/>
        <v>2188524.9461999815</v>
      </c>
      <c r="AD63" s="73">
        <f t="shared" si="28"/>
        <v>2188524.9461999815</v>
      </c>
      <c r="AE63" s="73">
        <f t="shared" si="28"/>
        <v>2188524.9461999815</v>
      </c>
      <c r="AF63" s="73">
        <f t="shared" si="28"/>
        <v>2110577.5279674623</v>
      </c>
      <c r="AG63" s="73">
        <f t="shared" si="28"/>
        <v>2110577.5279674623</v>
      </c>
      <c r="AH63" s="73">
        <f t="shared" si="28"/>
        <v>2110577.5279674623</v>
      </c>
      <c r="AI63" s="73">
        <f t="shared" ref="AI63:BK63" si="29">MAX(0,AH63-AI57)</f>
        <v>2032630.1097349434</v>
      </c>
      <c r="AJ63" s="73">
        <f t="shared" si="29"/>
        <v>2032630.1097349434</v>
      </c>
      <c r="AK63" s="73">
        <f t="shared" si="29"/>
        <v>2032630.1097349434</v>
      </c>
      <c r="AL63" s="73">
        <f t="shared" si="29"/>
        <v>1954682.6915024244</v>
      </c>
      <c r="AM63" s="73">
        <f t="shared" si="29"/>
        <v>1954682.6915024244</v>
      </c>
      <c r="AN63" s="73">
        <f t="shared" si="29"/>
        <v>1954682.6915024244</v>
      </c>
      <c r="AO63" s="73">
        <f t="shared" si="29"/>
        <v>1869926.8161669055</v>
      </c>
      <c r="AP63" s="73">
        <f t="shared" si="29"/>
        <v>1869926.8161669055</v>
      </c>
      <c r="AQ63" s="73">
        <f t="shared" si="29"/>
        <v>1869926.8161669055</v>
      </c>
      <c r="AR63" s="73">
        <f t="shared" si="29"/>
        <v>1785170.9408313865</v>
      </c>
      <c r="AS63" s="73">
        <f t="shared" si="29"/>
        <v>1785170.9408313865</v>
      </c>
      <c r="AT63" s="73">
        <f t="shared" si="29"/>
        <v>1785170.9408313865</v>
      </c>
      <c r="AU63" s="73">
        <f t="shared" si="29"/>
        <v>1700415.0654958675</v>
      </c>
      <c r="AV63" s="73">
        <f t="shared" si="29"/>
        <v>1700415.0654958675</v>
      </c>
      <c r="AW63" s="73">
        <f t="shared" si="29"/>
        <v>1700415.0654958675</v>
      </c>
      <c r="AX63" s="73">
        <f t="shared" si="29"/>
        <v>1615659.1901603485</v>
      </c>
      <c r="AY63" s="73">
        <f t="shared" si="29"/>
        <v>1615659.1901603485</v>
      </c>
      <c r="AZ63" s="73">
        <f t="shared" si="29"/>
        <v>1615659.1901603485</v>
      </c>
      <c r="BA63" s="73">
        <f t="shared" si="29"/>
        <v>1523956.2251257936</v>
      </c>
      <c r="BB63" s="73">
        <f t="shared" si="29"/>
        <v>1523956.2251257936</v>
      </c>
      <c r="BC63" s="73">
        <f t="shared" si="29"/>
        <v>1523956.2251257936</v>
      </c>
      <c r="BD63" s="73">
        <f t="shared" si="29"/>
        <v>1432253.2600912387</v>
      </c>
      <c r="BE63" s="73">
        <f t="shared" si="29"/>
        <v>1432253.2600912387</v>
      </c>
      <c r="BF63" s="73">
        <f t="shared" si="29"/>
        <v>1432253.2600912387</v>
      </c>
      <c r="BG63" s="73">
        <f t="shared" si="29"/>
        <v>1340550.2950566837</v>
      </c>
      <c r="BH63" s="73">
        <f t="shared" si="29"/>
        <v>1340550.2950566837</v>
      </c>
      <c r="BI63" s="73">
        <f t="shared" si="29"/>
        <v>1340550.2950566837</v>
      </c>
      <c r="BJ63" s="73">
        <f t="shared" si="29"/>
        <v>1248847.3300221288</v>
      </c>
      <c r="BK63" s="73">
        <f t="shared" si="29"/>
        <v>1248847.3300221288</v>
      </c>
    </row>
    <row r="64" spans="1:6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zoomScaleNormal="100" zoomScalePageLayoutView="60" workbookViewId="0">
      <selection activeCell="B10" sqref="B10"/>
    </sheetView>
  </sheetViews>
  <sheetFormatPr baseColWidth="10" defaultColWidth="14.5" defaultRowHeight="15" customHeight="1" x14ac:dyDescent="0.2"/>
  <cols>
    <col min="1" max="1" width="38" customWidth="1"/>
    <col min="2" max="10" width="16" customWidth="1"/>
    <col min="11" max="26" width="8.6640625" customWidth="1"/>
  </cols>
  <sheetData>
    <row r="1" spans="1:10" ht="18" customHeight="1" x14ac:dyDescent="0.2">
      <c r="A1" s="169" t="s">
        <v>750</v>
      </c>
    </row>
    <row r="3" spans="1:10" ht="15" customHeight="1" x14ac:dyDescent="0.2">
      <c r="A3" s="34" t="s">
        <v>722</v>
      </c>
      <c r="B3" s="34">
        <v>1</v>
      </c>
      <c r="C3" s="34">
        <v>2</v>
      </c>
      <c r="D3" s="34">
        <v>3</v>
      </c>
      <c r="E3" s="34">
        <v>4</v>
      </c>
      <c r="F3" s="34">
        <v>5</v>
      </c>
      <c r="G3" s="34">
        <v>6</v>
      </c>
      <c r="H3" s="34" t="s">
        <v>497</v>
      </c>
      <c r="I3" s="172" t="s">
        <v>751</v>
      </c>
    </row>
    <row r="4" spans="1:10" ht="15" customHeight="1" x14ac:dyDescent="0.2">
      <c r="A4" s="26" t="s">
        <v>752</v>
      </c>
      <c r="B4" s="196" t="str">
        <f t="array" ref="B4">TEXT(INDEX('Operating Proforma'!$B$5:$BK$5,MATCH(B3,'Operating Proforma'!$B$7:$BK$7,0)),"MMM YY")&amp;" - "&amp;TEXT(LOOKUP(B3,'Operating Proforma'!$B$7:$BK$7,'Operating Proforma'!$B$5:$BK$5),"MMM YY")</f>
        <v>Mar 27 - Mar 27</v>
      </c>
      <c r="C4" s="196" t="str">
        <f t="array" ref="C4">TEXT(INDEX('Operating Proforma'!$B$5:$BK$5,MATCH(C3,'Operating Proforma'!$B$7:$BK$7,0)),"MMM YY")&amp;" - "&amp;TEXT(LOOKUP(C3,'Operating Proforma'!$B$7:$BK$7,'Operating Proforma'!$B$5:$BK$5),"MMM YY")</f>
        <v>Apr 27 - Mar 28</v>
      </c>
      <c r="D4" s="196" t="str">
        <f t="array" ref="D4">TEXT(INDEX('Operating Proforma'!$B$5:$BK$5,MATCH(D3,'Operating Proforma'!$B$7:$BK$7,0)),"MMM YY")&amp;" - "&amp;TEXT(LOOKUP(D3,'Operating Proforma'!$B$7:$BK$7,'Operating Proforma'!$B$5:$BK$5),"MMM YY")</f>
        <v>Apr 28 - Mar 29</v>
      </c>
      <c r="E4" s="196" t="str">
        <f t="array" ref="E4">TEXT(INDEX('Operating Proforma'!$B$5:$BK$5,MATCH(E3,'Operating Proforma'!$B$7:$BK$7,0)),"MMM YY")&amp;" - "&amp;TEXT(LOOKUP(E3,'Operating Proforma'!$B$7:$BK$7,'Operating Proforma'!$B$5:$BK$5),"MMM YY")</f>
        <v>Apr 29 - Mar 30</v>
      </c>
      <c r="F4" s="196" t="str">
        <f t="array" ref="F4">TEXT(INDEX('Operating Proforma'!$B$5:$BK$5,MATCH(F3,'Operating Proforma'!$B$7:$BK$7,0)),"MMM YY")&amp;" - "&amp;TEXT(LOOKUP(F3,'Operating Proforma'!$B$7:$BK$7,'Operating Proforma'!$B$5:$BK$5),"MMM YY")</f>
        <v>Apr 30 - Mar 31</v>
      </c>
      <c r="G4" s="196" t="str">
        <f t="array" ref="G4">TEXT(INDEX('Operating Proforma'!$B$5:$BK$5,MATCH(G3,'Operating Proforma'!$B$7:$BK$7,0)),"MMM YY")&amp;" - "&amp;TEXT(LOOKUP(G3,'Operating Proforma'!$B$7:$BK$7,'Operating Proforma'!$B$5:$BK$5),"MMM YY")</f>
        <v>Apr 31 - Mar 32</v>
      </c>
      <c r="I4" s="197" t="s">
        <v>753</v>
      </c>
    </row>
    <row r="5" spans="1:10" ht="15" customHeight="1" x14ac:dyDescent="0.2">
      <c r="A5" s="26" t="s">
        <v>754</v>
      </c>
      <c r="B5" s="187">
        <f>COUNTIF('Operating Proforma'!$B$7:$BK$7,B3)</f>
        <v>1</v>
      </c>
      <c r="C5" s="187">
        <f>COUNTIF('Operating Proforma'!$B$7:$BK$7,C3)</f>
        <v>12</v>
      </c>
      <c r="D5" s="187">
        <f>COUNTIF('Operating Proforma'!$B$7:$BK$7,D3)</f>
        <v>12</v>
      </c>
      <c r="E5" s="187">
        <f>COUNTIF('Operating Proforma'!$B$7:$BK$7,E3)</f>
        <v>12</v>
      </c>
      <c r="F5" s="187">
        <f>COUNTIF('Operating Proforma'!$B$7:$BK$7,F3)</f>
        <v>12</v>
      </c>
      <c r="G5" s="187">
        <f>COUNTIF('Operating Proforma'!$B$7:$BK$7,G3)</f>
        <v>12</v>
      </c>
    </row>
    <row r="8" spans="1:10" ht="15" customHeight="1" x14ac:dyDescent="0.2">
      <c r="A8" s="171" t="s">
        <v>723</v>
      </c>
      <c r="B8" s="177"/>
      <c r="C8" s="177"/>
      <c r="D8" s="177"/>
      <c r="E8" s="177"/>
      <c r="F8" s="177"/>
      <c r="G8" s="177"/>
      <c r="H8" s="177"/>
      <c r="I8" s="177"/>
    </row>
    <row r="9" spans="1:10" ht="15" customHeight="1" x14ac:dyDescent="0.2">
      <c r="A9" s="26" t="s">
        <v>724</v>
      </c>
      <c r="B9" s="57">
        <f>SUMPRODUCT(('Operating Proforma'!$B$7:$BK$7=B$3)*('Operating Proforma'!$B$10:$BK$10))</f>
        <v>121408</v>
      </c>
      <c r="C9" s="57">
        <f>SUMPRODUCT(('Operating Proforma'!$B$7:$BK$7=C$3)*('Operating Proforma'!$B$10:$BK$10))</f>
        <v>1486033.9199999999</v>
      </c>
      <c r="D9" s="57">
        <f>SUMPRODUCT(('Operating Proforma'!$B$7:$BK$7=D$3)*('Operating Proforma'!$B$10:$BK$10))</f>
        <v>1515754.5984000002</v>
      </c>
      <c r="E9" s="57">
        <f>SUMPRODUCT(('Operating Proforma'!$B$7:$BK$7=E$3)*('Operating Proforma'!$B$10:$BK$10))</f>
        <v>1546069.6903679997</v>
      </c>
      <c r="F9" s="57">
        <f>SUMPRODUCT(('Operating Proforma'!$B$7:$BK$7=F$3)*('Operating Proforma'!$B$10:$BK$10))</f>
        <v>1576991.0841753604</v>
      </c>
      <c r="G9" s="57">
        <f>SUMPRODUCT(('Operating Proforma'!$B$7:$BK$7=G$3)*('Operating Proforma'!$B$10:$BK$10))</f>
        <v>1608530.9058588671</v>
      </c>
      <c r="H9" s="73">
        <f t="shared" ref="H9:H16" si="0">SUM(B9:G9)</f>
        <v>7854788.1988022272</v>
      </c>
    </row>
    <row r="10" spans="1:10" ht="15" customHeight="1" x14ac:dyDescent="0.2">
      <c r="A10" s="26" t="s">
        <v>725</v>
      </c>
      <c r="B10" s="57">
        <f>SUMPRODUCT(('Operating Proforma'!$B$7:$BK$7=B$3)*('Operating Proforma'!$B$11:$BK$11))</f>
        <v>3200</v>
      </c>
      <c r="C10" s="57">
        <f>SUMPRODUCT(('Operating Proforma'!$B$7:$BK$7=C$3)*('Operating Proforma'!$B$11:$BK$11))</f>
        <v>38975.999999999993</v>
      </c>
      <c r="D10" s="57">
        <f>SUMPRODUCT(('Operating Proforma'!$B$7:$BK$7=D$3)*('Operating Proforma'!$B$11:$BK$11))</f>
        <v>39560.640000000007</v>
      </c>
      <c r="E10" s="57">
        <f>SUMPRODUCT(('Operating Proforma'!$B$7:$BK$7=E$3)*('Operating Proforma'!$B$11:$BK$11))</f>
        <v>40154.049599999991</v>
      </c>
      <c r="F10" s="57">
        <f>SUMPRODUCT(('Operating Proforma'!$B$7:$BK$7=F$3)*('Operating Proforma'!$B$11:$BK$11))</f>
        <v>40756.360343999964</v>
      </c>
      <c r="G10" s="57">
        <f>SUMPRODUCT(('Operating Proforma'!$B$7:$BK$7=G$3)*('Operating Proforma'!$B$11:$BK$11))</f>
        <v>41367.70574915997</v>
      </c>
      <c r="H10" s="73">
        <f t="shared" si="0"/>
        <v>204014.75569315991</v>
      </c>
    </row>
    <row r="11" spans="1:10" ht="15" customHeight="1" x14ac:dyDescent="0.2">
      <c r="A11" s="26" t="s">
        <v>726</v>
      </c>
      <c r="B11" s="57">
        <f>SUMPRODUCT(('Operating Proforma'!$B$7:$BK$7=B$3)*('Operating Proforma'!$B$12:$BK$12))</f>
        <v>3525</v>
      </c>
      <c r="C11" s="57">
        <f>SUMPRODUCT(('Operating Proforma'!$B$7:$BK$7=C$3)*('Operating Proforma'!$B$12:$BK$12))</f>
        <v>42934.499999999993</v>
      </c>
      <c r="D11" s="57">
        <f>SUMPRODUCT(('Operating Proforma'!$B$7:$BK$7=D$3)*('Operating Proforma'!$B$12:$BK$12))</f>
        <v>43578.517499999987</v>
      </c>
      <c r="E11" s="57">
        <f>SUMPRODUCT(('Operating Proforma'!$B$7:$BK$7=E$3)*('Operating Proforma'!$B$12:$BK$12))</f>
        <v>44232.19526249999</v>
      </c>
      <c r="F11" s="57">
        <f>SUMPRODUCT(('Operating Proforma'!$B$7:$BK$7=F$3)*('Operating Proforma'!$B$12:$BK$12))</f>
        <v>44895.678191437481</v>
      </c>
      <c r="G11" s="57">
        <f>SUMPRODUCT(('Operating Proforma'!$B$7:$BK$7=G$3)*('Operating Proforma'!$B$12:$BK$12))</f>
        <v>45569.113364309022</v>
      </c>
      <c r="H11" s="73">
        <f t="shared" si="0"/>
        <v>224735.00431824647</v>
      </c>
    </row>
    <row r="12" spans="1:10" ht="15" customHeight="1" x14ac:dyDescent="0.2">
      <c r="A12" s="26" t="s">
        <v>727</v>
      </c>
      <c r="B12" s="57">
        <f>SUMPRODUCT(('Operating Proforma'!$B$7:$BK$7=B$3)*('Operating Proforma'!$B$13:$BK$13))</f>
        <v>1900</v>
      </c>
      <c r="C12" s="57">
        <f>SUMPRODUCT(('Operating Proforma'!$B$7:$BK$7=C$3)*('Operating Proforma'!$B$13:$BK$13))</f>
        <v>23141.999999999996</v>
      </c>
      <c r="D12" s="57">
        <f>SUMPRODUCT(('Operating Proforma'!$B$7:$BK$7=D$3)*('Operating Proforma'!$B$13:$BK$13))</f>
        <v>23489.12999999999</v>
      </c>
      <c r="E12" s="57">
        <f>SUMPRODUCT(('Operating Proforma'!$B$7:$BK$7=E$3)*('Operating Proforma'!$B$13:$BK$13))</f>
        <v>23841.466949999998</v>
      </c>
      <c r="F12" s="57">
        <f>SUMPRODUCT(('Operating Proforma'!$B$7:$BK$7=F$3)*('Operating Proforma'!$B$13:$BK$13))</f>
        <v>24199.08895424999</v>
      </c>
      <c r="G12" s="57">
        <f>SUMPRODUCT(('Operating Proforma'!$B$7:$BK$7=G$3)*('Operating Proforma'!$B$13:$BK$13))</f>
        <v>24562.075288563738</v>
      </c>
      <c r="H12" s="73">
        <f t="shared" si="0"/>
        <v>121133.76119281372</v>
      </c>
    </row>
    <row r="13" spans="1:10" ht="15" customHeight="1" x14ac:dyDescent="0.2">
      <c r="A13" s="34" t="s">
        <v>681</v>
      </c>
      <c r="B13" s="198">
        <f>SUMPRODUCT(('Operating Proforma'!$B$7:$BK$7=B$3)*('Operating Proforma'!$B$14:$BK$14))</f>
        <v>8625</v>
      </c>
      <c r="C13" s="198">
        <f>SUMPRODUCT(('Operating Proforma'!$B$7:$BK$7=C$3)*('Operating Proforma'!$B$14:$BK$14))</f>
        <v>105052.49999999999</v>
      </c>
      <c r="D13" s="198">
        <f>SUMPRODUCT(('Operating Proforma'!$B$7:$BK$7=D$3)*('Operating Proforma'!$B$14:$BK$14))</f>
        <v>106628.28749999999</v>
      </c>
      <c r="E13" s="198">
        <f>SUMPRODUCT(('Operating Proforma'!$B$7:$BK$7=E$3)*('Operating Proforma'!$B$14:$BK$14))</f>
        <v>108227.71181249993</v>
      </c>
      <c r="F13" s="198">
        <f>SUMPRODUCT(('Operating Proforma'!$B$7:$BK$7=F$3)*('Operating Proforma'!$B$14:$BK$14))</f>
        <v>109851.12748968742</v>
      </c>
      <c r="G13" s="198">
        <f>SUMPRODUCT(('Operating Proforma'!$B$7:$BK$7=G$3)*('Operating Proforma'!$B$14:$BK$14))</f>
        <v>111498.89440203276</v>
      </c>
      <c r="H13" s="194">
        <f t="shared" si="0"/>
        <v>549883.52120422001</v>
      </c>
    </row>
    <row r="14" spans="1:10" ht="15" customHeight="1" x14ac:dyDescent="0.2">
      <c r="A14" s="34" t="s">
        <v>682</v>
      </c>
      <c r="B14" s="199">
        <f>SUMPRODUCT(('Operating Proforma'!$B$7:$BK$7=B$3)*('Operating Proforma'!$B$15:$BK$15))</f>
        <v>130033</v>
      </c>
      <c r="C14" s="199">
        <f>SUMPRODUCT(('Operating Proforma'!$B$7:$BK$7=C$3)*('Operating Proforma'!$B$15:$BK$15))</f>
        <v>1591086.4199999997</v>
      </c>
      <c r="D14" s="199">
        <f>SUMPRODUCT(('Operating Proforma'!$B$7:$BK$7=D$3)*('Operating Proforma'!$B$15:$BK$15))</f>
        <v>1622382.8859000003</v>
      </c>
      <c r="E14" s="199">
        <f>SUMPRODUCT(('Operating Proforma'!$B$7:$BK$7=E$3)*('Operating Proforma'!$B$15:$BK$15))</f>
        <v>1654297.4021804996</v>
      </c>
      <c r="F14" s="199">
        <f>SUMPRODUCT(('Operating Proforma'!$B$7:$BK$7=F$3)*('Operating Proforma'!$B$15:$BK$15))</f>
        <v>1686842.2116650473</v>
      </c>
      <c r="G14" s="199">
        <f>SUMPRODUCT(('Operating Proforma'!$B$7:$BK$7=G$3)*('Operating Proforma'!$B$15:$BK$15))</f>
        <v>1720029.8002609003</v>
      </c>
      <c r="H14" s="192">
        <f t="shared" si="0"/>
        <v>8404671.7200064473</v>
      </c>
      <c r="I14" s="199">
        <f>B98</f>
        <v>26829630.748657506</v>
      </c>
      <c r="J14" s="57">
        <f>B98</f>
        <v>26829630.748657506</v>
      </c>
    </row>
    <row r="15" spans="1:10" ht="15" customHeight="1" x14ac:dyDescent="0.2">
      <c r="A15" s="26" t="s">
        <v>728</v>
      </c>
      <c r="B15" s="57">
        <f>SUMPRODUCT(('Operating Proforma'!$B$7:$BK$7=B$3)*('Operating Proforma'!$B$16:$BK$16))</f>
        <v>-7801.98</v>
      </c>
      <c r="C15" s="57">
        <f>SUMPRODUCT(('Operating Proforma'!$B$7:$BK$7=C$3)*('Operating Proforma'!$B$16:$BK$16))</f>
        <v>-95465.185200000007</v>
      </c>
      <c r="D15" s="57">
        <f>SUMPRODUCT(('Operating Proforma'!$B$7:$BK$7=D$3)*('Operating Proforma'!$B$16:$BK$16))</f>
        <v>-97342.973153999992</v>
      </c>
      <c r="E15" s="57">
        <f>SUMPRODUCT(('Operating Proforma'!$B$7:$BK$7=E$3)*('Operating Proforma'!$B$16:$BK$16))</f>
        <v>-99257.844130829952</v>
      </c>
      <c r="F15" s="57">
        <f>SUMPRODUCT(('Operating Proforma'!$B$7:$BK$7=F$3)*('Operating Proforma'!$B$16:$BK$16))</f>
        <v>-101210.53269990283</v>
      </c>
      <c r="G15" s="57">
        <f>SUMPRODUCT(('Operating Proforma'!$B$7:$BK$7=G$3)*('Operating Proforma'!$B$16:$BK$16))</f>
        <v>-103201.78801565398</v>
      </c>
      <c r="H15" s="73">
        <f t="shared" si="0"/>
        <v>-504280.30320038676</v>
      </c>
    </row>
    <row r="16" spans="1:10" ht="15" customHeight="1" x14ac:dyDescent="0.2">
      <c r="A16" s="34" t="s">
        <v>729</v>
      </c>
      <c r="B16" s="200">
        <f>SUMPRODUCT(('Operating Proforma'!$B$7:$BK$7=B$3)*('Operating Proforma'!$B$17:$BK$17))</f>
        <v>122231.02</v>
      </c>
      <c r="C16" s="200">
        <f>SUMPRODUCT(('Operating Proforma'!$B$7:$BK$7=C$3)*('Operating Proforma'!$B$17:$BK$17))</f>
        <v>1495621.2348000004</v>
      </c>
      <c r="D16" s="200">
        <f>SUMPRODUCT(('Operating Proforma'!$B$7:$BK$7=D$3)*('Operating Proforma'!$B$17:$BK$17))</f>
        <v>1525039.9127460001</v>
      </c>
      <c r="E16" s="200">
        <f>SUMPRODUCT(('Operating Proforma'!$B$7:$BK$7=E$3)*('Operating Proforma'!$B$17:$BK$17))</f>
        <v>1555039.5580496697</v>
      </c>
      <c r="F16" s="200">
        <f>SUMPRODUCT(('Operating Proforma'!$B$7:$BK$7=F$3)*('Operating Proforma'!$B$17:$BK$17))</f>
        <v>1585631.6789651448</v>
      </c>
      <c r="G16" s="200">
        <f>SUMPRODUCT(('Operating Proforma'!$B$7:$BK$7=G$3)*('Operating Proforma'!$B$17:$BK$17))</f>
        <v>1616828.012245246</v>
      </c>
      <c r="H16" s="191">
        <f t="shared" si="0"/>
        <v>7900391.4168060608</v>
      </c>
    </row>
    <row r="18" spans="1:9" ht="15" customHeight="1" x14ac:dyDescent="0.2">
      <c r="A18" s="171" t="s">
        <v>83</v>
      </c>
      <c r="B18" s="177"/>
      <c r="C18" s="177"/>
      <c r="D18" s="177"/>
      <c r="E18" s="177"/>
      <c r="F18" s="177"/>
      <c r="G18" s="177"/>
      <c r="H18" s="177"/>
      <c r="I18" s="177"/>
    </row>
    <row r="19" spans="1:9" ht="15" customHeight="1" x14ac:dyDescent="0.2">
      <c r="A19" s="26" t="s">
        <v>688</v>
      </c>
      <c r="B19" s="57">
        <f>SUMPRODUCT(('Operating Proforma'!$B$7:$BK$7=B$3)*('Operating Proforma'!$B$20:$BK$20))</f>
        <v>9375</v>
      </c>
      <c r="C19" s="57">
        <f>SUMPRODUCT(('Operating Proforma'!$B$7:$BK$7=C$3)*('Operating Proforma'!$B$20:$BK$20))</f>
        <v>112500</v>
      </c>
      <c r="D19" s="57">
        <f>SUMPRODUCT(('Operating Proforma'!$B$7:$BK$7=D$3)*('Operating Proforma'!$B$20:$BK$20))</f>
        <v>112500</v>
      </c>
      <c r="E19" s="57">
        <f>SUMPRODUCT(('Operating Proforma'!$B$7:$BK$7=E$3)*('Operating Proforma'!$B$20:$BK$20))</f>
        <v>112500</v>
      </c>
      <c r="F19" s="57">
        <f>SUMPRODUCT(('Operating Proforma'!$B$7:$BK$7=F$3)*('Operating Proforma'!$B$20:$BK$20))</f>
        <v>112500</v>
      </c>
      <c r="G19" s="57">
        <f>SUMPRODUCT(('Operating Proforma'!$B$7:$BK$7=G$3)*('Operating Proforma'!$B$20:$BK$20))</f>
        <v>112500</v>
      </c>
      <c r="H19" s="73">
        <f t="shared" ref="H19:H34" si="1">SUM(B19:G19)</f>
        <v>571875</v>
      </c>
    </row>
    <row r="20" spans="1:9" ht="15" customHeight="1" x14ac:dyDescent="0.2">
      <c r="A20" s="26" t="s">
        <v>689</v>
      </c>
      <c r="B20" s="57">
        <f>SUMPRODUCT(('Operating Proforma'!$B$7:$BK$7=B$3)*('Operating Proforma'!$B$21:$BK$21))</f>
        <v>1950</v>
      </c>
      <c r="C20" s="57">
        <f>SUMPRODUCT(('Operating Proforma'!$B$7:$BK$7=C$3)*('Operating Proforma'!$B$21:$BK$21))</f>
        <v>23400</v>
      </c>
      <c r="D20" s="57">
        <f>SUMPRODUCT(('Operating Proforma'!$B$7:$BK$7=D$3)*('Operating Proforma'!$B$21:$BK$21))</f>
        <v>23400</v>
      </c>
      <c r="E20" s="57">
        <f>SUMPRODUCT(('Operating Proforma'!$B$7:$BK$7=E$3)*('Operating Proforma'!$B$21:$BK$21))</f>
        <v>23400</v>
      </c>
      <c r="F20" s="57">
        <f>SUMPRODUCT(('Operating Proforma'!$B$7:$BK$7=F$3)*('Operating Proforma'!$B$21:$BK$21))</f>
        <v>23400</v>
      </c>
      <c r="G20" s="57">
        <f>SUMPRODUCT(('Operating Proforma'!$B$7:$BK$7=G$3)*('Operating Proforma'!$B$21:$BK$21))</f>
        <v>23400</v>
      </c>
      <c r="H20" s="73">
        <f t="shared" si="1"/>
        <v>118950</v>
      </c>
    </row>
    <row r="21" spans="1:9" ht="15" customHeight="1" x14ac:dyDescent="0.2">
      <c r="A21" s="26" t="s">
        <v>91</v>
      </c>
      <c r="B21" s="57">
        <f>SUMPRODUCT(('Operating Proforma'!$B$7:$BK$7=B$3)*('Operating Proforma'!$B$22:$BK$22))</f>
        <v>1415.75</v>
      </c>
      <c r="C21" s="57">
        <f>SUMPRODUCT(('Operating Proforma'!$B$7:$BK$7=C$3)*('Operating Proforma'!$B$22:$BK$22))</f>
        <v>17158.889999999996</v>
      </c>
      <c r="D21" s="57">
        <f>SUMPRODUCT(('Operating Proforma'!$B$7:$BK$7=D$3)*('Operating Proforma'!$B$22:$BK$22))</f>
        <v>17330.478899999998</v>
      </c>
      <c r="E21" s="57">
        <f>SUMPRODUCT(('Operating Proforma'!$B$7:$BK$7=E$3)*('Operating Proforma'!$B$22:$BK$22))</f>
        <v>17503.783689</v>
      </c>
      <c r="F21" s="57">
        <f>SUMPRODUCT(('Operating Proforma'!$B$7:$BK$7=F$3)*('Operating Proforma'!$B$22:$BK$22))</f>
        <v>17678.821525890005</v>
      </c>
      <c r="G21" s="57">
        <f>SUMPRODUCT(('Operating Proforma'!$B$7:$BK$7=G$3)*('Operating Proforma'!$B$22:$BK$22))</f>
        <v>17855.609741148899</v>
      </c>
      <c r="H21" s="73">
        <f t="shared" si="1"/>
        <v>88943.333856038895</v>
      </c>
    </row>
    <row r="22" spans="1:9" ht="15" customHeight="1" x14ac:dyDescent="0.2">
      <c r="A22" s="26" t="s">
        <v>92</v>
      </c>
      <c r="B22" s="57">
        <f>SUMPRODUCT(('Operating Proforma'!$B$7:$BK$7=B$3)*('Operating Proforma'!$B$23:$BK$23))</f>
        <v>3200</v>
      </c>
      <c r="C22" s="57">
        <f>SUMPRODUCT(('Operating Proforma'!$B$7:$BK$7=C$3)*('Operating Proforma'!$B$23:$BK$23))</f>
        <v>38784</v>
      </c>
      <c r="D22" s="57">
        <f>SUMPRODUCT(('Operating Proforma'!$B$7:$BK$7=D$3)*('Operating Proforma'!$B$23:$BK$23))</f>
        <v>39171.840000000004</v>
      </c>
      <c r="E22" s="57">
        <f>SUMPRODUCT(('Operating Proforma'!$B$7:$BK$7=E$3)*('Operating Proforma'!$B$23:$BK$23))</f>
        <v>39563.558399999987</v>
      </c>
      <c r="F22" s="57">
        <f>SUMPRODUCT(('Operating Proforma'!$B$7:$BK$7=F$3)*('Operating Proforma'!$B$23:$BK$23))</f>
        <v>39959.19398399999</v>
      </c>
      <c r="G22" s="57">
        <f>SUMPRODUCT(('Operating Proforma'!$B$7:$BK$7=G$3)*('Operating Proforma'!$B$23:$BK$23))</f>
        <v>40358.785923839998</v>
      </c>
      <c r="H22" s="73">
        <f t="shared" si="1"/>
        <v>201037.37830783997</v>
      </c>
    </row>
    <row r="23" spans="1:9" ht="15" customHeight="1" x14ac:dyDescent="0.2">
      <c r="A23" s="26" t="s">
        <v>93</v>
      </c>
      <c r="B23" s="57">
        <f>SUMPRODUCT(('Operating Proforma'!$B$7:$BK$7=B$3)*('Operating Proforma'!$B$24:$BK$24))</f>
        <v>166.66666666666666</v>
      </c>
      <c r="C23" s="57">
        <f>SUMPRODUCT(('Operating Proforma'!$B$7:$BK$7=C$3)*('Operating Proforma'!$B$24:$BK$24))</f>
        <v>2019.9999999999993</v>
      </c>
      <c r="D23" s="57">
        <f>SUMPRODUCT(('Operating Proforma'!$B$7:$BK$7=D$3)*('Operating Proforma'!$B$24:$BK$24))</f>
        <v>2040.1999999999998</v>
      </c>
      <c r="E23" s="57">
        <f>SUMPRODUCT(('Operating Proforma'!$B$7:$BK$7=E$3)*('Operating Proforma'!$B$24:$BK$24))</f>
        <v>2060.6020000000003</v>
      </c>
      <c r="F23" s="57">
        <f>SUMPRODUCT(('Operating Proforma'!$B$7:$BK$7=F$3)*('Operating Proforma'!$B$24:$BK$24))</f>
        <v>2081.2080200000005</v>
      </c>
      <c r="G23" s="57">
        <f>SUMPRODUCT(('Operating Proforma'!$B$7:$BK$7=G$3)*('Operating Proforma'!$B$24:$BK$24))</f>
        <v>2102.0201002000003</v>
      </c>
      <c r="H23" s="73">
        <f t="shared" si="1"/>
        <v>10470.696786866665</v>
      </c>
    </row>
    <row r="24" spans="1:9" ht="15" customHeight="1" x14ac:dyDescent="0.2">
      <c r="A24" s="26" t="s">
        <v>94</v>
      </c>
      <c r="B24" s="57">
        <f>SUMPRODUCT(('Operating Proforma'!$B$7:$BK$7=B$3)*('Operating Proforma'!$B$25:$BK$25))</f>
        <v>1916.6666666666667</v>
      </c>
      <c r="C24" s="57">
        <f>SUMPRODUCT(('Operating Proforma'!$B$7:$BK$7=C$3)*('Operating Proforma'!$B$25:$BK$25))</f>
        <v>23230</v>
      </c>
      <c r="D24" s="57">
        <f>SUMPRODUCT(('Operating Proforma'!$B$7:$BK$7=D$3)*('Operating Proforma'!$B$25:$BK$25))</f>
        <v>23462.3</v>
      </c>
      <c r="E24" s="57">
        <f>SUMPRODUCT(('Operating Proforma'!$B$7:$BK$7=E$3)*('Operating Proforma'!$B$25:$BK$25))</f>
        <v>23696.922999999999</v>
      </c>
      <c r="F24" s="57">
        <f>SUMPRODUCT(('Operating Proforma'!$B$7:$BK$7=F$3)*('Operating Proforma'!$B$25:$BK$25))</f>
        <v>23933.892230000009</v>
      </c>
      <c r="G24" s="57">
        <f>SUMPRODUCT(('Operating Proforma'!$B$7:$BK$7=G$3)*('Operating Proforma'!$B$25:$BK$25))</f>
        <v>24173.231152299999</v>
      </c>
      <c r="H24" s="73">
        <f t="shared" si="1"/>
        <v>120413.01304896668</v>
      </c>
    </row>
    <row r="25" spans="1:9" ht="15" customHeight="1" x14ac:dyDescent="0.2">
      <c r="A25" s="26" t="s">
        <v>95</v>
      </c>
      <c r="B25" s="57">
        <f>SUMPRODUCT(('Operating Proforma'!$B$7:$BK$7=B$3)*('Operating Proforma'!$B$26:$BK$26))</f>
        <v>1916.6666666666667</v>
      </c>
      <c r="C25" s="57">
        <f>SUMPRODUCT(('Operating Proforma'!$B$7:$BK$7=C$3)*('Operating Proforma'!$B$26:$BK$26))</f>
        <v>23230</v>
      </c>
      <c r="D25" s="57">
        <f>SUMPRODUCT(('Operating Proforma'!$B$7:$BK$7=D$3)*('Operating Proforma'!$B$26:$BK$26))</f>
        <v>23462.3</v>
      </c>
      <c r="E25" s="57">
        <f>SUMPRODUCT(('Operating Proforma'!$B$7:$BK$7=E$3)*('Operating Proforma'!$B$26:$BK$26))</f>
        <v>23696.922999999999</v>
      </c>
      <c r="F25" s="57">
        <f>SUMPRODUCT(('Operating Proforma'!$B$7:$BK$7=F$3)*('Operating Proforma'!$B$26:$BK$26))</f>
        <v>23933.892230000009</v>
      </c>
      <c r="G25" s="57">
        <f>SUMPRODUCT(('Operating Proforma'!$B$7:$BK$7=G$3)*('Operating Proforma'!$B$26:$BK$26))</f>
        <v>24173.231152299999</v>
      </c>
      <c r="H25" s="73">
        <f t="shared" si="1"/>
        <v>120413.01304896668</v>
      </c>
    </row>
    <row r="26" spans="1:9" ht="15" customHeight="1" x14ac:dyDescent="0.2">
      <c r="A26" s="26" t="s">
        <v>96</v>
      </c>
      <c r="B26" s="57">
        <f>SUMPRODUCT(('Operating Proforma'!$B$7:$BK$7=B$3)*('Operating Proforma'!$B$27:$BK$27))</f>
        <v>637.5</v>
      </c>
      <c r="C26" s="57">
        <f>SUMPRODUCT(('Operating Proforma'!$B$7:$BK$7=C$3)*('Operating Proforma'!$B$27:$BK$27))</f>
        <v>7726.5</v>
      </c>
      <c r="D26" s="57">
        <f>SUMPRODUCT(('Operating Proforma'!$B$7:$BK$7=D$3)*('Operating Proforma'!$B$27:$BK$27))</f>
        <v>7803.7650000000021</v>
      </c>
      <c r="E26" s="57">
        <f>SUMPRODUCT(('Operating Proforma'!$B$7:$BK$7=E$3)*('Operating Proforma'!$B$27:$BK$27))</f>
        <v>7881.8026500000005</v>
      </c>
      <c r="F26" s="57">
        <f>SUMPRODUCT(('Operating Proforma'!$B$7:$BK$7=F$3)*('Operating Proforma'!$B$27:$BK$27))</f>
        <v>7960.6206765000015</v>
      </c>
      <c r="G26" s="57">
        <f>SUMPRODUCT(('Operating Proforma'!$B$7:$BK$7=G$3)*('Operating Proforma'!$B$27:$BK$27))</f>
        <v>8040.2268832649979</v>
      </c>
      <c r="H26" s="73">
        <f t="shared" si="1"/>
        <v>40050.415209765008</v>
      </c>
    </row>
    <row r="27" spans="1:9" ht="15" customHeight="1" x14ac:dyDescent="0.2">
      <c r="A27" s="26" t="s">
        <v>97</v>
      </c>
      <c r="B27" s="57">
        <f>SUMPRODUCT(('Operating Proforma'!$B$7:$BK$7=B$3)*('Operating Proforma'!$B$28:$BK$28))</f>
        <v>750</v>
      </c>
      <c r="C27" s="57">
        <f>SUMPRODUCT(('Operating Proforma'!$B$7:$BK$7=C$3)*('Operating Proforma'!$B$28:$BK$28))</f>
        <v>9090</v>
      </c>
      <c r="D27" s="57">
        <f>SUMPRODUCT(('Operating Proforma'!$B$7:$BK$7=D$3)*('Operating Proforma'!$B$28:$BK$28))</f>
        <v>9180.9</v>
      </c>
      <c r="E27" s="57">
        <f>SUMPRODUCT(('Operating Proforma'!$B$7:$BK$7=E$3)*('Operating Proforma'!$B$28:$BK$28))</f>
        <v>9272.7089999999971</v>
      </c>
      <c r="F27" s="57">
        <f>SUMPRODUCT(('Operating Proforma'!$B$7:$BK$7=F$3)*('Operating Proforma'!$B$28:$BK$28))</f>
        <v>9365.4360900000011</v>
      </c>
      <c r="G27" s="57">
        <f>SUMPRODUCT(('Operating Proforma'!$B$7:$BK$7=G$3)*('Operating Proforma'!$B$28:$BK$28))</f>
        <v>9459.0904509000011</v>
      </c>
      <c r="H27" s="73">
        <f t="shared" si="1"/>
        <v>47118.135540900003</v>
      </c>
    </row>
    <row r="28" spans="1:9" ht="15" customHeight="1" x14ac:dyDescent="0.2">
      <c r="A28" s="26" t="s">
        <v>691</v>
      </c>
      <c r="B28" s="57">
        <f>SUMPRODUCT(('Operating Proforma'!$B$7:$BK$7=B$3)*('Operating Proforma'!$B$29:$BK$29))</f>
        <v>1666.6666666666667</v>
      </c>
      <c r="C28" s="57">
        <f>SUMPRODUCT(('Operating Proforma'!$B$7:$BK$7=C$3)*('Operating Proforma'!$B$29:$BK$29))</f>
        <v>20200</v>
      </c>
      <c r="D28" s="57">
        <f>SUMPRODUCT(('Operating Proforma'!$B$7:$BK$7=D$3)*('Operating Proforma'!$B$29:$BK$29))</f>
        <v>20402</v>
      </c>
      <c r="E28" s="57">
        <f>SUMPRODUCT(('Operating Proforma'!$B$7:$BK$7=E$3)*('Operating Proforma'!$B$29:$BK$29))</f>
        <v>20606.020000000004</v>
      </c>
      <c r="F28" s="57">
        <f>SUMPRODUCT(('Operating Proforma'!$B$7:$BK$7=F$3)*('Operating Proforma'!$B$29:$BK$29))</f>
        <v>20812.080199999997</v>
      </c>
      <c r="G28" s="57">
        <f>SUMPRODUCT(('Operating Proforma'!$B$7:$BK$7=G$3)*('Operating Proforma'!$B$29:$BK$29))</f>
        <v>21020.201001999998</v>
      </c>
      <c r="H28" s="73">
        <f t="shared" si="1"/>
        <v>104706.96786866667</v>
      </c>
    </row>
    <row r="29" spans="1:9" ht="15" customHeight="1" x14ac:dyDescent="0.2">
      <c r="A29" s="26" t="s">
        <v>692</v>
      </c>
      <c r="B29" s="57">
        <f>SUMPRODUCT(('Operating Proforma'!$B$7:$BK$7=B$3)*('Operating Proforma'!$B$30:$BK$30))</f>
        <v>416.66666666666669</v>
      </c>
      <c r="C29" s="57">
        <f>SUMPRODUCT(('Operating Proforma'!$B$7:$BK$7=C$3)*('Operating Proforma'!$B$30:$BK$30))</f>
        <v>5050</v>
      </c>
      <c r="D29" s="57">
        <f>SUMPRODUCT(('Operating Proforma'!$B$7:$BK$7=D$3)*('Operating Proforma'!$B$30:$BK$30))</f>
        <v>5100.5</v>
      </c>
      <c r="E29" s="57">
        <f>SUMPRODUCT(('Operating Proforma'!$B$7:$BK$7=E$3)*('Operating Proforma'!$B$30:$BK$30))</f>
        <v>5151.505000000001</v>
      </c>
      <c r="F29" s="57">
        <f>SUMPRODUCT(('Operating Proforma'!$B$7:$BK$7=F$3)*('Operating Proforma'!$B$30:$BK$30))</f>
        <v>5203.0200499999992</v>
      </c>
      <c r="G29" s="57">
        <f>SUMPRODUCT(('Operating Proforma'!$B$7:$BK$7=G$3)*('Operating Proforma'!$B$30:$BK$30))</f>
        <v>5255.0502504999995</v>
      </c>
      <c r="H29" s="73">
        <f t="shared" si="1"/>
        <v>26176.741967166668</v>
      </c>
    </row>
    <row r="30" spans="1:9" ht="15" customHeight="1" x14ac:dyDescent="0.2">
      <c r="A30" s="26" t="s">
        <v>99</v>
      </c>
      <c r="B30" s="57">
        <f>SUMPRODUCT(('Operating Proforma'!$B$7:$BK$7=B$3)*('Operating Proforma'!$B$31:$BK$31))</f>
        <v>1016.6666666666666</v>
      </c>
      <c r="C30" s="57">
        <f>SUMPRODUCT(('Operating Proforma'!$B$7:$BK$7=C$3)*('Operating Proforma'!$B$31:$BK$31))</f>
        <v>12322.000000000002</v>
      </c>
      <c r="D30" s="57">
        <f>SUMPRODUCT(('Operating Proforma'!$B$7:$BK$7=D$3)*('Operating Proforma'!$B$31:$BK$31))</f>
        <v>12445.220000000003</v>
      </c>
      <c r="E30" s="57">
        <f>SUMPRODUCT(('Operating Proforma'!$B$7:$BK$7=E$3)*('Operating Proforma'!$B$31:$BK$31))</f>
        <v>12569.672199999999</v>
      </c>
      <c r="F30" s="57">
        <f>SUMPRODUCT(('Operating Proforma'!$B$7:$BK$7=F$3)*('Operating Proforma'!$B$31:$BK$31))</f>
        <v>12695.368922000003</v>
      </c>
      <c r="G30" s="57">
        <f>SUMPRODUCT(('Operating Proforma'!$B$7:$BK$7=G$3)*('Operating Proforma'!$B$31:$BK$31))</f>
        <v>12822.322611219994</v>
      </c>
      <c r="H30" s="73">
        <f t="shared" si="1"/>
        <v>63871.250399886667</v>
      </c>
    </row>
    <row r="31" spans="1:9" ht="15" customHeight="1" x14ac:dyDescent="0.2">
      <c r="A31" s="26" t="s">
        <v>100</v>
      </c>
      <c r="B31" s="57">
        <f>SUMPRODUCT(('Operating Proforma'!$B$7:$BK$7=B$3)*('Operating Proforma'!$B$32:$BK$32))</f>
        <v>3666.9306000000001</v>
      </c>
      <c r="C31" s="57">
        <f>SUMPRODUCT(('Operating Proforma'!$B$7:$BK$7=C$3)*('Operating Proforma'!$B$32:$BK$32))</f>
        <v>44868.637043999996</v>
      </c>
      <c r="D31" s="57">
        <f>SUMPRODUCT(('Operating Proforma'!$B$7:$BK$7=D$3)*('Operating Proforma'!$B$32:$BK$32))</f>
        <v>45751.19738238</v>
      </c>
      <c r="E31" s="57">
        <f>SUMPRODUCT(('Operating Proforma'!$B$7:$BK$7=E$3)*('Operating Proforma'!$B$32:$BK$32))</f>
        <v>46651.186741490092</v>
      </c>
      <c r="F31" s="57">
        <f>SUMPRODUCT(('Operating Proforma'!$B$7:$BK$7=F$3)*('Operating Proforma'!$B$32:$BK$32))</f>
        <v>47568.950368954313</v>
      </c>
      <c r="G31" s="57">
        <f>SUMPRODUCT(('Operating Proforma'!$B$7:$BK$7=G$3)*('Operating Proforma'!$B$32:$BK$32))</f>
        <v>48504.840367357363</v>
      </c>
      <c r="H31" s="73">
        <f t="shared" si="1"/>
        <v>237011.74250418175</v>
      </c>
    </row>
    <row r="32" spans="1:9" ht="15" customHeight="1" x14ac:dyDescent="0.2">
      <c r="A32" s="26" t="s">
        <v>693</v>
      </c>
      <c r="B32" s="57">
        <f>SUMPRODUCT(('Operating Proforma'!$B$7:$BK$7=B$3)*('Operating Proforma'!$B$33:$BK$33))</f>
        <v>3733.3333333333335</v>
      </c>
      <c r="C32" s="57">
        <f>SUMPRODUCT(('Operating Proforma'!$B$7:$BK$7=C$3)*('Operating Proforma'!$B$33:$BK$33))</f>
        <v>45248</v>
      </c>
      <c r="D32" s="57">
        <f>SUMPRODUCT(('Operating Proforma'!$B$7:$BK$7=D$3)*('Operating Proforma'!$B$33:$BK$33))</f>
        <v>45700.48000000001</v>
      </c>
      <c r="E32" s="57">
        <f>SUMPRODUCT(('Operating Proforma'!$B$7:$BK$7=E$3)*('Operating Proforma'!$B$33:$BK$33))</f>
        <v>46157.484800000006</v>
      </c>
      <c r="F32" s="57">
        <f>SUMPRODUCT(('Operating Proforma'!$B$7:$BK$7=F$3)*('Operating Proforma'!$B$33:$BK$33))</f>
        <v>46619.059648000002</v>
      </c>
      <c r="G32" s="57">
        <f>SUMPRODUCT(('Operating Proforma'!$B$7:$BK$7=G$3)*('Operating Proforma'!$B$33:$BK$33))</f>
        <v>47085.250244479983</v>
      </c>
      <c r="H32" s="73">
        <f t="shared" si="1"/>
        <v>234543.60802581333</v>
      </c>
    </row>
    <row r="33" spans="1:10" ht="15" customHeight="1" x14ac:dyDescent="0.2">
      <c r="A33" s="26" t="s">
        <v>104</v>
      </c>
      <c r="B33" s="57">
        <f>SUMPRODUCT(('Operating Proforma'!$B$7:$BK$7=B$3)*('Operating Proforma'!$B$34:$BK$34))</f>
        <v>916.73265000000004</v>
      </c>
      <c r="C33" s="57">
        <f>SUMPRODUCT(('Operating Proforma'!$B$7:$BK$7=C$3)*('Operating Proforma'!$B$34:$BK$34))</f>
        <v>11329.330853609996</v>
      </c>
      <c r="D33" s="57">
        <f>SUMPRODUCT(('Operating Proforma'!$B$7:$BK$7=D$3)*('Operating Proforma'!$B$34:$BK$34))</f>
        <v>11667.699112441462</v>
      </c>
      <c r="E33" s="57">
        <f>SUMPRODUCT(('Operating Proforma'!$B$7:$BK$7=E$3)*('Operating Proforma'!$B$34:$BK$34))</f>
        <v>12016.191087735993</v>
      </c>
      <c r="F33" s="57">
        <f>SUMPRODUCT(('Operating Proforma'!$B$7:$BK$7=F$3)*('Operating Proforma'!$B$34:$BK$34))</f>
        <v>12375.11012635621</v>
      </c>
      <c r="G33" s="57">
        <f>SUMPRODUCT(('Operating Proforma'!$B$7:$BK$7=G$3)*('Operating Proforma'!$B$34:$BK$34))</f>
        <v>12744.768676147194</v>
      </c>
      <c r="H33" s="73">
        <f t="shared" si="1"/>
        <v>61049.832506290848</v>
      </c>
    </row>
    <row r="34" spans="1:10" ht="15" customHeight="1" x14ac:dyDescent="0.2">
      <c r="A34" s="34" t="s">
        <v>695</v>
      </c>
      <c r="B34" s="198">
        <f>SUMPRODUCT(('Operating Proforma'!$B$7:$BK$7=B$3)*('Operating Proforma'!$B$35:$BK$35))</f>
        <v>32745.246583333337</v>
      </c>
      <c r="C34" s="198">
        <f>SUMPRODUCT(('Operating Proforma'!$B$7:$BK$7=C$3)*('Operating Proforma'!$B$35:$BK$35))</f>
        <v>396157.35789760994</v>
      </c>
      <c r="D34" s="198">
        <f>SUMPRODUCT(('Operating Proforma'!$B$7:$BK$7=D$3)*('Operating Proforma'!$B$35:$BK$35))</f>
        <v>399418.88039482135</v>
      </c>
      <c r="E34" s="198">
        <f>SUMPRODUCT(('Operating Proforma'!$B$7:$BK$7=E$3)*('Operating Proforma'!$B$35:$BK$35))</f>
        <v>402728.36156822607</v>
      </c>
      <c r="F34" s="198">
        <f>SUMPRODUCT(('Operating Proforma'!$B$7:$BK$7=F$3)*('Operating Proforma'!$B$35:$BK$35))</f>
        <v>406086.65407170053</v>
      </c>
      <c r="G34" s="198">
        <f>SUMPRODUCT(('Operating Proforma'!$B$7:$BK$7=G$3)*('Operating Proforma'!$B$35:$BK$35))</f>
        <v>409494.62855565833</v>
      </c>
      <c r="H34" s="194">
        <f t="shared" si="1"/>
        <v>2046631.1290713495</v>
      </c>
      <c r="I34" s="199">
        <f>B99</f>
        <v>268296.30748657504</v>
      </c>
      <c r="J34" s="57">
        <f>B99</f>
        <v>268296.30748657504</v>
      </c>
    </row>
    <row r="35" spans="1:10" ht="15.75" customHeight="1" x14ac:dyDescent="0.2"/>
    <row r="36" spans="1:10" ht="15" customHeight="1" x14ac:dyDescent="0.2">
      <c r="A36" s="171" t="s">
        <v>730</v>
      </c>
      <c r="B36" s="177"/>
      <c r="C36" s="177"/>
      <c r="D36" s="177"/>
      <c r="E36" s="177"/>
      <c r="F36" s="177"/>
      <c r="G36" s="177"/>
      <c r="H36" s="177"/>
      <c r="I36" s="177"/>
    </row>
    <row r="37" spans="1:10" ht="15" customHeight="1" x14ac:dyDescent="0.2">
      <c r="A37" s="34" t="s">
        <v>731</v>
      </c>
      <c r="B37" s="200">
        <f>SUMPRODUCT(('Operating Proforma'!$B$7:$BK$7=B$3)*('Operating Proforma'!$B$38:$BK$38))</f>
        <v>89485.773416666663</v>
      </c>
      <c r="C37" s="200">
        <f>SUMPRODUCT(('Operating Proforma'!$B$7:$BK$7=C$3)*('Operating Proforma'!$B$38:$BK$38))</f>
        <v>1099463.8769023898</v>
      </c>
      <c r="D37" s="200">
        <f>SUMPRODUCT(('Operating Proforma'!$B$7:$BK$7=D$3)*('Operating Proforma'!$B$38:$BK$38))</f>
        <v>1125621.0323511788</v>
      </c>
      <c r="E37" s="200">
        <f>SUMPRODUCT(('Operating Proforma'!$B$7:$BK$7=E$3)*('Operating Proforma'!$B$38:$BK$38))</f>
        <v>1152311.1964814437</v>
      </c>
      <c r="F37" s="200">
        <f>SUMPRODUCT(('Operating Proforma'!$B$7:$BK$7=F$3)*('Operating Proforma'!$B$38:$BK$38))</f>
        <v>1179545.0248934436</v>
      </c>
      <c r="G37" s="200">
        <f>SUMPRODUCT(('Operating Proforma'!$B$7:$BK$7=G$3)*('Operating Proforma'!$B$38:$BK$38))</f>
        <v>1207333.3836895877</v>
      </c>
      <c r="H37" s="191">
        <f>SUM(B37:G37)</f>
        <v>5853760.2877347115</v>
      </c>
      <c r="I37" s="199">
        <f>B100</f>
        <v>26561334.441170931</v>
      </c>
      <c r="J37" s="57">
        <f>B100</f>
        <v>26561334.441170931</v>
      </c>
    </row>
    <row r="38" spans="1:10" ht="15.75" customHeight="1" x14ac:dyDescent="0.2"/>
    <row r="39" spans="1:10" ht="15" customHeight="1" x14ac:dyDescent="0.2">
      <c r="A39" s="171" t="s">
        <v>732</v>
      </c>
      <c r="B39" s="177"/>
      <c r="C39" s="177"/>
      <c r="D39" s="177"/>
      <c r="E39" s="177"/>
      <c r="F39" s="177"/>
      <c r="G39" s="177"/>
      <c r="H39" s="177"/>
      <c r="I39" s="177"/>
    </row>
    <row r="40" spans="1:10" ht="15" customHeight="1" x14ac:dyDescent="0.2">
      <c r="A40" s="26" t="s">
        <v>716</v>
      </c>
      <c r="B40" s="57">
        <f>SUMPRODUCT(('Operating Proforma'!$B$7:$BK$7=B$3)*('Operating Proforma'!$B$41:$BK$41))</f>
        <v>0</v>
      </c>
      <c r="C40" s="57">
        <f>SUMPRODUCT(('Operating Proforma'!$B$7:$BK$7=C$3)*('Operating Proforma'!$B$41:$BK$41))</f>
        <v>708349.62869380461</v>
      </c>
      <c r="D40" s="57">
        <f>SUMPRODUCT(('Operating Proforma'!$B$7:$BK$7=D$3)*('Operating Proforma'!$B$41:$BK$41))</f>
        <v>703320.77813620912</v>
      </c>
      <c r="E40" s="57">
        <f>SUMPRODUCT(('Operating Proforma'!$B$7:$BK$7=E$3)*('Operating Proforma'!$B$41:$BK$41))</f>
        <v>698100.59085034917</v>
      </c>
      <c r="F40" s="57">
        <f>SUMPRODUCT(('Operating Proforma'!$B$7:$BK$7=F$3)*('Operating Proforma'!$B$41:$BK$41))</f>
        <v>692681.78689358837</v>
      </c>
      <c r="G40" s="57">
        <f>SUMPRODUCT(('Operating Proforma'!$B$7:$BK$7=G$3)*('Operating Proforma'!$B$41:$BK$41))</f>
        <v>687056.80933744879</v>
      </c>
      <c r="H40" s="73">
        <f>SUM(B40:G40)</f>
        <v>3489509.5939114001</v>
      </c>
    </row>
    <row r="41" spans="1:10" ht="15" customHeight="1" x14ac:dyDescent="0.2">
      <c r="A41" s="26" t="s">
        <v>733</v>
      </c>
      <c r="B41" s="57">
        <f>SUMPRODUCT(('Operating Proforma'!$B$7:$BK$7=B$3)*('Operating Proforma'!$B$42:$BK$42))</f>
        <v>0</v>
      </c>
      <c r="C41" s="57">
        <f>SUMPRODUCT(('Operating Proforma'!$B$7:$BK$7=C$3)*('Operating Proforma'!$B$42:$BK$42))</f>
        <v>132171.89485756299</v>
      </c>
      <c r="D41" s="57">
        <f>SUMPRODUCT(('Operating Proforma'!$B$7:$BK$7=D$3)*('Operating Proforma'!$B$42:$BK$42))</f>
        <v>137200.74541515845</v>
      </c>
      <c r="E41" s="57">
        <f>SUMPRODUCT(('Operating Proforma'!$B$7:$BK$7=E$3)*('Operating Proforma'!$B$42:$BK$42))</f>
        <v>142420.93270101841</v>
      </c>
      <c r="F41" s="57">
        <f>SUMPRODUCT(('Operating Proforma'!$B$7:$BK$7=F$3)*('Operating Proforma'!$B$42:$BK$42))</f>
        <v>147839.73665777923</v>
      </c>
      <c r="G41" s="57">
        <f>SUMPRODUCT(('Operating Proforma'!$B$7:$BK$7=G$3)*('Operating Proforma'!$B$42:$BK$42))</f>
        <v>153464.71421391875</v>
      </c>
      <c r="H41" s="73">
        <f>SUM(B41:G41)</f>
        <v>713098.0238454378</v>
      </c>
    </row>
    <row r="42" spans="1:10" ht="15" customHeight="1" x14ac:dyDescent="0.2">
      <c r="A42" s="34" t="s">
        <v>734</v>
      </c>
      <c r="B42" s="198">
        <f>SUMPRODUCT(('Operating Proforma'!$B$7:$BK$7=B$3)*('Operating Proforma'!$B$43:$BK$43))</f>
        <v>0</v>
      </c>
      <c r="C42" s="198">
        <f>SUMPRODUCT(('Operating Proforma'!$B$7:$BK$7=C$3)*('Operating Proforma'!$B$43:$BK$43))</f>
        <v>840521.52355136734</v>
      </c>
      <c r="D42" s="198">
        <f>SUMPRODUCT(('Operating Proforma'!$B$7:$BK$7=D$3)*('Operating Proforma'!$B$43:$BK$43))</f>
        <v>840521.52355136734</v>
      </c>
      <c r="E42" s="198">
        <f>SUMPRODUCT(('Operating Proforma'!$B$7:$BK$7=E$3)*('Operating Proforma'!$B$43:$BK$43))</f>
        <v>840521.52355136734</v>
      </c>
      <c r="F42" s="198">
        <f>SUMPRODUCT(('Operating Proforma'!$B$7:$BK$7=F$3)*('Operating Proforma'!$B$43:$BK$43))</f>
        <v>840521.52355136734</v>
      </c>
      <c r="G42" s="198">
        <f>SUMPRODUCT(('Operating Proforma'!$B$7:$BK$7=G$3)*('Operating Proforma'!$B$43:$BK$43))</f>
        <v>840521.52355136734</v>
      </c>
      <c r="H42" s="194">
        <f>SUM(B42:G42)</f>
        <v>4202607.617756837</v>
      </c>
      <c r="I42" s="199">
        <f>B101</f>
        <v>18286901.976154566</v>
      </c>
      <c r="J42" s="57">
        <f>B101</f>
        <v>18286901.976154566</v>
      </c>
    </row>
    <row r="43" spans="1:10" ht="15.75" customHeight="1" x14ac:dyDescent="0.2"/>
    <row r="44" spans="1:10" ht="15" customHeight="1" x14ac:dyDescent="0.2">
      <c r="A44" s="34" t="s">
        <v>735</v>
      </c>
      <c r="B44" s="200">
        <f>SUMPRODUCT(('Operating Proforma'!$B$7:$BK$7=B$3)*('Operating Proforma'!$B$45:$BK$45))</f>
        <v>89485.773416666663</v>
      </c>
      <c r="C44" s="200">
        <f>SUMPRODUCT(('Operating Proforma'!$B$7:$BK$7=C$3)*('Operating Proforma'!$B$45:$BK$45))</f>
        <v>258942.35335102247</v>
      </c>
      <c r="D44" s="200">
        <f>SUMPRODUCT(('Operating Proforma'!$B$7:$BK$7=D$3)*('Operating Proforma'!$B$45:$BK$45))</f>
        <v>285099.50879981101</v>
      </c>
      <c r="E44" s="200">
        <f>SUMPRODUCT(('Operating Proforma'!$B$7:$BK$7=E$3)*('Operating Proforma'!$B$45:$BK$45))</f>
        <v>311789.67293007614</v>
      </c>
      <c r="F44" s="200">
        <f>SUMPRODUCT(('Operating Proforma'!$B$7:$BK$7=F$3)*('Operating Proforma'!$B$45:$BK$45))</f>
        <v>339023.50134207623</v>
      </c>
      <c r="G44" s="200">
        <f>SUMPRODUCT(('Operating Proforma'!$B$7:$BK$7=G$3)*('Operating Proforma'!$B$45:$BK$45))</f>
        <v>366811.86013822001</v>
      </c>
      <c r="H44" s="191">
        <f>SUM(B44:G44)</f>
        <v>1651152.6699778724</v>
      </c>
      <c r="I44" s="200">
        <f>B102</f>
        <v>8274432.4650163651</v>
      </c>
      <c r="J44" s="57">
        <f>B102</f>
        <v>8274432.4650163651</v>
      </c>
    </row>
    <row r="45" spans="1:10" ht="15.75" customHeight="1" x14ac:dyDescent="0.2"/>
    <row r="46" spans="1:10" ht="15" customHeight="1" x14ac:dyDescent="0.2">
      <c r="A46" s="171" t="s">
        <v>50</v>
      </c>
      <c r="B46" s="177"/>
      <c r="C46" s="177"/>
      <c r="D46" s="177"/>
      <c r="E46" s="177"/>
      <c r="F46" s="177"/>
      <c r="G46" s="177"/>
      <c r="H46" s="177"/>
      <c r="I46" s="177"/>
    </row>
    <row r="47" spans="1:10" ht="15" customHeight="1" x14ac:dyDescent="0.2">
      <c r="A47" s="26" t="s">
        <v>736</v>
      </c>
      <c r="B47" s="57">
        <f t="array" ref="B47">INDEX('Operating Proforma'!$B$48:$BK$48,MATCH(B$3,'Operating Proforma'!$B$7:$BK$7,0))</f>
        <v>0</v>
      </c>
      <c r="C47" s="57">
        <f t="array" ref="C47">INDEX('Operating Proforma'!$B$48:$BK$48,MATCH(C$3,'Operating Proforma'!$B$7:$BK$7,0))</f>
        <v>89485.773416666663</v>
      </c>
      <c r="D47" s="57">
        <f t="array" ref="D47">INDEX('Operating Proforma'!$B$48:$BK$48,MATCH(D$3,'Operating Proforma'!$B$7:$BK$7,0))</f>
        <v>100000</v>
      </c>
      <c r="E47" s="57">
        <f t="array" ref="E47">INDEX('Operating Proforma'!$B$48:$BK$48,MATCH(E$3,'Operating Proforma'!$B$7:$BK$7,0))</f>
        <v>100000</v>
      </c>
      <c r="F47" s="57">
        <f t="array" ref="F47">INDEX('Operating Proforma'!$B$48:$BK$48,MATCH(F$3,'Operating Proforma'!$B$7:$BK$7,0))</f>
        <v>100000</v>
      </c>
      <c r="G47" s="57">
        <f t="array" ref="G47">INDEX('Operating Proforma'!$B$48:$BK$48,MATCH(G$3,'Operating Proforma'!$B$7:$BK$7,0))</f>
        <v>100000</v>
      </c>
      <c r="H47" s="73">
        <f>B47</f>
        <v>0</v>
      </c>
    </row>
    <row r="48" spans="1:10" ht="15" customHeight="1" x14ac:dyDescent="0.2">
      <c r="A48" s="26" t="s">
        <v>737</v>
      </c>
      <c r="B48" s="57">
        <f>SUMPRODUCT(('Operating Proforma'!$B$7:$BK$7=B$3)*('Operating Proforma'!$B$49:$BK$49))</f>
        <v>89485.773416666663</v>
      </c>
      <c r="C48" s="57">
        <f>SUMPRODUCT(('Operating Proforma'!$B$7:$BK$7=C$3)*('Operating Proforma'!$B$49:$BK$49))</f>
        <v>258942.35335102247</v>
      </c>
      <c r="D48" s="57">
        <f>SUMPRODUCT(('Operating Proforma'!$B$7:$BK$7=D$3)*('Operating Proforma'!$B$49:$BK$49))</f>
        <v>285099.50879981101</v>
      </c>
      <c r="E48" s="57">
        <f>SUMPRODUCT(('Operating Proforma'!$B$7:$BK$7=E$3)*('Operating Proforma'!$B$49:$BK$49))</f>
        <v>311789.67293007614</v>
      </c>
      <c r="F48" s="57">
        <f>SUMPRODUCT(('Operating Proforma'!$B$7:$BK$7=F$3)*('Operating Proforma'!$B$49:$BK$49))</f>
        <v>339023.50134207623</v>
      </c>
      <c r="G48" s="57">
        <f>SUMPRODUCT(('Operating Proforma'!$B$7:$BK$7=G$3)*('Operating Proforma'!$B$49:$BK$49))</f>
        <v>366811.86013822001</v>
      </c>
      <c r="H48" s="73">
        <f>SUM(B48:G48)</f>
        <v>1651152.6699778724</v>
      </c>
    </row>
    <row r="49" spans="1:10" ht="15" customHeight="1" x14ac:dyDescent="0.2">
      <c r="A49" s="26" t="s">
        <v>738</v>
      </c>
      <c r="B49" s="57">
        <f>SUMPRODUCT(('Operating Proforma'!$B$7:$BK$7=B$3)*('Operating Proforma'!$B$50:$BK$50))</f>
        <v>0</v>
      </c>
      <c r="C49" s="57">
        <f>SUMPRODUCT(('Operating Proforma'!$B$7:$BK$7=C$3)*('Operating Proforma'!$B$50:$BK$50))</f>
        <v>486342.02695204492</v>
      </c>
      <c r="D49" s="57">
        <f>SUMPRODUCT(('Operating Proforma'!$B$7:$BK$7=D$3)*('Operating Proforma'!$B$50:$BK$50))</f>
        <v>570199.01759962179</v>
      </c>
      <c r="E49" s="57">
        <f>SUMPRODUCT(('Operating Proforma'!$B$7:$BK$7=E$3)*('Operating Proforma'!$B$50:$BK$50))</f>
        <v>623579.34586015204</v>
      </c>
      <c r="F49" s="57">
        <f>SUMPRODUCT(('Operating Proforma'!$B$7:$BK$7=F$3)*('Operating Proforma'!$B$50:$BK$50))</f>
        <v>678047.00268415234</v>
      </c>
      <c r="G49" s="57">
        <f>SUMPRODUCT(('Operating Proforma'!$B$7:$BK$7=G$3)*('Operating Proforma'!$B$50:$BK$50))</f>
        <v>733623.72027644003</v>
      </c>
      <c r="H49" s="73">
        <f>SUM(B49:G49)</f>
        <v>3091791.1133724111</v>
      </c>
    </row>
    <row r="50" spans="1:10" ht="15" customHeight="1" x14ac:dyDescent="0.2">
      <c r="A50" s="26" t="s">
        <v>739</v>
      </c>
      <c r="B50" s="57">
        <f>SUMPRODUCT(('Operating Proforma'!$B$7:$BK$7=B$3)*('Operating Proforma'!$B$51:$BK$51))</f>
        <v>0</v>
      </c>
      <c r="C50" s="57">
        <f>SUMPRODUCT(('Operating Proforma'!$B$7:$BK$7=C$3)*('Operating Proforma'!$B$51:$BK$51))</f>
        <v>248428.12676768913</v>
      </c>
      <c r="D50" s="57">
        <f>SUMPRODUCT(('Operating Proforma'!$B$7:$BK$7=D$3)*('Operating Proforma'!$B$51:$BK$51))</f>
        <v>285099.50879981089</v>
      </c>
      <c r="E50" s="57">
        <f>SUMPRODUCT(('Operating Proforma'!$B$7:$BK$7=E$3)*('Operating Proforma'!$B$51:$BK$51))</f>
        <v>311789.67293007602</v>
      </c>
      <c r="F50" s="57">
        <f>SUMPRODUCT(('Operating Proforma'!$B$7:$BK$7=F$3)*('Operating Proforma'!$B$51:$BK$51))</f>
        <v>339023.50134207623</v>
      </c>
      <c r="G50" s="57">
        <f>SUMPRODUCT(('Operating Proforma'!$B$7:$BK$7=G$3)*('Operating Proforma'!$B$51:$BK$51))</f>
        <v>366811.86013822001</v>
      </c>
      <c r="H50" s="73">
        <f>SUM(B50:G50)</f>
        <v>1551152.6699778724</v>
      </c>
    </row>
    <row r="51" spans="1:10" ht="15" customHeight="1" x14ac:dyDescent="0.2">
      <c r="A51" s="34" t="s">
        <v>740</v>
      </c>
      <c r="B51" s="200">
        <f>LOOKUP(B$3,'Operating Proforma'!$B$7:$BK$7,'Operating Proforma'!$B$52:$BK$52)</f>
        <v>89485.773416666663</v>
      </c>
      <c r="C51" s="200">
        <f>LOOKUP(C$3,'Operating Proforma'!$B$7:$BK$7,'Operating Proforma'!$B$52:$BK$52)</f>
        <v>100000</v>
      </c>
      <c r="D51" s="200">
        <f>LOOKUP(D$3,'Operating Proforma'!$B$7:$BK$7,'Operating Proforma'!$B$52:$BK$52)</f>
        <v>100000</v>
      </c>
      <c r="E51" s="200">
        <f>LOOKUP(E$3,'Operating Proforma'!$B$7:$BK$7,'Operating Proforma'!$B$52:$BK$52)</f>
        <v>100000</v>
      </c>
      <c r="F51" s="200">
        <f>LOOKUP(F$3,'Operating Proforma'!$B$7:$BK$7,'Operating Proforma'!$B$52:$BK$52)</f>
        <v>100000</v>
      </c>
      <c r="G51" s="200">
        <f>LOOKUP(G$3,'Operating Proforma'!$B$7:$BK$7,'Operating Proforma'!$B$52:$BK$52)</f>
        <v>100000</v>
      </c>
      <c r="H51" s="191">
        <f>G51</f>
        <v>100000</v>
      </c>
    </row>
    <row r="52" spans="1:10" ht="15.75" customHeight="1" x14ac:dyDescent="0.2"/>
    <row r="53" spans="1:10" ht="15" customHeight="1" x14ac:dyDescent="0.2">
      <c r="A53" s="171" t="s">
        <v>741</v>
      </c>
      <c r="B53" s="177"/>
      <c r="C53" s="177"/>
      <c r="D53" s="177"/>
      <c r="E53" s="177"/>
      <c r="F53" s="177"/>
      <c r="G53" s="177"/>
      <c r="H53" s="177"/>
      <c r="I53" s="177"/>
    </row>
    <row r="54" spans="1:10" ht="15" customHeight="1" x14ac:dyDescent="0.2">
      <c r="A54" s="26" t="s">
        <v>742</v>
      </c>
      <c r="B54" s="57">
        <f>SUMPRODUCT(('Operating Proforma'!$B$7:$BK$7=B$3)*('Operating Proforma'!$B$55:$BK$55))</f>
        <v>0</v>
      </c>
      <c r="C54" s="57">
        <f>SUMPRODUCT(('Operating Proforma'!$B$7:$BK$7=C$3)*('Operating Proforma'!$B$55:$BK$55))</f>
        <v>248428.12676768913</v>
      </c>
      <c r="D54" s="57">
        <f>SUMPRODUCT(('Operating Proforma'!$B$7:$BK$7=D$3)*('Operating Proforma'!$B$55:$BK$55))</f>
        <v>285099.50879981089</v>
      </c>
      <c r="E54" s="57">
        <f>SUMPRODUCT(('Operating Proforma'!$B$7:$BK$7=E$3)*('Operating Proforma'!$B$55:$BK$55))</f>
        <v>311789.67293007602</v>
      </c>
      <c r="F54" s="57">
        <f>SUMPRODUCT(('Operating Proforma'!$B$7:$BK$7=F$3)*('Operating Proforma'!$B$55:$BK$55))</f>
        <v>339023.50134207623</v>
      </c>
      <c r="G54" s="57">
        <f>SUMPRODUCT(('Operating Proforma'!$B$7:$BK$7=G$3)*('Operating Proforma'!$B$55:$BK$55))</f>
        <v>366811.86013822001</v>
      </c>
      <c r="H54" s="73">
        <f t="shared" ref="H54:H59" si="2">SUM(B54:G54)</f>
        <v>1551152.6699778724</v>
      </c>
      <c r="I54" s="57">
        <f>B105</f>
        <v>8274432.4650163651</v>
      </c>
      <c r="J54" s="57">
        <f>B105</f>
        <v>8274432.4650163651</v>
      </c>
    </row>
    <row r="55" spans="1:10" ht="15" customHeight="1" x14ac:dyDescent="0.2">
      <c r="A55" s="26" t="s">
        <v>743</v>
      </c>
      <c r="B55" s="57">
        <f>SUMPRODUCT(('Operating Proforma'!$B$7:$BK$7=B$3)*('Operating Proforma'!$B$56:$BK$56))</f>
        <v>0</v>
      </c>
      <c r="C55" s="57">
        <f>SUMPRODUCT(('Operating Proforma'!$B$7:$BK$7=C$3)*('Operating Proforma'!$B$56:$BK$56))</f>
        <v>0</v>
      </c>
      <c r="D55" s="57">
        <f>SUMPRODUCT(('Operating Proforma'!$B$7:$BK$7=D$3)*('Operating Proforma'!$B$56:$BK$56))</f>
        <v>0</v>
      </c>
      <c r="E55" s="57">
        <f>SUMPRODUCT(('Operating Proforma'!$B$7:$BK$7=E$3)*('Operating Proforma'!$B$56:$BK$56))</f>
        <v>0</v>
      </c>
      <c r="F55" s="57">
        <f>SUMPRODUCT(('Operating Proforma'!$B$7:$BK$7=F$3)*('Operating Proforma'!$B$56:$BK$56))</f>
        <v>0</v>
      </c>
      <c r="G55" s="57">
        <f>SUMPRODUCT(('Operating Proforma'!$B$7:$BK$7=G$3)*('Operating Proforma'!$B$56:$BK$56))</f>
        <v>0</v>
      </c>
      <c r="H55" s="73">
        <f t="shared" si="2"/>
        <v>0</v>
      </c>
      <c r="I55" s="57">
        <f>B107</f>
        <v>0</v>
      </c>
      <c r="J55" s="57">
        <f>B107</f>
        <v>0</v>
      </c>
    </row>
    <row r="56" spans="1:10" ht="15" customHeight="1" x14ac:dyDescent="0.2">
      <c r="A56" s="26" t="s">
        <v>744</v>
      </c>
      <c r="B56" s="57">
        <f>SUMPRODUCT(('Operating Proforma'!$B$7:$BK$7=B$3)*('Operating Proforma'!$B$57:$BK$57))</f>
        <v>0</v>
      </c>
      <c r="C56" s="57">
        <f>SUMPRODUCT(('Operating Proforma'!$B$7:$BK$7=C$3)*('Operating Proforma'!$B$57:$BK$57))</f>
        <v>248428.12676768913</v>
      </c>
      <c r="D56" s="57">
        <f>SUMPRODUCT(('Operating Proforma'!$B$7:$BK$7=D$3)*('Operating Proforma'!$B$57:$BK$57))</f>
        <v>285099.50879981089</v>
      </c>
      <c r="E56" s="57">
        <f>SUMPRODUCT(('Operating Proforma'!$B$7:$BK$7=E$3)*('Operating Proforma'!$B$57:$BK$57))</f>
        <v>311789.67293007602</v>
      </c>
      <c r="F56" s="57">
        <f>SUMPRODUCT(('Operating Proforma'!$B$7:$BK$7=F$3)*('Operating Proforma'!$B$57:$BK$57))</f>
        <v>339023.50134207623</v>
      </c>
      <c r="G56" s="57">
        <f>SUMPRODUCT(('Operating Proforma'!$B$7:$BK$7=G$3)*('Operating Proforma'!$B$57:$BK$57))</f>
        <v>366811.86013822001</v>
      </c>
      <c r="H56" s="73">
        <f t="shared" si="2"/>
        <v>1551152.6699778724</v>
      </c>
      <c r="I56" s="57">
        <f>B108</f>
        <v>1248847.3300221288</v>
      </c>
      <c r="J56" s="57">
        <f>B108</f>
        <v>1248847.3300221288</v>
      </c>
    </row>
    <row r="57" spans="1:10" ht="15" customHeight="1" x14ac:dyDescent="0.2">
      <c r="A57" s="26" t="s">
        <v>745</v>
      </c>
      <c r="B57" s="57">
        <f>SUMPRODUCT(('Operating Proforma'!$B$7:$BK$7=B$3)*('Operating Proforma'!$B$58:$BK$58))</f>
        <v>0</v>
      </c>
      <c r="C57" s="57">
        <f>SUMPRODUCT(('Operating Proforma'!$B$7:$BK$7=C$3)*('Operating Proforma'!$B$58:$BK$58))</f>
        <v>0</v>
      </c>
      <c r="D57" s="57">
        <f>SUMPRODUCT(('Operating Proforma'!$B$7:$BK$7=D$3)*('Operating Proforma'!$B$58:$BK$58))</f>
        <v>0</v>
      </c>
      <c r="E57" s="57">
        <f>SUMPRODUCT(('Operating Proforma'!$B$7:$BK$7=E$3)*('Operating Proforma'!$B$58:$BK$58))</f>
        <v>0</v>
      </c>
      <c r="F57" s="57">
        <f>SUMPRODUCT(('Operating Proforma'!$B$7:$BK$7=F$3)*('Operating Proforma'!$B$58:$BK$58))</f>
        <v>0</v>
      </c>
      <c r="G57" s="57">
        <f>SUMPRODUCT(('Operating Proforma'!$B$7:$BK$7=G$3)*('Operating Proforma'!$B$58:$BK$58))</f>
        <v>0</v>
      </c>
      <c r="H57" s="73">
        <f t="shared" si="2"/>
        <v>0</v>
      </c>
      <c r="I57" s="57">
        <f>B109</f>
        <v>7025585.1349942368</v>
      </c>
      <c r="J57" s="57">
        <f>B109</f>
        <v>7025585.1349942368</v>
      </c>
    </row>
    <row r="58" spans="1:10" ht="15" customHeight="1" x14ac:dyDescent="0.2">
      <c r="A58" s="26" t="s">
        <v>746</v>
      </c>
      <c r="B58" s="57">
        <f>SUMPRODUCT(('Operating Proforma'!$B$7:$BK$7=B$3)*('Operating Proforma'!$B$59:$BK$59))</f>
        <v>0</v>
      </c>
      <c r="C58" s="57">
        <f>SUMPRODUCT(('Operating Proforma'!$B$7:$BK$7=C$3)*('Operating Proforma'!$B$59:$BK$59))</f>
        <v>248428.12676768913</v>
      </c>
      <c r="D58" s="57">
        <f>SUMPRODUCT(('Operating Proforma'!$B$7:$BK$7=D$3)*('Operating Proforma'!$B$59:$BK$59))</f>
        <v>285099.50879981089</v>
      </c>
      <c r="E58" s="57">
        <f>SUMPRODUCT(('Operating Proforma'!$B$7:$BK$7=E$3)*('Operating Proforma'!$B$59:$BK$59))</f>
        <v>311789.67293007602</v>
      </c>
      <c r="F58" s="57">
        <f>SUMPRODUCT(('Operating Proforma'!$B$7:$BK$7=F$3)*('Operating Proforma'!$B$59:$BK$59))</f>
        <v>339023.50134207623</v>
      </c>
      <c r="G58" s="57">
        <f>SUMPRODUCT(('Operating Proforma'!$B$7:$BK$7=G$3)*('Operating Proforma'!$B$59:$BK$59))</f>
        <v>366811.86013822001</v>
      </c>
      <c r="H58" s="73">
        <f t="shared" si="2"/>
        <v>1551152.6699778724</v>
      </c>
      <c r="I58" s="57">
        <f>B110</f>
        <v>6166756.9245180935</v>
      </c>
      <c r="J58" s="57">
        <f>B110</f>
        <v>6166756.9245180935</v>
      </c>
    </row>
    <row r="59" spans="1:10" ht="15" customHeight="1" x14ac:dyDescent="0.2">
      <c r="A59" s="26" t="s">
        <v>747</v>
      </c>
      <c r="B59" s="57">
        <f>SUMPRODUCT(('Operating Proforma'!$B$7:$BK$7=B$3)*('Operating Proforma'!$B$60:$BK$60))</f>
        <v>0</v>
      </c>
      <c r="C59" s="57">
        <f>SUMPRODUCT(('Operating Proforma'!$B$7:$BK$7=C$3)*('Operating Proforma'!$B$60:$BK$60))</f>
        <v>0</v>
      </c>
      <c r="D59" s="57">
        <f>SUMPRODUCT(('Operating Proforma'!$B$7:$BK$7=D$3)*('Operating Proforma'!$B$60:$BK$60))</f>
        <v>0</v>
      </c>
      <c r="E59" s="57">
        <f>SUMPRODUCT(('Operating Proforma'!$B$7:$BK$7=E$3)*('Operating Proforma'!$B$60:$BK$60))</f>
        <v>0</v>
      </c>
      <c r="F59" s="57">
        <f>SUMPRODUCT(('Operating Proforma'!$B$7:$BK$7=F$3)*('Operating Proforma'!$B$60:$BK$60))</f>
        <v>0</v>
      </c>
      <c r="G59" s="57">
        <f>SUMPRODUCT(('Operating Proforma'!$B$7:$BK$7=G$3)*('Operating Proforma'!$B$60:$BK$60))</f>
        <v>0</v>
      </c>
      <c r="H59" s="73">
        <f t="shared" si="2"/>
        <v>0</v>
      </c>
      <c r="I59" s="57">
        <f>B111</f>
        <v>2107675.5404982711</v>
      </c>
      <c r="J59" s="57">
        <f>B111</f>
        <v>2107675.5404982711</v>
      </c>
    </row>
    <row r="60" spans="1:10" ht="15.75" customHeight="1" x14ac:dyDescent="0.2"/>
    <row r="61" spans="1:10" ht="15" customHeight="1" x14ac:dyDescent="0.2">
      <c r="A61" s="26" t="s">
        <v>748</v>
      </c>
      <c r="B61" s="57">
        <f>LOOKUP(B$3,'Operating Proforma'!$B$7:$BK$7,'Operating Proforma'!$B$62:$BK$62)</f>
        <v>0</v>
      </c>
      <c r="C61" s="57">
        <f>LOOKUP(C$3,'Operating Proforma'!$B$7:$BK$7,'Operating Proforma'!$B$62:$BK$62)</f>
        <v>248428.12676768913</v>
      </c>
      <c r="D61" s="57">
        <f>LOOKUP(D$3,'Operating Proforma'!$B$7:$BK$7,'Operating Proforma'!$B$62:$BK$62)</f>
        <v>533527.63556750002</v>
      </c>
      <c r="E61" s="57">
        <f>LOOKUP(E$3,'Operating Proforma'!$B$7:$BK$7,'Operating Proforma'!$B$62:$BK$62)</f>
        <v>845317.30849757581</v>
      </c>
      <c r="F61" s="57">
        <f>LOOKUP(F$3,'Operating Proforma'!$B$7:$BK$7,'Operating Proforma'!$B$62:$BK$62)</f>
        <v>1184340.8098396519</v>
      </c>
      <c r="G61" s="57">
        <f>LOOKUP(G$3,'Operating Proforma'!$B$7:$BK$7,'Operating Proforma'!$B$62:$BK$62)</f>
        <v>1551152.6699778717</v>
      </c>
      <c r="H61" s="73">
        <f>G61</f>
        <v>1551152.6699778717</v>
      </c>
      <c r="I61" s="57">
        <f>G61+I56</f>
        <v>2800000.0000000005</v>
      </c>
      <c r="J61" s="57">
        <f>H61+J56</f>
        <v>2800000.0000000005</v>
      </c>
    </row>
    <row r="62" spans="1:10" ht="15" customHeight="1" x14ac:dyDescent="0.2">
      <c r="A62" s="26" t="s">
        <v>749</v>
      </c>
      <c r="B62" s="57">
        <f>LOOKUP(B$3,'Operating Proforma'!$B$7:$BK$7,'Operating Proforma'!$B$63:$BK$63)</f>
        <v>2800000</v>
      </c>
      <c r="C62" s="57">
        <f>LOOKUP(C$3,'Operating Proforma'!$B$7:$BK$7,'Operating Proforma'!$B$63:$BK$63)</f>
        <v>2551571.8732323106</v>
      </c>
      <c r="D62" s="57">
        <f>LOOKUP(D$3,'Operating Proforma'!$B$7:$BK$7,'Operating Proforma'!$B$63:$BK$63)</f>
        <v>2266472.3644325007</v>
      </c>
      <c r="E62" s="57">
        <f>LOOKUP(E$3,'Operating Proforma'!$B$7:$BK$7,'Operating Proforma'!$B$63:$BK$63)</f>
        <v>1954682.6915024244</v>
      </c>
      <c r="F62" s="57">
        <f>LOOKUP(F$3,'Operating Proforma'!$B$7:$BK$7,'Operating Proforma'!$B$63:$BK$63)</f>
        <v>1615659.1901603485</v>
      </c>
      <c r="G62" s="57">
        <f>LOOKUP(G$3,'Operating Proforma'!$B$7:$BK$7,'Operating Proforma'!$B$63:$BK$63)</f>
        <v>1248847.3300221288</v>
      </c>
      <c r="H62" s="73">
        <f>G62</f>
        <v>1248847.3300221288</v>
      </c>
      <c r="I62" s="57">
        <f>MAX(0,G62-I56)</f>
        <v>0</v>
      </c>
      <c r="J62" s="57">
        <f>MAX(0,H62-J56)</f>
        <v>0</v>
      </c>
    </row>
    <row r="63" spans="1:10" ht="15" customHeight="1" x14ac:dyDescent="0.2">
      <c r="A63" s="174" t="s">
        <v>755</v>
      </c>
      <c r="B63" s="187">
        <f>LOOKUP(B$3,'Operating Proforma'!$B$7:$BK$7,'Operating Proforma'!$B$4:$BK$4)</f>
        <v>25</v>
      </c>
      <c r="C63" s="187">
        <f>LOOKUP(C$3,'Operating Proforma'!$B$7:$BK$7,'Operating Proforma'!$B$4:$BK$4)</f>
        <v>37</v>
      </c>
      <c r="D63" s="187">
        <f>LOOKUP(D$3,'Operating Proforma'!$B$7:$BK$7,'Operating Proforma'!$B$4:$BK$4)</f>
        <v>49</v>
      </c>
      <c r="E63" s="187">
        <f>LOOKUP(E$3,'Operating Proforma'!$B$7:$BK$7,'Operating Proforma'!$B$4:$BK$4)</f>
        <v>61</v>
      </c>
      <c r="F63" s="187">
        <f>LOOKUP(F$3,'Operating Proforma'!$B$7:$BK$7,'Operating Proforma'!$B$4:$BK$4)</f>
        <v>73</v>
      </c>
      <c r="G63" s="187">
        <f>LOOKUP(G$3,'Operating Proforma'!$B$7:$BK$7,'Operating Proforma'!$B$4:$BK$4)</f>
        <v>85</v>
      </c>
    </row>
    <row r="64" spans="1:10" ht="15" customHeight="1" x14ac:dyDescent="0.2">
      <c r="A64" s="174" t="s">
        <v>756</v>
      </c>
      <c r="B64" s="73">
        <f>IFERROR(LOOKUP(B63,'Permanent Financing'!$A$13:$A$72,'Permanent Financing'!$G$13:$G$72),0)</f>
        <v>0</v>
      </c>
      <c r="C64" s="73">
        <f>IFERROR(LOOKUP(C63,'Permanent Financing'!$A$13:$A$72,'Permanent Financing'!$G$13:$G$72),0)</f>
        <v>18867828.105142429</v>
      </c>
      <c r="D64" s="73">
        <f>IFERROR(LOOKUP(D63,'Permanent Financing'!$A$13:$A$72,'Permanent Financing'!$G$13:$G$72),0)</f>
        <v>18730627.359727275</v>
      </c>
      <c r="E64" s="73">
        <f>IFERROR(LOOKUP(E63,'Permanent Financing'!$A$13:$A$72,'Permanent Financing'!$G$13:$G$72),0)</f>
        <v>18588206.427026264</v>
      </c>
      <c r="F64" s="73">
        <f>IFERROR(LOOKUP(F63,'Permanent Financing'!$A$13:$A$72,'Permanent Financing'!$G$13:$G$72),0)</f>
        <v>18440366.690368481</v>
      </c>
      <c r="G64" s="73">
        <f>IFERROR(LOOKUP(G63,'Permanent Financing'!$A$13:$A$72,'Permanent Financing'!$G$13:$G$72),0)</f>
        <v>18286901.976154566</v>
      </c>
      <c r="I64" s="57">
        <f>'Permanent Financing'!G74</f>
        <v>18286901.976154566</v>
      </c>
      <c r="J64" s="57">
        <f>'Permanent Financing'!G74</f>
        <v>18286901.976154566</v>
      </c>
    </row>
    <row r="65" spans="1:10" ht="15" customHeight="1" x14ac:dyDescent="0.2">
      <c r="A65" s="201" t="s">
        <v>757</v>
      </c>
      <c r="B65" s="202"/>
      <c r="C65" s="202"/>
      <c r="D65" s="202"/>
      <c r="E65" s="202"/>
      <c r="F65" s="202"/>
      <c r="G65" s="202"/>
      <c r="H65" s="202"/>
      <c r="I65" s="202"/>
    </row>
    <row r="66" spans="1:10" ht="15" customHeight="1" x14ac:dyDescent="0.2">
      <c r="A66" s="203" t="s">
        <v>758</v>
      </c>
      <c r="B66" s="204"/>
      <c r="C66" s="204"/>
      <c r="D66" s="204"/>
      <c r="E66" s="204"/>
      <c r="F66" s="204"/>
      <c r="G66" s="204"/>
      <c r="H66" s="204"/>
      <c r="I66" s="204"/>
    </row>
    <row r="67" spans="1:10" ht="15" customHeight="1" x14ac:dyDescent="0.2">
      <c r="A67" s="26" t="s">
        <v>759</v>
      </c>
      <c r="B67" s="176">
        <f>B44/('I_Inputs &amp; Assumptions'!$B$68+'I_Inputs &amp; Assumptions'!$B$69)</f>
        <v>3.1959204791666668E-2</v>
      </c>
      <c r="C67" s="176">
        <f>C44/('I_Inputs &amp; Assumptions'!$B$68+'I_Inputs &amp; Assumptions'!$B$69)</f>
        <v>9.2479411911079445E-2</v>
      </c>
      <c r="D67" s="176">
        <f>D44/('I_Inputs &amp; Assumptions'!$B$68+'I_Inputs &amp; Assumptions'!$B$69)</f>
        <v>0.10182125314278964</v>
      </c>
      <c r="E67" s="176">
        <f>E44/('I_Inputs &amp; Assumptions'!$B$68+'I_Inputs &amp; Assumptions'!$B$69)</f>
        <v>0.11135345461788433</v>
      </c>
      <c r="F67" s="176">
        <f>F44/('I_Inputs &amp; Assumptions'!$B$68+'I_Inputs &amp; Assumptions'!$B$69)</f>
        <v>0.12107982190788437</v>
      </c>
      <c r="G67" s="176">
        <f>G44/('I_Inputs &amp; Assumptions'!$B$68+'I_Inputs &amp; Assumptions'!$B$69)</f>
        <v>0.13100423576365</v>
      </c>
    </row>
    <row r="68" spans="1:10" ht="15" customHeight="1" x14ac:dyDescent="0.2">
      <c r="A68" s="26" t="s">
        <v>760</v>
      </c>
      <c r="B68" s="176">
        <f>(B37*(12/B5))/'Construction Budget &amp; Draws'!$B$17</f>
        <v>2.4648488714465327E-2</v>
      </c>
      <c r="C68" s="176">
        <f>(C37*(12/C5))/'Construction Budget &amp; Draws'!$B$17</f>
        <v>2.5236900726486013E-2</v>
      </c>
      <c r="D68" s="176">
        <f>(D37*(12/D5))/'Construction Budget &amp; Draws'!$B$17</f>
        <v>2.5837307478555189E-2</v>
      </c>
      <c r="E68" s="176">
        <f>(E37*(12/E5))/'Construction Budget &amp; Draws'!$B$17</f>
        <v>2.6449948818284184E-2</v>
      </c>
      <c r="F68" s="176">
        <f>(F37*(12/F5))/'Construction Budget &amp; Draws'!$B$17</f>
        <v>2.7075069332449846E-2</v>
      </c>
      <c r="G68" s="176">
        <f>(G37*(12/G5))/'Construction Budget &amp; Draws'!$B$17</f>
        <v>2.7712918439658417E-2</v>
      </c>
    </row>
    <row r="69" spans="1:10" ht="15" customHeight="1" x14ac:dyDescent="0.2">
      <c r="A69" s="26" t="s">
        <v>761</v>
      </c>
      <c r="B69" s="185">
        <f>SUM(B50)/('I_Inputs &amp; Assumptions'!$B$68+'I_Inputs &amp; Assumptions'!$B$69)</f>
        <v>0</v>
      </c>
      <c r="C69" s="185">
        <f>SUM(B50:C50)/('I_Inputs &amp; Assumptions'!$B$68+'I_Inputs &amp; Assumptions'!$B$69)</f>
        <v>8.8724330988460401E-2</v>
      </c>
      <c r="D69" s="185">
        <f>SUM(B50:D50)/('I_Inputs &amp; Assumptions'!$B$68+'I_Inputs &amp; Assumptions'!$B$69)</f>
        <v>0.19054558413125</v>
      </c>
      <c r="E69" s="185">
        <f>SUM(B50:E50)/('I_Inputs &amp; Assumptions'!$B$68+'I_Inputs &amp; Assumptions'!$B$69)</f>
        <v>0.30189903874913432</v>
      </c>
      <c r="F69" s="185">
        <f>SUM(B50:F50)/('I_Inputs &amp; Assumptions'!$B$68+'I_Inputs &amp; Assumptions'!$B$69)</f>
        <v>0.42297886065701873</v>
      </c>
      <c r="G69" s="185">
        <f>SUM(B50:G50)/('I_Inputs &amp; Assumptions'!$B$68+'I_Inputs &amp; Assumptions'!$B$69)</f>
        <v>0.55398309642066867</v>
      </c>
      <c r="I69" s="205">
        <f>(H50+I44)/('I_Inputs &amp; Assumptions'!$B$68+'I_Inputs &amp; Assumptions'!$B$69)</f>
        <v>3.5091375482122276</v>
      </c>
    </row>
    <row r="70" spans="1:10" ht="15" customHeight="1" x14ac:dyDescent="0.2">
      <c r="A70" s="26" t="s">
        <v>762</v>
      </c>
      <c r="B70" s="58">
        <f t="shared" ref="B70:G70" si="3">IF(B16&lt;&gt;0,B44/B16,0)</f>
        <v>0.73210362980417454</v>
      </c>
      <c r="C70" s="58">
        <f t="shared" si="3"/>
        <v>0.17313364328211689</v>
      </c>
      <c r="D70" s="58">
        <f t="shared" si="3"/>
        <v>0.18694560477860436</v>
      </c>
      <c r="E70" s="58">
        <f t="shared" si="3"/>
        <v>0.20050272760978677</v>
      </c>
      <c r="F70" s="58">
        <f t="shared" si="3"/>
        <v>0.21380974272873909</v>
      </c>
      <c r="G70" s="58">
        <f t="shared" si="3"/>
        <v>0.22687129203608872</v>
      </c>
      <c r="J70" s="185">
        <f>(I50+J44)/('I_Inputs &amp; Assumptions'!$B$68+'I_Inputs &amp; Assumptions'!$B$69)</f>
        <v>2.9551544517915591</v>
      </c>
    </row>
    <row r="71" spans="1:10" ht="15" customHeight="1" x14ac:dyDescent="0.2">
      <c r="A71" s="34" t="s">
        <v>763</v>
      </c>
      <c r="B71" s="174" t="s">
        <v>569</v>
      </c>
      <c r="C71" s="174" t="s">
        <v>569</v>
      </c>
      <c r="D71" s="206">
        <f>IFERROR(IRR(B120:E120),"N/A")</f>
        <v>0.41767556064974531</v>
      </c>
      <c r="E71" s="206">
        <f>IFERROR(IRR(B121:F121),"N/A")</f>
        <v>0.35396964592209113</v>
      </c>
      <c r="F71" s="206">
        <f>IFERROR(IRR(B122:G122),"N/A")</f>
        <v>0.31519955762247398</v>
      </c>
      <c r="G71" s="206">
        <f>IFERROR(IRR(B123:H123),"N/A")</f>
        <v>0.3545570273271399</v>
      </c>
      <c r="H71" s="206">
        <f>IFERROR(IRR(B123:H123),"N/A")</f>
        <v>0.3545570273271399</v>
      </c>
      <c r="I71" s="206">
        <f>IFERROR(IRR(B123:H123),"N/A")</f>
        <v>0.3545570273271399</v>
      </c>
    </row>
    <row r="72" spans="1:10" ht="15" customHeight="1" x14ac:dyDescent="0.2">
      <c r="A72" s="34" t="s">
        <v>763</v>
      </c>
      <c r="B72" s="174"/>
      <c r="C72" s="207" t="s">
        <v>569</v>
      </c>
      <c r="D72" s="208" t="s">
        <v>569</v>
      </c>
      <c r="E72" s="206">
        <f>IFERROR(IRR(B120:E120),"N/A")</f>
        <v>0.41767556064974531</v>
      </c>
      <c r="F72" s="206">
        <f>IFERROR(IRR(B121:F121),"N/A")</f>
        <v>0.35396964592209113</v>
      </c>
      <c r="G72" s="206">
        <f>IFERROR(IRR(B123:G123),"N/A")</f>
        <v>0.3545570273271399</v>
      </c>
      <c r="H72" s="206"/>
      <c r="I72" s="206">
        <f>IFERROR(IRR(B123:G123),"N/A")</f>
        <v>0.3545570273271399</v>
      </c>
      <c r="J72" s="206">
        <f>IFERROR(IRR(B123:G123),"N/A")</f>
        <v>0.3545570273271399</v>
      </c>
    </row>
    <row r="73" spans="1:10" ht="15" customHeight="1" x14ac:dyDescent="0.2">
      <c r="A73" s="34" t="s">
        <v>764</v>
      </c>
      <c r="C73" s="207" t="s">
        <v>569</v>
      </c>
      <c r="D73" s="207" t="s">
        <v>569</v>
      </c>
      <c r="E73" s="206">
        <f>IFERROR(IRR(B126:E126),"N/A")</f>
        <v>0.32009670721166406</v>
      </c>
      <c r="F73" s="206">
        <f>IFERROR(IRR(B127:F127),"N/A")</f>
        <v>0.27770635168364555</v>
      </c>
      <c r="G73" s="206">
        <f>IFERROR(IRR(B129:G129),"N/A")</f>
        <v>0.2997747278871743</v>
      </c>
      <c r="I73" s="206">
        <f>IFERROR(IRR(B129:G129),"N/A")</f>
        <v>0.2997747278871743</v>
      </c>
      <c r="J73" s="206">
        <f>IFERROR(IRR(B129:G129),"N/A")</f>
        <v>0.2997747278871743</v>
      </c>
    </row>
    <row r="74" spans="1:10" ht="15" customHeight="1" x14ac:dyDescent="0.2">
      <c r="A74" s="203" t="s">
        <v>765</v>
      </c>
      <c r="B74" s="204"/>
      <c r="C74" s="204"/>
      <c r="D74" s="204"/>
      <c r="E74" s="204"/>
      <c r="F74" s="204"/>
      <c r="G74" s="204"/>
      <c r="H74" s="204"/>
      <c r="I74" s="204"/>
    </row>
    <row r="75" spans="1:10" ht="15" customHeight="1" x14ac:dyDescent="0.2">
      <c r="A75" s="26" t="s">
        <v>766</v>
      </c>
      <c r="B75" s="185" t="str">
        <f t="shared" ref="B75:G75" si="4">IF(B42&lt;&gt;0,B37/B42,"-")</f>
        <v>-</v>
      </c>
      <c r="C75" s="185">
        <f t="shared" si="4"/>
        <v>1.3080734354748473</v>
      </c>
      <c r="D75" s="185">
        <f t="shared" si="4"/>
        <v>1.3391935849485572</v>
      </c>
      <c r="E75" s="185">
        <f t="shared" si="4"/>
        <v>1.3709478748535839</v>
      </c>
      <c r="F75" s="185">
        <f t="shared" si="4"/>
        <v>1.4033489825574434</v>
      </c>
      <c r="G75" s="185">
        <f t="shared" si="4"/>
        <v>1.4364098358699593</v>
      </c>
    </row>
    <row r="76" spans="1:10" ht="15" customHeight="1" x14ac:dyDescent="0.2">
      <c r="A76" s="26" t="s">
        <v>767</v>
      </c>
      <c r="B76" s="185" t="str">
        <f t="shared" ref="B76:G76" si="5">IF(B40&lt;&gt;0,B37/B40,"-")</f>
        <v>-</v>
      </c>
      <c r="C76" s="185">
        <f t="shared" si="5"/>
        <v>1.5521485892917022</v>
      </c>
      <c r="D76" s="185">
        <f t="shared" si="5"/>
        <v>1.6004376201341013</v>
      </c>
      <c r="E76" s="185">
        <f t="shared" si="5"/>
        <v>1.6506377613544565</v>
      </c>
      <c r="F76" s="185">
        <f t="shared" si="5"/>
        <v>1.702867098878476</v>
      </c>
      <c r="G76" s="185">
        <f t="shared" si="5"/>
        <v>1.7572540833324373</v>
      </c>
    </row>
    <row r="77" spans="1:10" ht="15" customHeight="1" x14ac:dyDescent="0.2">
      <c r="A77" s="26" t="s">
        <v>768</v>
      </c>
      <c r="B77" s="176">
        <f>IF(B37&lt;&gt;0,B64/((B37*(12/B5))/'I_Inputs &amp; Assumptions'!$B$116),"-")</f>
        <v>0</v>
      </c>
      <c r="C77" s="176">
        <f>IF(C37&lt;&gt;0,C64/((C37*(12/C5))/'I_Inputs &amp; Assumptions'!$B$116),"-")</f>
        <v>0.77224207413117951</v>
      </c>
      <c r="D77" s="176">
        <f>IF(D37&lt;&gt;0,D64/((D37*(12/D5))/'I_Inputs &amp; Assumptions'!$B$116),"-")</f>
        <v>0.74881172878152169</v>
      </c>
      <c r="E77" s="176">
        <f>IF(E37&lt;&gt;0,E64/((E37*(12/E5))/'I_Inputs &amp; Assumptions'!$B$116),"-")</f>
        <v>0.72590572040809986</v>
      </c>
      <c r="F77" s="176">
        <f>IF(F37&lt;&gt;0,F64/((F37*(12/F5))/'I_Inputs &amp; Assumptions'!$B$116),"-")</f>
        <v>0.70350557507675016</v>
      </c>
      <c r="G77" s="176">
        <f>IF(G37&lt;&gt;0,G64/((G37*(12/G5))/'I_Inputs &amp; Assumptions'!$B$116),"-")</f>
        <v>0.68159350188110956</v>
      </c>
    </row>
    <row r="78" spans="1:10" ht="15" customHeight="1" x14ac:dyDescent="0.2">
      <c r="A78" s="26" t="s">
        <v>769</v>
      </c>
      <c r="B78" s="176" t="str">
        <f t="shared" ref="B78:G78" si="6">IF(B64&lt;&gt;0,(B37*(12/B5))/B64,"-")</f>
        <v>-</v>
      </c>
      <c r="C78" s="176">
        <f t="shared" si="6"/>
        <v>5.8271883270058555E-2</v>
      </c>
      <c r="D78" s="176">
        <f t="shared" si="6"/>
        <v>6.0095212548586428E-2</v>
      </c>
      <c r="E78" s="176">
        <f t="shared" si="6"/>
        <v>6.1991521398538189E-2</v>
      </c>
      <c r="F78" s="176">
        <f t="shared" si="6"/>
        <v>6.3965377950403079E-2</v>
      </c>
      <c r="G78" s="176">
        <f t="shared" si="6"/>
        <v>6.6021756187237463E-2</v>
      </c>
    </row>
    <row r="79" spans="1:10" ht="15.75" customHeight="1" x14ac:dyDescent="0.2"/>
    <row r="80" spans="1:10" ht="15" customHeight="1" x14ac:dyDescent="0.2">
      <c r="A80" s="203" t="s">
        <v>770</v>
      </c>
      <c r="B80" s="204"/>
      <c r="C80" s="204"/>
      <c r="D80" s="204"/>
      <c r="E80" s="204"/>
      <c r="F80" s="204"/>
      <c r="G80" s="204"/>
      <c r="H80" s="204"/>
      <c r="I80" s="204"/>
    </row>
    <row r="81" spans="1:9" ht="15" customHeight="1" x14ac:dyDescent="0.2">
      <c r="A81" s="26" t="s">
        <v>771</v>
      </c>
      <c r="B81" s="176">
        <f t="shared" ref="B81:G81" si="7">IF(B16&lt;&gt;0,B34/B16,0)</f>
        <v>0.26789637019582541</v>
      </c>
      <c r="C81" s="176">
        <f t="shared" si="7"/>
        <v>0.26487813136096949</v>
      </c>
      <c r="D81" s="176">
        <f t="shared" si="7"/>
        <v>0.2619071652201051</v>
      </c>
      <c r="E81" s="176">
        <f t="shared" si="7"/>
        <v>0.25898271171527487</v>
      </c>
      <c r="F81" s="176">
        <f t="shared" si="7"/>
        <v>0.25610402431965229</v>
      </c>
      <c r="G81" s="176">
        <f t="shared" si="7"/>
        <v>0.25327036979462275</v>
      </c>
    </row>
    <row r="82" spans="1:9" ht="15" customHeight="1" x14ac:dyDescent="0.2">
      <c r="A82" s="26" t="s">
        <v>772</v>
      </c>
      <c r="B82" s="176">
        <f t="shared" ref="B82:G82" si="8">IF(B16&lt;&gt;0,B37/B16,0)</f>
        <v>0.73210362980417454</v>
      </c>
      <c r="C82" s="176">
        <f t="shared" si="8"/>
        <v>0.73512186863903006</v>
      </c>
      <c r="D82" s="176">
        <f t="shared" si="8"/>
        <v>0.73809283477989496</v>
      </c>
      <c r="E82" s="176">
        <f t="shared" si="8"/>
        <v>0.74101728828472513</v>
      </c>
      <c r="F82" s="176">
        <f t="shared" si="8"/>
        <v>0.74389597568034727</v>
      </c>
      <c r="G82" s="176">
        <f t="shared" si="8"/>
        <v>0.7467296302053773</v>
      </c>
    </row>
    <row r="83" spans="1:9" ht="15.75" customHeight="1" x14ac:dyDescent="0.2"/>
    <row r="84" spans="1:9" ht="15" customHeight="1" x14ac:dyDescent="0.2">
      <c r="A84" s="203" t="s">
        <v>773</v>
      </c>
      <c r="B84" s="204"/>
      <c r="C84" s="204"/>
      <c r="D84" s="204"/>
      <c r="E84" s="204"/>
      <c r="F84" s="204"/>
      <c r="G84" s="204"/>
      <c r="H84" s="204"/>
      <c r="I84" s="204"/>
    </row>
    <row r="85" spans="1:9" ht="15" customHeight="1" x14ac:dyDescent="0.2">
      <c r="A85" s="26" t="s">
        <v>774</v>
      </c>
      <c r="B85" s="57">
        <f>(B14*(12/B5))/OPEX!$B$5</f>
        <v>24381.1875</v>
      </c>
      <c r="C85" s="57">
        <f>(C14*(12/C5))/OPEX!$B$5</f>
        <v>24860.725312499995</v>
      </c>
      <c r="D85" s="57">
        <f>(D14*(12/D5))/OPEX!$B$5</f>
        <v>25349.732592187505</v>
      </c>
      <c r="E85" s="57">
        <f>(E14*(12/E5))/OPEX!$B$5</f>
        <v>25848.396909070307</v>
      </c>
      <c r="F85" s="57">
        <f>(F14*(12/F5))/OPEX!$B$5</f>
        <v>26356.909557266365</v>
      </c>
      <c r="G85" s="57">
        <f>(G14*(12/G5))/OPEX!$B$5</f>
        <v>26875.465629076567</v>
      </c>
    </row>
    <row r="86" spans="1:9" ht="15" customHeight="1" x14ac:dyDescent="0.2">
      <c r="A86" s="26" t="s">
        <v>775</v>
      </c>
      <c r="B86" s="57">
        <f>(B34*(12/B5))/OPEX!$B$5</f>
        <v>6139.7337343750005</v>
      </c>
      <c r="C86" s="57">
        <f>(C34*(12/C5))/OPEX!$B$5</f>
        <v>6189.9587171501553</v>
      </c>
      <c r="D86" s="57">
        <f>(D34*(12/D5))/OPEX!$B$5</f>
        <v>6240.9200061690835</v>
      </c>
      <c r="E86" s="57">
        <f>(E34*(12/E5))/OPEX!$B$5</f>
        <v>6292.6306495035324</v>
      </c>
      <c r="F86" s="57">
        <f>(F34*(12/F5))/OPEX!$B$5</f>
        <v>6345.1039698703207</v>
      </c>
      <c r="G86" s="57">
        <f>(G34*(12/G5))/OPEX!$B$5</f>
        <v>6398.3535711821614</v>
      </c>
    </row>
    <row r="87" spans="1:9" ht="15" customHeight="1" x14ac:dyDescent="0.2">
      <c r="A87" s="26" t="s">
        <v>776</v>
      </c>
      <c r="B87" s="57">
        <f>(B37*(12/B5))/OPEX!$B$5</f>
        <v>16778.582515624999</v>
      </c>
      <c r="C87" s="57">
        <f>(C37*(12/C5))/OPEX!$B$5</f>
        <v>17179.123076599841</v>
      </c>
      <c r="D87" s="57">
        <f>(D37*(12/D5))/OPEX!$B$5</f>
        <v>17587.828630487169</v>
      </c>
      <c r="E87" s="57">
        <f>(E37*(12/E5))/OPEX!$B$5</f>
        <v>18004.862445022558</v>
      </c>
      <c r="F87" s="57">
        <f>(F37*(12/F5))/OPEX!$B$5</f>
        <v>18430.391013960056</v>
      </c>
      <c r="G87" s="57">
        <f>(G37*(12/G5))/OPEX!$B$5</f>
        <v>18864.584120149808</v>
      </c>
    </row>
    <row r="88" spans="1:9" ht="15" customHeight="1" x14ac:dyDescent="0.2">
      <c r="A88" s="26" t="s">
        <v>777</v>
      </c>
      <c r="B88" s="57">
        <f>(B44*(12/B5))/OPEX!$B$5</f>
        <v>16778.582515624999</v>
      </c>
      <c r="C88" s="57">
        <f>(C44*(12/C5))/OPEX!$B$5</f>
        <v>4045.974271109726</v>
      </c>
      <c r="D88" s="57">
        <f>(D44*(12/D5))/OPEX!$B$5</f>
        <v>4454.679824997047</v>
      </c>
      <c r="E88" s="57">
        <f>(E44*(12/E5))/OPEX!$B$5</f>
        <v>4871.7136395324396</v>
      </c>
      <c r="F88" s="57">
        <f>(F44*(12/F5))/OPEX!$B$5</f>
        <v>5297.242208469941</v>
      </c>
      <c r="G88" s="57">
        <f>(G44*(12/G5))/OPEX!$B$5</f>
        <v>5731.4353146596877</v>
      </c>
    </row>
    <row r="89" spans="1:9" ht="15.75" customHeight="1" x14ac:dyDescent="0.2"/>
    <row r="90" spans="1:9" ht="15.75" customHeight="1" x14ac:dyDescent="0.2"/>
    <row r="91" spans="1:9" ht="15.75" customHeight="1" x14ac:dyDescent="0.2"/>
    <row r="92" spans="1:9" ht="15.75" customHeight="1" x14ac:dyDescent="0.2"/>
    <row r="93" spans="1:9" ht="15.75" customHeight="1" x14ac:dyDescent="0.2"/>
    <row r="94" spans="1:9" ht="15.75" customHeight="1" x14ac:dyDescent="0.2"/>
    <row r="95" spans="1:9" ht="15" customHeight="1" x14ac:dyDescent="0.2">
      <c r="A95" s="171" t="s">
        <v>778</v>
      </c>
      <c r="B95" s="177"/>
      <c r="C95" s="177"/>
      <c r="D95" s="177"/>
    </row>
    <row r="96" spans="1:9" ht="15" customHeight="1" x14ac:dyDescent="0.2">
      <c r="A96" s="26" t="s">
        <v>779</v>
      </c>
      <c r="B96" s="57">
        <f>G37*(12/G5)</f>
        <v>1207333.3836895877</v>
      </c>
    </row>
    <row r="97" spans="1:4" ht="15" customHeight="1" x14ac:dyDescent="0.2">
      <c r="A97" s="26" t="s">
        <v>117</v>
      </c>
      <c r="B97" s="176">
        <f>'I_Inputs &amp; Assumptions'!B116</f>
        <v>4.4999999999999998E-2</v>
      </c>
    </row>
    <row r="98" spans="1:4" ht="15" customHeight="1" x14ac:dyDescent="0.2">
      <c r="A98" s="34" t="s">
        <v>780</v>
      </c>
      <c r="B98" s="73">
        <f>B96/B97</f>
        <v>26829630.748657506</v>
      </c>
    </row>
    <row r="99" spans="1:4" ht="15" customHeight="1" x14ac:dyDescent="0.2">
      <c r="A99" s="26" t="s">
        <v>118</v>
      </c>
      <c r="B99" s="57">
        <f>B98*'I_Inputs &amp; Assumptions'!B117</f>
        <v>268296.30748657504</v>
      </c>
    </row>
    <row r="100" spans="1:4" ht="15" customHeight="1" x14ac:dyDescent="0.2">
      <c r="A100" s="34" t="s">
        <v>781</v>
      </c>
      <c r="B100" s="73">
        <f>B98-B99</f>
        <v>26561334.441170931</v>
      </c>
    </row>
    <row r="101" spans="1:4" ht="15" customHeight="1" x14ac:dyDescent="0.2">
      <c r="A101" s="26" t="s">
        <v>782</v>
      </c>
      <c r="B101" s="57">
        <f>'Permanent Financing'!G74</f>
        <v>18286901.976154566</v>
      </c>
    </row>
    <row r="102" spans="1:4" ht="15" customHeight="1" x14ac:dyDescent="0.2">
      <c r="A102" s="34" t="s">
        <v>783</v>
      </c>
      <c r="B102" s="179">
        <f>B100-B101</f>
        <v>8274432.4650163651</v>
      </c>
    </row>
    <row r="103" spans="1:4" ht="15.75" customHeight="1" x14ac:dyDescent="0.2"/>
    <row r="104" spans="1:4" ht="15" customHeight="1" x14ac:dyDescent="0.2">
      <c r="A104" s="171" t="s">
        <v>784</v>
      </c>
      <c r="B104" s="177"/>
      <c r="C104" s="177"/>
      <c r="D104" s="177"/>
    </row>
    <row r="105" spans="1:4" ht="15" customHeight="1" x14ac:dyDescent="0.2">
      <c r="A105" s="34" t="s">
        <v>783</v>
      </c>
      <c r="B105" s="73">
        <f>B102</f>
        <v>8274432.4650163651</v>
      </c>
    </row>
    <row r="106" spans="1:4" ht="15" customHeight="1" x14ac:dyDescent="0.2">
      <c r="A106" s="26" t="s">
        <v>785</v>
      </c>
      <c r="B106" s="57">
        <f>G62</f>
        <v>1248847.3300221288</v>
      </c>
    </row>
    <row r="107" spans="1:4" ht="15" customHeight="1" x14ac:dyDescent="0.2">
      <c r="A107" s="26" t="s">
        <v>786</v>
      </c>
      <c r="B107" s="73">
        <f>MIN(B105,B106*'I_Inputs &amp; Assumptions'!B70/4)</f>
        <v>0</v>
      </c>
    </row>
    <row r="108" spans="1:4" ht="15" customHeight="1" x14ac:dyDescent="0.2">
      <c r="A108" s="26" t="s">
        <v>787</v>
      </c>
      <c r="B108" s="73">
        <f>MIN(B105-B107,B106)</f>
        <v>1248847.3300221288</v>
      </c>
    </row>
    <row r="109" spans="1:4" ht="15" customHeight="1" x14ac:dyDescent="0.2">
      <c r="A109" s="34" t="s">
        <v>745</v>
      </c>
      <c r="B109" s="73">
        <f>MAX(0,B105-B107-B108)</f>
        <v>7025585.1349942368</v>
      </c>
    </row>
    <row r="110" spans="1:4" ht="15" customHeight="1" x14ac:dyDescent="0.2">
      <c r="A110" s="26" t="s">
        <v>788</v>
      </c>
      <c r="B110" s="57">
        <f>B107+B108+B109*'I_Inputs &amp; Assumptions'!B112</f>
        <v>6166756.9245180935</v>
      </c>
    </row>
    <row r="111" spans="1:4" ht="15" customHeight="1" x14ac:dyDescent="0.2">
      <c r="A111" s="26" t="s">
        <v>789</v>
      </c>
      <c r="B111" s="57">
        <f>B109*'I_Inputs &amp; Assumptions'!B113</f>
        <v>2107675.5404982711</v>
      </c>
    </row>
    <row r="112" spans="1:4" ht="15" customHeight="1" x14ac:dyDescent="0.2">
      <c r="A112" s="26" t="s">
        <v>790</v>
      </c>
      <c r="B112" s="73">
        <f>B110+B111-B105</f>
        <v>0</v>
      </c>
    </row>
    <row r="113" spans="1:8" ht="15.75" customHeight="1" x14ac:dyDescent="0.2"/>
    <row r="114" spans="1:8" ht="15.75" customHeight="1" x14ac:dyDescent="0.2"/>
    <row r="115" spans="1:8" ht="15.75" customHeight="1" x14ac:dyDescent="0.2"/>
    <row r="116" spans="1:8" ht="15.75" customHeight="1" x14ac:dyDescent="0.2"/>
    <row r="117" spans="1:8" ht="15.75" customHeight="1" x14ac:dyDescent="0.2"/>
    <row r="118" spans="1:8" ht="15.75" customHeight="1" x14ac:dyDescent="0.2"/>
    <row r="119" spans="1:8" ht="15.75" customHeight="1" x14ac:dyDescent="0.2"/>
    <row r="120" spans="1:8" ht="15" customHeight="1" x14ac:dyDescent="0.2">
      <c r="A120" s="209" t="s">
        <v>791</v>
      </c>
      <c r="B120" s="209">
        <f>-('I_Inputs &amp; Assumptions'!$B$68+'I_Inputs &amp; Assumptions'!$B$69)</f>
        <v>-2800000</v>
      </c>
      <c r="C120" s="209">
        <f>B50+C50</f>
        <v>248428.12676768913</v>
      </c>
      <c r="D120" s="209">
        <f>D50</f>
        <v>285099.50879981089</v>
      </c>
      <c r="E120" s="209">
        <f>E50+(E37*(12/E5))/'I_Inputs &amp; Assumptions'!$B$116*(1-'I_Inputs &amp; Assumptions'!$B$117)-E64</f>
        <v>7074429.5684955753</v>
      </c>
      <c r="F120" s="209"/>
      <c r="G120" s="209"/>
      <c r="H120" s="209"/>
    </row>
    <row r="121" spans="1:8" ht="15" customHeight="1" x14ac:dyDescent="0.2">
      <c r="A121" s="209" t="s">
        <v>792</v>
      </c>
      <c r="B121" s="209">
        <f>-('I_Inputs &amp; Assumptions'!$B$68+'I_Inputs &amp; Assumptions'!$B$69)</f>
        <v>-2800000</v>
      </c>
      <c r="C121" s="209">
        <f>B50+C50</f>
        <v>248428.12676768913</v>
      </c>
      <c r="D121" s="209">
        <f>D50</f>
        <v>285099.50879981089</v>
      </c>
      <c r="E121" s="209">
        <f>E50</f>
        <v>311789.67293007602</v>
      </c>
      <c r="F121" s="209">
        <f>F50+(F37*(12/F5))/'I_Inputs &amp; Assumptions'!$B$116*(1-'I_Inputs &amp; Assumptions'!$B$117)-F64</f>
        <v>7848647.3586293533</v>
      </c>
      <c r="G121" s="209"/>
      <c r="H121" s="209"/>
    </row>
    <row r="122" spans="1:8" ht="15" customHeight="1" x14ac:dyDescent="0.2">
      <c r="A122" s="209" t="s">
        <v>793</v>
      </c>
      <c r="B122" s="209">
        <f>-('I_Inputs &amp; Assumptions'!$B$68+'I_Inputs &amp; Assumptions'!$B$69)</f>
        <v>-2800000</v>
      </c>
      <c r="C122" s="209">
        <f>B50+C50</f>
        <v>248428.12676768913</v>
      </c>
      <c r="D122" s="209">
        <f>D50</f>
        <v>285099.50879981089</v>
      </c>
      <c r="E122" s="209">
        <f>E50</f>
        <v>311789.67293007602</v>
      </c>
      <c r="F122" s="209">
        <f>F50</f>
        <v>339023.50134207623</v>
      </c>
      <c r="G122" s="209">
        <f>G50+(G37*(12/G5))/'I_Inputs &amp; Assumptions'!$B$116*(1-'I_Inputs &amp; Assumptions'!$B$117)-G64</f>
        <v>8641244.3251545839</v>
      </c>
      <c r="H122" s="209"/>
    </row>
    <row r="123" spans="1:8" ht="15" customHeight="1" x14ac:dyDescent="0.2">
      <c r="A123" s="209" t="s">
        <v>794</v>
      </c>
      <c r="B123" s="209">
        <f>-('I_Inputs &amp; Assumptions'!$B$68+'I_Inputs &amp; Assumptions'!$B$69)</f>
        <v>-2800000</v>
      </c>
      <c r="C123" s="209">
        <f>B50+C50</f>
        <v>248428.12676768913</v>
      </c>
      <c r="D123" s="209">
        <f>D50</f>
        <v>285099.50879981089</v>
      </c>
      <c r="E123" s="209">
        <f>E50</f>
        <v>311789.67293007602</v>
      </c>
      <c r="F123" s="209">
        <f>F50</f>
        <v>339023.50134207623</v>
      </c>
      <c r="G123" s="209">
        <f>G50+H50+B102</f>
        <v>10192396.995132457</v>
      </c>
      <c r="H123" s="209"/>
    </row>
    <row r="124" spans="1:8" ht="15" customHeight="1" x14ac:dyDescent="0.2">
      <c r="A124" s="209"/>
      <c r="B124" s="209"/>
      <c r="C124" s="209"/>
      <c r="D124" s="209"/>
      <c r="E124" s="209"/>
      <c r="F124" s="209"/>
      <c r="G124" s="209"/>
      <c r="H124" s="209"/>
    </row>
    <row r="125" spans="1:8" ht="15" customHeight="1" x14ac:dyDescent="0.2">
      <c r="A125" s="209"/>
      <c r="B125" s="209"/>
      <c r="C125" s="209"/>
      <c r="D125" s="209"/>
      <c r="E125" s="209"/>
      <c r="F125" s="209"/>
      <c r="G125" s="209"/>
      <c r="H125" s="209"/>
    </row>
    <row r="126" spans="1:8" ht="15" customHeight="1" x14ac:dyDescent="0.2">
      <c r="A126" s="209" t="s">
        <v>795</v>
      </c>
      <c r="B126" s="209">
        <f>-'I_Inputs &amp; Assumptions'!$B$68</f>
        <v>-2800000</v>
      </c>
      <c r="C126" s="209">
        <f>B58+C58</f>
        <v>248428.12676768913</v>
      </c>
      <c r="D126" s="209">
        <f>D58</f>
        <v>285099.50879981089</v>
      </c>
      <c r="E126" s="209">
        <f>E58+MIN((E37*(12/E5))/'I_Inputs &amp; Assumptions'!$B$116*(1-'I_Inputs &amp; Assumptions'!$B$117)-E64,E62)+MAX(0,(E37*(12/E5))/'I_Inputs &amp; Assumptions'!$B$116*(1-'I_Inputs &amp; Assumptions'!$B$117)-E64-E62)*'I_Inputs &amp; Assumptions'!$B$112</f>
        <v>5632042.4072766528</v>
      </c>
      <c r="F126" s="209"/>
      <c r="G126" s="209"/>
      <c r="H126" s="209"/>
    </row>
    <row r="127" spans="1:8" ht="15" customHeight="1" x14ac:dyDescent="0.2">
      <c r="A127" s="209" t="s">
        <v>796</v>
      </c>
      <c r="B127" s="209">
        <f>-'I_Inputs &amp; Assumptions'!$B$68</f>
        <v>-2800000</v>
      </c>
      <c r="C127" s="209">
        <f>B58+C58</f>
        <v>248428.12676768913</v>
      </c>
      <c r="D127" s="209">
        <f>D58</f>
        <v>285099.50879981089</v>
      </c>
      <c r="E127" s="209">
        <f>E58</f>
        <v>311789.67293007602</v>
      </c>
      <c r="F127" s="209">
        <f>F58+MIN((F37*(12/F5))/'I_Inputs &amp; Assumptions'!$B$116*(1-'I_Inputs &amp; Assumptions'!$B$117)-F64,F62)+MAX(0,(F37*(12/F5))/'I_Inputs &amp; Assumptions'!$B$116*(1-'I_Inputs &amp; Assumptions'!$B$117)-F64-F62)*'I_Inputs &amp; Assumptions'!$B$112</f>
        <v>6080457.9584912732</v>
      </c>
      <c r="G127" s="209"/>
      <c r="H127" s="209"/>
    </row>
    <row r="128" spans="1:8" ht="15" customHeight="1" x14ac:dyDescent="0.2">
      <c r="A128" s="209" t="s">
        <v>797</v>
      </c>
      <c r="B128" s="209">
        <f>-'I_Inputs &amp; Assumptions'!$B$68</f>
        <v>-2800000</v>
      </c>
      <c r="C128" s="209">
        <f>B58+C58</f>
        <v>248428.12676768913</v>
      </c>
      <c r="D128" s="209">
        <f>D58</f>
        <v>285099.50879981089</v>
      </c>
      <c r="E128" s="209">
        <f>E58</f>
        <v>311789.67293007602</v>
      </c>
      <c r="F128" s="209">
        <f>F58</f>
        <v>339023.50134207623</v>
      </c>
      <c r="G128" s="209">
        <f>G58+MIN((G37*(12/G5))/'I_Inputs &amp; Assumptions'!$B$116*(1-'I_Inputs &amp; Assumptions'!$B$117)-G64,G62)+MAX(0,(G37*(12/G5))/'I_Inputs &amp; Assumptions'!$B$116*(1-'I_Inputs &amp; Assumptions'!$B$117)-G64-G62)*'I_Inputs &amp; Assumptions'!$B$112</f>
        <v>6533568.7846563142</v>
      </c>
      <c r="H128" s="209"/>
    </row>
    <row r="129" spans="1:8" ht="15" customHeight="1" x14ac:dyDescent="0.2">
      <c r="A129" s="209" t="s">
        <v>798</v>
      </c>
      <c r="B129" s="209">
        <f>-'I_Inputs &amp; Assumptions'!$B$68</f>
        <v>-2800000</v>
      </c>
      <c r="C129" s="209">
        <f>B58+C58</f>
        <v>248428.12676768913</v>
      </c>
      <c r="D129" s="209">
        <f>D58</f>
        <v>285099.50879981089</v>
      </c>
      <c r="E129" s="209">
        <f>E58</f>
        <v>311789.67293007602</v>
      </c>
      <c r="F129" s="209">
        <f>F58</f>
        <v>339023.50134207623</v>
      </c>
      <c r="G129" s="209">
        <f>G58+H58+B110</f>
        <v>8084721.4546341859</v>
      </c>
      <c r="H129" s="209"/>
    </row>
    <row r="130" spans="1:8" ht="15" customHeight="1" x14ac:dyDescent="0.2">
      <c r="A130" s="209"/>
      <c r="B130" s="209"/>
      <c r="C130" s="209"/>
      <c r="D130" s="209"/>
      <c r="E130" s="209"/>
      <c r="F130" s="209"/>
      <c r="G130" s="209"/>
      <c r="H130" s="209"/>
    </row>
    <row r="131" spans="1:8" ht="15.75" customHeight="1" x14ac:dyDescent="0.2"/>
    <row r="132" spans="1:8" ht="15.75" customHeight="1" x14ac:dyDescent="0.2"/>
    <row r="133" spans="1:8" ht="15.75" customHeight="1" x14ac:dyDescent="0.2"/>
    <row r="134" spans="1:8" ht="15.75" customHeight="1" x14ac:dyDescent="0.2"/>
    <row r="135" spans="1:8" ht="15.75" customHeight="1" x14ac:dyDescent="0.2"/>
    <row r="136" spans="1:8" ht="15.75" customHeight="1" x14ac:dyDescent="0.2"/>
    <row r="137" spans="1:8" ht="15.75" customHeight="1" x14ac:dyDescent="0.2"/>
    <row r="138" spans="1:8" ht="15.75" customHeight="1" x14ac:dyDescent="0.2"/>
    <row r="139" spans="1:8" ht="15.75" customHeight="1" x14ac:dyDescent="0.2"/>
    <row r="140" spans="1:8" ht="15.75" customHeight="1" x14ac:dyDescent="0.2"/>
    <row r="141" spans="1:8" ht="15.75" customHeight="1" x14ac:dyDescent="0.2"/>
    <row r="142" spans="1:8" ht="15.75" customHeight="1" x14ac:dyDescent="0.2"/>
    <row r="143" spans="1:8" ht="15.75" customHeight="1" x14ac:dyDescent="0.2"/>
    <row r="144" spans="1:8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I_Inputs &amp; Assumptions</vt:lpstr>
      <vt:lpstr>I_Budget Input Data</vt:lpstr>
      <vt:lpstr>I_Unit Rent Roll Data</vt:lpstr>
      <vt:lpstr>i_Cap Table</vt:lpstr>
      <vt:lpstr>I_Preferred Equity</vt:lpstr>
      <vt:lpstr>I_Mezzanine Debt</vt:lpstr>
      <vt:lpstr>Construction Budget &amp; Draws</vt:lpstr>
      <vt:lpstr>Sources &amp; Uses - Construction</vt:lpstr>
      <vt:lpstr>Senior Construction Financing</vt:lpstr>
      <vt:lpstr>Draw Calc (Hidden)</vt:lpstr>
      <vt:lpstr>Time Axis</vt:lpstr>
      <vt:lpstr>OPEX</vt:lpstr>
      <vt:lpstr>Permanent Financing</vt:lpstr>
      <vt:lpstr>Operating Proforma</vt:lpstr>
      <vt:lpstr>O_Annual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Koran</cp:lastModifiedBy>
  <dcterms:modified xsi:type="dcterms:W3CDTF">2026-04-16T15:59:55Z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2026-01-29T02:14:11Z</dcterms:created>
  <dc:creator>openpyxl</dc:creator>
  <dc:description/>
  <dc:language>en-US</dc:language>
  <cp:lastModifiedBy/>
  <dcterms:modified xsi:type="dcterms:W3CDTF">2026-04-16T14:10:47Z</dcterms:modified>
  <cp:revision>0</cp:revision>
  <dc:subject/>
  <dc:title/>
</cp:coreProperties>
</file>